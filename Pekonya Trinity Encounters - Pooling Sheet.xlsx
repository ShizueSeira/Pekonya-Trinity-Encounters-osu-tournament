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4"/>
    <sheet state="visible" name="Template" sheetId="2" r:id="rId5"/>
    <sheet state="visible" name="Quals" sheetId="3" r:id="rId6"/>
    <sheet state="visible" name="RO32" sheetId="4" r:id="rId7"/>
    <sheet state="visible" name="RO16" sheetId="5" r:id="rId8"/>
    <sheet state="visible" name="QF" sheetId="6" r:id="rId9"/>
    <sheet state="visible" name="SF" sheetId="7" r:id="rId10"/>
    <sheet state="visible" name="F" sheetId="8" r:id="rId11"/>
    <sheet state="visible" name="GF" sheetId="9" r:id="rId12"/>
    <sheet state="visible" name="Import Range Template - Quals o" sheetId="10" r:id="rId13"/>
    <sheet state="hidden" name="--- auto stuffs  archived ---" sheetId="11" r:id="rId14"/>
    <sheet state="hidden" name="Instructions" sheetId="12" r:id="rId15"/>
    <sheet state="hidden" name="FinalPublic Sheet" sheetId="13" r:id="rId16"/>
    <sheet state="hidden" name="Export" sheetId="14" r:id="rId17"/>
    <sheet state="hidden" name="_mapids" sheetId="15" r:id="rId18"/>
    <sheet state="hidden" name="_api" sheetId="16" r:id="rId19"/>
  </sheets>
  <definedNames>
    <definedName name="ApiHeader">'_api'!$B$2:$BR$2</definedName>
    <definedName name="ApiRange">'_api'!$AT$3:$BR$1007</definedName>
    <definedName name="SPACER">LAMBDA(range, n, TRANSPOSE(SPLIT(JOIN(REPT(",",n+1),range),",",,0)))</definedName>
    <definedName name="FILTER_EMPTY">LAMBDA(range, FILTER(range,INDEX(range,1)&lt;&gt;""))</definedName>
    <definedName name="MAPDATA">LAMBDA(id, attr, ARRAYFORMULA(IFNA(VLOOKUP(id,'_api'!$B$3:$BW,MATCH(attr,'_api'!$B$2:$BW$2,0),0))
))</definedName>
    <definedName name="MAPDATA_MODDED">LAMBDA(id, attr, mod, ARRAYFORMULA(IFNA(VLOOKUP(id,'_api'!$B$3:$BX,IFNA(MATCH(attr&amp;"_"&amp;LEFT(mod,2),'_api'!$B$2:$2,0),MATCH(attr,'_api'!$B$2:$2,0)),0))
))</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Defines the dropdown elements for suggestors. This is used to display on the final sheet, or for statistics like count of suggested maps.</t>
      </text>
    </comment>
    <comment authorId="0" ref="D2">
      <text>
        <t xml:space="preserve">Please disable all mappools you're not using before continuing to step 4 in the instructions</t>
      </text>
    </comment>
    <comment authorId="0" ref="F2">
      <text>
        <t xml:space="preserve">Short name of the mappool, I recommend you don't use any spaces or fancy characters</t>
      </text>
    </comment>
    <comment authorId="0" ref="H2">
      <text>
        <t xml:space="preserve">This is bans per player, not total number of bans</t>
      </text>
    </comment>
    <comment authorId="0" ref="I2">
      <text>
        <t xml:space="preserve">Number of maps for a specific category.
While not common at all, you can specify EZ and HT (map values in the sheet are updated accordingly).
If you want to add other categories like FL or something completely different like "TECH", then you're free to change the names provided here. Custom categories will only display NM stats.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Must be a map link, not a mapset link. There is no specific check for that, so please be careful.</t>
      </text>
    </comment>
    <comment authorId="0" ref="C4">
      <text>
        <t xml:space="preserve">Automatically generated from the link</t>
      </text>
    </comment>
    <comment authorId="0" ref="D4">
      <text>
        <t xml:space="preserve">This is just an indicator to communicate the intended mod and does not influence the grabbed data in any way</t>
      </text>
    </comment>
    <comment authorId="0" ref="E4">
      <text>
        <t xml:space="preserve">This can be used for statistics, but is otherwise completely optional</t>
      </text>
    </comment>
    <comment authorId="0" ref="F4">
      <text>
        <t xml:space="preserve">Basic map data</t>
      </text>
    </comment>
    <comment authorId="0" ref="H4">
      <text>
        <t xml:space="preserve">Small space to communicate thoughts about the map. I recommend using the comments function to start discussions.</t>
      </text>
    </comment>
    <comment authorId="0" ref="J4">
      <text>
        <t xml:space="preserve">Expected map types for each map slot, examples are "Consistency", "Tech", "Streams" etc.</t>
      </text>
    </comment>
    <comment authorId="0" ref="K4">
      <text>
        <t xml:space="preserve">The map ID of the final map for the map slot. If the value has a red corner then the ID has not been used in any suggestion sheet and no data will be grabbed from the API. Please put the map link in suggestions first.</t>
      </text>
    </comment>
    <comment authorId="0" ref="L4">
      <text>
        <t xml:space="preserve">Values will be adjusted for HR/EZ/DT/HT automatically.
FM shows NM stats.</t>
      </text>
    </comment>
    <comment authorId="0" ref="M4">
      <text>
        <t xml:space="preserve">Click the [+] above the spreadsheet to expand the pool assembly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Must be a map link, not a mapset link. There is no specific check for that, so please be careful.</t>
      </text>
    </comment>
    <comment authorId="0" ref="C4">
      <text>
        <t xml:space="preserve">Automatically generated from the link</t>
      </text>
    </comment>
    <comment authorId="0" ref="D4">
      <text>
        <t xml:space="preserve">This is just an indicator to communicate the intended mod and does not influence the grabbed data in any way</t>
      </text>
    </comment>
    <comment authorId="0" ref="E4">
      <text>
        <t xml:space="preserve">This can be used for statistics, but is otherwise completely optional</t>
      </text>
    </comment>
    <comment authorId="0" ref="F4">
      <text>
        <t xml:space="preserve">Basic map data</t>
      </text>
    </comment>
    <comment authorId="0" ref="H4">
      <text>
        <t xml:space="preserve">Small space to communicate thoughts about the map. I recommend using the comments function to start discussions.</t>
      </text>
    </comment>
    <comment authorId="0" ref="J4">
      <text>
        <t xml:space="preserve">Expected map types for each map slot, examples are "Consistency", "Tech", "Streams" etc.</t>
      </text>
    </comment>
    <comment authorId="0" ref="K4">
      <text>
        <t xml:space="preserve">The map ID of the final map for the map slot. If the value has a red corner then the ID has not been used in any suggestion sheet and no data will be grabbed from the API. Please put the map link in suggestions first.</t>
      </text>
    </comment>
    <comment authorId="0" ref="L4">
      <text>
        <t xml:space="preserve">Values will be adjusted for HR/EZ/DT/HT automatically.
FM shows NM stats.</t>
      </text>
    </comment>
    <comment authorId="0" ref="M4">
      <text>
        <t xml:space="preserve">Click the [+] above the spreadsheet to expand the pool assembly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Must be a map link, not a mapset link. There is no specific check for that, so please be careful.</t>
      </text>
    </comment>
    <comment authorId="0" ref="C4">
      <text>
        <t xml:space="preserve">Automatically generated from the link</t>
      </text>
    </comment>
    <comment authorId="0" ref="D4">
      <text>
        <t xml:space="preserve">This is just an indicator to communicate the intended mod and does not influence the grabbed data in any way</t>
      </text>
    </comment>
    <comment authorId="0" ref="E4">
      <text>
        <t xml:space="preserve">This can be used for statistics, but is otherwise completely optional</t>
      </text>
    </comment>
    <comment authorId="0" ref="F4">
      <text>
        <t xml:space="preserve">Basic map data</t>
      </text>
    </comment>
    <comment authorId="0" ref="H4">
      <text>
        <t xml:space="preserve">Small space to communicate thoughts about the map. I recommend using the comments function to start discussions.</t>
      </text>
    </comment>
    <comment authorId="0" ref="J4">
      <text>
        <t xml:space="preserve">Expected map types for each map slot, examples are "Consistency", "Tech", "Streams" etc.</t>
      </text>
    </comment>
    <comment authorId="0" ref="K4">
      <text>
        <t xml:space="preserve">The map ID of the final map for the map slot. If the value has a red corner then the ID has not been used in any suggestion sheet and no data will be grabbed from the API. Please put the map link in suggestions first.</t>
      </text>
    </comment>
    <comment authorId="0" ref="L4">
      <text>
        <t xml:space="preserve">Values will be adjusted for HR/EZ/DT/HT automatically.
FM shows NM stats.</t>
      </text>
    </comment>
    <comment authorId="0" ref="M4">
      <text>
        <t xml:space="preserve">Click the [+] above the spreadsheet to expand the pool assembly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x = not final
y = final</t>
      </text>
    </comment>
    <comment authorId="0" ref="B4">
      <text>
        <t xml:space="preserve">Must be a map link, not a mapset link. There is no specific check for that, so please be careful.</t>
      </text>
    </comment>
    <comment authorId="0" ref="C4">
      <text>
        <t xml:space="preserve">Automatically generated from the link</t>
      </text>
    </comment>
    <comment authorId="0" ref="D4">
      <text>
        <t xml:space="preserve">This is just an indicator to communicate the intended mod and does not influence the grabbed data in any way</t>
      </text>
    </comment>
    <comment authorId="0" ref="E4">
      <text>
        <t xml:space="preserve">This can be used for statistics, but is otherwise completely optional</t>
      </text>
    </comment>
    <comment authorId="0" ref="F4">
      <text>
        <t xml:space="preserve">Basic map data</t>
      </text>
    </comment>
    <comment authorId="0" ref="H4">
      <text>
        <t xml:space="preserve">Small space to communicate thoughts about the map. I recommend using the comments function to start discussions.</t>
      </text>
    </comment>
    <comment authorId="0" ref="J4">
      <text>
        <t xml:space="preserve">Expected map types for each map slot, examples are "Consistency", "Tech", "Streams" etc.</t>
      </text>
    </comment>
    <comment authorId="0" ref="K4">
      <text>
        <t xml:space="preserve">The map ID of the final map for the map slot. If the value has a red corner then the ID has not been used in any suggestion sheet and no data will be grabbed from the API. Please put the map link in suggestions first.</t>
      </text>
    </comment>
    <comment authorId="0" ref="L4">
      <text>
        <t xml:space="preserve">Values will be adjusted for HR/EZ/DT/HT automatically.
FM shows NM stats.</t>
      </text>
    </comment>
    <comment authorId="0" ref="M4">
      <text>
        <t xml:space="preserve">Click the [+] above the spreadsheet to expand the pool assembly</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Must be a map link, not a mapset link. There is no specific check for that, so please be careful.</t>
      </text>
    </comment>
    <comment authorId="0" ref="C4">
      <text>
        <t xml:space="preserve">Automatically generated from the link</t>
      </text>
    </comment>
    <comment authorId="0" ref="D4">
      <text>
        <t xml:space="preserve">This is just an indicator to communicate the intended mod and does not influence the grabbed data in any way</t>
      </text>
    </comment>
    <comment authorId="0" ref="E4">
      <text>
        <t xml:space="preserve">This can be used for statistics, but is otherwise completely optional</t>
      </text>
    </comment>
    <comment authorId="0" ref="F4">
      <text>
        <t xml:space="preserve">Basic map data</t>
      </text>
    </comment>
    <comment authorId="0" ref="H4">
      <text>
        <t xml:space="preserve">Small space to communicate thoughts about the map. I recommend using the comments function to start discussions.</t>
      </text>
    </comment>
    <comment authorId="0" ref="J4">
      <text>
        <t xml:space="preserve">Expected map types for each map slot, examples are "Consistency", "Tech", "Streams" etc.</t>
      </text>
    </comment>
    <comment authorId="0" ref="K4">
      <text>
        <t xml:space="preserve">The map ID of the final map for the map slot. If the value has a red corner then the ID has not been used in any suggestion sheet and no data will be grabbed from the API. Please put the map link in suggestions first.</t>
      </text>
    </comment>
    <comment authorId="0" ref="L4">
      <text>
        <t xml:space="preserve">Values will be adjusted for HR/EZ/DT/HT automatically.
FM shows NM stats.</t>
      </text>
    </comment>
    <comment authorId="0" ref="M4">
      <text>
        <t xml:space="preserve">Click the [+] above the spreadsheet to expand the pool assembly</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Must be a map link, not a mapset link. There is no specific check for that, so please be careful.</t>
      </text>
    </comment>
    <comment authorId="0" ref="C4">
      <text>
        <t xml:space="preserve">Automatically generated from the link</t>
      </text>
    </comment>
    <comment authorId="0" ref="D4">
      <text>
        <t xml:space="preserve">This is just an indicator to communicate the intended mod and does not influence the grabbed data in any way</t>
      </text>
    </comment>
    <comment authorId="0" ref="E4">
      <text>
        <t xml:space="preserve">This can be used for statistics, but is otherwise completely optional</t>
      </text>
    </comment>
    <comment authorId="0" ref="F4">
      <text>
        <t xml:space="preserve">Basic map data</t>
      </text>
    </comment>
    <comment authorId="0" ref="H4">
      <text>
        <t xml:space="preserve">Small space to communicate thoughts about the map. I recommend using the comments function to start discussions.</t>
      </text>
    </comment>
    <comment authorId="0" ref="J4">
      <text>
        <t xml:space="preserve">Expected map types for each map slot, examples are "Consistency", "Tech", "Streams" etc.</t>
      </text>
    </comment>
    <comment authorId="0" ref="K4">
      <text>
        <t xml:space="preserve">The map ID of the final map for the map slot. If the value has a red corner then the ID has not been used in any suggestion sheet and no data will be grabbed from the API. Please put the map link in suggestions first.</t>
      </text>
    </comment>
    <comment authorId="0" ref="L4">
      <text>
        <t xml:space="preserve">Values will be adjusted for HR/EZ/DT/HT automatically.
FM shows NM stats.</t>
      </text>
    </comment>
    <comment authorId="0" ref="M4">
      <text>
        <t xml:space="preserve">Click the [+] above the spreadsheet to expand the pool assembly</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Must be a map link, not a mapset link. There is no specific check for that, so please be careful.</t>
      </text>
    </comment>
    <comment authorId="0" ref="C4">
      <text>
        <t xml:space="preserve">Automatically generated from the link</t>
      </text>
    </comment>
    <comment authorId="0" ref="D4">
      <text>
        <t xml:space="preserve">This is just an indicator to communicate the intended mod and does not influence the grabbed data in any way</t>
      </text>
    </comment>
    <comment authorId="0" ref="E4">
      <text>
        <t xml:space="preserve">This can be used for statistics, but is otherwise completely optional</t>
      </text>
    </comment>
    <comment authorId="0" ref="F4">
      <text>
        <t xml:space="preserve">Basic map data</t>
      </text>
    </comment>
    <comment authorId="0" ref="H4">
      <text>
        <t xml:space="preserve">Small space to communicate thoughts about the map. I recommend using the comments function to start discussions.</t>
      </text>
    </comment>
    <comment authorId="0" ref="J4">
      <text>
        <t xml:space="preserve">Expected map types for each map slot, examples are "Consistency", "Tech", "Streams" etc.</t>
      </text>
    </comment>
    <comment authorId="0" ref="K4">
      <text>
        <t xml:space="preserve">The map ID of the final map for the map slot. If the value has a red corner then the ID has not been used in any suggestion sheet and no data will be grabbed from the API. Please put the map link in suggestions first.</t>
      </text>
    </comment>
    <comment authorId="0" ref="L4">
      <text>
        <t xml:space="preserve">Values will be adjusted for HR/EZ/DT/HT automatically.
FM shows NM stats.</t>
      </text>
    </comment>
    <comment authorId="0" ref="M4">
      <text>
        <t xml:space="preserve">Click the [+] above the spreadsheet to expand the pool assembly</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Must be a map link, not a mapset link. There is no specific check for that, so please be careful.</t>
      </text>
    </comment>
    <comment authorId="0" ref="C4">
      <text>
        <t xml:space="preserve">Automatically generated from the link</t>
      </text>
    </comment>
    <comment authorId="0" ref="D4">
      <text>
        <t xml:space="preserve">This is just an indicator to communicate the intended mod and does not influence the grabbed data in any way</t>
      </text>
    </comment>
    <comment authorId="0" ref="E4">
      <text>
        <t xml:space="preserve">This can be used for statistics, but is otherwise completely optional</t>
      </text>
    </comment>
    <comment authorId="0" ref="F4">
      <text>
        <t xml:space="preserve">Basic map data</t>
      </text>
    </comment>
    <comment authorId="0" ref="H4">
      <text>
        <t xml:space="preserve">Small space to communicate thoughts about the map. I recommend using the comments function to start discussions.</t>
      </text>
    </comment>
    <comment authorId="0" ref="J4">
      <text>
        <t xml:space="preserve">Expected map types for each map slot, examples are "Consistency", "Tech", "Streams" etc.</t>
      </text>
    </comment>
    <comment authorId="0" ref="K4">
      <text>
        <t xml:space="preserve">The map ID of the final map for the map slot. If the value has a red corner then the ID has not been used in any suggestion sheet and no data will be grabbed from the API. Please put the map link in suggestions first.</t>
      </text>
    </comment>
    <comment authorId="0" ref="L4">
      <text>
        <t xml:space="preserve">Values will be adjusted for HR/EZ/DT/HT automatically.
FM shows NM stats.</t>
      </text>
    </comment>
    <comment authorId="0" ref="M4">
      <text>
        <t xml:space="preserve">Click the [+] above the spreadsheet to expand the pool assembly</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This will prompt you to sign in with your Google account. You will only have to do this once.</t>
      </text>
    </comment>
    <comment authorId="0" ref="C7">
      <text>
        <t xml:space="preserve">The way the spreadsheet grabs osu! map data is from something called an API, which is basically a way for programs to access another programs data.
Some APIs don't want to have people randomly accessing it (excessive use could crash the server, aka DDoS), so the osu! API is protected with an API key, which every user has to generate themselves.</t>
      </text>
    </comment>
    <comment authorId="0" ref="C8">
      <text>
        <t xml:space="preserve">This will generate a sheet based on the template for every used stage provided in the Settings sheet.
You can remove these by using the "Mappools &gt; Remove mappool sheets" menu item.</t>
      </text>
    </comment>
    <comment authorId="0" ref="C9">
      <text>
        <t xml:space="preserve">API Data will be grabbed immediately once you paste the link. All maps are cached in a hidden sheet called "_api". If you remove the map from the suggestions, then the data will still stay cached.
If the cached data is outdated, then you can use the "Map Data" menu to refresh all the data. Regular refresh doesn't update maps that have been updated less than 6 hours ago, hard refresh grabs all data freshly.</t>
      </text>
    </comment>
    <comment authorId="0" ref="C10">
      <text>
        <t xml:space="preserve">If IDs are used that have not been entered in any suggestion area, then the sheet will not grab the data.
Press the [+] above column O to unfold more map values</t>
      </text>
    </comment>
  </commentList>
</comments>
</file>

<file path=xl/sharedStrings.xml><?xml version="1.0" encoding="utf-8"?>
<sst xmlns="http://schemas.openxmlformats.org/spreadsheetml/2006/main" count="8048" uniqueCount="3305">
  <si>
    <t>c</t>
  </si>
  <si>
    <t>List of Poolers</t>
  </si>
  <si>
    <t>Use</t>
  </si>
  <si>
    <t>Mappool</t>
  </si>
  <si>
    <t>Abbreviation</t>
  </si>
  <si>
    <t>Best of</t>
  </si>
  <si>
    <t>Bans</t>
  </si>
  <si>
    <t>NM</t>
  </si>
  <si>
    <t>HD</t>
  </si>
  <si>
    <t>HR</t>
  </si>
  <si>
    <t>DT</t>
  </si>
  <si>
    <t>FM</t>
  </si>
  <si>
    <t>EZ</t>
  </si>
  <si>
    <t>HT</t>
  </si>
  <si>
    <t>TB</t>
  </si>
  <si>
    <t>Sum</t>
  </si>
  <si>
    <t>Tentative SR</t>
  </si>
  <si>
    <t>play hd3</t>
  </si>
  <si>
    <t>Qualifiers</t>
  </si>
  <si>
    <t>Quals</t>
  </si>
  <si>
    <t>purl</t>
  </si>
  <si>
    <t>levica</t>
  </si>
  <si>
    <t>Aizenh</t>
  </si>
  <si>
    <t>shironai14</t>
  </si>
  <si>
    <t>Round of 32</t>
  </si>
  <si>
    <t>RO32</t>
  </si>
  <si>
    <t>sedi__</t>
  </si>
  <si>
    <t>Round of 16</t>
  </si>
  <si>
    <t>RO16</t>
  </si>
  <si>
    <t>matalisfangirl</t>
  </si>
  <si>
    <t>Quarterfinals</t>
  </si>
  <si>
    <t>QF</t>
  </si>
  <si>
    <t>therealdeathmatch</t>
  </si>
  <si>
    <t>Semifinals</t>
  </si>
  <si>
    <t>SF</t>
  </si>
  <si>
    <t>yillow</t>
  </si>
  <si>
    <t>Finals</t>
  </si>
  <si>
    <t>F</t>
  </si>
  <si>
    <t>lunexia</t>
  </si>
  <si>
    <t>Grand Finals</t>
  </si>
  <si>
    <t>GF</t>
  </si>
  <si>
    <t>Fuwub</t>
  </si>
  <si>
    <t>aoi hinami</t>
  </si>
  <si>
    <t>Group Stage</t>
  </si>
  <si>
    <t>Suggestions</t>
  </si>
  <si>
    <t>Pool Assembly</t>
  </si>
  <si>
    <t>Map Link</t>
  </si>
  <si>
    <t>ID</t>
  </si>
  <si>
    <t>Mod</t>
  </si>
  <si>
    <t>Suggestor</t>
  </si>
  <si>
    <t>Map</t>
  </si>
  <si>
    <t>Notes</t>
  </si>
  <si>
    <t>Note</t>
  </si>
  <si>
    <t>SR</t>
  </si>
  <si>
    <t>BPM</t>
  </si>
  <si>
    <t>Length</t>
  </si>
  <si>
    <t>CS</t>
  </si>
  <si>
    <t>AR</t>
  </si>
  <si>
    <t>OD</t>
  </si>
  <si>
    <t>HP</t>
  </si>
  <si>
    <t>Mapper</t>
  </si>
  <si>
    <t>https://osu.ppy.sh/beatmapsets/1658910#osu/3924030</t>
  </si>
  <si>
    <t>https://osu.ppy.sh/beatmapsets/1570531#osu/3207049</t>
  </si>
  <si>
    <t>Trerey-U - ::vexations [::insane]</t>
  </si>
  <si>
    <t>void - Crisscrosser [Insane]</t>
  </si>
  <si>
    <t>ouranhshc</t>
  </si>
  <si>
    <t>https://osu.ppy.sh/beatmapsets/1975119#osu/4113699</t>
  </si>
  <si>
    <t>ATARASHII GAKKO! - OTONABLUE [-ktrihc's the last the fost [Insano waza]]</t>
  </si>
  <si>
    <t>Sangatsu no Phantasia - Koufuku na Wagamama [Insane]</t>
  </si>
  <si>
    <t>Jiysea</t>
  </si>
  <si>
    <t>https://osu.ppy.sh/beatmapsets/1544866#osu/3737825</t>
  </si>
  <si>
    <t>PSYQUI - Education [sorciere's Insane]</t>
  </si>
  <si>
    <t>JeZag</t>
  </si>
  <si>
    <t>https://osu.ppy.sh/beatmapsets/1207286#osu/2514122</t>
  </si>
  <si>
    <t>Wagakki Band - Kagerou Days [Ducky-'s Insane]</t>
  </si>
  <si>
    <t>Ax feat. Natsukawa Yoko - Sakimori Renka [Insane]</t>
  </si>
  <si>
    <t>Yusomi</t>
  </si>
  <si>
    <t>https://osu.ppy.sh/beatmapsets/1238190#osu/2619929</t>
  </si>
  <si>
    <t>Amane - BOOZEHOUND [Down's Insane]</t>
  </si>
  <si>
    <t>hd2</t>
  </si>
  <si>
    <t>Luscent</t>
  </si>
  <si>
    <t>https://osu.ppy.sh/beatmapsets/1918243#osu/3958395</t>
  </si>
  <si>
    <t>Numakura Manami - Sakebe [Mrgglock's Insane]</t>
  </si>
  <si>
    <t>hr1</t>
  </si>
  <si>
    <t>THE ORAL CIGARETTES - Wagamama de Gomakasanaide [Panda &amp; Melwoine's Insane]</t>
  </si>
  <si>
    <t>DeviousPanda</t>
  </si>
  <si>
    <t>https://osu.ppy.sh/beatmapsets/721320#osu/1523138</t>
  </si>
  <si>
    <t>Kajiura Yuki - Sis puella magica! [Tea Party]</t>
  </si>
  <si>
    <t>hr2</t>
  </si>
  <si>
    <t>Asonate</t>
  </si>
  <si>
    <t>https://osu.ppy.sh/beatmapsets/1977605#osu/4105349</t>
  </si>
  <si>
    <t>ICHIKO - YOU'RE THE ONE [ANDREA &amp; ASUKO'S HARD]</t>
  </si>
  <si>
    <t>Andrea</t>
  </si>
  <si>
    <t>https://osu.ppy.sh/beatmapsets/1670325#osu/3411549</t>
  </si>
  <si>
    <t>Ardolf - Split EX [HARD]</t>
  </si>
  <si>
    <t>DIANA - Beethoven Virus [Aranel's Hard]</t>
  </si>
  <si>
    <t>Orkay</t>
  </si>
  <si>
    <t>https://osu.ppy.sh/beatmapsets/1061614#osu/2395972</t>
  </si>
  <si>
    <t>Hanabusa Sumireko (CV: Arakawa Miho) - Inochi no Karakuri [Insane]</t>
  </si>
  <si>
    <t>HD1 tapping</t>
  </si>
  <si>
    <t>https://osu.ppy.sh/beatmapsets/1807986#osu/3720541</t>
  </si>
  <si>
    <t>SID - Mousou Nikki 2 [Miy's Insane]</t>
  </si>
  <si>
    <t xml:space="preserve">HD1 </t>
  </si>
  <si>
    <t>https://osu.ppy.sh/beatmapsets/1496416#osu/3081261</t>
  </si>
  <si>
    <t>Co shu Nie - Yume o Kin'iro ni Somete [Insane ft. Kujinn]</t>
  </si>
  <si>
    <t>NM4</t>
  </si>
  <si>
    <t>https://osu.ppy.sh/beatmapsets/1712992#osu/3684386</t>
  </si>
  <si>
    <t>S3RL feat. Sara - Dopamine [Insane]</t>
  </si>
  <si>
    <t>https://osu.ppy.sh/beatmapsets/1841846#osu/3783139</t>
  </si>
  <si>
    <t>cYsmix - triangles [shime's absolutno another]</t>
  </si>
  <si>
    <t>https://osu.ppy.sh/beatmapsets/932567#osu/2027623</t>
  </si>
  <si>
    <t>https://osu.ppy.sh/beatmapsets/1089678#osu/2305346</t>
  </si>
  <si>
    <t>Juggernaut. - Apocaliptix [PaRaDogi's Insane]</t>
  </si>
  <si>
    <t>https://osu.ppy.sh/beatmapsets/1212359#osu/3310401</t>
  </si>
  <si>
    <t>siromaru + cranky - conflict [Yoshino's Insane]</t>
  </si>
  <si>
    <t>https://osu.ppy.sh/beatmaps/4121042</t>
  </si>
  <si>
    <t>Dance Gavin Dance - Deception [Sebas' Hard]</t>
  </si>
  <si>
    <t>https://osu.ppy.sh/beatmapsets/357800#osu/908887</t>
  </si>
  <si>
    <t>https://osu.ppy.sh/beatmapsets/1724615#osu/3533589</t>
  </si>
  <si>
    <t>https://osu.ppy.sh/beatmapsets/998415#osu/2094462</t>
  </si>
  <si>
    <t>https://osu.ppy.sh/beatmapsets/1478828#osu/3035501</t>
  </si>
  <si>
    <t>Sedi didn't help</t>
  </si>
  <si>
    <t>https://osu.ppy.sh/beatmapsets/1859662#osu/3823691</t>
  </si>
  <si>
    <t>Len - GHOST (feat. Such) [Amateurre's Insane]</t>
  </si>
  <si>
    <t>HD1</t>
  </si>
  <si>
    <t>Stream/Burst</t>
  </si>
  <si>
    <t>Jun Kuroda - Terpsichore [Dancer's Delight]</t>
  </si>
  <si>
    <t>Quag</t>
  </si>
  <si>
    <t>https://osu.ppy.sh/beatmapsets/1435157#osu/2995193</t>
  </si>
  <si>
    <t>Street - Sakura Fubuki [99's Insane]</t>
  </si>
  <si>
    <t>NM2</t>
  </si>
  <si>
    <t>Mixed alt</t>
  </si>
  <si>
    <t>PUP - Anaphylaxis [Insane]</t>
  </si>
  <si>
    <t>Hobbes2</t>
  </si>
  <si>
    <t>https://osu.ppy.sh/beatmapsets/932654#osu/2016938</t>
  </si>
  <si>
    <t>Pastel*Palettes - Happy Synthesizer [Mikan's Hard]</t>
  </si>
  <si>
    <t>DT3</t>
  </si>
  <si>
    <t>Control / Slideraim</t>
  </si>
  <si>
    <t>ISOMERZ (DJ Raisei + seatrus) - Symmetric [BOUYAAA's Insane]</t>
  </si>
  <si>
    <t>Realazy</t>
  </si>
  <si>
    <t>Yorushika - Itte. [Insane]</t>
  </si>
  <si>
    <t>NM1 aim focus</t>
  </si>
  <si>
    <t>Lower ar/Alt</t>
  </si>
  <si>
    <t>Pastel*Palettes - Happy Synthesizer [Insane]</t>
  </si>
  <si>
    <t>ktgster</t>
  </si>
  <si>
    <t>NM2 stream/burst/fingercontrol mix</t>
  </si>
  <si>
    <t>Awkward aim / Slideraim</t>
  </si>
  <si>
    <t>Tsumiki - phony [Hatsune Miku's Insane]</t>
  </si>
  <si>
    <t>Ryuusei Aika</t>
  </si>
  <si>
    <t>NM3 mixed alt</t>
  </si>
  <si>
    <t>Aim/Burst</t>
  </si>
  <si>
    <t>P*Light - Poppin' Shower [Hyper]</t>
  </si>
  <si>
    <t>Reisen Udongein</t>
  </si>
  <si>
    <t>NM4 Fingercontrol and Slideraim mix</t>
  </si>
  <si>
    <t>Consistency</t>
  </si>
  <si>
    <t>Omoi - Teo [waji's Insane]</t>
  </si>
  <si>
    <t>Shmiklak</t>
  </si>
  <si>
    <t>NM5 Alt</t>
  </si>
  <si>
    <t>Linear AIm</t>
  </si>
  <si>
    <t>Silentroom - NULCTRL [Pattern 03a "exHRD" LMT]</t>
  </si>
  <si>
    <t>Nerova Riuz GX</t>
  </si>
  <si>
    <t>HD1 Bit awkward aim bit slideraim</t>
  </si>
  <si>
    <t>Farm kekw</t>
  </si>
  <si>
    <t>mafumafu - Moudoku ga Osou [Hard]</t>
  </si>
  <si>
    <t>Namki</t>
  </si>
  <si>
    <t>xi - Mirage Garden [PaRaDogi's Hard]</t>
  </si>
  <si>
    <t>DT3 Fingercontrol (quite speddie)</t>
  </si>
  <si>
    <t>"Speed"</t>
  </si>
  <si>
    <t>ARForest - Aoba [Hard]</t>
  </si>
  <si>
    <t>Niva</t>
  </si>
  <si>
    <t>Ata - Euphoria [Aiq's Insane]</t>
  </si>
  <si>
    <t>TB Mixed, including an alt section, pooled twice</t>
  </si>
  <si>
    <t>Finger control</t>
  </si>
  <si>
    <t>DT1 Farm YEP</t>
  </si>
  <si>
    <t>Balanced</t>
  </si>
  <si>
    <t>Shawn Wasabi - Marble Soda [Narcissu's Insane]</t>
  </si>
  <si>
    <t>Len</t>
  </si>
  <si>
    <t>Zekk - Duplication [Insane]</t>
  </si>
  <si>
    <t>FM1 Techy/Speed</t>
  </si>
  <si>
    <t>Anti mod</t>
  </si>
  <si>
    <t>-45 - Total Eclipse of The Sun [Hard]</t>
  </si>
  <si>
    <t>Matrix</t>
  </si>
  <si>
    <t>K'naan - Wavin' Flag [Shuna's Flag!]</t>
  </si>
  <si>
    <t>FM2 Antimod weird mapping</t>
  </si>
  <si>
    <t>Aim/Stream/Alt</t>
  </si>
  <si>
    <t>-Cermia</t>
  </si>
  <si>
    <t>HR2 linear / grid aim</t>
  </si>
  <si>
    <t>DT2 """"Speed""""</t>
  </si>
  <si>
    <t>Sound Souler - Eternalism 2 [Gibune's Insane]</t>
  </si>
  <si>
    <t>Slowstream HD2</t>
  </si>
  <si>
    <t>https://osu.ppy.sh/beatmapsets/42527#osu/134141</t>
  </si>
  <si>
    <t>HD2 Old-style mirror mapping</t>
  </si>
  <si>
    <t>https://osu.ppy.sh/beatmapsets/80214#osu/250577</t>
  </si>
  <si>
    <t>Wotamin - Gigantic O.T.N [Hard]</t>
  </si>
  <si>
    <t>HR1 Old-style gridmapping</t>
  </si>
  <si>
    <t>OISHII - ONIGIRI FREEWAY [HARD]</t>
  </si>
  <si>
    <t>dt3 if no nm5</t>
  </si>
  <si>
    <t>the peggies - Neverland [Insane]</t>
  </si>
  <si>
    <t>kessoku band - Wasurete Yaranai [Amachama's Insane]</t>
  </si>
  <si>
    <t>NM2 fingercontrol focus</t>
  </si>
  <si>
    <t>Risa Yuzuki - Cinderella Maker [Mindmaster's Hard]</t>
  </si>
  <si>
    <t>Hazuki - Uso to Shinjitsu [Insane]</t>
  </si>
  <si>
    <t>https://osu.ppy.sh/beatmapsets/1782707#osu/3743202</t>
  </si>
  <si>
    <t>https://osu.ppy.sh/beatmapsets/111611#osu/306038</t>
  </si>
  <si>
    <t>low bpm streams</t>
  </si>
  <si>
    <t>https://osu.ppy.sh/beatmapsets/1743257#osu/3563790</t>
  </si>
  <si>
    <t>Electronic Boutique - Miles [Minimal]</t>
  </si>
  <si>
    <t>NM3</t>
  </si>
  <si>
    <t>Stamina/Streams</t>
  </si>
  <si>
    <t>Fractal Dreamers - Gardens Under A Spring Sky [Hyper]</t>
  </si>
  <si>
    <t>Lasse</t>
  </si>
  <si>
    <t>https://osu.ppy.sh/beatmapsets/1528914#osu/3496410</t>
  </si>
  <si>
    <t>Shimotsuki Haruka, Chata, Katakiri Rekka - Suishou ni Utsuru Himegimi [Collab Insane]</t>
  </si>
  <si>
    <t>Alt consistency</t>
  </si>
  <si>
    <t>Tsukuyomi - Dareka no Shinzou ni Nareta nara [too's Insane]</t>
  </si>
  <si>
    <t>Mononymous</t>
  </si>
  <si>
    <t>https://osu.ppy.sh/beatmapsets/1758376#osu/3887774</t>
  </si>
  <si>
    <t>Noah - Purification of soul [Flame Haze's Insane]</t>
  </si>
  <si>
    <t>Slider aim</t>
  </si>
  <si>
    <t>sakuraburst - Glacierfall (Park Remix) [haruto x ancel's ins*ne]</t>
  </si>
  <si>
    <t>ScubDomino</t>
  </si>
  <si>
    <t>https://osu.ppy.sh/beatmapsets/1358622#osu/2827293</t>
  </si>
  <si>
    <t>Yorushika - Thoughtcrime [Akitoshi's Insane]</t>
  </si>
  <si>
    <t>skeleton  nm1</t>
  </si>
  <si>
    <t>Low ar/bpm finger control</t>
  </si>
  <si>
    <t>sekai - Zange Mairi [Voice's Insane]</t>
  </si>
  <si>
    <t>Yugu</t>
  </si>
  <si>
    <t>https://osu.ppy.sh/beatmapsets/956716#osu/2004679</t>
  </si>
  <si>
    <t>skeleton nm2</t>
  </si>
  <si>
    <t>Police Piccadilly feat. Hatsune Miku - Kire Carry On [negusver's Insane]</t>
  </si>
  <si>
    <t>Sinnoh</t>
  </si>
  <si>
    <t>https://osu.ppy.sh/beatmapsets/1508883#osu/3117101</t>
  </si>
  <si>
    <t>Yorushika - Dakara Boku wa Ongaku o Yameta [I'm not mistaken?]</t>
  </si>
  <si>
    <t>skeleton nm3</t>
  </si>
  <si>
    <t>Reading/Streams</t>
  </si>
  <si>
    <t>Siren - Polaris [8 is not a low ar guys]</t>
  </si>
  <si>
    <t>https://osu.ppy.sh/beatmapsets/564329#osu/1489274</t>
  </si>
  <si>
    <t>YUC'e - Sengoku HOP [apple's Insane]</t>
  </si>
  <si>
    <t>skeleton nm4</t>
  </si>
  <si>
    <t>Consistency + Banger</t>
  </si>
  <si>
    <t>PSYQUI feat. Such - Senchimentaruhatoboi [Insane]</t>
  </si>
  <si>
    <t>eeezzzeee</t>
  </si>
  <si>
    <t>https://osu.ppy.sh/beatmapsets/1968201#osu/4082310</t>
  </si>
  <si>
    <t>chelmico - Easy Breezy [ezier bz]</t>
  </si>
  <si>
    <t>skeleton nm5</t>
  </si>
  <si>
    <t>High CS/Wide angle jumps</t>
  </si>
  <si>
    <t>Perfume - Laser Beam [Mixagji]</t>
  </si>
  <si>
    <t>Raging Bull</t>
  </si>
  <si>
    <t>https://osu.ppy.sh/beatmapsets/50462#osu/155064</t>
  </si>
  <si>
    <t>Lon - Yuru Fuwa Jukai Girl [Insane]</t>
  </si>
  <si>
    <t>skeletion hd1</t>
  </si>
  <si>
    <t>Burst heavy Consitency</t>
  </si>
  <si>
    <t>Yumeno Yuki - First Time [KoldNoodl's Hard]</t>
  </si>
  <si>
    <t>ImpurePug</t>
  </si>
  <si>
    <t>https://osu.ppy.sh/beatmapsets/1932625#osu/4024821</t>
  </si>
  <si>
    <t>Zemfira - kto? [riffy's insane]</t>
  </si>
  <si>
    <t>skeleton hd2</t>
  </si>
  <si>
    <t>Alt/Bursts</t>
  </si>
  <si>
    <t>YUC'e - Future Candy [Hard]</t>
  </si>
  <si>
    <t>Nathan</t>
  </si>
  <si>
    <t>https://osu.ppy.sh/beatmapsets/1316097#osu/2729314</t>
  </si>
  <si>
    <t>Kaede To Kyo Aki Ame Kuzu - Q [Insane]</t>
  </si>
  <si>
    <t>skeleton hr1</t>
  </si>
  <si>
    <t>Fingercontrol(?)</t>
  </si>
  <si>
    <t>tarolabo - eth ken [hard]</t>
  </si>
  <si>
    <t>https://osu.ppy.sh/beatmapsets/25580#osu/87319</t>
  </si>
  <si>
    <t>Kakeru Hotarubi - Fanshi 3 Kami Goranshin [Insane]</t>
  </si>
  <si>
    <t>skeleton hr2</t>
  </si>
  <si>
    <t>Speed CS3</t>
  </si>
  <si>
    <t>OISHII - ONIGIRI FREEWAY [LUKAS' INSANE]</t>
  </si>
  <si>
    <t>Hazu-</t>
  </si>
  <si>
    <t>https://osu.ppy.sh/beatmapsets/914691#osu/1913099</t>
  </si>
  <si>
    <t>S3RL - MTC (Different Heaven Remix) [Hard]</t>
  </si>
  <si>
    <t>skeleton dt1</t>
  </si>
  <si>
    <t>Grid Antimod</t>
  </si>
  <si>
    <t>Giga-P - Electric Angel [Sonnyc's Insane]</t>
  </si>
  <si>
    <t>koreapenguin</t>
  </si>
  <si>
    <t>https://osu.ppy.sh/beatmapsets/546820#osu/1521209</t>
  </si>
  <si>
    <t>skeleton dt2</t>
  </si>
  <si>
    <t>Don't sighread :tf:</t>
  </si>
  <si>
    <t>Au5 - Moonland [Collab Another]</t>
  </si>
  <si>
    <t>DTM9 Nowa</t>
  </si>
  <si>
    <t>https://osu.ppy.sh/beatmapsets/1285447#osu/2967720</t>
  </si>
  <si>
    <t>hololive IDOL PROJECT - Koyoi wa Halloween Night! [sleepy's Hard]</t>
  </si>
  <si>
    <t>skeleton dt3</t>
  </si>
  <si>
    <t>https://osu.ppy.sh/beatmapsets/701330#osu/1498150</t>
  </si>
  <si>
    <t>I SEE MONSTAS - Holdin On (Skrillex and Nero Remix) [Insane]</t>
  </si>
  <si>
    <t>skeleton fm1</t>
  </si>
  <si>
    <t>https://osu.ppy.sh/beatmapsets/172900#osu/417898</t>
  </si>
  <si>
    <t>skeleton fm2</t>
  </si>
  <si>
    <t>https://osu.ppy.sh/beatmapsets/25802#osu/87369</t>
  </si>
  <si>
    <t>Hatsune Miku - Netoge Haijin Sprechchor [Insane]</t>
  </si>
  <si>
    <t>hr1 - streamy prob too hard</t>
  </si>
  <si>
    <t>https://osu.ppy.sh/beatmapsets/1157572#osu/2530278</t>
  </si>
  <si>
    <t>Hino Isuka - Moonheart (Mameyudoufu Remix) [Insane]</t>
  </si>
  <si>
    <t>hr1 - bursty "light tech"</t>
  </si>
  <si>
    <t>https://osu.ppy.sh/beatmapsets/409898#osu/892543</t>
  </si>
  <si>
    <t>Komiya Mao - (can you) understand me? [insane?]</t>
  </si>
  <si>
    <t>hr1 - just aim</t>
  </si>
  <si>
    <t>BotchiBoromaru - Otose Thunder [Shiny Braixen's Insane]</t>
  </si>
  <si>
    <t>https://osu.ppy.sh/beatmapsets/1046876#osu/2200330</t>
  </si>
  <si>
    <t>nana(Sevencolors) - chameleon [Insane]</t>
  </si>
  <si>
    <t>https://osu.ppy.sh/beatmapsets/824959#osu/1733441</t>
  </si>
  <si>
    <t>hd1</t>
  </si>
  <si>
    <t>https://osu.ppy.sh/beatmapsets/1759764#osu/3601684</t>
  </si>
  <si>
    <t>sekai - God-ish [Setu's Insane]</t>
  </si>
  <si>
    <t>nm3</t>
  </si>
  <si>
    <t>https://osu.ppy.sh/beatmapsets/123354#osu/315101</t>
  </si>
  <si>
    <t>DECO*27 - Ai Kotoba II [Insane]</t>
  </si>
  <si>
    <t>dt1</t>
  </si>
  <si>
    <t>https://osu.ppy.sh/beatmapsets/841634#osu/1761258</t>
  </si>
  <si>
    <t>HACHI feat. Hatsune Miku - Suna no Wakusei [Insane]</t>
  </si>
  <si>
    <t>nm5</t>
  </si>
  <si>
    <t>https://osu.ppy.sh/beatmapsets/1203052#osu/2701775</t>
  </si>
  <si>
    <t>Chibanyan vs. Otogibara Era - GOMIKASU -Original Mix- [Insane]</t>
  </si>
  <si>
    <t>FM1</t>
  </si>
  <si>
    <t>https://osu.ppy.sh/beatmapsets/1693295#osu/3460069</t>
  </si>
  <si>
    <t>https://osu.ppy.sh/beatmapsets/1488532#osu/3053637</t>
  </si>
  <si>
    <t>FROZEN QUALIA - Birthday [Hard]</t>
  </si>
  <si>
    <t>https://osu.ppy.sh/beatmapsets/1632817#osu/3332932</t>
  </si>
  <si>
    <t>Lil Nas X - THATS WHAT I WANT [GOKUGOHAN12468'S INSANE]</t>
  </si>
  <si>
    <t>https://osu.ppy.sh/beatmapsets/996628#osu/2151207</t>
  </si>
  <si>
    <t>https://osu.ppy.sh/beatmapsets/1494548#osu/3169863</t>
  </si>
  <si>
    <t>DE DE MOUSE - Silly Love [0pp's Insane]</t>
  </si>
  <si>
    <t>https://osu.ppy.sh/beatmapsets/1401651#osu/2891411</t>
  </si>
  <si>
    <t>kozato - Tsuki -Yue- [Kuse's Insane]</t>
  </si>
  <si>
    <t>https://osu.ppy.sh/beatmapsets/1329045#osu/2794904</t>
  </si>
  <si>
    <t>https://osu.ppy.sh/beatmapsets/106568#osu/295650</t>
  </si>
  <si>
    <t>https://osu.ppy.sh/beatmapsets/924701#osu/1956568</t>
  </si>
  <si>
    <t>https://osu.ppy.sh/beatmapsets/1544600#osu/3239199</t>
  </si>
  <si>
    <t>https://osu.ppy.sh/beatmapsets/1581327#osu/3446883</t>
  </si>
  <si>
    <t>https://osu.ppy.sh/beatmapsets/1765453#osu/3616100</t>
  </si>
  <si>
    <t>https://osu.ppy.sh/beatmapsets/1176431#osu/2853477</t>
  </si>
  <si>
    <t>https://osu.ppy.sh/beatmapsets/251437#osu/577517</t>
  </si>
  <si>
    <t>Halozy - Genryuu Kaiko [Melody of Sanzu]</t>
  </si>
  <si>
    <t>https://osu.ppy.sh/beatmapsets/1901819#osu/3990086</t>
  </si>
  <si>
    <t>Kai - Junk Lady [Deppy and Wanpachi's Insane]</t>
  </si>
  <si>
    <t>https://osu.ppy.sh/beatmapsets/790382#osu/1857415</t>
  </si>
  <si>
    <t>https://osu.ppy.sh/beatmapsets/1185294#osu/2536100</t>
  </si>
  <si>
    <t>Hatsuki Yura - Drivi'n greedy - Nhato Remix - [BF's Insane]</t>
  </si>
  <si>
    <t>aaa</t>
  </si>
  <si>
    <t>https://osu.ppy.sh/beatmapsets/1615650#osu/3298592</t>
  </si>
  <si>
    <t>no modification one</t>
  </si>
  <si>
    <t>https://osu.ppy.sh/beatmapsets/4404#osu/63604</t>
  </si>
  <si>
    <t>Comp - Gensou no Satellite [Insane]</t>
  </si>
  <si>
    <t>streams</t>
  </si>
  <si>
    <t>Thaehan - Doki-Doki [rockstarrzz' Insane]</t>
  </si>
  <si>
    <t>Mr HeliX</t>
  </si>
  <si>
    <t>https://osu.ppy.sh/beatmapsets/1270156#osu/2690081</t>
  </si>
  <si>
    <t>Tenjin Kotone - Darling Dance [UjiMatcha's Insane]</t>
  </si>
  <si>
    <t>fm1</t>
  </si>
  <si>
    <t>alt</t>
  </si>
  <si>
    <t>Meguro Shoji feat. Lyn - Last Surprise -Scramble- [Expert]</t>
  </si>
  <si>
    <t>moph</t>
  </si>
  <si>
    <t>https://osu.ppy.sh/beatmapsets/941246#osu/1965654</t>
  </si>
  <si>
    <t>Sangatsu no Phantasia - Pink Lemonade [Insane]</t>
  </si>
  <si>
    <t>nm1</t>
  </si>
  <si>
    <t>tech</t>
  </si>
  <si>
    <t>Nekomata Master+ - squall [0pp's Insane (Tournament Edit)]</t>
  </si>
  <si>
    <t>Kyrian</t>
  </si>
  <si>
    <t>https://osu.ppy.sh/beatmapsets/1507979#osu/3118794</t>
  </si>
  <si>
    <t>DIALOGUE+ - Jinsei Easy? [LV.20 Finshie's Insane]</t>
  </si>
  <si>
    <t>speed</t>
  </si>
  <si>
    <t>the Art of Mankind - Unexisted [Insane]</t>
  </si>
  <si>
    <t>quantumvortex</t>
  </si>
  <si>
    <t>https://osu.ppy.sh/beatmapsets/1586738#osu/3248255</t>
  </si>
  <si>
    <t>NICODE &amp; M2U - Predawn [Mixagji's Insane]</t>
  </si>
  <si>
    <t>hr3</t>
  </si>
  <si>
    <t>funny ar</t>
  </si>
  <si>
    <t>Franz Ferdinand - This Fffire (TV Size) [enri's iNnnsane]</t>
  </si>
  <si>
    <t>ninore</t>
  </si>
  <si>
    <t>https://osu.ppy.sh/beatmapsets/776928#osu/1635864</t>
  </si>
  <si>
    <t>NIVIRO - Memes (Speed Up Ver.) [moph's Insane]</t>
  </si>
  <si>
    <t>hd3</t>
  </si>
  <si>
    <t>hidden modification one</t>
  </si>
  <si>
    <t>Usada Pekora - Discommunication Alien [Ayyken's Another]</t>
  </si>
  <si>
    <t>https://osu.ppy.sh/beatmapsets/660630#osu/1404975</t>
  </si>
  <si>
    <t>Ocelot - KAEDE [Kalindraz's EX]</t>
  </si>
  <si>
    <t>hd3 - probably too hard</t>
  </si>
  <si>
    <t>bursts/stream</t>
  </si>
  <si>
    <t>BRZion - Game Brain [Insane]</t>
  </si>
  <si>
    <t>Zapy</t>
  </si>
  <si>
    <t>https://osu.ppy.sh/beatmapsets/737728#osu/1687599</t>
  </si>
  <si>
    <t>Camellia - Lunatic Rough Party!! [LCFC's HYPER]</t>
  </si>
  <si>
    <t>nm4</t>
  </si>
  <si>
    <t>alt/tech</t>
  </si>
  <si>
    <t>succducc - me &amp; u [sing's insane]</t>
  </si>
  <si>
    <t>https://osu.ppy.sh/b/2072245</t>
  </si>
  <si>
    <t>Fractal Dreamers - Gardens Under A Spring Sky [Insane]</t>
  </si>
  <si>
    <t>nm2</t>
  </si>
  <si>
    <t>simple consistency</t>
  </si>
  <si>
    <t>kessoku band - Guitar to Kodoku to Aoi Hoshi [kuuti's Insane]</t>
  </si>
  <si>
    <t>Shurelia</t>
  </si>
  <si>
    <t>https://osu.ppy.sh/beatmapsets/749096#osu/1596086</t>
  </si>
  <si>
    <t>Uinyasu, Occhoko Bunny - Aa Kenran no Yume ga Gotoku (Epsilon Remix) [Dailycare's Insane]</t>
  </si>
  <si>
    <t>yeah</t>
  </si>
  <si>
    <t>Cranky - Luvin' You [Alazy's Another]</t>
  </si>
  <si>
    <t>avira0922</t>
  </si>
  <si>
    <t>https://osu.ppy.sh/beatmapsets/591635#osu/1251955</t>
  </si>
  <si>
    <t>M2U - Wicked Fate [LV.10]</t>
  </si>
  <si>
    <t>HD3 ar9 with hd2 gameplay</t>
  </si>
  <si>
    <t>alt flow</t>
  </si>
  <si>
    <t>Hishiro Chizuru</t>
  </si>
  <si>
    <t>https://osu.ppy.sh/beatmapsets/1186066#osu/2472143</t>
  </si>
  <si>
    <t>Self Deception - Weight Of The World [Insane]</t>
  </si>
  <si>
    <t>FM1 sliders aim</t>
  </si>
  <si>
    <t>double time modification one</t>
  </si>
  <si>
    <t>Reol - Asymmetry [pk's Hard]</t>
  </si>
  <si>
    <t>Gaia</t>
  </si>
  <si>
    <t>https://osu.ppy.sh/beatmapsets/1496234#osu/3221246</t>
  </si>
  <si>
    <t>tokiwa - wasurena feat. Sennzai [remembrance]</t>
  </si>
  <si>
    <t>NM4 banger song</t>
  </si>
  <si>
    <t>-45 - System Sun [Hard]</t>
  </si>
  <si>
    <t>https://osu.ppy.sh/beatmapsets/1855321#osu/3822120</t>
  </si>
  <si>
    <t>WAGAMAMA RAKIA - GR4VITY G4ME [LOG OFF B4NTER'S INS4NE]</t>
  </si>
  <si>
    <t>HR1 a bit speed with aim</t>
  </si>
  <si>
    <t>slider stuff</t>
  </si>
  <si>
    <t>Nekomata Master+ - chaos eater -IIDX edition- [HARD]</t>
  </si>
  <si>
    <t>pocket-</t>
  </si>
  <si>
    <t>https://osu.ppy.sh/beatmapsets/12469#osu/48215</t>
  </si>
  <si>
    <t>onoken - Quinine -A2D SIDE- [Lunatic]</t>
  </si>
  <si>
    <t>HR2</t>
  </si>
  <si>
    <t>free modification one</t>
  </si>
  <si>
    <t>Two Door Cinema Club - Cigarettes in the Theatre [Insane]</t>
  </si>
  <si>
    <t>entsetzen</t>
  </si>
  <si>
    <t>https://osu.ppy.sh/beatmapsets/1695872#osu/3616425</t>
  </si>
  <si>
    <t>BABYMETAL - Arkadia [Collab Expert]</t>
  </si>
  <si>
    <t>NM5 the map have 38 sec for skip in the beginning</t>
  </si>
  <si>
    <t>anti mod</t>
  </si>
  <si>
    <t>Hiiragi Magnetite - Marshall Maximizer feat. KAFU [Hyper]</t>
  </si>
  <si>
    <t>Ixcors</t>
  </si>
  <si>
    <t>https://osu.ppy.sh/beatmapsets/1215814#osu/2532230</t>
  </si>
  <si>
    <t>BLANKFIELD - THE WORLD REVOLVING [Insane]</t>
  </si>
  <si>
    <t>more short nm5</t>
  </si>
  <si>
    <t>hype tb</t>
  </si>
  <si>
    <t>Mira-san</t>
  </si>
  <si>
    <t>https://osu.ppy.sh/beatmapsets/1413965#osu/2986144</t>
  </si>
  <si>
    <t>Jibaku Shounen Band - No.7 [Stack's Insane]</t>
  </si>
  <si>
    <t>NM1 or HD1 second option</t>
  </si>
  <si>
    <t>https://osu.ppy.sh/beatmapsets/932901#osu/1975970</t>
  </si>
  <si>
    <t>Mili - Ga1ahad and Scientific Witchery [KKip's Insane]</t>
  </si>
  <si>
    <t>HD3 tapping</t>
  </si>
  <si>
    <t>https://osu.ppy.sh/beatmapsets/1847288#osu/3912466</t>
  </si>
  <si>
    <t>Mori Calliope - MERA MERA [frozz's Insane]</t>
  </si>
  <si>
    <t>vtuber nm3</t>
  </si>
  <si>
    <t>https://osu.ppy.sh/beatmapsets/756815#osu/1600995</t>
  </si>
  <si>
    <t>PUP - DVP [Lasse's Insane]</t>
  </si>
  <si>
    <t>https://osu.ppy.sh/beatmaps/2800663</t>
  </si>
  <si>
    <t>Maison book girl - snow irony_ [deppy's insane_]</t>
  </si>
  <si>
    <t>NM6 NO</t>
  </si>
  <si>
    <t>https://osu.ppy.sh/beatmapsets/31480#osu/103476</t>
  </si>
  <si>
    <t>Yuma Mizonokuchi - akasha-simulater [Insane]</t>
  </si>
  <si>
    <t>HD2</t>
  </si>
  <si>
    <t>https://osu.ppy.sh/beatmapsets/1880072#osu/3870932</t>
  </si>
  <si>
    <t>Kikuo - Yousei no Kiri [Insane]</t>
  </si>
  <si>
    <t>nm6</t>
  </si>
  <si>
    <t>https://osu.ppy.sh/beatmapsets/1888886#osu/3913591</t>
  </si>
  <si>
    <t>https://osu.ppy.sh/beatmapsets/292077#osu/674080</t>
  </si>
  <si>
    <t>https://osu.ppy.sh/beatmapsets/1668789#osu/3407970</t>
  </si>
  <si>
    <t>City Girl - L2M (feat. Kelsey Kuan) [Niva's Insane]</t>
  </si>
  <si>
    <t>https://osu.ppy.sh/beatmapsets/1415788#osu/2917786</t>
  </si>
  <si>
    <t>Cro - Wie ich bin [Trust]</t>
  </si>
  <si>
    <t>https://osu.ppy.sh/beatmapsets/1181343#osu/2671048</t>
  </si>
  <si>
    <t>https://osu.ppy.sh/beatmapsets/20817#osu/74778</t>
  </si>
  <si>
    <t>Megpoid GUMI - Mozaik Role [epa-]</t>
  </si>
  <si>
    <t>https://osu.ppy.sh/beatmapsets/1682134#osu/3530469</t>
  </si>
  <si>
    <t>SHK - Halloween Party [Heilia's Insane]</t>
  </si>
  <si>
    <t>https://osu.ppy.sh/beatmapsets/699749#osu/1491793</t>
  </si>
  <si>
    <t>https://osu.ppy.sh/beatmapsets/1574603#osu/3291796</t>
  </si>
  <si>
    <t>VeetaCrush - Mole [Kyutei's Insane]</t>
  </si>
  <si>
    <t>https://osu.ppy.sh/beatmapsets/1616029#osu/3299370</t>
  </si>
  <si>
    <t>https://osu.ppy.sh/beatmapsets/1248923#osu/3822599</t>
  </si>
  <si>
    <t>https://osu.ppy.sh/beatmapsets/352570#osu/785982</t>
  </si>
  <si>
    <t>beatMARIO - Night of Knights [N a s y a's Insane]</t>
  </si>
  <si>
    <t>https://osu.ppy.sh/beatmapsets/156235#osu/382887</t>
  </si>
  <si>
    <t>Yooh - snow storm -euphoria- [EXHAUST]</t>
  </si>
  <si>
    <t>https://osu.ppy.sh/beatmapsets/2023886#osu/4215637</t>
  </si>
  <si>
    <t>https://osu.ppy.sh/beatmapsets/1089084#osu/2277128</t>
  </si>
  <si>
    <t>Kola Kid - timer [Insane]</t>
  </si>
  <si>
    <t>https://osu.ppy.sh/beatmapsets/1851405#osu/3804111</t>
  </si>
  <si>
    <t>https://osu.ppy.sh/beatmapsets/992847#osu/2076261</t>
  </si>
  <si>
    <t>RIOT - Overkill [Noble]</t>
  </si>
  <si>
    <t>https://osu.ppy.sh/beatmapsets/519054#osu/1838159</t>
  </si>
  <si>
    <t>https://osu.ppy.sh/beatmapsets/1178471#osu/2568756</t>
  </si>
  <si>
    <t>https://osu.ppy.sh/beatmapsets/1441316#osu/3341368</t>
  </si>
  <si>
    <t>https://osu.ppy.sh/beatmapsets/1598238#osu/3274886</t>
  </si>
  <si>
    <t>https://osu.ppy.sh/beatmapsets/20817#osu/74779</t>
  </si>
  <si>
    <t>Megpoid GUMI - Mozaik Role [PoLKs]</t>
  </si>
  <si>
    <t>https://osu.ppy.sh/beatmapsets/8923#osu/37750</t>
  </si>
  <si>
    <t>https://osu.ppy.sh/beatmapsets/31224#osu/105978</t>
  </si>
  <si>
    <t>https://osu.ppy.sh/beatmapsets/1857926#osu/3821597</t>
  </si>
  <si>
    <t>https://osu.ppy.sh/beatmapsets/663255#osu/1405094</t>
  </si>
  <si>
    <t>nanahira</t>
  </si>
  <si>
    <t>https://osu.ppy.sh/beatmapsets/1763440#osu/3841174</t>
  </si>
  <si>
    <t>Pmarusama. - S'il vous President [Teages's Insane]</t>
  </si>
  <si>
    <t>long streams</t>
  </si>
  <si>
    <t>GIVEON - Favourite Mistake [Halogenix Edit] [Insane]</t>
  </si>
  <si>
    <t>https://osu.ppy.sh/beatmapsets/315299#osu/703042</t>
  </si>
  <si>
    <t>Rita - Dream Walker [Quilt's Insane]</t>
  </si>
  <si>
    <t>hr1 - consistency + streams</t>
  </si>
  <si>
    <t>aim alt</t>
  </si>
  <si>
    <t>ALI - Wild Side [Squilly's Insane]</t>
  </si>
  <si>
    <t>fieryrage</t>
  </si>
  <si>
    <t>long sliders</t>
  </si>
  <si>
    <t>https://osu.ppy.sh/beatmapsets/1659194#osu/3399446</t>
  </si>
  <si>
    <t>Yooh - Heracles [Another]</t>
  </si>
  <si>
    <t>Camellia - Killerbeast [Spiritual]</t>
  </si>
  <si>
    <t>Subokuu</t>
  </si>
  <si>
    <t>https://osu.ppy.sh/beatmapsets/1140943#osu/2383229</t>
  </si>
  <si>
    <t>aran - Sunny After Rain [feat. Kanata.N] [Rainbow]</t>
  </si>
  <si>
    <t>ar7 stop and go</t>
  </si>
  <si>
    <t>Deppyforce</t>
  </si>
  <si>
    <t>https://osu.ppy.sh/beatmapsets/927758#osu/1972425</t>
  </si>
  <si>
    <t>Aso Natsuko - Perfect-area complete! [Asuka_-'s Insane]</t>
  </si>
  <si>
    <t>anti aim</t>
  </si>
  <si>
    <t>gary00737</t>
  </si>
  <si>
    <t>ar8</t>
  </si>
  <si>
    <t>Mirash</t>
  </si>
  <si>
    <t>https://osu.ppy.sh/beatmapsets/1785134#osu/3656173</t>
  </si>
  <si>
    <t>light tech</t>
  </si>
  <si>
    <t>YUC'e - POISON -KO3 Remix- [Insane]</t>
  </si>
  <si>
    <t>JrSzZ</t>
  </si>
  <si>
    <t>https://osu.ppy.sh/beatmapsets/1436167#osu/2992124</t>
  </si>
  <si>
    <t>BPM15Q - Go Shoot! [Melo's Insane]</t>
  </si>
  <si>
    <t>slider consistency</t>
  </si>
  <si>
    <t>Harumaki Gohan feat. Hatsune Miku - Hotaru wa Inakatta [Kuse's Insane]</t>
  </si>
  <si>
    <t>Irin</t>
  </si>
  <si>
    <t>https://osu.ppy.sh/beatmapsets/1871920#osu/3986899</t>
  </si>
  <si>
    <t>ZAQ - Dance In The Game [Light's Insane]</t>
  </si>
  <si>
    <t>1/3rd cs6.5</t>
  </si>
  <si>
    <t>Cacturne</t>
  </si>
  <si>
    <t>https://osu.ppy.sh/beatmapsets/1030737#osu/2200110</t>
  </si>
  <si>
    <t>Irreversible Mechanism - Cold Winds [Insane]</t>
  </si>
  <si>
    <t xml:space="preserve">alt </t>
  </si>
  <si>
    <t>Camellia - Routing [Another]</t>
  </si>
  <si>
    <t>Mir</t>
  </si>
  <si>
    <t>consistency</t>
  </si>
  <si>
    <t>96neko - Primitive emotion [Hard]</t>
  </si>
  <si>
    <t>https://osu.ppy.sh/beatmapsets/1283387#osu/2666261</t>
  </si>
  <si>
    <t>Akatsuki Records - KARMANATIONS [Insane]</t>
  </si>
  <si>
    <t>bursts</t>
  </si>
  <si>
    <t>umu. - Dareka no Shinzou ni Nareta Nara [Hard]</t>
  </si>
  <si>
    <t>xbopost</t>
  </si>
  <si>
    <t>finger control</t>
  </si>
  <si>
    <t>AAAA + Umeboshi Chazuke - Cait Sith [Setu's Hard]</t>
  </si>
  <si>
    <t>bob</t>
  </si>
  <si>
    <t>https://osu.ppy.sh/beatmapsets/295225#osu/667685</t>
  </si>
  <si>
    <t>Reol - Plus Danshi ver Reol [Lunatic]</t>
  </si>
  <si>
    <t>perfect stacks</t>
  </si>
  <si>
    <t>IOException</t>
  </si>
  <si>
    <t>https://osu.ppy.sh/beatmapsets/853045#osu/1782851</t>
  </si>
  <si>
    <t>Kajiura Yuki - Pugna cum maga [Insane]</t>
  </si>
  <si>
    <t>Brandy - Cross Time !! [DJPop Mix]</t>
  </si>
  <si>
    <t>buraimaster1234</t>
  </si>
  <si>
    <t>https://osu.ppy.sh/beatmapsets/755512#osu/1592512</t>
  </si>
  <si>
    <t>banger</t>
  </si>
  <si>
    <t>Camellia - EXiT this Earths Atomosphere [Astral]</t>
  </si>
  <si>
    <t>DWShin</t>
  </si>
  <si>
    <t>https://osu.ppy.sh/beatmapsets/1848926#osu/3819183</t>
  </si>
  <si>
    <t>https://osu.ppy.sh/beatmapsets/1272023#osu/2643263</t>
  </si>
  <si>
    <t>Shawn Wasabi - LEMONS feat. kennedi [lemonade]</t>
  </si>
  <si>
    <t>https://osu.ppy.sh/beatmapsets/663220#osu/1403845</t>
  </si>
  <si>
    <t>HyperJuice - City Lights feat. EVO+, Jinmenusagi (Zekk Remix) [C00L &amp; Yamicchi's Another]</t>
  </si>
  <si>
    <t>https://osu.ppy.sh/beatmapsets/1391326#osu/2872861</t>
  </si>
  <si>
    <t>Rude-a - Paradise [Lobelia's Insane]</t>
  </si>
  <si>
    <t>https://osu.ppy.sh/beatmapsets/1109683#osu/2715749</t>
  </si>
  <si>
    <t>https://osu.ppy.sh/beatmapsets/967021#osu/2044890</t>
  </si>
  <si>
    <t>https://osu.ppy.sh/beatmapsets/1676960#osu/3454421</t>
  </si>
  <si>
    <t>https://osu.ppy.sh/beatmapsets/47124#osu/152180</t>
  </si>
  <si>
    <t>ALiCE'S EMOTiON - LUNA [Lunatic]</t>
  </si>
  <si>
    <t>https://osu.ppy.sh/beatmapsets/1173192#osu/2446833</t>
  </si>
  <si>
    <t>Ricky Montgomery - This December [Stalker]</t>
  </si>
  <si>
    <t>https://osu.ppy.sh/beatmapsets/1399793#osu/2942900</t>
  </si>
  <si>
    <t>Hoshimachi Suisei with Hololive Fantasy - Saga Jihen [Mocaotic's Hard]</t>
  </si>
  <si>
    <t>https://osu.ppy.sh/beatmapsets/1760668#osu/4133990</t>
  </si>
  <si>
    <t>lapix - Day by Day feat. Nicole Curry [Hard]</t>
  </si>
  <si>
    <t>https://osu.ppy.sh/beatmapsets/1313297#osu/2758832</t>
  </si>
  <si>
    <t>the peggies - Neverland [Hard]</t>
  </si>
  <si>
    <t>https://osu.ppy.sh/beatmapsets/828940#osu/1738876</t>
  </si>
  <si>
    <t>ZUN - A Sacred Lot [Oni]</t>
  </si>
  <si>
    <t>https://osu.ppy.sh/beatmapsets/5918#osu/28366</t>
  </si>
  <si>
    <t>https://osu.ppy.sh/beatmapsets/1641533#osu/3350322</t>
  </si>
  <si>
    <t>Down - Luscent [Lunatic]</t>
  </si>
  <si>
    <t>https://osu.ppy.sh/beatmapsets/1621130#osu/3309941</t>
  </si>
  <si>
    <t>Dio feat. Sef - Aye [Lesjuh's Aye!!]</t>
  </si>
  <si>
    <t>if hd1 is repooled</t>
  </si>
  <si>
    <t>https://osu.ppy.sh/beatmapsets/1098181#osu/2388648</t>
  </si>
  <si>
    <t>https://osu.ppy.sh/beatmapsets/299454#osu/722224</t>
  </si>
  <si>
    <t>Sawai Miku - Colorful. (Asterisk DnB Remix) [Megumi]</t>
  </si>
  <si>
    <t>https://osu.ppy.sh/beatmapsets/1349093#osu/3187491</t>
  </si>
  <si>
    <t>https://osu.ppy.sh/beatmapsets/25392#osu/86079</t>
  </si>
  <si>
    <t>Pastry - Goblin Girl [Lunatic]</t>
  </si>
  <si>
    <t>https://osu.ppy.sh/beatmapsets/819349#osu/1717844</t>
  </si>
  <si>
    <t>t+pazolite - Party in the HOLLOWood feat. Nanahira [INSane]</t>
  </si>
  <si>
    <t>https://osu.ppy.sh/beatmapsets/589697#osu/1248147</t>
  </si>
  <si>
    <t>https://osu.ppy.sh/beatmapsets/286414#osu/646609</t>
  </si>
  <si>
    <t>tech with some consistency</t>
  </si>
  <si>
    <t>https://osu.ppy.sh/beatmapsets/1328138#osu/2751338</t>
  </si>
  <si>
    <t>Kudou Chitose - CHO-DARI- [EX]</t>
  </si>
  <si>
    <t>Flow aim streams</t>
  </si>
  <si>
    <t>vierre cloud - moment [astronic's another]</t>
  </si>
  <si>
    <t>Mimari</t>
  </si>
  <si>
    <t>https://osu.ppy.sh/beatmapsets/1557107#osu/3182641</t>
  </si>
  <si>
    <t>bbno$ &amp; Rich Brian - edamame [flakesjan's extra]</t>
  </si>
  <si>
    <t>Aim control alt</t>
  </si>
  <si>
    <t>Ryokuoushoku Shakai - Zutto Zutto Zutto [Kloyd's Expert]</t>
  </si>
  <si>
    <t>mnyui</t>
  </si>
  <si>
    <t>Long slider tech</t>
  </si>
  <si>
    <t>USAO - Gruequix [Expert]</t>
  </si>
  <si>
    <t>Cubby</t>
  </si>
  <si>
    <t>https://osu.ppy.sh/beatmapsets/908811#osu/1896582</t>
  </si>
  <si>
    <t>M2U - Mare Maris [Another]</t>
  </si>
  <si>
    <t>Hd3 tech</t>
  </si>
  <si>
    <t>Speed</t>
  </si>
  <si>
    <t>Prim - Koisuru*Uchuu Sensou!! [Another 220BPM]</t>
  </si>
  <si>
    <t>LemonTT</t>
  </si>
  <si>
    <t>https://osu.ppy.sh/beatmapsets/1519388#osu/3256307</t>
  </si>
  <si>
    <t>Kikuo - Hole Dwelling [Bottomless]</t>
  </si>
  <si>
    <t>aim rhythm</t>
  </si>
  <si>
    <t>Low ar aim</t>
  </si>
  <si>
    <t>Vararaup</t>
  </si>
  <si>
    <t>https://osu.ppy.sh/beatmapsets/1683876#osu/3444608</t>
  </si>
  <si>
    <t>Down - Ekoro [Another]</t>
  </si>
  <si>
    <t>Awkward linear</t>
  </si>
  <si>
    <t>DJ S3RL - T-T-Techno (feat. Jesskah) [fanzhen's X-Tra]</t>
  </si>
  <si>
    <t>nold_1702</t>
  </si>
  <si>
    <t>https://osu.ppy.sh/beatmapsets/49459#osu/192181</t>
  </si>
  <si>
    <t>Memme - Extreme Fantasy [Insane]</t>
  </si>
  <si>
    <t>fm2</t>
  </si>
  <si>
    <t>Reading aim</t>
  </si>
  <si>
    <t>capsule - A.I. automatic infection [Insane]</t>
  </si>
  <si>
    <t>_xyliac</t>
  </si>
  <si>
    <t>https://osu.ppy.sh/beatmapsets/702272#osu/1485947</t>
  </si>
  <si>
    <t>Pendulum - Hold Your Colour [Iridescence]</t>
  </si>
  <si>
    <t>Tapping tech</t>
  </si>
  <si>
    <t>SMOKELIND</t>
  </si>
  <si>
    <t>https://osu.ppy.sh/beatmapsets/1069288#osu/2239337</t>
  </si>
  <si>
    <t>BUTAOTOME - Towa no Maigo [Insane]</t>
  </si>
  <si>
    <t>BAND-MAID - I can't live without you. [Insane]</t>
  </si>
  <si>
    <t>https://osu.ppy.sh/beatmapsets/1052199#osu/2198934</t>
  </si>
  <si>
    <t>Camellia - Racemization [extreme]</t>
  </si>
  <si>
    <t xml:space="preserve">Precision aim </t>
  </si>
  <si>
    <t>Sta &amp; Feryquitous - 2 Minutes Euphoria [Pata-Mon's Insane]</t>
  </si>
  <si>
    <t>https://osu.ppy.sh/beatmapsets/533428#osu/1387177</t>
  </si>
  <si>
    <t>android52 - super anime groove 3d world [Insane]</t>
  </si>
  <si>
    <t>Tech tapping</t>
  </si>
  <si>
    <t>Eagle - S!ck [Down's Insane]</t>
  </si>
  <si>
    <t>Heilia</t>
  </si>
  <si>
    <t>https://osu.ppy.sh/beatmapsets/1339826#osu/2775823</t>
  </si>
  <si>
    <t>rissyuu feat. Choko - Paa ~Papapapaa ver~ [ExPaat]</t>
  </si>
  <si>
    <t>ar 8.3 so scary</t>
  </si>
  <si>
    <t>Komine Lisa - Resuscitated Hope [Insane]</t>
  </si>
  <si>
    <t>Okorin</t>
  </si>
  <si>
    <t>https://osu.ppy.sh/beatmapsets/1377112#osu/3206318</t>
  </si>
  <si>
    <t>aran - L.F.O [Orange's Extra]</t>
  </si>
  <si>
    <t>HG3</t>
  </si>
  <si>
    <t>Bursts</t>
  </si>
  <si>
    <t>Memme - NEW Astronomas [Priti's Hyper]</t>
  </si>
  <si>
    <t>Charles445</t>
  </si>
  <si>
    <t>https://osu.ppy.sh/beatmapsets/701625#osu/1484886</t>
  </si>
  <si>
    <t>Camellia - flying in the flow of deep-sea [trench]</t>
  </si>
  <si>
    <t>Camellia - Compute It With Some Devilish Alcoholic Steampunk Engines [F4UZ4N's Hard]</t>
  </si>
  <si>
    <t>OneShotFox</t>
  </si>
  <si>
    <t>https://osu.ppy.sh/beatmapsets/1838113#osu/3774971</t>
  </si>
  <si>
    <t>ar 7.7 so scary</t>
  </si>
  <si>
    <t>KOTOKO - Princess Bride! (Cut Ver.) [Hard]</t>
  </si>
  <si>
    <t>E4pi4mak</t>
  </si>
  <si>
    <t>https://osu.ppy.sh/beatmapsets/1371662#osu/2835868</t>
  </si>
  <si>
    <t>Mics!! - PAINT IT!! [Insane]</t>
  </si>
  <si>
    <t>Balanced consistency</t>
  </si>
  <si>
    <t>Kenshi Yonezu - KICK BACK [STOMPMARK'S INSANE]</t>
  </si>
  <si>
    <t>Mizujin</t>
  </si>
  <si>
    <t>https://osu.ppy.sh/beatmapsets/1965625#osu/4075902</t>
  </si>
  <si>
    <t>Azari - Black Out [----]</t>
  </si>
  <si>
    <t>Stream Fingercontrol</t>
  </si>
  <si>
    <t>AngelHoney</t>
  </si>
  <si>
    <t>Tech</t>
  </si>
  <si>
    <t>Mysteka - Hesperos [Mayu's Insane]</t>
  </si>
  <si>
    <t>Acylica</t>
  </si>
  <si>
    <t>https://osu.ppy.sh/beatmapsets/98038#osu/261729</t>
  </si>
  <si>
    <t>ave;new feat. Sakura Saori - Piste SMILE Non-stop!! [Insane]</t>
  </si>
  <si>
    <t>Tapping consistency</t>
  </si>
  <si>
    <t>ProfessionalBox</t>
  </si>
  <si>
    <t>https://osu.ppy.sh/beatmapsets/611507#osu/1290855</t>
  </si>
  <si>
    <t>Balduin &amp; Wolfgang Lohr (feat. Alanna) - Dizzy (Radio Edit) [Repertoire]</t>
  </si>
  <si>
    <t>potential nm3</t>
  </si>
  <si>
    <t>https://osu.ppy.sh/beatmapsets/1170697#osu/2442178</t>
  </si>
  <si>
    <t>KNOWER - Overtime [Ecstasy]</t>
  </si>
  <si>
    <t>https://osu.ppy.sh/beatmapsets/891366#osu/1863289</t>
  </si>
  <si>
    <t>HyuN - Illusion of Inflict [Expert]</t>
  </si>
  <si>
    <t>https://osu.ppy.sh/beatmapsets/291495#osu/757386</t>
  </si>
  <si>
    <t>orangentle - HAELEQUIN [toybot's Insane]</t>
  </si>
  <si>
    <t>https://osu.ppy.sh/beatmapsets/1366507#osu/3010348</t>
  </si>
  <si>
    <t>https://osu.ppy.sh/beatmapsets/1409478#osu/2906707</t>
  </si>
  <si>
    <t>Camellia feat. Nanahira - POLKAMANIA [ANOTHER]</t>
  </si>
  <si>
    <t>https://osu.ppy.sh/beatmapsets/1305940#osu/2842836</t>
  </si>
  <si>
    <t>C-Show - Make Some Noise for Mr.C [Crissa's Another]</t>
  </si>
  <si>
    <t>https://osu.ppy.sh/beatmapsets/1580891#osu/3851000</t>
  </si>
  <si>
    <t>PSYQUI - Hysteric Night Girl -Awakening- (feat. Such) [Insane]</t>
  </si>
  <si>
    <t>https://osu.ppy.sh/beatmapsets/984013#osu/2058908</t>
  </si>
  <si>
    <t>Dictate - Militant [Oscar Sierra Uniform]</t>
  </si>
  <si>
    <t>slider aim hr3</t>
  </si>
  <si>
    <t>https://osu.ppy.sh/beatmapsets/366884#osu/804959</t>
  </si>
  <si>
    <t>yuikonnu - caramel heaven [Fortune's Hyper]</t>
  </si>
  <si>
    <t>https://osu.ppy.sh/beatmapsets/1286316#osu/2856139</t>
  </si>
  <si>
    <t>finger control tech hr3</t>
  </si>
  <si>
    <t>https://osu.ppy.sh/beatmapsets/1610294#osu/3499229</t>
  </si>
  <si>
    <t>https://osu.ppy.sh/beatmapsets/1954230#osu/4197268</t>
  </si>
  <si>
    <t>https://osu.ppy.sh/beatmapsets/1360537#osu/2849167</t>
  </si>
  <si>
    <t>hololive IDOL PROJECT - Suspect [Hinsvar's Hard]</t>
  </si>
  <si>
    <t>https://osu.ppy.sh/beatmapsets/1997114#osu/4150885</t>
  </si>
  <si>
    <t>https://osu.ppy.sh/beatmapsets/1522116#osu/3798371</t>
  </si>
  <si>
    <t>Metrik - We Got It (feat. Rothwell) [619's Hard]</t>
  </si>
  <si>
    <t>https://osu.ppy.sh/beatmapsets/769346#osu/2839573</t>
  </si>
  <si>
    <t>Whispered - Exile of the Floating World [-Kemsyt's Insane]</t>
  </si>
  <si>
    <t>"speed"</t>
  </si>
  <si>
    <t>https://osu.ppy.sh/beatmapsets/1809661#osu/3711739</t>
  </si>
  <si>
    <t>deathcount - A Beautiful Degeneracy (Remix by Stazma The Junglechrist) [Expert]</t>
  </si>
  <si>
    <t>speed.</t>
  </si>
  <si>
    <t>https://osu.ppy.sh/beatmapsets/1066757#osu/2835894</t>
  </si>
  <si>
    <t>ZUTOMAYO - Haze Haseru Haterumade [AyluscenathanMyMommy's Collab Extra]</t>
  </si>
  <si>
    <t>nm3?</t>
  </si>
  <si>
    <t>https://osu.ppy.sh/beatmapsets/1665981#osu/3404589</t>
  </si>
  <si>
    <t>Mata &amp; ZDECHLY OSA - PATOKISS [Ekspercki Bluenationa]</t>
  </si>
  <si>
    <t>https://osu.ppy.sh/beatmapsets/87188#osu/345642</t>
  </si>
  <si>
    <t>dt2</t>
  </si>
  <si>
    <t>https://osu.ppy.sh/beatmapsets/1301388#osu/2970566</t>
  </si>
  <si>
    <t>Feryquitous - Hemizorv [Flask's Hard]</t>
  </si>
  <si>
    <t>dt3</t>
  </si>
  <si>
    <t>https://osu.ppy.sh/b/1035068</t>
  </si>
  <si>
    <t>Hana - Gekka Jasmine (2014ver.) [Gyro's Light Insane]</t>
  </si>
  <si>
    <t>https://osu.ppy.sh/beatmapsets/376552#osu/824390</t>
  </si>
  <si>
    <t>Hana - Sakura no Uta [Light Insane]</t>
  </si>
  <si>
    <t>https://osu.ppy.sh/beatmapsets/761026#osu/2111279</t>
  </si>
  <si>
    <t>AngelMaker - A Dark Omen [Tukan's Light Extra]</t>
  </si>
  <si>
    <t>https://osu.ppy.sh/beatmapsets/1158494#osu/2417645</t>
  </si>
  <si>
    <t>TUYU - Rock na Kimi to wa Owakare da [Farewell Extra]</t>
  </si>
  <si>
    <t>https://osu.ppy.sh/beatmapsets/347023#osu/765880</t>
  </si>
  <si>
    <t>https://osu.ppy.sh/beatmapsets/1650533#osu/3396297</t>
  </si>
  <si>
    <t>A.SAKA - Nanatsu Hiiragisuikou [Pata-Mon's Hyper]</t>
  </si>
  <si>
    <t>https://osu.ppy.sh/beatmapsets/1280207#osu/2691754</t>
  </si>
  <si>
    <t>https://osu.ppy.sh/beatmapsets/1850818#osu/3802110</t>
  </si>
  <si>
    <t>https://osu.ppy.sh/beatmapsets/1268030#osu/2671858</t>
  </si>
  <si>
    <t>https://osu.ppy.sh/beatmapsets/1093430#osu/2288966</t>
  </si>
  <si>
    <t>https://osu.ppy.sh/beatmapsets/1248914#osu/3752605</t>
  </si>
  <si>
    <t>inabakumori - Tsukuri Kake no Shinshou [LeCandy's Extra]</t>
  </si>
  <si>
    <t>https://osu.ppy.sh/beatmapsets/1670825#osu/3953905</t>
  </si>
  <si>
    <t>bulow - Revolver (Sped Up Ver.) [NoFail's Extra]</t>
  </si>
  <si>
    <t>https://osu.ppy.sh/beatmapsets/120987#osu/309899</t>
  </si>
  <si>
    <t>Prim - Koisuru*Uchuu Sensou!! [Another 220BPM AR10]</t>
  </si>
  <si>
    <t>https://osu.ppy.sh/beatmapsets/120987#osu/309900</t>
  </si>
  <si>
    <t>https://osu.ppy.sh/beatmapsets/1670118#osu/3563737</t>
  </si>
  <si>
    <t>https://osu.ppy.sh/beatmapsets/83560#osu/571620</t>
  </si>
  <si>
    <t>Fahrstuhl Musik - Elevator Music [LowComboFC's Going Downwards]</t>
  </si>
  <si>
    <t>https://osu.ppy.sh/beatmapsets/1793226#osu/3795759</t>
  </si>
  <si>
    <t>pekonya</t>
  </si>
  <si>
    <t>mezClA (Evatan &amp; Mecotan) - Azul Remix [Callie's Another]</t>
  </si>
  <si>
    <t>HD wildcard</t>
  </si>
  <si>
    <t>omg is that -+ AGAIN</t>
  </si>
  <si>
    <t>daisan - -+ [Light Another]</t>
  </si>
  <si>
    <t>[Crz]Makii</t>
  </si>
  <si>
    <t>https://osu.ppy.sh/beatmapsets/891581#osu/1863870</t>
  </si>
  <si>
    <t>M2U - Velocity [Yugu's Jerk (Extra)]</t>
  </si>
  <si>
    <t>HD3</t>
  </si>
  <si>
    <t>Hatsuki Yura - Witchcraft [mogumogu]</t>
  </si>
  <si>
    <t>Umbra</t>
  </si>
  <si>
    <t>https://osu.ppy.sh/beatmapsets/688128#osu/1456307</t>
  </si>
  <si>
    <t>Memme - Blessing Snow [Left's Another]</t>
  </si>
  <si>
    <t>slider</t>
  </si>
  <si>
    <t>Zekk - Feelsleft0ut [Acyl x toybot's Another]</t>
  </si>
  <si>
    <t>J1_</t>
  </si>
  <si>
    <t>https://osu.ppy.sh/beatmapsets/1985409#osu/4134134</t>
  </si>
  <si>
    <t>Kairiki bear feat. Hatsune Miku - Starry Start [Starstruck (CS4 Edit)]</t>
  </si>
  <si>
    <t>https://osu.ppy.sh/beatmapsets/8284#osu/34211</t>
  </si>
  <si>
    <t>Hatsune Miku - Hatsune Miku no Shoushitsu [Uninstall]</t>
  </si>
  <si>
    <t>:&gt;</t>
  </si>
  <si>
    <t>Kotoha - Cat Loving [bongo's Insane]</t>
  </si>
  <si>
    <t>Kotoha</t>
  </si>
  <si>
    <t>https://osu.ppy.sh/beatmapsets/734135#osu/1567978</t>
  </si>
  <si>
    <t>Chito (CV: Minase Inori), Yuuri (CV: Kubo Yurika) - More One Night (Assertive Hardcore Bootleg) [Mathew's Hard]</t>
  </si>
  <si>
    <t>Chikuwa - Jinsei Matatabi [Expert]</t>
  </si>
  <si>
    <t>Kuse</t>
  </si>
  <si>
    <t>https://osu.ppy.sh/beatmapsets/490662#osu/1045757</t>
  </si>
  <si>
    <t>Shoji Meguro - Kimi no Kioku (Aethral Remix) [Remembrance]</t>
  </si>
  <si>
    <t>might be too hard</t>
  </si>
  <si>
    <t>https://osu.ppy.sh/beatmapsets/1670825#osu/3412490</t>
  </si>
  <si>
    <t>bulow - Revolver (Sped Up Ver.) [Extra]</t>
  </si>
  <si>
    <t>Camellia - Wolves Standing Towards Enemies [Insane]</t>
  </si>
  <si>
    <t>Regou</t>
  </si>
  <si>
    <t>https://osu.ppy.sh/beatmapsets/962568#osu/2015481</t>
  </si>
  <si>
    <t>BUTAOTOME - Futari Dake no Kotoba [kiry's Insane]</t>
  </si>
  <si>
    <t>Dreamcatcher - Chase Me [Extra]</t>
  </si>
  <si>
    <t>Natsu</t>
  </si>
  <si>
    <t>https://osu.ppy.sh/beatmapsets/586144#osu/1258993</t>
  </si>
  <si>
    <t>RAW AIM</t>
  </si>
  <si>
    <t>factal - Wake Up While Sleeping [Insane]</t>
  </si>
  <si>
    <t>Nokris</t>
  </si>
  <si>
    <t>USAO - Chariot (Extended Mix) [lebronJAM]</t>
  </si>
  <si>
    <t>fm3</t>
  </si>
  <si>
    <t>Inui Toko - Kimagure Romantic [Light Insane]</t>
  </si>
  <si>
    <t>newton-</t>
  </si>
  <si>
    <t>PinkHeart</t>
  </si>
  <si>
    <t>https://osu.ppy.sh/beatmapsets/1633242#osu/3333734</t>
  </si>
  <si>
    <t>USAO - FREEDOM (Extended Mix) [Hard]</t>
  </si>
  <si>
    <t>C00L</t>
  </si>
  <si>
    <t>Crazy Loop - Love Is A Simple Thing [EEeee's Love Ain't So Simple]</t>
  </si>
  <si>
    <t>eee</t>
  </si>
  <si>
    <t>https://osu.ppy.sh/beatmapsets/1152554#osu/2405667</t>
  </si>
  <si>
    <t>raito - Blood Drain -Again- [Expert]</t>
  </si>
  <si>
    <t xml:space="preserve">troll pool </t>
  </si>
  <si>
    <t>Natori Sana - Mondainai Tripper! [Insane]</t>
  </si>
  <si>
    <t>milr_</t>
  </si>
  <si>
    <t>IOSYS - Midnight Lightning Bolt [Lunatic]</t>
  </si>
  <si>
    <t>pieguy1372</t>
  </si>
  <si>
    <t>https://osu.ppy.sh/beatmapsets/1020335#osu/2134906</t>
  </si>
  <si>
    <t>highcolor_sunz - RE-OVERDOSE [Expert]</t>
  </si>
  <si>
    <t>lapix - Flamenco House [JeZalt's Another]</t>
  </si>
  <si>
    <t>Luminiscental</t>
  </si>
  <si>
    <t>https://osu.ppy.sh/beatmapsets/1629444#osu/3326410</t>
  </si>
  <si>
    <t>Absofacto - Dissolve [Dissolve]</t>
  </si>
  <si>
    <t>Camellia - d:for the DELTA [Delirium]</t>
  </si>
  <si>
    <t>https://osu.ppy.sh/beatmapsets/1123944#osu/2348578</t>
  </si>
  <si>
    <t>https://osu.ppy.sh/beatmapsets/411990#osu/929118</t>
  </si>
  <si>
    <t>The Ghost of 3.13 - Daydream [Extreme]</t>
  </si>
  <si>
    <t>https://osu.ppy.sh/beatmapsets/1299595#osu/2718270</t>
  </si>
  <si>
    <t>Reol - Q? [Mir's Extra]</t>
  </si>
  <si>
    <t>https://osu.ppy.sh/beatmapsets/311328#osu/1744385</t>
  </si>
  <si>
    <t>Foreground Eclipse - Storytellers [Akitoshi's Extra]</t>
  </si>
  <si>
    <t>https://osu.ppy.sh/beatmapsets/1318545#osu/3186407</t>
  </si>
  <si>
    <t>lapix - Day by day (PSYQUI Remix) [MarcoBrolo's Insane]</t>
  </si>
  <si>
    <t>this map??? as hd3???</t>
  </si>
  <si>
    <t>https://osu.ppy.sh/beatmapsets/85802#osu/243487</t>
  </si>
  <si>
    <t>RYO - Shuffle Heaven [Another]</t>
  </si>
  <si>
    <t>https://osu.ppy.sh/beatmapsets/1764690#osu/3614024</t>
  </si>
  <si>
    <t>tv room - Know It All [insane_TVTVTTTVVT]</t>
  </si>
  <si>
    <t>https://osu.ppy.sh/beatmapsets/1536850#osu/3257641</t>
  </si>
  <si>
    <t>leroy - the dariacore to YTP pipeline [noin's insane]</t>
  </si>
  <si>
    <t>https://osu.ppy.sh/beatmapsets/1557716#osu/3182052</t>
  </si>
  <si>
    <t>Pegboard Nerds - Heartbit (feat. Tia Simone) [pulse.exe]</t>
  </si>
  <si>
    <t>https://osu.ppy.sh/beatmapsets/1493511#osu/3071429</t>
  </si>
  <si>
    <t>Police Piccadilly feat. KAFU - Furachi na Kassai [mrforse's Light Insane]</t>
  </si>
  <si>
    <t>https://osu.ppy.sh/beatmapsets/763406#osu/1653270</t>
  </si>
  <si>
    <t>Hondo Kaede, Oonishi Saori, Waki Azumi, Kino Hina, Matsuda Risae, Suzuki Eri - Save you Save me [Gaia's Insane]</t>
  </si>
  <si>
    <t>https://osu.ppy.sh/beatmapsets/33651#osu/117424</t>
  </si>
  <si>
    <t>Hatsune Miku - Rubik's Cube [6x6x6]</t>
  </si>
  <si>
    <t>https://osu.ppy.sh/beatmapsets/1312343#osu/2855311</t>
  </si>
  <si>
    <t>Kijibato - w/WWW feat. Hoshimiya Toto [Hard]</t>
  </si>
  <si>
    <t>https://osu.ppy.sh/beatmapsets/1885986#osu/3883278</t>
  </si>
  <si>
    <t>https://osu.ppy.sh/beatmapsets/749323#osu/1592403</t>
  </si>
  <si>
    <t>https://osu.ppy.sh/beatmapsets/5285#osu/26436</t>
  </si>
  <si>
    <t>IOSYS - Cirno's Perfect Math Class [DJPop's Streams]</t>
  </si>
  <si>
    <t>https://osu.ppy.sh/beatmapsets/1007796#osu/2111658</t>
  </si>
  <si>
    <t>Gentle Stick - Bach Imitation [Insane]</t>
  </si>
  <si>
    <t>https://osu.ppy.sh/beatmapsets/171676#osu/424554</t>
  </si>
  <si>
    <t>SHK - Identity Part 5 [Kami's Another]</t>
  </si>
  <si>
    <t>https://osu.ppy.sh/beatmapsets/1225001#osu/2559136</t>
  </si>
  <si>
    <t>ARForest - Infection [Eulogy]</t>
  </si>
  <si>
    <t>TECH HR2</t>
  </si>
  <si>
    <t>https://osu.ppy.sh/beatmapsets/1321446#osu/2792506</t>
  </si>
  <si>
    <t>Airots - Tougen Roman (Epsilon Remix) [Dailycare's Extra]</t>
  </si>
  <si>
    <t>light tech (?) nm1</t>
  </si>
  <si>
    <t>https://osu.ppy.sh/beatmapsets/1790018#osu/3686559</t>
  </si>
  <si>
    <t>Maison book girl - bath room [deppy's insane]</t>
  </si>
  <si>
    <t>this is a serious nm6</t>
  </si>
  <si>
    <t>https://osu.ppy.sh/beatmapsets/824205#osu/1938365</t>
  </si>
  <si>
    <t>positive MAD-crew - Mynarco [IOException's Extra]</t>
  </si>
  <si>
    <t>https://osu.ppy.sh/beatmapsets/787583#osu/1699306</t>
  </si>
  <si>
    <t>Kobaryo - Sulyvahn [feat. USAO] [Insane]</t>
  </si>
  <si>
    <t>https://osu.ppy.sh/beatmapsets/359191#osu/789815</t>
  </si>
  <si>
    <t>xi - ANiMA [LV.11]</t>
  </si>
  <si>
    <t>another nm2</t>
  </si>
  <si>
    <t>https://osu.ppy.sh/beatmapsets/732280#osu/1631406</t>
  </si>
  <si>
    <t>aran - VOLT (USAO Remix) [Plaudible's Extra]</t>
  </si>
  <si>
    <t>https://osu.ppy.sh/beatmapsets/1239626#osu/2961839</t>
  </si>
  <si>
    <t>cinnamons x evening cinema - summertime [nathan's insane]</t>
  </si>
  <si>
    <t>https://osu.ppy.sh/beatmapsets/821587#osu/1737928</t>
  </si>
  <si>
    <t>https://osu.ppy.sh/beatmapsets/1239841#osu/2577703</t>
  </si>
  <si>
    <t>False Noise - Space Angel [808 MIMOLETTE]</t>
  </si>
  <si>
    <t>https://osu.ppy.sh/beatmapsets/4907#osu/25341</t>
  </si>
  <si>
    <t>https://osu.ppy.sh/beatmapsets/1228132#osu/2565268</t>
  </si>
  <si>
    <t>https://osu.ppy.sh/beatmapsets/1842709#osu/3802071</t>
  </si>
  <si>
    <t>john - Utage [Dabbe's Hidden Insane]</t>
  </si>
  <si>
    <t>https://osu.ppy.sh/beatmapsets/1804775#osu/3700933</t>
  </si>
  <si>
    <t>PRXSXNT FXTURE - SMOKED OUT [X]</t>
  </si>
  <si>
    <t>https://osu.ppy.sh/b/3853742</t>
  </si>
  <si>
    <t>https://osu.ppy.sh/b/3039329</t>
  </si>
  <si>
    <t>0rb1t - I Lost [SOSC Summer 2021 GFs]</t>
  </si>
  <si>
    <t>https://osu.ppy.sh/beatmapsets/1634320#osu/3714369</t>
  </si>
  <si>
    <t>https://osu.ppy.sh/b/2690998</t>
  </si>
  <si>
    <t>FROZEN QUALIA - Aisubeki Hibi e [Tsumia's Extra]</t>
  </si>
  <si>
    <t>https://osu.ppy.sh/beatmapsets/1547170#osu/3461206</t>
  </si>
  <si>
    <t>https://osu.ppy.sh/beatmapsets/1090567#osu/2279885</t>
  </si>
  <si>
    <t>ORESAMA - Hotohashiru [Extra]</t>
  </si>
  <si>
    <t>https://osu.ppy.sh/beatmapsets/128931#osu/847315</t>
  </si>
  <si>
    <t>Feint - Tower Of Heaven (You Are Slaves) [Hyper]</t>
  </si>
  <si>
    <t>https://osu.ppy.sh/beatmapsets/28257#osu/99407</t>
  </si>
  <si>
    <t>Shihoko Hirata - Pursuing My True Self [KIRBY Mix]</t>
  </si>
  <si>
    <t>https://osu.ppy.sh/beatmapsets/16371#osu/58701</t>
  </si>
  <si>
    <t>https://osu.ppy.sh/beatmapsets/749304#osu/1707909</t>
  </si>
  <si>
    <t>https://osu.ppy.sh/beatmapsets/1817644#osu/3772514</t>
  </si>
  <si>
    <t>KARUT - Glitch Street [Zekk's Hard]</t>
  </si>
  <si>
    <t>https://osu.ppy.sh/beatmapsets/396370#osu/862338</t>
  </si>
  <si>
    <t>https://osu.ppy.sh/beatmapsets/1809604#osu/3711612</t>
  </si>
  <si>
    <t>https://osu.ppy.sh/beatmapsets/1130251#osu/2519731</t>
  </si>
  <si>
    <t>https://osu.ppy.sh/beatmapsets/408745#osu/1035068</t>
  </si>
  <si>
    <t>GRANDFINALS</t>
  </si>
  <si>
    <t xml:space="preserve"> Ave. SR &lt;&gt; AVE. LENGTH </t>
  </si>
  <si>
    <t>- mAPPOOL PACK -</t>
  </si>
  <si>
    <t>Banner</t>
  </si>
  <si>
    <t>Artist - Song [Difficulty]</t>
  </si>
  <si>
    <t>FINALS</t>
  </si>
  <si>
    <t>SEMIFINALS</t>
  </si>
  <si>
    <t>QUARTERFINALS</t>
  </si>
  <si>
    <t>Video Tutorial</t>
  </si>
  <si>
    <t>A menu called "Mappooling Manager" will appear at the
top of the screen after the sheet has finished loading</t>
  </si>
  <si>
    <r>
      <rPr>
        <rFont val="Nunito"/>
        <b/>
        <color rgb="FF284056"/>
      </rPr>
      <t>Set all of your required values in the "Settings" sheet</t>
    </r>
    <r>
      <rPr>
        <rFont val="Nunito"/>
        <color rgb="FF284056"/>
      </rPr>
      <t>.
Comments are left for every relevant field, please take a look at them!</t>
    </r>
  </si>
  <si>
    <r>
      <rPr>
        <rFont val="Nunito"/>
        <color rgb="FF284056"/>
      </rPr>
      <t xml:space="preserve">Run the </t>
    </r>
    <r>
      <rPr>
        <rFont val="Nunito"/>
        <b/>
        <color rgb="FF284056"/>
      </rPr>
      <t>"Authorize Scripts"</t>
    </r>
    <r>
      <rPr>
        <rFont val="Nunito"/>
        <color rgb="FF284056"/>
      </rPr>
      <t xml:space="preserve"> menu item</t>
    </r>
  </si>
  <si>
    <r>
      <rPr>
        <rFont val="Nunito"/>
        <color rgb="FF284056"/>
      </rPr>
      <t xml:space="preserve">Run the </t>
    </r>
    <r>
      <rPr>
        <rFont val="Nunito"/>
        <b/>
        <color rgb="FF284056"/>
      </rPr>
      <t>"API Key &gt; Add API Key"</t>
    </r>
    <r>
      <rPr>
        <rFont val="Nunito"/>
        <color rgb="FF284056"/>
      </rPr>
      <t xml:space="preserve"> menu item</t>
    </r>
  </si>
  <si>
    <r>
      <rPr>
        <rFont val="Nunito"/>
        <color rgb="FF284056"/>
      </rPr>
      <t xml:space="preserve">Run the </t>
    </r>
    <r>
      <rPr>
        <rFont val="Nunito"/>
        <b/>
        <color rgb="FF284056"/>
      </rPr>
      <t>"Mappools &gt; Generate mappool sheets"</t>
    </r>
    <r>
      <rPr>
        <rFont val="Nunito"/>
        <color rgb="FF284056"/>
      </rPr>
      <t xml:space="preserve"> menu item</t>
    </r>
  </si>
  <si>
    <r>
      <rPr>
        <rFont val="Nunito"/>
        <color rgb="FF284056"/>
      </rPr>
      <t xml:space="preserve">Enter </t>
    </r>
    <r>
      <rPr>
        <rFont val="Nunito"/>
        <b/>
        <color rgb="FF284056"/>
      </rPr>
      <t>map links in the "Suggestions" side</t>
    </r>
    <r>
      <rPr>
        <rFont val="Nunito"/>
        <color rgb="FF284056"/>
      </rPr>
      <t xml:space="preserve"> of a stage mappool sheet</t>
    </r>
  </si>
  <si>
    <r>
      <rPr>
        <rFont val="Nunito"/>
        <color rgb="FF284056"/>
      </rPr>
      <t xml:space="preserve">Enter </t>
    </r>
    <r>
      <rPr>
        <rFont val="Nunito"/>
        <b/>
        <color rgb="FF284056"/>
      </rPr>
      <t>map IDs in the "Pool Assembly" side</t>
    </r>
    <r>
      <rPr>
        <rFont val="Nunito"/>
        <color rgb="FF284056"/>
      </rPr>
      <t xml:space="preserve"> to set the maps for the finished mappool</t>
    </r>
  </si>
  <si>
    <r>
      <rPr>
        <rFont val="Nunito"/>
        <color rgb="FF284056"/>
      </rPr>
      <t xml:space="preserve">Add a </t>
    </r>
    <r>
      <rPr>
        <rFont val="Nunito"/>
        <b/>
        <color rgb="FF284056"/>
      </rPr>
      <t>mappool design</t>
    </r>
    <r>
      <rPr>
        <rFont val="Nunito"/>
        <color rgb="FF284056"/>
      </rPr>
      <t xml:space="preserve"> </t>
    </r>
    <r>
      <rPr>
        <rFont val="Nunito"/>
        <i/>
        <color rgb="FF284056"/>
      </rPr>
      <t>(refer to video tutorial)</t>
    </r>
  </si>
  <si>
    <t>Example Designs Sheet</t>
  </si>
  <si>
    <t>Publicize your sheet</t>
  </si>
  <si>
    <t>Releasing your mappool to the public</t>
  </si>
  <si>
    <t>Check the video tutorial on how to import and customize a mappool design</t>
  </si>
  <si>
    <t>Right click your final design sheet at the bottom &gt; Copy to, and copy to your public sheet</t>
  </si>
  <si>
    <r>
      <rPr>
        <rFont val="Nunito"/>
        <color rgb="FF284056"/>
      </rPr>
      <t xml:space="preserve">On the public sheet, press </t>
    </r>
    <r>
      <rPr>
        <rFont val="Nunito"/>
        <b/>
        <color rgb="FF284056"/>
      </rPr>
      <t>Ctrl+A</t>
    </r>
    <r>
      <rPr>
        <rFont val="Nunito"/>
        <color rgb="FF284056"/>
      </rPr>
      <t xml:space="preserve">, then the </t>
    </r>
    <r>
      <rPr>
        <rFont val="Nunito"/>
        <b/>
        <color rgb="FF284056"/>
      </rPr>
      <t>Delete key</t>
    </r>
    <r>
      <rPr>
        <rFont val="Nunito"/>
        <color rgb="FF284056"/>
      </rPr>
      <t xml:space="preserve"> to clear all cell text</t>
    </r>
  </si>
  <si>
    <r>
      <rPr>
        <rFont val="Nunito"/>
        <color rgb="FF284056"/>
      </rPr>
      <t xml:space="preserve">Go to the </t>
    </r>
    <r>
      <rPr>
        <rFont val="Nunito"/>
        <b/>
        <color rgb="FF284056"/>
      </rPr>
      <t>cell A1</t>
    </r>
    <r>
      <rPr>
        <rFont val="Nunito"/>
        <color rgb="FF284056"/>
      </rPr>
      <t xml:space="preserve"> (top left) and use </t>
    </r>
    <r>
      <rPr>
        <rFont val="Fira Code"/>
        <color rgb="FF284056"/>
        <sz val="8.0"/>
      </rPr>
      <t>=IMPORTRANGE("&lt;mappool sheet link&gt;", "Mappool!A1:O150")</t>
    </r>
    <r>
      <rPr>
        <rFont val="Nunito"/>
        <color rgb="FF284056"/>
      </rPr>
      <t xml:space="preserve"> and adjust the ranges accordingly depending on what the final sheet is called</t>
    </r>
  </si>
  <si>
    <r>
      <rPr>
        <rFont val="Nunito"/>
        <color rgb="FF284056"/>
      </rPr>
      <t xml:space="preserve">Any changes to the pool assembly </t>
    </r>
    <r>
      <rPr>
        <rFont val="Nunito"/>
        <b/>
        <color rgb="FF284056"/>
      </rPr>
      <t>will be reflected to the public sheet instantly</t>
    </r>
    <r>
      <rPr>
        <rFont val="Nunito"/>
        <color rgb="FF284056"/>
      </rPr>
      <t xml:space="preserve">. I recommend you adjust the IMPORTRANGE </t>
    </r>
    <r>
      <rPr>
        <rFont val="Nunito"/>
        <b/>
        <color rgb="FF284056"/>
      </rPr>
      <t>range parameter</t>
    </r>
    <r>
      <rPr>
        <rFont val="Nunito"/>
        <color rgb="FF284056"/>
      </rPr>
      <t xml:space="preserve"> whenever you want to release a new pool.</t>
    </r>
  </si>
  <si>
    <r>
      <rPr>
        <rFont val="Nunito"/>
        <color rgb="FF284056"/>
      </rPr>
      <t xml:space="preserve">If you use the IMPORTRANGE method, then your </t>
    </r>
    <r>
      <rPr>
        <rFont val="Nunito"/>
        <b/>
        <color rgb="FF284056"/>
      </rPr>
      <t>mappooling sheet URL</t>
    </r>
    <r>
      <rPr>
        <rFont val="Nunito"/>
        <color rgb="FF284056"/>
      </rPr>
      <t xml:space="preserve"> will be exposed in the function. Make sure to use </t>
    </r>
    <r>
      <rPr>
        <rFont val="Nunito"/>
        <b/>
        <color rgb="FF284056"/>
      </rPr>
      <t>E-Mail protection</t>
    </r>
    <r>
      <rPr>
        <rFont val="Nunito"/>
        <color rgb="FF284056"/>
      </rPr>
      <t xml:space="preserve"> at all times!</t>
    </r>
  </si>
  <si>
    <t>Simple export format for the ref sheet template or for other usecases</t>
  </si>
  <si>
    <t>Ref sheet format</t>
  </si>
  <si>
    <t>Custom data columns (unhide columns for more)</t>
  </si>
  <si>
    <t>Stage</t>
  </si>
  <si>
    <t>string_url</t>
  </si>
  <si>
    <t>artist</t>
  </si>
  <si>
    <t>bpm</t>
  </si>
  <si>
    <t>nonoc</t>
  </si>
  <si>
    <t>void</t>
  </si>
  <si>
    <t>Sangatsu no Phantasia</t>
  </si>
  <si>
    <t>PSYQUI</t>
  </si>
  <si>
    <t>Ax feat. Natsukawa Yoko</t>
  </si>
  <si>
    <t>Amane</t>
  </si>
  <si>
    <t>THE ORAL CIGARETTES</t>
  </si>
  <si>
    <t>Kajiura Yuki</t>
  </si>
  <si>
    <t>ICHIKO</t>
  </si>
  <si>
    <t>DIANA</t>
  </si>
  <si>
    <t>Hazuki</t>
  </si>
  <si>
    <t>Jun Kuroda</t>
  </si>
  <si>
    <t>PUP</t>
  </si>
  <si>
    <t>ISOMERZ (DJ Raisei + seatrus)</t>
  </si>
  <si>
    <t>Pastel*Palettes</t>
  </si>
  <si>
    <t>Tsumiki</t>
  </si>
  <si>
    <t>P*Light</t>
  </si>
  <si>
    <t>Omoi</t>
  </si>
  <si>
    <t>Silentroom</t>
  </si>
  <si>
    <t>mafumafu</t>
  </si>
  <si>
    <t>ARForest</t>
  </si>
  <si>
    <t>xi</t>
  </si>
  <si>
    <t>Shawn Wasabi</t>
  </si>
  <si>
    <t>Ata</t>
  </si>
  <si>
    <t>Yorushika</t>
  </si>
  <si>
    <t>Fractal Dreamers</t>
  </si>
  <si>
    <t>Tsukuyomi</t>
  </si>
  <si>
    <t>sakuraburst</t>
  </si>
  <si>
    <t>sekai</t>
  </si>
  <si>
    <t>Police Piccadilly feat. Hatsune Miku</t>
  </si>
  <si>
    <t>Siren</t>
  </si>
  <si>
    <t>PSYQUI feat. Such</t>
  </si>
  <si>
    <t>Perfume</t>
  </si>
  <si>
    <t>Yumeno Yuki</t>
  </si>
  <si>
    <t>YUC'e</t>
  </si>
  <si>
    <t>tarolabo</t>
  </si>
  <si>
    <t>OISHII</t>
  </si>
  <si>
    <t>Giga-P</t>
  </si>
  <si>
    <t>Au5</t>
  </si>
  <si>
    <t>Thaehan</t>
  </si>
  <si>
    <t>Meguro Shoji feat. Lyn</t>
  </si>
  <si>
    <t>Nekomata Master+</t>
  </si>
  <si>
    <t>the Art of Mankind</t>
  </si>
  <si>
    <t>Franz Ferdinand</t>
  </si>
  <si>
    <t>Usada Pekora</t>
  </si>
  <si>
    <t>BRZion</t>
  </si>
  <si>
    <t>succducc</t>
  </si>
  <si>
    <t>kessoku band</t>
  </si>
  <si>
    <t>Cranky</t>
  </si>
  <si>
    <t>NICODE &amp; M2U</t>
  </si>
  <si>
    <t>Reol</t>
  </si>
  <si>
    <t>Two Door Cinema Club</t>
  </si>
  <si>
    <t>Hiiragi Magnetite</t>
  </si>
  <si>
    <t>Halozy</t>
  </si>
  <si>
    <t>t+pazolite</t>
  </si>
  <si>
    <t>GIVEON</t>
  </si>
  <si>
    <t>ALI</t>
  </si>
  <si>
    <t>VeetaCrush</t>
  </si>
  <si>
    <t>Camellia</t>
  </si>
  <si>
    <t>Kai</t>
  </si>
  <si>
    <t>Aso Natsuko</t>
  </si>
  <si>
    <t>Kola Kid</t>
  </si>
  <si>
    <t>Harumaki Gohan feat. Hatsune Miku</t>
  </si>
  <si>
    <t>Cro</t>
  </si>
  <si>
    <t>96neko</t>
  </si>
  <si>
    <t>umu.</t>
  </si>
  <si>
    <t>AAAA + Umeboshi Chazuke</t>
  </si>
  <si>
    <t>Wagakki Band</t>
  </si>
  <si>
    <t>Brandy</t>
  </si>
  <si>
    <t>vierre cloud</t>
  </si>
  <si>
    <t>Ryokuoushoku Shakai</t>
  </si>
  <si>
    <t>USAO</t>
  </si>
  <si>
    <t>Prim</t>
  </si>
  <si>
    <t>Kikuo</t>
  </si>
  <si>
    <t>DJ S3RL</t>
  </si>
  <si>
    <t>capsule</t>
  </si>
  <si>
    <t>Kudou Chitose</t>
  </si>
  <si>
    <t>BAND-MAID</t>
  </si>
  <si>
    <t>Sta &amp; Feryquitous</t>
  </si>
  <si>
    <t>Eagle</t>
  </si>
  <si>
    <t>Komine Lisa</t>
  </si>
  <si>
    <t>Memme</t>
  </si>
  <si>
    <t>KOTOKO</t>
  </si>
  <si>
    <t>Kenshi Yonezu</t>
  </si>
  <si>
    <t>Mysteka</t>
  </si>
  <si>
    <t>Pendulum</t>
  </si>
  <si>
    <t>Airots</t>
  </si>
  <si>
    <t>daisan</t>
  </si>
  <si>
    <t>Hatsuki Yura</t>
  </si>
  <si>
    <t>Zekk</t>
  </si>
  <si>
    <t>deathcount</t>
  </si>
  <si>
    <t>Chikuwa</t>
  </si>
  <si>
    <t>Kairiki bear feat. Hatsune Miku</t>
  </si>
  <si>
    <t>Dreamcatcher</t>
  </si>
  <si>
    <t>factal</t>
  </si>
  <si>
    <t>Inui Toko</t>
  </si>
  <si>
    <t>Hana</t>
  </si>
  <si>
    <t>Crazy Loop</t>
  </si>
  <si>
    <t>Natori Sana</t>
  </si>
  <si>
    <t>IOSYS</t>
  </si>
  <si>
    <t>lapix</t>
  </si>
  <si>
    <t>ALL IDS</t>
  </si>
  <si>
    <t>''!C5:C298</t>
  </si>
  <si>
    <t>'RO32'!C5:C298</t>
  </si>
  <si>
    <t>'RO16'!C5:C298</t>
  </si>
  <si>
    <t>QF!C5:C298</t>
  </si>
  <si>
    <t>SF!C5:C298</t>
  </si>
  <si>
    <t>F!C5:C298</t>
  </si>
  <si>
    <t>GF!C5:C298</t>
  </si>
  <si>
    <t>All Links</t>
  </si>
  <si>
    <t>SHEET</t>
  </si>
  <si>
    <t>API</t>
  </si>
  <si>
    <t>CUSTOM</t>
  </si>
  <si>
    <t>ids</t>
  </si>
  <si>
    <t>beatmap_id</t>
  </si>
  <si>
    <t>beatmapset_id</t>
  </si>
  <si>
    <t>approved</t>
  </si>
  <si>
    <t>submit_date</t>
  </si>
  <si>
    <t>approved_date</t>
  </si>
  <si>
    <t>last_update</t>
  </si>
  <si>
    <t>creator</t>
  </si>
  <si>
    <t>creator_id</t>
  </si>
  <si>
    <t>difficultyrating</t>
  </si>
  <si>
    <t>diff_aim</t>
  </si>
  <si>
    <t>diff_speed</t>
  </si>
  <si>
    <t>diff_size</t>
  </si>
  <si>
    <t>diff_approach</t>
  </si>
  <si>
    <t>diff_overall</t>
  </si>
  <si>
    <t>diff_drain</t>
  </si>
  <si>
    <t>hit_length</t>
  </si>
  <si>
    <t>source</t>
  </si>
  <si>
    <t>genre_id</t>
  </si>
  <si>
    <t>language_id</t>
  </si>
  <si>
    <t>title</t>
  </si>
  <si>
    <t>total_length</t>
  </si>
  <si>
    <t>version</t>
  </si>
  <si>
    <t>file_md5</t>
  </si>
  <si>
    <t>mode</t>
  </si>
  <si>
    <t>tags</t>
  </si>
  <si>
    <t>favourite_count</t>
  </si>
  <si>
    <t>rating</t>
  </si>
  <si>
    <t>playcount</t>
  </si>
  <si>
    <t>passcount</t>
  </si>
  <si>
    <t>count_normal</t>
  </si>
  <si>
    <t>count_slider</t>
  </si>
  <si>
    <t>count_spinner</t>
  </si>
  <si>
    <t>max_combo</t>
  </si>
  <si>
    <t>storyboard</t>
  </si>
  <si>
    <t>video</t>
  </si>
  <si>
    <t>download_unavailable</t>
  </si>
  <si>
    <t>audio_unavailable</t>
  </si>
  <si>
    <t>difficultyrating_ez</t>
  </si>
  <si>
    <t>difficultyrating_hr</t>
  </si>
  <si>
    <t>difficultyrating_dt</t>
  </si>
  <si>
    <t>difficultyrating_ht</t>
  </si>
  <si>
    <t>string</t>
  </si>
  <si>
    <t>url</t>
  </si>
  <si>
    <t>cover_url</t>
  </si>
  <si>
    <t>thumbnail_url</t>
  </si>
  <si>
    <t>diff_size_ez</t>
  </si>
  <si>
    <t>diff_approach_ez</t>
  </si>
  <si>
    <t>diff_overall_ez</t>
  </si>
  <si>
    <t>diff_drain_ez</t>
  </si>
  <si>
    <t>diff_size_hr</t>
  </si>
  <si>
    <t>diff_approach_hr</t>
  </si>
  <si>
    <t>diff_overall_hr</t>
  </si>
  <si>
    <t>diff_drain_hr</t>
  </si>
  <si>
    <t>diff_approach_dt</t>
  </si>
  <si>
    <t>diff_overall_dt</t>
  </si>
  <si>
    <t>hit_length_dt</t>
  </si>
  <si>
    <t>total_length_dt</t>
  </si>
  <si>
    <t>bpm_dt</t>
  </si>
  <si>
    <t>hit_length_ht</t>
  </si>
  <si>
    <t>total_length_ht</t>
  </si>
  <si>
    <t>bpm_ht</t>
  </si>
  <si>
    <t>SkyFlame</t>
  </si>
  <si>
    <t>Re:ゼロから始める異世界生活 Memory Snow</t>
  </si>
  <si>
    <t>Relive</t>
  </si>
  <si>
    <t>Insane</t>
  </si>
  <si>
    <t>5db320ce1b2bcb9cbc579d58cbc7af9e</t>
  </si>
  <si>
    <t>re:zero kara hajimeru isekai seikatsu rezero starting life in another world different from zero anime ova original video animation japanese rock jrock j-rock full ver. version female vocal movie rem ram emilia subaru byd bite_you_death caren_sk gottagof4st gottagofast ggf stack nyantiaz intiaz no dap moeka momoka shioi</t>
  </si>
  <si>
    <t>https://assets.ppy.sh/beatmaps/1658910/covers/cover.jpg</t>
  </si>
  <si>
    <t>https://b.ppy.sh/thumb/1658910l.jpg</t>
  </si>
  <si>
    <t>ZUN</t>
  </si>
  <si>
    <t>sjoy</t>
  </si>
  <si>
    <t>Touhou</t>
  </si>
  <si>
    <t>Kobito of the Shining Needle ~ Little Princess</t>
  </si>
  <si>
    <t>Lunatic</t>
  </si>
  <si>
    <t>722d484df02bcf8052fe0b4888707c18</t>
  </si>
  <si>
    <t>chenwu 东方辉针城 ～ double dealing character sukuna shinmyoumaru selisiphoenix eggache0</t>
  </si>
  <si>
    <t>ZUN - Kobito of the Shining Needle ~ Little Princess [Lunatic]</t>
  </si>
  <si>
    <t>https://assets.ppy.sh/beatmaps/111611/covers/cover.jpg</t>
  </si>
  <si>
    <t>https://b.ppy.sh/thumb/111611l.jpg</t>
  </si>
  <si>
    <t>Trerey-U</t>
  </si>
  <si>
    <t>Seiioh</t>
  </si>
  <si>
    <t>::vexations</t>
  </si>
  <si>
    <t>::insane</t>
  </si>
  <si>
    <t>96a4e5ee5f6054e2dc1f2081601c30ea</t>
  </si>
  <si>
    <t>formless​:​: nankasuisui uytrere ambient instrumental electronic electronica</t>
  </si>
  <si>
    <t>https://assets.ppy.sh/beatmaps/1570531/covers/cover.jpg</t>
  </si>
  <si>
    <t>https://b.ppy.sh/thumb/1570531l.jpg</t>
  </si>
  <si>
    <t>Kibbleru</t>
  </si>
  <si>
    <t>GHOST (feat. Such)</t>
  </si>
  <si>
    <t>Amateurre's Insane</t>
  </si>
  <si>
    <t>cf99a4d37739d2097f5be5ade7034b80</t>
  </si>
  <si>
    <t>amateurre japanese pop nnzn ofutone mollyoona yoshie</t>
  </si>
  <si>
    <t>https://assets.ppy.sh/beatmaps/1859662/covers/cover.jpg</t>
  </si>
  <si>
    <t>https://b.ppy.sh/thumb/1859662l.jpg</t>
  </si>
  <si>
    <t>Electronic Boutique</t>
  </si>
  <si>
    <t>wafer</t>
  </si>
  <si>
    <t>Miles</t>
  </si>
  <si>
    <t>Minimal</t>
  </si>
  <si>
    <t>91886464e2637084af8f5d992551fddb</t>
  </si>
  <si>
    <t>electronic instrumental jazz videogame vgm vg video game dj max ray goopert kami no kotoba</t>
  </si>
  <si>
    <t>https://assets.ppy.sh/beatmaps/1743257/covers/cover.jpg</t>
  </si>
  <si>
    <t>https://b.ppy.sh/thumb/1743257l.jpg</t>
  </si>
  <si>
    <t>ATARASHII GAKKO!</t>
  </si>
  <si>
    <t>dakiwii</t>
  </si>
  <si>
    <t>OTONABLUE</t>
  </si>
  <si>
    <t>-ktrihc's the last the fost [Insano waza]</t>
  </si>
  <si>
    <t>b7ba93b2d23c610b665e23bb5835c4ef</t>
  </si>
  <si>
    <t>j-pop japanese pop jpop 新しい学校のリーダーズ atarashii gakko! オトナブルー alt alternate nm4 - nm3</t>
  </si>
  <si>
    <t>https://assets.ppy.sh/beatmaps/1975119/covers/cover.jpg</t>
  </si>
  <si>
    <t>https://b.ppy.sh/thumb/1975119l.jpg</t>
  </si>
  <si>
    <t>Street</t>
  </si>
  <si>
    <t>Hytex</t>
  </si>
  <si>
    <t>SOUND VOLTEX EXCEED GEAR</t>
  </si>
  <si>
    <t>Sakura Fubuki</t>
  </si>
  <si>
    <t>99's Insane</t>
  </si>
  <si>
    <t>1908301f3fe1aa60d5f5439052d3aa17</t>
  </si>
  <si>
    <t>muse dash sdvx 6 vi dynamix maimai murasaki chunithm air オンゲキ ongeki plus o.n.g.e.k.i. bemani konami sega 桜吹雪 bms of fighters ultimate bofu2015 osu! fa featured artist artcore video game electronic instrumental purplegaze manasser99 ambrew ixcors</t>
  </si>
  <si>
    <t>https://assets.ppy.sh/beatmaps/1435157/covers/cover.jpg</t>
  </si>
  <si>
    <t>https://b.ppy.sh/thumb/1435157l.jpg</t>
  </si>
  <si>
    <t>Shimotsuki Haruka, Chata, Katakiri Rekka</t>
  </si>
  <si>
    <t>Deca</t>
  </si>
  <si>
    <t>Suishou ni Utsuru Himegimi</t>
  </si>
  <si>
    <t>Collab Insane</t>
  </si>
  <si>
    <t>a7ae0a768dae11d897a89f61ee99cb61</t>
  </si>
  <si>
    <t>kalibe fuju acylica some hero some_hero heroine elicz1 zelq shimotsuki best works hamotsukin 753 japanese folk</t>
  </si>
  <si>
    <t>https://assets.ppy.sh/beatmaps/1528914/covers/cover.jpg</t>
  </si>
  <si>
    <t>https://b.ppy.sh/thumb/1528914l.jpg</t>
  </si>
  <si>
    <t>Education</t>
  </si>
  <si>
    <t>sorciere's Insane</t>
  </si>
  <si>
    <t>8a5798453021f8a74d028f149da3e9bc</t>
  </si>
  <si>
    <t>electronic instrumental future bass techcore evangelix 01 megarex mrx sorciere</t>
  </si>
  <si>
    <t>https://assets.ppy.sh/beatmaps/1544866/covers/cover.jpg</t>
  </si>
  <si>
    <t>https://b.ppy.sh/thumb/1544866l.jpg</t>
  </si>
  <si>
    <t>Noah</t>
  </si>
  <si>
    <t>Adinda</t>
  </si>
  <si>
    <t>Purification of soul</t>
  </si>
  <si>
    <t>Flame Haze's Insane</t>
  </si>
  <si>
    <t>01f1284f1442b986a50be29b4a79a0f9</t>
  </si>
  <si>
    <t>metal symphonic rock classical orchestral instrumental doujin m3-49 god bless you existruth syarika flame haze</t>
  </si>
  <si>
    <t>https://assets.ppy.sh/beatmaps/1758376/covers/cover.jpg</t>
  </si>
  <si>
    <t>https://b.ppy.sh/thumb/1758376l.jpg</t>
  </si>
  <si>
    <t>カゲロウプロジェクト</t>
  </si>
  <si>
    <t>Kagerou Days</t>
  </si>
  <si>
    <t>Ducky-'s Insane</t>
  </si>
  <si>
    <t>9ae24c29a400d9effdc56b73935f9caa</t>
  </si>
  <si>
    <t>ボカロ三昧 heat-haze kagerou project daze jin じん shizen no teki-p teki p tekip 自然の敵p mekakucity actors メカクシティアクターズ vocalo zanmai japanese vocaloid daze rock deadcode ceo ceo_of_osu wafer goopert i_want_to_die ducky-</t>
  </si>
  <si>
    <t>https://assets.ppy.sh/beatmaps/1207286/covers/cover.jpg</t>
  </si>
  <si>
    <t>https://b.ppy.sh/thumb/1207286l.jpg</t>
  </si>
  <si>
    <t>東方地霊殿　～ Subterranean Animism.</t>
  </si>
  <si>
    <t>BOOZEHOUND</t>
  </si>
  <si>
    <t>Down's Insane</t>
  </si>
  <si>
    <t>0db9c676ce97ec1444f954ed03454e1e</t>
  </si>
  <si>
    <t>旧地獄街道を行く walking the streets of a former hell kyuu jigoku kaidou wo yuku 東方project 東方 touhou project th11 shanghai alice gengakudan team chireiden rolling contact touhou instrumental electronic 404 aimnotfound dailycare morinaga down heilia</t>
  </si>
  <si>
    <t>https://assets.ppy.sh/beatmaps/1238190/covers/cover.jpg</t>
  </si>
  <si>
    <t>https://b.ppy.sh/thumb/1238190l.jpg</t>
  </si>
  <si>
    <t>Numakura Manami</t>
  </si>
  <si>
    <t>魔法少女育成計画</t>
  </si>
  <si>
    <t>Sakebe</t>
  </si>
  <si>
    <t>Mrgglock's Insane</t>
  </si>
  <si>
    <t>224f865a277e9f55d539dc2a0abf4563</t>
  </si>
  <si>
    <t>osuplayer111 sekai sekaii sekai-nyan mrgglock browiec torriru kxlman kowari pop jpop j-pop rock jrock j-rock anime japanese mahou shoujo ikusei keikaku magical girl raising project まほいく mahoiku full version</t>
  </si>
  <si>
    <t>https://assets.ppy.sh/beatmaps/1918243/covers/cover.jpg</t>
  </si>
  <si>
    <t>https://b.ppy.sh/thumb/1918243l.jpg</t>
  </si>
  <si>
    <t>魔法少女まどか☆マギカ</t>
  </si>
  <si>
    <t>Sis puella magica!</t>
  </si>
  <si>
    <t>Tea Party</t>
  </si>
  <si>
    <t>280879f5867e46f8f97a4889c8e99269</t>
  </si>
  <si>
    <t>itoh eri 伊東恵里 mahou shoujo madoka magica puella magi orchestral vocals calm chill main theme ayyri eiri-</t>
  </si>
  <si>
    <t>https://assets.ppy.sh/beatmaps/721320/covers/cover.jpg</t>
  </si>
  <si>
    <t>https://b.ppy.sh/thumb/721320l.jpg</t>
  </si>
  <si>
    <t>ゼロの使い魔～三美姫(プリンセッセ)の輪舞(ロンド)～</t>
  </si>
  <si>
    <t>YOU'RE THE ONE</t>
  </si>
  <si>
    <t>ANDREA &amp; ASUKO'S HARD</t>
  </si>
  <si>
    <t>45d2b7dabe3ac5620a65b175f6e9e7f3</t>
  </si>
  <si>
    <t>osuplayer111 sekai sekaii sekai-nyan leomine leominexd asukow grazuko full version female vocals zero no tsukaima: princess no rondo anime japanese pop jpop j-pop louise françoise de la baume le blanc de la vallière ルイズ・フランソワーズ・ル・ブラン・ド・ラ・ヴァリエール the familiar of zero: rondo of princesses third season 3rd opening op youre are</t>
  </si>
  <si>
    <t>https://assets.ppy.sh/beatmaps/1977605/covers/cover.jpg</t>
  </si>
  <si>
    <t>https://b.ppy.sh/thumb/1977605l.jpg</t>
  </si>
  <si>
    <t>Ardolf</t>
  </si>
  <si>
    <t>Split EX</t>
  </si>
  <si>
    <t>HARD</t>
  </si>
  <si>
    <t>0cf1d5b47d667c45054b6eb7a63cea00</t>
  </si>
  <si>
    <t>bqt4 bubblyqt's tournaments 4 ro128 nm2 stream burst electronic instrumental soundtrack videogame ost vg fa featured artist mg mappers' guild uk hardcore indoroid tigerinity ucitysm himitsuhiketsu hybrid chordjack ln long note edm dance fnf friday night funkin'</t>
  </si>
  <si>
    <t>https://assets.ppy.sh/beatmaps/1670325/covers/cover.jpg</t>
  </si>
  <si>
    <t>https://b.ppy.sh/thumb/1670325l.jpg</t>
  </si>
  <si>
    <t>Hanabusa Sumireko (CV: Arakawa Miho)</t>
  </si>
  <si>
    <t>Talulah</t>
  </si>
  <si>
    <t>悪魔のリドル</t>
  </si>
  <si>
    <t>Inochi no Karakuri</t>
  </si>
  <si>
    <t>9ed612bd7153a9b00bcaf09289d22e12</t>
  </si>
  <si>
    <t>atalanta shizuku- akuma no riddle story of devil anime full version ed ending japanese rock</t>
  </si>
  <si>
    <t>https://assets.ppy.sh/beatmaps/1061614/covers/cover.jpg</t>
  </si>
  <si>
    <t>https://b.ppy.sh/thumb/1061614l.jpg</t>
  </si>
  <si>
    <t>SID</t>
  </si>
  <si>
    <t>gazimal</t>
  </si>
  <si>
    <t>Mousou Nikki 2</t>
  </si>
  <si>
    <t>Miy's Insane</t>
  </si>
  <si>
    <t>c2265523d431e94e80292d17be81995b</t>
  </si>
  <si>
    <t>ii japanese rock j-rock j rock mao sakura advent miy matsuyuki ame rk657 シド マオ shinji 明希 ゆうや male vocals vocalist jrock</t>
  </si>
  <si>
    <t>https://assets.ppy.sh/beatmaps/1807986/covers/cover.jpg</t>
  </si>
  <si>
    <t>https://b.ppy.sh/thumb/1807986l.jpg</t>
  </si>
  <si>
    <t>Co shu Nie</t>
  </si>
  <si>
    <t>Nymphe</t>
  </si>
  <si>
    <t>Yume o Kin'iro ni Somete</t>
  </si>
  <si>
    <t>Insane ft. Kujinn</t>
  </si>
  <si>
    <t>0ca5572542d5f4e9775d9e3f03fcd9e0</t>
  </si>
  <si>
    <t>moete keqing iljaaz kujinn reform kiyoshi guarden japanese rock jrock j-rock female vocal litmus nakamura miku matsumoto shunsuke fujita ryosuke golden dream</t>
  </si>
  <si>
    <t>https://assets.ppy.sh/beatmaps/1496416/covers/cover.jpg</t>
  </si>
  <si>
    <t>https://b.ppy.sh/thumb/1496416l.jpg</t>
  </si>
  <si>
    <t>S3RL feat. Sara</t>
  </si>
  <si>
    <t>Nuvolina</t>
  </si>
  <si>
    <t>Dopamine</t>
  </si>
  <si>
    <t>718cf23918399ac9244f862077bc658c</t>
  </si>
  <si>
    <t>electronic english happy hardcore serl log off now log_off_now lon starcastler nowaie dtm9 nowa dtm9_nowa zer0- zero- zero maridius peter ajt smokelind uberfazz andrea osuplayer111 undeadcapulet firika chaos -mo- crissa nozhomi</t>
  </si>
  <si>
    <t>https://assets.ppy.sh/beatmaps/1712992/covers/cover.jpg</t>
  </si>
  <si>
    <t>https://b.ppy.sh/thumb/1712992l.jpg</t>
  </si>
  <si>
    <t>cYsmix</t>
  </si>
  <si>
    <t>Delette</t>
  </si>
  <si>
    <t>osu!</t>
  </si>
  <si>
    <t>triangles</t>
  </si>
  <si>
    <t>shime's absolutno another</t>
  </si>
  <si>
    <t>be6bbea5f122aa8b41ddf23916245836</t>
  </si>
  <si>
    <t>featured artist fa mappers' guild mg mpg beatmapping contest maruoko piroshki shmiklak marvollo m_a_r_v_o_l_l_o shime pantydev electronic instrumental absolutno pofig</t>
  </si>
  <si>
    <t>https://assets.ppy.sh/beatmaps/1841846/covers/cover.jpg</t>
  </si>
  <si>
    <t>https://b.ppy.sh/thumb/1841846l.jpg</t>
  </si>
  <si>
    <t>revisions リヴィジョンズ</t>
  </si>
  <si>
    <t>Wagamama de Gomakasanaide</t>
  </si>
  <si>
    <t>Panda &amp; Melwoine's Insane</t>
  </si>
  <si>
    <t>99ba8837287e306d4fded67610ba7279</t>
  </si>
  <si>
    <t>anime opening japanese full version melwoine collab rock j-rock op</t>
  </si>
  <si>
    <t>https://assets.ppy.sh/beatmaps/932567/covers/cover.jpg</t>
  </si>
  <si>
    <t>https://b.ppy.sh/thumb/932567l.jpg</t>
  </si>
  <si>
    <t>Juggernaut.</t>
  </si>
  <si>
    <t>Fisky</t>
  </si>
  <si>
    <t>BOFXV</t>
  </si>
  <si>
    <t>Apocaliptix</t>
  </si>
  <si>
    <t>PaRaDogi's Insane</t>
  </si>
  <si>
    <t>9aaddd951890f94f1850e52ce935e6be</t>
  </si>
  <si>
    <t>bofxv19 bofxv2019 the bms of fighters extreme violence groundbreaking cube disc 4-7 electronic instrumental video game sexy &amp; crazy psytrance psy hardcore symphonic dubstep bass necromancy japan door weapon hanakumo rin dog food _epreus theblank seolv [l_u_k_a_s] lukas moko paradogi kloyd</t>
  </si>
  <si>
    <t>https://assets.ppy.sh/beatmaps/1089678/covers/cover.jpg</t>
  </si>
  <si>
    <t>https://b.ppy.sh/thumb/1089678l.jpg</t>
  </si>
  <si>
    <t>siromaru + cranky</t>
  </si>
  <si>
    <t>yf_bmp</t>
  </si>
  <si>
    <t>THE BMS OF FIGHTERS 2011 - Intersection of conflict -</t>
  </si>
  <si>
    <t>conflict</t>
  </si>
  <si>
    <t>Yoshino's Insane</t>
  </si>
  <si>
    <t>8964064ef16f0cfd728bfef737cbca4c</t>
  </si>
  <si>
    <t>iimo harmonic schranz electronic conlang english bof2011 arcaea sound voltex iii gravity wars maimai finale dx cytus ii deemo voez synchronica taiko no tatsujin chunithm o.n.g.e.k.i ongeki muse dash tapsonic top groove coaster waiwai party!!!! 2 original style rhythmvaders wacca seven's code dance rail respect pump it up orzmic takumi x_light yorita_yoshino setu strengemistake x light yorita yoshino video rhythm game featured artist fa mappers' guild mappers mpg</t>
  </si>
  <si>
    <t>https://assets.ppy.sh/beatmaps/1212359/covers/cover.jpg</t>
  </si>
  <si>
    <t>https://b.ppy.sh/thumb/1212359l.jpg</t>
  </si>
  <si>
    <t>Dance Gavin Dance</t>
  </si>
  <si>
    <t>YeongSeok</t>
  </si>
  <si>
    <t>Deception</t>
  </si>
  <si>
    <t>Sebas' Hard</t>
  </si>
  <si>
    <t>25001b8bd92573a7335ed76fcd54f51c</t>
  </si>
  <si>
    <t>english mothership rock alt alternative metal virt virt- monsieursebas sebas punk vocal post hardcore dgd</t>
  </si>
  <si>
    <t>https://osu.ppy.sh/beatmapsets/1909726#osu/4121042</t>
  </si>
  <si>
    <t>https://assets.ppy.sh/beatmaps/1909726/covers/cover.jpg</t>
  </si>
  <si>
    <t>https://b.ppy.sh/thumb/1909726l.jpg</t>
  </si>
  <si>
    <t>Crisscrosser</t>
  </si>
  <si>
    <t>4f599f04b54ab5df5d72c6468ea607dd</t>
  </si>
  <si>
    <t>https://assets.ppy.sh/beatmaps/357800/covers/cover.jpg</t>
  </si>
  <si>
    <t>https://b.ppy.sh/thumb/357800l.jpg</t>
  </si>
  <si>
    <t>PUMP IT UP –THE PERFECT COLLECTION-</t>
  </si>
  <si>
    <t>Beethoven Virus</t>
  </si>
  <si>
    <t>Aranel's Hard</t>
  </si>
  <si>
    <t>b7a6e3015cbdf2943dbd23993a3e6371</t>
  </si>
  <si>
    <t>video game electronic neo classical modern pop crossover instrumental dance mezelyus' tournament mezelyus'un duo turnuvası mdt2022 semifinals sf dt2 베토벤 바이러스 piu vgm music sk south korea 2006 violin piano sonata pathetique rondo allegro banya boncheva ludwig van andy warhol aranel</t>
  </si>
  <si>
    <t>https://assets.ppy.sh/beatmaps/1724615/covers/cover.jpg</t>
  </si>
  <si>
    <t>https://b.ppy.sh/thumb/1724615l.jpg</t>
  </si>
  <si>
    <t>pop'n music 18 せんごく列伝</t>
  </si>
  <si>
    <t>Sakimori Renka</t>
  </si>
  <si>
    <t>5b49723a30b64ea31b4bb66548327273</t>
  </si>
  <si>
    <t>jubeat onoken sengoku retsuden video game japanese manyouka 万葉歌</t>
  </si>
  <si>
    <t>https://assets.ppy.sh/beatmaps/998415/covers/cover.jpg</t>
  </si>
  <si>
    <t>https://b.ppy.sh/thumb/998415l.jpg</t>
  </si>
  <si>
    <t>Koufuku na Wagamama</t>
  </si>
  <si>
    <t>b0f95146b65a5220d3d0914c0b5fb95c</t>
  </si>
  <si>
    <t>japanese pop jpop j-pop alt alternate happy selfishness 堀江晶太 shota horie みあ mia</t>
  </si>
  <si>
    <t>https://assets.ppy.sh/beatmaps/1478828/covers/cover.jpg</t>
  </si>
  <si>
    <t>https://b.ppy.sh/thumb/1478828l.jpg</t>
  </si>
  <si>
    <t>Amateurre</t>
  </si>
  <si>
    <t>ぼっち・ざ・ろっく！</t>
  </si>
  <si>
    <t>Seishun Complex</t>
  </si>
  <si>
    <t>Flame Haze's Another</t>
  </si>
  <si>
    <t>6462ef42c0209bd6a81d6c4d33aec472</t>
  </si>
  <si>
    <t>bocchi the rock btr japanese anime j-rock jrock jpop j-pop youth gotoh hitori 後藤ひとり yamada ryo 山田リョウ kita ikuyo 喜多郁代 ijichi nijika 伊地知虹夏 midorijeon rielle liyuu wen shizuku- ayesha altugle kazato asa shikibe mayu zekk moete jiysea flame haze asagi pile cjstmdals koldnoodl ayamemymommy some hero some_hero heroine lecana</t>
  </si>
  <si>
    <t>kessoku band - Seishun Complex [Flame Haze's Another]</t>
  </si>
  <si>
    <t>https://osu.ppy.sh/beatmapsets/1919942#osu/3992297</t>
  </si>
  <si>
    <t>https://assets.ppy.sh/beatmaps/1919942/covers/cover.jpg</t>
  </si>
  <si>
    <t>https://b.ppy.sh/thumb/1919942l.jpg</t>
  </si>
  <si>
    <t>mezClA (Evatan &amp; Mecotan)</t>
  </si>
  <si>
    <t>Aistre</t>
  </si>
  <si>
    <t>BOF III - THE BMS OF FIGHTERS 2006 -</t>
  </si>
  <si>
    <t>Azul Remix</t>
  </si>
  <si>
    <t>Callie's Another</t>
  </si>
  <si>
    <t>fc4413b76860b5f921edaf5a0825ddef</t>
  </si>
  <si>
    <t>celas mr. akito bof2006 renaissance core trance カレーの幼女様(10辛) electronic instrumental rhythm game alphabet venax muya satellite nasya n_a_s_y_a aranel bakugo- allice calliecube ioexception deadcode ルネッサンスコア 本戦</t>
  </si>
  <si>
    <t>https://assets.ppy.sh/beatmaps/1793226/covers/cover.jpg</t>
  </si>
  <si>
    <t>https://b.ppy.sh/thumb/1793226l.jpg</t>
  </si>
  <si>
    <t>バンドリ！ ガールズバンドパーティ！</t>
  </si>
  <si>
    <t>Happy Synthesizer</t>
  </si>
  <si>
    <t>Mikan's Hard</t>
  </si>
  <si>
    <t>409eb114d4c7b77bdbf2d1a0e56f78c1</t>
  </si>
  <si>
    <t>ガルパ bang dream! girls band party! cover collection vol.2 pastel palettes パステルパレット パスパレ 丸山彩 maruyama aya 前島亜美 maeshima ami 氷川日菜 hikawa hina 小澤亜李 ozawa ari 白鷺千聖 shirasagi chisato 上坂すみれ uesaka sumire 大和麻弥 yamato maya 中上育実 nakagami ikumi 若宮イヴ wakamiya eve easypop betti elements garden 末益涼太 shizuku- -mikan bandori anime japanese video game</t>
  </si>
  <si>
    <t>https://assets.ppy.sh/beatmaps/932654/covers/cover.jpg</t>
  </si>
  <si>
    <t>https://b.ppy.sh/thumb/932654l.jpg</t>
  </si>
  <si>
    <t>kors k</t>
  </si>
  <si>
    <t>AJT</t>
  </si>
  <si>
    <t>beatmania IIDX 12 HAPPY SKY</t>
  </si>
  <si>
    <t>SigSig</t>
  </si>
  <si>
    <t>Luscent's Insane</t>
  </si>
  <si>
    <t>4b389a81a8cb5fae5074b5e5df6e655e</t>
  </si>
  <si>
    <t>electronic makina video game instrumental luscent yokespai niii_san nisan konami bemani</t>
  </si>
  <si>
    <t>kors k - SigSig [Luscent's Insane]</t>
  </si>
  <si>
    <t>https://assets.ppy.sh/beatmaps/1615650/covers/cover.jpg</t>
  </si>
  <si>
    <t>https://b.ppy.sh/thumb/1615650l.jpg</t>
  </si>
  <si>
    <t>M2U</t>
  </si>
  <si>
    <t>M2Usonek</t>
  </si>
  <si>
    <t>Velocity</t>
  </si>
  <si>
    <t>Yugu's Jerk (Extra)</t>
  </si>
  <si>
    <t>a1ca88415c4f503f867751b5a13ee0d8</t>
  </si>
  <si>
    <t>minorsonek cptsqbany yugu akareh zelq matsubara_kanon matsubara kanon rvmathew cris- walaowey electronic instrumental</t>
  </si>
  <si>
    <t>https://assets.ppy.sh/beatmaps/891581/covers/cover.jpg</t>
  </si>
  <si>
    <t>https://b.ppy.sh/thumb/891581l.jpg</t>
  </si>
  <si>
    <t>Syph</t>
  </si>
  <si>
    <t>HIGH5</t>
  </si>
  <si>
    <t>Blessing Snow</t>
  </si>
  <si>
    <t>Left's Another</t>
  </si>
  <si>
    <t>2e985499c40e9c655c5ff7bee968bfea</t>
  </si>
  <si>
    <t>parkmemme akitoshi sahuang komore cheesecake left [c_u_r_i] cellina Christmas</t>
  </si>
  <si>
    <t>https://assets.ppy.sh/beatmaps/688128/covers/cover.jpg</t>
  </si>
  <si>
    <t>https://b.ppy.sh/thumb/688128l.jpg</t>
  </si>
  <si>
    <t>Xen</t>
  </si>
  <si>
    <t>Itte.</t>
  </si>
  <si>
    <t>46ddb52122899f6ce52cfcc98156ead5</t>
  </si>
  <si>
    <t>say it n-buna nbuna n buna suis 夏草が邪魔をする natsukusa ga jama wo suru jpop j-pop pop japanese xenon- xehn</t>
  </si>
  <si>
    <t>https://osu.ppy.sh/beatmapsets/1119169#osu/2340750</t>
  </si>
  <si>
    <t>https://assets.ppy.sh/beatmaps/1119169/covers/cover.jpg</t>
  </si>
  <si>
    <t>https://b.ppy.sh/thumb/1119169l.jpg</t>
  </si>
  <si>
    <t>Terpsichore</t>
  </si>
  <si>
    <t>Dancer's Delight</t>
  </si>
  <si>
    <t>c1665c6cd4b46adfbd1903d0f8381478</t>
  </si>
  <si>
    <t>https://osu.ppy.sh/beatmapsets/1614904#osu/3297107</t>
  </si>
  <si>
    <t>https://assets.ppy.sh/beatmaps/1614904/covers/cover.jpg</t>
  </si>
  <si>
    <t>https://b.ppy.sh/thumb/1614904l.jpg</t>
  </si>
  <si>
    <t>Anaphylaxis</t>
  </si>
  <si>
    <t>9e182b032093ff63264ffba659bdbe5f</t>
  </si>
  <si>
    <t>english punk rock alt alternator male vocals pathetic use of potential bees</t>
  </si>
  <si>
    <t>https://osu.ppy.sh/beatmapsets/1169856#osu/2440455</t>
  </si>
  <si>
    <t>https://assets.ppy.sh/beatmaps/1169856/covers/cover.jpg</t>
  </si>
  <si>
    <t>https://b.ppy.sh/thumb/1169856l.jpg</t>
  </si>
  <si>
    <t>Symmetric</t>
  </si>
  <si>
    <t>BOUYAAA's Insane</t>
  </si>
  <si>
    <t>c468e9aa7d0fcf6eefbdefcd47715229</t>
  </si>
  <si>
    <t>ayyri eiri- bouyaaa captin1 toybot vikala ishtiaq sing amateurre dailycare 200step j-core hardcore psystyle electronic instrumental fa featured artist</t>
  </si>
  <si>
    <t>https://osu.ppy.sh/beatmapsets/1381824#osu/3248876</t>
  </si>
  <si>
    <t>https://assets.ppy.sh/beatmaps/1381824/covers/cover.jpg</t>
  </si>
  <si>
    <t>https://b.ppy.sh/thumb/1381824l.jpg</t>
  </si>
  <si>
    <t>c008be5e584757eec42702dbe03ab950</t>
  </si>
  <si>
    <t>https://osu.ppy.sh/beatmapsets/932654#osu/1989991</t>
  </si>
  <si>
    <t>phony</t>
  </si>
  <si>
    <t>Hatsune Miku's Insane</t>
  </si>
  <si>
    <t>dee50af183f15535d5f8a894484bd983</t>
  </si>
  <si>
    <t>_23ki_ foni japanese rock jrock j-rock pop jpop j-pop calvaria shikibe mayu shizuku- kazato asa deppyforce [hatsune miku] remapper _lai setu shiratamamywife ryxliee midorijeon vocalsynth 可不 kafu kaf+u cevio ai female vocal kamitsubaki studio 神椿スタジオ</t>
  </si>
  <si>
    <t>https://osu.ppy.sh/beatmapsets/1533832#osu/3280686</t>
  </si>
  <si>
    <t>https://assets.ppy.sh/beatmaps/1533832/covers/cover.jpg</t>
  </si>
  <si>
    <t>https://b.ppy.sh/thumb/1533832l.jpg</t>
  </si>
  <si>
    <t>Zemfira</t>
  </si>
  <si>
    <t>Alexandrine</t>
  </si>
  <si>
    <t>kto?</t>
  </si>
  <si>
    <t>riffy's insane</t>
  </si>
  <si>
    <t>7c4580680321104a27b669fe59aa1f24</t>
  </si>
  <si>
    <t>riffy bakari russian rock asahina oleshev hausenberg basensorex четырнадцать недель тишины 14</t>
  </si>
  <si>
    <t>https://assets.ppy.sh/beatmaps/1932625/covers/cover.jpg</t>
  </si>
  <si>
    <t>https://b.ppy.sh/thumb/1932625l.jpg</t>
  </si>
  <si>
    <t>THE BMS OF FIGHTERS 2009 - revolutionary battles -</t>
  </si>
  <si>
    <t>Mirage Garden</t>
  </si>
  <si>
    <t>PaRaDogi's Hard</t>
  </si>
  <si>
    <t>919b4e785a1bd134e19f125ffb2e00ae</t>
  </si>
  <si>
    <t>bof2009 progressive fusion mpg mapper's guild parousia instrumental jazz fa featured artist down luscent knightc0re knightcore paradogi seolv lukas [_l_u_k_a_s_]</t>
  </si>
  <si>
    <t>https://osu.ppy.sh/beatmapsets/1663184#osu/3396305</t>
  </si>
  <si>
    <t>https://assets.ppy.sh/beatmaps/1663184/covers/cover.jpg</t>
  </si>
  <si>
    <t>https://b.ppy.sh/thumb/1663184l.jpg</t>
  </si>
  <si>
    <t>Euphoria</t>
  </si>
  <si>
    <t>Aiq's Insane</t>
  </si>
  <si>
    <t>1bdef578bd776b321540213499c346b6</t>
  </si>
  <si>
    <t>psytrance marathon electro instrumental</t>
  </si>
  <si>
    <t>https://osu.ppy.sh/beatmapsets/1686408#osu/3446761</t>
  </si>
  <si>
    <t>https://assets.ppy.sh/beatmaps/1686408/covers/cover.jpg</t>
  </si>
  <si>
    <t>https://b.ppy.sh/thumb/1686408l.jpg</t>
  </si>
  <si>
    <t>Moudoku ga Osou</t>
  </si>
  <si>
    <t>Hard</t>
  </si>
  <si>
    <t>0a5607a749e70a4596560ba14e15e844</t>
  </si>
  <si>
    <t>rock japanese j-rock 一二三 hihumi</t>
  </si>
  <si>
    <t>https://osu.ppy.sh/beatmapsets/956595#osu/2044893</t>
  </si>
  <si>
    <t>https://assets.ppy.sh/beatmaps/956595/covers/cover.jpg</t>
  </si>
  <si>
    <t>https://b.ppy.sh/thumb/956595l.jpg</t>
  </si>
  <si>
    <t>Elayue</t>
  </si>
  <si>
    <t>Duplication</t>
  </si>
  <si>
    <t>cb2b18622877ed922b72c98045847b85</t>
  </si>
  <si>
    <t>_epreus molang agatsu electronic instrumental mappers' guild mpg featured artist fa</t>
  </si>
  <si>
    <t>https://osu.ppy.sh/beatmapsets/1484383#osu/3044231</t>
  </si>
  <si>
    <t>https://assets.ppy.sh/beatmaps/1484383/covers/cover.jpg</t>
  </si>
  <si>
    <t>https://b.ppy.sh/thumb/1484383l.jpg</t>
  </si>
  <si>
    <t>K'naan</t>
  </si>
  <si>
    <t>Gonzvlo</t>
  </si>
  <si>
    <t>FIFA World Cup South Africa 2010</t>
  </si>
  <si>
    <t>Wavin' Flag</t>
  </si>
  <si>
    <t>Shuna's Flag!</t>
  </si>
  <si>
    <t>494788c54181fe3b48d868a3e867abf9</t>
  </si>
  <si>
    <t>soccer coca cola trophy sponsor sallad4ever arusha shuna waving vanmonky</t>
  </si>
  <si>
    <t>https://osu.ppy.sh/beatmapsets/13975#osu/57384</t>
  </si>
  <si>
    <t>https://assets.ppy.sh/beatmaps/13975/covers/cover.jpg</t>
  </si>
  <si>
    <t>https://b.ppy.sh/thumb/13975l.jpg</t>
  </si>
  <si>
    <t>NULCTRL</t>
  </si>
  <si>
    <t>Pattern 03a "exHRD" LMT</t>
  </si>
  <si>
    <t>9405c0a059b5a7ffe3b4e2f9b0965f46</t>
  </si>
  <si>
    <t>null ctrl control seville film studio motion go back 2 your roots g2r2018 frenz2018 climax maimai でらっくす plus deluxe dx+ dx ex bms musync musynx n/a irreversible lmt lmt1996 nozhomi bouyaaa alphabet zetera sala- venax aistre instrumental electronic memory waves featured artist fa</t>
  </si>
  <si>
    <t>https://osu.ppy.sh/beatmapsets/917159#osu/2110801</t>
  </si>
  <si>
    <t>https://assets.ppy.sh/beatmaps/917159/covers/cover.jpg</t>
  </si>
  <si>
    <t>https://b.ppy.sh/thumb/917159l.jpg</t>
  </si>
  <si>
    <t>Tone Sphere</t>
  </si>
  <si>
    <t>Aoba</t>
  </si>
  <si>
    <t>ea5604333684fdf951beb4fb9e18f363</t>
  </si>
  <si>
    <t>afst-002 the unfinished instrumental video game featured artist</t>
  </si>
  <si>
    <t>https://osu.ppy.sh/beatmapsets/1131726#osu/2366848</t>
  </si>
  <si>
    <t>https://assets.ppy.sh/beatmaps/1131726/covers/cover.jpg</t>
  </si>
  <si>
    <t>https://b.ppy.sh/thumb/1131726l.jpg</t>
  </si>
  <si>
    <t>Sound Souler</t>
  </si>
  <si>
    <t>Eternalism 2</t>
  </si>
  <si>
    <t>Gibune's Insane</t>
  </si>
  <si>
    <t>a18220e6beed79fdc31c58a46b01344b</t>
  </si>
  <si>
    <t>fa featured artist mappers' guild calm despair polytone instrumental electronic gibune acylica</t>
  </si>
  <si>
    <t>https://osu.ppy.sh/beatmapsets/1299190#osu/2694599</t>
  </si>
  <si>
    <t>https://assets.ppy.sh/beatmaps/1299190/covers/cover.jpg</t>
  </si>
  <si>
    <t>https://b.ppy.sh/thumb/1299190l.jpg</t>
  </si>
  <si>
    <t>BMS</t>
  </si>
  <si>
    <t>Poppin' Shower</t>
  </si>
  <si>
    <t>Hyper</t>
  </si>
  <si>
    <t>8d267aab93d791d2d35e2403f390fefe</t>
  </si>
  <si>
    <t>of fighters bof 2011 backfire bof2011 ra-s</t>
  </si>
  <si>
    <t>https://assets.ppy.sh/beatmaps/42527/covers/cover.jpg</t>
  </si>
  <si>
    <t>https://b.ppy.sh/thumb/42527l.jpg</t>
  </si>
  <si>
    <t>Wotamin</t>
  </si>
  <si>
    <t>Star Stream</t>
  </si>
  <si>
    <t>Nico Nico Douga</t>
  </si>
  <si>
    <t>Gigantic O.T.N</t>
  </si>
  <si>
    <t>fd1d2b50caa26a45544fb3b84822881f</t>
  </si>
  <si>
    <t>len vocaloid ssssssssssssssss helloscv beatofike l_i_a entozer guy lundlerol jomnhnk gamu cryo[iceeicee]</t>
  </si>
  <si>
    <t>https://assets.ppy.sh/beatmaps/80214/covers/cover.jpg</t>
  </si>
  <si>
    <t>https://b.ppy.sh/thumb/80214l.jpg</t>
  </si>
  <si>
    <t>ONIGIRI FREEWAY</t>
  </si>
  <si>
    <t>4e5362bdc272bdb1a11519d9a777340f</t>
  </si>
  <si>
    <t>[_l_u_k_a_s_] tatan -_tatan_- pkhg high tempo beatmap pack fa featured artist gremio mappers' guild mg instrumental electronic chiptune video game videogame creamcore</t>
  </si>
  <si>
    <t>https://osu.ppy.sh/beatmapsets/996628#osu/2161153</t>
  </si>
  <si>
    <t>https://assets.ppy.sh/beatmaps/996628/covers/cover.jpg</t>
  </si>
  <si>
    <t>https://b.ppy.sh/thumb/996628l.jpg</t>
  </si>
  <si>
    <t>the peggies</t>
  </si>
  <si>
    <t>jazzberry</t>
  </si>
  <si>
    <t>Neverland</t>
  </si>
  <si>
    <t>2b2ccd1741af863221e230bbca44ba6a</t>
  </si>
  <si>
    <t>japanese j-rock jrock rock jpop j-pop band</t>
  </si>
  <si>
    <t>https://osu.ppy.sh/beatmapsets/1313297#osu/2795818</t>
  </si>
  <si>
    <t>https://assets.ppy.sh/beatmaps/1313297/covers/cover.jpg</t>
  </si>
  <si>
    <t>https://b.ppy.sh/thumb/1313297l.jpg</t>
  </si>
  <si>
    <t>Wasurete Yaranai</t>
  </si>
  <si>
    <t>Amachama's Insane</t>
  </si>
  <si>
    <t>87210ccc2f61d8de28c17acc678d657f</t>
  </si>
  <si>
    <t>bocchi the rock btr japanese anime j-rock jrock jpop j-pop never forget won't let you gotoh hitori 後藤ひとり yamada ryo 山田リョウ kita ikuyo 喜多郁代 ijichi nijika 伊地知虹夏 shizuku- ayesha altugle shikibe mayu kazato asa tsukinyuni tsunyun vaporfly god haachama big sis asagi kyuuchie midorijeon</t>
  </si>
  <si>
    <t>https://osu.ppy.sh/beatmapsets/1909434#osu/3941210</t>
  </si>
  <si>
    <t>https://assets.ppy.sh/beatmaps/1909434/covers/cover.jpg</t>
  </si>
  <si>
    <t>https://b.ppy.sh/thumb/1909434l.jpg</t>
  </si>
  <si>
    <t>Risa Yuzuki</t>
  </si>
  <si>
    <t>-Syncro</t>
  </si>
  <si>
    <t>Cinderella Maker</t>
  </si>
  <si>
    <t>Mindmaster's Hard</t>
  </si>
  <si>
    <t>2c845897a6732f48a5daa4d56747262e</t>
  </si>
  <si>
    <t>dog food ganyumymommy nytrocide_ nytro lean monster shii guchiry mindmaster107 fa featured artist mpg mappers' guild group japanese j-pop jpop pop electronic electro electropop yuuta yuyu-uta mori ゆずりさ 柚木梨沙 luminaria replique réplique 3rd third album yuyuta morimori atsushi モリモリあつし ゆゆうた door weapon hanakumo rin barkingmaddog bmd</t>
  </si>
  <si>
    <t>https://osu.ppy.sh/beatmapsets/1688873#osu/3742030</t>
  </si>
  <si>
    <t>https://assets.ppy.sh/beatmaps/1688873/covers/cover.jpg</t>
  </si>
  <si>
    <t>https://b.ppy.sh/thumb/1688873l.jpg</t>
  </si>
  <si>
    <t>Katakiri Rekka</t>
  </si>
  <si>
    <t>Kowari</t>
  </si>
  <si>
    <t>うみねこのなく頃に散</t>
  </si>
  <si>
    <t>TSUBASA</t>
  </si>
  <si>
    <t>INSANE</t>
  </si>
  <si>
    <t>f781679ce2caf5c62cb5a9ded5aefd0b</t>
  </si>
  <si>
    <t>lasse erisu lanzhu dai umineko no naku koro ni chiru video game visual novel japanese rock pop jrock jpop j-rock j-pop female vocal musicbox blue best selection 07th expansion when the they seagulls cry</t>
  </si>
  <si>
    <t>Katakiri Rekka - TSUBASA [INSANE]</t>
  </si>
  <si>
    <t>https://osu.ppy.sh/beatmapsets/1859605#osu/3822652</t>
  </si>
  <si>
    <t>https://assets.ppy.sh/beatmaps/1859605/covers/cover.jpg</t>
  </si>
  <si>
    <t>https://b.ppy.sh/thumb/1859605l.jpg</t>
  </si>
  <si>
    <t>Marble Soda</t>
  </si>
  <si>
    <t>Narcissu's Insane</t>
  </si>
  <si>
    <t>008704f4454bd1af91da78313b6e1f25</t>
  </si>
  <si>
    <t>narcissu launchpad midi fighter crier betastar mashup fast</t>
  </si>
  <si>
    <t>https://osu.ppy.sh/beatmapsets/387784#osu/846261</t>
  </si>
  <si>
    <t>https://assets.ppy.sh/beatmaps/387784/covers/cover.jpg</t>
  </si>
  <si>
    <t>https://b.ppy.sh/thumb/387784l.jpg</t>
  </si>
  <si>
    <t>Teo</t>
  </si>
  <si>
    <t>waji's Insane</t>
  </si>
  <si>
    <t>147cdd61d954c98b6cf5a6559b668513</t>
  </si>
  <si>
    <t>marvollo m_a_r_v_o_l_l_o gero nymphe daycore wajinshu vocaloid hatsune miku synth rock first waltz japanese fa featured artist mappers' guild mpg 初音ミク j-rock ボーカロイド</t>
  </si>
  <si>
    <t>https://osu.ppy.sh/beatmapsets/1274098#osu/2659337</t>
  </si>
  <si>
    <t>https://assets.ppy.sh/beatmaps/1274098/covers/cover.jpg</t>
  </si>
  <si>
    <t>https://b.ppy.sh/thumb/1274098l.jpg</t>
  </si>
  <si>
    <t>Akitoshi</t>
  </si>
  <si>
    <t>幻のディストピア</t>
  </si>
  <si>
    <t>Uso to Shinjitsu</t>
  </si>
  <si>
    <t>bdcbcfc9b08e55f91cb290bbb23e045f</t>
  </si>
  <si>
    <t>corinn -laura- angel note meis clauson maboroshi no dystopia eroge visual novel opening full version fullver japanese video game</t>
  </si>
  <si>
    <t>https://osu.ppy.sh/beatmapsets/1079281#osu/2277989</t>
  </si>
  <si>
    <t>https://assets.ppy.sh/beatmaps/1079281/covers/cover.jpg</t>
  </si>
  <si>
    <t>https://b.ppy.sh/thumb/1079281l.jpg</t>
  </si>
  <si>
    <t>Meg</t>
  </si>
  <si>
    <t>Thoughtcrime</t>
  </si>
  <si>
    <t>Akitoshi's Insane</t>
  </si>
  <si>
    <t>1fa07c019135296e18139063e8be9ef3</t>
  </si>
  <si>
    <t>shisouhan thought crime n-buna nbuna ナブナ suis スイ 盗作 tousaku image-- kuei ponbot akitoshi -laura- corinn japanese rock</t>
  </si>
  <si>
    <t>https://assets.ppy.sh/beatmaps/1358622/covers/cover.jpg</t>
  </si>
  <si>
    <t>https://b.ppy.sh/thumb/1358622l.jpg</t>
  </si>
  <si>
    <t>Gardens Under A Spring Sky</t>
  </si>
  <si>
    <t>3f283f126e70935e186bfc76507b443e</t>
  </si>
  <si>
    <t>mappers' guild featured artist electronic piano instrumental monolithia</t>
  </si>
  <si>
    <t>https://assets.ppy.sh/beatmaps/956716/covers/cover.jpg</t>
  </si>
  <si>
    <t>https://b.ppy.sh/thumb/956716l.jpg</t>
  </si>
  <si>
    <t>[Hatsune Miku]</t>
  </si>
  <si>
    <t>Dakara Boku wa Ongaku o Yameta</t>
  </si>
  <si>
    <t>I'm not mistaken?</t>
  </si>
  <si>
    <t>638e6f1baf580ba43c0b59a630f3f8be</t>
  </si>
  <si>
    <t>superdaloubot n-buna ナブナ suis スイ japanese pop jpop j-pop thats that's why i gave up on music</t>
  </si>
  <si>
    <t>https://assets.ppy.sh/beatmaps/1508883/covers/cover.jpg</t>
  </si>
  <si>
    <t>https://b.ppy.sh/thumb/1508883l.jpg</t>
  </si>
  <si>
    <t>Sengoku HOP</t>
  </si>
  <si>
    <t>apple's Insane</t>
  </si>
  <si>
    <t>eb62bebdd8845dfa50bd2c2a31ee2289</t>
  </si>
  <si>
    <t>glitch hop gamu sukinathan appleeaterx athenarium</t>
  </si>
  <si>
    <t>https://assets.ppy.sh/beatmaps/564329/covers/cover.jpg</t>
  </si>
  <si>
    <t>https://b.ppy.sh/thumb/564329l.jpg</t>
  </si>
  <si>
    <t>Electric Angel</t>
  </si>
  <si>
    <t>Sonnyc's Insane</t>
  </si>
  <si>
    <t>f4d3bfd83c11ec8255238b4f18a3c90c</t>
  </si>
  <si>
    <t>kagamine rin len vocaloid yasuo-p yasuop orebanana-p orebananap gigap habiholic kantokun sonnyc p_a_n</t>
  </si>
  <si>
    <t>https://assets.ppy.sh/beatmaps/172900/covers/cover.jpg</t>
  </si>
  <si>
    <t>https://b.ppy.sh/thumb/172900l.jpg</t>
  </si>
  <si>
    <t>chelmico</t>
  </si>
  <si>
    <t>Elcheer</t>
  </si>
  <si>
    <t>映像研には手を出すな!</t>
  </si>
  <si>
    <t>Easy Breezy</t>
  </si>
  <si>
    <t>ezier bz</t>
  </si>
  <si>
    <t>3a230909976df7fbaadfc1b33d031444</t>
  </si>
  <si>
    <t>チェルミコ ni wa te wo dasu na! keep your hands off eizouken! the motion pictures club! japanese anime 渡賀レイチェル rachel watashiga 鈴木真海子 mamiko suzuki</t>
  </si>
  <si>
    <t>https://assets.ppy.sh/beatmaps/1968201/covers/cover.jpg</t>
  </si>
  <si>
    <t>https://b.ppy.sh/thumb/1968201l.jpg</t>
  </si>
  <si>
    <t>I SEE MONSTAS</t>
  </si>
  <si>
    <t>Sotarks</t>
  </si>
  <si>
    <t>Holdin On (Skrillex and Nero Remix)</t>
  </si>
  <si>
    <t>58744998a4eb1adb543f69953eeb880b</t>
  </si>
  <si>
    <t>hobbes2 kin akitoshi corinn dubstep</t>
  </si>
  <si>
    <t>https://assets.ppy.sh/beatmaps/701330/covers/cover.jpg</t>
  </si>
  <si>
    <t>https://b.ppy.sh/thumb/701330l.jpg</t>
  </si>
  <si>
    <t>Future Candy</t>
  </si>
  <si>
    <t>3e5ff2aef01c889deb27ced0f7630d2f</t>
  </si>
  <si>
    <t>future bass sukinathan -tochi ゆーしえ</t>
  </si>
  <si>
    <t>https://assets.ppy.sh/beatmaps/546820/covers/cover.jpg</t>
  </si>
  <si>
    <t>https://b.ppy.sh/thumb/546820l.jpg</t>
  </si>
  <si>
    <t>hololive IDOL PROJECT</t>
  </si>
  <si>
    <t>Koyoi wa Halloween Night!</t>
  </si>
  <si>
    <t>sleepy's Hard</t>
  </si>
  <si>
    <t>4ff2ab678415b4d14863c650814d7406</t>
  </si>
  <si>
    <t>ホロライブ vtuber virtual youtuber japanese pop jpop j-pop electronic 紫咲シオン murasaki shion 夜空メル yozora mel 癒月ちょこ yuzuki choco 潤羽るしあ uruha rushia ch ch. floral circlet bloom bloom bouquet pentori kazato asa shizuku- shikibe mayu sleepymateo</t>
  </si>
  <si>
    <t>https://assets.ppy.sh/beatmaps/1285447/covers/cover.jpg</t>
  </si>
  <si>
    <t>https://b.ppy.sh/thumb/1285447l.jpg</t>
  </si>
  <si>
    <t>S3RL</t>
  </si>
  <si>
    <t>Sylas</t>
  </si>
  <si>
    <t>MTC (Different Heaven Remix)</t>
  </si>
  <si>
    <t>b8df49202bc2220fd72162e119cb826f</t>
  </si>
  <si>
    <t>english featured artist fa electronic drum and bass dnb jodie harling jole hughes</t>
  </si>
  <si>
    <t>https://assets.ppy.sh/beatmaps/914691/covers/cover.jpg</t>
  </si>
  <si>
    <t>https://b.ppy.sh/thumb/914691l.jpg</t>
  </si>
  <si>
    <t>Kakeru Hotarubi</t>
  </si>
  <si>
    <t>bakabaka</t>
  </si>
  <si>
    <t>Fanshi 3 Kami Goranshin</t>
  </si>
  <si>
    <t>82282caf457de63f3e30fc8753e6700a</t>
  </si>
  <si>
    <t>littlecar3370 moriya suwako</t>
  </si>
  <si>
    <t>https://assets.ppy.sh/beatmaps/25580/covers/cover.jpg</t>
  </si>
  <si>
    <t>https://b.ppy.sh/thumb/25580l.jpg</t>
  </si>
  <si>
    <t>Lon</t>
  </si>
  <si>
    <t>phonic</t>
  </si>
  <si>
    <t>Yuru Fuwa Jukai Girl</t>
  </si>
  <si>
    <t>bfa2bb1b590ce06c2da92cb99c31dd06</t>
  </si>
  <si>
    <t>vocaloid hatsune miku ishiburo-p garven holysoup beren</t>
  </si>
  <si>
    <t>https://assets.ppy.sh/beatmaps/50462/covers/cover.jpg</t>
  </si>
  <si>
    <t>https://b.ppy.sh/thumb/50462l.jpg</t>
  </si>
  <si>
    <t>Kaede To Kyo Aki Ame Kuzu</t>
  </si>
  <si>
    <t>Abelia</t>
  </si>
  <si>
    <t>Q</t>
  </si>
  <si>
    <t>826c191dac1c5f76fdc36845b7f053a3</t>
  </si>
  <si>
    <t>ヤンキー組 yankee gumi 椎名もた shiina shina mota siinamota ぽわぽわp powapowap vtuber virtual バーチャルyoutuber 2434 にじさんじ nijisanji 樋口楓 higuchi kaede 剣持刀也 kenmochi toya touya 轟京子 todoroki kyoko kyouko 三枝明那 saegusa akina 葛葉 kuzuha 久遠千歳 kudou chitose 雨森小夜 amemori sayo japanese rock いちから ichikara j-rock jrock cover カバー</t>
  </si>
  <si>
    <t>https://assets.ppy.sh/beatmaps/1316097/covers/cover.jpg</t>
  </si>
  <si>
    <t>https://b.ppy.sh/thumb/1316097l.jpg</t>
  </si>
  <si>
    <t>Hatsune Miku</t>
  </si>
  <si>
    <t>Lalarun</t>
  </si>
  <si>
    <t>VOCALOID</t>
  </si>
  <si>
    <t>Netoge Haijin Sprechchor</t>
  </si>
  <si>
    <t>bfab64d759d1edf0551f74ec9f27b191</t>
  </si>
  <si>
    <t>apriy makuro y0c1e satsuki ga tenkomori</t>
  </si>
  <si>
    <t>https://assets.ppy.sh/beatmaps/25802/covers/cover.jpg</t>
  </si>
  <si>
    <t>https://b.ppy.sh/thumb/25802l.jpg</t>
  </si>
  <si>
    <t>Hino Isuka</t>
  </si>
  <si>
    <t>captin1</t>
  </si>
  <si>
    <t>Arcaea</t>
  </si>
  <si>
    <t>Moonheart (Mameyudoufu Remix)</t>
  </si>
  <si>
    <t>de501db3b337eff80d53f6e140a8f473</t>
  </si>
  <si>
    <t>futurecore dnb dreamin' adventure cubby pentori niva video game electronic english</t>
  </si>
  <si>
    <t>https://assets.ppy.sh/beatmaps/1157572/covers/cover.jpg</t>
  </si>
  <si>
    <t>https://b.ppy.sh/thumb/1157572l.jpg</t>
  </si>
  <si>
    <t>Komiya Mao</t>
  </si>
  <si>
    <t>Okoratu</t>
  </si>
  <si>
    <t>東方輝針城　〜 Double Dealing Character.</t>
  </si>
  <si>
    <t>(can you) understand me?</t>
  </si>
  <si>
    <t>insane?</t>
  </si>
  <si>
    <t>90e78392e3b06989205420f0dcaa20d8</t>
  </si>
  <si>
    <t>alice's emotion precious ray リバースイデオロギー damnae dqs01733 enhu smokeman 東方project touhou reverse ideology zun kijin seija 鬼人 正邪 okorin</t>
  </si>
  <si>
    <t>https://assets.ppy.sh/beatmaps/409898/covers/cover.jpg</t>
  </si>
  <si>
    <t>https://b.ppy.sh/thumb/409898l.jpg</t>
  </si>
  <si>
    <t>Comp</t>
  </si>
  <si>
    <t>Shinxyn</t>
  </si>
  <si>
    <t>Gensou no Satellite</t>
  </si>
  <si>
    <t>ec7324b1441bd46c1aa3adc356982213</t>
  </si>
  <si>
    <t>buta-otome touhou greenwich in the sky royal observatory ranko magical astronomy fantasy jazz zun</t>
  </si>
  <si>
    <t>https://assets.ppy.sh/beatmaps/4404/covers/cover.jpg</t>
  </si>
  <si>
    <t>https://b.ppy.sh/thumb/4404l.jpg</t>
  </si>
  <si>
    <t>BotchiBoromaru</t>
  </si>
  <si>
    <t>Otose Thunder</t>
  </si>
  <si>
    <t>Rising</t>
  </si>
  <si>
    <t>78a416390bd5ac57389c7243e2818346</t>
  </si>
  <si>
    <t>bakugo- shiny braixen battle limetwist japanese rock j-rock jrock bocchiboromaru borotchi shoot ナオ ok bass ゴブリエル tomobop まご山つく蔵</t>
  </si>
  <si>
    <t>BotchiBoromaru - Otose Thunder [Rising]</t>
  </si>
  <si>
    <t>https://osu.ppy.sh/beatmapsets/1807695#osu/3707336</t>
  </si>
  <si>
    <t>https://assets.ppy.sh/beatmaps/1807695/covers/cover.jpg</t>
  </si>
  <si>
    <t>https://b.ppy.sh/thumb/1807695l.jpg</t>
  </si>
  <si>
    <t>#コンパス 戦闘摂理解析システム</t>
  </si>
  <si>
    <t>Kire Carry On</t>
  </si>
  <si>
    <t>negusver's Insane</t>
  </si>
  <si>
    <t>eab4e4fa459b4bebb02ac05c9165f3a9</t>
  </si>
  <si>
    <t># compass sentou setsuri kaiseki shisutemu kill kyari vocaloid chainsaw maimai milk negusver picadily picadilly</t>
  </si>
  <si>
    <t>https://assets.ppy.sh/beatmaps/824959/covers/cover.jpg</t>
  </si>
  <si>
    <t>https://b.ppy.sh/thumb/824959l.jpg</t>
  </si>
  <si>
    <t>seros</t>
  </si>
  <si>
    <t>God-ish</t>
  </si>
  <si>
    <t>Setu's Insane</t>
  </si>
  <si>
    <t>9542f16a2574404d7e656508b496a320</t>
  </si>
  <si>
    <t>corsace closed ro16 nm3 cc22 cover jpop j-pop japanese pop vocaloid sankaku zuwari ピノキオピー godish kami ppoi poi na pinocchiop hatsune miku nenneo petal matha climbx3145 climb kuse kubsnia_zhoyl_ irin surou setu shiratamamywife</t>
  </si>
  <si>
    <t>https://assets.ppy.sh/beatmaps/1759764/covers/cover.jpg</t>
  </si>
  <si>
    <t>https://b.ppy.sh/thumb/1759764l.jpg</t>
  </si>
  <si>
    <t>DECO*27</t>
  </si>
  <si>
    <t>Tsumetaku</t>
  </si>
  <si>
    <t>Ai Kotoba II</t>
  </si>
  <si>
    <t>e4244fcb22848034375cbf97dd5bfd87</t>
  </si>
  <si>
    <t>vocaloid hatsune miku v3 love words kous awoko あをこ deco27 mutaro 夢太郎 これからもありがとうbox</t>
  </si>
  <si>
    <t>https://assets.ppy.sh/beatmaps/123354/covers/cover.jpg</t>
  </si>
  <si>
    <t>https://b.ppy.sh/thumb/123354l.jpg</t>
  </si>
  <si>
    <t>HACHI feat. Hatsune Miku</t>
  </si>
  <si>
    <t>gowww</t>
  </si>
  <si>
    <t>Suna no Wakusei</t>
  </si>
  <si>
    <t>f0642c739f255074608332b98851a446</t>
  </si>
  <si>
    <t>dune 米津玄師 kenshi yonezu sand planet vocaloid niconico magical mirai</t>
  </si>
  <si>
    <t>https://assets.ppy.sh/beatmaps/841634/covers/cover.jpg</t>
  </si>
  <si>
    <t>https://b.ppy.sh/thumb/841634l.jpg</t>
  </si>
  <si>
    <t>nana(Sevencolors)</t>
  </si>
  <si>
    <t>RVMathew</t>
  </si>
  <si>
    <t>chameleon</t>
  </si>
  <si>
    <t>fa1fb62104e9f66f5030faae8cb411b3</t>
  </si>
  <si>
    <t>renumi 鹿乃 kano 有坂あこ arisaka aco technobreakerz techno breakerz feat. featuring 初音ミク hatsune miku append sweet dance vocalomusic ★ volume vol. 02 -funky drum'n'bass- and &amp; dnb works 2010-2011 best vocaloid pop electronic japanese</t>
  </si>
  <si>
    <t>https://assets.ppy.sh/beatmaps/1046876/covers/cover.jpg</t>
  </si>
  <si>
    <t>https://b.ppy.sh/thumb/1046876l.jpg</t>
  </si>
  <si>
    <t>Shiny Braixen's Insane</t>
  </si>
  <si>
    <t>290381abfdc5e35ee3890206793d4b55</t>
  </si>
  <si>
    <t>https://osu.ppy.sh/beatmapsets/1807695#osu/3714964</t>
  </si>
  <si>
    <t>Tenjin Kotone</t>
  </si>
  <si>
    <t>Houshou Hari</t>
  </si>
  <si>
    <t>Darling Dance</t>
  </si>
  <si>
    <t>UjiMatcha's Insane</t>
  </si>
  <si>
    <t>0cbd774648135ed468af70b9faba6b8b</t>
  </si>
  <si>
    <t>かいりきベア kairiki bear バチ子 bachiko virtual youtuber vtuber ボーカロイド ボカロ vocaloid 初音ミク hatsune miku japanese rock female cover song papple104 pappl_e_104 kuse kubsnia_zhoyl_ ujimatcha djent_sul_e</t>
  </si>
  <si>
    <t>https://assets.ppy.sh/beatmaps/1270156/covers/cover.jpg</t>
  </si>
  <si>
    <t>https://b.ppy.sh/thumb/1270156l.jpg</t>
  </si>
  <si>
    <t>Chibanyan vs. Otogibara Era</t>
  </si>
  <si>
    <t>buhei</t>
  </si>
  <si>
    <t>GOMIKASU -Original Mix-</t>
  </si>
  <si>
    <t>e1edf7dceec3a327a7635b2323666032</t>
  </si>
  <si>
    <t>vtuber virtual youtuber バーチャルyoutuber nijisanji にじさんじ 音gibara ギバラ yorita yoshino -claris- zhongchujiguang remapper _lai noriko sama japanese instrumental electronic</t>
  </si>
  <si>
    <t>https://assets.ppy.sh/beatmaps/1203052/covers/cover.jpg</t>
  </si>
  <si>
    <t>https://b.ppy.sh/thumb/1203052l.jpg</t>
  </si>
  <si>
    <t>Polaris</t>
  </si>
  <si>
    <t>8 is not a low ar guys</t>
  </si>
  <si>
    <t>b998ff6c43c481162b03fa189a06a23a</t>
  </si>
  <si>
    <t>https://assets.ppy.sh/beatmaps/1693295/covers/cover.jpg</t>
  </si>
  <si>
    <t>https://b.ppy.sh/thumb/1693295l.jpg</t>
  </si>
  <si>
    <t>FROZEN QUALIA</t>
  </si>
  <si>
    <t>SpokenAway</t>
  </si>
  <si>
    <t>Birthday</t>
  </si>
  <si>
    <t>6f53914ade3b70bc9d380b5d8d5b6d2c</t>
  </si>
  <si>
    <t>夢乃ゆき yumeno yuki japanese single best journey ～journey～ pop jpop j-pop</t>
  </si>
  <si>
    <t>https://assets.ppy.sh/beatmaps/1488532/covers/cover.jpg</t>
  </si>
  <si>
    <t>https://b.ppy.sh/thumb/1488532l.jpg</t>
  </si>
  <si>
    <t>Lil Nas X</t>
  </si>
  <si>
    <t>KaedeharaKazuha</t>
  </si>
  <si>
    <t>THATS WHAT I WANT</t>
  </si>
  <si>
    <t>GOKUGOHAN12468'S INSANE</t>
  </si>
  <si>
    <t>8b3347defddd68618b04a7d89db14ed1</t>
  </si>
  <si>
    <t>pop english montero lamar hill kaedehara kazuha addy2607 -_ascended_- -ascended- ascended kittyadventure gokugohan12468 dariano kbeazy blake slatkin omer fedi ryan tedder that's that is</t>
  </si>
  <si>
    <t>https://assets.ppy.sh/beatmaps/1632817/covers/cover.jpg</t>
  </si>
  <si>
    <t>https://b.ppy.sh/thumb/1632817l.jpg</t>
  </si>
  <si>
    <t>LUKAS' INSANE</t>
  </si>
  <si>
    <t>d5c204c71d07d9a2a339b056323b7a05</t>
  </si>
  <si>
    <t>DE DE MOUSE</t>
  </si>
  <si>
    <t>beatmania IIDX 27 HEROIC VERSE</t>
  </si>
  <si>
    <t>Silly Love</t>
  </si>
  <si>
    <t>0pp's Insane</t>
  </si>
  <si>
    <t>25bb51970c74f6152f8c87d26f7ecdd5</t>
  </si>
  <si>
    <t>instrumental -zeraora -harpuia- paradogi cubbby pocket- pocket 0ppinosu oppinosu dancedancerevolution a20 daisuke endo electro nu disco ddr konami bemani electronic</t>
  </si>
  <si>
    <t>https://assets.ppy.sh/beatmaps/1494548/covers/cover.jpg</t>
  </si>
  <si>
    <t>https://b.ppy.sh/thumb/1494548l.jpg</t>
  </si>
  <si>
    <t>kozato</t>
  </si>
  <si>
    <t>Gust</t>
  </si>
  <si>
    <t>Tsuki -Yue-</t>
  </si>
  <si>
    <t>Kuse's Insane</t>
  </si>
  <si>
    <t>c6db4761c9ad8282011d94e0846c7639</t>
  </si>
  <si>
    <t>piano spiritual trance instrumental oriental electronic bms platinawing sounds label kanor kuse kubsnia_zhoyl_</t>
  </si>
  <si>
    <t>https://assets.ppy.sh/beatmaps/1401651/covers/cover.jpg</t>
  </si>
  <si>
    <t>https://b.ppy.sh/thumb/1401651l.jpg</t>
  </si>
  <si>
    <t>Glacierfall (Park Remix)</t>
  </si>
  <si>
    <t>haruto x ancel's ins*ne</t>
  </si>
  <si>
    <t>bfcdb671b1be8db0820a4e85d6235b7d</t>
  </si>
  <si>
    <t>english electronic instrumental drumstep glacier fall cinematic edm dubstep glitch dnb drum and &amp; bass drum&amp;bass parkdtc paark paarkdtc sakura_burst sylvir sylvirsylvir coldpine s5 ep a collection of three weapons natsume shiki anime girl natsume_shiki anime_girl scub domino jungkyuyoung [keqing] 8972308 celine citreum bws bwsnoob -bws miraculous 3545579 haruto -haruto aizawa haruto_aizawa 3772301 ancelysia true3l3ctro iiokward celsius 7118575 woduf1121 [white music] hwamyu wm milr_ 4485933 itsuki hako hokichi hoki holekeycheese 6607303 munehime mune ningguang 8500334 he's hes going crazy get fucked up</t>
  </si>
  <si>
    <t>https://assets.ppy.sh/beatmaps/1329045/covers/cover.jpg</t>
  </si>
  <si>
    <t>https://b.ppy.sh/thumb/1329045l.jpg</t>
  </si>
  <si>
    <t>Laser Beam</t>
  </si>
  <si>
    <t>Mixagji</t>
  </si>
  <si>
    <t>bb841057b347f8286c6052697d8f9ef6</t>
  </si>
  <si>
    <t>kosiga tari breeze hs714 mixagji jpn kashiyuka a~chan a-chan nocchi yuka kashino ayaka nishiwaki ayano omoto</t>
  </si>
  <si>
    <t>https://assets.ppy.sh/beatmaps/106568/covers/cover.jpg</t>
  </si>
  <si>
    <t>https://b.ppy.sh/thumb/106568l.jpg</t>
  </si>
  <si>
    <t>Senchimentaruhatoboi</t>
  </si>
  <si>
    <t>afd0ea649f1f142d2fc1ce38118d7693</t>
  </si>
  <si>
    <t>eze innocent c95 sentimental heart boy</t>
  </si>
  <si>
    <t>https://assets.ppy.sh/beatmaps/924701/covers/cover.jpg</t>
  </si>
  <si>
    <t>https://b.ppy.sh/thumb/924701l.jpg</t>
  </si>
  <si>
    <t>Shandy Kubota</t>
  </si>
  <si>
    <t>Otosaka-Yu</t>
  </si>
  <si>
    <t>maimaiジューシー★おとりよせBOX</t>
  </si>
  <si>
    <t>Dragoon</t>
  </si>
  <si>
    <t>1112 x Yu</t>
  </si>
  <si>
    <t>92621d9fb16d2d8a93f0f9947c44d827</t>
  </si>
  <si>
    <t>usao uom records dubstep drum and bass dnb liaoxingyao 1112deng _miaofuuu_</t>
  </si>
  <si>
    <t>Shandy Kubota - Dragoon [1112 x Yu]</t>
  </si>
  <si>
    <t>https://osu.ppy.sh/beatmapsets/658424#osu/2535944</t>
  </si>
  <si>
    <t>https://assets.ppy.sh/beatmaps/658424/covers/cover.jpg</t>
  </si>
  <si>
    <t>https://b.ppy.sh/thumb/658424l.jpg</t>
  </si>
  <si>
    <t>Dareka no Shinzou ni Nareta nara</t>
  </si>
  <si>
    <t>too's Insane</t>
  </si>
  <si>
    <t>aafa8e00322db09508dfad9c5d8afec2</t>
  </si>
  <si>
    <t>bf [paw]ochikouri binfhone too ducky- airiesu mujina ユリイカノン ユリイ・カノン yurry cannon yurrycanon yurii kanon yuriikanon vocaloid gumi cover mikoto エポック epoch とうかさ toukasa 人間劇場 human theater ningen gekijou i want to be your heart japanese rock j-rock jrock novelty</t>
  </si>
  <si>
    <t>https://assets.ppy.sh/beatmaps/1544600/covers/cover.jpg</t>
  </si>
  <si>
    <t>https://b.ppy.sh/thumb/1544600l.jpg</t>
  </si>
  <si>
    <t>ペトリコール -Petrichor-</t>
  </si>
  <si>
    <t>First Time</t>
  </si>
  <si>
    <t>KoldNoodl's Hard</t>
  </si>
  <si>
    <t>bd1bac394ab4b8a8c3e54607c03de7f3</t>
  </si>
  <si>
    <t>koldnoodl corsace open 2021 co2021 grand finals gf dt4 petrichor mellow japanese eroge visual novel 東条 サダヲ toujou touzyou sadawo changnao 神灼爺 kamishaku-jii kamishaku jii 元木 一成 motoki kazunari japanese pop jpop</t>
  </si>
  <si>
    <t>https://assets.ppy.sh/beatmaps/1581327/covers/cover.jpg</t>
  </si>
  <si>
    <t>https://b.ppy.sh/thumb/1581327l.jpg</t>
  </si>
  <si>
    <t>THE BMS OF FIGHTERS 2010 -THE EVOLUTION OF WAR-</t>
  </si>
  <si>
    <t>eth ken</t>
  </si>
  <si>
    <t>hard</t>
  </si>
  <si>
    <t>676b5cb325266aabb5d4d7a17a84954e</t>
  </si>
  <si>
    <t>electronic instrumental video game team pink bokken fusion 浪漫映像制作倶楽部 dodome magenta ktgster iljaaz keqing down zetera sala-</t>
  </si>
  <si>
    <t>https://assets.ppy.sh/beatmaps/1765453/covers/cover.jpg</t>
  </si>
  <si>
    <t>https://b.ppy.sh/thumb/1765453l.jpg</t>
  </si>
  <si>
    <t>Zange Mairi</t>
  </si>
  <si>
    <t>Voice's Insane</t>
  </si>
  <si>
    <t>e0bdefdb39bde0e60e4987a3bb7adb29</t>
  </si>
  <si>
    <t>voicecore 09kami cover utaite flower hanyuu maigo vocaloid 浮世巡り ukiyo meguri japanese j-pop pop</t>
  </si>
  <si>
    <t>https://assets.ppy.sh/beatmaps/1176431/covers/cover.jpg</t>
  </si>
  <si>
    <t>https://b.ppy.sh/thumb/1176431l.jpg</t>
  </si>
  <si>
    <t>東方Project</t>
  </si>
  <si>
    <t>Genryuu Kaiko</t>
  </si>
  <si>
    <t>Melody of Sanzu</t>
  </si>
  <si>
    <t>ccf924a22a189356ccbc16da723c16c5</t>
  </si>
  <si>
    <t>touhou fort fr33z3r guineaq cosmic armonica すみじゅん sumijun くまりす kumarisu 東方花映塚 彼岸帰航 hotaru higan retour ~ riverside view 小野塚 小町 おのづか こまち onozuka komachi th09 c79 zun phantasmagoria of flower view source of nostalgia</t>
  </si>
  <si>
    <t>https://assets.ppy.sh/beatmaps/251437/covers/cover.jpg</t>
  </si>
  <si>
    <t>https://b.ppy.sh/thumb/251437l.jpg</t>
  </si>
  <si>
    <t>Junk Lady</t>
  </si>
  <si>
    <t>Deppy and Wanpachi's Insane</t>
  </si>
  <si>
    <t>567c8fc0776ca087e2ee86e1511d314e</t>
  </si>
  <si>
    <t>gst:live2022 great singapore tournament live 2022 gstlive custom map tourney aef asia esports festival online kallang wave mall exp esports experience center gstlive2022c5 japanese electronic pop j-pop jpop 初音ミク hatsune miku vocaloid ボーカロイド oneplusone respirte dogerinoo wanpachi</t>
  </si>
  <si>
    <t>https://assets.ppy.sh/beatmaps/1901819/covers/cover.jpg</t>
  </si>
  <si>
    <t>https://b.ppy.sh/thumb/1901819l.jpg</t>
  </si>
  <si>
    <t>Moonland</t>
  </si>
  <si>
    <t>Collab Another</t>
  </si>
  <si>
    <t>19603bff7fd64384423be06fc9bd5faa</t>
  </si>
  <si>
    <t>drumstep dubstep drum and bass dnb monstercat blossom ep electronic instrumental fort ciiyusmiapah ciyus_miapah ciyus miapah</t>
  </si>
  <si>
    <t>https://assets.ppy.sh/beatmaps/790382/covers/cover.jpg</t>
  </si>
  <si>
    <t>https://b.ppy.sh/thumb/790382l.jpg</t>
  </si>
  <si>
    <t>Calvaria</t>
  </si>
  <si>
    <t>Drivi'n greedy - Nhato Remix -</t>
  </si>
  <si>
    <t>BF's Insane</t>
  </si>
  <si>
    <t>9e370929c141b9f4bb6449dfdde564af</t>
  </si>
  <si>
    <t>binfhone c86 touhou 死体旅行 voyage be of good cheer! japanese video game electronic esquaria xeno blaze kaenbyou rin orin かえんびょう りん 火焔猫 燐 corpse th11 ヤヤネヒロコ ルオン drivin</t>
  </si>
  <si>
    <t>https://assets.ppy.sh/beatmaps/1185294/covers/cover.jpg</t>
  </si>
  <si>
    <t>https://b.ppy.sh/thumb/1185294l.jpg</t>
  </si>
  <si>
    <t>G2R2014 "GO BACK 2 YOUR ROOTS"</t>
  </si>
  <si>
    <t>Total Eclipse of The Sun</t>
  </si>
  <si>
    <t>1c624dc52dd499d88255e4c694b53716</t>
  </si>
  <si>
    <t>heaven punisher icekalt pandahero niva delis shirohamymommy smm nivalis mirash luscent sunfleur akito yoshikawa dva d'va;;;;;;;;5 yoshikawa45 bloodymalie g2r2014 労働八号 薪 d'va;;;;;;;;5 吉川明人 the bms of fighters 2004 reloaded reconstruction electronic instrumental speedcore featured artist fa</t>
  </si>
  <si>
    <t>https://assets.ppy.sh/beatmaps/1782707/covers/cover.jpg</t>
  </si>
  <si>
    <t>https://b.ppy.sh/thumb/1782707l.jpg</t>
  </si>
  <si>
    <t>Chirony</t>
  </si>
  <si>
    <t>ベルゼブブ嬢のお気に召すまま。</t>
  </si>
  <si>
    <t>Pink Lemonade</t>
  </si>
  <si>
    <t>6049745ee03db27ce36cfe1889681380</t>
  </si>
  <si>
    <t>op full versions anime japanese 分島花音 kanon wakeshima 堀江晶太 shota horie やいり yairi as miss beelzebub likes it</t>
  </si>
  <si>
    <t>https://assets.ppy.sh/beatmaps/941246/covers/cover.jpg</t>
  </si>
  <si>
    <t>https://b.ppy.sh/thumb/941246l.jpg</t>
  </si>
  <si>
    <t>MisomyL</t>
  </si>
  <si>
    <t>TNTlealu</t>
  </si>
  <si>
    <t>SOUND VOLTEX III GRAVITY WARS コナステ</t>
  </si>
  <si>
    <t>Ring ! Run ! Nyan!!</t>
  </si>
  <si>
    <t>dahkjdas' Insane~!!</t>
  </si>
  <si>
    <t>dd1d79e2986fdf99ac568a934ba04d5b</t>
  </si>
  <si>
    <t>bongo light_u light crysisters pado gazimal matsuyuki ame rk657 dahkjdas sweets imwater dailycare -hitomi l1ght_u sdvx vivid wave konasute version! original song contest infinite blaster rhythm video game electronic instrumental arcades</t>
  </si>
  <si>
    <t>MisomyL - Ring ! Run ! Nyan!! [dahkjdas' Insane~!!]</t>
  </si>
  <si>
    <t>https://osu.ppy.sh/beatmapsets/1752046#osu/3602794</t>
  </si>
  <si>
    <t>https://assets.ppy.sh/beatmaps/1752046/covers/cover.jpg</t>
  </si>
  <si>
    <t>https://b.ppy.sh/thumb/1752046l.jpg</t>
  </si>
  <si>
    <t>ZUTOMAYO</t>
  </si>
  <si>
    <t>Kan Saete Kuyashiiwa</t>
  </si>
  <si>
    <t>0e408d471d32017a53d9f8f22d574874</t>
  </si>
  <si>
    <t>zutto mayonaka de ii no ni. acane sukinathan scubdomino luscent 404_aimnotfound</t>
  </si>
  <si>
    <t>ZUTOMAYO - Kan Saete Kuyashiiwa [Insane]</t>
  </si>
  <si>
    <t>https://osu.ppy.sh/beatmapsets/1001507#osu/2161977</t>
  </si>
  <si>
    <t>https://assets.ppy.sh/beatmaps/1001507/covers/cover.jpg</t>
  </si>
  <si>
    <t>https://b.ppy.sh/thumb/1001507l.jpg</t>
  </si>
  <si>
    <t>DIALOGUE+</t>
  </si>
  <si>
    <t>弱キャラ友崎くん</t>
  </si>
  <si>
    <t>Jinsei Easy?</t>
  </si>
  <si>
    <t>LV.20 Finshie's Insane</t>
  </si>
  <si>
    <t>1682f0ec51b0162f78e775b449621bd5</t>
  </si>
  <si>
    <t>anime japanese pop j-pop jpop opening jaku chara tomozaki kun bottom tier character tomozaki-kun iljaaz keqing finshie kuse kubsnia_zhoyl_ winnie yogurtt lecandy asagi tsukinyuni matha petal</t>
  </si>
  <si>
    <t>https://assets.ppy.sh/beatmaps/1507979/covers/cover.jpg</t>
  </si>
  <si>
    <t>https://b.ppy.sh/thumb/1507979l.jpg</t>
  </si>
  <si>
    <t>beatmania IIDX 23 copula</t>
  </si>
  <si>
    <t>Routing</t>
  </si>
  <si>
    <t>Another</t>
  </si>
  <si>
    <t>d3ab180089be92dd7b48e643dd1acbc9</t>
  </si>
  <si>
    <t>22 pendual super future 2323 lasse low bpm alt jazzy electric house boogaloo featured artist</t>
  </si>
  <si>
    <t>https://assets.ppy.sh/beatmaps/663255/covers/cover.jpg</t>
  </si>
  <si>
    <t>https://b.ppy.sh/thumb/663255l.jpg</t>
  </si>
  <si>
    <t>Pmarusama.</t>
  </si>
  <si>
    <t>TtmnZk</t>
  </si>
  <si>
    <t>S'il vous President</t>
  </si>
  <si>
    <t>Teages's Insane</t>
  </si>
  <si>
    <t>ded316ddcb0ae901de52b528e65cf389</t>
  </si>
  <si>
    <t>beatmania iidx 28 bistrover sound voltex exceed gear dancedancerevolution a20 plus 岩見陸 iwami takashi teages too available yf_bmp nika mika my angel yayoi nikachyan -rei heikin teitoku japanese pop jpop j-pop p maru sama . p-maru-sama. nanahoshi kangen gakudan orchestra ナナホシ管弦楽団 大統領になったらね！ when i'm president! dadada</t>
  </si>
  <si>
    <t>https://assets.ppy.sh/beatmaps/1763440/covers/cover.jpg</t>
  </si>
  <si>
    <t>https://b.ppy.sh/thumb/1763440l.jpg</t>
  </si>
  <si>
    <t>Cytus</t>
  </si>
  <si>
    <t>Predawn</t>
  </si>
  <si>
    <t>Mixagji's Insane</t>
  </si>
  <si>
    <t>23157a65e49ff6edbd61aba5996502f1</t>
  </si>
  <si>
    <t>amb1d3x icekalt deep fried ice xenon- xehn xen otosaka-yu suzuki_1112 1112deng karen mashiro sama kagamine ren mixagji video game deemo instrumental classical rayark farewell knight kisata apaffy omgforz rosabell realazy collection stromboli chapter k electronic</t>
  </si>
  <si>
    <t>https://assets.ppy.sh/beatmaps/1586738/covers/cover.jpg</t>
  </si>
  <si>
    <t>https://b.ppy.sh/thumb/1586738l.jpg</t>
  </si>
  <si>
    <t>NIVIRO</t>
  </si>
  <si>
    <t>Asaiga</t>
  </si>
  <si>
    <t>Memes (Speed Up Ver.)</t>
  </si>
  <si>
    <t>moph's Insane</t>
  </si>
  <si>
    <t>406cb7fb179f61b1e4009b0586658a83</t>
  </si>
  <si>
    <t>yamicchi moph sdafsf electronic syrex</t>
  </si>
  <si>
    <t>https://assets.ppy.sh/beatmaps/776928/covers/cover.jpg</t>
  </si>
  <si>
    <t>https://b.ppy.sh/thumb/776928l.jpg</t>
  </si>
  <si>
    <t>Ocelot</t>
  </si>
  <si>
    <t>Hollow Wings</t>
  </si>
  <si>
    <t>KAEDE</t>
  </si>
  <si>
    <t>Kalindraz's EX</t>
  </si>
  <si>
    <t>9c8b40d577f3811aaa07609df9081d1f</t>
  </si>
  <si>
    <t>japan diverse system dubstep hatsune miku dj ginsuke ocelot sistema function phantom thinktech fanzhen0019 kalindraz kawashiro moecho koiyuki minakami yuki mtbbsben skystar amamiya yuko irreversible</t>
  </si>
  <si>
    <t>https://assets.ppy.sh/beatmaps/660630/covers/cover.jpg</t>
  </si>
  <si>
    <t>https://b.ppy.sh/thumb/660630l.jpg</t>
  </si>
  <si>
    <t>SOUND VOLTEX II -infinite infection-</t>
  </si>
  <si>
    <t>Lunatic Rough Party!!</t>
  </si>
  <si>
    <t>LCFC's HYPER</t>
  </si>
  <si>
    <t>fd0db343029ff3ff960afd472896c181</t>
  </si>
  <si>
    <t>sandrew tt mouse ttmnzk lowcombofc lcfc taku suzuki_1112 1112deng otosaka-yu z1085684963 kami-senpai electronic instrumental rhythm video game touhou project 東方project 東方紅魔郷 ～ the embodiment of scarlet devil. ルーネイトエルフ lunate elf sdvx サウンド ボルテックス -インフィニット インフェクション- cametek kamelcamellia かめるかめりあ</t>
  </si>
  <si>
    <t>https://assets.ppy.sh/beatmaps/737728/covers/cover.jpg</t>
  </si>
  <si>
    <t>https://b.ppy.sh/thumb/737728l.jpg</t>
  </si>
  <si>
    <t>TLQ_Yoshii</t>
  </si>
  <si>
    <t>ad9df7969b92152e2481a501ed912b75</t>
  </si>
  <si>
    <t>monolithia sunflower helblinde skymuted featured artist</t>
  </si>
  <si>
    <t>https://osu.ppy.sh/beatmapsets/974935#osu/2072245</t>
  </si>
  <si>
    <t>https://assets.ppy.sh/beatmaps/974935/covers/cover.jpg</t>
  </si>
  <si>
    <t>https://b.ppy.sh/thumb/974935l.jpg</t>
  </si>
  <si>
    <t>Rita</t>
  </si>
  <si>
    <t>Amamiya Yuko</t>
  </si>
  <si>
    <t>Dream Walker</t>
  </si>
  <si>
    <t>Quilt's Insane</t>
  </si>
  <si>
    <t>095e42de543c9ae68caa97083531e790</t>
  </si>
  <si>
    <t>raose hootowlstar quilt skystar drum and bass dnb taishi</t>
  </si>
  <si>
    <t>https://assets.ppy.sh/beatmaps/315299/covers/cover.jpg</t>
  </si>
  <si>
    <t>https://b.ppy.sh/thumb/315299l.jpg</t>
  </si>
  <si>
    <t>BUD VIRGIN LOGIC</t>
  </si>
  <si>
    <t>Mordred</t>
  </si>
  <si>
    <t>SHOW BY ROCK!!#</t>
  </si>
  <si>
    <t>x Senritsu -Schlehit Melodie-</t>
  </si>
  <si>
    <t>Satellite's Insane</t>
  </si>
  <si>
    <t>326223d1adc5814f429b8b97dccd47f5</t>
  </si>
  <si>
    <t>iljaaz keqing oriental satellite lasse 野口瑠璃子 ruriko noguchi 田中あいみ tanaka aimi 木戸衣吹 kido ibuki ailane peipain hundreko バッドヴァージンロジック bvl corsace open co2021 sf semifinals hd1 japanese rock</t>
  </si>
  <si>
    <t>BUD VIRGIN LOGIC - x Senritsu -Schlehit Melodie- [Satellite's Insane]</t>
  </si>
  <si>
    <t>https://osu.ppy.sh/beatmapsets/1569807#osu/3231091</t>
  </si>
  <si>
    <t>https://assets.ppy.sh/beatmaps/1569807/covers/cover.jpg</t>
  </si>
  <si>
    <t>https://b.ppy.sh/thumb/1569807l.jpg</t>
  </si>
  <si>
    <t>Su1fu7</t>
  </si>
  <si>
    <t>Deemo</t>
  </si>
  <si>
    <t>Wicked Fate</t>
  </si>
  <si>
    <t>LV.10</t>
  </si>
  <si>
    <t>897bf94b9900b4dc02968ab3096963c4</t>
  </si>
  <si>
    <t>m2ustudio rayark finshie myosotis nicode</t>
  </si>
  <si>
    <t>https://assets.ppy.sh/beatmaps/591635/covers/cover.jpg</t>
  </si>
  <si>
    <t>https://b.ppy.sh/thumb/591635l.jpg</t>
  </si>
  <si>
    <t>Self Deception</t>
  </si>
  <si>
    <t>Smoke</t>
  </si>
  <si>
    <t>Weight Of The World</t>
  </si>
  <si>
    <t>4c718c6b27855628d88ba1dd9857e15e</t>
  </si>
  <si>
    <t>melodic kaneki english rock</t>
  </si>
  <si>
    <t>https://assets.ppy.sh/beatmaps/1186066/covers/cover.jpg</t>
  </si>
  <si>
    <t>https://b.ppy.sh/thumb/1186066l.jpg</t>
  </si>
  <si>
    <t>tokiwa</t>
  </si>
  <si>
    <t>Mocaotic</t>
  </si>
  <si>
    <t>wasurena feat. Sennzai</t>
  </si>
  <si>
    <t>remembrance</t>
  </si>
  <si>
    <t>4c41d41758c745ebce042244ad58e845</t>
  </si>
  <si>
    <t>featured artist fa mappers' guild mpg future bass 常盤 electronic japanese vocals edm oriental</t>
  </si>
  <si>
    <t>https://assets.ppy.sh/beatmaps/1496234/covers/cover.jpg</t>
  </si>
  <si>
    <t>https://b.ppy.sh/thumb/1496234l.jpg</t>
  </si>
  <si>
    <t>WAGAMAMA RAKIA</t>
  </si>
  <si>
    <t>Log Off Now</t>
  </si>
  <si>
    <t>GR4VITY G4ME</t>
  </si>
  <si>
    <t>LOG OFF B4NTER'S INS4NE</t>
  </si>
  <si>
    <t>7f81a6f764dbdcac2072a50e2516842a</t>
  </si>
  <si>
    <t>japanese rock jrock j-rock gravity game 岸和田一樹 星熊 南巫 川﨑 怜奈 海羽 凜 hoshikuma minami kaine rin kawasaki layna kazuki kishiwada miri onyx banter akitoshi corinn -laura- skyflame mimiliaa mimilie suzuhara lulu hitsukuya hojo karen</t>
  </si>
  <si>
    <t>https://assets.ppy.sh/beatmaps/1855321/covers/cover.jpg</t>
  </si>
  <si>
    <t>https://b.ppy.sh/thumb/1855321l.jpg</t>
  </si>
  <si>
    <t>onoken</t>
  </si>
  <si>
    <t>tsukamaete</t>
  </si>
  <si>
    <t>Quinine -A2D SIDE-</t>
  </si>
  <si>
    <t>ec1cb918532a86e386e81eab0e4af26d</t>
  </si>
  <si>
    <t>ever17 mad dr_dy ignorethis tsuka</t>
  </si>
  <si>
    <t>https://assets.ppy.sh/beatmaps/12469/covers/cover.jpg</t>
  </si>
  <si>
    <t>https://b.ppy.sh/thumb/12469l.jpg</t>
  </si>
  <si>
    <t>BABYMETAL</t>
  </si>
  <si>
    <t>ItsWinter</t>
  </si>
  <si>
    <t>Arkadia</t>
  </si>
  <si>
    <t>Collab Expert</t>
  </si>
  <si>
    <t>57386fb62a438eca81d028131339cfef</t>
  </si>
  <si>
    <t>the silence player kerupt kiwies morphne power powermetal symphonic metal japanese english metal galaxy kawaii perennial nm2 2022 sf semi finals semifinals rock</t>
  </si>
  <si>
    <t>https://assets.ppy.sh/beatmaps/1695872/covers/cover.jpg</t>
  </si>
  <si>
    <t>https://b.ppy.sh/thumb/1695872l.jpg</t>
  </si>
  <si>
    <t>BLANKFIELD</t>
  </si>
  <si>
    <t>Deltarune</t>
  </si>
  <si>
    <t>THE WORLD REVOLVING</t>
  </si>
  <si>
    <t>c4c483f25c9b9255b1578e9f0cae4fa3</t>
  </si>
  <si>
    <t>undertale jevil boss vgm remix metal cover gabdu09 awfulness sanzu_alternate firiiu toby fox</t>
  </si>
  <si>
    <t>https://assets.ppy.sh/beatmaps/1215814/covers/cover.jpg</t>
  </si>
  <si>
    <t>https://b.ppy.sh/thumb/1215814l.jpg</t>
  </si>
  <si>
    <t>Jibaku Shounen Band</t>
  </si>
  <si>
    <t>Nevo</t>
  </si>
  <si>
    <t>地縛少年花子くん</t>
  </si>
  <si>
    <t>No.7</t>
  </si>
  <si>
    <t>Stack's Insane</t>
  </si>
  <si>
    <t>1e8fe3a3e31dea6428aca05559fbb070</t>
  </si>
  <si>
    <t>anime japanese rock jrock j-rock number 7 no seven hanako san kun toilet bound toilet-bound hanako-kun - from penguin research masayoshi ooishi opening op anchor habiholic len fast stack ggf gottagof4st</t>
  </si>
  <si>
    <t>https://assets.ppy.sh/beatmaps/1413965/covers/cover.jpg</t>
  </si>
  <si>
    <t>https://b.ppy.sh/thumb/1413965l.jpg</t>
  </si>
  <si>
    <t>Uinyasu, Occhoko Bunny</t>
  </si>
  <si>
    <t>GIDZ</t>
  </si>
  <si>
    <t>千の刃濤、桃花染の皇姫</t>
  </si>
  <si>
    <t>Aa Kenran no Yume ga Gotoku (Epsilon Remix)</t>
  </si>
  <si>
    <t>Dailycare's Insane</t>
  </si>
  <si>
    <t>685f8d9ba49929a9c9d8439c7030e2f6</t>
  </si>
  <si>
    <t>dirty farmer regou hellgou flask little cloudsplash16 matha -_matha_- petal xlolicore xlolicore- elsa valentine my angel watame naotoshi lasse flask dailycare morinaga sing nao tomori amamiya yuko skystar opening eroge visual novel sen no hatou tsukisome no kouki senmomo august soft op japanese gal game electronic jpop</t>
  </si>
  <si>
    <t>https://assets.ppy.sh/beatmaps/749096/covers/cover.jpg</t>
  </si>
  <si>
    <t>https://b.ppy.sh/thumb/749096l.jpg</t>
  </si>
  <si>
    <t>Mili</t>
  </si>
  <si>
    <t>Icekalt</t>
  </si>
  <si>
    <t>Ga1ahad and Scientific Witchery</t>
  </si>
  <si>
    <t>KKip's Insane</t>
  </si>
  <si>
    <t>789e9848f14089405833c0be42da1def</t>
  </si>
  <si>
    <t>miracle milk momocashew yamato kasai deemo yukihito mitomo shoto yoshida ame yamaguchi kkipalt</t>
  </si>
  <si>
    <t>https://assets.ppy.sh/beatmaps/932901/covers/cover.jpg</t>
  </si>
  <si>
    <t>https://b.ppy.sh/thumb/932901l.jpg</t>
  </si>
  <si>
    <t>Mori Calliope</t>
  </si>
  <si>
    <t>MERA MERA</t>
  </si>
  <si>
    <t>frozz's Insane</t>
  </si>
  <si>
    <t>bb676ca4c0c978ff4d79bc473c9bd9f9</t>
  </si>
  <si>
    <t>森カリオペ shinigami note ホロライブ hololive holomyth hololive-en en バーチャルユーチューバー virtual yt youtube youtuber vtuber japanese english pop hip hop hip-hop giga p giga-p mocaotic iceluin frozz -keqing extra</t>
  </si>
  <si>
    <t>https://assets.ppy.sh/beatmaps/1847288/covers/cover.jpg</t>
  </si>
  <si>
    <t>https://b.ppy.sh/thumb/1847288l.jpg</t>
  </si>
  <si>
    <t>DVP</t>
  </si>
  <si>
    <t>Lasse's Insane</t>
  </si>
  <si>
    <t>0c7077b44e25b009ec73f4dc4de9e718</t>
  </si>
  <si>
    <t>fa featured artist the dream is over english indie punk rock fieryrage lasse milan- maestrosplinter mir</t>
  </si>
  <si>
    <t>https://assets.ppy.sh/beatmaps/756815/covers/cover.jpg</t>
  </si>
  <si>
    <t>https://b.ppy.sh/thumb/756815l.jpg</t>
  </si>
  <si>
    <t>Maison book girl</t>
  </si>
  <si>
    <t>snow irony_</t>
  </si>
  <si>
    <t>deppy's insane_</t>
  </si>
  <si>
    <t>482078635e303c5806fb678f066cb070</t>
  </si>
  <si>
    <t>nagaraia airiesu deppyforce bath room best album "fiction" 矢川葵 yagawa aoi コショージメグミ koshouji koshoji coshoji coshouji megumi 井上唯 inoue yui 和田輪 wada rin tokumajapan japanese pop jpop idol</t>
  </si>
  <si>
    <t>https://osu.ppy.sh/beatmapsets/1351876#osu/2800663</t>
  </si>
  <si>
    <t>https://assets.ppy.sh/beatmaps/1351876/covers/cover.jpg</t>
  </si>
  <si>
    <t>https://b.ppy.sh/thumb/1351876l.jpg</t>
  </si>
  <si>
    <t>Yuma Mizonokuchi</t>
  </si>
  <si>
    <t>akasha-simulater</t>
  </si>
  <si>
    <t>389c1c25530ef6d973b648c23e8a346e</t>
  </si>
  <si>
    <t>strawberry crisis ai ohsera yuri nashimoto seventh-heaven ammy's</t>
  </si>
  <si>
    <t>https://assets.ppy.sh/beatmaps/31480/covers/cover.jpg</t>
  </si>
  <si>
    <t>https://b.ppy.sh/thumb/31480l.jpg</t>
  </si>
  <si>
    <t>Yousei no Kiri</t>
  </si>
  <si>
    <t>d9b1a444546548235962e608d37253d2</t>
  </si>
  <si>
    <t>fairy of the mist featured artist fa kikuoworld 黄菊しーく si_ku.k folk electronic instrumental damnjelly</t>
  </si>
  <si>
    <t>https://assets.ppy.sh/beatmaps/1880072/covers/cover.jpg</t>
  </si>
  <si>
    <t>https://b.ppy.sh/thumb/1880072l.jpg</t>
  </si>
  <si>
    <t>Cyberpunk: Edgerunners</t>
  </si>
  <si>
    <t>This Fffire (TV Size)</t>
  </si>
  <si>
    <t>enri's iNnnsane</t>
  </si>
  <si>
    <t>ee2ac974eba3c7c42fc2f8ff8a0097b7</t>
  </si>
  <si>
    <t>my angel nino mindmaster107 ralkinson enri kieg fisky tycani fuiba fuyu cd projekt red 2077 english rock anime op opening original video game videogame burnout 3: takedown</t>
  </si>
  <si>
    <t>https://assets.ppy.sh/beatmaps/1857926/covers/cover.jpg</t>
  </si>
  <si>
    <t>https://b.ppy.sh/thumb/1857926l.jpg</t>
  </si>
  <si>
    <t>Guitar to Kodoku to Aoi Hoshi</t>
  </si>
  <si>
    <t>kuuti's Insane</t>
  </si>
  <si>
    <t>4f52519feef1668d3e3b6c43bb91d0ae</t>
  </si>
  <si>
    <t>loneliness and blue planet wakusei bocchi the rock japanese anime jrock j-rock insert song ikuyo kita ikumi hasegawa erisu lanzhu frozz -keqing gazimal shizuku- shikibe mayu ayesha altugle kazato asa kuuti</t>
  </si>
  <si>
    <t>https://assets.ppy.sh/beatmaps/1888886/covers/cover.jpg</t>
  </si>
  <si>
    <t>https://b.ppy.sh/thumb/1888886l.jpg</t>
  </si>
  <si>
    <t>Asymmetry</t>
  </si>
  <si>
    <t>pk's Hard</t>
  </si>
  <si>
    <t>9095bab442c9d9b2937219f1acf22360</t>
  </si>
  <si>
    <t>captin1 p_a_n pan kibbleru pkk pkmnyab meyrink no title title- l.petty giga gigap giga-p れをる reworu utaite</t>
  </si>
  <si>
    <t>https://assets.ppy.sh/beatmaps/292077/covers/cover.jpg</t>
  </si>
  <si>
    <t>https://b.ppy.sh/thumb/292077l.jpg</t>
  </si>
  <si>
    <t>City Girl</t>
  </si>
  <si>
    <t>Hinsvar</t>
  </si>
  <si>
    <t>L2M (feat. Kelsey Kuan)</t>
  </si>
  <si>
    <t>Niva's Insane</t>
  </si>
  <si>
    <t>8b66a12a780e47db7111ec869e3637f2</t>
  </si>
  <si>
    <t>lie to me c-girl english hip hop hip-hop hiphop chillhop pop lofi lo-fi niva</t>
  </si>
  <si>
    <t>https://assets.ppy.sh/beatmaps/1668789/covers/cover.jpg</t>
  </si>
  <si>
    <t>https://b.ppy.sh/thumb/1668789l.jpg</t>
  </si>
  <si>
    <t>Wie ich bin</t>
  </si>
  <si>
    <t>Trust</t>
  </si>
  <si>
    <t>8bb2b6e3af733bbd056b71ee02226dcf</t>
  </si>
  <si>
    <t>german deutsch raop hip pop rap male maske vocalist panda mask sirmirai mirai takakin ryaldin kuki1537 muya-</t>
  </si>
  <si>
    <t>https://assets.ppy.sh/beatmaps/1415788/covers/cover.jpg</t>
  </si>
  <si>
    <t>https://b.ppy.sh/thumb/1415788l.jpg</t>
  </si>
  <si>
    <t>Discommunication Alien</t>
  </si>
  <si>
    <t>Ayyken's Another</t>
  </si>
  <si>
    <t>f036009891814c451950e3de19dcb7c6</t>
  </si>
  <si>
    <t>カバー japanese pop cover vtuber バーチャルyoutuber virtual youtuber ホロライブ hololive ナナヲアカリ nanawo akari ナユタン星人 nayutalien nayutan seijin coloured glazee kanor x light eiri- ayyri wiken</t>
  </si>
  <si>
    <t>https://assets.ppy.sh/beatmaps/1181343/covers/cover.jpg</t>
  </si>
  <si>
    <t>https://b.ppy.sh/thumb/1181343l.jpg</t>
  </si>
  <si>
    <t>Megpoid GUMI</t>
  </si>
  <si>
    <t>NatsumeRin</t>
  </si>
  <si>
    <t>Mozaik Role</t>
  </si>
  <si>
    <t>epa-</t>
  </si>
  <si>
    <t>d70903ac68285623a41e3deb9129545d</t>
  </si>
  <si>
    <t>vocaloid vocaloid2 akka mirto mosaic roll pokie lks eveless 100pa- samipale colin hou</t>
  </si>
  <si>
    <t>https://assets.ppy.sh/beatmaps/20817/covers/cover.jpg</t>
  </si>
  <si>
    <t>https://b.ppy.sh/thumb/20817l.jpg</t>
  </si>
  <si>
    <t>SHK</t>
  </si>
  <si>
    <t>Hoto Cocoa</t>
  </si>
  <si>
    <t>Halloween Party</t>
  </si>
  <si>
    <t>Heilia's Insane</t>
  </si>
  <si>
    <t>f2476f79d71d6376c37d3dcec2c28bbc</t>
  </si>
  <si>
    <t>dcinside osgt3 electronic instrumental 할로윈 파티 사이터스 classical dance video game soundholick chapter 10 ten the new world heilia jeby enon</t>
  </si>
  <si>
    <t>https://assets.ppy.sh/beatmaps/1682134/covers/cover.jpg</t>
  </si>
  <si>
    <t>https://b.ppy.sh/thumb/1682134l.jpg</t>
  </si>
  <si>
    <t>me &amp; u</t>
  </si>
  <si>
    <t>sing's insane</t>
  </si>
  <si>
    <t>425f7b2d8006bf62f8ad717579877996</t>
  </si>
  <si>
    <t>airuei sukinathan sing venax alphabet kaifin toybot future bass cassie</t>
  </si>
  <si>
    <t>https://assets.ppy.sh/beatmaps/699749/covers/cover.jpg</t>
  </si>
  <si>
    <t>https://b.ppy.sh/thumb/699749l.jpg</t>
  </si>
  <si>
    <t>Mole</t>
  </si>
  <si>
    <t>Kyutei's Insane</t>
  </si>
  <si>
    <t>38b84b4f4ffdb536781e19c83c19c100</t>
  </si>
  <si>
    <t>future challenge 2 diverse direct dvsp-0254 bass dance edm electronic instrumental nm4 no mod tech nct neko's club tournament oriental ancul kyutei anya melfissa shingyouji yuni</t>
  </si>
  <si>
    <t>https://assets.ppy.sh/beatmaps/1574603/covers/cover.jpg</t>
  </si>
  <si>
    <t>https://b.ppy.sh/thumb/1574603l.jpg</t>
  </si>
  <si>
    <t>System Sun</t>
  </si>
  <si>
    <t>ed419bf874b850000228b695d2facda3</t>
  </si>
  <si>
    <t>d'va;;;;;;;;5 dva5 electronic instrumental sun fleur akito yoshikawa owc2021qfdt2 owc2021 qf dt2</t>
  </si>
  <si>
    <t>https://assets.ppy.sh/beatmaps/1616029/covers/cover.jpg</t>
  </si>
  <si>
    <t>https://b.ppy.sh/thumb/1616029l.jpg</t>
  </si>
  <si>
    <t>chaos eater -IIDX edition-</t>
  </si>
  <si>
    <t>12090b0f4d415045c3d1ec101ba57c69</t>
  </si>
  <si>
    <t>dancedancerevolution ddr 2014 gitadora nex+age nextage video game instrumental electronic bemani konami 佐藤直之 naoyuki sato hard step</t>
  </si>
  <si>
    <t>https://assets.ppy.sh/beatmaps/1248923/covers/cover.jpg</t>
  </si>
  <si>
    <t>https://b.ppy.sh/thumb/1248923l.jpg</t>
  </si>
  <si>
    <t>beatMARIO</t>
  </si>
  <si>
    <t>alacat</t>
  </si>
  <si>
    <t>Night of Knights</t>
  </si>
  <si>
    <t>N a s y a's Insane</t>
  </si>
  <si>
    <t>20068484c1558f2a75d5ee7a5d4e01ad</t>
  </si>
  <si>
    <t>guy sionkotori iyasine n_a_s_y_a nasya zun touhou kaeidzuka 東方花映塚 ～ phantasmagoria of flower view. 十六夜咲夜 izayoi sakuya フラワリングナイト flowering night th09 上海アリス幻樂団 team shanghai alice 花詠束 -hanataba- unionest.net</t>
  </si>
  <si>
    <t>https://assets.ppy.sh/beatmaps/352570/covers/cover.jpg</t>
  </si>
  <si>
    <t>https://b.ppy.sh/thumb/352570l.jpg</t>
  </si>
  <si>
    <t>Yooh</t>
  </si>
  <si>
    <t>Twiggykun</t>
  </si>
  <si>
    <t>Heracles</t>
  </si>
  <si>
    <t>6c9c5ec1c18bf4239c95ce454c44d791</t>
  </si>
  <si>
    <t>integertempest hercules witow08 ryxliee fa featured artist instrumental electronic symphonic hardcore adofai a dance of fire and ice</t>
  </si>
  <si>
    <t>https://assets.ppy.sh/beatmaps/1659194/covers/cover.jpg</t>
  </si>
  <si>
    <t>https://b.ppy.sh/thumb/1659194l.jpg</t>
  </si>
  <si>
    <t>-Chata-</t>
  </si>
  <si>
    <t>snow storm -euphoria-</t>
  </si>
  <si>
    <t>INFINITE</t>
  </si>
  <si>
    <t>a34e088f195dd0d64c3cf6a893557023</t>
  </si>
  <si>
    <t>sdvx dj taka euphoria kshr</t>
  </si>
  <si>
    <t>Yooh - snow storm -euphoria- [INFINITE]</t>
  </si>
  <si>
    <t>https://osu.ppy.sh/beatmapsets/156235#osu/574187</t>
  </si>
  <si>
    <t>https://assets.ppy.sh/beatmaps/156235/covers/cover.jpg</t>
  </si>
  <si>
    <t>https://b.ppy.sh/thumb/156235l.jpg</t>
  </si>
  <si>
    <t>EXHAUST</t>
  </si>
  <si>
    <t>fdf9914923be7106ab192ac5221005f8</t>
  </si>
  <si>
    <t>Unexisted</t>
  </si>
  <si>
    <t>827898e2bd1a1aed429bddcc5ce58e73</t>
  </si>
  <si>
    <t>archetype melodic death metal rock taom repentless records english nm5</t>
  </si>
  <si>
    <t>https://assets.ppy.sh/beatmaps/2023886/covers/cover.jpg</t>
  </si>
  <si>
    <t>https://b.ppy.sh/thumb/2023886l.jpg</t>
  </si>
  <si>
    <t>Lil Darkie</t>
  </si>
  <si>
    <t>netnesanya</t>
  </si>
  <si>
    <t>banana pie</t>
  </si>
  <si>
    <t>the edge of the world</t>
  </si>
  <si>
    <t>086daf6022ce9a0fb6555a34bbd7f5e1</t>
  </si>
  <si>
    <t>alternative rock tsuyunoshi wenect wenet unranked mapper stormiverse ducky- ducky -light- maruoko delette alwayschoke english</t>
  </si>
  <si>
    <t>Lil Darkie - banana pie [the edge of the world]</t>
  </si>
  <si>
    <t>https://osu.ppy.sh/beatmapsets/1494455#osu/3063080</t>
  </si>
  <si>
    <t>https://assets.ppy.sh/beatmaps/1494455/covers/cover.jpg</t>
  </si>
  <si>
    <t>https://b.ppy.sh/thumb/1494455l.jpg</t>
  </si>
  <si>
    <t>timer</t>
  </si>
  <si>
    <t>7a7b1f36a0e55d371ea0d5a4d4c430d8</t>
  </si>
  <si>
    <t>8bit cash machine go! dance electronic chiptune featured artist</t>
  </si>
  <si>
    <t>https://assets.ppy.sh/beatmaps/1089084/covers/cover.jpg</t>
  </si>
  <si>
    <t>https://b.ppy.sh/thumb/1089084l.jpg</t>
  </si>
  <si>
    <t>maimai でらっくす FESTiVAL</t>
  </si>
  <si>
    <t>Marshall Maximizer feat. KAFU</t>
  </si>
  <si>
    <t>8c7bdc29572b3839a168478733d27464</t>
  </si>
  <si>
    <t>purplegaze pop japanese jpop demon core incident musical isotope series kamitsubaki studio 神椿スタジオ cevio cevioai ai 花譜 maasharu makishimaizaa maximiser かふ kaf j-pop 可 か 不 音楽的同位体 vocaloid vocal synthesizer vocasynth magunetaito deluxe 6wc2 6 digit world cup 2 6wc</t>
  </si>
  <si>
    <t>https://assets.ppy.sh/beatmaps/1851405/covers/cover.jpg</t>
  </si>
  <si>
    <t>https://b.ppy.sh/thumb/1851405l.jpg</t>
  </si>
  <si>
    <t>RIOT</t>
  </si>
  <si>
    <t>Overkill</t>
  </si>
  <si>
    <t>Noble</t>
  </si>
  <si>
    <t>e19353ad7f17d651ef38bc3858692386</t>
  </si>
  <si>
    <t>drumstep monstercat uncaged vol. 6 english drum and bass dnb beat saber beatsaber weareriot cut xenon- xehn</t>
  </si>
  <si>
    <t>https://assets.ppy.sh/beatmaps/992847/covers/cover.jpg</t>
  </si>
  <si>
    <t>https://b.ppy.sh/thumb/992847l.jpg</t>
  </si>
  <si>
    <t>Doki-Doki</t>
  </si>
  <si>
    <t>rockstarrzz' Insane</t>
  </si>
  <si>
    <t>ebc67f2ca26d13bec49140ce48f82bde</t>
  </si>
  <si>
    <t>power up melodic death metal mujousekai mechanizen rockstarrzz</t>
  </si>
  <si>
    <t>https://assets.ppy.sh/beatmaps/519054/covers/cover.jpg</t>
  </si>
  <si>
    <t>https://b.ppy.sh/thumb/519054l.jpg</t>
  </si>
  <si>
    <t>aran</t>
  </si>
  <si>
    <t>Mikky</t>
  </si>
  <si>
    <t>Sunny After Rain [feat. Kanata.N]</t>
  </si>
  <si>
    <t>Rainbow</t>
  </si>
  <si>
    <t>df59ce5c8e5d794a8bf645d695f661db</t>
  </si>
  <si>
    <t>japanese pop electro aran jpop hype drop dnb drum and bass electronic</t>
  </si>
  <si>
    <t>https://assets.ppy.sh/beatmaps/1140943/covers/cover.jpg</t>
  </si>
  <si>
    <t>https://b.ppy.sh/thumb/1140943l.jpg</t>
  </si>
  <si>
    <t>バカとテストと召喚獣</t>
  </si>
  <si>
    <t>Perfect-area complete!</t>
  </si>
  <si>
    <t>Asuka_-'s Insane</t>
  </si>
  <si>
    <t>6d0a40da5b6e3c39ce29b327a87d2d3c</t>
  </si>
  <si>
    <t>opening 笨蛋 測驗 召喚獸 笨測 笨蛋 测验 召唤兽 笨测 dored pata-mon walaowey dream117er asuka_- old school yf_bmp movement of magic anime japanese baka to test to shokanju shoukanjuu</t>
  </si>
  <si>
    <t>https://assets.ppy.sh/beatmaps/927758/covers/cover.jpg</t>
  </si>
  <si>
    <t>https://b.ppy.sh/thumb/927758l.jpg</t>
  </si>
  <si>
    <t>eXxxpert</t>
  </si>
  <si>
    <t>5c9cbed3bf1b3f5a3e9ebe450c42a321</t>
  </si>
  <si>
    <t>Franz Ferdinand - This Fffire (TV Size) [eXxxpert]</t>
  </si>
  <si>
    <t>https://osu.ppy.sh/beatmapsets/1857926#osu/3818733</t>
  </si>
  <si>
    <t>tycani's iNnnsane</t>
  </si>
  <si>
    <t>eadf00404b3b611034f0c1747f11d4ec</t>
  </si>
  <si>
    <t>Franz Ferdinand - This Fffire (TV Size) [tycani's iNnnsane]</t>
  </si>
  <si>
    <t>https://osu.ppy.sh/beatmapsets/1857926#osu/3835538</t>
  </si>
  <si>
    <t>ペルソナ5 スクランブル ザ ファントム ストライカーズ</t>
  </si>
  <si>
    <t>Last Surprise -Scramble-</t>
  </si>
  <si>
    <t>Expert</t>
  </si>
  <si>
    <t>eac4de6a490af6db9681ba97d1ce3ed7</t>
  </si>
  <si>
    <t>flake yudragen chaoticred inaizumi persona 5 scramble the phantom strikers p5s masa remix benjamin franklin atlus shin megami tensei 真 女神転生 rock jazz video game english ost original soundtrack disc2</t>
  </si>
  <si>
    <t>https://assets.ppy.sh/beatmaps/1178471/covers/cover.jpg</t>
  </si>
  <si>
    <t>https://b.ppy.sh/thumb/1178471l.jpg</t>
  </si>
  <si>
    <t>squall</t>
  </si>
  <si>
    <t>0pp's Insane (Tournament Edit)</t>
  </si>
  <si>
    <t>d2f0f03d0fe25edf56451a75dbb8ae9e</t>
  </si>
  <si>
    <t>https://assets.ppy.sh/beatmaps/1441316/covers/cover.jpg</t>
  </si>
  <si>
    <t>https://b.ppy.sh/thumb/1441316l.jpg</t>
  </si>
  <si>
    <t>Cigarettes in the Theatre</t>
  </si>
  <si>
    <t>78678f5d79c4dca3ad7fd1609a210d76</t>
  </si>
  <si>
    <t>tdcc tourist history british indie rock english fisky myxo myxomatosis elinor eli [_eli_]</t>
  </si>
  <si>
    <t>https://assets.ppy.sh/beatmaps/1598238/covers/cover.jpg</t>
  </si>
  <si>
    <t>https://b.ppy.sh/thumb/1598238l.jpg</t>
  </si>
  <si>
    <t>Favourite Mistake [Halogenix Edit]</t>
  </si>
  <si>
    <t>099b4af0d5d2e6f5140bca1294c165cc</t>
  </si>
  <si>
    <t>nm2 dnb drum and bass english electronic halogenix edit remix</t>
  </si>
  <si>
    <t>https://assets.ppy.sh/beatmaps/1785134/covers/cover.jpg</t>
  </si>
  <si>
    <t>https://b.ppy.sh/thumb/1785134l.jpg</t>
  </si>
  <si>
    <t>CHO-DARI-</t>
  </si>
  <si>
    <t>EX</t>
  </si>
  <si>
    <t>ddfabc90c5d9697dca1dd88c15de965e</t>
  </si>
  <si>
    <t>t6 kudo vtuber youtube virtual youtuber nijisanji にじさんじ rei sirose 白瀬玲 dustcell ema em a mocaotic rosiie elinor [_eli_] eli japanese hip hop pop 23.exe cover hatsune miku vocaloid chodari cho dari</t>
  </si>
  <si>
    <t>https://assets.ppy.sh/beatmaps/1328138/covers/cover.jpg</t>
  </si>
  <si>
    <t>https://b.ppy.sh/thumb/1328138l.jpg</t>
  </si>
  <si>
    <t>BPM15Q</t>
  </si>
  <si>
    <t>Venyera</t>
  </si>
  <si>
    <t>Go Shoot!</t>
  </si>
  <si>
    <t>Melo's Insane</t>
  </si>
  <si>
    <t>c56fa4783bff7cfd889c5eb9a2adf734</t>
  </si>
  <si>
    <t>petitpas! cy8er cyber nicamoq ichigorinahamu yunomi bny963 electronic japanese goshu goshoot! zekk refia melophobia arronchu1207 にかもきゅ 苺りなはむ yokoyama rina 横山利奈 ヨコヤマリナ all songs track 9 #9 number 2016</t>
  </si>
  <si>
    <t>https://assets.ppy.sh/beatmaps/1436167/covers/cover.jpg</t>
  </si>
  <si>
    <t>https://b.ppy.sh/thumb/1436167l.jpg</t>
  </si>
  <si>
    <t>ZAQ</t>
  </si>
  <si>
    <t>Petal</t>
  </si>
  <si>
    <t>ようこそ実力至上主義の教室へ 2nd Season</t>
  </si>
  <si>
    <t>Dance In The Game</t>
  </si>
  <si>
    <t>Light's Insane</t>
  </si>
  <si>
    <t>6640b4feaba0beca66f4aaa45be730d0</t>
  </si>
  <si>
    <t>owc2022ro16nm3 world cup round of no mod japanese pop jpop j-pop rock j-rock jrock alt zaqpot classroom of the elite オープニングテーマ opening full anime yōkoso jitsuryoku shugi no kyōshitsu gidz iredi koldnoodl netnesanya -light- aurorance cjstmdals matha</t>
  </si>
  <si>
    <t>https://assets.ppy.sh/beatmaps/1871920/covers/cover.jpg</t>
  </si>
  <si>
    <t>https://b.ppy.sh/thumb/1871920l.jpg</t>
  </si>
  <si>
    <t>Irreversible Mechanism</t>
  </si>
  <si>
    <t>Platnuu</t>
  </si>
  <si>
    <t>Cold Winds</t>
  </si>
  <si>
    <t>4be1fc823d645173a95165fd8f60493b</t>
  </si>
  <si>
    <t>symphonic death metal infinite fields davvy goldenwolf english</t>
  </si>
  <si>
    <t>https://assets.ppy.sh/beatmaps/1030737/covers/cover.jpg</t>
  </si>
  <si>
    <t>https://b.ppy.sh/thumb/1030737l.jpg</t>
  </si>
  <si>
    <t>bbno$ &amp; Rich Brian</t>
  </si>
  <si>
    <t>Bakugo-</t>
  </si>
  <si>
    <t>edamame</t>
  </si>
  <si>
    <t>flakesjan's extra</t>
  </si>
  <si>
    <t>c8514521356d09c4b8ab429719992b5c</t>
  </si>
  <si>
    <t>english pop rap hip hop hip-hop hiphop kieg enri bakugo arronchu chu arronchu1207 jamesjan3 thexo chompy flake gokugohan12468 kittyadventure eat ya veggies diamond pistols alexander leon gumuchian baby no money mula imanuel le mirai sirmirai cacturne soewarno</t>
  </si>
  <si>
    <t>https://assets.ppy.sh/beatmaps/1557107/covers/cover.jpg</t>
  </si>
  <si>
    <t>https://b.ppy.sh/thumb/1557107l.jpg</t>
  </si>
  <si>
    <t>Akatsuki Records</t>
  </si>
  <si>
    <t>-Rik-</t>
  </si>
  <si>
    <t>東方夢時空　～ Pantasmagria of Dim.Dream</t>
  </si>
  <si>
    <t>KARMANATIONS</t>
  </si>
  <si>
    <t>88eb77bd8f1a16eda94f742064a0a01c</t>
  </si>
  <si>
    <t>stack japanese touhou vocal video game pop 蓬莱人形 ～ dolls in pseudo paradise zun 東方project mima phantasmagoria th3 blooddark/karmanations c98 リーインカーネイション</t>
  </si>
  <si>
    <t>https://assets.ppy.sh/beatmaps/1283387/covers/cover.jpg</t>
  </si>
  <si>
    <t>https://b.ppy.sh/thumb/1283387l.jpg</t>
  </si>
  <si>
    <t>jonathanlfj</t>
  </si>
  <si>
    <t>Plus Danshi ver Reol</t>
  </si>
  <si>
    <t>a1c9232fa9f2f2184215681057f73e6e</t>
  </si>
  <si>
    <t>apaffy ギガ △○□× giga p giga-p okiku 鏡音レン kagamine len vocaloid cover +danshi boy</t>
  </si>
  <si>
    <t>https://assets.ppy.sh/beatmaps/295225/covers/cover.jpg</t>
  </si>
  <si>
    <t>https://b.ppy.sh/thumb/295225l.jpg</t>
  </si>
  <si>
    <t>Trynna</t>
  </si>
  <si>
    <t>Pugna cum maga</t>
  </si>
  <si>
    <t>12085e1871f663073ee560a49ec272c1</t>
  </si>
  <si>
    <t>seto kousuke puella magi mahou shoujo madoka magica guitar duel with a witch</t>
  </si>
  <si>
    <t>https://assets.ppy.sh/beatmaps/853045/covers/cover.jpg</t>
  </si>
  <si>
    <t>https://b.ppy.sh/thumb/853045l.jpg</t>
  </si>
  <si>
    <t>Primitive emotion</t>
  </si>
  <si>
    <t>778bb95a0b1e4cb2bf883bad48868434</t>
  </si>
  <si>
    <t>o2o kalibe schoolboy komore</t>
  </si>
  <si>
    <t>https://assets.ppy.sh/beatmaps/755512/covers/cover.jpg</t>
  </si>
  <si>
    <t>https://b.ppy.sh/thumb/755512l.jpg</t>
  </si>
  <si>
    <t>Cait Sith</t>
  </si>
  <si>
    <t>Setu's Hard</t>
  </si>
  <si>
    <t>5a025b8a22b03cdaf2dfe228e4b980ee</t>
  </si>
  <si>
    <t>dream chasers featured artist fa electronic instrumental setu wyrio bongo dailycare chai the tea</t>
  </si>
  <si>
    <t>https://assets.ppy.sh/beatmaps/1848926/covers/cover.jpg</t>
  </si>
  <si>
    <t>https://b.ppy.sh/thumb/1848926l.jpg</t>
  </si>
  <si>
    <t>defiance</t>
  </si>
  <si>
    <t>LEMONS feat. kennedi</t>
  </si>
  <si>
    <t>lemonade</t>
  </si>
  <si>
    <t>d7222112ad6dfe4cb89463f09f204a59</t>
  </si>
  <si>
    <t>mangotale english electronic osuskrub quanhitter39 mappers’ guild featured artist fa osu! pop</t>
  </si>
  <si>
    <t>https://assets.ppy.sh/beatmaps/1272023/covers/cover.jpg</t>
  </si>
  <si>
    <t>https://b.ppy.sh/thumb/1272023l.jpg</t>
  </si>
  <si>
    <t>HyperJuice</t>
  </si>
  <si>
    <t>Plaudible</t>
  </si>
  <si>
    <t>City Lights feat. EVO+, Jinmenusagi (Zekk Remix)</t>
  </si>
  <si>
    <t>C00L &amp; Yamicchi's Another</t>
  </si>
  <si>
    <t>d93b1d80c31c92fce4f888a79a4e9e3b</t>
  </si>
  <si>
    <t>japanese future bass electronic yamicchi c00l cool lokidoki fall</t>
  </si>
  <si>
    <t>https://assets.ppy.sh/beatmaps/663220/covers/cover.jpg</t>
  </si>
  <si>
    <t>https://b.ppy.sh/thumb/663220l.jpg</t>
  </si>
  <si>
    <t>Rude-a</t>
  </si>
  <si>
    <t>arronchu1207</t>
  </si>
  <si>
    <t>SK∞ エスケーエイト</t>
  </si>
  <si>
    <t>Paradise</t>
  </si>
  <si>
    <t>Lobelia's Insane</t>
  </si>
  <si>
    <t>939a8322d6ff5dce92b2a4077c6efcd7</t>
  </si>
  <si>
    <t>rude-alpha lobelia abhor [_abhor_] sk8 skate the infinity anime japanese jpop j-pop pop rap hip hop opening op full ver version</t>
  </si>
  <si>
    <t>https://assets.ppy.sh/beatmaps/1391326/covers/cover.jpg</t>
  </si>
  <si>
    <t>https://b.ppy.sh/thumb/1391326l.jpg</t>
  </si>
  <si>
    <t>PoLKs</t>
  </si>
  <si>
    <t>381d0ee3efb7d9b5dd7c9e771a4a1610</t>
  </si>
  <si>
    <t>Luvin' You</t>
  </si>
  <si>
    <t>Alazy's Another</t>
  </si>
  <si>
    <t>2f8d59443b4be3aa53c1b0278924015e</t>
  </si>
  <si>
    <t>Alace azuki Alazy featured artist</t>
  </si>
  <si>
    <t>https://assets.ppy.sh/beatmaps/8923/covers/cover.jpg</t>
  </si>
  <si>
    <t>https://b.ppy.sh/thumb/8923l.jpg</t>
  </si>
  <si>
    <t>BEASTARS</t>
  </si>
  <si>
    <t>Wild Side</t>
  </si>
  <si>
    <t>Squilly's Insane</t>
  </si>
  <si>
    <t>b4b06daf9e79d2b2fdc0d88336a2f82d</t>
  </si>
  <si>
    <t>ビースターズ anime opening op full version japanese english french jazz hip hop rap -keitaro error- hooni ayyri eiri- wanpachi cycopton apo11o squilly</t>
  </si>
  <si>
    <t>https://assets.ppy.sh/beatmaps/1109683/covers/cover.jpg</t>
  </si>
  <si>
    <t>https://b.ppy.sh/thumb/1109683l.jpg</t>
  </si>
  <si>
    <t>POISON -KO3 Remix-</t>
  </si>
  <si>
    <t>f843bed25555c37915427b9c26348216</t>
  </si>
  <si>
    <t>magical mixer electronic future bass dance music female vocals tokyo yuce-0006 instrumental english</t>
  </si>
  <si>
    <t>https://assets.ppy.sh/beatmaps/967021/covers/cover.jpg</t>
  </si>
  <si>
    <t>https://b.ppy.sh/thumb/967021l.jpg</t>
  </si>
  <si>
    <t>Hotaru wa Inakatta</t>
  </si>
  <si>
    <t>4401544db153c74a4c26d612a6b92460</t>
  </si>
  <si>
    <t>firefly fireflies never came stargirl vocaloid jpop j-pop j pop japanese kubsnia_zhoyl_ kuse setu shiratamamywife</t>
  </si>
  <si>
    <t>https://assets.ppy.sh/beatmaps/1676960/covers/cover.jpg</t>
  </si>
  <si>
    <t>https://b.ppy.sh/thumb/1676960l.jpg</t>
  </si>
  <si>
    <t>ALiCE'S EMOTiON</t>
  </si>
  <si>
    <t>Frostmourne</t>
  </si>
  <si>
    <t>LUNA</t>
  </si>
  <si>
    <t>a1cfddb9804e83d916f136a091ef4ec9</t>
  </si>
  <si>
    <t>izayoi sakuya lunar clock luna dial moon kana overture redalice nomiya ayumi 0OoMickeyoO0 Mixagji</t>
  </si>
  <si>
    <t>https://assets.ppy.sh/beatmaps/47124/covers/cover.jpg</t>
  </si>
  <si>
    <t>https://b.ppy.sh/thumb/47124l.jpg</t>
  </si>
  <si>
    <t>Ricky Montgomery</t>
  </si>
  <si>
    <t>jiebi</t>
  </si>
  <si>
    <t>This December</t>
  </si>
  <si>
    <t>Stalker</t>
  </si>
  <si>
    <t>a672550829b5ef3a444204ad75b8e6e3</t>
  </si>
  <si>
    <t>alternative rock indie the honeysticks english xenon- xehn xen gibee games astronic featured artist fa</t>
  </si>
  <si>
    <t>https://assets.ppy.sh/beatmaps/1173192/covers/cover.jpg</t>
  </si>
  <si>
    <t>https://b.ppy.sh/thumb/1173192l.jpg</t>
  </si>
  <si>
    <t>Hoshimachi Suisei with Hololive Fantasy</t>
  </si>
  <si>
    <t>ゾンビランドサガ</t>
  </si>
  <si>
    <t>Saga Jihen</t>
  </si>
  <si>
    <t>Mocaotic's Hard</t>
  </si>
  <si>
    <t>612ed7377c8b648c43687be3eef9828e</t>
  </si>
  <si>
    <t>zombieland zombie land saga ベストアルバム best album フランシュシュ franchouchou hosimati hoshimati hosimachi 三期生 3rd generation 兎田ぺこら usada pekora 潤羽るしあ uruha rushia 白銀ノエル shirogane noel danchou 不知火フレア shiranui flare 宝鐘マリン houshou marine senchou cover production full version idol ホロライブ anime japanese jpop j-pop jazz rock swing mir lecandy shizuku- kazato asa shikibe mayu newton- deppyforce asagi mocaotic</t>
  </si>
  <si>
    <t>https://assets.ppy.sh/beatmaps/1399793/covers/cover.jpg</t>
  </si>
  <si>
    <t>https://b.ppy.sh/thumb/1399793l.jpg</t>
  </si>
  <si>
    <t>Day by Day feat. Nicole Curry</t>
  </si>
  <si>
    <t>03861cb35e7f6c67753545cebe7fecd4</t>
  </si>
  <si>
    <t>deadcode ceo_of_osu ceo of osu 5wc 2022 qf hd3 electronic english megarex spd gar speed garage 001</t>
  </si>
  <si>
    <t>https://assets.ppy.sh/beatmaps/1760668/covers/cover.jpg</t>
  </si>
  <si>
    <t>https://b.ppy.sh/thumb/1760668l.jpg</t>
  </si>
  <si>
    <t>0afd95a94fad00268c7b35ac9b4cb639</t>
  </si>
  <si>
    <t>Minorsonek</t>
  </si>
  <si>
    <t>maimai MiLK</t>
  </si>
  <si>
    <t>Mare Maris</t>
  </si>
  <si>
    <t>4c5a81fb255316594154bc2fbd8d91ea</t>
  </si>
  <si>
    <t>m2usonek seulgij axhina cptsqbany rvmathew squaretude latin skubi video game all perfect collection shin dong whi 申東輝 classical electronic instrumental rex sphazer infinity poly redeye chaos star light</t>
  </si>
  <si>
    <t>https://assets.ppy.sh/beatmaps/908811/covers/cover.jpg</t>
  </si>
  <si>
    <t>https://b.ppy.sh/thumb/908811l.jpg</t>
  </si>
  <si>
    <t>PUMP IT UP - 2015 PRIME -</t>
  </si>
  <si>
    <t>Violet Perfume</t>
  </si>
  <si>
    <t>SHD</t>
  </si>
  <si>
    <t>153d8b0c5df6bbcdbc2609b208b386fe</t>
  </si>
  <si>
    <t>펌프잇업 matrix sound​holic​k</t>
  </si>
  <si>
    <t>SHK - Violet Perfume [SHD]</t>
  </si>
  <si>
    <t>https://osu.ppy.sh/beatmapsets/1010865#osu/2115970</t>
  </si>
  <si>
    <t>https://assets.ppy.sh/beatmaps/1010865/covers/cover.jpg</t>
  </si>
  <si>
    <t>https://b.ppy.sh/thumb/1010865l.jpg</t>
  </si>
  <si>
    <t>Down</t>
  </si>
  <si>
    <t>東方花映塚　～ Phantasmagoria of Flower View.</t>
  </si>
  <si>
    <t>Ekoro</t>
  </si>
  <si>
    <t>ce546ed811b11c645d5152533bf87e09</t>
  </si>
  <si>
    <t>instrumental electronic video game izayoi sakuya flowering night deviouspanda kieg enri cellina reana 東方project touhou project フラワリングナイト</t>
  </si>
  <si>
    <t>https://assets.ppy.sh/beatmaps/1683876/covers/cover.jpg</t>
  </si>
  <si>
    <t>https://b.ppy.sh/thumb/1683876l.jpg</t>
  </si>
  <si>
    <t>Net0</t>
  </si>
  <si>
    <t>東方靈異伝　～ Highly Responsive to Prayers</t>
  </si>
  <si>
    <t>A Sacred Lot</t>
  </si>
  <si>
    <t>Oni</t>
  </si>
  <si>
    <t>2c40930c7797e066b240d4f7f20dec5f</t>
  </si>
  <si>
    <t>jhowm touhou reiiden project shrine maiden th01 doujin danmaku amusement makers c52 title screen theme taikosu</t>
  </si>
  <si>
    <t>https://assets.ppy.sh/beatmaps/828940/covers/cover.jpg</t>
  </si>
  <si>
    <t>https://b.ppy.sh/thumb/828940l.jpg</t>
  </si>
  <si>
    <t>O2Jam</t>
  </si>
  <si>
    <t>Cross Time !!</t>
  </si>
  <si>
    <t>DJPop Mix</t>
  </si>
  <si>
    <t>7817307b7e24e8829b5ff30486f909f6</t>
  </si>
  <si>
    <t>o2jam mgame econ djpop fffanatic darri ignorethis bmin11 takuma lesjuh metroid luxary djpop cyanberryio ain053 video game electronic instrumental</t>
  </si>
  <si>
    <t>https://assets.ppy.sh/beatmaps/5918/covers/cover.jpg</t>
  </si>
  <si>
    <t>https://b.ppy.sh/thumb/5918l.jpg</t>
  </si>
  <si>
    <t>O2jam Analog</t>
  </si>
  <si>
    <t>Extreme Fantasy</t>
  </si>
  <si>
    <t>27ea66dcf5667f1fa7c0c27a9f83139f</t>
  </si>
  <si>
    <t>frederic chopin respect for chopin classical fantasie impromptu mix ultimate fantasy electro fantasy ost dub electro tw-kuma01 naryuga</t>
  </si>
  <si>
    <t>https://assets.ppy.sh/beatmaps/49459/covers/cover.jpg</t>
  </si>
  <si>
    <t>https://b.ppy.sh/thumb/49459l.jpg</t>
  </si>
  <si>
    <t>東方紅魔郷　～ the Embodiment of Scarlet Devil.</t>
  </si>
  <si>
    <t>f5c6ca06ef3106b67de570a426e49ed8</t>
  </si>
  <si>
    <t>東方project electronic instrumental video game patchouli knowledge パチュリー・ノーレッジ flandre scarlet フランドール・スカーレット touhou 魔法少女達の百年祭 the centennial festival for magical girls embodiment of scarlet devil extra stage theme zun team shanghai alice eosd th06 mahou shoujotachi no hyakunensai shoujo-tachi koumakyou remix</t>
  </si>
  <si>
    <t>https://assets.ppy.sh/beatmaps/1641533/covers/cover.jpg</t>
  </si>
  <si>
    <t>https://b.ppy.sh/thumb/1641533l.jpg</t>
  </si>
  <si>
    <t>Dio feat. Sef</t>
  </si>
  <si>
    <t>Aye</t>
  </si>
  <si>
    <t>Lesjuh's Aye!!</t>
  </si>
  <si>
    <t>47aacc43863b6078224c34f44bacbf17</t>
  </si>
  <si>
    <t>dutch nederlands hip hop lesjuh down aranel</t>
  </si>
  <si>
    <t>https://assets.ppy.sh/beatmaps/1621130/covers/cover.jpg</t>
  </si>
  <si>
    <t>https://b.ppy.sh/thumb/1621130l.jpg</t>
  </si>
  <si>
    <t>Dareka no Shinzou ni Nareta Nara</t>
  </si>
  <si>
    <t>b143c5cc8bb425d5a00729550f1d2f30</t>
  </si>
  <si>
    <t>cappu senseabel tommy phelps japanese vocaloid novelty cover utaite 歌い手 gumi ボーカロイド ボカロ yurry canon ユリイ・カノン kardia</t>
  </si>
  <si>
    <t>https://assets.ppy.sh/beatmaps/1098181/covers/cover.jpg</t>
  </si>
  <si>
    <t>https://b.ppy.sh/thumb/1098181l.jpg</t>
  </si>
  <si>
    <t>Hold Your Colour</t>
  </si>
  <si>
    <t>Iridescence</t>
  </si>
  <si>
    <t>92d508af2e8ef3569512fb06e083e77d</t>
  </si>
  <si>
    <t>drum and bass melodic probox dnb marathon foxygrandpa</t>
  </si>
  <si>
    <t>https://assets.ppy.sh/beatmaps/702272/covers/cover.jpg</t>
  </si>
  <si>
    <t>https://b.ppy.sh/thumb/702272l.jpg</t>
  </si>
  <si>
    <t>Sawai Miku</t>
  </si>
  <si>
    <t>冴えない彼女の育てかた</t>
  </si>
  <si>
    <t>Colorful. (Asterisk DnB Remix)</t>
  </si>
  <si>
    <t>Megumi</t>
  </si>
  <si>
    <t>a68668670491de989f9da3d8afa5ea6e</t>
  </si>
  <si>
    <t>skystar drum and bass saenai heroine no sodatekata saekano 冴えカノ how to raise a boring girlfriend</t>
  </si>
  <si>
    <t>https://assets.ppy.sh/beatmaps/299454/covers/cover.jpg</t>
  </si>
  <si>
    <t>https://b.ppy.sh/thumb/299454l.jpg</t>
  </si>
  <si>
    <t>Blackmagik</t>
  </si>
  <si>
    <t>Killerbeast</t>
  </si>
  <si>
    <t>Spiritual</t>
  </si>
  <si>
    <t>39f7e738e0c573b6bfb6876a38919e01</t>
  </si>
  <si>
    <t>electronic dubstep camellia killerbeast blackmagik cametek subokuu</t>
  </si>
  <si>
    <t>https://assets.ppy.sh/beatmaps/1349093/covers/cover.jpg</t>
  </si>
  <si>
    <t>https://b.ppy.sh/thumb/1349093l.jpg</t>
  </si>
  <si>
    <t>Nani ga Warui</t>
  </si>
  <si>
    <t>Spotlight</t>
  </si>
  <si>
    <t>8ac82ae5add404af4f14a6da883336b3</t>
  </si>
  <si>
    <t>bocchi the rock btr japanese anime j-rock jrock jpop j-pop what is wrong with gotoh hitori 後藤ひとり yamada ryo 山田リョウ kita ikuyo 喜多郁代 ijichi nijika 伊地知虹夏 shizuku- shikibe mayu kazato asa ayesha altugle midorijeon [c_u_r_i] curi reillia shii koldnoodl kaguya_sama kowari zekk cjstmdals kyairie notabox rielle liyuu</t>
  </si>
  <si>
    <t>kessoku band - Nani ga Warui [Spotlight]</t>
  </si>
  <si>
    <t>https://osu.ppy.sh/beatmapsets/1919435#osu/3961145</t>
  </si>
  <si>
    <t>https://assets.ppy.sh/beatmaps/1919435/covers/cover.jpg</t>
  </si>
  <si>
    <t>https://b.ppy.sh/thumb/1919435l.jpg</t>
  </si>
  <si>
    <t>Game Brain</t>
  </si>
  <si>
    <t>4d5843a9c49fd31e89c77a71fb9d3313</t>
  </si>
  <si>
    <t>8bit chiptune</t>
  </si>
  <si>
    <t>https://assets.ppy.sh/beatmaps/31224/covers/cover.jpg</t>
  </si>
  <si>
    <t>https://b.ppy.sh/thumb/31224l.jpg</t>
  </si>
  <si>
    <t>BUTAOTOME</t>
  </si>
  <si>
    <t>東方永夜抄　～ Imperishable Night.</t>
  </si>
  <si>
    <t>Towa no Maigo</t>
  </si>
  <si>
    <t>69fa0ff72ff73952af1a9b2b38a1cefb</t>
  </si>
  <si>
    <t>touhou project コンプ comp ranko 少女煉獄 girl purgatory ランコ  kamishirasawa keine stage 3 boss theme プレインエイジア plain asia eternal lost child of eternity c86 zun shoujo rengoku reading owc japanese</t>
  </si>
  <si>
    <t>https://assets.ppy.sh/beatmaps/1069288/covers/cover.jpg</t>
  </si>
  <si>
    <t>https://b.ppy.sh/thumb/1069288l.jpg</t>
  </si>
  <si>
    <t>Ciyus Miapah</t>
  </si>
  <si>
    <t>Racemization</t>
  </si>
  <si>
    <t>extreme</t>
  </si>
  <si>
    <t>17fc80c5561ecbe74cd3877cd861e7e0</t>
  </si>
  <si>
    <t>fort fa featured artist cametek cameltek planet//shaper planet shaper dubstep drumstep hardcore chillout</t>
  </si>
  <si>
    <t>https://assets.ppy.sh/beatmaps/1052199/covers/cover.jpg</t>
  </si>
  <si>
    <t>https://b.ppy.sh/thumb/1052199l.jpg</t>
  </si>
  <si>
    <t>android52</t>
  </si>
  <si>
    <t>pishifat</t>
  </si>
  <si>
    <t>super anime groove 3d world</t>
  </si>
  <si>
    <t>3800c740bc2af076c394f0ae91520ad7</t>
  </si>
  <si>
    <t>_83 presents welcome new galaxy recover decoration リカバーデコレーション kosaki onodera kana hanazawa nisekoi ニセコイ bor</t>
  </si>
  <si>
    <t>https://assets.ppy.sh/beatmaps/533428/covers/cover.jpg</t>
  </si>
  <si>
    <t>https://b.ppy.sh/thumb/533428l.jpg</t>
  </si>
  <si>
    <t>rissyuu feat. Choko</t>
  </si>
  <si>
    <t>SOUND VOLTEX IV HEAVENLY HAVEN</t>
  </si>
  <si>
    <t>Paa ~Papapapaa ver~</t>
  </si>
  <si>
    <t>ExPaat</t>
  </si>
  <si>
    <t>2d43210f8e9309992698f13b742debe8</t>
  </si>
  <si>
    <t>rish candy pop party japanese pop sdvx sound voltex 4</t>
  </si>
  <si>
    <t>https://assets.ppy.sh/beatmaps/1339826/covers/cover.jpg</t>
  </si>
  <si>
    <t>https://b.ppy.sh/thumb/1339826l.jpg</t>
  </si>
  <si>
    <t>Pipuuko</t>
  </si>
  <si>
    <t>beatmania IIDX 26 Rootage</t>
  </si>
  <si>
    <t>L.F.O</t>
  </si>
  <si>
    <t>Orange's Extra</t>
  </si>
  <si>
    <t>c4d7eb5ad93042e315861110eb860b92</t>
  </si>
  <si>
    <t>uk hardcore ln konami bemani low frequency oscillator video game electronic instrumental feiri runigh orange_ orange lfo rhythm megafan</t>
  </si>
  <si>
    <t>https://assets.ppy.sh/beatmaps/1377112/covers/cover.jpg</t>
  </si>
  <si>
    <t>https://b.ppy.sh/thumb/1377112l.jpg</t>
  </si>
  <si>
    <t>anime girl</t>
  </si>
  <si>
    <t>flying in the flow of deep-sea</t>
  </si>
  <si>
    <t>trench</t>
  </si>
  <si>
    <t>b492a3c00507cecfdf8146f84f00113d</t>
  </si>
  <si>
    <t>planet shaper planet//shaper kamel cametek c88 dubstep dance electro kamelcamellia scubdomino featured artist</t>
  </si>
  <si>
    <t>https://assets.ppy.sh/beatmaps/701625/covers/cover.jpg</t>
  </si>
  <si>
    <t>https://b.ppy.sh/thumb/701625l.jpg</t>
  </si>
  <si>
    <t>Zutto Zutto Zutto</t>
  </si>
  <si>
    <t>Kloyd's Expert</t>
  </si>
  <si>
    <t>1adb1871861e1ec614026f8cec63b2c5</t>
  </si>
  <si>
    <t>gelidium nexusqi heroine some hero some_hero deca kloyd seros ryokushaka リョクシャカ japanese pop rock asahi super dry the cool haruko nagaya 長屋晴子 kobayashi issei 小林壱誓 peppe anami shingo 穴見真吾 naoki itai music for 緑黄色社会 osamu hidai nobuyuki murakami sony studios tokyo hiromichi "tucky" takiguchi</t>
  </si>
  <si>
    <t>https://assets.ppy.sh/beatmaps/1838113/covers/cover.jpg</t>
  </si>
  <si>
    <t>https://b.ppy.sh/thumb/1838113l.jpg</t>
  </si>
  <si>
    <t>Mics!!</t>
  </si>
  <si>
    <t>PAINT IT!!</t>
  </si>
  <si>
    <t>93eaec9d69f8a8d6b013330d9f03203f</t>
  </si>
  <si>
    <t>japanese rock jrock april yuc'e ゆーしえ yuce penguin research 堀江晶太 shota horie 新保恵大 keita shimbo shinbo sinbo yu-ya vivid undress kemu はらだ harada 竹下蒼天 souma takeshita 永塚拓馬 takuma nagatsuka 神宮前朱 akari jingumae 山下誠一郎 seiichiro yamashita 明治紅ノ介 beninosuke meiji 石谷春貴 haruki ishiya 東郷日向 hinata togo 天﨑滉平 kohei amasaki</t>
  </si>
  <si>
    <t>https://assets.ppy.sh/beatmaps/1371662/covers/cover.jpg</t>
  </si>
  <si>
    <t>https://b.ppy.sh/thumb/1371662l.jpg</t>
  </si>
  <si>
    <t>Azari</t>
  </si>
  <si>
    <t>Black Out</t>
  </si>
  <si>
    <t>----</t>
  </si>
  <si>
    <t>92b0f1429353e4df5753d6c419216a24</t>
  </si>
  <si>
    <t>-cronik bekko o k u o_k_u dt best mod teages normal hard insane v flower v-flower vocaloid ボーカロイド ボカロ japanese electronic pop j-pop jpop blackout sere</t>
  </si>
  <si>
    <t>https://assets.ppy.sh/beatmaps/1965625/covers/cover.jpg</t>
  </si>
  <si>
    <t>https://b.ppy.sh/thumb/1965625l.jpg</t>
  </si>
  <si>
    <t>ave;new feat. Sakura Saori</t>
  </si>
  <si>
    <t>PistStar</t>
  </si>
  <si>
    <t>Piste SMILE Non-stop!!</t>
  </si>
  <si>
    <t>e86d48ac3cfebc8be4f2a32fce23d9fe</t>
  </si>
  <si>
    <t>osuplayer111 darksonic saten-san kagayake ashina no star dai sakusen</t>
  </si>
  <si>
    <t>https://assets.ppy.sh/beatmaps/98038/covers/cover.jpg</t>
  </si>
  <si>
    <t>https://b.ppy.sh/thumb/98038l.jpg</t>
  </si>
  <si>
    <t>Balduin &amp; Wolfgang Lohr (feat. Alanna)</t>
  </si>
  <si>
    <t>Arastelia</t>
  </si>
  <si>
    <t>Dizzy (Radio Edit)</t>
  </si>
  <si>
    <t>Repertoire</t>
  </si>
  <si>
    <t>d4f2e18431a4df438ba86e8ecf7e6b57</t>
  </si>
  <si>
    <t>electro swing pop 2017</t>
  </si>
  <si>
    <t>https://assets.ppy.sh/beatmaps/611507/covers/cover.jpg</t>
  </si>
  <si>
    <t>https://b.ppy.sh/thumb/611507l.jpg</t>
  </si>
  <si>
    <t>KNOWER</t>
  </si>
  <si>
    <t>Overtime</t>
  </si>
  <si>
    <t>Ecstasy</t>
  </si>
  <si>
    <t>ec9d1dad8af96d32dea67f2e4725f850</t>
  </si>
  <si>
    <t>featured artist electronic jazz english life louis cole genevieve artadi fa plaudible</t>
  </si>
  <si>
    <t>https://assets.ppy.sh/beatmaps/1170697/covers/cover.jpg</t>
  </si>
  <si>
    <t>https://b.ppy.sh/thumb/1170697l.jpg</t>
  </si>
  <si>
    <t>HyuN</t>
  </si>
  <si>
    <t>schoolboy</t>
  </si>
  <si>
    <t>Illusion of Inflict</t>
  </si>
  <si>
    <t>d171e8b91114402482c0561d8f1c082a</t>
  </si>
  <si>
    <t>komore kalibe featured artist fa mappers' guild mg milan- krux travel square dnb drum and bass</t>
  </si>
  <si>
    <t>https://assets.ppy.sh/beatmaps/891366/covers/cover.jpg</t>
  </si>
  <si>
    <t>https://b.ppy.sh/thumb/891366l.jpg</t>
  </si>
  <si>
    <t>orangentle</t>
  </si>
  <si>
    <t>Gamu</t>
  </si>
  <si>
    <t>HAELEQUIN</t>
  </si>
  <si>
    <t>toybot's Insane</t>
  </si>
  <si>
    <t>020f823772131f53edbfc549bbec8501</t>
  </si>
  <si>
    <t>toybot asahina momoko alacat bbj0920 sdvx bof2012 the of fighters 2012 ein neuer heilinger krieg dissociative identity disorder memoirs yu_asahina deadblue238 mokori m_o_k_o_r_i</t>
  </si>
  <si>
    <t>https://assets.ppy.sh/beatmaps/291495/covers/cover.jpg</t>
  </si>
  <si>
    <t>https://b.ppy.sh/thumb/291495l.jpg</t>
  </si>
  <si>
    <t>moment</t>
  </si>
  <si>
    <t>astronic's another</t>
  </si>
  <si>
    <t>6c66aacefcdbb7d2ddca74e7fff1ef9e</t>
  </si>
  <si>
    <t>lildeath lil death english electronic breakcore rap d&amp;b dnb drum and bass frou a new kind of love imogen heap saltylucario saltking wafer kami no kotoba astronic lugu ancel ancelysia are you r u iwaifu</t>
  </si>
  <si>
    <t>https://assets.ppy.sh/beatmaps/1366507/covers/cover.jpg</t>
  </si>
  <si>
    <t>https://b.ppy.sh/thumb/1366507l.jpg</t>
  </si>
  <si>
    <t>Camellia feat. Nanahira</t>
  </si>
  <si>
    <t>beatmania IIDX 28 BISTROVER</t>
  </si>
  <si>
    <t>POLKAMANIA</t>
  </si>
  <si>
    <t>ANOTHER</t>
  </si>
  <si>
    <t>8e0bfdbde9e94043f9bdaf2051fb44e3</t>
  </si>
  <si>
    <t>polkamania cametek ポルカ2020 polka2020 konami bemani dubcore hardcore electronic japanese lasse amateurre pentori</t>
  </si>
  <si>
    <t>https://assets.ppy.sh/beatmaps/1409478/covers/cover.jpg</t>
  </si>
  <si>
    <t>https://b.ppy.sh/thumb/1409478l.jpg</t>
  </si>
  <si>
    <t>C-Show</t>
  </si>
  <si>
    <t>MaridiuS</t>
  </si>
  <si>
    <t>Make Some Noise for Mr.C</t>
  </si>
  <si>
    <t>Crissa's Another</t>
  </si>
  <si>
    <t>a8da2d15f085712ef491b699611b211d</t>
  </si>
  <si>
    <t>frey akareh crissa edm electronic glitch hop english japanese</t>
  </si>
  <si>
    <t>https://assets.ppy.sh/beatmaps/1305940/covers/cover.jpg</t>
  </si>
  <si>
    <t>https://b.ppy.sh/thumb/1305940l.jpg</t>
  </si>
  <si>
    <t>Hysteric Night Girl -Awakening- (feat. Such)</t>
  </si>
  <si>
    <t>1aac2b76a24fc55186d785929c5627ae</t>
  </si>
  <si>
    <t>electronic japanese speed garage edm innocent future core jpop j-pop tech wacca lam megarex mrx-034 coffee cup mocha sf nm6 nm 6 nikolomara nik</t>
  </si>
  <si>
    <t>https://assets.ppy.sh/beatmaps/1580891/covers/cover.jpg</t>
  </si>
  <si>
    <t>https://b.ppy.sh/thumb/1580891l.jpg</t>
  </si>
  <si>
    <t>Dictate</t>
  </si>
  <si>
    <t>GreenHue</t>
  </si>
  <si>
    <t>Militant</t>
  </si>
  <si>
    <t>Oscar Sierra Uniform</t>
  </si>
  <si>
    <t>5555b97a3096384cabb20f8a73a6d9cd</t>
  </si>
  <si>
    <t>osu featured artist fa mapper's guild ultima fox noffy noffles noffy t. coffee</t>
  </si>
  <si>
    <t>https://assets.ppy.sh/beatmaps/984013/covers/cover.jpg</t>
  </si>
  <si>
    <t>https://b.ppy.sh/thumb/984013l.jpg</t>
  </si>
  <si>
    <t>yuikonnu</t>
  </si>
  <si>
    <t>Fast</t>
  </si>
  <si>
    <t>caramel heaven</t>
  </si>
  <si>
    <t>Fortune's Hyper</t>
  </si>
  <si>
    <t>3d435c6a5f1d951b4a3fe35f4e550b54</t>
  </si>
  <si>
    <t>megpoid gumi vocaloid utaite fortune doyak underflow last note</t>
  </si>
  <si>
    <t>https://assets.ppy.sh/beatmaps/366884/covers/cover.jpg</t>
  </si>
  <si>
    <t>https://b.ppy.sh/thumb/366884l.jpg</t>
  </si>
  <si>
    <t>beatmania IIDX 20 tricoro</t>
  </si>
  <si>
    <t>S!ck</t>
  </si>
  <si>
    <t>78ec57c5ce78294a43bfac708381bc71</t>
  </si>
  <si>
    <t>owc ro16 nm4 tech instrumental electronic kors k teranoid sick drumstep den0saur denosaur kaguya sama kaguya_sama down cellina</t>
  </si>
  <si>
    <t>https://assets.ppy.sh/beatmaps/1286316/covers/cover.jpg</t>
  </si>
  <si>
    <t>https://b.ppy.sh/thumb/1286316l.jpg</t>
  </si>
  <si>
    <t>Harunaba feat. Aitsuki Nakuru</t>
  </si>
  <si>
    <t>Chills</t>
  </si>
  <si>
    <t>Cadeau de Dieu</t>
  </si>
  <si>
    <t>80350ac4a58705603edcd67ccbbdd1d9</t>
  </si>
  <si>
    <t>electronic pop j-pop jpop artcore japanese jellaboratory</t>
  </si>
  <si>
    <t>Harunaba feat. Aitsuki Nakuru - Cadeau de Dieu [Hard]</t>
  </si>
  <si>
    <t>https://osu.ppy.sh/beatmapsets/1723318#osu/3557369</t>
  </si>
  <si>
    <t>https://assets.ppy.sh/beatmaps/1723318/covers/cover.jpg</t>
  </si>
  <si>
    <t>https://b.ppy.sh/thumb/1723318l.jpg</t>
  </si>
  <si>
    <t>Hesperos</t>
  </si>
  <si>
    <t>Mayu's Insane</t>
  </si>
  <si>
    <t>d3ef9735dbb381268efa49f5d813e935</t>
  </si>
  <si>
    <t>owc2021ro16nm4 electronic instrumental shikibe mayu kazato asa shizuku- zhuxiaoyan frostwich acyl dailycare morinaga synderes down</t>
  </si>
  <si>
    <t>https://assets.ppy.sh/beatmaps/1610294/covers/cover.jpg</t>
  </si>
  <si>
    <t>https://b.ppy.sh/thumb/1610294l.jpg</t>
  </si>
  <si>
    <t>チェンソーマン</t>
  </si>
  <si>
    <t>KICK BACK</t>
  </si>
  <si>
    <t>STOMPMARK'S INSANE</t>
  </si>
  <si>
    <t>69efdfcc630ed866a251be5fc55708b4</t>
  </si>
  <si>
    <t>vanya2 alevi amats nodoro ganyu lover stompy_ nachmark mizujin -_aqua aqua_m1x breaking bad op opening male vocal pop jpop chainsaw man japanese</t>
  </si>
  <si>
    <t>https://assets.ppy.sh/beatmaps/1954230/covers/cover.jpg</t>
  </si>
  <si>
    <t>https://b.ppy.sh/thumb/1954230l.jpg</t>
  </si>
  <si>
    <t>Pastry</t>
  </si>
  <si>
    <t>osuplayer111</t>
  </si>
  <si>
    <t>Goblin Girl</t>
  </si>
  <si>
    <t>76727b111b4947ca0d7ce525d4e89205</t>
  </si>
  <si>
    <t>bubblerecords koishi komeiji tieff louis cyphre lucifer climbb65588 andrea</t>
  </si>
  <si>
    <t>https://assets.ppy.sh/beatmaps/25392/covers/cover.jpg</t>
  </si>
  <si>
    <t>https://b.ppy.sh/thumb/25392l.jpg</t>
  </si>
  <si>
    <t>Suspect</t>
  </si>
  <si>
    <t>Hinsvar's Hard</t>
  </si>
  <si>
    <t>fce288d4921b27fe1776c6b72b6902ac</t>
  </si>
  <si>
    <t>ホロライブ vtuber virtual youtuber electronic jpop j-pop pop swing japanese 百鬼あやめ nakiri ayame ロボ子さん roboco-san roboco san アキ・ローゼンタール aki rosenthal akirose akiroze ch ch. floral circlet bloom bloom bouquet mir hinsvar zelq nagaraia</t>
  </si>
  <si>
    <t>https://assets.ppy.sh/beatmaps/1360537/covers/cover.jpg</t>
  </si>
  <si>
    <t>https://b.ppy.sh/thumb/1360537l.jpg</t>
  </si>
  <si>
    <t>プリンセスブライド</t>
  </si>
  <si>
    <t>Princess Bride! (Cut Ver.)</t>
  </si>
  <si>
    <t>12cd5e15b7ad98955a3c7527f7a79cd1</t>
  </si>
  <si>
    <t>princess bride bride! 130cm video game japanese short circuit ii pop visual novel vn eroge short version op opening プリンセスブレイブ! ～雀卓の騎士～ brave</t>
  </si>
  <si>
    <t>https://assets.ppy.sh/beatmaps/1997114/covers/cover.jpg</t>
  </si>
  <si>
    <t>https://b.ppy.sh/thumb/1997114l.jpg</t>
  </si>
  <si>
    <t>Metrik</t>
  </si>
  <si>
    <t>evth</t>
  </si>
  <si>
    <t>We Got It (feat. Rothwell)</t>
  </si>
  <si>
    <t>619's Hard</t>
  </si>
  <si>
    <t>6d809b9dd9e6ad958808105f400f6506</t>
  </si>
  <si>
    <t>-ckopoctb- 619 moonl1ght liquid funk dnb drum and bass d&amp;b stream longstream deathstream electronic english liquicity regret hostpital records ginger sadie sink -_-_makrica_-_- female vocal</t>
  </si>
  <si>
    <t>https://assets.ppy.sh/beatmaps/1522116/covers/cover.jpg</t>
  </si>
  <si>
    <t>https://b.ppy.sh/thumb/1522116l.jpg</t>
  </si>
  <si>
    <t>Starry Start</t>
  </si>
  <si>
    <t>Starstruck (CS4 Edit)</t>
  </si>
  <si>
    <t>cca0b3c42212da72bc6aba188f559474</t>
  </si>
  <si>
    <t>5usc 5 digit united states cup 15th birthday anniversary sutaarii sutaato vocaloid vocal synthesizer vocasynth</t>
  </si>
  <si>
    <t>https://assets.ppy.sh/beatmaps/1985409/covers/cover.jpg</t>
  </si>
  <si>
    <t>https://b.ppy.sh/thumb/1985409l.jpg</t>
  </si>
  <si>
    <t>DJPop</t>
  </si>
  <si>
    <t>cosMo</t>
  </si>
  <si>
    <t>Hatsune Miku no Shoushitsu</t>
  </si>
  <si>
    <t>Uninstall</t>
  </si>
  <si>
    <t>8989c308a136c2f924574f9c0ff8f31e</t>
  </si>
  <si>
    <t>vocaloid the disappearance of hatsune miku</t>
  </si>
  <si>
    <t>https://assets.ppy.sh/beatmaps/8284/covers/cover.jpg</t>
  </si>
  <si>
    <t>https://b.ppy.sh/thumb/8284l.jpg</t>
  </si>
  <si>
    <t>Chito (CV: Minase Inori), Yuuri (CV: Kubo Yurika)</t>
  </si>
  <si>
    <t>少女終末旅行</t>
  </si>
  <si>
    <t>More One Night (Assertive Hardcore Bootleg)</t>
  </si>
  <si>
    <t>Mathew's Hard</t>
  </si>
  <si>
    <t>2c316d3a83b47b41d3e25a0745d0e1ed</t>
  </si>
  <si>
    <t>shoujo shuumatsu ryokou girls last tour ending squaretude yasaija_714 rvmathew rin_desu maridius seulgij</t>
  </si>
  <si>
    <t>https://assets.ppy.sh/beatmaps/734135/covers/cover.jpg</t>
  </si>
  <si>
    <t>https://b.ppy.sh/thumb/734135l.jpg</t>
  </si>
  <si>
    <t>Shoji Meguro</t>
  </si>
  <si>
    <t>Akali</t>
  </si>
  <si>
    <t>ペルソナ3</t>
  </si>
  <si>
    <t>Kimi no Kioku (Aethral Remix)</t>
  </si>
  <si>
    <t>Remembrance</t>
  </si>
  <si>
    <t>2bbbd07489281bbbad9df76235ea8fa9</t>
  </si>
  <si>
    <t>memories of you yumi kawamura 川村 ゆみ dnb shin megami tensei persona 3 atlus</t>
  </si>
  <si>
    <t>https://assets.ppy.sh/beatmaps/490662/covers/cover.jpg</t>
  </si>
  <si>
    <t>https://b.ppy.sh/thumb/490662l.jpg</t>
  </si>
  <si>
    <t>bulow</t>
  </si>
  <si>
    <t>Nattu</t>
  </si>
  <si>
    <t>Revolver (Sped Up Ver.)</t>
  </si>
  <si>
    <t>Extra</t>
  </si>
  <si>
    <t>d79ee3514007257a6e9f2a2a24bdbc87</t>
  </si>
  <si>
    <t>english megan bulow canada pop speed speedup 205 gun niat oksy frakturehawkens sebas tatemae anishina kodoku loreley sherrycherry schoolboy komore funny mazzerin fanzhen0019 komachibaka hehe handsome azrealy dopaminos defreeyay fackel mekadon nofail entsetzen ent imahitokato insertusernamev let1s3 laquarius mokobe arutama froskya myangelyamakaze itsyourgirlkate</t>
  </si>
  <si>
    <t>https://assets.ppy.sh/beatmaps/1670825/covers/cover.jpg</t>
  </si>
  <si>
    <t>https://b.ppy.sh/thumb/1670825l.jpg</t>
  </si>
  <si>
    <t>celerih</t>
  </si>
  <si>
    <t>Futari Dake no Kotoba</t>
  </si>
  <si>
    <t>kiry's Insane</t>
  </si>
  <si>
    <t>084eea0d552c2fd0f0ae30a3609b20a6</t>
  </si>
  <si>
    <t>air kirylln nanashima asami defiance osuskrub lego man bor 東方project touhou ランコ ranko コンプ comp 少女さとり　～ 3rd eye ハルトマンの妖怪少女 hartmann's youkai girl 古明地　さとり komeiji satori shoujo 古明地 こいし komeiji koishi 疑似家族入門 giji kazoku nyuumon pseudofamily introduction buta otome</t>
  </si>
  <si>
    <t>https://assets.ppy.sh/beatmaps/962568/covers/cover.jpg</t>
  </si>
  <si>
    <t>https://b.ppy.sh/thumb/962568l.jpg</t>
  </si>
  <si>
    <t>WACCA</t>
  </si>
  <si>
    <t>Chariot (Extended Mix)</t>
  </si>
  <si>
    <t>lebronJAM</t>
  </si>
  <si>
    <t>ec5750c77c082a1fe7301332e849e3b5</t>
  </si>
  <si>
    <t>owc2021gfdt4 bass house mir xtreme electronic instrumental</t>
  </si>
  <si>
    <t>https://assets.ppy.sh/beatmaps/1633242/covers/cover.jpg</t>
  </si>
  <si>
    <t>https://b.ppy.sh/thumb/1633242l.jpg</t>
  </si>
  <si>
    <t>Whispered</t>
  </si>
  <si>
    <t>MrKosiej</t>
  </si>
  <si>
    <t>Exile of the Floating World</t>
  </si>
  <si>
    <t>-Kemsyt's Insane</t>
  </si>
  <si>
    <t>39f1d25ea5c76ba865e45e40ab85f8f1</t>
  </si>
  <si>
    <t>metal japanese metsutan songs of the void english blood9 saltylucario thekinghenry -kemsyt gabdu09 saltking salty melodic death melodeath folk oriental japanese</t>
  </si>
  <si>
    <t>https://assets.ppy.sh/beatmaps/769346/covers/cover.jpg</t>
  </si>
  <si>
    <t>https://b.ppy.sh/thumb/769346l.jpg</t>
  </si>
  <si>
    <t>A Beautiful Degeneracy (Remix by Stazma The Junglechrist)</t>
  </si>
  <si>
    <t>2855a0e7393b9fd593f9c28df326de25</t>
  </si>
  <si>
    <t>nm5 abd grindcore breakcore industrial worldly desires remixes wiosna</t>
  </si>
  <si>
    <t>https://assets.ppy.sh/beatmaps/1809661/covers/cover.jpg</t>
  </si>
  <si>
    <t>https://b.ppy.sh/thumb/1809661l.jpg</t>
  </si>
  <si>
    <t>raito</t>
  </si>
  <si>
    <t>アンダーナイトインヴァース</t>
  </si>
  <si>
    <t>Blood Drain -Again-</t>
  </si>
  <si>
    <t>d075920dbdda95dfe57f49de187c015c</t>
  </si>
  <si>
    <t>らいと unist under night in-birth in birth exe:late[cl-r] exe late cl-r cl r fighting sion eltnam altasia melty blood actress vgm ost original sound track eltnum theme sho halgoh paradogi knightc0re knightcore xlolicore- lolicore my angel watame video game instrumental electronic rock</t>
  </si>
  <si>
    <t>https://assets.ppy.sh/beatmaps/1152554/covers/cover.jpg</t>
  </si>
  <si>
    <t>https://b.ppy.sh/thumb/1152554l.jpg</t>
  </si>
  <si>
    <t>eiri-</t>
  </si>
  <si>
    <t>Party in the HOLLOWood feat. Nanahira</t>
  </si>
  <si>
    <t>INSane</t>
  </si>
  <si>
    <t>718b3e9232bee6d2165839f26d594f31</t>
  </si>
  <si>
    <t>ayyri realazy real stefan inc incandescence taikocracy endymion ascendance underforest trynna dashyy- dash noffy tng thenutritiousguy comiket 93 c93 good evening evening chs-0031 c.h.s chs tpz</t>
  </si>
  <si>
    <t>https://assets.ppy.sh/beatmaps/819349/covers/cover.jpg</t>
  </si>
  <si>
    <t>https://b.ppy.sh/thumb/819349l.jpg</t>
  </si>
  <si>
    <t>Haze Haseru Haterumade</t>
  </si>
  <si>
    <t>AyluscenathanMyMommy's Collab Extra</t>
  </si>
  <si>
    <t>b338de7b6911bdbbb9ec20cfb82284b0</t>
  </si>
  <si>
    <t>sukinathan hisohisobanashi acane luscent delis ayla</t>
  </si>
  <si>
    <t>https://assets.ppy.sh/beatmaps/1066757/covers/cover.jpg</t>
  </si>
  <si>
    <t>https://b.ppy.sh/thumb/1066757l.jpg</t>
  </si>
  <si>
    <t>Mata &amp; ZDECHLY OSA</t>
  </si>
  <si>
    <t>procq</t>
  </si>
  <si>
    <t>PATOKISS</t>
  </si>
  <si>
    <t>Ekspercki Bluenationa</t>
  </si>
  <si>
    <t>6a3cbf826ebb94e87e6e1822d787c291</t>
  </si>
  <si>
    <t>mata kisscam kiss cam pato kiss patokiss patolove blend pandawid polish poland polskie polska</t>
  </si>
  <si>
    <t>https://assets.ppy.sh/beatmaps/1665981/covers/cover.jpg</t>
  </si>
  <si>
    <t>https://b.ppy.sh/thumb/1665981l.jpg</t>
  </si>
  <si>
    <t>O2Jam U</t>
  </si>
  <si>
    <t>NEW Astronomas</t>
  </si>
  <si>
    <t>Priti's Hyper</t>
  </si>
  <si>
    <t>ca477a0a2cf6007d38bbb4d0e2ae5036</t>
  </si>
  <si>
    <t>s2tb recording remix psytrance psychadelic trance mr color priti</t>
  </si>
  <si>
    <t>https://assets.ppy.sh/beatmaps/87188/covers/cover.jpg</t>
  </si>
  <si>
    <t>https://b.ppy.sh/thumb/87188l.jpg</t>
  </si>
  <si>
    <t>Feryquitous</t>
  </si>
  <si>
    <t>Hemizorv</t>
  </si>
  <si>
    <t>Flask's Hard</t>
  </si>
  <si>
    <t>856fee3c718ad973b97ecb12fdb578ef</t>
  </si>
  <si>
    <t>captin1 flask ryuusei aika ayyri eiri- eiri blastthekidd honne owc 2020 semifinals sf nm4 artcore code​:​geranium emotional addict aspects electronic instrumental</t>
  </si>
  <si>
    <t>https://assets.ppy.sh/beatmaps/1301388/covers/cover.jpg</t>
  </si>
  <si>
    <t>https://b.ppy.sh/thumb/1301388l.jpg</t>
  </si>
  <si>
    <t>Gekka Jasmine (2014ver.)</t>
  </si>
  <si>
    <t>Gyro's Light Insane</t>
  </si>
  <si>
    <t>dc389b8e344a301e6130d426a4e16c29</t>
  </si>
  <si>
    <t>松本文紀 metrowing frostxe frostmourne gyro zeppeli lunasaika imoutosan alice</t>
  </si>
  <si>
    <t>https://assets.ppy.sh/beatmaps/408745/covers/cover.jpg</t>
  </si>
  <si>
    <t>https://b.ppy.sh/thumb/408745l.jpg</t>
  </si>
  <si>
    <t>Alyce</t>
  </si>
  <si>
    <t>サクラノ詩 －櫻の森の上を舞う－</t>
  </si>
  <si>
    <t>Sakura no Uta</t>
  </si>
  <si>
    <t>Light Insane</t>
  </si>
  <si>
    <t>6a12738f54f3027b9ebed818b674bdec</t>
  </si>
  <si>
    <t>sakura no uta - sakura no mori no ue o mau - metrowing makura 枕 litoluna lecana</t>
  </si>
  <si>
    <t>https://assets.ppy.sh/beatmaps/376552/covers/cover.jpg</t>
  </si>
  <si>
    <t>https://b.ppy.sh/thumb/376552l.jpg</t>
  </si>
  <si>
    <t>melon boy</t>
  </si>
  <si>
    <t>Hole Dwelling</t>
  </si>
  <si>
    <t>Bottomless</t>
  </si>
  <si>
    <t>0d6ffef61e39d076760a44b32cdeca32</t>
  </si>
  <si>
    <t>fuccho hatsune miku 初音ミク きくおみく6 japanese electronic vocaloid anagura gurashi hole-dwelling</t>
  </si>
  <si>
    <t>https://assets.ppy.sh/beatmaps/1519388/covers/cover.jpg</t>
  </si>
  <si>
    <t>https://b.ppy.sh/thumb/1519388l.jpg</t>
  </si>
  <si>
    <t>dreamless wanderer</t>
  </si>
  <si>
    <t>Ethereal</t>
  </si>
  <si>
    <t>eaf973dd6035011e4327cab293da03d8</t>
  </si>
  <si>
    <t>skystar clsw cametek drumstep c87 kamelcamellia かめるかめりあ featured artist</t>
  </si>
  <si>
    <t>Camellia - dreamless wanderer [Ethereal]</t>
  </si>
  <si>
    <t>https://assets.ppy.sh/beatmaps/286414/covers/cover.jpg</t>
  </si>
  <si>
    <t>https://b.ppy.sh/thumb/286414l.jpg</t>
  </si>
  <si>
    <t>AngelMaker</t>
  </si>
  <si>
    <t>Kyu96</t>
  </si>
  <si>
    <t>A Dark Omen</t>
  </si>
  <si>
    <t>Tukan's Light Extra</t>
  </si>
  <si>
    <t>6aa5ea0a05ce6c405af026f57e5545c8</t>
  </si>
  <si>
    <t>english stream metal death deathcore dissentient deathmetal rsi lmt tukan4ik washedup player gabdu09</t>
  </si>
  <si>
    <t>https://assets.ppy.sh/beatmaps/761026/covers/cover.jpg</t>
  </si>
  <si>
    <t>https://b.ppy.sh/thumb/761026l.jpg</t>
  </si>
  <si>
    <t>TUYU</t>
  </si>
  <si>
    <t>Seros</t>
  </si>
  <si>
    <t>Rock na Kimi to wa Owakare da</t>
  </si>
  <si>
    <t>Farewell Extra</t>
  </si>
  <si>
    <t>b0fd04d28b88cf6878b5ba36a942756d</t>
  </si>
  <si>
    <t>japanese pop tsuyu i'm saying farewell to that rock-and-roll you yappari ame wa furu 'nda ne it's raining after all ぷす 礼衣 おむたつ climbx3145 irin sukinathan nathan binfhone bf too jpop jrock</t>
  </si>
  <si>
    <t>https://assets.ppy.sh/beatmaps/1158494/covers/cover.jpg</t>
  </si>
  <si>
    <t>https://b.ppy.sh/thumb/1158494l.jpg</t>
  </si>
  <si>
    <t>GOSICK</t>
  </si>
  <si>
    <t>Resuscitated Hope</t>
  </si>
  <si>
    <t>eae6691cefd9b948bcfd960c1713fd60</t>
  </si>
  <si>
    <t>ゴシック ending full version size smokeman okoratu</t>
  </si>
  <si>
    <t>https://assets.ppy.sh/beatmaps/347023/covers/cover.jpg</t>
  </si>
  <si>
    <t>https://b.ppy.sh/thumb/347023l.jpg</t>
  </si>
  <si>
    <t>highcolor_sunz</t>
  </si>
  <si>
    <t>RE-OVERDOSE</t>
  </si>
  <si>
    <t>32f22409e9a515b19e748395fd253982</t>
  </si>
  <si>
    <t>allein beren vocaloid 1 sleeping 2 repeat 3 overdose japanese rock highcolorsunz ハイカラさん haikara-san highcolor-san highcolorsun ぽわぽわp powapowap ぽわぽわ powapowa 椎名もた siinamota hatsune miku reoverdose cut scissors</t>
  </si>
  <si>
    <t>https://assets.ppy.sh/beatmaps/1020335/covers/cover.jpg</t>
  </si>
  <si>
    <t>https://b.ppy.sh/thumb/1020335l.jpg</t>
  </si>
  <si>
    <t>Chase Me</t>
  </si>
  <si>
    <t>a2a252961fcb2d121f698d40492ce53e</t>
  </si>
  <si>
    <t>minx rock krock k-rock poprock kpop k-pop 지유 수아 시연 한동 유현 다미 가현 ji-u su-a siyeon handong yoohyun dami gahyeon happy face entertainment pan p_a_n rock</t>
  </si>
  <si>
    <t>https://assets.ppy.sh/beatmaps/586144/covers/cover.jpg</t>
  </si>
  <si>
    <t>https://b.ppy.sh/thumb/586144l.jpg</t>
  </si>
  <si>
    <t>A.SAKA</t>
  </si>
  <si>
    <t>Nanatsu Hiiragisuikou</t>
  </si>
  <si>
    <t>Pata-Mon's Hyper</t>
  </si>
  <si>
    <t>13627269f2b7dcf86de1a2f3d601f13b</t>
  </si>
  <si>
    <t>houshou hari houshou_hari pata-mon superbox 木製みゅーと mokuse mute 神楽ノ花 kagura no hana fa featured artist electronic instrumental</t>
  </si>
  <si>
    <t>https://assets.ppy.sh/beatmaps/1650533/covers/cover.jpg</t>
  </si>
  <si>
    <t>https://b.ppy.sh/thumb/1650533l.jpg</t>
  </si>
  <si>
    <t>2 Minutes Euphoria</t>
  </si>
  <si>
    <t>Pata-Mon's Insane</t>
  </si>
  <si>
    <t>11b4a127c2c6578687b85b2d09eb7232</t>
  </si>
  <si>
    <t>yaspo niva patamon pata-mon pata mon owc osu! world cup 2020 qualifier hr2 2bun 2 ni bun kan no takoukan artcore westcoast japanese english pop rock electrical neutrap female vocal rhythm video game</t>
  </si>
  <si>
    <t>https://assets.ppy.sh/beatmaps/1280207/covers/cover.jpg</t>
  </si>
  <si>
    <t>https://b.ppy.sh/thumb/1280207l.jpg</t>
  </si>
  <si>
    <t>Gruequix</t>
  </si>
  <si>
    <t>cb5d8fbc0954ddd8ee50d57e5ae60368</t>
  </si>
  <si>
    <t>gf co22 dt4 corsace :/</t>
  </si>
  <si>
    <t>https://assets.ppy.sh/beatmaps/1850818/covers/cover.jpg</t>
  </si>
  <si>
    <t>https://b.ppy.sh/thumb/1850818l.jpg</t>
  </si>
  <si>
    <t>Compute It With Some Devilish Alcoholic Steampunk Engines</t>
  </si>
  <si>
    <t>F4UZ4N's Hard</t>
  </si>
  <si>
    <t>f688e61e73577c4ac2849a0cb0ac051c</t>
  </si>
  <si>
    <t>f4uz4n jaybone banter tera i/o hardcore swing electroswing 100k twitter followers featured artist electronic instrumental fa techno</t>
  </si>
  <si>
    <t>https://assets.ppy.sh/beatmaps/1268030/covers/cover.jpg</t>
  </si>
  <si>
    <t>https://b.ppy.sh/thumb/1268030l.jpg</t>
  </si>
  <si>
    <t>Absofacto</t>
  </si>
  <si>
    <t>Mosebye</t>
  </si>
  <si>
    <t>Dissolve</t>
  </si>
  <si>
    <t>d3c384c8e2213ef93d1a28d2d5ea95f2</t>
  </si>
  <si>
    <t>english dream indie pop thousand peaces lofi</t>
  </si>
  <si>
    <t>https://assets.ppy.sh/beatmaps/1629444/covers/cover.jpg</t>
  </si>
  <si>
    <t>https://b.ppy.sh/thumb/1629444l.jpg</t>
  </si>
  <si>
    <t>I can't live without you.</t>
  </si>
  <si>
    <t>c7b73b065f2d25dc49ed4a7deb4b2c0e</t>
  </si>
  <si>
    <t>cant bandmaid japanese rock world domination</t>
  </si>
  <si>
    <t>https://assets.ppy.sh/beatmaps/1093430/covers/cover.jpg</t>
  </si>
  <si>
    <t>https://b.ppy.sh/thumb/1093430l.jpg</t>
  </si>
  <si>
    <t>Jinsei Matatabi</t>
  </si>
  <si>
    <t>2aa7ca0f9c66143e6218ae8be0863297</t>
  </si>
  <si>
    <t>hakaseshinonome mindlessness kubsnia_zhoyl_ papple104 pappl_e_104 kanor superdaloubot remapper _lai -claris- yorita_yoshino fressive かいりきベア kairiki bear japanese female vocals vtb virtual youtuber vtuber yorita yoshino novelty</t>
  </si>
  <si>
    <t>https://assets.ppy.sh/beatmaps/1123944/covers/cover.jpg</t>
  </si>
  <si>
    <t>https://b.ppy.sh/thumb/1123944l.jpg</t>
  </si>
  <si>
    <t>inabakumori</t>
  </si>
  <si>
    <t>0ugi</t>
  </si>
  <si>
    <t>Tsukuri Kake no Shinshou</t>
  </si>
  <si>
    <t>LeCandy's Extra</t>
  </si>
  <si>
    <t>c7f3b4368c64731545036f2b4a88a03d</t>
  </si>
  <si>
    <t>himada jiysea that_otaku lecandy sagu kyuuchie an image in the making 歌愛ユキ kaai yuki vocaloid アンチサイクロン anticyclone inaba kumori japanese rock j-rock</t>
  </si>
  <si>
    <t>https://assets.ppy.sh/beatmaps/1248914/covers/cover.jpg</t>
  </si>
  <si>
    <t>https://b.ppy.sh/thumb/1248914l.jpg</t>
  </si>
  <si>
    <t>NoFail's Extra</t>
  </si>
  <si>
    <t>cbb7fb9939fcd94745ad16200ced5ddb</t>
  </si>
  <si>
    <t>The Ghost of 3.13</t>
  </si>
  <si>
    <t>Pittigbaasje</t>
  </si>
  <si>
    <t>Daydream</t>
  </si>
  <si>
    <t>Extreme</t>
  </si>
  <si>
    <t>be0a80f56858d2f14663d5ce957e4843</t>
  </si>
  <si>
    <t>https://assets.ppy.sh/beatmaps/411990/covers/cover.jpg</t>
  </si>
  <si>
    <t>https://b.ppy.sh/thumb/411990l.jpg</t>
  </si>
  <si>
    <t>beatmania IIDX</t>
  </si>
  <si>
    <t>Koisuru*Uchuu Sensou!!</t>
  </si>
  <si>
    <t>Another 220BPM AR10</t>
  </si>
  <si>
    <t>e79802c2971fa2f428da3e299c0284cf</t>
  </si>
  <si>
    <t>l.e.d morinaga_mayumi reflec beat limelight mitsu gyu-tte babababa-n eieio- iidx iidx19 lincle</t>
  </si>
  <si>
    <t>https://assets.ppy.sh/beatmaps/120987/covers/cover.jpg</t>
  </si>
  <si>
    <t>https://b.ppy.sh/thumb/120987l.jpg</t>
  </si>
  <si>
    <t>Another 220BPM</t>
  </si>
  <si>
    <t>ce7dcf165eff1b4626f7aa24b8630b1b</t>
  </si>
  <si>
    <t>EXiT this Earths Atomosphere</t>
  </si>
  <si>
    <t>Astral</t>
  </si>
  <si>
    <t>84a248eb0e5c8a8e2cabfdbae70d2da9</t>
  </si>
  <si>
    <t>camellia exit this earths atomosphere atmosphere featured artist</t>
  </si>
  <si>
    <t>https://assets.ppy.sh/beatmaps/589697/covers/cover.jpg</t>
  </si>
  <si>
    <t>https://b.ppy.sh/thumb/589697l.jpg</t>
  </si>
  <si>
    <t>yaseta</t>
  </si>
  <si>
    <t>Bluenation</t>
  </si>
  <si>
    <t>Grace</t>
  </si>
  <si>
    <t>257099a7bc15792928a55c1a8510e934</t>
  </si>
  <si>
    <t>vivid hardcore -new season- 3 image--</t>
  </si>
  <si>
    <t>yaseta - Bluenation [Grace]</t>
  </si>
  <si>
    <t>https://osu.ppy.sh/beatmapsets/707032#osu/1494828</t>
  </si>
  <si>
    <t>https://assets.ppy.sh/beatmaps/707032/covers/cover.jpg</t>
  </si>
  <si>
    <t>https://b.ppy.sh/thumb/707032l.jpg</t>
  </si>
  <si>
    <t>Fahrstuhl Musik</t>
  </si>
  <si>
    <t>The Vulture</t>
  </si>
  <si>
    <t>Elevator Music</t>
  </si>
  <si>
    <t>LowComboFC's Going Downwards</t>
  </si>
  <si>
    <t>5072d084cedc97d26d25cd616f93b1cf</t>
  </si>
  <si>
    <t>elevator music chill vaporwave memes unbox therapy -[h13]- h13 aquaaa312 the vulture lowcombofc</t>
  </si>
  <si>
    <t>https://osu.ppy.sh/beatmapsets/454987#osu/975342</t>
  </si>
  <si>
    <t>https://assets.ppy.sh/beatmaps/454987/covers/cover.jpg</t>
  </si>
  <si>
    <t>https://b.ppy.sh/thumb/454987l.jpg</t>
  </si>
  <si>
    <t>rejection</t>
  </si>
  <si>
    <t>Garden</t>
  </si>
  <si>
    <t>Aimai Attitude (feat. Nakamura Sanso)</t>
  </si>
  <si>
    <t>Girlish Extra ft. Regou</t>
  </si>
  <si>
    <t>040416247c947a9269b3fa59bb67a910</t>
  </si>
  <si>
    <t>japanese electronic j-core jcore kawaii pop regou firika dored featured artist fa mappers' guild mpg</t>
  </si>
  <si>
    <t>rejection - Aimai Attitude (feat. Nakamura Sanso) [Girlish Extra ft. Regou]</t>
  </si>
  <si>
    <t>https://osu.ppy.sh/beatmapsets/1601852#osu/3271290</t>
  </si>
  <si>
    <t>https://assets.ppy.sh/beatmaps/1601852/covers/cover.jpg</t>
  </si>
  <si>
    <t>https://b.ppy.sh/thumb/1601852l.jpg</t>
  </si>
  <si>
    <t>greenhue</t>
  </si>
  <si>
    <t>デジモンアドベンチャー:</t>
  </si>
  <si>
    <t>Q?</t>
  </si>
  <si>
    <t>Mir's Extra</t>
  </si>
  <si>
    <t>f5494f8569895e85ac59ca79cec93518</t>
  </si>
  <si>
    <t>japanese jpop dnb drum and bass agatsu mir bells jennifer jennglebells gigap pop ギガ れをる digimon adventure</t>
  </si>
  <si>
    <t>https://assets.ppy.sh/beatmaps/1299595/covers/cover.jpg</t>
  </si>
  <si>
    <t>https://b.ppy.sh/thumb/1299595l.jpg</t>
  </si>
  <si>
    <t>Foreground Eclipse</t>
  </si>
  <si>
    <t>Seni</t>
  </si>
  <si>
    <t>Storytellers</t>
  </si>
  <si>
    <t>Akitoshi's Extra</t>
  </si>
  <si>
    <t>9cdc1d7bc555e29d901b60e92e73a8bd</t>
  </si>
  <si>
    <t>めらみぽっぷ meramipop merami teto touhou doujin screamo c85 comiket 85 akitoshi djulus</t>
  </si>
  <si>
    <t>https://assets.ppy.sh/beatmaps/311328/covers/cover.jpg</t>
  </si>
  <si>
    <t>https://b.ppy.sh/thumb/311328l.jpg</t>
  </si>
  <si>
    <t>Day by day (PSYQUI Remix)</t>
  </si>
  <si>
    <t>MarcoBrolo's Insane</t>
  </si>
  <si>
    <t>ab1914ded8e41f5d6c5c240f0571d9c7</t>
  </si>
  <si>
    <t>uk happy hardcore edm dubstep techcore evangelix 01 megarex marcobrolo electronic instrumental cubby axaptice</t>
  </si>
  <si>
    <t>https://assets.ppy.sh/beatmaps/1318545/covers/cover.jpg</t>
  </si>
  <si>
    <t>https://b.ppy.sh/thumb/1318545l.jpg</t>
  </si>
  <si>
    <t>RYO</t>
  </si>
  <si>
    <t>Nemis</t>
  </si>
  <si>
    <t>Shuffle Heaven</t>
  </si>
  <si>
    <t>888d1aafdda43931a1dad4ece42e3dd3</t>
  </si>
  <si>
    <t>bms maddy mr color expew ishimaru94</t>
  </si>
  <si>
    <t>https://assets.ppy.sh/beatmaps/85802/covers/cover.jpg</t>
  </si>
  <si>
    <t>https://b.ppy.sh/thumb/85802l.jpg</t>
  </si>
  <si>
    <t>tv room</t>
  </si>
  <si>
    <t>Know It All</t>
  </si>
  <si>
    <t>insane_TVTVTTTVVT</t>
  </si>
  <si>
    <t>967b806dabf45a2331211c432d9b3845</t>
  </si>
  <si>
    <t>english electronic pop beat dance hyperpop indie hyper goopert kami no kotoba yeastiest honne blastthekidd phynta mizunashi akari jasontime12345 dinner deskpop</t>
  </si>
  <si>
    <t>https://assets.ppy.sh/beatmaps/1764690/covers/cover.jpg</t>
  </si>
  <si>
    <t>https://b.ppy.sh/thumb/1764690l.jpg</t>
  </si>
  <si>
    <t>leroy</t>
  </si>
  <si>
    <t>Silverboxer</t>
  </si>
  <si>
    <t>the dariacore to YTP pipeline</t>
  </si>
  <si>
    <t>noin's insane</t>
  </si>
  <si>
    <t>d92e17743cc3f845a7af9e7156a68901</t>
  </si>
  <si>
    <t>dltzk mashcore pisscore daria hyperpop experimental breakcore digicore jersey club english electronic 0ppinosu 0pp noin</t>
  </si>
  <si>
    <t>https://assets.ppy.sh/beatmaps/1536850/covers/cover.jpg</t>
  </si>
  <si>
    <t>https://b.ppy.sh/thumb/1536850l.jpg</t>
  </si>
  <si>
    <t>Pegboard Nerds</t>
  </si>
  <si>
    <t>Altai</t>
  </si>
  <si>
    <t>Heartbit (feat. Tia Simone)</t>
  </si>
  <si>
    <t>pulse.exe</t>
  </si>
  <si>
    <t>6dde1941b975dbc1cac40d687a46bdfb</t>
  </si>
  <si>
    <t>hkttycatz hkttycup 2021 nm6 gf grandfinals grand finals tech low bpm electronic english hkitty hkittycup cup tier 2 alexander odden michael parsberg edm dance music chonk heartbeat heart beat</t>
  </si>
  <si>
    <t>https://assets.ppy.sh/beatmaps/1557716/covers/cover.jpg</t>
  </si>
  <si>
    <t>https://b.ppy.sh/thumb/1557716l.jpg</t>
  </si>
  <si>
    <t>Police Piccadilly feat. KAFU</t>
  </si>
  <si>
    <t>Ryxliee</t>
  </si>
  <si>
    <t>Furachi na Kassai</t>
  </si>
  <si>
    <t>mrforse's Light Insane</t>
  </si>
  <si>
    <t>e0dd05a796c7aaf1b19a046bcf43ff08</t>
  </si>
  <si>
    <t>japanese rock jrock j-rock female vocalist kaf kaf-u vtuber virtual youtuber vocaloid artifical singing synthesizer cevio ai kamitsubaki studio 神椿スタジオ 花谱 花譜 かふ astrolis battle mrforse flyzystyle froskya revialink</t>
  </si>
  <si>
    <t>https://assets.ppy.sh/beatmaps/1493511/covers/cover.jpg</t>
  </si>
  <si>
    <t>https://b.ppy.sh/thumb/1493511l.jpg</t>
  </si>
  <si>
    <t>Hondo Kaede, Oonishi Saori, Waki Azumi, Kino Hina, Matsuda Risae, Suzuki Eri</t>
  </si>
  <si>
    <t>Little</t>
  </si>
  <si>
    <t>刀使ノ巫女</t>
  </si>
  <si>
    <t>Save you Save me</t>
  </si>
  <si>
    <t>Gaia's Insane</t>
  </si>
  <si>
    <t>93fbce7164032a7e39be1b35f3f35e18</t>
  </si>
  <si>
    <t>toji no miko アニメ anime オープニングテーマ opening theme op cloudsplash16 gaia doormat 衛藤可奈美 etou kanami 十条姫和 juujou hiyori 柳瀬舞衣 yanase mai 糸見沙耶香 itomi sayaka 益子 薫 mashiko kaoru 古波蔵エレン kohagura ellen</t>
  </si>
  <si>
    <t>https://assets.ppy.sh/beatmaps/763406/covers/cover.jpg</t>
  </si>
  <si>
    <t>https://b.ppy.sh/thumb/763406l.jpg</t>
  </si>
  <si>
    <t>rui</t>
  </si>
  <si>
    <t>HujuniseikouyuuP</t>
  </si>
  <si>
    <t>Rubik's Cube</t>
  </si>
  <si>
    <t>6x6x6</t>
  </si>
  <si>
    <t>ce4c453555f9d53d66c4fe6d58d6ef0d</t>
  </si>
  <si>
    <t>vocaloid wring nanahoshikangengakudan</t>
  </si>
  <si>
    <t>https://assets.ppy.sh/beatmaps/33651/covers/cover.jpg</t>
  </si>
  <si>
    <t>https://b.ppy.sh/thumb/33651l.jpg</t>
  </si>
  <si>
    <t>Kijibato</t>
  </si>
  <si>
    <t>w/WWW feat. Hoshimiya Toto</t>
  </si>
  <si>
    <t>cfeea7939a06ce7038fdff1b2d3005ae</t>
  </si>
  <si>
    <t>my usual box owc o!wc osu world cup 2020 grand finals grandfinals gf dt2 pop house hardcore future bass electronic japanese</t>
  </si>
  <si>
    <t>https://assets.ppy.sh/beatmaps/1312343/covers/cover.jpg</t>
  </si>
  <si>
    <t>https://b.ppy.sh/thumb/1312343l.jpg</t>
  </si>
  <si>
    <t>Mondainai Tripper!</t>
  </si>
  <si>
    <t>7031d35638792d9caa2bb859314cae33</t>
  </si>
  <si>
    <t>sasakure.uk japanese jpop j-pop pop chanmann delette maruoko youtuber vtuber バーチャルユーチューバー バーチャルサナトリウム virtual sanatorium kishida yuki 有形ランペイジ yukei rampage kishida yuki ryo uemura オリジナルソング original song さなのばくたん。 sana no bakutan. メチャ・ハッピー・ショー mecha happy show</t>
  </si>
  <si>
    <t>https://assets.ppy.sh/beatmaps/1885986/covers/cover.jpg</t>
  </si>
  <si>
    <t>https://b.ppy.sh/thumb/1885986l.jpg</t>
  </si>
  <si>
    <t>Wake Up While Sleeping</t>
  </si>
  <si>
    <t>adc9f8a98a942e2f88c374fd8511c8bc</t>
  </si>
  <si>
    <t>electronic melodic dubstep future bass unisphere unit 04</t>
  </si>
  <si>
    <t>https://assets.ppy.sh/beatmaps/749323/covers/cover.jpg</t>
  </si>
  <si>
    <t>https://b.ppy.sh/thumb/749323l.jpg</t>
  </si>
  <si>
    <t>Gentle Stick</t>
  </si>
  <si>
    <t>Bach Imitation</t>
  </si>
  <si>
    <t>1f278a82c880e248b258fda072443598</t>
  </si>
  <si>
    <t>mithew niva</t>
  </si>
  <si>
    <t>https://assets.ppy.sh/beatmaps/1007796/covers/cover.jpg</t>
  </si>
  <si>
    <t>https://b.ppy.sh/thumb/1007796l.jpg</t>
  </si>
  <si>
    <t>Nharox</t>
  </si>
  <si>
    <t>Cirno's Perfect Math Class</t>
  </si>
  <si>
    <t>DJPop's Streams</t>
  </si>
  <si>
    <t>1a0f910a76caf3465de6187adea49167</t>
  </si>
  <si>
    <t>https://assets.ppy.sh/beatmaps/5285/covers/cover.jpg</t>
  </si>
  <si>
    <t>https://b.ppy.sh/thumb/5285l.jpg</t>
  </si>
  <si>
    <t>[Twinkle]</t>
  </si>
  <si>
    <t>O2jam U</t>
  </si>
  <si>
    <t>Identity Part 5</t>
  </si>
  <si>
    <t>Kami's Another</t>
  </si>
  <si>
    <t>aaf5c83f32d0d7a904f18b85ea62e599</t>
  </si>
  <si>
    <t>dubstep kamisamaaa jemmmmy stream minakami_yuki identity part 4 ip4 ip5 soundholick trance</t>
  </si>
  <si>
    <t>https://assets.ppy.sh/beatmaps/171676/covers/cover.jpg</t>
  </si>
  <si>
    <t>https://b.ppy.sh/thumb/171676l.jpg</t>
  </si>
  <si>
    <t>Infection</t>
  </si>
  <si>
    <t>Eulogy</t>
  </si>
  <si>
    <t>ae64811963fd5024f6cfecd63b22b4e9</t>
  </si>
  <si>
    <t>the unfinished featured artist mappers' guild fa mpg instrumental electronic</t>
  </si>
  <si>
    <t>https://assets.ppy.sh/beatmaps/1225001/covers/cover.jpg</t>
  </si>
  <si>
    <t>https://b.ppy.sh/thumb/1225001l.jpg</t>
  </si>
  <si>
    <t>千の刃濤、桃花染の皇姫 -花あかり-</t>
  </si>
  <si>
    <t>Tougen Roman (Epsilon Remix)</t>
  </si>
  <si>
    <t>Dailycare's Extra</t>
  </si>
  <si>
    <t>7f339778740120b2b5536ee1afc0b42a</t>
  </si>
  <si>
    <t>eroge visual novel sen no hatou tsukisome no kouki senmomo august video game japanese pop j-pop electronic op opening -_matha_- dailycare morinaga elsa valentine my angel watame vn flask sahuang my angel azusa garden xlolicore- sen no hatou tsukisome no kouki -hana akari-</t>
  </si>
  <si>
    <t>https://assets.ppy.sh/beatmaps/1321446/covers/cover.jpg</t>
  </si>
  <si>
    <t>https://b.ppy.sh/thumb/1321446l.jpg</t>
  </si>
  <si>
    <t>bath room</t>
  </si>
  <si>
    <t>deppy's insane</t>
  </si>
  <si>
    <t>52edb2915103b99098eb824e5df295b6</t>
  </si>
  <si>
    <t>liyuu aquivery -rielle- deppyforce 矢川葵 yagawa aoi コショージメグミ koshouji koshoji coshoji coshouji megumi 井上唯 inoue yui 和田輪 wada rin tokumajapan japanese pop jpop idol banger bonanza 2022 tournament b9 bathroom</t>
  </si>
  <si>
    <t>https://assets.ppy.sh/beatmaps/1790018/covers/cover.jpg</t>
  </si>
  <si>
    <t>https://b.ppy.sh/thumb/1790018l.jpg</t>
  </si>
  <si>
    <t>positive MAD-crew</t>
  </si>
  <si>
    <t>FrenZ396</t>
  </si>
  <si>
    <t>pop'n music Sunny Park</t>
  </si>
  <si>
    <t>Mynarco</t>
  </si>
  <si>
    <t>IOException's Extra</t>
  </si>
  <si>
    <t>e3c5cdec1dcd73e61215e9b238155d10</t>
  </si>
  <si>
    <t>deadcode ioexception dementation kkipalt technica short version addiction drum'n coredust ドラムンコアダスト positive ma nia-chan no uta no hito jubeat saucer jukebeat jubeat plus reflec beat 悠久のリフレシア" "ポップンリズミン mad-crewp japanese video game frenz</t>
  </si>
  <si>
    <t>https://assets.ppy.sh/beatmaps/824205/covers/cover.jpg</t>
  </si>
  <si>
    <t>https://b.ppy.sh/thumb/824205l.jpg</t>
  </si>
  <si>
    <t>Kobaryo</t>
  </si>
  <si>
    <t>Testo</t>
  </si>
  <si>
    <t>Sulyvahn [feat. USAO]</t>
  </si>
  <si>
    <t>e07eb5029929cec2afaf27183e2cbdde</t>
  </si>
  <si>
    <t>electronic gabba gabber hardcore j-core speedcore japan mixpeed action djulus suzuki_1112 1112 featured artist</t>
  </si>
  <si>
    <t>https://assets.ppy.sh/beatmaps/787583/covers/cover.jpg</t>
  </si>
  <si>
    <t>https://b.ppy.sh/thumb/787583l.jpg</t>
  </si>
  <si>
    <t>liaoxingyao</t>
  </si>
  <si>
    <t>ANiMA</t>
  </si>
  <si>
    <t>LV.11</t>
  </si>
  <si>
    <t>d950c4cf510299a42fc5914f154f1c91</t>
  </si>
  <si>
    <t>rayark inc. piano diamondmofeng spring parad_x dynamix</t>
  </si>
  <si>
    <t>https://assets.ppy.sh/beatmaps/359191/covers/cover.jpg</t>
  </si>
  <si>
    <t>https://b.ppy.sh/thumb/359191l.jpg</t>
  </si>
  <si>
    <t>GROOVE COASTER</t>
  </si>
  <si>
    <t>VOLT (USAO Remix)</t>
  </si>
  <si>
    <t>Plaudible's Extra</t>
  </si>
  <si>
    <t>045974fec50bd00837889d342bb5c2a2</t>
  </si>
  <si>
    <t>dubstep melodic electronic video game drumstep instrumental dnb english archvs c93 taito cool snownino_ nino xchorse dtm9 nowa plaudible</t>
  </si>
  <si>
    <t>https://assets.ppy.sh/beatmaps/732280/covers/cover.jpg</t>
  </si>
  <si>
    <t>https://b.ppy.sh/thumb/732280l.jpg</t>
  </si>
  <si>
    <t>cinnamons x evening cinema</t>
  </si>
  <si>
    <t>Foxy Grandpa</t>
  </si>
  <si>
    <t>summertime</t>
  </si>
  <si>
    <t>nathan's insane</t>
  </si>
  <si>
    <t>63aa53886e2671fe1f668b05aab34f12</t>
  </si>
  <si>
    <t>foxygrandpa nathan sukinathan battle plaudible j-pop japanese pop tsukunem</t>
  </si>
  <si>
    <t>https://assets.ppy.sh/beatmaps/1239626/covers/cover.jpg</t>
  </si>
  <si>
    <t>https://b.ppy.sh/thumb/1239626l.jpg</t>
  </si>
  <si>
    <t>Ascended</t>
  </si>
  <si>
    <t>Feelsleft0ut</t>
  </si>
  <si>
    <t>Acyl x toybot's Another</t>
  </si>
  <si>
    <t>a5abb3544d4bc9678d4f6766e0de098b</t>
  </si>
  <si>
    <t>feelsleftout featured artist fa osu!fa electronic instrumental future bass mpg mappersguild mappers mappers' guild -ascended- -_ascended_- kyouren gokugohan12468 kittyadventure niva nivalis acyl acylica iedesu toybot vikala cubby cubbby shota on osu shota_on_osu nokris reya lunarblossom ancul j1_ owc osu! world cup 2021 qf quarterfinals nm4 mastermapper master mapper 1 mm mm1 qualifiers</t>
  </si>
  <si>
    <t>https://osu.ppy.sh/beatmapsets/1811658#osu/3716151</t>
  </si>
  <si>
    <t>https://assets.ppy.sh/beatmaps/1811658/covers/cover.jpg</t>
  </si>
  <si>
    <t>https://b.ppy.sh/thumb/1811658l.jpg</t>
  </si>
  <si>
    <t>1225cc55a4c1ff5d86058ad6b4415dbf</t>
  </si>
  <si>
    <t>feelsleftout future bass featured artist fa xen xenon- xehn niva acyl acylica iedesu toybot vikala cubby cubbby shota on osu nokris reya lunarblossom ancul electronic instrumental owc2021qfnm4</t>
  </si>
  <si>
    <t>https://assets.ppy.sh/beatmaps/821587/covers/cover.jpg</t>
  </si>
  <si>
    <t>https://b.ppy.sh/thumb/821587l.jpg</t>
  </si>
  <si>
    <t>False Noise</t>
  </si>
  <si>
    <t>Space Angel</t>
  </si>
  <si>
    <t>808 MIMOLETTE</t>
  </si>
  <si>
    <t>295ac289ba470fb480b600a5cb9894a7</t>
  </si>
  <si>
    <t>obwc o!bwc 2020 quarterfinals france featured artist</t>
  </si>
  <si>
    <t>https://assets.ppy.sh/beatmaps/1239841/covers/cover.jpg</t>
  </si>
  <si>
    <t>https://b.ppy.sh/thumb/1239841l.jpg</t>
  </si>
  <si>
    <t>Love Is A Simple Thing</t>
  </si>
  <si>
    <t>EEeee's Love Ain't So Simple</t>
  </si>
  <si>
    <t>43ea6cca352c826c7a11a7b5f38d23ea</t>
  </si>
  <si>
    <t>Collaboration Collab EEeee</t>
  </si>
  <si>
    <t>https://assets.ppy.sh/beatmaps/4907/covers/cover.jpg</t>
  </si>
  <si>
    <t>https://b.ppy.sh/thumb/4907l.jpg</t>
  </si>
  <si>
    <t>Lanota</t>
  </si>
  <si>
    <t>Wolves Standing Towards Enemies</t>
  </si>
  <si>
    <t>f6d8a4c2e7fe7b0745d988f46740f548</t>
  </si>
  <si>
    <t>生命の音 seimei no oto the sound of life notalium cage noxy cametek かめるかめりあ electronic instrumental wolf</t>
  </si>
  <si>
    <t>https://assets.ppy.sh/beatmaps/1228132/covers/cover.jpg</t>
  </si>
  <si>
    <t>https://b.ppy.sh/thumb/1228132l.jpg</t>
  </si>
  <si>
    <t>john</t>
  </si>
  <si>
    <t>Utage</t>
  </si>
  <si>
    <t>Dabbe's Hidden Insane</t>
  </si>
  <si>
    <t>813769dc0d55840b13847955aa8a035f</t>
  </si>
  <si>
    <t>niii_san nisan dasdwqdf xandeez nuts gigarobloxian21 pokeyyyy mononymous dabbe_01 silverboxer nymphe kiyoshi guarden kang sae-byeok corsaceopensfnm6 co2022 tooboe angry dog japanese pop j-pop jpop 初音ミク hatsune miku ボーカロイド vocaloid</t>
  </si>
  <si>
    <t>https://assets.ppy.sh/beatmaps/1842709/covers/cover.jpg</t>
  </si>
  <si>
    <t>https://b.ppy.sh/thumb/1842709l.jpg</t>
  </si>
  <si>
    <t>PRXSXNT FXTURE</t>
  </si>
  <si>
    <t>SMOKED OUT</t>
  </si>
  <si>
    <t>X</t>
  </si>
  <si>
    <t>0674a83672097b23eca3f26da026ce0d</t>
  </si>
  <si>
    <t>drift phonk english reywateil yooh hartnett media hip hop hip-hop asukow pepekcz kujinn reform electronic instrumental</t>
  </si>
  <si>
    <t>https://assets.ppy.sh/beatmaps/1804775/covers/cover.jpg</t>
  </si>
  <si>
    <t>https://b.ppy.sh/thumb/1804775l.jpg</t>
  </si>
  <si>
    <t>Flamenco House</t>
  </si>
  <si>
    <t>JeZalt's Another</t>
  </si>
  <si>
    <t>2e0cb43af6d41a7ac559df4fc9ff8560</t>
  </si>
  <si>
    <t>electronic instrumental megarex mrx-068 axaptice jezag kkipalt that_otaku nikolomara celektus nik</t>
  </si>
  <si>
    <t>https://osu.ppy.sh/beatmapsets/1865291#osu/3853742</t>
  </si>
  <si>
    <t>https://assets.ppy.sh/beatmaps/1865291/covers/cover.jpg</t>
  </si>
  <si>
    <t>https://b.ppy.sh/thumb/1865291l.jpg</t>
  </si>
  <si>
    <t>0rb1t</t>
  </si>
  <si>
    <t>necrotrash</t>
  </si>
  <si>
    <t>I Lost</t>
  </si>
  <si>
    <t>SOSC Summer 2021 GFs</t>
  </si>
  <si>
    <t>8f366d29cdbbef3b4604ac2da46636b8</t>
  </si>
  <si>
    <t>i lost my flp jioyi attacked by a mirror instrumental electronic osutrainer</t>
  </si>
  <si>
    <t>https://osu.ppy.sh/beatmapsets/1481685#osu/3039329</t>
  </si>
  <si>
    <t>https://assets.ppy.sh/beatmaps/1481685/covers/cover.jpg</t>
  </si>
  <si>
    <t>https://b.ppy.sh/thumb/1481685l.jpg</t>
  </si>
  <si>
    <t>-+</t>
  </si>
  <si>
    <t>Light Another</t>
  </si>
  <si>
    <t>65f68c9fdb0ffa46cfe8cb8f29ceada8</t>
  </si>
  <si>
    <t>minus plus nm2 custom oclr osu chinese league rookie stream bof2013 bof</t>
  </si>
  <si>
    <t>https://assets.ppy.sh/beatmaps/1634320/covers/cover.jpg</t>
  </si>
  <si>
    <t>https://b.ppy.sh/thumb/1634320l.jpg</t>
  </si>
  <si>
    <t>Witchcraft</t>
  </si>
  <si>
    <t>mogumogu</t>
  </si>
  <si>
    <t>327634d4150a4fc5b09f68d9a9bb25f8</t>
  </si>
  <si>
    <t>pain peko</t>
  </si>
  <si>
    <t>https://assets.ppy.sh/beatmaps/1547170/covers/cover.jpg</t>
  </si>
  <si>
    <t>https://b.ppy.sh/thumb/1547170l.jpg</t>
  </si>
  <si>
    <t>Beomsan</t>
  </si>
  <si>
    <t>Aisubeki Hibi e</t>
  </si>
  <si>
    <t>Tsumia's Extra</t>
  </si>
  <si>
    <t>33fdbf3b6945eacac547aa151e4bdeef</t>
  </si>
  <si>
    <t>tsumia dailycare down enon nasmoeb j-pop japanese kazuki yuki to lovable days pop</t>
  </si>
  <si>
    <t>https://osu.ppy.sh/beatmapsets/1291579#osu/2690998</t>
  </si>
  <si>
    <t>https://assets.ppy.sh/beatmaps/1291579/covers/cover.jpg</t>
  </si>
  <si>
    <t>https://b.ppy.sh/thumb/1291579l.jpg</t>
  </si>
  <si>
    <t>ORESAMA</t>
  </si>
  <si>
    <t>ムヒョとロージーの魔法律相談事務所</t>
  </si>
  <si>
    <t>Hotohashiru</t>
  </si>
  <si>
    <t>7f229a1e9bb732093840ae84407388b3</t>
  </si>
  <si>
    <t>muhyo to roji no mahouritsu soudan jimusho muhyoroji image-- kuei ed japanese anime jpop j-pop sanairrt akitoshi corinn -laura-</t>
  </si>
  <si>
    <t>https://assets.ppy.sh/beatmaps/1090567/covers/cover.jpg</t>
  </si>
  <si>
    <t>https://b.ppy.sh/thumb/1090567l.jpg</t>
  </si>
  <si>
    <t>A.I. automatic infection</t>
  </si>
  <si>
    <t>3c6f816533d6598a597c78b34e03ba88</t>
  </si>
  <si>
    <t>japanese カプセル nexus-2060 こしじまとしこ 中田ヤスタカ koshijima toshiko yasutaka nakata contemode electropop jpop pop electronic electronica flake kyuuchie shiwakaze</t>
  </si>
  <si>
    <t>https://assets.ppy.sh/beatmaps/1670118/covers/cover.jpg</t>
  </si>
  <si>
    <t>https://b.ppy.sh/thumb/1670118l.jpg</t>
  </si>
  <si>
    <t>T-T-Techno (feat. Jesskah)</t>
  </si>
  <si>
    <t>fanzhen's X-Tra</t>
  </si>
  <si>
    <t>a2a89f64e9de63439b0facc49b9f2b53</t>
  </si>
  <si>
    <t>nold kawaiwkyik chloe wkyik fanzhen0019 mingmichael [mahua] qq944364487</t>
  </si>
  <si>
    <t>https://assets.ppy.sh/beatmaps/83560/covers/cover.jpg</t>
  </si>
  <si>
    <t>https://b.ppy.sh/thumb/83560l.jpg</t>
  </si>
  <si>
    <t>Feint</t>
  </si>
  <si>
    <t>eLy</t>
  </si>
  <si>
    <t>Tower Of Heaven (You Are Slaves)</t>
  </si>
  <si>
    <t>df9d928172dc75fcbb53291d2bc13dc6</t>
  </si>
  <si>
    <t>dnb drum and bass electronic music 8bit</t>
  </si>
  <si>
    <t>https://assets.ppy.sh/beatmaps/128931/covers/cover.jpg</t>
  </si>
  <si>
    <t>https://b.ppy.sh/thumb/128931l.jpg</t>
  </si>
  <si>
    <t>Shihoko Hirata</t>
  </si>
  <si>
    <t>Sallad4ever</t>
  </si>
  <si>
    <t>Shin Megami Tensei: Persona 4</t>
  </si>
  <si>
    <t>Pursuing My True Self</t>
  </si>
  <si>
    <t>KIRBY Mix</t>
  </si>
  <si>
    <t>f8ec81c8ba2e26501137eb494ba6069f</t>
  </si>
  <si>
    <t>atlus p4 hakunokaemi megaten starrodkirby86 shoji meguro</t>
  </si>
  <si>
    <t>https://assets.ppy.sh/beatmaps/28257/covers/cover.jpg</t>
  </si>
  <si>
    <t>https://b.ppy.sh/thumb/28257l.jpg</t>
  </si>
  <si>
    <t>Midnight Lightning Bolt</t>
  </si>
  <si>
    <t>694c390e74ebbd16689004ca3662f974</t>
  </si>
  <si>
    <t>chen crystallized ocean perfect cherry blossom nana takahashi</t>
  </si>
  <si>
    <t>https://assets.ppy.sh/beatmaps/16371/covers/cover.jpg</t>
  </si>
  <si>
    <t>https://b.ppy.sh/thumb/16371l.jpg</t>
  </si>
  <si>
    <t>beatmania IIDX 25 CANNON BALLERS</t>
  </si>
  <si>
    <t>FREEDOM (Extended Mix)</t>
  </si>
  <si>
    <t>7dcba30fc7dfaebdd0dc8696a2af63b1</t>
  </si>
  <si>
    <t>drumstep hyper dubstep electronic japanese dnb cool krovesia reform kujinn</t>
  </si>
  <si>
    <t>https://assets.ppy.sh/beatmaps/749304/covers/cover.jpg</t>
  </si>
  <si>
    <t>https://b.ppy.sh/thumb/749304l.jpg</t>
  </si>
  <si>
    <t>KARUT</t>
  </si>
  <si>
    <t>ブルーアーカイブ -Blue Archive-</t>
  </si>
  <si>
    <t>Glitch Street</t>
  </si>
  <si>
    <t>Zekk's Hard</t>
  </si>
  <si>
    <t>233dfb6164dea956b8a60eb5ca487869</t>
  </si>
  <si>
    <t>blue archive triplebullets ost 42 k_arut video game gacha instrumental electronic yostar delusional zekk anxient kowari pnky scubdomino natsume shiki anime girl natsume_shiki anime_girl scub domino scub_domino jungkyuyoung [keqing] 8972308 tycani fuiba fuyu</t>
  </si>
  <si>
    <t>https://assets.ppy.sh/beatmaps/1817644/covers/cover.jpg</t>
  </si>
  <si>
    <t>https://b.ppy.sh/thumb/1817644l.jpg</t>
  </si>
  <si>
    <t>d:for the DELTA</t>
  </si>
  <si>
    <t>Delirium</t>
  </si>
  <si>
    <t>204487fe7fb6c5f513b7363830856020</t>
  </si>
  <si>
    <t>toybot probox cametek かめるかめりあ kamelcamellia c88 kamel planet//shaper planet shaper collab collaboration dnb dubstep drumstep drum and bass featured artist</t>
  </si>
  <si>
    <t>https://assets.ppy.sh/beatmaps/396370/covers/cover.jpg</t>
  </si>
  <si>
    <t>https://b.ppy.sh/thumb/396370l.jpg</t>
  </si>
  <si>
    <t>Cat Loving</t>
  </si>
  <si>
    <t>bongo's Insane</t>
  </si>
  <si>
    <t>79ac3bd2dd4e13d2445c67ea5a0f8eff</t>
  </si>
  <si>
    <t>blitzifyyy mocaotic bongo ayucchi japanese pop j-pop jpop cat rubbing 香椎モイミ moimi kashii hakoniwalily ハコニワリリィ honeyworks ハニーワークス ハニワ kamitsubaki studio 神椿スタジオ</t>
  </si>
  <si>
    <t>https://assets.ppy.sh/beatmaps/1809604/covers/cover.jpg</t>
  </si>
  <si>
    <t>https://b.ppy.sh/thumb/1809604l.jpg</t>
  </si>
  <si>
    <t>セレブと貧乏太郎</t>
  </si>
  <si>
    <t>Kimagure Romantic</t>
  </si>
  <si>
    <t>d2dd14e220bc3f9ffce8d9736b8081fd</t>
  </si>
  <si>
    <t>xenon- xehn xen amateurre sanairrt imagination vol. 2 virtual youtuber vtuber nijisanji にじさんじ 2434 水野良樹 mizuno yoshiki いきものがかり ikimono gakari ikimono-gakari cover からかい上手の高木さん karakai jouzu no takagi-san the celebrity and poor tarou serebu to binbou tarou japanese pop jpop full version</t>
  </si>
  <si>
    <t>https://assets.ppy.sh/beatmaps/1130251/covers/cover.jpg</t>
  </si>
  <si>
    <t>https://b.ppy.sh/thumb/1130251l.jpg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</si>
</sst>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m&quot;:&quot;ss"/>
    <numFmt numFmtId="166" formatCode="yyyy-mm-dd"/>
    <numFmt numFmtId="167" formatCode="yyyy-mm-dd hh:mm:ss"/>
  </numFmts>
  <fonts count="69">
    <font>
      <sz val="10.0"/>
      <color rgb="FF000000"/>
      <name val="Arial"/>
      <scheme val="minor"/>
    </font>
    <font>
      <sz val="10.0"/>
      <color rgb="FF284056"/>
      <name val="Rubik"/>
    </font>
    <font>
      <b/>
      <sz val="10.0"/>
      <color rgb="FF284056"/>
      <name val="Rubik"/>
    </font>
    <font>
      <color rgb="FF284056"/>
      <name val="Rubik"/>
    </font>
    <font>
      <b/>
      <color rgb="FF284056"/>
      <name val="Rubik"/>
    </font>
    <font>
      <b/>
      <sz val="14.0"/>
      <color rgb="FFFFFFFF"/>
      <name val="Rubik"/>
    </font>
    <font/>
    <font>
      <u/>
      <sz val="8.0"/>
      <color rgb="FF284056"/>
      <name val="Rubik"/>
    </font>
    <font>
      <sz val="8.0"/>
      <color rgb="FF284056"/>
      <name val="Rubik"/>
    </font>
    <font>
      <u/>
      <sz val="8.0"/>
      <color rgb="FF0000FF"/>
      <name val="&quot;gg sans&quot;"/>
    </font>
    <font>
      <u/>
      <sz val="8.0"/>
      <color rgb="FF284056"/>
      <name val="Rubik"/>
    </font>
    <font>
      <sz val="10.0"/>
      <color theme="1"/>
      <name val="Arial"/>
    </font>
    <font>
      <u/>
      <sz val="8.0"/>
      <color rgb="FF284056"/>
      <name val="Rubik"/>
    </font>
    <font>
      <u/>
      <sz val="8.0"/>
      <color rgb="FF000000"/>
      <name val="&quot;gg sans&quot;"/>
    </font>
    <font>
      <color theme="1"/>
      <name val="Arial"/>
    </font>
    <font>
      <u/>
      <sz val="8.0"/>
      <color rgb="FF284056"/>
      <name val="Rubik"/>
    </font>
    <font>
      <u/>
      <sz val="8.0"/>
      <color rgb="FF284056"/>
      <name val="Rubik"/>
    </font>
    <font>
      <u/>
      <sz val="8.0"/>
      <color rgb="FF0000FF"/>
      <name val="Rubik"/>
    </font>
    <font>
      <sz val="8.0"/>
      <color theme="1"/>
      <name val="Rubik"/>
    </font>
    <font>
      <color theme="1"/>
      <name val="Arial"/>
      <scheme val="minor"/>
    </font>
    <font>
      <color rgb="FF284056"/>
      <name val="Docs-Rubik"/>
    </font>
    <font>
      <u/>
      <sz val="8.0"/>
      <color rgb="FF284056"/>
      <name val="Rubik"/>
    </font>
    <font>
      <u/>
      <sz val="12.0"/>
      <color rgb="FF0000FF"/>
      <name val="&quot;gg sans&quot;"/>
    </font>
    <font>
      <u/>
      <sz val="8.0"/>
      <color rgb="FF000000"/>
      <name val="Arial"/>
    </font>
    <font>
      <u/>
      <sz val="12.0"/>
      <color rgb="FFDBDEE1"/>
      <name val="&quot;gg sans&quot;"/>
    </font>
    <font>
      <sz val="11.0"/>
      <color rgb="FFFFFFFF"/>
      <name val="Roboto"/>
    </font>
    <font>
      <u/>
      <sz val="8.0"/>
      <color rgb="FF073763"/>
      <name val="Arial"/>
    </font>
    <font>
      <b/>
      <sz val="8.0"/>
      <color rgb="FF073763"/>
      <name val="Arial"/>
    </font>
    <font>
      <b/>
      <sz val="8.0"/>
      <color rgb="FF783F04"/>
      <name val="Arial"/>
    </font>
    <font>
      <u/>
      <sz val="8.0"/>
      <color rgb="FF7F6000"/>
      <name val="Arial"/>
    </font>
    <font>
      <b/>
      <sz val="8.0"/>
      <color rgb="FF7F6000"/>
      <name val="Arial"/>
    </font>
    <font>
      <u/>
      <sz val="8.0"/>
      <color rgb="FF660000"/>
      <name val="Arial"/>
    </font>
    <font>
      <b/>
      <sz val="8.0"/>
      <color rgb="FF660000"/>
      <name val="Arial"/>
    </font>
    <font>
      <b/>
      <sz val="8.0"/>
      <color rgb="FF20124D"/>
      <name val="Arial"/>
    </font>
    <font>
      <u/>
      <sz val="8.0"/>
      <color rgb="FF284056"/>
      <name val="Arial"/>
    </font>
    <font>
      <u/>
      <sz val="8.0"/>
      <color rgb="FF20124D"/>
      <name val="Arial"/>
    </font>
    <font>
      <u/>
      <sz val="8.0"/>
      <color rgb="FF000000"/>
      <name val="Arial"/>
    </font>
    <font>
      <u/>
      <sz val="8.0"/>
      <color rgb="FF20124D"/>
      <name val="Arial"/>
    </font>
    <font>
      <u/>
      <sz val="8.0"/>
      <color rgb="FF783F04"/>
      <name val="Arial"/>
    </font>
    <font>
      <u/>
      <sz val="8.0"/>
      <color rgb="FF4C1130"/>
      <name val="Arial"/>
    </font>
    <font>
      <b/>
      <sz val="8.0"/>
      <color rgb="FF4C1130"/>
      <name val="Arial"/>
    </font>
    <font>
      <u/>
      <sz val="8.0"/>
      <color rgb="FFDBDEE1"/>
      <name val="&quot;gg sans&quot;"/>
    </font>
    <font>
      <sz val="18.0"/>
      <color rgb="FFF3F3F3"/>
      <name val="Play"/>
    </font>
    <font>
      <sz val="6.0"/>
      <color rgb="FF2B282C"/>
      <name val="Play"/>
    </font>
    <font>
      <color rgb="FFF3F3F3"/>
      <name val="Play"/>
    </font>
    <font>
      <sz val="12.0"/>
      <color rgb="FFF3F3F3"/>
      <name val="Bungee"/>
    </font>
    <font>
      <sz val="7.0"/>
      <color rgb="FFF3F3F3"/>
      <name val="Bungee"/>
    </font>
    <font>
      <color rgb="FFF3F3F3"/>
      <name val="Bungee"/>
    </font>
    <font>
      <b/>
      <color rgb="FF2B282C"/>
      <name val="Play"/>
    </font>
    <font>
      <sz val="11.0"/>
      <color rgb="FFF3F3F3"/>
      <name val="Comfortaa"/>
    </font>
    <font>
      <u/>
      <sz val="11.0"/>
      <color rgb="FFF3F3F3"/>
      <name val="Comfortaa"/>
    </font>
    <font>
      <sz val="10.0"/>
      <color rgb="FFF3F3F3"/>
      <name val="Lemon"/>
    </font>
    <font>
      <sz val="11.0"/>
      <color rgb="FFCCCFD0"/>
      <name val="Comfortaa"/>
    </font>
    <font>
      <b/>
      <color rgb="FFF3F3F3"/>
      <name val="Play"/>
    </font>
    <font>
      <sz val="10.0"/>
      <color rgb="FFF3F3F3"/>
      <name val="Bungee"/>
    </font>
    <font>
      <color rgb="FF284056"/>
      <name val="Nunito"/>
    </font>
    <font>
      <b/>
      <u/>
      <sz val="18.0"/>
      <color rgb="FF284056"/>
      <name val="Lexend Deca"/>
    </font>
    <font>
      <b/>
      <color rgb="FF284056"/>
      <name val="Nunito"/>
    </font>
    <font>
      <b/>
      <sz val="8.0"/>
      <color rgb="FF284056"/>
      <name val="Nunito"/>
    </font>
    <font>
      <u/>
      <color rgb="FF284056"/>
      <name val="Nunito"/>
    </font>
    <font>
      <color rgb="FF284056"/>
      <name val="Arial"/>
      <scheme val="minor"/>
    </font>
    <font>
      <b/>
      <sz val="14.0"/>
      <color rgb="FF284056"/>
      <name val="Nunito"/>
    </font>
    <font>
      <color theme="1"/>
      <name val="Rubik"/>
    </font>
    <font>
      <u/>
      <color rgb="FF284056"/>
      <name val="Rubik"/>
    </font>
    <font>
      <u/>
      <color rgb="FF284056"/>
      <name val="Rubik"/>
    </font>
    <font>
      <b/>
      <color theme="1"/>
      <name val="Arial"/>
      <scheme val="minor"/>
    </font>
    <font>
      <sz val="8.0"/>
      <color theme="1"/>
      <name val="Arial"/>
      <scheme val="minor"/>
    </font>
    <font>
      <u/>
      <color rgb="FF0000FF"/>
    </font>
    <font>
      <sz val="11.0"/>
      <color rgb="FF000000"/>
      <name val="Inconsolata"/>
    </font>
  </fonts>
  <fills count="1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8FA5AB"/>
        <bgColor rgb="FF8FA5AB"/>
      </patternFill>
    </fill>
    <fill>
      <patternFill patternType="solid">
        <fgColor rgb="FFA2C4C9"/>
        <bgColor rgb="FFA2C4C9"/>
      </patternFill>
    </fill>
    <fill>
      <patternFill patternType="solid">
        <fgColor rgb="FFB5BDCB"/>
        <bgColor rgb="FFB5BDCB"/>
      </patternFill>
    </fill>
    <fill>
      <patternFill patternType="solid">
        <fgColor rgb="FF0071CE"/>
        <bgColor rgb="FF0071CE"/>
      </patternFill>
    </fill>
    <fill>
      <patternFill patternType="solid">
        <fgColor rgb="FF284056"/>
        <bgColor rgb="FF284056"/>
      </patternFill>
    </fill>
    <fill>
      <patternFill patternType="solid">
        <fgColor rgb="FF313338"/>
        <bgColor rgb="FF313338"/>
      </patternFill>
    </fill>
    <fill>
      <patternFill patternType="solid">
        <fgColor rgb="FF020202"/>
        <bgColor rgb="FF020202"/>
      </patternFill>
    </fill>
    <fill>
      <patternFill patternType="solid">
        <fgColor rgb="FFB6D7A8"/>
        <bgColor rgb="FFB6D7A8"/>
      </patternFill>
    </fill>
    <fill>
      <patternFill patternType="solid">
        <fgColor rgb="FFCCCFD0"/>
        <bgColor rgb="FFCCCFD0"/>
      </patternFill>
    </fill>
    <fill>
      <patternFill patternType="solid">
        <fgColor rgb="FFBACEED"/>
        <bgColor rgb="FFBACEED"/>
      </patternFill>
    </fill>
    <fill>
      <patternFill patternType="solid">
        <fgColor rgb="FF0C2D60"/>
        <bgColor rgb="FF0C2D60"/>
      </patternFill>
    </fill>
    <fill>
      <patternFill patternType="solid">
        <fgColor rgb="FF2B282C"/>
        <bgColor rgb="FF2B282C"/>
      </patternFill>
    </fill>
    <fill>
      <patternFill patternType="solid">
        <fgColor rgb="FFFFD966"/>
        <bgColor rgb="FFFFD966"/>
      </patternFill>
    </fill>
  </fills>
  <borders count="34">
    <border/>
    <border>
      <bottom style="medium">
        <color rgb="FF284056"/>
      </bottom>
    </border>
    <border>
      <left style="medium">
        <color rgb="FF434343"/>
      </left>
      <bottom style="medium">
        <color rgb="FF284056"/>
      </bottom>
    </border>
    <border>
      <left style="medium">
        <color rgb="FF434343"/>
      </left>
    </border>
    <border>
      <left style="medium">
        <color rgb="FF284056"/>
      </left>
      <bottom style="medium">
        <color rgb="FF284056"/>
      </bottom>
    </border>
    <border>
      <top style="medium">
        <color rgb="FF284056"/>
      </top>
      <bottom style="medium">
        <color rgb="FF284056"/>
      </bottom>
    </border>
    <border>
      <left style="dotted">
        <color rgb="FF284056"/>
      </left>
      <bottom style="medium">
        <color rgb="FF284056"/>
      </bottom>
    </border>
    <border>
      <right style="dotted">
        <color rgb="FF284056"/>
      </right>
      <bottom style="medium">
        <color rgb="FF284056"/>
      </bottom>
    </border>
    <border>
      <left style="dotted">
        <color rgb="FF284056"/>
      </left>
    </border>
    <border>
      <right style="dotted">
        <color rgb="FF284056"/>
      </right>
    </border>
    <border>
      <left style="double">
        <color rgb="FFFFFFFF"/>
      </left>
      <right style="double">
        <color rgb="FFFFFFFF"/>
      </right>
    </border>
    <border>
      <right style="double">
        <color rgb="FFFFFFFF"/>
      </right>
    </border>
    <border>
      <right style="double">
        <color rgb="FF0071CE"/>
      </right>
    </border>
    <border>
      <top style="double">
        <color rgb="FF0071CE"/>
      </top>
      <bottom style="double">
        <color rgb="FF0071CE"/>
      </bottom>
    </border>
    <border>
      <right style="double">
        <color rgb="FF0071CE"/>
      </right>
      <top style="double">
        <color rgb="FF0071CE"/>
      </top>
      <bottom style="double">
        <color rgb="FF0071CE"/>
      </bottom>
    </border>
    <border>
      <bottom style="double">
        <color rgb="FF0071CE"/>
      </bottom>
    </border>
    <border>
      <bottom style="double">
        <color rgb="FF2974E8"/>
      </bottom>
    </border>
    <border>
      <right style="double">
        <color rgb="FF0071CE"/>
      </right>
      <bottom style="double">
        <color rgb="FF0071CE"/>
      </bottom>
    </border>
    <border>
      <right style="dotted">
        <color rgb="FF0071CE"/>
      </right>
      <bottom style="double">
        <color rgb="FF0071CE"/>
      </bottom>
    </border>
    <border>
      <right style="dotted">
        <color rgb="FF0071CE"/>
      </right>
    </border>
    <border>
      <left style="double">
        <color rgb="FF0071CE"/>
      </left>
      <right style="double">
        <color rgb="FF0071CE"/>
      </right>
    </border>
    <border>
      <left style="dotted">
        <color rgb="FF0071CE"/>
      </left>
      <right style="dotted">
        <color rgb="FF0071CE"/>
      </right>
    </border>
    <border>
      <left style="double">
        <color rgb="FF0071CE"/>
      </left>
      <right style="double">
        <color rgb="FF0071CE"/>
      </right>
      <bottom style="double">
        <color rgb="FF0071CE"/>
      </bottom>
    </border>
    <border>
      <left style="dotted">
        <color rgb="FF0071CE"/>
      </left>
      <right style="dotted">
        <color rgb="FF0071CE"/>
      </right>
      <bottom style="double">
        <color rgb="FF0071CE"/>
      </bottom>
    </border>
    <border>
      <left style="thick">
        <color rgb="FF000000"/>
      </left>
    </border>
    <border>
      <bottom style="thick">
        <color rgb="FFB7B7B7"/>
      </bottom>
    </border>
    <border>
      <left style="double">
        <color rgb="FF0071CE"/>
      </left>
      <top style="double">
        <color rgb="FF0071CE"/>
      </top>
      <bottom style="double">
        <color rgb="FF0071CE"/>
      </bottom>
    </border>
    <border>
      <left style="double">
        <color rgb="FF0071CE"/>
      </left>
      <right style="double">
        <color rgb="FF0071CE"/>
      </right>
      <top style="double">
        <color rgb="FF0071CE"/>
      </top>
      <bottom style="double">
        <color rgb="FF0071CE"/>
      </bottom>
    </border>
    <border>
      <left style="dotted">
        <color rgb="FF0071CE"/>
      </left>
      <right style="dotted">
        <color rgb="FF0071CE"/>
      </right>
      <top style="double">
        <color rgb="FF0071CE"/>
      </top>
      <bottom style="double">
        <color rgb="FF0071CE"/>
      </bottom>
    </border>
    <border>
      <top style="double">
        <color rgb="FF2974E8"/>
      </top>
      <bottom style="double">
        <color rgb="FF0071CE"/>
      </bottom>
    </border>
    <border>
      <left style="double">
        <color rgb="FF0071CE"/>
      </left>
      <right style="double">
        <color rgb="FF0071CE"/>
      </right>
      <bottom style="double">
        <color rgb="FF2974E8"/>
      </bottom>
    </border>
    <border>
      <left style="dotted">
        <color rgb="FF0071CE"/>
      </left>
      <right style="dotted">
        <color rgb="FF0071CE"/>
      </right>
      <bottom style="double">
        <color rgb="FF2974E8"/>
      </bottom>
    </border>
    <border>
      <left style="thick">
        <color rgb="FF284056"/>
      </left>
    </border>
    <border>
      <left style="thin">
        <color rgb="FF000000"/>
      </left>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horizontal="center" readingOrder="0" vertical="center"/>
    </xf>
    <xf borderId="1" fillId="3" fontId="2" numFmtId="0" xfId="0" applyAlignment="1" applyBorder="1" applyFill="1" applyFont="1">
      <alignment horizontal="center" readingOrder="0" vertical="center"/>
    </xf>
    <xf borderId="2" fillId="3" fontId="2" numFmtId="0" xfId="0" applyAlignment="1" applyBorder="1" applyFont="1">
      <alignment horizontal="center" readingOrder="0" vertical="center"/>
    </xf>
    <xf borderId="0" fillId="3" fontId="1" numFmtId="0" xfId="0" applyAlignment="1" applyFont="1">
      <alignment horizontal="center" readingOrder="0" vertical="center"/>
    </xf>
    <xf borderId="0" fillId="3" fontId="1" numFmtId="0" xfId="0" applyAlignment="1" applyFont="1">
      <alignment horizontal="center" vertical="center"/>
    </xf>
    <xf borderId="3" fillId="3" fontId="1" numFmtId="0" xfId="0" applyAlignment="1" applyBorder="1" applyFont="1">
      <alignment horizontal="center" readingOrder="0" vertical="center"/>
    </xf>
    <xf borderId="0" fillId="4" fontId="1" numFmtId="0" xfId="0" applyAlignment="1" applyFill="1" applyFont="1">
      <alignment horizontal="center" readingOrder="0" vertical="center"/>
    </xf>
    <xf borderId="0" fillId="5" fontId="1" numFmtId="0" xfId="0" applyAlignment="1" applyFill="1" applyFont="1">
      <alignment horizontal="center" readingOrder="0" vertical="center"/>
    </xf>
    <xf borderId="0" fillId="6" fontId="1" numFmtId="0" xfId="0" applyAlignment="1" applyFill="1" applyFont="1">
      <alignment horizontal="center" readingOrder="0" vertical="center"/>
    </xf>
    <xf borderId="3" fillId="3" fontId="1" numFmtId="0" xfId="0" applyAlignment="1" applyBorder="1" applyFont="1">
      <alignment horizontal="center" readingOrder="0" vertical="center"/>
    </xf>
    <xf borderId="0" fillId="3" fontId="1" numFmtId="0" xfId="0" applyAlignment="1" applyFont="1">
      <alignment horizontal="center" readingOrder="0" vertical="center"/>
    </xf>
    <xf borderId="0" fillId="2" fontId="3" numFmtId="0" xfId="0" applyAlignment="1" applyFont="1">
      <alignment horizontal="center" readingOrder="0" vertical="center"/>
    </xf>
    <xf borderId="1" fillId="3" fontId="3" numFmtId="0" xfId="0" applyAlignment="1" applyBorder="1" applyFont="1">
      <alignment horizontal="center" readingOrder="0" vertical="center"/>
    </xf>
    <xf borderId="4" fillId="3" fontId="4" numFmtId="0" xfId="0" applyAlignment="1" applyBorder="1" applyFont="1">
      <alignment horizontal="right" readingOrder="0" vertical="center"/>
    </xf>
    <xf borderId="1" fillId="3" fontId="3" numFmtId="0" xfId="0" applyAlignment="1" applyBorder="1" applyFont="1">
      <alignment horizontal="left" vertical="center"/>
    </xf>
    <xf borderId="4" fillId="3" fontId="4" numFmtId="0" xfId="0" applyAlignment="1" applyBorder="1" applyFont="1">
      <alignment horizontal="right" vertical="center"/>
    </xf>
    <xf borderId="1" fillId="3" fontId="3" numFmtId="0" xfId="0" applyAlignment="1" applyBorder="1" applyFont="1">
      <alignment horizontal="left" vertical="center"/>
    </xf>
    <xf borderId="5" fillId="7" fontId="5" numFmtId="0" xfId="0" applyAlignment="1" applyBorder="1" applyFill="1" applyFont="1">
      <alignment horizontal="center" readingOrder="0" vertical="center"/>
    </xf>
    <xf borderId="5" fillId="0" fontId="6" numFmtId="0" xfId="0" applyBorder="1" applyFont="1"/>
    <xf borderId="1" fillId="3" fontId="4" numFmtId="0" xfId="0" applyAlignment="1" applyBorder="1" applyFont="1">
      <alignment horizontal="center" readingOrder="0" vertical="center"/>
    </xf>
    <xf borderId="1" fillId="0" fontId="6" numFmtId="0" xfId="0" applyBorder="1" applyFont="1"/>
    <xf borderId="1" fillId="3" fontId="4" numFmtId="0" xfId="0" applyAlignment="1" applyBorder="1" applyFont="1">
      <alignment horizontal="right" readingOrder="0" vertical="center"/>
    </xf>
    <xf borderId="6" fillId="3" fontId="4" numFmtId="2" xfId="0" applyAlignment="1" applyBorder="1" applyFont="1" applyNumberFormat="1">
      <alignment horizontal="center" readingOrder="0" vertical="center"/>
    </xf>
    <xf borderId="1" fillId="3" fontId="4" numFmtId="1" xfId="0" applyAlignment="1" applyBorder="1" applyFont="1" applyNumberFormat="1">
      <alignment horizontal="center" readingOrder="0" vertical="center"/>
    </xf>
    <xf borderId="1" fillId="3" fontId="4" numFmtId="45" xfId="0" applyAlignment="1" applyBorder="1" applyFont="1" applyNumberFormat="1">
      <alignment horizontal="center" readingOrder="0" vertical="center"/>
    </xf>
    <xf borderId="6" fillId="3" fontId="4" numFmtId="0" xfId="0" applyAlignment="1" applyBorder="1" applyFont="1">
      <alignment horizontal="center" readingOrder="0" vertical="center"/>
    </xf>
    <xf borderId="7" fillId="3" fontId="4" numFmtId="0" xfId="0" applyAlignment="1" applyBorder="1" applyFont="1">
      <alignment horizontal="center" readingOrder="0" vertical="center"/>
    </xf>
    <xf borderId="0" fillId="3" fontId="7" numFmtId="0" xfId="0" applyAlignment="1" applyFont="1">
      <alignment horizontal="center" readingOrder="0" shrinkToFit="0" vertical="center" wrapText="0"/>
    </xf>
    <xf borderId="0" fillId="3" fontId="1" numFmtId="0" xfId="0" applyAlignment="1" applyFont="1">
      <alignment horizontal="center" readingOrder="0" shrinkToFit="0" vertical="center" wrapText="0"/>
    </xf>
    <xf borderId="0" fillId="3" fontId="3" numFmtId="0" xfId="0" applyAlignment="1" applyFont="1">
      <alignment horizontal="center" readingOrder="0" vertical="center"/>
    </xf>
    <xf borderId="0" fillId="3" fontId="3" numFmtId="0" xfId="0" applyAlignment="1" applyFont="1">
      <alignment horizontal="center" vertical="center"/>
    </xf>
    <xf borderId="0" fillId="3" fontId="8" numFmtId="0" xfId="0" applyAlignment="1" applyFont="1">
      <alignment horizontal="left" shrinkToFit="0" vertical="center" wrapText="0"/>
    </xf>
    <xf borderId="0" fillId="8" fontId="3" numFmtId="0" xfId="0" applyAlignment="1" applyFill="1" applyFont="1">
      <alignment horizontal="center" vertical="center"/>
    </xf>
    <xf borderId="0" fillId="8" fontId="3" numFmtId="0" xfId="0" applyAlignment="1" applyFont="1">
      <alignment horizontal="center" readingOrder="0" vertical="center"/>
    </xf>
    <xf borderId="0" fillId="8" fontId="3" numFmtId="0" xfId="0" applyAlignment="1" applyFont="1">
      <alignment horizontal="right" vertical="center"/>
    </xf>
    <xf borderId="0" fillId="8" fontId="8" numFmtId="0" xfId="0" applyAlignment="1" applyFont="1">
      <alignment horizontal="left" shrinkToFit="0" vertical="center" wrapText="0"/>
    </xf>
    <xf borderId="8" fillId="8" fontId="3" numFmtId="2" xfId="0" applyAlignment="1" applyBorder="1" applyFont="1" applyNumberFormat="1">
      <alignment horizontal="center" vertical="center"/>
    </xf>
    <xf borderId="0" fillId="8" fontId="3" numFmtId="1" xfId="0" applyAlignment="1" applyFont="1" applyNumberFormat="1">
      <alignment horizontal="center" vertical="center"/>
    </xf>
    <xf borderId="0" fillId="8" fontId="3" numFmtId="45" xfId="0" applyAlignment="1" applyFont="1" applyNumberFormat="1">
      <alignment horizontal="center" vertical="center"/>
    </xf>
    <xf borderId="8" fillId="8" fontId="3" numFmtId="164" xfId="0" applyAlignment="1" applyBorder="1" applyFont="1" applyNumberFormat="1">
      <alignment horizontal="center" vertical="center"/>
    </xf>
    <xf borderId="0" fillId="8" fontId="3" numFmtId="164" xfId="0" applyAlignment="1" applyFont="1" applyNumberFormat="1">
      <alignment horizontal="center" vertical="center"/>
    </xf>
    <xf borderId="9" fillId="8" fontId="3" numFmtId="164" xfId="0" applyAlignment="1" applyBorder="1" applyFont="1" applyNumberFormat="1">
      <alignment horizontal="center" vertical="center"/>
    </xf>
    <xf borderId="0" fillId="3" fontId="8" numFmtId="0" xfId="0" applyAlignment="1" applyFont="1">
      <alignment horizontal="center" readingOrder="0" shrinkToFit="0" vertical="center" wrapText="0"/>
    </xf>
    <xf borderId="0" fillId="3" fontId="1" numFmtId="0" xfId="0" applyAlignment="1" applyFont="1">
      <alignment horizontal="center" readingOrder="0" shrinkToFit="0" vertical="center" wrapText="0"/>
    </xf>
    <xf borderId="0" fillId="8" fontId="3" numFmtId="0" xfId="0" applyAlignment="1" applyFont="1">
      <alignment horizontal="center" readingOrder="0" vertical="center"/>
    </xf>
    <xf borderId="0" fillId="3" fontId="1" numFmtId="0" xfId="0" applyAlignment="1" applyFont="1">
      <alignment horizontal="center" shrinkToFit="0" vertical="center" wrapText="0"/>
    </xf>
    <xf borderId="0" fillId="3" fontId="8" numFmtId="0" xfId="0" applyAlignment="1" applyFont="1">
      <alignment horizontal="center" shrinkToFit="0" vertical="center" wrapText="0"/>
    </xf>
    <xf borderId="0" fillId="0" fontId="9" numFmtId="0" xfId="0" applyAlignment="1" applyFont="1">
      <alignment horizontal="left" readingOrder="0"/>
    </xf>
    <xf borderId="0" fillId="3" fontId="10" numFmtId="0" xfId="0" applyAlignment="1" applyFont="1">
      <alignment horizontal="left" readingOrder="0" shrinkToFit="0" vertical="center" wrapText="0"/>
    </xf>
    <xf borderId="0" fillId="3" fontId="8" numFmtId="0" xfId="0" applyAlignment="1" applyFont="1">
      <alignment horizontal="left" readingOrder="0" shrinkToFit="0" vertical="center" wrapText="0"/>
    </xf>
    <xf borderId="0" fillId="9" fontId="11" numFmtId="0" xfId="0" applyAlignment="1" applyFill="1" applyFont="1">
      <alignment horizontal="center" readingOrder="0" vertical="center"/>
    </xf>
    <xf borderId="0" fillId="8" fontId="12" numFmtId="0" xfId="0" applyAlignment="1" applyFont="1">
      <alignment horizontal="left" shrinkToFit="0" vertical="center" wrapText="0"/>
    </xf>
    <xf borderId="0" fillId="0" fontId="13" numFmtId="0" xfId="0" applyAlignment="1" applyFont="1">
      <alignment horizontal="left" readingOrder="0"/>
    </xf>
    <xf borderId="0" fillId="8" fontId="14" numFmtId="0" xfId="0" applyAlignment="1" applyFont="1">
      <alignment horizontal="center" readingOrder="0" vertical="center"/>
    </xf>
    <xf borderId="0" fillId="3" fontId="15" numFmtId="0" xfId="0" applyAlignment="1" applyFont="1">
      <alignment horizontal="center" readingOrder="0" shrinkToFit="0" vertical="center" wrapText="0"/>
    </xf>
    <xf borderId="0" fillId="3" fontId="16" numFmtId="0" xfId="0" applyAlignment="1" applyFont="1">
      <alignment horizontal="left" shrinkToFit="0" vertical="center" wrapText="0"/>
    </xf>
    <xf borderId="0" fillId="3" fontId="17" numFmtId="0" xfId="0" applyAlignment="1" applyFont="1">
      <alignment horizontal="center" readingOrder="0" shrinkToFit="0" vertical="center" wrapText="0"/>
    </xf>
    <xf borderId="0" fillId="3" fontId="18" numFmtId="0" xfId="0" applyAlignment="1" applyFont="1">
      <alignment horizontal="center" readingOrder="0" shrinkToFit="0" vertical="center" wrapText="0"/>
    </xf>
    <xf borderId="0" fillId="0" fontId="19" numFmtId="0" xfId="0" applyFont="1"/>
    <xf borderId="0" fillId="3" fontId="20" numFmtId="0" xfId="0" applyAlignment="1" applyFont="1">
      <alignment horizontal="center" readingOrder="0"/>
    </xf>
    <xf borderId="0" fillId="3" fontId="21" numFmtId="0" xfId="0" applyAlignment="1" applyFont="1">
      <alignment horizontal="left" readingOrder="0" shrinkToFit="0" vertical="center" wrapText="0"/>
    </xf>
    <xf borderId="0" fillId="0" fontId="19" numFmtId="0" xfId="0" applyAlignment="1" applyFont="1">
      <alignment readingOrder="0"/>
    </xf>
    <xf borderId="0" fillId="3" fontId="3" numFmtId="0" xfId="0" applyAlignment="1" applyFont="1">
      <alignment horizontal="center" readingOrder="0"/>
    </xf>
    <xf borderId="0" fillId="10" fontId="22" numFmtId="0" xfId="0" applyAlignment="1" applyFill="1" applyFont="1">
      <alignment horizontal="left" readingOrder="0"/>
    </xf>
    <xf borderId="0" fillId="11" fontId="20" numFmtId="0" xfId="0" applyAlignment="1" applyFill="1" applyFont="1">
      <alignment horizontal="center" readingOrder="0"/>
    </xf>
    <xf borderId="0" fillId="3" fontId="23" numFmtId="0" xfId="0" applyAlignment="1" applyFont="1">
      <alignment horizontal="center" readingOrder="0"/>
    </xf>
    <xf borderId="0" fillId="10" fontId="24" numFmtId="0" xfId="0" applyAlignment="1" applyFont="1">
      <alignment horizontal="left" readingOrder="0"/>
    </xf>
    <xf borderId="0" fillId="0" fontId="25" numFmtId="0" xfId="0" applyAlignment="1" applyFont="1">
      <alignment readingOrder="0"/>
    </xf>
    <xf borderId="0" fillId="3" fontId="26" numFmtId="0" xfId="0" applyAlignment="1" applyFont="1">
      <alignment horizontal="center" readingOrder="0"/>
    </xf>
    <xf borderId="0" fillId="3" fontId="27" numFmtId="0" xfId="0" applyAlignment="1" applyFont="1">
      <alignment horizontal="center"/>
    </xf>
    <xf borderId="0" fillId="3" fontId="28" numFmtId="0" xfId="0" applyAlignment="1" applyFont="1">
      <alignment horizontal="center"/>
    </xf>
    <xf borderId="0" fillId="3" fontId="29" numFmtId="0" xfId="0" applyAlignment="1" applyFont="1">
      <alignment horizontal="center" readingOrder="0"/>
    </xf>
    <xf borderId="0" fillId="3" fontId="30" numFmtId="0" xfId="0" applyAlignment="1" applyFont="1">
      <alignment horizontal="center"/>
    </xf>
    <xf borderId="0" fillId="3" fontId="30" numFmtId="0" xfId="0" applyAlignment="1" applyFont="1">
      <alignment horizontal="center"/>
    </xf>
    <xf borderId="0" fillId="3" fontId="31" numFmtId="0" xfId="0" applyAlignment="1" applyFont="1">
      <alignment horizontal="center" readingOrder="0"/>
    </xf>
    <xf borderId="0" fillId="3" fontId="32" numFmtId="0" xfId="0" applyAlignment="1" applyFont="1">
      <alignment horizontal="center"/>
    </xf>
    <xf borderId="0" fillId="3" fontId="33" numFmtId="0" xfId="0" applyAlignment="1" applyFont="1">
      <alignment horizontal="center"/>
    </xf>
    <xf borderId="0" fillId="3" fontId="34" numFmtId="0" xfId="0" applyAlignment="1" applyFont="1">
      <alignment horizontal="center" readingOrder="0" shrinkToFit="0" vertical="center" wrapText="0"/>
    </xf>
    <xf borderId="0" fillId="3" fontId="35" numFmtId="0" xfId="0" applyAlignment="1" applyFont="1">
      <alignment horizontal="center" readingOrder="0"/>
    </xf>
    <xf borderId="0" fillId="0" fontId="36" numFmtId="0" xfId="0" applyAlignment="1" applyFont="1">
      <alignment horizontal="center" readingOrder="0"/>
    </xf>
    <xf borderId="0" fillId="3" fontId="37" numFmtId="0" xfId="0" applyAlignment="1" applyFont="1">
      <alignment horizontal="center" readingOrder="0"/>
    </xf>
    <xf borderId="0" fillId="3" fontId="38" numFmtId="0" xfId="0" applyAlignment="1" applyFont="1">
      <alignment horizontal="center" readingOrder="0"/>
    </xf>
    <xf borderId="0" fillId="3" fontId="39" numFmtId="0" xfId="0" applyAlignment="1" applyFont="1">
      <alignment horizontal="center" readingOrder="0"/>
    </xf>
    <xf borderId="0" fillId="3" fontId="40" numFmtId="0" xfId="0" applyAlignment="1" applyFont="1">
      <alignment horizontal="center"/>
    </xf>
    <xf borderId="0" fillId="3" fontId="41" numFmtId="0" xfId="0" applyAlignment="1" applyFont="1">
      <alignment horizontal="center" readingOrder="0"/>
    </xf>
    <xf borderId="0" fillId="3" fontId="42" numFmtId="0" xfId="0" applyAlignment="1" applyFont="1">
      <alignment horizontal="center" vertical="center"/>
    </xf>
    <xf borderId="10" fillId="12" fontId="14" numFmtId="0" xfId="0" applyBorder="1" applyFill="1" applyFont="1"/>
    <xf borderId="0" fillId="13" fontId="43" numFmtId="0" xfId="0" applyAlignment="1" applyFill="1" applyFont="1">
      <alignment horizontal="center" readingOrder="0" vertical="center"/>
    </xf>
    <xf borderId="0" fillId="0" fontId="14" numFmtId="0" xfId="0" applyFont="1"/>
    <xf borderId="11" fillId="3" fontId="44" numFmtId="0" xfId="0" applyAlignment="1" applyBorder="1" applyFont="1">
      <alignment horizontal="center"/>
    </xf>
    <xf borderId="11" fillId="12" fontId="14" numFmtId="0" xfId="0" applyAlignment="1" applyBorder="1" applyFont="1">
      <alignment vertical="bottom"/>
    </xf>
    <xf borderId="12" fillId="13" fontId="14" numFmtId="0" xfId="0" applyBorder="1" applyFont="1"/>
    <xf borderId="13" fillId="14" fontId="45" numFmtId="0" xfId="0" applyAlignment="1" applyBorder="1" applyFill="1" applyFont="1">
      <alignment horizontal="center" readingOrder="0"/>
    </xf>
    <xf borderId="14" fillId="0" fontId="6" numFmtId="0" xfId="0" applyBorder="1" applyFont="1"/>
    <xf borderId="13" fillId="14" fontId="45" numFmtId="0" xfId="0" applyAlignment="1" applyBorder="1" applyFont="1">
      <alignment horizontal="center"/>
    </xf>
    <xf borderId="13" fillId="0" fontId="6" numFmtId="0" xfId="0" applyBorder="1" applyFont="1"/>
    <xf borderId="0" fillId="13" fontId="14" numFmtId="0" xfId="0" applyFont="1"/>
    <xf borderId="11" fillId="13" fontId="14" numFmtId="0" xfId="0" applyBorder="1" applyFont="1"/>
    <xf borderId="11" fillId="3" fontId="14" numFmtId="0" xfId="0" applyBorder="1" applyFont="1"/>
    <xf borderId="15" fillId="13" fontId="14" numFmtId="0" xfId="0" applyBorder="1" applyFont="1"/>
    <xf borderId="16" fillId="13" fontId="14" numFmtId="0" xfId="0" applyBorder="1" applyFont="1"/>
    <xf borderId="17" fillId="14" fontId="45" numFmtId="0" xfId="0" applyAlignment="1" applyBorder="1" applyFont="1">
      <alignment horizontal="center"/>
    </xf>
    <xf borderId="18" fillId="14" fontId="45" numFmtId="0" xfId="0" applyAlignment="1" applyBorder="1" applyFont="1">
      <alignment horizontal="center"/>
    </xf>
    <xf borderId="18" fillId="14" fontId="46" numFmtId="0" xfId="0" applyAlignment="1" applyBorder="1" applyFont="1">
      <alignment horizontal="center"/>
    </xf>
    <xf borderId="17" fillId="14" fontId="47" numFmtId="0" xfId="0" applyAlignment="1" applyBorder="1" applyFont="1">
      <alignment horizontal="center"/>
    </xf>
    <xf borderId="12" fillId="14" fontId="14" numFmtId="0" xfId="0" applyAlignment="1" applyBorder="1" applyFont="1">
      <alignment vertical="bottom"/>
    </xf>
    <xf borderId="12" fillId="14" fontId="48" numFmtId="0" xfId="0" applyAlignment="1" applyBorder="1" applyFont="1">
      <alignment horizontal="center"/>
    </xf>
    <xf borderId="12" fillId="14" fontId="14" numFmtId="0" xfId="0" applyBorder="1" applyFont="1"/>
    <xf borderId="19" fillId="14" fontId="48" numFmtId="0" xfId="0" applyAlignment="1" applyBorder="1" applyFont="1">
      <alignment horizontal="center"/>
    </xf>
    <xf borderId="19" fillId="14" fontId="14" numFmtId="0" xfId="0" applyBorder="1" applyFont="1"/>
    <xf borderId="19" fillId="14" fontId="14" numFmtId="165" xfId="0" applyBorder="1" applyFont="1" applyNumberFormat="1"/>
    <xf borderId="12" fillId="14" fontId="49" numFmtId="0" xfId="0" applyAlignment="1" applyBorder="1" applyFont="1">
      <alignment horizontal="center"/>
    </xf>
    <xf borderId="12" fillId="14" fontId="14" numFmtId="0" xfId="0" applyBorder="1" applyFont="1"/>
    <xf borderId="12" fillId="14" fontId="50" numFmtId="0" xfId="0" applyAlignment="1" applyBorder="1" applyFont="1">
      <alignment shrinkToFit="0" wrapText="0"/>
    </xf>
    <xf borderId="19" fillId="14" fontId="49" numFmtId="2" xfId="0" applyAlignment="1" applyBorder="1" applyFont="1" applyNumberFormat="1">
      <alignment horizontal="center"/>
    </xf>
    <xf borderId="19" fillId="14" fontId="49" numFmtId="1" xfId="0" applyAlignment="1" applyBorder="1" applyFont="1" applyNumberFormat="1">
      <alignment horizontal="center"/>
    </xf>
    <xf borderId="19" fillId="14" fontId="49" numFmtId="165" xfId="0" applyAlignment="1" applyBorder="1" applyFont="1" applyNumberFormat="1">
      <alignment horizontal="center"/>
    </xf>
    <xf borderId="19" fillId="14" fontId="49" numFmtId="164" xfId="0" applyAlignment="1" applyBorder="1" applyFont="1" applyNumberFormat="1">
      <alignment horizontal="center"/>
    </xf>
    <xf borderId="12" fillId="14" fontId="49" numFmtId="0" xfId="0" applyAlignment="1" applyBorder="1" applyFont="1">
      <alignment horizontal="center"/>
    </xf>
    <xf borderId="0" fillId="3" fontId="44" numFmtId="0" xfId="0" applyAlignment="1" applyFont="1">
      <alignment horizontal="center" vertical="center"/>
    </xf>
    <xf borderId="20" fillId="14" fontId="49" numFmtId="0" xfId="0" applyAlignment="1" applyBorder="1" applyFont="1">
      <alignment horizontal="center" vertical="center"/>
    </xf>
    <xf borderId="0" fillId="14" fontId="51" numFmtId="0" xfId="0" applyAlignment="1" applyFont="1">
      <alignment horizontal="center" vertical="center"/>
    </xf>
    <xf borderId="20" fillId="14" fontId="49" numFmtId="0" xfId="0" applyAlignment="1" applyBorder="1" applyFont="1">
      <alignment horizontal="left" shrinkToFit="0" vertical="center" wrapText="0"/>
    </xf>
    <xf borderId="0" fillId="14" fontId="49" numFmtId="0" xfId="0" applyAlignment="1" applyFont="1">
      <alignment horizontal="center" vertical="center"/>
    </xf>
    <xf borderId="21" fillId="14" fontId="49" numFmtId="0" xfId="0" applyAlignment="1" applyBorder="1" applyFont="1">
      <alignment horizontal="center" vertical="center"/>
    </xf>
    <xf borderId="0" fillId="14" fontId="49" numFmtId="165" xfId="0" applyAlignment="1" applyFont="1" applyNumberFormat="1">
      <alignment horizontal="center" vertical="center"/>
    </xf>
    <xf borderId="10" fillId="12" fontId="14" numFmtId="0" xfId="0" applyAlignment="1" applyBorder="1" applyFont="1">
      <alignment vertical="bottom"/>
    </xf>
    <xf borderId="20" fillId="14" fontId="52" numFmtId="0" xfId="0" applyAlignment="1" applyBorder="1" applyFont="1">
      <alignment horizontal="left" shrinkToFit="0" vertical="center" wrapText="0"/>
    </xf>
    <xf borderId="22" fillId="14" fontId="49" numFmtId="0" xfId="0" applyAlignment="1" applyBorder="1" applyFont="1">
      <alignment horizontal="center" vertical="center"/>
    </xf>
    <xf borderId="15" fillId="14" fontId="51" numFmtId="0" xfId="0" applyAlignment="1" applyBorder="1" applyFont="1">
      <alignment horizontal="center" vertical="center"/>
    </xf>
    <xf borderId="22" fillId="14" fontId="49" numFmtId="0" xfId="0" applyAlignment="1" applyBorder="1" applyFont="1">
      <alignment horizontal="left" shrinkToFit="0" vertical="center" wrapText="0"/>
    </xf>
    <xf borderId="15" fillId="14" fontId="49" numFmtId="0" xfId="0" applyAlignment="1" applyBorder="1" applyFont="1">
      <alignment horizontal="center" vertical="center"/>
    </xf>
    <xf borderId="23" fillId="14" fontId="49" numFmtId="0" xfId="0" applyAlignment="1" applyBorder="1" applyFont="1">
      <alignment horizontal="center" vertical="center"/>
    </xf>
    <xf borderId="15" fillId="14" fontId="49" numFmtId="165" xfId="0" applyAlignment="1" applyBorder="1" applyFont="1" applyNumberFormat="1">
      <alignment horizontal="center" vertical="center"/>
    </xf>
    <xf borderId="24" fillId="15" fontId="44" numFmtId="0" xfId="0" applyAlignment="1" applyBorder="1" applyFill="1" applyFont="1">
      <alignment horizontal="center" vertical="center"/>
    </xf>
    <xf borderId="0" fillId="15" fontId="44" numFmtId="0" xfId="0" applyAlignment="1" applyFont="1">
      <alignment horizontal="center" vertical="center"/>
    </xf>
    <xf borderId="0" fillId="15" fontId="44" numFmtId="0" xfId="0" applyAlignment="1" applyFont="1">
      <alignment horizontal="left" shrinkToFit="0" vertical="center" wrapText="0"/>
    </xf>
    <xf borderId="0" fillId="15" fontId="44" numFmtId="165" xfId="0" applyAlignment="1" applyFont="1" applyNumberFormat="1">
      <alignment horizontal="center" vertical="center"/>
    </xf>
    <xf borderId="25" fillId="15" fontId="44" numFmtId="0" xfId="0" applyAlignment="1" applyBorder="1" applyFont="1">
      <alignment horizontal="center" vertical="center"/>
    </xf>
    <xf borderId="25" fillId="15" fontId="44" numFmtId="0" xfId="0" applyAlignment="1" applyBorder="1" applyFont="1">
      <alignment horizontal="left" shrinkToFit="0" vertical="center" wrapText="0"/>
    </xf>
    <xf borderId="25" fillId="15" fontId="44" numFmtId="165" xfId="0" applyAlignment="1" applyBorder="1" applyFont="1" applyNumberFormat="1">
      <alignment horizontal="center" vertical="center"/>
    </xf>
    <xf borderId="0" fillId="3" fontId="44" numFmtId="0" xfId="0" applyAlignment="1" applyFont="1">
      <alignment horizontal="center" readingOrder="0" vertical="center"/>
    </xf>
    <xf borderId="26" fillId="14" fontId="45" numFmtId="0" xfId="0" applyAlignment="1" applyBorder="1" applyFont="1">
      <alignment horizontal="center" readingOrder="0" vertical="center"/>
    </xf>
    <xf borderId="0" fillId="3" fontId="53" numFmtId="0" xfId="0" applyAlignment="1" applyFont="1">
      <alignment horizontal="center" vertical="center"/>
    </xf>
    <xf borderId="27" fillId="14" fontId="45" numFmtId="0" xfId="0" applyAlignment="1" applyBorder="1" applyFont="1">
      <alignment horizontal="center" readingOrder="0" vertical="center"/>
    </xf>
    <xf borderId="13" fillId="14" fontId="45" numFmtId="0" xfId="0" applyAlignment="1" applyBorder="1" applyFont="1">
      <alignment horizontal="center" readingOrder="0" vertical="center"/>
    </xf>
    <xf borderId="28" fillId="14" fontId="45" numFmtId="0" xfId="0" applyAlignment="1" applyBorder="1" applyFont="1">
      <alignment horizontal="center" readingOrder="0" vertical="center"/>
    </xf>
    <xf borderId="13" fillId="14" fontId="46" numFmtId="0" xfId="0" applyAlignment="1" applyBorder="1" applyFont="1">
      <alignment horizontal="center" readingOrder="0" vertical="center"/>
    </xf>
    <xf borderId="29" fillId="14" fontId="45" numFmtId="0" xfId="0" applyAlignment="1" applyBorder="1" applyFont="1">
      <alignment horizontal="center" readingOrder="0" vertical="center"/>
    </xf>
    <xf borderId="27" fillId="14" fontId="54" numFmtId="0" xfId="0" applyAlignment="1" applyBorder="1" applyFont="1">
      <alignment horizontal="center" readingOrder="0" vertical="center"/>
    </xf>
    <xf borderId="20" fillId="14" fontId="48" numFmtId="0" xfId="0" applyAlignment="1" applyBorder="1" applyFont="1">
      <alignment horizontal="center"/>
    </xf>
    <xf borderId="0" fillId="14" fontId="48" numFmtId="0" xfId="0" applyAlignment="1" applyFont="1">
      <alignment horizontal="center" readingOrder="0" vertical="center"/>
    </xf>
    <xf borderId="20" fillId="14" fontId="48" numFmtId="0" xfId="0" applyAlignment="1" applyBorder="1" applyFont="1">
      <alignment horizontal="left" readingOrder="0" shrinkToFit="0" vertical="center" wrapText="0"/>
    </xf>
    <xf borderId="21" fillId="14" fontId="48" numFmtId="0" xfId="0" applyAlignment="1" applyBorder="1" applyFont="1">
      <alignment horizontal="center" readingOrder="0" vertical="center"/>
    </xf>
    <xf borderId="0" fillId="14" fontId="48" numFmtId="165" xfId="0" applyAlignment="1" applyFont="1" applyNumberFormat="1">
      <alignment horizontal="center" readingOrder="0" vertical="center"/>
    </xf>
    <xf borderId="20" fillId="14" fontId="48" numFmtId="0" xfId="0" applyAlignment="1" applyBorder="1" applyFont="1">
      <alignment horizontal="center" readingOrder="0" vertical="center"/>
    </xf>
    <xf borderId="20" fillId="14" fontId="49" numFmtId="0" xfId="0" applyAlignment="1" applyBorder="1" applyFont="1">
      <alignment horizontal="center" readingOrder="0" vertical="center"/>
    </xf>
    <xf borderId="30" fillId="14" fontId="49" numFmtId="0" xfId="0" applyAlignment="1" applyBorder="1" applyFont="1">
      <alignment horizontal="center" vertical="center"/>
    </xf>
    <xf borderId="16" fillId="14" fontId="51" numFmtId="0" xfId="0" applyAlignment="1" applyBorder="1" applyFont="1">
      <alignment horizontal="center" vertical="center"/>
    </xf>
    <xf borderId="30" fillId="14" fontId="49" numFmtId="0" xfId="0" applyAlignment="1" applyBorder="1" applyFont="1">
      <alignment horizontal="left" shrinkToFit="0" vertical="center" wrapText="0"/>
    </xf>
    <xf borderId="16" fillId="14" fontId="49" numFmtId="0" xfId="0" applyAlignment="1" applyBorder="1" applyFont="1">
      <alignment horizontal="center" vertical="center"/>
    </xf>
    <xf borderId="31" fillId="14" fontId="49" numFmtId="0" xfId="0" applyAlignment="1" applyBorder="1" applyFont="1">
      <alignment horizontal="center" vertical="center"/>
    </xf>
    <xf borderId="16" fillId="14" fontId="49" numFmtId="165" xfId="0" applyAlignment="1" applyBorder="1" applyFont="1" applyNumberFormat="1">
      <alignment horizontal="center" vertical="center"/>
    </xf>
    <xf borderId="0" fillId="2" fontId="55" numFmtId="0" xfId="0" applyAlignment="1" applyFont="1">
      <alignment horizontal="center" readingOrder="0" vertical="center"/>
    </xf>
    <xf borderId="0" fillId="3" fontId="56" numFmtId="0" xfId="0" applyAlignment="1" applyFont="1">
      <alignment horizontal="center" readingOrder="0" shrinkToFit="0" vertical="center" wrapText="1"/>
    </xf>
    <xf borderId="0" fillId="8" fontId="55" numFmtId="0" xfId="0" applyAlignment="1" applyFont="1">
      <alignment horizontal="center" vertical="top"/>
    </xf>
    <xf borderId="1" fillId="3" fontId="57" numFmtId="0" xfId="0" applyAlignment="1" applyBorder="1" applyFont="1">
      <alignment horizontal="center" readingOrder="0" shrinkToFit="0" vertical="center" wrapText="1"/>
    </xf>
    <xf borderId="0" fillId="3" fontId="58" numFmtId="0" xfId="0" applyAlignment="1" applyFont="1">
      <alignment horizontal="center" readingOrder="0" shrinkToFit="0" vertical="center" wrapText="1"/>
    </xf>
    <xf borderId="0" fillId="11" fontId="55" numFmtId="0" xfId="0" applyAlignment="1" applyFont="1">
      <alignment horizontal="left" readingOrder="0" shrinkToFit="0" vertical="center" wrapText="1"/>
    </xf>
    <xf borderId="0" fillId="16" fontId="55" numFmtId="0" xfId="0" applyAlignment="1" applyFill="1" applyFont="1">
      <alignment horizontal="left" readingOrder="0" shrinkToFit="0" vertical="center" wrapText="1"/>
    </xf>
    <xf borderId="0" fillId="8" fontId="55" numFmtId="0" xfId="0" applyAlignment="1" applyFont="1">
      <alignment horizontal="left" vertical="center"/>
    </xf>
    <xf borderId="0" fillId="3" fontId="55" numFmtId="0" xfId="0" applyAlignment="1" applyFont="1">
      <alignment horizontal="left" readingOrder="0" shrinkToFit="0" vertical="center" wrapText="1"/>
    </xf>
    <xf borderId="0" fillId="8" fontId="55" numFmtId="0" xfId="0" applyAlignment="1" applyFont="1">
      <alignment horizontal="center" vertical="center"/>
    </xf>
    <xf borderId="0" fillId="3" fontId="59" numFmtId="0" xfId="0" applyAlignment="1" applyFont="1">
      <alignment horizontal="left" readingOrder="0" shrinkToFit="0" vertical="center" wrapText="1"/>
    </xf>
    <xf borderId="0" fillId="8" fontId="60" numFmtId="0" xfId="0" applyAlignment="1" applyFont="1">
      <alignment shrinkToFit="0" vertical="center" wrapText="1"/>
    </xf>
    <xf borderId="0" fillId="8" fontId="55" numFmtId="0" xfId="0" applyAlignment="1" applyFont="1">
      <alignment horizontal="center" shrinkToFit="0" vertical="center" wrapText="1"/>
    </xf>
    <xf borderId="0" fillId="3" fontId="61" numFmtId="0" xfId="0" applyAlignment="1" applyFont="1">
      <alignment horizontal="center" readingOrder="0" shrinkToFit="0" vertical="center" wrapText="1"/>
    </xf>
    <xf borderId="0" fillId="8" fontId="55" numFmtId="0" xfId="0" applyAlignment="1" applyFont="1">
      <alignment shrinkToFit="0" vertical="center" wrapText="1"/>
    </xf>
    <xf borderId="0" fillId="3" fontId="55" numFmtId="0" xfId="0" applyAlignment="1" applyFont="1">
      <alignment readingOrder="0" shrinkToFit="0" vertical="top" wrapText="1"/>
    </xf>
    <xf borderId="0" fillId="2" fontId="3" numFmtId="0" xfId="0" applyAlignment="1" applyFont="1">
      <alignment readingOrder="0" shrinkToFit="0" vertical="center" wrapText="0"/>
    </xf>
    <xf borderId="0" fillId="3" fontId="4" numFmtId="0" xfId="0" applyAlignment="1" applyFont="1">
      <alignment horizontal="center" readingOrder="0" shrinkToFit="0" vertical="center" wrapText="0"/>
    </xf>
    <xf borderId="0" fillId="3" fontId="4" numFmtId="0" xfId="0" applyAlignment="1" applyFont="1">
      <alignment readingOrder="0" shrinkToFit="0" vertical="center" wrapText="0"/>
    </xf>
    <xf borderId="32" fillId="3" fontId="4" numFmtId="0" xfId="0" applyAlignment="1" applyBorder="1" applyFont="1">
      <alignment readingOrder="0" shrinkToFit="0" vertical="center" wrapText="0"/>
    </xf>
    <xf borderId="0" fillId="3" fontId="3" numFmtId="0" xfId="0" applyAlignment="1" applyFont="1">
      <alignment shrinkToFit="0" vertical="center" wrapText="0"/>
    </xf>
    <xf borderId="0" fillId="3" fontId="62" numFmtId="0" xfId="0" applyAlignment="1" applyFont="1">
      <alignment readingOrder="0" shrinkToFit="0" vertical="center" wrapText="0"/>
    </xf>
    <xf borderId="0" fillId="3" fontId="63" numFmtId="0" xfId="0" applyAlignment="1" applyFont="1">
      <alignment shrinkToFit="0" vertical="center" wrapText="0"/>
    </xf>
    <xf borderId="32" fillId="3" fontId="64" numFmtId="0" xfId="0" applyAlignment="1" applyBorder="1" applyFont="1">
      <alignment shrinkToFit="0" vertical="center" wrapText="0"/>
    </xf>
    <xf borderId="32" fillId="3" fontId="3" numFmtId="0" xfId="0" applyAlignment="1" applyBorder="1" applyFont="1">
      <alignment shrinkToFit="0" vertical="center" wrapText="0"/>
    </xf>
    <xf borderId="0" fillId="0" fontId="65" numFmtId="0" xfId="0" applyAlignment="1" applyFont="1">
      <alignment readingOrder="0" shrinkToFit="0" wrapText="0"/>
    </xf>
    <xf borderId="0" fillId="0" fontId="66" numFmtId="0" xfId="0" applyAlignment="1" applyFont="1">
      <alignment shrinkToFit="0" wrapText="0"/>
    </xf>
    <xf borderId="0" fillId="0" fontId="19" numFmtId="0" xfId="0" applyAlignment="1" applyFont="1">
      <alignment shrinkToFit="0" wrapText="0"/>
    </xf>
    <xf borderId="0" fillId="0" fontId="65" numFmtId="0" xfId="0" applyAlignment="1" applyFont="1">
      <alignment readingOrder="0"/>
    </xf>
    <xf borderId="33" fillId="0" fontId="65" numFmtId="164" xfId="0" applyAlignment="1" applyBorder="1" applyFont="1" applyNumberFormat="1">
      <alignment readingOrder="0" shrinkToFit="0" wrapText="0"/>
    </xf>
    <xf borderId="0" fillId="0" fontId="66" numFmtId="0" xfId="0" applyAlignment="1" applyFont="1">
      <alignment readingOrder="0"/>
    </xf>
    <xf borderId="0" fillId="0" fontId="66" numFmtId="0" xfId="0" applyFont="1"/>
    <xf borderId="0" fillId="0" fontId="66" numFmtId="166" xfId="0" applyFont="1" applyNumberFormat="1"/>
    <xf borderId="0" fillId="0" fontId="66" numFmtId="2" xfId="0" applyFont="1" applyNumberFormat="1"/>
    <xf borderId="0" fillId="0" fontId="66" numFmtId="164" xfId="0" applyFont="1" applyNumberFormat="1"/>
    <xf borderId="0" fillId="0" fontId="66" numFmtId="45" xfId="0" applyFont="1" applyNumberFormat="1"/>
    <xf borderId="0" fillId="0" fontId="66" numFmtId="2" xfId="0" applyAlignment="1" applyFont="1" applyNumberFormat="1">
      <alignment readingOrder="0"/>
    </xf>
    <xf borderId="0" fillId="0" fontId="66" numFmtId="0" xfId="0" applyAlignment="1" applyFont="1">
      <alignment readingOrder="0" shrinkToFit="0" wrapText="0"/>
    </xf>
    <xf borderId="33" fillId="0" fontId="66" numFmtId="164" xfId="0" applyAlignment="1" applyBorder="1" applyFont="1" applyNumberFormat="1">
      <alignment readingOrder="0" shrinkToFit="0" wrapText="0"/>
    </xf>
    <xf borderId="0" fillId="0" fontId="66" numFmtId="164" xfId="0" applyAlignment="1" applyFont="1" applyNumberFormat="1">
      <alignment readingOrder="0" shrinkToFit="0" wrapText="0"/>
    </xf>
    <xf borderId="0" fillId="0" fontId="19" numFmtId="0" xfId="0" applyAlignment="1" applyFont="1">
      <alignment readingOrder="0"/>
    </xf>
    <xf borderId="0" fillId="0" fontId="19" numFmtId="1" xfId="0" applyAlignment="1" applyFont="1" applyNumberFormat="1">
      <alignment readingOrder="0"/>
    </xf>
    <xf borderId="0" fillId="0" fontId="19" numFmtId="167" xfId="0" applyAlignment="1" applyFont="1" applyNumberFormat="1">
      <alignment readingOrder="0"/>
    </xf>
    <xf borderId="0" fillId="0" fontId="19" numFmtId="2" xfId="0" applyAlignment="1" applyFont="1" applyNumberFormat="1">
      <alignment readingOrder="0"/>
    </xf>
    <xf borderId="0" fillId="0" fontId="19" numFmtId="164" xfId="0" applyAlignment="1" applyFont="1" applyNumberFormat="1">
      <alignment readingOrder="0"/>
    </xf>
    <xf borderId="0" fillId="0" fontId="19" numFmtId="45" xfId="0" applyAlignment="1" applyFont="1" applyNumberFormat="1">
      <alignment readingOrder="0"/>
    </xf>
    <xf borderId="0" fillId="0" fontId="67" numFmtId="0" xfId="0" applyAlignment="1" applyFont="1">
      <alignment shrinkToFit="0" wrapText="0"/>
    </xf>
    <xf borderId="33" fillId="0" fontId="19" numFmtId="164" xfId="0" applyAlignment="1" applyBorder="1" applyFont="1" applyNumberFormat="1">
      <alignment shrinkToFit="0" wrapText="0"/>
    </xf>
    <xf borderId="0" fillId="0" fontId="19" numFmtId="164" xfId="0" applyAlignment="1" applyFont="1" applyNumberFormat="1">
      <alignment shrinkToFit="0" wrapText="0"/>
    </xf>
    <xf borderId="0" fillId="3" fontId="68" numFmtId="164" xfId="0" applyFont="1" applyNumberFormat="1"/>
    <xf borderId="0" fillId="0" fontId="19" numFmtId="166" xfId="0" applyFont="1" applyNumberFormat="1"/>
    <xf borderId="0" fillId="0" fontId="19" numFmtId="2" xfId="0" applyFont="1" applyNumberFormat="1"/>
    <xf borderId="0" fillId="0" fontId="19" numFmtId="164" xfId="0" applyFont="1" applyNumberFormat="1"/>
    <xf borderId="0" fillId="0" fontId="19" numFmtId="45" xfId="0" applyFont="1" applyNumberFormat="1"/>
  </cellXfs>
  <cellStyles count="1">
    <cellStyle xfId="0" name="Normal" builtinId="0"/>
  </cellStyles>
  <dxfs count="22">
    <dxf>
      <font/>
      <fill>
        <patternFill patternType="solid">
          <fgColor rgb="FFC9DAF8"/>
          <bgColor rgb="FFC9DAF8"/>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D0E0E3"/>
          <bgColor rgb="FFD0E0E3"/>
        </patternFill>
      </fill>
      <border/>
    </dxf>
    <dxf>
      <font/>
      <fill>
        <patternFill patternType="solid">
          <fgColor rgb="FFCCCCCC"/>
          <bgColor rgb="FFCCCCCC"/>
        </patternFill>
      </fill>
      <border/>
    </dxf>
    <dxf>
      <font/>
      <fill>
        <patternFill patternType="solid">
          <fgColor rgb="FFD9EAD3"/>
          <bgColor rgb="FFD9EAD3"/>
        </patternFill>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B6D7A8"/>
          <bgColor rgb="FFB6D7A8"/>
        </patternFill>
      </fill>
      <border/>
    </dxf>
    <dxf>
      <font>
        <b/>
        <color rgb="FF2B282C"/>
      </font>
      <fill>
        <patternFill patternType="solid">
          <fgColor rgb="FFCFE2F3"/>
          <bgColor rgb="FFCFE2F3"/>
        </patternFill>
      </fill>
      <border/>
    </dxf>
    <dxf>
      <font>
        <b/>
        <color rgb="FF2B282C"/>
      </font>
      <fill>
        <patternFill patternType="solid">
          <fgColor rgb="FFFFF2CC"/>
          <bgColor rgb="FFFFF2CC"/>
        </patternFill>
      </fill>
      <border/>
    </dxf>
    <dxf>
      <font>
        <b/>
        <color rgb="FF2B282C"/>
      </font>
      <fill>
        <patternFill patternType="solid">
          <fgColor rgb="FFF4CCCC"/>
          <bgColor rgb="FFF4CCCC"/>
        </patternFill>
      </fill>
      <border/>
    </dxf>
    <dxf>
      <font>
        <b/>
        <color rgb="FF2B282C"/>
      </font>
      <fill>
        <patternFill patternType="solid">
          <fgColor rgb="FFD9D2E9"/>
          <bgColor rgb="FFD9D2E9"/>
        </patternFill>
      </fill>
      <border/>
    </dxf>
    <dxf>
      <font>
        <b/>
        <color rgb="FF2B282C"/>
      </font>
      <fill>
        <patternFill patternType="solid">
          <fgColor rgb="FFD9EAD3"/>
          <bgColor rgb="FFD9EAD3"/>
        </patternFill>
      </fill>
      <border/>
    </dxf>
    <dxf>
      <font>
        <b/>
        <color rgb="FF2B282C"/>
      </font>
      <fill>
        <patternFill patternType="solid">
          <fgColor rgb="FFEFEFEF"/>
          <bgColor rgb="FFEFEFEF"/>
        </patternFill>
      </fill>
      <border/>
    </dxf>
    <dxf>
      <font>
        <color rgb="FFCFE2F3"/>
      </font>
      <fill>
        <patternFill patternType="none"/>
      </fill>
      <border/>
    </dxf>
    <dxf>
      <font>
        <color rgb="FFFFF2CC"/>
      </font>
      <fill>
        <patternFill patternType="none"/>
      </fill>
      <border/>
    </dxf>
    <dxf>
      <font>
        <color rgb="FFF4CCCC"/>
      </font>
      <fill>
        <patternFill patternType="none"/>
      </fill>
      <border/>
    </dxf>
    <dxf>
      <font>
        <color rgb="FFD9D2E9"/>
      </font>
      <fill>
        <patternFill patternType="none"/>
      </fill>
      <border/>
    </dxf>
    <dxf>
      <font>
        <color rgb="FFD9EAD3"/>
      </font>
      <fill>
        <patternFill patternType="none"/>
      </fill>
      <border/>
    </dxf>
    <dxf>
      <font>
        <color rgb="FFD9D9D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40" Type="http://schemas.openxmlformats.org/officeDocument/2006/relationships/hyperlink" Target="https://osu.ppy.sh/beatmapsets/932567" TargetMode="External"/><Relationship Id="rId42" Type="http://schemas.openxmlformats.org/officeDocument/2006/relationships/hyperlink" Target="https://osu.ppy.sh/beatmapsets/1089678" TargetMode="External"/><Relationship Id="rId41" Type="http://schemas.openxmlformats.org/officeDocument/2006/relationships/hyperlink" Target="https://osu.ppy.sh/beatmapsets/932567" TargetMode="External"/><Relationship Id="rId44" Type="http://schemas.openxmlformats.org/officeDocument/2006/relationships/hyperlink" Target="https://osu.ppy.sh/beatmapsets/1212359" TargetMode="External"/><Relationship Id="rId43" Type="http://schemas.openxmlformats.org/officeDocument/2006/relationships/hyperlink" Target="https://osu.ppy.sh/beatmapsets/1089678" TargetMode="External"/><Relationship Id="rId46" Type="http://schemas.openxmlformats.org/officeDocument/2006/relationships/hyperlink" Target="https://osu.ppy.sh/beatmaps/4121042" TargetMode="External"/><Relationship Id="rId45" Type="http://schemas.openxmlformats.org/officeDocument/2006/relationships/hyperlink" Target="https://osu.ppy.sh/beatmapsets/1212359" TargetMode="External"/><Relationship Id="rId1" Type="http://schemas.openxmlformats.org/officeDocument/2006/relationships/comments" Target="../comments3.xml"/><Relationship Id="rId2" Type="http://schemas.openxmlformats.org/officeDocument/2006/relationships/hyperlink" Target="https://osu.ppy.sh/beatmapsets/1658910" TargetMode="External"/><Relationship Id="rId3" Type="http://schemas.openxmlformats.org/officeDocument/2006/relationships/hyperlink" Target="https://osu.ppy.sh/beatmapsets/1570531" TargetMode="External"/><Relationship Id="rId4" Type="http://schemas.openxmlformats.org/officeDocument/2006/relationships/hyperlink" Target="https://osu.ppy.sh/beatmapsets/1570531" TargetMode="External"/><Relationship Id="rId9" Type="http://schemas.openxmlformats.org/officeDocument/2006/relationships/hyperlink" Target="https://osu.ppy.sh/beatmapsets/1544866" TargetMode="External"/><Relationship Id="rId48" Type="http://schemas.openxmlformats.org/officeDocument/2006/relationships/hyperlink" Target="https://osu.ppy.sh/beatmapsets/357800" TargetMode="External"/><Relationship Id="rId47" Type="http://schemas.openxmlformats.org/officeDocument/2006/relationships/hyperlink" Target="https://osu.ppy.sh/beatmapsets/1909726" TargetMode="External"/><Relationship Id="rId49" Type="http://schemas.openxmlformats.org/officeDocument/2006/relationships/hyperlink" Target="https://osu.ppy.sh/beatmapsets/357800" TargetMode="External"/><Relationship Id="rId5" Type="http://schemas.openxmlformats.org/officeDocument/2006/relationships/hyperlink" Target="https://osu.ppy.sh/beatmapsets/357800" TargetMode="External"/><Relationship Id="rId6" Type="http://schemas.openxmlformats.org/officeDocument/2006/relationships/hyperlink" Target="https://osu.ppy.sh/beatmapsets/1975119" TargetMode="External"/><Relationship Id="rId7" Type="http://schemas.openxmlformats.org/officeDocument/2006/relationships/hyperlink" Target="https://osu.ppy.sh/beatmapsets/1975119" TargetMode="External"/><Relationship Id="rId8" Type="http://schemas.openxmlformats.org/officeDocument/2006/relationships/hyperlink" Target="https://osu.ppy.sh/beatmapsets/1478828" TargetMode="External"/><Relationship Id="rId31" Type="http://schemas.openxmlformats.org/officeDocument/2006/relationships/hyperlink" Target="https://osu.ppy.sh/beatmapsets/1061614" TargetMode="External"/><Relationship Id="rId30" Type="http://schemas.openxmlformats.org/officeDocument/2006/relationships/hyperlink" Target="https://osu.ppy.sh/beatmapsets/1061614" TargetMode="External"/><Relationship Id="rId33" Type="http://schemas.openxmlformats.org/officeDocument/2006/relationships/hyperlink" Target="https://osu.ppy.sh/beatmapsets/1807986" TargetMode="External"/><Relationship Id="rId32" Type="http://schemas.openxmlformats.org/officeDocument/2006/relationships/hyperlink" Target="https://osu.ppy.sh/beatmapsets/1807986" TargetMode="External"/><Relationship Id="rId35" Type="http://schemas.openxmlformats.org/officeDocument/2006/relationships/hyperlink" Target="https://osu.ppy.sh/beatmapsets/1496416" TargetMode="External"/><Relationship Id="rId34" Type="http://schemas.openxmlformats.org/officeDocument/2006/relationships/hyperlink" Target="https://osu.ppy.sh/beatmapsets/1496416" TargetMode="External"/><Relationship Id="rId37" Type="http://schemas.openxmlformats.org/officeDocument/2006/relationships/hyperlink" Target="https://osu.ppy.sh/beatmapsets/1712992" TargetMode="External"/><Relationship Id="rId36" Type="http://schemas.openxmlformats.org/officeDocument/2006/relationships/hyperlink" Target="https://osu.ppy.sh/beatmapsets/1712992" TargetMode="External"/><Relationship Id="rId39" Type="http://schemas.openxmlformats.org/officeDocument/2006/relationships/hyperlink" Target="https://osu.ppy.sh/beatmapsets/1841846" TargetMode="External"/><Relationship Id="rId38" Type="http://schemas.openxmlformats.org/officeDocument/2006/relationships/hyperlink" Target="https://osu.ppy.sh/beatmapsets/1841846" TargetMode="External"/><Relationship Id="rId20" Type="http://schemas.openxmlformats.org/officeDocument/2006/relationships/hyperlink" Target="https://osu.ppy.sh/beatmapsets/932567" TargetMode="External"/><Relationship Id="rId22" Type="http://schemas.openxmlformats.org/officeDocument/2006/relationships/hyperlink" Target="https://osu.ppy.sh/beatmapsets/721320" TargetMode="External"/><Relationship Id="rId21" Type="http://schemas.openxmlformats.org/officeDocument/2006/relationships/hyperlink" Target="https://osu.ppy.sh/beatmapsets/721320" TargetMode="External"/><Relationship Id="rId24" Type="http://schemas.openxmlformats.org/officeDocument/2006/relationships/hyperlink" Target="https://osu.ppy.sh/beatmapsets/1977605" TargetMode="External"/><Relationship Id="rId23" Type="http://schemas.openxmlformats.org/officeDocument/2006/relationships/hyperlink" Target="https://osu.ppy.sh/beatmapsets/721320" TargetMode="External"/><Relationship Id="rId26" Type="http://schemas.openxmlformats.org/officeDocument/2006/relationships/hyperlink" Target="https://osu.ppy.sh/beatmapsets/1977605" TargetMode="External"/><Relationship Id="rId25" Type="http://schemas.openxmlformats.org/officeDocument/2006/relationships/hyperlink" Target="https://osu.ppy.sh/beatmapsets/1977605" TargetMode="External"/><Relationship Id="rId28" Type="http://schemas.openxmlformats.org/officeDocument/2006/relationships/hyperlink" Target="https://osu.ppy.sh/beatmapsets/1670325" TargetMode="External"/><Relationship Id="rId27" Type="http://schemas.openxmlformats.org/officeDocument/2006/relationships/hyperlink" Target="https://osu.ppy.sh/beatmapsets/1670325" TargetMode="External"/><Relationship Id="rId29" Type="http://schemas.openxmlformats.org/officeDocument/2006/relationships/hyperlink" Target="https://osu.ppy.sh/beatmapsets/1724615" TargetMode="External"/><Relationship Id="rId51" Type="http://schemas.openxmlformats.org/officeDocument/2006/relationships/hyperlink" Target="https://osu.ppy.sh/beatmapsets/1724615" TargetMode="External"/><Relationship Id="rId50" Type="http://schemas.openxmlformats.org/officeDocument/2006/relationships/hyperlink" Target="https://osu.ppy.sh/beatmapsets/1724615" TargetMode="External"/><Relationship Id="rId53" Type="http://schemas.openxmlformats.org/officeDocument/2006/relationships/hyperlink" Target="https://osu.ppy.sh/beatmapsets/998415" TargetMode="External"/><Relationship Id="rId52" Type="http://schemas.openxmlformats.org/officeDocument/2006/relationships/hyperlink" Target="https://osu.ppy.sh/beatmapsets/998415" TargetMode="External"/><Relationship Id="rId11" Type="http://schemas.openxmlformats.org/officeDocument/2006/relationships/hyperlink" Target="https://osu.ppy.sh/beatmapsets/1544866" TargetMode="External"/><Relationship Id="rId55" Type="http://schemas.openxmlformats.org/officeDocument/2006/relationships/hyperlink" Target="https://osu.ppy.sh/beatmapsets/1478828" TargetMode="External"/><Relationship Id="rId10" Type="http://schemas.openxmlformats.org/officeDocument/2006/relationships/hyperlink" Target="https://osu.ppy.sh/beatmapsets/1544866" TargetMode="External"/><Relationship Id="rId54" Type="http://schemas.openxmlformats.org/officeDocument/2006/relationships/hyperlink" Target="https://osu.ppy.sh/beatmapsets/1478828" TargetMode="External"/><Relationship Id="rId13" Type="http://schemas.openxmlformats.org/officeDocument/2006/relationships/hyperlink" Target="https://osu.ppy.sh/beatmapsets/1207286" TargetMode="External"/><Relationship Id="rId57" Type="http://schemas.openxmlformats.org/officeDocument/2006/relationships/vmlDrawing" Target="../drawings/vmlDrawing3.vml"/><Relationship Id="rId12" Type="http://schemas.openxmlformats.org/officeDocument/2006/relationships/hyperlink" Target="https://osu.ppy.sh/beatmapsets/1207286" TargetMode="External"/><Relationship Id="rId56" Type="http://schemas.openxmlformats.org/officeDocument/2006/relationships/drawing" Target="../drawings/drawing3.xml"/><Relationship Id="rId15" Type="http://schemas.openxmlformats.org/officeDocument/2006/relationships/hyperlink" Target="https://osu.ppy.sh/beatmapsets/1238190" TargetMode="External"/><Relationship Id="rId14" Type="http://schemas.openxmlformats.org/officeDocument/2006/relationships/hyperlink" Target="https://osu.ppy.sh/beatmapsets/998415" TargetMode="External"/><Relationship Id="rId17" Type="http://schemas.openxmlformats.org/officeDocument/2006/relationships/hyperlink" Target="https://osu.ppy.sh/beatmapsets/1238190" TargetMode="External"/><Relationship Id="rId16" Type="http://schemas.openxmlformats.org/officeDocument/2006/relationships/hyperlink" Target="https://osu.ppy.sh/beatmapsets/1238190" TargetMode="External"/><Relationship Id="rId19" Type="http://schemas.openxmlformats.org/officeDocument/2006/relationships/hyperlink" Target="https://osu.ppy.sh/beatmapsets/1918243" TargetMode="External"/><Relationship Id="rId18" Type="http://schemas.openxmlformats.org/officeDocument/2006/relationships/hyperlink" Target="https://osu.ppy.sh/beatmapsets/1918243"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osu.ppy.sh/beatmapsets/996628" TargetMode="External"/><Relationship Id="rId42" Type="http://schemas.openxmlformats.org/officeDocument/2006/relationships/hyperlink" Target="https://osu.ppy.sh/beatmapsets/1909434" TargetMode="External"/><Relationship Id="rId41" Type="http://schemas.openxmlformats.org/officeDocument/2006/relationships/hyperlink" Target="https://osu.ppy.sh/beatmapsets/1313297" TargetMode="External"/><Relationship Id="rId44" Type="http://schemas.openxmlformats.org/officeDocument/2006/relationships/hyperlink" Target="https://osu.ppy.sh/beatmapsets/387784" TargetMode="External"/><Relationship Id="rId43" Type="http://schemas.openxmlformats.org/officeDocument/2006/relationships/hyperlink" Target="https://osu.ppy.sh/beatmapsets/1688873" TargetMode="External"/><Relationship Id="rId46" Type="http://schemas.openxmlformats.org/officeDocument/2006/relationships/hyperlink" Target="https://osu.ppy.sh/beatmapsets/1079281" TargetMode="External"/><Relationship Id="rId45" Type="http://schemas.openxmlformats.org/officeDocument/2006/relationships/hyperlink" Target="https://osu.ppy.sh/beatmapsets/1274098" TargetMode="External"/><Relationship Id="rId1" Type="http://schemas.openxmlformats.org/officeDocument/2006/relationships/comments" Target="../comments4.xml"/><Relationship Id="rId2" Type="http://schemas.openxmlformats.org/officeDocument/2006/relationships/hyperlink" Target="https://osu.ppy.sh/beatmapsets/1859662" TargetMode="External"/><Relationship Id="rId3" Type="http://schemas.openxmlformats.org/officeDocument/2006/relationships/hyperlink" Target="https://osu.ppy.sh/beatmapsets/1859662" TargetMode="External"/><Relationship Id="rId4" Type="http://schemas.openxmlformats.org/officeDocument/2006/relationships/hyperlink" Target="https://osu.ppy.sh/beatmapsets/1614904" TargetMode="External"/><Relationship Id="rId9" Type="http://schemas.openxmlformats.org/officeDocument/2006/relationships/hyperlink" Target="https://osu.ppy.sh/beatmapsets/932654" TargetMode="External"/><Relationship Id="rId48" Type="http://schemas.openxmlformats.org/officeDocument/2006/relationships/hyperlink" Target="https://osu.ppy.sh/beatmapsets/1782707" TargetMode="External"/><Relationship Id="rId47" Type="http://schemas.openxmlformats.org/officeDocument/2006/relationships/hyperlink" Target="https://osu.ppy.sh/beatmapsets/1782707" TargetMode="External"/><Relationship Id="rId49" Type="http://schemas.openxmlformats.org/officeDocument/2006/relationships/drawing" Target="../drawings/drawing4.xml"/><Relationship Id="rId5" Type="http://schemas.openxmlformats.org/officeDocument/2006/relationships/hyperlink" Target="https://osu.ppy.sh/beatmapsets/1435157" TargetMode="External"/><Relationship Id="rId6" Type="http://schemas.openxmlformats.org/officeDocument/2006/relationships/hyperlink" Target="https://osu.ppy.sh/beatmapsets/1435157" TargetMode="External"/><Relationship Id="rId7" Type="http://schemas.openxmlformats.org/officeDocument/2006/relationships/hyperlink" Target="https://osu.ppy.sh/beatmapsets/1169856" TargetMode="External"/><Relationship Id="rId8" Type="http://schemas.openxmlformats.org/officeDocument/2006/relationships/hyperlink" Target="https://osu.ppy.sh/beatmapsets/932654" TargetMode="External"/><Relationship Id="rId31" Type="http://schemas.openxmlformats.org/officeDocument/2006/relationships/hyperlink" Target="https://osu.ppy.sh/beatmapsets/13975" TargetMode="External"/><Relationship Id="rId30" Type="http://schemas.openxmlformats.org/officeDocument/2006/relationships/hyperlink" Target="https://osu.ppy.sh/beatmapsets/1782707" TargetMode="External"/><Relationship Id="rId33" Type="http://schemas.openxmlformats.org/officeDocument/2006/relationships/hyperlink" Target="https://osu.ppy.sh/beatmapsets/917159" TargetMode="External"/><Relationship Id="rId32" Type="http://schemas.openxmlformats.org/officeDocument/2006/relationships/hyperlink" Target="https://osu.ppy.sh/beatmapsets/1686408" TargetMode="External"/><Relationship Id="rId35" Type="http://schemas.openxmlformats.org/officeDocument/2006/relationships/hyperlink" Target="https://osu.ppy.sh/beatmapsets/1299190" TargetMode="External"/><Relationship Id="rId34" Type="http://schemas.openxmlformats.org/officeDocument/2006/relationships/hyperlink" Target="https://osu.ppy.sh/beatmapsets/1131726" TargetMode="External"/><Relationship Id="rId37" Type="http://schemas.openxmlformats.org/officeDocument/2006/relationships/hyperlink" Target="https://osu.ppy.sh/beatmapsets/42527" TargetMode="External"/><Relationship Id="rId36" Type="http://schemas.openxmlformats.org/officeDocument/2006/relationships/hyperlink" Target="https://osu.ppy.sh/beatmapsets/42527" TargetMode="External"/><Relationship Id="rId39" Type="http://schemas.openxmlformats.org/officeDocument/2006/relationships/hyperlink" Target="https://osu.ppy.sh/beatmapsets/80214" TargetMode="External"/><Relationship Id="rId38" Type="http://schemas.openxmlformats.org/officeDocument/2006/relationships/hyperlink" Target="https://osu.ppy.sh/beatmapsets/80214" TargetMode="External"/><Relationship Id="rId20" Type="http://schemas.openxmlformats.org/officeDocument/2006/relationships/hyperlink" Target="https://osu.ppy.sh/beatmapsets/917159" TargetMode="External"/><Relationship Id="rId22" Type="http://schemas.openxmlformats.org/officeDocument/2006/relationships/hyperlink" Target="https://osu.ppy.sh/beatmapsets/956595" TargetMode="External"/><Relationship Id="rId21" Type="http://schemas.openxmlformats.org/officeDocument/2006/relationships/hyperlink" Target="https://osu.ppy.sh/beatmapsets/1533832" TargetMode="External"/><Relationship Id="rId24" Type="http://schemas.openxmlformats.org/officeDocument/2006/relationships/hyperlink" Target="https://osu.ppy.sh/beatmapsets/1131726" TargetMode="External"/><Relationship Id="rId23" Type="http://schemas.openxmlformats.org/officeDocument/2006/relationships/hyperlink" Target="https://osu.ppy.sh/beatmapsets/1663184" TargetMode="External"/><Relationship Id="rId26" Type="http://schemas.openxmlformats.org/officeDocument/2006/relationships/hyperlink" Target="https://osu.ppy.sh/beatmapsets/1663184" TargetMode="External"/><Relationship Id="rId25" Type="http://schemas.openxmlformats.org/officeDocument/2006/relationships/hyperlink" Target="https://osu.ppy.sh/beatmapsets/1686408" TargetMode="External"/><Relationship Id="rId28" Type="http://schemas.openxmlformats.org/officeDocument/2006/relationships/hyperlink" Target="https://osu.ppy.sh/beatmapsets/387784" TargetMode="External"/><Relationship Id="rId27" Type="http://schemas.openxmlformats.org/officeDocument/2006/relationships/hyperlink" Target="https://osu.ppy.sh/beatmapsets/956595" TargetMode="External"/><Relationship Id="rId29" Type="http://schemas.openxmlformats.org/officeDocument/2006/relationships/hyperlink" Target="https://osu.ppy.sh/beatmapsets/1484383" TargetMode="External"/><Relationship Id="rId50" Type="http://schemas.openxmlformats.org/officeDocument/2006/relationships/vmlDrawing" Target="../drawings/vmlDrawing4.vml"/><Relationship Id="rId11" Type="http://schemas.openxmlformats.org/officeDocument/2006/relationships/hyperlink" Target="https://osu.ppy.sh/beatmapsets/1119169" TargetMode="External"/><Relationship Id="rId10" Type="http://schemas.openxmlformats.org/officeDocument/2006/relationships/hyperlink" Target="https://osu.ppy.sh/beatmapsets/1381824" TargetMode="External"/><Relationship Id="rId13" Type="http://schemas.openxmlformats.org/officeDocument/2006/relationships/hyperlink" Target="https://osu.ppy.sh/beatmapsets/1614904" TargetMode="External"/><Relationship Id="rId12" Type="http://schemas.openxmlformats.org/officeDocument/2006/relationships/hyperlink" Target="https://osu.ppy.sh/beatmapsets/932654" TargetMode="External"/><Relationship Id="rId15" Type="http://schemas.openxmlformats.org/officeDocument/2006/relationships/hyperlink" Target="https://osu.ppy.sh/beatmapsets/1169856" TargetMode="External"/><Relationship Id="rId14" Type="http://schemas.openxmlformats.org/officeDocument/2006/relationships/hyperlink" Target="https://osu.ppy.sh/beatmapsets/1533832" TargetMode="External"/><Relationship Id="rId17" Type="http://schemas.openxmlformats.org/officeDocument/2006/relationships/hyperlink" Target="https://osu.ppy.sh/beatmapsets/1381824" TargetMode="External"/><Relationship Id="rId16" Type="http://schemas.openxmlformats.org/officeDocument/2006/relationships/hyperlink" Target="https://osu.ppy.sh/beatmapsets/42527" TargetMode="External"/><Relationship Id="rId19" Type="http://schemas.openxmlformats.org/officeDocument/2006/relationships/hyperlink" Target="https://osu.ppy.sh/beatmapsets/932654" TargetMode="External"/><Relationship Id="rId18" Type="http://schemas.openxmlformats.org/officeDocument/2006/relationships/hyperlink" Target="https://osu.ppy.sh/beatmapsets/1274098"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osu.ppy.sh/beatmapsets/914691" TargetMode="External"/><Relationship Id="rId42" Type="http://schemas.openxmlformats.org/officeDocument/2006/relationships/hyperlink" Target="https://osu.ppy.sh/beatmapsets/546820" TargetMode="External"/><Relationship Id="rId41" Type="http://schemas.openxmlformats.org/officeDocument/2006/relationships/hyperlink" Target="https://osu.ppy.sh/beatmapsets/172900" TargetMode="External"/><Relationship Id="rId44" Type="http://schemas.openxmlformats.org/officeDocument/2006/relationships/hyperlink" Target="https://osu.ppy.sh/beatmapsets/790382" TargetMode="External"/><Relationship Id="rId43" Type="http://schemas.openxmlformats.org/officeDocument/2006/relationships/hyperlink" Target="https://osu.ppy.sh/beatmapsets/546820" TargetMode="External"/><Relationship Id="rId46" Type="http://schemas.openxmlformats.org/officeDocument/2006/relationships/hyperlink" Target="https://osu.ppy.sh/beatmapsets/1285447" TargetMode="External"/><Relationship Id="rId45" Type="http://schemas.openxmlformats.org/officeDocument/2006/relationships/hyperlink" Target="https://osu.ppy.sh/beatmapsets/1285447" TargetMode="External"/><Relationship Id="rId105" Type="http://schemas.openxmlformats.org/officeDocument/2006/relationships/vmlDrawing" Target="../drawings/vmlDrawing5.vml"/><Relationship Id="rId104" Type="http://schemas.openxmlformats.org/officeDocument/2006/relationships/drawing" Target="../drawings/drawing5.xml"/><Relationship Id="rId48" Type="http://schemas.openxmlformats.org/officeDocument/2006/relationships/hyperlink" Target="https://osu.ppy.sh/beatmapsets/701330" TargetMode="External"/><Relationship Id="rId47" Type="http://schemas.openxmlformats.org/officeDocument/2006/relationships/hyperlink" Target="https://osu.ppy.sh/beatmapsets/701330" TargetMode="External"/><Relationship Id="rId49" Type="http://schemas.openxmlformats.org/officeDocument/2006/relationships/hyperlink" Target="https://osu.ppy.sh/beatmapsets/172900" TargetMode="External"/><Relationship Id="rId103" Type="http://schemas.openxmlformats.org/officeDocument/2006/relationships/hyperlink" Target="https://osu.ppy.sh/beatmapsets/1185294" TargetMode="External"/><Relationship Id="rId102" Type="http://schemas.openxmlformats.org/officeDocument/2006/relationships/hyperlink" Target="https://osu.ppy.sh/beatmapsets/1185294" TargetMode="External"/><Relationship Id="rId101" Type="http://schemas.openxmlformats.org/officeDocument/2006/relationships/hyperlink" Target="https://osu.ppy.sh/beatmapsets/790382" TargetMode="External"/><Relationship Id="rId100" Type="http://schemas.openxmlformats.org/officeDocument/2006/relationships/hyperlink" Target="https://osu.ppy.sh/beatmapsets/790382" TargetMode="External"/><Relationship Id="rId31" Type="http://schemas.openxmlformats.org/officeDocument/2006/relationships/hyperlink" Target="https://osu.ppy.sh/beatmapsets/1932625" TargetMode="External"/><Relationship Id="rId30" Type="http://schemas.openxmlformats.org/officeDocument/2006/relationships/hyperlink" Target="https://osu.ppy.sh/beatmapsets/1932625" TargetMode="External"/><Relationship Id="rId33" Type="http://schemas.openxmlformats.org/officeDocument/2006/relationships/hyperlink" Target="https://osu.ppy.sh/beatmapsets/1316097" TargetMode="External"/><Relationship Id="rId32" Type="http://schemas.openxmlformats.org/officeDocument/2006/relationships/hyperlink" Target="https://osu.ppy.sh/beatmapsets/546820" TargetMode="External"/><Relationship Id="rId35" Type="http://schemas.openxmlformats.org/officeDocument/2006/relationships/hyperlink" Target="https://osu.ppy.sh/beatmapsets/1765453" TargetMode="External"/><Relationship Id="rId34" Type="http://schemas.openxmlformats.org/officeDocument/2006/relationships/hyperlink" Target="https://osu.ppy.sh/beatmapsets/1316097" TargetMode="External"/><Relationship Id="rId37" Type="http://schemas.openxmlformats.org/officeDocument/2006/relationships/hyperlink" Target="https://osu.ppy.sh/beatmapsets/25580" TargetMode="External"/><Relationship Id="rId36" Type="http://schemas.openxmlformats.org/officeDocument/2006/relationships/hyperlink" Target="https://osu.ppy.sh/beatmapsets/25580" TargetMode="External"/><Relationship Id="rId39" Type="http://schemas.openxmlformats.org/officeDocument/2006/relationships/hyperlink" Target="https://osu.ppy.sh/beatmapsets/914691" TargetMode="External"/><Relationship Id="rId38" Type="http://schemas.openxmlformats.org/officeDocument/2006/relationships/hyperlink" Target="https://osu.ppy.sh/beatmapsets/996628" TargetMode="External"/><Relationship Id="rId20" Type="http://schemas.openxmlformats.org/officeDocument/2006/relationships/hyperlink" Target="https://osu.ppy.sh/beatmapsets/1693295" TargetMode="External"/><Relationship Id="rId22" Type="http://schemas.openxmlformats.org/officeDocument/2006/relationships/hyperlink" Target="https://osu.ppy.sh/beatmapsets/564329" TargetMode="External"/><Relationship Id="rId21" Type="http://schemas.openxmlformats.org/officeDocument/2006/relationships/hyperlink" Target="https://osu.ppy.sh/beatmapsets/564329" TargetMode="External"/><Relationship Id="rId24" Type="http://schemas.openxmlformats.org/officeDocument/2006/relationships/hyperlink" Target="https://osu.ppy.sh/beatmapsets/1968201" TargetMode="External"/><Relationship Id="rId23" Type="http://schemas.openxmlformats.org/officeDocument/2006/relationships/hyperlink" Target="https://osu.ppy.sh/beatmapsets/924701" TargetMode="External"/><Relationship Id="rId26" Type="http://schemas.openxmlformats.org/officeDocument/2006/relationships/hyperlink" Target="https://osu.ppy.sh/beatmapsets/106568" TargetMode="External"/><Relationship Id="rId25" Type="http://schemas.openxmlformats.org/officeDocument/2006/relationships/hyperlink" Target="https://osu.ppy.sh/beatmapsets/1968201" TargetMode="External"/><Relationship Id="rId28" Type="http://schemas.openxmlformats.org/officeDocument/2006/relationships/hyperlink" Target="https://osu.ppy.sh/beatmapsets/50462" TargetMode="External"/><Relationship Id="rId27" Type="http://schemas.openxmlformats.org/officeDocument/2006/relationships/hyperlink" Target="https://osu.ppy.sh/beatmapsets/50462" TargetMode="External"/><Relationship Id="rId29" Type="http://schemas.openxmlformats.org/officeDocument/2006/relationships/hyperlink" Target="https://osu.ppy.sh/beatmapsets/1581327" TargetMode="External"/><Relationship Id="rId95" Type="http://schemas.openxmlformats.org/officeDocument/2006/relationships/hyperlink" Target="https://osu.ppy.sh/beatmapsets/1176431" TargetMode="External"/><Relationship Id="rId94" Type="http://schemas.openxmlformats.org/officeDocument/2006/relationships/hyperlink" Target="https://osu.ppy.sh/beatmapsets/1176431" TargetMode="External"/><Relationship Id="rId97" Type="http://schemas.openxmlformats.org/officeDocument/2006/relationships/hyperlink" Target="https://osu.ppy.sh/beatmapsets/251437" TargetMode="External"/><Relationship Id="rId96" Type="http://schemas.openxmlformats.org/officeDocument/2006/relationships/hyperlink" Target="https://osu.ppy.sh/beatmapsets/251437" TargetMode="External"/><Relationship Id="rId11" Type="http://schemas.openxmlformats.org/officeDocument/2006/relationships/hyperlink" Target="https://osu.ppy.sh/beatmapsets/1329045" TargetMode="External"/><Relationship Id="rId99" Type="http://schemas.openxmlformats.org/officeDocument/2006/relationships/hyperlink" Target="https://osu.ppy.sh/beatmapsets/1901819" TargetMode="External"/><Relationship Id="rId10" Type="http://schemas.openxmlformats.org/officeDocument/2006/relationships/hyperlink" Target="https://osu.ppy.sh/beatmapsets/1758376" TargetMode="External"/><Relationship Id="rId98" Type="http://schemas.openxmlformats.org/officeDocument/2006/relationships/hyperlink" Target="https://osu.ppy.sh/beatmapsets/1901819" TargetMode="External"/><Relationship Id="rId13" Type="http://schemas.openxmlformats.org/officeDocument/2006/relationships/hyperlink" Target="https://osu.ppy.sh/beatmapsets/1358622" TargetMode="External"/><Relationship Id="rId12" Type="http://schemas.openxmlformats.org/officeDocument/2006/relationships/hyperlink" Target="https://osu.ppy.sh/beatmapsets/1358622" TargetMode="External"/><Relationship Id="rId91" Type="http://schemas.openxmlformats.org/officeDocument/2006/relationships/hyperlink" Target="https://osu.ppy.sh/beatmapsets/1581327" TargetMode="External"/><Relationship Id="rId90" Type="http://schemas.openxmlformats.org/officeDocument/2006/relationships/hyperlink" Target="https://osu.ppy.sh/beatmapsets/1581327" TargetMode="External"/><Relationship Id="rId93" Type="http://schemas.openxmlformats.org/officeDocument/2006/relationships/hyperlink" Target="https://osu.ppy.sh/beatmapsets/1765453" TargetMode="External"/><Relationship Id="rId92" Type="http://schemas.openxmlformats.org/officeDocument/2006/relationships/hyperlink" Target="https://osu.ppy.sh/beatmapsets/1765453" TargetMode="External"/><Relationship Id="rId15" Type="http://schemas.openxmlformats.org/officeDocument/2006/relationships/hyperlink" Target="https://osu.ppy.sh/beatmapsets/956716" TargetMode="External"/><Relationship Id="rId14" Type="http://schemas.openxmlformats.org/officeDocument/2006/relationships/hyperlink" Target="https://osu.ppy.sh/beatmapsets/1176431" TargetMode="External"/><Relationship Id="rId17" Type="http://schemas.openxmlformats.org/officeDocument/2006/relationships/hyperlink" Target="https://osu.ppy.sh/beatmapsets/824959" TargetMode="External"/><Relationship Id="rId16" Type="http://schemas.openxmlformats.org/officeDocument/2006/relationships/hyperlink" Target="https://osu.ppy.sh/beatmapsets/956716" TargetMode="External"/><Relationship Id="rId19" Type="http://schemas.openxmlformats.org/officeDocument/2006/relationships/hyperlink" Target="https://osu.ppy.sh/beatmapsets/1508883" TargetMode="External"/><Relationship Id="rId18" Type="http://schemas.openxmlformats.org/officeDocument/2006/relationships/hyperlink" Target="https://osu.ppy.sh/beatmapsets/1508883" TargetMode="External"/><Relationship Id="rId84" Type="http://schemas.openxmlformats.org/officeDocument/2006/relationships/hyperlink" Target="https://osu.ppy.sh/beatmapsets/106568" TargetMode="External"/><Relationship Id="rId83" Type="http://schemas.openxmlformats.org/officeDocument/2006/relationships/hyperlink" Target="https://osu.ppy.sh/beatmapsets/1329045" TargetMode="External"/><Relationship Id="rId86" Type="http://schemas.openxmlformats.org/officeDocument/2006/relationships/hyperlink" Target="https://osu.ppy.sh/beatmapsets/924701" TargetMode="External"/><Relationship Id="rId85" Type="http://schemas.openxmlformats.org/officeDocument/2006/relationships/hyperlink" Target="https://osu.ppy.sh/beatmapsets/106568" TargetMode="External"/><Relationship Id="rId88" Type="http://schemas.openxmlformats.org/officeDocument/2006/relationships/hyperlink" Target="https://osu.ppy.sh/beatmapsets/1544600" TargetMode="External"/><Relationship Id="rId87" Type="http://schemas.openxmlformats.org/officeDocument/2006/relationships/hyperlink" Target="https://osu.ppy.sh/beatmapsets/924701" TargetMode="External"/><Relationship Id="rId89" Type="http://schemas.openxmlformats.org/officeDocument/2006/relationships/hyperlink" Target="https://osu.ppy.sh/beatmapsets/1544600" TargetMode="External"/><Relationship Id="rId80" Type="http://schemas.openxmlformats.org/officeDocument/2006/relationships/hyperlink" Target="https://osu.ppy.sh/beatmapsets/1401651" TargetMode="External"/><Relationship Id="rId82" Type="http://schemas.openxmlformats.org/officeDocument/2006/relationships/hyperlink" Target="https://osu.ppy.sh/beatmapsets/1329045" TargetMode="External"/><Relationship Id="rId81" Type="http://schemas.openxmlformats.org/officeDocument/2006/relationships/hyperlink" Target="https://osu.ppy.sh/beatmapsets/1401651" TargetMode="External"/><Relationship Id="rId1" Type="http://schemas.openxmlformats.org/officeDocument/2006/relationships/comments" Target="../comments5.xml"/><Relationship Id="rId2" Type="http://schemas.openxmlformats.org/officeDocument/2006/relationships/hyperlink" Target="https://osu.ppy.sh/beatmapsets/111611" TargetMode="External"/><Relationship Id="rId3" Type="http://schemas.openxmlformats.org/officeDocument/2006/relationships/hyperlink" Target="https://osu.ppy.sh/beatmapsets/1743257" TargetMode="External"/><Relationship Id="rId4" Type="http://schemas.openxmlformats.org/officeDocument/2006/relationships/hyperlink" Target="https://osu.ppy.sh/beatmapsets/1743257" TargetMode="External"/><Relationship Id="rId9" Type="http://schemas.openxmlformats.org/officeDocument/2006/relationships/hyperlink" Target="https://osu.ppy.sh/beatmapsets/1758376" TargetMode="External"/><Relationship Id="rId5" Type="http://schemas.openxmlformats.org/officeDocument/2006/relationships/hyperlink" Target="https://osu.ppy.sh/beatmapsets/956716" TargetMode="External"/><Relationship Id="rId6" Type="http://schemas.openxmlformats.org/officeDocument/2006/relationships/hyperlink" Target="https://osu.ppy.sh/beatmapsets/1528914" TargetMode="External"/><Relationship Id="rId7" Type="http://schemas.openxmlformats.org/officeDocument/2006/relationships/hyperlink" Target="https://osu.ppy.sh/beatmapsets/1528914" TargetMode="External"/><Relationship Id="rId8" Type="http://schemas.openxmlformats.org/officeDocument/2006/relationships/hyperlink" Target="https://osu.ppy.sh/beatmapsets/1544600" TargetMode="External"/><Relationship Id="rId73" Type="http://schemas.openxmlformats.org/officeDocument/2006/relationships/hyperlink" Target="https://osu.ppy.sh/beatmapsets/1488532" TargetMode="External"/><Relationship Id="rId72" Type="http://schemas.openxmlformats.org/officeDocument/2006/relationships/hyperlink" Target="https://osu.ppy.sh/beatmapsets/1488532" TargetMode="External"/><Relationship Id="rId75" Type="http://schemas.openxmlformats.org/officeDocument/2006/relationships/hyperlink" Target="https://osu.ppy.sh/beatmapsets/1632817" TargetMode="External"/><Relationship Id="rId74" Type="http://schemas.openxmlformats.org/officeDocument/2006/relationships/hyperlink" Target="https://osu.ppy.sh/beatmapsets/1632817" TargetMode="External"/><Relationship Id="rId77" Type="http://schemas.openxmlformats.org/officeDocument/2006/relationships/hyperlink" Target="https://osu.ppy.sh/beatmapsets/996628" TargetMode="External"/><Relationship Id="rId76" Type="http://schemas.openxmlformats.org/officeDocument/2006/relationships/hyperlink" Target="https://osu.ppy.sh/beatmapsets/996628" TargetMode="External"/><Relationship Id="rId79" Type="http://schemas.openxmlformats.org/officeDocument/2006/relationships/hyperlink" Target="https://osu.ppy.sh/beatmapsets/1494548" TargetMode="External"/><Relationship Id="rId78" Type="http://schemas.openxmlformats.org/officeDocument/2006/relationships/hyperlink" Target="https://osu.ppy.sh/beatmapsets/1494548" TargetMode="External"/><Relationship Id="rId71" Type="http://schemas.openxmlformats.org/officeDocument/2006/relationships/hyperlink" Target="https://osu.ppy.sh/beatmapsets/1693295" TargetMode="External"/><Relationship Id="rId70" Type="http://schemas.openxmlformats.org/officeDocument/2006/relationships/hyperlink" Target="https://osu.ppy.sh/beatmapsets/1693295" TargetMode="External"/><Relationship Id="rId62" Type="http://schemas.openxmlformats.org/officeDocument/2006/relationships/hyperlink" Target="https://osu.ppy.sh/beatmapsets/1759764" TargetMode="External"/><Relationship Id="rId61" Type="http://schemas.openxmlformats.org/officeDocument/2006/relationships/hyperlink" Target="https://osu.ppy.sh/beatmapsets/824959" TargetMode="External"/><Relationship Id="rId64" Type="http://schemas.openxmlformats.org/officeDocument/2006/relationships/hyperlink" Target="https://osu.ppy.sh/beatmapsets/123354" TargetMode="External"/><Relationship Id="rId63" Type="http://schemas.openxmlformats.org/officeDocument/2006/relationships/hyperlink" Target="https://osu.ppy.sh/beatmapsets/1759764" TargetMode="External"/><Relationship Id="rId66" Type="http://schemas.openxmlformats.org/officeDocument/2006/relationships/hyperlink" Target="https://osu.ppy.sh/beatmapsets/841634" TargetMode="External"/><Relationship Id="rId65" Type="http://schemas.openxmlformats.org/officeDocument/2006/relationships/hyperlink" Target="https://osu.ppy.sh/beatmapsets/123354" TargetMode="External"/><Relationship Id="rId68" Type="http://schemas.openxmlformats.org/officeDocument/2006/relationships/hyperlink" Target="https://osu.ppy.sh/beatmapsets/1203052" TargetMode="External"/><Relationship Id="rId67" Type="http://schemas.openxmlformats.org/officeDocument/2006/relationships/hyperlink" Target="https://osu.ppy.sh/beatmapsets/841634" TargetMode="External"/><Relationship Id="rId60" Type="http://schemas.openxmlformats.org/officeDocument/2006/relationships/hyperlink" Target="https://osu.ppy.sh/beatmapsets/824959" TargetMode="External"/><Relationship Id="rId69" Type="http://schemas.openxmlformats.org/officeDocument/2006/relationships/hyperlink" Target="https://osu.ppy.sh/beatmapsets/1203052" TargetMode="External"/><Relationship Id="rId51" Type="http://schemas.openxmlformats.org/officeDocument/2006/relationships/hyperlink" Target="https://osu.ppy.sh/beatmapsets/25802" TargetMode="External"/><Relationship Id="rId50" Type="http://schemas.openxmlformats.org/officeDocument/2006/relationships/hyperlink" Target="https://osu.ppy.sh/beatmapsets/172900" TargetMode="External"/><Relationship Id="rId53" Type="http://schemas.openxmlformats.org/officeDocument/2006/relationships/hyperlink" Target="https://osu.ppy.sh/beatmapsets/1157572" TargetMode="External"/><Relationship Id="rId52" Type="http://schemas.openxmlformats.org/officeDocument/2006/relationships/hyperlink" Target="https://osu.ppy.sh/beatmapsets/25802" TargetMode="External"/><Relationship Id="rId55" Type="http://schemas.openxmlformats.org/officeDocument/2006/relationships/hyperlink" Target="https://osu.ppy.sh/beatmapsets/409898" TargetMode="External"/><Relationship Id="rId54" Type="http://schemas.openxmlformats.org/officeDocument/2006/relationships/hyperlink" Target="https://osu.ppy.sh/beatmapsets/1157572" TargetMode="External"/><Relationship Id="rId57" Type="http://schemas.openxmlformats.org/officeDocument/2006/relationships/hyperlink" Target="https://osu.ppy.sh/beatmapsets/1807695" TargetMode="External"/><Relationship Id="rId56" Type="http://schemas.openxmlformats.org/officeDocument/2006/relationships/hyperlink" Target="https://osu.ppy.sh/beatmapsets/409898" TargetMode="External"/><Relationship Id="rId59" Type="http://schemas.openxmlformats.org/officeDocument/2006/relationships/hyperlink" Target="https://osu.ppy.sh/beatmapsets/1046876" TargetMode="External"/><Relationship Id="rId58" Type="http://schemas.openxmlformats.org/officeDocument/2006/relationships/hyperlink" Target="https://osu.ppy.sh/beatmapsets/1046876"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osu.ppy.sh/beatmapsets/1496234" TargetMode="External"/><Relationship Id="rId42" Type="http://schemas.openxmlformats.org/officeDocument/2006/relationships/hyperlink" Target="https://osu.ppy.sh/beatmapsets/1855321" TargetMode="External"/><Relationship Id="rId41" Type="http://schemas.openxmlformats.org/officeDocument/2006/relationships/hyperlink" Target="https://osu.ppy.sh/beatmapsets/1616029" TargetMode="External"/><Relationship Id="rId44" Type="http://schemas.openxmlformats.org/officeDocument/2006/relationships/hyperlink" Target="https://osu.ppy.sh/beatmapsets/1248923" TargetMode="External"/><Relationship Id="rId43" Type="http://schemas.openxmlformats.org/officeDocument/2006/relationships/hyperlink" Target="https://osu.ppy.sh/beatmapsets/1855321" TargetMode="External"/><Relationship Id="rId46" Type="http://schemas.openxmlformats.org/officeDocument/2006/relationships/hyperlink" Target="https://osu.ppy.sh/beatmapsets/12469" TargetMode="External"/><Relationship Id="rId45" Type="http://schemas.openxmlformats.org/officeDocument/2006/relationships/hyperlink" Target="https://osu.ppy.sh/beatmapsets/12469" TargetMode="External"/><Relationship Id="rId107" Type="http://schemas.openxmlformats.org/officeDocument/2006/relationships/hyperlink" Target="https://osu.ppy.sh/beatmapsets/251437" TargetMode="External"/><Relationship Id="rId106" Type="http://schemas.openxmlformats.org/officeDocument/2006/relationships/hyperlink" Target="https://osu.ppy.sh/beatmapsets/251437" TargetMode="External"/><Relationship Id="rId105" Type="http://schemas.openxmlformats.org/officeDocument/2006/relationships/hyperlink" Target="https://osu.ppy.sh/beatmapsets/519054" TargetMode="External"/><Relationship Id="rId104" Type="http://schemas.openxmlformats.org/officeDocument/2006/relationships/hyperlink" Target="https://osu.ppy.sh/beatmapsets/519054" TargetMode="External"/><Relationship Id="rId109" Type="http://schemas.openxmlformats.org/officeDocument/2006/relationships/hyperlink" Target="https://osu.ppy.sh/beatmapsets/1178471" TargetMode="External"/><Relationship Id="rId108" Type="http://schemas.openxmlformats.org/officeDocument/2006/relationships/hyperlink" Target="https://osu.ppy.sh/beatmapsets/1178471" TargetMode="External"/><Relationship Id="rId48" Type="http://schemas.openxmlformats.org/officeDocument/2006/relationships/hyperlink" Target="https://osu.ppy.sh/beatmapsets/1695872" TargetMode="External"/><Relationship Id="rId47" Type="http://schemas.openxmlformats.org/officeDocument/2006/relationships/hyperlink" Target="https://osu.ppy.sh/beatmapsets/1598238" TargetMode="External"/><Relationship Id="rId49" Type="http://schemas.openxmlformats.org/officeDocument/2006/relationships/hyperlink" Target="https://osu.ppy.sh/beatmapsets/1695872" TargetMode="External"/><Relationship Id="rId103" Type="http://schemas.openxmlformats.org/officeDocument/2006/relationships/hyperlink" Target="https://osu.ppy.sh/beatmapsets/992847" TargetMode="External"/><Relationship Id="rId102" Type="http://schemas.openxmlformats.org/officeDocument/2006/relationships/hyperlink" Target="https://osu.ppy.sh/beatmapsets/992847" TargetMode="External"/><Relationship Id="rId101" Type="http://schemas.openxmlformats.org/officeDocument/2006/relationships/hyperlink" Target="https://osu.ppy.sh/beatmapsets/1851405" TargetMode="External"/><Relationship Id="rId100" Type="http://schemas.openxmlformats.org/officeDocument/2006/relationships/hyperlink" Target="https://osu.ppy.sh/beatmapsets/1851405" TargetMode="External"/><Relationship Id="rId31" Type="http://schemas.openxmlformats.org/officeDocument/2006/relationships/hyperlink" Target="https://osu.ppy.sh/beatmapsets/749096" TargetMode="External"/><Relationship Id="rId30" Type="http://schemas.openxmlformats.org/officeDocument/2006/relationships/hyperlink" Target="https://osu.ppy.sh/beatmapsets/749096" TargetMode="External"/><Relationship Id="rId33" Type="http://schemas.openxmlformats.org/officeDocument/2006/relationships/hyperlink" Target="https://osu.ppy.sh/beatmapsets/591635" TargetMode="External"/><Relationship Id="rId32" Type="http://schemas.openxmlformats.org/officeDocument/2006/relationships/hyperlink" Target="https://osu.ppy.sh/beatmapsets/8923" TargetMode="External"/><Relationship Id="rId35" Type="http://schemas.openxmlformats.org/officeDocument/2006/relationships/hyperlink" Target="https://osu.ppy.sh/beatmapsets/1586738" TargetMode="External"/><Relationship Id="rId34" Type="http://schemas.openxmlformats.org/officeDocument/2006/relationships/hyperlink" Target="https://osu.ppy.sh/beatmapsets/591635" TargetMode="External"/><Relationship Id="rId37" Type="http://schemas.openxmlformats.org/officeDocument/2006/relationships/hyperlink" Target="https://osu.ppy.sh/beatmapsets/1186066" TargetMode="External"/><Relationship Id="rId36" Type="http://schemas.openxmlformats.org/officeDocument/2006/relationships/hyperlink" Target="https://osu.ppy.sh/beatmapsets/1186066" TargetMode="External"/><Relationship Id="rId39" Type="http://schemas.openxmlformats.org/officeDocument/2006/relationships/hyperlink" Target="https://osu.ppy.sh/beatmapsets/1496234" TargetMode="External"/><Relationship Id="rId38" Type="http://schemas.openxmlformats.org/officeDocument/2006/relationships/hyperlink" Target="https://osu.ppy.sh/beatmapsets/292077" TargetMode="External"/><Relationship Id="rId20" Type="http://schemas.openxmlformats.org/officeDocument/2006/relationships/hyperlink" Target="https://osu.ppy.sh/beatmapsets/1181343" TargetMode="External"/><Relationship Id="rId22" Type="http://schemas.openxmlformats.org/officeDocument/2006/relationships/hyperlink" Target="https://osu.ppy.sh/beatmapsets/660630" TargetMode="External"/><Relationship Id="rId21" Type="http://schemas.openxmlformats.org/officeDocument/2006/relationships/hyperlink" Target="https://osu.ppy.sh/beatmapsets/660630" TargetMode="External"/><Relationship Id="rId24" Type="http://schemas.openxmlformats.org/officeDocument/2006/relationships/hyperlink" Target="https://osu.ppy.sh/beatmapsets/737728" TargetMode="External"/><Relationship Id="rId23" Type="http://schemas.openxmlformats.org/officeDocument/2006/relationships/hyperlink" Target="https://osu.ppy.sh/beatmapsets/31224" TargetMode="External"/><Relationship Id="rId26" Type="http://schemas.openxmlformats.org/officeDocument/2006/relationships/hyperlink" Target="https://osu.ppy.sh/beatmapsets/699749" TargetMode="External"/><Relationship Id="rId121" Type="http://schemas.openxmlformats.org/officeDocument/2006/relationships/hyperlink" Target="https://osu.ppy.sh/beatmapsets/1857926" TargetMode="External"/><Relationship Id="rId25" Type="http://schemas.openxmlformats.org/officeDocument/2006/relationships/hyperlink" Target="https://osu.ppy.sh/beatmapsets/737728" TargetMode="External"/><Relationship Id="rId120" Type="http://schemas.openxmlformats.org/officeDocument/2006/relationships/hyperlink" Target="https://osu.ppy.sh/beatmapsets/1857926" TargetMode="External"/><Relationship Id="rId28" Type="http://schemas.openxmlformats.org/officeDocument/2006/relationships/hyperlink" Target="https://osu.ppy.sh/beatmapsets/974935" TargetMode="External"/><Relationship Id="rId27" Type="http://schemas.openxmlformats.org/officeDocument/2006/relationships/hyperlink" Target="https://osu.ppy.sh/b/2072245" TargetMode="External"/><Relationship Id="rId29" Type="http://schemas.openxmlformats.org/officeDocument/2006/relationships/hyperlink" Target="https://osu.ppy.sh/beatmapsets/1888886" TargetMode="External"/><Relationship Id="rId123" Type="http://schemas.openxmlformats.org/officeDocument/2006/relationships/vmlDrawing" Target="../drawings/vmlDrawing6.vml"/><Relationship Id="rId122" Type="http://schemas.openxmlformats.org/officeDocument/2006/relationships/drawing" Target="../drawings/drawing6.xml"/><Relationship Id="rId95" Type="http://schemas.openxmlformats.org/officeDocument/2006/relationships/hyperlink" Target="https://osu.ppy.sh/beatmapsets/156235" TargetMode="External"/><Relationship Id="rId94" Type="http://schemas.openxmlformats.org/officeDocument/2006/relationships/hyperlink" Target="https://osu.ppy.sh/beatmapsets/156235" TargetMode="External"/><Relationship Id="rId97" Type="http://schemas.openxmlformats.org/officeDocument/2006/relationships/hyperlink" Target="https://osu.ppy.sh/beatmapsets/2023886" TargetMode="External"/><Relationship Id="rId96" Type="http://schemas.openxmlformats.org/officeDocument/2006/relationships/hyperlink" Target="https://osu.ppy.sh/beatmapsets/2023886" TargetMode="External"/><Relationship Id="rId11" Type="http://schemas.openxmlformats.org/officeDocument/2006/relationships/hyperlink" Target="https://osu.ppy.sh/beatmapsets/1441316" TargetMode="External"/><Relationship Id="rId99" Type="http://schemas.openxmlformats.org/officeDocument/2006/relationships/hyperlink" Target="https://osu.ppy.sh/beatmapsets/1089084" TargetMode="External"/><Relationship Id="rId10" Type="http://schemas.openxmlformats.org/officeDocument/2006/relationships/hyperlink" Target="https://osu.ppy.sh/beatmapsets/941246" TargetMode="External"/><Relationship Id="rId98" Type="http://schemas.openxmlformats.org/officeDocument/2006/relationships/hyperlink" Target="https://osu.ppy.sh/beatmapsets/1089084" TargetMode="External"/><Relationship Id="rId13" Type="http://schemas.openxmlformats.org/officeDocument/2006/relationships/hyperlink" Target="https://osu.ppy.sh/beatmapsets/1507979" TargetMode="External"/><Relationship Id="rId12" Type="http://schemas.openxmlformats.org/officeDocument/2006/relationships/hyperlink" Target="https://osu.ppy.sh/beatmapsets/1507979" TargetMode="External"/><Relationship Id="rId91" Type="http://schemas.openxmlformats.org/officeDocument/2006/relationships/hyperlink" Target="https://osu.ppy.sh/beatmapsets/1248923" TargetMode="External"/><Relationship Id="rId90" Type="http://schemas.openxmlformats.org/officeDocument/2006/relationships/hyperlink" Target="https://osu.ppy.sh/beatmapsets/1248923" TargetMode="External"/><Relationship Id="rId93" Type="http://schemas.openxmlformats.org/officeDocument/2006/relationships/hyperlink" Target="https://osu.ppy.sh/beatmapsets/352570" TargetMode="External"/><Relationship Id="rId92" Type="http://schemas.openxmlformats.org/officeDocument/2006/relationships/hyperlink" Target="https://osu.ppy.sh/beatmapsets/352570" TargetMode="External"/><Relationship Id="rId118" Type="http://schemas.openxmlformats.org/officeDocument/2006/relationships/hyperlink" Target="https://osu.ppy.sh/beatmapsets/31224" TargetMode="External"/><Relationship Id="rId117" Type="http://schemas.openxmlformats.org/officeDocument/2006/relationships/hyperlink" Target="https://osu.ppy.sh/beatmapsets/8923" TargetMode="External"/><Relationship Id="rId116" Type="http://schemas.openxmlformats.org/officeDocument/2006/relationships/hyperlink" Target="https://osu.ppy.sh/beatmapsets/8923" TargetMode="External"/><Relationship Id="rId115" Type="http://schemas.openxmlformats.org/officeDocument/2006/relationships/hyperlink" Target="https://osu.ppy.sh/beatmapsets/20817" TargetMode="External"/><Relationship Id="rId119" Type="http://schemas.openxmlformats.org/officeDocument/2006/relationships/hyperlink" Target="https://osu.ppy.sh/beatmapsets/31224" TargetMode="External"/><Relationship Id="rId15" Type="http://schemas.openxmlformats.org/officeDocument/2006/relationships/hyperlink" Target="https://osu.ppy.sh/beatmapsets/1586738" TargetMode="External"/><Relationship Id="rId110" Type="http://schemas.openxmlformats.org/officeDocument/2006/relationships/hyperlink" Target="https://osu.ppy.sh/beatmapsets/1441316" TargetMode="External"/><Relationship Id="rId14" Type="http://schemas.openxmlformats.org/officeDocument/2006/relationships/hyperlink" Target="https://osu.ppy.sh/beatmapsets/2023886" TargetMode="External"/><Relationship Id="rId17" Type="http://schemas.openxmlformats.org/officeDocument/2006/relationships/hyperlink" Target="https://osu.ppy.sh/beatmapsets/1857926" TargetMode="External"/><Relationship Id="rId16" Type="http://schemas.openxmlformats.org/officeDocument/2006/relationships/hyperlink" Target="https://osu.ppy.sh/beatmapsets/1586738" TargetMode="External"/><Relationship Id="rId19" Type="http://schemas.openxmlformats.org/officeDocument/2006/relationships/hyperlink" Target="https://osu.ppy.sh/beatmapsets/776928" TargetMode="External"/><Relationship Id="rId114" Type="http://schemas.openxmlformats.org/officeDocument/2006/relationships/hyperlink" Target="https://osu.ppy.sh/beatmapsets/20817" TargetMode="External"/><Relationship Id="rId18" Type="http://schemas.openxmlformats.org/officeDocument/2006/relationships/hyperlink" Target="https://osu.ppy.sh/beatmapsets/776928" TargetMode="External"/><Relationship Id="rId113" Type="http://schemas.openxmlformats.org/officeDocument/2006/relationships/hyperlink" Target="https://osu.ppy.sh/beatmapsets/1598238" TargetMode="External"/><Relationship Id="rId112" Type="http://schemas.openxmlformats.org/officeDocument/2006/relationships/hyperlink" Target="https://osu.ppy.sh/beatmapsets/1598238" TargetMode="External"/><Relationship Id="rId111" Type="http://schemas.openxmlformats.org/officeDocument/2006/relationships/hyperlink" Target="https://osu.ppy.sh/beatmapsets/1441316" TargetMode="External"/><Relationship Id="rId84" Type="http://schemas.openxmlformats.org/officeDocument/2006/relationships/hyperlink" Target="https://osu.ppy.sh/beatmapsets/699749" TargetMode="External"/><Relationship Id="rId83" Type="http://schemas.openxmlformats.org/officeDocument/2006/relationships/hyperlink" Target="https://osu.ppy.sh/beatmapsets/1682134" TargetMode="External"/><Relationship Id="rId86" Type="http://schemas.openxmlformats.org/officeDocument/2006/relationships/hyperlink" Target="https://osu.ppy.sh/beatmapsets/1574603" TargetMode="External"/><Relationship Id="rId85" Type="http://schemas.openxmlformats.org/officeDocument/2006/relationships/hyperlink" Target="https://osu.ppy.sh/beatmapsets/699749" TargetMode="External"/><Relationship Id="rId88" Type="http://schemas.openxmlformats.org/officeDocument/2006/relationships/hyperlink" Target="https://osu.ppy.sh/beatmapsets/1616029" TargetMode="External"/><Relationship Id="rId87" Type="http://schemas.openxmlformats.org/officeDocument/2006/relationships/hyperlink" Target="https://osu.ppy.sh/beatmapsets/1574603" TargetMode="External"/><Relationship Id="rId89" Type="http://schemas.openxmlformats.org/officeDocument/2006/relationships/hyperlink" Target="https://osu.ppy.sh/beatmapsets/1616029" TargetMode="External"/><Relationship Id="rId80" Type="http://schemas.openxmlformats.org/officeDocument/2006/relationships/hyperlink" Target="https://osu.ppy.sh/beatmapsets/20817" TargetMode="External"/><Relationship Id="rId82" Type="http://schemas.openxmlformats.org/officeDocument/2006/relationships/hyperlink" Target="https://osu.ppy.sh/beatmapsets/1682134" TargetMode="External"/><Relationship Id="rId81" Type="http://schemas.openxmlformats.org/officeDocument/2006/relationships/hyperlink" Target="https://osu.ppy.sh/beatmapsets/20817" TargetMode="External"/><Relationship Id="rId1" Type="http://schemas.openxmlformats.org/officeDocument/2006/relationships/comments" Target="../comments6.xml"/><Relationship Id="rId2" Type="http://schemas.openxmlformats.org/officeDocument/2006/relationships/hyperlink" Target="https://osu.ppy.sh/beatmapsets/1615650" TargetMode="External"/><Relationship Id="rId3" Type="http://schemas.openxmlformats.org/officeDocument/2006/relationships/hyperlink" Target="https://osu.ppy.sh/beatmapsets/4404" TargetMode="External"/><Relationship Id="rId4" Type="http://schemas.openxmlformats.org/officeDocument/2006/relationships/hyperlink" Target="https://osu.ppy.sh/beatmapsets/4404" TargetMode="External"/><Relationship Id="rId9" Type="http://schemas.openxmlformats.org/officeDocument/2006/relationships/hyperlink" Target="https://osu.ppy.sh/beatmapsets/941246" TargetMode="External"/><Relationship Id="rId5" Type="http://schemas.openxmlformats.org/officeDocument/2006/relationships/hyperlink" Target="https://osu.ppy.sh/beatmapsets/519054" TargetMode="External"/><Relationship Id="rId6" Type="http://schemas.openxmlformats.org/officeDocument/2006/relationships/hyperlink" Target="https://osu.ppy.sh/beatmapsets/1270156" TargetMode="External"/><Relationship Id="rId7" Type="http://schemas.openxmlformats.org/officeDocument/2006/relationships/hyperlink" Target="https://osu.ppy.sh/beatmapsets/1270156" TargetMode="External"/><Relationship Id="rId8" Type="http://schemas.openxmlformats.org/officeDocument/2006/relationships/hyperlink" Target="https://osu.ppy.sh/beatmapsets/1178471" TargetMode="External"/><Relationship Id="rId73" Type="http://schemas.openxmlformats.org/officeDocument/2006/relationships/hyperlink" Target="https://osu.ppy.sh/beatmapsets/1207286" TargetMode="External"/><Relationship Id="rId72" Type="http://schemas.openxmlformats.org/officeDocument/2006/relationships/hyperlink" Target="https://osu.ppy.sh/beatmapsets/1207286" TargetMode="External"/><Relationship Id="rId75" Type="http://schemas.openxmlformats.org/officeDocument/2006/relationships/hyperlink" Target="https://osu.ppy.sh/beatmapsets/1668789" TargetMode="External"/><Relationship Id="rId74" Type="http://schemas.openxmlformats.org/officeDocument/2006/relationships/hyperlink" Target="https://osu.ppy.sh/beatmapsets/1668789" TargetMode="External"/><Relationship Id="rId77" Type="http://schemas.openxmlformats.org/officeDocument/2006/relationships/hyperlink" Target="https://osu.ppy.sh/beatmapsets/1415788" TargetMode="External"/><Relationship Id="rId76" Type="http://schemas.openxmlformats.org/officeDocument/2006/relationships/hyperlink" Target="https://osu.ppy.sh/beatmapsets/1415788" TargetMode="External"/><Relationship Id="rId79" Type="http://schemas.openxmlformats.org/officeDocument/2006/relationships/hyperlink" Target="https://osu.ppy.sh/beatmapsets/1181343" TargetMode="External"/><Relationship Id="rId78" Type="http://schemas.openxmlformats.org/officeDocument/2006/relationships/hyperlink" Target="https://osu.ppy.sh/beatmapsets/1181343" TargetMode="External"/><Relationship Id="rId71" Type="http://schemas.openxmlformats.org/officeDocument/2006/relationships/hyperlink" Target="https://osu.ppy.sh/beatmapsets/292077" TargetMode="External"/><Relationship Id="rId70" Type="http://schemas.openxmlformats.org/officeDocument/2006/relationships/hyperlink" Target="https://osu.ppy.sh/beatmapsets/292077" TargetMode="External"/><Relationship Id="rId62" Type="http://schemas.openxmlformats.org/officeDocument/2006/relationships/hyperlink" Target="https://osu.ppy.sh/beatmaps/2800663" TargetMode="External"/><Relationship Id="rId61" Type="http://schemas.openxmlformats.org/officeDocument/2006/relationships/hyperlink" Target="https://osu.ppy.sh/beatmapsets/756815" TargetMode="External"/><Relationship Id="rId64" Type="http://schemas.openxmlformats.org/officeDocument/2006/relationships/hyperlink" Target="https://osu.ppy.sh/beatmapsets/31480" TargetMode="External"/><Relationship Id="rId63" Type="http://schemas.openxmlformats.org/officeDocument/2006/relationships/hyperlink" Target="https://osu.ppy.sh/beatmapsets/1351876" TargetMode="External"/><Relationship Id="rId66" Type="http://schemas.openxmlformats.org/officeDocument/2006/relationships/hyperlink" Target="https://osu.ppy.sh/beatmapsets/1880072" TargetMode="External"/><Relationship Id="rId65" Type="http://schemas.openxmlformats.org/officeDocument/2006/relationships/hyperlink" Target="https://osu.ppy.sh/beatmapsets/31480" TargetMode="External"/><Relationship Id="rId68" Type="http://schemas.openxmlformats.org/officeDocument/2006/relationships/hyperlink" Target="https://osu.ppy.sh/beatmapsets/1888886" TargetMode="External"/><Relationship Id="rId67" Type="http://schemas.openxmlformats.org/officeDocument/2006/relationships/hyperlink" Target="https://osu.ppy.sh/beatmapsets/1880072" TargetMode="External"/><Relationship Id="rId60" Type="http://schemas.openxmlformats.org/officeDocument/2006/relationships/hyperlink" Target="https://osu.ppy.sh/beatmapsets/756815" TargetMode="External"/><Relationship Id="rId69" Type="http://schemas.openxmlformats.org/officeDocument/2006/relationships/hyperlink" Target="https://osu.ppy.sh/beatmapsets/1888886" TargetMode="External"/><Relationship Id="rId51" Type="http://schemas.openxmlformats.org/officeDocument/2006/relationships/hyperlink" Target="https://osu.ppy.sh/beatmapsets/1215814" TargetMode="External"/><Relationship Id="rId50" Type="http://schemas.openxmlformats.org/officeDocument/2006/relationships/hyperlink" Target="https://osu.ppy.sh/beatmapsets/1851405" TargetMode="External"/><Relationship Id="rId53" Type="http://schemas.openxmlformats.org/officeDocument/2006/relationships/hyperlink" Target="https://osu.ppy.sh/beatmapsets/251437" TargetMode="External"/><Relationship Id="rId52" Type="http://schemas.openxmlformats.org/officeDocument/2006/relationships/hyperlink" Target="https://osu.ppy.sh/beatmapsets/1215814" TargetMode="External"/><Relationship Id="rId55" Type="http://schemas.openxmlformats.org/officeDocument/2006/relationships/hyperlink" Target="https://osu.ppy.sh/beatmapsets/1413965" TargetMode="External"/><Relationship Id="rId54" Type="http://schemas.openxmlformats.org/officeDocument/2006/relationships/hyperlink" Target="https://osu.ppy.sh/beatmapsets/1413965" TargetMode="External"/><Relationship Id="rId57" Type="http://schemas.openxmlformats.org/officeDocument/2006/relationships/hyperlink" Target="https://osu.ppy.sh/beatmapsets/932901" TargetMode="External"/><Relationship Id="rId56" Type="http://schemas.openxmlformats.org/officeDocument/2006/relationships/hyperlink" Target="https://osu.ppy.sh/beatmapsets/932901" TargetMode="External"/><Relationship Id="rId59" Type="http://schemas.openxmlformats.org/officeDocument/2006/relationships/hyperlink" Target="https://osu.ppy.sh/beatmapsets/1847288" TargetMode="External"/><Relationship Id="rId58" Type="http://schemas.openxmlformats.org/officeDocument/2006/relationships/hyperlink" Target="https://osu.ppy.sh/beatmapsets/1847288"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osu.ppy.sh/beatmapsets/1098181" TargetMode="External"/><Relationship Id="rId42" Type="http://schemas.openxmlformats.org/officeDocument/2006/relationships/hyperlink" Target="https://osu.ppy.sh/beatmapsets/25802" TargetMode="External"/><Relationship Id="rId41" Type="http://schemas.openxmlformats.org/officeDocument/2006/relationships/hyperlink" Target="https://osu.ppy.sh/beatmapsets/25802" TargetMode="External"/><Relationship Id="rId44" Type="http://schemas.openxmlformats.org/officeDocument/2006/relationships/hyperlink" Target="https://osu.ppy.sh/beatmapsets/295225" TargetMode="External"/><Relationship Id="rId43" Type="http://schemas.openxmlformats.org/officeDocument/2006/relationships/hyperlink" Target="https://osu.ppy.sh/beatmapsets/1848926" TargetMode="External"/><Relationship Id="rId46" Type="http://schemas.openxmlformats.org/officeDocument/2006/relationships/hyperlink" Target="https://osu.ppy.sh/beatmapsets/1207286" TargetMode="External"/><Relationship Id="rId45" Type="http://schemas.openxmlformats.org/officeDocument/2006/relationships/hyperlink" Target="https://osu.ppy.sh/beatmapsets/295225" TargetMode="External"/><Relationship Id="rId104" Type="http://schemas.openxmlformats.org/officeDocument/2006/relationships/vmlDrawing" Target="../drawings/vmlDrawing7.vml"/><Relationship Id="rId48" Type="http://schemas.openxmlformats.org/officeDocument/2006/relationships/hyperlink" Target="https://osu.ppy.sh/beatmapsets/853045" TargetMode="External"/><Relationship Id="rId47" Type="http://schemas.openxmlformats.org/officeDocument/2006/relationships/hyperlink" Target="https://osu.ppy.sh/beatmapsets/853045" TargetMode="External"/><Relationship Id="rId49" Type="http://schemas.openxmlformats.org/officeDocument/2006/relationships/hyperlink" Target="https://osu.ppy.sh/beatmapsets/5918" TargetMode="External"/><Relationship Id="rId103" Type="http://schemas.openxmlformats.org/officeDocument/2006/relationships/drawing" Target="../drawings/drawing7.xml"/><Relationship Id="rId102" Type="http://schemas.openxmlformats.org/officeDocument/2006/relationships/hyperlink" Target="https://osu.ppy.sh/beatmapsets/589697" TargetMode="External"/><Relationship Id="rId101" Type="http://schemas.openxmlformats.org/officeDocument/2006/relationships/hyperlink" Target="https://osu.ppy.sh/beatmapsets/589697" TargetMode="External"/><Relationship Id="rId100" Type="http://schemas.openxmlformats.org/officeDocument/2006/relationships/hyperlink" Target="https://osu.ppy.sh/beatmapsets/819349" TargetMode="External"/><Relationship Id="rId31" Type="http://schemas.openxmlformats.org/officeDocument/2006/relationships/hyperlink" Target="https://osu.ppy.sh/beatmapsets/1415788" TargetMode="External"/><Relationship Id="rId30" Type="http://schemas.openxmlformats.org/officeDocument/2006/relationships/hyperlink" Target="https://osu.ppy.sh/beatmapsets/1871920" TargetMode="External"/><Relationship Id="rId33" Type="http://schemas.openxmlformats.org/officeDocument/2006/relationships/hyperlink" Target="https://osu.ppy.sh/beatmapsets/1030737" TargetMode="External"/><Relationship Id="rId32" Type="http://schemas.openxmlformats.org/officeDocument/2006/relationships/hyperlink" Target="https://osu.ppy.sh/beatmapsets/1030737" TargetMode="External"/><Relationship Id="rId35" Type="http://schemas.openxmlformats.org/officeDocument/2006/relationships/hyperlink" Target="https://osu.ppy.sh/beatmapsets/1901819" TargetMode="External"/><Relationship Id="rId34" Type="http://schemas.openxmlformats.org/officeDocument/2006/relationships/hyperlink" Target="https://osu.ppy.sh/beatmapsets/663255" TargetMode="External"/><Relationship Id="rId37" Type="http://schemas.openxmlformats.org/officeDocument/2006/relationships/hyperlink" Target="https://osu.ppy.sh/beatmapsets/755512" TargetMode="External"/><Relationship Id="rId36" Type="http://schemas.openxmlformats.org/officeDocument/2006/relationships/hyperlink" Target="https://osu.ppy.sh/beatmapsets/1901819" TargetMode="External"/><Relationship Id="rId39" Type="http://schemas.openxmlformats.org/officeDocument/2006/relationships/hyperlink" Target="https://osu.ppy.sh/beatmapsets/1283387" TargetMode="External"/><Relationship Id="rId38" Type="http://schemas.openxmlformats.org/officeDocument/2006/relationships/hyperlink" Target="https://osu.ppy.sh/beatmapsets/1283387" TargetMode="External"/><Relationship Id="rId20" Type="http://schemas.openxmlformats.org/officeDocument/2006/relationships/hyperlink" Target="https://osu.ppy.sh/beatmapsets/1574603" TargetMode="External"/><Relationship Id="rId22" Type="http://schemas.openxmlformats.org/officeDocument/2006/relationships/hyperlink" Target="https://osu.ppy.sh/beatmapsets/1089084" TargetMode="External"/><Relationship Id="rId21" Type="http://schemas.openxmlformats.org/officeDocument/2006/relationships/hyperlink" Target="https://osu.ppy.sh/beatmapsets/1574603" TargetMode="External"/><Relationship Id="rId24" Type="http://schemas.openxmlformats.org/officeDocument/2006/relationships/hyperlink" Target="https://osu.ppy.sh/beatmapsets/1785134" TargetMode="External"/><Relationship Id="rId23" Type="http://schemas.openxmlformats.org/officeDocument/2006/relationships/hyperlink" Target="https://osu.ppy.sh/beatmapsets/1785134" TargetMode="External"/><Relationship Id="rId26" Type="http://schemas.openxmlformats.org/officeDocument/2006/relationships/hyperlink" Target="https://osu.ppy.sh/beatmapsets/1436167" TargetMode="External"/><Relationship Id="rId25" Type="http://schemas.openxmlformats.org/officeDocument/2006/relationships/hyperlink" Target="https://osu.ppy.sh/beatmapsets/967021" TargetMode="External"/><Relationship Id="rId28" Type="http://schemas.openxmlformats.org/officeDocument/2006/relationships/hyperlink" Target="https://osu.ppy.sh/beatmapsets/1676960" TargetMode="External"/><Relationship Id="rId27" Type="http://schemas.openxmlformats.org/officeDocument/2006/relationships/hyperlink" Target="https://osu.ppy.sh/beatmapsets/1436167" TargetMode="External"/><Relationship Id="rId29" Type="http://schemas.openxmlformats.org/officeDocument/2006/relationships/hyperlink" Target="https://osu.ppy.sh/beatmapsets/1871920" TargetMode="External"/><Relationship Id="rId95" Type="http://schemas.openxmlformats.org/officeDocument/2006/relationships/hyperlink" Target="https://osu.ppy.sh/beatmapsets/25392" TargetMode="External"/><Relationship Id="rId94" Type="http://schemas.openxmlformats.org/officeDocument/2006/relationships/hyperlink" Target="https://osu.ppy.sh/beatmapsets/31224" TargetMode="External"/><Relationship Id="rId97" Type="http://schemas.openxmlformats.org/officeDocument/2006/relationships/hyperlink" Target="https://osu.ppy.sh/beatmapsets/1089084" TargetMode="External"/><Relationship Id="rId96" Type="http://schemas.openxmlformats.org/officeDocument/2006/relationships/hyperlink" Target="https://osu.ppy.sh/beatmapsets/25392" TargetMode="External"/><Relationship Id="rId11" Type="http://schemas.openxmlformats.org/officeDocument/2006/relationships/hyperlink" Target="https://osu.ppy.sh/beatmapsets/1659194" TargetMode="External"/><Relationship Id="rId99" Type="http://schemas.openxmlformats.org/officeDocument/2006/relationships/hyperlink" Target="https://osu.ppy.sh/beatmapsets/819349" TargetMode="External"/><Relationship Id="rId10" Type="http://schemas.openxmlformats.org/officeDocument/2006/relationships/hyperlink" Target="https://osu.ppy.sh/beatmapsets/1574603" TargetMode="External"/><Relationship Id="rId98" Type="http://schemas.openxmlformats.org/officeDocument/2006/relationships/hyperlink" Target="https://osu.ppy.sh/beatmapsets/1089084" TargetMode="External"/><Relationship Id="rId13" Type="http://schemas.openxmlformats.org/officeDocument/2006/relationships/hyperlink" Target="https://osu.ppy.sh/beatmapsets/1349093" TargetMode="External"/><Relationship Id="rId12" Type="http://schemas.openxmlformats.org/officeDocument/2006/relationships/hyperlink" Target="https://osu.ppy.sh/beatmapsets/1659194" TargetMode="External"/><Relationship Id="rId91" Type="http://schemas.openxmlformats.org/officeDocument/2006/relationships/hyperlink" Target="https://osu.ppy.sh/beatmapsets/1349093" TargetMode="External"/><Relationship Id="rId90" Type="http://schemas.openxmlformats.org/officeDocument/2006/relationships/hyperlink" Target="https://osu.ppy.sh/beatmapsets/299454" TargetMode="External"/><Relationship Id="rId93" Type="http://schemas.openxmlformats.org/officeDocument/2006/relationships/hyperlink" Target="https://osu.ppy.sh/beatmapsets/31224" TargetMode="External"/><Relationship Id="rId92" Type="http://schemas.openxmlformats.org/officeDocument/2006/relationships/hyperlink" Target="https://osu.ppy.sh/beatmapsets/1349093" TargetMode="External"/><Relationship Id="rId15" Type="http://schemas.openxmlformats.org/officeDocument/2006/relationships/hyperlink" Target="https://osu.ppy.sh/beatmapsets/1140943" TargetMode="External"/><Relationship Id="rId14" Type="http://schemas.openxmlformats.org/officeDocument/2006/relationships/hyperlink" Target="https://osu.ppy.sh/beatmapsets/1140943" TargetMode="External"/><Relationship Id="rId17" Type="http://schemas.openxmlformats.org/officeDocument/2006/relationships/hyperlink" Target="https://osu.ppy.sh/beatmapsets/927758" TargetMode="External"/><Relationship Id="rId16" Type="http://schemas.openxmlformats.org/officeDocument/2006/relationships/hyperlink" Target="https://osu.ppy.sh/beatmapsets/1901819" TargetMode="External"/><Relationship Id="rId19" Type="http://schemas.openxmlformats.org/officeDocument/2006/relationships/hyperlink" Target="https://osu.ppy.sh/beatmapsets/927758" TargetMode="External"/><Relationship Id="rId18" Type="http://schemas.openxmlformats.org/officeDocument/2006/relationships/hyperlink" Target="https://osu.ppy.sh/beatmapsets/927758" TargetMode="External"/><Relationship Id="rId84" Type="http://schemas.openxmlformats.org/officeDocument/2006/relationships/hyperlink" Target="https://osu.ppy.sh/beatmapsets/1641533" TargetMode="External"/><Relationship Id="rId83" Type="http://schemas.openxmlformats.org/officeDocument/2006/relationships/hyperlink" Target="https://osu.ppy.sh/beatmapsets/1641533" TargetMode="External"/><Relationship Id="rId86" Type="http://schemas.openxmlformats.org/officeDocument/2006/relationships/hyperlink" Target="https://osu.ppy.sh/beatmapsets/1621130" TargetMode="External"/><Relationship Id="rId85" Type="http://schemas.openxmlformats.org/officeDocument/2006/relationships/hyperlink" Target="https://osu.ppy.sh/beatmapsets/1621130" TargetMode="External"/><Relationship Id="rId88" Type="http://schemas.openxmlformats.org/officeDocument/2006/relationships/hyperlink" Target="https://osu.ppy.sh/beatmapsets/1098181" TargetMode="External"/><Relationship Id="rId87" Type="http://schemas.openxmlformats.org/officeDocument/2006/relationships/hyperlink" Target="https://osu.ppy.sh/beatmapsets/1098181" TargetMode="External"/><Relationship Id="rId89" Type="http://schemas.openxmlformats.org/officeDocument/2006/relationships/hyperlink" Target="https://osu.ppy.sh/beatmapsets/299454" TargetMode="External"/><Relationship Id="rId80" Type="http://schemas.openxmlformats.org/officeDocument/2006/relationships/hyperlink" Target="https://osu.ppy.sh/beatmapsets/828940" TargetMode="External"/><Relationship Id="rId82" Type="http://schemas.openxmlformats.org/officeDocument/2006/relationships/hyperlink" Target="https://osu.ppy.sh/beatmapsets/5918" TargetMode="External"/><Relationship Id="rId81" Type="http://schemas.openxmlformats.org/officeDocument/2006/relationships/hyperlink" Target="https://osu.ppy.sh/beatmapsets/5918" TargetMode="External"/><Relationship Id="rId1" Type="http://schemas.openxmlformats.org/officeDocument/2006/relationships/comments" Target="../comments7.xml"/><Relationship Id="rId2" Type="http://schemas.openxmlformats.org/officeDocument/2006/relationships/hyperlink" Target="https://osu.ppy.sh/beatmapsets/663255" TargetMode="External"/><Relationship Id="rId3" Type="http://schemas.openxmlformats.org/officeDocument/2006/relationships/hyperlink" Target="https://osu.ppy.sh/beatmapsets/1763440" TargetMode="External"/><Relationship Id="rId4" Type="http://schemas.openxmlformats.org/officeDocument/2006/relationships/hyperlink" Target="https://osu.ppy.sh/beatmapsets/1763440" TargetMode="External"/><Relationship Id="rId9" Type="http://schemas.openxmlformats.org/officeDocument/2006/relationships/hyperlink" Target="https://osu.ppy.sh/beatmapsets/1207286" TargetMode="External"/><Relationship Id="rId5" Type="http://schemas.openxmlformats.org/officeDocument/2006/relationships/hyperlink" Target="https://osu.ppy.sh/beatmapsets/1785134" TargetMode="External"/><Relationship Id="rId6" Type="http://schemas.openxmlformats.org/officeDocument/2006/relationships/hyperlink" Target="https://osu.ppy.sh/beatmapsets/315299" TargetMode="External"/><Relationship Id="rId7" Type="http://schemas.openxmlformats.org/officeDocument/2006/relationships/hyperlink" Target="https://osu.ppy.sh/beatmapsets/315299" TargetMode="External"/><Relationship Id="rId8" Type="http://schemas.openxmlformats.org/officeDocument/2006/relationships/hyperlink" Target="https://osu.ppy.sh/beatmapsets/1109683" TargetMode="External"/><Relationship Id="rId73" Type="http://schemas.openxmlformats.org/officeDocument/2006/relationships/hyperlink" Target="https://osu.ppy.sh/beatmapsets/1399793" TargetMode="External"/><Relationship Id="rId72" Type="http://schemas.openxmlformats.org/officeDocument/2006/relationships/hyperlink" Target="https://osu.ppy.sh/beatmapsets/1173192" TargetMode="External"/><Relationship Id="rId75" Type="http://schemas.openxmlformats.org/officeDocument/2006/relationships/hyperlink" Target="https://osu.ppy.sh/beatmapsets/1760668" TargetMode="External"/><Relationship Id="rId74" Type="http://schemas.openxmlformats.org/officeDocument/2006/relationships/hyperlink" Target="https://osu.ppy.sh/beatmapsets/1399793" TargetMode="External"/><Relationship Id="rId77" Type="http://schemas.openxmlformats.org/officeDocument/2006/relationships/hyperlink" Target="https://osu.ppy.sh/beatmapsets/1313297" TargetMode="External"/><Relationship Id="rId76" Type="http://schemas.openxmlformats.org/officeDocument/2006/relationships/hyperlink" Target="https://osu.ppy.sh/beatmapsets/1760668" TargetMode="External"/><Relationship Id="rId79" Type="http://schemas.openxmlformats.org/officeDocument/2006/relationships/hyperlink" Target="https://osu.ppy.sh/beatmapsets/828940" TargetMode="External"/><Relationship Id="rId78" Type="http://schemas.openxmlformats.org/officeDocument/2006/relationships/hyperlink" Target="https://osu.ppy.sh/beatmapsets/1313297" TargetMode="External"/><Relationship Id="rId71" Type="http://schemas.openxmlformats.org/officeDocument/2006/relationships/hyperlink" Target="https://osu.ppy.sh/beatmapsets/1173192" TargetMode="External"/><Relationship Id="rId70" Type="http://schemas.openxmlformats.org/officeDocument/2006/relationships/hyperlink" Target="https://osu.ppy.sh/beatmapsets/47124" TargetMode="External"/><Relationship Id="rId62" Type="http://schemas.openxmlformats.org/officeDocument/2006/relationships/hyperlink" Target="https://osu.ppy.sh/beatmapsets/1415788" TargetMode="External"/><Relationship Id="rId61" Type="http://schemas.openxmlformats.org/officeDocument/2006/relationships/hyperlink" Target="https://osu.ppy.sh/beatmapsets/1415788" TargetMode="External"/><Relationship Id="rId64" Type="http://schemas.openxmlformats.org/officeDocument/2006/relationships/hyperlink" Target="https://osu.ppy.sh/beatmapsets/1109683" TargetMode="External"/><Relationship Id="rId63" Type="http://schemas.openxmlformats.org/officeDocument/2006/relationships/hyperlink" Target="https://osu.ppy.sh/beatmapsets/1109683" TargetMode="External"/><Relationship Id="rId66" Type="http://schemas.openxmlformats.org/officeDocument/2006/relationships/hyperlink" Target="https://osu.ppy.sh/beatmapsets/967021" TargetMode="External"/><Relationship Id="rId65" Type="http://schemas.openxmlformats.org/officeDocument/2006/relationships/hyperlink" Target="https://osu.ppy.sh/beatmapsets/967021" TargetMode="External"/><Relationship Id="rId68" Type="http://schemas.openxmlformats.org/officeDocument/2006/relationships/hyperlink" Target="https://osu.ppy.sh/beatmapsets/1676960" TargetMode="External"/><Relationship Id="rId67" Type="http://schemas.openxmlformats.org/officeDocument/2006/relationships/hyperlink" Target="https://osu.ppy.sh/beatmapsets/1676960" TargetMode="External"/><Relationship Id="rId60" Type="http://schemas.openxmlformats.org/officeDocument/2006/relationships/hyperlink" Target="https://osu.ppy.sh/beatmapsets/1391326" TargetMode="External"/><Relationship Id="rId69" Type="http://schemas.openxmlformats.org/officeDocument/2006/relationships/hyperlink" Target="https://osu.ppy.sh/beatmapsets/47124" TargetMode="External"/><Relationship Id="rId51" Type="http://schemas.openxmlformats.org/officeDocument/2006/relationships/hyperlink" Target="https://osu.ppy.sh/beatmapsets/755512" TargetMode="External"/><Relationship Id="rId50" Type="http://schemas.openxmlformats.org/officeDocument/2006/relationships/hyperlink" Target="https://osu.ppy.sh/beatmapsets/755512" TargetMode="External"/><Relationship Id="rId53" Type="http://schemas.openxmlformats.org/officeDocument/2006/relationships/hyperlink" Target="https://osu.ppy.sh/beatmapsets/1848926" TargetMode="External"/><Relationship Id="rId52" Type="http://schemas.openxmlformats.org/officeDocument/2006/relationships/hyperlink" Target="https://osu.ppy.sh/beatmapsets/589697" TargetMode="External"/><Relationship Id="rId55" Type="http://schemas.openxmlformats.org/officeDocument/2006/relationships/hyperlink" Target="https://osu.ppy.sh/beatmapsets/1272023" TargetMode="External"/><Relationship Id="rId54" Type="http://schemas.openxmlformats.org/officeDocument/2006/relationships/hyperlink" Target="https://osu.ppy.sh/beatmapsets/1848926" TargetMode="External"/><Relationship Id="rId57" Type="http://schemas.openxmlformats.org/officeDocument/2006/relationships/hyperlink" Target="https://osu.ppy.sh/beatmapsets/663220" TargetMode="External"/><Relationship Id="rId56" Type="http://schemas.openxmlformats.org/officeDocument/2006/relationships/hyperlink" Target="https://osu.ppy.sh/beatmapsets/1272023" TargetMode="External"/><Relationship Id="rId59" Type="http://schemas.openxmlformats.org/officeDocument/2006/relationships/hyperlink" Target="https://osu.ppy.sh/beatmapsets/1391326" TargetMode="External"/><Relationship Id="rId58" Type="http://schemas.openxmlformats.org/officeDocument/2006/relationships/hyperlink" Target="https://osu.ppy.sh/beatmapsets/663220"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osu.ppy.sh/beatmapsets/1377112" TargetMode="External"/><Relationship Id="rId42" Type="http://schemas.openxmlformats.org/officeDocument/2006/relationships/hyperlink" Target="https://osu.ppy.sh/beatmapsets/701625" TargetMode="External"/><Relationship Id="rId41" Type="http://schemas.openxmlformats.org/officeDocument/2006/relationships/hyperlink" Target="https://osu.ppy.sh/beatmapsets/87188" TargetMode="External"/><Relationship Id="rId44" Type="http://schemas.openxmlformats.org/officeDocument/2006/relationships/hyperlink" Target="https://osu.ppy.sh/beatmapsets/1268030" TargetMode="External"/><Relationship Id="rId43" Type="http://schemas.openxmlformats.org/officeDocument/2006/relationships/hyperlink" Target="https://osu.ppy.sh/beatmapsets/701625" TargetMode="External"/><Relationship Id="rId46" Type="http://schemas.openxmlformats.org/officeDocument/2006/relationships/hyperlink" Target="https://osu.ppy.sh/beatmapsets/1838113" TargetMode="External"/><Relationship Id="rId45" Type="http://schemas.openxmlformats.org/officeDocument/2006/relationships/hyperlink" Target="https://osu.ppy.sh/beatmapsets/1838113" TargetMode="External"/><Relationship Id="rId107" Type="http://schemas.openxmlformats.org/officeDocument/2006/relationships/hyperlink" Target="https://osu.ppy.sh/beatmapsets/376552" TargetMode="External"/><Relationship Id="rId106" Type="http://schemas.openxmlformats.org/officeDocument/2006/relationships/hyperlink" Target="https://osu.ppy.sh/beatmapsets/408745" TargetMode="External"/><Relationship Id="rId105" Type="http://schemas.openxmlformats.org/officeDocument/2006/relationships/hyperlink" Target="https://osu.ppy.sh/b/1035068" TargetMode="External"/><Relationship Id="rId104" Type="http://schemas.openxmlformats.org/officeDocument/2006/relationships/hyperlink" Target="https://osu.ppy.sh/beatmapsets/1301388" TargetMode="External"/><Relationship Id="rId109" Type="http://schemas.openxmlformats.org/officeDocument/2006/relationships/hyperlink" Target="https://osu.ppy.sh/beatmapsets/761026" TargetMode="External"/><Relationship Id="rId108" Type="http://schemas.openxmlformats.org/officeDocument/2006/relationships/hyperlink" Target="https://osu.ppy.sh/beatmapsets/376552" TargetMode="External"/><Relationship Id="rId48" Type="http://schemas.openxmlformats.org/officeDocument/2006/relationships/hyperlink" Target="https://osu.ppy.sh/beatmapsets/1371662" TargetMode="External"/><Relationship Id="rId47" Type="http://schemas.openxmlformats.org/officeDocument/2006/relationships/hyperlink" Target="https://osu.ppy.sh/beatmapsets/1997114" TargetMode="External"/><Relationship Id="rId49" Type="http://schemas.openxmlformats.org/officeDocument/2006/relationships/hyperlink" Target="https://osu.ppy.sh/beatmapsets/1371662" TargetMode="External"/><Relationship Id="rId103" Type="http://schemas.openxmlformats.org/officeDocument/2006/relationships/hyperlink" Target="https://osu.ppy.sh/beatmapsets/1301388" TargetMode="External"/><Relationship Id="rId102" Type="http://schemas.openxmlformats.org/officeDocument/2006/relationships/hyperlink" Target="https://osu.ppy.sh/beatmapsets/87188" TargetMode="External"/><Relationship Id="rId101" Type="http://schemas.openxmlformats.org/officeDocument/2006/relationships/hyperlink" Target="https://osu.ppy.sh/beatmapsets/87188" TargetMode="External"/><Relationship Id="rId100" Type="http://schemas.openxmlformats.org/officeDocument/2006/relationships/hyperlink" Target="https://osu.ppy.sh/beatmapsets/1665981" TargetMode="External"/><Relationship Id="rId31" Type="http://schemas.openxmlformats.org/officeDocument/2006/relationships/hyperlink" Target="https://osu.ppy.sh/beatmapsets/1052199" TargetMode="External"/><Relationship Id="rId30" Type="http://schemas.openxmlformats.org/officeDocument/2006/relationships/hyperlink" Target="https://osu.ppy.sh/beatmapsets/1052199" TargetMode="External"/><Relationship Id="rId33" Type="http://schemas.openxmlformats.org/officeDocument/2006/relationships/hyperlink" Target="https://osu.ppy.sh/beatmapsets/533428" TargetMode="External"/><Relationship Id="rId32" Type="http://schemas.openxmlformats.org/officeDocument/2006/relationships/hyperlink" Target="https://osu.ppy.sh/beatmapsets/1280207" TargetMode="External"/><Relationship Id="rId35" Type="http://schemas.openxmlformats.org/officeDocument/2006/relationships/hyperlink" Target="https://osu.ppy.sh/beatmapsets/1286316" TargetMode="External"/><Relationship Id="rId34" Type="http://schemas.openxmlformats.org/officeDocument/2006/relationships/hyperlink" Target="https://osu.ppy.sh/beatmapsets/533428" TargetMode="External"/><Relationship Id="rId37" Type="http://schemas.openxmlformats.org/officeDocument/2006/relationships/hyperlink" Target="https://osu.ppy.sh/beatmapsets/1339826" TargetMode="External"/><Relationship Id="rId36" Type="http://schemas.openxmlformats.org/officeDocument/2006/relationships/hyperlink" Target="https://osu.ppy.sh/beatmapsets/1339826" TargetMode="External"/><Relationship Id="rId39" Type="http://schemas.openxmlformats.org/officeDocument/2006/relationships/hyperlink" Target="https://osu.ppy.sh/beatmapsets/1377112" TargetMode="External"/><Relationship Id="rId38" Type="http://schemas.openxmlformats.org/officeDocument/2006/relationships/hyperlink" Target="https://osu.ppy.sh/beatmapsets/347023" TargetMode="External"/><Relationship Id="rId20" Type="http://schemas.openxmlformats.org/officeDocument/2006/relationships/hyperlink" Target="https://osu.ppy.sh/beatmapsets/83560" TargetMode="External"/><Relationship Id="rId22" Type="http://schemas.openxmlformats.org/officeDocument/2006/relationships/hyperlink" Target="https://osu.ppy.sh/beatmapsets/49459" TargetMode="External"/><Relationship Id="rId21" Type="http://schemas.openxmlformats.org/officeDocument/2006/relationships/hyperlink" Target="https://osu.ppy.sh/beatmapsets/49459" TargetMode="External"/><Relationship Id="rId24" Type="http://schemas.openxmlformats.org/officeDocument/2006/relationships/hyperlink" Target="https://osu.ppy.sh/beatmapsets/702272" TargetMode="External"/><Relationship Id="rId23" Type="http://schemas.openxmlformats.org/officeDocument/2006/relationships/hyperlink" Target="https://osu.ppy.sh/beatmapsets/1670118" TargetMode="External"/><Relationship Id="rId129" Type="http://schemas.openxmlformats.org/officeDocument/2006/relationships/hyperlink" Target="https://osu.ppy.sh/beatmapsets/120987" TargetMode="External"/><Relationship Id="rId128" Type="http://schemas.openxmlformats.org/officeDocument/2006/relationships/hyperlink" Target="https://osu.ppy.sh/beatmapsets/1670825" TargetMode="External"/><Relationship Id="rId127" Type="http://schemas.openxmlformats.org/officeDocument/2006/relationships/hyperlink" Target="https://osu.ppy.sh/beatmapsets/1670825" TargetMode="External"/><Relationship Id="rId126" Type="http://schemas.openxmlformats.org/officeDocument/2006/relationships/hyperlink" Target="https://osu.ppy.sh/beatmapsets/1248914" TargetMode="External"/><Relationship Id="rId26" Type="http://schemas.openxmlformats.org/officeDocument/2006/relationships/hyperlink" Target="https://osu.ppy.sh/beatmapsets/1328138" TargetMode="External"/><Relationship Id="rId121" Type="http://schemas.openxmlformats.org/officeDocument/2006/relationships/hyperlink" Target="https://osu.ppy.sh/beatmapsets/1268030" TargetMode="External"/><Relationship Id="rId25" Type="http://schemas.openxmlformats.org/officeDocument/2006/relationships/hyperlink" Target="https://osu.ppy.sh/beatmapsets/702272" TargetMode="External"/><Relationship Id="rId120" Type="http://schemas.openxmlformats.org/officeDocument/2006/relationships/hyperlink" Target="https://osu.ppy.sh/beatmapsets/1850818" TargetMode="External"/><Relationship Id="rId28" Type="http://schemas.openxmlformats.org/officeDocument/2006/relationships/hyperlink" Target="https://osu.ppy.sh/beatmapsets/1069288" TargetMode="External"/><Relationship Id="rId27" Type="http://schemas.openxmlformats.org/officeDocument/2006/relationships/hyperlink" Target="https://osu.ppy.sh/beatmapsets/1069288" TargetMode="External"/><Relationship Id="rId125" Type="http://schemas.openxmlformats.org/officeDocument/2006/relationships/hyperlink" Target="https://osu.ppy.sh/beatmapsets/1248914" TargetMode="External"/><Relationship Id="rId29" Type="http://schemas.openxmlformats.org/officeDocument/2006/relationships/hyperlink" Target="https://osu.ppy.sh/beatmapsets/1093430" TargetMode="External"/><Relationship Id="rId124" Type="http://schemas.openxmlformats.org/officeDocument/2006/relationships/hyperlink" Target="https://osu.ppy.sh/beatmapsets/1093430" TargetMode="External"/><Relationship Id="rId123" Type="http://schemas.openxmlformats.org/officeDocument/2006/relationships/hyperlink" Target="https://osu.ppy.sh/beatmapsets/1093430" TargetMode="External"/><Relationship Id="rId122" Type="http://schemas.openxmlformats.org/officeDocument/2006/relationships/hyperlink" Target="https://osu.ppy.sh/beatmapsets/1268030" TargetMode="External"/><Relationship Id="rId95" Type="http://schemas.openxmlformats.org/officeDocument/2006/relationships/hyperlink" Target="https://osu.ppy.sh/beatmapsets/1809661" TargetMode="External"/><Relationship Id="rId94" Type="http://schemas.openxmlformats.org/officeDocument/2006/relationships/hyperlink" Target="https://osu.ppy.sh/beatmapsets/769346" TargetMode="External"/><Relationship Id="rId97" Type="http://schemas.openxmlformats.org/officeDocument/2006/relationships/hyperlink" Target="https://osu.ppy.sh/beatmapsets/1066757" TargetMode="External"/><Relationship Id="rId96" Type="http://schemas.openxmlformats.org/officeDocument/2006/relationships/hyperlink" Target="https://osu.ppy.sh/beatmapsets/1809661" TargetMode="External"/><Relationship Id="rId11" Type="http://schemas.openxmlformats.org/officeDocument/2006/relationships/hyperlink" Target="https://osu.ppy.sh/beatmapsets/1850818" TargetMode="External"/><Relationship Id="rId99" Type="http://schemas.openxmlformats.org/officeDocument/2006/relationships/hyperlink" Target="https://osu.ppy.sh/beatmapsets/1665981" TargetMode="External"/><Relationship Id="rId10" Type="http://schemas.openxmlformats.org/officeDocument/2006/relationships/hyperlink" Target="https://osu.ppy.sh/beatmapsets/853045" TargetMode="External"/><Relationship Id="rId98" Type="http://schemas.openxmlformats.org/officeDocument/2006/relationships/hyperlink" Target="https://osu.ppy.sh/beatmapsets/1066757" TargetMode="External"/><Relationship Id="rId13" Type="http://schemas.openxmlformats.org/officeDocument/2006/relationships/hyperlink" Target="https://osu.ppy.sh/beatmapsets/908811" TargetMode="External"/><Relationship Id="rId12" Type="http://schemas.openxmlformats.org/officeDocument/2006/relationships/hyperlink" Target="https://osu.ppy.sh/beatmapsets/908811" TargetMode="External"/><Relationship Id="rId91" Type="http://schemas.openxmlformats.org/officeDocument/2006/relationships/hyperlink" Target="https://osu.ppy.sh/beatmapsets/1522116" TargetMode="External"/><Relationship Id="rId90" Type="http://schemas.openxmlformats.org/officeDocument/2006/relationships/hyperlink" Target="https://osu.ppy.sh/beatmapsets/1997114" TargetMode="External"/><Relationship Id="rId93" Type="http://schemas.openxmlformats.org/officeDocument/2006/relationships/hyperlink" Target="https://osu.ppy.sh/beatmapsets/769346" TargetMode="External"/><Relationship Id="rId92" Type="http://schemas.openxmlformats.org/officeDocument/2006/relationships/hyperlink" Target="https://osu.ppy.sh/beatmapsets/1522116" TargetMode="External"/><Relationship Id="rId118" Type="http://schemas.openxmlformats.org/officeDocument/2006/relationships/hyperlink" Target="https://osu.ppy.sh/beatmapsets/1280207" TargetMode="External"/><Relationship Id="rId117" Type="http://schemas.openxmlformats.org/officeDocument/2006/relationships/hyperlink" Target="https://osu.ppy.sh/beatmapsets/1280207" TargetMode="External"/><Relationship Id="rId116" Type="http://schemas.openxmlformats.org/officeDocument/2006/relationships/hyperlink" Target="https://osu.ppy.sh/beatmapsets/1650533" TargetMode="External"/><Relationship Id="rId115" Type="http://schemas.openxmlformats.org/officeDocument/2006/relationships/hyperlink" Target="https://osu.ppy.sh/beatmapsets/1650533" TargetMode="External"/><Relationship Id="rId119" Type="http://schemas.openxmlformats.org/officeDocument/2006/relationships/hyperlink" Target="https://osu.ppy.sh/beatmapsets/1850818" TargetMode="External"/><Relationship Id="rId15" Type="http://schemas.openxmlformats.org/officeDocument/2006/relationships/hyperlink" Target="https://osu.ppy.sh/beatmapsets/1519388" TargetMode="External"/><Relationship Id="rId110" Type="http://schemas.openxmlformats.org/officeDocument/2006/relationships/hyperlink" Target="https://osu.ppy.sh/beatmapsets/761026" TargetMode="External"/><Relationship Id="rId14" Type="http://schemas.openxmlformats.org/officeDocument/2006/relationships/hyperlink" Target="https://osu.ppy.sh/beatmapsets/120987" TargetMode="External"/><Relationship Id="rId17" Type="http://schemas.openxmlformats.org/officeDocument/2006/relationships/hyperlink" Target="https://osu.ppy.sh/beatmapsets/1880072" TargetMode="External"/><Relationship Id="rId16" Type="http://schemas.openxmlformats.org/officeDocument/2006/relationships/hyperlink" Target="https://osu.ppy.sh/beatmapsets/1519388" TargetMode="External"/><Relationship Id="rId19" Type="http://schemas.openxmlformats.org/officeDocument/2006/relationships/hyperlink" Target="https://osu.ppy.sh/beatmapsets/1683876" TargetMode="External"/><Relationship Id="rId114" Type="http://schemas.openxmlformats.org/officeDocument/2006/relationships/hyperlink" Target="https://osu.ppy.sh/beatmapsets/347023" TargetMode="External"/><Relationship Id="rId18" Type="http://schemas.openxmlformats.org/officeDocument/2006/relationships/hyperlink" Target="https://osu.ppy.sh/beatmapsets/1683876" TargetMode="External"/><Relationship Id="rId113" Type="http://schemas.openxmlformats.org/officeDocument/2006/relationships/hyperlink" Target="https://osu.ppy.sh/beatmapsets/347023" TargetMode="External"/><Relationship Id="rId112" Type="http://schemas.openxmlformats.org/officeDocument/2006/relationships/hyperlink" Target="https://osu.ppy.sh/beatmapsets/1158494" TargetMode="External"/><Relationship Id="rId111" Type="http://schemas.openxmlformats.org/officeDocument/2006/relationships/hyperlink" Target="https://osu.ppy.sh/beatmapsets/1158494" TargetMode="External"/><Relationship Id="rId84" Type="http://schemas.openxmlformats.org/officeDocument/2006/relationships/hyperlink" Target="https://osu.ppy.sh/beatmapsets/1954230" TargetMode="External"/><Relationship Id="rId83" Type="http://schemas.openxmlformats.org/officeDocument/2006/relationships/hyperlink" Target="https://osu.ppy.sh/beatmapsets/1610294" TargetMode="External"/><Relationship Id="rId86" Type="http://schemas.openxmlformats.org/officeDocument/2006/relationships/hyperlink" Target="https://osu.ppy.sh/beatmapsets/25392" TargetMode="External"/><Relationship Id="rId85" Type="http://schemas.openxmlformats.org/officeDocument/2006/relationships/hyperlink" Target="https://osu.ppy.sh/beatmapsets/1954230" TargetMode="External"/><Relationship Id="rId88" Type="http://schemas.openxmlformats.org/officeDocument/2006/relationships/hyperlink" Target="https://osu.ppy.sh/beatmapsets/1360537" TargetMode="External"/><Relationship Id="rId87" Type="http://schemas.openxmlformats.org/officeDocument/2006/relationships/hyperlink" Target="https://osu.ppy.sh/beatmapsets/1360537" TargetMode="External"/><Relationship Id="rId89" Type="http://schemas.openxmlformats.org/officeDocument/2006/relationships/hyperlink" Target="https://osu.ppy.sh/beatmapsets/1997114" TargetMode="External"/><Relationship Id="rId80" Type="http://schemas.openxmlformats.org/officeDocument/2006/relationships/hyperlink" Target="https://osu.ppy.sh/beatmapsets/1286316" TargetMode="External"/><Relationship Id="rId82" Type="http://schemas.openxmlformats.org/officeDocument/2006/relationships/hyperlink" Target="https://osu.ppy.sh/beatmapsets/1610294" TargetMode="External"/><Relationship Id="rId81" Type="http://schemas.openxmlformats.org/officeDocument/2006/relationships/hyperlink" Target="https://osu.ppy.sh/beatmapsets/1286316" TargetMode="External"/><Relationship Id="rId1" Type="http://schemas.openxmlformats.org/officeDocument/2006/relationships/comments" Target="../comments8.xml"/><Relationship Id="rId2" Type="http://schemas.openxmlformats.org/officeDocument/2006/relationships/hyperlink" Target="https://osu.ppy.sh/beatmapsets/286414" TargetMode="External"/><Relationship Id="rId3" Type="http://schemas.openxmlformats.org/officeDocument/2006/relationships/hyperlink" Target="https://osu.ppy.sh/beatmapsets/1328138" TargetMode="External"/><Relationship Id="rId4" Type="http://schemas.openxmlformats.org/officeDocument/2006/relationships/hyperlink" Target="https://osu.ppy.sh/beatmapsets/1328138" TargetMode="External"/><Relationship Id="rId9" Type="http://schemas.openxmlformats.org/officeDocument/2006/relationships/hyperlink" Target="https://osu.ppy.sh/beatmapsets/853045" TargetMode="External"/><Relationship Id="rId5" Type="http://schemas.openxmlformats.org/officeDocument/2006/relationships/hyperlink" Target="https://osu.ppy.sh/beatmapsets/1366507" TargetMode="External"/><Relationship Id="rId6" Type="http://schemas.openxmlformats.org/officeDocument/2006/relationships/hyperlink" Target="https://osu.ppy.sh/beatmapsets/1557107" TargetMode="External"/><Relationship Id="rId7" Type="http://schemas.openxmlformats.org/officeDocument/2006/relationships/hyperlink" Target="https://osu.ppy.sh/beatmapsets/1557107" TargetMode="External"/><Relationship Id="rId8" Type="http://schemas.openxmlformats.org/officeDocument/2006/relationships/hyperlink" Target="https://osu.ppy.sh/beatmapsets/1838113" TargetMode="External"/><Relationship Id="rId73" Type="http://schemas.openxmlformats.org/officeDocument/2006/relationships/hyperlink" Target="https://osu.ppy.sh/beatmapsets/1305940" TargetMode="External"/><Relationship Id="rId72" Type="http://schemas.openxmlformats.org/officeDocument/2006/relationships/hyperlink" Target="https://osu.ppy.sh/beatmapsets/1305940" TargetMode="External"/><Relationship Id="rId75" Type="http://schemas.openxmlformats.org/officeDocument/2006/relationships/hyperlink" Target="https://osu.ppy.sh/beatmapsets/1580891" TargetMode="External"/><Relationship Id="rId74" Type="http://schemas.openxmlformats.org/officeDocument/2006/relationships/hyperlink" Target="https://osu.ppy.sh/beatmapsets/1580891" TargetMode="External"/><Relationship Id="rId77" Type="http://schemas.openxmlformats.org/officeDocument/2006/relationships/hyperlink" Target="https://osu.ppy.sh/beatmapsets/984013" TargetMode="External"/><Relationship Id="rId76" Type="http://schemas.openxmlformats.org/officeDocument/2006/relationships/hyperlink" Target="https://osu.ppy.sh/beatmapsets/984013" TargetMode="External"/><Relationship Id="rId79" Type="http://schemas.openxmlformats.org/officeDocument/2006/relationships/hyperlink" Target="https://osu.ppy.sh/beatmapsets/366884" TargetMode="External"/><Relationship Id="rId78" Type="http://schemas.openxmlformats.org/officeDocument/2006/relationships/hyperlink" Target="https://osu.ppy.sh/beatmapsets/366884" TargetMode="External"/><Relationship Id="rId71" Type="http://schemas.openxmlformats.org/officeDocument/2006/relationships/hyperlink" Target="https://osu.ppy.sh/beatmapsets/1409478" TargetMode="External"/><Relationship Id="rId70" Type="http://schemas.openxmlformats.org/officeDocument/2006/relationships/hyperlink" Target="https://osu.ppy.sh/beatmapsets/1409478" TargetMode="External"/><Relationship Id="rId139" Type="http://schemas.openxmlformats.org/officeDocument/2006/relationships/vmlDrawing" Target="../drawings/vmlDrawing8.vml"/><Relationship Id="rId138" Type="http://schemas.openxmlformats.org/officeDocument/2006/relationships/drawing" Target="../drawings/drawing8.xml"/><Relationship Id="rId137" Type="http://schemas.openxmlformats.org/officeDocument/2006/relationships/hyperlink" Target="https://osu.ppy.sh/beatmapsets/454987" TargetMode="External"/><Relationship Id="rId132" Type="http://schemas.openxmlformats.org/officeDocument/2006/relationships/hyperlink" Target="https://osu.ppy.sh/beatmapsets/120987" TargetMode="External"/><Relationship Id="rId131" Type="http://schemas.openxmlformats.org/officeDocument/2006/relationships/hyperlink" Target="https://osu.ppy.sh/beatmapsets/120987" TargetMode="External"/><Relationship Id="rId130" Type="http://schemas.openxmlformats.org/officeDocument/2006/relationships/hyperlink" Target="https://osu.ppy.sh/beatmapsets/120987" TargetMode="External"/><Relationship Id="rId136" Type="http://schemas.openxmlformats.org/officeDocument/2006/relationships/hyperlink" Target="https://osu.ppy.sh/beatmapsets/83560" TargetMode="External"/><Relationship Id="rId135" Type="http://schemas.openxmlformats.org/officeDocument/2006/relationships/hyperlink" Target="https://osu.ppy.sh/beatmapsets/83560" TargetMode="External"/><Relationship Id="rId134" Type="http://schemas.openxmlformats.org/officeDocument/2006/relationships/hyperlink" Target="https://osu.ppy.sh/beatmapsets/1670118" TargetMode="External"/><Relationship Id="rId133" Type="http://schemas.openxmlformats.org/officeDocument/2006/relationships/hyperlink" Target="https://osu.ppy.sh/beatmapsets/1670118" TargetMode="External"/><Relationship Id="rId62" Type="http://schemas.openxmlformats.org/officeDocument/2006/relationships/hyperlink" Target="https://osu.ppy.sh/beatmapsets/1170697" TargetMode="External"/><Relationship Id="rId61" Type="http://schemas.openxmlformats.org/officeDocument/2006/relationships/hyperlink" Target="https://osu.ppy.sh/beatmapsets/611507" TargetMode="External"/><Relationship Id="rId64" Type="http://schemas.openxmlformats.org/officeDocument/2006/relationships/hyperlink" Target="https://osu.ppy.sh/beatmapsets/891366" TargetMode="External"/><Relationship Id="rId63" Type="http://schemas.openxmlformats.org/officeDocument/2006/relationships/hyperlink" Target="https://osu.ppy.sh/beatmapsets/1170697" TargetMode="External"/><Relationship Id="rId66" Type="http://schemas.openxmlformats.org/officeDocument/2006/relationships/hyperlink" Target="https://osu.ppy.sh/beatmapsets/291495" TargetMode="External"/><Relationship Id="rId65" Type="http://schemas.openxmlformats.org/officeDocument/2006/relationships/hyperlink" Target="https://osu.ppy.sh/beatmapsets/891366" TargetMode="External"/><Relationship Id="rId68" Type="http://schemas.openxmlformats.org/officeDocument/2006/relationships/hyperlink" Target="https://osu.ppy.sh/beatmapsets/1366507" TargetMode="External"/><Relationship Id="rId67" Type="http://schemas.openxmlformats.org/officeDocument/2006/relationships/hyperlink" Target="https://osu.ppy.sh/beatmapsets/291495" TargetMode="External"/><Relationship Id="rId60" Type="http://schemas.openxmlformats.org/officeDocument/2006/relationships/hyperlink" Target="https://osu.ppy.sh/beatmapsets/611507" TargetMode="External"/><Relationship Id="rId69" Type="http://schemas.openxmlformats.org/officeDocument/2006/relationships/hyperlink" Target="https://osu.ppy.sh/beatmapsets/1366507" TargetMode="External"/><Relationship Id="rId51" Type="http://schemas.openxmlformats.org/officeDocument/2006/relationships/hyperlink" Target="https://osu.ppy.sh/beatmapsets/1965625" TargetMode="External"/><Relationship Id="rId50" Type="http://schemas.openxmlformats.org/officeDocument/2006/relationships/hyperlink" Target="https://osu.ppy.sh/beatmapsets/1954230" TargetMode="External"/><Relationship Id="rId53" Type="http://schemas.openxmlformats.org/officeDocument/2006/relationships/hyperlink" Target="https://osu.ppy.sh/beatmapsets/49459" TargetMode="External"/><Relationship Id="rId52" Type="http://schemas.openxmlformats.org/officeDocument/2006/relationships/hyperlink" Target="https://osu.ppy.sh/beatmapsets/1965625" TargetMode="External"/><Relationship Id="rId55" Type="http://schemas.openxmlformats.org/officeDocument/2006/relationships/hyperlink" Target="https://osu.ppy.sh/beatmapsets/1880072" TargetMode="External"/><Relationship Id="rId54" Type="http://schemas.openxmlformats.org/officeDocument/2006/relationships/hyperlink" Target="https://osu.ppy.sh/beatmapsets/1880072" TargetMode="External"/><Relationship Id="rId57" Type="http://schemas.openxmlformats.org/officeDocument/2006/relationships/hyperlink" Target="https://osu.ppy.sh/beatmapsets/98038" TargetMode="External"/><Relationship Id="rId56" Type="http://schemas.openxmlformats.org/officeDocument/2006/relationships/hyperlink" Target="https://osu.ppy.sh/beatmapsets/1610294" TargetMode="External"/><Relationship Id="rId59" Type="http://schemas.openxmlformats.org/officeDocument/2006/relationships/hyperlink" Target="https://osu.ppy.sh/beatmapsets/702272" TargetMode="External"/><Relationship Id="rId58" Type="http://schemas.openxmlformats.org/officeDocument/2006/relationships/hyperlink" Target="https://osu.ppy.sh/beatmapsets/98038"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osu.ppy.sh/beatmapsets/1633242" TargetMode="External"/><Relationship Id="rId42" Type="http://schemas.openxmlformats.org/officeDocument/2006/relationships/hyperlink" Target="https://osu.ppy.sh/beatmapsets/1339826" TargetMode="External"/><Relationship Id="rId41" Type="http://schemas.openxmlformats.org/officeDocument/2006/relationships/hyperlink" Target="https://osu.ppy.sh/beatmapsets/749304" TargetMode="External"/><Relationship Id="rId44" Type="http://schemas.openxmlformats.org/officeDocument/2006/relationships/hyperlink" Target="https://osu.ppy.sh/beatmapsets/4907" TargetMode="External"/><Relationship Id="rId43" Type="http://schemas.openxmlformats.org/officeDocument/2006/relationships/hyperlink" Target="https://osu.ppy.sh/beatmapsets/1339826" TargetMode="External"/><Relationship Id="rId46" Type="http://schemas.openxmlformats.org/officeDocument/2006/relationships/hyperlink" Target="https://osu.ppy.sh/beatmapsets/1152554" TargetMode="External"/><Relationship Id="rId45" Type="http://schemas.openxmlformats.org/officeDocument/2006/relationships/hyperlink" Target="https://osu.ppy.sh/beatmapsets/1152554" TargetMode="External"/><Relationship Id="rId107" Type="http://schemas.openxmlformats.org/officeDocument/2006/relationships/hyperlink" Target="https://osu.ppy.sh/beatmapsets/1239626" TargetMode="External"/><Relationship Id="rId106" Type="http://schemas.openxmlformats.org/officeDocument/2006/relationships/hyperlink" Target="https://osu.ppy.sh/beatmapsets/732280" TargetMode="External"/><Relationship Id="rId105" Type="http://schemas.openxmlformats.org/officeDocument/2006/relationships/hyperlink" Target="https://osu.ppy.sh/beatmapsets/732280" TargetMode="External"/><Relationship Id="rId104" Type="http://schemas.openxmlformats.org/officeDocument/2006/relationships/hyperlink" Target="https://osu.ppy.sh/beatmapsets/359191" TargetMode="External"/><Relationship Id="rId109" Type="http://schemas.openxmlformats.org/officeDocument/2006/relationships/hyperlink" Target="https://osu.ppy.sh/beatmapsets/821587" TargetMode="External"/><Relationship Id="rId108" Type="http://schemas.openxmlformats.org/officeDocument/2006/relationships/hyperlink" Target="https://osu.ppy.sh/beatmapsets/1239626" TargetMode="External"/><Relationship Id="rId48" Type="http://schemas.openxmlformats.org/officeDocument/2006/relationships/hyperlink" Target="https://osu.ppy.sh/beatmapsets/1809661" TargetMode="External"/><Relationship Id="rId47" Type="http://schemas.openxmlformats.org/officeDocument/2006/relationships/hyperlink" Target="https://osu.ppy.sh/beatmapsets/1885986" TargetMode="External"/><Relationship Id="rId49" Type="http://schemas.openxmlformats.org/officeDocument/2006/relationships/hyperlink" Target="https://osu.ppy.sh/beatmapsets/1809661" TargetMode="External"/><Relationship Id="rId103" Type="http://schemas.openxmlformats.org/officeDocument/2006/relationships/hyperlink" Target="https://osu.ppy.sh/beatmapsets/359191" TargetMode="External"/><Relationship Id="rId102" Type="http://schemas.openxmlformats.org/officeDocument/2006/relationships/hyperlink" Target="https://osu.ppy.sh/beatmapsets/787583" TargetMode="External"/><Relationship Id="rId101" Type="http://schemas.openxmlformats.org/officeDocument/2006/relationships/hyperlink" Target="https://osu.ppy.sh/beatmapsets/787583" TargetMode="External"/><Relationship Id="rId100" Type="http://schemas.openxmlformats.org/officeDocument/2006/relationships/hyperlink" Target="https://osu.ppy.sh/beatmapsets/824205" TargetMode="External"/><Relationship Id="rId31" Type="http://schemas.openxmlformats.org/officeDocument/2006/relationships/hyperlink" Target="https://osu.ppy.sh/beatmapsets/749323" TargetMode="External"/><Relationship Id="rId30" Type="http://schemas.openxmlformats.org/officeDocument/2006/relationships/hyperlink" Target="https://osu.ppy.sh/beatmapsets/586144" TargetMode="External"/><Relationship Id="rId33" Type="http://schemas.openxmlformats.org/officeDocument/2006/relationships/hyperlink" Target="https://osu.ppy.sh/beatmapsets/1170697" TargetMode="External"/><Relationship Id="rId32" Type="http://schemas.openxmlformats.org/officeDocument/2006/relationships/hyperlink" Target="https://osu.ppy.sh/beatmapsets/1170697" TargetMode="External"/><Relationship Id="rId35" Type="http://schemas.openxmlformats.org/officeDocument/2006/relationships/hyperlink" Target="https://osu.ppy.sh/beatmapsets/611507" TargetMode="External"/><Relationship Id="rId34" Type="http://schemas.openxmlformats.org/officeDocument/2006/relationships/hyperlink" Target="https://osu.ppy.sh/beatmapsets/1633242" TargetMode="External"/><Relationship Id="rId37" Type="http://schemas.openxmlformats.org/officeDocument/2006/relationships/hyperlink" Target="https://osu.ppy.sh/beatmapsets/1130251" TargetMode="External"/><Relationship Id="rId36" Type="http://schemas.openxmlformats.org/officeDocument/2006/relationships/hyperlink" Target="https://osu.ppy.sh/beatmapsets/611507" TargetMode="External"/><Relationship Id="rId39" Type="http://schemas.openxmlformats.org/officeDocument/2006/relationships/hyperlink" Target="https://osu.ppy.sh/beatmapsets/1633242" TargetMode="External"/><Relationship Id="rId38" Type="http://schemas.openxmlformats.org/officeDocument/2006/relationships/hyperlink" Target="https://osu.ppy.sh/beatmapsets/408745" TargetMode="External"/><Relationship Id="rId20" Type="http://schemas.openxmlformats.org/officeDocument/2006/relationships/hyperlink" Target="https://osu.ppy.sh/beatmapsets/490662" TargetMode="External"/><Relationship Id="rId22" Type="http://schemas.openxmlformats.org/officeDocument/2006/relationships/hyperlink" Target="https://osu.ppy.sh/beatmapsets/1985409" TargetMode="External"/><Relationship Id="rId21" Type="http://schemas.openxmlformats.org/officeDocument/2006/relationships/hyperlink" Target="https://osu.ppy.sh/beatmapsets/490662" TargetMode="External"/><Relationship Id="rId24" Type="http://schemas.openxmlformats.org/officeDocument/2006/relationships/hyperlink" Target="https://osu.ppy.sh/beatmapsets/1670825" TargetMode="External"/><Relationship Id="rId23" Type="http://schemas.openxmlformats.org/officeDocument/2006/relationships/hyperlink" Target="https://osu.ppy.sh/beatmapsets/1670825" TargetMode="External"/><Relationship Id="rId129" Type="http://schemas.openxmlformats.org/officeDocument/2006/relationships/hyperlink" Target="https://osu.ppy.sh/beatmapsets/1547170" TargetMode="External"/><Relationship Id="rId128" Type="http://schemas.openxmlformats.org/officeDocument/2006/relationships/hyperlink" Target="https://osu.ppy.sh/beatmapsets/1291579" TargetMode="External"/><Relationship Id="rId127" Type="http://schemas.openxmlformats.org/officeDocument/2006/relationships/hyperlink" Target="https://osu.ppy.sh/b/2690998" TargetMode="External"/><Relationship Id="rId126" Type="http://schemas.openxmlformats.org/officeDocument/2006/relationships/hyperlink" Target="https://osu.ppy.sh/beatmapsets/1634320" TargetMode="External"/><Relationship Id="rId26" Type="http://schemas.openxmlformats.org/officeDocument/2006/relationships/hyperlink" Target="https://osu.ppy.sh/beatmapsets/962568" TargetMode="External"/><Relationship Id="rId121" Type="http://schemas.openxmlformats.org/officeDocument/2006/relationships/hyperlink" Target="https://osu.ppy.sh/b/3853742" TargetMode="External"/><Relationship Id="rId25" Type="http://schemas.openxmlformats.org/officeDocument/2006/relationships/hyperlink" Target="https://osu.ppy.sh/beatmapsets/1228132" TargetMode="External"/><Relationship Id="rId120" Type="http://schemas.openxmlformats.org/officeDocument/2006/relationships/hyperlink" Target="https://osu.ppy.sh/beatmapsets/1804775" TargetMode="External"/><Relationship Id="rId28" Type="http://schemas.openxmlformats.org/officeDocument/2006/relationships/hyperlink" Target="https://osu.ppy.sh/beatmapsets/586144" TargetMode="External"/><Relationship Id="rId27" Type="http://schemas.openxmlformats.org/officeDocument/2006/relationships/hyperlink" Target="https://osu.ppy.sh/beatmapsets/962568" TargetMode="External"/><Relationship Id="rId125" Type="http://schemas.openxmlformats.org/officeDocument/2006/relationships/hyperlink" Target="https://osu.ppy.sh/beatmapsets/1634320" TargetMode="External"/><Relationship Id="rId29" Type="http://schemas.openxmlformats.org/officeDocument/2006/relationships/hyperlink" Target="https://osu.ppy.sh/beatmapsets/586144" TargetMode="External"/><Relationship Id="rId124" Type="http://schemas.openxmlformats.org/officeDocument/2006/relationships/hyperlink" Target="https://osu.ppy.sh/beatmapsets/1481685" TargetMode="External"/><Relationship Id="rId123" Type="http://schemas.openxmlformats.org/officeDocument/2006/relationships/hyperlink" Target="https://osu.ppy.sh/b/3039329" TargetMode="External"/><Relationship Id="rId122" Type="http://schemas.openxmlformats.org/officeDocument/2006/relationships/hyperlink" Target="https://osu.ppy.sh/beatmapsets/1865291" TargetMode="External"/><Relationship Id="rId95" Type="http://schemas.openxmlformats.org/officeDocument/2006/relationships/hyperlink" Target="https://osu.ppy.sh/beatmapsets/1321446" TargetMode="External"/><Relationship Id="rId94" Type="http://schemas.openxmlformats.org/officeDocument/2006/relationships/hyperlink" Target="https://osu.ppy.sh/beatmapsets/1225001" TargetMode="External"/><Relationship Id="rId97" Type="http://schemas.openxmlformats.org/officeDocument/2006/relationships/hyperlink" Target="https://osu.ppy.sh/beatmapsets/1790018" TargetMode="External"/><Relationship Id="rId96" Type="http://schemas.openxmlformats.org/officeDocument/2006/relationships/hyperlink" Target="https://osu.ppy.sh/beatmapsets/1321446" TargetMode="External"/><Relationship Id="rId11" Type="http://schemas.openxmlformats.org/officeDocument/2006/relationships/hyperlink" Target="https://osu.ppy.sh/beatmapsets/1985409" TargetMode="External"/><Relationship Id="rId99" Type="http://schemas.openxmlformats.org/officeDocument/2006/relationships/hyperlink" Target="https://osu.ppy.sh/beatmapsets/824205" TargetMode="External"/><Relationship Id="rId10" Type="http://schemas.openxmlformats.org/officeDocument/2006/relationships/hyperlink" Target="https://osu.ppy.sh/beatmapsets/821587" TargetMode="External"/><Relationship Id="rId98" Type="http://schemas.openxmlformats.org/officeDocument/2006/relationships/hyperlink" Target="https://osu.ppy.sh/beatmapsets/1790018" TargetMode="External"/><Relationship Id="rId13" Type="http://schemas.openxmlformats.org/officeDocument/2006/relationships/hyperlink" Target="https://osu.ppy.sh/beatmapsets/1809661" TargetMode="External"/><Relationship Id="rId12" Type="http://schemas.openxmlformats.org/officeDocument/2006/relationships/hyperlink" Target="https://osu.ppy.sh/beatmapsets/1985409" TargetMode="External"/><Relationship Id="rId91" Type="http://schemas.openxmlformats.org/officeDocument/2006/relationships/hyperlink" Target="https://osu.ppy.sh/beatmapsets/171676" TargetMode="External"/><Relationship Id="rId90" Type="http://schemas.openxmlformats.org/officeDocument/2006/relationships/hyperlink" Target="https://osu.ppy.sh/beatmapsets/1007796" TargetMode="External"/><Relationship Id="rId93" Type="http://schemas.openxmlformats.org/officeDocument/2006/relationships/hyperlink" Target="https://osu.ppy.sh/beatmapsets/1225001" TargetMode="External"/><Relationship Id="rId92" Type="http://schemas.openxmlformats.org/officeDocument/2006/relationships/hyperlink" Target="https://osu.ppy.sh/beatmapsets/171676" TargetMode="External"/><Relationship Id="rId118" Type="http://schemas.openxmlformats.org/officeDocument/2006/relationships/hyperlink" Target="https://osu.ppy.sh/beatmapsets/1842709" TargetMode="External"/><Relationship Id="rId117" Type="http://schemas.openxmlformats.org/officeDocument/2006/relationships/hyperlink" Target="https://osu.ppy.sh/beatmapsets/1842709" TargetMode="External"/><Relationship Id="rId116" Type="http://schemas.openxmlformats.org/officeDocument/2006/relationships/hyperlink" Target="https://osu.ppy.sh/beatmapsets/1228132" TargetMode="External"/><Relationship Id="rId115" Type="http://schemas.openxmlformats.org/officeDocument/2006/relationships/hyperlink" Target="https://osu.ppy.sh/beatmapsets/1228132" TargetMode="External"/><Relationship Id="rId119" Type="http://schemas.openxmlformats.org/officeDocument/2006/relationships/hyperlink" Target="https://osu.ppy.sh/beatmapsets/1804775" TargetMode="External"/><Relationship Id="rId15" Type="http://schemas.openxmlformats.org/officeDocument/2006/relationships/hyperlink" Target="https://osu.ppy.sh/beatmapsets/8284" TargetMode="External"/><Relationship Id="rId110" Type="http://schemas.openxmlformats.org/officeDocument/2006/relationships/hyperlink" Target="https://osu.ppy.sh/beatmapsets/821587" TargetMode="External"/><Relationship Id="rId14" Type="http://schemas.openxmlformats.org/officeDocument/2006/relationships/hyperlink" Target="https://osu.ppy.sh/beatmapsets/8284" TargetMode="External"/><Relationship Id="rId17" Type="http://schemas.openxmlformats.org/officeDocument/2006/relationships/hyperlink" Target="https://osu.ppy.sh/beatmapsets/734135" TargetMode="External"/><Relationship Id="rId16" Type="http://schemas.openxmlformats.org/officeDocument/2006/relationships/hyperlink" Target="https://osu.ppy.sh/beatmapsets/1809604" TargetMode="External"/><Relationship Id="rId19" Type="http://schemas.openxmlformats.org/officeDocument/2006/relationships/hyperlink" Target="https://osu.ppy.sh/beatmapsets/1123944" TargetMode="External"/><Relationship Id="rId114" Type="http://schemas.openxmlformats.org/officeDocument/2006/relationships/hyperlink" Target="https://osu.ppy.sh/beatmapsets/4907" TargetMode="External"/><Relationship Id="rId18" Type="http://schemas.openxmlformats.org/officeDocument/2006/relationships/hyperlink" Target="https://osu.ppy.sh/beatmapsets/734135" TargetMode="External"/><Relationship Id="rId113" Type="http://schemas.openxmlformats.org/officeDocument/2006/relationships/hyperlink" Target="https://osu.ppy.sh/beatmapsets/4907" TargetMode="External"/><Relationship Id="rId112" Type="http://schemas.openxmlformats.org/officeDocument/2006/relationships/hyperlink" Target="https://osu.ppy.sh/beatmapsets/1239841" TargetMode="External"/><Relationship Id="rId111" Type="http://schemas.openxmlformats.org/officeDocument/2006/relationships/hyperlink" Target="https://osu.ppy.sh/beatmapsets/1239841" TargetMode="External"/><Relationship Id="rId84" Type="http://schemas.openxmlformats.org/officeDocument/2006/relationships/hyperlink" Target="https://osu.ppy.sh/beatmapsets/1885986" TargetMode="External"/><Relationship Id="rId83" Type="http://schemas.openxmlformats.org/officeDocument/2006/relationships/hyperlink" Target="https://osu.ppy.sh/beatmapsets/1885986" TargetMode="External"/><Relationship Id="rId86" Type="http://schemas.openxmlformats.org/officeDocument/2006/relationships/hyperlink" Target="https://osu.ppy.sh/beatmapsets/749323" TargetMode="External"/><Relationship Id="rId85" Type="http://schemas.openxmlformats.org/officeDocument/2006/relationships/hyperlink" Target="https://osu.ppy.sh/beatmapsets/749323" TargetMode="External"/><Relationship Id="rId88" Type="http://schemas.openxmlformats.org/officeDocument/2006/relationships/hyperlink" Target="https://osu.ppy.sh/beatmapsets/5285" TargetMode="External"/><Relationship Id="rId150" Type="http://schemas.openxmlformats.org/officeDocument/2006/relationships/hyperlink" Target="https://osu.ppy.sh/beatmapsets/408745" TargetMode="External"/><Relationship Id="rId87" Type="http://schemas.openxmlformats.org/officeDocument/2006/relationships/hyperlink" Target="https://osu.ppy.sh/beatmapsets/5285" TargetMode="External"/><Relationship Id="rId89" Type="http://schemas.openxmlformats.org/officeDocument/2006/relationships/hyperlink" Target="https://osu.ppy.sh/beatmapsets/1007796" TargetMode="External"/><Relationship Id="rId80" Type="http://schemas.openxmlformats.org/officeDocument/2006/relationships/hyperlink" Target="https://osu.ppy.sh/beatmapsets/33651" TargetMode="External"/><Relationship Id="rId82" Type="http://schemas.openxmlformats.org/officeDocument/2006/relationships/hyperlink" Target="https://osu.ppy.sh/beatmapsets/1312343" TargetMode="External"/><Relationship Id="rId81" Type="http://schemas.openxmlformats.org/officeDocument/2006/relationships/hyperlink" Target="https://osu.ppy.sh/beatmapsets/1312343" TargetMode="External"/><Relationship Id="rId1" Type="http://schemas.openxmlformats.org/officeDocument/2006/relationships/comments" Target="../comments9.xml"/><Relationship Id="rId2" Type="http://schemas.openxmlformats.org/officeDocument/2006/relationships/hyperlink" Target="https://osu.ppy.sh/beatmapsets/1793226" TargetMode="External"/><Relationship Id="rId3" Type="http://schemas.openxmlformats.org/officeDocument/2006/relationships/hyperlink" Target="https://osu.ppy.sh/beatmapsets/1793226" TargetMode="External"/><Relationship Id="rId149" Type="http://schemas.openxmlformats.org/officeDocument/2006/relationships/hyperlink" Target="https://osu.ppy.sh/beatmapsets/408745" TargetMode="External"/><Relationship Id="rId4" Type="http://schemas.openxmlformats.org/officeDocument/2006/relationships/hyperlink" Target="https://osu.ppy.sh/beatmapsets/1634320" TargetMode="External"/><Relationship Id="rId148" Type="http://schemas.openxmlformats.org/officeDocument/2006/relationships/hyperlink" Target="https://osu.ppy.sh/beatmapsets/1130251" TargetMode="External"/><Relationship Id="rId9" Type="http://schemas.openxmlformats.org/officeDocument/2006/relationships/hyperlink" Target="https://osu.ppy.sh/beatmapsets/688128" TargetMode="External"/><Relationship Id="rId143" Type="http://schemas.openxmlformats.org/officeDocument/2006/relationships/hyperlink" Target="https://osu.ppy.sh/beatmapsets/396370" TargetMode="External"/><Relationship Id="rId142" Type="http://schemas.openxmlformats.org/officeDocument/2006/relationships/hyperlink" Target="https://osu.ppy.sh/beatmapsets/1817644" TargetMode="External"/><Relationship Id="rId141" Type="http://schemas.openxmlformats.org/officeDocument/2006/relationships/hyperlink" Target="https://osu.ppy.sh/beatmapsets/1817644" TargetMode="External"/><Relationship Id="rId140" Type="http://schemas.openxmlformats.org/officeDocument/2006/relationships/hyperlink" Target="https://osu.ppy.sh/beatmapsets/749304" TargetMode="External"/><Relationship Id="rId5" Type="http://schemas.openxmlformats.org/officeDocument/2006/relationships/hyperlink" Target="https://osu.ppy.sh/beatmapsets/891581" TargetMode="External"/><Relationship Id="rId147" Type="http://schemas.openxmlformats.org/officeDocument/2006/relationships/hyperlink" Target="https://osu.ppy.sh/beatmapsets/1130251" TargetMode="External"/><Relationship Id="rId6" Type="http://schemas.openxmlformats.org/officeDocument/2006/relationships/hyperlink" Target="https://osu.ppy.sh/beatmapsets/891581" TargetMode="External"/><Relationship Id="rId146" Type="http://schemas.openxmlformats.org/officeDocument/2006/relationships/hyperlink" Target="https://osu.ppy.sh/beatmapsets/1809604" TargetMode="External"/><Relationship Id="rId7" Type="http://schemas.openxmlformats.org/officeDocument/2006/relationships/hyperlink" Target="https://osu.ppy.sh/beatmapsets/1547170" TargetMode="External"/><Relationship Id="rId145" Type="http://schemas.openxmlformats.org/officeDocument/2006/relationships/hyperlink" Target="https://osu.ppy.sh/beatmapsets/1809604" TargetMode="External"/><Relationship Id="rId8" Type="http://schemas.openxmlformats.org/officeDocument/2006/relationships/hyperlink" Target="https://osu.ppy.sh/beatmapsets/688128" TargetMode="External"/><Relationship Id="rId144" Type="http://schemas.openxmlformats.org/officeDocument/2006/relationships/hyperlink" Target="https://osu.ppy.sh/beatmapsets/396370" TargetMode="External"/><Relationship Id="rId73" Type="http://schemas.openxmlformats.org/officeDocument/2006/relationships/hyperlink" Target="https://osu.ppy.sh/beatmapsets/1557716" TargetMode="External"/><Relationship Id="rId72" Type="http://schemas.openxmlformats.org/officeDocument/2006/relationships/hyperlink" Target="https://osu.ppy.sh/beatmapsets/1536850" TargetMode="External"/><Relationship Id="rId75" Type="http://schemas.openxmlformats.org/officeDocument/2006/relationships/hyperlink" Target="https://osu.ppy.sh/beatmapsets/1493511" TargetMode="External"/><Relationship Id="rId74" Type="http://schemas.openxmlformats.org/officeDocument/2006/relationships/hyperlink" Target="https://osu.ppy.sh/beatmapsets/1557716" TargetMode="External"/><Relationship Id="rId77" Type="http://schemas.openxmlformats.org/officeDocument/2006/relationships/hyperlink" Target="https://osu.ppy.sh/beatmapsets/763406" TargetMode="External"/><Relationship Id="rId76" Type="http://schemas.openxmlformats.org/officeDocument/2006/relationships/hyperlink" Target="https://osu.ppy.sh/beatmapsets/1493511" TargetMode="External"/><Relationship Id="rId79" Type="http://schemas.openxmlformats.org/officeDocument/2006/relationships/hyperlink" Target="https://osu.ppy.sh/beatmapsets/33651" TargetMode="External"/><Relationship Id="rId78" Type="http://schemas.openxmlformats.org/officeDocument/2006/relationships/hyperlink" Target="https://osu.ppy.sh/beatmapsets/763406" TargetMode="External"/><Relationship Id="rId71" Type="http://schemas.openxmlformats.org/officeDocument/2006/relationships/hyperlink" Target="https://osu.ppy.sh/beatmapsets/1536850" TargetMode="External"/><Relationship Id="rId70" Type="http://schemas.openxmlformats.org/officeDocument/2006/relationships/hyperlink" Target="https://osu.ppy.sh/beatmapsets/1764690" TargetMode="External"/><Relationship Id="rId139" Type="http://schemas.openxmlformats.org/officeDocument/2006/relationships/hyperlink" Target="https://osu.ppy.sh/beatmapsets/749304" TargetMode="External"/><Relationship Id="rId138" Type="http://schemas.openxmlformats.org/officeDocument/2006/relationships/hyperlink" Target="https://osu.ppy.sh/beatmapsets/16371" TargetMode="External"/><Relationship Id="rId137" Type="http://schemas.openxmlformats.org/officeDocument/2006/relationships/hyperlink" Target="https://osu.ppy.sh/beatmapsets/16371" TargetMode="External"/><Relationship Id="rId132" Type="http://schemas.openxmlformats.org/officeDocument/2006/relationships/hyperlink" Target="https://osu.ppy.sh/beatmapsets/1090567" TargetMode="External"/><Relationship Id="rId131" Type="http://schemas.openxmlformats.org/officeDocument/2006/relationships/hyperlink" Target="https://osu.ppy.sh/beatmapsets/1090567" TargetMode="External"/><Relationship Id="rId130" Type="http://schemas.openxmlformats.org/officeDocument/2006/relationships/hyperlink" Target="https://osu.ppy.sh/beatmapsets/1547170" TargetMode="External"/><Relationship Id="rId136" Type="http://schemas.openxmlformats.org/officeDocument/2006/relationships/hyperlink" Target="https://osu.ppy.sh/beatmapsets/28257" TargetMode="External"/><Relationship Id="rId135" Type="http://schemas.openxmlformats.org/officeDocument/2006/relationships/hyperlink" Target="https://osu.ppy.sh/beatmapsets/28257" TargetMode="External"/><Relationship Id="rId134" Type="http://schemas.openxmlformats.org/officeDocument/2006/relationships/hyperlink" Target="https://osu.ppy.sh/beatmapsets/128931" TargetMode="External"/><Relationship Id="rId133" Type="http://schemas.openxmlformats.org/officeDocument/2006/relationships/hyperlink" Target="https://osu.ppy.sh/beatmapsets/128931" TargetMode="External"/><Relationship Id="rId62" Type="http://schemas.openxmlformats.org/officeDocument/2006/relationships/hyperlink" Target="https://osu.ppy.sh/beatmapsets/1299595" TargetMode="External"/><Relationship Id="rId61" Type="http://schemas.openxmlformats.org/officeDocument/2006/relationships/hyperlink" Target="https://osu.ppy.sh/beatmapsets/1299595" TargetMode="External"/><Relationship Id="rId64" Type="http://schemas.openxmlformats.org/officeDocument/2006/relationships/hyperlink" Target="https://osu.ppy.sh/beatmapsets/311328" TargetMode="External"/><Relationship Id="rId63" Type="http://schemas.openxmlformats.org/officeDocument/2006/relationships/hyperlink" Target="https://osu.ppy.sh/beatmapsets/311328" TargetMode="External"/><Relationship Id="rId66" Type="http://schemas.openxmlformats.org/officeDocument/2006/relationships/hyperlink" Target="https://osu.ppy.sh/beatmapsets/1318545" TargetMode="External"/><Relationship Id="rId65" Type="http://schemas.openxmlformats.org/officeDocument/2006/relationships/hyperlink" Target="https://osu.ppy.sh/beatmapsets/1318545" TargetMode="External"/><Relationship Id="rId68" Type="http://schemas.openxmlformats.org/officeDocument/2006/relationships/hyperlink" Target="https://osu.ppy.sh/beatmapsets/85802" TargetMode="External"/><Relationship Id="rId67" Type="http://schemas.openxmlformats.org/officeDocument/2006/relationships/hyperlink" Target="https://osu.ppy.sh/beatmapsets/85802" TargetMode="External"/><Relationship Id="rId60" Type="http://schemas.openxmlformats.org/officeDocument/2006/relationships/hyperlink" Target="https://osu.ppy.sh/beatmapsets/411990" TargetMode="External"/><Relationship Id="rId69" Type="http://schemas.openxmlformats.org/officeDocument/2006/relationships/hyperlink" Target="https://osu.ppy.sh/beatmapsets/1764690" TargetMode="External"/><Relationship Id="rId51" Type="http://schemas.openxmlformats.org/officeDocument/2006/relationships/hyperlink" Target="https://osu.ppy.sh/beatmapsets/1020335" TargetMode="External"/><Relationship Id="rId50" Type="http://schemas.openxmlformats.org/officeDocument/2006/relationships/hyperlink" Target="https://osu.ppy.sh/beatmapsets/16371" TargetMode="External"/><Relationship Id="rId53" Type="http://schemas.openxmlformats.org/officeDocument/2006/relationships/hyperlink" Target="https://osu.ppy.sh/beatmapsets/1865291" TargetMode="External"/><Relationship Id="rId52" Type="http://schemas.openxmlformats.org/officeDocument/2006/relationships/hyperlink" Target="https://osu.ppy.sh/beatmapsets/1020335" TargetMode="External"/><Relationship Id="rId55" Type="http://schemas.openxmlformats.org/officeDocument/2006/relationships/hyperlink" Target="https://osu.ppy.sh/beatmapsets/1629444" TargetMode="External"/><Relationship Id="rId54" Type="http://schemas.openxmlformats.org/officeDocument/2006/relationships/hyperlink" Target="https://osu.ppy.sh/beatmapsets/1629444" TargetMode="External"/><Relationship Id="rId57" Type="http://schemas.openxmlformats.org/officeDocument/2006/relationships/hyperlink" Target="https://osu.ppy.sh/beatmapsets/1123944" TargetMode="External"/><Relationship Id="rId56" Type="http://schemas.openxmlformats.org/officeDocument/2006/relationships/hyperlink" Target="https://osu.ppy.sh/beatmapsets/396370" TargetMode="External"/><Relationship Id="rId59" Type="http://schemas.openxmlformats.org/officeDocument/2006/relationships/hyperlink" Target="https://osu.ppy.sh/beatmapsets/411990" TargetMode="External"/><Relationship Id="rId58" Type="http://schemas.openxmlformats.org/officeDocument/2006/relationships/hyperlink" Target="https://osu.ppy.sh/beatmapsets/1123944" TargetMode="External"/><Relationship Id="rId152" Type="http://schemas.openxmlformats.org/officeDocument/2006/relationships/vmlDrawing" Target="../drawings/vmlDrawing9.vml"/><Relationship Id="rId15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www.youtube.com/watch?v=2xWNmzuDGWQ" TargetMode="External"/><Relationship Id="rId3" Type="http://schemas.openxmlformats.org/officeDocument/2006/relationships/hyperlink" Target="https://docs.google.com/spreadsheets/d/1udcm18OWyu-ffCwJxwV3PW4UIwsiwR6_pBq9vG1gT5E/edit" TargetMode="External"/><Relationship Id="rId4" Type="http://schemas.openxmlformats.org/officeDocument/2006/relationships/drawing" Target="../drawings/drawing12.xml"/><Relationship Id="rId5"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osu.ppy.sh/beatmapsets/1131726" TargetMode="External"/><Relationship Id="rId190" Type="http://schemas.openxmlformats.org/officeDocument/2006/relationships/hyperlink" Target="https://osu.ppy.sh/beatmapsets/702272" TargetMode="External"/><Relationship Id="rId42" Type="http://schemas.openxmlformats.org/officeDocument/2006/relationships/hyperlink" Target="https://osu.ppy.sh/beatmapsets/1663184" TargetMode="External"/><Relationship Id="rId41" Type="http://schemas.openxmlformats.org/officeDocument/2006/relationships/hyperlink" Target="https://osu.ppy.sh/beatmapsets/1663184" TargetMode="External"/><Relationship Id="rId44" Type="http://schemas.openxmlformats.org/officeDocument/2006/relationships/hyperlink" Target="https://osu.ppy.sh/beatmapsets/387784" TargetMode="External"/><Relationship Id="rId194" Type="http://schemas.openxmlformats.org/officeDocument/2006/relationships/hyperlink" Target="https://osu.ppy.sh/beatmapsets/1634320" TargetMode="External"/><Relationship Id="rId43" Type="http://schemas.openxmlformats.org/officeDocument/2006/relationships/hyperlink" Target="https://osu.ppy.sh/beatmapsets/387784" TargetMode="External"/><Relationship Id="rId193" Type="http://schemas.openxmlformats.org/officeDocument/2006/relationships/hyperlink" Target="https://osu.ppy.sh/beatmapsets/1634320" TargetMode="External"/><Relationship Id="rId46" Type="http://schemas.openxmlformats.org/officeDocument/2006/relationships/hyperlink" Target="https://osu.ppy.sh/beatmapsets/1782707" TargetMode="External"/><Relationship Id="rId192" Type="http://schemas.openxmlformats.org/officeDocument/2006/relationships/hyperlink" Target="https://osu.ppy.sh/beatmapsets/1321446" TargetMode="External"/><Relationship Id="rId45" Type="http://schemas.openxmlformats.org/officeDocument/2006/relationships/hyperlink" Target="https://osu.ppy.sh/beatmapsets/1782707" TargetMode="External"/><Relationship Id="rId191" Type="http://schemas.openxmlformats.org/officeDocument/2006/relationships/hyperlink" Target="https://osu.ppy.sh/beatmapsets/1321446" TargetMode="External"/><Relationship Id="rId48" Type="http://schemas.openxmlformats.org/officeDocument/2006/relationships/hyperlink" Target="https://osu.ppy.sh/beatmapsets/1686408" TargetMode="External"/><Relationship Id="rId187" Type="http://schemas.openxmlformats.org/officeDocument/2006/relationships/hyperlink" Target="https://osu.ppy.sh/beatmapsets/1610294" TargetMode="External"/><Relationship Id="rId47" Type="http://schemas.openxmlformats.org/officeDocument/2006/relationships/hyperlink" Target="https://osu.ppy.sh/beatmapsets/1686408" TargetMode="External"/><Relationship Id="rId186" Type="http://schemas.openxmlformats.org/officeDocument/2006/relationships/hyperlink" Target="https://osu.ppy.sh/beatmapsets/49459" TargetMode="External"/><Relationship Id="rId185" Type="http://schemas.openxmlformats.org/officeDocument/2006/relationships/hyperlink" Target="https://osu.ppy.sh/beatmapsets/49459" TargetMode="External"/><Relationship Id="rId49" Type="http://schemas.openxmlformats.org/officeDocument/2006/relationships/hyperlink" Target="https://osu.ppy.sh/beatmapsets/1358622" TargetMode="External"/><Relationship Id="rId184" Type="http://schemas.openxmlformats.org/officeDocument/2006/relationships/hyperlink" Target="https://osu.ppy.sh/beatmapsets/1954230" TargetMode="External"/><Relationship Id="rId189" Type="http://schemas.openxmlformats.org/officeDocument/2006/relationships/hyperlink" Target="https://osu.ppy.sh/beatmapsets/702272" TargetMode="External"/><Relationship Id="rId188" Type="http://schemas.openxmlformats.org/officeDocument/2006/relationships/hyperlink" Target="https://osu.ppy.sh/beatmapsets/1610294" TargetMode="External"/><Relationship Id="rId31" Type="http://schemas.openxmlformats.org/officeDocument/2006/relationships/hyperlink" Target="https://osu.ppy.sh/beatmapsets/42527" TargetMode="External"/><Relationship Id="rId30" Type="http://schemas.openxmlformats.org/officeDocument/2006/relationships/hyperlink" Target="https://osu.ppy.sh/beatmapsets/1533832" TargetMode="External"/><Relationship Id="rId33" Type="http://schemas.openxmlformats.org/officeDocument/2006/relationships/hyperlink" Target="https://osu.ppy.sh/beatmapsets/1274098" TargetMode="External"/><Relationship Id="rId183" Type="http://schemas.openxmlformats.org/officeDocument/2006/relationships/hyperlink" Target="https://osu.ppy.sh/beatmapsets/1954230" TargetMode="External"/><Relationship Id="rId32" Type="http://schemas.openxmlformats.org/officeDocument/2006/relationships/hyperlink" Target="https://osu.ppy.sh/beatmapsets/42527" TargetMode="External"/><Relationship Id="rId182" Type="http://schemas.openxmlformats.org/officeDocument/2006/relationships/hyperlink" Target="https://osu.ppy.sh/beatmapsets/1997114" TargetMode="External"/><Relationship Id="rId35" Type="http://schemas.openxmlformats.org/officeDocument/2006/relationships/hyperlink" Target="https://osu.ppy.sh/beatmapsets/917159" TargetMode="External"/><Relationship Id="rId181" Type="http://schemas.openxmlformats.org/officeDocument/2006/relationships/hyperlink" Target="https://osu.ppy.sh/beatmapsets/1997114" TargetMode="External"/><Relationship Id="rId34" Type="http://schemas.openxmlformats.org/officeDocument/2006/relationships/hyperlink" Target="https://osu.ppy.sh/beatmapsets/1274098" TargetMode="External"/><Relationship Id="rId180" Type="http://schemas.openxmlformats.org/officeDocument/2006/relationships/hyperlink" Target="https://osu.ppy.sh/beatmapsets/1268030" TargetMode="External"/><Relationship Id="rId37" Type="http://schemas.openxmlformats.org/officeDocument/2006/relationships/hyperlink" Target="https://osu.ppy.sh/beatmapsets/956595" TargetMode="External"/><Relationship Id="rId176" Type="http://schemas.openxmlformats.org/officeDocument/2006/relationships/hyperlink" Target="https://osu.ppy.sh/beatmapsets/347023" TargetMode="External"/><Relationship Id="rId36" Type="http://schemas.openxmlformats.org/officeDocument/2006/relationships/hyperlink" Target="https://osu.ppy.sh/beatmapsets/917159" TargetMode="External"/><Relationship Id="rId175" Type="http://schemas.openxmlformats.org/officeDocument/2006/relationships/hyperlink" Target="https://osu.ppy.sh/beatmapsets/347023" TargetMode="External"/><Relationship Id="rId39" Type="http://schemas.openxmlformats.org/officeDocument/2006/relationships/hyperlink" Target="https://osu.ppy.sh/beatmapsets/1131726" TargetMode="External"/><Relationship Id="rId174" Type="http://schemas.openxmlformats.org/officeDocument/2006/relationships/hyperlink" Target="https://osu.ppy.sh/beatmapsets/1286316" TargetMode="External"/><Relationship Id="rId38" Type="http://schemas.openxmlformats.org/officeDocument/2006/relationships/hyperlink" Target="https://osu.ppy.sh/beatmapsets/956595" TargetMode="External"/><Relationship Id="rId173" Type="http://schemas.openxmlformats.org/officeDocument/2006/relationships/hyperlink" Target="https://osu.ppy.sh/beatmapsets/1286316" TargetMode="External"/><Relationship Id="rId179" Type="http://schemas.openxmlformats.org/officeDocument/2006/relationships/hyperlink" Target="https://osu.ppy.sh/beatmapsets/1268030" TargetMode="External"/><Relationship Id="rId178" Type="http://schemas.openxmlformats.org/officeDocument/2006/relationships/hyperlink" Target="https://osu.ppy.sh/beatmapsets/87188" TargetMode="External"/><Relationship Id="rId177" Type="http://schemas.openxmlformats.org/officeDocument/2006/relationships/hyperlink" Target="https://osu.ppy.sh/beatmapsets/87188" TargetMode="External"/><Relationship Id="rId20" Type="http://schemas.openxmlformats.org/officeDocument/2006/relationships/hyperlink" Target="https://osu.ppy.sh/beatmapsets/1079281" TargetMode="External"/><Relationship Id="rId22" Type="http://schemas.openxmlformats.org/officeDocument/2006/relationships/hyperlink" Target="https://osu.ppy.sh/beatmapsets/1614904" TargetMode="External"/><Relationship Id="rId21" Type="http://schemas.openxmlformats.org/officeDocument/2006/relationships/hyperlink" Target="https://osu.ppy.sh/beatmapsets/1614904" TargetMode="External"/><Relationship Id="rId24" Type="http://schemas.openxmlformats.org/officeDocument/2006/relationships/hyperlink" Target="https://osu.ppy.sh/beatmapsets/1169856" TargetMode="External"/><Relationship Id="rId23" Type="http://schemas.openxmlformats.org/officeDocument/2006/relationships/hyperlink" Target="https://osu.ppy.sh/beatmapsets/1169856" TargetMode="External"/><Relationship Id="rId26" Type="http://schemas.openxmlformats.org/officeDocument/2006/relationships/hyperlink" Target="https://osu.ppy.sh/beatmapsets/1381824" TargetMode="External"/><Relationship Id="rId25" Type="http://schemas.openxmlformats.org/officeDocument/2006/relationships/hyperlink" Target="https://osu.ppy.sh/beatmapsets/1381824" TargetMode="External"/><Relationship Id="rId28" Type="http://schemas.openxmlformats.org/officeDocument/2006/relationships/hyperlink" Target="https://osu.ppy.sh/beatmapsets/932654" TargetMode="External"/><Relationship Id="rId27" Type="http://schemas.openxmlformats.org/officeDocument/2006/relationships/hyperlink" Target="https://osu.ppy.sh/beatmapsets/932654" TargetMode="External"/><Relationship Id="rId29" Type="http://schemas.openxmlformats.org/officeDocument/2006/relationships/hyperlink" Target="https://osu.ppy.sh/beatmapsets/1533832" TargetMode="External"/><Relationship Id="rId11" Type="http://schemas.openxmlformats.org/officeDocument/2006/relationships/hyperlink" Target="https://osu.ppy.sh/beatmapsets/932567" TargetMode="External"/><Relationship Id="rId10" Type="http://schemas.openxmlformats.org/officeDocument/2006/relationships/hyperlink" Target="https://osu.ppy.sh/beatmapsets/1238190" TargetMode="External"/><Relationship Id="rId13" Type="http://schemas.openxmlformats.org/officeDocument/2006/relationships/hyperlink" Target="https://osu.ppy.sh/beatmapsets/721320" TargetMode="External"/><Relationship Id="rId12" Type="http://schemas.openxmlformats.org/officeDocument/2006/relationships/hyperlink" Target="https://osu.ppy.sh/beatmapsets/932567" TargetMode="External"/><Relationship Id="rId15" Type="http://schemas.openxmlformats.org/officeDocument/2006/relationships/hyperlink" Target="https://osu.ppy.sh/beatmapsets/1977605" TargetMode="External"/><Relationship Id="rId198" Type="http://schemas.openxmlformats.org/officeDocument/2006/relationships/hyperlink" Target="https://osu.ppy.sh/beatmapsets/821587" TargetMode="External"/><Relationship Id="rId14" Type="http://schemas.openxmlformats.org/officeDocument/2006/relationships/hyperlink" Target="https://osu.ppy.sh/beatmapsets/721320" TargetMode="External"/><Relationship Id="rId197" Type="http://schemas.openxmlformats.org/officeDocument/2006/relationships/hyperlink" Target="https://osu.ppy.sh/beatmapsets/821587" TargetMode="External"/><Relationship Id="rId17" Type="http://schemas.openxmlformats.org/officeDocument/2006/relationships/hyperlink" Target="https://osu.ppy.sh/beatmapsets/1724615" TargetMode="External"/><Relationship Id="rId196" Type="http://schemas.openxmlformats.org/officeDocument/2006/relationships/hyperlink" Target="https://osu.ppy.sh/beatmapsets/1547170" TargetMode="External"/><Relationship Id="rId16" Type="http://schemas.openxmlformats.org/officeDocument/2006/relationships/hyperlink" Target="https://osu.ppy.sh/beatmapsets/1977605" TargetMode="External"/><Relationship Id="rId195" Type="http://schemas.openxmlformats.org/officeDocument/2006/relationships/hyperlink" Target="https://osu.ppy.sh/beatmapsets/1547170" TargetMode="External"/><Relationship Id="rId19" Type="http://schemas.openxmlformats.org/officeDocument/2006/relationships/hyperlink" Target="https://osu.ppy.sh/beatmapsets/1079281" TargetMode="External"/><Relationship Id="rId18" Type="http://schemas.openxmlformats.org/officeDocument/2006/relationships/hyperlink" Target="https://osu.ppy.sh/beatmapsets/1724615" TargetMode="External"/><Relationship Id="rId199" Type="http://schemas.openxmlformats.org/officeDocument/2006/relationships/hyperlink" Target="https://osu.ppy.sh/beatmapsets/1809661" TargetMode="External"/><Relationship Id="rId84" Type="http://schemas.openxmlformats.org/officeDocument/2006/relationships/hyperlink" Target="https://osu.ppy.sh/beatmapsets/1178471" TargetMode="External"/><Relationship Id="rId83" Type="http://schemas.openxmlformats.org/officeDocument/2006/relationships/hyperlink" Target="https://osu.ppy.sh/beatmapsets/1178471" TargetMode="External"/><Relationship Id="rId86" Type="http://schemas.openxmlformats.org/officeDocument/2006/relationships/hyperlink" Target="https://osu.ppy.sh/beatmapsets/1441316" TargetMode="External"/><Relationship Id="rId85" Type="http://schemas.openxmlformats.org/officeDocument/2006/relationships/hyperlink" Target="https://osu.ppy.sh/beatmapsets/1441316" TargetMode="External"/><Relationship Id="rId88" Type="http://schemas.openxmlformats.org/officeDocument/2006/relationships/hyperlink" Target="https://osu.ppy.sh/beatmapsets/2023886" TargetMode="External"/><Relationship Id="rId150" Type="http://schemas.openxmlformats.org/officeDocument/2006/relationships/hyperlink" Target="https://osu.ppy.sh/beatmapsets/589697" TargetMode="External"/><Relationship Id="rId87" Type="http://schemas.openxmlformats.org/officeDocument/2006/relationships/hyperlink" Target="https://osu.ppy.sh/beatmapsets/2023886" TargetMode="External"/><Relationship Id="rId89" Type="http://schemas.openxmlformats.org/officeDocument/2006/relationships/hyperlink" Target="https://osu.ppy.sh/beatmapsets/1857926" TargetMode="External"/><Relationship Id="rId80" Type="http://schemas.openxmlformats.org/officeDocument/2006/relationships/hyperlink" Target="https://osu.ppy.sh/beatmapsets/941246" TargetMode="External"/><Relationship Id="rId82" Type="http://schemas.openxmlformats.org/officeDocument/2006/relationships/hyperlink" Target="https://osu.ppy.sh/beatmapsets/519054" TargetMode="External"/><Relationship Id="rId81" Type="http://schemas.openxmlformats.org/officeDocument/2006/relationships/hyperlink" Target="https://osu.ppy.sh/beatmapsets/519054" TargetMode="External"/><Relationship Id="rId1" Type="http://schemas.openxmlformats.org/officeDocument/2006/relationships/hyperlink" Target="https://osu.ppy.sh/beatmapsets/357800" TargetMode="External"/><Relationship Id="rId2" Type="http://schemas.openxmlformats.org/officeDocument/2006/relationships/hyperlink" Target="https://osu.ppy.sh/beatmapsets/357800" TargetMode="External"/><Relationship Id="rId3" Type="http://schemas.openxmlformats.org/officeDocument/2006/relationships/hyperlink" Target="https://osu.ppy.sh/beatmapsets/1478828" TargetMode="External"/><Relationship Id="rId149" Type="http://schemas.openxmlformats.org/officeDocument/2006/relationships/hyperlink" Target="https://osu.ppy.sh/beatmapsets/589697" TargetMode="External"/><Relationship Id="rId4" Type="http://schemas.openxmlformats.org/officeDocument/2006/relationships/hyperlink" Target="https://osu.ppy.sh/beatmapsets/1478828" TargetMode="External"/><Relationship Id="rId148" Type="http://schemas.openxmlformats.org/officeDocument/2006/relationships/hyperlink" Target="https://osu.ppy.sh/beatmapsets/5918" TargetMode="External"/><Relationship Id="rId9" Type="http://schemas.openxmlformats.org/officeDocument/2006/relationships/hyperlink" Target="https://osu.ppy.sh/beatmapsets/1238190" TargetMode="External"/><Relationship Id="rId143" Type="http://schemas.openxmlformats.org/officeDocument/2006/relationships/hyperlink" Target="https://osu.ppy.sh/beatmapsets/1848926" TargetMode="External"/><Relationship Id="rId142" Type="http://schemas.openxmlformats.org/officeDocument/2006/relationships/hyperlink" Target="https://osu.ppy.sh/beatmapsets/1098181" TargetMode="External"/><Relationship Id="rId141" Type="http://schemas.openxmlformats.org/officeDocument/2006/relationships/hyperlink" Target="https://osu.ppy.sh/beatmapsets/1098181" TargetMode="External"/><Relationship Id="rId140" Type="http://schemas.openxmlformats.org/officeDocument/2006/relationships/hyperlink" Target="https://osu.ppy.sh/beatmapsets/755512" TargetMode="External"/><Relationship Id="rId5" Type="http://schemas.openxmlformats.org/officeDocument/2006/relationships/hyperlink" Target="https://osu.ppy.sh/beatmapsets/1544866" TargetMode="External"/><Relationship Id="rId147" Type="http://schemas.openxmlformats.org/officeDocument/2006/relationships/hyperlink" Target="https://osu.ppy.sh/beatmapsets/5918" TargetMode="External"/><Relationship Id="rId6" Type="http://schemas.openxmlformats.org/officeDocument/2006/relationships/hyperlink" Target="https://osu.ppy.sh/beatmapsets/1544866" TargetMode="External"/><Relationship Id="rId146" Type="http://schemas.openxmlformats.org/officeDocument/2006/relationships/hyperlink" Target="https://osu.ppy.sh/beatmapsets/1207286" TargetMode="External"/><Relationship Id="rId7" Type="http://schemas.openxmlformats.org/officeDocument/2006/relationships/hyperlink" Target="https://osu.ppy.sh/beatmapsets/998415" TargetMode="External"/><Relationship Id="rId145" Type="http://schemas.openxmlformats.org/officeDocument/2006/relationships/hyperlink" Target="https://osu.ppy.sh/beatmapsets/1207286" TargetMode="External"/><Relationship Id="rId8" Type="http://schemas.openxmlformats.org/officeDocument/2006/relationships/hyperlink" Target="https://osu.ppy.sh/beatmapsets/998415" TargetMode="External"/><Relationship Id="rId144" Type="http://schemas.openxmlformats.org/officeDocument/2006/relationships/hyperlink" Target="https://osu.ppy.sh/beatmapsets/1848926" TargetMode="External"/><Relationship Id="rId73" Type="http://schemas.openxmlformats.org/officeDocument/2006/relationships/hyperlink" Target="https://osu.ppy.sh/beatmapsets/996628" TargetMode="External"/><Relationship Id="rId72" Type="http://schemas.openxmlformats.org/officeDocument/2006/relationships/hyperlink" Target="https://osu.ppy.sh/beatmapsets/1765453" TargetMode="External"/><Relationship Id="rId75" Type="http://schemas.openxmlformats.org/officeDocument/2006/relationships/hyperlink" Target="https://osu.ppy.sh/beatmapsets/172900" TargetMode="External"/><Relationship Id="rId74" Type="http://schemas.openxmlformats.org/officeDocument/2006/relationships/hyperlink" Target="https://osu.ppy.sh/beatmapsets/996628" TargetMode="External"/><Relationship Id="rId77" Type="http://schemas.openxmlformats.org/officeDocument/2006/relationships/hyperlink" Target="https://osu.ppy.sh/beatmapsets/790382" TargetMode="External"/><Relationship Id="rId76" Type="http://schemas.openxmlformats.org/officeDocument/2006/relationships/hyperlink" Target="https://osu.ppy.sh/beatmapsets/172900" TargetMode="External"/><Relationship Id="rId79" Type="http://schemas.openxmlformats.org/officeDocument/2006/relationships/hyperlink" Target="https://osu.ppy.sh/beatmapsets/941246" TargetMode="External"/><Relationship Id="rId78" Type="http://schemas.openxmlformats.org/officeDocument/2006/relationships/hyperlink" Target="https://osu.ppy.sh/beatmapsets/790382" TargetMode="External"/><Relationship Id="rId71" Type="http://schemas.openxmlformats.org/officeDocument/2006/relationships/hyperlink" Target="https://osu.ppy.sh/beatmapsets/1765453" TargetMode="External"/><Relationship Id="rId70" Type="http://schemas.openxmlformats.org/officeDocument/2006/relationships/hyperlink" Target="https://osu.ppy.sh/beatmapsets/546820" TargetMode="External"/><Relationship Id="rId139" Type="http://schemas.openxmlformats.org/officeDocument/2006/relationships/hyperlink" Target="https://osu.ppy.sh/beatmapsets/755512" TargetMode="External"/><Relationship Id="rId138" Type="http://schemas.openxmlformats.org/officeDocument/2006/relationships/hyperlink" Target="https://osu.ppy.sh/beatmapsets/663255" TargetMode="External"/><Relationship Id="rId137" Type="http://schemas.openxmlformats.org/officeDocument/2006/relationships/hyperlink" Target="https://osu.ppy.sh/beatmapsets/663255" TargetMode="External"/><Relationship Id="rId132" Type="http://schemas.openxmlformats.org/officeDocument/2006/relationships/hyperlink" Target="https://osu.ppy.sh/beatmapsets/967021" TargetMode="External"/><Relationship Id="rId131" Type="http://schemas.openxmlformats.org/officeDocument/2006/relationships/hyperlink" Target="https://osu.ppy.sh/beatmapsets/967021" TargetMode="External"/><Relationship Id="rId130" Type="http://schemas.openxmlformats.org/officeDocument/2006/relationships/hyperlink" Target="https://osu.ppy.sh/beatmapsets/1089084" TargetMode="External"/><Relationship Id="rId136" Type="http://schemas.openxmlformats.org/officeDocument/2006/relationships/hyperlink" Target="https://osu.ppy.sh/beatmapsets/1415788" TargetMode="External"/><Relationship Id="rId135" Type="http://schemas.openxmlformats.org/officeDocument/2006/relationships/hyperlink" Target="https://osu.ppy.sh/beatmapsets/1415788" TargetMode="External"/><Relationship Id="rId134" Type="http://schemas.openxmlformats.org/officeDocument/2006/relationships/hyperlink" Target="https://osu.ppy.sh/beatmapsets/1676960" TargetMode="External"/><Relationship Id="rId133" Type="http://schemas.openxmlformats.org/officeDocument/2006/relationships/hyperlink" Target="https://osu.ppy.sh/beatmapsets/1676960" TargetMode="External"/><Relationship Id="rId62" Type="http://schemas.openxmlformats.org/officeDocument/2006/relationships/hyperlink" Target="https://osu.ppy.sh/beatmapsets/1693295" TargetMode="External"/><Relationship Id="rId61" Type="http://schemas.openxmlformats.org/officeDocument/2006/relationships/hyperlink" Target="https://osu.ppy.sh/beatmapsets/1693295" TargetMode="External"/><Relationship Id="rId64" Type="http://schemas.openxmlformats.org/officeDocument/2006/relationships/hyperlink" Target="https://osu.ppy.sh/beatmapsets/924701" TargetMode="External"/><Relationship Id="rId63" Type="http://schemas.openxmlformats.org/officeDocument/2006/relationships/hyperlink" Target="https://osu.ppy.sh/beatmapsets/924701" TargetMode="External"/><Relationship Id="rId66" Type="http://schemas.openxmlformats.org/officeDocument/2006/relationships/hyperlink" Target="https://osu.ppy.sh/beatmapsets/106568" TargetMode="External"/><Relationship Id="rId172" Type="http://schemas.openxmlformats.org/officeDocument/2006/relationships/hyperlink" Target="https://osu.ppy.sh/beatmapsets/1280207" TargetMode="External"/><Relationship Id="rId65" Type="http://schemas.openxmlformats.org/officeDocument/2006/relationships/hyperlink" Target="https://osu.ppy.sh/beatmapsets/106568" TargetMode="External"/><Relationship Id="rId171" Type="http://schemas.openxmlformats.org/officeDocument/2006/relationships/hyperlink" Target="https://osu.ppy.sh/beatmapsets/1280207" TargetMode="External"/><Relationship Id="rId68" Type="http://schemas.openxmlformats.org/officeDocument/2006/relationships/hyperlink" Target="https://osu.ppy.sh/beatmapsets/1581327" TargetMode="External"/><Relationship Id="rId170" Type="http://schemas.openxmlformats.org/officeDocument/2006/relationships/hyperlink" Target="https://osu.ppy.sh/beatmapsets/1093430" TargetMode="External"/><Relationship Id="rId67" Type="http://schemas.openxmlformats.org/officeDocument/2006/relationships/hyperlink" Target="https://osu.ppy.sh/beatmapsets/1581327" TargetMode="External"/><Relationship Id="rId60" Type="http://schemas.openxmlformats.org/officeDocument/2006/relationships/hyperlink" Target="https://osu.ppy.sh/beatmapsets/824959" TargetMode="External"/><Relationship Id="rId165" Type="http://schemas.openxmlformats.org/officeDocument/2006/relationships/hyperlink" Target="https://osu.ppy.sh/beatmapsets/1670118" TargetMode="External"/><Relationship Id="rId69" Type="http://schemas.openxmlformats.org/officeDocument/2006/relationships/hyperlink" Target="https://osu.ppy.sh/beatmapsets/546820" TargetMode="External"/><Relationship Id="rId164" Type="http://schemas.openxmlformats.org/officeDocument/2006/relationships/hyperlink" Target="https://osu.ppy.sh/beatmapsets/83560" TargetMode="External"/><Relationship Id="rId163" Type="http://schemas.openxmlformats.org/officeDocument/2006/relationships/hyperlink" Target="https://osu.ppy.sh/beatmapsets/83560" TargetMode="External"/><Relationship Id="rId162" Type="http://schemas.openxmlformats.org/officeDocument/2006/relationships/hyperlink" Target="https://osu.ppy.sh/beatmapsets/1880072" TargetMode="External"/><Relationship Id="rId169" Type="http://schemas.openxmlformats.org/officeDocument/2006/relationships/hyperlink" Target="https://osu.ppy.sh/beatmapsets/1093430" TargetMode="External"/><Relationship Id="rId168" Type="http://schemas.openxmlformats.org/officeDocument/2006/relationships/hyperlink" Target="https://osu.ppy.sh/beatmapsets/1328138" TargetMode="External"/><Relationship Id="rId167" Type="http://schemas.openxmlformats.org/officeDocument/2006/relationships/hyperlink" Target="https://osu.ppy.sh/beatmapsets/1328138" TargetMode="External"/><Relationship Id="rId166" Type="http://schemas.openxmlformats.org/officeDocument/2006/relationships/hyperlink" Target="https://osu.ppy.sh/beatmapsets/1670118" TargetMode="External"/><Relationship Id="rId51" Type="http://schemas.openxmlformats.org/officeDocument/2006/relationships/hyperlink" Target="https://osu.ppy.sh/beatmapsets/956716" TargetMode="External"/><Relationship Id="rId50" Type="http://schemas.openxmlformats.org/officeDocument/2006/relationships/hyperlink" Target="https://osu.ppy.sh/beatmapsets/1358622" TargetMode="External"/><Relationship Id="rId53" Type="http://schemas.openxmlformats.org/officeDocument/2006/relationships/hyperlink" Target="https://osu.ppy.sh/beatmapsets/1544600" TargetMode="External"/><Relationship Id="rId52" Type="http://schemas.openxmlformats.org/officeDocument/2006/relationships/hyperlink" Target="https://osu.ppy.sh/beatmapsets/956716" TargetMode="External"/><Relationship Id="rId55" Type="http://schemas.openxmlformats.org/officeDocument/2006/relationships/hyperlink" Target="https://osu.ppy.sh/beatmapsets/1329045" TargetMode="External"/><Relationship Id="rId161" Type="http://schemas.openxmlformats.org/officeDocument/2006/relationships/hyperlink" Target="https://osu.ppy.sh/beatmapsets/1880072" TargetMode="External"/><Relationship Id="rId54" Type="http://schemas.openxmlformats.org/officeDocument/2006/relationships/hyperlink" Target="https://osu.ppy.sh/beatmapsets/1544600" TargetMode="External"/><Relationship Id="rId160" Type="http://schemas.openxmlformats.org/officeDocument/2006/relationships/hyperlink" Target="https://osu.ppy.sh/beatmapsets/120987" TargetMode="External"/><Relationship Id="rId57" Type="http://schemas.openxmlformats.org/officeDocument/2006/relationships/hyperlink" Target="https://osu.ppy.sh/beatmapsets/1176431" TargetMode="External"/><Relationship Id="rId56" Type="http://schemas.openxmlformats.org/officeDocument/2006/relationships/hyperlink" Target="https://osu.ppy.sh/beatmapsets/1329045" TargetMode="External"/><Relationship Id="rId159" Type="http://schemas.openxmlformats.org/officeDocument/2006/relationships/hyperlink" Target="https://osu.ppy.sh/beatmapsets/120987" TargetMode="External"/><Relationship Id="rId59" Type="http://schemas.openxmlformats.org/officeDocument/2006/relationships/hyperlink" Target="https://osu.ppy.sh/beatmapsets/824959" TargetMode="External"/><Relationship Id="rId154" Type="http://schemas.openxmlformats.org/officeDocument/2006/relationships/hyperlink" Target="https://osu.ppy.sh/beatmapsets/1366507" TargetMode="External"/><Relationship Id="rId58" Type="http://schemas.openxmlformats.org/officeDocument/2006/relationships/hyperlink" Target="https://osu.ppy.sh/beatmapsets/1176431" TargetMode="External"/><Relationship Id="rId153" Type="http://schemas.openxmlformats.org/officeDocument/2006/relationships/hyperlink" Target="https://osu.ppy.sh/beatmapsets/1366507" TargetMode="External"/><Relationship Id="rId152" Type="http://schemas.openxmlformats.org/officeDocument/2006/relationships/hyperlink" Target="https://osu.ppy.sh/beatmapsets/1052199" TargetMode="External"/><Relationship Id="rId151" Type="http://schemas.openxmlformats.org/officeDocument/2006/relationships/hyperlink" Target="https://osu.ppy.sh/beatmapsets/1052199" TargetMode="External"/><Relationship Id="rId158" Type="http://schemas.openxmlformats.org/officeDocument/2006/relationships/hyperlink" Target="https://osu.ppy.sh/beatmapsets/1850818" TargetMode="External"/><Relationship Id="rId157" Type="http://schemas.openxmlformats.org/officeDocument/2006/relationships/hyperlink" Target="https://osu.ppy.sh/beatmapsets/1850818" TargetMode="External"/><Relationship Id="rId156" Type="http://schemas.openxmlformats.org/officeDocument/2006/relationships/hyperlink" Target="https://osu.ppy.sh/beatmapsets/1838113" TargetMode="External"/><Relationship Id="rId155" Type="http://schemas.openxmlformats.org/officeDocument/2006/relationships/hyperlink" Target="https://osu.ppy.sh/beatmapsets/1838113" TargetMode="External"/><Relationship Id="rId107" Type="http://schemas.openxmlformats.org/officeDocument/2006/relationships/hyperlink" Target="https://osu.ppy.sh/beatmapsets/1248923" TargetMode="External"/><Relationship Id="rId228" Type="http://schemas.openxmlformats.org/officeDocument/2006/relationships/hyperlink" Target="https://osu.ppy.sh/beatmapsets/1865291" TargetMode="External"/><Relationship Id="rId106" Type="http://schemas.openxmlformats.org/officeDocument/2006/relationships/hyperlink" Target="https://osu.ppy.sh/beatmapsets/1616029" TargetMode="External"/><Relationship Id="rId227" Type="http://schemas.openxmlformats.org/officeDocument/2006/relationships/hyperlink" Target="https://osu.ppy.sh/beatmapsets/1865291" TargetMode="External"/><Relationship Id="rId105" Type="http://schemas.openxmlformats.org/officeDocument/2006/relationships/hyperlink" Target="https://osu.ppy.sh/beatmapsets/1616029" TargetMode="External"/><Relationship Id="rId226" Type="http://schemas.openxmlformats.org/officeDocument/2006/relationships/hyperlink" Target="https://osu.ppy.sh/beatmapsets/16371" TargetMode="External"/><Relationship Id="rId104" Type="http://schemas.openxmlformats.org/officeDocument/2006/relationships/hyperlink" Target="https://osu.ppy.sh/beatmapsets/292077" TargetMode="External"/><Relationship Id="rId225" Type="http://schemas.openxmlformats.org/officeDocument/2006/relationships/hyperlink" Target="https://osu.ppy.sh/beatmapsets/16371" TargetMode="External"/><Relationship Id="rId109" Type="http://schemas.openxmlformats.org/officeDocument/2006/relationships/hyperlink" Target="https://osu.ppy.sh/beatmapsets/1598238" TargetMode="External"/><Relationship Id="rId108" Type="http://schemas.openxmlformats.org/officeDocument/2006/relationships/hyperlink" Target="https://osu.ppy.sh/beatmapsets/1248923" TargetMode="External"/><Relationship Id="rId229" Type="http://schemas.openxmlformats.org/officeDocument/2006/relationships/hyperlink" Target="https://osu.ppy.sh/beatmapsets/396370" TargetMode="External"/><Relationship Id="rId220" Type="http://schemas.openxmlformats.org/officeDocument/2006/relationships/hyperlink" Target="https://osu.ppy.sh/beatmapsets/749304" TargetMode="External"/><Relationship Id="rId103" Type="http://schemas.openxmlformats.org/officeDocument/2006/relationships/hyperlink" Target="https://osu.ppy.sh/beatmapsets/292077" TargetMode="External"/><Relationship Id="rId224" Type="http://schemas.openxmlformats.org/officeDocument/2006/relationships/hyperlink" Target="https://osu.ppy.sh/beatmapsets/1885986" TargetMode="External"/><Relationship Id="rId102" Type="http://schemas.openxmlformats.org/officeDocument/2006/relationships/hyperlink" Target="https://osu.ppy.sh/beatmapsets/1586738" TargetMode="External"/><Relationship Id="rId223" Type="http://schemas.openxmlformats.org/officeDocument/2006/relationships/hyperlink" Target="https://osu.ppy.sh/beatmapsets/1885986" TargetMode="External"/><Relationship Id="rId101" Type="http://schemas.openxmlformats.org/officeDocument/2006/relationships/hyperlink" Target="https://osu.ppy.sh/beatmapsets/1586738" TargetMode="External"/><Relationship Id="rId222" Type="http://schemas.openxmlformats.org/officeDocument/2006/relationships/hyperlink" Target="https://osu.ppy.sh/beatmapsets/4907" TargetMode="External"/><Relationship Id="rId100" Type="http://schemas.openxmlformats.org/officeDocument/2006/relationships/hyperlink" Target="https://osu.ppy.sh/beatmapsets/8923" TargetMode="External"/><Relationship Id="rId221" Type="http://schemas.openxmlformats.org/officeDocument/2006/relationships/hyperlink" Target="https://osu.ppy.sh/beatmapsets/4907" TargetMode="External"/><Relationship Id="rId217" Type="http://schemas.openxmlformats.org/officeDocument/2006/relationships/hyperlink" Target="https://osu.ppy.sh/beatmapsets/408745" TargetMode="External"/><Relationship Id="rId216" Type="http://schemas.openxmlformats.org/officeDocument/2006/relationships/hyperlink" Target="https://osu.ppy.sh/beatmapsets/1130251" TargetMode="External"/><Relationship Id="rId215" Type="http://schemas.openxmlformats.org/officeDocument/2006/relationships/hyperlink" Target="https://osu.ppy.sh/beatmapsets/1130251" TargetMode="External"/><Relationship Id="rId214" Type="http://schemas.openxmlformats.org/officeDocument/2006/relationships/hyperlink" Target="https://osu.ppy.sh/beatmapsets/1633242" TargetMode="External"/><Relationship Id="rId219" Type="http://schemas.openxmlformats.org/officeDocument/2006/relationships/hyperlink" Target="https://osu.ppy.sh/beatmapsets/749304" TargetMode="External"/><Relationship Id="rId218" Type="http://schemas.openxmlformats.org/officeDocument/2006/relationships/hyperlink" Target="https://osu.ppy.sh/beatmapsets/408745" TargetMode="External"/><Relationship Id="rId213" Type="http://schemas.openxmlformats.org/officeDocument/2006/relationships/hyperlink" Target="https://osu.ppy.sh/beatmapsets/1633242" TargetMode="External"/><Relationship Id="rId212" Type="http://schemas.openxmlformats.org/officeDocument/2006/relationships/hyperlink" Target="https://osu.ppy.sh/beatmapsets/749323" TargetMode="External"/><Relationship Id="rId211" Type="http://schemas.openxmlformats.org/officeDocument/2006/relationships/hyperlink" Target="https://osu.ppy.sh/beatmapsets/749323" TargetMode="External"/><Relationship Id="rId210" Type="http://schemas.openxmlformats.org/officeDocument/2006/relationships/hyperlink" Target="https://osu.ppy.sh/beatmapsets/586144" TargetMode="External"/><Relationship Id="rId129" Type="http://schemas.openxmlformats.org/officeDocument/2006/relationships/hyperlink" Target="https://osu.ppy.sh/beatmapsets/1089084" TargetMode="External"/><Relationship Id="rId128" Type="http://schemas.openxmlformats.org/officeDocument/2006/relationships/hyperlink" Target="https://osu.ppy.sh/beatmapsets/927758" TargetMode="External"/><Relationship Id="rId127" Type="http://schemas.openxmlformats.org/officeDocument/2006/relationships/hyperlink" Target="https://osu.ppy.sh/beatmapsets/927758" TargetMode="External"/><Relationship Id="rId126" Type="http://schemas.openxmlformats.org/officeDocument/2006/relationships/hyperlink" Target="https://osu.ppy.sh/beatmapsets/1901819" TargetMode="External"/><Relationship Id="rId121" Type="http://schemas.openxmlformats.org/officeDocument/2006/relationships/hyperlink" Target="https://osu.ppy.sh/beatmapsets/1574603" TargetMode="External"/><Relationship Id="rId120" Type="http://schemas.openxmlformats.org/officeDocument/2006/relationships/hyperlink" Target="https://osu.ppy.sh/beatmapsets/1109683" TargetMode="External"/><Relationship Id="rId125" Type="http://schemas.openxmlformats.org/officeDocument/2006/relationships/hyperlink" Target="https://osu.ppy.sh/beatmapsets/1901819" TargetMode="External"/><Relationship Id="rId124" Type="http://schemas.openxmlformats.org/officeDocument/2006/relationships/hyperlink" Target="https://osu.ppy.sh/beatmapsets/1349093" TargetMode="External"/><Relationship Id="rId123" Type="http://schemas.openxmlformats.org/officeDocument/2006/relationships/hyperlink" Target="https://osu.ppy.sh/beatmapsets/1349093" TargetMode="External"/><Relationship Id="rId122" Type="http://schemas.openxmlformats.org/officeDocument/2006/relationships/hyperlink" Target="https://osu.ppy.sh/beatmapsets/1574603" TargetMode="External"/><Relationship Id="rId95" Type="http://schemas.openxmlformats.org/officeDocument/2006/relationships/hyperlink" Target="https://osu.ppy.sh/beatmapsets/699749" TargetMode="External"/><Relationship Id="rId94" Type="http://schemas.openxmlformats.org/officeDocument/2006/relationships/hyperlink" Target="https://osu.ppy.sh/beatmapsets/31224" TargetMode="External"/><Relationship Id="rId97" Type="http://schemas.openxmlformats.org/officeDocument/2006/relationships/hyperlink" Target="https://osu.ppy.sh/beatmapsets/1888886" TargetMode="External"/><Relationship Id="rId96" Type="http://schemas.openxmlformats.org/officeDocument/2006/relationships/hyperlink" Target="https://osu.ppy.sh/beatmapsets/699749" TargetMode="External"/><Relationship Id="rId99" Type="http://schemas.openxmlformats.org/officeDocument/2006/relationships/hyperlink" Target="https://osu.ppy.sh/beatmapsets/8923" TargetMode="External"/><Relationship Id="rId98" Type="http://schemas.openxmlformats.org/officeDocument/2006/relationships/hyperlink" Target="https://osu.ppy.sh/beatmapsets/1888886" TargetMode="External"/><Relationship Id="rId91" Type="http://schemas.openxmlformats.org/officeDocument/2006/relationships/hyperlink" Target="https://osu.ppy.sh/beatmapsets/1181343" TargetMode="External"/><Relationship Id="rId90" Type="http://schemas.openxmlformats.org/officeDocument/2006/relationships/hyperlink" Target="https://osu.ppy.sh/beatmapsets/1857926" TargetMode="External"/><Relationship Id="rId93" Type="http://schemas.openxmlformats.org/officeDocument/2006/relationships/hyperlink" Target="https://osu.ppy.sh/beatmapsets/31224" TargetMode="External"/><Relationship Id="rId92" Type="http://schemas.openxmlformats.org/officeDocument/2006/relationships/hyperlink" Target="https://osu.ppy.sh/beatmapsets/1181343" TargetMode="External"/><Relationship Id="rId118" Type="http://schemas.openxmlformats.org/officeDocument/2006/relationships/hyperlink" Target="https://osu.ppy.sh/beatmapsets/1785134" TargetMode="External"/><Relationship Id="rId117" Type="http://schemas.openxmlformats.org/officeDocument/2006/relationships/hyperlink" Target="https://osu.ppy.sh/beatmapsets/1785134" TargetMode="External"/><Relationship Id="rId116" Type="http://schemas.openxmlformats.org/officeDocument/2006/relationships/hyperlink" Target="https://osu.ppy.sh/beatmapsets/819349" TargetMode="External"/><Relationship Id="rId115" Type="http://schemas.openxmlformats.org/officeDocument/2006/relationships/hyperlink" Target="https://osu.ppy.sh/beatmapsets/819349" TargetMode="External"/><Relationship Id="rId119" Type="http://schemas.openxmlformats.org/officeDocument/2006/relationships/hyperlink" Target="https://osu.ppy.sh/beatmapsets/1109683" TargetMode="External"/><Relationship Id="rId110" Type="http://schemas.openxmlformats.org/officeDocument/2006/relationships/hyperlink" Target="https://osu.ppy.sh/beatmapsets/1598238" TargetMode="External"/><Relationship Id="rId231" Type="http://schemas.openxmlformats.org/officeDocument/2006/relationships/drawing" Target="../drawings/drawing14.xml"/><Relationship Id="rId230" Type="http://schemas.openxmlformats.org/officeDocument/2006/relationships/hyperlink" Target="https://osu.ppy.sh/beatmapsets/396370" TargetMode="External"/><Relationship Id="rId114" Type="http://schemas.openxmlformats.org/officeDocument/2006/relationships/hyperlink" Target="https://osu.ppy.sh/beatmapsets/251437" TargetMode="External"/><Relationship Id="rId113" Type="http://schemas.openxmlformats.org/officeDocument/2006/relationships/hyperlink" Target="https://osu.ppy.sh/beatmapsets/251437" TargetMode="External"/><Relationship Id="rId112" Type="http://schemas.openxmlformats.org/officeDocument/2006/relationships/hyperlink" Target="https://osu.ppy.sh/beatmapsets/1851405" TargetMode="External"/><Relationship Id="rId111" Type="http://schemas.openxmlformats.org/officeDocument/2006/relationships/hyperlink" Target="https://osu.ppy.sh/beatmapsets/1851405" TargetMode="External"/><Relationship Id="rId206" Type="http://schemas.openxmlformats.org/officeDocument/2006/relationships/hyperlink" Target="https://osu.ppy.sh/beatmapsets/1985409" TargetMode="External"/><Relationship Id="rId205" Type="http://schemas.openxmlformats.org/officeDocument/2006/relationships/hyperlink" Target="https://osu.ppy.sh/beatmapsets/1985409" TargetMode="External"/><Relationship Id="rId204" Type="http://schemas.openxmlformats.org/officeDocument/2006/relationships/hyperlink" Target="https://osu.ppy.sh/beatmapsets/1123944" TargetMode="External"/><Relationship Id="rId203" Type="http://schemas.openxmlformats.org/officeDocument/2006/relationships/hyperlink" Target="https://osu.ppy.sh/beatmapsets/1123944" TargetMode="External"/><Relationship Id="rId209" Type="http://schemas.openxmlformats.org/officeDocument/2006/relationships/hyperlink" Target="https://osu.ppy.sh/beatmapsets/586144" TargetMode="External"/><Relationship Id="rId208" Type="http://schemas.openxmlformats.org/officeDocument/2006/relationships/hyperlink" Target="https://osu.ppy.sh/beatmapsets/1228132" TargetMode="External"/><Relationship Id="rId207" Type="http://schemas.openxmlformats.org/officeDocument/2006/relationships/hyperlink" Target="https://osu.ppy.sh/beatmapsets/1228132" TargetMode="External"/><Relationship Id="rId202" Type="http://schemas.openxmlformats.org/officeDocument/2006/relationships/hyperlink" Target="https://osu.ppy.sh/beatmapsets/1809604" TargetMode="External"/><Relationship Id="rId201" Type="http://schemas.openxmlformats.org/officeDocument/2006/relationships/hyperlink" Target="https://osu.ppy.sh/beatmapsets/1809604" TargetMode="External"/><Relationship Id="rId200" Type="http://schemas.openxmlformats.org/officeDocument/2006/relationships/hyperlink" Target="https://osu.ppy.sh/beatmapsets/1809661"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92" Type="http://schemas.openxmlformats.org/officeDocument/2006/relationships/hyperlink" Target="https://osu.ppy.sh/beatmapsets/172900" TargetMode="External"/><Relationship Id="rId391" Type="http://schemas.openxmlformats.org/officeDocument/2006/relationships/hyperlink" Target="https://osu.ppy.sh/beatmapsets/564329" TargetMode="External"/><Relationship Id="rId390" Type="http://schemas.openxmlformats.org/officeDocument/2006/relationships/hyperlink" Target="https://b.ppy.sh/thumb/564329l.jpg" TargetMode="External"/><Relationship Id="rId1" Type="http://schemas.openxmlformats.org/officeDocument/2006/relationships/hyperlink" Target="https://osu.ppy.sh/beatmapsets/1658910" TargetMode="External"/><Relationship Id="rId2" Type="http://schemas.openxmlformats.org/officeDocument/2006/relationships/hyperlink" Target="https://assets.ppy.sh/beatmaps/1658910/covers/cover.jpg" TargetMode="External"/><Relationship Id="rId3" Type="http://schemas.openxmlformats.org/officeDocument/2006/relationships/hyperlink" Target="https://b.ppy.sh/thumb/1658910l.jpg" TargetMode="External"/><Relationship Id="rId4" Type="http://schemas.openxmlformats.org/officeDocument/2006/relationships/hyperlink" Target="https://osu.ppy.sh/beatmapsets/111611" TargetMode="External"/><Relationship Id="rId9" Type="http://schemas.openxmlformats.org/officeDocument/2006/relationships/hyperlink" Target="https://assets.ppy.sh/beatmaps/1570531/covers/cover.jpg" TargetMode="External"/><Relationship Id="rId385" Type="http://schemas.openxmlformats.org/officeDocument/2006/relationships/hyperlink" Target="https://assets.ppy.sh/beatmaps/1508883/covers/cover.jpg" TargetMode="External"/><Relationship Id="rId384" Type="http://schemas.openxmlformats.org/officeDocument/2006/relationships/hyperlink" Target="https://osu.ppy.sh/beatmapsets/1508883" TargetMode="External"/><Relationship Id="rId383" Type="http://schemas.openxmlformats.org/officeDocument/2006/relationships/hyperlink" Target="https://osu.ppy.sh/beatmapsets/1508883" TargetMode="External"/><Relationship Id="rId382" Type="http://schemas.openxmlformats.org/officeDocument/2006/relationships/hyperlink" Target="https://b.ppy.sh/thumb/1508883l.jpg" TargetMode="External"/><Relationship Id="rId5" Type="http://schemas.openxmlformats.org/officeDocument/2006/relationships/hyperlink" Target="https://assets.ppy.sh/beatmaps/111611/covers/cover.jpg" TargetMode="External"/><Relationship Id="rId389" Type="http://schemas.openxmlformats.org/officeDocument/2006/relationships/hyperlink" Target="https://assets.ppy.sh/beatmaps/564329/covers/cover.jpg" TargetMode="External"/><Relationship Id="rId6" Type="http://schemas.openxmlformats.org/officeDocument/2006/relationships/hyperlink" Target="https://b.ppy.sh/thumb/111611l.jpg" TargetMode="External"/><Relationship Id="rId388" Type="http://schemas.openxmlformats.org/officeDocument/2006/relationships/hyperlink" Target="https://osu.ppy.sh/beatmapsets/564329" TargetMode="External"/><Relationship Id="rId7" Type="http://schemas.openxmlformats.org/officeDocument/2006/relationships/hyperlink" Target="https://osu.ppy.sh/beatmapsets/111611" TargetMode="External"/><Relationship Id="rId387" Type="http://schemas.openxmlformats.org/officeDocument/2006/relationships/hyperlink" Target="https://osu.ppy.sh/beatmapsets/1508883" TargetMode="External"/><Relationship Id="rId8" Type="http://schemas.openxmlformats.org/officeDocument/2006/relationships/hyperlink" Target="https://osu.ppy.sh/beatmapsets/1570531" TargetMode="External"/><Relationship Id="rId386" Type="http://schemas.openxmlformats.org/officeDocument/2006/relationships/hyperlink" Target="https://b.ppy.sh/thumb/1508883l.jpg" TargetMode="External"/><Relationship Id="rId381" Type="http://schemas.openxmlformats.org/officeDocument/2006/relationships/hyperlink" Target="https://assets.ppy.sh/beatmaps/1508883/covers/cover.jpg" TargetMode="External"/><Relationship Id="rId380" Type="http://schemas.openxmlformats.org/officeDocument/2006/relationships/hyperlink" Target="https://osu.ppy.sh/beatmapsets/1508883" TargetMode="External"/><Relationship Id="rId379" Type="http://schemas.openxmlformats.org/officeDocument/2006/relationships/hyperlink" Target="https://osu.ppy.sh/beatmapsets/956716" TargetMode="External"/><Relationship Id="rId374" Type="http://schemas.openxmlformats.org/officeDocument/2006/relationships/hyperlink" Target="https://b.ppy.sh/thumb/956716l.jpg" TargetMode="External"/><Relationship Id="rId373" Type="http://schemas.openxmlformats.org/officeDocument/2006/relationships/hyperlink" Target="https://assets.ppy.sh/beatmaps/956716/covers/cover.jpg" TargetMode="External"/><Relationship Id="rId372" Type="http://schemas.openxmlformats.org/officeDocument/2006/relationships/hyperlink" Target="https://osu.ppy.sh/beatmapsets/956716" TargetMode="External"/><Relationship Id="rId371" Type="http://schemas.openxmlformats.org/officeDocument/2006/relationships/hyperlink" Target="https://osu.ppy.sh/beatmapsets/1358622" TargetMode="External"/><Relationship Id="rId378" Type="http://schemas.openxmlformats.org/officeDocument/2006/relationships/hyperlink" Target="https://b.ppy.sh/thumb/956716l.jpg" TargetMode="External"/><Relationship Id="rId377" Type="http://schemas.openxmlformats.org/officeDocument/2006/relationships/hyperlink" Target="https://assets.ppy.sh/beatmaps/956716/covers/cover.jpg" TargetMode="External"/><Relationship Id="rId376" Type="http://schemas.openxmlformats.org/officeDocument/2006/relationships/hyperlink" Target="https://osu.ppy.sh/beatmapsets/956716" TargetMode="External"/><Relationship Id="rId375" Type="http://schemas.openxmlformats.org/officeDocument/2006/relationships/hyperlink" Target="https://osu.ppy.sh/beatmapsets/956716" TargetMode="External"/><Relationship Id="rId396" Type="http://schemas.openxmlformats.org/officeDocument/2006/relationships/hyperlink" Target="https://osu.ppy.sh/beatmapsets/172900" TargetMode="External"/><Relationship Id="rId395" Type="http://schemas.openxmlformats.org/officeDocument/2006/relationships/hyperlink" Target="https://osu.ppy.sh/beatmapsets/172900" TargetMode="External"/><Relationship Id="rId394" Type="http://schemas.openxmlformats.org/officeDocument/2006/relationships/hyperlink" Target="https://b.ppy.sh/thumb/172900l.jpg" TargetMode="External"/><Relationship Id="rId393" Type="http://schemas.openxmlformats.org/officeDocument/2006/relationships/hyperlink" Target="https://assets.ppy.sh/beatmaps/172900/covers/cover.jpg" TargetMode="External"/><Relationship Id="rId399" Type="http://schemas.openxmlformats.org/officeDocument/2006/relationships/hyperlink" Target="https://osu.ppy.sh/beatmapsets/172900" TargetMode="External"/><Relationship Id="rId398" Type="http://schemas.openxmlformats.org/officeDocument/2006/relationships/hyperlink" Target="https://b.ppy.sh/thumb/172900l.jpg" TargetMode="External"/><Relationship Id="rId397" Type="http://schemas.openxmlformats.org/officeDocument/2006/relationships/hyperlink" Target="https://assets.ppy.sh/beatmaps/172900/covers/cover.jpg" TargetMode="External"/><Relationship Id="rId1730" Type="http://schemas.openxmlformats.org/officeDocument/2006/relationships/hyperlink" Target="https://b.ppy.sh/thumb/1299595l.jpg" TargetMode="External"/><Relationship Id="rId1731" Type="http://schemas.openxmlformats.org/officeDocument/2006/relationships/hyperlink" Target="https://osu.ppy.sh/beatmapsets/1299595" TargetMode="External"/><Relationship Id="rId1732" Type="http://schemas.openxmlformats.org/officeDocument/2006/relationships/hyperlink" Target="https://osu.ppy.sh/beatmapsets/311328" TargetMode="External"/><Relationship Id="rId1733" Type="http://schemas.openxmlformats.org/officeDocument/2006/relationships/hyperlink" Target="https://assets.ppy.sh/beatmaps/311328/covers/cover.jpg" TargetMode="External"/><Relationship Id="rId1734" Type="http://schemas.openxmlformats.org/officeDocument/2006/relationships/hyperlink" Target="https://b.ppy.sh/thumb/311328l.jpg" TargetMode="External"/><Relationship Id="rId1735" Type="http://schemas.openxmlformats.org/officeDocument/2006/relationships/hyperlink" Target="https://osu.ppy.sh/beatmapsets/311328" TargetMode="External"/><Relationship Id="rId1736" Type="http://schemas.openxmlformats.org/officeDocument/2006/relationships/hyperlink" Target="https://osu.ppy.sh/beatmapsets/1318545" TargetMode="External"/><Relationship Id="rId1737" Type="http://schemas.openxmlformats.org/officeDocument/2006/relationships/hyperlink" Target="https://assets.ppy.sh/beatmaps/1318545/covers/cover.jpg" TargetMode="External"/><Relationship Id="rId1738" Type="http://schemas.openxmlformats.org/officeDocument/2006/relationships/hyperlink" Target="https://b.ppy.sh/thumb/1318545l.jpg" TargetMode="External"/><Relationship Id="rId1739" Type="http://schemas.openxmlformats.org/officeDocument/2006/relationships/hyperlink" Target="https://osu.ppy.sh/beatmapsets/1318545" TargetMode="External"/><Relationship Id="rId1720" Type="http://schemas.openxmlformats.org/officeDocument/2006/relationships/hyperlink" Target="https://osu.ppy.sh/beatmapsets/454987" TargetMode="External"/><Relationship Id="rId1721" Type="http://schemas.openxmlformats.org/officeDocument/2006/relationships/hyperlink" Target="https://assets.ppy.sh/beatmaps/454987/covers/cover.jpg" TargetMode="External"/><Relationship Id="rId1722" Type="http://schemas.openxmlformats.org/officeDocument/2006/relationships/hyperlink" Target="https://b.ppy.sh/thumb/454987l.jpg" TargetMode="External"/><Relationship Id="rId1723" Type="http://schemas.openxmlformats.org/officeDocument/2006/relationships/hyperlink" Target="https://osu.ppy.sh/beatmapsets/454987" TargetMode="External"/><Relationship Id="rId1724" Type="http://schemas.openxmlformats.org/officeDocument/2006/relationships/hyperlink" Target="https://osu.ppy.sh/beatmapsets/1601852" TargetMode="External"/><Relationship Id="rId1725" Type="http://schemas.openxmlformats.org/officeDocument/2006/relationships/hyperlink" Target="https://assets.ppy.sh/beatmaps/1601852/covers/cover.jpg" TargetMode="External"/><Relationship Id="rId1726" Type="http://schemas.openxmlformats.org/officeDocument/2006/relationships/hyperlink" Target="https://b.ppy.sh/thumb/1601852l.jpg" TargetMode="External"/><Relationship Id="rId1727" Type="http://schemas.openxmlformats.org/officeDocument/2006/relationships/hyperlink" Target="https://osu.ppy.sh/beatmapsets/1601852" TargetMode="External"/><Relationship Id="rId1728" Type="http://schemas.openxmlformats.org/officeDocument/2006/relationships/hyperlink" Target="https://osu.ppy.sh/beatmapsets/1299595" TargetMode="External"/><Relationship Id="rId1729" Type="http://schemas.openxmlformats.org/officeDocument/2006/relationships/hyperlink" Target="https://assets.ppy.sh/beatmaps/1299595/covers/cover.jpg" TargetMode="External"/><Relationship Id="rId1752" Type="http://schemas.openxmlformats.org/officeDocument/2006/relationships/hyperlink" Target="https://osu.ppy.sh/beatmapsets/1536850" TargetMode="External"/><Relationship Id="rId1753" Type="http://schemas.openxmlformats.org/officeDocument/2006/relationships/hyperlink" Target="https://assets.ppy.sh/beatmaps/1536850/covers/cover.jpg" TargetMode="External"/><Relationship Id="rId1754" Type="http://schemas.openxmlformats.org/officeDocument/2006/relationships/hyperlink" Target="https://b.ppy.sh/thumb/1536850l.jpg" TargetMode="External"/><Relationship Id="rId1755" Type="http://schemas.openxmlformats.org/officeDocument/2006/relationships/hyperlink" Target="https://osu.ppy.sh/beatmapsets/1536850" TargetMode="External"/><Relationship Id="rId1756" Type="http://schemas.openxmlformats.org/officeDocument/2006/relationships/hyperlink" Target="https://osu.ppy.sh/beatmapsets/1557716" TargetMode="External"/><Relationship Id="rId1757" Type="http://schemas.openxmlformats.org/officeDocument/2006/relationships/hyperlink" Target="https://assets.ppy.sh/beatmaps/1557716/covers/cover.jpg" TargetMode="External"/><Relationship Id="rId1758" Type="http://schemas.openxmlformats.org/officeDocument/2006/relationships/hyperlink" Target="https://b.ppy.sh/thumb/1557716l.jpg" TargetMode="External"/><Relationship Id="rId1759" Type="http://schemas.openxmlformats.org/officeDocument/2006/relationships/hyperlink" Target="https://osu.ppy.sh/beatmapsets/1557716" TargetMode="External"/><Relationship Id="rId808" Type="http://schemas.openxmlformats.org/officeDocument/2006/relationships/hyperlink" Target="https://osu.ppy.sh/beatmapsets/1186066" TargetMode="External"/><Relationship Id="rId807" Type="http://schemas.openxmlformats.org/officeDocument/2006/relationships/hyperlink" Target="https://osu.ppy.sh/beatmapsets/591635" TargetMode="External"/><Relationship Id="rId806" Type="http://schemas.openxmlformats.org/officeDocument/2006/relationships/hyperlink" Target="https://b.ppy.sh/thumb/591635l.jpg" TargetMode="External"/><Relationship Id="rId805" Type="http://schemas.openxmlformats.org/officeDocument/2006/relationships/hyperlink" Target="https://assets.ppy.sh/beatmaps/591635/covers/cover.jpg" TargetMode="External"/><Relationship Id="rId809" Type="http://schemas.openxmlformats.org/officeDocument/2006/relationships/hyperlink" Target="https://assets.ppy.sh/beatmaps/1186066/covers/cover.jpg" TargetMode="External"/><Relationship Id="rId800" Type="http://schemas.openxmlformats.org/officeDocument/2006/relationships/hyperlink" Target="https://osu.ppy.sh/beatmapsets/591635" TargetMode="External"/><Relationship Id="rId804" Type="http://schemas.openxmlformats.org/officeDocument/2006/relationships/hyperlink" Target="https://osu.ppy.sh/beatmapsets/591635" TargetMode="External"/><Relationship Id="rId803" Type="http://schemas.openxmlformats.org/officeDocument/2006/relationships/hyperlink" Target="https://osu.ppy.sh/beatmapsets/591635" TargetMode="External"/><Relationship Id="rId802" Type="http://schemas.openxmlformats.org/officeDocument/2006/relationships/hyperlink" Target="https://b.ppy.sh/thumb/591635l.jpg" TargetMode="External"/><Relationship Id="rId801" Type="http://schemas.openxmlformats.org/officeDocument/2006/relationships/hyperlink" Target="https://assets.ppy.sh/beatmaps/591635/covers/cover.jpg" TargetMode="External"/><Relationship Id="rId1750" Type="http://schemas.openxmlformats.org/officeDocument/2006/relationships/hyperlink" Target="https://b.ppy.sh/thumb/1764690l.jpg" TargetMode="External"/><Relationship Id="rId1751" Type="http://schemas.openxmlformats.org/officeDocument/2006/relationships/hyperlink" Target="https://osu.ppy.sh/beatmapsets/1764690" TargetMode="External"/><Relationship Id="rId1741" Type="http://schemas.openxmlformats.org/officeDocument/2006/relationships/hyperlink" Target="https://assets.ppy.sh/beatmaps/85802/covers/cover.jpg" TargetMode="External"/><Relationship Id="rId1742" Type="http://schemas.openxmlformats.org/officeDocument/2006/relationships/hyperlink" Target="https://b.ppy.sh/thumb/85802l.jpg" TargetMode="External"/><Relationship Id="rId1743" Type="http://schemas.openxmlformats.org/officeDocument/2006/relationships/hyperlink" Target="https://osu.ppy.sh/beatmapsets/85802" TargetMode="External"/><Relationship Id="rId1744" Type="http://schemas.openxmlformats.org/officeDocument/2006/relationships/hyperlink" Target="https://osu.ppy.sh/beatmapsets/85802" TargetMode="External"/><Relationship Id="rId1745" Type="http://schemas.openxmlformats.org/officeDocument/2006/relationships/hyperlink" Target="https://assets.ppy.sh/beatmaps/85802/covers/cover.jpg" TargetMode="External"/><Relationship Id="rId1746" Type="http://schemas.openxmlformats.org/officeDocument/2006/relationships/hyperlink" Target="https://b.ppy.sh/thumb/85802l.jpg" TargetMode="External"/><Relationship Id="rId1747" Type="http://schemas.openxmlformats.org/officeDocument/2006/relationships/hyperlink" Target="https://osu.ppy.sh/beatmapsets/85802" TargetMode="External"/><Relationship Id="rId1748" Type="http://schemas.openxmlformats.org/officeDocument/2006/relationships/hyperlink" Target="https://osu.ppy.sh/beatmapsets/1764690" TargetMode="External"/><Relationship Id="rId1749" Type="http://schemas.openxmlformats.org/officeDocument/2006/relationships/hyperlink" Target="https://assets.ppy.sh/beatmaps/1764690/covers/cover.jpg" TargetMode="External"/><Relationship Id="rId1740" Type="http://schemas.openxmlformats.org/officeDocument/2006/relationships/hyperlink" Target="https://osu.ppy.sh/beatmapsets/85802" TargetMode="External"/><Relationship Id="rId1710" Type="http://schemas.openxmlformats.org/officeDocument/2006/relationships/hyperlink" Target="https://b.ppy.sh/thumb/589697l.jpg" TargetMode="External"/><Relationship Id="rId1711" Type="http://schemas.openxmlformats.org/officeDocument/2006/relationships/hyperlink" Target="https://osu.ppy.sh/beatmapsets/589697" TargetMode="External"/><Relationship Id="rId1712" Type="http://schemas.openxmlformats.org/officeDocument/2006/relationships/hyperlink" Target="https://osu.ppy.sh/beatmapsets/589697" TargetMode="External"/><Relationship Id="rId1713" Type="http://schemas.openxmlformats.org/officeDocument/2006/relationships/hyperlink" Target="https://assets.ppy.sh/beatmaps/589697/covers/cover.jpg" TargetMode="External"/><Relationship Id="rId1714" Type="http://schemas.openxmlformats.org/officeDocument/2006/relationships/hyperlink" Target="https://b.ppy.sh/thumb/589697l.jpg" TargetMode="External"/><Relationship Id="rId1715" Type="http://schemas.openxmlformats.org/officeDocument/2006/relationships/hyperlink" Target="https://osu.ppy.sh/beatmapsets/589697" TargetMode="External"/><Relationship Id="rId1716" Type="http://schemas.openxmlformats.org/officeDocument/2006/relationships/hyperlink" Target="https://osu.ppy.sh/beatmapsets/707032" TargetMode="External"/><Relationship Id="rId1717" Type="http://schemas.openxmlformats.org/officeDocument/2006/relationships/hyperlink" Target="https://assets.ppy.sh/beatmaps/707032/covers/cover.jpg" TargetMode="External"/><Relationship Id="rId1718" Type="http://schemas.openxmlformats.org/officeDocument/2006/relationships/hyperlink" Target="https://b.ppy.sh/thumb/707032l.jpg" TargetMode="External"/><Relationship Id="rId1719" Type="http://schemas.openxmlformats.org/officeDocument/2006/relationships/hyperlink" Target="https://osu.ppy.sh/beatmapsets/707032" TargetMode="External"/><Relationship Id="rId1700" Type="http://schemas.openxmlformats.org/officeDocument/2006/relationships/hyperlink" Target="https://osu.ppy.sh/beatmapsets/120987" TargetMode="External"/><Relationship Id="rId1701" Type="http://schemas.openxmlformats.org/officeDocument/2006/relationships/hyperlink" Target="https://assets.ppy.sh/beatmaps/120987/covers/cover.jpg" TargetMode="External"/><Relationship Id="rId1702" Type="http://schemas.openxmlformats.org/officeDocument/2006/relationships/hyperlink" Target="https://b.ppy.sh/thumb/120987l.jpg" TargetMode="External"/><Relationship Id="rId1703" Type="http://schemas.openxmlformats.org/officeDocument/2006/relationships/hyperlink" Target="https://osu.ppy.sh/beatmapsets/120987" TargetMode="External"/><Relationship Id="rId1704" Type="http://schemas.openxmlformats.org/officeDocument/2006/relationships/hyperlink" Target="https://osu.ppy.sh/beatmapsets/120987" TargetMode="External"/><Relationship Id="rId1705" Type="http://schemas.openxmlformats.org/officeDocument/2006/relationships/hyperlink" Target="https://assets.ppy.sh/beatmaps/120987/covers/cover.jpg" TargetMode="External"/><Relationship Id="rId1706" Type="http://schemas.openxmlformats.org/officeDocument/2006/relationships/hyperlink" Target="https://b.ppy.sh/thumb/120987l.jpg" TargetMode="External"/><Relationship Id="rId1707" Type="http://schemas.openxmlformats.org/officeDocument/2006/relationships/hyperlink" Target="https://osu.ppy.sh/beatmapsets/120987" TargetMode="External"/><Relationship Id="rId1708" Type="http://schemas.openxmlformats.org/officeDocument/2006/relationships/hyperlink" Target="https://osu.ppy.sh/beatmapsets/589697" TargetMode="External"/><Relationship Id="rId1709" Type="http://schemas.openxmlformats.org/officeDocument/2006/relationships/hyperlink" Target="https://assets.ppy.sh/beatmaps/589697/covers/cover.jpg" TargetMode="External"/><Relationship Id="rId40" Type="http://schemas.openxmlformats.org/officeDocument/2006/relationships/hyperlink" Target="https://osu.ppy.sh/beatmapsets/1207286" TargetMode="External"/><Relationship Id="rId1334" Type="http://schemas.openxmlformats.org/officeDocument/2006/relationships/hyperlink" Target="https://b.ppy.sh/thumb/1339826l.jpg" TargetMode="External"/><Relationship Id="rId1335" Type="http://schemas.openxmlformats.org/officeDocument/2006/relationships/hyperlink" Target="https://osu.ppy.sh/beatmapsets/1339826" TargetMode="External"/><Relationship Id="rId42" Type="http://schemas.openxmlformats.org/officeDocument/2006/relationships/hyperlink" Target="https://b.ppy.sh/thumb/1207286l.jpg" TargetMode="External"/><Relationship Id="rId1336" Type="http://schemas.openxmlformats.org/officeDocument/2006/relationships/hyperlink" Target="https://osu.ppy.sh/beatmapsets/1377112" TargetMode="External"/><Relationship Id="rId41" Type="http://schemas.openxmlformats.org/officeDocument/2006/relationships/hyperlink" Target="https://assets.ppy.sh/beatmaps/1207286/covers/cover.jpg" TargetMode="External"/><Relationship Id="rId1337" Type="http://schemas.openxmlformats.org/officeDocument/2006/relationships/hyperlink" Target="https://assets.ppy.sh/beatmaps/1377112/covers/cover.jpg" TargetMode="External"/><Relationship Id="rId44" Type="http://schemas.openxmlformats.org/officeDocument/2006/relationships/hyperlink" Target="https://osu.ppy.sh/beatmapsets/1238190" TargetMode="External"/><Relationship Id="rId1338" Type="http://schemas.openxmlformats.org/officeDocument/2006/relationships/hyperlink" Target="https://b.ppy.sh/thumb/1377112l.jpg" TargetMode="External"/><Relationship Id="rId43" Type="http://schemas.openxmlformats.org/officeDocument/2006/relationships/hyperlink" Target="https://osu.ppy.sh/beatmapsets/1207286" TargetMode="External"/><Relationship Id="rId1339" Type="http://schemas.openxmlformats.org/officeDocument/2006/relationships/hyperlink" Target="https://osu.ppy.sh/beatmapsets/1377112" TargetMode="External"/><Relationship Id="rId46" Type="http://schemas.openxmlformats.org/officeDocument/2006/relationships/hyperlink" Target="https://b.ppy.sh/thumb/1238190l.jpg" TargetMode="External"/><Relationship Id="rId45" Type="http://schemas.openxmlformats.org/officeDocument/2006/relationships/hyperlink" Target="https://assets.ppy.sh/beatmaps/1238190/covers/cover.jpg" TargetMode="External"/><Relationship Id="rId745" Type="http://schemas.openxmlformats.org/officeDocument/2006/relationships/hyperlink" Target="https://assets.ppy.sh/beatmaps/1763440/covers/cover.jpg" TargetMode="External"/><Relationship Id="rId744" Type="http://schemas.openxmlformats.org/officeDocument/2006/relationships/hyperlink" Target="https://osu.ppy.sh/beatmapsets/1763440" TargetMode="External"/><Relationship Id="rId743" Type="http://schemas.openxmlformats.org/officeDocument/2006/relationships/hyperlink" Target="https://osu.ppy.sh/beatmapsets/1763440" TargetMode="External"/><Relationship Id="rId742" Type="http://schemas.openxmlformats.org/officeDocument/2006/relationships/hyperlink" Target="https://b.ppy.sh/thumb/1763440l.jpg" TargetMode="External"/><Relationship Id="rId749" Type="http://schemas.openxmlformats.org/officeDocument/2006/relationships/hyperlink" Target="https://assets.ppy.sh/beatmaps/1586738/covers/cover.jpg" TargetMode="External"/><Relationship Id="rId748" Type="http://schemas.openxmlformats.org/officeDocument/2006/relationships/hyperlink" Target="https://osu.ppy.sh/beatmapsets/1586738" TargetMode="External"/><Relationship Id="rId747" Type="http://schemas.openxmlformats.org/officeDocument/2006/relationships/hyperlink" Target="https://osu.ppy.sh/beatmapsets/1763440" TargetMode="External"/><Relationship Id="rId746" Type="http://schemas.openxmlformats.org/officeDocument/2006/relationships/hyperlink" Target="https://b.ppy.sh/thumb/1763440l.jpg" TargetMode="External"/><Relationship Id="rId48" Type="http://schemas.openxmlformats.org/officeDocument/2006/relationships/hyperlink" Target="https://osu.ppy.sh/beatmapsets/1918243" TargetMode="External"/><Relationship Id="rId47" Type="http://schemas.openxmlformats.org/officeDocument/2006/relationships/hyperlink" Target="https://osu.ppy.sh/beatmapsets/1238190" TargetMode="External"/><Relationship Id="rId49" Type="http://schemas.openxmlformats.org/officeDocument/2006/relationships/hyperlink" Target="https://assets.ppy.sh/beatmaps/1918243/covers/cover.jpg" TargetMode="External"/><Relationship Id="rId741" Type="http://schemas.openxmlformats.org/officeDocument/2006/relationships/hyperlink" Target="https://assets.ppy.sh/beatmaps/1763440/covers/cover.jpg" TargetMode="External"/><Relationship Id="rId1330" Type="http://schemas.openxmlformats.org/officeDocument/2006/relationships/hyperlink" Target="https://b.ppy.sh/thumb/533428l.jpg" TargetMode="External"/><Relationship Id="rId740" Type="http://schemas.openxmlformats.org/officeDocument/2006/relationships/hyperlink" Target="https://osu.ppy.sh/beatmapsets/1763440" TargetMode="External"/><Relationship Id="rId1331" Type="http://schemas.openxmlformats.org/officeDocument/2006/relationships/hyperlink" Target="https://osu.ppy.sh/beatmapsets/533428" TargetMode="External"/><Relationship Id="rId1332" Type="http://schemas.openxmlformats.org/officeDocument/2006/relationships/hyperlink" Target="https://osu.ppy.sh/beatmapsets/1339826" TargetMode="External"/><Relationship Id="rId1333" Type="http://schemas.openxmlformats.org/officeDocument/2006/relationships/hyperlink" Target="https://assets.ppy.sh/beatmaps/1339826/covers/cover.jpg" TargetMode="External"/><Relationship Id="rId1323" Type="http://schemas.openxmlformats.org/officeDocument/2006/relationships/hyperlink" Target="https://osu.ppy.sh/beatmapsets/1052199" TargetMode="External"/><Relationship Id="rId1324" Type="http://schemas.openxmlformats.org/officeDocument/2006/relationships/hyperlink" Target="https://osu.ppy.sh/beatmapsets/533428" TargetMode="External"/><Relationship Id="rId31" Type="http://schemas.openxmlformats.org/officeDocument/2006/relationships/hyperlink" Target="https://osu.ppy.sh/beatmapsets/1528914" TargetMode="External"/><Relationship Id="rId1325" Type="http://schemas.openxmlformats.org/officeDocument/2006/relationships/hyperlink" Target="https://assets.ppy.sh/beatmaps/533428/covers/cover.jpg" TargetMode="External"/><Relationship Id="rId30" Type="http://schemas.openxmlformats.org/officeDocument/2006/relationships/hyperlink" Target="https://b.ppy.sh/thumb/1528914l.jpg" TargetMode="External"/><Relationship Id="rId1326" Type="http://schemas.openxmlformats.org/officeDocument/2006/relationships/hyperlink" Target="https://b.ppy.sh/thumb/533428l.jpg" TargetMode="External"/><Relationship Id="rId33" Type="http://schemas.openxmlformats.org/officeDocument/2006/relationships/hyperlink" Target="https://assets.ppy.sh/beatmaps/1544866/covers/cover.jpg" TargetMode="External"/><Relationship Id="rId1327" Type="http://schemas.openxmlformats.org/officeDocument/2006/relationships/hyperlink" Target="https://osu.ppy.sh/beatmapsets/533428" TargetMode="External"/><Relationship Id="rId32" Type="http://schemas.openxmlformats.org/officeDocument/2006/relationships/hyperlink" Target="https://osu.ppy.sh/beatmapsets/1544866" TargetMode="External"/><Relationship Id="rId1328" Type="http://schemas.openxmlformats.org/officeDocument/2006/relationships/hyperlink" Target="https://osu.ppy.sh/beatmapsets/533428" TargetMode="External"/><Relationship Id="rId35" Type="http://schemas.openxmlformats.org/officeDocument/2006/relationships/hyperlink" Target="https://osu.ppy.sh/beatmapsets/1544866" TargetMode="External"/><Relationship Id="rId1329" Type="http://schemas.openxmlformats.org/officeDocument/2006/relationships/hyperlink" Target="https://assets.ppy.sh/beatmaps/533428/covers/cover.jpg" TargetMode="External"/><Relationship Id="rId34" Type="http://schemas.openxmlformats.org/officeDocument/2006/relationships/hyperlink" Target="https://b.ppy.sh/thumb/1544866l.jpg" TargetMode="External"/><Relationship Id="rId739" Type="http://schemas.openxmlformats.org/officeDocument/2006/relationships/hyperlink" Target="https://osu.ppy.sh/beatmapsets/663255" TargetMode="External"/><Relationship Id="rId734" Type="http://schemas.openxmlformats.org/officeDocument/2006/relationships/hyperlink" Target="https://b.ppy.sh/thumb/663255l.jpg" TargetMode="External"/><Relationship Id="rId733" Type="http://schemas.openxmlformats.org/officeDocument/2006/relationships/hyperlink" Target="https://assets.ppy.sh/beatmaps/663255/covers/cover.jpg" TargetMode="External"/><Relationship Id="rId732" Type="http://schemas.openxmlformats.org/officeDocument/2006/relationships/hyperlink" Target="https://osu.ppy.sh/beatmapsets/663255" TargetMode="External"/><Relationship Id="rId731" Type="http://schemas.openxmlformats.org/officeDocument/2006/relationships/hyperlink" Target="https://osu.ppy.sh/beatmapsets/1507979" TargetMode="External"/><Relationship Id="rId738" Type="http://schemas.openxmlformats.org/officeDocument/2006/relationships/hyperlink" Target="https://b.ppy.sh/thumb/663255l.jpg" TargetMode="External"/><Relationship Id="rId737" Type="http://schemas.openxmlformats.org/officeDocument/2006/relationships/hyperlink" Target="https://assets.ppy.sh/beatmaps/663255/covers/cover.jpg" TargetMode="External"/><Relationship Id="rId736" Type="http://schemas.openxmlformats.org/officeDocument/2006/relationships/hyperlink" Target="https://osu.ppy.sh/beatmapsets/663255" TargetMode="External"/><Relationship Id="rId735" Type="http://schemas.openxmlformats.org/officeDocument/2006/relationships/hyperlink" Target="https://osu.ppy.sh/beatmapsets/663255" TargetMode="External"/><Relationship Id="rId37" Type="http://schemas.openxmlformats.org/officeDocument/2006/relationships/hyperlink" Target="https://assets.ppy.sh/beatmaps/1758376/covers/cover.jpg" TargetMode="External"/><Relationship Id="rId36" Type="http://schemas.openxmlformats.org/officeDocument/2006/relationships/hyperlink" Target="https://osu.ppy.sh/beatmapsets/1758376" TargetMode="External"/><Relationship Id="rId39" Type="http://schemas.openxmlformats.org/officeDocument/2006/relationships/hyperlink" Target="https://osu.ppy.sh/beatmapsets/1758376" TargetMode="External"/><Relationship Id="rId38" Type="http://schemas.openxmlformats.org/officeDocument/2006/relationships/hyperlink" Target="https://b.ppy.sh/thumb/1758376l.jpg" TargetMode="External"/><Relationship Id="rId730" Type="http://schemas.openxmlformats.org/officeDocument/2006/relationships/hyperlink" Target="https://b.ppy.sh/thumb/1507979l.jpg" TargetMode="External"/><Relationship Id="rId1320" Type="http://schemas.openxmlformats.org/officeDocument/2006/relationships/hyperlink" Target="https://osu.ppy.sh/beatmapsets/1052199" TargetMode="External"/><Relationship Id="rId1321" Type="http://schemas.openxmlformats.org/officeDocument/2006/relationships/hyperlink" Target="https://assets.ppy.sh/beatmaps/1052199/covers/cover.jpg" TargetMode="External"/><Relationship Id="rId1322" Type="http://schemas.openxmlformats.org/officeDocument/2006/relationships/hyperlink" Target="https://b.ppy.sh/thumb/1052199l.jpg" TargetMode="External"/><Relationship Id="rId1356" Type="http://schemas.openxmlformats.org/officeDocument/2006/relationships/hyperlink" Target="https://osu.ppy.sh/beatmapsets/1838113" TargetMode="External"/><Relationship Id="rId1357" Type="http://schemas.openxmlformats.org/officeDocument/2006/relationships/hyperlink" Target="https://assets.ppy.sh/beatmaps/1838113/covers/cover.jpg" TargetMode="External"/><Relationship Id="rId20" Type="http://schemas.openxmlformats.org/officeDocument/2006/relationships/hyperlink" Target="https://osu.ppy.sh/beatmapsets/1975119" TargetMode="External"/><Relationship Id="rId1358" Type="http://schemas.openxmlformats.org/officeDocument/2006/relationships/hyperlink" Target="https://b.ppy.sh/thumb/1838113l.jpg" TargetMode="External"/><Relationship Id="rId1359" Type="http://schemas.openxmlformats.org/officeDocument/2006/relationships/hyperlink" Target="https://osu.ppy.sh/beatmapsets/1838113" TargetMode="External"/><Relationship Id="rId22" Type="http://schemas.openxmlformats.org/officeDocument/2006/relationships/hyperlink" Target="https://b.ppy.sh/thumb/1975119l.jpg" TargetMode="External"/><Relationship Id="rId21" Type="http://schemas.openxmlformats.org/officeDocument/2006/relationships/hyperlink" Target="https://assets.ppy.sh/beatmaps/1975119/covers/cover.jpg" TargetMode="External"/><Relationship Id="rId24" Type="http://schemas.openxmlformats.org/officeDocument/2006/relationships/hyperlink" Target="https://osu.ppy.sh/beatmapsets/1435157" TargetMode="External"/><Relationship Id="rId23" Type="http://schemas.openxmlformats.org/officeDocument/2006/relationships/hyperlink" Target="https://osu.ppy.sh/beatmapsets/1975119" TargetMode="External"/><Relationship Id="rId767" Type="http://schemas.openxmlformats.org/officeDocument/2006/relationships/hyperlink" Target="https://osu.ppy.sh/beatmapsets/660630" TargetMode="External"/><Relationship Id="rId766" Type="http://schemas.openxmlformats.org/officeDocument/2006/relationships/hyperlink" Target="https://b.ppy.sh/thumb/660630l.jpg" TargetMode="External"/><Relationship Id="rId765" Type="http://schemas.openxmlformats.org/officeDocument/2006/relationships/hyperlink" Target="https://assets.ppy.sh/beatmaps/660630/covers/cover.jpg" TargetMode="External"/><Relationship Id="rId764" Type="http://schemas.openxmlformats.org/officeDocument/2006/relationships/hyperlink" Target="https://osu.ppy.sh/beatmapsets/660630" TargetMode="External"/><Relationship Id="rId769" Type="http://schemas.openxmlformats.org/officeDocument/2006/relationships/hyperlink" Target="https://assets.ppy.sh/beatmaps/660630/covers/cover.jpg" TargetMode="External"/><Relationship Id="rId768" Type="http://schemas.openxmlformats.org/officeDocument/2006/relationships/hyperlink" Target="https://osu.ppy.sh/beatmapsets/660630" TargetMode="External"/><Relationship Id="rId26" Type="http://schemas.openxmlformats.org/officeDocument/2006/relationships/hyperlink" Target="https://b.ppy.sh/thumb/1435157l.jpg" TargetMode="External"/><Relationship Id="rId25" Type="http://schemas.openxmlformats.org/officeDocument/2006/relationships/hyperlink" Target="https://assets.ppy.sh/beatmaps/1435157/covers/cover.jpg" TargetMode="External"/><Relationship Id="rId28" Type="http://schemas.openxmlformats.org/officeDocument/2006/relationships/hyperlink" Target="https://osu.ppy.sh/beatmapsets/1528914" TargetMode="External"/><Relationship Id="rId1350" Type="http://schemas.openxmlformats.org/officeDocument/2006/relationships/hyperlink" Target="https://b.ppy.sh/thumb/701625l.jpg" TargetMode="External"/><Relationship Id="rId27" Type="http://schemas.openxmlformats.org/officeDocument/2006/relationships/hyperlink" Target="https://osu.ppy.sh/beatmapsets/1435157" TargetMode="External"/><Relationship Id="rId1351" Type="http://schemas.openxmlformats.org/officeDocument/2006/relationships/hyperlink" Target="https://osu.ppy.sh/beatmapsets/701625" TargetMode="External"/><Relationship Id="rId763" Type="http://schemas.openxmlformats.org/officeDocument/2006/relationships/hyperlink" Target="https://osu.ppy.sh/beatmapsets/776928" TargetMode="External"/><Relationship Id="rId1352" Type="http://schemas.openxmlformats.org/officeDocument/2006/relationships/hyperlink" Target="https://osu.ppy.sh/beatmapsets/1838113" TargetMode="External"/><Relationship Id="rId29" Type="http://schemas.openxmlformats.org/officeDocument/2006/relationships/hyperlink" Target="https://assets.ppy.sh/beatmaps/1528914/covers/cover.jpg" TargetMode="External"/><Relationship Id="rId762" Type="http://schemas.openxmlformats.org/officeDocument/2006/relationships/hyperlink" Target="https://b.ppy.sh/thumb/776928l.jpg" TargetMode="External"/><Relationship Id="rId1353" Type="http://schemas.openxmlformats.org/officeDocument/2006/relationships/hyperlink" Target="https://assets.ppy.sh/beatmaps/1838113/covers/cover.jpg" TargetMode="External"/><Relationship Id="rId761" Type="http://schemas.openxmlformats.org/officeDocument/2006/relationships/hyperlink" Target="https://assets.ppy.sh/beatmaps/776928/covers/cover.jpg" TargetMode="External"/><Relationship Id="rId1354" Type="http://schemas.openxmlformats.org/officeDocument/2006/relationships/hyperlink" Target="https://b.ppy.sh/thumb/1838113l.jpg" TargetMode="External"/><Relationship Id="rId760" Type="http://schemas.openxmlformats.org/officeDocument/2006/relationships/hyperlink" Target="https://osu.ppy.sh/beatmapsets/776928" TargetMode="External"/><Relationship Id="rId1355" Type="http://schemas.openxmlformats.org/officeDocument/2006/relationships/hyperlink" Target="https://osu.ppy.sh/beatmapsets/1838113" TargetMode="External"/><Relationship Id="rId1345" Type="http://schemas.openxmlformats.org/officeDocument/2006/relationships/hyperlink" Target="https://assets.ppy.sh/beatmaps/701625/covers/cover.jpg" TargetMode="External"/><Relationship Id="rId1346" Type="http://schemas.openxmlformats.org/officeDocument/2006/relationships/hyperlink" Target="https://b.ppy.sh/thumb/701625l.jpg" TargetMode="External"/><Relationship Id="rId1347" Type="http://schemas.openxmlformats.org/officeDocument/2006/relationships/hyperlink" Target="https://osu.ppy.sh/beatmapsets/701625" TargetMode="External"/><Relationship Id="rId1348" Type="http://schemas.openxmlformats.org/officeDocument/2006/relationships/hyperlink" Target="https://osu.ppy.sh/beatmapsets/701625" TargetMode="External"/><Relationship Id="rId11" Type="http://schemas.openxmlformats.org/officeDocument/2006/relationships/hyperlink" Target="https://osu.ppy.sh/beatmapsets/1570531" TargetMode="External"/><Relationship Id="rId1349" Type="http://schemas.openxmlformats.org/officeDocument/2006/relationships/hyperlink" Target="https://assets.ppy.sh/beatmaps/701625/covers/cover.jpg" TargetMode="External"/><Relationship Id="rId10" Type="http://schemas.openxmlformats.org/officeDocument/2006/relationships/hyperlink" Target="https://b.ppy.sh/thumb/1570531l.jpg" TargetMode="External"/><Relationship Id="rId13" Type="http://schemas.openxmlformats.org/officeDocument/2006/relationships/hyperlink" Target="https://assets.ppy.sh/beatmaps/1859662/covers/cover.jpg" TargetMode="External"/><Relationship Id="rId12" Type="http://schemas.openxmlformats.org/officeDocument/2006/relationships/hyperlink" Target="https://osu.ppy.sh/beatmapsets/1859662" TargetMode="External"/><Relationship Id="rId756" Type="http://schemas.openxmlformats.org/officeDocument/2006/relationships/hyperlink" Target="https://osu.ppy.sh/beatmapsets/776928" TargetMode="External"/><Relationship Id="rId755" Type="http://schemas.openxmlformats.org/officeDocument/2006/relationships/hyperlink" Target="https://osu.ppy.sh/beatmapsets/1586738" TargetMode="External"/><Relationship Id="rId754" Type="http://schemas.openxmlformats.org/officeDocument/2006/relationships/hyperlink" Target="https://b.ppy.sh/thumb/1586738l.jpg" TargetMode="External"/><Relationship Id="rId753" Type="http://schemas.openxmlformats.org/officeDocument/2006/relationships/hyperlink" Target="https://assets.ppy.sh/beatmaps/1586738/covers/cover.jpg" TargetMode="External"/><Relationship Id="rId759" Type="http://schemas.openxmlformats.org/officeDocument/2006/relationships/hyperlink" Target="https://osu.ppy.sh/beatmapsets/776928" TargetMode="External"/><Relationship Id="rId758" Type="http://schemas.openxmlformats.org/officeDocument/2006/relationships/hyperlink" Target="https://b.ppy.sh/thumb/776928l.jpg" TargetMode="External"/><Relationship Id="rId757" Type="http://schemas.openxmlformats.org/officeDocument/2006/relationships/hyperlink" Target="https://assets.ppy.sh/beatmaps/776928/covers/cover.jpg" TargetMode="External"/><Relationship Id="rId15" Type="http://schemas.openxmlformats.org/officeDocument/2006/relationships/hyperlink" Target="https://osu.ppy.sh/beatmapsets/1859662" TargetMode="External"/><Relationship Id="rId14" Type="http://schemas.openxmlformats.org/officeDocument/2006/relationships/hyperlink" Target="https://b.ppy.sh/thumb/1859662l.jpg" TargetMode="External"/><Relationship Id="rId17" Type="http://schemas.openxmlformats.org/officeDocument/2006/relationships/hyperlink" Target="https://assets.ppy.sh/beatmaps/1743257/covers/cover.jpg" TargetMode="External"/><Relationship Id="rId16" Type="http://schemas.openxmlformats.org/officeDocument/2006/relationships/hyperlink" Target="https://osu.ppy.sh/beatmapsets/1743257" TargetMode="External"/><Relationship Id="rId1340" Type="http://schemas.openxmlformats.org/officeDocument/2006/relationships/hyperlink" Target="https://osu.ppy.sh/beatmapsets/1377112" TargetMode="External"/><Relationship Id="rId19" Type="http://schemas.openxmlformats.org/officeDocument/2006/relationships/hyperlink" Target="https://osu.ppy.sh/beatmapsets/1743257" TargetMode="External"/><Relationship Id="rId752" Type="http://schemas.openxmlformats.org/officeDocument/2006/relationships/hyperlink" Target="https://osu.ppy.sh/beatmapsets/1586738" TargetMode="External"/><Relationship Id="rId1341" Type="http://schemas.openxmlformats.org/officeDocument/2006/relationships/hyperlink" Target="https://assets.ppy.sh/beatmaps/1377112/covers/cover.jpg" TargetMode="External"/><Relationship Id="rId18" Type="http://schemas.openxmlformats.org/officeDocument/2006/relationships/hyperlink" Target="https://b.ppy.sh/thumb/1743257l.jpg" TargetMode="External"/><Relationship Id="rId751" Type="http://schemas.openxmlformats.org/officeDocument/2006/relationships/hyperlink" Target="https://osu.ppy.sh/beatmapsets/1586738" TargetMode="External"/><Relationship Id="rId1342" Type="http://schemas.openxmlformats.org/officeDocument/2006/relationships/hyperlink" Target="https://b.ppy.sh/thumb/1377112l.jpg" TargetMode="External"/><Relationship Id="rId750" Type="http://schemas.openxmlformats.org/officeDocument/2006/relationships/hyperlink" Target="https://b.ppy.sh/thumb/1586738l.jpg" TargetMode="External"/><Relationship Id="rId1343" Type="http://schemas.openxmlformats.org/officeDocument/2006/relationships/hyperlink" Target="https://osu.ppy.sh/beatmapsets/1377112" TargetMode="External"/><Relationship Id="rId1344" Type="http://schemas.openxmlformats.org/officeDocument/2006/relationships/hyperlink" Target="https://osu.ppy.sh/beatmapsets/701625" TargetMode="External"/><Relationship Id="rId84" Type="http://schemas.openxmlformats.org/officeDocument/2006/relationships/hyperlink" Target="https://osu.ppy.sh/beatmapsets/932567" TargetMode="External"/><Relationship Id="rId1774" Type="http://schemas.openxmlformats.org/officeDocument/2006/relationships/hyperlink" Target="https://b.ppy.sh/thumb/763406l.jpg" TargetMode="External"/><Relationship Id="rId83" Type="http://schemas.openxmlformats.org/officeDocument/2006/relationships/hyperlink" Target="https://osu.ppy.sh/beatmapsets/1841846" TargetMode="External"/><Relationship Id="rId1775" Type="http://schemas.openxmlformats.org/officeDocument/2006/relationships/hyperlink" Target="https://osu.ppy.sh/beatmapsets/763406" TargetMode="External"/><Relationship Id="rId86" Type="http://schemas.openxmlformats.org/officeDocument/2006/relationships/hyperlink" Target="https://b.ppy.sh/thumb/932567l.jpg" TargetMode="External"/><Relationship Id="rId1776" Type="http://schemas.openxmlformats.org/officeDocument/2006/relationships/hyperlink" Target="https://osu.ppy.sh/beatmapsets/763406" TargetMode="External"/><Relationship Id="rId85" Type="http://schemas.openxmlformats.org/officeDocument/2006/relationships/hyperlink" Target="https://assets.ppy.sh/beatmaps/932567/covers/cover.jpg" TargetMode="External"/><Relationship Id="rId1777" Type="http://schemas.openxmlformats.org/officeDocument/2006/relationships/hyperlink" Target="https://assets.ppy.sh/beatmaps/763406/covers/cover.jpg" TargetMode="External"/><Relationship Id="rId88" Type="http://schemas.openxmlformats.org/officeDocument/2006/relationships/hyperlink" Target="https://osu.ppy.sh/beatmapsets/1089678" TargetMode="External"/><Relationship Id="rId1778" Type="http://schemas.openxmlformats.org/officeDocument/2006/relationships/hyperlink" Target="https://b.ppy.sh/thumb/763406l.jpg" TargetMode="External"/><Relationship Id="rId87" Type="http://schemas.openxmlformats.org/officeDocument/2006/relationships/hyperlink" Target="https://osu.ppy.sh/beatmapsets/932567" TargetMode="External"/><Relationship Id="rId1779" Type="http://schemas.openxmlformats.org/officeDocument/2006/relationships/hyperlink" Target="https://osu.ppy.sh/beatmapsets/763406" TargetMode="External"/><Relationship Id="rId89" Type="http://schemas.openxmlformats.org/officeDocument/2006/relationships/hyperlink" Target="https://assets.ppy.sh/beatmaps/1089678/covers/cover.jpg" TargetMode="External"/><Relationship Id="rId709" Type="http://schemas.openxmlformats.org/officeDocument/2006/relationships/hyperlink" Target="https://assets.ppy.sh/beatmaps/941246/covers/cover.jpg" TargetMode="External"/><Relationship Id="rId708" Type="http://schemas.openxmlformats.org/officeDocument/2006/relationships/hyperlink" Target="https://osu.ppy.sh/beatmapsets/941246" TargetMode="External"/><Relationship Id="rId707" Type="http://schemas.openxmlformats.org/officeDocument/2006/relationships/hyperlink" Target="https://osu.ppy.sh/beatmapsets/941246" TargetMode="External"/><Relationship Id="rId706" Type="http://schemas.openxmlformats.org/officeDocument/2006/relationships/hyperlink" Target="https://b.ppy.sh/thumb/941246l.jpg" TargetMode="External"/><Relationship Id="rId80" Type="http://schemas.openxmlformats.org/officeDocument/2006/relationships/hyperlink" Target="https://osu.ppy.sh/beatmapsets/1841846" TargetMode="External"/><Relationship Id="rId82" Type="http://schemas.openxmlformats.org/officeDocument/2006/relationships/hyperlink" Target="https://b.ppy.sh/thumb/1841846l.jpg" TargetMode="External"/><Relationship Id="rId81" Type="http://schemas.openxmlformats.org/officeDocument/2006/relationships/hyperlink" Target="https://assets.ppy.sh/beatmaps/1841846/covers/cover.jpg" TargetMode="External"/><Relationship Id="rId701" Type="http://schemas.openxmlformats.org/officeDocument/2006/relationships/hyperlink" Target="https://assets.ppy.sh/beatmaps/1782707/covers/cover.jpg" TargetMode="External"/><Relationship Id="rId700" Type="http://schemas.openxmlformats.org/officeDocument/2006/relationships/hyperlink" Target="https://osu.ppy.sh/beatmapsets/1782707" TargetMode="External"/><Relationship Id="rId705" Type="http://schemas.openxmlformats.org/officeDocument/2006/relationships/hyperlink" Target="https://assets.ppy.sh/beatmaps/941246/covers/cover.jpg" TargetMode="External"/><Relationship Id="rId704" Type="http://schemas.openxmlformats.org/officeDocument/2006/relationships/hyperlink" Target="https://osu.ppy.sh/beatmapsets/941246" TargetMode="External"/><Relationship Id="rId703" Type="http://schemas.openxmlformats.org/officeDocument/2006/relationships/hyperlink" Target="https://osu.ppy.sh/beatmapsets/1782707" TargetMode="External"/><Relationship Id="rId702" Type="http://schemas.openxmlformats.org/officeDocument/2006/relationships/hyperlink" Target="https://b.ppy.sh/thumb/1782707l.jpg" TargetMode="External"/><Relationship Id="rId1770" Type="http://schemas.openxmlformats.org/officeDocument/2006/relationships/hyperlink" Target="https://b.ppy.sh/thumb/1493511l.jpg" TargetMode="External"/><Relationship Id="rId1771" Type="http://schemas.openxmlformats.org/officeDocument/2006/relationships/hyperlink" Target="https://osu.ppy.sh/beatmapsets/1493511" TargetMode="External"/><Relationship Id="rId1772" Type="http://schemas.openxmlformats.org/officeDocument/2006/relationships/hyperlink" Target="https://osu.ppy.sh/beatmapsets/763406" TargetMode="External"/><Relationship Id="rId1773" Type="http://schemas.openxmlformats.org/officeDocument/2006/relationships/hyperlink" Target="https://assets.ppy.sh/beatmaps/763406/covers/cover.jpg" TargetMode="External"/><Relationship Id="rId73" Type="http://schemas.openxmlformats.org/officeDocument/2006/relationships/hyperlink" Target="https://assets.ppy.sh/beatmaps/1496416/covers/cover.jpg" TargetMode="External"/><Relationship Id="rId1763" Type="http://schemas.openxmlformats.org/officeDocument/2006/relationships/hyperlink" Target="https://osu.ppy.sh/beatmapsets/1557716" TargetMode="External"/><Relationship Id="rId72" Type="http://schemas.openxmlformats.org/officeDocument/2006/relationships/hyperlink" Target="https://osu.ppy.sh/beatmapsets/1496416" TargetMode="External"/><Relationship Id="rId1764" Type="http://schemas.openxmlformats.org/officeDocument/2006/relationships/hyperlink" Target="https://osu.ppy.sh/beatmapsets/1493511" TargetMode="External"/><Relationship Id="rId75" Type="http://schemas.openxmlformats.org/officeDocument/2006/relationships/hyperlink" Target="https://osu.ppy.sh/beatmapsets/1496416" TargetMode="External"/><Relationship Id="rId1765" Type="http://schemas.openxmlformats.org/officeDocument/2006/relationships/hyperlink" Target="https://assets.ppy.sh/beatmaps/1493511/covers/cover.jpg" TargetMode="External"/><Relationship Id="rId74" Type="http://schemas.openxmlformats.org/officeDocument/2006/relationships/hyperlink" Target="https://b.ppy.sh/thumb/1496416l.jpg" TargetMode="External"/><Relationship Id="rId1766" Type="http://schemas.openxmlformats.org/officeDocument/2006/relationships/hyperlink" Target="https://b.ppy.sh/thumb/1493511l.jpg" TargetMode="External"/><Relationship Id="rId77" Type="http://schemas.openxmlformats.org/officeDocument/2006/relationships/hyperlink" Target="https://assets.ppy.sh/beatmaps/1712992/covers/cover.jpg" TargetMode="External"/><Relationship Id="rId1767" Type="http://schemas.openxmlformats.org/officeDocument/2006/relationships/hyperlink" Target="https://osu.ppy.sh/beatmapsets/1493511" TargetMode="External"/><Relationship Id="rId76" Type="http://schemas.openxmlformats.org/officeDocument/2006/relationships/hyperlink" Target="https://osu.ppy.sh/beatmapsets/1712992" TargetMode="External"/><Relationship Id="rId1768" Type="http://schemas.openxmlformats.org/officeDocument/2006/relationships/hyperlink" Target="https://osu.ppy.sh/beatmapsets/1493511" TargetMode="External"/><Relationship Id="rId79" Type="http://schemas.openxmlformats.org/officeDocument/2006/relationships/hyperlink" Target="https://osu.ppy.sh/beatmapsets/1712992" TargetMode="External"/><Relationship Id="rId1769" Type="http://schemas.openxmlformats.org/officeDocument/2006/relationships/hyperlink" Target="https://assets.ppy.sh/beatmaps/1493511/covers/cover.jpg" TargetMode="External"/><Relationship Id="rId78" Type="http://schemas.openxmlformats.org/officeDocument/2006/relationships/hyperlink" Target="https://b.ppy.sh/thumb/1712992l.jpg" TargetMode="External"/><Relationship Id="rId71" Type="http://schemas.openxmlformats.org/officeDocument/2006/relationships/hyperlink" Target="https://osu.ppy.sh/beatmapsets/1807986" TargetMode="External"/><Relationship Id="rId70" Type="http://schemas.openxmlformats.org/officeDocument/2006/relationships/hyperlink" Target="https://b.ppy.sh/thumb/1807986l.jpg" TargetMode="External"/><Relationship Id="rId1760" Type="http://schemas.openxmlformats.org/officeDocument/2006/relationships/hyperlink" Target="https://osu.ppy.sh/beatmapsets/1557716" TargetMode="External"/><Relationship Id="rId1761" Type="http://schemas.openxmlformats.org/officeDocument/2006/relationships/hyperlink" Target="https://assets.ppy.sh/beatmaps/1557716/covers/cover.jpg" TargetMode="External"/><Relationship Id="rId1762" Type="http://schemas.openxmlformats.org/officeDocument/2006/relationships/hyperlink" Target="https://b.ppy.sh/thumb/1557716l.jpg" TargetMode="External"/><Relationship Id="rId62" Type="http://schemas.openxmlformats.org/officeDocument/2006/relationships/hyperlink" Target="https://b.ppy.sh/thumb/1670325l.jpg" TargetMode="External"/><Relationship Id="rId1312" Type="http://schemas.openxmlformats.org/officeDocument/2006/relationships/hyperlink" Target="https://osu.ppy.sh/beatmapsets/1069288" TargetMode="External"/><Relationship Id="rId1796" Type="http://schemas.openxmlformats.org/officeDocument/2006/relationships/hyperlink" Target="https://osu.ppy.sh/beatmapsets/1885986" TargetMode="External"/><Relationship Id="rId61" Type="http://schemas.openxmlformats.org/officeDocument/2006/relationships/hyperlink" Target="https://assets.ppy.sh/beatmaps/1670325/covers/cover.jpg" TargetMode="External"/><Relationship Id="rId1313" Type="http://schemas.openxmlformats.org/officeDocument/2006/relationships/hyperlink" Target="https://assets.ppy.sh/beatmaps/1069288/covers/cover.jpg" TargetMode="External"/><Relationship Id="rId1797" Type="http://schemas.openxmlformats.org/officeDocument/2006/relationships/hyperlink" Target="https://assets.ppy.sh/beatmaps/1885986/covers/cover.jpg" TargetMode="External"/><Relationship Id="rId64" Type="http://schemas.openxmlformats.org/officeDocument/2006/relationships/hyperlink" Target="https://osu.ppy.sh/beatmapsets/1061614" TargetMode="External"/><Relationship Id="rId1314" Type="http://schemas.openxmlformats.org/officeDocument/2006/relationships/hyperlink" Target="https://b.ppy.sh/thumb/1069288l.jpg" TargetMode="External"/><Relationship Id="rId1798" Type="http://schemas.openxmlformats.org/officeDocument/2006/relationships/hyperlink" Target="https://b.ppy.sh/thumb/1885986l.jpg" TargetMode="External"/><Relationship Id="rId63" Type="http://schemas.openxmlformats.org/officeDocument/2006/relationships/hyperlink" Target="https://osu.ppy.sh/beatmapsets/1670325" TargetMode="External"/><Relationship Id="rId1315" Type="http://schemas.openxmlformats.org/officeDocument/2006/relationships/hyperlink" Target="https://osu.ppy.sh/beatmapsets/1069288" TargetMode="External"/><Relationship Id="rId1799" Type="http://schemas.openxmlformats.org/officeDocument/2006/relationships/hyperlink" Target="https://osu.ppy.sh/beatmapsets/1885986" TargetMode="External"/><Relationship Id="rId66" Type="http://schemas.openxmlformats.org/officeDocument/2006/relationships/hyperlink" Target="https://b.ppy.sh/thumb/1061614l.jpg" TargetMode="External"/><Relationship Id="rId1316" Type="http://schemas.openxmlformats.org/officeDocument/2006/relationships/hyperlink" Target="https://osu.ppy.sh/beatmapsets/1052199" TargetMode="External"/><Relationship Id="rId65" Type="http://schemas.openxmlformats.org/officeDocument/2006/relationships/hyperlink" Target="https://assets.ppy.sh/beatmaps/1061614/covers/cover.jpg" TargetMode="External"/><Relationship Id="rId1317" Type="http://schemas.openxmlformats.org/officeDocument/2006/relationships/hyperlink" Target="https://assets.ppy.sh/beatmaps/1052199/covers/cover.jpg" TargetMode="External"/><Relationship Id="rId68" Type="http://schemas.openxmlformats.org/officeDocument/2006/relationships/hyperlink" Target="https://osu.ppy.sh/beatmapsets/1807986" TargetMode="External"/><Relationship Id="rId1318" Type="http://schemas.openxmlformats.org/officeDocument/2006/relationships/hyperlink" Target="https://b.ppy.sh/thumb/1052199l.jpg" TargetMode="External"/><Relationship Id="rId67" Type="http://schemas.openxmlformats.org/officeDocument/2006/relationships/hyperlink" Target="https://osu.ppy.sh/beatmapsets/1061614" TargetMode="External"/><Relationship Id="rId1319" Type="http://schemas.openxmlformats.org/officeDocument/2006/relationships/hyperlink" Target="https://osu.ppy.sh/beatmapsets/1052199" TargetMode="External"/><Relationship Id="rId729" Type="http://schemas.openxmlformats.org/officeDocument/2006/relationships/hyperlink" Target="https://assets.ppy.sh/beatmaps/1507979/covers/cover.jpg" TargetMode="External"/><Relationship Id="rId728" Type="http://schemas.openxmlformats.org/officeDocument/2006/relationships/hyperlink" Target="https://osu.ppy.sh/beatmapsets/1507979" TargetMode="External"/><Relationship Id="rId60" Type="http://schemas.openxmlformats.org/officeDocument/2006/relationships/hyperlink" Target="https://osu.ppy.sh/beatmapsets/1670325" TargetMode="External"/><Relationship Id="rId723" Type="http://schemas.openxmlformats.org/officeDocument/2006/relationships/hyperlink" Target="https://osu.ppy.sh/beatmapsets/1001507" TargetMode="External"/><Relationship Id="rId722" Type="http://schemas.openxmlformats.org/officeDocument/2006/relationships/hyperlink" Target="https://b.ppy.sh/thumb/1001507l.jpg" TargetMode="External"/><Relationship Id="rId721" Type="http://schemas.openxmlformats.org/officeDocument/2006/relationships/hyperlink" Target="https://assets.ppy.sh/beatmaps/1001507/covers/cover.jpg" TargetMode="External"/><Relationship Id="rId720" Type="http://schemas.openxmlformats.org/officeDocument/2006/relationships/hyperlink" Target="https://osu.ppy.sh/beatmapsets/1001507" TargetMode="External"/><Relationship Id="rId727" Type="http://schemas.openxmlformats.org/officeDocument/2006/relationships/hyperlink" Target="https://osu.ppy.sh/beatmapsets/1001507" TargetMode="External"/><Relationship Id="rId726" Type="http://schemas.openxmlformats.org/officeDocument/2006/relationships/hyperlink" Target="https://b.ppy.sh/thumb/1001507l.jpg" TargetMode="External"/><Relationship Id="rId725" Type="http://schemas.openxmlformats.org/officeDocument/2006/relationships/hyperlink" Target="https://assets.ppy.sh/beatmaps/1001507/covers/cover.jpg" TargetMode="External"/><Relationship Id="rId724" Type="http://schemas.openxmlformats.org/officeDocument/2006/relationships/hyperlink" Target="https://osu.ppy.sh/beatmapsets/1001507" TargetMode="External"/><Relationship Id="rId69" Type="http://schemas.openxmlformats.org/officeDocument/2006/relationships/hyperlink" Target="https://assets.ppy.sh/beatmaps/1807986/covers/cover.jpg" TargetMode="External"/><Relationship Id="rId1790" Type="http://schemas.openxmlformats.org/officeDocument/2006/relationships/hyperlink" Target="https://b.ppy.sh/thumb/1312343l.jpg" TargetMode="External"/><Relationship Id="rId1791" Type="http://schemas.openxmlformats.org/officeDocument/2006/relationships/hyperlink" Target="https://osu.ppy.sh/beatmapsets/1312343" TargetMode="External"/><Relationship Id="rId1792" Type="http://schemas.openxmlformats.org/officeDocument/2006/relationships/hyperlink" Target="https://osu.ppy.sh/beatmapsets/1312343" TargetMode="External"/><Relationship Id="rId1793" Type="http://schemas.openxmlformats.org/officeDocument/2006/relationships/hyperlink" Target="https://assets.ppy.sh/beatmaps/1312343/covers/cover.jpg" TargetMode="External"/><Relationship Id="rId1310" Type="http://schemas.openxmlformats.org/officeDocument/2006/relationships/hyperlink" Target="https://b.ppy.sh/thumb/31224l.jpg" TargetMode="External"/><Relationship Id="rId1794" Type="http://schemas.openxmlformats.org/officeDocument/2006/relationships/hyperlink" Target="https://b.ppy.sh/thumb/1312343l.jpg" TargetMode="External"/><Relationship Id="rId1311" Type="http://schemas.openxmlformats.org/officeDocument/2006/relationships/hyperlink" Target="https://osu.ppy.sh/beatmapsets/31224" TargetMode="External"/><Relationship Id="rId1795" Type="http://schemas.openxmlformats.org/officeDocument/2006/relationships/hyperlink" Target="https://osu.ppy.sh/beatmapsets/1312343" TargetMode="External"/><Relationship Id="rId51" Type="http://schemas.openxmlformats.org/officeDocument/2006/relationships/hyperlink" Target="https://osu.ppy.sh/beatmapsets/1918243" TargetMode="External"/><Relationship Id="rId1301" Type="http://schemas.openxmlformats.org/officeDocument/2006/relationships/hyperlink" Target="https://assets.ppy.sh/beatmaps/1919435/covers/cover.jpg" TargetMode="External"/><Relationship Id="rId1785" Type="http://schemas.openxmlformats.org/officeDocument/2006/relationships/hyperlink" Target="https://assets.ppy.sh/beatmaps/33651/covers/cover.jpg" TargetMode="External"/><Relationship Id="rId50" Type="http://schemas.openxmlformats.org/officeDocument/2006/relationships/hyperlink" Target="https://b.ppy.sh/thumb/1918243l.jpg" TargetMode="External"/><Relationship Id="rId1302" Type="http://schemas.openxmlformats.org/officeDocument/2006/relationships/hyperlink" Target="https://b.ppy.sh/thumb/1919435l.jpg" TargetMode="External"/><Relationship Id="rId1786" Type="http://schemas.openxmlformats.org/officeDocument/2006/relationships/hyperlink" Target="https://b.ppy.sh/thumb/33651l.jpg" TargetMode="External"/><Relationship Id="rId53" Type="http://schemas.openxmlformats.org/officeDocument/2006/relationships/hyperlink" Target="https://assets.ppy.sh/beatmaps/721320/covers/cover.jpg" TargetMode="External"/><Relationship Id="rId1303" Type="http://schemas.openxmlformats.org/officeDocument/2006/relationships/hyperlink" Target="https://osu.ppy.sh/beatmapsets/1919435" TargetMode="External"/><Relationship Id="rId1787" Type="http://schemas.openxmlformats.org/officeDocument/2006/relationships/hyperlink" Target="https://osu.ppy.sh/beatmapsets/33651" TargetMode="External"/><Relationship Id="rId52" Type="http://schemas.openxmlformats.org/officeDocument/2006/relationships/hyperlink" Target="https://osu.ppy.sh/beatmapsets/721320" TargetMode="External"/><Relationship Id="rId1304" Type="http://schemas.openxmlformats.org/officeDocument/2006/relationships/hyperlink" Target="https://osu.ppy.sh/beatmapsets/31224" TargetMode="External"/><Relationship Id="rId1788" Type="http://schemas.openxmlformats.org/officeDocument/2006/relationships/hyperlink" Target="https://osu.ppy.sh/beatmapsets/1312343" TargetMode="External"/><Relationship Id="rId55" Type="http://schemas.openxmlformats.org/officeDocument/2006/relationships/hyperlink" Target="https://osu.ppy.sh/beatmapsets/721320" TargetMode="External"/><Relationship Id="rId1305" Type="http://schemas.openxmlformats.org/officeDocument/2006/relationships/hyperlink" Target="https://assets.ppy.sh/beatmaps/31224/covers/cover.jpg" TargetMode="External"/><Relationship Id="rId1789" Type="http://schemas.openxmlformats.org/officeDocument/2006/relationships/hyperlink" Target="https://assets.ppy.sh/beatmaps/1312343/covers/cover.jpg" TargetMode="External"/><Relationship Id="rId54" Type="http://schemas.openxmlformats.org/officeDocument/2006/relationships/hyperlink" Target="https://b.ppy.sh/thumb/721320l.jpg" TargetMode="External"/><Relationship Id="rId1306" Type="http://schemas.openxmlformats.org/officeDocument/2006/relationships/hyperlink" Target="https://b.ppy.sh/thumb/31224l.jpg" TargetMode="External"/><Relationship Id="rId57" Type="http://schemas.openxmlformats.org/officeDocument/2006/relationships/hyperlink" Target="https://assets.ppy.sh/beatmaps/1977605/covers/cover.jpg" TargetMode="External"/><Relationship Id="rId1307" Type="http://schemas.openxmlformats.org/officeDocument/2006/relationships/hyperlink" Target="https://osu.ppy.sh/beatmapsets/31224" TargetMode="External"/><Relationship Id="rId56" Type="http://schemas.openxmlformats.org/officeDocument/2006/relationships/hyperlink" Target="https://osu.ppy.sh/beatmapsets/1977605" TargetMode="External"/><Relationship Id="rId1308" Type="http://schemas.openxmlformats.org/officeDocument/2006/relationships/hyperlink" Target="https://osu.ppy.sh/beatmapsets/31224" TargetMode="External"/><Relationship Id="rId1309" Type="http://schemas.openxmlformats.org/officeDocument/2006/relationships/hyperlink" Target="https://assets.ppy.sh/beatmaps/31224/covers/cover.jpg" TargetMode="External"/><Relationship Id="rId719" Type="http://schemas.openxmlformats.org/officeDocument/2006/relationships/hyperlink" Target="https://osu.ppy.sh/beatmapsets/1752046" TargetMode="External"/><Relationship Id="rId718" Type="http://schemas.openxmlformats.org/officeDocument/2006/relationships/hyperlink" Target="https://b.ppy.sh/thumb/1752046l.jpg" TargetMode="External"/><Relationship Id="rId717" Type="http://schemas.openxmlformats.org/officeDocument/2006/relationships/hyperlink" Target="https://assets.ppy.sh/beatmaps/1752046/covers/cover.jpg" TargetMode="External"/><Relationship Id="rId712" Type="http://schemas.openxmlformats.org/officeDocument/2006/relationships/hyperlink" Target="https://osu.ppy.sh/beatmapsets/1752046" TargetMode="External"/><Relationship Id="rId711" Type="http://schemas.openxmlformats.org/officeDocument/2006/relationships/hyperlink" Target="https://osu.ppy.sh/beatmapsets/941246" TargetMode="External"/><Relationship Id="rId710" Type="http://schemas.openxmlformats.org/officeDocument/2006/relationships/hyperlink" Target="https://b.ppy.sh/thumb/941246l.jpg" TargetMode="External"/><Relationship Id="rId716" Type="http://schemas.openxmlformats.org/officeDocument/2006/relationships/hyperlink" Target="https://osu.ppy.sh/beatmapsets/1752046" TargetMode="External"/><Relationship Id="rId715" Type="http://schemas.openxmlformats.org/officeDocument/2006/relationships/hyperlink" Target="https://osu.ppy.sh/beatmapsets/1752046" TargetMode="External"/><Relationship Id="rId714" Type="http://schemas.openxmlformats.org/officeDocument/2006/relationships/hyperlink" Target="https://b.ppy.sh/thumb/1752046l.jpg" TargetMode="External"/><Relationship Id="rId713" Type="http://schemas.openxmlformats.org/officeDocument/2006/relationships/hyperlink" Target="https://assets.ppy.sh/beatmaps/1752046/covers/cover.jpg" TargetMode="External"/><Relationship Id="rId59" Type="http://schemas.openxmlformats.org/officeDocument/2006/relationships/hyperlink" Target="https://osu.ppy.sh/beatmapsets/1977605" TargetMode="External"/><Relationship Id="rId58" Type="http://schemas.openxmlformats.org/officeDocument/2006/relationships/hyperlink" Target="https://b.ppy.sh/thumb/1977605l.jpg" TargetMode="External"/><Relationship Id="rId1780" Type="http://schemas.openxmlformats.org/officeDocument/2006/relationships/hyperlink" Target="https://osu.ppy.sh/beatmapsets/33651" TargetMode="External"/><Relationship Id="rId1781" Type="http://schemas.openxmlformats.org/officeDocument/2006/relationships/hyperlink" Target="https://assets.ppy.sh/beatmaps/33651/covers/cover.jpg" TargetMode="External"/><Relationship Id="rId1782" Type="http://schemas.openxmlformats.org/officeDocument/2006/relationships/hyperlink" Target="https://b.ppy.sh/thumb/33651l.jpg" TargetMode="External"/><Relationship Id="rId1783" Type="http://schemas.openxmlformats.org/officeDocument/2006/relationships/hyperlink" Target="https://osu.ppy.sh/beatmapsets/33651" TargetMode="External"/><Relationship Id="rId1300" Type="http://schemas.openxmlformats.org/officeDocument/2006/relationships/hyperlink" Target="https://osu.ppy.sh/beatmapsets/1919435" TargetMode="External"/><Relationship Id="rId1784" Type="http://schemas.openxmlformats.org/officeDocument/2006/relationships/hyperlink" Target="https://osu.ppy.sh/beatmapsets/33651" TargetMode="External"/><Relationship Id="rId349" Type="http://schemas.openxmlformats.org/officeDocument/2006/relationships/hyperlink" Target="https://assets.ppy.sh/beatmaps/387784/covers/cover.jpg" TargetMode="External"/><Relationship Id="rId348" Type="http://schemas.openxmlformats.org/officeDocument/2006/relationships/hyperlink" Target="https://osu.ppy.sh/beatmapsets/387784" TargetMode="External"/><Relationship Id="rId347" Type="http://schemas.openxmlformats.org/officeDocument/2006/relationships/hyperlink" Target="https://osu.ppy.sh/beatmapsets/387784" TargetMode="External"/><Relationship Id="rId346" Type="http://schemas.openxmlformats.org/officeDocument/2006/relationships/hyperlink" Target="https://b.ppy.sh/thumb/387784l.jpg" TargetMode="External"/><Relationship Id="rId341" Type="http://schemas.openxmlformats.org/officeDocument/2006/relationships/hyperlink" Target="https://assets.ppy.sh/beatmaps/1859605/covers/cover.jpg" TargetMode="External"/><Relationship Id="rId340" Type="http://schemas.openxmlformats.org/officeDocument/2006/relationships/hyperlink" Target="https://osu.ppy.sh/beatmapsets/1859605" TargetMode="External"/><Relationship Id="rId345" Type="http://schemas.openxmlformats.org/officeDocument/2006/relationships/hyperlink" Target="https://assets.ppy.sh/beatmaps/387784/covers/cover.jpg" TargetMode="External"/><Relationship Id="rId344" Type="http://schemas.openxmlformats.org/officeDocument/2006/relationships/hyperlink" Target="https://osu.ppy.sh/beatmapsets/387784" TargetMode="External"/><Relationship Id="rId343" Type="http://schemas.openxmlformats.org/officeDocument/2006/relationships/hyperlink" Target="https://osu.ppy.sh/beatmapsets/1859605" TargetMode="External"/><Relationship Id="rId342" Type="http://schemas.openxmlformats.org/officeDocument/2006/relationships/hyperlink" Target="https://b.ppy.sh/thumb/1859605l.jpg" TargetMode="External"/><Relationship Id="rId338" Type="http://schemas.openxmlformats.org/officeDocument/2006/relationships/hyperlink" Target="https://b.ppy.sh/thumb/1688873l.jpg" TargetMode="External"/><Relationship Id="rId337" Type="http://schemas.openxmlformats.org/officeDocument/2006/relationships/hyperlink" Target="https://assets.ppy.sh/beatmaps/1688873/covers/cover.jpg" TargetMode="External"/><Relationship Id="rId336" Type="http://schemas.openxmlformats.org/officeDocument/2006/relationships/hyperlink" Target="https://osu.ppy.sh/beatmapsets/1688873" TargetMode="External"/><Relationship Id="rId335" Type="http://schemas.openxmlformats.org/officeDocument/2006/relationships/hyperlink" Target="https://osu.ppy.sh/beatmapsets/1909434" TargetMode="External"/><Relationship Id="rId339" Type="http://schemas.openxmlformats.org/officeDocument/2006/relationships/hyperlink" Target="https://osu.ppy.sh/beatmapsets/1688873" TargetMode="External"/><Relationship Id="rId330" Type="http://schemas.openxmlformats.org/officeDocument/2006/relationships/hyperlink" Target="https://b.ppy.sh/thumb/1909434l.jpg" TargetMode="External"/><Relationship Id="rId334" Type="http://schemas.openxmlformats.org/officeDocument/2006/relationships/hyperlink" Target="https://b.ppy.sh/thumb/1909434l.jpg" TargetMode="External"/><Relationship Id="rId333" Type="http://schemas.openxmlformats.org/officeDocument/2006/relationships/hyperlink" Target="https://assets.ppy.sh/beatmaps/1909434/covers/cover.jpg" TargetMode="External"/><Relationship Id="rId332" Type="http://schemas.openxmlformats.org/officeDocument/2006/relationships/hyperlink" Target="https://osu.ppy.sh/beatmapsets/1909434" TargetMode="External"/><Relationship Id="rId331" Type="http://schemas.openxmlformats.org/officeDocument/2006/relationships/hyperlink" Target="https://osu.ppy.sh/beatmapsets/1909434" TargetMode="External"/><Relationship Id="rId370" Type="http://schemas.openxmlformats.org/officeDocument/2006/relationships/hyperlink" Target="https://b.ppy.sh/thumb/1358622l.jpg" TargetMode="External"/><Relationship Id="rId369" Type="http://schemas.openxmlformats.org/officeDocument/2006/relationships/hyperlink" Target="https://assets.ppy.sh/beatmaps/1358622/covers/cover.jpg" TargetMode="External"/><Relationship Id="rId368" Type="http://schemas.openxmlformats.org/officeDocument/2006/relationships/hyperlink" Target="https://osu.ppy.sh/beatmapsets/1358622" TargetMode="External"/><Relationship Id="rId363" Type="http://schemas.openxmlformats.org/officeDocument/2006/relationships/hyperlink" Target="https://osu.ppy.sh/beatmapsets/1079281" TargetMode="External"/><Relationship Id="rId362" Type="http://schemas.openxmlformats.org/officeDocument/2006/relationships/hyperlink" Target="https://b.ppy.sh/thumb/1079281l.jpg" TargetMode="External"/><Relationship Id="rId361" Type="http://schemas.openxmlformats.org/officeDocument/2006/relationships/hyperlink" Target="https://assets.ppy.sh/beatmaps/1079281/covers/cover.jpg" TargetMode="External"/><Relationship Id="rId360" Type="http://schemas.openxmlformats.org/officeDocument/2006/relationships/hyperlink" Target="https://osu.ppy.sh/beatmapsets/1079281" TargetMode="External"/><Relationship Id="rId367" Type="http://schemas.openxmlformats.org/officeDocument/2006/relationships/hyperlink" Target="https://osu.ppy.sh/beatmapsets/1358622" TargetMode="External"/><Relationship Id="rId366" Type="http://schemas.openxmlformats.org/officeDocument/2006/relationships/hyperlink" Target="https://b.ppy.sh/thumb/1358622l.jpg" TargetMode="External"/><Relationship Id="rId365" Type="http://schemas.openxmlformats.org/officeDocument/2006/relationships/hyperlink" Target="https://assets.ppy.sh/beatmaps/1358622/covers/cover.jpg" TargetMode="External"/><Relationship Id="rId364" Type="http://schemas.openxmlformats.org/officeDocument/2006/relationships/hyperlink" Target="https://osu.ppy.sh/beatmapsets/1358622" TargetMode="External"/><Relationship Id="rId95" Type="http://schemas.openxmlformats.org/officeDocument/2006/relationships/hyperlink" Target="https://osu.ppy.sh/beatmapsets/1212359" TargetMode="External"/><Relationship Id="rId94" Type="http://schemas.openxmlformats.org/officeDocument/2006/relationships/hyperlink" Target="https://b.ppy.sh/thumb/1212359l.jpg" TargetMode="External"/><Relationship Id="rId97" Type="http://schemas.openxmlformats.org/officeDocument/2006/relationships/hyperlink" Target="https://assets.ppy.sh/beatmaps/1909726/covers/cover.jpg" TargetMode="External"/><Relationship Id="rId96" Type="http://schemas.openxmlformats.org/officeDocument/2006/relationships/hyperlink" Target="https://osu.ppy.sh/beatmapsets/1909726" TargetMode="External"/><Relationship Id="rId99" Type="http://schemas.openxmlformats.org/officeDocument/2006/relationships/hyperlink" Target="https://osu.ppy.sh/beatmapsets/1909726" TargetMode="External"/><Relationship Id="rId98" Type="http://schemas.openxmlformats.org/officeDocument/2006/relationships/hyperlink" Target="https://b.ppy.sh/thumb/1909726l.jpg" TargetMode="External"/><Relationship Id="rId91" Type="http://schemas.openxmlformats.org/officeDocument/2006/relationships/hyperlink" Target="https://osu.ppy.sh/beatmapsets/1089678" TargetMode="External"/><Relationship Id="rId90" Type="http://schemas.openxmlformats.org/officeDocument/2006/relationships/hyperlink" Target="https://b.ppy.sh/thumb/1089678l.jpg" TargetMode="External"/><Relationship Id="rId93" Type="http://schemas.openxmlformats.org/officeDocument/2006/relationships/hyperlink" Target="https://assets.ppy.sh/beatmaps/1212359/covers/cover.jpg" TargetMode="External"/><Relationship Id="rId92" Type="http://schemas.openxmlformats.org/officeDocument/2006/relationships/hyperlink" Target="https://osu.ppy.sh/beatmapsets/1212359" TargetMode="External"/><Relationship Id="rId359" Type="http://schemas.openxmlformats.org/officeDocument/2006/relationships/hyperlink" Target="https://osu.ppy.sh/beatmapsets/1079281" TargetMode="External"/><Relationship Id="rId358" Type="http://schemas.openxmlformats.org/officeDocument/2006/relationships/hyperlink" Target="https://b.ppy.sh/thumb/1079281l.jpg" TargetMode="External"/><Relationship Id="rId357" Type="http://schemas.openxmlformats.org/officeDocument/2006/relationships/hyperlink" Target="https://assets.ppy.sh/beatmaps/1079281/covers/cover.jpg" TargetMode="External"/><Relationship Id="rId352" Type="http://schemas.openxmlformats.org/officeDocument/2006/relationships/hyperlink" Target="https://osu.ppy.sh/beatmapsets/1274098" TargetMode="External"/><Relationship Id="rId351" Type="http://schemas.openxmlformats.org/officeDocument/2006/relationships/hyperlink" Target="https://osu.ppy.sh/beatmapsets/387784" TargetMode="External"/><Relationship Id="rId350" Type="http://schemas.openxmlformats.org/officeDocument/2006/relationships/hyperlink" Target="https://b.ppy.sh/thumb/387784l.jpg" TargetMode="External"/><Relationship Id="rId356" Type="http://schemas.openxmlformats.org/officeDocument/2006/relationships/hyperlink" Target="https://osu.ppy.sh/beatmapsets/1079281" TargetMode="External"/><Relationship Id="rId355" Type="http://schemas.openxmlformats.org/officeDocument/2006/relationships/hyperlink" Target="https://osu.ppy.sh/beatmapsets/1274098" TargetMode="External"/><Relationship Id="rId354" Type="http://schemas.openxmlformats.org/officeDocument/2006/relationships/hyperlink" Target="https://b.ppy.sh/thumb/1274098l.jpg" TargetMode="External"/><Relationship Id="rId353" Type="http://schemas.openxmlformats.org/officeDocument/2006/relationships/hyperlink" Target="https://assets.ppy.sh/beatmaps/1274098/covers/cover.jpg" TargetMode="External"/><Relationship Id="rId1378" Type="http://schemas.openxmlformats.org/officeDocument/2006/relationships/hyperlink" Target="https://b.ppy.sh/thumb/1170697l.jpg" TargetMode="External"/><Relationship Id="rId1379" Type="http://schemas.openxmlformats.org/officeDocument/2006/relationships/hyperlink" Target="https://osu.ppy.sh/beatmapsets/1170697" TargetMode="External"/><Relationship Id="rId305" Type="http://schemas.openxmlformats.org/officeDocument/2006/relationships/hyperlink" Target="https://assets.ppy.sh/beatmaps/42527/covers/cover.jpg" TargetMode="External"/><Relationship Id="rId789" Type="http://schemas.openxmlformats.org/officeDocument/2006/relationships/hyperlink" Target="https://assets.ppy.sh/beatmaps/315299/covers/cover.jpg" TargetMode="External"/><Relationship Id="rId304" Type="http://schemas.openxmlformats.org/officeDocument/2006/relationships/hyperlink" Target="https://osu.ppy.sh/beatmapsets/42527" TargetMode="External"/><Relationship Id="rId788" Type="http://schemas.openxmlformats.org/officeDocument/2006/relationships/hyperlink" Target="https://osu.ppy.sh/beatmapsets/315299" TargetMode="External"/><Relationship Id="rId303" Type="http://schemas.openxmlformats.org/officeDocument/2006/relationships/hyperlink" Target="https://osu.ppy.sh/beatmapsets/42527" TargetMode="External"/><Relationship Id="rId787" Type="http://schemas.openxmlformats.org/officeDocument/2006/relationships/hyperlink" Target="https://osu.ppy.sh/beatmapsets/974935" TargetMode="External"/><Relationship Id="rId302" Type="http://schemas.openxmlformats.org/officeDocument/2006/relationships/hyperlink" Target="https://b.ppy.sh/thumb/42527l.jpg" TargetMode="External"/><Relationship Id="rId786" Type="http://schemas.openxmlformats.org/officeDocument/2006/relationships/hyperlink" Target="https://b.ppy.sh/thumb/974935l.jpg" TargetMode="External"/><Relationship Id="rId309" Type="http://schemas.openxmlformats.org/officeDocument/2006/relationships/hyperlink" Target="https://assets.ppy.sh/beatmaps/80214/covers/cover.jpg" TargetMode="External"/><Relationship Id="rId308" Type="http://schemas.openxmlformats.org/officeDocument/2006/relationships/hyperlink" Target="https://osu.ppy.sh/beatmapsets/80214" TargetMode="External"/><Relationship Id="rId307" Type="http://schemas.openxmlformats.org/officeDocument/2006/relationships/hyperlink" Target="https://osu.ppy.sh/beatmapsets/42527" TargetMode="External"/><Relationship Id="rId306" Type="http://schemas.openxmlformats.org/officeDocument/2006/relationships/hyperlink" Target="https://b.ppy.sh/thumb/42527l.jpg" TargetMode="External"/><Relationship Id="rId781" Type="http://schemas.openxmlformats.org/officeDocument/2006/relationships/hyperlink" Target="https://assets.ppy.sh/beatmaps/974935/covers/cover.jpg" TargetMode="External"/><Relationship Id="rId1370" Type="http://schemas.openxmlformats.org/officeDocument/2006/relationships/hyperlink" Target="https://b.ppy.sh/thumb/98038l.jpg" TargetMode="External"/><Relationship Id="rId780" Type="http://schemas.openxmlformats.org/officeDocument/2006/relationships/hyperlink" Target="https://osu.ppy.sh/beatmapsets/974935" TargetMode="External"/><Relationship Id="rId1371" Type="http://schemas.openxmlformats.org/officeDocument/2006/relationships/hyperlink" Target="https://osu.ppy.sh/beatmapsets/98038" TargetMode="External"/><Relationship Id="rId1372" Type="http://schemas.openxmlformats.org/officeDocument/2006/relationships/hyperlink" Target="https://osu.ppy.sh/beatmapsets/611507" TargetMode="External"/><Relationship Id="rId1373" Type="http://schemas.openxmlformats.org/officeDocument/2006/relationships/hyperlink" Target="https://assets.ppy.sh/beatmaps/611507/covers/cover.jpg" TargetMode="External"/><Relationship Id="rId301" Type="http://schemas.openxmlformats.org/officeDocument/2006/relationships/hyperlink" Target="https://assets.ppy.sh/beatmaps/42527/covers/cover.jpg" TargetMode="External"/><Relationship Id="rId785" Type="http://schemas.openxmlformats.org/officeDocument/2006/relationships/hyperlink" Target="https://assets.ppy.sh/beatmaps/974935/covers/cover.jpg" TargetMode="External"/><Relationship Id="rId1374" Type="http://schemas.openxmlformats.org/officeDocument/2006/relationships/hyperlink" Target="https://b.ppy.sh/thumb/611507l.jpg" TargetMode="External"/><Relationship Id="rId300" Type="http://schemas.openxmlformats.org/officeDocument/2006/relationships/hyperlink" Target="https://osu.ppy.sh/beatmapsets/42527" TargetMode="External"/><Relationship Id="rId784" Type="http://schemas.openxmlformats.org/officeDocument/2006/relationships/hyperlink" Target="https://osu.ppy.sh/beatmapsets/974935" TargetMode="External"/><Relationship Id="rId1375" Type="http://schemas.openxmlformats.org/officeDocument/2006/relationships/hyperlink" Target="https://osu.ppy.sh/beatmapsets/611507" TargetMode="External"/><Relationship Id="rId783" Type="http://schemas.openxmlformats.org/officeDocument/2006/relationships/hyperlink" Target="https://osu.ppy.sh/beatmapsets/974935" TargetMode="External"/><Relationship Id="rId1376" Type="http://schemas.openxmlformats.org/officeDocument/2006/relationships/hyperlink" Target="https://osu.ppy.sh/beatmapsets/1170697" TargetMode="External"/><Relationship Id="rId782" Type="http://schemas.openxmlformats.org/officeDocument/2006/relationships/hyperlink" Target="https://b.ppy.sh/thumb/974935l.jpg" TargetMode="External"/><Relationship Id="rId1377" Type="http://schemas.openxmlformats.org/officeDocument/2006/relationships/hyperlink" Target="https://assets.ppy.sh/beatmaps/1170697/covers/cover.jpg" TargetMode="External"/><Relationship Id="rId1367" Type="http://schemas.openxmlformats.org/officeDocument/2006/relationships/hyperlink" Target="https://osu.ppy.sh/beatmapsets/1965625" TargetMode="External"/><Relationship Id="rId1368" Type="http://schemas.openxmlformats.org/officeDocument/2006/relationships/hyperlink" Target="https://osu.ppy.sh/beatmapsets/98038" TargetMode="External"/><Relationship Id="rId1369" Type="http://schemas.openxmlformats.org/officeDocument/2006/relationships/hyperlink" Target="https://assets.ppy.sh/beatmaps/98038/covers/cover.jpg" TargetMode="External"/><Relationship Id="rId778" Type="http://schemas.openxmlformats.org/officeDocument/2006/relationships/hyperlink" Target="https://b.ppy.sh/thumb/737728l.jpg" TargetMode="External"/><Relationship Id="rId777" Type="http://schemas.openxmlformats.org/officeDocument/2006/relationships/hyperlink" Target="https://assets.ppy.sh/beatmaps/737728/covers/cover.jpg" TargetMode="External"/><Relationship Id="rId776" Type="http://schemas.openxmlformats.org/officeDocument/2006/relationships/hyperlink" Target="https://osu.ppy.sh/beatmapsets/737728" TargetMode="External"/><Relationship Id="rId775" Type="http://schemas.openxmlformats.org/officeDocument/2006/relationships/hyperlink" Target="https://osu.ppy.sh/beatmapsets/737728" TargetMode="External"/><Relationship Id="rId779" Type="http://schemas.openxmlformats.org/officeDocument/2006/relationships/hyperlink" Target="https://osu.ppy.sh/beatmapsets/737728" TargetMode="External"/><Relationship Id="rId770" Type="http://schemas.openxmlformats.org/officeDocument/2006/relationships/hyperlink" Target="https://b.ppy.sh/thumb/660630l.jpg" TargetMode="External"/><Relationship Id="rId1360" Type="http://schemas.openxmlformats.org/officeDocument/2006/relationships/hyperlink" Target="https://osu.ppy.sh/beatmapsets/1371662" TargetMode="External"/><Relationship Id="rId1361" Type="http://schemas.openxmlformats.org/officeDocument/2006/relationships/hyperlink" Target="https://assets.ppy.sh/beatmaps/1371662/covers/cover.jpg" TargetMode="External"/><Relationship Id="rId1362" Type="http://schemas.openxmlformats.org/officeDocument/2006/relationships/hyperlink" Target="https://b.ppy.sh/thumb/1371662l.jpg" TargetMode="External"/><Relationship Id="rId774" Type="http://schemas.openxmlformats.org/officeDocument/2006/relationships/hyperlink" Target="https://b.ppy.sh/thumb/737728l.jpg" TargetMode="External"/><Relationship Id="rId1363" Type="http://schemas.openxmlformats.org/officeDocument/2006/relationships/hyperlink" Target="https://osu.ppy.sh/beatmapsets/1371662" TargetMode="External"/><Relationship Id="rId773" Type="http://schemas.openxmlformats.org/officeDocument/2006/relationships/hyperlink" Target="https://assets.ppy.sh/beatmaps/737728/covers/cover.jpg" TargetMode="External"/><Relationship Id="rId1364" Type="http://schemas.openxmlformats.org/officeDocument/2006/relationships/hyperlink" Target="https://osu.ppy.sh/beatmapsets/1965625" TargetMode="External"/><Relationship Id="rId772" Type="http://schemas.openxmlformats.org/officeDocument/2006/relationships/hyperlink" Target="https://osu.ppy.sh/beatmapsets/737728" TargetMode="External"/><Relationship Id="rId1365" Type="http://schemas.openxmlformats.org/officeDocument/2006/relationships/hyperlink" Target="https://assets.ppy.sh/beatmaps/1965625/covers/cover.jpg" TargetMode="External"/><Relationship Id="rId771" Type="http://schemas.openxmlformats.org/officeDocument/2006/relationships/hyperlink" Target="https://osu.ppy.sh/beatmapsets/660630" TargetMode="External"/><Relationship Id="rId1366" Type="http://schemas.openxmlformats.org/officeDocument/2006/relationships/hyperlink" Target="https://b.ppy.sh/thumb/1965625l.jpg" TargetMode="External"/><Relationship Id="rId327" Type="http://schemas.openxmlformats.org/officeDocument/2006/relationships/hyperlink" Target="https://osu.ppy.sh/beatmapsets/1909434" TargetMode="External"/><Relationship Id="rId326" Type="http://schemas.openxmlformats.org/officeDocument/2006/relationships/hyperlink" Target="https://b.ppy.sh/thumb/1909434l.jpg" TargetMode="External"/><Relationship Id="rId325" Type="http://schemas.openxmlformats.org/officeDocument/2006/relationships/hyperlink" Target="https://assets.ppy.sh/beatmaps/1909434/covers/cover.jpg" TargetMode="External"/><Relationship Id="rId324" Type="http://schemas.openxmlformats.org/officeDocument/2006/relationships/hyperlink" Target="https://osu.ppy.sh/beatmapsets/1909434" TargetMode="External"/><Relationship Id="rId329" Type="http://schemas.openxmlformats.org/officeDocument/2006/relationships/hyperlink" Target="https://assets.ppy.sh/beatmaps/1909434/covers/cover.jpg" TargetMode="External"/><Relationship Id="rId1390" Type="http://schemas.openxmlformats.org/officeDocument/2006/relationships/hyperlink" Target="https://b.ppy.sh/thumb/891366l.jpg" TargetMode="External"/><Relationship Id="rId328" Type="http://schemas.openxmlformats.org/officeDocument/2006/relationships/hyperlink" Target="https://osu.ppy.sh/beatmapsets/1909434" TargetMode="External"/><Relationship Id="rId1391" Type="http://schemas.openxmlformats.org/officeDocument/2006/relationships/hyperlink" Target="https://osu.ppy.sh/beatmapsets/891366" TargetMode="External"/><Relationship Id="rId1392" Type="http://schemas.openxmlformats.org/officeDocument/2006/relationships/hyperlink" Target="https://osu.ppy.sh/beatmapsets/291495" TargetMode="External"/><Relationship Id="rId1393" Type="http://schemas.openxmlformats.org/officeDocument/2006/relationships/hyperlink" Target="https://assets.ppy.sh/beatmaps/291495/covers/cover.jpg" TargetMode="External"/><Relationship Id="rId1394" Type="http://schemas.openxmlformats.org/officeDocument/2006/relationships/hyperlink" Target="https://b.ppy.sh/thumb/291495l.jpg" TargetMode="External"/><Relationship Id="rId1395" Type="http://schemas.openxmlformats.org/officeDocument/2006/relationships/hyperlink" Target="https://osu.ppy.sh/beatmapsets/291495" TargetMode="External"/><Relationship Id="rId323" Type="http://schemas.openxmlformats.org/officeDocument/2006/relationships/hyperlink" Target="https://osu.ppy.sh/beatmapsets/1313297" TargetMode="External"/><Relationship Id="rId1396" Type="http://schemas.openxmlformats.org/officeDocument/2006/relationships/hyperlink" Target="https://osu.ppy.sh/beatmapsets/291495" TargetMode="External"/><Relationship Id="rId322" Type="http://schemas.openxmlformats.org/officeDocument/2006/relationships/hyperlink" Target="https://b.ppy.sh/thumb/1313297l.jpg" TargetMode="External"/><Relationship Id="rId1397" Type="http://schemas.openxmlformats.org/officeDocument/2006/relationships/hyperlink" Target="https://assets.ppy.sh/beatmaps/291495/covers/cover.jpg" TargetMode="External"/><Relationship Id="rId321" Type="http://schemas.openxmlformats.org/officeDocument/2006/relationships/hyperlink" Target="https://assets.ppy.sh/beatmaps/1313297/covers/cover.jpg" TargetMode="External"/><Relationship Id="rId1398" Type="http://schemas.openxmlformats.org/officeDocument/2006/relationships/hyperlink" Target="https://b.ppy.sh/thumb/291495l.jpg" TargetMode="External"/><Relationship Id="rId320" Type="http://schemas.openxmlformats.org/officeDocument/2006/relationships/hyperlink" Target="https://osu.ppy.sh/beatmapsets/1313297" TargetMode="External"/><Relationship Id="rId1399" Type="http://schemas.openxmlformats.org/officeDocument/2006/relationships/hyperlink" Target="https://osu.ppy.sh/beatmapsets/291495" TargetMode="External"/><Relationship Id="rId1389" Type="http://schemas.openxmlformats.org/officeDocument/2006/relationships/hyperlink" Target="https://assets.ppy.sh/beatmaps/891366/covers/cover.jpg" TargetMode="External"/><Relationship Id="rId316" Type="http://schemas.openxmlformats.org/officeDocument/2006/relationships/hyperlink" Target="https://osu.ppy.sh/beatmapsets/1313297" TargetMode="External"/><Relationship Id="rId315" Type="http://schemas.openxmlformats.org/officeDocument/2006/relationships/hyperlink" Target="https://osu.ppy.sh/beatmapsets/996628" TargetMode="External"/><Relationship Id="rId799" Type="http://schemas.openxmlformats.org/officeDocument/2006/relationships/hyperlink" Target="https://osu.ppy.sh/beatmapsets/1569807" TargetMode="External"/><Relationship Id="rId314" Type="http://schemas.openxmlformats.org/officeDocument/2006/relationships/hyperlink" Target="https://b.ppy.sh/thumb/996628l.jpg" TargetMode="External"/><Relationship Id="rId798" Type="http://schemas.openxmlformats.org/officeDocument/2006/relationships/hyperlink" Target="https://b.ppy.sh/thumb/1569807l.jpg" TargetMode="External"/><Relationship Id="rId313" Type="http://schemas.openxmlformats.org/officeDocument/2006/relationships/hyperlink" Target="https://assets.ppy.sh/beatmaps/996628/covers/cover.jpg" TargetMode="External"/><Relationship Id="rId797" Type="http://schemas.openxmlformats.org/officeDocument/2006/relationships/hyperlink" Target="https://assets.ppy.sh/beatmaps/1569807/covers/cover.jpg" TargetMode="External"/><Relationship Id="rId319" Type="http://schemas.openxmlformats.org/officeDocument/2006/relationships/hyperlink" Target="https://osu.ppy.sh/beatmapsets/1313297" TargetMode="External"/><Relationship Id="rId318" Type="http://schemas.openxmlformats.org/officeDocument/2006/relationships/hyperlink" Target="https://b.ppy.sh/thumb/1313297l.jpg" TargetMode="External"/><Relationship Id="rId317" Type="http://schemas.openxmlformats.org/officeDocument/2006/relationships/hyperlink" Target="https://assets.ppy.sh/beatmaps/1313297/covers/cover.jpg" TargetMode="External"/><Relationship Id="rId1380" Type="http://schemas.openxmlformats.org/officeDocument/2006/relationships/hyperlink" Target="https://osu.ppy.sh/beatmapsets/1170697" TargetMode="External"/><Relationship Id="rId792" Type="http://schemas.openxmlformats.org/officeDocument/2006/relationships/hyperlink" Target="https://osu.ppy.sh/beatmapsets/315299" TargetMode="External"/><Relationship Id="rId1381" Type="http://schemas.openxmlformats.org/officeDocument/2006/relationships/hyperlink" Target="https://assets.ppy.sh/beatmaps/1170697/covers/cover.jpg" TargetMode="External"/><Relationship Id="rId791" Type="http://schemas.openxmlformats.org/officeDocument/2006/relationships/hyperlink" Target="https://osu.ppy.sh/beatmapsets/315299" TargetMode="External"/><Relationship Id="rId1382" Type="http://schemas.openxmlformats.org/officeDocument/2006/relationships/hyperlink" Target="https://b.ppy.sh/thumb/1170697l.jpg" TargetMode="External"/><Relationship Id="rId790" Type="http://schemas.openxmlformats.org/officeDocument/2006/relationships/hyperlink" Target="https://b.ppy.sh/thumb/315299l.jpg" TargetMode="External"/><Relationship Id="rId1383" Type="http://schemas.openxmlformats.org/officeDocument/2006/relationships/hyperlink" Target="https://osu.ppy.sh/beatmapsets/1170697" TargetMode="External"/><Relationship Id="rId1384" Type="http://schemas.openxmlformats.org/officeDocument/2006/relationships/hyperlink" Target="https://osu.ppy.sh/beatmapsets/891366" TargetMode="External"/><Relationship Id="rId312" Type="http://schemas.openxmlformats.org/officeDocument/2006/relationships/hyperlink" Target="https://osu.ppy.sh/beatmapsets/996628" TargetMode="External"/><Relationship Id="rId796" Type="http://schemas.openxmlformats.org/officeDocument/2006/relationships/hyperlink" Target="https://osu.ppy.sh/beatmapsets/1569807" TargetMode="External"/><Relationship Id="rId1385" Type="http://schemas.openxmlformats.org/officeDocument/2006/relationships/hyperlink" Target="https://assets.ppy.sh/beatmaps/891366/covers/cover.jpg" TargetMode="External"/><Relationship Id="rId311" Type="http://schemas.openxmlformats.org/officeDocument/2006/relationships/hyperlink" Target="https://osu.ppy.sh/beatmapsets/80214" TargetMode="External"/><Relationship Id="rId795" Type="http://schemas.openxmlformats.org/officeDocument/2006/relationships/hyperlink" Target="https://osu.ppy.sh/beatmapsets/315299" TargetMode="External"/><Relationship Id="rId1386" Type="http://schemas.openxmlformats.org/officeDocument/2006/relationships/hyperlink" Target="https://b.ppy.sh/thumb/891366l.jpg" TargetMode="External"/><Relationship Id="rId310" Type="http://schemas.openxmlformats.org/officeDocument/2006/relationships/hyperlink" Target="https://b.ppy.sh/thumb/80214l.jpg" TargetMode="External"/><Relationship Id="rId794" Type="http://schemas.openxmlformats.org/officeDocument/2006/relationships/hyperlink" Target="https://b.ppy.sh/thumb/315299l.jpg" TargetMode="External"/><Relationship Id="rId1387" Type="http://schemas.openxmlformats.org/officeDocument/2006/relationships/hyperlink" Target="https://osu.ppy.sh/beatmapsets/891366" TargetMode="External"/><Relationship Id="rId793" Type="http://schemas.openxmlformats.org/officeDocument/2006/relationships/hyperlink" Target="https://assets.ppy.sh/beatmaps/315299/covers/cover.jpg" TargetMode="External"/><Relationship Id="rId1388" Type="http://schemas.openxmlformats.org/officeDocument/2006/relationships/hyperlink" Target="https://osu.ppy.sh/beatmapsets/891366" TargetMode="External"/><Relationship Id="rId297" Type="http://schemas.openxmlformats.org/officeDocument/2006/relationships/hyperlink" Target="https://assets.ppy.sh/beatmaps/1299190/covers/cover.jpg" TargetMode="External"/><Relationship Id="rId296" Type="http://schemas.openxmlformats.org/officeDocument/2006/relationships/hyperlink" Target="https://osu.ppy.sh/beatmapsets/1299190" TargetMode="External"/><Relationship Id="rId295" Type="http://schemas.openxmlformats.org/officeDocument/2006/relationships/hyperlink" Target="https://osu.ppy.sh/beatmapsets/1299190" TargetMode="External"/><Relationship Id="rId294" Type="http://schemas.openxmlformats.org/officeDocument/2006/relationships/hyperlink" Target="https://b.ppy.sh/thumb/1299190l.jpg" TargetMode="External"/><Relationship Id="rId299" Type="http://schemas.openxmlformats.org/officeDocument/2006/relationships/hyperlink" Target="https://osu.ppy.sh/beatmapsets/1299190" TargetMode="External"/><Relationship Id="rId298" Type="http://schemas.openxmlformats.org/officeDocument/2006/relationships/hyperlink" Target="https://b.ppy.sh/thumb/1299190l.jpg" TargetMode="External"/><Relationship Id="rId271" Type="http://schemas.openxmlformats.org/officeDocument/2006/relationships/hyperlink" Target="https://osu.ppy.sh/beatmapsets/13975" TargetMode="External"/><Relationship Id="rId270" Type="http://schemas.openxmlformats.org/officeDocument/2006/relationships/hyperlink" Target="https://b.ppy.sh/thumb/13975l.jpg" TargetMode="External"/><Relationship Id="rId269" Type="http://schemas.openxmlformats.org/officeDocument/2006/relationships/hyperlink" Target="https://assets.ppy.sh/beatmaps/13975/covers/cover.jpg" TargetMode="External"/><Relationship Id="rId264" Type="http://schemas.openxmlformats.org/officeDocument/2006/relationships/hyperlink" Target="https://osu.ppy.sh/beatmapsets/13975" TargetMode="External"/><Relationship Id="rId263" Type="http://schemas.openxmlformats.org/officeDocument/2006/relationships/hyperlink" Target="https://osu.ppy.sh/beatmapsets/1484383" TargetMode="External"/><Relationship Id="rId262" Type="http://schemas.openxmlformats.org/officeDocument/2006/relationships/hyperlink" Target="https://b.ppy.sh/thumb/1484383l.jpg" TargetMode="External"/><Relationship Id="rId261" Type="http://schemas.openxmlformats.org/officeDocument/2006/relationships/hyperlink" Target="https://assets.ppy.sh/beatmaps/1484383/covers/cover.jpg" TargetMode="External"/><Relationship Id="rId268" Type="http://schemas.openxmlformats.org/officeDocument/2006/relationships/hyperlink" Target="https://osu.ppy.sh/beatmapsets/13975" TargetMode="External"/><Relationship Id="rId267" Type="http://schemas.openxmlformats.org/officeDocument/2006/relationships/hyperlink" Target="https://osu.ppy.sh/beatmapsets/13975" TargetMode="External"/><Relationship Id="rId266" Type="http://schemas.openxmlformats.org/officeDocument/2006/relationships/hyperlink" Target="https://b.ppy.sh/thumb/13975l.jpg" TargetMode="External"/><Relationship Id="rId265" Type="http://schemas.openxmlformats.org/officeDocument/2006/relationships/hyperlink" Target="https://assets.ppy.sh/beatmaps/13975/covers/cover.jpg" TargetMode="External"/><Relationship Id="rId260" Type="http://schemas.openxmlformats.org/officeDocument/2006/relationships/hyperlink" Target="https://osu.ppy.sh/beatmapsets/1484383" TargetMode="External"/><Relationship Id="rId259" Type="http://schemas.openxmlformats.org/officeDocument/2006/relationships/hyperlink" Target="https://osu.ppy.sh/beatmapsets/956595" TargetMode="External"/><Relationship Id="rId258" Type="http://schemas.openxmlformats.org/officeDocument/2006/relationships/hyperlink" Target="https://b.ppy.sh/thumb/956595l.jpg" TargetMode="External"/><Relationship Id="rId253" Type="http://schemas.openxmlformats.org/officeDocument/2006/relationships/hyperlink" Target="https://assets.ppy.sh/beatmaps/956595/covers/cover.jpg" TargetMode="External"/><Relationship Id="rId252" Type="http://schemas.openxmlformats.org/officeDocument/2006/relationships/hyperlink" Target="https://osu.ppy.sh/beatmapsets/956595" TargetMode="External"/><Relationship Id="rId251" Type="http://schemas.openxmlformats.org/officeDocument/2006/relationships/hyperlink" Target="https://osu.ppy.sh/beatmapsets/1686408" TargetMode="External"/><Relationship Id="rId250" Type="http://schemas.openxmlformats.org/officeDocument/2006/relationships/hyperlink" Target="https://b.ppy.sh/thumb/1686408l.jpg" TargetMode="External"/><Relationship Id="rId257" Type="http://schemas.openxmlformats.org/officeDocument/2006/relationships/hyperlink" Target="https://assets.ppy.sh/beatmaps/956595/covers/cover.jpg" TargetMode="External"/><Relationship Id="rId256" Type="http://schemas.openxmlformats.org/officeDocument/2006/relationships/hyperlink" Target="https://osu.ppy.sh/beatmapsets/956595" TargetMode="External"/><Relationship Id="rId255" Type="http://schemas.openxmlformats.org/officeDocument/2006/relationships/hyperlink" Target="https://osu.ppy.sh/beatmapsets/956595" TargetMode="External"/><Relationship Id="rId254" Type="http://schemas.openxmlformats.org/officeDocument/2006/relationships/hyperlink" Target="https://b.ppy.sh/thumb/956595l.jpg" TargetMode="External"/><Relationship Id="rId293" Type="http://schemas.openxmlformats.org/officeDocument/2006/relationships/hyperlink" Target="https://assets.ppy.sh/beatmaps/1299190/covers/cover.jpg" TargetMode="External"/><Relationship Id="rId292" Type="http://schemas.openxmlformats.org/officeDocument/2006/relationships/hyperlink" Target="https://osu.ppy.sh/beatmapsets/1299190" TargetMode="External"/><Relationship Id="rId291" Type="http://schemas.openxmlformats.org/officeDocument/2006/relationships/hyperlink" Target="https://osu.ppy.sh/beatmapsets/1131726" TargetMode="External"/><Relationship Id="rId290" Type="http://schemas.openxmlformats.org/officeDocument/2006/relationships/hyperlink" Target="https://b.ppy.sh/thumb/1131726l.jpg" TargetMode="External"/><Relationship Id="rId286" Type="http://schemas.openxmlformats.org/officeDocument/2006/relationships/hyperlink" Target="https://b.ppy.sh/thumb/1131726l.jpg" TargetMode="External"/><Relationship Id="rId285" Type="http://schemas.openxmlformats.org/officeDocument/2006/relationships/hyperlink" Target="https://assets.ppy.sh/beatmaps/1131726/covers/cover.jpg" TargetMode="External"/><Relationship Id="rId284" Type="http://schemas.openxmlformats.org/officeDocument/2006/relationships/hyperlink" Target="https://osu.ppy.sh/beatmapsets/1131726" TargetMode="External"/><Relationship Id="rId283" Type="http://schemas.openxmlformats.org/officeDocument/2006/relationships/hyperlink" Target="https://osu.ppy.sh/beatmapsets/917159" TargetMode="External"/><Relationship Id="rId289" Type="http://schemas.openxmlformats.org/officeDocument/2006/relationships/hyperlink" Target="https://assets.ppy.sh/beatmaps/1131726/covers/cover.jpg" TargetMode="External"/><Relationship Id="rId288" Type="http://schemas.openxmlformats.org/officeDocument/2006/relationships/hyperlink" Target="https://osu.ppy.sh/beatmapsets/1131726" TargetMode="External"/><Relationship Id="rId287" Type="http://schemas.openxmlformats.org/officeDocument/2006/relationships/hyperlink" Target="https://osu.ppy.sh/beatmapsets/1131726" TargetMode="External"/><Relationship Id="rId282" Type="http://schemas.openxmlformats.org/officeDocument/2006/relationships/hyperlink" Target="https://b.ppy.sh/thumb/917159l.jpg" TargetMode="External"/><Relationship Id="rId281" Type="http://schemas.openxmlformats.org/officeDocument/2006/relationships/hyperlink" Target="https://assets.ppy.sh/beatmaps/917159/covers/cover.jpg" TargetMode="External"/><Relationship Id="rId280" Type="http://schemas.openxmlformats.org/officeDocument/2006/relationships/hyperlink" Target="https://osu.ppy.sh/beatmapsets/917159" TargetMode="External"/><Relationship Id="rId275" Type="http://schemas.openxmlformats.org/officeDocument/2006/relationships/hyperlink" Target="https://osu.ppy.sh/beatmapsets/13975" TargetMode="External"/><Relationship Id="rId274" Type="http://schemas.openxmlformats.org/officeDocument/2006/relationships/hyperlink" Target="https://b.ppy.sh/thumb/13975l.jpg" TargetMode="External"/><Relationship Id="rId273" Type="http://schemas.openxmlformats.org/officeDocument/2006/relationships/hyperlink" Target="https://assets.ppy.sh/beatmaps/13975/covers/cover.jpg" TargetMode="External"/><Relationship Id="rId272" Type="http://schemas.openxmlformats.org/officeDocument/2006/relationships/hyperlink" Target="https://osu.ppy.sh/beatmapsets/13975" TargetMode="External"/><Relationship Id="rId279" Type="http://schemas.openxmlformats.org/officeDocument/2006/relationships/hyperlink" Target="https://osu.ppy.sh/beatmapsets/917159" TargetMode="External"/><Relationship Id="rId278" Type="http://schemas.openxmlformats.org/officeDocument/2006/relationships/hyperlink" Target="https://b.ppy.sh/thumb/917159l.jpg" TargetMode="External"/><Relationship Id="rId277" Type="http://schemas.openxmlformats.org/officeDocument/2006/relationships/hyperlink" Target="https://assets.ppy.sh/beatmaps/917159/covers/cover.jpg" TargetMode="External"/><Relationship Id="rId276" Type="http://schemas.openxmlformats.org/officeDocument/2006/relationships/hyperlink" Target="https://osu.ppy.sh/beatmapsets/917159" TargetMode="External"/><Relationship Id="rId1851" Type="http://schemas.openxmlformats.org/officeDocument/2006/relationships/hyperlink" Target="https://osu.ppy.sh/beatmapsets/787583" TargetMode="External"/><Relationship Id="rId1852" Type="http://schemas.openxmlformats.org/officeDocument/2006/relationships/hyperlink" Target="https://osu.ppy.sh/beatmapsets/359191" TargetMode="External"/><Relationship Id="rId1853" Type="http://schemas.openxmlformats.org/officeDocument/2006/relationships/hyperlink" Target="https://assets.ppy.sh/beatmaps/359191/covers/cover.jpg" TargetMode="External"/><Relationship Id="rId1854" Type="http://schemas.openxmlformats.org/officeDocument/2006/relationships/hyperlink" Target="https://b.ppy.sh/thumb/359191l.jpg" TargetMode="External"/><Relationship Id="rId1855" Type="http://schemas.openxmlformats.org/officeDocument/2006/relationships/hyperlink" Target="https://osu.ppy.sh/beatmapsets/359191" TargetMode="External"/><Relationship Id="rId1856" Type="http://schemas.openxmlformats.org/officeDocument/2006/relationships/hyperlink" Target="https://osu.ppy.sh/beatmapsets/732280" TargetMode="External"/><Relationship Id="rId1857" Type="http://schemas.openxmlformats.org/officeDocument/2006/relationships/hyperlink" Target="https://assets.ppy.sh/beatmaps/732280/covers/cover.jpg" TargetMode="External"/><Relationship Id="rId1858" Type="http://schemas.openxmlformats.org/officeDocument/2006/relationships/hyperlink" Target="https://b.ppy.sh/thumb/732280l.jpg" TargetMode="External"/><Relationship Id="rId1859" Type="http://schemas.openxmlformats.org/officeDocument/2006/relationships/hyperlink" Target="https://osu.ppy.sh/beatmapsets/732280" TargetMode="External"/><Relationship Id="rId1850" Type="http://schemas.openxmlformats.org/officeDocument/2006/relationships/hyperlink" Target="https://b.ppy.sh/thumb/787583l.jpg" TargetMode="External"/><Relationship Id="rId1840" Type="http://schemas.openxmlformats.org/officeDocument/2006/relationships/hyperlink" Target="https://osu.ppy.sh/beatmapsets/1790018" TargetMode="External"/><Relationship Id="rId1841" Type="http://schemas.openxmlformats.org/officeDocument/2006/relationships/hyperlink" Target="https://assets.ppy.sh/beatmaps/1790018/covers/cover.jpg" TargetMode="External"/><Relationship Id="rId1842" Type="http://schemas.openxmlformats.org/officeDocument/2006/relationships/hyperlink" Target="https://b.ppy.sh/thumb/1790018l.jpg" TargetMode="External"/><Relationship Id="rId1843" Type="http://schemas.openxmlformats.org/officeDocument/2006/relationships/hyperlink" Target="https://osu.ppy.sh/beatmapsets/1790018" TargetMode="External"/><Relationship Id="rId1844" Type="http://schemas.openxmlformats.org/officeDocument/2006/relationships/hyperlink" Target="https://osu.ppy.sh/beatmapsets/824205" TargetMode="External"/><Relationship Id="rId1845" Type="http://schemas.openxmlformats.org/officeDocument/2006/relationships/hyperlink" Target="https://assets.ppy.sh/beatmaps/824205/covers/cover.jpg" TargetMode="External"/><Relationship Id="rId1846" Type="http://schemas.openxmlformats.org/officeDocument/2006/relationships/hyperlink" Target="https://b.ppy.sh/thumb/824205l.jpg" TargetMode="External"/><Relationship Id="rId1847" Type="http://schemas.openxmlformats.org/officeDocument/2006/relationships/hyperlink" Target="https://osu.ppy.sh/beatmapsets/824205" TargetMode="External"/><Relationship Id="rId1848" Type="http://schemas.openxmlformats.org/officeDocument/2006/relationships/hyperlink" Target="https://osu.ppy.sh/beatmapsets/787583" TargetMode="External"/><Relationship Id="rId1849" Type="http://schemas.openxmlformats.org/officeDocument/2006/relationships/hyperlink" Target="https://assets.ppy.sh/beatmaps/787583/covers/cover.jpg" TargetMode="External"/><Relationship Id="rId1873" Type="http://schemas.openxmlformats.org/officeDocument/2006/relationships/hyperlink" Target="https://assets.ppy.sh/beatmaps/821587/covers/cover.jpg" TargetMode="External"/><Relationship Id="rId1874" Type="http://schemas.openxmlformats.org/officeDocument/2006/relationships/hyperlink" Target="https://b.ppy.sh/thumb/821587l.jpg" TargetMode="External"/><Relationship Id="rId1875" Type="http://schemas.openxmlformats.org/officeDocument/2006/relationships/hyperlink" Target="https://osu.ppy.sh/beatmapsets/821587" TargetMode="External"/><Relationship Id="rId1876" Type="http://schemas.openxmlformats.org/officeDocument/2006/relationships/hyperlink" Target="https://osu.ppy.sh/beatmapsets/1239841" TargetMode="External"/><Relationship Id="rId1877" Type="http://schemas.openxmlformats.org/officeDocument/2006/relationships/hyperlink" Target="https://assets.ppy.sh/beatmaps/1239841/covers/cover.jpg" TargetMode="External"/><Relationship Id="rId1878" Type="http://schemas.openxmlformats.org/officeDocument/2006/relationships/hyperlink" Target="https://b.ppy.sh/thumb/1239841l.jpg" TargetMode="External"/><Relationship Id="rId1879" Type="http://schemas.openxmlformats.org/officeDocument/2006/relationships/hyperlink" Target="https://osu.ppy.sh/beatmapsets/1239841" TargetMode="External"/><Relationship Id="rId1870" Type="http://schemas.openxmlformats.org/officeDocument/2006/relationships/hyperlink" Target="https://b.ppy.sh/thumb/1811658l.jpg" TargetMode="External"/><Relationship Id="rId1871" Type="http://schemas.openxmlformats.org/officeDocument/2006/relationships/hyperlink" Target="https://osu.ppy.sh/beatmapsets/1811658" TargetMode="External"/><Relationship Id="rId1872" Type="http://schemas.openxmlformats.org/officeDocument/2006/relationships/hyperlink" Target="https://osu.ppy.sh/beatmapsets/821587" TargetMode="External"/><Relationship Id="rId1862" Type="http://schemas.openxmlformats.org/officeDocument/2006/relationships/hyperlink" Target="https://b.ppy.sh/thumb/1239626l.jpg" TargetMode="External"/><Relationship Id="rId1863" Type="http://schemas.openxmlformats.org/officeDocument/2006/relationships/hyperlink" Target="https://osu.ppy.sh/beatmapsets/1239626" TargetMode="External"/><Relationship Id="rId1864" Type="http://schemas.openxmlformats.org/officeDocument/2006/relationships/hyperlink" Target="https://osu.ppy.sh/beatmapsets/1811658" TargetMode="External"/><Relationship Id="rId1865" Type="http://schemas.openxmlformats.org/officeDocument/2006/relationships/hyperlink" Target="https://assets.ppy.sh/beatmaps/1811658/covers/cover.jpg" TargetMode="External"/><Relationship Id="rId1866" Type="http://schemas.openxmlformats.org/officeDocument/2006/relationships/hyperlink" Target="https://b.ppy.sh/thumb/1811658l.jpg" TargetMode="External"/><Relationship Id="rId1867" Type="http://schemas.openxmlformats.org/officeDocument/2006/relationships/hyperlink" Target="https://osu.ppy.sh/beatmapsets/1811658" TargetMode="External"/><Relationship Id="rId1868" Type="http://schemas.openxmlformats.org/officeDocument/2006/relationships/hyperlink" Target="https://osu.ppy.sh/beatmapsets/1811658" TargetMode="External"/><Relationship Id="rId1869" Type="http://schemas.openxmlformats.org/officeDocument/2006/relationships/hyperlink" Target="https://assets.ppy.sh/beatmaps/1811658/covers/cover.jpg" TargetMode="External"/><Relationship Id="rId1860" Type="http://schemas.openxmlformats.org/officeDocument/2006/relationships/hyperlink" Target="https://osu.ppy.sh/beatmapsets/1239626" TargetMode="External"/><Relationship Id="rId1861" Type="http://schemas.openxmlformats.org/officeDocument/2006/relationships/hyperlink" Target="https://assets.ppy.sh/beatmaps/1239626/covers/cover.jpg" TargetMode="External"/><Relationship Id="rId1810" Type="http://schemas.openxmlformats.org/officeDocument/2006/relationships/hyperlink" Target="https://b.ppy.sh/thumb/749323l.jpg" TargetMode="External"/><Relationship Id="rId1811" Type="http://schemas.openxmlformats.org/officeDocument/2006/relationships/hyperlink" Target="https://osu.ppy.sh/beatmapsets/749323" TargetMode="External"/><Relationship Id="rId1812" Type="http://schemas.openxmlformats.org/officeDocument/2006/relationships/hyperlink" Target="https://osu.ppy.sh/beatmapsets/1007796" TargetMode="External"/><Relationship Id="rId1813" Type="http://schemas.openxmlformats.org/officeDocument/2006/relationships/hyperlink" Target="https://assets.ppy.sh/beatmaps/1007796/covers/cover.jpg" TargetMode="External"/><Relationship Id="rId1814" Type="http://schemas.openxmlformats.org/officeDocument/2006/relationships/hyperlink" Target="https://b.ppy.sh/thumb/1007796l.jpg" TargetMode="External"/><Relationship Id="rId1815" Type="http://schemas.openxmlformats.org/officeDocument/2006/relationships/hyperlink" Target="https://osu.ppy.sh/beatmapsets/1007796" TargetMode="External"/><Relationship Id="rId1816" Type="http://schemas.openxmlformats.org/officeDocument/2006/relationships/hyperlink" Target="https://osu.ppy.sh/beatmapsets/5285" TargetMode="External"/><Relationship Id="rId1817" Type="http://schemas.openxmlformats.org/officeDocument/2006/relationships/hyperlink" Target="https://assets.ppy.sh/beatmaps/5285/covers/cover.jpg" TargetMode="External"/><Relationship Id="rId1818" Type="http://schemas.openxmlformats.org/officeDocument/2006/relationships/hyperlink" Target="https://b.ppy.sh/thumb/5285l.jpg" TargetMode="External"/><Relationship Id="rId1819" Type="http://schemas.openxmlformats.org/officeDocument/2006/relationships/hyperlink" Target="https://osu.ppy.sh/beatmapsets/5285" TargetMode="External"/><Relationship Id="rId1800" Type="http://schemas.openxmlformats.org/officeDocument/2006/relationships/hyperlink" Target="https://osu.ppy.sh/beatmapsets/1885986" TargetMode="External"/><Relationship Id="rId1801" Type="http://schemas.openxmlformats.org/officeDocument/2006/relationships/hyperlink" Target="https://assets.ppy.sh/beatmaps/1885986/covers/cover.jpg" TargetMode="External"/><Relationship Id="rId1802" Type="http://schemas.openxmlformats.org/officeDocument/2006/relationships/hyperlink" Target="https://b.ppy.sh/thumb/1885986l.jpg" TargetMode="External"/><Relationship Id="rId1803" Type="http://schemas.openxmlformats.org/officeDocument/2006/relationships/hyperlink" Target="https://osu.ppy.sh/beatmapsets/1885986" TargetMode="External"/><Relationship Id="rId1804" Type="http://schemas.openxmlformats.org/officeDocument/2006/relationships/hyperlink" Target="https://osu.ppy.sh/beatmapsets/749323" TargetMode="External"/><Relationship Id="rId1805" Type="http://schemas.openxmlformats.org/officeDocument/2006/relationships/hyperlink" Target="https://assets.ppy.sh/beatmaps/749323/covers/cover.jpg" TargetMode="External"/><Relationship Id="rId1806" Type="http://schemas.openxmlformats.org/officeDocument/2006/relationships/hyperlink" Target="https://b.ppy.sh/thumb/749323l.jpg" TargetMode="External"/><Relationship Id="rId1807" Type="http://schemas.openxmlformats.org/officeDocument/2006/relationships/hyperlink" Target="https://osu.ppy.sh/beatmapsets/749323" TargetMode="External"/><Relationship Id="rId1808" Type="http://schemas.openxmlformats.org/officeDocument/2006/relationships/hyperlink" Target="https://osu.ppy.sh/beatmapsets/749323" TargetMode="External"/><Relationship Id="rId1809" Type="http://schemas.openxmlformats.org/officeDocument/2006/relationships/hyperlink" Target="https://assets.ppy.sh/beatmaps/749323/covers/cover.jpg" TargetMode="External"/><Relationship Id="rId1830" Type="http://schemas.openxmlformats.org/officeDocument/2006/relationships/hyperlink" Target="https://b.ppy.sh/thumb/1225001l.jpg" TargetMode="External"/><Relationship Id="rId1831" Type="http://schemas.openxmlformats.org/officeDocument/2006/relationships/hyperlink" Target="https://osu.ppy.sh/beatmapsets/1225001" TargetMode="External"/><Relationship Id="rId1832" Type="http://schemas.openxmlformats.org/officeDocument/2006/relationships/hyperlink" Target="https://osu.ppy.sh/beatmapsets/1225001" TargetMode="External"/><Relationship Id="rId1833" Type="http://schemas.openxmlformats.org/officeDocument/2006/relationships/hyperlink" Target="https://assets.ppy.sh/beatmaps/1225001/covers/cover.jpg" TargetMode="External"/><Relationship Id="rId1834" Type="http://schemas.openxmlformats.org/officeDocument/2006/relationships/hyperlink" Target="https://b.ppy.sh/thumb/1225001l.jpg" TargetMode="External"/><Relationship Id="rId1835" Type="http://schemas.openxmlformats.org/officeDocument/2006/relationships/hyperlink" Target="https://osu.ppy.sh/beatmapsets/1225001" TargetMode="External"/><Relationship Id="rId1836" Type="http://schemas.openxmlformats.org/officeDocument/2006/relationships/hyperlink" Target="https://osu.ppy.sh/beatmapsets/1321446" TargetMode="External"/><Relationship Id="rId1837" Type="http://schemas.openxmlformats.org/officeDocument/2006/relationships/hyperlink" Target="https://assets.ppy.sh/beatmaps/1321446/covers/cover.jpg" TargetMode="External"/><Relationship Id="rId1838" Type="http://schemas.openxmlformats.org/officeDocument/2006/relationships/hyperlink" Target="https://b.ppy.sh/thumb/1321446l.jpg" TargetMode="External"/><Relationship Id="rId1839" Type="http://schemas.openxmlformats.org/officeDocument/2006/relationships/hyperlink" Target="https://osu.ppy.sh/beatmapsets/1321446" TargetMode="External"/><Relationship Id="rId1820" Type="http://schemas.openxmlformats.org/officeDocument/2006/relationships/hyperlink" Target="https://osu.ppy.sh/beatmapsets/5285" TargetMode="External"/><Relationship Id="rId1821" Type="http://schemas.openxmlformats.org/officeDocument/2006/relationships/hyperlink" Target="https://assets.ppy.sh/beatmaps/5285/covers/cover.jpg" TargetMode="External"/><Relationship Id="rId1822" Type="http://schemas.openxmlformats.org/officeDocument/2006/relationships/hyperlink" Target="https://b.ppy.sh/thumb/5285l.jpg" TargetMode="External"/><Relationship Id="rId1823" Type="http://schemas.openxmlformats.org/officeDocument/2006/relationships/hyperlink" Target="https://osu.ppy.sh/beatmapsets/5285" TargetMode="External"/><Relationship Id="rId1824" Type="http://schemas.openxmlformats.org/officeDocument/2006/relationships/hyperlink" Target="https://osu.ppy.sh/beatmapsets/171676" TargetMode="External"/><Relationship Id="rId1825" Type="http://schemas.openxmlformats.org/officeDocument/2006/relationships/hyperlink" Target="https://assets.ppy.sh/beatmaps/171676/covers/cover.jpg" TargetMode="External"/><Relationship Id="rId1826" Type="http://schemas.openxmlformats.org/officeDocument/2006/relationships/hyperlink" Target="https://b.ppy.sh/thumb/171676l.jpg" TargetMode="External"/><Relationship Id="rId1827" Type="http://schemas.openxmlformats.org/officeDocument/2006/relationships/hyperlink" Target="https://osu.ppy.sh/beatmapsets/171676" TargetMode="External"/><Relationship Id="rId1828" Type="http://schemas.openxmlformats.org/officeDocument/2006/relationships/hyperlink" Target="https://osu.ppy.sh/beatmapsets/1225001" TargetMode="External"/><Relationship Id="rId1829" Type="http://schemas.openxmlformats.org/officeDocument/2006/relationships/hyperlink" Target="https://assets.ppy.sh/beatmaps/1225001/covers/cover.jpg" TargetMode="External"/><Relationship Id="rId1455" Type="http://schemas.openxmlformats.org/officeDocument/2006/relationships/hyperlink" Target="https://osu.ppy.sh/beatmapsets/1610294" TargetMode="External"/><Relationship Id="rId1456" Type="http://schemas.openxmlformats.org/officeDocument/2006/relationships/hyperlink" Target="https://osu.ppy.sh/beatmapsets/1954230" TargetMode="External"/><Relationship Id="rId1457" Type="http://schemas.openxmlformats.org/officeDocument/2006/relationships/hyperlink" Target="https://assets.ppy.sh/beatmaps/1954230/covers/cover.jpg" TargetMode="External"/><Relationship Id="rId1458" Type="http://schemas.openxmlformats.org/officeDocument/2006/relationships/hyperlink" Target="https://b.ppy.sh/thumb/1954230l.jpg" TargetMode="External"/><Relationship Id="rId1459" Type="http://schemas.openxmlformats.org/officeDocument/2006/relationships/hyperlink" Target="https://osu.ppy.sh/beatmapsets/1954230" TargetMode="External"/><Relationship Id="rId629" Type="http://schemas.openxmlformats.org/officeDocument/2006/relationships/hyperlink" Target="https://assets.ppy.sh/beatmaps/924701/covers/cover.jpg" TargetMode="External"/><Relationship Id="rId624" Type="http://schemas.openxmlformats.org/officeDocument/2006/relationships/hyperlink" Target="https://osu.ppy.sh/beatmapsets/924701" TargetMode="External"/><Relationship Id="rId623" Type="http://schemas.openxmlformats.org/officeDocument/2006/relationships/hyperlink" Target="https://osu.ppy.sh/beatmapsets/106568" TargetMode="External"/><Relationship Id="rId622" Type="http://schemas.openxmlformats.org/officeDocument/2006/relationships/hyperlink" Target="https://b.ppy.sh/thumb/106568l.jpg" TargetMode="External"/><Relationship Id="rId621" Type="http://schemas.openxmlformats.org/officeDocument/2006/relationships/hyperlink" Target="https://assets.ppy.sh/beatmaps/106568/covers/cover.jpg" TargetMode="External"/><Relationship Id="rId628" Type="http://schemas.openxmlformats.org/officeDocument/2006/relationships/hyperlink" Target="https://osu.ppy.sh/beatmapsets/924701" TargetMode="External"/><Relationship Id="rId627" Type="http://schemas.openxmlformats.org/officeDocument/2006/relationships/hyperlink" Target="https://osu.ppy.sh/beatmapsets/924701" TargetMode="External"/><Relationship Id="rId626" Type="http://schemas.openxmlformats.org/officeDocument/2006/relationships/hyperlink" Target="https://b.ppy.sh/thumb/924701l.jpg" TargetMode="External"/><Relationship Id="rId625" Type="http://schemas.openxmlformats.org/officeDocument/2006/relationships/hyperlink" Target="https://assets.ppy.sh/beatmaps/924701/covers/cover.jpg" TargetMode="External"/><Relationship Id="rId1450" Type="http://schemas.openxmlformats.org/officeDocument/2006/relationships/hyperlink" Target="https://b.ppy.sh/thumb/1610294l.jpg" TargetMode="External"/><Relationship Id="rId620" Type="http://schemas.openxmlformats.org/officeDocument/2006/relationships/hyperlink" Target="https://osu.ppy.sh/beatmapsets/106568" TargetMode="External"/><Relationship Id="rId1451" Type="http://schemas.openxmlformats.org/officeDocument/2006/relationships/hyperlink" Target="https://osu.ppy.sh/beatmapsets/1610294" TargetMode="External"/><Relationship Id="rId1452" Type="http://schemas.openxmlformats.org/officeDocument/2006/relationships/hyperlink" Target="https://osu.ppy.sh/beatmapsets/1610294" TargetMode="External"/><Relationship Id="rId1453" Type="http://schemas.openxmlformats.org/officeDocument/2006/relationships/hyperlink" Target="https://assets.ppy.sh/beatmaps/1610294/covers/cover.jpg" TargetMode="External"/><Relationship Id="rId1454" Type="http://schemas.openxmlformats.org/officeDocument/2006/relationships/hyperlink" Target="https://b.ppy.sh/thumb/1610294l.jpg" TargetMode="External"/><Relationship Id="rId1444" Type="http://schemas.openxmlformats.org/officeDocument/2006/relationships/hyperlink" Target="https://osu.ppy.sh/beatmapsets/1723318" TargetMode="External"/><Relationship Id="rId1445" Type="http://schemas.openxmlformats.org/officeDocument/2006/relationships/hyperlink" Target="https://assets.ppy.sh/beatmaps/1723318/covers/cover.jpg" TargetMode="External"/><Relationship Id="rId1446" Type="http://schemas.openxmlformats.org/officeDocument/2006/relationships/hyperlink" Target="https://b.ppy.sh/thumb/1723318l.jpg" TargetMode="External"/><Relationship Id="rId1447" Type="http://schemas.openxmlformats.org/officeDocument/2006/relationships/hyperlink" Target="https://osu.ppy.sh/beatmapsets/1723318" TargetMode="External"/><Relationship Id="rId1448" Type="http://schemas.openxmlformats.org/officeDocument/2006/relationships/hyperlink" Target="https://osu.ppy.sh/beatmapsets/1610294" TargetMode="External"/><Relationship Id="rId1449" Type="http://schemas.openxmlformats.org/officeDocument/2006/relationships/hyperlink" Target="https://assets.ppy.sh/beatmaps/1610294/covers/cover.jpg" TargetMode="External"/><Relationship Id="rId619" Type="http://schemas.openxmlformats.org/officeDocument/2006/relationships/hyperlink" Target="https://osu.ppy.sh/beatmapsets/106568" TargetMode="External"/><Relationship Id="rId618" Type="http://schemas.openxmlformats.org/officeDocument/2006/relationships/hyperlink" Target="https://b.ppy.sh/thumb/106568l.jpg" TargetMode="External"/><Relationship Id="rId613" Type="http://schemas.openxmlformats.org/officeDocument/2006/relationships/hyperlink" Target="https://assets.ppy.sh/beatmaps/1329045/covers/cover.jpg" TargetMode="External"/><Relationship Id="rId612" Type="http://schemas.openxmlformats.org/officeDocument/2006/relationships/hyperlink" Target="https://osu.ppy.sh/beatmapsets/1329045" TargetMode="External"/><Relationship Id="rId611" Type="http://schemas.openxmlformats.org/officeDocument/2006/relationships/hyperlink" Target="https://osu.ppy.sh/beatmapsets/1329045" TargetMode="External"/><Relationship Id="rId610" Type="http://schemas.openxmlformats.org/officeDocument/2006/relationships/hyperlink" Target="https://b.ppy.sh/thumb/1329045l.jpg" TargetMode="External"/><Relationship Id="rId617" Type="http://schemas.openxmlformats.org/officeDocument/2006/relationships/hyperlink" Target="https://assets.ppy.sh/beatmaps/106568/covers/cover.jpg" TargetMode="External"/><Relationship Id="rId616" Type="http://schemas.openxmlformats.org/officeDocument/2006/relationships/hyperlink" Target="https://osu.ppy.sh/beatmapsets/106568" TargetMode="External"/><Relationship Id="rId615" Type="http://schemas.openxmlformats.org/officeDocument/2006/relationships/hyperlink" Target="https://osu.ppy.sh/beatmapsets/1329045" TargetMode="External"/><Relationship Id="rId614" Type="http://schemas.openxmlformats.org/officeDocument/2006/relationships/hyperlink" Target="https://b.ppy.sh/thumb/1329045l.jpg" TargetMode="External"/><Relationship Id="rId1440" Type="http://schemas.openxmlformats.org/officeDocument/2006/relationships/hyperlink" Target="https://osu.ppy.sh/beatmapsets/1286316" TargetMode="External"/><Relationship Id="rId1441" Type="http://schemas.openxmlformats.org/officeDocument/2006/relationships/hyperlink" Target="https://assets.ppy.sh/beatmaps/1286316/covers/cover.jpg" TargetMode="External"/><Relationship Id="rId1442" Type="http://schemas.openxmlformats.org/officeDocument/2006/relationships/hyperlink" Target="https://b.ppy.sh/thumb/1286316l.jpg" TargetMode="External"/><Relationship Id="rId1443" Type="http://schemas.openxmlformats.org/officeDocument/2006/relationships/hyperlink" Target="https://osu.ppy.sh/beatmapsets/1286316" TargetMode="External"/><Relationship Id="rId1477" Type="http://schemas.openxmlformats.org/officeDocument/2006/relationships/hyperlink" Target="https://assets.ppy.sh/beatmaps/1997114/covers/cover.jpg" TargetMode="External"/><Relationship Id="rId1478" Type="http://schemas.openxmlformats.org/officeDocument/2006/relationships/hyperlink" Target="https://b.ppy.sh/thumb/1997114l.jpg" TargetMode="External"/><Relationship Id="rId1479" Type="http://schemas.openxmlformats.org/officeDocument/2006/relationships/hyperlink" Target="https://osu.ppy.sh/beatmapsets/1997114" TargetMode="External"/><Relationship Id="rId646" Type="http://schemas.openxmlformats.org/officeDocument/2006/relationships/hyperlink" Target="https://b.ppy.sh/thumb/1544600l.jpg" TargetMode="External"/><Relationship Id="rId645" Type="http://schemas.openxmlformats.org/officeDocument/2006/relationships/hyperlink" Target="https://assets.ppy.sh/beatmaps/1544600/covers/cover.jpg" TargetMode="External"/><Relationship Id="rId644" Type="http://schemas.openxmlformats.org/officeDocument/2006/relationships/hyperlink" Target="https://osu.ppy.sh/beatmapsets/1544600" TargetMode="External"/><Relationship Id="rId643" Type="http://schemas.openxmlformats.org/officeDocument/2006/relationships/hyperlink" Target="https://osu.ppy.sh/beatmapsets/1544600" TargetMode="External"/><Relationship Id="rId649" Type="http://schemas.openxmlformats.org/officeDocument/2006/relationships/hyperlink" Target="https://assets.ppy.sh/beatmaps/1581327/covers/cover.jpg" TargetMode="External"/><Relationship Id="rId648" Type="http://schemas.openxmlformats.org/officeDocument/2006/relationships/hyperlink" Target="https://osu.ppy.sh/beatmapsets/1581327" TargetMode="External"/><Relationship Id="rId647" Type="http://schemas.openxmlformats.org/officeDocument/2006/relationships/hyperlink" Target="https://osu.ppy.sh/beatmapsets/1544600" TargetMode="External"/><Relationship Id="rId1470" Type="http://schemas.openxmlformats.org/officeDocument/2006/relationships/hyperlink" Target="https://b.ppy.sh/thumb/25392l.jpg" TargetMode="External"/><Relationship Id="rId1471" Type="http://schemas.openxmlformats.org/officeDocument/2006/relationships/hyperlink" Target="https://osu.ppy.sh/beatmapsets/25392" TargetMode="External"/><Relationship Id="rId1472" Type="http://schemas.openxmlformats.org/officeDocument/2006/relationships/hyperlink" Target="https://osu.ppy.sh/beatmapsets/1360537" TargetMode="External"/><Relationship Id="rId642" Type="http://schemas.openxmlformats.org/officeDocument/2006/relationships/hyperlink" Target="https://b.ppy.sh/thumb/1544600l.jpg" TargetMode="External"/><Relationship Id="rId1473" Type="http://schemas.openxmlformats.org/officeDocument/2006/relationships/hyperlink" Target="https://assets.ppy.sh/beatmaps/1360537/covers/cover.jpg" TargetMode="External"/><Relationship Id="rId641" Type="http://schemas.openxmlformats.org/officeDocument/2006/relationships/hyperlink" Target="https://assets.ppy.sh/beatmaps/1544600/covers/cover.jpg" TargetMode="External"/><Relationship Id="rId1474" Type="http://schemas.openxmlformats.org/officeDocument/2006/relationships/hyperlink" Target="https://b.ppy.sh/thumb/1360537l.jpg" TargetMode="External"/><Relationship Id="rId640" Type="http://schemas.openxmlformats.org/officeDocument/2006/relationships/hyperlink" Target="https://osu.ppy.sh/beatmapsets/1544600" TargetMode="External"/><Relationship Id="rId1475" Type="http://schemas.openxmlformats.org/officeDocument/2006/relationships/hyperlink" Target="https://osu.ppy.sh/beatmapsets/1360537" TargetMode="External"/><Relationship Id="rId1476" Type="http://schemas.openxmlformats.org/officeDocument/2006/relationships/hyperlink" Target="https://osu.ppy.sh/beatmapsets/1997114" TargetMode="External"/><Relationship Id="rId1466" Type="http://schemas.openxmlformats.org/officeDocument/2006/relationships/hyperlink" Target="https://b.ppy.sh/thumb/25392l.jpg" TargetMode="External"/><Relationship Id="rId1467" Type="http://schemas.openxmlformats.org/officeDocument/2006/relationships/hyperlink" Target="https://osu.ppy.sh/beatmapsets/25392" TargetMode="External"/><Relationship Id="rId1468" Type="http://schemas.openxmlformats.org/officeDocument/2006/relationships/hyperlink" Target="https://osu.ppy.sh/beatmapsets/25392" TargetMode="External"/><Relationship Id="rId1469" Type="http://schemas.openxmlformats.org/officeDocument/2006/relationships/hyperlink" Target="https://assets.ppy.sh/beatmaps/25392/covers/cover.jpg" TargetMode="External"/><Relationship Id="rId635" Type="http://schemas.openxmlformats.org/officeDocument/2006/relationships/hyperlink" Target="https://osu.ppy.sh/beatmapsets/658424" TargetMode="External"/><Relationship Id="rId634" Type="http://schemas.openxmlformats.org/officeDocument/2006/relationships/hyperlink" Target="https://b.ppy.sh/thumb/658424l.jpg" TargetMode="External"/><Relationship Id="rId633" Type="http://schemas.openxmlformats.org/officeDocument/2006/relationships/hyperlink" Target="https://assets.ppy.sh/beatmaps/658424/covers/cover.jpg" TargetMode="External"/><Relationship Id="rId632" Type="http://schemas.openxmlformats.org/officeDocument/2006/relationships/hyperlink" Target="https://osu.ppy.sh/beatmapsets/658424" TargetMode="External"/><Relationship Id="rId639" Type="http://schemas.openxmlformats.org/officeDocument/2006/relationships/hyperlink" Target="https://osu.ppy.sh/beatmapsets/658424" TargetMode="External"/><Relationship Id="rId638" Type="http://schemas.openxmlformats.org/officeDocument/2006/relationships/hyperlink" Target="https://b.ppy.sh/thumb/658424l.jpg" TargetMode="External"/><Relationship Id="rId637" Type="http://schemas.openxmlformats.org/officeDocument/2006/relationships/hyperlink" Target="https://assets.ppy.sh/beatmaps/658424/covers/cover.jpg" TargetMode="External"/><Relationship Id="rId636" Type="http://schemas.openxmlformats.org/officeDocument/2006/relationships/hyperlink" Target="https://osu.ppy.sh/beatmapsets/658424" TargetMode="External"/><Relationship Id="rId1460" Type="http://schemas.openxmlformats.org/officeDocument/2006/relationships/hyperlink" Target="https://osu.ppy.sh/beatmapsets/1954230" TargetMode="External"/><Relationship Id="rId1461" Type="http://schemas.openxmlformats.org/officeDocument/2006/relationships/hyperlink" Target="https://assets.ppy.sh/beatmaps/1954230/covers/cover.jpg" TargetMode="External"/><Relationship Id="rId631" Type="http://schemas.openxmlformats.org/officeDocument/2006/relationships/hyperlink" Target="https://osu.ppy.sh/beatmapsets/924701" TargetMode="External"/><Relationship Id="rId1462" Type="http://schemas.openxmlformats.org/officeDocument/2006/relationships/hyperlink" Target="https://b.ppy.sh/thumb/1954230l.jpg" TargetMode="External"/><Relationship Id="rId630" Type="http://schemas.openxmlformats.org/officeDocument/2006/relationships/hyperlink" Target="https://b.ppy.sh/thumb/924701l.jpg" TargetMode="External"/><Relationship Id="rId1463" Type="http://schemas.openxmlformats.org/officeDocument/2006/relationships/hyperlink" Target="https://osu.ppy.sh/beatmapsets/1954230" TargetMode="External"/><Relationship Id="rId1464" Type="http://schemas.openxmlformats.org/officeDocument/2006/relationships/hyperlink" Target="https://osu.ppy.sh/beatmapsets/25392" TargetMode="External"/><Relationship Id="rId1465" Type="http://schemas.openxmlformats.org/officeDocument/2006/relationships/hyperlink" Target="https://assets.ppy.sh/beatmaps/25392/covers/cover.jpg" TargetMode="External"/><Relationship Id="rId1411" Type="http://schemas.openxmlformats.org/officeDocument/2006/relationships/hyperlink" Target="https://osu.ppy.sh/beatmapsets/1409478" TargetMode="External"/><Relationship Id="rId1895" Type="http://schemas.openxmlformats.org/officeDocument/2006/relationships/hyperlink" Target="https://osu.ppy.sh/beatmapsets/1842709" TargetMode="External"/><Relationship Id="rId1412" Type="http://schemas.openxmlformats.org/officeDocument/2006/relationships/hyperlink" Target="https://osu.ppy.sh/beatmapsets/1305940" TargetMode="External"/><Relationship Id="rId1896" Type="http://schemas.openxmlformats.org/officeDocument/2006/relationships/hyperlink" Target="https://osu.ppy.sh/beatmapsets/1804775" TargetMode="External"/><Relationship Id="rId1413" Type="http://schemas.openxmlformats.org/officeDocument/2006/relationships/hyperlink" Target="https://assets.ppy.sh/beatmaps/1305940/covers/cover.jpg" TargetMode="External"/><Relationship Id="rId1897" Type="http://schemas.openxmlformats.org/officeDocument/2006/relationships/hyperlink" Target="https://assets.ppy.sh/beatmaps/1804775/covers/cover.jpg" TargetMode="External"/><Relationship Id="rId1414" Type="http://schemas.openxmlformats.org/officeDocument/2006/relationships/hyperlink" Target="https://b.ppy.sh/thumb/1305940l.jpg" TargetMode="External"/><Relationship Id="rId1898" Type="http://schemas.openxmlformats.org/officeDocument/2006/relationships/hyperlink" Target="https://b.ppy.sh/thumb/1804775l.jpg" TargetMode="External"/><Relationship Id="rId1415" Type="http://schemas.openxmlformats.org/officeDocument/2006/relationships/hyperlink" Target="https://osu.ppy.sh/beatmapsets/1305940" TargetMode="External"/><Relationship Id="rId1899" Type="http://schemas.openxmlformats.org/officeDocument/2006/relationships/hyperlink" Target="https://osu.ppy.sh/beatmapsets/1804775" TargetMode="External"/><Relationship Id="rId1416" Type="http://schemas.openxmlformats.org/officeDocument/2006/relationships/hyperlink" Target="https://osu.ppy.sh/beatmapsets/1305940" TargetMode="External"/><Relationship Id="rId1417" Type="http://schemas.openxmlformats.org/officeDocument/2006/relationships/hyperlink" Target="https://assets.ppy.sh/beatmaps/1305940/covers/cover.jpg" TargetMode="External"/><Relationship Id="rId1418" Type="http://schemas.openxmlformats.org/officeDocument/2006/relationships/hyperlink" Target="https://b.ppy.sh/thumb/1305940l.jpg" TargetMode="External"/><Relationship Id="rId1419" Type="http://schemas.openxmlformats.org/officeDocument/2006/relationships/hyperlink" Target="https://osu.ppy.sh/beatmapsets/1305940" TargetMode="External"/><Relationship Id="rId1890" Type="http://schemas.openxmlformats.org/officeDocument/2006/relationships/hyperlink" Target="https://b.ppy.sh/thumb/1228132l.jpg" TargetMode="External"/><Relationship Id="rId1891" Type="http://schemas.openxmlformats.org/officeDocument/2006/relationships/hyperlink" Target="https://osu.ppy.sh/beatmapsets/1228132" TargetMode="External"/><Relationship Id="rId1892" Type="http://schemas.openxmlformats.org/officeDocument/2006/relationships/hyperlink" Target="https://osu.ppy.sh/beatmapsets/1842709" TargetMode="External"/><Relationship Id="rId1893" Type="http://schemas.openxmlformats.org/officeDocument/2006/relationships/hyperlink" Target="https://assets.ppy.sh/beatmaps/1842709/covers/cover.jpg" TargetMode="External"/><Relationship Id="rId1410" Type="http://schemas.openxmlformats.org/officeDocument/2006/relationships/hyperlink" Target="https://b.ppy.sh/thumb/1409478l.jpg" TargetMode="External"/><Relationship Id="rId1894" Type="http://schemas.openxmlformats.org/officeDocument/2006/relationships/hyperlink" Target="https://b.ppy.sh/thumb/1842709l.jpg" TargetMode="External"/><Relationship Id="rId1400" Type="http://schemas.openxmlformats.org/officeDocument/2006/relationships/hyperlink" Target="https://osu.ppy.sh/beatmapsets/1366507" TargetMode="External"/><Relationship Id="rId1884" Type="http://schemas.openxmlformats.org/officeDocument/2006/relationships/hyperlink" Target="https://osu.ppy.sh/beatmapsets/4907" TargetMode="External"/><Relationship Id="rId1401" Type="http://schemas.openxmlformats.org/officeDocument/2006/relationships/hyperlink" Target="https://assets.ppy.sh/beatmaps/1366507/covers/cover.jpg" TargetMode="External"/><Relationship Id="rId1885" Type="http://schemas.openxmlformats.org/officeDocument/2006/relationships/hyperlink" Target="https://assets.ppy.sh/beatmaps/4907/covers/cover.jpg" TargetMode="External"/><Relationship Id="rId1402" Type="http://schemas.openxmlformats.org/officeDocument/2006/relationships/hyperlink" Target="https://b.ppy.sh/thumb/1366507l.jpg" TargetMode="External"/><Relationship Id="rId1886" Type="http://schemas.openxmlformats.org/officeDocument/2006/relationships/hyperlink" Target="https://b.ppy.sh/thumb/4907l.jpg" TargetMode="External"/><Relationship Id="rId1403" Type="http://schemas.openxmlformats.org/officeDocument/2006/relationships/hyperlink" Target="https://osu.ppy.sh/beatmapsets/1366507" TargetMode="External"/><Relationship Id="rId1887" Type="http://schemas.openxmlformats.org/officeDocument/2006/relationships/hyperlink" Target="https://osu.ppy.sh/beatmapsets/4907" TargetMode="External"/><Relationship Id="rId1404" Type="http://schemas.openxmlformats.org/officeDocument/2006/relationships/hyperlink" Target="https://osu.ppy.sh/beatmapsets/1409478" TargetMode="External"/><Relationship Id="rId1888" Type="http://schemas.openxmlformats.org/officeDocument/2006/relationships/hyperlink" Target="https://osu.ppy.sh/beatmapsets/1228132" TargetMode="External"/><Relationship Id="rId1405" Type="http://schemas.openxmlformats.org/officeDocument/2006/relationships/hyperlink" Target="https://assets.ppy.sh/beatmaps/1409478/covers/cover.jpg" TargetMode="External"/><Relationship Id="rId1889" Type="http://schemas.openxmlformats.org/officeDocument/2006/relationships/hyperlink" Target="https://assets.ppy.sh/beatmaps/1228132/covers/cover.jpg" TargetMode="External"/><Relationship Id="rId1406" Type="http://schemas.openxmlformats.org/officeDocument/2006/relationships/hyperlink" Target="https://b.ppy.sh/thumb/1409478l.jpg" TargetMode="External"/><Relationship Id="rId1407" Type="http://schemas.openxmlformats.org/officeDocument/2006/relationships/hyperlink" Target="https://osu.ppy.sh/beatmapsets/1409478" TargetMode="External"/><Relationship Id="rId1408" Type="http://schemas.openxmlformats.org/officeDocument/2006/relationships/hyperlink" Target="https://osu.ppy.sh/beatmapsets/1409478" TargetMode="External"/><Relationship Id="rId1409" Type="http://schemas.openxmlformats.org/officeDocument/2006/relationships/hyperlink" Target="https://assets.ppy.sh/beatmaps/1409478/covers/cover.jpg" TargetMode="External"/><Relationship Id="rId1880" Type="http://schemas.openxmlformats.org/officeDocument/2006/relationships/hyperlink" Target="https://osu.ppy.sh/beatmapsets/4907" TargetMode="External"/><Relationship Id="rId1881" Type="http://schemas.openxmlformats.org/officeDocument/2006/relationships/hyperlink" Target="https://assets.ppy.sh/beatmaps/4907/covers/cover.jpg" TargetMode="External"/><Relationship Id="rId1882" Type="http://schemas.openxmlformats.org/officeDocument/2006/relationships/hyperlink" Target="https://b.ppy.sh/thumb/4907l.jpg" TargetMode="External"/><Relationship Id="rId1883" Type="http://schemas.openxmlformats.org/officeDocument/2006/relationships/hyperlink" Target="https://osu.ppy.sh/beatmapsets/4907" TargetMode="External"/><Relationship Id="rId1433" Type="http://schemas.openxmlformats.org/officeDocument/2006/relationships/hyperlink" Target="https://assets.ppy.sh/beatmaps/366884/covers/cover.jpg" TargetMode="External"/><Relationship Id="rId1434" Type="http://schemas.openxmlformats.org/officeDocument/2006/relationships/hyperlink" Target="https://b.ppy.sh/thumb/366884l.jpg" TargetMode="External"/><Relationship Id="rId1435" Type="http://schemas.openxmlformats.org/officeDocument/2006/relationships/hyperlink" Target="https://osu.ppy.sh/beatmapsets/366884" TargetMode="External"/><Relationship Id="rId1436" Type="http://schemas.openxmlformats.org/officeDocument/2006/relationships/hyperlink" Target="https://osu.ppy.sh/beatmapsets/366884" TargetMode="External"/><Relationship Id="rId1437" Type="http://schemas.openxmlformats.org/officeDocument/2006/relationships/hyperlink" Target="https://assets.ppy.sh/beatmaps/366884/covers/cover.jpg" TargetMode="External"/><Relationship Id="rId1438" Type="http://schemas.openxmlformats.org/officeDocument/2006/relationships/hyperlink" Target="https://b.ppy.sh/thumb/366884l.jpg" TargetMode="External"/><Relationship Id="rId1439" Type="http://schemas.openxmlformats.org/officeDocument/2006/relationships/hyperlink" Target="https://osu.ppy.sh/beatmapsets/366884" TargetMode="External"/><Relationship Id="rId609" Type="http://schemas.openxmlformats.org/officeDocument/2006/relationships/hyperlink" Target="https://assets.ppy.sh/beatmaps/1329045/covers/cover.jpg" TargetMode="External"/><Relationship Id="rId608" Type="http://schemas.openxmlformats.org/officeDocument/2006/relationships/hyperlink" Target="https://osu.ppy.sh/beatmapsets/1329045" TargetMode="External"/><Relationship Id="rId607" Type="http://schemas.openxmlformats.org/officeDocument/2006/relationships/hyperlink" Target="https://osu.ppy.sh/beatmapsets/1401651" TargetMode="External"/><Relationship Id="rId602" Type="http://schemas.openxmlformats.org/officeDocument/2006/relationships/hyperlink" Target="https://b.ppy.sh/thumb/1401651l.jpg" TargetMode="External"/><Relationship Id="rId601" Type="http://schemas.openxmlformats.org/officeDocument/2006/relationships/hyperlink" Target="https://assets.ppy.sh/beatmaps/1401651/covers/cover.jpg" TargetMode="External"/><Relationship Id="rId600" Type="http://schemas.openxmlformats.org/officeDocument/2006/relationships/hyperlink" Target="https://osu.ppy.sh/beatmapsets/1401651" TargetMode="External"/><Relationship Id="rId606" Type="http://schemas.openxmlformats.org/officeDocument/2006/relationships/hyperlink" Target="https://b.ppy.sh/thumb/1401651l.jpg" TargetMode="External"/><Relationship Id="rId605" Type="http://schemas.openxmlformats.org/officeDocument/2006/relationships/hyperlink" Target="https://assets.ppy.sh/beatmaps/1401651/covers/cover.jpg" TargetMode="External"/><Relationship Id="rId604" Type="http://schemas.openxmlformats.org/officeDocument/2006/relationships/hyperlink" Target="https://osu.ppy.sh/beatmapsets/1401651" TargetMode="External"/><Relationship Id="rId603" Type="http://schemas.openxmlformats.org/officeDocument/2006/relationships/hyperlink" Target="https://osu.ppy.sh/beatmapsets/1401651" TargetMode="External"/><Relationship Id="rId1430" Type="http://schemas.openxmlformats.org/officeDocument/2006/relationships/hyperlink" Target="https://b.ppy.sh/thumb/984013l.jpg" TargetMode="External"/><Relationship Id="rId1431" Type="http://schemas.openxmlformats.org/officeDocument/2006/relationships/hyperlink" Target="https://osu.ppy.sh/beatmapsets/984013" TargetMode="External"/><Relationship Id="rId1432" Type="http://schemas.openxmlformats.org/officeDocument/2006/relationships/hyperlink" Target="https://osu.ppy.sh/beatmapsets/366884" TargetMode="External"/><Relationship Id="rId1422" Type="http://schemas.openxmlformats.org/officeDocument/2006/relationships/hyperlink" Target="https://b.ppy.sh/thumb/1580891l.jpg" TargetMode="External"/><Relationship Id="rId1423" Type="http://schemas.openxmlformats.org/officeDocument/2006/relationships/hyperlink" Target="https://osu.ppy.sh/beatmapsets/1580891" TargetMode="External"/><Relationship Id="rId1424" Type="http://schemas.openxmlformats.org/officeDocument/2006/relationships/hyperlink" Target="https://osu.ppy.sh/beatmapsets/1580891" TargetMode="External"/><Relationship Id="rId1425" Type="http://schemas.openxmlformats.org/officeDocument/2006/relationships/hyperlink" Target="https://assets.ppy.sh/beatmaps/1580891/covers/cover.jpg" TargetMode="External"/><Relationship Id="rId1426" Type="http://schemas.openxmlformats.org/officeDocument/2006/relationships/hyperlink" Target="https://b.ppy.sh/thumb/1580891l.jpg" TargetMode="External"/><Relationship Id="rId1427" Type="http://schemas.openxmlformats.org/officeDocument/2006/relationships/hyperlink" Target="https://osu.ppy.sh/beatmapsets/1580891" TargetMode="External"/><Relationship Id="rId1428" Type="http://schemas.openxmlformats.org/officeDocument/2006/relationships/hyperlink" Target="https://osu.ppy.sh/beatmapsets/984013" TargetMode="External"/><Relationship Id="rId1429" Type="http://schemas.openxmlformats.org/officeDocument/2006/relationships/hyperlink" Target="https://assets.ppy.sh/beatmaps/984013/covers/cover.jpg" TargetMode="External"/><Relationship Id="rId1420" Type="http://schemas.openxmlformats.org/officeDocument/2006/relationships/hyperlink" Target="https://osu.ppy.sh/beatmapsets/1580891" TargetMode="External"/><Relationship Id="rId1421" Type="http://schemas.openxmlformats.org/officeDocument/2006/relationships/hyperlink" Target="https://assets.ppy.sh/beatmaps/1580891/covers/cover.jpg" TargetMode="External"/><Relationship Id="rId1059" Type="http://schemas.openxmlformats.org/officeDocument/2006/relationships/hyperlink" Target="https://osu.ppy.sh/beatmapsets/1857926" TargetMode="External"/><Relationship Id="rId228" Type="http://schemas.openxmlformats.org/officeDocument/2006/relationships/hyperlink" Target="https://osu.ppy.sh/beatmapsets/1932625" TargetMode="External"/><Relationship Id="rId227" Type="http://schemas.openxmlformats.org/officeDocument/2006/relationships/hyperlink" Target="https://osu.ppy.sh/beatmapsets/1533832" TargetMode="External"/><Relationship Id="rId226" Type="http://schemas.openxmlformats.org/officeDocument/2006/relationships/hyperlink" Target="https://b.ppy.sh/thumb/1533832l.jpg" TargetMode="External"/><Relationship Id="rId225" Type="http://schemas.openxmlformats.org/officeDocument/2006/relationships/hyperlink" Target="https://assets.ppy.sh/beatmaps/1533832/covers/cover.jpg" TargetMode="External"/><Relationship Id="rId229" Type="http://schemas.openxmlformats.org/officeDocument/2006/relationships/hyperlink" Target="https://assets.ppy.sh/beatmaps/1932625/covers/cover.jpg" TargetMode="External"/><Relationship Id="rId1050" Type="http://schemas.openxmlformats.org/officeDocument/2006/relationships/hyperlink" Target="https://b.ppy.sh/thumb/927758l.jpg" TargetMode="External"/><Relationship Id="rId220" Type="http://schemas.openxmlformats.org/officeDocument/2006/relationships/hyperlink" Target="https://osu.ppy.sh/beatmapsets/1533832" TargetMode="External"/><Relationship Id="rId1051" Type="http://schemas.openxmlformats.org/officeDocument/2006/relationships/hyperlink" Target="https://osu.ppy.sh/beatmapsets/927758" TargetMode="External"/><Relationship Id="rId1052" Type="http://schemas.openxmlformats.org/officeDocument/2006/relationships/hyperlink" Target="https://osu.ppy.sh/beatmapsets/1857926" TargetMode="External"/><Relationship Id="rId1053" Type="http://schemas.openxmlformats.org/officeDocument/2006/relationships/hyperlink" Target="https://assets.ppy.sh/beatmaps/1857926/covers/cover.jpg" TargetMode="External"/><Relationship Id="rId1054" Type="http://schemas.openxmlformats.org/officeDocument/2006/relationships/hyperlink" Target="https://b.ppy.sh/thumb/1857926l.jpg" TargetMode="External"/><Relationship Id="rId224" Type="http://schemas.openxmlformats.org/officeDocument/2006/relationships/hyperlink" Target="https://osu.ppy.sh/beatmapsets/1533832" TargetMode="External"/><Relationship Id="rId1055" Type="http://schemas.openxmlformats.org/officeDocument/2006/relationships/hyperlink" Target="https://osu.ppy.sh/beatmapsets/1857926" TargetMode="External"/><Relationship Id="rId223" Type="http://schemas.openxmlformats.org/officeDocument/2006/relationships/hyperlink" Target="https://osu.ppy.sh/beatmapsets/1533832" TargetMode="External"/><Relationship Id="rId1056" Type="http://schemas.openxmlformats.org/officeDocument/2006/relationships/hyperlink" Target="https://osu.ppy.sh/beatmapsets/1857926" TargetMode="External"/><Relationship Id="rId222" Type="http://schemas.openxmlformats.org/officeDocument/2006/relationships/hyperlink" Target="https://b.ppy.sh/thumb/1533832l.jpg" TargetMode="External"/><Relationship Id="rId1057" Type="http://schemas.openxmlformats.org/officeDocument/2006/relationships/hyperlink" Target="https://assets.ppy.sh/beatmaps/1857926/covers/cover.jpg" TargetMode="External"/><Relationship Id="rId221" Type="http://schemas.openxmlformats.org/officeDocument/2006/relationships/hyperlink" Target="https://assets.ppy.sh/beatmaps/1533832/covers/cover.jpg" TargetMode="External"/><Relationship Id="rId1058" Type="http://schemas.openxmlformats.org/officeDocument/2006/relationships/hyperlink" Target="https://b.ppy.sh/thumb/1857926l.jpg" TargetMode="External"/><Relationship Id="rId1048" Type="http://schemas.openxmlformats.org/officeDocument/2006/relationships/hyperlink" Target="https://osu.ppy.sh/beatmapsets/927758" TargetMode="External"/><Relationship Id="rId1049" Type="http://schemas.openxmlformats.org/officeDocument/2006/relationships/hyperlink" Target="https://assets.ppy.sh/beatmaps/927758/covers/cover.jpg" TargetMode="External"/><Relationship Id="rId217" Type="http://schemas.openxmlformats.org/officeDocument/2006/relationships/hyperlink" Target="https://assets.ppy.sh/beatmaps/1533832/covers/cover.jpg" TargetMode="External"/><Relationship Id="rId216" Type="http://schemas.openxmlformats.org/officeDocument/2006/relationships/hyperlink" Target="https://osu.ppy.sh/beatmapsets/1533832" TargetMode="External"/><Relationship Id="rId215" Type="http://schemas.openxmlformats.org/officeDocument/2006/relationships/hyperlink" Target="https://osu.ppy.sh/beatmapsets/932654" TargetMode="External"/><Relationship Id="rId699" Type="http://schemas.openxmlformats.org/officeDocument/2006/relationships/hyperlink" Target="https://osu.ppy.sh/beatmapsets/1782707" TargetMode="External"/><Relationship Id="rId214" Type="http://schemas.openxmlformats.org/officeDocument/2006/relationships/hyperlink" Target="https://b.ppy.sh/thumb/932654l.jpg" TargetMode="External"/><Relationship Id="rId698" Type="http://schemas.openxmlformats.org/officeDocument/2006/relationships/hyperlink" Target="https://b.ppy.sh/thumb/1782707l.jpg" TargetMode="External"/><Relationship Id="rId219" Type="http://schemas.openxmlformats.org/officeDocument/2006/relationships/hyperlink" Target="https://osu.ppy.sh/beatmapsets/1533832" TargetMode="External"/><Relationship Id="rId218" Type="http://schemas.openxmlformats.org/officeDocument/2006/relationships/hyperlink" Target="https://b.ppy.sh/thumb/1533832l.jpg" TargetMode="External"/><Relationship Id="rId693" Type="http://schemas.openxmlformats.org/officeDocument/2006/relationships/hyperlink" Target="https://assets.ppy.sh/beatmaps/1185294/covers/cover.jpg" TargetMode="External"/><Relationship Id="rId1040" Type="http://schemas.openxmlformats.org/officeDocument/2006/relationships/hyperlink" Target="https://osu.ppy.sh/beatmapsets/1140943" TargetMode="External"/><Relationship Id="rId692" Type="http://schemas.openxmlformats.org/officeDocument/2006/relationships/hyperlink" Target="https://osu.ppy.sh/beatmapsets/1185294" TargetMode="External"/><Relationship Id="rId1041" Type="http://schemas.openxmlformats.org/officeDocument/2006/relationships/hyperlink" Target="https://assets.ppy.sh/beatmaps/1140943/covers/cover.jpg" TargetMode="External"/><Relationship Id="rId691" Type="http://schemas.openxmlformats.org/officeDocument/2006/relationships/hyperlink" Target="https://osu.ppy.sh/beatmapsets/1185294" TargetMode="External"/><Relationship Id="rId1042" Type="http://schemas.openxmlformats.org/officeDocument/2006/relationships/hyperlink" Target="https://b.ppy.sh/thumb/1140943l.jpg" TargetMode="External"/><Relationship Id="rId690" Type="http://schemas.openxmlformats.org/officeDocument/2006/relationships/hyperlink" Target="https://b.ppy.sh/thumb/1185294l.jpg" TargetMode="External"/><Relationship Id="rId1043" Type="http://schemas.openxmlformats.org/officeDocument/2006/relationships/hyperlink" Target="https://osu.ppy.sh/beatmapsets/1140943" TargetMode="External"/><Relationship Id="rId213" Type="http://schemas.openxmlformats.org/officeDocument/2006/relationships/hyperlink" Target="https://assets.ppy.sh/beatmaps/932654/covers/cover.jpg" TargetMode="External"/><Relationship Id="rId697" Type="http://schemas.openxmlformats.org/officeDocument/2006/relationships/hyperlink" Target="https://assets.ppy.sh/beatmaps/1782707/covers/cover.jpg" TargetMode="External"/><Relationship Id="rId1044" Type="http://schemas.openxmlformats.org/officeDocument/2006/relationships/hyperlink" Target="https://osu.ppy.sh/beatmapsets/1140943" TargetMode="External"/><Relationship Id="rId212" Type="http://schemas.openxmlformats.org/officeDocument/2006/relationships/hyperlink" Target="https://osu.ppy.sh/beatmapsets/932654" TargetMode="External"/><Relationship Id="rId696" Type="http://schemas.openxmlformats.org/officeDocument/2006/relationships/hyperlink" Target="https://osu.ppy.sh/beatmapsets/1782707" TargetMode="External"/><Relationship Id="rId1045" Type="http://schemas.openxmlformats.org/officeDocument/2006/relationships/hyperlink" Target="https://assets.ppy.sh/beatmaps/1140943/covers/cover.jpg" TargetMode="External"/><Relationship Id="rId211" Type="http://schemas.openxmlformats.org/officeDocument/2006/relationships/hyperlink" Target="https://osu.ppy.sh/beatmapsets/932654" TargetMode="External"/><Relationship Id="rId695" Type="http://schemas.openxmlformats.org/officeDocument/2006/relationships/hyperlink" Target="https://osu.ppy.sh/beatmapsets/1185294" TargetMode="External"/><Relationship Id="rId1046" Type="http://schemas.openxmlformats.org/officeDocument/2006/relationships/hyperlink" Target="https://b.ppy.sh/thumb/1140943l.jpg" TargetMode="External"/><Relationship Id="rId210" Type="http://schemas.openxmlformats.org/officeDocument/2006/relationships/hyperlink" Target="https://b.ppy.sh/thumb/932654l.jpg" TargetMode="External"/><Relationship Id="rId694" Type="http://schemas.openxmlformats.org/officeDocument/2006/relationships/hyperlink" Target="https://b.ppy.sh/thumb/1185294l.jpg" TargetMode="External"/><Relationship Id="rId1047" Type="http://schemas.openxmlformats.org/officeDocument/2006/relationships/hyperlink" Target="https://osu.ppy.sh/beatmapsets/1140943" TargetMode="External"/><Relationship Id="rId249" Type="http://schemas.openxmlformats.org/officeDocument/2006/relationships/hyperlink" Target="https://assets.ppy.sh/beatmaps/1686408/covers/cover.jpg" TargetMode="External"/><Relationship Id="rId248" Type="http://schemas.openxmlformats.org/officeDocument/2006/relationships/hyperlink" Target="https://osu.ppy.sh/beatmapsets/1686408" TargetMode="External"/><Relationship Id="rId247" Type="http://schemas.openxmlformats.org/officeDocument/2006/relationships/hyperlink" Target="https://osu.ppy.sh/beatmapsets/1686408" TargetMode="External"/><Relationship Id="rId1070" Type="http://schemas.openxmlformats.org/officeDocument/2006/relationships/hyperlink" Target="https://b.ppy.sh/thumb/1178471l.jpg" TargetMode="External"/><Relationship Id="rId1071" Type="http://schemas.openxmlformats.org/officeDocument/2006/relationships/hyperlink" Target="https://osu.ppy.sh/beatmapsets/1178471" TargetMode="External"/><Relationship Id="rId1072" Type="http://schemas.openxmlformats.org/officeDocument/2006/relationships/hyperlink" Target="https://osu.ppy.sh/beatmapsets/1441316" TargetMode="External"/><Relationship Id="rId242" Type="http://schemas.openxmlformats.org/officeDocument/2006/relationships/hyperlink" Target="https://b.ppy.sh/thumb/1686408l.jpg" TargetMode="External"/><Relationship Id="rId1073" Type="http://schemas.openxmlformats.org/officeDocument/2006/relationships/hyperlink" Target="https://assets.ppy.sh/beatmaps/1441316/covers/cover.jpg" TargetMode="External"/><Relationship Id="rId241" Type="http://schemas.openxmlformats.org/officeDocument/2006/relationships/hyperlink" Target="https://assets.ppy.sh/beatmaps/1686408/covers/cover.jpg" TargetMode="External"/><Relationship Id="rId1074" Type="http://schemas.openxmlformats.org/officeDocument/2006/relationships/hyperlink" Target="https://b.ppy.sh/thumb/1441316l.jpg" TargetMode="External"/><Relationship Id="rId240" Type="http://schemas.openxmlformats.org/officeDocument/2006/relationships/hyperlink" Target="https://osu.ppy.sh/beatmapsets/1686408" TargetMode="External"/><Relationship Id="rId1075" Type="http://schemas.openxmlformats.org/officeDocument/2006/relationships/hyperlink" Target="https://osu.ppy.sh/beatmapsets/1441316" TargetMode="External"/><Relationship Id="rId1076" Type="http://schemas.openxmlformats.org/officeDocument/2006/relationships/hyperlink" Target="https://osu.ppy.sh/beatmapsets/1441316" TargetMode="External"/><Relationship Id="rId246" Type="http://schemas.openxmlformats.org/officeDocument/2006/relationships/hyperlink" Target="https://b.ppy.sh/thumb/1686408l.jpg" TargetMode="External"/><Relationship Id="rId1077" Type="http://schemas.openxmlformats.org/officeDocument/2006/relationships/hyperlink" Target="https://assets.ppy.sh/beatmaps/1441316/covers/cover.jpg" TargetMode="External"/><Relationship Id="rId245" Type="http://schemas.openxmlformats.org/officeDocument/2006/relationships/hyperlink" Target="https://assets.ppy.sh/beatmaps/1686408/covers/cover.jpg" TargetMode="External"/><Relationship Id="rId1078" Type="http://schemas.openxmlformats.org/officeDocument/2006/relationships/hyperlink" Target="https://b.ppy.sh/thumb/1441316l.jpg" TargetMode="External"/><Relationship Id="rId244" Type="http://schemas.openxmlformats.org/officeDocument/2006/relationships/hyperlink" Target="https://osu.ppy.sh/beatmapsets/1686408" TargetMode="External"/><Relationship Id="rId1079" Type="http://schemas.openxmlformats.org/officeDocument/2006/relationships/hyperlink" Target="https://osu.ppy.sh/beatmapsets/1441316" TargetMode="External"/><Relationship Id="rId243" Type="http://schemas.openxmlformats.org/officeDocument/2006/relationships/hyperlink" Target="https://osu.ppy.sh/beatmapsets/1686408" TargetMode="External"/><Relationship Id="rId239" Type="http://schemas.openxmlformats.org/officeDocument/2006/relationships/hyperlink" Target="https://osu.ppy.sh/beatmapsets/1663184" TargetMode="External"/><Relationship Id="rId238" Type="http://schemas.openxmlformats.org/officeDocument/2006/relationships/hyperlink" Target="https://b.ppy.sh/thumb/1663184l.jpg" TargetMode="External"/><Relationship Id="rId237" Type="http://schemas.openxmlformats.org/officeDocument/2006/relationships/hyperlink" Target="https://assets.ppy.sh/beatmaps/1663184/covers/cover.jpg" TargetMode="External"/><Relationship Id="rId236" Type="http://schemas.openxmlformats.org/officeDocument/2006/relationships/hyperlink" Target="https://osu.ppy.sh/beatmapsets/1663184" TargetMode="External"/><Relationship Id="rId1060" Type="http://schemas.openxmlformats.org/officeDocument/2006/relationships/hyperlink" Target="https://osu.ppy.sh/beatmapsets/1857926" TargetMode="External"/><Relationship Id="rId1061" Type="http://schemas.openxmlformats.org/officeDocument/2006/relationships/hyperlink" Target="https://assets.ppy.sh/beatmaps/1857926/covers/cover.jpg" TargetMode="External"/><Relationship Id="rId231" Type="http://schemas.openxmlformats.org/officeDocument/2006/relationships/hyperlink" Target="https://osu.ppy.sh/beatmapsets/1932625" TargetMode="External"/><Relationship Id="rId1062" Type="http://schemas.openxmlformats.org/officeDocument/2006/relationships/hyperlink" Target="https://b.ppy.sh/thumb/1857926l.jpg" TargetMode="External"/><Relationship Id="rId230" Type="http://schemas.openxmlformats.org/officeDocument/2006/relationships/hyperlink" Target="https://b.ppy.sh/thumb/1932625l.jpg" TargetMode="External"/><Relationship Id="rId1063" Type="http://schemas.openxmlformats.org/officeDocument/2006/relationships/hyperlink" Target="https://osu.ppy.sh/beatmapsets/1857926" TargetMode="External"/><Relationship Id="rId1064" Type="http://schemas.openxmlformats.org/officeDocument/2006/relationships/hyperlink" Target="https://osu.ppy.sh/beatmapsets/1178471" TargetMode="External"/><Relationship Id="rId1065" Type="http://schemas.openxmlformats.org/officeDocument/2006/relationships/hyperlink" Target="https://assets.ppy.sh/beatmaps/1178471/covers/cover.jpg" TargetMode="External"/><Relationship Id="rId235" Type="http://schemas.openxmlformats.org/officeDocument/2006/relationships/hyperlink" Target="https://osu.ppy.sh/beatmapsets/1663184" TargetMode="External"/><Relationship Id="rId1066" Type="http://schemas.openxmlformats.org/officeDocument/2006/relationships/hyperlink" Target="https://b.ppy.sh/thumb/1178471l.jpg" TargetMode="External"/><Relationship Id="rId234" Type="http://schemas.openxmlformats.org/officeDocument/2006/relationships/hyperlink" Target="https://b.ppy.sh/thumb/1663184l.jpg" TargetMode="External"/><Relationship Id="rId1067" Type="http://schemas.openxmlformats.org/officeDocument/2006/relationships/hyperlink" Target="https://osu.ppy.sh/beatmapsets/1178471" TargetMode="External"/><Relationship Id="rId233" Type="http://schemas.openxmlformats.org/officeDocument/2006/relationships/hyperlink" Target="https://assets.ppy.sh/beatmaps/1663184/covers/cover.jpg" TargetMode="External"/><Relationship Id="rId1068" Type="http://schemas.openxmlformats.org/officeDocument/2006/relationships/hyperlink" Target="https://osu.ppy.sh/beatmapsets/1178471" TargetMode="External"/><Relationship Id="rId232" Type="http://schemas.openxmlformats.org/officeDocument/2006/relationships/hyperlink" Target="https://osu.ppy.sh/beatmapsets/1663184" TargetMode="External"/><Relationship Id="rId1069" Type="http://schemas.openxmlformats.org/officeDocument/2006/relationships/hyperlink" Target="https://assets.ppy.sh/beatmaps/1178471/covers/cover.jpg" TargetMode="External"/><Relationship Id="rId1015" Type="http://schemas.openxmlformats.org/officeDocument/2006/relationships/hyperlink" Target="https://osu.ppy.sh/beatmapsets/2023886" TargetMode="External"/><Relationship Id="rId1499" Type="http://schemas.openxmlformats.org/officeDocument/2006/relationships/hyperlink" Target="https://osu.ppy.sh/beatmapsets/8284" TargetMode="External"/><Relationship Id="rId1016" Type="http://schemas.openxmlformats.org/officeDocument/2006/relationships/hyperlink" Target="https://osu.ppy.sh/beatmapsets/1494455" TargetMode="External"/><Relationship Id="rId1017" Type="http://schemas.openxmlformats.org/officeDocument/2006/relationships/hyperlink" Target="https://assets.ppy.sh/beatmaps/1494455/covers/cover.jpg" TargetMode="External"/><Relationship Id="rId1018" Type="http://schemas.openxmlformats.org/officeDocument/2006/relationships/hyperlink" Target="https://b.ppy.sh/thumb/1494455l.jpg" TargetMode="External"/><Relationship Id="rId1019" Type="http://schemas.openxmlformats.org/officeDocument/2006/relationships/hyperlink" Target="https://osu.ppy.sh/beatmapsets/1494455" TargetMode="External"/><Relationship Id="rId668" Type="http://schemas.openxmlformats.org/officeDocument/2006/relationships/hyperlink" Target="https://osu.ppy.sh/beatmapsets/251437" TargetMode="External"/><Relationship Id="rId667" Type="http://schemas.openxmlformats.org/officeDocument/2006/relationships/hyperlink" Target="https://osu.ppy.sh/beatmapsets/1176431" TargetMode="External"/><Relationship Id="rId666" Type="http://schemas.openxmlformats.org/officeDocument/2006/relationships/hyperlink" Target="https://b.ppy.sh/thumb/1176431l.jpg" TargetMode="External"/><Relationship Id="rId665" Type="http://schemas.openxmlformats.org/officeDocument/2006/relationships/hyperlink" Target="https://assets.ppy.sh/beatmaps/1176431/covers/cover.jpg" TargetMode="External"/><Relationship Id="rId669" Type="http://schemas.openxmlformats.org/officeDocument/2006/relationships/hyperlink" Target="https://assets.ppy.sh/beatmaps/251437/covers/cover.jpg" TargetMode="External"/><Relationship Id="rId1490" Type="http://schemas.openxmlformats.org/officeDocument/2006/relationships/hyperlink" Target="https://b.ppy.sh/thumb/1522116l.jpg" TargetMode="External"/><Relationship Id="rId660" Type="http://schemas.openxmlformats.org/officeDocument/2006/relationships/hyperlink" Target="https://osu.ppy.sh/beatmapsets/1765453" TargetMode="External"/><Relationship Id="rId1491" Type="http://schemas.openxmlformats.org/officeDocument/2006/relationships/hyperlink" Target="https://osu.ppy.sh/beatmapsets/1522116" TargetMode="External"/><Relationship Id="rId1492" Type="http://schemas.openxmlformats.org/officeDocument/2006/relationships/hyperlink" Target="https://osu.ppy.sh/beatmapsets/1985409" TargetMode="External"/><Relationship Id="rId1493" Type="http://schemas.openxmlformats.org/officeDocument/2006/relationships/hyperlink" Target="https://assets.ppy.sh/beatmaps/1985409/covers/cover.jpg" TargetMode="External"/><Relationship Id="rId1010" Type="http://schemas.openxmlformats.org/officeDocument/2006/relationships/hyperlink" Target="https://b.ppy.sh/thumb/2023886l.jpg" TargetMode="External"/><Relationship Id="rId1494" Type="http://schemas.openxmlformats.org/officeDocument/2006/relationships/hyperlink" Target="https://b.ppy.sh/thumb/1985409l.jpg" TargetMode="External"/><Relationship Id="rId664" Type="http://schemas.openxmlformats.org/officeDocument/2006/relationships/hyperlink" Target="https://osu.ppy.sh/beatmapsets/1176431" TargetMode="External"/><Relationship Id="rId1011" Type="http://schemas.openxmlformats.org/officeDocument/2006/relationships/hyperlink" Target="https://osu.ppy.sh/beatmapsets/2023886" TargetMode="External"/><Relationship Id="rId1495" Type="http://schemas.openxmlformats.org/officeDocument/2006/relationships/hyperlink" Target="https://osu.ppy.sh/beatmapsets/1985409" TargetMode="External"/><Relationship Id="rId663" Type="http://schemas.openxmlformats.org/officeDocument/2006/relationships/hyperlink" Target="https://osu.ppy.sh/beatmapsets/1765453" TargetMode="External"/><Relationship Id="rId1012" Type="http://schemas.openxmlformats.org/officeDocument/2006/relationships/hyperlink" Target="https://osu.ppy.sh/beatmapsets/2023886" TargetMode="External"/><Relationship Id="rId1496" Type="http://schemas.openxmlformats.org/officeDocument/2006/relationships/hyperlink" Target="https://osu.ppy.sh/beatmapsets/8284" TargetMode="External"/><Relationship Id="rId662" Type="http://schemas.openxmlformats.org/officeDocument/2006/relationships/hyperlink" Target="https://b.ppy.sh/thumb/1765453l.jpg" TargetMode="External"/><Relationship Id="rId1013" Type="http://schemas.openxmlformats.org/officeDocument/2006/relationships/hyperlink" Target="https://assets.ppy.sh/beatmaps/2023886/covers/cover.jpg" TargetMode="External"/><Relationship Id="rId1497" Type="http://schemas.openxmlformats.org/officeDocument/2006/relationships/hyperlink" Target="https://assets.ppy.sh/beatmaps/8284/covers/cover.jpg" TargetMode="External"/><Relationship Id="rId661" Type="http://schemas.openxmlformats.org/officeDocument/2006/relationships/hyperlink" Target="https://assets.ppy.sh/beatmaps/1765453/covers/cover.jpg" TargetMode="External"/><Relationship Id="rId1014" Type="http://schemas.openxmlformats.org/officeDocument/2006/relationships/hyperlink" Target="https://b.ppy.sh/thumb/2023886l.jpg" TargetMode="External"/><Relationship Id="rId1498" Type="http://schemas.openxmlformats.org/officeDocument/2006/relationships/hyperlink" Target="https://b.ppy.sh/thumb/8284l.jpg" TargetMode="External"/><Relationship Id="rId1004" Type="http://schemas.openxmlformats.org/officeDocument/2006/relationships/hyperlink" Target="https://osu.ppy.sh/beatmapsets/156235" TargetMode="External"/><Relationship Id="rId1488" Type="http://schemas.openxmlformats.org/officeDocument/2006/relationships/hyperlink" Target="https://osu.ppy.sh/beatmapsets/1522116" TargetMode="External"/><Relationship Id="rId1005" Type="http://schemas.openxmlformats.org/officeDocument/2006/relationships/hyperlink" Target="https://assets.ppy.sh/beatmaps/156235/covers/cover.jpg" TargetMode="External"/><Relationship Id="rId1489" Type="http://schemas.openxmlformats.org/officeDocument/2006/relationships/hyperlink" Target="https://assets.ppy.sh/beatmaps/1522116/covers/cover.jpg" TargetMode="External"/><Relationship Id="rId1006" Type="http://schemas.openxmlformats.org/officeDocument/2006/relationships/hyperlink" Target="https://b.ppy.sh/thumb/156235l.jpg" TargetMode="External"/><Relationship Id="rId1007" Type="http://schemas.openxmlformats.org/officeDocument/2006/relationships/hyperlink" Target="https://osu.ppy.sh/beatmapsets/156235" TargetMode="External"/><Relationship Id="rId1008" Type="http://schemas.openxmlformats.org/officeDocument/2006/relationships/hyperlink" Target="https://osu.ppy.sh/beatmapsets/2023886" TargetMode="External"/><Relationship Id="rId1009" Type="http://schemas.openxmlformats.org/officeDocument/2006/relationships/hyperlink" Target="https://assets.ppy.sh/beatmaps/2023886/covers/cover.jpg" TargetMode="External"/><Relationship Id="rId657" Type="http://schemas.openxmlformats.org/officeDocument/2006/relationships/hyperlink" Target="https://assets.ppy.sh/beatmaps/1765453/covers/cover.jpg" TargetMode="External"/><Relationship Id="rId656" Type="http://schemas.openxmlformats.org/officeDocument/2006/relationships/hyperlink" Target="https://osu.ppy.sh/beatmapsets/1765453" TargetMode="External"/><Relationship Id="rId655" Type="http://schemas.openxmlformats.org/officeDocument/2006/relationships/hyperlink" Target="https://osu.ppy.sh/beatmapsets/1581327" TargetMode="External"/><Relationship Id="rId654" Type="http://schemas.openxmlformats.org/officeDocument/2006/relationships/hyperlink" Target="https://b.ppy.sh/thumb/1581327l.jpg" TargetMode="External"/><Relationship Id="rId659" Type="http://schemas.openxmlformats.org/officeDocument/2006/relationships/hyperlink" Target="https://osu.ppy.sh/beatmapsets/1765453" TargetMode="External"/><Relationship Id="rId658" Type="http://schemas.openxmlformats.org/officeDocument/2006/relationships/hyperlink" Target="https://b.ppy.sh/thumb/1765453l.jpg" TargetMode="External"/><Relationship Id="rId1480" Type="http://schemas.openxmlformats.org/officeDocument/2006/relationships/hyperlink" Target="https://osu.ppy.sh/beatmapsets/1997114" TargetMode="External"/><Relationship Id="rId1481" Type="http://schemas.openxmlformats.org/officeDocument/2006/relationships/hyperlink" Target="https://assets.ppy.sh/beatmaps/1997114/covers/cover.jpg" TargetMode="External"/><Relationship Id="rId1482" Type="http://schemas.openxmlformats.org/officeDocument/2006/relationships/hyperlink" Target="https://b.ppy.sh/thumb/1997114l.jpg" TargetMode="External"/><Relationship Id="rId1483" Type="http://schemas.openxmlformats.org/officeDocument/2006/relationships/hyperlink" Target="https://osu.ppy.sh/beatmapsets/1997114" TargetMode="External"/><Relationship Id="rId653" Type="http://schemas.openxmlformats.org/officeDocument/2006/relationships/hyperlink" Target="https://assets.ppy.sh/beatmaps/1581327/covers/cover.jpg" TargetMode="External"/><Relationship Id="rId1000" Type="http://schemas.openxmlformats.org/officeDocument/2006/relationships/hyperlink" Target="https://osu.ppy.sh/beatmapsets/156235" TargetMode="External"/><Relationship Id="rId1484" Type="http://schemas.openxmlformats.org/officeDocument/2006/relationships/hyperlink" Target="https://osu.ppy.sh/beatmapsets/1522116" TargetMode="External"/><Relationship Id="rId652" Type="http://schemas.openxmlformats.org/officeDocument/2006/relationships/hyperlink" Target="https://osu.ppy.sh/beatmapsets/1581327" TargetMode="External"/><Relationship Id="rId1001" Type="http://schemas.openxmlformats.org/officeDocument/2006/relationships/hyperlink" Target="https://assets.ppy.sh/beatmaps/156235/covers/cover.jpg" TargetMode="External"/><Relationship Id="rId1485" Type="http://schemas.openxmlformats.org/officeDocument/2006/relationships/hyperlink" Target="https://assets.ppy.sh/beatmaps/1522116/covers/cover.jpg" TargetMode="External"/><Relationship Id="rId651" Type="http://schemas.openxmlformats.org/officeDocument/2006/relationships/hyperlink" Target="https://osu.ppy.sh/beatmapsets/1581327" TargetMode="External"/><Relationship Id="rId1002" Type="http://schemas.openxmlformats.org/officeDocument/2006/relationships/hyperlink" Target="https://b.ppy.sh/thumb/156235l.jpg" TargetMode="External"/><Relationship Id="rId1486" Type="http://schemas.openxmlformats.org/officeDocument/2006/relationships/hyperlink" Target="https://b.ppy.sh/thumb/1522116l.jpg" TargetMode="External"/><Relationship Id="rId650" Type="http://schemas.openxmlformats.org/officeDocument/2006/relationships/hyperlink" Target="https://b.ppy.sh/thumb/1581327l.jpg" TargetMode="External"/><Relationship Id="rId1003" Type="http://schemas.openxmlformats.org/officeDocument/2006/relationships/hyperlink" Target="https://osu.ppy.sh/beatmapsets/156235" TargetMode="External"/><Relationship Id="rId1487" Type="http://schemas.openxmlformats.org/officeDocument/2006/relationships/hyperlink" Target="https://osu.ppy.sh/beatmapsets/1522116" TargetMode="External"/><Relationship Id="rId1037" Type="http://schemas.openxmlformats.org/officeDocument/2006/relationships/hyperlink" Target="https://assets.ppy.sh/beatmaps/519054/covers/cover.jpg" TargetMode="External"/><Relationship Id="rId1038" Type="http://schemas.openxmlformats.org/officeDocument/2006/relationships/hyperlink" Target="https://b.ppy.sh/thumb/519054l.jpg" TargetMode="External"/><Relationship Id="rId1039" Type="http://schemas.openxmlformats.org/officeDocument/2006/relationships/hyperlink" Target="https://osu.ppy.sh/beatmapsets/519054" TargetMode="External"/><Relationship Id="rId206" Type="http://schemas.openxmlformats.org/officeDocument/2006/relationships/hyperlink" Target="https://b.ppy.sh/thumb/932654l.jpg" TargetMode="External"/><Relationship Id="rId205" Type="http://schemas.openxmlformats.org/officeDocument/2006/relationships/hyperlink" Target="https://assets.ppy.sh/beatmaps/932654/covers/cover.jpg" TargetMode="External"/><Relationship Id="rId689" Type="http://schemas.openxmlformats.org/officeDocument/2006/relationships/hyperlink" Target="https://assets.ppy.sh/beatmaps/1185294/covers/cover.jpg" TargetMode="External"/><Relationship Id="rId204" Type="http://schemas.openxmlformats.org/officeDocument/2006/relationships/hyperlink" Target="https://osu.ppy.sh/beatmapsets/932654" TargetMode="External"/><Relationship Id="rId688" Type="http://schemas.openxmlformats.org/officeDocument/2006/relationships/hyperlink" Target="https://osu.ppy.sh/beatmapsets/1185294" TargetMode="External"/><Relationship Id="rId203" Type="http://schemas.openxmlformats.org/officeDocument/2006/relationships/hyperlink" Target="https://osu.ppy.sh/beatmapsets/1381824" TargetMode="External"/><Relationship Id="rId687" Type="http://schemas.openxmlformats.org/officeDocument/2006/relationships/hyperlink" Target="https://osu.ppy.sh/beatmapsets/790382" TargetMode="External"/><Relationship Id="rId209" Type="http://schemas.openxmlformats.org/officeDocument/2006/relationships/hyperlink" Target="https://assets.ppy.sh/beatmaps/932654/covers/cover.jpg" TargetMode="External"/><Relationship Id="rId208" Type="http://schemas.openxmlformats.org/officeDocument/2006/relationships/hyperlink" Target="https://osu.ppy.sh/beatmapsets/932654" TargetMode="External"/><Relationship Id="rId207" Type="http://schemas.openxmlformats.org/officeDocument/2006/relationships/hyperlink" Target="https://osu.ppy.sh/beatmapsets/932654" TargetMode="External"/><Relationship Id="rId682" Type="http://schemas.openxmlformats.org/officeDocument/2006/relationships/hyperlink" Target="https://b.ppy.sh/thumb/790382l.jpg" TargetMode="External"/><Relationship Id="rId681" Type="http://schemas.openxmlformats.org/officeDocument/2006/relationships/hyperlink" Target="https://assets.ppy.sh/beatmaps/790382/covers/cover.jpg" TargetMode="External"/><Relationship Id="rId1030" Type="http://schemas.openxmlformats.org/officeDocument/2006/relationships/hyperlink" Target="https://b.ppy.sh/thumb/1851405l.jpg" TargetMode="External"/><Relationship Id="rId680" Type="http://schemas.openxmlformats.org/officeDocument/2006/relationships/hyperlink" Target="https://osu.ppy.sh/beatmapsets/790382" TargetMode="External"/><Relationship Id="rId1031" Type="http://schemas.openxmlformats.org/officeDocument/2006/relationships/hyperlink" Target="https://osu.ppy.sh/beatmapsets/1851405" TargetMode="External"/><Relationship Id="rId1032" Type="http://schemas.openxmlformats.org/officeDocument/2006/relationships/hyperlink" Target="https://osu.ppy.sh/beatmapsets/992847" TargetMode="External"/><Relationship Id="rId202" Type="http://schemas.openxmlformats.org/officeDocument/2006/relationships/hyperlink" Target="https://b.ppy.sh/thumb/1381824l.jpg" TargetMode="External"/><Relationship Id="rId686" Type="http://schemas.openxmlformats.org/officeDocument/2006/relationships/hyperlink" Target="https://b.ppy.sh/thumb/790382l.jpg" TargetMode="External"/><Relationship Id="rId1033" Type="http://schemas.openxmlformats.org/officeDocument/2006/relationships/hyperlink" Target="https://assets.ppy.sh/beatmaps/992847/covers/cover.jpg" TargetMode="External"/><Relationship Id="rId201" Type="http://schemas.openxmlformats.org/officeDocument/2006/relationships/hyperlink" Target="https://assets.ppy.sh/beatmaps/1381824/covers/cover.jpg" TargetMode="External"/><Relationship Id="rId685" Type="http://schemas.openxmlformats.org/officeDocument/2006/relationships/hyperlink" Target="https://assets.ppy.sh/beatmaps/790382/covers/cover.jpg" TargetMode="External"/><Relationship Id="rId1034" Type="http://schemas.openxmlformats.org/officeDocument/2006/relationships/hyperlink" Target="https://b.ppy.sh/thumb/992847l.jpg" TargetMode="External"/><Relationship Id="rId200" Type="http://schemas.openxmlformats.org/officeDocument/2006/relationships/hyperlink" Target="https://osu.ppy.sh/beatmapsets/1381824" TargetMode="External"/><Relationship Id="rId684" Type="http://schemas.openxmlformats.org/officeDocument/2006/relationships/hyperlink" Target="https://osu.ppy.sh/beatmapsets/790382" TargetMode="External"/><Relationship Id="rId1035" Type="http://schemas.openxmlformats.org/officeDocument/2006/relationships/hyperlink" Target="https://osu.ppy.sh/beatmapsets/992847" TargetMode="External"/><Relationship Id="rId683" Type="http://schemas.openxmlformats.org/officeDocument/2006/relationships/hyperlink" Target="https://osu.ppy.sh/beatmapsets/790382" TargetMode="External"/><Relationship Id="rId1036" Type="http://schemas.openxmlformats.org/officeDocument/2006/relationships/hyperlink" Target="https://osu.ppy.sh/beatmapsets/519054" TargetMode="External"/><Relationship Id="rId1026" Type="http://schemas.openxmlformats.org/officeDocument/2006/relationships/hyperlink" Target="https://b.ppy.sh/thumb/1089084l.jpg" TargetMode="External"/><Relationship Id="rId1027" Type="http://schemas.openxmlformats.org/officeDocument/2006/relationships/hyperlink" Target="https://osu.ppy.sh/beatmapsets/1089084" TargetMode="External"/><Relationship Id="rId1028" Type="http://schemas.openxmlformats.org/officeDocument/2006/relationships/hyperlink" Target="https://osu.ppy.sh/beatmapsets/1851405" TargetMode="External"/><Relationship Id="rId1029" Type="http://schemas.openxmlformats.org/officeDocument/2006/relationships/hyperlink" Target="https://assets.ppy.sh/beatmaps/1851405/covers/cover.jpg" TargetMode="External"/><Relationship Id="rId679" Type="http://schemas.openxmlformats.org/officeDocument/2006/relationships/hyperlink" Target="https://osu.ppy.sh/beatmapsets/1901819" TargetMode="External"/><Relationship Id="rId678" Type="http://schemas.openxmlformats.org/officeDocument/2006/relationships/hyperlink" Target="https://b.ppy.sh/thumb/1901819l.jpg" TargetMode="External"/><Relationship Id="rId677" Type="http://schemas.openxmlformats.org/officeDocument/2006/relationships/hyperlink" Target="https://assets.ppy.sh/beatmaps/1901819/covers/cover.jpg" TargetMode="External"/><Relationship Id="rId676" Type="http://schemas.openxmlformats.org/officeDocument/2006/relationships/hyperlink" Target="https://osu.ppy.sh/beatmapsets/1901819" TargetMode="External"/><Relationship Id="rId671" Type="http://schemas.openxmlformats.org/officeDocument/2006/relationships/hyperlink" Target="https://osu.ppy.sh/beatmapsets/251437" TargetMode="External"/><Relationship Id="rId670" Type="http://schemas.openxmlformats.org/officeDocument/2006/relationships/hyperlink" Target="https://b.ppy.sh/thumb/251437l.jpg" TargetMode="External"/><Relationship Id="rId1020" Type="http://schemas.openxmlformats.org/officeDocument/2006/relationships/hyperlink" Target="https://osu.ppy.sh/beatmapsets/1089084" TargetMode="External"/><Relationship Id="rId1021" Type="http://schemas.openxmlformats.org/officeDocument/2006/relationships/hyperlink" Target="https://assets.ppy.sh/beatmaps/1089084/covers/cover.jpg" TargetMode="External"/><Relationship Id="rId675" Type="http://schemas.openxmlformats.org/officeDocument/2006/relationships/hyperlink" Target="https://osu.ppy.sh/beatmapsets/251437" TargetMode="External"/><Relationship Id="rId1022" Type="http://schemas.openxmlformats.org/officeDocument/2006/relationships/hyperlink" Target="https://b.ppy.sh/thumb/1089084l.jpg" TargetMode="External"/><Relationship Id="rId674" Type="http://schemas.openxmlformats.org/officeDocument/2006/relationships/hyperlink" Target="https://b.ppy.sh/thumb/251437l.jpg" TargetMode="External"/><Relationship Id="rId1023" Type="http://schemas.openxmlformats.org/officeDocument/2006/relationships/hyperlink" Target="https://osu.ppy.sh/beatmapsets/1089084" TargetMode="External"/><Relationship Id="rId673" Type="http://schemas.openxmlformats.org/officeDocument/2006/relationships/hyperlink" Target="https://assets.ppy.sh/beatmaps/251437/covers/cover.jpg" TargetMode="External"/><Relationship Id="rId1024" Type="http://schemas.openxmlformats.org/officeDocument/2006/relationships/hyperlink" Target="https://osu.ppy.sh/beatmapsets/1089084" TargetMode="External"/><Relationship Id="rId672" Type="http://schemas.openxmlformats.org/officeDocument/2006/relationships/hyperlink" Target="https://osu.ppy.sh/beatmapsets/251437" TargetMode="External"/><Relationship Id="rId1025" Type="http://schemas.openxmlformats.org/officeDocument/2006/relationships/hyperlink" Target="https://assets.ppy.sh/beatmaps/1089084/covers/cover.jpg" TargetMode="External"/><Relationship Id="rId190" Type="http://schemas.openxmlformats.org/officeDocument/2006/relationships/hyperlink" Target="https://b.ppy.sh/thumb/1169856l.jpg" TargetMode="External"/><Relationship Id="rId194" Type="http://schemas.openxmlformats.org/officeDocument/2006/relationships/hyperlink" Target="https://b.ppy.sh/thumb/1169856l.jpg" TargetMode="External"/><Relationship Id="rId193" Type="http://schemas.openxmlformats.org/officeDocument/2006/relationships/hyperlink" Target="https://assets.ppy.sh/beatmaps/1169856/covers/cover.jpg" TargetMode="External"/><Relationship Id="rId192" Type="http://schemas.openxmlformats.org/officeDocument/2006/relationships/hyperlink" Target="https://osu.ppy.sh/beatmapsets/1169856" TargetMode="External"/><Relationship Id="rId191" Type="http://schemas.openxmlformats.org/officeDocument/2006/relationships/hyperlink" Target="https://osu.ppy.sh/beatmapsets/1169856" TargetMode="External"/><Relationship Id="rId187" Type="http://schemas.openxmlformats.org/officeDocument/2006/relationships/hyperlink" Target="https://osu.ppy.sh/beatmapsets/1614904" TargetMode="External"/><Relationship Id="rId186" Type="http://schemas.openxmlformats.org/officeDocument/2006/relationships/hyperlink" Target="https://b.ppy.sh/thumb/1614904l.jpg" TargetMode="External"/><Relationship Id="rId185" Type="http://schemas.openxmlformats.org/officeDocument/2006/relationships/hyperlink" Target="https://assets.ppy.sh/beatmaps/1614904/covers/cover.jpg" TargetMode="External"/><Relationship Id="rId184" Type="http://schemas.openxmlformats.org/officeDocument/2006/relationships/hyperlink" Target="https://osu.ppy.sh/beatmapsets/1614904" TargetMode="External"/><Relationship Id="rId189" Type="http://schemas.openxmlformats.org/officeDocument/2006/relationships/hyperlink" Target="https://assets.ppy.sh/beatmaps/1169856/covers/cover.jpg" TargetMode="External"/><Relationship Id="rId188" Type="http://schemas.openxmlformats.org/officeDocument/2006/relationships/hyperlink" Target="https://osu.ppy.sh/beatmapsets/1169856" TargetMode="External"/><Relationship Id="rId183" Type="http://schemas.openxmlformats.org/officeDocument/2006/relationships/hyperlink" Target="https://osu.ppy.sh/beatmapsets/1614904" TargetMode="External"/><Relationship Id="rId182" Type="http://schemas.openxmlformats.org/officeDocument/2006/relationships/hyperlink" Target="https://b.ppy.sh/thumb/1614904l.jpg" TargetMode="External"/><Relationship Id="rId181" Type="http://schemas.openxmlformats.org/officeDocument/2006/relationships/hyperlink" Target="https://assets.ppy.sh/beatmaps/1614904/covers/cover.jpg" TargetMode="External"/><Relationship Id="rId180" Type="http://schemas.openxmlformats.org/officeDocument/2006/relationships/hyperlink" Target="https://osu.ppy.sh/beatmapsets/1614904" TargetMode="External"/><Relationship Id="rId176" Type="http://schemas.openxmlformats.org/officeDocument/2006/relationships/hyperlink" Target="https://osu.ppy.sh/beatmapsets/1614904" TargetMode="External"/><Relationship Id="rId175" Type="http://schemas.openxmlformats.org/officeDocument/2006/relationships/hyperlink" Target="https://osu.ppy.sh/beatmapsets/1119169" TargetMode="External"/><Relationship Id="rId174" Type="http://schemas.openxmlformats.org/officeDocument/2006/relationships/hyperlink" Target="https://b.ppy.sh/thumb/1119169l.jpg" TargetMode="External"/><Relationship Id="rId173" Type="http://schemas.openxmlformats.org/officeDocument/2006/relationships/hyperlink" Target="https://assets.ppy.sh/beatmaps/1119169/covers/cover.jpg" TargetMode="External"/><Relationship Id="rId179" Type="http://schemas.openxmlformats.org/officeDocument/2006/relationships/hyperlink" Target="https://osu.ppy.sh/beatmapsets/1614904" TargetMode="External"/><Relationship Id="rId178" Type="http://schemas.openxmlformats.org/officeDocument/2006/relationships/hyperlink" Target="https://b.ppy.sh/thumb/1614904l.jpg" TargetMode="External"/><Relationship Id="rId177" Type="http://schemas.openxmlformats.org/officeDocument/2006/relationships/hyperlink" Target="https://assets.ppy.sh/beatmaps/1614904/covers/cover.jpg" TargetMode="External"/><Relationship Id="rId1910" Type="http://schemas.openxmlformats.org/officeDocument/2006/relationships/hyperlink" Target="https://b.ppy.sh/thumb/1481685l.jpg" TargetMode="External"/><Relationship Id="rId1911" Type="http://schemas.openxmlformats.org/officeDocument/2006/relationships/hyperlink" Target="https://osu.ppy.sh/beatmapsets/1481685" TargetMode="External"/><Relationship Id="rId1912" Type="http://schemas.openxmlformats.org/officeDocument/2006/relationships/hyperlink" Target="https://osu.ppy.sh/beatmapsets/1634320" TargetMode="External"/><Relationship Id="rId1913" Type="http://schemas.openxmlformats.org/officeDocument/2006/relationships/hyperlink" Target="https://assets.ppy.sh/beatmaps/1634320/covers/cover.jpg" TargetMode="External"/><Relationship Id="rId1914" Type="http://schemas.openxmlformats.org/officeDocument/2006/relationships/hyperlink" Target="https://b.ppy.sh/thumb/1634320l.jpg" TargetMode="External"/><Relationship Id="rId1915" Type="http://schemas.openxmlformats.org/officeDocument/2006/relationships/hyperlink" Target="https://osu.ppy.sh/beatmapsets/1634320" TargetMode="External"/><Relationship Id="rId1916" Type="http://schemas.openxmlformats.org/officeDocument/2006/relationships/hyperlink" Target="https://osu.ppy.sh/beatmapsets/1547170" TargetMode="External"/><Relationship Id="rId1917" Type="http://schemas.openxmlformats.org/officeDocument/2006/relationships/hyperlink" Target="https://assets.ppy.sh/beatmaps/1547170/covers/cover.jpg" TargetMode="External"/><Relationship Id="rId1918" Type="http://schemas.openxmlformats.org/officeDocument/2006/relationships/hyperlink" Target="https://b.ppy.sh/thumb/1547170l.jpg" TargetMode="External"/><Relationship Id="rId1919" Type="http://schemas.openxmlformats.org/officeDocument/2006/relationships/hyperlink" Target="https://osu.ppy.sh/beatmapsets/1547170" TargetMode="External"/><Relationship Id="rId1900" Type="http://schemas.openxmlformats.org/officeDocument/2006/relationships/hyperlink" Target="https://osu.ppy.sh/beatmapsets/1804775" TargetMode="External"/><Relationship Id="rId1901" Type="http://schemas.openxmlformats.org/officeDocument/2006/relationships/hyperlink" Target="https://assets.ppy.sh/beatmaps/1804775/covers/cover.jpg" TargetMode="External"/><Relationship Id="rId1902" Type="http://schemas.openxmlformats.org/officeDocument/2006/relationships/hyperlink" Target="https://b.ppy.sh/thumb/1804775l.jpg" TargetMode="External"/><Relationship Id="rId1903" Type="http://schemas.openxmlformats.org/officeDocument/2006/relationships/hyperlink" Target="https://osu.ppy.sh/beatmapsets/1804775" TargetMode="External"/><Relationship Id="rId1904" Type="http://schemas.openxmlformats.org/officeDocument/2006/relationships/hyperlink" Target="https://osu.ppy.sh/beatmapsets/1865291" TargetMode="External"/><Relationship Id="rId1905" Type="http://schemas.openxmlformats.org/officeDocument/2006/relationships/hyperlink" Target="https://assets.ppy.sh/beatmaps/1865291/covers/cover.jpg" TargetMode="External"/><Relationship Id="rId1906" Type="http://schemas.openxmlformats.org/officeDocument/2006/relationships/hyperlink" Target="https://b.ppy.sh/thumb/1865291l.jpg" TargetMode="External"/><Relationship Id="rId1907" Type="http://schemas.openxmlformats.org/officeDocument/2006/relationships/hyperlink" Target="https://osu.ppy.sh/beatmapsets/1865291" TargetMode="External"/><Relationship Id="rId1908" Type="http://schemas.openxmlformats.org/officeDocument/2006/relationships/hyperlink" Target="https://osu.ppy.sh/beatmapsets/1481685" TargetMode="External"/><Relationship Id="rId1909" Type="http://schemas.openxmlformats.org/officeDocument/2006/relationships/hyperlink" Target="https://assets.ppy.sh/beatmaps/1481685/covers/cover.jpg" TargetMode="External"/><Relationship Id="rId198" Type="http://schemas.openxmlformats.org/officeDocument/2006/relationships/hyperlink" Target="https://b.ppy.sh/thumb/1381824l.jpg" TargetMode="External"/><Relationship Id="rId197" Type="http://schemas.openxmlformats.org/officeDocument/2006/relationships/hyperlink" Target="https://assets.ppy.sh/beatmaps/1381824/covers/cover.jpg" TargetMode="External"/><Relationship Id="rId196" Type="http://schemas.openxmlformats.org/officeDocument/2006/relationships/hyperlink" Target="https://osu.ppy.sh/beatmapsets/1381824" TargetMode="External"/><Relationship Id="rId195" Type="http://schemas.openxmlformats.org/officeDocument/2006/relationships/hyperlink" Target="https://osu.ppy.sh/beatmapsets/1169856" TargetMode="External"/><Relationship Id="rId199" Type="http://schemas.openxmlformats.org/officeDocument/2006/relationships/hyperlink" Target="https://osu.ppy.sh/beatmapsets/1381824" TargetMode="External"/><Relationship Id="rId150" Type="http://schemas.openxmlformats.org/officeDocument/2006/relationships/hyperlink" Target="https://b.ppy.sh/thumb/1615650l.jpg" TargetMode="External"/><Relationship Id="rId149" Type="http://schemas.openxmlformats.org/officeDocument/2006/relationships/hyperlink" Target="https://assets.ppy.sh/beatmaps/1615650/covers/cover.jpg" TargetMode="External"/><Relationship Id="rId148" Type="http://schemas.openxmlformats.org/officeDocument/2006/relationships/hyperlink" Target="https://osu.ppy.sh/beatmapsets/1615650" TargetMode="External"/><Relationship Id="rId1090" Type="http://schemas.openxmlformats.org/officeDocument/2006/relationships/hyperlink" Target="https://b.ppy.sh/thumb/1785134l.jpg" TargetMode="External"/><Relationship Id="rId1091" Type="http://schemas.openxmlformats.org/officeDocument/2006/relationships/hyperlink" Target="https://osu.ppy.sh/beatmapsets/1785134" TargetMode="External"/><Relationship Id="rId1092" Type="http://schemas.openxmlformats.org/officeDocument/2006/relationships/hyperlink" Target="https://osu.ppy.sh/beatmapsets/1328138" TargetMode="External"/><Relationship Id="rId1093" Type="http://schemas.openxmlformats.org/officeDocument/2006/relationships/hyperlink" Target="https://assets.ppy.sh/beatmaps/1328138/covers/cover.jpg" TargetMode="External"/><Relationship Id="rId1094" Type="http://schemas.openxmlformats.org/officeDocument/2006/relationships/hyperlink" Target="https://b.ppy.sh/thumb/1328138l.jpg" TargetMode="External"/><Relationship Id="rId143" Type="http://schemas.openxmlformats.org/officeDocument/2006/relationships/hyperlink" Target="https://osu.ppy.sh/beatmapsets/932654" TargetMode="External"/><Relationship Id="rId1095" Type="http://schemas.openxmlformats.org/officeDocument/2006/relationships/hyperlink" Target="https://osu.ppy.sh/beatmapsets/1328138" TargetMode="External"/><Relationship Id="rId142" Type="http://schemas.openxmlformats.org/officeDocument/2006/relationships/hyperlink" Target="https://b.ppy.sh/thumb/932654l.jpg" TargetMode="External"/><Relationship Id="rId1096" Type="http://schemas.openxmlformats.org/officeDocument/2006/relationships/hyperlink" Target="https://osu.ppy.sh/beatmapsets/1328138" TargetMode="External"/><Relationship Id="rId141" Type="http://schemas.openxmlformats.org/officeDocument/2006/relationships/hyperlink" Target="https://assets.ppy.sh/beatmaps/932654/covers/cover.jpg" TargetMode="External"/><Relationship Id="rId1097" Type="http://schemas.openxmlformats.org/officeDocument/2006/relationships/hyperlink" Target="https://assets.ppy.sh/beatmaps/1328138/covers/cover.jpg" TargetMode="External"/><Relationship Id="rId140" Type="http://schemas.openxmlformats.org/officeDocument/2006/relationships/hyperlink" Target="https://osu.ppy.sh/beatmapsets/932654" TargetMode="External"/><Relationship Id="rId1098" Type="http://schemas.openxmlformats.org/officeDocument/2006/relationships/hyperlink" Target="https://b.ppy.sh/thumb/1328138l.jpg" TargetMode="External"/><Relationship Id="rId147" Type="http://schemas.openxmlformats.org/officeDocument/2006/relationships/hyperlink" Target="https://osu.ppy.sh/beatmapsets/1615650" TargetMode="External"/><Relationship Id="rId1099" Type="http://schemas.openxmlformats.org/officeDocument/2006/relationships/hyperlink" Target="https://osu.ppy.sh/beatmapsets/1328138" TargetMode="External"/><Relationship Id="rId146" Type="http://schemas.openxmlformats.org/officeDocument/2006/relationships/hyperlink" Target="https://b.ppy.sh/thumb/1615650l.jpg" TargetMode="External"/><Relationship Id="rId145" Type="http://schemas.openxmlformats.org/officeDocument/2006/relationships/hyperlink" Target="https://assets.ppy.sh/beatmaps/1615650/covers/cover.jpg" TargetMode="External"/><Relationship Id="rId144" Type="http://schemas.openxmlformats.org/officeDocument/2006/relationships/hyperlink" Target="https://osu.ppy.sh/beatmapsets/1615650" TargetMode="External"/><Relationship Id="rId139" Type="http://schemas.openxmlformats.org/officeDocument/2006/relationships/hyperlink" Target="https://osu.ppy.sh/beatmapsets/932654" TargetMode="External"/><Relationship Id="rId138" Type="http://schemas.openxmlformats.org/officeDocument/2006/relationships/hyperlink" Target="https://b.ppy.sh/thumb/932654l.jpg" TargetMode="External"/><Relationship Id="rId137" Type="http://schemas.openxmlformats.org/officeDocument/2006/relationships/hyperlink" Target="https://assets.ppy.sh/beatmaps/932654/covers/cover.jpg" TargetMode="External"/><Relationship Id="rId1080" Type="http://schemas.openxmlformats.org/officeDocument/2006/relationships/hyperlink" Target="https://osu.ppy.sh/beatmapsets/1598238" TargetMode="External"/><Relationship Id="rId1081" Type="http://schemas.openxmlformats.org/officeDocument/2006/relationships/hyperlink" Target="https://assets.ppy.sh/beatmaps/1598238/covers/cover.jpg" TargetMode="External"/><Relationship Id="rId1082" Type="http://schemas.openxmlformats.org/officeDocument/2006/relationships/hyperlink" Target="https://b.ppy.sh/thumb/1598238l.jpg" TargetMode="External"/><Relationship Id="rId1083" Type="http://schemas.openxmlformats.org/officeDocument/2006/relationships/hyperlink" Target="https://osu.ppy.sh/beatmapsets/1598238" TargetMode="External"/><Relationship Id="rId132" Type="http://schemas.openxmlformats.org/officeDocument/2006/relationships/hyperlink" Target="https://osu.ppy.sh/beatmapsets/1793226" TargetMode="External"/><Relationship Id="rId1084" Type="http://schemas.openxmlformats.org/officeDocument/2006/relationships/hyperlink" Target="https://osu.ppy.sh/beatmapsets/1785134" TargetMode="External"/><Relationship Id="rId131" Type="http://schemas.openxmlformats.org/officeDocument/2006/relationships/hyperlink" Target="https://osu.ppy.sh/beatmapsets/1919942" TargetMode="External"/><Relationship Id="rId1085" Type="http://schemas.openxmlformats.org/officeDocument/2006/relationships/hyperlink" Target="https://assets.ppy.sh/beatmaps/1785134/covers/cover.jpg" TargetMode="External"/><Relationship Id="rId130" Type="http://schemas.openxmlformats.org/officeDocument/2006/relationships/hyperlink" Target="https://b.ppy.sh/thumb/1919942l.jpg" TargetMode="External"/><Relationship Id="rId1086" Type="http://schemas.openxmlformats.org/officeDocument/2006/relationships/hyperlink" Target="https://b.ppy.sh/thumb/1785134l.jpg" TargetMode="External"/><Relationship Id="rId1087" Type="http://schemas.openxmlformats.org/officeDocument/2006/relationships/hyperlink" Target="https://osu.ppy.sh/beatmapsets/1785134" TargetMode="External"/><Relationship Id="rId136" Type="http://schemas.openxmlformats.org/officeDocument/2006/relationships/hyperlink" Target="https://osu.ppy.sh/beatmapsets/932654" TargetMode="External"/><Relationship Id="rId1088" Type="http://schemas.openxmlformats.org/officeDocument/2006/relationships/hyperlink" Target="https://osu.ppy.sh/beatmapsets/1785134" TargetMode="External"/><Relationship Id="rId135" Type="http://schemas.openxmlformats.org/officeDocument/2006/relationships/hyperlink" Target="https://osu.ppy.sh/beatmapsets/1793226" TargetMode="External"/><Relationship Id="rId1089" Type="http://schemas.openxmlformats.org/officeDocument/2006/relationships/hyperlink" Target="https://assets.ppy.sh/beatmaps/1785134/covers/cover.jpg" TargetMode="External"/><Relationship Id="rId134" Type="http://schemas.openxmlformats.org/officeDocument/2006/relationships/hyperlink" Target="https://b.ppy.sh/thumb/1793226l.jpg" TargetMode="External"/><Relationship Id="rId133" Type="http://schemas.openxmlformats.org/officeDocument/2006/relationships/hyperlink" Target="https://assets.ppy.sh/beatmaps/1793226/covers/cover.jpg" TargetMode="External"/><Relationship Id="rId172" Type="http://schemas.openxmlformats.org/officeDocument/2006/relationships/hyperlink" Target="https://osu.ppy.sh/beatmapsets/1119169" TargetMode="External"/><Relationship Id="rId171" Type="http://schemas.openxmlformats.org/officeDocument/2006/relationships/hyperlink" Target="https://osu.ppy.sh/beatmapsets/1119169" TargetMode="External"/><Relationship Id="rId170" Type="http://schemas.openxmlformats.org/officeDocument/2006/relationships/hyperlink" Target="https://b.ppy.sh/thumb/1119169l.jpg" TargetMode="External"/><Relationship Id="rId165" Type="http://schemas.openxmlformats.org/officeDocument/2006/relationships/hyperlink" Target="https://assets.ppy.sh/beatmaps/1119169/covers/cover.jpg" TargetMode="External"/><Relationship Id="rId164" Type="http://schemas.openxmlformats.org/officeDocument/2006/relationships/hyperlink" Target="https://osu.ppy.sh/beatmapsets/1119169" TargetMode="External"/><Relationship Id="rId163" Type="http://schemas.openxmlformats.org/officeDocument/2006/relationships/hyperlink" Target="https://osu.ppy.sh/beatmapsets/688128" TargetMode="External"/><Relationship Id="rId162" Type="http://schemas.openxmlformats.org/officeDocument/2006/relationships/hyperlink" Target="https://b.ppy.sh/thumb/688128l.jpg" TargetMode="External"/><Relationship Id="rId169" Type="http://schemas.openxmlformats.org/officeDocument/2006/relationships/hyperlink" Target="https://assets.ppy.sh/beatmaps/1119169/covers/cover.jpg" TargetMode="External"/><Relationship Id="rId168" Type="http://schemas.openxmlformats.org/officeDocument/2006/relationships/hyperlink" Target="https://osu.ppy.sh/beatmapsets/1119169" TargetMode="External"/><Relationship Id="rId167" Type="http://schemas.openxmlformats.org/officeDocument/2006/relationships/hyperlink" Target="https://osu.ppy.sh/beatmapsets/1119169" TargetMode="External"/><Relationship Id="rId166" Type="http://schemas.openxmlformats.org/officeDocument/2006/relationships/hyperlink" Target="https://b.ppy.sh/thumb/1119169l.jpg" TargetMode="External"/><Relationship Id="rId161" Type="http://schemas.openxmlformats.org/officeDocument/2006/relationships/hyperlink" Target="https://assets.ppy.sh/beatmaps/688128/covers/cover.jpg" TargetMode="External"/><Relationship Id="rId160" Type="http://schemas.openxmlformats.org/officeDocument/2006/relationships/hyperlink" Target="https://osu.ppy.sh/beatmapsets/688128" TargetMode="External"/><Relationship Id="rId159" Type="http://schemas.openxmlformats.org/officeDocument/2006/relationships/hyperlink" Target="https://osu.ppy.sh/beatmapsets/891581" TargetMode="External"/><Relationship Id="rId154" Type="http://schemas.openxmlformats.org/officeDocument/2006/relationships/hyperlink" Target="https://b.ppy.sh/thumb/891581l.jpg" TargetMode="External"/><Relationship Id="rId153" Type="http://schemas.openxmlformats.org/officeDocument/2006/relationships/hyperlink" Target="https://assets.ppy.sh/beatmaps/891581/covers/cover.jpg" TargetMode="External"/><Relationship Id="rId152" Type="http://schemas.openxmlformats.org/officeDocument/2006/relationships/hyperlink" Target="https://osu.ppy.sh/beatmapsets/891581" TargetMode="External"/><Relationship Id="rId151" Type="http://schemas.openxmlformats.org/officeDocument/2006/relationships/hyperlink" Target="https://osu.ppy.sh/beatmapsets/1615650" TargetMode="External"/><Relationship Id="rId158" Type="http://schemas.openxmlformats.org/officeDocument/2006/relationships/hyperlink" Target="https://b.ppy.sh/thumb/891581l.jpg" TargetMode="External"/><Relationship Id="rId157" Type="http://schemas.openxmlformats.org/officeDocument/2006/relationships/hyperlink" Target="https://assets.ppy.sh/beatmaps/891581/covers/cover.jpg" TargetMode="External"/><Relationship Id="rId156" Type="http://schemas.openxmlformats.org/officeDocument/2006/relationships/hyperlink" Target="https://osu.ppy.sh/beatmapsets/891581" TargetMode="External"/><Relationship Id="rId155" Type="http://schemas.openxmlformats.org/officeDocument/2006/relationships/hyperlink" Target="https://osu.ppy.sh/beatmapsets/891581" TargetMode="External"/><Relationship Id="rId1972" Type="http://schemas.openxmlformats.org/officeDocument/2006/relationships/hyperlink" Target="https://osu.ppy.sh/beatmapsets/396370" TargetMode="External"/><Relationship Id="rId1973" Type="http://schemas.openxmlformats.org/officeDocument/2006/relationships/hyperlink" Target="https://assets.ppy.sh/beatmaps/396370/covers/cover.jpg" TargetMode="External"/><Relationship Id="rId1974" Type="http://schemas.openxmlformats.org/officeDocument/2006/relationships/hyperlink" Target="https://b.ppy.sh/thumb/396370l.jpg" TargetMode="External"/><Relationship Id="rId1975" Type="http://schemas.openxmlformats.org/officeDocument/2006/relationships/hyperlink" Target="https://osu.ppy.sh/beatmapsets/396370" TargetMode="External"/><Relationship Id="rId1976" Type="http://schemas.openxmlformats.org/officeDocument/2006/relationships/hyperlink" Target="https://osu.ppy.sh/beatmapsets/1809604" TargetMode="External"/><Relationship Id="rId1977" Type="http://schemas.openxmlformats.org/officeDocument/2006/relationships/hyperlink" Target="https://assets.ppy.sh/beatmaps/1809604/covers/cover.jpg" TargetMode="External"/><Relationship Id="rId1978" Type="http://schemas.openxmlformats.org/officeDocument/2006/relationships/hyperlink" Target="https://b.ppy.sh/thumb/1809604l.jpg" TargetMode="External"/><Relationship Id="rId1979" Type="http://schemas.openxmlformats.org/officeDocument/2006/relationships/hyperlink" Target="https://osu.ppy.sh/beatmapsets/1809604" TargetMode="External"/><Relationship Id="rId1970" Type="http://schemas.openxmlformats.org/officeDocument/2006/relationships/hyperlink" Target="https://b.ppy.sh/thumb/1817644l.jpg" TargetMode="External"/><Relationship Id="rId1971" Type="http://schemas.openxmlformats.org/officeDocument/2006/relationships/hyperlink" Target="https://osu.ppy.sh/beatmapsets/1817644" TargetMode="External"/><Relationship Id="rId1961" Type="http://schemas.openxmlformats.org/officeDocument/2006/relationships/hyperlink" Target="https://assets.ppy.sh/beatmaps/749304/covers/cover.jpg" TargetMode="External"/><Relationship Id="rId1962" Type="http://schemas.openxmlformats.org/officeDocument/2006/relationships/hyperlink" Target="https://b.ppy.sh/thumb/749304l.jpg" TargetMode="External"/><Relationship Id="rId1963" Type="http://schemas.openxmlformats.org/officeDocument/2006/relationships/hyperlink" Target="https://osu.ppy.sh/beatmapsets/749304" TargetMode="External"/><Relationship Id="rId1964" Type="http://schemas.openxmlformats.org/officeDocument/2006/relationships/hyperlink" Target="https://osu.ppy.sh/beatmapsets/1817644" TargetMode="External"/><Relationship Id="rId1965" Type="http://schemas.openxmlformats.org/officeDocument/2006/relationships/hyperlink" Target="https://assets.ppy.sh/beatmaps/1817644/covers/cover.jpg" TargetMode="External"/><Relationship Id="rId1966" Type="http://schemas.openxmlformats.org/officeDocument/2006/relationships/hyperlink" Target="https://b.ppy.sh/thumb/1817644l.jpg" TargetMode="External"/><Relationship Id="rId1967" Type="http://schemas.openxmlformats.org/officeDocument/2006/relationships/hyperlink" Target="https://osu.ppy.sh/beatmapsets/1817644" TargetMode="External"/><Relationship Id="rId1968" Type="http://schemas.openxmlformats.org/officeDocument/2006/relationships/hyperlink" Target="https://osu.ppy.sh/beatmapsets/1817644" TargetMode="External"/><Relationship Id="rId1969" Type="http://schemas.openxmlformats.org/officeDocument/2006/relationships/hyperlink" Target="https://assets.ppy.sh/beatmaps/1817644/covers/cover.jpg" TargetMode="External"/><Relationship Id="rId1960" Type="http://schemas.openxmlformats.org/officeDocument/2006/relationships/hyperlink" Target="https://osu.ppy.sh/beatmapsets/749304" TargetMode="External"/><Relationship Id="rId1510" Type="http://schemas.openxmlformats.org/officeDocument/2006/relationships/hyperlink" Target="https://b.ppy.sh/thumb/1670825l.jpg" TargetMode="External"/><Relationship Id="rId1511" Type="http://schemas.openxmlformats.org/officeDocument/2006/relationships/hyperlink" Target="https://osu.ppy.sh/beatmapsets/1670825" TargetMode="External"/><Relationship Id="rId1512" Type="http://schemas.openxmlformats.org/officeDocument/2006/relationships/hyperlink" Target="https://osu.ppy.sh/beatmapsets/962568" TargetMode="External"/><Relationship Id="rId1513" Type="http://schemas.openxmlformats.org/officeDocument/2006/relationships/hyperlink" Target="https://assets.ppy.sh/beatmaps/962568/covers/cover.jpg" TargetMode="External"/><Relationship Id="rId1514" Type="http://schemas.openxmlformats.org/officeDocument/2006/relationships/hyperlink" Target="https://b.ppy.sh/thumb/962568l.jpg" TargetMode="External"/><Relationship Id="rId1515" Type="http://schemas.openxmlformats.org/officeDocument/2006/relationships/hyperlink" Target="https://osu.ppy.sh/beatmapsets/962568" TargetMode="External"/><Relationship Id="rId1516" Type="http://schemas.openxmlformats.org/officeDocument/2006/relationships/hyperlink" Target="https://osu.ppy.sh/beatmapsets/1633242" TargetMode="External"/><Relationship Id="rId1517" Type="http://schemas.openxmlformats.org/officeDocument/2006/relationships/hyperlink" Target="https://assets.ppy.sh/beatmaps/1633242/covers/cover.jpg" TargetMode="External"/><Relationship Id="rId1518" Type="http://schemas.openxmlformats.org/officeDocument/2006/relationships/hyperlink" Target="https://b.ppy.sh/thumb/1633242l.jpg" TargetMode="External"/><Relationship Id="rId1519" Type="http://schemas.openxmlformats.org/officeDocument/2006/relationships/hyperlink" Target="https://osu.ppy.sh/beatmapsets/1633242" TargetMode="External"/><Relationship Id="rId1983" Type="http://schemas.openxmlformats.org/officeDocument/2006/relationships/hyperlink" Target="https://osu.ppy.sh/beatmapsets/1809604" TargetMode="External"/><Relationship Id="rId1500" Type="http://schemas.openxmlformats.org/officeDocument/2006/relationships/hyperlink" Target="https://osu.ppy.sh/beatmapsets/734135" TargetMode="External"/><Relationship Id="rId1984" Type="http://schemas.openxmlformats.org/officeDocument/2006/relationships/hyperlink" Target="https://osu.ppy.sh/beatmapsets/1130251" TargetMode="External"/><Relationship Id="rId1501" Type="http://schemas.openxmlformats.org/officeDocument/2006/relationships/hyperlink" Target="https://assets.ppy.sh/beatmaps/734135/covers/cover.jpg" TargetMode="External"/><Relationship Id="rId1985" Type="http://schemas.openxmlformats.org/officeDocument/2006/relationships/hyperlink" Target="https://assets.ppy.sh/beatmaps/1130251/covers/cover.jpg" TargetMode="External"/><Relationship Id="rId1502" Type="http://schemas.openxmlformats.org/officeDocument/2006/relationships/hyperlink" Target="https://b.ppy.sh/thumb/734135l.jpg" TargetMode="External"/><Relationship Id="rId1986" Type="http://schemas.openxmlformats.org/officeDocument/2006/relationships/hyperlink" Target="https://b.ppy.sh/thumb/1130251l.jpg" TargetMode="External"/><Relationship Id="rId1503" Type="http://schemas.openxmlformats.org/officeDocument/2006/relationships/hyperlink" Target="https://osu.ppy.sh/beatmapsets/734135" TargetMode="External"/><Relationship Id="rId1987" Type="http://schemas.openxmlformats.org/officeDocument/2006/relationships/hyperlink" Target="https://osu.ppy.sh/beatmapsets/1130251" TargetMode="External"/><Relationship Id="rId1504" Type="http://schemas.openxmlformats.org/officeDocument/2006/relationships/hyperlink" Target="https://osu.ppy.sh/beatmapsets/490662" TargetMode="External"/><Relationship Id="rId1988" Type="http://schemas.openxmlformats.org/officeDocument/2006/relationships/drawing" Target="../drawings/drawing16.xml"/><Relationship Id="rId1505" Type="http://schemas.openxmlformats.org/officeDocument/2006/relationships/hyperlink" Target="https://assets.ppy.sh/beatmaps/490662/covers/cover.jpg" TargetMode="External"/><Relationship Id="rId1506" Type="http://schemas.openxmlformats.org/officeDocument/2006/relationships/hyperlink" Target="https://b.ppy.sh/thumb/490662l.jpg" TargetMode="External"/><Relationship Id="rId1507" Type="http://schemas.openxmlformats.org/officeDocument/2006/relationships/hyperlink" Target="https://osu.ppy.sh/beatmapsets/490662" TargetMode="External"/><Relationship Id="rId1508" Type="http://schemas.openxmlformats.org/officeDocument/2006/relationships/hyperlink" Target="https://osu.ppy.sh/beatmapsets/1670825" TargetMode="External"/><Relationship Id="rId1509" Type="http://schemas.openxmlformats.org/officeDocument/2006/relationships/hyperlink" Target="https://assets.ppy.sh/beatmaps/1670825/covers/cover.jpg" TargetMode="External"/><Relationship Id="rId1980" Type="http://schemas.openxmlformats.org/officeDocument/2006/relationships/hyperlink" Target="https://osu.ppy.sh/beatmapsets/1809604" TargetMode="External"/><Relationship Id="rId1981" Type="http://schemas.openxmlformats.org/officeDocument/2006/relationships/hyperlink" Target="https://assets.ppy.sh/beatmaps/1809604/covers/cover.jpg" TargetMode="External"/><Relationship Id="rId1982" Type="http://schemas.openxmlformats.org/officeDocument/2006/relationships/hyperlink" Target="https://b.ppy.sh/thumb/1809604l.jpg" TargetMode="External"/><Relationship Id="rId1930" Type="http://schemas.openxmlformats.org/officeDocument/2006/relationships/hyperlink" Target="https://b.ppy.sh/thumb/1547170l.jpg" TargetMode="External"/><Relationship Id="rId1931" Type="http://schemas.openxmlformats.org/officeDocument/2006/relationships/hyperlink" Target="https://osu.ppy.sh/beatmapsets/1547170" TargetMode="External"/><Relationship Id="rId1932" Type="http://schemas.openxmlformats.org/officeDocument/2006/relationships/hyperlink" Target="https://osu.ppy.sh/beatmapsets/1090567" TargetMode="External"/><Relationship Id="rId1933" Type="http://schemas.openxmlformats.org/officeDocument/2006/relationships/hyperlink" Target="https://assets.ppy.sh/beatmaps/1090567/covers/cover.jpg" TargetMode="External"/><Relationship Id="rId1934" Type="http://schemas.openxmlformats.org/officeDocument/2006/relationships/hyperlink" Target="https://b.ppy.sh/thumb/1090567l.jpg" TargetMode="External"/><Relationship Id="rId1935" Type="http://schemas.openxmlformats.org/officeDocument/2006/relationships/hyperlink" Target="https://osu.ppy.sh/beatmapsets/1090567" TargetMode="External"/><Relationship Id="rId1936" Type="http://schemas.openxmlformats.org/officeDocument/2006/relationships/hyperlink" Target="https://osu.ppy.sh/beatmapsets/1670118" TargetMode="External"/><Relationship Id="rId1937" Type="http://schemas.openxmlformats.org/officeDocument/2006/relationships/hyperlink" Target="https://assets.ppy.sh/beatmaps/1670118/covers/cover.jpg" TargetMode="External"/><Relationship Id="rId1938" Type="http://schemas.openxmlformats.org/officeDocument/2006/relationships/hyperlink" Target="https://b.ppy.sh/thumb/1670118l.jpg" TargetMode="External"/><Relationship Id="rId1939" Type="http://schemas.openxmlformats.org/officeDocument/2006/relationships/hyperlink" Target="https://osu.ppy.sh/beatmapsets/1670118" TargetMode="External"/><Relationship Id="rId1920" Type="http://schemas.openxmlformats.org/officeDocument/2006/relationships/hyperlink" Target="https://osu.ppy.sh/beatmapsets/1547170" TargetMode="External"/><Relationship Id="rId1921" Type="http://schemas.openxmlformats.org/officeDocument/2006/relationships/hyperlink" Target="https://assets.ppy.sh/beatmaps/1547170/covers/cover.jpg" TargetMode="External"/><Relationship Id="rId1922" Type="http://schemas.openxmlformats.org/officeDocument/2006/relationships/hyperlink" Target="https://b.ppy.sh/thumb/1547170l.jpg" TargetMode="External"/><Relationship Id="rId1923" Type="http://schemas.openxmlformats.org/officeDocument/2006/relationships/hyperlink" Target="https://osu.ppy.sh/beatmapsets/1547170" TargetMode="External"/><Relationship Id="rId1924" Type="http://schemas.openxmlformats.org/officeDocument/2006/relationships/hyperlink" Target="https://osu.ppy.sh/beatmapsets/1291579" TargetMode="External"/><Relationship Id="rId1925" Type="http://schemas.openxmlformats.org/officeDocument/2006/relationships/hyperlink" Target="https://assets.ppy.sh/beatmaps/1291579/covers/cover.jpg" TargetMode="External"/><Relationship Id="rId1926" Type="http://schemas.openxmlformats.org/officeDocument/2006/relationships/hyperlink" Target="https://b.ppy.sh/thumb/1291579l.jpg" TargetMode="External"/><Relationship Id="rId1927" Type="http://schemas.openxmlformats.org/officeDocument/2006/relationships/hyperlink" Target="https://osu.ppy.sh/beatmapsets/1291579" TargetMode="External"/><Relationship Id="rId1928" Type="http://schemas.openxmlformats.org/officeDocument/2006/relationships/hyperlink" Target="https://osu.ppy.sh/beatmapsets/1547170" TargetMode="External"/><Relationship Id="rId1929" Type="http://schemas.openxmlformats.org/officeDocument/2006/relationships/hyperlink" Target="https://assets.ppy.sh/beatmaps/1547170/covers/cover.jpg" TargetMode="External"/><Relationship Id="rId1950" Type="http://schemas.openxmlformats.org/officeDocument/2006/relationships/hyperlink" Target="https://b.ppy.sh/thumb/28257l.jpg" TargetMode="External"/><Relationship Id="rId1951" Type="http://schemas.openxmlformats.org/officeDocument/2006/relationships/hyperlink" Target="https://osu.ppy.sh/beatmapsets/28257" TargetMode="External"/><Relationship Id="rId1952" Type="http://schemas.openxmlformats.org/officeDocument/2006/relationships/hyperlink" Target="https://osu.ppy.sh/beatmapsets/28257" TargetMode="External"/><Relationship Id="rId1953" Type="http://schemas.openxmlformats.org/officeDocument/2006/relationships/hyperlink" Target="https://assets.ppy.sh/beatmaps/28257/covers/cover.jpg" TargetMode="External"/><Relationship Id="rId1954" Type="http://schemas.openxmlformats.org/officeDocument/2006/relationships/hyperlink" Target="https://b.ppy.sh/thumb/28257l.jpg" TargetMode="External"/><Relationship Id="rId1955" Type="http://schemas.openxmlformats.org/officeDocument/2006/relationships/hyperlink" Target="https://osu.ppy.sh/beatmapsets/28257" TargetMode="External"/><Relationship Id="rId1956" Type="http://schemas.openxmlformats.org/officeDocument/2006/relationships/hyperlink" Target="https://osu.ppy.sh/beatmapsets/16371" TargetMode="External"/><Relationship Id="rId1957" Type="http://schemas.openxmlformats.org/officeDocument/2006/relationships/hyperlink" Target="https://assets.ppy.sh/beatmaps/16371/covers/cover.jpg" TargetMode="External"/><Relationship Id="rId1958" Type="http://schemas.openxmlformats.org/officeDocument/2006/relationships/hyperlink" Target="https://b.ppy.sh/thumb/16371l.jpg" TargetMode="External"/><Relationship Id="rId1959" Type="http://schemas.openxmlformats.org/officeDocument/2006/relationships/hyperlink" Target="https://osu.ppy.sh/beatmapsets/16371" TargetMode="External"/><Relationship Id="rId1940" Type="http://schemas.openxmlformats.org/officeDocument/2006/relationships/hyperlink" Target="https://osu.ppy.sh/beatmapsets/83560" TargetMode="External"/><Relationship Id="rId1941" Type="http://schemas.openxmlformats.org/officeDocument/2006/relationships/hyperlink" Target="https://assets.ppy.sh/beatmaps/83560/covers/cover.jpg" TargetMode="External"/><Relationship Id="rId1942" Type="http://schemas.openxmlformats.org/officeDocument/2006/relationships/hyperlink" Target="https://b.ppy.sh/thumb/83560l.jpg" TargetMode="External"/><Relationship Id="rId1943" Type="http://schemas.openxmlformats.org/officeDocument/2006/relationships/hyperlink" Target="https://osu.ppy.sh/beatmapsets/83560" TargetMode="External"/><Relationship Id="rId1944" Type="http://schemas.openxmlformats.org/officeDocument/2006/relationships/hyperlink" Target="https://osu.ppy.sh/beatmapsets/128931" TargetMode="External"/><Relationship Id="rId1945" Type="http://schemas.openxmlformats.org/officeDocument/2006/relationships/hyperlink" Target="https://assets.ppy.sh/beatmaps/128931/covers/cover.jpg" TargetMode="External"/><Relationship Id="rId1946" Type="http://schemas.openxmlformats.org/officeDocument/2006/relationships/hyperlink" Target="https://b.ppy.sh/thumb/128931l.jpg" TargetMode="External"/><Relationship Id="rId1947" Type="http://schemas.openxmlformats.org/officeDocument/2006/relationships/hyperlink" Target="https://osu.ppy.sh/beatmapsets/128931" TargetMode="External"/><Relationship Id="rId1948" Type="http://schemas.openxmlformats.org/officeDocument/2006/relationships/hyperlink" Target="https://osu.ppy.sh/beatmapsets/28257" TargetMode="External"/><Relationship Id="rId1949" Type="http://schemas.openxmlformats.org/officeDocument/2006/relationships/hyperlink" Target="https://assets.ppy.sh/beatmaps/28257/covers/cover.jpg" TargetMode="External"/><Relationship Id="rId1576" Type="http://schemas.openxmlformats.org/officeDocument/2006/relationships/hyperlink" Target="https://osu.ppy.sh/beatmapsets/376552" TargetMode="External"/><Relationship Id="rId1577" Type="http://schemas.openxmlformats.org/officeDocument/2006/relationships/hyperlink" Target="https://assets.ppy.sh/beatmaps/376552/covers/cover.jpg" TargetMode="External"/><Relationship Id="rId1578" Type="http://schemas.openxmlformats.org/officeDocument/2006/relationships/hyperlink" Target="https://b.ppy.sh/thumb/376552l.jpg" TargetMode="External"/><Relationship Id="rId1579" Type="http://schemas.openxmlformats.org/officeDocument/2006/relationships/hyperlink" Target="https://osu.ppy.sh/beatmapsets/376552" TargetMode="External"/><Relationship Id="rId509" Type="http://schemas.openxmlformats.org/officeDocument/2006/relationships/hyperlink" Target="https://assets.ppy.sh/beatmaps/824959/covers/cover.jpg" TargetMode="External"/><Relationship Id="rId508" Type="http://schemas.openxmlformats.org/officeDocument/2006/relationships/hyperlink" Target="https://osu.ppy.sh/beatmapsets/824959" TargetMode="External"/><Relationship Id="rId503" Type="http://schemas.openxmlformats.org/officeDocument/2006/relationships/hyperlink" Target="https://osu.ppy.sh/beatmapsets/1807695" TargetMode="External"/><Relationship Id="rId987" Type="http://schemas.openxmlformats.org/officeDocument/2006/relationships/hyperlink" Target="https://osu.ppy.sh/beatmapsets/1659194" TargetMode="External"/><Relationship Id="rId502" Type="http://schemas.openxmlformats.org/officeDocument/2006/relationships/hyperlink" Target="https://b.ppy.sh/thumb/1807695l.jpg" TargetMode="External"/><Relationship Id="rId986" Type="http://schemas.openxmlformats.org/officeDocument/2006/relationships/hyperlink" Target="https://b.ppy.sh/thumb/1659194l.jpg" TargetMode="External"/><Relationship Id="rId501" Type="http://schemas.openxmlformats.org/officeDocument/2006/relationships/hyperlink" Target="https://assets.ppy.sh/beatmaps/1807695/covers/cover.jpg" TargetMode="External"/><Relationship Id="rId985" Type="http://schemas.openxmlformats.org/officeDocument/2006/relationships/hyperlink" Target="https://assets.ppy.sh/beatmaps/1659194/covers/cover.jpg" TargetMode="External"/><Relationship Id="rId500" Type="http://schemas.openxmlformats.org/officeDocument/2006/relationships/hyperlink" Target="https://osu.ppy.sh/beatmapsets/1807695" TargetMode="External"/><Relationship Id="rId984" Type="http://schemas.openxmlformats.org/officeDocument/2006/relationships/hyperlink" Target="https://osu.ppy.sh/beatmapsets/1659194" TargetMode="External"/><Relationship Id="rId507" Type="http://schemas.openxmlformats.org/officeDocument/2006/relationships/hyperlink" Target="https://osu.ppy.sh/beatmapsets/824959" TargetMode="External"/><Relationship Id="rId506" Type="http://schemas.openxmlformats.org/officeDocument/2006/relationships/hyperlink" Target="https://b.ppy.sh/thumb/824959l.jpg" TargetMode="External"/><Relationship Id="rId505" Type="http://schemas.openxmlformats.org/officeDocument/2006/relationships/hyperlink" Target="https://assets.ppy.sh/beatmaps/824959/covers/cover.jpg" TargetMode="External"/><Relationship Id="rId989" Type="http://schemas.openxmlformats.org/officeDocument/2006/relationships/hyperlink" Target="https://assets.ppy.sh/beatmaps/1659194/covers/cover.jpg" TargetMode="External"/><Relationship Id="rId504" Type="http://schemas.openxmlformats.org/officeDocument/2006/relationships/hyperlink" Target="https://osu.ppy.sh/beatmapsets/824959" TargetMode="External"/><Relationship Id="rId988" Type="http://schemas.openxmlformats.org/officeDocument/2006/relationships/hyperlink" Target="https://osu.ppy.sh/beatmapsets/1659194" TargetMode="External"/><Relationship Id="rId1570" Type="http://schemas.openxmlformats.org/officeDocument/2006/relationships/hyperlink" Target="https://b.ppy.sh/thumb/408745l.jpg" TargetMode="External"/><Relationship Id="rId1571" Type="http://schemas.openxmlformats.org/officeDocument/2006/relationships/hyperlink" Target="https://osu.ppy.sh/beatmapsets/408745" TargetMode="External"/><Relationship Id="rId983" Type="http://schemas.openxmlformats.org/officeDocument/2006/relationships/hyperlink" Target="https://osu.ppy.sh/beatmapsets/352570" TargetMode="External"/><Relationship Id="rId1572" Type="http://schemas.openxmlformats.org/officeDocument/2006/relationships/hyperlink" Target="https://osu.ppy.sh/beatmapsets/376552" TargetMode="External"/><Relationship Id="rId982" Type="http://schemas.openxmlformats.org/officeDocument/2006/relationships/hyperlink" Target="https://b.ppy.sh/thumb/352570l.jpg" TargetMode="External"/><Relationship Id="rId1573" Type="http://schemas.openxmlformats.org/officeDocument/2006/relationships/hyperlink" Target="https://assets.ppy.sh/beatmaps/376552/covers/cover.jpg" TargetMode="External"/><Relationship Id="rId981" Type="http://schemas.openxmlformats.org/officeDocument/2006/relationships/hyperlink" Target="https://assets.ppy.sh/beatmaps/352570/covers/cover.jpg" TargetMode="External"/><Relationship Id="rId1574" Type="http://schemas.openxmlformats.org/officeDocument/2006/relationships/hyperlink" Target="https://b.ppy.sh/thumb/376552l.jpg" TargetMode="External"/><Relationship Id="rId980" Type="http://schemas.openxmlformats.org/officeDocument/2006/relationships/hyperlink" Target="https://osu.ppy.sh/beatmapsets/352570" TargetMode="External"/><Relationship Id="rId1575" Type="http://schemas.openxmlformats.org/officeDocument/2006/relationships/hyperlink" Target="https://osu.ppy.sh/beatmapsets/376552" TargetMode="External"/><Relationship Id="rId1565" Type="http://schemas.openxmlformats.org/officeDocument/2006/relationships/hyperlink" Target="https://assets.ppy.sh/beatmaps/408745/covers/cover.jpg" TargetMode="External"/><Relationship Id="rId1566" Type="http://schemas.openxmlformats.org/officeDocument/2006/relationships/hyperlink" Target="https://b.ppy.sh/thumb/408745l.jpg" TargetMode="External"/><Relationship Id="rId1567" Type="http://schemas.openxmlformats.org/officeDocument/2006/relationships/hyperlink" Target="https://osu.ppy.sh/beatmapsets/408745" TargetMode="External"/><Relationship Id="rId1568" Type="http://schemas.openxmlformats.org/officeDocument/2006/relationships/hyperlink" Target="https://osu.ppy.sh/beatmapsets/408745" TargetMode="External"/><Relationship Id="rId1569" Type="http://schemas.openxmlformats.org/officeDocument/2006/relationships/hyperlink" Target="https://assets.ppy.sh/beatmaps/408745/covers/cover.jpg" TargetMode="External"/><Relationship Id="rId976" Type="http://schemas.openxmlformats.org/officeDocument/2006/relationships/hyperlink" Target="https://osu.ppy.sh/beatmapsets/1248923" TargetMode="External"/><Relationship Id="rId975" Type="http://schemas.openxmlformats.org/officeDocument/2006/relationships/hyperlink" Target="https://osu.ppy.sh/beatmapsets/1616029" TargetMode="External"/><Relationship Id="rId974" Type="http://schemas.openxmlformats.org/officeDocument/2006/relationships/hyperlink" Target="https://b.ppy.sh/thumb/1616029l.jpg" TargetMode="External"/><Relationship Id="rId973" Type="http://schemas.openxmlformats.org/officeDocument/2006/relationships/hyperlink" Target="https://assets.ppy.sh/beatmaps/1616029/covers/cover.jpg" TargetMode="External"/><Relationship Id="rId979" Type="http://schemas.openxmlformats.org/officeDocument/2006/relationships/hyperlink" Target="https://osu.ppy.sh/beatmapsets/1248923" TargetMode="External"/><Relationship Id="rId978" Type="http://schemas.openxmlformats.org/officeDocument/2006/relationships/hyperlink" Target="https://b.ppy.sh/thumb/1248923l.jpg" TargetMode="External"/><Relationship Id="rId977" Type="http://schemas.openxmlformats.org/officeDocument/2006/relationships/hyperlink" Target="https://assets.ppy.sh/beatmaps/1248923/covers/cover.jpg" TargetMode="External"/><Relationship Id="rId1560" Type="http://schemas.openxmlformats.org/officeDocument/2006/relationships/hyperlink" Target="https://osu.ppy.sh/beatmapsets/1301388" TargetMode="External"/><Relationship Id="rId972" Type="http://schemas.openxmlformats.org/officeDocument/2006/relationships/hyperlink" Target="https://osu.ppy.sh/beatmapsets/1616029" TargetMode="External"/><Relationship Id="rId1561" Type="http://schemas.openxmlformats.org/officeDocument/2006/relationships/hyperlink" Target="https://assets.ppy.sh/beatmaps/1301388/covers/cover.jpg" TargetMode="External"/><Relationship Id="rId971" Type="http://schemas.openxmlformats.org/officeDocument/2006/relationships/hyperlink" Target="https://osu.ppy.sh/beatmapsets/1616029" TargetMode="External"/><Relationship Id="rId1562" Type="http://schemas.openxmlformats.org/officeDocument/2006/relationships/hyperlink" Target="https://b.ppy.sh/thumb/1301388l.jpg" TargetMode="External"/><Relationship Id="rId970" Type="http://schemas.openxmlformats.org/officeDocument/2006/relationships/hyperlink" Target="https://b.ppy.sh/thumb/1616029l.jpg" TargetMode="External"/><Relationship Id="rId1563" Type="http://schemas.openxmlformats.org/officeDocument/2006/relationships/hyperlink" Target="https://osu.ppy.sh/beatmapsets/1301388" TargetMode="External"/><Relationship Id="rId1564" Type="http://schemas.openxmlformats.org/officeDocument/2006/relationships/hyperlink" Target="https://osu.ppy.sh/beatmapsets/408745" TargetMode="External"/><Relationship Id="rId1114" Type="http://schemas.openxmlformats.org/officeDocument/2006/relationships/hyperlink" Target="https://b.ppy.sh/thumb/1030737l.jpg" TargetMode="External"/><Relationship Id="rId1598" Type="http://schemas.openxmlformats.org/officeDocument/2006/relationships/hyperlink" Target="https://b.ppy.sh/thumb/761026l.jpg" TargetMode="External"/><Relationship Id="rId1115" Type="http://schemas.openxmlformats.org/officeDocument/2006/relationships/hyperlink" Target="https://osu.ppy.sh/beatmapsets/1030737" TargetMode="External"/><Relationship Id="rId1599" Type="http://schemas.openxmlformats.org/officeDocument/2006/relationships/hyperlink" Target="https://osu.ppy.sh/beatmapsets/761026" TargetMode="External"/><Relationship Id="rId1116" Type="http://schemas.openxmlformats.org/officeDocument/2006/relationships/hyperlink" Target="https://osu.ppy.sh/beatmapsets/1030737" TargetMode="External"/><Relationship Id="rId1117" Type="http://schemas.openxmlformats.org/officeDocument/2006/relationships/hyperlink" Target="https://assets.ppy.sh/beatmaps/1030737/covers/cover.jpg" TargetMode="External"/><Relationship Id="rId1118" Type="http://schemas.openxmlformats.org/officeDocument/2006/relationships/hyperlink" Target="https://b.ppy.sh/thumb/1030737l.jpg" TargetMode="External"/><Relationship Id="rId1119" Type="http://schemas.openxmlformats.org/officeDocument/2006/relationships/hyperlink" Target="https://osu.ppy.sh/beatmapsets/1030737" TargetMode="External"/><Relationship Id="rId525" Type="http://schemas.openxmlformats.org/officeDocument/2006/relationships/hyperlink" Target="https://assets.ppy.sh/beatmaps/123354/covers/cover.jpg" TargetMode="External"/><Relationship Id="rId524" Type="http://schemas.openxmlformats.org/officeDocument/2006/relationships/hyperlink" Target="https://osu.ppy.sh/beatmapsets/123354" TargetMode="External"/><Relationship Id="rId523" Type="http://schemas.openxmlformats.org/officeDocument/2006/relationships/hyperlink" Target="https://osu.ppy.sh/beatmapsets/123354" TargetMode="External"/><Relationship Id="rId522" Type="http://schemas.openxmlformats.org/officeDocument/2006/relationships/hyperlink" Target="https://b.ppy.sh/thumb/123354l.jpg" TargetMode="External"/><Relationship Id="rId529" Type="http://schemas.openxmlformats.org/officeDocument/2006/relationships/hyperlink" Target="https://assets.ppy.sh/beatmaps/841634/covers/cover.jpg" TargetMode="External"/><Relationship Id="rId528" Type="http://schemas.openxmlformats.org/officeDocument/2006/relationships/hyperlink" Target="https://osu.ppy.sh/beatmapsets/841634" TargetMode="External"/><Relationship Id="rId527" Type="http://schemas.openxmlformats.org/officeDocument/2006/relationships/hyperlink" Target="https://osu.ppy.sh/beatmapsets/123354" TargetMode="External"/><Relationship Id="rId526" Type="http://schemas.openxmlformats.org/officeDocument/2006/relationships/hyperlink" Target="https://b.ppy.sh/thumb/123354l.jpg" TargetMode="External"/><Relationship Id="rId1590" Type="http://schemas.openxmlformats.org/officeDocument/2006/relationships/hyperlink" Target="https://b.ppy.sh/thumb/286414l.jpg" TargetMode="External"/><Relationship Id="rId1591" Type="http://schemas.openxmlformats.org/officeDocument/2006/relationships/hyperlink" Target="https://osu.ppy.sh/beatmapsets/286414" TargetMode="External"/><Relationship Id="rId1592" Type="http://schemas.openxmlformats.org/officeDocument/2006/relationships/hyperlink" Target="https://osu.ppy.sh/beatmapsets/286414" TargetMode="External"/><Relationship Id="rId1593" Type="http://schemas.openxmlformats.org/officeDocument/2006/relationships/hyperlink" Target="https://assets.ppy.sh/beatmaps/286414/covers/cover.jpg" TargetMode="External"/><Relationship Id="rId521" Type="http://schemas.openxmlformats.org/officeDocument/2006/relationships/hyperlink" Target="https://assets.ppy.sh/beatmaps/123354/covers/cover.jpg" TargetMode="External"/><Relationship Id="rId1110" Type="http://schemas.openxmlformats.org/officeDocument/2006/relationships/hyperlink" Target="https://b.ppy.sh/thumb/1871920l.jpg" TargetMode="External"/><Relationship Id="rId1594" Type="http://schemas.openxmlformats.org/officeDocument/2006/relationships/hyperlink" Target="https://b.ppy.sh/thumb/286414l.jpg" TargetMode="External"/><Relationship Id="rId520" Type="http://schemas.openxmlformats.org/officeDocument/2006/relationships/hyperlink" Target="https://osu.ppy.sh/beatmapsets/123354" TargetMode="External"/><Relationship Id="rId1111" Type="http://schemas.openxmlformats.org/officeDocument/2006/relationships/hyperlink" Target="https://osu.ppy.sh/beatmapsets/1871920" TargetMode="External"/><Relationship Id="rId1595" Type="http://schemas.openxmlformats.org/officeDocument/2006/relationships/hyperlink" Target="https://osu.ppy.sh/beatmapsets/286414" TargetMode="External"/><Relationship Id="rId1112" Type="http://schemas.openxmlformats.org/officeDocument/2006/relationships/hyperlink" Target="https://osu.ppy.sh/beatmapsets/1030737" TargetMode="External"/><Relationship Id="rId1596" Type="http://schemas.openxmlformats.org/officeDocument/2006/relationships/hyperlink" Target="https://osu.ppy.sh/beatmapsets/761026" TargetMode="External"/><Relationship Id="rId1113" Type="http://schemas.openxmlformats.org/officeDocument/2006/relationships/hyperlink" Target="https://assets.ppy.sh/beatmaps/1030737/covers/cover.jpg" TargetMode="External"/><Relationship Id="rId1597" Type="http://schemas.openxmlformats.org/officeDocument/2006/relationships/hyperlink" Target="https://assets.ppy.sh/beatmaps/761026/covers/cover.jpg" TargetMode="External"/><Relationship Id="rId1103" Type="http://schemas.openxmlformats.org/officeDocument/2006/relationships/hyperlink" Target="https://osu.ppy.sh/beatmapsets/1436167" TargetMode="External"/><Relationship Id="rId1587" Type="http://schemas.openxmlformats.org/officeDocument/2006/relationships/hyperlink" Target="https://osu.ppy.sh/beatmapsets/1519388" TargetMode="External"/><Relationship Id="rId1104" Type="http://schemas.openxmlformats.org/officeDocument/2006/relationships/hyperlink" Target="https://osu.ppy.sh/beatmapsets/1871920" TargetMode="External"/><Relationship Id="rId1588" Type="http://schemas.openxmlformats.org/officeDocument/2006/relationships/hyperlink" Target="https://osu.ppy.sh/beatmapsets/286414" TargetMode="External"/><Relationship Id="rId1105" Type="http://schemas.openxmlformats.org/officeDocument/2006/relationships/hyperlink" Target="https://assets.ppy.sh/beatmaps/1871920/covers/cover.jpg" TargetMode="External"/><Relationship Id="rId1589" Type="http://schemas.openxmlformats.org/officeDocument/2006/relationships/hyperlink" Target="https://assets.ppy.sh/beatmaps/286414/covers/cover.jpg" TargetMode="External"/><Relationship Id="rId1106" Type="http://schemas.openxmlformats.org/officeDocument/2006/relationships/hyperlink" Target="https://b.ppy.sh/thumb/1871920l.jpg" TargetMode="External"/><Relationship Id="rId1107" Type="http://schemas.openxmlformats.org/officeDocument/2006/relationships/hyperlink" Target="https://osu.ppy.sh/beatmapsets/1871920" TargetMode="External"/><Relationship Id="rId1108" Type="http://schemas.openxmlformats.org/officeDocument/2006/relationships/hyperlink" Target="https://osu.ppy.sh/beatmapsets/1871920" TargetMode="External"/><Relationship Id="rId1109" Type="http://schemas.openxmlformats.org/officeDocument/2006/relationships/hyperlink" Target="https://assets.ppy.sh/beatmaps/1871920/covers/cover.jpg" TargetMode="External"/><Relationship Id="rId519" Type="http://schemas.openxmlformats.org/officeDocument/2006/relationships/hyperlink" Target="https://osu.ppy.sh/beatmapsets/1759764" TargetMode="External"/><Relationship Id="rId514" Type="http://schemas.openxmlformats.org/officeDocument/2006/relationships/hyperlink" Target="https://b.ppy.sh/thumb/1759764l.jpg" TargetMode="External"/><Relationship Id="rId998" Type="http://schemas.openxmlformats.org/officeDocument/2006/relationships/hyperlink" Target="https://b.ppy.sh/thumb/156235l.jpg" TargetMode="External"/><Relationship Id="rId513" Type="http://schemas.openxmlformats.org/officeDocument/2006/relationships/hyperlink" Target="https://assets.ppy.sh/beatmaps/1759764/covers/cover.jpg" TargetMode="External"/><Relationship Id="rId997" Type="http://schemas.openxmlformats.org/officeDocument/2006/relationships/hyperlink" Target="https://assets.ppy.sh/beatmaps/156235/covers/cover.jpg" TargetMode="External"/><Relationship Id="rId512" Type="http://schemas.openxmlformats.org/officeDocument/2006/relationships/hyperlink" Target="https://osu.ppy.sh/beatmapsets/1759764" TargetMode="External"/><Relationship Id="rId996" Type="http://schemas.openxmlformats.org/officeDocument/2006/relationships/hyperlink" Target="https://osu.ppy.sh/beatmapsets/156235" TargetMode="External"/><Relationship Id="rId511" Type="http://schemas.openxmlformats.org/officeDocument/2006/relationships/hyperlink" Target="https://osu.ppy.sh/beatmapsets/824959" TargetMode="External"/><Relationship Id="rId995" Type="http://schemas.openxmlformats.org/officeDocument/2006/relationships/hyperlink" Target="https://osu.ppy.sh/beatmapsets/156235" TargetMode="External"/><Relationship Id="rId518" Type="http://schemas.openxmlformats.org/officeDocument/2006/relationships/hyperlink" Target="https://b.ppy.sh/thumb/1759764l.jpg" TargetMode="External"/><Relationship Id="rId517" Type="http://schemas.openxmlformats.org/officeDocument/2006/relationships/hyperlink" Target="https://assets.ppy.sh/beatmaps/1759764/covers/cover.jpg" TargetMode="External"/><Relationship Id="rId516" Type="http://schemas.openxmlformats.org/officeDocument/2006/relationships/hyperlink" Target="https://osu.ppy.sh/beatmapsets/1759764" TargetMode="External"/><Relationship Id="rId515" Type="http://schemas.openxmlformats.org/officeDocument/2006/relationships/hyperlink" Target="https://osu.ppy.sh/beatmapsets/1759764" TargetMode="External"/><Relationship Id="rId999" Type="http://schemas.openxmlformats.org/officeDocument/2006/relationships/hyperlink" Target="https://osu.ppy.sh/beatmapsets/156235" TargetMode="External"/><Relationship Id="rId990" Type="http://schemas.openxmlformats.org/officeDocument/2006/relationships/hyperlink" Target="https://b.ppy.sh/thumb/1659194l.jpg" TargetMode="External"/><Relationship Id="rId1580" Type="http://schemas.openxmlformats.org/officeDocument/2006/relationships/hyperlink" Target="https://osu.ppy.sh/beatmapsets/1519388" TargetMode="External"/><Relationship Id="rId1581" Type="http://schemas.openxmlformats.org/officeDocument/2006/relationships/hyperlink" Target="https://assets.ppy.sh/beatmaps/1519388/covers/cover.jpg" TargetMode="External"/><Relationship Id="rId1582" Type="http://schemas.openxmlformats.org/officeDocument/2006/relationships/hyperlink" Target="https://b.ppy.sh/thumb/1519388l.jpg" TargetMode="External"/><Relationship Id="rId510" Type="http://schemas.openxmlformats.org/officeDocument/2006/relationships/hyperlink" Target="https://b.ppy.sh/thumb/824959l.jpg" TargetMode="External"/><Relationship Id="rId994" Type="http://schemas.openxmlformats.org/officeDocument/2006/relationships/hyperlink" Target="https://b.ppy.sh/thumb/156235l.jpg" TargetMode="External"/><Relationship Id="rId1583" Type="http://schemas.openxmlformats.org/officeDocument/2006/relationships/hyperlink" Target="https://osu.ppy.sh/beatmapsets/1519388" TargetMode="External"/><Relationship Id="rId993" Type="http://schemas.openxmlformats.org/officeDocument/2006/relationships/hyperlink" Target="https://assets.ppy.sh/beatmaps/156235/covers/cover.jpg" TargetMode="External"/><Relationship Id="rId1100" Type="http://schemas.openxmlformats.org/officeDocument/2006/relationships/hyperlink" Target="https://osu.ppy.sh/beatmapsets/1436167" TargetMode="External"/><Relationship Id="rId1584" Type="http://schemas.openxmlformats.org/officeDocument/2006/relationships/hyperlink" Target="https://osu.ppy.sh/beatmapsets/1519388" TargetMode="External"/><Relationship Id="rId992" Type="http://schemas.openxmlformats.org/officeDocument/2006/relationships/hyperlink" Target="https://osu.ppy.sh/beatmapsets/156235" TargetMode="External"/><Relationship Id="rId1101" Type="http://schemas.openxmlformats.org/officeDocument/2006/relationships/hyperlink" Target="https://assets.ppy.sh/beatmaps/1436167/covers/cover.jpg" TargetMode="External"/><Relationship Id="rId1585" Type="http://schemas.openxmlformats.org/officeDocument/2006/relationships/hyperlink" Target="https://assets.ppy.sh/beatmaps/1519388/covers/cover.jpg" TargetMode="External"/><Relationship Id="rId991" Type="http://schemas.openxmlformats.org/officeDocument/2006/relationships/hyperlink" Target="https://osu.ppy.sh/beatmapsets/1659194" TargetMode="External"/><Relationship Id="rId1102" Type="http://schemas.openxmlformats.org/officeDocument/2006/relationships/hyperlink" Target="https://b.ppy.sh/thumb/1436167l.jpg" TargetMode="External"/><Relationship Id="rId1586" Type="http://schemas.openxmlformats.org/officeDocument/2006/relationships/hyperlink" Target="https://b.ppy.sh/thumb/1519388l.jpg" TargetMode="External"/><Relationship Id="rId1532" Type="http://schemas.openxmlformats.org/officeDocument/2006/relationships/hyperlink" Target="https://osu.ppy.sh/beatmapsets/1152554" TargetMode="External"/><Relationship Id="rId1533" Type="http://schemas.openxmlformats.org/officeDocument/2006/relationships/hyperlink" Target="https://assets.ppy.sh/beatmaps/1152554/covers/cover.jpg" TargetMode="External"/><Relationship Id="rId1534" Type="http://schemas.openxmlformats.org/officeDocument/2006/relationships/hyperlink" Target="https://b.ppy.sh/thumb/1152554l.jpg" TargetMode="External"/><Relationship Id="rId1535" Type="http://schemas.openxmlformats.org/officeDocument/2006/relationships/hyperlink" Target="https://osu.ppy.sh/beatmapsets/1152554" TargetMode="External"/><Relationship Id="rId1536" Type="http://schemas.openxmlformats.org/officeDocument/2006/relationships/hyperlink" Target="https://osu.ppy.sh/beatmapsets/819349" TargetMode="External"/><Relationship Id="rId1537" Type="http://schemas.openxmlformats.org/officeDocument/2006/relationships/hyperlink" Target="https://assets.ppy.sh/beatmaps/819349/covers/cover.jpg" TargetMode="External"/><Relationship Id="rId1538" Type="http://schemas.openxmlformats.org/officeDocument/2006/relationships/hyperlink" Target="https://b.ppy.sh/thumb/819349l.jpg" TargetMode="External"/><Relationship Id="rId1539" Type="http://schemas.openxmlformats.org/officeDocument/2006/relationships/hyperlink" Target="https://osu.ppy.sh/beatmapsets/819349" TargetMode="External"/><Relationship Id="rId949" Type="http://schemas.openxmlformats.org/officeDocument/2006/relationships/hyperlink" Target="https://assets.ppy.sh/beatmaps/1682134/covers/cover.jpg" TargetMode="External"/><Relationship Id="rId948" Type="http://schemas.openxmlformats.org/officeDocument/2006/relationships/hyperlink" Target="https://osu.ppy.sh/beatmapsets/1682134" TargetMode="External"/><Relationship Id="rId943" Type="http://schemas.openxmlformats.org/officeDocument/2006/relationships/hyperlink" Target="https://osu.ppy.sh/beatmapsets/20817" TargetMode="External"/><Relationship Id="rId942" Type="http://schemas.openxmlformats.org/officeDocument/2006/relationships/hyperlink" Target="https://b.ppy.sh/thumb/20817l.jpg" TargetMode="External"/><Relationship Id="rId941" Type="http://schemas.openxmlformats.org/officeDocument/2006/relationships/hyperlink" Target="https://assets.ppy.sh/beatmaps/20817/covers/cover.jpg" TargetMode="External"/><Relationship Id="rId940" Type="http://schemas.openxmlformats.org/officeDocument/2006/relationships/hyperlink" Target="https://osu.ppy.sh/beatmapsets/20817" TargetMode="External"/><Relationship Id="rId947" Type="http://schemas.openxmlformats.org/officeDocument/2006/relationships/hyperlink" Target="https://osu.ppy.sh/beatmapsets/20817" TargetMode="External"/><Relationship Id="rId946" Type="http://schemas.openxmlformats.org/officeDocument/2006/relationships/hyperlink" Target="https://b.ppy.sh/thumb/20817l.jpg" TargetMode="External"/><Relationship Id="rId945" Type="http://schemas.openxmlformats.org/officeDocument/2006/relationships/hyperlink" Target="https://assets.ppy.sh/beatmaps/20817/covers/cover.jpg" TargetMode="External"/><Relationship Id="rId944" Type="http://schemas.openxmlformats.org/officeDocument/2006/relationships/hyperlink" Target="https://osu.ppy.sh/beatmapsets/20817" TargetMode="External"/><Relationship Id="rId1530" Type="http://schemas.openxmlformats.org/officeDocument/2006/relationships/hyperlink" Target="https://b.ppy.sh/thumb/1809661l.jpg" TargetMode="External"/><Relationship Id="rId1531" Type="http://schemas.openxmlformats.org/officeDocument/2006/relationships/hyperlink" Target="https://osu.ppy.sh/beatmapsets/1809661" TargetMode="External"/><Relationship Id="rId1521" Type="http://schemas.openxmlformats.org/officeDocument/2006/relationships/hyperlink" Target="https://assets.ppy.sh/beatmaps/769346/covers/cover.jpg" TargetMode="External"/><Relationship Id="rId1522" Type="http://schemas.openxmlformats.org/officeDocument/2006/relationships/hyperlink" Target="https://b.ppy.sh/thumb/769346l.jpg" TargetMode="External"/><Relationship Id="rId1523" Type="http://schemas.openxmlformats.org/officeDocument/2006/relationships/hyperlink" Target="https://osu.ppy.sh/beatmapsets/769346" TargetMode="External"/><Relationship Id="rId1524" Type="http://schemas.openxmlformats.org/officeDocument/2006/relationships/hyperlink" Target="https://osu.ppy.sh/beatmapsets/1809661" TargetMode="External"/><Relationship Id="rId1525" Type="http://schemas.openxmlformats.org/officeDocument/2006/relationships/hyperlink" Target="https://assets.ppy.sh/beatmaps/1809661/covers/cover.jpg" TargetMode="External"/><Relationship Id="rId1526" Type="http://schemas.openxmlformats.org/officeDocument/2006/relationships/hyperlink" Target="https://b.ppy.sh/thumb/1809661l.jpg" TargetMode="External"/><Relationship Id="rId1527" Type="http://schemas.openxmlformats.org/officeDocument/2006/relationships/hyperlink" Target="https://osu.ppy.sh/beatmapsets/1809661" TargetMode="External"/><Relationship Id="rId1528" Type="http://schemas.openxmlformats.org/officeDocument/2006/relationships/hyperlink" Target="https://osu.ppy.sh/beatmapsets/1809661" TargetMode="External"/><Relationship Id="rId1529" Type="http://schemas.openxmlformats.org/officeDocument/2006/relationships/hyperlink" Target="https://assets.ppy.sh/beatmaps/1809661/covers/cover.jpg" TargetMode="External"/><Relationship Id="rId939" Type="http://schemas.openxmlformats.org/officeDocument/2006/relationships/hyperlink" Target="https://osu.ppy.sh/beatmapsets/1181343" TargetMode="External"/><Relationship Id="rId938" Type="http://schemas.openxmlformats.org/officeDocument/2006/relationships/hyperlink" Target="https://b.ppy.sh/thumb/1181343l.jpg" TargetMode="External"/><Relationship Id="rId937" Type="http://schemas.openxmlformats.org/officeDocument/2006/relationships/hyperlink" Target="https://assets.ppy.sh/beatmaps/1181343/covers/cover.jpg" TargetMode="External"/><Relationship Id="rId932" Type="http://schemas.openxmlformats.org/officeDocument/2006/relationships/hyperlink" Target="https://osu.ppy.sh/beatmapsets/1181343" TargetMode="External"/><Relationship Id="rId931" Type="http://schemas.openxmlformats.org/officeDocument/2006/relationships/hyperlink" Target="https://osu.ppy.sh/beatmapsets/1415788" TargetMode="External"/><Relationship Id="rId930" Type="http://schemas.openxmlformats.org/officeDocument/2006/relationships/hyperlink" Target="https://b.ppy.sh/thumb/1415788l.jpg" TargetMode="External"/><Relationship Id="rId936" Type="http://schemas.openxmlformats.org/officeDocument/2006/relationships/hyperlink" Target="https://osu.ppy.sh/beatmapsets/1181343" TargetMode="External"/><Relationship Id="rId935" Type="http://schemas.openxmlformats.org/officeDocument/2006/relationships/hyperlink" Target="https://osu.ppy.sh/beatmapsets/1181343" TargetMode="External"/><Relationship Id="rId934" Type="http://schemas.openxmlformats.org/officeDocument/2006/relationships/hyperlink" Target="https://b.ppy.sh/thumb/1181343l.jpg" TargetMode="External"/><Relationship Id="rId933" Type="http://schemas.openxmlformats.org/officeDocument/2006/relationships/hyperlink" Target="https://assets.ppy.sh/beatmaps/1181343/covers/cover.jpg" TargetMode="External"/><Relationship Id="rId1520" Type="http://schemas.openxmlformats.org/officeDocument/2006/relationships/hyperlink" Target="https://osu.ppy.sh/beatmapsets/769346" TargetMode="External"/><Relationship Id="rId1554" Type="http://schemas.openxmlformats.org/officeDocument/2006/relationships/hyperlink" Target="https://b.ppy.sh/thumb/87188l.jpg" TargetMode="External"/><Relationship Id="rId1555" Type="http://schemas.openxmlformats.org/officeDocument/2006/relationships/hyperlink" Target="https://osu.ppy.sh/beatmapsets/87188" TargetMode="External"/><Relationship Id="rId1556" Type="http://schemas.openxmlformats.org/officeDocument/2006/relationships/hyperlink" Target="https://osu.ppy.sh/beatmapsets/87188" TargetMode="External"/><Relationship Id="rId1557" Type="http://schemas.openxmlformats.org/officeDocument/2006/relationships/hyperlink" Target="https://assets.ppy.sh/beatmaps/87188/covers/cover.jpg" TargetMode="External"/><Relationship Id="rId1558" Type="http://schemas.openxmlformats.org/officeDocument/2006/relationships/hyperlink" Target="https://b.ppy.sh/thumb/87188l.jpg" TargetMode="External"/><Relationship Id="rId1559" Type="http://schemas.openxmlformats.org/officeDocument/2006/relationships/hyperlink" Target="https://osu.ppy.sh/beatmapsets/87188" TargetMode="External"/><Relationship Id="rId965" Type="http://schemas.openxmlformats.org/officeDocument/2006/relationships/hyperlink" Target="https://assets.ppy.sh/beatmaps/1574603/covers/cover.jpg" TargetMode="External"/><Relationship Id="rId964" Type="http://schemas.openxmlformats.org/officeDocument/2006/relationships/hyperlink" Target="https://osu.ppy.sh/beatmapsets/1574603" TargetMode="External"/><Relationship Id="rId963" Type="http://schemas.openxmlformats.org/officeDocument/2006/relationships/hyperlink" Target="https://osu.ppy.sh/beatmapsets/1574603" TargetMode="External"/><Relationship Id="rId962" Type="http://schemas.openxmlformats.org/officeDocument/2006/relationships/hyperlink" Target="https://b.ppy.sh/thumb/1574603l.jpg" TargetMode="External"/><Relationship Id="rId969" Type="http://schemas.openxmlformats.org/officeDocument/2006/relationships/hyperlink" Target="https://assets.ppy.sh/beatmaps/1616029/covers/cover.jpg" TargetMode="External"/><Relationship Id="rId968" Type="http://schemas.openxmlformats.org/officeDocument/2006/relationships/hyperlink" Target="https://osu.ppy.sh/beatmapsets/1616029" TargetMode="External"/><Relationship Id="rId967" Type="http://schemas.openxmlformats.org/officeDocument/2006/relationships/hyperlink" Target="https://osu.ppy.sh/beatmapsets/1574603" TargetMode="External"/><Relationship Id="rId966" Type="http://schemas.openxmlformats.org/officeDocument/2006/relationships/hyperlink" Target="https://b.ppy.sh/thumb/1574603l.jpg" TargetMode="External"/><Relationship Id="rId961" Type="http://schemas.openxmlformats.org/officeDocument/2006/relationships/hyperlink" Target="https://assets.ppy.sh/beatmaps/1574603/covers/cover.jpg" TargetMode="External"/><Relationship Id="rId1550" Type="http://schemas.openxmlformats.org/officeDocument/2006/relationships/hyperlink" Target="https://b.ppy.sh/thumb/1665981l.jpg" TargetMode="External"/><Relationship Id="rId960" Type="http://schemas.openxmlformats.org/officeDocument/2006/relationships/hyperlink" Target="https://osu.ppy.sh/beatmapsets/1574603" TargetMode="External"/><Relationship Id="rId1551" Type="http://schemas.openxmlformats.org/officeDocument/2006/relationships/hyperlink" Target="https://osu.ppy.sh/beatmapsets/1665981" TargetMode="External"/><Relationship Id="rId1552" Type="http://schemas.openxmlformats.org/officeDocument/2006/relationships/hyperlink" Target="https://osu.ppy.sh/beatmapsets/87188" TargetMode="External"/><Relationship Id="rId1553" Type="http://schemas.openxmlformats.org/officeDocument/2006/relationships/hyperlink" Target="https://assets.ppy.sh/beatmaps/87188/covers/cover.jpg" TargetMode="External"/><Relationship Id="rId1543" Type="http://schemas.openxmlformats.org/officeDocument/2006/relationships/hyperlink" Target="https://osu.ppy.sh/beatmapsets/1066757" TargetMode="External"/><Relationship Id="rId1544" Type="http://schemas.openxmlformats.org/officeDocument/2006/relationships/hyperlink" Target="https://osu.ppy.sh/beatmapsets/1665981" TargetMode="External"/><Relationship Id="rId1545" Type="http://schemas.openxmlformats.org/officeDocument/2006/relationships/hyperlink" Target="https://assets.ppy.sh/beatmaps/1665981/covers/cover.jpg" TargetMode="External"/><Relationship Id="rId1546" Type="http://schemas.openxmlformats.org/officeDocument/2006/relationships/hyperlink" Target="https://b.ppy.sh/thumb/1665981l.jpg" TargetMode="External"/><Relationship Id="rId1547" Type="http://schemas.openxmlformats.org/officeDocument/2006/relationships/hyperlink" Target="https://osu.ppy.sh/beatmapsets/1665981" TargetMode="External"/><Relationship Id="rId1548" Type="http://schemas.openxmlformats.org/officeDocument/2006/relationships/hyperlink" Target="https://osu.ppy.sh/beatmapsets/1665981" TargetMode="External"/><Relationship Id="rId1549" Type="http://schemas.openxmlformats.org/officeDocument/2006/relationships/hyperlink" Target="https://assets.ppy.sh/beatmaps/1665981/covers/cover.jpg" TargetMode="External"/><Relationship Id="rId959" Type="http://schemas.openxmlformats.org/officeDocument/2006/relationships/hyperlink" Target="https://osu.ppy.sh/beatmapsets/699749" TargetMode="External"/><Relationship Id="rId954" Type="http://schemas.openxmlformats.org/officeDocument/2006/relationships/hyperlink" Target="https://b.ppy.sh/thumb/1682134l.jpg" TargetMode="External"/><Relationship Id="rId953" Type="http://schemas.openxmlformats.org/officeDocument/2006/relationships/hyperlink" Target="https://assets.ppy.sh/beatmaps/1682134/covers/cover.jpg" TargetMode="External"/><Relationship Id="rId952" Type="http://schemas.openxmlformats.org/officeDocument/2006/relationships/hyperlink" Target="https://osu.ppy.sh/beatmapsets/1682134" TargetMode="External"/><Relationship Id="rId951" Type="http://schemas.openxmlformats.org/officeDocument/2006/relationships/hyperlink" Target="https://osu.ppy.sh/beatmapsets/1682134" TargetMode="External"/><Relationship Id="rId958" Type="http://schemas.openxmlformats.org/officeDocument/2006/relationships/hyperlink" Target="https://b.ppy.sh/thumb/699749l.jpg" TargetMode="External"/><Relationship Id="rId957" Type="http://schemas.openxmlformats.org/officeDocument/2006/relationships/hyperlink" Target="https://assets.ppy.sh/beatmaps/699749/covers/cover.jpg" TargetMode="External"/><Relationship Id="rId956" Type="http://schemas.openxmlformats.org/officeDocument/2006/relationships/hyperlink" Target="https://osu.ppy.sh/beatmapsets/699749" TargetMode="External"/><Relationship Id="rId955" Type="http://schemas.openxmlformats.org/officeDocument/2006/relationships/hyperlink" Target="https://osu.ppy.sh/beatmapsets/1682134" TargetMode="External"/><Relationship Id="rId950" Type="http://schemas.openxmlformats.org/officeDocument/2006/relationships/hyperlink" Target="https://b.ppy.sh/thumb/1682134l.jpg" TargetMode="External"/><Relationship Id="rId1540" Type="http://schemas.openxmlformats.org/officeDocument/2006/relationships/hyperlink" Target="https://osu.ppy.sh/beatmapsets/1066757" TargetMode="External"/><Relationship Id="rId1541" Type="http://schemas.openxmlformats.org/officeDocument/2006/relationships/hyperlink" Target="https://assets.ppy.sh/beatmaps/1066757/covers/cover.jpg" TargetMode="External"/><Relationship Id="rId1542" Type="http://schemas.openxmlformats.org/officeDocument/2006/relationships/hyperlink" Target="https://b.ppy.sh/thumb/1066757l.jpg" TargetMode="External"/><Relationship Id="rId590" Type="http://schemas.openxmlformats.org/officeDocument/2006/relationships/hyperlink" Target="https://b.ppy.sh/thumb/996628l.jpg" TargetMode="External"/><Relationship Id="rId107" Type="http://schemas.openxmlformats.org/officeDocument/2006/relationships/hyperlink" Target="https://osu.ppy.sh/beatmapsets/1724615" TargetMode="External"/><Relationship Id="rId106" Type="http://schemas.openxmlformats.org/officeDocument/2006/relationships/hyperlink" Target="https://b.ppy.sh/thumb/1724615l.jpg" TargetMode="External"/><Relationship Id="rId105" Type="http://schemas.openxmlformats.org/officeDocument/2006/relationships/hyperlink" Target="https://assets.ppy.sh/beatmaps/1724615/covers/cover.jpg" TargetMode="External"/><Relationship Id="rId589" Type="http://schemas.openxmlformats.org/officeDocument/2006/relationships/hyperlink" Target="https://assets.ppy.sh/beatmaps/996628/covers/cover.jpg" TargetMode="External"/><Relationship Id="rId104" Type="http://schemas.openxmlformats.org/officeDocument/2006/relationships/hyperlink" Target="https://osu.ppy.sh/beatmapsets/1724615" TargetMode="External"/><Relationship Id="rId588" Type="http://schemas.openxmlformats.org/officeDocument/2006/relationships/hyperlink" Target="https://osu.ppy.sh/beatmapsets/996628" TargetMode="External"/><Relationship Id="rId109" Type="http://schemas.openxmlformats.org/officeDocument/2006/relationships/hyperlink" Target="https://assets.ppy.sh/beatmaps/998415/covers/cover.jpg" TargetMode="External"/><Relationship Id="rId1170" Type="http://schemas.openxmlformats.org/officeDocument/2006/relationships/hyperlink" Target="https://b.ppy.sh/thumb/663220l.jpg" TargetMode="External"/><Relationship Id="rId108" Type="http://schemas.openxmlformats.org/officeDocument/2006/relationships/hyperlink" Target="https://osu.ppy.sh/beatmapsets/998415" TargetMode="External"/><Relationship Id="rId1171" Type="http://schemas.openxmlformats.org/officeDocument/2006/relationships/hyperlink" Target="https://osu.ppy.sh/beatmapsets/663220" TargetMode="External"/><Relationship Id="rId583" Type="http://schemas.openxmlformats.org/officeDocument/2006/relationships/hyperlink" Target="https://osu.ppy.sh/beatmapsets/1632817" TargetMode="External"/><Relationship Id="rId1172" Type="http://schemas.openxmlformats.org/officeDocument/2006/relationships/hyperlink" Target="https://osu.ppy.sh/beatmapsets/1391326" TargetMode="External"/><Relationship Id="rId582" Type="http://schemas.openxmlformats.org/officeDocument/2006/relationships/hyperlink" Target="https://b.ppy.sh/thumb/1632817l.jpg" TargetMode="External"/><Relationship Id="rId1173" Type="http://schemas.openxmlformats.org/officeDocument/2006/relationships/hyperlink" Target="https://assets.ppy.sh/beatmaps/1391326/covers/cover.jpg" TargetMode="External"/><Relationship Id="rId581" Type="http://schemas.openxmlformats.org/officeDocument/2006/relationships/hyperlink" Target="https://assets.ppy.sh/beatmaps/1632817/covers/cover.jpg" TargetMode="External"/><Relationship Id="rId1174" Type="http://schemas.openxmlformats.org/officeDocument/2006/relationships/hyperlink" Target="https://b.ppy.sh/thumb/1391326l.jpg" TargetMode="External"/><Relationship Id="rId580" Type="http://schemas.openxmlformats.org/officeDocument/2006/relationships/hyperlink" Target="https://osu.ppy.sh/beatmapsets/1632817" TargetMode="External"/><Relationship Id="rId1175" Type="http://schemas.openxmlformats.org/officeDocument/2006/relationships/hyperlink" Target="https://osu.ppy.sh/beatmapsets/1391326" TargetMode="External"/><Relationship Id="rId103" Type="http://schemas.openxmlformats.org/officeDocument/2006/relationships/hyperlink" Target="https://osu.ppy.sh/beatmapsets/357800" TargetMode="External"/><Relationship Id="rId587" Type="http://schemas.openxmlformats.org/officeDocument/2006/relationships/hyperlink" Target="https://osu.ppy.sh/beatmapsets/1632817" TargetMode="External"/><Relationship Id="rId1176" Type="http://schemas.openxmlformats.org/officeDocument/2006/relationships/hyperlink" Target="https://osu.ppy.sh/beatmapsets/1391326" TargetMode="External"/><Relationship Id="rId102" Type="http://schemas.openxmlformats.org/officeDocument/2006/relationships/hyperlink" Target="https://b.ppy.sh/thumb/357800l.jpg" TargetMode="External"/><Relationship Id="rId586" Type="http://schemas.openxmlformats.org/officeDocument/2006/relationships/hyperlink" Target="https://b.ppy.sh/thumb/1632817l.jpg" TargetMode="External"/><Relationship Id="rId1177" Type="http://schemas.openxmlformats.org/officeDocument/2006/relationships/hyperlink" Target="https://assets.ppy.sh/beatmaps/1391326/covers/cover.jpg" TargetMode="External"/><Relationship Id="rId101" Type="http://schemas.openxmlformats.org/officeDocument/2006/relationships/hyperlink" Target="https://assets.ppy.sh/beatmaps/357800/covers/cover.jpg" TargetMode="External"/><Relationship Id="rId585" Type="http://schemas.openxmlformats.org/officeDocument/2006/relationships/hyperlink" Target="https://assets.ppy.sh/beatmaps/1632817/covers/cover.jpg" TargetMode="External"/><Relationship Id="rId1178" Type="http://schemas.openxmlformats.org/officeDocument/2006/relationships/hyperlink" Target="https://b.ppy.sh/thumb/1391326l.jpg" TargetMode="External"/><Relationship Id="rId100" Type="http://schemas.openxmlformats.org/officeDocument/2006/relationships/hyperlink" Target="https://osu.ppy.sh/beatmapsets/357800" TargetMode="External"/><Relationship Id="rId584" Type="http://schemas.openxmlformats.org/officeDocument/2006/relationships/hyperlink" Target="https://osu.ppy.sh/beatmapsets/1632817" TargetMode="External"/><Relationship Id="rId1179" Type="http://schemas.openxmlformats.org/officeDocument/2006/relationships/hyperlink" Target="https://osu.ppy.sh/beatmapsets/1391326" TargetMode="External"/><Relationship Id="rId1169" Type="http://schemas.openxmlformats.org/officeDocument/2006/relationships/hyperlink" Target="https://assets.ppy.sh/beatmaps/663220/covers/cover.jpg" TargetMode="External"/><Relationship Id="rId579" Type="http://schemas.openxmlformats.org/officeDocument/2006/relationships/hyperlink" Target="https://osu.ppy.sh/beatmapsets/1488532" TargetMode="External"/><Relationship Id="rId578" Type="http://schemas.openxmlformats.org/officeDocument/2006/relationships/hyperlink" Target="https://b.ppy.sh/thumb/1488532l.jpg" TargetMode="External"/><Relationship Id="rId577" Type="http://schemas.openxmlformats.org/officeDocument/2006/relationships/hyperlink" Target="https://assets.ppy.sh/beatmaps/1488532/covers/cover.jpg" TargetMode="External"/><Relationship Id="rId1160" Type="http://schemas.openxmlformats.org/officeDocument/2006/relationships/hyperlink" Target="https://osu.ppy.sh/beatmapsets/1848926" TargetMode="External"/><Relationship Id="rId572" Type="http://schemas.openxmlformats.org/officeDocument/2006/relationships/hyperlink" Target="https://osu.ppy.sh/beatmapsets/1488532" TargetMode="External"/><Relationship Id="rId1161" Type="http://schemas.openxmlformats.org/officeDocument/2006/relationships/hyperlink" Target="https://assets.ppy.sh/beatmaps/1848926/covers/cover.jpg" TargetMode="External"/><Relationship Id="rId571" Type="http://schemas.openxmlformats.org/officeDocument/2006/relationships/hyperlink" Target="https://osu.ppy.sh/beatmapsets/1693295" TargetMode="External"/><Relationship Id="rId1162" Type="http://schemas.openxmlformats.org/officeDocument/2006/relationships/hyperlink" Target="https://b.ppy.sh/thumb/1848926l.jpg" TargetMode="External"/><Relationship Id="rId570" Type="http://schemas.openxmlformats.org/officeDocument/2006/relationships/hyperlink" Target="https://b.ppy.sh/thumb/1693295l.jpg" TargetMode="External"/><Relationship Id="rId1163" Type="http://schemas.openxmlformats.org/officeDocument/2006/relationships/hyperlink" Target="https://osu.ppy.sh/beatmapsets/1848926" TargetMode="External"/><Relationship Id="rId1164" Type="http://schemas.openxmlformats.org/officeDocument/2006/relationships/hyperlink" Target="https://osu.ppy.sh/beatmapsets/1272023" TargetMode="External"/><Relationship Id="rId576" Type="http://schemas.openxmlformats.org/officeDocument/2006/relationships/hyperlink" Target="https://osu.ppy.sh/beatmapsets/1488532" TargetMode="External"/><Relationship Id="rId1165" Type="http://schemas.openxmlformats.org/officeDocument/2006/relationships/hyperlink" Target="https://assets.ppy.sh/beatmaps/1272023/covers/cover.jpg" TargetMode="External"/><Relationship Id="rId575" Type="http://schemas.openxmlformats.org/officeDocument/2006/relationships/hyperlink" Target="https://osu.ppy.sh/beatmapsets/1488532" TargetMode="External"/><Relationship Id="rId1166" Type="http://schemas.openxmlformats.org/officeDocument/2006/relationships/hyperlink" Target="https://b.ppy.sh/thumb/1272023l.jpg" TargetMode="External"/><Relationship Id="rId574" Type="http://schemas.openxmlformats.org/officeDocument/2006/relationships/hyperlink" Target="https://b.ppy.sh/thumb/1488532l.jpg" TargetMode="External"/><Relationship Id="rId1167" Type="http://schemas.openxmlformats.org/officeDocument/2006/relationships/hyperlink" Target="https://osu.ppy.sh/beatmapsets/1272023" TargetMode="External"/><Relationship Id="rId573" Type="http://schemas.openxmlformats.org/officeDocument/2006/relationships/hyperlink" Target="https://assets.ppy.sh/beatmaps/1488532/covers/cover.jpg" TargetMode="External"/><Relationship Id="rId1168" Type="http://schemas.openxmlformats.org/officeDocument/2006/relationships/hyperlink" Target="https://osu.ppy.sh/beatmapsets/663220" TargetMode="External"/><Relationship Id="rId129" Type="http://schemas.openxmlformats.org/officeDocument/2006/relationships/hyperlink" Target="https://assets.ppy.sh/beatmaps/1919942/covers/cover.jpg" TargetMode="External"/><Relationship Id="rId128" Type="http://schemas.openxmlformats.org/officeDocument/2006/relationships/hyperlink" Target="https://osu.ppy.sh/beatmapsets/1919942" TargetMode="External"/><Relationship Id="rId127" Type="http://schemas.openxmlformats.org/officeDocument/2006/relationships/hyperlink" Target="https://osu.ppy.sh/beatmapsets/1478828" TargetMode="External"/><Relationship Id="rId126" Type="http://schemas.openxmlformats.org/officeDocument/2006/relationships/hyperlink" Target="https://b.ppy.sh/thumb/1478828l.jpg" TargetMode="External"/><Relationship Id="rId1190" Type="http://schemas.openxmlformats.org/officeDocument/2006/relationships/hyperlink" Target="https://b.ppy.sh/thumb/8923l.jpg" TargetMode="External"/><Relationship Id="rId1191" Type="http://schemas.openxmlformats.org/officeDocument/2006/relationships/hyperlink" Target="https://osu.ppy.sh/beatmapsets/8923" TargetMode="External"/><Relationship Id="rId1192" Type="http://schemas.openxmlformats.org/officeDocument/2006/relationships/hyperlink" Target="https://osu.ppy.sh/beatmapsets/8923" TargetMode="External"/><Relationship Id="rId1193" Type="http://schemas.openxmlformats.org/officeDocument/2006/relationships/hyperlink" Target="https://assets.ppy.sh/beatmaps/8923/covers/cover.jpg" TargetMode="External"/><Relationship Id="rId121" Type="http://schemas.openxmlformats.org/officeDocument/2006/relationships/hyperlink" Target="https://assets.ppy.sh/beatmaps/1478828/covers/cover.jpg" TargetMode="External"/><Relationship Id="rId1194" Type="http://schemas.openxmlformats.org/officeDocument/2006/relationships/hyperlink" Target="https://b.ppy.sh/thumb/8923l.jpg" TargetMode="External"/><Relationship Id="rId120" Type="http://schemas.openxmlformats.org/officeDocument/2006/relationships/hyperlink" Target="https://osu.ppy.sh/beatmapsets/1478828" TargetMode="External"/><Relationship Id="rId1195" Type="http://schemas.openxmlformats.org/officeDocument/2006/relationships/hyperlink" Target="https://osu.ppy.sh/beatmapsets/8923" TargetMode="External"/><Relationship Id="rId1196" Type="http://schemas.openxmlformats.org/officeDocument/2006/relationships/hyperlink" Target="https://osu.ppy.sh/beatmapsets/1109683" TargetMode="External"/><Relationship Id="rId1197" Type="http://schemas.openxmlformats.org/officeDocument/2006/relationships/hyperlink" Target="https://assets.ppy.sh/beatmaps/1109683/covers/cover.jpg" TargetMode="External"/><Relationship Id="rId125" Type="http://schemas.openxmlformats.org/officeDocument/2006/relationships/hyperlink" Target="https://assets.ppy.sh/beatmaps/1478828/covers/cover.jpg" TargetMode="External"/><Relationship Id="rId1198" Type="http://schemas.openxmlformats.org/officeDocument/2006/relationships/hyperlink" Target="https://b.ppy.sh/thumb/1109683l.jpg" TargetMode="External"/><Relationship Id="rId124" Type="http://schemas.openxmlformats.org/officeDocument/2006/relationships/hyperlink" Target="https://osu.ppy.sh/beatmapsets/1478828" TargetMode="External"/><Relationship Id="rId1199" Type="http://schemas.openxmlformats.org/officeDocument/2006/relationships/hyperlink" Target="https://osu.ppy.sh/beatmapsets/1109683" TargetMode="External"/><Relationship Id="rId123" Type="http://schemas.openxmlformats.org/officeDocument/2006/relationships/hyperlink" Target="https://osu.ppy.sh/beatmapsets/1478828" TargetMode="External"/><Relationship Id="rId122" Type="http://schemas.openxmlformats.org/officeDocument/2006/relationships/hyperlink" Target="https://b.ppy.sh/thumb/1478828l.jpg" TargetMode="External"/><Relationship Id="rId118" Type="http://schemas.openxmlformats.org/officeDocument/2006/relationships/hyperlink" Target="https://b.ppy.sh/thumb/1478828l.jpg" TargetMode="External"/><Relationship Id="rId117" Type="http://schemas.openxmlformats.org/officeDocument/2006/relationships/hyperlink" Target="https://assets.ppy.sh/beatmaps/1478828/covers/cover.jpg" TargetMode="External"/><Relationship Id="rId116" Type="http://schemas.openxmlformats.org/officeDocument/2006/relationships/hyperlink" Target="https://osu.ppy.sh/beatmapsets/1478828" TargetMode="External"/><Relationship Id="rId115" Type="http://schemas.openxmlformats.org/officeDocument/2006/relationships/hyperlink" Target="https://osu.ppy.sh/beatmapsets/998415" TargetMode="External"/><Relationship Id="rId599" Type="http://schemas.openxmlformats.org/officeDocument/2006/relationships/hyperlink" Target="https://osu.ppy.sh/beatmapsets/1494548" TargetMode="External"/><Relationship Id="rId1180" Type="http://schemas.openxmlformats.org/officeDocument/2006/relationships/hyperlink" Target="https://osu.ppy.sh/beatmapsets/20817" TargetMode="External"/><Relationship Id="rId1181" Type="http://schemas.openxmlformats.org/officeDocument/2006/relationships/hyperlink" Target="https://assets.ppy.sh/beatmaps/20817/covers/cover.jpg" TargetMode="External"/><Relationship Id="rId119" Type="http://schemas.openxmlformats.org/officeDocument/2006/relationships/hyperlink" Target="https://osu.ppy.sh/beatmapsets/1478828" TargetMode="External"/><Relationship Id="rId1182" Type="http://schemas.openxmlformats.org/officeDocument/2006/relationships/hyperlink" Target="https://b.ppy.sh/thumb/20817l.jpg" TargetMode="External"/><Relationship Id="rId110" Type="http://schemas.openxmlformats.org/officeDocument/2006/relationships/hyperlink" Target="https://b.ppy.sh/thumb/998415l.jpg" TargetMode="External"/><Relationship Id="rId594" Type="http://schemas.openxmlformats.org/officeDocument/2006/relationships/hyperlink" Target="https://b.ppy.sh/thumb/996628l.jpg" TargetMode="External"/><Relationship Id="rId1183" Type="http://schemas.openxmlformats.org/officeDocument/2006/relationships/hyperlink" Target="https://osu.ppy.sh/beatmapsets/20817" TargetMode="External"/><Relationship Id="rId593" Type="http://schemas.openxmlformats.org/officeDocument/2006/relationships/hyperlink" Target="https://assets.ppy.sh/beatmaps/996628/covers/cover.jpg" TargetMode="External"/><Relationship Id="rId1184" Type="http://schemas.openxmlformats.org/officeDocument/2006/relationships/hyperlink" Target="https://osu.ppy.sh/beatmapsets/20817" TargetMode="External"/><Relationship Id="rId592" Type="http://schemas.openxmlformats.org/officeDocument/2006/relationships/hyperlink" Target="https://osu.ppy.sh/beatmapsets/996628" TargetMode="External"/><Relationship Id="rId1185" Type="http://schemas.openxmlformats.org/officeDocument/2006/relationships/hyperlink" Target="https://assets.ppy.sh/beatmaps/20817/covers/cover.jpg" TargetMode="External"/><Relationship Id="rId591" Type="http://schemas.openxmlformats.org/officeDocument/2006/relationships/hyperlink" Target="https://osu.ppy.sh/beatmapsets/996628" TargetMode="External"/><Relationship Id="rId1186" Type="http://schemas.openxmlformats.org/officeDocument/2006/relationships/hyperlink" Target="https://b.ppy.sh/thumb/20817l.jpg" TargetMode="External"/><Relationship Id="rId114" Type="http://schemas.openxmlformats.org/officeDocument/2006/relationships/hyperlink" Target="https://b.ppy.sh/thumb/998415l.jpg" TargetMode="External"/><Relationship Id="rId598" Type="http://schemas.openxmlformats.org/officeDocument/2006/relationships/hyperlink" Target="https://b.ppy.sh/thumb/1494548l.jpg" TargetMode="External"/><Relationship Id="rId1187" Type="http://schemas.openxmlformats.org/officeDocument/2006/relationships/hyperlink" Target="https://osu.ppy.sh/beatmapsets/20817" TargetMode="External"/><Relationship Id="rId113" Type="http://schemas.openxmlformats.org/officeDocument/2006/relationships/hyperlink" Target="https://assets.ppy.sh/beatmaps/998415/covers/cover.jpg" TargetMode="External"/><Relationship Id="rId597" Type="http://schemas.openxmlformats.org/officeDocument/2006/relationships/hyperlink" Target="https://assets.ppy.sh/beatmaps/1494548/covers/cover.jpg" TargetMode="External"/><Relationship Id="rId1188" Type="http://schemas.openxmlformats.org/officeDocument/2006/relationships/hyperlink" Target="https://osu.ppy.sh/beatmapsets/8923" TargetMode="External"/><Relationship Id="rId112" Type="http://schemas.openxmlformats.org/officeDocument/2006/relationships/hyperlink" Target="https://osu.ppy.sh/beatmapsets/998415" TargetMode="External"/><Relationship Id="rId596" Type="http://schemas.openxmlformats.org/officeDocument/2006/relationships/hyperlink" Target="https://osu.ppy.sh/beatmapsets/1494548" TargetMode="External"/><Relationship Id="rId1189" Type="http://schemas.openxmlformats.org/officeDocument/2006/relationships/hyperlink" Target="https://assets.ppy.sh/beatmaps/8923/covers/cover.jpg" TargetMode="External"/><Relationship Id="rId111" Type="http://schemas.openxmlformats.org/officeDocument/2006/relationships/hyperlink" Target="https://osu.ppy.sh/beatmapsets/998415" TargetMode="External"/><Relationship Id="rId595" Type="http://schemas.openxmlformats.org/officeDocument/2006/relationships/hyperlink" Target="https://osu.ppy.sh/beatmapsets/996628" TargetMode="External"/><Relationship Id="rId1136" Type="http://schemas.openxmlformats.org/officeDocument/2006/relationships/hyperlink" Target="https://osu.ppy.sh/beatmapsets/295225" TargetMode="External"/><Relationship Id="rId1137" Type="http://schemas.openxmlformats.org/officeDocument/2006/relationships/hyperlink" Target="https://assets.ppy.sh/beatmaps/295225/covers/cover.jpg" TargetMode="External"/><Relationship Id="rId1138" Type="http://schemas.openxmlformats.org/officeDocument/2006/relationships/hyperlink" Target="https://b.ppy.sh/thumb/295225l.jpg" TargetMode="External"/><Relationship Id="rId1139" Type="http://schemas.openxmlformats.org/officeDocument/2006/relationships/hyperlink" Target="https://osu.ppy.sh/beatmapsets/295225" TargetMode="External"/><Relationship Id="rId547" Type="http://schemas.openxmlformats.org/officeDocument/2006/relationships/hyperlink" Target="https://osu.ppy.sh/beatmapsets/1807695" TargetMode="External"/><Relationship Id="rId546" Type="http://schemas.openxmlformats.org/officeDocument/2006/relationships/hyperlink" Target="https://b.ppy.sh/thumb/1807695l.jpg" TargetMode="External"/><Relationship Id="rId545" Type="http://schemas.openxmlformats.org/officeDocument/2006/relationships/hyperlink" Target="https://assets.ppy.sh/beatmaps/1807695/covers/cover.jpg" TargetMode="External"/><Relationship Id="rId544" Type="http://schemas.openxmlformats.org/officeDocument/2006/relationships/hyperlink" Target="https://osu.ppy.sh/beatmapsets/1807695" TargetMode="External"/><Relationship Id="rId549" Type="http://schemas.openxmlformats.org/officeDocument/2006/relationships/hyperlink" Target="https://assets.ppy.sh/beatmaps/1270156/covers/cover.jpg" TargetMode="External"/><Relationship Id="rId548" Type="http://schemas.openxmlformats.org/officeDocument/2006/relationships/hyperlink" Target="https://osu.ppy.sh/beatmapsets/1270156" TargetMode="External"/><Relationship Id="rId1130" Type="http://schemas.openxmlformats.org/officeDocument/2006/relationships/hyperlink" Target="https://b.ppy.sh/thumb/1283387l.jpg" TargetMode="External"/><Relationship Id="rId1131" Type="http://schemas.openxmlformats.org/officeDocument/2006/relationships/hyperlink" Target="https://osu.ppy.sh/beatmapsets/1283387" TargetMode="External"/><Relationship Id="rId543" Type="http://schemas.openxmlformats.org/officeDocument/2006/relationships/hyperlink" Target="https://osu.ppy.sh/beatmapsets/1807695" TargetMode="External"/><Relationship Id="rId1132" Type="http://schemas.openxmlformats.org/officeDocument/2006/relationships/hyperlink" Target="https://osu.ppy.sh/beatmapsets/1283387" TargetMode="External"/><Relationship Id="rId542" Type="http://schemas.openxmlformats.org/officeDocument/2006/relationships/hyperlink" Target="https://b.ppy.sh/thumb/1807695l.jpg" TargetMode="External"/><Relationship Id="rId1133" Type="http://schemas.openxmlformats.org/officeDocument/2006/relationships/hyperlink" Target="https://assets.ppy.sh/beatmaps/1283387/covers/cover.jpg" TargetMode="External"/><Relationship Id="rId541" Type="http://schemas.openxmlformats.org/officeDocument/2006/relationships/hyperlink" Target="https://assets.ppy.sh/beatmaps/1807695/covers/cover.jpg" TargetMode="External"/><Relationship Id="rId1134" Type="http://schemas.openxmlformats.org/officeDocument/2006/relationships/hyperlink" Target="https://b.ppy.sh/thumb/1283387l.jpg" TargetMode="External"/><Relationship Id="rId540" Type="http://schemas.openxmlformats.org/officeDocument/2006/relationships/hyperlink" Target="https://osu.ppy.sh/beatmapsets/1807695" TargetMode="External"/><Relationship Id="rId1135" Type="http://schemas.openxmlformats.org/officeDocument/2006/relationships/hyperlink" Target="https://osu.ppy.sh/beatmapsets/1283387" TargetMode="External"/><Relationship Id="rId1125" Type="http://schemas.openxmlformats.org/officeDocument/2006/relationships/hyperlink" Target="https://assets.ppy.sh/beatmaps/1557107/covers/cover.jpg" TargetMode="External"/><Relationship Id="rId1126" Type="http://schemas.openxmlformats.org/officeDocument/2006/relationships/hyperlink" Target="https://b.ppy.sh/thumb/1557107l.jpg" TargetMode="External"/><Relationship Id="rId1127" Type="http://schemas.openxmlformats.org/officeDocument/2006/relationships/hyperlink" Target="https://osu.ppy.sh/beatmapsets/1557107" TargetMode="External"/><Relationship Id="rId1128" Type="http://schemas.openxmlformats.org/officeDocument/2006/relationships/hyperlink" Target="https://osu.ppy.sh/beatmapsets/1283387" TargetMode="External"/><Relationship Id="rId1129" Type="http://schemas.openxmlformats.org/officeDocument/2006/relationships/hyperlink" Target="https://assets.ppy.sh/beatmaps/1283387/covers/cover.jpg" TargetMode="External"/><Relationship Id="rId536" Type="http://schemas.openxmlformats.org/officeDocument/2006/relationships/hyperlink" Target="https://osu.ppy.sh/beatmapsets/1046876" TargetMode="External"/><Relationship Id="rId535" Type="http://schemas.openxmlformats.org/officeDocument/2006/relationships/hyperlink" Target="https://osu.ppy.sh/beatmapsets/1046876" TargetMode="External"/><Relationship Id="rId534" Type="http://schemas.openxmlformats.org/officeDocument/2006/relationships/hyperlink" Target="https://b.ppy.sh/thumb/1046876l.jpg" TargetMode="External"/><Relationship Id="rId533" Type="http://schemas.openxmlformats.org/officeDocument/2006/relationships/hyperlink" Target="https://assets.ppy.sh/beatmaps/1046876/covers/cover.jpg" TargetMode="External"/><Relationship Id="rId539" Type="http://schemas.openxmlformats.org/officeDocument/2006/relationships/hyperlink" Target="https://osu.ppy.sh/beatmapsets/1046876" TargetMode="External"/><Relationship Id="rId538" Type="http://schemas.openxmlformats.org/officeDocument/2006/relationships/hyperlink" Target="https://b.ppy.sh/thumb/1046876l.jpg" TargetMode="External"/><Relationship Id="rId537" Type="http://schemas.openxmlformats.org/officeDocument/2006/relationships/hyperlink" Target="https://assets.ppy.sh/beatmaps/1046876/covers/cover.jpg" TargetMode="External"/><Relationship Id="rId1120" Type="http://schemas.openxmlformats.org/officeDocument/2006/relationships/hyperlink" Target="https://osu.ppy.sh/beatmapsets/1557107" TargetMode="External"/><Relationship Id="rId532" Type="http://schemas.openxmlformats.org/officeDocument/2006/relationships/hyperlink" Target="https://osu.ppy.sh/beatmapsets/1046876" TargetMode="External"/><Relationship Id="rId1121" Type="http://schemas.openxmlformats.org/officeDocument/2006/relationships/hyperlink" Target="https://assets.ppy.sh/beatmaps/1557107/covers/cover.jpg" TargetMode="External"/><Relationship Id="rId531" Type="http://schemas.openxmlformats.org/officeDocument/2006/relationships/hyperlink" Target="https://osu.ppy.sh/beatmapsets/841634" TargetMode="External"/><Relationship Id="rId1122" Type="http://schemas.openxmlformats.org/officeDocument/2006/relationships/hyperlink" Target="https://b.ppy.sh/thumb/1557107l.jpg" TargetMode="External"/><Relationship Id="rId530" Type="http://schemas.openxmlformats.org/officeDocument/2006/relationships/hyperlink" Target="https://b.ppy.sh/thumb/841634l.jpg" TargetMode="External"/><Relationship Id="rId1123" Type="http://schemas.openxmlformats.org/officeDocument/2006/relationships/hyperlink" Target="https://osu.ppy.sh/beatmapsets/1557107" TargetMode="External"/><Relationship Id="rId1124" Type="http://schemas.openxmlformats.org/officeDocument/2006/relationships/hyperlink" Target="https://osu.ppy.sh/beatmapsets/1557107" TargetMode="External"/><Relationship Id="rId1158" Type="http://schemas.openxmlformats.org/officeDocument/2006/relationships/hyperlink" Target="https://b.ppy.sh/thumb/1848926l.jpg" TargetMode="External"/><Relationship Id="rId1159" Type="http://schemas.openxmlformats.org/officeDocument/2006/relationships/hyperlink" Target="https://osu.ppy.sh/beatmapsets/1848926" TargetMode="External"/><Relationship Id="rId569" Type="http://schemas.openxmlformats.org/officeDocument/2006/relationships/hyperlink" Target="https://assets.ppy.sh/beatmaps/1693295/covers/cover.jpg" TargetMode="External"/><Relationship Id="rId568" Type="http://schemas.openxmlformats.org/officeDocument/2006/relationships/hyperlink" Target="https://osu.ppy.sh/beatmapsets/1693295" TargetMode="External"/><Relationship Id="rId567" Type="http://schemas.openxmlformats.org/officeDocument/2006/relationships/hyperlink" Target="https://osu.ppy.sh/beatmapsets/1693295" TargetMode="External"/><Relationship Id="rId566" Type="http://schemas.openxmlformats.org/officeDocument/2006/relationships/hyperlink" Target="https://b.ppy.sh/thumb/1693295l.jpg" TargetMode="External"/><Relationship Id="rId561" Type="http://schemas.openxmlformats.org/officeDocument/2006/relationships/hyperlink" Target="https://assets.ppy.sh/beatmaps/1203052/covers/cover.jpg" TargetMode="External"/><Relationship Id="rId1150" Type="http://schemas.openxmlformats.org/officeDocument/2006/relationships/hyperlink" Target="https://b.ppy.sh/thumb/755512l.jpg" TargetMode="External"/><Relationship Id="rId560" Type="http://schemas.openxmlformats.org/officeDocument/2006/relationships/hyperlink" Target="https://osu.ppy.sh/beatmapsets/1203052" TargetMode="External"/><Relationship Id="rId1151" Type="http://schemas.openxmlformats.org/officeDocument/2006/relationships/hyperlink" Target="https://osu.ppy.sh/beatmapsets/755512" TargetMode="External"/><Relationship Id="rId1152" Type="http://schemas.openxmlformats.org/officeDocument/2006/relationships/hyperlink" Target="https://osu.ppy.sh/beatmapsets/755512" TargetMode="External"/><Relationship Id="rId1153" Type="http://schemas.openxmlformats.org/officeDocument/2006/relationships/hyperlink" Target="https://assets.ppy.sh/beatmaps/755512/covers/cover.jpg" TargetMode="External"/><Relationship Id="rId565" Type="http://schemas.openxmlformats.org/officeDocument/2006/relationships/hyperlink" Target="https://assets.ppy.sh/beatmaps/1693295/covers/cover.jpg" TargetMode="External"/><Relationship Id="rId1154" Type="http://schemas.openxmlformats.org/officeDocument/2006/relationships/hyperlink" Target="https://b.ppy.sh/thumb/755512l.jpg" TargetMode="External"/><Relationship Id="rId564" Type="http://schemas.openxmlformats.org/officeDocument/2006/relationships/hyperlink" Target="https://osu.ppy.sh/beatmapsets/1693295" TargetMode="External"/><Relationship Id="rId1155" Type="http://schemas.openxmlformats.org/officeDocument/2006/relationships/hyperlink" Target="https://osu.ppy.sh/beatmapsets/755512" TargetMode="External"/><Relationship Id="rId563" Type="http://schemas.openxmlformats.org/officeDocument/2006/relationships/hyperlink" Target="https://osu.ppy.sh/beatmapsets/1203052" TargetMode="External"/><Relationship Id="rId1156" Type="http://schemas.openxmlformats.org/officeDocument/2006/relationships/hyperlink" Target="https://osu.ppy.sh/beatmapsets/1848926" TargetMode="External"/><Relationship Id="rId562" Type="http://schemas.openxmlformats.org/officeDocument/2006/relationships/hyperlink" Target="https://b.ppy.sh/thumb/1203052l.jpg" TargetMode="External"/><Relationship Id="rId1157" Type="http://schemas.openxmlformats.org/officeDocument/2006/relationships/hyperlink" Target="https://assets.ppy.sh/beatmaps/1848926/covers/cover.jpg" TargetMode="External"/><Relationship Id="rId1147" Type="http://schemas.openxmlformats.org/officeDocument/2006/relationships/hyperlink" Target="https://osu.ppy.sh/beatmapsets/853045" TargetMode="External"/><Relationship Id="rId1148" Type="http://schemas.openxmlformats.org/officeDocument/2006/relationships/hyperlink" Target="https://osu.ppy.sh/beatmapsets/755512" TargetMode="External"/><Relationship Id="rId1149" Type="http://schemas.openxmlformats.org/officeDocument/2006/relationships/hyperlink" Target="https://assets.ppy.sh/beatmaps/755512/covers/cover.jpg" TargetMode="External"/><Relationship Id="rId558" Type="http://schemas.openxmlformats.org/officeDocument/2006/relationships/hyperlink" Target="https://b.ppy.sh/thumb/1203052l.jpg" TargetMode="External"/><Relationship Id="rId557" Type="http://schemas.openxmlformats.org/officeDocument/2006/relationships/hyperlink" Target="https://assets.ppy.sh/beatmaps/1203052/covers/cover.jpg" TargetMode="External"/><Relationship Id="rId556" Type="http://schemas.openxmlformats.org/officeDocument/2006/relationships/hyperlink" Target="https://osu.ppy.sh/beatmapsets/1203052" TargetMode="External"/><Relationship Id="rId555" Type="http://schemas.openxmlformats.org/officeDocument/2006/relationships/hyperlink" Target="https://osu.ppy.sh/beatmapsets/1270156" TargetMode="External"/><Relationship Id="rId559" Type="http://schemas.openxmlformats.org/officeDocument/2006/relationships/hyperlink" Target="https://osu.ppy.sh/beatmapsets/1203052" TargetMode="External"/><Relationship Id="rId550" Type="http://schemas.openxmlformats.org/officeDocument/2006/relationships/hyperlink" Target="https://b.ppy.sh/thumb/1270156l.jpg" TargetMode="External"/><Relationship Id="rId1140" Type="http://schemas.openxmlformats.org/officeDocument/2006/relationships/hyperlink" Target="https://osu.ppy.sh/beatmapsets/295225" TargetMode="External"/><Relationship Id="rId1141" Type="http://schemas.openxmlformats.org/officeDocument/2006/relationships/hyperlink" Target="https://assets.ppy.sh/beatmaps/295225/covers/cover.jpg" TargetMode="External"/><Relationship Id="rId1142" Type="http://schemas.openxmlformats.org/officeDocument/2006/relationships/hyperlink" Target="https://b.ppy.sh/thumb/295225l.jpg" TargetMode="External"/><Relationship Id="rId554" Type="http://schemas.openxmlformats.org/officeDocument/2006/relationships/hyperlink" Target="https://b.ppy.sh/thumb/1270156l.jpg" TargetMode="External"/><Relationship Id="rId1143" Type="http://schemas.openxmlformats.org/officeDocument/2006/relationships/hyperlink" Target="https://osu.ppy.sh/beatmapsets/295225" TargetMode="External"/><Relationship Id="rId553" Type="http://schemas.openxmlformats.org/officeDocument/2006/relationships/hyperlink" Target="https://assets.ppy.sh/beatmaps/1270156/covers/cover.jpg" TargetMode="External"/><Relationship Id="rId1144" Type="http://schemas.openxmlformats.org/officeDocument/2006/relationships/hyperlink" Target="https://osu.ppy.sh/beatmapsets/853045" TargetMode="External"/><Relationship Id="rId552" Type="http://schemas.openxmlformats.org/officeDocument/2006/relationships/hyperlink" Target="https://osu.ppy.sh/beatmapsets/1270156" TargetMode="External"/><Relationship Id="rId1145" Type="http://schemas.openxmlformats.org/officeDocument/2006/relationships/hyperlink" Target="https://assets.ppy.sh/beatmaps/853045/covers/cover.jpg" TargetMode="External"/><Relationship Id="rId551" Type="http://schemas.openxmlformats.org/officeDocument/2006/relationships/hyperlink" Target="https://osu.ppy.sh/beatmapsets/1270156" TargetMode="External"/><Relationship Id="rId1146" Type="http://schemas.openxmlformats.org/officeDocument/2006/relationships/hyperlink" Target="https://b.ppy.sh/thumb/853045l.jpg" TargetMode="External"/><Relationship Id="rId495" Type="http://schemas.openxmlformats.org/officeDocument/2006/relationships/hyperlink" Target="https://osu.ppy.sh/beatmapsets/4404" TargetMode="External"/><Relationship Id="rId494" Type="http://schemas.openxmlformats.org/officeDocument/2006/relationships/hyperlink" Target="https://b.ppy.sh/thumb/4404l.jpg" TargetMode="External"/><Relationship Id="rId493" Type="http://schemas.openxmlformats.org/officeDocument/2006/relationships/hyperlink" Target="https://assets.ppy.sh/beatmaps/4404/covers/cover.jpg" TargetMode="External"/><Relationship Id="rId492" Type="http://schemas.openxmlformats.org/officeDocument/2006/relationships/hyperlink" Target="https://osu.ppy.sh/beatmapsets/4404" TargetMode="External"/><Relationship Id="rId499" Type="http://schemas.openxmlformats.org/officeDocument/2006/relationships/hyperlink" Target="https://osu.ppy.sh/beatmapsets/4404" TargetMode="External"/><Relationship Id="rId498" Type="http://schemas.openxmlformats.org/officeDocument/2006/relationships/hyperlink" Target="https://b.ppy.sh/thumb/4404l.jpg" TargetMode="External"/><Relationship Id="rId497" Type="http://schemas.openxmlformats.org/officeDocument/2006/relationships/hyperlink" Target="https://assets.ppy.sh/beatmaps/4404/covers/cover.jpg" TargetMode="External"/><Relationship Id="rId496" Type="http://schemas.openxmlformats.org/officeDocument/2006/relationships/hyperlink" Target="https://osu.ppy.sh/beatmapsets/4404" TargetMode="External"/><Relationship Id="rId1610" Type="http://schemas.openxmlformats.org/officeDocument/2006/relationships/hyperlink" Target="https://b.ppy.sh/thumb/347023l.jpg" TargetMode="External"/><Relationship Id="rId1611" Type="http://schemas.openxmlformats.org/officeDocument/2006/relationships/hyperlink" Target="https://osu.ppy.sh/beatmapsets/347023" TargetMode="External"/><Relationship Id="rId1612" Type="http://schemas.openxmlformats.org/officeDocument/2006/relationships/hyperlink" Target="https://osu.ppy.sh/beatmapsets/347023" TargetMode="External"/><Relationship Id="rId1613" Type="http://schemas.openxmlformats.org/officeDocument/2006/relationships/hyperlink" Target="https://assets.ppy.sh/beatmaps/347023/covers/cover.jpg" TargetMode="External"/><Relationship Id="rId1614" Type="http://schemas.openxmlformats.org/officeDocument/2006/relationships/hyperlink" Target="https://b.ppy.sh/thumb/347023l.jpg" TargetMode="External"/><Relationship Id="rId1615" Type="http://schemas.openxmlformats.org/officeDocument/2006/relationships/hyperlink" Target="https://osu.ppy.sh/beatmapsets/347023" TargetMode="External"/><Relationship Id="rId1616" Type="http://schemas.openxmlformats.org/officeDocument/2006/relationships/hyperlink" Target="https://osu.ppy.sh/beatmapsets/1020335" TargetMode="External"/><Relationship Id="rId907" Type="http://schemas.openxmlformats.org/officeDocument/2006/relationships/hyperlink" Target="https://osu.ppy.sh/beatmapsets/1888886" TargetMode="External"/><Relationship Id="rId1617" Type="http://schemas.openxmlformats.org/officeDocument/2006/relationships/hyperlink" Target="https://assets.ppy.sh/beatmaps/1020335/covers/cover.jpg" TargetMode="External"/><Relationship Id="rId906" Type="http://schemas.openxmlformats.org/officeDocument/2006/relationships/hyperlink" Target="https://b.ppy.sh/thumb/1888886l.jpg" TargetMode="External"/><Relationship Id="rId1618" Type="http://schemas.openxmlformats.org/officeDocument/2006/relationships/hyperlink" Target="https://b.ppy.sh/thumb/1020335l.jpg" TargetMode="External"/><Relationship Id="rId905" Type="http://schemas.openxmlformats.org/officeDocument/2006/relationships/hyperlink" Target="https://assets.ppy.sh/beatmaps/1888886/covers/cover.jpg" TargetMode="External"/><Relationship Id="rId1619" Type="http://schemas.openxmlformats.org/officeDocument/2006/relationships/hyperlink" Target="https://osu.ppy.sh/beatmapsets/1020335" TargetMode="External"/><Relationship Id="rId904" Type="http://schemas.openxmlformats.org/officeDocument/2006/relationships/hyperlink" Target="https://osu.ppy.sh/beatmapsets/1888886" TargetMode="External"/><Relationship Id="rId909" Type="http://schemas.openxmlformats.org/officeDocument/2006/relationships/hyperlink" Target="https://assets.ppy.sh/beatmaps/292077/covers/cover.jpg" TargetMode="External"/><Relationship Id="rId908" Type="http://schemas.openxmlformats.org/officeDocument/2006/relationships/hyperlink" Target="https://osu.ppy.sh/beatmapsets/292077" TargetMode="External"/><Relationship Id="rId903" Type="http://schemas.openxmlformats.org/officeDocument/2006/relationships/hyperlink" Target="https://osu.ppy.sh/beatmapsets/1888886" TargetMode="External"/><Relationship Id="rId902" Type="http://schemas.openxmlformats.org/officeDocument/2006/relationships/hyperlink" Target="https://b.ppy.sh/thumb/1888886l.jpg" TargetMode="External"/><Relationship Id="rId901" Type="http://schemas.openxmlformats.org/officeDocument/2006/relationships/hyperlink" Target="https://assets.ppy.sh/beatmaps/1888886/covers/cover.jpg" TargetMode="External"/><Relationship Id="rId900" Type="http://schemas.openxmlformats.org/officeDocument/2006/relationships/hyperlink" Target="https://osu.ppy.sh/beatmapsets/1888886" TargetMode="External"/><Relationship Id="rId1600" Type="http://schemas.openxmlformats.org/officeDocument/2006/relationships/hyperlink" Target="https://osu.ppy.sh/beatmapsets/1158494" TargetMode="External"/><Relationship Id="rId1601" Type="http://schemas.openxmlformats.org/officeDocument/2006/relationships/hyperlink" Target="https://assets.ppy.sh/beatmaps/1158494/covers/cover.jpg" TargetMode="External"/><Relationship Id="rId1602" Type="http://schemas.openxmlformats.org/officeDocument/2006/relationships/hyperlink" Target="https://b.ppy.sh/thumb/1158494l.jpg" TargetMode="External"/><Relationship Id="rId1603" Type="http://schemas.openxmlformats.org/officeDocument/2006/relationships/hyperlink" Target="https://osu.ppy.sh/beatmapsets/1158494" TargetMode="External"/><Relationship Id="rId1604" Type="http://schemas.openxmlformats.org/officeDocument/2006/relationships/hyperlink" Target="https://osu.ppy.sh/beatmapsets/1158494" TargetMode="External"/><Relationship Id="rId1605" Type="http://schemas.openxmlformats.org/officeDocument/2006/relationships/hyperlink" Target="https://assets.ppy.sh/beatmaps/1158494/covers/cover.jpg" TargetMode="External"/><Relationship Id="rId1606" Type="http://schemas.openxmlformats.org/officeDocument/2006/relationships/hyperlink" Target="https://b.ppy.sh/thumb/1158494l.jpg" TargetMode="External"/><Relationship Id="rId1607" Type="http://schemas.openxmlformats.org/officeDocument/2006/relationships/hyperlink" Target="https://osu.ppy.sh/beatmapsets/1158494" TargetMode="External"/><Relationship Id="rId1608" Type="http://schemas.openxmlformats.org/officeDocument/2006/relationships/hyperlink" Target="https://osu.ppy.sh/beatmapsets/347023" TargetMode="External"/><Relationship Id="rId1609" Type="http://schemas.openxmlformats.org/officeDocument/2006/relationships/hyperlink" Target="https://assets.ppy.sh/beatmaps/347023/covers/cover.jpg" TargetMode="External"/><Relationship Id="rId1631" Type="http://schemas.openxmlformats.org/officeDocument/2006/relationships/hyperlink" Target="https://osu.ppy.sh/beatmapsets/1280207" TargetMode="External"/><Relationship Id="rId1632" Type="http://schemas.openxmlformats.org/officeDocument/2006/relationships/hyperlink" Target="https://osu.ppy.sh/beatmapsets/1280207" TargetMode="External"/><Relationship Id="rId1633" Type="http://schemas.openxmlformats.org/officeDocument/2006/relationships/hyperlink" Target="https://assets.ppy.sh/beatmaps/1280207/covers/cover.jpg" TargetMode="External"/><Relationship Id="rId1634" Type="http://schemas.openxmlformats.org/officeDocument/2006/relationships/hyperlink" Target="https://b.ppy.sh/thumb/1280207l.jpg" TargetMode="External"/><Relationship Id="rId1635" Type="http://schemas.openxmlformats.org/officeDocument/2006/relationships/hyperlink" Target="https://osu.ppy.sh/beatmapsets/1280207" TargetMode="External"/><Relationship Id="rId1636" Type="http://schemas.openxmlformats.org/officeDocument/2006/relationships/hyperlink" Target="https://osu.ppy.sh/beatmapsets/1850818" TargetMode="External"/><Relationship Id="rId1637" Type="http://schemas.openxmlformats.org/officeDocument/2006/relationships/hyperlink" Target="https://assets.ppy.sh/beatmaps/1850818/covers/cover.jpg" TargetMode="External"/><Relationship Id="rId1638" Type="http://schemas.openxmlformats.org/officeDocument/2006/relationships/hyperlink" Target="https://b.ppy.sh/thumb/1850818l.jpg" TargetMode="External"/><Relationship Id="rId929" Type="http://schemas.openxmlformats.org/officeDocument/2006/relationships/hyperlink" Target="https://assets.ppy.sh/beatmaps/1415788/covers/cover.jpg" TargetMode="External"/><Relationship Id="rId1639" Type="http://schemas.openxmlformats.org/officeDocument/2006/relationships/hyperlink" Target="https://osu.ppy.sh/beatmapsets/1850818" TargetMode="External"/><Relationship Id="rId928" Type="http://schemas.openxmlformats.org/officeDocument/2006/relationships/hyperlink" Target="https://osu.ppy.sh/beatmapsets/1415788" TargetMode="External"/><Relationship Id="rId927" Type="http://schemas.openxmlformats.org/officeDocument/2006/relationships/hyperlink" Target="https://osu.ppy.sh/beatmapsets/1415788" TargetMode="External"/><Relationship Id="rId926" Type="http://schemas.openxmlformats.org/officeDocument/2006/relationships/hyperlink" Target="https://b.ppy.sh/thumb/1415788l.jpg" TargetMode="External"/><Relationship Id="rId921" Type="http://schemas.openxmlformats.org/officeDocument/2006/relationships/hyperlink" Target="https://assets.ppy.sh/beatmaps/1668789/covers/cover.jpg" TargetMode="External"/><Relationship Id="rId920" Type="http://schemas.openxmlformats.org/officeDocument/2006/relationships/hyperlink" Target="https://osu.ppy.sh/beatmapsets/1668789" TargetMode="External"/><Relationship Id="rId925" Type="http://schemas.openxmlformats.org/officeDocument/2006/relationships/hyperlink" Target="https://assets.ppy.sh/beatmaps/1415788/covers/cover.jpg" TargetMode="External"/><Relationship Id="rId924" Type="http://schemas.openxmlformats.org/officeDocument/2006/relationships/hyperlink" Target="https://osu.ppy.sh/beatmapsets/1415788" TargetMode="External"/><Relationship Id="rId923" Type="http://schemas.openxmlformats.org/officeDocument/2006/relationships/hyperlink" Target="https://osu.ppy.sh/beatmapsets/1668789" TargetMode="External"/><Relationship Id="rId922" Type="http://schemas.openxmlformats.org/officeDocument/2006/relationships/hyperlink" Target="https://b.ppy.sh/thumb/1668789l.jpg" TargetMode="External"/><Relationship Id="rId1630" Type="http://schemas.openxmlformats.org/officeDocument/2006/relationships/hyperlink" Target="https://b.ppy.sh/thumb/1280207l.jpg" TargetMode="External"/><Relationship Id="rId1620" Type="http://schemas.openxmlformats.org/officeDocument/2006/relationships/hyperlink" Target="https://osu.ppy.sh/beatmapsets/586144" TargetMode="External"/><Relationship Id="rId1621" Type="http://schemas.openxmlformats.org/officeDocument/2006/relationships/hyperlink" Target="https://assets.ppy.sh/beatmaps/586144/covers/cover.jpg" TargetMode="External"/><Relationship Id="rId1622" Type="http://schemas.openxmlformats.org/officeDocument/2006/relationships/hyperlink" Target="https://b.ppy.sh/thumb/586144l.jpg" TargetMode="External"/><Relationship Id="rId1623" Type="http://schemas.openxmlformats.org/officeDocument/2006/relationships/hyperlink" Target="https://osu.ppy.sh/beatmapsets/586144" TargetMode="External"/><Relationship Id="rId1624" Type="http://schemas.openxmlformats.org/officeDocument/2006/relationships/hyperlink" Target="https://osu.ppy.sh/beatmapsets/1650533" TargetMode="External"/><Relationship Id="rId1625" Type="http://schemas.openxmlformats.org/officeDocument/2006/relationships/hyperlink" Target="https://assets.ppy.sh/beatmaps/1650533/covers/cover.jpg" TargetMode="External"/><Relationship Id="rId1626" Type="http://schemas.openxmlformats.org/officeDocument/2006/relationships/hyperlink" Target="https://b.ppy.sh/thumb/1650533l.jpg" TargetMode="External"/><Relationship Id="rId1627" Type="http://schemas.openxmlformats.org/officeDocument/2006/relationships/hyperlink" Target="https://osu.ppy.sh/beatmapsets/1650533" TargetMode="External"/><Relationship Id="rId918" Type="http://schemas.openxmlformats.org/officeDocument/2006/relationships/hyperlink" Target="https://b.ppy.sh/thumb/1668789l.jpg" TargetMode="External"/><Relationship Id="rId1628" Type="http://schemas.openxmlformats.org/officeDocument/2006/relationships/hyperlink" Target="https://osu.ppy.sh/beatmapsets/1280207" TargetMode="External"/><Relationship Id="rId917" Type="http://schemas.openxmlformats.org/officeDocument/2006/relationships/hyperlink" Target="https://assets.ppy.sh/beatmaps/1668789/covers/cover.jpg" TargetMode="External"/><Relationship Id="rId1629" Type="http://schemas.openxmlformats.org/officeDocument/2006/relationships/hyperlink" Target="https://assets.ppy.sh/beatmaps/1280207/covers/cover.jpg" TargetMode="External"/><Relationship Id="rId916" Type="http://schemas.openxmlformats.org/officeDocument/2006/relationships/hyperlink" Target="https://osu.ppy.sh/beatmapsets/1668789" TargetMode="External"/><Relationship Id="rId915" Type="http://schemas.openxmlformats.org/officeDocument/2006/relationships/hyperlink" Target="https://osu.ppy.sh/beatmapsets/292077" TargetMode="External"/><Relationship Id="rId919" Type="http://schemas.openxmlformats.org/officeDocument/2006/relationships/hyperlink" Target="https://osu.ppy.sh/beatmapsets/1668789" TargetMode="External"/><Relationship Id="rId910" Type="http://schemas.openxmlformats.org/officeDocument/2006/relationships/hyperlink" Target="https://b.ppy.sh/thumb/292077l.jpg" TargetMode="External"/><Relationship Id="rId914" Type="http://schemas.openxmlformats.org/officeDocument/2006/relationships/hyperlink" Target="https://b.ppy.sh/thumb/292077l.jpg" TargetMode="External"/><Relationship Id="rId913" Type="http://schemas.openxmlformats.org/officeDocument/2006/relationships/hyperlink" Target="https://assets.ppy.sh/beatmaps/292077/covers/cover.jpg" TargetMode="External"/><Relationship Id="rId912" Type="http://schemas.openxmlformats.org/officeDocument/2006/relationships/hyperlink" Target="https://osu.ppy.sh/beatmapsets/292077" TargetMode="External"/><Relationship Id="rId911" Type="http://schemas.openxmlformats.org/officeDocument/2006/relationships/hyperlink" Target="https://osu.ppy.sh/beatmapsets/292077" TargetMode="External"/><Relationship Id="rId1213" Type="http://schemas.openxmlformats.org/officeDocument/2006/relationships/hyperlink" Target="https://assets.ppy.sh/beatmaps/47124/covers/cover.jpg" TargetMode="External"/><Relationship Id="rId1697" Type="http://schemas.openxmlformats.org/officeDocument/2006/relationships/hyperlink" Target="https://assets.ppy.sh/beatmaps/411990/covers/cover.jpg" TargetMode="External"/><Relationship Id="rId1214" Type="http://schemas.openxmlformats.org/officeDocument/2006/relationships/hyperlink" Target="https://b.ppy.sh/thumb/47124l.jpg" TargetMode="External"/><Relationship Id="rId1698" Type="http://schemas.openxmlformats.org/officeDocument/2006/relationships/hyperlink" Target="https://b.ppy.sh/thumb/411990l.jpg" TargetMode="External"/><Relationship Id="rId1215" Type="http://schemas.openxmlformats.org/officeDocument/2006/relationships/hyperlink" Target="https://osu.ppy.sh/beatmapsets/47124" TargetMode="External"/><Relationship Id="rId1699" Type="http://schemas.openxmlformats.org/officeDocument/2006/relationships/hyperlink" Target="https://osu.ppy.sh/beatmapsets/411990" TargetMode="External"/><Relationship Id="rId1216" Type="http://schemas.openxmlformats.org/officeDocument/2006/relationships/hyperlink" Target="https://osu.ppy.sh/beatmapsets/47124" TargetMode="External"/><Relationship Id="rId1217" Type="http://schemas.openxmlformats.org/officeDocument/2006/relationships/hyperlink" Target="https://assets.ppy.sh/beatmaps/47124/covers/cover.jpg" TargetMode="External"/><Relationship Id="rId1218" Type="http://schemas.openxmlformats.org/officeDocument/2006/relationships/hyperlink" Target="https://b.ppy.sh/thumb/47124l.jpg" TargetMode="External"/><Relationship Id="rId1219" Type="http://schemas.openxmlformats.org/officeDocument/2006/relationships/hyperlink" Target="https://osu.ppy.sh/beatmapsets/47124" TargetMode="External"/><Relationship Id="rId866" Type="http://schemas.openxmlformats.org/officeDocument/2006/relationships/hyperlink" Target="https://b.ppy.sh/thumb/932901l.jpg" TargetMode="External"/><Relationship Id="rId865" Type="http://schemas.openxmlformats.org/officeDocument/2006/relationships/hyperlink" Target="https://assets.ppy.sh/beatmaps/932901/covers/cover.jpg" TargetMode="External"/><Relationship Id="rId864" Type="http://schemas.openxmlformats.org/officeDocument/2006/relationships/hyperlink" Target="https://osu.ppy.sh/beatmapsets/932901" TargetMode="External"/><Relationship Id="rId863" Type="http://schemas.openxmlformats.org/officeDocument/2006/relationships/hyperlink" Target="https://osu.ppy.sh/beatmapsets/749096" TargetMode="External"/><Relationship Id="rId869" Type="http://schemas.openxmlformats.org/officeDocument/2006/relationships/hyperlink" Target="https://assets.ppy.sh/beatmaps/1847288/covers/cover.jpg" TargetMode="External"/><Relationship Id="rId868" Type="http://schemas.openxmlformats.org/officeDocument/2006/relationships/hyperlink" Target="https://osu.ppy.sh/beatmapsets/1847288" TargetMode="External"/><Relationship Id="rId867" Type="http://schemas.openxmlformats.org/officeDocument/2006/relationships/hyperlink" Target="https://osu.ppy.sh/beatmapsets/932901" TargetMode="External"/><Relationship Id="rId1690" Type="http://schemas.openxmlformats.org/officeDocument/2006/relationships/hyperlink" Target="https://b.ppy.sh/thumb/411990l.jpg" TargetMode="External"/><Relationship Id="rId1691" Type="http://schemas.openxmlformats.org/officeDocument/2006/relationships/hyperlink" Target="https://osu.ppy.sh/beatmapsets/411990" TargetMode="External"/><Relationship Id="rId1692" Type="http://schemas.openxmlformats.org/officeDocument/2006/relationships/hyperlink" Target="https://osu.ppy.sh/beatmapsets/1670825" TargetMode="External"/><Relationship Id="rId862" Type="http://schemas.openxmlformats.org/officeDocument/2006/relationships/hyperlink" Target="https://b.ppy.sh/thumb/749096l.jpg" TargetMode="External"/><Relationship Id="rId1693" Type="http://schemas.openxmlformats.org/officeDocument/2006/relationships/hyperlink" Target="https://assets.ppy.sh/beatmaps/1670825/covers/cover.jpg" TargetMode="External"/><Relationship Id="rId861" Type="http://schemas.openxmlformats.org/officeDocument/2006/relationships/hyperlink" Target="https://assets.ppy.sh/beatmaps/749096/covers/cover.jpg" TargetMode="External"/><Relationship Id="rId1210" Type="http://schemas.openxmlformats.org/officeDocument/2006/relationships/hyperlink" Target="https://b.ppy.sh/thumb/1676960l.jpg" TargetMode="External"/><Relationship Id="rId1694" Type="http://schemas.openxmlformats.org/officeDocument/2006/relationships/hyperlink" Target="https://b.ppy.sh/thumb/1670825l.jpg" TargetMode="External"/><Relationship Id="rId860" Type="http://schemas.openxmlformats.org/officeDocument/2006/relationships/hyperlink" Target="https://osu.ppy.sh/beatmapsets/749096" TargetMode="External"/><Relationship Id="rId1211" Type="http://schemas.openxmlformats.org/officeDocument/2006/relationships/hyperlink" Target="https://osu.ppy.sh/beatmapsets/1676960" TargetMode="External"/><Relationship Id="rId1695" Type="http://schemas.openxmlformats.org/officeDocument/2006/relationships/hyperlink" Target="https://osu.ppy.sh/beatmapsets/1670825" TargetMode="External"/><Relationship Id="rId1212" Type="http://schemas.openxmlformats.org/officeDocument/2006/relationships/hyperlink" Target="https://osu.ppy.sh/beatmapsets/47124" TargetMode="External"/><Relationship Id="rId1696" Type="http://schemas.openxmlformats.org/officeDocument/2006/relationships/hyperlink" Target="https://osu.ppy.sh/beatmapsets/411990" TargetMode="External"/><Relationship Id="rId1202" Type="http://schemas.openxmlformats.org/officeDocument/2006/relationships/hyperlink" Target="https://b.ppy.sh/thumb/967021l.jpg" TargetMode="External"/><Relationship Id="rId1686" Type="http://schemas.openxmlformats.org/officeDocument/2006/relationships/hyperlink" Target="https://b.ppy.sh/thumb/1670825l.jpg" TargetMode="External"/><Relationship Id="rId1203" Type="http://schemas.openxmlformats.org/officeDocument/2006/relationships/hyperlink" Target="https://osu.ppy.sh/beatmapsets/967021" TargetMode="External"/><Relationship Id="rId1687" Type="http://schemas.openxmlformats.org/officeDocument/2006/relationships/hyperlink" Target="https://osu.ppy.sh/beatmapsets/1670825" TargetMode="External"/><Relationship Id="rId1204" Type="http://schemas.openxmlformats.org/officeDocument/2006/relationships/hyperlink" Target="https://osu.ppy.sh/beatmapsets/1676960" TargetMode="External"/><Relationship Id="rId1688" Type="http://schemas.openxmlformats.org/officeDocument/2006/relationships/hyperlink" Target="https://osu.ppy.sh/beatmapsets/411990" TargetMode="External"/><Relationship Id="rId1205" Type="http://schemas.openxmlformats.org/officeDocument/2006/relationships/hyperlink" Target="https://assets.ppy.sh/beatmaps/1676960/covers/cover.jpg" TargetMode="External"/><Relationship Id="rId1689" Type="http://schemas.openxmlformats.org/officeDocument/2006/relationships/hyperlink" Target="https://assets.ppy.sh/beatmaps/411990/covers/cover.jpg" TargetMode="External"/><Relationship Id="rId1206" Type="http://schemas.openxmlformats.org/officeDocument/2006/relationships/hyperlink" Target="https://b.ppy.sh/thumb/1676960l.jpg" TargetMode="External"/><Relationship Id="rId1207" Type="http://schemas.openxmlformats.org/officeDocument/2006/relationships/hyperlink" Target="https://osu.ppy.sh/beatmapsets/1676960" TargetMode="External"/><Relationship Id="rId1208" Type="http://schemas.openxmlformats.org/officeDocument/2006/relationships/hyperlink" Target="https://osu.ppy.sh/beatmapsets/1676960" TargetMode="External"/><Relationship Id="rId1209" Type="http://schemas.openxmlformats.org/officeDocument/2006/relationships/hyperlink" Target="https://assets.ppy.sh/beatmaps/1676960/covers/cover.jpg" TargetMode="External"/><Relationship Id="rId855" Type="http://schemas.openxmlformats.org/officeDocument/2006/relationships/hyperlink" Target="https://osu.ppy.sh/beatmapsets/1413965" TargetMode="External"/><Relationship Id="rId854" Type="http://schemas.openxmlformats.org/officeDocument/2006/relationships/hyperlink" Target="https://b.ppy.sh/thumb/1413965l.jpg" TargetMode="External"/><Relationship Id="rId853" Type="http://schemas.openxmlformats.org/officeDocument/2006/relationships/hyperlink" Target="https://assets.ppy.sh/beatmaps/1413965/covers/cover.jpg" TargetMode="External"/><Relationship Id="rId852" Type="http://schemas.openxmlformats.org/officeDocument/2006/relationships/hyperlink" Target="https://osu.ppy.sh/beatmapsets/1413965" TargetMode="External"/><Relationship Id="rId859" Type="http://schemas.openxmlformats.org/officeDocument/2006/relationships/hyperlink" Target="https://osu.ppy.sh/beatmapsets/1413965" TargetMode="External"/><Relationship Id="rId858" Type="http://schemas.openxmlformats.org/officeDocument/2006/relationships/hyperlink" Target="https://b.ppy.sh/thumb/1413965l.jpg" TargetMode="External"/><Relationship Id="rId857" Type="http://schemas.openxmlformats.org/officeDocument/2006/relationships/hyperlink" Target="https://assets.ppy.sh/beatmaps/1413965/covers/cover.jpg" TargetMode="External"/><Relationship Id="rId856" Type="http://schemas.openxmlformats.org/officeDocument/2006/relationships/hyperlink" Target="https://osu.ppy.sh/beatmapsets/1413965" TargetMode="External"/><Relationship Id="rId1680" Type="http://schemas.openxmlformats.org/officeDocument/2006/relationships/hyperlink" Target="https://osu.ppy.sh/beatmapsets/1248914" TargetMode="External"/><Relationship Id="rId1681" Type="http://schemas.openxmlformats.org/officeDocument/2006/relationships/hyperlink" Target="https://assets.ppy.sh/beatmaps/1248914/covers/cover.jpg" TargetMode="External"/><Relationship Id="rId851" Type="http://schemas.openxmlformats.org/officeDocument/2006/relationships/hyperlink" Target="https://osu.ppy.sh/beatmapsets/1215814" TargetMode="External"/><Relationship Id="rId1682" Type="http://schemas.openxmlformats.org/officeDocument/2006/relationships/hyperlink" Target="https://b.ppy.sh/thumb/1248914l.jpg" TargetMode="External"/><Relationship Id="rId850" Type="http://schemas.openxmlformats.org/officeDocument/2006/relationships/hyperlink" Target="https://b.ppy.sh/thumb/1215814l.jpg" TargetMode="External"/><Relationship Id="rId1683" Type="http://schemas.openxmlformats.org/officeDocument/2006/relationships/hyperlink" Target="https://osu.ppy.sh/beatmapsets/1248914" TargetMode="External"/><Relationship Id="rId1200" Type="http://schemas.openxmlformats.org/officeDocument/2006/relationships/hyperlink" Target="https://osu.ppy.sh/beatmapsets/967021" TargetMode="External"/><Relationship Id="rId1684" Type="http://schemas.openxmlformats.org/officeDocument/2006/relationships/hyperlink" Target="https://osu.ppy.sh/beatmapsets/1670825" TargetMode="External"/><Relationship Id="rId1201" Type="http://schemas.openxmlformats.org/officeDocument/2006/relationships/hyperlink" Target="https://assets.ppy.sh/beatmaps/967021/covers/cover.jpg" TargetMode="External"/><Relationship Id="rId1685" Type="http://schemas.openxmlformats.org/officeDocument/2006/relationships/hyperlink" Target="https://assets.ppy.sh/beatmaps/1670825/covers/cover.jpg" TargetMode="External"/><Relationship Id="rId1235" Type="http://schemas.openxmlformats.org/officeDocument/2006/relationships/hyperlink" Target="https://osu.ppy.sh/beatmapsets/1399793" TargetMode="External"/><Relationship Id="rId1236" Type="http://schemas.openxmlformats.org/officeDocument/2006/relationships/hyperlink" Target="https://osu.ppy.sh/beatmapsets/1760668" TargetMode="External"/><Relationship Id="rId1237" Type="http://schemas.openxmlformats.org/officeDocument/2006/relationships/hyperlink" Target="https://assets.ppy.sh/beatmaps/1760668/covers/cover.jpg" TargetMode="External"/><Relationship Id="rId1238" Type="http://schemas.openxmlformats.org/officeDocument/2006/relationships/hyperlink" Target="https://b.ppy.sh/thumb/1760668l.jpg" TargetMode="External"/><Relationship Id="rId1239" Type="http://schemas.openxmlformats.org/officeDocument/2006/relationships/hyperlink" Target="https://osu.ppy.sh/beatmapsets/1760668" TargetMode="External"/><Relationship Id="rId409" Type="http://schemas.openxmlformats.org/officeDocument/2006/relationships/hyperlink" Target="https://assets.ppy.sh/beatmaps/701330/covers/cover.jpg" TargetMode="External"/><Relationship Id="rId404" Type="http://schemas.openxmlformats.org/officeDocument/2006/relationships/hyperlink" Target="https://osu.ppy.sh/beatmapsets/1968201" TargetMode="External"/><Relationship Id="rId888" Type="http://schemas.openxmlformats.org/officeDocument/2006/relationships/hyperlink" Target="https://osu.ppy.sh/beatmapsets/1880072" TargetMode="External"/><Relationship Id="rId403" Type="http://schemas.openxmlformats.org/officeDocument/2006/relationships/hyperlink" Target="https://osu.ppy.sh/beatmapsets/172900" TargetMode="External"/><Relationship Id="rId887" Type="http://schemas.openxmlformats.org/officeDocument/2006/relationships/hyperlink" Target="https://osu.ppy.sh/beatmapsets/31480" TargetMode="External"/><Relationship Id="rId402" Type="http://schemas.openxmlformats.org/officeDocument/2006/relationships/hyperlink" Target="https://b.ppy.sh/thumb/172900l.jpg" TargetMode="External"/><Relationship Id="rId886" Type="http://schemas.openxmlformats.org/officeDocument/2006/relationships/hyperlink" Target="https://b.ppy.sh/thumb/31480l.jpg" TargetMode="External"/><Relationship Id="rId401" Type="http://schemas.openxmlformats.org/officeDocument/2006/relationships/hyperlink" Target="https://assets.ppy.sh/beatmaps/172900/covers/cover.jpg" TargetMode="External"/><Relationship Id="rId885" Type="http://schemas.openxmlformats.org/officeDocument/2006/relationships/hyperlink" Target="https://assets.ppy.sh/beatmaps/31480/covers/cover.jpg" TargetMode="External"/><Relationship Id="rId408" Type="http://schemas.openxmlformats.org/officeDocument/2006/relationships/hyperlink" Target="https://osu.ppy.sh/beatmapsets/701330" TargetMode="External"/><Relationship Id="rId407" Type="http://schemas.openxmlformats.org/officeDocument/2006/relationships/hyperlink" Target="https://osu.ppy.sh/beatmapsets/1968201" TargetMode="External"/><Relationship Id="rId406" Type="http://schemas.openxmlformats.org/officeDocument/2006/relationships/hyperlink" Target="https://b.ppy.sh/thumb/1968201l.jpg" TargetMode="External"/><Relationship Id="rId405" Type="http://schemas.openxmlformats.org/officeDocument/2006/relationships/hyperlink" Target="https://assets.ppy.sh/beatmaps/1968201/covers/cover.jpg" TargetMode="External"/><Relationship Id="rId889" Type="http://schemas.openxmlformats.org/officeDocument/2006/relationships/hyperlink" Target="https://assets.ppy.sh/beatmaps/1880072/covers/cover.jpg" TargetMode="External"/><Relationship Id="rId880" Type="http://schemas.openxmlformats.org/officeDocument/2006/relationships/hyperlink" Target="https://osu.ppy.sh/beatmapsets/1351876" TargetMode="External"/><Relationship Id="rId1230" Type="http://schemas.openxmlformats.org/officeDocument/2006/relationships/hyperlink" Target="https://b.ppy.sh/thumb/1399793l.jpg" TargetMode="External"/><Relationship Id="rId400" Type="http://schemas.openxmlformats.org/officeDocument/2006/relationships/hyperlink" Target="https://osu.ppy.sh/beatmapsets/172900" TargetMode="External"/><Relationship Id="rId884" Type="http://schemas.openxmlformats.org/officeDocument/2006/relationships/hyperlink" Target="https://osu.ppy.sh/beatmapsets/31480" TargetMode="External"/><Relationship Id="rId1231" Type="http://schemas.openxmlformats.org/officeDocument/2006/relationships/hyperlink" Target="https://osu.ppy.sh/beatmapsets/1399793" TargetMode="External"/><Relationship Id="rId883" Type="http://schemas.openxmlformats.org/officeDocument/2006/relationships/hyperlink" Target="https://osu.ppy.sh/beatmapsets/1351876" TargetMode="External"/><Relationship Id="rId1232" Type="http://schemas.openxmlformats.org/officeDocument/2006/relationships/hyperlink" Target="https://osu.ppy.sh/beatmapsets/1399793" TargetMode="External"/><Relationship Id="rId882" Type="http://schemas.openxmlformats.org/officeDocument/2006/relationships/hyperlink" Target="https://b.ppy.sh/thumb/1351876l.jpg" TargetMode="External"/><Relationship Id="rId1233" Type="http://schemas.openxmlformats.org/officeDocument/2006/relationships/hyperlink" Target="https://assets.ppy.sh/beatmaps/1399793/covers/cover.jpg" TargetMode="External"/><Relationship Id="rId881" Type="http://schemas.openxmlformats.org/officeDocument/2006/relationships/hyperlink" Target="https://assets.ppy.sh/beatmaps/1351876/covers/cover.jpg" TargetMode="External"/><Relationship Id="rId1234" Type="http://schemas.openxmlformats.org/officeDocument/2006/relationships/hyperlink" Target="https://b.ppy.sh/thumb/1399793l.jpg" TargetMode="External"/><Relationship Id="rId1224" Type="http://schemas.openxmlformats.org/officeDocument/2006/relationships/hyperlink" Target="https://osu.ppy.sh/beatmapsets/1173192" TargetMode="External"/><Relationship Id="rId1225" Type="http://schemas.openxmlformats.org/officeDocument/2006/relationships/hyperlink" Target="https://assets.ppy.sh/beatmaps/1173192/covers/cover.jpg" TargetMode="External"/><Relationship Id="rId1226" Type="http://schemas.openxmlformats.org/officeDocument/2006/relationships/hyperlink" Target="https://b.ppy.sh/thumb/1173192l.jpg" TargetMode="External"/><Relationship Id="rId1227" Type="http://schemas.openxmlformats.org/officeDocument/2006/relationships/hyperlink" Target="https://osu.ppy.sh/beatmapsets/1173192" TargetMode="External"/><Relationship Id="rId1228" Type="http://schemas.openxmlformats.org/officeDocument/2006/relationships/hyperlink" Target="https://osu.ppy.sh/beatmapsets/1399793" TargetMode="External"/><Relationship Id="rId1229" Type="http://schemas.openxmlformats.org/officeDocument/2006/relationships/hyperlink" Target="https://assets.ppy.sh/beatmaps/1399793/covers/cover.jpg" TargetMode="External"/><Relationship Id="rId877" Type="http://schemas.openxmlformats.org/officeDocument/2006/relationships/hyperlink" Target="https://assets.ppy.sh/beatmaps/1351876/covers/cover.jpg" TargetMode="External"/><Relationship Id="rId876" Type="http://schemas.openxmlformats.org/officeDocument/2006/relationships/hyperlink" Target="https://osu.ppy.sh/beatmapsets/1351876" TargetMode="External"/><Relationship Id="rId875" Type="http://schemas.openxmlformats.org/officeDocument/2006/relationships/hyperlink" Target="https://osu.ppy.sh/beatmapsets/756815" TargetMode="External"/><Relationship Id="rId874" Type="http://schemas.openxmlformats.org/officeDocument/2006/relationships/hyperlink" Target="https://b.ppy.sh/thumb/756815l.jpg" TargetMode="External"/><Relationship Id="rId879" Type="http://schemas.openxmlformats.org/officeDocument/2006/relationships/hyperlink" Target="https://osu.ppy.sh/beatmapsets/1351876" TargetMode="External"/><Relationship Id="rId878" Type="http://schemas.openxmlformats.org/officeDocument/2006/relationships/hyperlink" Target="https://b.ppy.sh/thumb/1351876l.jpg" TargetMode="External"/><Relationship Id="rId873" Type="http://schemas.openxmlformats.org/officeDocument/2006/relationships/hyperlink" Target="https://assets.ppy.sh/beatmaps/756815/covers/cover.jpg" TargetMode="External"/><Relationship Id="rId1220" Type="http://schemas.openxmlformats.org/officeDocument/2006/relationships/hyperlink" Target="https://osu.ppy.sh/beatmapsets/1173192" TargetMode="External"/><Relationship Id="rId872" Type="http://schemas.openxmlformats.org/officeDocument/2006/relationships/hyperlink" Target="https://osu.ppy.sh/beatmapsets/756815" TargetMode="External"/><Relationship Id="rId1221" Type="http://schemas.openxmlformats.org/officeDocument/2006/relationships/hyperlink" Target="https://assets.ppy.sh/beatmaps/1173192/covers/cover.jpg" TargetMode="External"/><Relationship Id="rId871" Type="http://schemas.openxmlformats.org/officeDocument/2006/relationships/hyperlink" Target="https://osu.ppy.sh/beatmapsets/1847288" TargetMode="External"/><Relationship Id="rId1222" Type="http://schemas.openxmlformats.org/officeDocument/2006/relationships/hyperlink" Target="https://b.ppy.sh/thumb/1173192l.jpg" TargetMode="External"/><Relationship Id="rId870" Type="http://schemas.openxmlformats.org/officeDocument/2006/relationships/hyperlink" Target="https://b.ppy.sh/thumb/1847288l.jpg" TargetMode="External"/><Relationship Id="rId1223" Type="http://schemas.openxmlformats.org/officeDocument/2006/relationships/hyperlink" Target="https://osu.ppy.sh/beatmapsets/1173192" TargetMode="External"/><Relationship Id="rId1653" Type="http://schemas.openxmlformats.org/officeDocument/2006/relationships/hyperlink" Target="https://assets.ppy.sh/beatmaps/1629444/covers/cover.jpg" TargetMode="External"/><Relationship Id="rId1654" Type="http://schemas.openxmlformats.org/officeDocument/2006/relationships/hyperlink" Target="https://b.ppy.sh/thumb/1629444l.jpg" TargetMode="External"/><Relationship Id="rId1655" Type="http://schemas.openxmlformats.org/officeDocument/2006/relationships/hyperlink" Target="https://osu.ppy.sh/beatmapsets/1629444" TargetMode="External"/><Relationship Id="rId1656" Type="http://schemas.openxmlformats.org/officeDocument/2006/relationships/hyperlink" Target="https://osu.ppy.sh/beatmapsets/1629444" TargetMode="External"/><Relationship Id="rId1657" Type="http://schemas.openxmlformats.org/officeDocument/2006/relationships/hyperlink" Target="https://assets.ppy.sh/beatmaps/1629444/covers/cover.jpg" TargetMode="External"/><Relationship Id="rId1658" Type="http://schemas.openxmlformats.org/officeDocument/2006/relationships/hyperlink" Target="https://b.ppy.sh/thumb/1629444l.jpg" TargetMode="External"/><Relationship Id="rId1659" Type="http://schemas.openxmlformats.org/officeDocument/2006/relationships/hyperlink" Target="https://osu.ppy.sh/beatmapsets/1629444" TargetMode="External"/><Relationship Id="rId829" Type="http://schemas.openxmlformats.org/officeDocument/2006/relationships/hyperlink" Target="https://assets.ppy.sh/beatmaps/1855321/covers/cover.jpg" TargetMode="External"/><Relationship Id="rId828" Type="http://schemas.openxmlformats.org/officeDocument/2006/relationships/hyperlink" Target="https://osu.ppy.sh/beatmapsets/1855321" TargetMode="External"/><Relationship Id="rId827" Type="http://schemas.openxmlformats.org/officeDocument/2006/relationships/hyperlink" Target="https://osu.ppy.sh/beatmapsets/1855321" TargetMode="External"/><Relationship Id="rId822" Type="http://schemas.openxmlformats.org/officeDocument/2006/relationships/hyperlink" Target="https://b.ppy.sh/thumb/1496234l.jpg" TargetMode="External"/><Relationship Id="rId821" Type="http://schemas.openxmlformats.org/officeDocument/2006/relationships/hyperlink" Target="https://assets.ppy.sh/beatmaps/1496234/covers/cover.jpg" TargetMode="External"/><Relationship Id="rId820" Type="http://schemas.openxmlformats.org/officeDocument/2006/relationships/hyperlink" Target="https://osu.ppy.sh/beatmapsets/1496234" TargetMode="External"/><Relationship Id="rId826" Type="http://schemas.openxmlformats.org/officeDocument/2006/relationships/hyperlink" Target="https://b.ppy.sh/thumb/1855321l.jpg" TargetMode="External"/><Relationship Id="rId825" Type="http://schemas.openxmlformats.org/officeDocument/2006/relationships/hyperlink" Target="https://assets.ppy.sh/beatmaps/1855321/covers/cover.jpg" TargetMode="External"/><Relationship Id="rId824" Type="http://schemas.openxmlformats.org/officeDocument/2006/relationships/hyperlink" Target="https://osu.ppy.sh/beatmapsets/1855321" TargetMode="External"/><Relationship Id="rId823" Type="http://schemas.openxmlformats.org/officeDocument/2006/relationships/hyperlink" Target="https://osu.ppy.sh/beatmapsets/1496234" TargetMode="External"/><Relationship Id="rId1650" Type="http://schemas.openxmlformats.org/officeDocument/2006/relationships/hyperlink" Target="https://b.ppy.sh/thumb/1268030l.jpg" TargetMode="External"/><Relationship Id="rId1651" Type="http://schemas.openxmlformats.org/officeDocument/2006/relationships/hyperlink" Target="https://osu.ppy.sh/beatmapsets/1268030" TargetMode="External"/><Relationship Id="rId1652" Type="http://schemas.openxmlformats.org/officeDocument/2006/relationships/hyperlink" Target="https://osu.ppy.sh/beatmapsets/1629444" TargetMode="External"/><Relationship Id="rId1642" Type="http://schemas.openxmlformats.org/officeDocument/2006/relationships/hyperlink" Target="https://b.ppy.sh/thumb/1850818l.jpg" TargetMode="External"/><Relationship Id="rId1643" Type="http://schemas.openxmlformats.org/officeDocument/2006/relationships/hyperlink" Target="https://osu.ppy.sh/beatmapsets/1850818" TargetMode="External"/><Relationship Id="rId1644" Type="http://schemas.openxmlformats.org/officeDocument/2006/relationships/hyperlink" Target="https://osu.ppy.sh/beatmapsets/1268030" TargetMode="External"/><Relationship Id="rId1645" Type="http://schemas.openxmlformats.org/officeDocument/2006/relationships/hyperlink" Target="https://assets.ppy.sh/beatmaps/1268030/covers/cover.jpg" TargetMode="External"/><Relationship Id="rId1646" Type="http://schemas.openxmlformats.org/officeDocument/2006/relationships/hyperlink" Target="https://b.ppy.sh/thumb/1268030l.jpg" TargetMode="External"/><Relationship Id="rId1647" Type="http://schemas.openxmlformats.org/officeDocument/2006/relationships/hyperlink" Target="https://osu.ppy.sh/beatmapsets/1268030" TargetMode="External"/><Relationship Id="rId1648" Type="http://schemas.openxmlformats.org/officeDocument/2006/relationships/hyperlink" Target="https://osu.ppy.sh/beatmapsets/1268030" TargetMode="External"/><Relationship Id="rId1649" Type="http://schemas.openxmlformats.org/officeDocument/2006/relationships/hyperlink" Target="https://assets.ppy.sh/beatmaps/1268030/covers/cover.jpg" TargetMode="External"/><Relationship Id="rId819" Type="http://schemas.openxmlformats.org/officeDocument/2006/relationships/hyperlink" Target="https://osu.ppy.sh/beatmapsets/1496234" TargetMode="External"/><Relationship Id="rId818" Type="http://schemas.openxmlformats.org/officeDocument/2006/relationships/hyperlink" Target="https://b.ppy.sh/thumb/1496234l.jpg" TargetMode="External"/><Relationship Id="rId817" Type="http://schemas.openxmlformats.org/officeDocument/2006/relationships/hyperlink" Target="https://assets.ppy.sh/beatmaps/1496234/covers/cover.jpg" TargetMode="External"/><Relationship Id="rId816" Type="http://schemas.openxmlformats.org/officeDocument/2006/relationships/hyperlink" Target="https://osu.ppy.sh/beatmapsets/1496234" TargetMode="External"/><Relationship Id="rId811" Type="http://schemas.openxmlformats.org/officeDocument/2006/relationships/hyperlink" Target="https://osu.ppy.sh/beatmapsets/1186066" TargetMode="External"/><Relationship Id="rId810" Type="http://schemas.openxmlformats.org/officeDocument/2006/relationships/hyperlink" Target="https://b.ppy.sh/thumb/1186066l.jpg" TargetMode="External"/><Relationship Id="rId815" Type="http://schemas.openxmlformats.org/officeDocument/2006/relationships/hyperlink" Target="https://osu.ppy.sh/beatmapsets/1186066" TargetMode="External"/><Relationship Id="rId814" Type="http://schemas.openxmlformats.org/officeDocument/2006/relationships/hyperlink" Target="https://b.ppy.sh/thumb/1186066l.jpg" TargetMode="External"/><Relationship Id="rId813" Type="http://schemas.openxmlformats.org/officeDocument/2006/relationships/hyperlink" Target="https://assets.ppy.sh/beatmaps/1186066/covers/cover.jpg" TargetMode="External"/><Relationship Id="rId812" Type="http://schemas.openxmlformats.org/officeDocument/2006/relationships/hyperlink" Target="https://osu.ppy.sh/beatmapsets/1186066" TargetMode="External"/><Relationship Id="rId1640" Type="http://schemas.openxmlformats.org/officeDocument/2006/relationships/hyperlink" Target="https://osu.ppy.sh/beatmapsets/1850818" TargetMode="External"/><Relationship Id="rId1641" Type="http://schemas.openxmlformats.org/officeDocument/2006/relationships/hyperlink" Target="https://assets.ppy.sh/beatmaps/1850818/covers/cover.jpg" TargetMode="External"/><Relationship Id="rId1675" Type="http://schemas.openxmlformats.org/officeDocument/2006/relationships/hyperlink" Target="https://osu.ppy.sh/beatmapsets/1123944" TargetMode="External"/><Relationship Id="rId1676" Type="http://schemas.openxmlformats.org/officeDocument/2006/relationships/hyperlink" Target="https://osu.ppy.sh/beatmapsets/1248914" TargetMode="External"/><Relationship Id="rId1677" Type="http://schemas.openxmlformats.org/officeDocument/2006/relationships/hyperlink" Target="https://assets.ppy.sh/beatmaps/1248914/covers/cover.jpg" TargetMode="External"/><Relationship Id="rId1678" Type="http://schemas.openxmlformats.org/officeDocument/2006/relationships/hyperlink" Target="https://b.ppy.sh/thumb/1248914l.jpg" TargetMode="External"/><Relationship Id="rId1679" Type="http://schemas.openxmlformats.org/officeDocument/2006/relationships/hyperlink" Target="https://osu.ppy.sh/beatmapsets/1248914" TargetMode="External"/><Relationship Id="rId849" Type="http://schemas.openxmlformats.org/officeDocument/2006/relationships/hyperlink" Target="https://assets.ppy.sh/beatmaps/1215814/covers/cover.jpg" TargetMode="External"/><Relationship Id="rId844" Type="http://schemas.openxmlformats.org/officeDocument/2006/relationships/hyperlink" Target="https://osu.ppy.sh/beatmapsets/1215814" TargetMode="External"/><Relationship Id="rId843" Type="http://schemas.openxmlformats.org/officeDocument/2006/relationships/hyperlink" Target="https://osu.ppy.sh/beatmapsets/1695872" TargetMode="External"/><Relationship Id="rId842" Type="http://schemas.openxmlformats.org/officeDocument/2006/relationships/hyperlink" Target="https://b.ppy.sh/thumb/1695872l.jpg" TargetMode="External"/><Relationship Id="rId841" Type="http://schemas.openxmlformats.org/officeDocument/2006/relationships/hyperlink" Target="https://assets.ppy.sh/beatmaps/1695872/covers/cover.jpg" TargetMode="External"/><Relationship Id="rId848" Type="http://schemas.openxmlformats.org/officeDocument/2006/relationships/hyperlink" Target="https://osu.ppy.sh/beatmapsets/1215814" TargetMode="External"/><Relationship Id="rId847" Type="http://schemas.openxmlformats.org/officeDocument/2006/relationships/hyperlink" Target="https://osu.ppy.sh/beatmapsets/1215814" TargetMode="External"/><Relationship Id="rId846" Type="http://schemas.openxmlformats.org/officeDocument/2006/relationships/hyperlink" Target="https://b.ppy.sh/thumb/1215814l.jpg" TargetMode="External"/><Relationship Id="rId845" Type="http://schemas.openxmlformats.org/officeDocument/2006/relationships/hyperlink" Target="https://assets.ppy.sh/beatmaps/1215814/covers/cover.jpg" TargetMode="External"/><Relationship Id="rId1670" Type="http://schemas.openxmlformats.org/officeDocument/2006/relationships/hyperlink" Target="https://b.ppy.sh/thumb/1123944l.jpg" TargetMode="External"/><Relationship Id="rId840" Type="http://schemas.openxmlformats.org/officeDocument/2006/relationships/hyperlink" Target="https://osu.ppy.sh/beatmapsets/1695872" TargetMode="External"/><Relationship Id="rId1671" Type="http://schemas.openxmlformats.org/officeDocument/2006/relationships/hyperlink" Target="https://osu.ppy.sh/beatmapsets/1123944" TargetMode="External"/><Relationship Id="rId1672" Type="http://schemas.openxmlformats.org/officeDocument/2006/relationships/hyperlink" Target="https://osu.ppy.sh/beatmapsets/1123944" TargetMode="External"/><Relationship Id="rId1673" Type="http://schemas.openxmlformats.org/officeDocument/2006/relationships/hyperlink" Target="https://assets.ppy.sh/beatmaps/1123944/covers/cover.jpg" TargetMode="External"/><Relationship Id="rId1674" Type="http://schemas.openxmlformats.org/officeDocument/2006/relationships/hyperlink" Target="https://b.ppy.sh/thumb/1123944l.jpg" TargetMode="External"/><Relationship Id="rId1664" Type="http://schemas.openxmlformats.org/officeDocument/2006/relationships/hyperlink" Target="https://osu.ppy.sh/beatmapsets/1093430" TargetMode="External"/><Relationship Id="rId1665" Type="http://schemas.openxmlformats.org/officeDocument/2006/relationships/hyperlink" Target="https://assets.ppy.sh/beatmaps/1093430/covers/cover.jpg" TargetMode="External"/><Relationship Id="rId1666" Type="http://schemas.openxmlformats.org/officeDocument/2006/relationships/hyperlink" Target="https://b.ppy.sh/thumb/1093430l.jpg" TargetMode="External"/><Relationship Id="rId1667" Type="http://schemas.openxmlformats.org/officeDocument/2006/relationships/hyperlink" Target="https://osu.ppy.sh/beatmapsets/1093430" TargetMode="External"/><Relationship Id="rId1668" Type="http://schemas.openxmlformats.org/officeDocument/2006/relationships/hyperlink" Target="https://osu.ppy.sh/beatmapsets/1123944" TargetMode="External"/><Relationship Id="rId1669" Type="http://schemas.openxmlformats.org/officeDocument/2006/relationships/hyperlink" Target="https://assets.ppy.sh/beatmaps/1123944/covers/cover.jpg" TargetMode="External"/><Relationship Id="rId839" Type="http://schemas.openxmlformats.org/officeDocument/2006/relationships/hyperlink" Target="https://osu.ppy.sh/beatmapsets/1695872" TargetMode="External"/><Relationship Id="rId838" Type="http://schemas.openxmlformats.org/officeDocument/2006/relationships/hyperlink" Target="https://b.ppy.sh/thumb/1695872l.jpg" TargetMode="External"/><Relationship Id="rId833" Type="http://schemas.openxmlformats.org/officeDocument/2006/relationships/hyperlink" Target="https://assets.ppy.sh/beatmaps/12469/covers/cover.jpg" TargetMode="External"/><Relationship Id="rId832" Type="http://schemas.openxmlformats.org/officeDocument/2006/relationships/hyperlink" Target="https://osu.ppy.sh/beatmapsets/12469" TargetMode="External"/><Relationship Id="rId831" Type="http://schemas.openxmlformats.org/officeDocument/2006/relationships/hyperlink" Target="https://osu.ppy.sh/beatmapsets/1855321" TargetMode="External"/><Relationship Id="rId830" Type="http://schemas.openxmlformats.org/officeDocument/2006/relationships/hyperlink" Target="https://b.ppy.sh/thumb/1855321l.jpg" TargetMode="External"/><Relationship Id="rId837" Type="http://schemas.openxmlformats.org/officeDocument/2006/relationships/hyperlink" Target="https://assets.ppy.sh/beatmaps/1695872/covers/cover.jpg" TargetMode="External"/><Relationship Id="rId836" Type="http://schemas.openxmlformats.org/officeDocument/2006/relationships/hyperlink" Target="https://osu.ppy.sh/beatmapsets/1695872" TargetMode="External"/><Relationship Id="rId835" Type="http://schemas.openxmlformats.org/officeDocument/2006/relationships/hyperlink" Target="https://osu.ppy.sh/beatmapsets/12469" TargetMode="External"/><Relationship Id="rId834" Type="http://schemas.openxmlformats.org/officeDocument/2006/relationships/hyperlink" Target="https://b.ppy.sh/thumb/12469l.jpg" TargetMode="External"/><Relationship Id="rId1660" Type="http://schemas.openxmlformats.org/officeDocument/2006/relationships/hyperlink" Target="https://osu.ppy.sh/beatmapsets/1093430" TargetMode="External"/><Relationship Id="rId1661" Type="http://schemas.openxmlformats.org/officeDocument/2006/relationships/hyperlink" Target="https://assets.ppy.sh/beatmaps/1093430/covers/cover.jpg" TargetMode="External"/><Relationship Id="rId1662" Type="http://schemas.openxmlformats.org/officeDocument/2006/relationships/hyperlink" Target="https://b.ppy.sh/thumb/1093430l.jpg" TargetMode="External"/><Relationship Id="rId1663" Type="http://schemas.openxmlformats.org/officeDocument/2006/relationships/hyperlink" Target="https://osu.ppy.sh/beatmapsets/1093430" TargetMode="External"/><Relationship Id="rId469" Type="http://schemas.openxmlformats.org/officeDocument/2006/relationships/hyperlink" Target="https://assets.ppy.sh/beatmaps/25802/covers/cover.jpg" TargetMode="External"/><Relationship Id="rId468" Type="http://schemas.openxmlformats.org/officeDocument/2006/relationships/hyperlink" Target="https://osu.ppy.sh/beatmapsets/25802" TargetMode="External"/><Relationship Id="rId467" Type="http://schemas.openxmlformats.org/officeDocument/2006/relationships/hyperlink" Target="https://osu.ppy.sh/beatmapsets/25802" TargetMode="External"/><Relationship Id="rId1290" Type="http://schemas.openxmlformats.org/officeDocument/2006/relationships/hyperlink" Target="https://b.ppy.sh/thumb/702272l.jpg" TargetMode="External"/><Relationship Id="rId1291" Type="http://schemas.openxmlformats.org/officeDocument/2006/relationships/hyperlink" Target="https://osu.ppy.sh/beatmapsets/702272" TargetMode="External"/><Relationship Id="rId1292" Type="http://schemas.openxmlformats.org/officeDocument/2006/relationships/hyperlink" Target="https://osu.ppy.sh/beatmapsets/299454" TargetMode="External"/><Relationship Id="rId462" Type="http://schemas.openxmlformats.org/officeDocument/2006/relationships/hyperlink" Target="https://b.ppy.sh/thumb/1316097l.jpg" TargetMode="External"/><Relationship Id="rId1293" Type="http://schemas.openxmlformats.org/officeDocument/2006/relationships/hyperlink" Target="https://assets.ppy.sh/beatmaps/299454/covers/cover.jpg" TargetMode="External"/><Relationship Id="rId461" Type="http://schemas.openxmlformats.org/officeDocument/2006/relationships/hyperlink" Target="https://assets.ppy.sh/beatmaps/1316097/covers/cover.jpg" TargetMode="External"/><Relationship Id="rId1294" Type="http://schemas.openxmlformats.org/officeDocument/2006/relationships/hyperlink" Target="https://b.ppy.sh/thumb/299454l.jpg" TargetMode="External"/><Relationship Id="rId460" Type="http://schemas.openxmlformats.org/officeDocument/2006/relationships/hyperlink" Target="https://osu.ppy.sh/beatmapsets/1316097" TargetMode="External"/><Relationship Id="rId1295" Type="http://schemas.openxmlformats.org/officeDocument/2006/relationships/hyperlink" Target="https://osu.ppy.sh/beatmapsets/299454" TargetMode="External"/><Relationship Id="rId1296" Type="http://schemas.openxmlformats.org/officeDocument/2006/relationships/hyperlink" Target="https://osu.ppy.sh/beatmapsets/1349093" TargetMode="External"/><Relationship Id="rId466" Type="http://schemas.openxmlformats.org/officeDocument/2006/relationships/hyperlink" Target="https://b.ppy.sh/thumb/25802l.jpg" TargetMode="External"/><Relationship Id="rId1297" Type="http://schemas.openxmlformats.org/officeDocument/2006/relationships/hyperlink" Target="https://assets.ppy.sh/beatmaps/1349093/covers/cover.jpg" TargetMode="External"/><Relationship Id="rId465" Type="http://schemas.openxmlformats.org/officeDocument/2006/relationships/hyperlink" Target="https://assets.ppy.sh/beatmaps/25802/covers/cover.jpg" TargetMode="External"/><Relationship Id="rId1298" Type="http://schemas.openxmlformats.org/officeDocument/2006/relationships/hyperlink" Target="https://b.ppy.sh/thumb/1349093l.jpg" TargetMode="External"/><Relationship Id="rId464" Type="http://schemas.openxmlformats.org/officeDocument/2006/relationships/hyperlink" Target="https://osu.ppy.sh/beatmapsets/25802" TargetMode="External"/><Relationship Id="rId1299" Type="http://schemas.openxmlformats.org/officeDocument/2006/relationships/hyperlink" Target="https://osu.ppy.sh/beatmapsets/1349093" TargetMode="External"/><Relationship Id="rId463" Type="http://schemas.openxmlformats.org/officeDocument/2006/relationships/hyperlink" Target="https://osu.ppy.sh/beatmapsets/1316097" TargetMode="External"/><Relationship Id="rId459" Type="http://schemas.openxmlformats.org/officeDocument/2006/relationships/hyperlink" Target="https://osu.ppy.sh/beatmapsets/50462" TargetMode="External"/><Relationship Id="rId458" Type="http://schemas.openxmlformats.org/officeDocument/2006/relationships/hyperlink" Target="https://b.ppy.sh/thumb/50462l.jpg" TargetMode="External"/><Relationship Id="rId457" Type="http://schemas.openxmlformats.org/officeDocument/2006/relationships/hyperlink" Target="https://assets.ppy.sh/beatmaps/50462/covers/cover.jpg" TargetMode="External"/><Relationship Id="rId456" Type="http://schemas.openxmlformats.org/officeDocument/2006/relationships/hyperlink" Target="https://osu.ppy.sh/beatmapsets/50462" TargetMode="External"/><Relationship Id="rId1280" Type="http://schemas.openxmlformats.org/officeDocument/2006/relationships/hyperlink" Target="https://osu.ppy.sh/beatmapsets/1621130" TargetMode="External"/><Relationship Id="rId1281" Type="http://schemas.openxmlformats.org/officeDocument/2006/relationships/hyperlink" Target="https://assets.ppy.sh/beatmaps/1621130/covers/cover.jpg" TargetMode="External"/><Relationship Id="rId451" Type="http://schemas.openxmlformats.org/officeDocument/2006/relationships/hyperlink" Target="https://osu.ppy.sh/beatmapsets/1316097" TargetMode="External"/><Relationship Id="rId1282" Type="http://schemas.openxmlformats.org/officeDocument/2006/relationships/hyperlink" Target="https://b.ppy.sh/thumb/1621130l.jpg" TargetMode="External"/><Relationship Id="rId450" Type="http://schemas.openxmlformats.org/officeDocument/2006/relationships/hyperlink" Target="https://b.ppy.sh/thumb/1316097l.jpg" TargetMode="External"/><Relationship Id="rId1283" Type="http://schemas.openxmlformats.org/officeDocument/2006/relationships/hyperlink" Target="https://osu.ppy.sh/beatmapsets/1621130" TargetMode="External"/><Relationship Id="rId1284" Type="http://schemas.openxmlformats.org/officeDocument/2006/relationships/hyperlink" Target="https://osu.ppy.sh/beatmapsets/1098181" TargetMode="External"/><Relationship Id="rId1285" Type="http://schemas.openxmlformats.org/officeDocument/2006/relationships/hyperlink" Target="https://assets.ppy.sh/beatmaps/1098181/covers/cover.jpg" TargetMode="External"/><Relationship Id="rId455" Type="http://schemas.openxmlformats.org/officeDocument/2006/relationships/hyperlink" Target="https://osu.ppy.sh/beatmapsets/25580" TargetMode="External"/><Relationship Id="rId1286" Type="http://schemas.openxmlformats.org/officeDocument/2006/relationships/hyperlink" Target="https://b.ppy.sh/thumb/1098181l.jpg" TargetMode="External"/><Relationship Id="rId454" Type="http://schemas.openxmlformats.org/officeDocument/2006/relationships/hyperlink" Target="https://b.ppy.sh/thumb/25580l.jpg" TargetMode="External"/><Relationship Id="rId1287" Type="http://schemas.openxmlformats.org/officeDocument/2006/relationships/hyperlink" Target="https://osu.ppy.sh/beatmapsets/1098181" TargetMode="External"/><Relationship Id="rId453" Type="http://schemas.openxmlformats.org/officeDocument/2006/relationships/hyperlink" Target="https://assets.ppy.sh/beatmaps/25580/covers/cover.jpg" TargetMode="External"/><Relationship Id="rId1288" Type="http://schemas.openxmlformats.org/officeDocument/2006/relationships/hyperlink" Target="https://osu.ppy.sh/beatmapsets/702272" TargetMode="External"/><Relationship Id="rId452" Type="http://schemas.openxmlformats.org/officeDocument/2006/relationships/hyperlink" Target="https://osu.ppy.sh/beatmapsets/25580" TargetMode="External"/><Relationship Id="rId1289" Type="http://schemas.openxmlformats.org/officeDocument/2006/relationships/hyperlink" Target="https://assets.ppy.sh/beatmaps/702272/covers/cover.jpg" TargetMode="External"/><Relationship Id="rId491" Type="http://schemas.openxmlformats.org/officeDocument/2006/relationships/hyperlink" Target="https://osu.ppy.sh/beatmapsets/409898" TargetMode="External"/><Relationship Id="rId490" Type="http://schemas.openxmlformats.org/officeDocument/2006/relationships/hyperlink" Target="https://b.ppy.sh/thumb/409898l.jpg" TargetMode="External"/><Relationship Id="rId489" Type="http://schemas.openxmlformats.org/officeDocument/2006/relationships/hyperlink" Target="https://assets.ppy.sh/beatmaps/409898/covers/cover.jpg" TargetMode="External"/><Relationship Id="rId484" Type="http://schemas.openxmlformats.org/officeDocument/2006/relationships/hyperlink" Target="https://osu.ppy.sh/beatmapsets/409898" TargetMode="External"/><Relationship Id="rId483" Type="http://schemas.openxmlformats.org/officeDocument/2006/relationships/hyperlink" Target="https://osu.ppy.sh/beatmapsets/1157572" TargetMode="External"/><Relationship Id="rId482" Type="http://schemas.openxmlformats.org/officeDocument/2006/relationships/hyperlink" Target="https://b.ppy.sh/thumb/1157572l.jpg" TargetMode="External"/><Relationship Id="rId481" Type="http://schemas.openxmlformats.org/officeDocument/2006/relationships/hyperlink" Target="https://assets.ppy.sh/beatmaps/1157572/covers/cover.jpg" TargetMode="External"/><Relationship Id="rId488" Type="http://schemas.openxmlformats.org/officeDocument/2006/relationships/hyperlink" Target="https://osu.ppy.sh/beatmapsets/409898" TargetMode="External"/><Relationship Id="rId487" Type="http://schemas.openxmlformats.org/officeDocument/2006/relationships/hyperlink" Target="https://osu.ppy.sh/beatmapsets/409898" TargetMode="External"/><Relationship Id="rId486" Type="http://schemas.openxmlformats.org/officeDocument/2006/relationships/hyperlink" Target="https://b.ppy.sh/thumb/409898l.jpg" TargetMode="External"/><Relationship Id="rId485" Type="http://schemas.openxmlformats.org/officeDocument/2006/relationships/hyperlink" Target="https://assets.ppy.sh/beatmaps/409898/covers/cover.jpg" TargetMode="External"/><Relationship Id="rId480" Type="http://schemas.openxmlformats.org/officeDocument/2006/relationships/hyperlink" Target="https://osu.ppy.sh/beatmapsets/1157572" TargetMode="External"/><Relationship Id="rId479" Type="http://schemas.openxmlformats.org/officeDocument/2006/relationships/hyperlink" Target="https://osu.ppy.sh/beatmapsets/1157572" TargetMode="External"/><Relationship Id="rId478" Type="http://schemas.openxmlformats.org/officeDocument/2006/relationships/hyperlink" Target="https://b.ppy.sh/thumb/1157572l.jpg" TargetMode="External"/><Relationship Id="rId473" Type="http://schemas.openxmlformats.org/officeDocument/2006/relationships/hyperlink" Target="https://assets.ppy.sh/beatmaps/25802/covers/cover.jpg" TargetMode="External"/><Relationship Id="rId472" Type="http://schemas.openxmlformats.org/officeDocument/2006/relationships/hyperlink" Target="https://osu.ppy.sh/beatmapsets/25802" TargetMode="External"/><Relationship Id="rId471" Type="http://schemas.openxmlformats.org/officeDocument/2006/relationships/hyperlink" Target="https://osu.ppy.sh/beatmapsets/25802" TargetMode="External"/><Relationship Id="rId470" Type="http://schemas.openxmlformats.org/officeDocument/2006/relationships/hyperlink" Target="https://b.ppy.sh/thumb/25802l.jpg" TargetMode="External"/><Relationship Id="rId477" Type="http://schemas.openxmlformats.org/officeDocument/2006/relationships/hyperlink" Target="https://assets.ppy.sh/beatmaps/1157572/covers/cover.jpg" TargetMode="External"/><Relationship Id="rId476" Type="http://schemas.openxmlformats.org/officeDocument/2006/relationships/hyperlink" Target="https://osu.ppy.sh/beatmapsets/1157572" TargetMode="External"/><Relationship Id="rId475" Type="http://schemas.openxmlformats.org/officeDocument/2006/relationships/hyperlink" Target="https://osu.ppy.sh/beatmapsets/25802" TargetMode="External"/><Relationship Id="rId474" Type="http://schemas.openxmlformats.org/officeDocument/2006/relationships/hyperlink" Target="https://b.ppy.sh/thumb/25802l.jpg" TargetMode="External"/><Relationship Id="rId1257" Type="http://schemas.openxmlformats.org/officeDocument/2006/relationships/hyperlink" Target="https://assets.ppy.sh/beatmaps/1683876/covers/cover.jpg" TargetMode="External"/><Relationship Id="rId1258" Type="http://schemas.openxmlformats.org/officeDocument/2006/relationships/hyperlink" Target="https://b.ppy.sh/thumb/1683876l.jpg" TargetMode="External"/><Relationship Id="rId1259" Type="http://schemas.openxmlformats.org/officeDocument/2006/relationships/hyperlink" Target="https://osu.ppy.sh/beatmapsets/1683876" TargetMode="External"/><Relationship Id="rId426" Type="http://schemas.openxmlformats.org/officeDocument/2006/relationships/hyperlink" Target="https://b.ppy.sh/thumb/914691l.jpg" TargetMode="External"/><Relationship Id="rId425" Type="http://schemas.openxmlformats.org/officeDocument/2006/relationships/hyperlink" Target="https://assets.ppy.sh/beatmaps/914691/covers/cover.jpg" TargetMode="External"/><Relationship Id="rId424" Type="http://schemas.openxmlformats.org/officeDocument/2006/relationships/hyperlink" Target="https://osu.ppy.sh/beatmapsets/914691" TargetMode="External"/><Relationship Id="rId423" Type="http://schemas.openxmlformats.org/officeDocument/2006/relationships/hyperlink" Target="https://osu.ppy.sh/beatmapsets/701330" TargetMode="External"/><Relationship Id="rId429" Type="http://schemas.openxmlformats.org/officeDocument/2006/relationships/hyperlink" Target="https://assets.ppy.sh/beatmaps/546820/covers/cover.jpg" TargetMode="External"/><Relationship Id="rId428" Type="http://schemas.openxmlformats.org/officeDocument/2006/relationships/hyperlink" Target="https://osu.ppy.sh/beatmapsets/546820" TargetMode="External"/><Relationship Id="rId427" Type="http://schemas.openxmlformats.org/officeDocument/2006/relationships/hyperlink" Target="https://osu.ppy.sh/beatmapsets/914691" TargetMode="External"/><Relationship Id="rId1250" Type="http://schemas.openxmlformats.org/officeDocument/2006/relationships/hyperlink" Target="https://b.ppy.sh/thumb/908811l.jpg" TargetMode="External"/><Relationship Id="rId1251" Type="http://schemas.openxmlformats.org/officeDocument/2006/relationships/hyperlink" Target="https://osu.ppy.sh/beatmapsets/908811" TargetMode="External"/><Relationship Id="rId1252" Type="http://schemas.openxmlformats.org/officeDocument/2006/relationships/hyperlink" Target="https://osu.ppy.sh/beatmapsets/1010865" TargetMode="External"/><Relationship Id="rId422" Type="http://schemas.openxmlformats.org/officeDocument/2006/relationships/hyperlink" Target="https://b.ppy.sh/thumb/701330l.jpg" TargetMode="External"/><Relationship Id="rId1253" Type="http://schemas.openxmlformats.org/officeDocument/2006/relationships/hyperlink" Target="https://assets.ppy.sh/beatmaps/1010865/covers/cover.jpg" TargetMode="External"/><Relationship Id="rId421" Type="http://schemas.openxmlformats.org/officeDocument/2006/relationships/hyperlink" Target="https://assets.ppy.sh/beatmaps/701330/covers/cover.jpg" TargetMode="External"/><Relationship Id="rId1254" Type="http://schemas.openxmlformats.org/officeDocument/2006/relationships/hyperlink" Target="https://b.ppy.sh/thumb/1010865l.jpg" TargetMode="External"/><Relationship Id="rId420" Type="http://schemas.openxmlformats.org/officeDocument/2006/relationships/hyperlink" Target="https://osu.ppy.sh/beatmapsets/701330" TargetMode="External"/><Relationship Id="rId1255" Type="http://schemas.openxmlformats.org/officeDocument/2006/relationships/hyperlink" Target="https://osu.ppy.sh/beatmapsets/1010865" TargetMode="External"/><Relationship Id="rId1256" Type="http://schemas.openxmlformats.org/officeDocument/2006/relationships/hyperlink" Target="https://osu.ppy.sh/beatmapsets/1683876" TargetMode="External"/><Relationship Id="rId1246" Type="http://schemas.openxmlformats.org/officeDocument/2006/relationships/hyperlink" Target="https://b.ppy.sh/thumb/1313297l.jpg" TargetMode="External"/><Relationship Id="rId1247" Type="http://schemas.openxmlformats.org/officeDocument/2006/relationships/hyperlink" Target="https://osu.ppy.sh/beatmapsets/1313297" TargetMode="External"/><Relationship Id="rId1248" Type="http://schemas.openxmlformats.org/officeDocument/2006/relationships/hyperlink" Target="https://osu.ppy.sh/beatmapsets/908811" TargetMode="External"/><Relationship Id="rId1249" Type="http://schemas.openxmlformats.org/officeDocument/2006/relationships/hyperlink" Target="https://assets.ppy.sh/beatmaps/908811/covers/cover.jpg" TargetMode="External"/><Relationship Id="rId415" Type="http://schemas.openxmlformats.org/officeDocument/2006/relationships/hyperlink" Target="https://osu.ppy.sh/beatmapsets/546820" TargetMode="External"/><Relationship Id="rId899" Type="http://schemas.openxmlformats.org/officeDocument/2006/relationships/hyperlink" Target="https://osu.ppy.sh/beatmapsets/1857926" TargetMode="External"/><Relationship Id="rId414" Type="http://schemas.openxmlformats.org/officeDocument/2006/relationships/hyperlink" Target="https://b.ppy.sh/thumb/546820l.jpg" TargetMode="External"/><Relationship Id="rId898" Type="http://schemas.openxmlformats.org/officeDocument/2006/relationships/hyperlink" Target="https://b.ppy.sh/thumb/1857926l.jpg" TargetMode="External"/><Relationship Id="rId413" Type="http://schemas.openxmlformats.org/officeDocument/2006/relationships/hyperlink" Target="https://assets.ppy.sh/beatmaps/546820/covers/cover.jpg" TargetMode="External"/><Relationship Id="rId897" Type="http://schemas.openxmlformats.org/officeDocument/2006/relationships/hyperlink" Target="https://assets.ppy.sh/beatmaps/1857926/covers/cover.jpg" TargetMode="External"/><Relationship Id="rId412" Type="http://schemas.openxmlformats.org/officeDocument/2006/relationships/hyperlink" Target="https://osu.ppy.sh/beatmapsets/546820" TargetMode="External"/><Relationship Id="rId896" Type="http://schemas.openxmlformats.org/officeDocument/2006/relationships/hyperlink" Target="https://osu.ppy.sh/beatmapsets/1857926" TargetMode="External"/><Relationship Id="rId419" Type="http://schemas.openxmlformats.org/officeDocument/2006/relationships/hyperlink" Target="https://osu.ppy.sh/beatmapsets/1285447" TargetMode="External"/><Relationship Id="rId418" Type="http://schemas.openxmlformats.org/officeDocument/2006/relationships/hyperlink" Target="https://b.ppy.sh/thumb/1285447l.jpg" TargetMode="External"/><Relationship Id="rId417" Type="http://schemas.openxmlformats.org/officeDocument/2006/relationships/hyperlink" Target="https://assets.ppy.sh/beatmaps/1285447/covers/cover.jpg" TargetMode="External"/><Relationship Id="rId416" Type="http://schemas.openxmlformats.org/officeDocument/2006/relationships/hyperlink" Target="https://osu.ppy.sh/beatmapsets/1285447" TargetMode="External"/><Relationship Id="rId891" Type="http://schemas.openxmlformats.org/officeDocument/2006/relationships/hyperlink" Target="https://osu.ppy.sh/beatmapsets/1880072" TargetMode="External"/><Relationship Id="rId890" Type="http://schemas.openxmlformats.org/officeDocument/2006/relationships/hyperlink" Target="https://b.ppy.sh/thumb/1880072l.jpg" TargetMode="External"/><Relationship Id="rId1240" Type="http://schemas.openxmlformats.org/officeDocument/2006/relationships/hyperlink" Target="https://osu.ppy.sh/beatmapsets/1313297" TargetMode="External"/><Relationship Id="rId1241" Type="http://schemas.openxmlformats.org/officeDocument/2006/relationships/hyperlink" Target="https://assets.ppy.sh/beatmaps/1313297/covers/cover.jpg" TargetMode="External"/><Relationship Id="rId411" Type="http://schemas.openxmlformats.org/officeDocument/2006/relationships/hyperlink" Target="https://osu.ppy.sh/beatmapsets/701330" TargetMode="External"/><Relationship Id="rId895" Type="http://schemas.openxmlformats.org/officeDocument/2006/relationships/hyperlink" Target="https://osu.ppy.sh/beatmapsets/1857926" TargetMode="External"/><Relationship Id="rId1242" Type="http://schemas.openxmlformats.org/officeDocument/2006/relationships/hyperlink" Target="https://b.ppy.sh/thumb/1313297l.jpg" TargetMode="External"/><Relationship Id="rId410" Type="http://schemas.openxmlformats.org/officeDocument/2006/relationships/hyperlink" Target="https://b.ppy.sh/thumb/701330l.jpg" TargetMode="External"/><Relationship Id="rId894" Type="http://schemas.openxmlformats.org/officeDocument/2006/relationships/hyperlink" Target="https://b.ppy.sh/thumb/1857926l.jpg" TargetMode="External"/><Relationship Id="rId1243" Type="http://schemas.openxmlformats.org/officeDocument/2006/relationships/hyperlink" Target="https://osu.ppy.sh/beatmapsets/1313297" TargetMode="External"/><Relationship Id="rId893" Type="http://schemas.openxmlformats.org/officeDocument/2006/relationships/hyperlink" Target="https://assets.ppy.sh/beatmaps/1857926/covers/cover.jpg" TargetMode="External"/><Relationship Id="rId1244" Type="http://schemas.openxmlformats.org/officeDocument/2006/relationships/hyperlink" Target="https://osu.ppy.sh/beatmapsets/1313297" TargetMode="External"/><Relationship Id="rId892" Type="http://schemas.openxmlformats.org/officeDocument/2006/relationships/hyperlink" Target="https://osu.ppy.sh/beatmapsets/1857926" TargetMode="External"/><Relationship Id="rId1245" Type="http://schemas.openxmlformats.org/officeDocument/2006/relationships/hyperlink" Target="https://assets.ppy.sh/beatmaps/1313297/covers/cover.jpg" TargetMode="External"/><Relationship Id="rId1279" Type="http://schemas.openxmlformats.org/officeDocument/2006/relationships/hyperlink" Target="https://osu.ppy.sh/beatmapsets/1641533" TargetMode="External"/><Relationship Id="rId448" Type="http://schemas.openxmlformats.org/officeDocument/2006/relationships/hyperlink" Target="https://osu.ppy.sh/beatmapsets/1316097" TargetMode="External"/><Relationship Id="rId447" Type="http://schemas.openxmlformats.org/officeDocument/2006/relationships/hyperlink" Target="https://osu.ppy.sh/beatmapsets/50462" TargetMode="External"/><Relationship Id="rId446" Type="http://schemas.openxmlformats.org/officeDocument/2006/relationships/hyperlink" Target="https://b.ppy.sh/thumb/50462l.jpg" TargetMode="External"/><Relationship Id="rId445" Type="http://schemas.openxmlformats.org/officeDocument/2006/relationships/hyperlink" Target="https://assets.ppy.sh/beatmaps/50462/covers/cover.jpg" TargetMode="External"/><Relationship Id="rId449" Type="http://schemas.openxmlformats.org/officeDocument/2006/relationships/hyperlink" Target="https://assets.ppy.sh/beatmaps/1316097/covers/cover.jpg" TargetMode="External"/><Relationship Id="rId1270" Type="http://schemas.openxmlformats.org/officeDocument/2006/relationships/hyperlink" Target="https://b.ppy.sh/thumb/49459l.jpg" TargetMode="External"/><Relationship Id="rId440" Type="http://schemas.openxmlformats.org/officeDocument/2006/relationships/hyperlink" Target="https://osu.ppy.sh/beatmapsets/914691" TargetMode="External"/><Relationship Id="rId1271" Type="http://schemas.openxmlformats.org/officeDocument/2006/relationships/hyperlink" Target="https://osu.ppy.sh/beatmapsets/49459" TargetMode="External"/><Relationship Id="rId1272" Type="http://schemas.openxmlformats.org/officeDocument/2006/relationships/hyperlink" Target="https://osu.ppy.sh/beatmapsets/1641533" TargetMode="External"/><Relationship Id="rId1273" Type="http://schemas.openxmlformats.org/officeDocument/2006/relationships/hyperlink" Target="https://assets.ppy.sh/beatmaps/1641533/covers/cover.jpg" TargetMode="External"/><Relationship Id="rId1274" Type="http://schemas.openxmlformats.org/officeDocument/2006/relationships/hyperlink" Target="https://b.ppy.sh/thumb/1641533l.jpg" TargetMode="External"/><Relationship Id="rId444" Type="http://schemas.openxmlformats.org/officeDocument/2006/relationships/hyperlink" Target="https://osu.ppy.sh/beatmapsets/50462" TargetMode="External"/><Relationship Id="rId1275" Type="http://schemas.openxmlformats.org/officeDocument/2006/relationships/hyperlink" Target="https://osu.ppy.sh/beatmapsets/1641533" TargetMode="External"/><Relationship Id="rId443" Type="http://schemas.openxmlformats.org/officeDocument/2006/relationships/hyperlink" Target="https://osu.ppy.sh/beatmapsets/914691" TargetMode="External"/><Relationship Id="rId1276" Type="http://schemas.openxmlformats.org/officeDocument/2006/relationships/hyperlink" Target="https://osu.ppy.sh/beatmapsets/1641533" TargetMode="External"/><Relationship Id="rId442" Type="http://schemas.openxmlformats.org/officeDocument/2006/relationships/hyperlink" Target="https://b.ppy.sh/thumb/914691l.jpg" TargetMode="External"/><Relationship Id="rId1277" Type="http://schemas.openxmlformats.org/officeDocument/2006/relationships/hyperlink" Target="https://assets.ppy.sh/beatmaps/1641533/covers/cover.jpg" TargetMode="External"/><Relationship Id="rId441" Type="http://schemas.openxmlformats.org/officeDocument/2006/relationships/hyperlink" Target="https://assets.ppy.sh/beatmaps/914691/covers/cover.jpg" TargetMode="External"/><Relationship Id="rId1278" Type="http://schemas.openxmlformats.org/officeDocument/2006/relationships/hyperlink" Target="https://b.ppy.sh/thumb/1641533l.jpg" TargetMode="External"/><Relationship Id="rId1268" Type="http://schemas.openxmlformats.org/officeDocument/2006/relationships/hyperlink" Target="https://osu.ppy.sh/beatmapsets/49459" TargetMode="External"/><Relationship Id="rId1269" Type="http://schemas.openxmlformats.org/officeDocument/2006/relationships/hyperlink" Target="https://assets.ppy.sh/beatmaps/49459/covers/cover.jpg" TargetMode="External"/><Relationship Id="rId437" Type="http://schemas.openxmlformats.org/officeDocument/2006/relationships/hyperlink" Target="https://assets.ppy.sh/beatmaps/25580/covers/cover.jpg" TargetMode="External"/><Relationship Id="rId436" Type="http://schemas.openxmlformats.org/officeDocument/2006/relationships/hyperlink" Target="https://osu.ppy.sh/beatmapsets/25580" TargetMode="External"/><Relationship Id="rId435" Type="http://schemas.openxmlformats.org/officeDocument/2006/relationships/hyperlink" Target="https://osu.ppy.sh/beatmapsets/1285447" TargetMode="External"/><Relationship Id="rId434" Type="http://schemas.openxmlformats.org/officeDocument/2006/relationships/hyperlink" Target="https://b.ppy.sh/thumb/1285447l.jpg" TargetMode="External"/><Relationship Id="rId439" Type="http://schemas.openxmlformats.org/officeDocument/2006/relationships/hyperlink" Target="https://osu.ppy.sh/beatmapsets/25580" TargetMode="External"/><Relationship Id="rId438" Type="http://schemas.openxmlformats.org/officeDocument/2006/relationships/hyperlink" Target="https://b.ppy.sh/thumb/25580l.jpg" TargetMode="External"/><Relationship Id="rId1260" Type="http://schemas.openxmlformats.org/officeDocument/2006/relationships/hyperlink" Target="https://osu.ppy.sh/beatmapsets/828940" TargetMode="External"/><Relationship Id="rId1261" Type="http://schemas.openxmlformats.org/officeDocument/2006/relationships/hyperlink" Target="https://assets.ppy.sh/beatmaps/828940/covers/cover.jpg" TargetMode="External"/><Relationship Id="rId1262" Type="http://schemas.openxmlformats.org/officeDocument/2006/relationships/hyperlink" Target="https://b.ppy.sh/thumb/828940l.jpg" TargetMode="External"/><Relationship Id="rId1263" Type="http://schemas.openxmlformats.org/officeDocument/2006/relationships/hyperlink" Target="https://osu.ppy.sh/beatmapsets/828940" TargetMode="External"/><Relationship Id="rId433" Type="http://schemas.openxmlformats.org/officeDocument/2006/relationships/hyperlink" Target="https://assets.ppy.sh/beatmaps/1285447/covers/cover.jpg" TargetMode="External"/><Relationship Id="rId1264" Type="http://schemas.openxmlformats.org/officeDocument/2006/relationships/hyperlink" Target="https://osu.ppy.sh/beatmapsets/5918" TargetMode="External"/><Relationship Id="rId432" Type="http://schemas.openxmlformats.org/officeDocument/2006/relationships/hyperlink" Target="https://osu.ppy.sh/beatmapsets/1285447" TargetMode="External"/><Relationship Id="rId1265" Type="http://schemas.openxmlformats.org/officeDocument/2006/relationships/hyperlink" Target="https://assets.ppy.sh/beatmaps/5918/covers/cover.jpg" TargetMode="External"/><Relationship Id="rId431" Type="http://schemas.openxmlformats.org/officeDocument/2006/relationships/hyperlink" Target="https://osu.ppy.sh/beatmapsets/546820" TargetMode="External"/><Relationship Id="rId1266" Type="http://schemas.openxmlformats.org/officeDocument/2006/relationships/hyperlink" Target="https://b.ppy.sh/thumb/5918l.jpg" TargetMode="External"/><Relationship Id="rId430" Type="http://schemas.openxmlformats.org/officeDocument/2006/relationships/hyperlink" Target="https://b.ppy.sh/thumb/546820l.jpg" TargetMode="External"/><Relationship Id="rId1267" Type="http://schemas.openxmlformats.org/officeDocument/2006/relationships/hyperlink" Target="https://osu.ppy.sh/beatmapsets/59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5.13"/>
    <col customWidth="1" min="3" max="3" width="3.25"/>
    <col customWidth="1" min="4" max="4" width="4.5"/>
    <col customWidth="1" min="7" max="8" width="9.5"/>
    <col customWidth="1" min="9" max="16" width="3.88"/>
    <col customWidth="1" min="19" max="19" width="3.25"/>
  </cols>
  <sheetData>
    <row r="1" ht="18.75" customHeight="1">
      <c r="A1" s="1"/>
      <c r="B1" s="1"/>
      <c r="C1" s="1"/>
      <c r="D1" s="1"/>
      <c r="E1" s="1"/>
      <c r="F1" s="1"/>
      <c r="G1" s="1"/>
      <c r="H1" s="1"/>
      <c r="I1" s="1"/>
      <c r="J1" s="1"/>
      <c r="K1" s="1"/>
      <c r="L1" s="1"/>
      <c r="M1" s="1"/>
      <c r="N1" s="1"/>
      <c r="O1" s="1"/>
      <c r="P1" s="1"/>
      <c r="Q1" s="1"/>
      <c r="R1" s="1"/>
      <c r="S1" s="2" t="s">
        <v>0</v>
      </c>
    </row>
    <row r="2" ht="18.75" customHeight="1">
      <c r="A2" s="1"/>
      <c r="B2" s="3" t="s">
        <v>1</v>
      </c>
      <c r="C2" s="1"/>
      <c r="D2" s="3" t="s">
        <v>2</v>
      </c>
      <c r="E2" s="3" t="s">
        <v>3</v>
      </c>
      <c r="F2" s="3" t="s">
        <v>4</v>
      </c>
      <c r="G2" s="3" t="s">
        <v>5</v>
      </c>
      <c r="H2" s="3" t="s">
        <v>6</v>
      </c>
      <c r="I2" s="4" t="s">
        <v>7</v>
      </c>
      <c r="J2" s="3" t="s">
        <v>8</v>
      </c>
      <c r="K2" s="3" t="s">
        <v>9</v>
      </c>
      <c r="L2" s="3" t="s">
        <v>10</v>
      </c>
      <c r="M2" s="3" t="s">
        <v>11</v>
      </c>
      <c r="N2" s="3" t="s">
        <v>12</v>
      </c>
      <c r="O2" s="3" t="s">
        <v>13</v>
      </c>
      <c r="P2" s="3" t="s">
        <v>14</v>
      </c>
      <c r="Q2" s="3" t="s">
        <v>15</v>
      </c>
      <c r="R2" s="3" t="s">
        <v>16</v>
      </c>
      <c r="S2" s="2"/>
    </row>
    <row r="3" ht="18.75" customHeight="1">
      <c r="A3" s="1"/>
      <c r="B3" s="5" t="s">
        <v>17</v>
      </c>
      <c r="C3" s="1"/>
      <c r="D3" s="5" t="b">
        <v>1</v>
      </c>
      <c r="E3" s="5" t="s">
        <v>18</v>
      </c>
      <c r="F3" s="5" t="s">
        <v>19</v>
      </c>
      <c r="G3" s="6"/>
      <c r="H3" s="6"/>
      <c r="I3" s="7">
        <v>4.0</v>
      </c>
      <c r="J3" s="5">
        <v>2.0</v>
      </c>
      <c r="K3" s="5">
        <v>2.0</v>
      </c>
      <c r="L3" s="5">
        <v>2.0</v>
      </c>
      <c r="M3" s="5"/>
      <c r="N3" s="5"/>
      <c r="O3" s="5"/>
      <c r="P3" s="5"/>
      <c r="Q3" s="6">
        <f>SUM(I3:P3)</f>
        <v>10</v>
      </c>
      <c r="R3" s="5">
        <v>5.0</v>
      </c>
      <c r="S3" s="1"/>
    </row>
    <row r="4" ht="18.75" customHeight="1">
      <c r="A4" s="1"/>
      <c r="B4" s="5" t="s">
        <v>20</v>
      </c>
      <c r="C4" s="1"/>
      <c r="D4" s="5" t="b">
        <v>0</v>
      </c>
      <c r="E4" s="5"/>
      <c r="F4" s="5"/>
      <c r="G4" s="5"/>
      <c r="H4" s="5"/>
      <c r="I4" s="7"/>
      <c r="J4" s="5"/>
      <c r="K4" s="5"/>
      <c r="L4" s="5"/>
      <c r="M4" s="5"/>
      <c r="N4" s="5"/>
      <c r="O4" s="5"/>
      <c r="P4" s="5"/>
      <c r="Q4" s="6"/>
      <c r="R4" s="6"/>
      <c r="S4" s="1"/>
    </row>
    <row r="5" ht="18.75" customHeight="1">
      <c r="A5" s="1"/>
      <c r="B5" s="5" t="s">
        <v>21</v>
      </c>
      <c r="C5" s="1"/>
      <c r="D5" s="5" t="b">
        <v>0</v>
      </c>
      <c r="E5" s="5"/>
      <c r="F5" s="5"/>
      <c r="G5" s="5"/>
      <c r="H5" s="5"/>
      <c r="I5" s="7"/>
      <c r="J5" s="5"/>
      <c r="K5" s="5"/>
      <c r="L5" s="5"/>
      <c r="M5" s="5"/>
      <c r="N5" s="6"/>
      <c r="O5" s="6"/>
      <c r="P5" s="5"/>
      <c r="Q5" s="6"/>
      <c r="R5" s="6"/>
      <c r="S5" s="1"/>
    </row>
    <row r="6" ht="18.75" customHeight="1">
      <c r="A6" s="1"/>
      <c r="B6" s="5" t="s">
        <v>22</v>
      </c>
      <c r="C6" s="1"/>
      <c r="D6" s="5" t="b">
        <v>0</v>
      </c>
      <c r="E6" s="5"/>
      <c r="F6" s="5"/>
      <c r="G6" s="5"/>
      <c r="H6" s="5"/>
      <c r="I6" s="7"/>
      <c r="J6" s="5"/>
      <c r="K6" s="5"/>
      <c r="L6" s="5"/>
      <c r="M6" s="5"/>
      <c r="N6" s="6"/>
      <c r="O6" s="6"/>
      <c r="P6" s="5"/>
      <c r="Q6" s="6"/>
      <c r="R6" s="6"/>
      <c r="S6" s="1"/>
    </row>
    <row r="7" ht="18.75" customHeight="1">
      <c r="A7" s="1"/>
      <c r="B7" s="5" t="s">
        <v>23</v>
      </c>
      <c r="C7" s="1"/>
      <c r="D7" s="5" t="b">
        <v>1</v>
      </c>
      <c r="E7" s="8" t="s">
        <v>24</v>
      </c>
      <c r="F7" s="5" t="s">
        <v>25</v>
      </c>
      <c r="G7" s="5">
        <v>9.0</v>
      </c>
      <c r="H7" s="5">
        <v>1.0</v>
      </c>
      <c r="I7" s="7">
        <v>5.0</v>
      </c>
      <c r="J7" s="5">
        <v>2.0</v>
      </c>
      <c r="K7" s="5">
        <v>2.0</v>
      </c>
      <c r="L7" s="5">
        <v>3.0</v>
      </c>
      <c r="M7" s="5">
        <v>2.0</v>
      </c>
      <c r="N7" s="6"/>
      <c r="O7" s="6"/>
      <c r="P7" s="5">
        <v>1.0</v>
      </c>
      <c r="Q7" s="6">
        <f t="shared" ref="Q7:Q12" si="1">SUM(I7:P7)</f>
        <v>15</v>
      </c>
      <c r="R7" s="5">
        <v>4.7</v>
      </c>
      <c r="S7" s="1"/>
    </row>
    <row r="8" ht="18.75" customHeight="1">
      <c r="A8" s="1"/>
      <c r="B8" s="5" t="s">
        <v>26</v>
      </c>
      <c r="C8" s="1"/>
      <c r="D8" s="5" t="b">
        <v>1</v>
      </c>
      <c r="E8" s="8" t="s">
        <v>27</v>
      </c>
      <c r="F8" s="5" t="s">
        <v>28</v>
      </c>
      <c r="G8" s="5">
        <v>9.0</v>
      </c>
      <c r="H8" s="5">
        <v>1.0</v>
      </c>
      <c r="I8" s="7">
        <v>5.0</v>
      </c>
      <c r="J8" s="5">
        <v>2.0</v>
      </c>
      <c r="K8" s="5">
        <v>2.0</v>
      </c>
      <c r="L8" s="5">
        <v>3.0</v>
      </c>
      <c r="M8" s="5">
        <v>2.0</v>
      </c>
      <c r="N8" s="6"/>
      <c r="O8" s="6"/>
      <c r="P8" s="5">
        <v>1.0</v>
      </c>
      <c r="Q8" s="6">
        <f t="shared" si="1"/>
        <v>15</v>
      </c>
      <c r="R8" s="5">
        <v>4.9</v>
      </c>
      <c r="S8" s="1"/>
    </row>
    <row r="9" ht="18.75" customHeight="1">
      <c r="A9" s="1"/>
      <c r="B9" s="5" t="s">
        <v>29</v>
      </c>
      <c r="C9" s="1"/>
      <c r="D9" s="5" t="b">
        <v>1</v>
      </c>
      <c r="E9" s="9" t="s">
        <v>30</v>
      </c>
      <c r="F9" s="5" t="s">
        <v>31</v>
      </c>
      <c r="G9" s="5">
        <v>11.0</v>
      </c>
      <c r="H9" s="5">
        <v>2.0</v>
      </c>
      <c r="I9" s="7">
        <v>6.0</v>
      </c>
      <c r="J9" s="5">
        <v>3.0</v>
      </c>
      <c r="K9" s="5">
        <v>3.0</v>
      </c>
      <c r="L9" s="5">
        <v>3.0</v>
      </c>
      <c r="M9" s="5">
        <v>2.0</v>
      </c>
      <c r="N9" s="6"/>
      <c r="O9" s="6"/>
      <c r="P9" s="5">
        <v>1.0</v>
      </c>
      <c r="Q9" s="6">
        <f t="shared" si="1"/>
        <v>18</v>
      </c>
      <c r="R9" s="5">
        <v>5.1</v>
      </c>
      <c r="S9" s="1"/>
    </row>
    <row r="10" ht="18.75" customHeight="1">
      <c r="A10" s="1"/>
      <c r="B10" s="5" t="s">
        <v>32</v>
      </c>
      <c r="C10" s="1"/>
      <c r="D10" s="5" t="b">
        <v>1</v>
      </c>
      <c r="E10" s="9" t="s">
        <v>33</v>
      </c>
      <c r="F10" s="5" t="s">
        <v>34</v>
      </c>
      <c r="G10" s="5">
        <v>11.0</v>
      </c>
      <c r="H10" s="5">
        <v>2.0</v>
      </c>
      <c r="I10" s="7">
        <v>6.0</v>
      </c>
      <c r="J10" s="5">
        <v>3.0</v>
      </c>
      <c r="K10" s="5">
        <v>3.0</v>
      </c>
      <c r="L10" s="5">
        <v>3.0</v>
      </c>
      <c r="M10" s="5">
        <v>2.0</v>
      </c>
      <c r="N10" s="6"/>
      <c r="O10" s="6"/>
      <c r="P10" s="5">
        <v>1.0</v>
      </c>
      <c r="Q10" s="6">
        <f t="shared" si="1"/>
        <v>18</v>
      </c>
      <c r="R10" s="5">
        <v>5.3</v>
      </c>
      <c r="S10" s="1"/>
    </row>
    <row r="11" ht="18.75" customHeight="1">
      <c r="A11" s="1"/>
      <c r="B11" s="5" t="s">
        <v>35</v>
      </c>
      <c r="C11" s="1"/>
      <c r="D11" s="5" t="b">
        <v>1</v>
      </c>
      <c r="E11" s="10" t="s">
        <v>36</v>
      </c>
      <c r="F11" s="5" t="s">
        <v>37</v>
      </c>
      <c r="G11" s="5">
        <v>13.0</v>
      </c>
      <c r="H11" s="5">
        <v>2.0</v>
      </c>
      <c r="I11" s="7">
        <v>6.0</v>
      </c>
      <c r="J11" s="5">
        <v>3.0</v>
      </c>
      <c r="K11" s="5">
        <v>3.0</v>
      </c>
      <c r="L11" s="5">
        <v>4.0</v>
      </c>
      <c r="M11" s="5">
        <v>3.0</v>
      </c>
      <c r="N11" s="6"/>
      <c r="O11" s="6"/>
      <c r="P11" s="5">
        <v>1.0</v>
      </c>
      <c r="Q11" s="6">
        <f t="shared" si="1"/>
        <v>20</v>
      </c>
      <c r="R11" s="5">
        <v>5.5</v>
      </c>
      <c r="S11" s="1"/>
    </row>
    <row r="12" ht="18.75" customHeight="1">
      <c r="A12" s="1"/>
      <c r="B12" s="5" t="s">
        <v>38</v>
      </c>
      <c r="C12" s="1"/>
      <c r="D12" s="5" t="b">
        <v>1</v>
      </c>
      <c r="E12" s="10" t="s">
        <v>39</v>
      </c>
      <c r="F12" s="5" t="s">
        <v>40</v>
      </c>
      <c r="G12" s="5">
        <v>13.0</v>
      </c>
      <c r="H12" s="5">
        <v>2.0</v>
      </c>
      <c r="I12" s="11">
        <v>6.0</v>
      </c>
      <c r="J12" s="12">
        <v>3.0</v>
      </c>
      <c r="K12" s="12">
        <v>3.0</v>
      </c>
      <c r="L12" s="5">
        <v>4.0</v>
      </c>
      <c r="M12" s="5">
        <v>3.0</v>
      </c>
      <c r="N12" s="6"/>
      <c r="O12" s="6"/>
      <c r="P12" s="12">
        <v>1.0</v>
      </c>
      <c r="Q12" s="6">
        <f t="shared" si="1"/>
        <v>20</v>
      </c>
      <c r="R12" s="5">
        <v>5.7</v>
      </c>
      <c r="S12" s="2"/>
    </row>
    <row r="13" ht="18.75" customHeight="1">
      <c r="A13" s="1"/>
      <c r="B13" s="5" t="s">
        <v>41</v>
      </c>
      <c r="C13" s="1"/>
      <c r="D13" s="1"/>
      <c r="E13" s="1"/>
      <c r="F13" s="1"/>
      <c r="G13" s="1"/>
      <c r="H13" s="1"/>
      <c r="I13" s="1"/>
      <c r="J13" s="1"/>
      <c r="K13" s="1"/>
      <c r="L13" s="1"/>
      <c r="M13" s="1"/>
      <c r="N13" s="1"/>
      <c r="O13" s="1"/>
      <c r="P13" s="1"/>
      <c r="Q13" s="1"/>
      <c r="R13" s="1"/>
      <c r="S13" s="1"/>
    </row>
    <row r="14" ht="18.75" customHeight="1">
      <c r="A14" s="1"/>
      <c r="B14" s="5" t="s">
        <v>42</v>
      </c>
      <c r="C14" s="1"/>
      <c r="D14" s="1"/>
      <c r="E14" s="1"/>
      <c r="F14" s="1"/>
      <c r="G14" s="1"/>
      <c r="H14" s="1"/>
      <c r="I14" s="1"/>
      <c r="J14" s="1"/>
      <c r="K14" s="1"/>
      <c r="L14" s="1"/>
      <c r="M14" s="1"/>
      <c r="N14" s="1"/>
      <c r="O14" s="1"/>
      <c r="P14" s="1"/>
      <c r="Q14" s="1"/>
      <c r="R14" s="1"/>
      <c r="S14" s="1"/>
    </row>
    <row r="15" ht="18.75" customHeight="1">
      <c r="A15" s="1"/>
      <c r="B15" s="1"/>
      <c r="C15" s="1"/>
      <c r="D15" s="1"/>
      <c r="E15" s="1"/>
      <c r="F15" s="1"/>
      <c r="G15" s="1"/>
      <c r="H15" s="1"/>
      <c r="I15" s="1"/>
      <c r="J15" s="1"/>
      <c r="K15" s="1"/>
      <c r="L15" s="1"/>
      <c r="M15" s="1"/>
      <c r="N15" s="1"/>
      <c r="O15" s="1"/>
      <c r="P15" s="1"/>
      <c r="Q15" s="1"/>
      <c r="R15" s="1"/>
      <c r="S15" s="1"/>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37.63"/>
    <col customWidth="1" min="3" max="3" width="12.63"/>
    <col customWidth="1" min="4" max="4" width="9.5"/>
    <col customWidth="1" min="5" max="5" width="18.88"/>
    <col customWidth="1" min="6" max="6" width="11.13"/>
    <col customWidth="1" min="7" max="8" width="25.13"/>
    <col customWidth="1" min="9" max="9" width="3.25"/>
    <col customWidth="1" min="12" max="12" width="5.13"/>
    <col customWidth="1" min="13" max="13" width="11.13"/>
    <col customWidth="1" min="14" max="14" width="31.38"/>
    <col customWidth="1" min="15" max="21" width="6.38" outlineLevel="1"/>
    <col min="22" max="23" width="12.63" outlineLevel="1"/>
    <col customWidth="1" min="24" max="24" width="3.25"/>
  </cols>
  <sheetData>
    <row r="1" ht="18.75" customHeight="1">
      <c r="A1" s="13"/>
      <c r="B1" s="13"/>
      <c r="C1" s="13"/>
      <c r="D1" s="13"/>
      <c r="E1" s="13"/>
      <c r="F1" s="13"/>
      <c r="G1" s="13"/>
      <c r="H1" s="13"/>
      <c r="I1" s="13"/>
      <c r="J1" s="13"/>
      <c r="K1" s="13"/>
      <c r="L1" s="13"/>
      <c r="M1" s="13"/>
      <c r="N1" s="13"/>
      <c r="O1" s="13"/>
      <c r="P1" s="13"/>
      <c r="Q1" s="13"/>
      <c r="R1" s="13"/>
      <c r="S1" s="13"/>
      <c r="T1" s="13"/>
      <c r="U1" s="13"/>
      <c r="V1" s="13"/>
      <c r="W1" s="13"/>
      <c r="X1" s="13"/>
    </row>
    <row r="2" ht="18.75" customHeight="1">
      <c r="A2" s="13"/>
      <c r="B2" s="14" t="s">
        <v>43</v>
      </c>
      <c r="C2" s="15" t="s">
        <v>5</v>
      </c>
      <c r="D2" s="16" t="str">
        <f>IFERROR(VLOOKUP(B2,Settings!E3:H12,3,0),"")</f>
        <v/>
      </c>
      <c r="E2" s="17" t="s">
        <v>6</v>
      </c>
      <c r="F2" s="18" t="str">
        <f>IFERROR(VLOOKUP(B2,Settings!E3:H12,4,0),"")</f>
        <v/>
      </c>
      <c r="G2" s="13"/>
      <c r="H2" s="13"/>
      <c r="I2" s="13"/>
      <c r="J2" s="13"/>
      <c r="K2" s="13"/>
      <c r="L2" s="13"/>
      <c r="M2" s="13"/>
      <c r="N2" s="13"/>
      <c r="O2" s="13"/>
      <c r="P2" s="13"/>
      <c r="Q2" s="13"/>
      <c r="R2" s="13"/>
      <c r="S2" s="13"/>
      <c r="T2" s="13"/>
      <c r="U2" s="13"/>
      <c r="V2" s="13"/>
      <c r="W2" s="13"/>
      <c r="X2" s="13"/>
    </row>
    <row r="3" ht="26.25" customHeight="1">
      <c r="A3" s="13"/>
      <c r="B3" s="19" t="s">
        <v>44</v>
      </c>
      <c r="C3" s="20"/>
      <c r="D3" s="20"/>
      <c r="E3" s="20"/>
      <c r="F3" s="20"/>
      <c r="G3" s="20"/>
      <c r="H3" s="20"/>
      <c r="I3" s="13"/>
      <c r="J3" s="19" t="s">
        <v>45</v>
      </c>
      <c r="K3" s="20"/>
      <c r="L3" s="20"/>
      <c r="M3" s="20"/>
      <c r="N3" s="20"/>
      <c r="O3" s="20"/>
      <c r="P3" s="20"/>
      <c r="Q3" s="20"/>
      <c r="R3" s="20"/>
      <c r="S3" s="20"/>
      <c r="T3" s="20"/>
      <c r="U3" s="20"/>
      <c r="V3" s="20"/>
      <c r="W3" s="20"/>
      <c r="X3" s="13"/>
    </row>
    <row r="4" ht="18.75" customHeight="1">
      <c r="A4" s="13"/>
      <c r="B4" s="21" t="s">
        <v>46</v>
      </c>
      <c r="C4" s="21" t="s">
        <v>47</v>
      </c>
      <c r="D4" s="21" t="s">
        <v>48</v>
      </c>
      <c r="E4" s="21" t="s">
        <v>49</v>
      </c>
      <c r="F4" s="21" t="s">
        <v>50</v>
      </c>
      <c r="G4" s="22"/>
      <c r="H4" s="21" t="s">
        <v>51</v>
      </c>
      <c r="I4" s="13"/>
      <c r="J4" s="21" t="s">
        <v>52</v>
      </c>
      <c r="K4" s="21" t="s">
        <v>47</v>
      </c>
      <c r="L4" s="23" t="s">
        <v>48</v>
      </c>
      <c r="M4" s="21" t="s">
        <v>50</v>
      </c>
      <c r="N4" s="22"/>
      <c r="O4" s="24" t="s">
        <v>53</v>
      </c>
      <c r="P4" s="25" t="s">
        <v>54</v>
      </c>
      <c r="Q4" s="26" t="s">
        <v>55</v>
      </c>
      <c r="R4" s="27" t="s">
        <v>56</v>
      </c>
      <c r="S4" s="21" t="s">
        <v>57</v>
      </c>
      <c r="T4" s="21" t="s">
        <v>58</v>
      </c>
      <c r="U4" s="28" t="s">
        <v>59</v>
      </c>
      <c r="V4" s="21" t="s">
        <v>60</v>
      </c>
      <c r="W4" s="21" t="s">
        <v>47</v>
      </c>
      <c r="X4" s="13"/>
    </row>
    <row r="5" ht="37.5" customHeight="1">
      <c r="A5" s="13"/>
      <c r="B5" s="29"/>
      <c r="C5" s="30"/>
      <c r="D5" s="31"/>
      <c r="E5" s="31"/>
      <c r="F5" s="32" t="str">
        <f t="array" ref="F5:F104">MAP(C5:C104,LAMBDA(id,IFNA(IMAGE(MAPDATA(id,"cover_url")),"")))</f>
        <v/>
      </c>
      <c r="G5" s="33" t="str">
        <f t="array" ref="G5:G104">IFNA(HYPERLINK(VLOOKUP(C5:C104,'_api'!B3:BC104,MATCH("url",'_api'!B2:X2,0),0),VLOOKUP(C5:C104,'_api'!B3:BC104,MATCH("string",'_api'!B2:X2,0),0)),"")</f>
        <v/>
      </c>
      <c r="H5" s="33"/>
      <c r="I5" s="13"/>
      <c r="J5" s="34"/>
      <c r="K5" s="35"/>
      <c r="L5" s="36" t="str">
        <f>IFERROR(__xludf.DUMMYFUNCTION("TRANSPOSE(SPLIT(JOIN("","",MAP(TRANSPOSE(Settings!I2:P2),TRANSPOSE(INDEX(Settings!I3:P12,MATCH(B2,Settings!E3:E12,0))),LAMBDA(mod,n,JOIN("","",ARRAYFORMULA(IF(n=0,"""",mod&amp;SEQUENCE(n))))))),"",""))"),"#VALUE!")</f>
        <v>#VALUE!</v>
      </c>
      <c r="M5" s="34" t="str">
        <f t="array" ref="M5:M104">MAP(K5:K104,LAMBDA(id,IFNA(IMAGE(MAPDATA(id,"cover_url")),"")))</f>
        <v/>
      </c>
      <c r="N5" s="37" t="str">
        <f>IFNA(MAPDATA(K5:K104,"string_url"),"")</f>
        <v/>
      </c>
      <c r="O5" s="38" t="str">
        <f t="array" ref="O5:Q104">IFNA(MAPDATA_MODDED(K5:K104,{"difficultyrating","bpm","hit_length"},L5:L104),"")</f>
        <v>#VALUE!</v>
      </c>
      <c r="P5" s="39" t="e">
        <v>#VALUE!</v>
      </c>
      <c r="Q5" s="40" t="e">
        <v>#VALUE!</v>
      </c>
      <c r="R5" s="41" t="str">
        <f t="array" ref="R5:U104">IFNA(MAPDATA_MODDED(K5:K104,"diff_"&amp;{"size","approach","overall","drain"},L5:L104),"")</f>
        <v>#VALUE!</v>
      </c>
      <c r="S5" s="42" t="e">
        <v>#VALUE!</v>
      </c>
      <c r="T5" s="42" t="e">
        <v>#VALUE!</v>
      </c>
      <c r="U5" s="43" t="e">
        <v>#VALUE!</v>
      </c>
      <c r="V5" s="34" t="str">
        <f t="array" ref="V5:W104">IFNA(MAPDATA(K5:K104,{"creator","beatmap_id"}),"")</f>
        <v/>
      </c>
      <c r="W5" s="34"/>
      <c r="X5" s="13"/>
    </row>
    <row r="6" ht="37.5" customHeight="1">
      <c r="A6" s="13"/>
      <c r="B6" s="44"/>
      <c r="C6" s="45"/>
      <c r="D6" s="32"/>
      <c r="E6" s="32"/>
      <c r="F6" s="32"/>
      <c r="G6" s="33"/>
      <c r="H6" s="33"/>
      <c r="I6" s="13"/>
      <c r="J6" s="34"/>
      <c r="K6" s="46"/>
      <c r="L6" s="36"/>
      <c r="M6" s="34"/>
      <c r="N6" s="37"/>
      <c r="O6" s="38"/>
      <c r="P6" s="39"/>
      <c r="Q6" s="40"/>
      <c r="R6" s="41"/>
      <c r="S6" s="42"/>
      <c r="T6" s="42"/>
      <c r="U6" s="43"/>
      <c r="V6" s="34"/>
      <c r="W6" s="34"/>
      <c r="X6" s="13"/>
    </row>
    <row r="7" ht="37.5" customHeight="1">
      <c r="A7" s="13"/>
      <c r="B7" s="44"/>
      <c r="C7" s="45"/>
      <c r="D7" s="32"/>
      <c r="E7" s="32"/>
      <c r="F7" s="32"/>
      <c r="G7" s="33"/>
      <c r="H7" s="33"/>
      <c r="I7" s="13"/>
      <c r="J7" s="34"/>
      <c r="K7" s="46"/>
      <c r="L7" s="36"/>
      <c r="M7" s="34"/>
      <c r="N7" s="37"/>
      <c r="O7" s="38"/>
      <c r="P7" s="39"/>
      <c r="Q7" s="40"/>
      <c r="R7" s="41"/>
      <c r="S7" s="42"/>
      <c r="T7" s="42"/>
      <c r="U7" s="43"/>
      <c r="V7" s="34"/>
      <c r="W7" s="34"/>
      <c r="X7" s="13"/>
    </row>
    <row r="8" ht="37.5" customHeight="1">
      <c r="A8" s="13"/>
      <c r="B8" s="44"/>
      <c r="C8" s="45"/>
      <c r="D8" s="32"/>
      <c r="E8" s="32"/>
      <c r="F8" s="32"/>
      <c r="G8" s="33"/>
      <c r="H8" s="33"/>
      <c r="I8" s="13"/>
      <c r="J8" s="34"/>
      <c r="K8" s="46"/>
      <c r="L8" s="36"/>
      <c r="M8" s="34"/>
      <c r="N8" s="37"/>
      <c r="O8" s="38"/>
      <c r="P8" s="39"/>
      <c r="Q8" s="40"/>
      <c r="R8" s="41"/>
      <c r="S8" s="42"/>
      <c r="T8" s="42"/>
      <c r="U8" s="43"/>
      <c r="V8" s="34"/>
      <c r="W8" s="34"/>
      <c r="X8" s="13"/>
    </row>
    <row r="9" ht="37.5" customHeight="1">
      <c r="A9" s="13"/>
      <c r="B9" s="44"/>
      <c r="C9" s="45"/>
      <c r="D9" s="32"/>
      <c r="E9" s="32"/>
      <c r="F9" s="32"/>
      <c r="G9" s="33"/>
      <c r="H9" s="33"/>
      <c r="I9" s="13"/>
      <c r="J9" s="34"/>
      <c r="K9" s="46"/>
      <c r="L9" s="36"/>
      <c r="M9" s="34"/>
      <c r="N9" s="37"/>
      <c r="O9" s="38"/>
      <c r="P9" s="39"/>
      <c r="Q9" s="40"/>
      <c r="R9" s="41"/>
      <c r="S9" s="42"/>
      <c r="T9" s="42"/>
      <c r="U9" s="43"/>
      <c r="V9" s="34"/>
      <c r="W9" s="34"/>
      <c r="X9" s="13"/>
    </row>
    <row r="10" ht="37.5" customHeight="1">
      <c r="A10" s="13"/>
      <c r="B10" s="44"/>
      <c r="C10" s="45"/>
      <c r="D10" s="32"/>
      <c r="E10" s="32"/>
      <c r="F10" s="32"/>
      <c r="G10" s="33"/>
      <c r="H10" s="33"/>
      <c r="I10" s="13"/>
      <c r="J10" s="34"/>
      <c r="K10" s="46"/>
      <c r="L10" s="36"/>
      <c r="M10" s="34"/>
      <c r="N10" s="37"/>
      <c r="O10" s="38"/>
      <c r="P10" s="39"/>
      <c r="Q10" s="40"/>
      <c r="R10" s="41"/>
      <c r="S10" s="42"/>
      <c r="T10" s="42"/>
      <c r="U10" s="43"/>
      <c r="V10" s="34"/>
      <c r="W10" s="34"/>
      <c r="X10" s="13"/>
    </row>
    <row r="11" ht="37.5" customHeight="1">
      <c r="A11" s="13"/>
      <c r="B11" s="44"/>
      <c r="C11" s="45"/>
      <c r="D11" s="32"/>
      <c r="E11" s="32"/>
      <c r="F11" s="32"/>
      <c r="G11" s="33"/>
      <c r="H11" s="33"/>
      <c r="I11" s="13"/>
      <c r="J11" s="34"/>
      <c r="K11" s="46"/>
      <c r="L11" s="36"/>
      <c r="M11" s="34"/>
      <c r="N11" s="37"/>
      <c r="O11" s="38"/>
      <c r="P11" s="39"/>
      <c r="Q11" s="40"/>
      <c r="R11" s="41"/>
      <c r="S11" s="42"/>
      <c r="T11" s="42"/>
      <c r="U11" s="43"/>
      <c r="V11" s="34"/>
      <c r="W11" s="34"/>
      <c r="X11" s="13"/>
    </row>
    <row r="12" ht="37.5" customHeight="1">
      <c r="A12" s="13"/>
      <c r="B12" s="44"/>
      <c r="C12" s="45"/>
      <c r="D12" s="32"/>
      <c r="E12" s="32"/>
      <c r="F12" s="32"/>
      <c r="G12" s="33"/>
      <c r="H12" s="33"/>
      <c r="I12" s="13"/>
      <c r="J12" s="34"/>
      <c r="K12" s="46"/>
      <c r="L12" s="36"/>
      <c r="M12" s="34"/>
      <c r="N12" s="37"/>
      <c r="O12" s="38"/>
      <c r="P12" s="39"/>
      <c r="Q12" s="40"/>
      <c r="R12" s="41"/>
      <c r="S12" s="42"/>
      <c r="T12" s="42"/>
      <c r="U12" s="43"/>
      <c r="V12" s="34"/>
      <c r="W12" s="34"/>
      <c r="X12" s="13"/>
    </row>
    <row r="13" ht="37.5" customHeight="1">
      <c r="A13" s="13"/>
      <c r="B13" s="44"/>
      <c r="C13" s="47"/>
      <c r="D13" s="32"/>
      <c r="E13" s="32"/>
      <c r="F13" s="32"/>
      <c r="G13" s="33"/>
      <c r="H13" s="33"/>
      <c r="I13" s="13"/>
      <c r="J13" s="34"/>
      <c r="K13" s="46"/>
      <c r="L13" s="36"/>
      <c r="M13" s="34"/>
      <c r="N13" s="37"/>
      <c r="O13" s="38"/>
      <c r="P13" s="39"/>
      <c r="Q13" s="40"/>
      <c r="R13" s="41"/>
      <c r="S13" s="42"/>
      <c r="T13" s="42"/>
      <c r="U13" s="43"/>
      <c r="V13" s="34"/>
      <c r="W13" s="34"/>
      <c r="X13" s="13"/>
    </row>
    <row r="14" ht="37.5" customHeight="1">
      <c r="A14" s="13"/>
      <c r="B14" s="44"/>
      <c r="C14" s="47"/>
      <c r="D14" s="32"/>
      <c r="E14" s="32"/>
      <c r="F14" s="32"/>
      <c r="G14" s="33"/>
      <c r="H14" s="33"/>
      <c r="I14" s="13"/>
      <c r="J14" s="34"/>
      <c r="K14" s="46"/>
      <c r="L14" s="36"/>
      <c r="M14" s="34"/>
      <c r="N14" s="37"/>
      <c r="O14" s="38"/>
      <c r="P14" s="39"/>
      <c r="Q14" s="40"/>
      <c r="R14" s="41"/>
      <c r="S14" s="42"/>
      <c r="T14" s="42"/>
      <c r="U14" s="43"/>
      <c r="V14" s="34"/>
      <c r="W14" s="34"/>
      <c r="X14" s="13"/>
    </row>
    <row r="15" ht="37.5" customHeight="1">
      <c r="A15" s="13"/>
      <c r="B15" s="44"/>
      <c r="C15" s="47"/>
      <c r="D15" s="32"/>
      <c r="E15" s="32"/>
      <c r="F15" s="32"/>
      <c r="G15" s="33"/>
      <c r="H15" s="33"/>
      <c r="I15" s="13"/>
      <c r="J15" s="34"/>
      <c r="K15" s="46"/>
      <c r="L15" s="36"/>
      <c r="M15" s="34"/>
      <c r="N15" s="37"/>
      <c r="O15" s="38"/>
      <c r="P15" s="39"/>
      <c r="Q15" s="40"/>
      <c r="R15" s="41"/>
      <c r="S15" s="42"/>
      <c r="T15" s="42"/>
      <c r="U15" s="43"/>
      <c r="V15" s="34"/>
      <c r="W15" s="34"/>
      <c r="X15" s="13"/>
    </row>
    <row r="16" ht="37.5" customHeight="1">
      <c r="A16" s="13"/>
      <c r="B16" s="44"/>
      <c r="C16" s="47"/>
      <c r="D16" s="32"/>
      <c r="E16" s="32"/>
      <c r="F16" s="32"/>
      <c r="G16" s="33"/>
      <c r="H16" s="33"/>
      <c r="I16" s="13"/>
      <c r="J16" s="34"/>
      <c r="K16" s="46"/>
      <c r="L16" s="36"/>
      <c r="M16" s="34"/>
      <c r="N16" s="37"/>
      <c r="O16" s="38"/>
      <c r="P16" s="39"/>
      <c r="Q16" s="40"/>
      <c r="R16" s="41"/>
      <c r="S16" s="42"/>
      <c r="T16" s="42"/>
      <c r="U16" s="43"/>
      <c r="V16" s="34"/>
      <c r="W16" s="34"/>
      <c r="X16" s="13"/>
    </row>
    <row r="17" ht="37.5" customHeight="1">
      <c r="A17" s="13"/>
      <c r="B17" s="48"/>
      <c r="C17" s="47"/>
      <c r="D17" s="32"/>
      <c r="E17" s="32"/>
      <c r="F17" s="32"/>
      <c r="G17" s="33"/>
      <c r="H17" s="33"/>
      <c r="I17" s="13"/>
      <c r="J17" s="34"/>
      <c r="K17" s="46"/>
      <c r="L17" s="36"/>
      <c r="M17" s="34"/>
      <c r="N17" s="37"/>
      <c r="O17" s="38"/>
      <c r="P17" s="39"/>
      <c r="Q17" s="40"/>
      <c r="R17" s="41"/>
      <c r="S17" s="42"/>
      <c r="T17" s="42"/>
      <c r="U17" s="43"/>
      <c r="V17" s="34"/>
      <c r="W17" s="34"/>
      <c r="X17" s="13"/>
    </row>
    <row r="18" ht="37.5" customHeight="1">
      <c r="A18" s="13"/>
      <c r="B18" s="48"/>
      <c r="C18" s="47"/>
      <c r="D18" s="32"/>
      <c r="E18" s="32"/>
      <c r="F18" s="32"/>
      <c r="G18" s="33"/>
      <c r="H18" s="33"/>
      <c r="I18" s="13"/>
      <c r="J18" s="34"/>
      <c r="K18" s="46"/>
      <c r="L18" s="36"/>
      <c r="M18" s="34"/>
      <c r="N18" s="37"/>
      <c r="O18" s="38"/>
      <c r="P18" s="39"/>
      <c r="Q18" s="40"/>
      <c r="R18" s="41"/>
      <c r="S18" s="42"/>
      <c r="T18" s="42"/>
      <c r="U18" s="43"/>
      <c r="V18" s="34"/>
      <c r="W18" s="34"/>
      <c r="X18" s="13"/>
    </row>
    <row r="19" ht="37.5" customHeight="1">
      <c r="A19" s="13"/>
      <c r="B19" s="48"/>
      <c r="C19" s="47"/>
      <c r="D19" s="32"/>
      <c r="E19" s="32"/>
      <c r="F19" s="32"/>
      <c r="G19" s="33"/>
      <c r="H19" s="33"/>
      <c r="I19" s="13"/>
      <c r="J19" s="34"/>
      <c r="K19" s="46"/>
      <c r="L19" s="36"/>
      <c r="M19" s="34"/>
      <c r="N19" s="37"/>
      <c r="O19" s="38"/>
      <c r="P19" s="39"/>
      <c r="Q19" s="40"/>
      <c r="R19" s="41"/>
      <c r="S19" s="42"/>
      <c r="T19" s="42"/>
      <c r="U19" s="43"/>
      <c r="V19" s="34"/>
      <c r="W19" s="34"/>
      <c r="X19" s="13"/>
    </row>
    <row r="20" ht="37.5" customHeight="1">
      <c r="A20" s="13"/>
      <c r="B20" s="48"/>
      <c r="C20" s="47"/>
      <c r="D20" s="32"/>
      <c r="E20" s="32"/>
      <c r="F20" s="32"/>
      <c r="G20" s="33"/>
      <c r="H20" s="33"/>
      <c r="I20" s="13"/>
      <c r="J20" s="34"/>
      <c r="K20" s="46"/>
      <c r="L20" s="36"/>
      <c r="M20" s="34"/>
      <c r="N20" s="37"/>
      <c r="O20" s="38"/>
      <c r="P20" s="39"/>
      <c r="Q20" s="40"/>
      <c r="R20" s="41"/>
      <c r="S20" s="42"/>
      <c r="T20" s="42"/>
      <c r="U20" s="43"/>
      <c r="V20" s="34"/>
      <c r="W20" s="34"/>
      <c r="X20" s="13"/>
    </row>
    <row r="21" ht="37.5" customHeight="1">
      <c r="A21" s="13"/>
      <c r="B21" s="48"/>
      <c r="C21" s="47"/>
      <c r="D21" s="32"/>
      <c r="E21" s="32"/>
      <c r="F21" s="32"/>
      <c r="G21" s="33"/>
      <c r="H21" s="33"/>
      <c r="I21" s="13"/>
      <c r="J21" s="34"/>
      <c r="K21" s="46"/>
      <c r="L21" s="36"/>
      <c r="M21" s="34"/>
      <c r="N21" s="37"/>
      <c r="O21" s="38"/>
      <c r="P21" s="39"/>
      <c r="Q21" s="40"/>
      <c r="R21" s="41"/>
      <c r="S21" s="42"/>
      <c r="T21" s="42"/>
      <c r="U21" s="43"/>
      <c r="V21" s="34"/>
      <c r="W21" s="34"/>
      <c r="X21" s="13"/>
    </row>
    <row r="22" ht="37.5" customHeight="1">
      <c r="A22" s="13"/>
      <c r="B22" s="48"/>
      <c r="C22" s="47"/>
      <c r="D22" s="32"/>
      <c r="E22" s="32"/>
      <c r="F22" s="32"/>
      <c r="G22" s="33"/>
      <c r="H22" s="33"/>
      <c r="I22" s="13"/>
      <c r="J22" s="34"/>
      <c r="K22" s="46"/>
      <c r="L22" s="36"/>
      <c r="M22" s="34"/>
      <c r="N22" s="37"/>
      <c r="O22" s="38"/>
      <c r="P22" s="39"/>
      <c r="Q22" s="40"/>
      <c r="R22" s="41"/>
      <c r="S22" s="42"/>
      <c r="T22" s="42"/>
      <c r="U22" s="43"/>
      <c r="V22" s="34"/>
      <c r="W22" s="34"/>
      <c r="X22" s="13"/>
    </row>
    <row r="23" ht="37.5" customHeight="1">
      <c r="A23" s="13"/>
      <c r="B23" s="48"/>
      <c r="C23" s="47"/>
      <c r="D23" s="32"/>
      <c r="E23" s="32"/>
      <c r="F23" s="32"/>
      <c r="G23" s="33"/>
      <c r="H23" s="33"/>
      <c r="I23" s="13"/>
      <c r="J23" s="34"/>
      <c r="K23" s="46"/>
      <c r="L23" s="36"/>
      <c r="M23" s="34"/>
      <c r="N23" s="37"/>
      <c r="O23" s="38"/>
      <c r="P23" s="39"/>
      <c r="Q23" s="40"/>
      <c r="R23" s="41"/>
      <c r="S23" s="42"/>
      <c r="T23" s="42"/>
      <c r="U23" s="43"/>
      <c r="V23" s="34"/>
      <c r="W23" s="34"/>
      <c r="X23" s="13"/>
    </row>
    <row r="24" ht="37.5" customHeight="1">
      <c r="A24" s="13"/>
      <c r="B24" s="48"/>
      <c r="C24" s="47"/>
      <c r="D24" s="32"/>
      <c r="E24" s="32"/>
      <c r="F24" s="32"/>
      <c r="G24" s="33"/>
      <c r="H24" s="33"/>
      <c r="I24" s="13"/>
      <c r="J24" s="34"/>
      <c r="K24" s="46"/>
      <c r="L24" s="36"/>
      <c r="M24" s="34"/>
      <c r="N24" s="37"/>
      <c r="O24" s="38"/>
      <c r="P24" s="39"/>
      <c r="Q24" s="40"/>
      <c r="R24" s="41"/>
      <c r="S24" s="42"/>
      <c r="T24" s="42"/>
      <c r="U24" s="43"/>
      <c r="V24" s="34"/>
      <c r="W24" s="34"/>
      <c r="X24" s="13"/>
    </row>
    <row r="25" ht="37.5" customHeight="1">
      <c r="A25" s="13"/>
      <c r="B25" s="48"/>
      <c r="C25" s="47"/>
      <c r="D25" s="32"/>
      <c r="E25" s="32"/>
      <c r="F25" s="32"/>
      <c r="G25" s="33"/>
      <c r="H25" s="33"/>
      <c r="I25" s="13"/>
      <c r="J25" s="34"/>
      <c r="K25" s="46"/>
      <c r="L25" s="36"/>
      <c r="M25" s="34"/>
      <c r="N25" s="37"/>
      <c r="O25" s="38"/>
      <c r="P25" s="39"/>
      <c r="Q25" s="40"/>
      <c r="R25" s="41"/>
      <c r="S25" s="42"/>
      <c r="T25" s="42"/>
      <c r="U25" s="43"/>
      <c r="V25" s="34"/>
      <c r="W25" s="34"/>
      <c r="X25" s="13"/>
    </row>
    <row r="26" ht="37.5" customHeight="1">
      <c r="A26" s="13"/>
      <c r="B26" s="48"/>
      <c r="C26" s="47"/>
      <c r="D26" s="32"/>
      <c r="E26" s="32"/>
      <c r="F26" s="32"/>
      <c r="G26" s="33"/>
      <c r="H26" s="33"/>
      <c r="I26" s="13"/>
      <c r="J26" s="34"/>
      <c r="K26" s="46"/>
      <c r="L26" s="36"/>
      <c r="M26" s="34"/>
      <c r="N26" s="37"/>
      <c r="O26" s="38"/>
      <c r="P26" s="39"/>
      <c r="Q26" s="40"/>
      <c r="R26" s="41"/>
      <c r="S26" s="42"/>
      <c r="T26" s="42"/>
      <c r="U26" s="43"/>
      <c r="V26" s="34"/>
      <c r="W26" s="34"/>
      <c r="X26" s="13"/>
    </row>
    <row r="27" ht="37.5" customHeight="1">
      <c r="A27" s="13"/>
      <c r="B27" s="48"/>
      <c r="C27" s="47"/>
      <c r="D27" s="32"/>
      <c r="E27" s="32"/>
      <c r="F27" s="32"/>
      <c r="G27" s="33"/>
      <c r="H27" s="33"/>
      <c r="I27" s="13"/>
      <c r="J27" s="34"/>
      <c r="K27" s="46"/>
      <c r="L27" s="36"/>
      <c r="M27" s="34"/>
      <c r="N27" s="37"/>
      <c r="O27" s="38"/>
      <c r="P27" s="39"/>
      <c r="Q27" s="40"/>
      <c r="R27" s="41"/>
      <c r="S27" s="42"/>
      <c r="T27" s="42"/>
      <c r="U27" s="43"/>
      <c r="V27" s="34"/>
      <c r="W27" s="34"/>
      <c r="X27" s="13"/>
    </row>
    <row r="28" ht="37.5" customHeight="1">
      <c r="A28" s="13"/>
      <c r="B28" s="48"/>
      <c r="C28" s="47"/>
      <c r="D28" s="32"/>
      <c r="E28" s="32"/>
      <c r="F28" s="32"/>
      <c r="G28" s="33"/>
      <c r="H28" s="33"/>
      <c r="I28" s="13"/>
      <c r="J28" s="34"/>
      <c r="K28" s="46"/>
      <c r="L28" s="36"/>
      <c r="M28" s="34"/>
      <c r="N28" s="37"/>
      <c r="O28" s="38"/>
      <c r="P28" s="39"/>
      <c r="Q28" s="40"/>
      <c r="R28" s="41"/>
      <c r="S28" s="42"/>
      <c r="T28" s="42"/>
      <c r="U28" s="43"/>
      <c r="V28" s="34"/>
      <c r="W28" s="34"/>
      <c r="X28" s="13"/>
    </row>
    <row r="29" ht="37.5" customHeight="1">
      <c r="A29" s="13"/>
      <c r="B29" s="48"/>
      <c r="C29" s="47"/>
      <c r="D29" s="32"/>
      <c r="E29" s="32"/>
      <c r="F29" s="32"/>
      <c r="G29" s="33"/>
      <c r="H29" s="33"/>
      <c r="I29" s="13"/>
      <c r="J29" s="34"/>
      <c r="K29" s="46"/>
      <c r="L29" s="36"/>
      <c r="M29" s="34"/>
      <c r="N29" s="37"/>
      <c r="O29" s="38"/>
      <c r="P29" s="39"/>
      <c r="Q29" s="40"/>
      <c r="R29" s="41"/>
      <c r="S29" s="42"/>
      <c r="T29" s="42"/>
      <c r="U29" s="43"/>
      <c r="V29" s="34"/>
      <c r="W29" s="34"/>
      <c r="X29" s="13"/>
    </row>
    <row r="30" ht="37.5" customHeight="1">
      <c r="A30" s="13"/>
      <c r="B30" s="48"/>
      <c r="C30" s="47"/>
      <c r="D30" s="32"/>
      <c r="E30" s="32"/>
      <c r="F30" s="32"/>
      <c r="G30" s="33"/>
      <c r="H30" s="33"/>
      <c r="I30" s="13"/>
      <c r="J30" s="34"/>
      <c r="K30" s="46"/>
      <c r="L30" s="36"/>
      <c r="M30" s="34"/>
      <c r="N30" s="37"/>
      <c r="O30" s="38"/>
      <c r="P30" s="39"/>
      <c r="Q30" s="40"/>
      <c r="R30" s="41"/>
      <c r="S30" s="42"/>
      <c r="T30" s="42"/>
      <c r="U30" s="43"/>
      <c r="V30" s="34"/>
      <c r="W30" s="34"/>
      <c r="X30" s="13"/>
    </row>
    <row r="31" ht="37.5" customHeight="1">
      <c r="A31" s="13"/>
      <c r="B31" s="48"/>
      <c r="C31" s="47"/>
      <c r="D31" s="32"/>
      <c r="E31" s="32"/>
      <c r="F31" s="32"/>
      <c r="G31" s="33"/>
      <c r="H31" s="33"/>
      <c r="I31" s="13"/>
      <c r="J31" s="34"/>
      <c r="K31" s="46"/>
      <c r="L31" s="36"/>
      <c r="M31" s="34"/>
      <c r="N31" s="37"/>
      <c r="O31" s="38"/>
      <c r="P31" s="39"/>
      <c r="Q31" s="40"/>
      <c r="R31" s="41"/>
      <c r="S31" s="42"/>
      <c r="T31" s="42"/>
      <c r="U31" s="43"/>
      <c r="V31" s="34"/>
      <c r="W31" s="34"/>
      <c r="X31" s="13"/>
    </row>
    <row r="32" ht="37.5" customHeight="1">
      <c r="A32" s="13"/>
      <c r="B32" s="48"/>
      <c r="C32" s="47"/>
      <c r="D32" s="32"/>
      <c r="E32" s="32"/>
      <c r="F32" s="32"/>
      <c r="G32" s="33"/>
      <c r="H32" s="33"/>
      <c r="I32" s="13"/>
      <c r="J32" s="34"/>
      <c r="K32" s="46"/>
      <c r="L32" s="36"/>
      <c r="M32" s="34"/>
      <c r="N32" s="37"/>
      <c r="O32" s="38"/>
      <c r="P32" s="39"/>
      <c r="Q32" s="40"/>
      <c r="R32" s="41"/>
      <c r="S32" s="42"/>
      <c r="T32" s="42"/>
      <c r="U32" s="43"/>
      <c r="V32" s="34"/>
      <c r="W32" s="34"/>
      <c r="X32" s="13"/>
    </row>
    <row r="33" ht="37.5" customHeight="1">
      <c r="A33" s="13"/>
      <c r="B33" s="48"/>
      <c r="C33" s="47"/>
      <c r="D33" s="32"/>
      <c r="E33" s="32"/>
      <c r="F33" s="32"/>
      <c r="G33" s="33"/>
      <c r="H33" s="33"/>
      <c r="I33" s="13"/>
      <c r="J33" s="34"/>
      <c r="K33" s="46"/>
      <c r="L33" s="36"/>
      <c r="M33" s="34"/>
      <c r="N33" s="37"/>
      <c r="O33" s="38"/>
      <c r="P33" s="39"/>
      <c r="Q33" s="40"/>
      <c r="R33" s="41"/>
      <c r="S33" s="42"/>
      <c r="T33" s="42"/>
      <c r="U33" s="43"/>
      <c r="V33" s="34"/>
      <c r="W33" s="34"/>
      <c r="X33" s="13"/>
    </row>
    <row r="34" ht="37.5" customHeight="1">
      <c r="A34" s="13"/>
      <c r="B34" s="48"/>
      <c r="C34" s="47"/>
      <c r="D34" s="32"/>
      <c r="E34" s="32"/>
      <c r="F34" s="32"/>
      <c r="G34" s="33"/>
      <c r="H34" s="33"/>
      <c r="I34" s="13"/>
      <c r="J34" s="34"/>
      <c r="K34" s="46"/>
      <c r="L34" s="36"/>
      <c r="M34" s="34"/>
      <c r="N34" s="37"/>
      <c r="O34" s="38"/>
      <c r="P34" s="39"/>
      <c r="Q34" s="40"/>
      <c r="R34" s="41"/>
      <c r="S34" s="42"/>
      <c r="T34" s="42"/>
      <c r="U34" s="43"/>
      <c r="V34" s="34"/>
      <c r="W34" s="34"/>
      <c r="X34" s="13"/>
    </row>
    <row r="35" ht="37.5" customHeight="1">
      <c r="A35" s="13"/>
      <c r="B35" s="48"/>
      <c r="C35" s="47"/>
      <c r="D35" s="32"/>
      <c r="E35" s="32"/>
      <c r="F35" s="32"/>
      <c r="G35" s="33"/>
      <c r="H35" s="33"/>
      <c r="I35" s="13"/>
      <c r="J35" s="34"/>
      <c r="K35" s="46"/>
      <c r="L35" s="36"/>
      <c r="M35" s="34"/>
      <c r="N35" s="37"/>
      <c r="O35" s="38"/>
      <c r="P35" s="39"/>
      <c r="Q35" s="40"/>
      <c r="R35" s="41"/>
      <c r="S35" s="42"/>
      <c r="T35" s="42"/>
      <c r="U35" s="43"/>
      <c r="V35" s="34"/>
      <c r="W35" s="34"/>
      <c r="X35" s="13"/>
    </row>
    <row r="36" ht="37.5" customHeight="1">
      <c r="A36" s="13"/>
      <c r="B36" s="48"/>
      <c r="C36" s="47"/>
      <c r="D36" s="32"/>
      <c r="E36" s="32"/>
      <c r="F36" s="32"/>
      <c r="G36" s="33"/>
      <c r="H36" s="33"/>
      <c r="I36" s="13"/>
      <c r="J36" s="34"/>
      <c r="K36" s="46"/>
      <c r="L36" s="36"/>
      <c r="M36" s="34"/>
      <c r="N36" s="37"/>
      <c r="O36" s="38"/>
      <c r="P36" s="39"/>
      <c r="Q36" s="40"/>
      <c r="R36" s="41"/>
      <c r="S36" s="42"/>
      <c r="T36" s="42"/>
      <c r="U36" s="43"/>
      <c r="V36" s="34"/>
      <c r="W36" s="34"/>
      <c r="X36" s="13"/>
    </row>
    <row r="37" ht="37.5" customHeight="1">
      <c r="A37" s="13"/>
      <c r="B37" s="48"/>
      <c r="C37" s="47"/>
      <c r="D37" s="32"/>
      <c r="E37" s="32"/>
      <c r="F37" s="32"/>
      <c r="G37" s="33"/>
      <c r="H37" s="33"/>
      <c r="I37" s="13"/>
      <c r="J37" s="34"/>
      <c r="K37" s="46"/>
      <c r="L37" s="36"/>
      <c r="M37" s="34"/>
      <c r="N37" s="37"/>
      <c r="O37" s="38"/>
      <c r="P37" s="39"/>
      <c r="Q37" s="40"/>
      <c r="R37" s="41"/>
      <c r="S37" s="42"/>
      <c r="T37" s="42"/>
      <c r="U37" s="43"/>
      <c r="V37" s="34"/>
      <c r="W37" s="34"/>
      <c r="X37" s="13"/>
    </row>
    <row r="38" ht="37.5" customHeight="1">
      <c r="A38" s="13"/>
      <c r="B38" s="48"/>
      <c r="C38" s="47"/>
      <c r="D38" s="32"/>
      <c r="E38" s="32"/>
      <c r="F38" s="32"/>
      <c r="G38" s="33"/>
      <c r="H38" s="33"/>
      <c r="I38" s="13"/>
      <c r="J38" s="34"/>
      <c r="K38" s="46"/>
      <c r="L38" s="36"/>
      <c r="M38" s="34"/>
      <c r="N38" s="37"/>
      <c r="O38" s="38"/>
      <c r="P38" s="39"/>
      <c r="Q38" s="40"/>
      <c r="R38" s="41"/>
      <c r="S38" s="42"/>
      <c r="T38" s="42"/>
      <c r="U38" s="43"/>
      <c r="V38" s="34"/>
      <c r="W38" s="34"/>
      <c r="X38" s="13"/>
    </row>
    <row r="39" ht="37.5" customHeight="1">
      <c r="A39" s="13"/>
      <c r="B39" s="48"/>
      <c r="C39" s="47"/>
      <c r="D39" s="32"/>
      <c r="E39" s="32"/>
      <c r="F39" s="32"/>
      <c r="G39" s="33"/>
      <c r="H39" s="33"/>
      <c r="I39" s="13"/>
      <c r="J39" s="34"/>
      <c r="K39" s="46"/>
      <c r="L39" s="36"/>
      <c r="M39" s="34"/>
      <c r="N39" s="37"/>
      <c r="O39" s="38"/>
      <c r="P39" s="39"/>
      <c r="Q39" s="40"/>
      <c r="R39" s="41"/>
      <c r="S39" s="42"/>
      <c r="T39" s="42"/>
      <c r="U39" s="43"/>
      <c r="V39" s="34"/>
      <c r="W39" s="34"/>
      <c r="X39" s="13"/>
    </row>
    <row r="40" ht="37.5" customHeight="1">
      <c r="A40" s="13"/>
      <c r="B40" s="48"/>
      <c r="C40" s="47"/>
      <c r="D40" s="32"/>
      <c r="E40" s="32"/>
      <c r="F40" s="32"/>
      <c r="G40" s="33"/>
      <c r="H40" s="33"/>
      <c r="I40" s="13"/>
      <c r="J40" s="34"/>
      <c r="K40" s="46"/>
      <c r="L40" s="36"/>
      <c r="M40" s="34"/>
      <c r="N40" s="37"/>
      <c r="O40" s="38"/>
      <c r="P40" s="39"/>
      <c r="Q40" s="40"/>
      <c r="R40" s="41"/>
      <c r="S40" s="42"/>
      <c r="T40" s="42"/>
      <c r="U40" s="43"/>
      <c r="V40" s="34"/>
      <c r="W40" s="34"/>
      <c r="X40" s="13"/>
    </row>
    <row r="41" ht="37.5" customHeight="1">
      <c r="A41" s="13"/>
      <c r="B41" s="48"/>
      <c r="C41" s="47"/>
      <c r="D41" s="32"/>
      <c r="E41" s="32"/>
      <c r="F41" s="32"/>
      <c r="G41" s="33"/>
      <c r="H41" s="33"/>
      <c r="I41" s="13"/>
      <c r="J41" s="34"/>
      <c r="K41" s="46"/>
      <c r="L41" s="36"/>
      <c r="M41" s="34"/>
      <c r="N41" s="37"/>
      <c r="O41" s="38"/>
      <c r="P41" s="39"/>
      <c r="Q41" s="40"/>
      <c r="R41" s="41"/>
      <c r="S41" s="42"/>
      <c r="T41" s="42"/>
      <c r="U41" s="43"/>
      <c r="V41" s="34"/>
      <c r="W41" s="34"/>
      <c r="X41" s="13"/>
    </row>
    <row r="42" ht="37.5" customHeight="1">
      <c r="A42" s="13"/>
      <c r="B42" s="48"/>
      <c r="C42" s="47"/>
      <c r="D42" s="32"/>
      <c r="E42" s="32"/>
      <c r="F42" s="32"/>
      <c r="G42" s="33"/>
      <c r="H42" s="33"/>
      <c r="I42" s="13"/>
      <c r="J42" s="34"/>
      <c r="K42" s="46"/>
      <c r="L42" s="36"/>
      <c r="M42" s="34"/>
      <c r="N42" s="37"/>
      <c r="O42" s="38"/>
      <c r="P42" s="39"/>
      <c r="Q42" s="40"/>
      <c r="R42" s="41"/>
      <c r="S42" s="42"/>
      <c r="T42" s="42"/>
      <c r="U42" s="43"/>
      <c r="V42" s="34"/>
      <c r="W42" s="34"/>
      <c r="X42" s="13"/>
    </row>
    <row r="43" ht="37.5" customHeight="1">
      <c r="A43" s="13"/>
      <c r="B43" s="48"/>
      <c r="C43" s="47"/>
      <c r="D43" s="32"/>
      <c r="E43" s="32"/>
      <c r="F43" s="32"/>
      <c r="G43" s="33"/>
      <c r="H43" s="33"/>
      <c r="I43" s="13"/>
      <c r="J43" s="34"/>
      <c r="K43" s="46"/>
      <c r="L43" s="36"/>
      <c r="M43" s="34"/>
      <c r="N43" s="37"/>
      <c r="O43" s="38"/>
      <c r="P43" s="39"/>
      <c r="Q43" s="40"/>
      <c r="R43" s="41"/>
      <c r="S43" s="42"/>
      <c r="T43" s="42"/>
      <c r="U43" s="43"/>
      <c r="V43" s="34"/>
      <c r="W43" s="34"/>
      <c r="X43" s="13"/>
    </row>
    <row r="44" ht="37.5" customHeight="1">
      <c r="A44" s="13"/>
      <c r="B44" s="48"/>
      <c r="C44" s="47"/>
      <c r="D44" s="32"/>
      <c r="E44" s="32"/>
      <c r="F44" s="32"/>
      <c r="G44" s="33"/>
      <c r="H44" s="33"/>
      <c r="I44" s="13"/>
      <c r="J44" s="34"/>
      <c r="K44" s="46"/>
      <c r="L44" s="36"/>
      <c r="M44" s="34"/>
      <c r="N44" s="37"/>
      <c r="O44" s="38"/>
      <c r="P44" s="39"/>
      <c r="Q44" s="40"/>
      <c r="R44" s="41"/>
      <c r="S44" s="42"/>
      <c r="T44" s="42"/>
      <c r="U44" s="43"/>
      <c r="V44" s="34"/>
      <c r="W44" s="34"/>
      <c r="X44" s="13"/>
    </row>
    <row r="45" ht="37.5" customHeight="1">
      <c r="A45" s="13"/>
      <c r="B45" s="48"/>
      <c r="C45" s="47"/>
      <c r="D45" s="32"/>
      <c r="E45" s="32"/>
      <c r="F45" s="32"/>
      <c r="G45" s="33"/>
      <c r="H45" s="33"/>
      <c r="I45" s="13"/>
      <c r="J45" s="34"/>
      <c r="K45" s="46"/>
      <c r="L45" s="36"/>
      <c r="M45" s="34"/>
      <c r="N45" s="37"/>
      <c r="O45" s="38"/>
      <c r="P45" s="39"/>
      <c r="Q45" s="40"/>
      <c r="R45" s="41"/>
      <c r="S45" s="42"/>
      <c r="T45" s="42"/>
      <c r="U45" s="43"/>
      <c r="V45" s="34"/>
      <c r="W45" s="34"/>
      <c r="X45" s="13"/>
    </row>
    <row r="46" ht="37.5" customHeight="1">
      <c r="A46" s="13"/>
      <c r="B46" s="48"/>
      <c r="C46" s="47"/>
      <c r="D46" s="32"/>
      <c r="E46" s="32"/>
      <c r="F46" s="32"/>
      <c r="G46" s="33"/>
      <c r="H46" s="33"/>
      <c r="I46" s="13"/>
      <c r="J46" s="34"/>
      <c r="K46" s="46"/>
      <c r="L46" s="36"/>
      <c r="M46" s="34"/>
      <c r="N46" s="37"/>
      <c r="O46" s="38"/>
      <c r="P46" s="39"/>
      <c r="Q46" s="40"/>
      <c r="R46" s="41"/>
      <c r="S46" s="42"/>
      <c r="T46" s="42"/>
      <c r="U46" s="43"/>
      <c r="V46" s="34"/>
      <c r="W46" s="34"/>
      <c r="X46" s="13"/>
    </row>
    <row r="47" ht="37.5" customHeight="1">
      <c r="A47" s="13"/>
      <c r="B47" s="48"/>
      <c r="C47" s="47"/>
      <c r="D47" s="32"/>
      <c r="E47" s="32"/>
      <c r="F47" s="32"/>
      <c r="G47" s="33"/>
      <c r="H47" s="33"/>
      <c r="I47" s="13"/>
      <c r="J47" s="34"/>
      <c r="K47" s="46"/>
      <c r="L47" s="36"/>
      <c r="M47" s="34"/>
      <c r="N47" s="37"/>
      <c r="O47" s="38"/>
      <c r="P47" s="39"/>
      <c r="Q47" s="40"/>
      <c r="R47" s="41"/>
      <c r="S47" s="42"/>
      <c r="T47" s="42"/>
      <c r="U47" s="43"/>
      <c r="V47" s="34"/>
      <c r="W47" s="34"/>
      <c r="X47" s="13"/>
    </row>
    <row r="48" ht="37.5" customHeight="1">
      <c r="A48" s="13"/>
      <c r="B48" s="48"/>
      <c r="C48" s="47"/>
      <c r="D48" s="32"/>
      <c r="E48" s="32"/>
      <c r="F48" s="32"/>
      <c r="G48" s="33"/>
      <c r="H48" s="33"/>
      <c r="I48" s="13"/>
      <c r="J48" s="34"/>
      <c r="K48" s="46"/>
      <c r="L48" s="36"/>
      <c r="M48" s="34"/>
      <c r="N48" s="37"/>
      <c r="O48" s="38"/>
      <c r="P48" s="39"/>
      <c r="Q48" s="40"/>
      <c r="R48" s="41"/>
      <c r="S48" s="42"/>
      <c r="T48" s="42"/>
      <c r="U48" s="43"/>
      <c r="V48" s="34"/>
      <c r="W48" s="34"/>
      <c r="X48" s="13"/>
    </row>
    <row r="49" ht="37.5" customHeight="1">
      <c r="A49" s="13"/>
      <c r="B49" s="48"/>
      <c r="C49" s="47"/>
      <c r="D49" s="32"/>
      <c r="E49" s="32"/>
      <c r="F49" s="32"/>
      <c r="G49" s="33"/>
      <c r="H49" s="33"/>
      <c r="I49" s="13"/>
      <c r="J49" s="34"/>
      <c r="K49" s="46"/>
      <c r="L49" s="36"/>
      <c r="M49" s="34"/>
      <c r="N49" s="37"/>
      <c r="O49" s="38"/>
      <c r="P49" s="39"/>
      <c r="Q49" s="40"/>
      <c r="R49" s="41"/>
      <c r="S49" s="42"/>
      <c r="T49" s="42"/>
      <c r="U49" s="43"/>
      <c r="V49" s="34"/>
      <c r="W49" s="34"/>
      <c r="X49" s="13"/>
    </row>
    <row r="50" ht="37.5" customHeight="1">
      <c r="A50" s="13"/>
      <c r="B50" s="48"/>
      <c r="C50" s="47"/>
      <c r="D50" s="32"/>
      <c r="E50" s="32"/>
      <c r="F50" s="32"/>
      <c r="G50" s="33"/>
      <c r="H50" s="33"/>
      <c r="I50" s="13"/>
      <c r="J50" s="34"/>
      <c r="K50" s="46"/>
      <c r="L50" s="36"/>
      <c r="M50" s="34"/>
      <c r="N50" s="37"/>
      <c r="O50" s="38"/>
      <c r="P50" s="39"/>
      <c r="Q50" s="40"/>
      <c r="R50" s="41"/>
      <c r="S50" s="42"/>
      <c r="T50" s="42"/>
      <c r="U50" s="43"/>
      <c r="V50" s="34"/>
      <c r="W50" s="34"/>
      <c r="X50" s="13"/>
    </row>
    <row r="51" ht="37.5" customHeight="1">
      <c r="A51" s="13"/>
      <c r="B51" s="48"/>
      <c r="C51" s="47"/>
      <c r="D51" s="32"/>
      <c r="E51" s="32"/>
      <c r="F51" s="32"/>
      <c r="G51" s="33"/>
      <c r="H51" s="33"/>
      <c r="I51" s="13"/>
      <c r="J51" s="34"/>
      <c r="K51" s="46"/>
      <c r="L51" s="36"/>
      <c r="M51" s="34"/>
      <c r="N51" s="37"/>
      <c r="O51" s="38"/>
      <c r="P51" s="39"/>
      <c r="Q51" s="40"/>
      <c r="R51" s="41"/>
      <c r="S51" s="42"/>
      <c r="T51" s="42"/>
      <c r="U51" s="43"/>
      <c r="V51" s="34"/>
      <c r="W51" s="34"/>
      <c r="X51" s="13"/>
    </row>
    <row r="52" ht="37.5" customHeight="1">
      <c r="A52" s="13"/>
      <c r="B52" s="48"/>
      <c r="C52" s="47"/>
      <c r="D52" s="32"/>
      <c r="E52" s="32"/>
      <c r="F52" s="32"/>
      <c r="G52" s="33"/>
      <c r="H52" s="33"/>
      <c r="I52" s="13"/>
      <c r="J52" s="34"/>
      <c r="K52" s="46"/>
      <c r="L52" s="36"/>
      <c r="M52" s="34"/>
      <c r="N52" s="37"/>
      <c r="O52" s="38"/>
      <c r="P52" s="39"/>
      <c r="Q52" s="40"/>
      <c r="R52" s="41"/>
      <c r="S52" s="42"/>
      <c r="T52" s="42"/>
      <c r="U52" s="43"/>
      <c r="V52" s="34"/>
      <c r="W52" s="34"/>
      <c r="X52" s="13"/>
    </row>
    <row r="53" ht="37.5" customHeight="1">
      <c r="A53" s="13"/>
      <c r="B53" s="48"/>
      <c r="C53" s="47"/>
      <c r="D53" s="32"/>
      <c r="E53" s="32"/>
      <c r="F53" s="32"/>
      <c r="G53" s="33"/>
      <c r="H53" s="33"/>
      <c r="I53" s="13"/>
      <c r="J53" s="34"/>
      <c r="K53" s="46"/>
      <c r="L53" s="36"/>
      <c r="M53" s="34"/>
      <c r="N53" s="37"/>
      <c r="O53" s="38"/>
      <c r="P53" s="39"/>
      <c r="Q53" s="40"/>
      <c r="R53" s="41"/>
      <c r="S53" s="42"/>
      <c r="T53" s="42"/>
      <c r="U53" s="43"/>
      <c r="V53" s="34"/>
      <c r="W53" s="34"/>
      <c r="X53" s="13"/>
    </row>
    <row r="54" ht="37.5" customHeight="1">
      <c r="A54" s="13"/>
      <c r="B54" s="48"/>
      <c r="C54" s="47"/>
      <c r="D54" s="32"/>
      <c r="E54" s="32"/>
      <c r="F54" s="32"/>
      <c r="G54" s="33"/>
      <c r="H54" s="33"/>
      <c r="I54" s="13"/>
      <c r="J54" s="34"/>
      <c r="K54" s="46"/>
      <c r="L54" s="36"/>
      <c r="M54" s="34"/>
      <c r="N54" s="37"/>
      <c r="O54" s="38"/>
      <c r="P54" s="39"/>
      <c r="Q54" s="40"/>
      <c r="R54" s="41"/>
      <c r="S54" s="42"/>
      <c r="T54" s="42"/>
      <c r="U54" s="43"/>
      <c r="V54" s="34"/>
      <c r="W54" s="34"/>
      <c r="X54" s="13"/>
    </row>
    <row r="55" ht="37.5" customHeight="1">
      <c r="A55" s="13"/>
      <c r="B55" s="48"/>
      <c r="C55" s="47"/>
      <c r="D55" s="32"/>
      <c r="E55" s="32"/>
      <c r="F55" s="32"/>
      <c r="G55" s="33"/>
      <c r="H55" s="33"/>
      <c r="I55" s="13"/>
      <c r="J55" s="34"/>
      <c r="K55" s="46"/>
      <c r="L55" s="36"/>
      <c r="M55" s="34"/>
      <c r="N55" s="37"/>
      <c r="O55" s="38"/>
      <c r="P55" s="39"/>
      <c r="Q55" s="40"/>
      <c r="R55" s="41"/>
      <c r="S55" s="42"/>
      <c r="T55" s="42"/>
      <c r="U55" s="43"/>
      <c r="V55" s="34"/>
      <c r="W55" s="34"/>
      <c r="X55" s="13"/>
    </row>
    <row r="56" ht="37.5" customHeight="1">
      <c r="A56" s="13"/>
      <c r="B56" s="48"/>
      <c r="C56" s="47"/>
      <c r="D56" s="32"/>
      <c r="E56" s="32"/>
      <c r="F56" s="32"/>
      <c r="G56" s="33"/>
      <c r="H56" s="33"/>
      <c r="I56" s="13"/>
      <c r="J56" s="34"/>
      <c r="K56" s="46"/>
      <c r="L56" s="36"/>
      <c r="M56" s="34"/>
      <c r="N56" s="37"/>
      <c r="O56" s="38"/>
      <c r="P56" s="39"/>
      <c r="Q56" s="40"/>
      <c r="R56" s="41"/>
      <c r="S56" s="42"/>
      <c r="T56" s="42"/>
      <c r="U56" s="43"/>
      <c r="V56" s="34"/>
      <c r="W56" s="34"/>
      <c r="X56" s="13"/>
    </row>
    <row r="57" ht="37.5" customHeight="1">
      <c r="A57" s="13"/>
      <c r="B57" s="48"/>
      <c r="C57" s="47"/>
      <c r="D57" s="32"/>
      <c r="E57" s="32"/>
      <c r="F57" s="32"/>
      <c r="G57" s="33"/>
      <c r="H57" s="33"/>
      <c r="I57" s="13"/>
      <c r="J57" s="34"/>
      <c r="K57" s="46"/>
      <c r="L57" s="36"/>
      <c r="M57" s="34"/>
      <c r="N57" s="37"/>
      <c r="O57" s="38"/>
      <c r="P57" s="39"/>
      <c r="Q57" s="40"/>
      <c r="R57" s="41"/>
      <c r="S57" s="42"/>
      <c r="T57" s="42"/>
      <c r="U57" s="43"/>
      <c r="V57" s="34"/>
      <c r="W57" s="34"/>
      <c r="X57" s="13"/>
    </row>
    <row r="58" ht="37.5" customHeight="1">
      <c r="A58" s="13"/>
      <c r="B58" s="48"/>
      <c r="C58" s="47"/>
      <c r="D58" s="32"/>
      <c r="E58" s="32"/>
      <c r="F58" s="32"/>
      <c r="G58" s="33"/>
      <c r="H58" s="33"/>
      <c r="I58" s="13"/>
      <c r="J58" s="34"/>
      <c r="K58" s="46"/>
      <c r="L58" s="36"/>
      <c r="M58" s="34"/>
      <c r="N58" s="37"/>
      <c r="O58" s="38"/>
      <c r="P58" s="39"/>
      <c r="Q58" s="40"/>
      <c r="R58" s="41"/>
      <c r="S58" s="42"/>
      <c r="T58" s="42"/>
      <c r="U58" s="43"/>
      <c r="V58" s="34"/>
      <c r="W58" s="34"/>
      <c r="X58" s="13"/>
    </row>
    <row r="59" ht="37.5" customHeight="1">
      <c r="A59" s="13"/>
      <c r="B59" s="48"/>
      <c r="C59" s="47"/>
      <c r="D59" s="32"/>
      <c r="E59" s="32"/>
      <c r="F59" s="32"/>
      <c r="G59" s="33"/>
      <c r="H59" s="33"/>
      <c r="I59" s="13"/>
      <c r="J59" s="34"/>
      <c r="K59" s="46"/>
      <c r="L59" s="36"/>
      <c r="M59" s="34"/>
      <c r="N59" s="37"/>
      <c r="O59" s="38"/>
      <c r="P59" s="39"/>
      <c r="Q59" s="40"/>
      <c r="R59" s="41"/>
      <c r="S59" s="42"/>
      <c r="T59" s="42"/>
      <c r="U59" s="43"/>
      <c r="V59" s="34"/>
      <c r="W59" s="34"/>
      <c r="X59" s="13"/>
    </row>
    <row r="60" ht="37.5" customHeight="1">
      <c r="A60" s="13"/>
      <c r="B60" s="48"/>
      <c r="C60" s="47"/>
      <c r="D60" s="32"/>
      <c r="E60" s="32"/>
      <c r="F60" s="32"/>
      <c r="G60" s="33"/>
      <c r="H60" s="33"/>
      <c r="I60" s="13"/>
      <c r="J60" s="34"/>
      <c r="K60" s="46"/>
      <c r="L60" s="36"/>
      <c r="M60" s="34"/>
      <c r="N60" s="37"/>
      <c r="O60" s="38"/>
      <c r="P60" s="39"/>
      <c r="Q60" s="40"/>
      <c r="R60" s="41"/>
      <c r="S60" s="42"/>
      <c r="T60" s="42"/>
      <c r="U60" s="43"/>
      <c r="V60" s="34"/>
      <c r="W60" s="34"/>
      <c r="X60" s="13"/>
    </row>
    <row r="61" ht="37.5" customHeight="1">
      <c r="A61" s="13"/>
      <c r="B61" s="48"/>
      <c r="C61" s="47"/>
      <c r="D61" s="32"/>
      <c r="E61" s="32"/>
      <c r="F61" s="32"/>
      <c r="G61" s="33"/>
      <c r="H61" s="33"/>
      <c r="I61" s="13"/>
      <c r="J61" s="34"/>
      <c r="K61" s="46"/>
      <c r="L61" s="36"/>
      <c r="M61" s="34"/>
      <c r="N61" s="37"/>
      <c r="O61" s="38"/>
      <c r="P61" s="39"/>
      <c r="Q61" s="40"/>
      <c r="R61" s="41"/>
      <c r="S61" s="42"/>
      <c r="T61" s="42"/>
      <c r="U61" s="43"/>
      <c r="V61" s="34"/>
      <c r="W61" s="34"/>
      <c r="X61" s="13"/>
    </row>
    <row r="62" ht="37.5" customHeight="1">
      <c r="A62" s="13"/>
      <c r="B62" s="48"/>
      <c r="C62" s="47"/>
      <c r="D62" s="32"/>
      <c r="E62" s="32"/>
      <c r="F62" s="32"/>
      <c r="G62" s="33"/>
      <c r="H62" s="33"/>
      <c r="I62" s="13"/>
      <c r="J62" s="34"/>
      <c r="K62" s="46"/>
      <c r="L62" s="36"/>
      <c r="M62" s="34"/>
      <c r="N62" s="37"/>
      <c r="O62" s="38"/>
      <c r="P62" s="39"/>
      <c r="Q62" s="40"/>
      <c r="R62" s="41"/>
      <c r="S62" s="42"/>
      <c r="T62" s="42"/>
      <c r="U62" s="43"/>
      <c r="V62" s="34"/>
      <c r="W62" s="34"/>
      <c r="X62" s="13"/>
    </row>
    <row r="63" ht="37.5" customHeight="1">
      <c r="A63" s="13"/>
      <c r="B63" s="48"/>
      <c r="C63" s="47"/>
      <c r="D63" s="32"/>
      <c r="E63" s="32"/>
      <c r="F63" s="32"/>
      <c r="G63" s="33"/>
      <c r="H63" s="33"/>
      <c r="I63" s="13"/>
      <c r="J63" s="34"/>
      <c r="K63" s="46"/>
      <c r="L63" s="36"/>
      <c r="M63" s="34"/>
      <c r="N63" s="37"/>
      <c r="O63" s="38"/>
      <c r="P63" s="39"/>
      <c r="Q63" s="40"/>
      <c r="R63" s="41"/>
      <c r="S63" s="42"/>
      <c r="T63" s="42"/>
      <c r="U63" s="43"/>
      <c r="V63" s="34"/>
      <c r="W63" s="34"/>
      <c r="X63" s="13"/>
    </row>
    <row r="64" ht="37.5" customHeight="1">
      <c r="A64" s="13"/>
      <c r="B64" s="48"/>
      <c r="C64" s="47"/>
      <c r="D64" s="32"/>
      <c r="E64" s="32"/>
      <c r="F64" s="32"/>
      <c r="G64" s="33"/>
      <c r="H64" s="33"/>
      <c r="I64" s="13"/>
      <c r="J64" s="34"/>
      <c r="K64" s="46"/>
      <c r="L64" s="36"/>
      <c r="M64" s="34"/>
      <c r="N64" s="37"/>
      <c r="O64" s="38"/>
      <c r="P64" s="39"/>
      <c r="Q64" s="40"/>
      <c r="R64" s="41"/>
      <c r="S64" s="42"/>
      <c r="T64" s="42"/>
      <c r="U64" s="43"/>
      <c r="V64" s="34"/>
      <c r="W64" s="34"/>
      <c r="X64" s="13"/>
    </row>
    <row r="65" ht="37.5" customHeight="1">
      <c r="A65" s="13"/>
      <c r="B65" s="48"/>
      <c r="C65" s="47"/>
      <c r="D65" s="32"/>
      <c r="E65" s="32"/>
      <c r="F65" s="32"/>
      <c r="G65" s="33"/>
      <c r="H65" s="33"/>
      <c r="I65" s="13"/>
      <c r="J65" s="34"/>
      <c r="K65" s="46"/>
      <c r="L65" s="36"/>
      <c r="M65" s="34"/>
      <c r="N65" s="37"/>
      <c r="O65" s="38"/>
      <c r="P65" s="39"/>
      <c r="Q65" s="40"/>
      <c r="R65" s="41"/>
      <c r="S65" s="42"/>
      <c r="T65" s="42"/>
      <c r="U65" s="43"/>
      <c r="V65" s="34"/>
      <c r="W65" s="34"/>
      <c r="X65" s="13"/>
    </row>
    <row r="66" ht="37.5" customHeight="1">
      <c r="A66" s="13"/>
      <c r="B66" s="48"/>
      <c r="C66" s="47"/>
      <c r="D66" s="32"/>
      <c r="E66" s="32"/>
      <c r="F66" s="32"/>
      <c r="G66" s="33"/>
      <c r="H66" s="33"/>
      <c r="I66" s="13"/>
      <c r="J66" s="34"/>
      <c r="K66" s="46"/>
      <c r="L66" s="36"/>
      <c r="M66" s="34"/>
      <c r="N66" s="37"/>
      <c r="O66" s="38"/>
      <c r="P66" s="39"/>
      <c r="Q66" s="40"/>
      <c r="R66" s="41"/>
      <c r="S66" s="42"/>
      <c r="T66" s="42"/>
      <c r="U66" s="43"/>
      <c r="V66" s="34"/>
      <c r="W66" s="34"/>
      <c r="X66" s="13"/>
    </row>
    <row r="67" ht="37.5" customHeight="1">
      <c r="A67" s="13"/>
      <c r="B67" s="48"/>
      <c r="C67" s="47"/>
      <c r="D67" s="32"/>
      <c r="E67" s="32"/>
      <c r="F67" s="32"/>
      <c r="G67" s="33"/>
      <c r="H67" s="33"/>
      <c r="I67" s="13"/>
      <c r="J67" s="34"/>
      <c r="K67" s="46"/>
      <c r="L67" s="36"/>
      <c r="M67" s="34"/>
      <c r="N67" s="37"/>
      <c r="O67" s="38"/>
      <c r="P67" s="39"/>
      <c r="Q67" s="40"/>
      <c r="R67" s="41"/>
      <c r="S67" s="42"/>
      <c r="T67" s="42"/>
      <c r="U67" s="43"/>
      <c r="V67" s="34"/>
      <c r="W67" s="34"/>
      <c r="X67" s="13"/>
    </row>
    <row r="68" ht="37.5" customHeight="1">
      <c r="A68" s="13"/>
      <c r="B68" s="48"/>
      <c r="C68" s="47"/>
      <c r="D68" s="32"/>
      <c r="E68" s="32"/>
      <c r="F68" s="32"/>
      <c r="G68" s="33"/>
      <c r="H68" s="33"/>
      <c r="I68" s="13"/>
      <c r="J68" s="34"/>
      <c r="K68" s="46"/>
      <c r="L68" s="36"/>
      <c r="M68" s="34"/>
      <c r="N68" s="37"/>
      <c r="O68" s="38"/>
      <c r="P68" s="39"/>
      <c r="Q68" s="40"/>
      <c r="R68" s="41"/>
      <c r="S68" s="42"/>
      <c r="T68" s="42"/>
      <c r="U68" s="43"/>
      <c r="V68" s="34"/>
      <c r="W68" s="34"/>
      <c r="X68" s="13"/>
    </row>
    <row r="69" ht="37.5" customHeight="1">
      <c r="A69" s="13"/>
      <c r="B69" s="48"/>
      <c r="C69" s="47"/>
      <c r="D69" s="32"/>
      <c r="E69" s="32"/>
      <c r="F69" s="32"/>
      <c r="G69" s="33"/>
      <c r="H69" s="33"/>
      <c r="I69" s="13"/>
      <c r="J69" s="34"/>
      <c r="K69" s="46"/>
      <c r="L69" s="36"/>
      <c r="M69" s="34"/>
      <c r="N69" s="37"/>
      <c r="O69" s="38"/>
      <c r="P69" s="39"/>
      <c r="Q69" s="40"/>
      <c r="R69" s="41"/>
      <c r="S69" s="42"/>
      <c r="T69" s="42"/>
      <c r="U69" s="43"/>
      <c r="V69" s="34"/>
      <c r="W69" s="34"/>
      <c r="X69" s="13"/>
    </row>
    <row r="70" ht="37.5" customHeight="1">
      <c r="A70" s="13"/>
      <c r="B70" s="48"/>
      <c r="C70" s="47"/>
      <c r="D70" s="32"/>
      <c r="E70" s="32"/>
      <c r="F70" s="32"/>
      <c r="G70" s="33"/>
      <c r="H70" s="33"/>
      <c r="I70" s="13"/>
      <c r="J70" s="34"/>
      <c r="K70" s="46"/>
      <c r="L70" s="36"/>
      <c r="M70" s="34"/>
      <c r="N70" s="37"/>
      <c r="O70" s="38"/>
      <c r="P70" s="39"/>
      <c r="Q70" s="40"/>
      <c r="R70" s="41"/>
      <c r="S70" s="42"/>
      <c r="T70" s="42"/>
      <c r="U70" s="43"/>
      <c r="V70" s="34"/>
      <c r="W70" s="34"/>
      <c r="X70" s="13"/>
    </row>
    <row r="71" ht="37.5" customHeight="1">
      <c r="A71" s="13"/>
      <c r="B71" s="48"/>
      <c r="C71" s="47"/>
      <c r="D71" s="32"/>
      <c r="E71" s="32"/>
      <c r="F71" s="32"/>
      <c r="G71" s="33"/>
      <c r="H71" s="33"/>
      <c r="I71" s="13"/>
      <c r="J71" s="34"/>
      <c r="K71" s="46"/>
      <c r="L71" s="36"/>
      <c r="M71" s="34"/>
      <c r="N71" s="37"/>
      <c r="O71" s="38"/>
      <c r="P71" s="39"/>
      <c r="Q71" s="40"/>
      <c r="R71" s="41"/>
      <c r="S71" s="42"/>
      <c r="T71" s="42"/>
      <c r="U71" s="43"/>
      <c r="V71" s="34"/>
      <c r="W71" s="34"/>
      <c r="X71" s="13"/>
    </row>
    <row r="72" ht="37.5" customHeight="1">
      <c r="A72" s="13"/>
      <c r="B72" s="48"/>
      <c r="C72" s="47"/>
      <c r="D72" s="32"/>
      <c r="E72" s="32"/>
      <c r="F72" s="32"/>
      <c r="G72" s="33"/>
      <c r="H72" s="33"/>
      <c r="I72" s="13"/>
      <c r="J72" s="34"/>
      <c r="K72" s="46"/>
      <c r="L72" s="36"/>
      <c r="M72" s="34"/>
      <c r="N72" s="37"/>
      <c r="O72" s="38"/>
      <c r="P72" s="39"/>
      <c r="Q72" s="40"/>
      <c r="R72" s="41"/>
      <c r="S72" s="42"/>
      <c r="T72" s="42"/>
      <c r="U72" s="43"/>
      <c r="V72" s="34"/>
      <c r="W72" s="34"/>
      <c r="X72" s="13"/>
    </row>
    <row r="73" ht="37.5" customHeight="1">
      <c r="A73" s="13"/>
      <c r="B73" s="48"/>
      <c r="C73" s="47"/>
      <c r="D73" s="32"/>
      <c r="E73" s="32"/>
      <c r="F73" s="32"/>
      <c r="G73" s="33"/>
      <c r="H73" s="33"/>
      <c r="I73" s="13"/>
      <c r="J73" s="34"/>
      <c r="K73" s="46"/>
      <c r="L73" s="36"/>
      <c r="M73" s="34"/>
      <c r="N73" s="37"/>
      <c r="O73" s="38"/>
      <c r="P73" s="39"/>
      <c r="Q73" s="40"/>
      <c r="R73" s="41"/>
      <c r="S73" s="42"/>
      <c r="T73" s="42"/>
      <c r="U73" s="43"/>
      <c r="V73" s="34"/>
      <c r="W73" s="34"/>
      <c r="X73" s="13"/>
    </row>
    <row r="74" ht="37.5" customHeight="1">
      <c r="A74" s="13"/>
      <c r="B74" s="48"/>
      <c r="C74" s="47"/>
      <c r="D74" s="32"/>
      <c r="E74" s="32"/>
      <c r="F74" s="32"/>
      <c r="G74" s="33"/>
      <c r="H74" s="33"/>
      <c r="I74" s="13"/>
      <c r="J74" s="34"/>
      <c r="K74" s="46"/>
      <c r="L74" s="36"/>
      <c r="M74" s="34"/>
      <c r="N74" s="37"/>
      <c r="O74" s="38"/>
      <c r="P74" s="39"/>
      <c r="Q74" s="40"/>
      <c r="R74" s="41"/>
      <c r="S74" s="42"/>
      <c r="T74" s="42"/>
      <c r="U74" s="43"/>
      <c r="V74" s="34"/>
      <c r="W74" s="34"/>
      <c r="X74" s="13"/>
    </row>
    <row r="75" ht="37.5" customHeight="1">
      <c r="A75" s="13"/>
      <c r="B75" s="48"/>
      <c r="C75" s="47"/>
      <c r="D75" s="32"/>
      <c r="E75" s="32"/>
      <c r="F75" s="32"/>
      <c r="G75" s="33"/>
      <c r="H75" s="33"/>
      <c r="I75" s="13"/>
      <c r="J75" s="34"/>
      <c r="K75" s="46"/>
      <c r="L75" s="36"/>
      <c r="M75" s="34"/>
      <c r="N75" s="37"/>
      <c r="O75" s="38"/>
      <c r="P75" s="39"/>
      <c r="Q75" s="40"/>
      <c r="R75" s="41"/>
      <c r="S75" s="42"/>
      <c r="T75" s="42"/>
      <c r="U75" s="43"/>
      <c r="V75" s="34"/>
      <c r="W75" s="34"/>
      <c r="X75" s="13"/>
    </row>
    <row r="76" ht="37.5" customHeight="1">
      <c r="A76" s="13"/>
      <c r="B76" s="48"/>
      <c r="C76" s="47"/>
      <c r="D76" s="32"/>
      <c r="E76" s="32"/>
      <c r="F76" s="32"/>
      <c r="G76" s="33"/>
      <c r="H76" s="33"/>
      <c r="I76" s="13"/>
      <c r="J76" s="34"/>
      <c r="K76" s="46"/>
      <c r="L76" s="36"/>
      <c r="M76" s="34"/>
      <c r="N76" s="37"/>
      <c r="O76" s="38"/>
      <c r="P76" s="39"/>
      <c r="Q76" s="40"/>
      <c r="R76" s="41"/>
      <c r="S76" s="42"/>
      <c r="T76" s="42"/>
      <c r="U76" s="43"/>
      <c r="V76" s="34"/>
      <c r="W76" s="34"/>
      <c r="X76" s="13"/>
    </row>
    <row r="77" ht="37.5" customHeight="1">
      <c r="A77" s="13"/>
      <c r="B77" s="48"/>
      <c r="C77" s="47"/>
      <c r="D77" s="32"/>
      <c r="E77" s="32"/>
      <c r="F77" s="32"/>
      <c r="G77" s="33"/>
      <c r="H77" s="33"/>
      <c r="I77" s="13"/>
      <c r="J77" s="34"/>
      <c r="K77" s="46"/>
      <c r="L77" s="36"/>
      <c r="M77" s="34"/>
      <c r="N77" s="37"/>
      <c r="O77" s="38"/>
      <c r="P77" s="39"/>
      <c r="Q77" s="40"/>
      <c r="R77" s="41"/>
      <c r="S77" s="42"/>
      <c r="T77" s="42"/>
      <c r="U77" s="43"/>
      <c r="V77" s="34"/>
      <c r="W77" s="34"/>
      <c r="X77" s="13"/>
    </row>
    <row r="78" ht="37.5" customHeight="1">
      <c r="A78" s="13"/>
      <c r="B78" s="48"/>
      <c r="C78" s="47"/>
      <c r="D78" s="32"/>
      <c r="E78" s="32"/>
      <c r="F78" s="32"/>
      <c r="G78" s="33"/>
      <c r="H78" s="33"/>
      <c r="I78" s="13"/>
      <c r="J78" s="34"/>
      <c r="K78" s="46"/>
      <c r="L78" s="36"/>
      <c r="M78" s="34"/>
      <c r="N78" s="37"/>
      <c r="O78" s="38"/>
      <c r="P78" s="39"/>
      <c r="Q78" s="40"/>
      <c r="R78" s="41"/>
      <c r="S78" s="42"/>
      <c r="T78" s="42"/>
      <c r="U78" s="43"/>
      <c r="V78" s="34"/>
      <c r="W78" s="34"/>
      <c r="X78" s="13"/>
    </row>
    <row r="79" ht="37.5" customHeight="1">
      <c r="A79" s="13"/>
      <c r="B79" s="48"/>
      <c r="C79" s="47"/>
      <c r="D79" s="32"/>
      <c r="E79" s="32"/>
      <c r="F79" s="32"/>
      <c r="G79" s="33"/>
      <c r="H79" s="33"/>
      <c r="I79" s="13"/>
      <c r="J79" s="34"/>
      <c r="K79" s="46"/>
      <c r="L79" s="36"/>
      <c r="M79" s="34"/>
      <c r="N79" s="37"/>
      <c r="O79" s="38"/>
      <c r="P79" s="39"/>
      <c r="Q79" s="40"/>
      <c r="R79" s="41"/>
      <c r="S79" s="42"/>
      <c r="T79" s="42"/>
      <c r="U79" s="43"/>
      <c r="V79" s="34"/>
      <c r="W79" s="34"/>
      <c r="X79" s="13"/>
    </row>
    <row r="80" ht="37.5" customHeight="1">
      <c r="A80" s="13"/>
      <c r="B80" s="48"/>
      <c r="C80" s="47"/>
      <c r="D80" s="32"/>
      <c r="E80" s="32"/>
      <c r="F80" s="32"/>
      <c r="G80" s="33"/>
      <c r="H80" s="33"/>
      <c r="I80" s="13"/>
      <c r="J80" s="34"/>
      <c r="K80" s="46"/>
      <c r="L80" s="36"/>
      <c r="M80" s="34"/>
      <c r="N80" s="37"/>
      <c r="O80" s="38"/>
      <c r="P80" s="39"/>
      <c r="Q80" s="40"/>
      <c r="R80" s="41"/>
      <c r="S80" s="42"/>
      <c r="T80" s="42"/>
      <c r="U80" s="43"/>
      <c r="V80" s="34"/>
      <c r="W80" s="34"/>
      <c r="X80" s="13"/>
    </row>
    <row r="81" ht="37.5" customHeight="1">
      <c r="A81" s="13"/>
      <c r="B81" s="48"/>
      <c r="C81" s="47"/>
      <c r="D81" s="32"/>
      <c r="E81" s="32"/>
      <c r="F81" s="32"/>
      <c r="G81" s="33"/>
      <c r="H81" s="33"/>
      <c r="I81" s="13"/>
      <c r="J81" s="34"/>
      <c r="K81" s="46"/>
      <c r="L81" s="36"/>
      <c r="M81" s="34"/>
      <c r="N81" s="37"/>
      <c r="O81" s="38"/>
      <c r="P81" s="39"/>
      <c r="Q81" s="40"/>
      <c r="R81" s="41"/>
      <c r="S81" s="42"/>
      <c r="T81" s="42"/>
      <c r="U81" s="43"/>
      <c r="V81" s="34"/>
      <c r="W81" s="34"/>
      <c r="X81" s="13"/>
    </row>
    <row r="82" ht="37.5" customHeight="1">
      <c r="A82" s="13"/>
      <c r="B82" s="48"/>
      <c r="C82" s="47"/>
      <c r="D82" s="32"/>
      <c r="E82" s="32"/>
      <c r="F82" s="32"/>
      <c r="G82" s="33"/>
      <c r="H82" s="33"/>
      <c r="I82" s="13"/>
      <c r="J82" s="34"/>
      <c r="K82" s="46"/>
      <c r="L82" s="36"/>
      <c r="M82" s="34"/>
      <c r="N82" s="37"/>
      <c r="O82" s="38"/>
      <c r="P82" s="39"/>
      <c r="Q82" s="40"/>
      <c r="R82" s="41"/>
      <c r="S82" s="42"/>
      <c r="T82" s="42"/>
      <c r="U82" s="43"/>
      <c r="V82" s="34"/>
      <c r="W82" s="34"/>
      <c r="X82" s="13"/>
    </row>
    <row r="83" ht="37.5" customHeight="1">
      <c r="A83" s="13"/>
      <c r="B83" s="48"/>
      <c r="C83" s="47"/>
      <c r="D83" s="32"/>
      <c r="E83" s="32"/>
      <c r="F83" s="32"/>
      <c r="G83" s="33"/>
      <c r="H83" s="33"/>
      <c r="I83" s="13"/>
      <c r="J83" s="34"/>
      <c r="K83" s="46"/>
      <c r="L83" s="36"/>
      <c r="M83" s="34"/>
      <c r="N83" s="37"/>
      <c r="O83" s="38"/>
      <c r="P83" s="39"/>
      <c r="Q83" s="40"/>
      <c r="R83" s="41"/>
      <c r="S83" s="42"/>
      <c r="T83" s="42"/>
      <c r="U83" s="43"/>
      <c r="V83" s="34"/>
      <c r="W83" s="34"/>
      <c r="X83" s="13"/>
    </row>
    <row r="84" ht="37.5" customHeight="1">
      <c r="A84" s="13"/>
      <c r="B84" s="48"/>
      <c r="C84" s="47"/>
      <c r="D84" s="32"/>
      <c r="E84" s="32"/>
      <c r="F84" s="32"/>
      <c r="G84" s="33"/>
      <c r="H84" s="33"/>
      <c r="I84" s="13"/>
      <c r="J84" s="34"/>
      <c r="K84" s="46"/>
      <c r="L84" s="36"/>
      <c r="M84" s="34"/>
      <c r="N84" s="37"/>
      <c r="O84" s="38"/>
      <c r="P84" s="39"/>
      <c r="Q84" s="40"/>
      <c r="R84" s="41"/>
      <c r="S84" s="42"/>
      <c r="T84" s="42"/>
      <c r="U84" s="43"/>
      <c r="V84" s="34"/>
      <c r="W84" s="34"/>
      <c r="X84" s="13"/>
    </row>
    <row r="85" ht="37.5" customHeight="1">
      <c r="A85" s="13"/>
      <c r="B85" s="48"/>
      <c r="C85" s="47"/>
      <c r="D85" s="32"/>
      <c r="E85" s="32"/>
      <c r="F85" s="32"/>
      <c r="G85" s="33"/>
      <c r="H85" s="33"/>
      <c r="I85" s="13"/>
      <c r="J85" s="34"/>
      <c r="K85" s="46"/>
      <c r="L85" s="36"/>
      <c r="M85" s="34"/>
      <c r="N85" s="37"/>
      <c r="O85" s="38"/>
      <c r="P85" s="39"/>
      <c r="Q85" s="40"/>
      <c r="R85" s="41"/>
      <c r="S85" s="42"/>
      <c r="T85" s="42"/>
      <c r="U85" s="43"/>
      <c r="V85" s="34"/>
      <c r="W85" s="34"/>
      <c r="X85" s="13"/>
    </row>
    <row r="86" ht="37.5" customHeight="1">
      <c r="A86" s="13"/>
      <c r="B86" s="48"/>
      <c r="C86" s="47"/>
      <c r="D86" s="32"/>
      <c r="E86" s="32"/>
      <c r="F86" s="32"/>
      <c r="G86" s="33"/>
      <c r="H86" s="33"/>
      <c r="I86" s="13"/>
      <c r="J86" s="34"/>
      <c r="K86" s="46"/>
      <c r="L86" s="36"/>
      <c r="M86" s="34"/>
      <c r="N86" s="37"/>
      <c r="O86" s="38"/>
      <c r="P86" s="39"/>
      <c r="Q86" s="40"/>
      <c r="R86" s="41"/>
      <c r="S86" s="42"/>
      <c r="T86" s="42"/>
      <c r="U86" s="43"/>
      <c r="V86" s="34"/>
      <c r="W86" s="34"/>
      <c r="X86" s="13"/>
    </row>
    <row r="87" ht="37.5" customHeight="1">
      <c r="A87" s="13"/>
      <c r="B87" s="48"/>
      <c r="C87" s="47"/>
      <c r="D87" s="32"/>
      <c r="E87" s="32"/>
      <c r="F87" s="32"/>
      <c r="G87" s="33"/>
      <c r="H87" s="33"/>
      <c r="I87" s="13"/>
      <c r="J87" s="34"/>
      <c r="K87" s="46"/>
      <c r="L87" s="36"/>
      <c r="M87" s="34"/>
      <c r="N87" s="37"/>
      <c r="O87" s="38"/>
      <c r="P87" s="39"/>
      <c r="Q87" s="40"/>
      <c r="R87" s="41"/>
      <c r="S87" s="42"/>
      <c r="T87" s="42"/>
      <c r="U87" s="43"/>
      <c r="V87" s="34"/>
      <c r="W87" s="34"/>
      <c r="X87" s="13"/>
    </row>
    <row r="88" ht="37.5" customHeight="1">
      <c r="A88" s="13"/>
      <c r="B88" s="48"/>
      <c r="C88" s="47"/>
      <c r="D88" s="32"/>
      <c r="E88" s="32"/>
      <c r="F88" s="32"/>
      <c r="G88" s="33"/>
      <c r="H88" s="33"/>
      <c r="I88" s="13"/>
      <c r="J88" s="34"/>
      <c r="K88" s="46"/>
      <c r="L88" s="36"/>
      <c r="M88" s="34"/>
      <c r="N88" s="37"/>
      <c r="O88" s="38"/>
      <c r="P88" s="39"/>
      <c r="Q88" s="40"/>
      <c r="R88" s="41"/>
      <c r="S88" s="42"/>
      <c r="T88" s="42"/>
      <c r="U88" s="43"/>
      <c r="V88" s="34"/>
      <c r="W88" s="34"/>
      <c r="X88" s="13"/>
    </row>
    <row r="89" ht="37.5" customHeight="1">
      <c r="A89" s="13"/>
      <c r="B89" s="48"/>
      <c r="C89" s="47"/>
      <c r="D89" s="32"/>
      <c r="E89" s="32"/>
      <c r="F89" s="32"/>
      <c r="G89" s="33"/>
      <c r="H89" s="33"/>
      <c r="I89" s="13"/>
      <c r="J89" s="34"/>
      <c r="K89" s="46"/>
      <c r="L89" s="36"/>
      <c r="M89" s="34"/>
      <c r="N89" s="37"/>
      <c r="O89" s="38"/>
      <c r="P89" s="39"/>
      <c r="Q89" s="40"/>
      <c r="R89" s="41"/>
      <c r="S89" s="42"/>
      <c r="T89" s="42"/>
      <c r="U89" s="43"/>
      <c r="V89" s="34"/>
      <c r="W89" s="34"/>
      <c r="X89" s="13"/>
    </row>
    <row r="90" ht="37.5" customHeight="1">
      <c r="A90" s="13"/>
      <c r="B90" s="48"/>
      <c r="C90" s="47"/>
      <c r="D90" s="32"/>
      <c r="E90" s="32"/>
      <c r="F90" s="32"/>
      <c r="G90" s="33"/>
      <c r="H90" s="33"/>
      <c r="I90" s="13"/>
      <c r="J90" s="34"/>
      <c r="K90" s="46"/>
      <c r="L90" s="36"/>
      <c r="M90" s="34"/>
      <c r="N90" s="37"/>
      <c r="O90" s="38"/>
      <c r="P90" s="39"/>
      <c r="Q90" s="40"/>
      <c r="R90" s="41"/>
      <c r="S90" s="42"/>
      <c r="T90" s="42"/>
      <c r="U90" s="43"/>
      <c r="V90" s="34"/>
      <c r="W90" s="34"/>
      <c r="X90" s="13"/>
    </row>
    <row r="91" ht="37.5" customHeight="1">
      <c r="A91" s="13"/>
      <c r="B91" s="48"/>
      <c r="C91" s="47"/>
      <c r="D91" s="32"/>
      <c r="E91" s="32"/>
      <c r="F91" s="32"/>
      <c r="G91" s="33"/>
      <c r="H91" s="33"/>
      <c r="I91" s="13"/>
      <c r="J91" s="34"/>
      <c r="K91" s="46"/>
      <c r="L91" s="36"/>
      <c r="M91" s="34"/>
      <c r="N91" s="37"/>
      <c r="O91" s="38"/>
      <c r="P91" s="39"/>
      <c r="Q91" s="40"/>
      <c r="R91" s="41"/>
      <c r="S91" s="42"/>
      <c r="T91" s="42"/>
      <c r="U91" s="43"/>
      <c r="V91" s="34"/>
      <c r="W91" s="34"/>
      <c r="X91" s="13"/>
    </row>
    <row r="92" ht="37.5" customHeight="1">
      <c r="A92" s="13"/>
      <c r="B92" s="48"/>
      <c r="C92" s="47"/>
      <c r="D92" s="32"/>
      <c r="E92" s="32"/>
      <c r="F92" s="32"/>
      <c r="G92" s="33"/>
      <c r="H92" s="33"/>
      <c r="I92" s="13"/>
      <c r="J92" s="34"/>
      <c r="K92" s="46"/>
      <c r="L92" s="36"/>
      <c r="M92" s="34"/>
      <c r="N92" s="37"/>
      <c r="O92" s="38"/>
      <c r="P92" s="39"/>
      <c r="Q92" s="40"/>
      <c r="R92" s="41"/>
      <c r="S92" s="42"/>
      <c r="T92" s="42"/>
      <c r="U92" s="43"/>
      <c r="V92" s="34"/>
      <c r="W92" s="34"/>
      <c r="X92" s="13"/>
    </row>
    <row r="93" ht="37.5" customHeight="1">
      <c r="A93" s="13"/>
      <c r="B93" s="48"/>
      <c r="C93" s="47"/>
      <c r="D93" s="32"/>
      <c r="E93" s="32"/>
      <c r="F93" s="32"/>
      <c r="G93" s="33"/>
      <c r="H93" s="33"/>
      <c r="I93" s="13"/>
      <c r="J93" s="34"/>
      <c r="K93" s="46"/>
      <c r="L93" s="36"/>
      <c r="M93" s="34"/>
      <c r="N93" s="37"/>
      <c r="O93" s="38"/>
      <c r="P93" s="39"/>
      <c r="Q93" s="40"/>
      <c r="R93" s="41"/>
      <c r="S93" s="42"/>
      <c r="T93" s="42"/>
      <c r="U93" s="43"/>
      <c r="V93" s="34"/>
      <c r="W93" s="34"/>
      <c r="X93" s="13"/>
    </row>
    <row r="94" ht="37.5" customHeight="1">
      <c r="A94" s="13"/>
      <c r="B94" s="48"/>
      <c r="C94" s="47"/>
      <c r="D94" s="32"/>
      <c r="E94" s="32"/>
      <c r="F94" s="32"/>
      <c r="G94" s="33"/>
      <c r="H94" s="33"/>
      <c r="I94" s="13"/>
      <c r="J94" s="34"/>
      <c r="K94" s="46"/>
      <c r="L94" s="36"/>
      <c r="M94" s="34"/>
      <c r="N94" s="37"/>
      <c r="O94" s="38"/>
      <c r="P94" s="39"/>
      <c r="Q94" s="40"/>
      <c r="R94" s="41"/>
      <c r="S94" s="42"/>
      <c r="T94" s="42"/>
      <c r="U94" s="43"/>
      <c r="V94" s="34"/>
      <c r="W94" s="34"/>
      <c r="X94" s="13"/>
    </row>
    <row r="95" ht="37.5" customHeight="1">
      <c r="A95" s="13"/>
      <c r="B95" s="48"/>
      <c r="C95" s="47"/>
      <c r="D95" s="32"/>
      <c r="E95" s="32"/>
      <c r="F95" s="32"/>
      <c r="G95" s="33"/>
      <c r="H95" s="33"/>
      <c r="I95" s="13"/>
      <c r="J95" s="34"/>
      <c r="K95" s="46"/>
      <c r="L95" s="36"/>
      <c r="M95" s="34"/>
      <c r="N95" s="37"/>
      <c r="O95" s="38"/>
      <c r="P95" s="39"/>
      <c r="Q95" s="40"/>
      <c r="R95" s="41"/>
      <c r="S95" s="42"/>
      <c r="T95" s="42"/>
      <c r="U95" s="43"/>
      <c r="V95" s="34"/>
      <c r="W95" s="34"/>
      <c r="X95" s="13"/>
    </row>
    <row r="96" ht="37.5" customHeight="1">
      <c r="A96" s="13"/>
      <c r="B96" s="48"/>
      <c r="C96" s="47"/>
      <c r="D96" s="32"/>
      <c r="E96" s="32"/>
      <c r="F96" s="32"/>
      <c r="G96" s="33"/>
      <c r="H96" s="33"/>
      <c r="I96" s="13"/>
      <c r="J96" s="34"/>
      <c r="K96" s="46"/>
      <c r="L96" s="36"/>
      <c r="M96" s="34"/>
      <c r="N96" s="37"/>
      <c r="O96" s="38"/>
      <c r="P96" s="39"/>
      <c r="Q96" s="40"/>
      <c r="R96" s="41"/>
      <c r="S96" s="42"/>
      <c r="T96" s="42"/>
      <c r="U96" s="43"/>
      <c r="V96" s="34"/>
      <c r="W96" s="34"/>
      <c r="X96" s="13"/>
    </row>
    <row r="97" ht="37.5" customHeight="1">
      <c r="A97" s="13"/>
      <c r="B97" s="48"/>
      <c r="C97" s="47"/>
      <c r="D97" s="32"/>
      <c r="E97" s="32"/>
      <c r="F97" s="32"/>
      <c r="G97" s="33"/>
      <c r="H97" s="33"/>
      <c r="I97" s="13"/>
      <c r="J97" s="34"/>
      <c r="K97" s="46"/>
      <c r="L97" s="36"/>
      <c r="M97" s="34"/>
      <c r="N97" s="37"/>
      <c r="O97" s="38"/>
      <c r="P97" s="39"/>
      <c r="Q97" s="40"/>
      <c r="R97" s="41"/>
      <c r="S97" s="42"/>
      <c r="T97" s="42"/>
      <c r="U97" s="43"/>
      <c r="V97" s="34"/>
      <c r="W97" s="34"/>
      <c r="X97" s="13"/>
    </row>
    <row r="98" ht="37.5" customHeight="1">
      <c r="A98" s="13"/>
      <c r="B98" s="48"/>
      <c r="C98" s="47"/>
      <c r="D98" s="32"/>
      <c r="E98" s="32"/>
      <c r="F98" s="32"/>
      <c r="G98" s="33"/>
      <c r="H98" s="33"/>
      <c r="I98" s="13"/>
      <c r="J98" s="34"/>
      <c r="K98" s="46"/>
      <c r="L98" s="36"/>
      <c r="M98" s="34"/>
      <c r="N98" s="37"/>
      <c r="O98" s="38"/>
      <c r="P98" s="39"/>
      <c r="Q98" s="40"/>
      <c r="R98" s="41"/>
      <c r="S98" s="42"/>
      <c r="T98" s="42"/>
      <c r="U98" s="43"/>
      <c r="V98" s="34"/>
      <c r="W98" s="34"/>
      <c r="X98" s="13"/>
    </row>
    <row r="99" ht="37.5" customHeight="1">
      <c r="A99" s="13"/>
      <c r="B99" s="48"/>
      <c r="C99" s="47"/>
      <c r="D99" s="32"/>
      <c r="E99" s="32"/>
      <c r="F99" s="32"/>
      <c r="G99" s="33"/>
      <c r="H99" s="33"/>
      <c r="I99" s="13"/>
      <c r="J99" s="34"/>
      <c r="K99" s="46"/>
      <c r="L99" s="36"/>
      <c r="M99" s="34"/>
      <c r="N99" s="37"/>
      <c r="O99" s="38"/>
      <c r="P99" s="39"/>
      <c r="Q99" s="40"/>
      <c r="R99" s="41"/>
      <c r="S99" s="42"/>
      <c r="T99" s="42"/>
      <c r="U99" s="43"/>
      <c r="V99" s="34"/>
      <c r="W99" s="34"/>
      <c r="X99" s="13"/>
    </row>
    <row r="100" ht="37.5" customHeight="1">
      <c r="A100" s="13"/>
      <c r="B100" s="48"/>
      <c r="C100" s="47"/>
      <c r="D100" s="32"/>
      <c r="E100" s="32"/>
      <c r="F100" s="32"/>
      <c r="G100" s="33"/>
      <c r="H100" s="33"/>
      <c r="I100" s="13"/>
      <c r="J100" s="34"/>
      <c r="K100" s="46"/>
      <c r="L100" s="36"/>
      <c r="M100" s="34"/>
      <c r="N100" s="37"/>
      <c r="O100" s="38"/>
      <c r="P100" s="39"/>
      <c r="Q100" s="40"/>
      <c r="R100" s="41"/>
      <c r="S100" s="42"/>
      <c r="T100" s="42"/>
      <c r="U100" s="43"/>
      <c r="V100" s="34"/>
      <c r="W100" s="34"/>
      <c r="X100" s="13"/>
    </row>
    <row r="101" ht="37.5" customHeight="1">
      <c r="A101" s="13"/>
      <c r="B101" s="48"/>
      <c r="C101" s="47"/>
      <c r="D101" s="32"/>
      <c r="E101" s="32"/>
      <c r="F101" s="32"/>
      <c r="G101" s="33"/>
      <c r="H101" s="33"/>
      <c r="I101" s="13"/>
      <c r="J101" s="34"/>
      <c r="K101" s="46"/>
      <c r="L101" s="36"/>
      <c r="M101" s="34"/>
      <c r="N101" s="37"/>
      <c r="O101" s="38"/>
      <c r="P101" s="39"/>
      <c r="Q101" s="40"/>
      <c r="R101" s="41"/>
      <c r="S101" s="42"/>
      <c r="T101" s="42"/>
      <c r="U101" s="43"/>
      <c r="V101" s="34"/>
      <c r="W101" s="34"/>
      <c r="X101" s="13"/>
    </row>
    <row r="102" ht="37.5" customHeight="1">
      <c r="A102" s="13"/>
      <c r="B102" s="48"/>
      <c r="C102" s="47"/>
      <c r="D102" s="32"/>
      <c r="E102" s="32"/>
      <c r="F102" s="32"/>
      <c r="G102" s="33"/>
      <c r="H102" s="33"/>
      <c r="I102" s="13"/>
      <c r="J102" s="34"/>
      <c r="K102" s="46"/>
      <c r="L102" s="36"/>
      <c r="M102" s="34"/>
      <c r="N102" s="37"/>
      <c r="O102" s="38"/>
      <c r="P102" s="39"/>
      <c r="Q102" s="40"/>
      <c r="R102" s="41"/>
      <c r="S102" s="42"/>
      <c r="T102" s="42"/>
      <c r="U102" s="43"/>
      <c r="V102" s="34"/>
      <c r="W102" s="34"/>
      <c r="X102" s="13"/>
    </row>
    <row r="103" ht="37.5" customHeight="1">
      <c r="A103" s="13"/>
      <c r="B103" s="48"/>
      <c r="C103" s="47"/>
      <c r="D103" s="32"/>
      <c r="E103" s="32"/>
      <c r="F103" s="32"/>
      <c r="G103" s="33"/>
      <c r="H103" s="33"/>
      <c r="I103" s="13"/>
      <c r="J103" s="34"/>
      <c r="K103" s="46"/>
      <c r="L103" s="36"/>
      <c r="M103" s="34"/>
      <c r="N103" s="37"/>
      <c r="O103" s="38"/>
      <c r="P103" s="39"/>
      <c r="Q103" s="40"/>
      <c r="R103" s="41"/>
      <c r="S103" s="42"/>
      <c r="T103" s="42"/>
      <c r="U103" s="43"/>
      <c r="V103" s="34"/>
      <c r="W103" s="34"/>
      <c r="X103" s="13"/>
    </row>
    <row r="104" ht="37.5" customHeight="1">
      <c r="A104" s="13"/>
      <c r="B104" s="48"/>
      <c r="C104" s="47"/>
      <c r="D104" s="32"/>
      <c r="E104" s="32"/>
      <c r="F104" s="32"/>
      <c r="G104" s="33"/>
      <c r="H104" s="33"/>
      <c r="I104" s="13"/>
      <c r="J104" s="34"/>
      <c r="K104" s="46"/>
      <c r="L104" s="36"/>
      <c r="M104" s="34"/>
      <c r="N104" s="37"/>
      <c r="O104" s="38"/>
      <c r="P104" s="39"/>
      <c r="Q104" s="40"/>
      <c r="R104" s="41"/>
      <c r="S104" s="42"/>
      <c r="T104" s="42"/>
      <c r="U104" s="43"/>
      <c r="V104" s="34"/>
      <c r="W104" s="34"/>
      <c r="X104" s="13"/>
    </row>
  </sheetData>
  <mergeCells count="4">
    <mergeCell ref="B3:H3"/>
    <mergeCell ref="J3:W3"/>
    <mergeCell ref="F4:G4"/>
    <mergeCell ref="M4:N4"/>
  </mergeCells>
  <conditionalFormatting sqref="L5:L104">
    <cfRule type="expression" dxfId="0" priority="1">
      <formula>LEFT($L5,2)="NM"</formula>
    </cfRule>
  </conditionalFormatting>
  <conditionalFormatting sqref="L5:L104">
    <cfRule type="expression" dxfId="1" priority="2">
      <formula>LEFT($L5,2)="HD"</formula>
    </cfRule>
  </conditionalFormatting>
  <conditionalFormatting sqref="L5:L104">
    <cfRule type="expression" dxfId="2" priority="3">
      <formula>LEFT($L5,2)="HR"</formula>
    </cfRule>
  </conditionalFormatting>
  <conditionalFormatting sqref="L5:L104">
    <cfRule type="expression" dxfId="3" priority="4">
      <formula>LEFT($L5,2)="DT"</formula>
    </cfRule>
  </conditionalFormatting>
  <conditionalFormatting sqref="L5:L104">
    <cfRule type="expression" dxfId="4" priority="5">
      <formula>LEFT($L5,2)="FM"</formula>
    </cfRule>
  </conditionalFormatting>
  <conditionalFormatting sqref="L5:L104">
    <cfRule type="expression" dxfId="5" priority="6">
      <formula>LEFT($L5,2)="TB"</formula>
    </cfRule>
  </conditionalFormatting>
  <conditionalFormatting sqref="L5:L104">
    <cfRule type="expression" dxfId="6" priority="7">
      <formula>LEFT($L5,2)="EZ"</formula>
    </cfRule>
  </conditionalFormatting>
  <conditionalFormatting sqref="L5:L104">
    <cfRule type="expression" dxfId="7" priority="8">
      <formula>LEFT($L5,2)="HT"</formula>
    </cfRule>
  </conditionalFormatting>
  <conditionalFormatting sqref="J5:W104">
    <cfRule type="expression" dxfId="8" priority="9">
      <formula>LEFT($L5,2)&lt;&gt;""</formula>
    </cfRule>
  </conditionalFormatting>
  <conditionalFormatting sqref="B5:H104">
    <cfRule type="expression" dxfId="2" priority="10">
      <formula>COUNTIF($C$5:$C$104,$C5)&gt;1</formula>
    </cfRule>
  </conditionalFormatting>
  <conditionalFormatting sqref="B5:H104">
    <cfRule type="expression" dxfId="9" priority="11">
      <formula>COUNTIF($K$5:$K104,$C5)=1</formula>
    </cfRule>
  </conditionalFormatting>
  <dataValidations>
    <dataValidation type="list" allowBlank="1" sqref="B2">
      <formula1>Settings!$E$3:$E$12</formula1>
    </dataValidation>
    <dataValidation type="list" allowBlank="1" showDropDown="1" sqref="K5:K104">
      <formula1>'_api'!$A$3:$A$1007</formula1>
    </dataValidation>
    <dataValidation type="list" allowBlank="1" sqref="D5:D104">
      <formula1>Settings!$I$2:$P$2</formula1>
    </dataValidation>
    <dataValidation type="list" allowBlank="1" sqref="E5:E104">
      <formula1>Settings!$B$3:$B$12</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37.63"/>
    <col customWidth="1" min="3" max="3" width="12.63"/>
    <col customWidth="1" min="4" max="4" width="9.5"/>
    <col customWidth="1" min="6" max="6" width="11.13"/>
    <col customWidth="1" min="7" max="8" width="25.13"/>
    <col customWidth="1" min="9" max="9" width="3.25"/>
    <col customWidth="1" min="12" max="12" width="5.13"/>
    <col customWidth="1" min="13" max="13" width="11.13"/>
    <col customWidth="1" min="14" max="14" width="31.38"/>
    <col customWidth="1" min="15" max="20" width="6.38" outlineLevel="1"/>
    <col min="21" max="22" width="12.63" outlineLevel="1"/>
    <col customWidth="1" min="23" max="23" width="3.25"/>
  </cols>
  <sheetData>
    <row r="1" ht="18.75" customHeight="1">
      <c r="A1" s="13"/>
      <c r="B1" s="13"/>
      <c r="C1" s="13"/>
      <c r="D1" s="13"/>
      <c r="E1" s="13"/>
      <c r="F1" s="13"/>
      <c r="G1" s="13"/>
      <c r="H1" s="13"/>
      <c r="I1" s="13"/>
      <c r="J1" s="13"/>
      <c r="K1" s="13"/>
      <c r="L1" s="13"/>
      <c r="M1" s="13"/>
      <c r="N1" s="13"/>
      <c r="O1" s="13"/>
      <c r="P1" s="13"/>
      <c r="Q1" s="13"/>
      <c r="R1" s="13"/>
      <c r="S1" s="13"/>
      <c r="T1" s="13"/>
      <c r="U1" s="13"/>
      <c r="V1" s="13"/>
      <c r="W1" s="13"/>
    </row>
    <row r="2" ht="18.75" customHeight="1">
      <c r="A2" s="13"/>
      <c r="B2" s="14" t="s">
        <v>18</v>
      </c>
      <c r="C2" s="15" t="s">
        <v>5</v>
      </c>
      <c r="D2" s="16" t="str">
        <f>IFERROR(VLOOKUP(B2,Settings!E3:H12,3,0),"")</f>
        <v/>
      </c>
      <c r="E2" s="17" t="s">
        <v>6</v>
      </c>
      <c r="F2" s="18" t="str">
        <f>IFERROR(VLOOKUP(B2,Settings!E3:H12,4,0),"")</f>
        <v/>
      </c>
      <c r="G2" s="13"/>
      <c r="H2" s="13"/>
      <c r="I2" s="13"/>
      <c r="J2" s="13"/>
      <c r="K2" s="13"/>
      <c r="L2" s="13"/>
      <c r="M2" s="13"/>
      <c r="N2" s="13"/>
      <c r="O2" s="13"/>
      <c r="P2" s="13"/>
      <c r="Q2" s="13"/>
      <c r="R2" s="13"/>
      <c r="S2" s="13"/>
      <c r="T2" s="13"/>
      <c r="U2" s="13"/>
      <c r="V2" s="13"/>
      <c r="W2" s="13"/>
    </row>
    <row r="3" ht="26.25" customHeight="1">
      <c r="A3" s="13"/>
      <c r="B3" s="19" t="s">
        <v>44</v>
      </c>
      <c r="C3" s="20"/>
      <c r="D3" s="20"/>
      <c r="E3" s="20"/>
      <c r="F3" s="20"/>
      <c r="G3" s="20"/>
      <c r="H3" s="20"/>
      <c r="I3" s="13"/>
      <c r="J3" s="19" t="s">
        <v>45</v>
      </c>
      <c r="K3" s="20"/>
      <c r="L3" s="20"/>
      <c r="M3" s="20"/>
      <c r="N3" s="20"/>
      <c r="O3" s="20"/>
      <c r="P3" s="20"/>
      <c r="Q3" s="20"/>
      <c r="R3" s="20"/>
      <c r="S3" s="20"/>
      <c r="T3" s="20"/>
      <c r="U3" s="20"/>
      <c r="V3" s="20"/>
      <c r="W3" s="13"/>
    </row>
    <row r="4" ht="18.75" customHeight="1">
      <c r="A4" s="13"/>
      <c r="B4" s="21" t="s">
        <v>46</v>
      </c>
      <c r="C4" s="21" t="s">
        <v>47</v>
      </c>
      <c r="D4" s="21" t="s">
        <v>48</v>
      </c>
      <c r="E4" s="21" t="s">
        <v>49</v>
      </c>
      <c r="F4" s="21" t="s">
        <v>50</v>
      </c>
      <c r="G4" s="22"/>
      <c r="H4" s="21" t="s">
        <v>51</v>
      </c>
      <c r="I4" s="13"/>
      <c r="J4" s="21" t="s">
        <v>52</v>
      </c>
      <c r="K4" s="21" t="s">
        <v>47</v>
      </c>
      <c r="L4" s="23" t="s">
        <v>48</v>
      </c>
      <c r="M4" s="21" t="s">
        <v>50</v>
      </c>
      <c r="N4" s="22"/>
      <c r="O4" s="24" t="s">
        <v>53</v>
      </c>
      <c r="P4" s="25" t="s">
        <v>54</v>
      </c>
      <c r="Q4" s="26" t="s">
        <v>55</v>
      </c>
      <c r="R4" s="27" t="s">
        <v>56</v>
      </c>
      <c r="S4" s="21" t="s">
        <v>57</v>
      </c>
      <c r="T4" s="21" t="s">
        <v>58</v>
      </c>
      <c r="U4" s="21" t="s">
        <v>60</v>
      </c>
      <c r="V4" s="21" t="s">
        <v>47</v>
      </c>
      <c r="W4" s="13"/>
    </row>
    <row r="5" ht="18.75" customHeight="1">
      <c r="A5" s="13"/>
      <c r="B5" s="49" t="s">
        <v>61</v>
      </c>
      <c r="C5" s="30">
        <f>IFERROR(__xludf.DUMMYFUNCTION("ArrayFormula(IFERROR(VALUE(REGEXEXTRACT(B5:B104&amp;"""",""\d+$""))))"),3924030.0)</f>
        <v>3924030</v>
      </c>
      <c r="D5" s="31" t="s">
        <v>7</v>
      </c>
      <c r="E5" s="31" t="s">
        <v>23</v>
      </c>
      <c r="F5" s="31" t="str">
        <f t="array" ref="F5:F104">MAP(C5:C104,LAMBDA(id,IFNA(IMAGE(MAPDATA(id,"cover_url")),"")))</f>
        <v/>
      </c>
      <c r="G5" s="50" t="str">
        <f t="array" ref="G5:G104">IFNA(HYPERLINK(VLOOKUP(C5:C298,'_api'!B3:BC104,MATCH("url",'_api'!B2:W2,0),0),VLOOKUP(C5:C298,'_api'!B3:BC104,MATCH("string",'_api'!B2:W2,0),0)),"")
</f>
        <v>nonoc - Relive [Insane]</v>
      </c>
      <c r="H5" s="51"/>
      <c r="I5" s="13"/>
      <c r="J5" s="34"/>
      <c r="K5" s="52">
        <v>3924030.0</v>
      </c>
      <c r="L5" s="36" t="str">
        <f>IFERROR(__xludf.DUMMYFUNCTION("TRANSPOSE(SPLIT(JOIN("","",MAP(TRANSPOSE(Settings!I2:P2),TRANSPOSE(INDEX(Settings!I3:P12,MATCH(B2,Settings!E3:E12,0))),LAMBDA(mod,n,JOIN("","",ARRAYFORMULA(IF(n=0,"""",mod&amp;SEQUENCE(n))))))),"",""))"),"NM1")</f>
        <v>NM1</v>
      </c>
      <c r="M5" s="34" t="str">
        <f t="array" ref="M5:M104">MAP(K5:K104,LAMBDA(id,IFNA(IMAGE(MAPDATA(id,"cover_url")),"")))</f>
        <v/>
      </c>
      <c r="N5" s="53" t="str">
        <f>IFNA(MAPDATA(K5:K104,"string_url"),"")</f>
        <v>nonoc - Relive [Insane]</v>
      </c>
      <c r="O5" s="38">
        <f t="array" ref="O5:Q104">IFNA(MAPDATA_MODDED(K5:K104,{"difficultyrating","bpm","hit_length"},L5:L104),"")</f>
        <v>5.04539</v>
      </c>
      <c r="P5" s="39">
        <v>196.0</v>
      </c>
      <c r="Q5" s="40">
        <v>0.002534722221753327</v>
      </c>
      <c r="R5" s="41">
        <f t="array" ref="R5:T104">IFNA(MAPDATA_MODDED(K5:K104,"diff_"&amp;{"size","approach","overall"},L5:L104),"")</f>
        <v>3.5</v>
      </c>
      <c r="S5" s="42">
        <v>9.0</v>
      </c>
      <c r="T5" s="42">
        <v>8.0</v>
      </c>
      <c r="U5" s="34" t="str">
        <f t="array" ref="U5:V104">IFNA(MAPDATA(K5:K104,{"creator","beatmap_id"}),"")</f>
        <v>SkyFlame</v>
      </c>
      <c r="V5" s="34">
        <v>3924030.0</v>
      </c>
      <c r="W5" s="13"/>
    </row>
    <row r="6" ht="18.75" customHeight="1">
      <c r="A6" s="13"/>
      <c r="B6" s="54" t="s">
        <v>62</v>
      </c>
      <c r="C6" s="45">
        <f>IFERROR(__xludf.DUMMYFUNCTION("""COMPUTED_VALUE"""),3207049.0)</f>
        <v>3207049</v>
      </c>
      <c r="D6" s="31" t="s">
        <v>7</v>
      </c>
      <c r="E6" s="31" t="s">
        <v>23</v>
      </c>
      <c r="F6" s="31"/>
      <c r="G6" s="50" t="s">
        <v>63</v>
      </c>
      <c r="H6" s="51"/>
      <c r="I6" s="13" t="s">
        <v>0</v>
      </c>
      <c r="J6" s="34"/>
      <c r="K6" s="52">
        <v>908887.0</v>
      </c>
      <c r="L6" s="36" t="str">
        <f>IFERROR(__xludf.DUMMYFUNCTION("""COMPUTED_VALUE"""),"NM2")</f>
        <v>NM2</v>
      </c>
      <c r="M6" s="34"/>
      <c r="N6" s="53" t="s">
        <v>64</v>
      </c>
      <c r="O6" s="38">
        <v>5.06513</v>
      </c>
      <c r="P6" s="39">
        <v>170.0</v>
      </c>
      <c r="Q6" s="40">
        <v>0.0013194444436521735</v>
      </c>
      <c r="R6" s="41">
        <v>4.0</v>
      </c>
      <c r="S6" s="42">
        <v>9.0</v>
      </c>
      <c r="T6" s="42">
        <v>8.0</v>
      </c>
      <c r="U6" s="34" t="s">
        <v>65</v>
      </c>
      <c r="V6" s="34">
        <v>908887.0</v>
      </c>
      <c r="W6" s="13"/>
    </row>
    <row r="7" ht="18.75" customHeight="1">
      <c r="A7" s="13"/>
      <c r="B7" s="49" t="s">
        <v>66</v>
      </c>
      <c r="C7" s="45">
        <f>IFERROR(__xludf.DUMMYFUNCTION("""COMPUTED_VALUE"""),4113699.0)</f>
        <v>4113699</v>
      </c>
      <c r="D7" s="31" t="s">
        <v>7</v>
      </c>
      <c r="E7" s="31" t="s">
        <v>23</v>
      </c>
      <c r="F7" s="31"/>
      <c r="G7" s="50" t="s">
        <v>67</v>
      </c>
      <c r="H7" s="51"/>
      <c r="I7" s="13"/>
      <c r="J7" s="34"/>
      <c r="K7" s="55">
        <v>3035501.0</v>
      </c>
      <c r="L7" s="36" t="str">
        <f>IFERROR(__xludf.DUMMYFUNCTION("""COMPUTED_VALUE"""),"NM3")</f>
        <v>NM3</v>
      </c>
      <c r="M7" s="34"/>
      <c r="N7" s="53" t="s">
        <v>68</v>
      </c>
      <c r="O7" s="38">
        <v>4.88183</v>
      </c>
      <c r="P7" s="39">
        <v>135.0</v>
      </c>
      <c r="Q7" s="40">
        <v>0.002442129629343981</v>
      </c>
      <c r="R7" s="41">
        <v>4.0</v>
      </c>
      <c r="S7" s="42">
        <v>9.0</v>
      </c>
      <c r="T7" s="42">
        <v>8.0</v>
      </c>
      <c r="U7" s="34" t="s">
        <v>69</v>
      </c>
      <c r="V7" s="34">
        <v>3035501.0</v>
      </c>
      <c r="W7" s="13"/>
    </row>
    <row r="8" ht="18.75" customHeight="1">
      <c r="A8" s="13"/>
      <c r="B8" s="56" t="s">
        <v>70</v>
      </c>
      <c r="C8" s="45">
        <f>IFERROR(__xludf.DUMMYFUNCTION("""COMPUTED_VALUE"""),3737825.0)</f>
        <v>3737825</v>
      </c>
      <c r="D8" s="31" t="s">
        <v>7</v>
      </c>
      <c r="E8" s="31" t="s">
        <v>29</v>
      </c>
      <c r="F8" s="32"/>
      <c r="G8" s="57" t="s">
        <v>71</v>
      </c>
      <c r="H8" s="51"/>
      <c r="I8" s="13"/>
      <c r="J8" s="34"/>
      <c r="K8" s="35">
        <v>3737825.0</v>
      </c>
      <c r="L8" s="36" t="str">
        <f>IFERROR(__xludf.DUMMYFUNCTION("""COMPUTED_VALUE"""),"NM4")</f>
        <v>NM4</v>
      </c>
      <c r="M8" s="34"/>
      <c r="N8" s="53" t="s">
        <v>71</v>
      </c>
      <c r="O8" s="38">
        <v>4.71109</v>
      </c>
      <c r="P8" s="39">
        <v>180.0</v>
      </c>
      <c r="Q8" s="40">
        <v>0.002488425925548654</v>
      </c>
      <c r="R8" s="41">
        <v>4.0</v>
      </c>
      <c r="S8" s="42">
        <v>9.0</v>
      </c>
      <c r="T8" s="42">
        <v>8.0</v>
      </c>
      <c r="U8" s="34" t="s">
        <v>72</v>
      </c>
      <c r="V8" s="34">
        <v>3737825.0</v>
      </c>
      <c r="W8" s="13"/>
    </row>
    <row r="9" ht="18.75" customHeight="1">
      <c r="A9" s="13"/>
      <c r="B9" s="58" t="s">
        <v>73</v>
      </c>
      <c r="C9" s="45">
        <f>IFERROR(__xludf.DUMMYFUNCTION("""COMPUTED_VALUE"""),2514122.0)</f>
        <v>2514122</v>
      </c>
      <c r="D9" s="31" t="s">
        <v>8</v>
      </c>
      <c r="E9" s="31" t="s">
        <v>26</v>
      </c>
      <c r="F9" s="32"/>
      <c r="G9" s="57" t="s">
        <v>74</v>
      </c>
      <c r="H9" s="51"/>
      <c r="I9" s="13"/>
      <c r="J9" s="34"/>
      <c r="K9" s="35">
        <v>2094462.0</v>
      </c>
      <c r="L9" s="36" t="str">
        <f>IFERROR(__xludf.DUMMYFUNCTION("""COMPUTED_VALUE"""),"HD1")</f>
        <v>HD1</v>
      </c>
      <c r="M9" s="34"/>
      <c r="N9" s="53" t="s">
        <v>75</v>
      </c>
      <c r="O9" s="38">
        <v>5.05371</v>
      </c>
      <c r="P9" s="39">
        <v>170.0</v>
      </c>
      <c r="Q9" s="40">
        <v>0.002002314813580597</v>
      </c>
      <c r="R9" s="41">
        <v>4.5</v>
      </c>
      <c r="S9" s="42">
        <v>9.0</v>
      </c>
      <c r="T9" s="42">
        <v>8.0</v>
      </c>
      <c r="U9" s="34" t="s">
        <v>76</v>
      </c>
      <c r="V9" s="34">
        <v>2094462.0</v>
      </c>
      <c r="W9" s="13"/>
    </row>
    <row r="10" ht="18.75" customHeight="1">
      <c r="A10" s="13"/>
      <c r="B10" s="58" t="s">
        <v>77</v>
      </c>
      <c r="C10" s="45">
        <f>IFERROR(__xludf.DUMMYFUNCTION("""COMPUTED_VALUE"""),2619929.0)</f>
        <v>2619929</v>
      </c>
      <c r="D10" s="31" t="s">
        <v>8</v>
      </c>
      <c r="E10" s="31" t="s">
        <v>17</v>
      </c>
      <c r="F10" s="32"/>
      <c r="G10" s="57" t="s">
        <v>78</v>
      </c>
      <c r="H10" s="51" t="s">
        <v>79</v>
      </c>
      <c r="I10" s="13"/>
      <c r="J10" s="34"/>
      <c r="K10" s="45">
        <v>2619929.0</v>
      </c>
      <c r="L10" s="36" t="str">
        <f>IFERROR(__xludf.DUMMYFUNCTION("""COMPUTED_VALUE"""),"HD2")</f>
        <v>HD2</v>
      </c>
      <c r="M10" s="34"/>
      <c r="N10" s="53" t="s">
        <v>78</v>
      </c>
      <c r="O10" s="38">
        <v>4.61004</v>
      </c>
      <c r="P10" s="39">
        <v>165.0</v>
      </c>
      <c r="Q10" s="40">
        <v>0.0016550925938645378</v>
      </c>
      <c r="R10" s="41">
        <v>5.0</v>
      </c>
      <c r="S10" s="42">
        <v>8.0</v>
      </c>
      <c r="T10" s="42">
        <v>7.0</v>
      </c>
      <c r="U10" s="34" t="s">
        <v>80</v>
      </c>
      <c r="V10" s="34">
        <v>2619929.0</v>
      </c>
      <c r="W10" s="13"/>
    </row>
    <row r="11" ht="18.75" customHeight="1">
      <c r="A11" s="13"/>
      <c r="B11" s="49" t="s">
        <v>81</v>
      </c>
      <c r="C11" s="45">
        <f>IFERROR(__xludf.DUMMYFUNCTION("""COMPUTED_VALUE"""),3958395.0)</f>
        <v>3958395</v>
      </c>
      <c r="D11" s="31" t="s">
        <v>9</v>
      </c>
      <c r="E11" s="31" t="s">
        <v>23</v>
      </c>
      <c r="F11" s="31"/>
      <c r="G11" s="50" t="s">
        <v>82</v>
      </c>
      <c r="H11" s="51" t="s">
        <v>83</v>
      </c>
      <c r="I11" s="13"/>
      <c r="J11" s="34"/>
      <c r="K11" s="47">
        <v>2027623.0</v>
      </c>
      <c r="L11" s="36" t="str">
        <f>IFERROR(__xludf.DUMMYFUNCTION("""COMPUTED_VALUE"""),"HR1")</f>
        <v>HR1</v>
      </c>
      <c r="M11" s="34"/>
      <c r="N11" s="53" t="s">
        <v>84</v>
      </c>
      <c r="O11" s="38">
        <v>5.00382</v>
      </c>
      <c r="P11" s="39">
        <v>142.0</v>
      </c>
      <c r="Q11" s="40">
        <v>0.0029166666681703646</v>
      </c>
      <c r="R11" s="41">
        <v>4.9399999999999995</v>
      </c>
      <c r="S11" s="42">
        <v>10.0</v>
      </c>
      <c r="T11" s="42">
        <v>10.0</v>
      </c>
      <c r="U11" s="34" t="s">
        <v>85</v>
      </c>
      <c r="V11" s="34">
        <v>2027623.0</v>
      </c>
      <c r="W11" s="13"/>
    </row>
    <row r="12" ht="18.75" customHeight="1">
      <c r="A12" s="13"/>
      <c r="B12" s="56" t="s">
        <v>86</v>
      </c>
      <c r="C12" s="45">
        <f>IFERROR(__xludf.DUMMYFUNCTION("""COMPUTED_VALUE"""),1523138.0)</f>
        <v>1523138</v>
      </c>
      <c r="D12" s="31" t="s">
        <v>9</v>
      </c>
      <c r="E12" s="31" t="s">
        <v>35</v>
      </c>
      <c r="F12" s="32"/>
      <c r="G12" s="57" t="s">
        <v>87</v>
      </c>
      <c r="H12" s="51" t="s">
        <v>88</v>
      </c>
      <c r="I12" s="13"/>
      <c r="J12" s="34"/>
      <c r="K12" s="45">
        <v>1523138.0</v>
      </c>
      <c r="L12" s="36" t="str">
        <f>IFERROR(__xludf.DUMMYFUNCTION("""COMPUTED_VALUE"""),"HR2")</f>
        <v>HR2</v>
      </c>
      <c r="M12" s="34"/>
      <c r="N12" s="53" t="s">
        <v>87</v>
      </c>
      <c r="O12" s="38">
        <v>4.44079</v>
      </c>
      <c r="P12" s="39">
        <v>155.42</v>
      </c>
      <c r="Q12" s="40">
        <v>0.001678240740147885</v>
      </c>
      <c r="R12" s="41">
        <v>6.5</v>
      </c>
      <c r="S12" s="42">
        <v>10.0</v>
      </c>
      <c r="T12" s="42">
        <v>10.0</v>
      </c>
      <c r="U12" s="34" t="s">
        <v>89</v>
      </c>
      <c r="V12" s="34">
        <v>1523138.0</v>
      </c>
      <c r="W12" s="13"/>
    </row>
    <row r="13" ht="18.75" customHeight="1">
      <c r="A13" s="13"/>
      <c r="B13" s="56" t="s">
        <v>90</v>
      </c>
      <c r="C13" s="47">
        <f>IFERROR(__xludf.DUMMYFUNCTION("""COMPUTED_VALUE"""),4105349.0)</f>
        <v>4105349</v>
      </c>
      <c r="D13" s="31" t="s">
        <v>10</v>
      </c>
      <c r="E13" s="31" t="s">
        <v>23</v>
      </c>
      <c r="F13" s="31"/>
      <c r="G13" s="57" t="s">
        <v>91</v>
      </c>
      <c r="H13" s="51"/>
      <c r="I13" s="13"/>
      <c r="J13" s="34"/>
      <c r="K13" s="47">
        <v>4105349.0</v>
      </c>
      <c r="L13" s="36" t="str">
        <f>IFERROR(__xludf.DUMMYFUNCTION("""COMPUTED_VALUE"""),"DT1")</f>
        <v>DT1</v>
      </c>
      <c r="M13" s="34"/>
      <c r="N13" s="53" t="s">
        <v>91</v>
      </c>
      <c r="O13" s="38">
        <v>5.08077</v>
      </c>
      <c r="P13" s="39">
        <v>235.5</v>
      </c>
      <c r="Q13" s="40">
        <v>0.0017052469144497688</v>
      </c>
      <c r="R13" s="41">
        <v>3.8</v>
      </c>
      <c r="S13" s="42">
        <v>9.666666666666668</v>
      </c>
      <c r="T13" s="42">
        <v>8.416666666666666</v>
      </c>
      <c r="U13" s="34" t="s">
        <v>92</v>
      </c>
      <c r="V13" s="34">
        <v>4105349.0</v>
      </c>
      <c r="W13" s="13"/>
    </row>
    <row r="14" ht="18.75" customHeight="1">
      <c r="A14" s="13"/>
      <c r="B14" s="29" t="s">
        <v>93</v>
      </c>
      <c r="C14" s="45">
        <f>IFERROR(__xludf.DUMMYFUNCTION("""COMPUTED_VALUE"""),3411549.0)</f>
        <v>3411549</v>
      </c>
      <c r="D14" s="31" t="s">
        <v>10</v>
      </c>
      <c r="E14" s="31" t="s">
        <v>23</v>
      </c>
      <c r="F14" s="31"/>
      <c r="G14" s="57" t="s">
        <v>94</v>
      </c>
      <c r="H14" s="51"/>
      <c r="I14" s="13"/>
      <c r="J14" s="34"/>
      <c r="K14" s="47">
        <v>3533589.0</v>
      </c>
      <c r="L14" s="36" t="str">
        <f>IFERROR(__xludf.DUMMYFUNCTION("""COMPUTED_VALUE"""),"DT2")</f>
        <v>DT2</v>
      </c>
      <c r="M14" s="34"/>
      <c r="N14" s="53" t="s">
        <v>95</v>
      </c>
      <c r="O14" s="38">
        <v>4.78925</v>
      </c>
      <c r="P14" s="39">
        <v>234.0</v>
      </c>
      <c r="Q14" s="40">
        <v>0.0016512345682713203</v>
      </c>
      <c r="R14" s="41">
        <v>3.6</v>
      </c>
      <c r="S14" s="42">
        <v>9.0</v>
      </c>
      <c r="T14" s="42">
        <v>8.683333333333335</v>
      </c>
      <c r="U14" s="34" t="s">
        <v>96</v>
      </c>
      <c r="V14" s="34">
        <v>3533589.0</v>
      </c>
      <c r="W14" s="13"/>
    </row>
    <row r="15" ht="18.75" customHeight="1">
      <c r="A15" s="13"/>
      <c r="B15" s="58" t="s">
        <v>97</v>
      </c>
      <c r="C15" s="47">
        <f>IFERROR(__xludf.DUMMYFUNCTION("""COMPUTED_VALUE"""),2395972.0)</f>
        <v>2395972</v>
      </c>
      <c r="D15" s="31" t="s">
        <v>8</v>
      </c>
      <c r="E15" s="31" t="s">
        <v>26</v>
      </c>
      <c r="F15" s="32"/>
      <c r="G15" s="57" t="s">
        <v>98</v>
      </c>
      <c r="H15" s="51" t="s">
        <v>99</v>
      </c>
      <c r="I15" s="13"/>
      <c r="J15" s="34"/>
      <c r="K15" s="46"/>
      <c r="L15" s="36"/>
      <c r="M15" s="34"/>
      <c r="N15" s="37"/>
      <c r="O15" s="38"/>
      <c r="P15" s="39"/>
      <c r="Q15" s="40"/>
      <c r="R15" s="41"/>
      <c r="S15" s="42"/>
      <c r="T15" s="42"/>
      <c r="U15" s="34"/>
      <c r="V15" s="34"/>
      <c r="W15" s="13"/>
    </row>
    <row r="16" ht="18.75" customHeight="1">
      <c r="A16" s="13"/>
      <c r="B16" s="56" t="s">
        <v>100</v>
      </c>
      <c r="C16" s="47">
        <f>IFERROR(__xludf.DUMMYFUNCTION("""COMPUTED_VALUE"""),3720541.0)</f>
        <v>3720541</v>
      </c>
      <c r="D16" s="31" t="s">
        <v>8</v>
      </c>
      <c r="E16" s="31" t="s">
        <v>26</v>
      </c>
      <c r="F16" s="32"/>
      <c r="G16" s="57" t="s">
        <v>101</v>
      </c>
      <c r="H16" s="51" t="s">
        <v>102</v>
      </c>
      <c r="I16" s="13"/>
      <c r="J16" s="34"/>
      <c r="K16" s="46"/>
      <c r="L16" s="36"/>
      <c r="M16" s="34"/>
      <c r="N16" s="37"/>
      <c r="O16" s="38"/>
      <c r="P16" s="39"/>
      <c r="Q16" s="40"/>
      <c r="R16" s="41"/>
      <c r="S16" s="42"/>
      <c r="T16" s="42"/>
      <c r="U16" s="34"/>
      <c r="V16" s="34"/>
      <c r="W16" s="13"/>
    </row>
    <row r="17" ht="18.75" customHeight="1">
      <c r="A17" s="13"/>
      <c r="B17" s="56" t="s">
        <v>103</v>
      </c>
      <c r="C17" s="47">
        <f>IFERROR(__xludf.DUMMYFUNCTION("""COMPUTED_VALUE"""),3081261.0)</f>
        <v>3081261</v>
      </c>
      <c r="D17" s="31" t="s">
        <v>7</v>
      </c>
      <c r="E17" s="31" t="s">
        <v>26</v>
      </c>
      <c r="F17" s="32"/>
      <c r="G17" s="57" t="s">
        <v>104</v>
      </c>
      <c r="H17" s="51" t="s">
        <v>105</v>
      </c>
      <c r="I17" s="13"/>
      <c r="J17" s="34"/>
      <c r="K17" s="46"/>
      <c r="L17" s="36"/>
      <c r="M17" s="34"/>
      <c r="N17" s="37"/>
      <c r="O17" s="38"/>
      <c r="P17" s="39"/>
      <c r="Q17" s="40"/>
      <c r="R17" s="41"/>
      <c r="S17" s="42"/>
      <c r="T17" s="42"/>
      <c r="U17" s="34"/>
      <c r="V17" s="34"/>
      <c r="W17" s="13"/>
    </row>
    <row r="18" ht="18.75" customHeight="1">
      <c r="A18" s="13"/>
      <c r="B18" s="56" t="s">
        <v>106</v>
      </c>
      <c r="C18" s="45">
        <f>IFERROR(__xludf.DUMMYFUNCTION("""COMPUTED_VALUE"""),3684386.0)</f>
        <v>3684386</v>
      </c>
      <c r="D18" s="31" t="s">
        <v>8</v>
      </c>
      <c r="E18" s="31" t="s">
        <v>23</v>
      </c>
      <c r="F18" s="31"/>
      <c r="G18" s="50" t="s">
        <v>107</v>
      </c>
      <c r="H18" s="33"/>
      <c r="I18" s="13"/>
      <c r="J18" s="34"/>
      <c r="K18" s="46"/>
      <c r="L18" s="36"/>
      <c r="M18" s="34"/>
      <c r="N18" s="37"/>
      <c r="O18" s="38"/>
      <c r="P18" s="39"/>
      <c r="Q18" s="40"/>
      <c r="R18" s="41"/>
      <c r="S18" s="42"/>
      <c r="T18" s="42"/>
      <c r="U18" s="34"/>
      <c r="V18" s="34"/>
      <c r="W18" s="13"/>
    </row>
    <row r="19" ht="18.75" customHeight="1">
      <c r="A19" s="13"/>
      <c r="B19" s="56" t="s">
        <v>108</v>
      </c>
      <c r="C19" s="47">
        <f>IFERROR(__xludf.DUMMYFUNCTION("""COMPUTED_VALUE"""),3783139.0)</f>
        <v>3783139</v>
      </c>
      <c r="D19" s="31" t="s">
        <v>8</v>
      </c>
      <c r="E19" s="31" t="s">
        <v>23</v>
      </c>
      <c r="F19" s="31"/>
      <c r="G19" s="50" t="s">
        <v>109</v>
      </c>
      <c r="H19" s="33"/>
      <c r="I19" s="13"/>
      <c r="J19" s="34"/>
      <c r="K19" s="46"/>
      <c r="L19" s="36"/>
      <c r="M19" s="34"/>
      <c r="N19" s="37"/>
      <c r="O19" s="38"/>
      <c r="P19" s="39"/>
      <c r="Q19" s="40"/>
      <c r="R19" s="41"/>
      <c r="S19" s="42"/>
      <c r="T19" s="42"/>
      <c r="U19" s="34"/>
      <c r="V19" s="34"/>
      <c r="W19" s="13"/>
    </row>
    <row r="20" ht="18.75" customHeight="1">
      <c r="A20" s="13"/>
      <c r="B20" s="56" t="s">
        <v>110</v>
      </c>
      <c r="C20" s="47">
        <f>IFERROR(__xludf.DUMMYFUNCTION("""COMPUTED_VALUE"""),2027623.0)</f>
        <v>2027623</v>
      </c>
      <c r="D20" s="31" t="s">
        <v>9</v>
      </c>
      <c r="E20" s="31" t="s">
        <v>23</v>
      </c>
      <c r="F20" s="31"/>
      <c r="G20" s="50" t="s">
        <v>84</v>
      </c>
      <c r="H20" s="33"/>
      <c r="I20" s="13"/>
      <c r="J20" s="34"/>
      <c r="K20" s="46"/>
      <c r="L20" s="36"/>
      <c r="M20" s="34"/>
      <c r="N20" s="37"/>
      <c r="O20" s="38"/>
      <c r="P20" s="39"/>
      <c r="Q20" s="40"/>
      <c r="R20" s="41"/>
      <c r="S20" s="42"/>
      <c r="T20" s="42"/>
      <c r="U20" s="34"/>
      <c r="V20" s="34"/>
      <c r="W20" s="13"/>
    </row>
    <row r="21" ht="18.75" customHeight="1">
      <c r="A21" s="13"/>
      <c r="B21" s="56" t="s">
        <v>111</v>
      </c>
      <c r="C21" s="47">
        <f>IFERROR(__xludf.DUMMYFUNCTION("""COMPUTED_VALUE"""),2305346.0)</f>
        <v>2305346</v>
      </c>
      <c r="D21" s="31" t="s">
        <v>7</v>
      </c>
      <c r="E21" s="31" t="s">
        <v>23</v>
      </c>
      <c r="F21" s="31"/>
      <c r="G21" s="50" t="s">
        <v>112</v>
      </c>
      <c r="H21" s="33"/>
      <c r="I21" s="13"/>
      <c r="J21" s="34"/>
      <c r="K21" s="46"/>
      <c r="L21" s="36"/>
      <c r="M21" s="34"/>
      <c r="N21" s="37"/>
      <c r="O21" s="38"/>
      <c r="P21" s="39"/>
      <c r="Q21" s="40"/>
      <c r="R21" s="41"/>
      <c r="S21" s="42"/>
      <c r="T21" s="42"/>
      <c r="U21" s="34"/>
      <c r="V21" s="34"/>
      <c r="W21" s="13"/>
    </row>
    <row r="22" ht="18.75" customHeight="1">
      <c r="A22" s="13"/>
      <c r="B22" s="56" t="s">
        <v>113</v>
      </c>
      <c r="C22" s="47">
        <f>IFERROR(__xludf.DUMMYFUNCTION("""COMPUTED_VALUE"""),3310401.0)</f>
        <v>3310401</v>
      </c>
      <c r="D22" s="31" t="s">
        <v>7</v>
      </c>
      <c r="E22" s="31" t="s">
        <v>23</v>
      </c>
      <c r="F22" s="31"/>
      <c r="G22" s="50" t="s">
        <v>114</v>
      </c>
      <c r="H22" s="33"/>
      <c r="I22" s="13"/>
      <c r="J22" s="34"/>
      <c r="K22" s="46"/>
      <c r="L22" s="36"/>
      <c r="M22" s="34"/>
      <c r="N22" s="37"/>
      <c r="O22" s="38"/>
      <c r="P22" s="39"/>
      <c r="Q22" s="40"/>
      <c r="R22" s="41"/>
      <c r="S22" s="42"/>
      <c r="T22" s="42"/>
      <c r="U22" s="34"/>
      <c r="V22" s="34"/>
      <c r="W22" s="13"/>
    </row>
    <row r="23" ht="18.75" customHeight="1">
      <c r="A23" s="13"/>
      <c r="B23" s="56" t="s">
        <v>115</v>
      </c>
      <c r="C23" s="47">
        <f>IFERROR(__xludf.DUMMYFUNCTION("""COMPUTED_VALUE"""),4121042.0)</f>
        <v>4121042</v>
      </c>
      <c r="D23" s="31" t="s">
        <v>10</v>
      </c>
      <c r="E23" s="31" t="s">
        <v>23</v>
      </c>
      <c r="F23" s="31"/>
      <c r="G23" s="50" t="s">
        <v>116</v>
      </c>
      <c r="H23" s="33"/>
      <c r="I23" s="13"/>
      <c r="J23" s="34"/>
      <c r="K23" s="46"/>
      <c r="L23" s="36"/>
      <c r="M23" s="34"/>
      <c r="N23" s="37"/>
      <c r="O23" s="38"/>
      <c r="P23" s="39"/>
      <c r="Q23" s="40"/>
      <c r="R23" s="41"/>
      <c r="S23" s="42"/>
      <c r="T23" s="42"/>
      <c r="U23" s="34"/>
      <c r="V23" s="34"/>
      <c r="W23" s="13"/>
    </row>
    <row r="24" ht="18.75" customHeight="1">
      <c r="A24" s="13"/>
      <c r="B24" s="56" t="s">
        <v>117</v>
      </c>
      <c r="C24" s="47">
        <f>IFERROR(__xludf.DUMMYFUNCTION("""COMPUTED_VALUE"""),908887.0)</f>
        <v>908887</v>
      </c>
      <c r="D24" s="31" t="s">
        <v>7</v>
      </c>
      <c r="E24" s="31" t="s">
        <v>38</v>
      </c>
      <c r="F24" s="31"/>
      <c r="G24" s="50" t="s">
        <v>64</v>
      </c>
      <c r="H24" s="33"/>
      <c r="I24" s="13"/>
      <c r="J24" s="34"/>
      <c r="K24" s="46"/>
      <c r="L24" s="36"/>
      <c r="M24" s="34"/>
      <c r="N24" s="37"/>
      <c r="O24" s="38"/>
      <c r="P24" s="39"/>
      <c r="Q24" s="40"/>
      <c r="R24" s="41"/>
      <c r="S24" s="42"/>
      <c r="T24" s="42"/>
      <c r="U24" s="34"/>
      <c r="V24" s="34"/>
      <c r="W24" s="13"/>
    </row>
    <row r="25" ht="18.75" customHeight="1">
      <c r="A25" s="13"/>
      <c r="B25" s="58" t="s">
        <v>118</v>
      </c>
      <c r="C25" s="47">
        <f>IFERROR(__xludf.DUMMYFUNCTION("""COMPUTED_VALUE"""),3533589.0)</f>
        <v>3533589</v>
      </c>
      <c r="D25" s="31" t="s">
        <v>10</v>
      </c>
      <c r="E25" s="32"/>
      <c r="F25" s="32"/>
      <c r="G25" s="57" t="s">
        <v>95</v>
      </c>
      <c r="H25" s="33"/>
      <c r="I25" s="13"/>
      <c r="J25" s="34"/>
      <c r="K25" s="46"/>
      <c r="L25" s="36"/>
      <c r="M25" s="34"/>
      <c r="N25" s="37"/>
      <c r="O25" s="38"/>
      <c r="P25" s="39"/>
      <c r="Q25" s="40"/>
      <c r="R25" s="41"/>
      <c r="S25" s="42"/>
      <c r="T25" s="42"/>
      <c r="U25" s="34"/>
      <c r="V25" s="34"/>
      <c r="W25" s="13"/>
    </row>
    <row r="26" ht="18.75" customHeight="1">
      <c r="A26" s="13"/>
      <c r="B26" s="56" t="s">
        <v>119</v>
      </c>
      <c r="C26" s="47">
        <f>IFERROR(__xludf.DUMMYFUNCTION("""COMPUTED_VALUE"""),2094462.0)</f>
        <v>2094462</v>
      </c>
      <c r="D26" s="31" t="s">
        <v>8</v>
      </c>
      <c r="E26" s="32"/>
      <c r="F26" s="32"/>
      <c r="G26" s="57" t="s">
        <v>75</v>
      </c>
      <c r="H26" s="33"/>
      <c r="I26" s="13"/>
      <c r="J26" s="34"/>
      <c r="K26" s="46"/>
      <c r="L26" s="36"/>
      <c r="M26" s="34"/>
      <c r="N26" s="37"/>
      <c r="O26" s="38"/>
      <c r="P26" s="39"/>
      <c r="Q26" s="40"/>
      <c r="R26" s="41"/>
      <c r="S26" s="42"/>
      <c r="T26" s="42"/>
      <c r="U26" s="34"/>
      <c r="V26" s="34"/>
      <c r="W26" s="13"/>
    </row>
    <row r="27" ht="18.75" customHeight="1">
      <c r="A27" s="13"/>
      <c r="B27" s="56" t="s">
        <v>120</v>
      </c>
      <c r="C27" s="47">
        <f>IFERROR(__xludf.DUMMYFUNCTION("""COMPUTED_VALUE"""),3035501.0)</f>
        <v>3035501</v>
      </c>
      <c r="D27" s="31" t="s">
        <v>7</v>
      </c>
      <c r="E27" s="32"/>
      <c r="F27" s="32"/>
      <c r="G27" s="57" t="s">
        <v>68</v>
      </c>
      <c r="H27" s="33"/>
      <c r="I27" s="13"/>
      <c r="J27" s="34"/>
      <c r="K27" s="46"/>
      <c r="L27" s="36"/>
      <c r="M27" s="34"/>
      <c r="N27" s="37"/>
      <c r="O27" s="38"/>
      <c r="P27" s="39"/>
      <c r="Q27" s="40"/>
      <c r="R27" s="41"/>
      <c r="S27" s="42"/>
      <c r="T27" s="42"/>
      <c r="U27" s="34"/>
      <c r="V27" s="34"/>
      <c r="W27" s="13"/>
    </row>
    <row r="28" ht="18.75" customHeight="1">
      <c r="A28" s="13"/>
      <c r="B28" s="44"/>
      <c r="C28" s="47"/>
      <c r="D28" s="31" t="s">
        <v>8</v>
      </c>
      <c r="E28" s="32"/>
      <c r="F28" s="32"/>
      <c r="G28" s="33"/>
      <c r="H28" s="33"/>
      <c r="I28" s="13"/>
      <c r="J28" s="34"/>
      <c r="K28" s="46"/>
      <c r="L28" s="36"/>
      <c r="M28" s="34"/>
      <c r="N28" s="37"/>
      <c r="O28" s="38"/>
      <c r="P28" s="39"/>
      <c r="Q28" s="40"/>
      <c r="R28" s="41"/>
      <c r="S28" s="42"/>
      <c r="T28" s="42"/>
      <c r="U28" s="34"/>
      <c r="V28" s="34"/>
      <c r="W28" s="13"/>
    </row>
    <row r="29" ht="18.75" customHeight="1">
      <c r="A29" s="13"/>
      <c r="B29" s="48"/>
      <c r="C29" s="47"/>
      <c r="D29" s="32"/>
      <c r="E29" s="32"/>
      <c r="F29" s="32"/>
      <c r="G29" s="33"/>
      <c r="H29" s="33"/>
      <c r="I29" s="13"/>
      <c r="J29" s="34"/>
      <c r="K29" s="46"/>
      <c r="L29" s="36"/>
      <c r="M29" s="34"/>
      <c r="N29" s="37"/>
      <c r="O29" s="38"/>
      <c r="P29" s="39"/>
      <c r="Q29" s="40"/>
      <c r="R29" s="41"/>
      <c r="S29" s="42"/>
      <c r="T29" s="42"/>
      <c r="U29" s="34"/>
      <c r="V29" s="34"/>
      <c r="W29" s="13"/>
    </row>
    <row r="30" ht="18.75" customHeight="1">
      <c r="A30" s="13"/>
      <c r="B30" s="48"/>
      <c r="C30" s="47"/>
      <c r="D30" s="32"/>
      <c r="E30" s="32"/>
      <c r="F30" s="32"/>
      <c r="G30" s="33"/>
      <c r="H30" s="33"/>
      <c r="I30" s="13"/>
      <c r="J30" s="34"/>
      <c r="K30" s="46"/>
      <c r="L30" s="36"/>
      <c r="M30" s="34"/>
      <c r="N30" s="37"/>
      <c r="O30" s="38"/>
      <c r="P30" s="39"/>
      <c r="Q30" s="40"/>
      <c r="R30" s="41"/>
      <c r="S30" s="42"/>
      <c r="T30" s="42"/>
      <c r="U30" s="34"/>
      <c r="V30" s="34"/>
      <c r="W30" s="13"/>
    </row>
    <row r="31" ht="18.75" customHeight="1">
      <c r="A31" s="13"/>
      <c r="B31" s="48"/>
      <c r="C31" s="47"/>
      <c r="D31" s="32"/>
      <c r="E31" s="32"/>
      <c r="F31" s="32"/>
      <c r="G31" s="33"/>
      <c r="H31" s="33"/>
      <c r="I31" s="13"/>
      <c r="J31" s="34"/>
      <c r="K31" s="46"/>
      <c r="L31" s="36"/>
      <c r="M31" s="34"/>
      <c r="N31" s="37"/>
      <c r="O31" s="38"/>
      <c r="P31" s="39"/>
      <c r="Q31" s="40"/>
      <c r="R31" s="41"/>
      <c r="S31" s="42"/>
      <c r="T31" s="42"/>
      <c r="U31" s="34"/>
      <c r="V31" s="34"/>
      <c r="W31" s="13"/>
    </row>
    <row r="32" ht="18.75" customHeight="1">
      <c r="A32" s="13"/>
      <c r="B32" s="48"/>
      <c r="C32" s="47"/>
      <c r="D32" s="32"/>
      <c r="E32" s="32"/>
      <c r="F32" s="32"/>
      <c r="G32" s="33"/>
      <c r="H32" s="33"/>
      <c r="I32" s="13"/>
      <c r="J32" s="34"/>
      <c r="K32" s="46"/>
      <c r="L32" s="36"/>
      <c r="M32" s="34"/>
      <c r="N32" s="37"/>
      <c r="O32" s="38"/>
      <c r="P32" s="39"/>
      <c r="Q32" s="40"/>
      <c r="R32" s="41"/>
      <c r="S32" s="42"/>
      <c r="T32" s="42"/>
      <c r="U32" s="34"/>
      <c r="V32" s="34"/>
      <c r="W32" s="13"/>
    </row>
    <row r="33" ht="18.75" customHeight="1">
      <c r="A33" s="13"/>
      <c r="B33" s="48"/>
      <c r="C33" s="47"/>
      <c r="D33" s="32"/>
      <c r="E33" s="32"/>
      <c r="F33" s="32"/>
      <c r="G33" s="33"/>
      <c r="H33" s="33"/>
      <c r="I33" s="13"/>
      <c r="J33" s="34"/>
      <c r="K33" s="46"/>
      <c r="L33" s="36"/>
      <c r="M33" s="34"/>
      <c r="N33" s="37"/>
      <c r="O33" s="38"/>
      <c r="P33" s="39"/>
      <c r="Q33" s="40"/>
      <c r="R33" s="41"/>
      <c r="S33" s="42"/>
      <c r="T33" s="42"/>
      <c r="U33" s="34"/>
      <c r="V33" s="34"/>
      <c r="W33" s="13"/>
    </row>
    <row r="34" ht="18.75" customHeight="1">
      <c r="A34" s="13"/>
      <c r="B34" s="48"/>
      <c r="C34" s="47"/>
      <c r="D34" s="32"/>
      <c r="E34" s="32"/>
      <c r="F34" s="32"/>
      <c r="G34" s="33"/>
      <c r="H34" s="33"/>
      <c r="I34" s="13"/>
      <c r="J34" s="34"/>
      <c r="K34" s="46"/>
      <c r="L34" s="36"/>
      <c r="M34" s="34"/>
      <c r="N34" s="37"/>
      <c r="O34" s="38"/>
      <c r="P34" s="39"/>
      <c r="Q34" s="40"/>
      <c r="R34" s="41"/>
      <c r="S34" s="42"/>
      <c r="T34" s="42"/>
      <c r="U34" s="34"/>
      <c r="V34" s="34"/>
      <c r="W34" s="13"/>
    </row>
    <row r="35" ht="18.75" customHeight="1">
      <c r="A35" s="13"/>
      <c r="B35" s="48"/>
      <c r="C35" s="47"/>
      <c r="D35" s="32"/>
      <c r="E35" s="32"/>
      <c r="F35" s="32"/>
      <c r="G35" s="33"/>
      <c r="H35" s="33"/>
      <c r="I35" s="13"/>
      <c r="J35" s="34"/>
      <c r="K35" s="46"/>
      <c r="L35" s="36"/>
      <c r="M35" s="34"/>
      <c r="N35" s="37"/>
      <c r="O35" s="38"/>
      <c r="P35" s="39"/>
      <c r="Q35" s="40"/>
      <c r="R35" s="41"/>
      <c r="S35" s="42"/>
      <c r="T35" s="42"/>
      <c r="U35" s="34"/>
      <c r="V35" s="34"/>
      <c r="W35" s="13"/>
    </row>
    <row r="36" ht="18.75" customHeight="1">
      <c r="A36" s="13"/>
      <c r="B36" s="48"/>
      <c r="C36" s="47"/>
      <c r="D36" s="32"/>
      <c r="E36" s="32"/>
      <c r="F36" s="32"/>
      <c r="G36" s="33"/>
      <c r="H36" s="33"/>
      <c r="I36" s="13"/>
      <c r="J36" s="34"/>
      <c r="K36" s="46"/>
      <c r="L36" s="36"/>
      <c r="M36" s="34"/>
      <c r="N36" s="37"/>
      <c r="O36" s="38"/>
      <c r="P36" s="39"/>
      <c r="Q36" s="40"/>
      <c r="R36" s="41"/>
      <c r="S36" s="42"/>
      <c r="T36" s="42"/>
      <c r="U36" s="34"/>
      <c r="V36" s="34"/>
      <c r="W36" s="13"/>
    </row>
    <row r="37" ht="18.75" customHeight="1">
      <c r="A37" s="13"/>
      <c r="B37" s="48"/>
      <c r="C37" s="47"/>
      <c r="D37" s="32"/>
      <c r="E37" s="32"/>
      <c r="F37" s="32"/>
      <c r="G37" s="33"/>
      <c r="H37" s="33"/>
      <c r="I37" s="13"/>
      <c r="J37" s="34"/>
      <c r="K37" s="46"/>
      <c r="L37" s="36"/>
      <c r="M37" s="34"/>
      <c r="N37" s="37"/>
      <c r="O37" s="38"/>
      <c r="P37" s="39"/>
      <c r="Q37" s="40"/>
      <c r="R37" s="41"/>
      <c r="S37" s="42"/>
      <c r="T37" s="42"/>
      <c r="U37" s="34"/>
      <c r="V37" s="34"/>
      <c r="W37" s="13"/>
    </row>
    <row r="38" ht="18.75" customHeight="1">
      <c r="A38" s="13"/>
      <c r="B38" s="48"/>
      <c r="C38" s="47"/>
      <c r="D38" s="32"/>
      <c r="E38" s="32"/>
      <c r="F38" s="32"/>
      <c r="G38" s="33"/>
      <c r="H38" s="33"/>
      <c r="I38" s="13"/>
      <c r="J38" s="34"/>
      <c r="K38" s="46"/>
      <c r="L38" s="36"/>
      <c r="M38" s="34"/>
      <c r="N38" s="37"/>
      <c r="O38" s="38"/>
      <c r="P38" s="39"/>
      <c r="Q38" s="40"/>
      <c r="R38" s="41"/>
      <c r="S38" s="42"/>
      <c r="T38" s="42"/>
      <c r="U38" s="34"/>
      <c r="V38" s="34"/>
      <c r="W38" s="13"/>
    </row>
    <row r="39" ht="18.75" customHeight="1">
      <c r="A39" s="13"/>
      <c r="B39" s="48"/>
      <c r="C39" s="47"/>
      <c r="D39" s="32"/>
      <c r="E39" s="32"/>
      <c r="F39" s="32"/>
      <c r="G39" s="33"/>
      <c r="H39" s="33"/>
      <c r="I39" s="13"/>
      <c r="J39" s="34"/>
      <c r="K39" s="46"/>
      <c r="L39" s="36"/>
      <c r="M39" s="34"/>
      <c r="N39" s="37"/>
      <c r="O39" s="38"/>
      <c r="P39" s="39"/>
      <c r="Q39" s="40"/>
      <c r="R39" s="41"/>
      <c r="S39" s="42"/>
      <c r="T39" s="42"/>
      <c r="U39" s="34"/>
      <c r="V39" s="34"/>
      <c r="W39" s="13"/>
    </row>
    <row r="40" ht="18.75" customHeight="1">
      <c r="A40" s="13"/>
      <c r="B40" s="48"/>
      <c r="C40" s="47"/>
      <c r="D40" s="32"/>
      <c r="E40" s="32"/>
      <c r="F40" s="32"/>
      <c r="G40" s="33"/>
      <c r="H40" s="33"/>
      <c r="I40" s="13"/>
      <c r="J40" s="34"/>
      <c r="K40" s="46"/>
      <c r="L40" s="36"/>
      <c r="M40" s="34"/>
      <c r="N40" s="37"/>
      <c r="O40" s="38"/>
      <c r="P40" s="39"/>
      <c r="Q40" s="40"/>
      <c r="R40" s="41"/>
      <c r="S40" s="42"/>
      <c r="T40" s="42"/>
      <c r="U40" s="34"/>
      <c r="V40" s="34"/>
      <c r="W40" s="13"/>
    </row>
    <row r="41" ht="18.75" customHeight="1">
      <c r="A41" s="13"/>
      <c r="B41" s="48"/>
      <c r="C41" s="47"/>
      <c r="D41" s="32"/>
      <c r="E41" s="32"/>
      <c r="F41" s="32"/>
      <c r="G41" s="33"/>
      <c r="H41" s="33"/>
      <c r="I41" s="13"/>
      <c r="J41" s="34"/>
      <c r="K41" s="46"/>
      <c r="L41" s="36"/>
      <c r="M41" s="34"/>
      <c r="N41" s="37"/>
      <c r="O41" s="38"/>
      <c r="P41" s="39"/>
      <c r="Q41" s="40"/>
      <c r="R41" s="41"/>
      <c r="S41" s="42"/>
      <c r="T41" s="42"/>
      <c r="U41" s="34"/>
      <c r="V41" s="34"/>
      <c r="W41" s="13"/>
    </row>
    <row r="42" ht="18.75" customHeight="1">
      <c r="A42" s="13"/>
      <c r="B42" s="48"/>
      <c r="C42" s="47"/>
      <c r="D42" s="32"/>
      <c r="E42" s="32"/>
      <c r="F42" s="32"/>
      <c r="G42" s="33"/>
      <c r="H42" s="33"/>
      <c r="I42" s="13"/>
      <c r="J42" s="34"/>
      <c r="K42" s="46"/>
      <c r="L42" s="36"/>
      <c r="M42" s="34"/>
      <c r="N42" s="37"/>
      <c r="O42" s="38"/>
      <c r="P42" s="39"/>
      <c r="Q42" s="40"/>
      <c r="R42" s="41"/>
      <c r="S42" s="42"/>
      <c r="T42" s="42"/>
      <c r="U42" s="34"/>
      <c r="V42" s="34"/>
      <c r="W42" s="13"/>
    </row>
    <row r="43" ht="18.75" customHeight="1">
      <c r="A43" s="13"/>
      <c r="B43" s="48"/>
      <c r="C43" s="47"/>
      <c r="D43" s="32"/>
      <c r="E43" s="32"/>
      <c r="F43" s="32"/>
      <c r="G43" s="33"/>
      <c r="H43" s="33"/>
      <c r="I43" s="13"/>
      <c r="J43" s="34"/>
      <c r="K43" s="46"/>
      <c r="L43" s="36"/>
      <c r="M43" s="34"/>
      <c r="N43" s="37"/>
      <c r="O43" s="38"/>
      <c r="P43" s="39"/>
      <c r="Q43" s="40"/>
      <c r="R43" s="41"/>
      <c r="S43" s="42"/>
      <c r="T43" s="42"/>
      <c r="U43" s="34"/>
      <c r="V43" s="34"/>
      <c r="W43" s="13"/>
    </row>
    <row r="44" ht="18.75" customHeight="1">
      <c r="A44" s="13"/>
      <c r="B44" s="48"/>
      <c r="C44" s="47"/>
      <c r="D44" s="32"/>
      <c r="E44" s="32"/>
      <c r="F44" s="32"/>
      <c r="G44" s="33"/>
      <c r="H44" s="33"/>
      <c r="I44" s="13"/>
      <c r="J44" s="34"/>
      <c r="K44" s="46"/>
      <c r="L44" s="36"/>
      <c r="M44" s="34"/>
      <c r="N44" s="37"/>
      <c r="O44" s="38"/>
      <c r="P44" s="39"/>
      <c r="Q44" s="40"/>
      <c r="R44" s="41"/>
      <c r="S44" s="42"/>
      <c r="T44" s="42"/>
      <c r="U44" s="34"/>
      <c r="V44" s="34"/>
      <c r="W44" s="13"/>
    </row>
    <row r="45" ht="18.75" customHeight="1">
      <c r="A45" s="13"/>
      <c r="B45" s="48"/>
      <c r="C45" s="47"/>
      <c r="D45" s="32"/>
      <c r="E45" s="32"/>
      <c r="F45" s="32"/>
      <c r="G45" s="33"/>
      <c r="H45" s="33"/>
      <c r="I45" s="13"/>
      <c r="J45" s="34"/>
      <c r="K45" s="46"/>
      <c r="L45" s="36"/>
      <c r="M45" s="34"/>
      <c r="N45" s="37"/>
      <c r="O45" s="38"/>
      <c r="P45" s="39"/>
      <c r="Q45" s="40"/>
      <c r="R45" s="41"/>
      <c r="S45" s="42"/>
      <c r="T45" s="42"/>
      <c r="U45" s="34"/>
      <c r="V45" s="34"/>
      <c r="W45" s="13"/>
    </row>
    <row r="46" ht="18.75" customHeight="1">
      <c r="A46" s="13"/>
      <c r="B46" s="48"/>
      <c r="C46" s="47"/>
      <c r="D46" s="32"/>
      <c r="E46" s="32"/>
      <c r="F46" s="32"/>
      <c r="G46" s="33"/>
      <c r="H46" s="33"/>
      <c r="I46" s="13"/>
      <c r="J46" s="34"/>
      <c r="K46" s="46"/>
      <c r="L46" s="36"/>
      <c r="M46" s="34"/>
      <c r="N46" s="37"/>
      <c r="O46" s="38"/>
      <c r="P46" s="39"/>
      <c r="Q46" s="40"/>
      <c r="R46" s="41"/>
      <c r="S46" s="42"/>
      <c r="T46" s="42"/>
      <c r="U46" s="34"/>
      <c r="V46" s="34"/>
      <c r="W46" s="13"/>
    </row>
    <row r="47" ht="18.75" customHeight="1">
      <c r="A47" s="13"/>
      <c r="B47" s="48"/>
      <c r="C47" s="47"/>
      <c r="D47" s="32"/>
      <c r="E47" s="32"/>
      <c r="F47" s="32"/>
      <c r="G47" s="33"/>
      <c r="H47" s="33"/>
      <c r="I47" s="13"/>
      <c r="J47" s="34"/>
      <c r="K47" s="46"/>
      <c r="L47" s="36"/>
      <c r="M47" s="34"/>
      <c r="N47" s="37"/>
      <c r="O47" s="38"/>
      <c r="P47" s="39"/>
      <c r="Q47" s="40"/>
      <c r="R47" s="41"/>
      <c r="S47" s="42"/>
      <c r="T47" s="42"/>
      <c r="U47" s="34"/>
      <c r="V47" s="34"/>
      <c r="W47" s="13"/>
    </row>
    <row r="48" ht="18.75" customHeight="1">
      <c r="A48" s="13"/>
      <c r="B48" s="48"/>
      <c r="C48" s="47"/>
      <c r="D48" s="32"/>
      <c r="E48" s="32"/>
      <c r="F48" s="32"/>
      <c r="G48" s="33"/>
      <c r="H48" s="33"/>
      <c r="I48" s="13"/>
      <c r="J48" s="34"/>
      <c r="K48" s="46"/>
      <c r="L48" s="36"/>
      <c r="M48" s="34"/>
      <c r="N48" s="37"/>
      <c r="O48" s="38"/>
      <c r="P48" s="39"/>
      <c r="Q48" s="40"/>
      <c r="R48" s="41"/>
      <c r="S48" s="42"/>
      <c r="T48" s="42"/>
      <c r="U48" s="34"/>
      <c r="V48" s="34"/>
      <c r="W48" s="13"/>
    </row>
    <row r="49" ht="18.75" customHeight="1">
      <c r="A49" s="13"/>
      <c r="B49" s="48"/>
      <c r="C49" s="47"/>
      <c r="D49" s="32"/>
      <c r="E49" s="32"/>
      <c r="F49" s="32"/>
      <c r="G49" s="33"/>
      <c r="H49" s="33"/>
      <c r="I49" s="13"/>
      <c r="J49" s="34"/>
      <c r="K49" s="46"/>
      <c r="L49" s="36"/>
      <c r="M49" s="34"/>
      <c r="N49" s="37"/>
      <c r="O49" s="38"/>
      <c r="P49" s="39"/>
      <c r="Q49" s="40"/>
      <c r="R49" s="41"/>
      <c r="S49" s="42"/>
      <c r="T49" s="42"/>
      <c r="U49" s="34"/>
      <c r="V49" s="34"/>
      <c r="W49" s="13"/>
    </row>
    <row r="50" ht="18.75" customHeight="1">
      <c r="A50" s="13"/>
      <c r="B50" s="48"/>
      <c r="C50" s="47"/>
      <c r="D50" s="32"/>
      <c r="E50" s="32"/>
      <c r="F50" s="32"/>
      <c r="G50" s="33"/>
      <c r="H50" s="33"/>
      <c r="I50" s="13"/>
      <c r="J50" s="34"/>
      <c r="K50" s="46"/>
      <c r="L50" s="36"/>
      <c r="M50" s="34"/>
      <c r="N50" s="37"/>
      <c r="O50" s="38"/>
      <c r="P50" s="39"/>
      <c r="Q50" s="40"/>
      <c r="R50" s="41"/>
      <c r="S50" s="42"/>
      <c r="T50" s="42"/>
      <c r="U50" s="34"/>
      <c r="V50" s="34"/>
      <c r="W50" s="13"/>
    </row>
    <row r="51" ht="18.75" customHeight="1">
      <c r="A51" s="13"/>
      <c r="B51" s="48"/>
      <c r="C51" s="47"/>
      <c r="D51" s="32"/>
      <c r="E51" s="32"/>
      <c r="F51" s="32"/>
      <c r="G51" s="33"/>
      <c r="H51" s="33"/>
      <c r="I51" s="13"/>
      <c r="J51" s="34"/>
      <c r="K51" s="46"/>
      <c r="L51" s="36"/>
      <c r="M51" s="34"/>
      <c r="N51" s="37"/>
      <c r="O51" s="38"/>
      <c r="P51" s="39"/>
      <c r="Q51" s="40"/>
      <c r="R51" s="41"/>
      <c r="S51" s="42"/>
      <c r="T51" s="42"/>
      <c r="U51" s="34"/>
      <c r="V51" s="34"/>
      <c r="W51" s="13"/>
    </row>
    <row r="52" ht="18.75" customHeight="1">
      <c r="A52" s="13"/>
      <c r="B52" s="48"/>
      <c r="C52" s="47"/>
      <c r="D52" s="32"/>
      <c r="E52" s="32"/>
      <c r="F52" s="32"/>
      <c r="G52" s="33"/>
      <c r="H52" s="33"/>
      <c r="I52" s="13"/>
      <c r="J52" s="34"/>
      <c r="K52" s="46"/>
      <c r="L52" s="36"/>
      <c r="M52" s="34"/>
      <c r="N52" s="37"/>
      <c r="O52" s="38"/>
      <c r="P52" s="39"/>
      <c r="Q52" s="40"/>
      <c r="R52" s="41"/>
      <c r="S52" s="42"/>
      <c r="T52" s="42"/>
      <c r="U52" s="34"/>
      <c r="V52" s="34"/>
      <c r="W52" s="13"/>
    </row>
    <row r="53" ht="18.75" customHeight="1">
      <c r="A53" s="13"/>
      <c r="B53" s="48"/>
      <c r="C53" s="47"/>
      <c r="D53" s="32"/>
      <c r="E53" s="32"/>
      <c r="F53" s="32"/>
      <c r="G53" s="33"/>
      <c r="H53" s="33"/>
      <c r="I53" s="13"/>
      <c r="J53" s="34"/>
      <c r="K53" s="46"/>
      <c r="L53" s="36"/>
      <c r="M53" s="34"/>
      <c r="N53" s="37"/>
      <c r="O53" s="38"/>
      <c r="P53" s="39"/>
      <c r="Q53" s="40"/>
      <c r="R53" s="41"/>
      <c r="S53" s="42"/>
      <c r="T53" s="42"/>
      <c r="U53" s="34"/>
      <c r="V53" s="34"/>
      <c r="W53" s="13"/>
    </row>
    <row r="54" ht="18.75" customHeight="1">
      <c r="A54" s="13"/>
      <c r="B54" s="48"/>
      <c r="C54" s="47"/>
      <c r="D54" s="32"/>
      <c r="E54" s="32"/>
      <c r="F54" s="32"/>
      <c r="G54" s="33"/>
      <c r="H54" s="33"/>
      <c r="I54" s="13"/>
      <c r="J54" s="34"/>
      <c r="K54" s="46"/>
      <c r="L54" s="36"/>
      <c r="M54" s="34"/>
      <c r="N54" s="37"/>
      <c r="O54" s="38"/>
      <c r="P54" s="39"/>
      <c r="Q54" s="40"/>
      <c r="R54" s="41"/>
      <c r="S54" s="42"/>
      <c r="T54" s="42"/>
      <c r="U54" s="34"/>
      <c r="V54" s="34"/>
      <c r="W54" s="13"/>
    </row>
    <row r="55" ht="18.75" customHeight="1">
      <c r="A55" s="13"/>
      <c r="B55" s="48"/>
      <c r="C55" s="47"/>
      <c r="D55" s="32"/>
      <c r="E55" s="32"/>
      <c r="F55" s="32"/>
      <c r="G55" s="33"/>
      <c r="H55" s="33"/>
      <c r="I55" s="13"/>
      <c r="J55" s="34"/>
      <c r="K55" s="46"/>
      <c r="L55" s="36"/>
      <c r="M55" s="34"/>
      <c r="N55" s="37"/>
      <c r="O55" s="38"/>
      <c r="P55" s="39"/>
      <c r="Q55" s="40"/>
      <c r="R55" s="41"/>
      <c r="S55" s="42"/>
      <c r="T55" s="42"/>
      <c r="U55" s="34"/>
      <c r="V55" s="34"/>
      <c r="W55" s="13"/>
    </row>
    <row r="56" ht="18.75" customHeight="1">
      <c r="A56" s="13"/>
      <c r="B56" s="48"/>
      <c r="C56" s="47"/>
      <c r="D56" s="32"/>
      <c r="E56" s="32"/>
      <c r="F56" s="32"/>
      <c r="G56" s="33"/>
      <c r="H56" s="33"/>
      <c r="I56" s="13"/>
      <c r="J56" s="34"/>
      <c r="K56" s="46"/>
      <c r="L56" s="36"/>
      <c r="M56" s="34"/>
      <c r="N56" s="37"/>
      <c r="O56" s="38"/>
      <c r="P56" s="39"/>
      <c r="Q56" s="40"/>
      <c r="R56" s="41"/>
      <c r="S56" s="42"/>
      <c r="T56" s="42"/>
      <c r="U56" s="34"/>
      <c r="V56" s="34"/>
      <c r="W56" s="13"/>
    </row>
    <row r="57" ht="18.75" customHeight="1">
      <c r="A57" s="13"/>
      <c r="B57" s="48"/>
      <c r="C57" s="47"/>
      <c r="D57" s="32"/>
      <c r="E57" s="32"/>
      <c r="F57" s="32"/>
      <c r="G57" s="33"/>
      <c r="H57" s="33"/>
      <c r="I57" s="13"/>
      <c r="J57" s="34"/>
      <c r="K57" s="46"/>
      <c r="L57" s="36"/>
      <c r="M57" s="34"/>
      <c r="N57" s="37"/>
      <c r="O57" s="38"/>
      <c r="P57" s="39"/>
      <c r="Q57" s="40"/>
      <c r="R57" s="41"/>
      <c r="S57" s="42"/>
      <c r="T57" s="42"/>
      <c r="U57" s="34"/>
      <c r="V57" s="34"/>
      <c r="W57" s="13"/>
    </row>
    <row r="58" ht="18.75" customHeight="1">
      <c r="A58" s="13"/>
      <c r="B58" s="48"/>
      <c r="C58" s="47"/>
      <c r="D58" s="32"/>
      <c r="E58" s="32"/>
      <c r="F58" s="32"/>
      <c r="G58" s="33"/>
      <c r="H58" s="33"/>
      <c r="I58" s="13"/>
      <c r="J58" s="34"/>
      <c r="K58" s="46"/>
      <c r="L58" s="36"/>
      <c r="M58" s="34"/>
      <c r="N58" s="37"/>
      <c r="O58" s="38"/>
      <c r="P58" s="39"/>
      <c r="Q58" s="40"/>
      <c r="R58" s="41"/>
      <c r="S58" s="42"/>
      <c r="T58" s="42"/>
      <c r="U58" s="34"/>
      <c r="V58" s="34"/>
      <c r="W58" s="13"/>
    </row>
    <row r="59" ht="18.75" customHeight="1">
      <c r="A59" s="13"/>
      <c r="B59" s="48"/>
      <c r="C59" s="47"/>
      <c r="D59" s="32"/>
      <c r="E59" s="32"/>
      <c r="F59" s="32"/>
      <c r="G59" s="33"/>
      <c r="H59" s="33"/>
      <c r="I59" s="13"/>
      <c r="J59" s="34"/>
      <c r="K59" s="46"/>
      <c r="L59" s="36"/>
      <c r="M59" s="34"/>
      <c r="N59" s="37"/>
      <c r="O59" s="38"/>
      <c r="P59" s="39"/>
      <c r="Q59" s="40"/>
      <c r="R59" s="41"/>
      <c r="S59" s="42"/>
      <c r="T59" s="42"/>
      <c r="U59" s="34"/>
      <c r="V59" s="34"/>
      <c r="W59" s="13"/>
    </row>
    <row r="60" ht="18.75" customHeight="1">
      <c r="A60" s="13"/>
      <c r="B60" s="48"/>
      <c r="C60" s="47"/>
      <c r="D60" s="32"/>
      <c r="E60" s="32"/>
      <c r="F60" s="32"/>
      <c r="G60" s="33"/>
      <c r="H60" s="33"/>
      <c r="I60" s="13"/>
      <c r="J60" s="34"/>
      <c r="K60" s="46"/>
      <c r="L60" s="36"/>
      <c r="M60" s="34"/>
      <c r="N60" s="37"/>
      <c r="O60" s="38"/>
      <c r="P60" s="39"/>
      <c r="Q60" s="40"/>
      <c r="R60" s="41"/>
      <c r="S60" s="42"/>
      <c r="T60" s="42"/>
      <c r="U60" s="34"/>
      <c r="V60" s="34"/>
      <c r="W60" s="13"/>
    </row>
    <row r="61" ht="18.75" customHeight="1">
      <c r="A61" s="13"/>
      <c r="B61" s="48"/>
      <c r="C61" s="47"/>
      <c r="D61" s="32"/>
      <c r="E61" s="32"/>
      <c r="F61" s="32"/>
      <c r="G61" s="33"/>
      <c r="H61" s="33"/>
      <c r="I61" s="13"/>
      <c r="J61" s="34"/>
      <c r="K61" s="46"/>
      <c r="L61" s="36"/>
      <c r="M61" s="34"/>
      <c r="N61" s="37"/>
      <c r="O61" s="38"/>
      <c r="P61" s="39"/>
      <c r="Q61" s="40"/>
      <c r="R61" s="41"/>
      <c r="S61" s="42"/>
      <c r="T61" s="42"/>
      <c r="U61" s="34"/>
      <c r="V61" s="34"/>
      <c r="W61" s="13"/>
    </row>
    <row r="62" ht="18.75" customHeight="1">
      <c r="A62" s="13"/>
      <c r="B62" s="48"/>
      <c r="C62" s="47"/>
      <c r="D62" s="32"/>
      <c r="E62" s="32"/>
      <c r="F62" s="32"/>
      <c r="G62" s="33"/>
      <c r="H62" s="33"/>
      <c r="I62" s="13"/>
      <c r="J62" s="34"/>
      <c r="K62" s="46"/>
      <c r="L62" s="36"/>
      <c r="M62" s="34"/>
      <c r="N62" s="37"/>
      <c r="O62" s="38"/>
      <c r="P62" s="39"/>
      <c r="Q62" s="40"/>
      <c r="R62" s="41"/>
      <c r="S62" s="42"/>
      <c r="T62" s="42"/>
      <c r="U62" s="34"/>
      <c r="V62" s="34"/>
      <c r="W62" s="13"/>
    </row>
    <row r="63" ht="18.75" customHeight="1">
      <c r="A63" s="13"/>
      <c r="B63" s="48"/>
      <c r="C63" s="47"/>
      <c r="D63" s="32"/>
      <c r="E63" s="32"/>
      <c r="F63" s="32"/>
      <c r="G63" s="33"/>
      <c r="H63" s="33"/>
      <c r="I63" s="13"/>
      <c r="J63" s="34"/>
      <c r="K63" s="46"/>
      <c r="L63" s="36"/>
      <c r="M63" s="34"/>
      <c r="N63" s="37"/>
      <c r="O63" s="38"/>
      <c r="P63" s="39"/>
      <c r="Q63" s="40"/>
      <c r="R63" s="41"/>
      <c r="S63" s="42"/>
      <c r="T63" s="42"/>
      <c r="U63" s="34"/>
      <c r="V63" s="34"/>
      <c r="W63" s="13"/>
    </row>
    <row r="64" ht="18.75" customHeight="1">
      <c r="A64" s="13"/>
      <c r="B64" s="48"/>
      <c r="C64" s="47"/>
      <c r="D64" s="32"/>
      <c r="E64" s="32"/>
      <c r="F64" s="32"/>
      <c r="G64" s="33"/>
      <c r="H64" s="33"/>
      <c r="I64" s="13"/>
      <c r="J64" s="34"/>
      <c r="K64" s="46"/>
      <c r="L64" s="36"/>
      <c r="M64" s="34"/>
      <c r="N64" s="37"/>
      <c r="O64" s="38"/>
      <c r="P64" s="39"/>
      <c r="Q64" s="40"/>
      <c r="R64" s="41"/>
      <c r="S64" s="42"/>
      <c r="T64" s="42"/>
      <c r="U64" s="34"/>
      <c r="V64" s="34"/>
      <c r="W64" s="13"/>
    </row>
    <row r="65" ht="18.75" customHeight="1">
      <c r="A65" s="13"/>
      <c r="B65" s="48"/>
      <c r="C65" s="47"/>
      <c r="D65" s="32"/>
      <c r="E65" s="32"/>
      <c r="F65" s="32"/>
      <c r="G65" s="33"/>
      <c r="H65" s="33"/>
      <c r="I65" s="13"/>
      <c r="J65" s="34"/>
      <c r="K65" s="46"/>
      <c r="L65" s="36"/>
      <c r="M65" s="34"/>
      <c r="N65" s="37"/>
      <c r="O65" s="38"/>
      <c r="P65" s="39"/>
      <c r="Q65" s="40"/>
      <c r="R65" s="41"/>
      <c r="S65" s="42"/>
      <c r="T65" s="42"/>
      <c r="U65" s="34"/>
      <c r="V65" s="34"/>
      <c r="W65" s="13"/>
    </row>
    <row r="66" ht="18.75" customHeight="1">
      <c r="A66" s="13"/>
      <c r="B66" s="48"/>
      <c r="C66" s="47"/>
      <c r="D66" s="32"/>
      <c r="E66" s="32"/>
      <c r="F66" s="32"/>
      <c r="G66" s="33"/>
      <c r="H66" s="33"/>
      <c r="I66" s="13"/>
      <c r="J66" s="34"/>
      <c r="K66" s="46"/>
      <c r="L66" s="36"/>
      <c r="M66" s="34"/>
      <c r="N66" s="37"/>
      <c r="O66" s="38"/>
      <c r="P66" s="39"/>
      <c r="Q66" s="40"/>
      <c r="R66" s="41"/>
      <c r="S66" s="42"/>
      <c r="T66" s="42"/>
      <c r="U66" s="34"/>
      <c r="V66" s="34"/>
      <c r="W66" s="13"/>
    </row>
    <row r="67" ht="18.75" customHeight="1">
      <c r="A67" s="13"/>
      <c r="B67" s="48"/>
      <c r="C67" s="47"/>
      <c r="D67" s="32"/>
      <c r="E67" s="32"/>
      <c r="F67" s="32"/>
      <c r="G67" s="33"/>
      <c r="H67" s="33"/>
      <c r="I67" s="13"/>
      <c r="J67" s="34"/>
      <c r="K67" s="46"/>
      <c r="L67" s="36"/>
      <c r="M67" s="34"/>
      <c r="N67" s="37"/>
      <c r="O67" s="38"/>
      <c r="P67" s="39"/>
      <c r="Q67" s="40"/>
      <c r="R67" s="41"/>
      <c r="S67" s="42"/>
      <c r="T67" s="42"/>
      <c r="U67" s="34"/>
      <c r="V67" s="34"/>
      <c r="W67" s="13"/>
    </row>
    <row r="68" ht="18.75" customHeight="1">
      <c r="A68" s="13"/>
      <c r="B68" s="48"/>
      <c r="C68" s="47"/>
      <c r="D68" s="32"/>
      <c r="E68" s="32"/>
      <c r="F68" s="32"/>
      <c r="G68" s="33"/>
      <c r="H68" s="33"/>
      <c r="I68" s="13"/>
      <c r="J68" s="34"/>
      <c r="K68" s="46"/>
      <c r="L68" s="36"/>
      <c r="M68" s="34"/>
      <c r="N68" s="37"/>
      <c r="O68" s="38"/>
      <c r="P68" s="39"/>
      <c r="Q68" s="40"/>
      <c r="R68" s="41"/>
      <c r="S68" s="42"/>
      <c r="T68" s="42"/>
      <c r="U68" s="34"/>
      <c r="V68" s="34"/>
      <c r="W68" s="13"/>
    </row>
    <row r="69" ht="18.75" customHeight="1">
      <c r="A69" s="13"/>
      <c r="B69" s="48"/>
      <c r="C69" s="47"/>
      <c r="D69" s="32"/>
      <c r="E69" s="32"/>
      <c r="F69" s="32"/>
      <c r="G69" s="33"/>
      <c r="H69" s="33"/>
      <c r="I69" s="13"/>
      <c r="J69" s="34"/>
      <c r="K69" s="46"/>
      <c r="L69" s="36"/>
      <c r="M69" s="34"/>
      <c r="N69" s="37"/>
      <c r="O69" s="38"/>
      <c r="P69" s="39"/>
      <c r="Q69" s="40"/>
      <c r="R69" s="41"/>
      <c r="S69" s="42"/>
      <c r="T69" s="42"/>
      <c r="U69" s="34"/>
      <c r="V69" s="34"/>
      <c r="W69" s="13"/>
    </row>
    <row r="70" ht="18.75" customHeight="1">
      <c r="A70" s="13"/>
      <c r="B70" s="48"/>
      <c r="C70" s="47"/>
      <c r="D70" s="32"/>
      <c r="E70" s="32"/>
      <c r="F70" s="32"/>
      <c r="G70" s="33"/>
      <c r="H70" s="33"/>
      <c r="I70" s="13"/>
      <c r="J70" s="34"/>
      <c r="K70" s="46"/>
      <c r="L70" s="36"/>
      <c r="M70" s="34"/>
      <c r="N70" s="37"/>
      <c r="O70" s="38"/>
      <c r="P70" s="39"/>
      <c r="Q70" s="40"/>
      <c r="R70" s="41"/>
      <c r="S70" s="42"/>
      <c r="T70" s="42"/>
      <c r="U70" s="34"/>
      <c r="V70" s="34"/>
      <c r="W70" s="13"/>
    </row>
    <row r="71" ht="18.75" customHeight="1">
      <c r="A71" s="13"/>
      <c r="B71" s="48"/>
      <c r="C71" s="47"/>
      <c r="D71" s="32"/>
      <c r="E71" s="32"/>
      <c r="F71" s="32"/>
      <c r="G71" s="33"/>
      <c r="H71" s="33"/>
      <c r="I71" s="13"/>
      <c r="J71" s="34"/>
      <c r="K71" s="46"/>
      <c r="L71" s="36"/>
      <c r="M71" s="34"/>
      <c r="N71" s="37"/>
      <c r="O71" s="38"/>
      <c r="P71" s="39"/>
      <c r="Q71" s="40"/>
      <c r="R71" s="41"/>
      <c r="S71" s="42"/>
      <c r="T71" s="42"/>
      <c r="U71" s="34"/>
      <c r="V71" s="34"/>
      <c r="W71" s="13"/>
    </row>
    <row r="72" ht="18.75" customHeight="1">
      <c r="A72" s="13"/>
      <c r="B72" s="48"/>
      <c r="C72" s="47"/>
      <c r="D72" s="32"/>
      <c r="E72" s="32"/>
      <c r="F72" s="32"/>
      <c r="G72" s="33"/>
      <c r="H72" s="33"/>
      <c r="I72" s="13"/>
      <c r="J72" s="34"/>
      <c r="K72" s="46"/>
      <c r="L72" s="36"/>
      <c r="M72" s="34"/>
      <c r="N72" s="37"/>
      <c r="O72" s="38"/>
      <c r="P72" s="39"/>
      <c r="Q72" s="40"/>
      <c r="R72" s="41"/>
      <c r="S72" s="42"/>
      <c r="T72" s="42"/>
      <c r="U72" s="34"/>
      <c r="V72" s="34"/>
      <c r="W72" s="13"/>
    </row>
    <row r="73" ht="18.75" customHeight="1">
      <c r="A73" s="13"/>
      <c r="B73" s="48"/>
      <c r="C73" s="47"/>
      <c r="D73" s="32"/>
      <c r="E73" s="32"/>
      <c r="F73" s="32"/>
      <c r="G73" s="33"/>
      <c r="H73" s="33"/>
      <c r="I73" s="13"/>
      <c r="J73" s="34"/>
      <c r="K73" s="46"/>
      <c r="L73" s="36"/>
      <c r="M73" s="34"/>
      <c r="N73" s="37"/>
      <c r="O73" s="38"/>
      <c r="P73" s="39"/>
      <c r="Q73" s="40"/>
      <c r="R73" s="41"/>
      <c r="S73" s="42"/>
      <c r="T73" s="42"/>
      <c r="U73" s="34"/>
      <c r="V73" s="34"/>
      <c r="W73" s="13"/>
    </row>
    <row r="74" ht="18.75" customHeight="1">
      <c r="A74" s="13"/>
      <c r="B74" s="48"/>
      <c r="C74" s="47"/>
      <c r="D74" s="32"/>
      <c r="E74" s="32"/>
      <c r="F74" s="32"/>
      <c r="G74" s="33"/>
      <c r="H74" s="33"/>
      <c r="I74" s="13"/>
      <c r="J74" s="34"/>
      <c r="K74" s="46"/>
      <c r="L74" s="36"/>
      <c r="M74" s="34"/>
      <c r="N74" s="37"/>
      <c r="O74" s="38"/>
      <c r="P74" s="39"/>
      <c r="Q74" s="40"/>
      <c r="R74" s="41"/>
      <c r="S74" s="42"/>
      <c r="T74" s="42"/>
      <c r="U74" s="34"/>
      <c r="V74" s="34"/>
      <c r="W74" s="13"/>
    </row>
    <row r="75" ht="18.75" customHeight="1">
      <c r="A75" s="13"/>
      <c r="B75" s="48"/>
      <c r="C75" s="47"/>
      <c r="D75" s="32"/>
      <c r="E75" s="32"/>
      <c r="F75" s="32"/>
      <c r="G75" s="33"/>
      <c r="H75" s="33"/>
      <c r="I75" s="13"/>
      <c r="J75" s="34"/>
      <c r="K75" s="46"/>
      <c r="L75" s="36"/>
      <c r="M75" s="34"/>
      <c r="N75" s="37"/>
      <c r="O75" s="38"/>
      <c r="P75" s="39"/>
      <c r="Q75" s="40"/>
      <c r="R75" s="41"/>
      <c r="S75" s="42"/>
      <c r="T75" s="42"/>
      <c r="U75" s="34"/>
      <c r="V75" s="34"/>
      <c r="W75" s="13"/>
    </row>
    <row r="76" ht="18.75" customHeight="1">
      <c r="A76" s="13"/>
      <c r="B76" s="48"/>
      <c r="C76" s="47"/>
      <c r="D76" s="32"/>
      <c r="E76" s="32"/>
      <c r="F76" s="32"/>
      <c r="G76" s="33"/>
      <c r="H76" s="33"/>
      <c r="I76" s="13"/>
      <c r="J76" s="34"/>
      <c r="K76" s="46"/>
      <c r="L76" s="36"/>
      <c r="M76" s="34"/>
      <c r="N76" s="37"/>
      <c r="O76" s="38"/>
      <c r="P76" s="39"/>
      <c r="Q76" s="40"/>
      <c r="R76" s="41"/>
      <c r="S76" s="42"/>
      <c r="T76" s="42"/>
      <c r="U76" s="34"/>
      <c r="V76" s="34"/>
      <c r="W76" s="13"/>
    </row>
    <row r="77" ht="18.75" customHeight="1">
      <c r="A77" s="13"/>
      <c r="B77" s="48"/>
      <c r="C77" s="47"/>
      <c r="D77" s="32"/>
      <c r="E77" s="32"/>
      <c r="F77" s="32"/>
      <c r="G77" s="33"/>
      <c r="H77" s="33"/>
      <c r="I77" s="13"/>
      <c r="J77" s="34"/>
      <c r="K77" s="46"/>
      <c r="L77" s="36"/>
      <c r="M77" s="34"/>
      <c r="N77" s="37"/>
      <c r="O77" s="38"/>
      <c r="P77" s="39"/>
      <c r="Q77" s="40"/>
      <c r="R77" s="41"/>
      <c r="S77" s="42"/>
      <c r="T77" s="42"/>
      <c r="U77" s="34"/>
      <c r="V77" s="34"/>
      <c r="W77" s="13"/>
    </row>
    <row r="78" ht="18.75" customHeight="1">
      <c r="A78" s="13"/>
      <c r="B78" s="48"/>
      <c r="C78" s="47"/>
      <c r="D78" s="32"/>
      <c r="E78" s="32"/>
      <c r="F78" s="32"/>
      <c r="G78" s="33"/>
      <c r="H78" s="33"/>
      <c r="I78" s="13"/>
      <c r="J78" s="34"/>
      <c r="K78" s="46"/>
      <c r="L78" s="36"/>
      <c r="M78" s="34"/>
      <c r="N78" s="37"/>
      <c r="O78" s="38"/>
      <c r="P78" s="39"/>
      <c r="Q78" s="40"/>
      <c r="R78" s="41"/>
      <c r="S78" s="42"/>
      <c r="T78" s="42"/>
      <c r="U78" s="34"/>
      <c r="V78" s="34"/>
      <c r="W78" s="13"/>
    </row>
    <row r="79" ht="18.75" customHeight="1">
      <c r="A79" s="13"/>
      <c r="B79" s="48"/>
      <c r="C79" s="47"/>
      <c r="D79" s="32"/>
      <c r="E79" s="32"/>
      <c r="F79" s="32"/>
      <c r="G79" s="33"/>
      <c r="H79" s="33"/>
      <c r="I79" s="13"/>
      <c r="J79" s="34"/>
      <c r="K79" s="46"/>
      <c r="L79" s="36"/>
      <c r="M79" s="34"/>
      <c r="N79" s="37"/>
      <c r="O79" s="38"/>
      <c r="P79" s="39"/>
      <c r="Q79" s="40"/>
      <c r="R79" s="41"/>
      <c r="S79" s="42"/>
      <c r="T79" s="42"/>
      <c r="U79" s="34"/>
      <c r="V79" s="34"/>
      <c r="W79" s="13"/>
    </row>
    <row r="80" ht="18.75" customHeight="1">
      <c r="A80" s="13"/>
      <c r="B80" s="48"/>
      <c r="C80" s="47"/>
      <c r="D80" s="32"/>
      <c r="E80" s="32"/>
      <c r="F80" s="32"/>
      <c r="G80" s="33"/>
      <c r="H80" s="33"/>
      <c r="I80" s="13"/>
      <c r="J80" s="34"/>
      <c r="K80" s="46"/>
      <c r="L80" s="36"/>
      <c r="M80" s="34"/>
      <c r="N80" s="37"/>
      <c r="O80" s="38"/>
      <c r="P80" s="39"/>
      <c r="Q80" s="40"/>
      <c r="R80" s="41"/>
      <c r="S80" s="42"/>
      <c r="T80" s="42"/>
      <c r="U80" s="34"/>
      <c r="V80" s="34"/>
      <c r="W80" s="13"/>
    </row>
    <row r="81" ht="18.75" customHeight="1">
      <c r="A81" s="13"/>
      <c r="B81" s="48"/>
      <c r="C81" s="47"/>
      <c r="D81" s="32"/>
      <c r="E81" s="32"/>
      <c r="F81" s="32"/>
      <c r="G81" s="33"/>
      <c r="H81" s="33"/>
      <c r="I81" s="13"/>
      <c r="J81" s="34"/>
      <c r="K81" s="46"/>
      <c r="L81" s="36"/>
      <c r="M81" s="34"/>
      <c r="N81" s="37"/>
      <c r="O81" s="38"/>
      <c r="P81" s="39"/>
      <c r="Q81" s="40"/>
      <c r="R81" s="41"/>
      <c r="S81" s="42"/>
      <c r="T81" s="42"/>
      <c r="U81" s="34"/>
      <c r="V81" s="34"/>
      <c r="W81" s="13"/>
    </row>
    <row r="82" ht="18.75" customHeight="1">
      <c r="A82" s="13"/>
      <c r="B82" s="48"/>
      <c r="C82" s="47"/>
      <c r="D82" s="32"/>
      <c r="E82" s="32"/>
      <c r="F82" s="32"/>
      <c r="G82" s="33"/>
      <c r="H82" s="33"/>
      <c r="I82" s="13"/>
      <c r="J82" s="34"/>
      <c r="K82" s="46"/>
      <c r="L82" s="36"/>
      <c r="M82" s="34"/>
      <c r="N82" s="37"/>
      <c r="O82" s="38"/>
      <c r="P82" s="39"/>
      <c r="Q82" s="40"/>
      <c r="R82" s="41"/>
      <c r="S82" s="42"/>
      <c r="T82" s="42"/>
      <c r="U82" s="34"/>
      <c r="V82" s="34"/>
      <c r="W82" s="13"/>
    </row>
    <row r="83" ht="18.75" customHeight="1">
      <c r="A83" s="13"/>
      <c r="B83" s="48"/>
      <c r="C83" s="47"/>
      <c r="D83" s="32"/>
      <c r="E83" s="32"/>
      <c r="F83" s="32"/>
      <c r="G83" s="33"/>
      <c r="H83" s="33"/>
      <c r="I83" s="13"/>
      <c r="J83" s="34"/>
      <c r="K83" s="46"/>
      <c r="L83" s="36"/>
      <c r="M83" s="34"/>
      <c r="N83" s="37"/>
      <c r="O83" s="38"/>
      <c r="P83" s="39"/>
      <c r="Q83" s="40"/>
      <c r="R83" s="41"/>
      <c r="S83" s="42"/>
      <c r="T83" s="42"/>
      <c r="U83" s="34"/>
      <c r="V83" s="34"/>
      <c r="W83" s="13"/>
    </row>
    <row r="84" ht="18.75" customHeight="1">
      <c r="A84" s="13"/>
      <c r="B84" s="48"/>
      <c r="C84" s="47"/>
      <c r="D84" s="32"/>
      <c r="E84" s="32"/>
      <c r="F84" s="32"/>
      <c r="G84" s="33"/>
      <c r="H84" s="33"/>
      <c r="I84" s="13"/>
      <c r="J84" s="34"/>
      <c r="K84" s="46"/>
      <c r="L84" s="36"/>
      <c r="M84" s="34"/>
      <c r="N84" s="37"/>
      <c r="O84" s="38"/>
      <c r="P84" s="39"/>
      <c r="Q84" s="40"/>
      <c r="R84" s="41"/>
      <c r="S84" s="42"/>
      <c r="T84" s="42"/>
      <c r="U84" s="34"/>
      <c r="V84" s="34"/>
      <c r="W84" s="13"/>
    </row>
    <row r="85" ht="18.75" customHeight="1">
      <c r="A85" s="13"/>
      <c r="B85" s="48"/>
      <c r="C85" s="47"/>
      <c r="D85" s="32"/>
      <c r="E85" s="32"/>
      <c r="F85" s="32"/>
      <c r="G85" s="33"/>
      <c r="H85" s="33"/>
      <c r="I85" s="13"/>
      <c r="J85" s="34"/>
      <c r="K85" s="46"/>
      <c r="L85" s="36"/>
      <c r="M85" s="34"/>
      <c r="N85" s="37"/>
      <c r="O85" s="38"/>
      <c r="P85" s="39"/>
      <c r="Q85" s="40"/>
      <c r="R85" s="41"/>
      <c r="S85" s="42"/>
      <c r="T85" s="42"/>
      <c r="U85" s="34"/>
      <c r="V85" s="34"/>
      <c r="W85" s="13"/>
    </row>
    <row r="86" ht="18.75" customHeight="1">
      <c r="A86" s="13"/>
      <c r="B86" s="48"/>
      <c r="C86" s="47"/>
      <c r="D86" s="32"/>
      <c r="E86" s="32"/>
      <c r="F86" s="32"/>
      <c r="G86" s="33"/>
      <c r="H86" s="33"/>
      <c r="I86" s="13"/>
      <c r="J86" s="34"/>
      <c r="K86" s="46"/>
      <c r="L86" s="36"/>
      <c r="M86" s="34"/>
      <c r="N86" s="37"/>
      <c r="O86" s="38"/>
      <c r="P86" s="39"/>
      <c r="Q86" s="40"/>
      <c r="R86" s="41"/>
      <c r="S86" s="42"/>
      <c r="T86" s="42"/>
      <c r="U86" s="34"/>
      <c r="V86" s="34"/>
      <c r="W86" s="13"/>
    </row>
    <row r="87" ht="18.75" customHeight="1">
      <c r="A87" s="13"/>
      <c r="B87" s="48"/>
      <c r="C87" s="47"/>
      <c r="D87" s="32"/>
      <c r="E87" s="32"/>
      <c r="F87" s="32"/>
      <c r="G87" s="33"/>
      <c r="H87" s="33"/>
      <c r="I87" s="13"/>
      <c r="J87" s="34"/>
      <c r="K87" s="46"/>
      <c r="L87" s="36"/>
      <c r="M87" s="34"/>
      <c r="N87" s="37"/>
      <c r="O87" s="38"/>
      <c r="P87" s="39"/>
      <c r="Q87" s="40"/>
      <c r="R87" s="41"/>
      <c r="S87" s="42"/>
      <c r="T87" s="42"/>
      <c r="U87" s="34"/>
      <c r="V87" s="34"/>
      <c r="W87" s="13"/>
    </row>
    <row r="88" ht="18.75" customHeight="1">
      <c r="A88" s="13"/>
      <c r="B88" s="48"/>
      <c r="C88" s="47"/>
      <c r="D88" s="32"/>
      <c r="E88" s="32"/>
      <c r="F88" s="32"/>
      <c r="G88" s="33"/>
      <c r="H88" s="33"/>
      <c r="I88" s="13"/>
      <c r="J88" s="34"/>
      <c r="K88" s="46"/>
      <c r="L88" s="36"/>
      <c r="M88" s="34"/>
      <c r="N88" s="37"/>
      <c r="O88" s="38"/>
      <c r="P88" s="39"/>
      <c r="Q88" s="40"/>
      <c r="R88" s="41"/>
      <c r="S88" s="42"/>
      <c r="T88" s="42"/>
      <c r="U88" s="34"/>
      <c r="V88" s="34"/>
      <c r="W88" s="13"/>
    </row>
    <row r="89" ht="18.75" customHeight="1">
      <c r="A89" s="13"/>
      <c r="B89" s="48"/>
      <c r="C89" s="47"/>
      <c r="D89" s="32"/>
      <c r="E89" s="32"/>
      <c r="F89" s="32"/>
      <c r="G89" s="33"/>
      <c r="H89" s="33"/>
      <c r="I89" s="13"/>
      <c r="J89" s="34"/>
      <c r="K89" s="46"/>
      <c r="L89" s="36"/>
      <c r="M89" s="34"/>
      <c r="N89" s="37"/>
      <c r="O89" s="38"/>
      <c r="P89" s="39"/>
      <c r="Q89" s="40"/>
      <c r="R89" s="41"/>
      <c r="S89" s="42"/>
      <c r="T89" s="42"/>
      <c r="U89" s="34"/>
      <c r="V89" s="34"/>
      <c r="W89" s="13"/>
    </row>
    <row r="90" ht="18.75" customHeight="1">
      <c r="A90" s="13"/>
      <c r="B90" s="48"/>
      <c r="C90" s="47"/>
      <c r="D90" s="32"/>
      <c r="E90" s="32"/>
      <c r="F90" s="32"/>
      <c r="G90" s="33"/>
      <c r="H90" s="33"/>
      <c r="I90" s="13"/>
      <c r="J90" s="34"/>
      <c r="K90" s="46"/>
      <c r="L90" s="36"/>
      <c r="M90" s="34"/>
      <c r="N90" s="37"/>
      <c r="O90" s="38"/>
      <c r="P90" s="39"/>
      <c r="Q90" s="40"/>
      <c r="R90" s="41"/>
      <c r="S90" s="42"/>
      <c r="T90" s="42"/>
      <c r="U90" s="34"/>
      <c r="V90" s="34"/>
      <c r="W90" s="13"/>
    </row>
    <row r="91" ht="18.75" customHeight="1">
      <c r="A91" s="13"/>
      <c r="B91" s="48"/>
      <c r="C91" s="47"/>
      <c r="D91" s="32"/>
      <c r="E91" s="32"/>
      <c r="F91" s="32"/>
      <c r="G91" s="33"/>
      <c r="H91" s="33"/>
      <c r="I91" s="13"/>
      <c r="J91" s="34"/>
      <c r="K91" s="46"/>
      <c r="L91" s="36"/>
      <c r="M91" s="34"/>
      <c r="N91" s="37"/>
      <c r="O91" s="38"/>
      <c r="P91" s="39"/>
      <c r="Q91" s="40"/>
      <c r="R91" s="41"/>
      <c r="S91" s="42"/>
      <c r="T91" s="42"/>
      <c r="U91" s="34"/>
      <c r="V91" s="34"/>
      <c r="W91" s="13"/>
    </row>
    <row r="92" ht="18.75" customHeight="1">
      <c r="A92" s="13"/>
      <c r="B92" s="48"/>
      <c r="C92" s="47"/>
      <c r="D92" s="32"/>
      <c r="E92" s="32"/>
      <c r="F92" s="32"/>
      <c r="G92" s="33"/>
      <c r="H92" s="33"/>
      <c r="I92" s="13"/>
      <c r="J92" s="34"/>
      <c r="K92" s="46"/>
      <c r="L92" s="36"/>
      <c r="M92" s="34"/>
      <c r="N92" s="37"/>
      <c r="O92" s="38"/>
      <c r="P92" s="39"/>
      <c r="Q92" s="40"/>
      <c r="R92" s="41"/>
      <c r="S92" s="42"/>
      <c r="T92" s="42"/>
      <c r="U92" s="34"/>
      <c r="V92" s="34"/>
      <c r="W92" s="13"/>
    </row>
    <row r="93" ht="18.75" customHeight="1">
      <c r="A93" s="13"/>
      <c r="B93" s="48"/>
      <c r="C93" s="47"/>
      <c r="D93" s="32"/>
      <c r="E93" s="32"/>
      <c r="F93" s="32"/>
      <c r="G93" s="33"/>
      <c r="H93" s="33"/>
      <c r="I93" s="13"/>
      <c r="J93" s="34"/>
      <c r="K93" s="46"/>
      <c r="L93" s="36"/>
      <c r="M93" s="34"/>
      <c r="N93" s="37"/>
      <c r="O93" s="38"/>
      <c r="P93" s="39"/>
      <c r="Q93" s="40"/>
      <c r="R93" s="41"/>
      <c r="S93" s="42"/>
      <c r="T93" s="42"/>
      <c r="U93" s="34"/>
      <c r="V93" s="34"/>
      <c r="W93" s="13"/>
    </row>
    <row r="94" ht="18.75" customHeight="1">
      <c r="A94" s="13"/>
      <c r="B94" s="48"/>
      <c r="C94" s="47"/>
      <c r="D94" s="32"/>
      <c r="E94" s="32"/>
      <c r="F94" s="32"/>
      <c r="G94" s="33"/>
      <c r="H94" s="33"/>
      <c r="I94" s="13"/>
      <c r="J94" s="34"/>
      <c r="K94" s="46"/>
      <c r="L94" s="36"/>
      <c r="M94" s="34"/>
      <c r="N94" s="37"/>
      <c r="O94" s="38"/>
      <c r="P94" s="39"/>
      <c r="Q94" s="40"/>
      <c r="R94" s="41"/>
      <c r="S94" s="42"/>
      <c r="T94" s="42"/>
      <c r="U94" s="34"/>
      <c r="V94" s="34"/>
      <c r="W94" s="13"/>
    </row>
    <row r="95" ht="18.75" customHeight="1">
      <c r="A95" s="13"/>
      <c r="B95" s="48"/>
      <c r="C95" s="47"/>
      <c r="D95" s="32"/>
      <c r="E95" s="32"/>
      <c r="F95" s="32"/>
      <c r="G95" s="33"/>
      <c r="H95" s="33"/>
      <c r="I95" s="13"/>
      <c r="J95" s="34"/>
      <c r="K95" s="46"/>
      <c r="L95" s="36"/>
      <c r="M95" s="34"/>
      <c r="N95" s="37"/>
      <c r="O95" s="38"/>
      <c r="P95" s="39"/>
      <c r="Q95" s="40"/>
      <c r="R95" s="41"/>
      <c r="S95" s="42"/>
      <c r="T95" s="42"/>
      <c r="U95" s="34"/>
      <c r="V95" s="34"/>
      <c r="W95" s="13"/>
    </row>
    <row r="96" ht="18.75" customHeight="1">
      <c r="A96" s="13"/>
      <c r="B96" s="48"/>
      <c r="C96" s="47"/>
      <c r="D96" s="32"/>
      <c r="E96" s="32"/>
      <c r="F96" s="32"/>
      <c r="G96" s="33"/>
      <c r="H96" s="33"/>
      <c r="I96" s="13"/>
      <c r="J96" s="34"/>
      <c r="K96" s="46"/>
      <c r="L96" s="36"/>
      <c r="M96" s="34"/>
      <c r="N96" s="37"/>
      <c r="O96" s="38"/>
      <c r="P96" s="39"/>
      <c r="Q96" s="40"/>
      <c r="R96" s="41"/>
      <c r="S96" s="42"/>
      <c r="T96" s="42"/>
      <c r="U96" s="34"/>
      <c r="V96" s="34"/>
      <c r="W96" s="13"/>
    </row>
    <row r="97" ht="18.75" customHeight="1">
      <c r="A97" s="13"/>
      <c r="B97" s="48"/>
      <c r="C97" s="47"/>
      <c r="D97" s="32"/>
      <c r="E97" s="32"/>
      <c r="F97" s="32"/>
      <c r="G97" s="33"/>
      <c r="H97" s="33"/>
      <c r="I97" s="13"/>
      <c r="J97" s="34"/>
      <c r="K97" s="46"/>
      <c r="L97" s="36"/>
      <c r="M97" s="34"/>
      <c r="N97" s="37"/>
      <c r="O97" s="38"/>
      <c r="P97" s="39"/>
      <c r="Q97" s="40"/>
      <c r="R97" s="41"/>
      <c r="S97" s="42"/>
      <c r="T97" s="42"/>
      <c r="U97" s="34"/>
      <c r="V97" s="34"/>
      <c r="W97" s="13"/>
    </row>
    <row r="98" ht="18.75" customHeight="1">
      <c r="A98" s="13"/>
      <c r="B98" s="48"/>
      <c r="C98" s="47"/>
      <c r="D98" s="32"/>
      <c r="E98" s="32"/>
      <c r="F98" s="32"/>
      <c r="G98" s="33"/>
      <c r="H98" s="33"/>
      <c r="I98" s="13"/>
      <c r="J98" s="34"/>
      <c r="K98" s="46"/>
      <c r="L98" s="36"/>
      <c r="M98" s="34"/>
      <c r="N98" s="37"/>
      <c r="O98" s="38"/>
      <c r="P98" s="39"/>
      <c r="Q98" s="40"/>
      <c r="R98" s="41"/>
      <c r="S98" s="42"/>
      <c r="T98" s="42"/>
      <c r="U98" s="34"/>
      <c r="V98" s="34"/>
      <c r="W98" s="13"/>
    </row>
    <row r="99" ht="18.75" customHeight="1">
      <c r="A99" s="13"/>
      <c r="B99" s="48"/>
      <c r="C99" s="47"/>
      <c r="D99" s="32"/>
      <c r="E99" s="32"/>
      <c r="F99" s="32"/>
      <c r="G99" s="33"/>
      <c r="H99" s="33"/>
      <c r="I99" s="13"/>
      <c r="J99" s="34"/>
      <c r="K99" s="46"/>
      <c r="L99" s="36"/>
      <c r="M99" s="34"/>
      <c r="N99" s="37"/>
      <c r="O99" s="38"/>
      <c r="P99" s="39"/>
      <c r="Q99" s="40"/>
      <c r="R99" s="41"/>
      <c r="S99" s="42"/>
      <c r="T99" s="42"/>
      <c r="U99" s="34"/>
      <c r="V99" s="34"/>
      <c r="W99" s="13"/>
    </row>
    <row r="100" ht="18.75" customHeight="1">
      <c r="A100" s="13"/>
      <c r="B100" s="48"/>
      <c r="C100" s="47"/>
      <c r="D100" s="32"/>
      <c r="E100" s="32"/>
      <c r="F100" s="32"/>
      <c r="G100" s="33"/>
      <c r="H100" s="33"/>
      <c r="I100" s="13"/>
      <c r="J100" s="34"/>
      <c r="K100" s="46"/>
      <c r="L100" s="36"/>
      <c r="M100" s="34"/>
      <c r="N100" s="37"/>
      <c r="O100" s="38"/>
      <c r="P100" s="39"/>
      <c r="Q100" s="40"/>
      <c r="R100" s="41"/>
      <c r="S100" s="42"/>
      <c r="T100" s="42"/>
      <c r="U100" s="34"/>
      <c r="V100" s="34"/>
      <c r="W100" s="13"/>
    </row>
    <row r="101" ht="18.75" customHeight="1">
      <c r="A101" s="13"/>
      <c r="B101" s="48"/>
      <c r="C101" s="47"/>
      <c r="D101" s="32"/>
      <c r="E101" s="32"/>
      <c r="F101" s="32"/>
      <c r="G101" s="33"/>
      <c r="H101" s="33"/>
      <c r="I101" s="13"/>
      <c r="J101" s="34"/>
      <c r="K101" s="46"/>
      <c r="L101" s="36"/>
      <c r="M101" s="34"/>
      <c r="N101" s="37"/>
      <c r="O101" s="38"/>
      <c r="P101" s="39"/>
      <c r="Q101" s="40"/>
      <c r="R101" s="41"/>
      <c r="S101" s="42"/>
      <c r="T101" s="42"/>
      <c r="U101" s="34"/>
      <c r="V101" s="34"/>
      <c r="W101" s="13"/>
    </row>
    <row r="102" ht="18.75" customHeight="1">
      <c r="A102" s="13"/>
      <c r="B102" s="48"/>
      <c r="C102" s="47"/>
      <c r="D102" s="32"/>
      <c r="E102" s="32"/>
      <c r="F102" s="32"/>
      <c r="G102" s="33"/>
      <c r="H102" s="33"/>
      <c r="I102" s="13"/>
      <c r="J102" s="34"/>
      <c r="K102" s="46"/>
      <c r="L102" s="36"/>
      <c r="M102" s="34"/>
      <c r="N102" s="37"/>
      <c r="O102" s="38"/>
      <c r="P102" s="39"/>
      <c r="Q102" s="40"/>
      <c r="R102" s="41"/>
      <c r="S102" s="42"/>
      <c r="T102" s="42"/>
      <c r="U102" s="34"/>
      <c r="V102" s="34"/>
      <c r="W102" s="13"/>
    </row>
    <row r="103" ht="18.75" customHeight="1">
      <c r="A103" s="13"/>
      <c r="B103" s="48"/>
      <c r="C103" s="47"/>
      <c r="D103" s="32"/>
      <c r="E103" s="32"/>
      <c r="F103" s="32"/>
      <c r="G103" s="33"/>
      <c r="H103" s="33"/>
      <c r="I103" s="13"/>
      <c r="J103" s="34"/>
      <c r="K103" s="46"/>
      <c r="L103" s="36"/>
      <c r="M103" s="34"/>
      <c r="N103" s="37"/>
      <c r="O103" s="38"/>
      <c r="P103" s="39"/>
      <c r="Q103" s="40"/>
      <c r="R103" s="41"/>
      <c r="S103" s="42"/>
      <c r="T103" s="42"/>
      <c r="U103" s="34"/>
      <c r="V103" s="34"/>
      <c r="W103" s="13"/>
    </row>
    <row r="104" ht="18.75" customHeight="1">
      <c r="A104" s="13"/>
      <c r="B104" s="48"/>
      <c r="C104" s="47"/>
      <c r="D104" s="32"/>
      <c r="E104" s="32"/>
      <c r="F104" s="32"/>
      <c r="G104" s="33"/>
      <c r="H104" s="33"/>
      <c r="I104" s="13"/>
      <c r="J104" s="34"/>
      <c r="K104" s="46"/>
      <c r="L104" s="36"/>
      <c r="M104" s="34"/>
      <c r="N104" s="37"/>
      <c r="O104" s="38"/>
      <c r="P104" s="39"/>
      <c r="Q104" s="40"/>
      <c r="R104" s="41"/>
      <c r="S104" s="42"/>
      <c r="T104" s="42"/>
      <c r="U104" s="34"/>
      <c r="V104" s="34"/>
      <c r="W104" s="13"/>
    </row>
  </sheetData>
  <mergeCells count="4">
    <mergeCell ref="B3:H3"/>
    <mergeCell ref="J3:V3"/>
    <mergeCell ref="F4:G4"/>
    <mergeCell ref="M4:N4"/>
  </mergeCells>
  <conditionalFormatting sqref="L5:L104">
    <cfRule type="expression" dxfId="0" priority="1">
      <formula>LEFT($L5,2)="NM"</formula>
    </cfRule>
  </conditionalFormatting>
  <conditionalFormatting sqref="L5:L104">
    <cfRule type="expression" dxfId="1" priority="2">
      <formula>LEFT($L5,2)="HD"</formula>
    </cfRule>
  </conditionalFormatting>
  <conditionalFormatting sqref="L5:L104">
    <cfRule type="expression" dxfId="2" priority="3">
      <formula>LEFT($L5,2)="HR"</formula>
    </cfRule>
  </conditionalFormatting>
  <conditionalFormatting sqref="L5:L104">
    <cfRule type="expression" dxfId="3" priority="4">
      <formula>LEFT($L5,2)="DT"</formula>
    </cfRule>
  </conditionalFormatting>
  <conditionalFormatting sqref="L5:L104">
    <cfRule type="expression" dxfId="4" priority="5">
      <formula>LEFT($L5,2)="FM"</formula>
    </cfRule>
  </conditionalFormatting>
  <conditionalFormatting sqref="L5:L104">
    <cfRule type="expression" dxfId="5" priority="6">
      <formula>LEFT($L5,2)="TB"</formula>
    </cfRule>
  </conditionalFormatting>
  <conditionalFormatting sqref="L5:L104">
    <cfRule type="expression" dxfId="6" priority="7">
      <formula>LEFT($L5,2)="EZ"</formula>
    </cfRule>
  </conditionalFormatting>
  <conditionalFormatting sqref="L5:L104">
    <cfRule type="expression" dxfId="7" priority="8">
      <formula>LEFT($L5,2)="HT"</formula>
    </cfRule>
  </conditionalFormatting>
  <conditionalFormatting sqref="J5:V104">
    <cfRule type="expression" dxfId="8" priority="9">
      <formula>LEFT($L5,2)&lt;&gt;""</formula>
    </cfRule>
  </conditionalFormatting>
  <conditionalFormatting sqref="B5:H104 K10:K14">
    <cfRule type="expression" dxfId="2" priority="10">
      <formula>COUNTIF($C$5:$C$104,$C5)&gt;1</formula>
    </cfRule>
  </conditionalFormatting>
  <conditionalFormatting sqref="B5:H104 K10:K14">
    <cfRule type="expression" dxfId="9" priority="11">
      <formula>COUNTIF($K$5:$K104,$C5)=1</formula>
    </cfRule>
  </conditionalFormatting>
  <dataValidations>
    <dataValidation type="list" allowBlank="1" sqref="B2">
      <formula1>Settings!$E$3:$E$12</formula1>
    </dataValidation>
    <dataValidation type="list" allowBlank="1" showDropDown="1" sqref="K5:K9 K15:K104">
      <formula1>'_api'!$A$3:$A$1007</formula1>
    </dataValidation>
    <dataValidation type="list" allowBlank="1" sqref="D5:D104">
      <formula1>Settings!$I$2:$P$2</formula1>
    </dataValidation>
    <dataValidation type="list" allowBlank="1" sqref="E5:E104">
      <formula1>Settings!$B$3:$B$12</formula1>
    </dataValidation>
  </dataValidations>
  <hyperlinks>
    <hyperlink r:id="rId2" location="osu/3924030" ref="B5"/>
    <hyperlink r:id="rId3" location="osu/3207049" ref="B6"/>
    <hyperlink r:id="rId4" location="osu/3207049" ref="G6"/>
    <hyperlink r:id="rId5" location="osu/908887" ref="N6"/>
    <hyperlink r:id="rId6" location="osu/4113699" ref="B7"/>
    <hyperlink r:id="rId7" location="osu/4113699" ref="G7"/>
    <hyperlink r:id="rId8" location="osu/3035501" ref="N7"/>
    <hyperlink r:id="rId9" location="osu/3737825" ref="B8"/>
    <hyperlink r:id="rId10" location="osu/3737825" ref="G8"/>
    <hyperlink r:id="rId11" location="osu/3737825" ref="N8"/>
    <hyperlink r:id="rId12" location="osu/2514122" ref="B9"/>
    <hyperlink r:id="rId13" location="osu/2514122" ref="G9"/>
    <hyperlink r:id="rId14" location="osu/2094462" ref="N9"/>
    <hyperlink r:id="rId15" location="osu/2619929" ref="B10"/>
    <hyperlink r:id="rId16" location="osu/2619929" ref="G10"/>
    <hyperlink r:id="rId17" location="osu/2619929" ref="N10"/>
    <hyperlink r:id="rId18" location="osu/3958395" ref="B11"/>
    <hyperlink r:id="rId19" location="osu/3958395" ref="G11"/>
    <hyperlink r:id="rId20" location="osu/2027623" ref="N11"/>
    <hyperlink r:id="rId21" location="osu/1523138" ref="B12"/>
    <hyperlink r:id="rId22" location="osu/1523138" ref="G12"/>
    <hyperlink r:id="rId23" location="osu/1523138" ref="N12"/>
    <hyperlink r:id="rId24" location="osu/4105349" ref="B13"/>
    <hyperlink r:id="rId25" location="osu/4105349" ref="G13"/>
    <hyperlink r:id="rId26" location="osu/4105349" ref="N13"/>
    <hyperlink r:id="rId27" location="osu/3411549" ref="B14"/>
    <hyperlink r:id="rId28" location="osu/3411549" ref="G14"/>
    <hyperlink r:id="rId29" location="osu/3533589" ref="N14"/>
    <hyperlink r:id="rId30" location="osu/2395972" ref="B15"/>
    <hyperlink r:id="rId31" location="osu/2395972" ref="G15"/>
    <hyperlink r:id="rId32" location="osu/3720541" ref="B16"/>
    <hyperlink r:id="rId33" location="osu/3720541" ref="G16"/>
    <hyperlink r:id="rId34" location="osu/3081261" ref="B17"/>
    <hyperlink r:id="rId35" location="osu/3081261" ref="G17"/>
    <hyperlink r:id="rId36" location="osu/3684386" ref="B18"/>
    <hyperlink r:id="rId37" location="osu/3684386" ref="G18"/>
    <hyperlink r:id="rId38" location="osu/3783139" ref="B19"/>
    <hyperlink r:id="rId39" location="osu/3783139" ref="G19"/>
    <hyperlink r:id="rId40" location="osu/2027623" ref="B20"/>
    <hyperlink r:id="rId41" location="osu/2027623" ref="G20"/>
    <hyperlink r:id="rId42" location="osu/2305346" ref="B21"/>
    <hyperlink r:id="rId43" location="osu/2305346" ref="G21"/>
    <hyperlink r:id="rId44" location="osu/3310401" ref="B22"/>
    <hyperlink r:id="rId45" location="osu/3310401" ref="G22"/>
    <hyperlink r:id="rId46" ref="B23"/>
    <hyperlink r:id="rId47" location="osu/4121042" ref="G23"/>
    <hyperlink r:id="rId48" location="osu/908887" ref="B24"/>
    <hyperlink r:id="rId49" location="osu/908887" ref="G24"/>
    <hyperlink r:id="rId50" location="osu/3533589" ref="B25"/>
    <hyperlink r:id="rId51" location="osu/3533589" ref="G25"/>
    <hyperlink r:id="rId52" location="osu/2094462" ref="B26"/>
    <hyperlink r:id="rId53" location="osu/2094462" ref="G26"/>
    <hyperlink r:id="rId54" location="osu/3035501" ref="B27"/>
    <hyperlink r:id="rId55" location="osu/3035501" ref="G27"/>
  </hyperlinks>
  <drawing r:id="rId56"/>
  <legacyDrawing r:id="rId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37.63"/>
    <col customWidth="1" min="3" max="3" width="12.63"/>
    <col customWidth="1" min="4" max="4" width="9.5"/>
    <col customWidth="1" min="6" max="6" width="11.13"/>
    <col customWidth="1" min="7" max="8" width="25.13"/>
    <col customWidth="1" min="9" max="9" width="3.25"/>
    <col customWidth="1" min="12" max="12" width="5.13"/>
    <col customWidth="1" min="13" max="13" width="11.13"/>
    <col customWidth="1" min="14" max="14" width="31.38"/>
    <col customWidth="1" min="15" max="20" width="6.38" outlineLevel="1"/>
    <col min="21" max="22" width="12.63" outlineLevel="1"/>
    <col customWidth="1" min="23" max="23" width="3.25"/>
  </cols>
  <sheetData>
    <row r="1" ht="18.75" customHeight="1">
      <c r="A1" s="13"/>
      <c r="B1" s="13"/>
      <c r="C1" s="13"/>
      <c r="D1" s="13"/>
      <c r="E1" s="13"/>
      <c r="F1" s="13"/>
      <c r="G1" s="13"/>
      <c r="H1" s="13"/>
      <c r="I1" s="13"/>
      <c r="J1" s="13"/>
      <c r="K1" s="13"/>
      <c r="L1" s="13"/>
      <c r="M1" s="13"/>
      <c r="N1" s="13"/>
      <c r="O1" s="13"/>
      <c r="P1" s="13"/>
      <c r="Q1" s="13"/>
      <c r="R1" s="13"/>
      <c r="S1" s="13"/>
      <c r="T1" s="13"/>
      <c r="U1" s="13"/>
      <c r="V1" s="13"/>
      <c r="W1" s="13"/>
    </row>
    <row r="2" ht="18.75" customHeight="1">
      <c r="A2" s="13"/>
      <c r="B2" s="14" t="s">
        <v>24</v>
      </c>
      <c r="C2" s="15" t="s">
        <v>5</v>
      </c>
      <c r="D2" s="16">
        <f>IFERROR(VLOOKUP(B2,Settings!E3:H12,3,0),"")</f>
        <v>9</v>
      </c>
      <c r="E2" s="17" t="s">
        <v>6</v>
      </c>
      <c r="F2" s="18">
        <f>IFERROR(VLOOKUP(B2,Settings!E3:H12,4,0),"")</f>
        <v>1</v>
      </c>
      <c r="G2" s="13"/>
      <c r="H2" s="13"/>
      <c r="I2" s="13"/>
      <c r="J2" s="13"/>
      <c r="K2" s="13"/>
      <c r="L2" s="13"/>
      <c r="M2" s="13"/>
      <c r="N2" s="13"/>
      <c r="O2" s="13"/>
      <c r="P2" s="13"/>
      <c r="Q2" s="13"/>
      <c r="R2" s="13"/>
      <c r="S2" s="13"/>
      <c r="T2" s="13"/>
      <c r="U2" s="13"/>
      <c r="V2" s="13"/>
      <c r="W2" s="13"/>
    </row>
    <row r="3" ht="26.25" customHeight="1">
      <c r="A3" s="13"/>
      <c r="B3" s="19" t="s">
        <v>44</v>
      </c>
      <c r="C3" s="20"/>
      <c r="D3" s="20"/>
      <c r="E3" s="20"/>
      <c r="F3" s="20"/>
      <c r="G3" s="20"/>
      <c r="H3" s="20"/>
      <c r="I3" s="13"/>
      <c r="J3" s="19" t="s">
        <v>45</v>
      </c>
      <c r="K3" s="20"/>
      <c r="L3" s="20"/>
      <c r="M3" s="20"/>
      <c r="N3" s="20"/>
      <c r="O3" s="20"/>
      <c r="P3" s="20"/>
      <c r="Q3" s="20"/>
      <c r="R3" s="20"/>
      <c r="S3" s="20"/>
      <c r="T3" s="20"/>
      <c r="U3" s="20"/>
      <c r="V3" s="20"/>
      <c r="W3" s="13"/>
    </row>
    <row r="4" ht="18.75" customHeight="1">
      <c r="A4" s="13"/>
      <c r="B4" s="21" t="s">
        <v>46</v>
      </c>
      <c r="C4" s="21" t="s">
        <v>47</v>
      </c>
      <c r="D4" s="21" t="s">
        <v>48</v>
      </c>
      <c r="E4" s="21" t="s">
        <v>49</v>
      </c>
      <c r="F4" s="21" t="s">
        <v>50</v>
      </c>
      <c r="G4" s="22"/>
      <c r="H4" s="21" t="s">
        <v>51</v>
      </c>
      <c r="I4" s="13"/>
      <c r="J4" s="21" t="s">
        <v>52</v>
      </c>
      <c r="K4" s="21" t="s">
        <v>47</v>
      </c>
      <c r="L4" s="23" t="s">
        <v>48</v>
      </c>
      <c r="M4" s="21" t="s">
        <v>50</v>
      </c>
      <c r="N4" s="22"/>
      <c r="O4" s="24" t="s">
        <v>53</v>
      </c>
      <c r="P4" s="25" t="s">
        <v>54</v>
      </c>
      <c r="Q4" s="26" t="s">
        <v>55</v>
      </c>
      <c r="R4" s="27" t="s">
        <v>56</v>
      </c>
      <c r="S4" s="21" t="s">
        <v>57</v>
      </c>
      <c r="T4" s="21" t="s">
        <v>58</v>
      </c>
      <c r="U4" s="21" t="s">
        <v>60</v>
      </c>
      <c r="V4" s="21" t="s">
        <v>47</v>
      </c>
      <c r="W4" s="13"/>
    </row>
    <row r="5" ht="18.75" customHeight="1">
      <c r="A5" s="13"/>
      <c r="B5" s="59"/>
      <c r="C5" s="30" t="str">
        <f>IFERROR(__xludf.DUMMYFUNCTION("ArrayFormula(IFERROR(VALUE(REGEXEXTRACT(B5:B104&amp;"""",""\d+$""))))"),"")</f>
        <v/>
      </c>
      <c r="D5" s="31" t="s">
        <v>7</v>
      </c>
      <c r="E5" s="31" t="s">
        <v>17</v>
      </c>
      <c r="F5" s="32" t="str">
        <f t="array" ref="F5:F104">MAP(C5:C104,LAMBDA(id,IFNA(IMAGE(MAPDATA(id,"cover_url")),"")))</f>
        <v/>
      </c>
      <c r="G5" s="33" t="str">
        <f t="array" ref="G5:G104">IFNA(HYPERLINK(VLOOKUP(C5:C104,'_api'!B3:BC104,MATCH("url",'_api'!B2:W2,0),0),VLOOKUP(C5:C104,'_api'!B3:BC104,MATCH("string",'_api'!B2:W2,0),0)),"")</f>
        <v/>
      </c>
      <c r="H5" s="33"/>
      <c r="I5" s="13"/>
      <c r="J5" s="35" t="s">
        <v>121</v>
      </c>
      <c r="K5" s="44">
        <v>2277989.0</v>
      </c>
      <c r="L5" s="36" t="str">
        <f>IFERROR(__xludf.DUMMYFUNCTION("TRANSPOSE(SPLIT(JOIN("","",MAP(TRANSPOSE(Settings!I2:P2),TRANSPOSE(INDEX(Settings!I3:P12,MATCH(B2,Settings!E3:E12,0))),LAMBDA(mod,n,JOIN("","",ARRAYFORMULA(IF(n=0,"""",mod&amp;SEQUENCE(n))))))),"",""))"),"NM1")</f>
        <v>NM1</v>
      </c>
      <c r="M5" s="34" t="str">
        <f t="array" ref="M5:M104">MAP(K5:K104,LAMBDA(id,IFNA(IMAGE(MAPDATA(id,"cover_url")),"")))</f>
        <v/>
      </c>
      <c r="N5" s="53" t="str">
        <f>IFNA(MAPDATA(K5:K104,"string_url"),"")</f>
        <v>Hazuki - Uso to Shinjitsu [Insane]</v>
      </c>
      <c r="O5" s="38">
        <f t="array" ref="O5:Q104">IFNA(MAPDATA_MODDED(K5:K104,{"difficultyrating","bpm","hit_length"},L5:L104),"")</f>
        <v>4.71288</v>
      </c>
      <c r="P5" s="39">
        <v>190.0</v>
      </c>
      <c r="Q5" s="40">
        <v>0.0027430555564933456</v>
      </c>
      <c r="R5" s="41">
        <f t="array" ref="R5:T104">IFNA(MAPDATA_MODDED(K5:K104,"diff_"&amp;{"size","approach","overall"},L5:L104),"")</f>
        <v>3.8</v>
      </c>
      <c r="S5" s="42">
        <v>9.0</v>
      </c>
      <c r="T5" s="60">
        <v>7.5</v>
      </c>
      <c r="U5" s="34" t="str">
        <f t="array" ref="U5:V104">IFNA(MAPDATA(K5:K104,{"creator","beatmap_id"}),"")</f>
        <v>Akitoshi</v>
      </c>
      <c r="V5" s="34">
        <v>2277989.0</v>
      </c>
      <c r="W5" s="13"/>
    </row>
    <row r="6" ht="18.75" customHeight="1">
      <c r="A6" s="13"/>
      <c r="B6" s="56" t="s">
        <v>122</v>
      </c>
      <c r="C6" s="45">
        <f>IFERROR(__xludf.DUMMYFUNCTION("""COMPUTED_VALUE"""),3823691.0)</f>
        <v>3823691</v>
      </c>
      <c r="D6" s="31" t="s">
        <v>8</v>
      </c>
      <c r="E6" s="31" t="s">
        <v>26</v>
      </c>
      <c r="F6" s="32"/>
      <c r="G6" s="57" t="s">
        <v>123</v>
      </c>
      <c r="H6" s="51" t="s">
        <v>124</v>
      </c>
      <c r="I6" s="13" t="s">
        <v>0</v>
      </c>
      <c r="J6" s="35" t="s">
        <v>125</v>
      </c>
      <c r="K6" s="45">
        <v>3297107.0</v>
      </c>
      <c r="L6" s="36" t="str">
        <f>IFERROR(__xludf.DUMMYFUNCTION("""COMPUTED_VALUE"""),"NM2")</f>
        <v>NM2</v>
      </c>
      <c r="M6" s="34"/>
      <c r="N6" s="53" t="s">
        <v>126</v>
      </c>
      <c r="O6" s="38">
        <v>4.74275</v>
      </c>
      <c r="P6" s="39">
        <v>181.0</v>
      </c>
      <c r="Q6" s="40">
        <v>0.0014120370360615198</v>
      </c>
      <c r="R6" s="41">
        <v>4.0</v>
      </c>
      <c r="S6" s="42">
        <v>9.0</v>
      </c>
      <c r="T6" s="42">
        <v>7.6</v>
      </c>
      <c r="U6" s="34" t="s">
        <v>127</v>
      </c>
      <c r="V6" s="34">
        <v>3297107.0</v>
      </c>
      <c r="W6" s="13"/>
    </row>
    <row r="7" ht="18.75" customHeight="1">
      <c r="A7" s="13"/>
      <c r="B7" s="56" t="s">
        <v>128</v>
      </c>
      <c r="C7" s="45">
        <f>IFERROR(__xludf.DUMMYFUNCTION("""COMPUTED_VALUE"""),2995193.0)</f>
        <v>2995193</v>
      </c>
      <c r="D7" s="31" t="s">
        <v>7</v>
      </c>
      <c r="E7" s="31" t="s">
        <v>26</v>
      </c>
      <c r="F7" s="32"/>
      <c r="G7" s="57" t="s">
        <v>129</v>
      </c>
      <c r="H7" s="51" t="s">
        <v>130</v>
      </c>
      <c r="I7" s="13"/>
      <c r="J7" s="35" t="s">
        <v>131</v>
      </c>
      <c r="K7" s="45">
        <v>2440455.0</v>
      </c>
      <c r="L7" s="36" t="str">
        <f>IFERROR(__xludf.DUMMYFUNCTION("""COMPUTED_VALUE"""),"NM3")</f>
        <v>NM3</v>
      </c>
      <c r="M7" s="34"/>
      <c r="N7" s="53" t="s">
        <v>132</v>
      </c>
      <c r="O7" s="38">
        <v>4.59244</v>
      </c>
      <c r="P7" s="39">
        <v>252.0</v>
      </c>
      <c r="Q7" s="40">
        <v>0.0019328703710925765</v>
      </c>
      <c r="R7" s="41">
        <v>4.0</v>
      </c>
      <c r="S7" s="42">
        <v>9.0</v>
      </c>
      <c r="T7" s="42">
        <v>7.7</v>
      </c>
      <c r="U7" s="34" t="s">
        <v>133</v>
      </c>
      <c r="V7" s="34">
        <v>2440455.0</v>
      </c>
      <c r="W7" s="13"/>
    </row>
    <row r="8" ht="18.75" customHeight="1">
      <c r="A8" s="13"/>
      <c r="B8" s="56" t="s">
        <v>134</v>
      </c>
      <c r="C8" s="45">
        <f>IFERROR(__xludf.DUMMYFUNCTION("""COMPUTED_VALUE"""),2016938.0)</f>
        <v>2016938</v>
      </c>
      <c r="D8" s="31" t="s">
        <v>10</v>
      </c>
      <c r="E8" s="32"/>
      <c r="F8" s="32"/>
      <c r="G8" s="57" t="s">
        <v>135</v>
      </c>
      <c r="H8" s="51" t="s">
        <v>136</v>
      </c>
      <c r="I8" s="13"/>
      <c r="J8" s="35" t="s">
        <v>137</v>
      </c>
      <c r="K8" s="45">
        <v>3248876.0</v>
      </c>
      <c r="L8" s="36" t="str">
        <f>IFERROR(__xludf.DUMMYFUNCTION("""COMPUTED_VALUE"""),"NM4")</f>
        <v>NM4</v>
      </c>
      <c r="M8" s="34"/>
      <c r="N8" s="53" t="s">
        <v>138</v>
      </c>
      <c r="O8" s="38">
        <v>4.42076</v>
      </c>
      <c r="P8" s="39">
        <v>200.0</v>
      </c>
      <c r="Q8" s="40">
        <v>0.0014120370360615198</v>
      </c>
      <c r="R8" s="41">
        <v>4.0</v>
      </c>
      <c r="S8" s="42">
        <v>9.0</v>
      </c>
      <c r="T8" s="42">
        <v>8.0</v>
      </c>
      <c r="U8" s="34" t="s">
        <v>139</v>
      </c>
      <c r="V8" s="34">
        <v>3248876.0</v>
      </c>
      <c r="W8" s="13"/>
    </row>
    <row r="9" ht="18.75" customHeight="1">
      <c r="A9" s="13"/>
      <c r="B9" s="44">
        <v>2340750.0</v>
      </c>
      <c r="C9" s="45">
        <f>IFERROR(__xludf.DUMMYFUNCTION("""COMPUTED_VALUE"""),2340750.0)</f>
        <v>2340750</v>
      </c>
      <c r="D9" s="31" t="s">
        <v>7</v>
      </c>
      <c r="E9" s="31" t="s">
        <v>17</v>
      </c>
      <c r="F9" s="32"/>
      <c r="G9" s="57" t="s">
        <v>140</v>
      </c>
      <c r="H9" s="51" t="s">
        <v>141</v>
      </c>
      <c r="I9" s="13"/>
      <c r="J9" s="35" t="s">
        <v>142</v>
      </c>
      <c r="K9" s="47">
        <v>1989991.0</v>
      </c>
      <c r="L9" s="36" t="str">
        <f>IFERROR(__xludf.DUMMYFUNCTION("""COMPUTED_VALUE"""),"NM5")</f>
        <v>NM5</v>
      </c>
      <c r="M9" s="34"/>
      <c r="N9" s="53" t="s">
        <v>143</v>
      </c>
      <c r="O9" s="38">
        <v>4.58083</v>
      </c>
      <c r="P9" s="39">
        <v>127.0</v>
      </c>
      <c r="Q9" s="40">
        <v>0.0015393518515338656</v>
      </c>
      <c r="R9" s="41">
        <v>4.0</v>
      </c>
      <c r="S9" s="42">
        <v>8.3</v>
      </c>
      <c r="T9" s="42">
        <v>7.0</v>
      </c>
      <c r="U9" s="34" t="s">
        <v>144</v>
      </c>
      <c r="V9" s="34">
        <v>1989991.0</v>
      </c>
      <c r="W9" s="13"/>
    </row>
    <row r="10" ht="18.75" customHeight="1">
      <c r="A10" s="13"/>
      <c r="B10" s="44">
        <v>3297107.0</v>
      </c>
      <c r="C10" s="45">
        <f>IFERROR(__xludf.DUMMYFUNCTION("""COMPUTED_VALUE"""),3297107.0)</f>
        <v>3297107</v>
      </c>
      <c r="D10" s="31" t="s">
        <v>7</v>
      </c>
      <c r="E10" s="31" t="s">
        <v>38</v>
      </c>
      <c r="F10" s="32"/>
      <c r="G10" s="57" t="s">
        <v>126</v>
      </c>
      <c r="H10" s="51" t="s">
        <v>145</v>
      </c>
      <c r="I10" s="13"/>
      <c r="J10" s="35" t="s">
        <v>146</v>
      </c>
      <c r="K10" s="47">
        <v>3280686.0</v>
      </c>
      <c r="L10" s="36" t="str">
        <f>IFERROR(__xludf.DUMMYFUNCTION("""COMPUTED_VALUE"""),"HD1")</f>
        <v>HD1</v>
      </c>
      <c r="M10" s="34"/>
      <c r="N10" s="53" t="s">
        <v>147</v>
      </c>
      <c r="O10" s="38">
        <v>4.75975</v>
      </c>
      <c r="P10" s="39">
        <v>170.0</v>
      </c>
      <c r="Q10" s="40">
        <v>0.002013888890360249</v>
      </c>
      <c r="R10" s="41">
        <v>3.3</v>
      </c>
      <c r="S10" s="42">
        <v>9.0</v>
      </c>
      <c r="T10" s="42">
        <v>8.0</v>
      </c>
      <c r="U10" s="34" t="s">
        <v>148</v>
      </c>
      <c r="V10" s="34">
        <v>3280686.0</v>
      </c>
      <c r="W10" s="13"/>
    </row>
    <row r="11" ht="18.75" customHeight="1">
      <c r="A11" s="13"/>
      <c r="B11" s="44">
        <v>2440455.0</v>
      </c>
      <c r="C11" s="45">
        <f>IFERROR(__xludf.DUMMYFUNCTION("""COMPUTED_VALUE"""),2440455.0)</f>
        <v>2440455</v>
      </c>
      <c r="D11" s="31" t="s">
        <v>7</v>
      </c>
      <c r="E11" s="31" t="s">
        <v>17</v>
      </c>
      <c r="F11" s="32"/>
      <c r="G11" s="57" t="s">
        <v>132</v>
      </c>
      <c r="H11" s="51" t="s">
        <v>149</v>
      </c>
      <c r="I11" s="13"/>
      <c r="J11" s="35" t="s">
        <v>150</v>
      </c>
      <c r="K11" s="47">
        <v>134141.0</v>
      </c>
      <c r="L11" s="36" t="str">
        <f>IFERROR(__xludf.DUMMYFUNCTION("""COMPUTED_VALUE"""),"HD2")</f>
        <v>HD2</v>
      </c>
      <c r="M11" s="34"/>
      <c r="N11" s="53" t="s">
        <v>151</v>
      </c>
      <c r="O11" s="38">
        <v>4.33398</v>
      </c>
      <c r="P11" s="39">
        <v>175.0</v>
      </c>
      <c r="Q11" s="40">
        <v>0.0012268518512428273</v>
      </c>
      <c r="R11" s="41">
        <v>4.0</v>
      </c>
      <c r="S11" s="42">
        <v>8.0</v>
      </c>
      <c r="T11" s="42">
        <v>6.0</v>
      </c>
      <c r="U11" s="34" t="s">
        <v>152</v>
      </c>
      <c r="V11" s="34">
        <v>134141.0</v>
      </c>
      <c r="W11" s="13"/>
    </row>
    <row r="12" ht="18.75" customHeight="1">
      <c r="A12" s="13"/>
      <c r="B12" s="44">
        <v>3248876.0</v>
      </c>
      <c r="C12" s="45">
        <f>IFERROR(__xludf.DUMMYFUNCTION("""COMPUTED_VALUE"""),3248876.0)</f>
        <v>3248876</v>
      </c>
      <c r="D12" s="31" t="s">
        <v>7</v>
      </c>
      <c r="E12" s="31" t="s">
        <v>17</v>
      </c>
      <c r="F12" s="32"/>
      <c r="G12" s="57" t="s">
        <v>138</v>
      </c>
      <c r="H12" s="51" t="s">
        <v>153</v>
      </c>
      <c r="I12" s="13"/>
      <c r="J12" s="35" t="s">
        <v>154</v>
      </c>
      <c r="K12" s="45">
        <v>2659337.0</v>
      </c>
      <c r="L12" s="36" t="str">
        <f>IFERROR(__xludf.DUMMYFUNCTION("""COMPUTED_VALUE"""),"HR1")</f>
        <v>HR1</v>
      </c>
      <c r="M12" s="34"/>
      <c r="N12" s="53" t="s">
        <v>155</v>
      </c>
      <c r="O12" s="38">
        <v>4.597</v>
      </c>
      <c r="P12" s="39">
        <v>185.0</v>
      </c>
      <c r="Q12" s="40">
        <v>0.0019907407404389232</v>
      </c>
      <c r="R12" s="41">
        <v>5.2</v>
      </c>
      <c r="S12" s="42">
        <v>10.0</v>
      </c>
      <c r="T12" s="42">
        <v>9.799999999999999</v>
      </c>
      <c r="U12" s="34" t="s">
        <v>156</v>
      </c>
      <c r="V12" s="34">
        <v>2659337.0</v>
      </c>
      <c r="W12" s="13"/>
    </row>
    <row r="13" ht="18.75" customHeight="1">
      <c r="A13" s="13"/>
      <c r="B13" s="44">
        <v>1989991.0</v>
      </c>
      <c r="C13" s="47">
        <f>IFERROR(__xludf.DUMMYFUNCTION("""COMPUTED_VALUE"""),1989991.0)</f>
        <v>1989991</v>
      </c>
      <c r="D13" s="31" t="s">
        <v>7</v>
      </c>
      <c r="E13" s="31" t="s">
        <v>17</v>
      </c>
      <c r="F13" s="32"/>
      <c r="G13" s="57" t="s">
        <v>143</v>
      </c>
      <c r="H13" s="51" t="s">
        <v>157</v>
      </c>
      <c r="I13" s="13"/>
      <c r="J13" s="35" t="s">
        <v>158</v>
      </c>
      <c r="K13" s="47">
        <v>2110801.0</v>
      </c>
      <c r="L13" s="36" t="str">
        <f>IFERROR(__xludf.DUMMYFUNCTION("""COMPUTED_VALUE"""),"HR2")</f>
        <v>HR2</v>
      </c>
      <c r="M13" s="34"/>
      <c r="N13" s="53" t="s">
        <v>159</v>
      </c>
      <c r="O13" s="38">
        <v>4.26034</v>
      </c>
      <c r="P13" s="39">
        <v>100.0</v>
      </c>
      <c r="Q13" s="40">
        <v>0.0016666666670062114</v>
      </c>
      <c r="R13" s="41">
        <v>6.5</v>
      </c>
      <c r="S13" s="42">
        <v>10.0</v>
      </c>
      <c r="T13" s="42">
        <v>9.799999999999999</v>
      </c>
      <c r="U13" s="34" t="s">
        <v>160</v>
      </c>
      <c r="V13" s="34">
        <v>2110801.0</v>
      </c>
      <c r="W13" s="13"/>
    </row>
    <row r="14" ht="18.75" customHeight="1">
      <c r="A14" s="13"/>
      <c r="B14" s="44">
        <v>3280686.0</v>
      </c>
      <c r="C14" s="47">
        <f>IFERROR(__xludf.DUMMYFUNCTION("""COMPUTED_VALUE"""),3280686.0)</f>
        <v>3280686</v>
      </c>
      <c r="D14" s="31" t="s">
        <v>8</v>
      </c>
      <c r="E14" s="31" t="s">
        <v>17</v>
      </c>
      <c r="F14" s="32"/>
      <c r="G14" s="57" t="s">
        <v>147</v>
      </c>
      <c r="H14" s="51" t="s">
        <v>161</v>
      </c>
      <c r="I14" s="13"/>
      <c r="J14" s="35" t="s">
        <v>162</v>
      </c>
      <c r="K14" s="47">
        <v>2044893.0</v>
      </c>
      <c r="L14" s="36" t="str">
        <f>IFERROR(__xludf.DUMMYFUNCTION("""COMPUTED_VALUE"""),"DT1")</f>
        <v>DT1</v>
      </c>
      <c r="M14" s="34"/>
      <c r="N14" s="53" t="s">
        <v>163</v>
      </c>
      <c r="O14" s="38">
        <v>4.67429</v>
      </c>
      <c r="P14" s="39">
        <v>234.0</v>
      </c>
      <c r="Q14" s="40">
        <v>0.0015740740733842056</v>
      </c>
      <c r="R14" s="41">
        <v>4.0</v>
      </c>
      <c r="S14" s="42">
        <v>9.666666666666668</v>
      </c>
      <c r="T14" s="42">
        <v>8.416666666666666</v>
      </c>
      <c r="U14" s="34" t="s">
        <v>164</v>
      </c>
      <c r="V14" s="34">
        <v>2044893.0</v>
      </c>
      <c r="W14" s="13"/>
    </row>
    <row r="15" ht="18.75" customHeight="1">
      <c r="A15" s="13"/>
      <c r="B15" s="44">
        <v>3396305.0</v>
      </c>
      <c r="C15" s="47">
        <f>IFERROR(__xludf.DUMMYFUNCTION("""COMPUTED_VALUE"""),3396305.0)</f>
        <v>3396305</v>
      </c>
      <c r="D15" s="31" t="s">
        <v>10</v>
      </c>
      <c r="E15" s="31" t="s">
        <v>35</v>
      </c>
      <c r="F15" s="32"/>
      <c r="G15" s="57" t="s">
        <v>165</v>
      </c>
      <c r="H15" s="51" t="s">
        <v>166</v>
      </c>
      <c r="I15" s="13"/>
      <c r="J15" s="35" t="s">
        <v>167</v>
      </c>
      <c r="K15" s="47">
        <v>2366848.0</v>
      </c>
      <c r="L15" s="36" t="str">
        <f>IFERROR(__xludf.DUMMYFUNCTION("""COMPUTED_VALUE"""),"DT2")</f>
        <v>DT2</v>
      </c>
      <c r="M15" s="34"/>
      <c r="N15" s="53" t="s">
        <v>168</v>
      </c>
      <c r="O15" s="38">
        <v>4.72202</v>
      </c>
      <c r="P15" s="39">
        <v>225.0</v>
      </c>
      <c r="Q15" s="40">
        <v>0.0011342592600461405</v>
      </c>
      <c r="R15" s="41">
        <v>3.5</v>
      </c>
      <c r="S15" s="42">
        <v>9.666666666666668</v>
      </c>
      <c r="T15" s="42">
        <v>8.416666666666666</v>
      </c>
      <c r="U15" s="34" t="s">
        <v>169</v>
      </c>
      <c r="V15" s="34">
        <v>2366848.0</v>
      </c>
      <c r="W15" s="13"/>
    </row>
    <row r="16" ht="18.75" customHeight="1">
      <c r="A16" s="13"/>
      <c r="B16" s="44">
        <v>3446761.0</v>
      </c>
      <c r="C16" s="47">
        <f>IFERROR(__xludf.DUMMYFUNCTION("""COMPUTED_VALUE"""),3446761.0)</f>
        <v>3446761</v>
      </c>
      <c r="D16" s="31" t="s">
        <v>14</v>
      </c>
      <c r="E16" s="31" t="s">
        <v>38</v>
      </c>
      <c r="F16" s="32"/>
      <c r="G16" s="57" t="s">
        <v>170</v>
      </c>
      <c r="H16" s="51" t="s">
        <v>171</v>
      </c>
      <c r="I16" s="13"/>
      <c r="J16" s="35" t="s">
        <v>172</v>
      </c>
      <c r="K16" s="47">
        <v>3396305.0</v>
      </c>
      <c r="L16" s="36" t="str">
        <f>IFERROR(__xludf.DUMMYFUNCTION("""COMPUTED_VALUE"""),"DT3")</f>
        <v>DT3</v>
      </c>
      <c r="M16" s="34"/>
      <c r="N16" s="53" t="s">
        <v>165</v>
      </c>
      <c r="O16" s="38">
        <v>4.66036</v>
      </c>
      <c r="P16" s="39">
        <v>234.0</v>
      </c>
      <c r="Q16" s="40">
        <v>0.0010570987651590258</v>
      </c>
      <c r="R16" s="41">
        <v>3.8</v>
      </c>
      <c r="S16" s="42">
        <v>9.666666666666668</v>
      </c>
      <c r="T16" s="42">
        <v>9.083333333333334</v>
      </c>
      <c r="U16" s="34" t="s">
        <v>85</v>
      </c>
      <c r="V16" s="34">
        <v>3396305.0</v>
      </c>
      <c r="W16" s="13"/>
    </row>
    <row r="17" ht="18.75" customHeight="1">
      <c r="A17" s="13"/>
      <c r="B17" s="44">
        <v>2044893.0</v>
      </c>
      <c r="C17" s="47">
        <f>IFERROR(__xludf.DUMMYFUNCTION("""COMPUTED_VALUE"""),2044893.0)</f>
        <v>2044893</v>
      </c>
      <c r="D17" s="31" t="s">
        <v>10</v>
      </c>
      <c r="E17" s="31" t="s">
        <v>38</v>
      </c>
      <c r="F17" s="32"/>
      <c r="G17" s="57" t="s">
        <v>163</v>
      </c>
      <c r="H17" s="51" t="s">
        <v>173</v>
      </c>
      <c r="I17" s="13"/>
      <c r="J17" s="35" t="s">
        <v>174</v>
      </c>
      <c r="K17" s="44">
        <v>846261.0</v>
      </c>
      <c r="L17" s="36" t="str">
        <f>IFERROR(__xludf.DUMMYFUNCTION("""COMPUTED_VALUE"""),"FM1")</f>
        <v>FM1</v>
      </c>
      <c r="M17" s="34"/>
      <c r="N17" s="53" t="s">
        <v>175</v>
      </c>
      <c r="O17" s="38">
        <v>4.40919</v>
      </c>
      <c r="P17" s="39">
        <v>168.0</v>
      </c>
      <c r="Q17" s="40">
        <v>0.0017129629632108845</v>
      </c>
      <c r="R17" s="41">
        <v>4.0</v>
      </c>
      <c r="S17" s="42">
        <v>9.0</v>
      </c>
      <c r="T17" s="42">
        <v>7.5</v>
      </c>
      <c r="U17" s="34" t="s">
        <v>176</v>
      </c>
      <c r="V17" s="34">
        <v>846261.0</v>
      </c>
      <c r="W17" s="13"/>
    </row>
    <row r="18" ht="18.75" customHeight="1">
      <c r="A18" s="13"/>
      <c r="B18" s="44">
        <v>3044231.0</v>
      </c>
      <c r="C18" s="47">
        <f>IFERROR(__xludf.DUMMYFUNCTION("""COMPUTED_VALUE"""),3044231.0)</f>
        <v>3044231</v>
      </c>
      <c r="D18" s="31" t="s">
        <v>11</v>
      </c>
      <c r="E18" s="31" t="s">
        <v>17</v>
      </c>
      <c r="F18" s="32"/>
      <c r="G18" s="57" t="s">
        <v>177</v>
      </c>
      <c r="H18" s="51" t="s">
        <v>178</v>
      </c>
      <c r="I18" s="13"/>
      <c r="J18" s="35" t="s">
        <v>179</v>
      </c>
      <c r="K18" s="61">
        <v>3743202.0</v>
      </c>
      <c r="L18" s="36" t="str">
        <f>IFERROR(__xludf.DUMMYFUNCTION("""COMPUTED_VALUE"""),"FM2")</f>
        <v>FM2</v>
      </c>
      <c r="M18" s="34"/>
      <c r="N18" s="53" t="s">
        <v>180</v>
      </c>
      <c r="O18" s="38">
        <v>3.73927</v>
      </c>
      <c r="P18" s="39">
        <v>120.0</v>
      </c>
      <c r="Q18" s="40">
        <v>0.001527777778392192</v>
      </c>
      <c r="R18" s="41">
        <v>5.0</v>
      </c>
      <c r="S18" s="42">
        <v>8.0</v>
      </c>
      <c r="T18" s="42">
        <v>6.0</v>
      </c>
      <c r="U18" s="34" t="s">
        <v>181</v>
      </c>
      <c r="V18" s="34">
        <v>3743202.0</v>
      </c>
      <c r="W18" s="13"/>
    </row>
    <row r="19" ht="18.75" customHeight="1">
      <c r="A19" s="13"/>
      <c r="B19" s="44">
        <v>57384.0</v>
      </c>
      <c r="C19" s="47">
        <f>IFERROR(__xludf.DUMMYFUNCTION("""COMPUTED_VALUE"""),57384.0)</f>
        <v>57384</v>
      </c>
      <c r="D19" s="31" t="s">
        <v>11</v>
      </c>
      <c r="E19" s="31" t="s">
        <v>38</v>
      </c>
      <c r="F19" s="32"/>
      <c r="G19" s="62" t="s">
        <v>182</v>
      </c>
      <c r="H19" s="51" t="s">
        <v>183</v>
      </c>
      <c r="I19" s="13"/>
      <c r="J19" s="35" t="s">
        <v>184</v>
      </c>
      <c r="K19" s="47">
        <v>3446761.0</v>
      </c>
      <c r="L19" s="36" t="str">
        <f>IFERROR(__xludf.DUMMYFUNCTION("""COMPUTED_VALUE"""),"TB1")</f>
        <v>TB1</v>
      </c>
      <c r="M19" s="34"/>
      <c r="N19" s="53" t="s">
        <v>170</v>
      </c>
      <c r="O19" s="38">
        <v>5.07342</v>
      </c>
      <c r="P19" s="39">
        <v>190.0</v>
      </c>
      <c r="Q19" s="40">
        <v>0.003518518518831115</v>
      </c>
      <c r="R19" s="41">
        <v>4.0</v>
      </c>
      <c r="S19" s="42">
        <v>9.2</v>
      </c>
      <c r="T19" s="42">
        <v>8.6</v>
      </c>
      <c r="U19" s="34" t="s">
        <v>185</v>
      </c>
      <c r="V19" s="34">
        <v>3446761.0</v>
      </c>
      <c r="W19" s="13"/>
    </row>
    <row r="20" ht="18.75" customHeight="1">
      <c r="A20" s="13"/>
      <c r="B20" s="44">
        <v>2110801.0</v>
      </c>
      <c r="C20" s="47">
        <f>IFERROR(__xludf.DUMMYFUNCTION("""COMPUTED_VALUE"""),2110801.0)</f>
        <v>2110801</v>
      </c>
      <c r="D20" s="31" t="s">
        <v>9</v>
      </c>
      <c r="E20" s="31" t="s">
        <v>35</v>
      </c>
      <c r="F20" s="32"/>
      <c r="G20" s="57" t="s">
        <v>159</v>
      </c>
      <c r="H20" s="51" t="s">
        <v>186</v>
      </c>
      <c r="I20" s="13"/>
      <c r="J20" s="34"/>
      <c r="K20" s="46"/>
      <c r="L20" s="36"/>
      <c r="M20" s="34"/>
      <c r="N20" s="37"/>
      <c r="O20" s="38"/>
      <c r="P20" s="39"/>
      <c r="Q20" s="40"/>
      <c r="R20" s="41"/>
      <c r="S20" s="42"/>
      <c r="T20" s="42"/>
      <c r="U20" s="34"/>
      <c r="V20" s="34"/>
      <c r="W20" s="13"/>
    </row>
    <row r="21" ht="18.75" customHeight="1">
      <c r="A21" s="13"/>
      <c r="B21" s="44">
        <v>2366848.0</v>
      </c>
      <c r="C21" s="47">
        <f>IFERROR(__xludf.DUMMYFUNCTION("""COMPUTED_VALUE"""),2366848.0)</f>
        <v>2366848</v>
      </c>
      <c r="D21" s="31" t="s">
        <v>10</v>
      </c>
      <c r="E21" s="31" t="s">
        <v>17</v>
      </c>
      <c r="F21" s="32"/>
      <c r="G21" s="57" t="s">
        <v>168</v>
      </c>
      <c r="H21" s="51" t="s">
        <v>187</v>
      </c>
      <c r="I21" s="13"/>
      <c r="J21" s="34"/>
      <c r="K21" s="46"/>
      <c r="L21" s="36"/>
      <c r="M21" s="34"/>
      <c r="N21" s="37"/>
      <c r="O21" s="38"/>
      <c r="P21" s="39"/>
      <c r="Q21" s="40"/>
      <c r="R21" s="41"/>
      <c r="S21" s="42"/>
      <c r="T21" s="42"/>
      <c r="U21" s="34"/>
      <c r="V21" s="34"/>
      <c r="W21" s="13"/>
    </row>
    <row r="22" ht="18.75" customHeight="1">
      <c r="A22" s="13"/>
      <c r="B22" s="44">
        <v>2694599.0</v>
      </c>
      <c r="C22" s="47">
        <f>IFERROR(__xludf.DUMMYFUNCTION("""COMPUTED_VALUE"""),2694599.0)</f>
        <v>2694599</v>
      </c>
      <c r="D22" s="31" t="s">
        <v>8</v>
      </c>
      <c r="E22" s="31" t="s">
        <v>35</v>
      </c>
      <c r="F22" s="32"/>
      <c r="G22" s="57" t="s">
        <v>188</v>
      </c>
      <c r="H22" s="51" t="s">
        <v>189</v>
      </c>
      <c r="I22" s="13"/>
      <c r="J22" s="34"/>
      <c r="K22" s="46"/>
      <c r="L22" s="36"/>
      <c r="M22" s="34"/>
      <c r="N22" s="37"/>
      <c r="O22" s="38"/>
      <c r="P22" s="39"/>
      <c r="Q22" s="40"/>
      <c r="R22" s="41"/>
      <c r="S22" s="42"/>
      <c r="T22" s="42"/>
      <c r="U22" s="34"/>
      <c r="V22" s="34"/>
      <c r="W22" s="13"/>
    </row>
    <row r="23" ht="18.75" customHeight="1">
      <c r="A23" s="13"/>
      <c r="B23" s="56" t="s">
        <v>190</v>
      </c>
      <c r="C23" s="47">
        <f>IFERROR(__xludf.DUMMYFUNCTION("""COMPUTED_VALUE"""),134141.0)</f>
        <v>134141</v>
      </c>
      <c r="D23" s="31" t="s">
        <v>8</v>
      </c>
      <c r="E23" s="31" t="s">
        <v>17</v>
      </c>
      <c r="F23" s="32"/>
      <c r="G23" s="57" t="s">
        <v>151</v>
      </c>
      <c r="H23" s="51" t="s">
        <v>191</v>
      </c>
      <c r="I23" s="13"/>
      <c r="J23" s="34"/>
      <c r="K23" s="46"/>
      <c r="L23" s="36"/>
      <c r="M23" s="34"/>
      <c r="N23" s="37"/>
      <c r="O23" s="38"/>
      <c r="P23" s="39"/>
      <c r="Q23" s="40"/>
      <c r="R23" s="41"/>
      <c r="S23" s="42"/>
      <c r="T23" s="42"/>
      <c r="U23" s="34"/>
      <c r="V23" s="34"/>
      <c r="W23" s="13"/>
    </row>
    <row r="24" ht="18.75" customHeight="1">
      <c r="A24" s="13"/>
      <c r="B24" s="56" t="s">
        <v>192</v>
      </c>
      <c r="C24" s="47">
        <f>IFERROR(__xludf.DUMMYFUNCTION("""COMPUTED_VALUE"""),250577.0)</f>
        <v>250577</v>
      </c>
      <c r="D24" s="31" t="s">
        <v>9</v>
      </c>
      <c r="E24" s="31" t="s">
        <v>35</v>
      </c>
      <c r="F24" s="32"/>
      <c r="G24" s="57" t="s">
        <v>193</v>
      </c>
      <c r="H24" s="51" t="s">
        <v>194</v>
      </c>
      <c r="I24" s="13"/>
      <c r="J24" s="34"/>
      <c r="K24" s="46"/>
      <c r="L24" s="36"/>
      <c r="M24" s="34"/>
      <c r="N24" s="37"/>
      <c r="O24" s="38"/>
      <c r="P24" s="39"/>
      <c r="Q24" s="40"/>
      <c r="R24" s="41"/>
      <c r="S24" s="42"/>
      <c r="T24" s="42"/>
      <c r="U24" s="34"/>
      <c r="V24" s="34"/>
      <c r="W24" s="13"/>
    </row>
    <row r="25" ht="18.75" customHeight="1">
      <c r="A25" s="13"/>
      <c r="B25" s="44">
        <v>2161153.0</v>
      </c>
      <c r="C25" s="47">
        <f>IFERROR(__xludf.DUMMYFUNCTION("""COMPUTED_VALUE"""),2161153.0)</f>
        <v>2161153</v>
      </c>
      <c r="D25" s="31" t="s">
        <v>10</v>
      </c>
      <c r="E25" s="31" t="s">
        <v>17</v>
      </c>
      <c r="F25" s="32"/>
      <c r="G25" s="57" t="s">
        <v>195</v>
      </c>
      <c r="H25" s="51" t="s">
        <v>196</v>
      </c>
      <c r="I25" s="13"/>
      <c r="J25" s="34"/>
      <c r="K25" s="46"/>
      <c r="L25" s="36"/>
      <c r="M25" s="34"/>
      <c r="N25" s="37"/>
      <c r="O25" s="38"/>
      <c r="P25" s="39"/>
      <c r="Q25" s="40"/>
      <c r="R25" s="41"/>
      <c r="S25" s="42"/>
      <c r="T25" s="42"/>
      <c r="U25" s="34"/>
      <c r="V25" s="34"/>
      <c r="W25" s="13"/>
    </row>
    <row r="26" ht="18.75" customHeight="1">
      <c r="A26" s="13"/>
      <c r="B26" s="44">
        <v>2795818.0</v>
      </c>
      <c r="C26" s="47">
        <f>IFERROR(__xludf.DUMMYFUNCTION("""COMPUTED_VALUE"""),2795818.0)</f>
        <v>2795818</v>
      </c>
      <c r="D26" s="31" t="s">
        <v>7</v>
      </c>
      <c r="E26" s="31" t="s">
        <v>26</v>
      </c>
      <c r="F26" s="32"/>
      <c r="G26" s="57" t="s">
        <v>197</v>
      </c>
      <c r="H26" s="51" t="s">
        <v>141</v>
      </c>
      <c r="I26" s="13"/>
      <c r="J26" s="34"/>
      <c r="K26" s="46"/>
      <c r="L26" s="36"/>
      <c r="M26" s="34"/>
      <c r="N26" s="37"/>
      <c r="O26" s="38"/>
      <c r="P26" s="39"/>
      <c r="Q26" s="40"/>
      <c r="R26" s="41"/>
      <c r="S26" s="42"/>
      <c r="T26" s="42"/>
      <c r="U26" s="34"/>
      <c r="V26" s="34"/>
      <c r="W26" s="13"/>
    </row>
    <row r="27" ht="18.75" customHeight="1">
      <c r="A27" s="13"/>
      <c r="B27" s="44">
        <v>3941210.0</v>
      </c>
      <c r="C27" s="47">
        <f>IFERROR(__xludf.DUMMYFUNCTION("""COMPUTED_VALUE"""),3941210.0)</f>
        <v>3941210</v>
      </c>
      <c r="D27" s="31" t="s">
        <v>7</v>
      </c>
      <c r="E27" s="31" t="s">
        <v>26</v>
      </c>
      <c r="F27" s="32"/>
      <c r="G27" s="57" t="s">
        <v>198</v>
      </c>
      <c r="H27" s="51" t="s">
        <v>199</v>
      </c>
      <c r="I27" s="13"/>
      <c r="J27" s="34"/>
      <c r="K27" s="46"/>
      <c r="L27" s="36"/>
      <c r="M27" s="34"/>
      <c r="N27" s="37"/>
      <c r="O27" s="38"/>
      <c r="P27" s="39"/>
      <c r="Q27" s="40"/>
      <c r="R27" s="41"/>
      <c r="S27" s="42"/>
      <c r="T27" s="42"/>
      <c r="U27" s="34"/>
      <c r="V27" s="34"/>
      <c r="W27" s="13"/>
    </row>
    <row r="28" ht="18.75" customHeight="1">
      <c r="A28" s="13"/>
      <c r="B28" s="63">
        <v>3742030.0</v>
      </c>
      <c r="C28" s="47">
        <f>IFERROR(__xludf.DUMMYFUNCTION("""COMPUTED_VALUE"""),3742030.0)</f>
        <v>3742030</v>
      </c>
      <c r="D28" s="31" t="s">
        <v>11</v>
      </c>
      <c r="E28" s="32"/>
      <c r="F28" s="32"/>
      <c r="G28" s="57" t="s">
        <v>200</v>
      </c>
      <c r="H28" s="33"/>
      <c r="I28" s="13"/>
      <c r="J28" s="34"/>
      <c r="K28" s="46"/>
      <c r="L28" s="36"/>
      <c r="M28" s="34"/>
      <c r="N28" s="37"/>
      <c r="O28" s="38"/>
      <c r="P28" s="39"/>
      <c r="Q28" s="40"/>
      <c r="R28" s="41"/>
      <c r="S28" s="42"/>
      <c r="T28" s="42"/>
      <c r="U28" s="34"/>
      <c r="V28" s="34"/>
      <c r="W28" s="13"/>
    </row>
    <row r="29" ht="18.75" customHeight="1">
      <c r="A29" s="13"/>
      <c r="B29" s="44">
        <v>846261.0</v>
      </c>
      <c r="C29" s="47">
        <f>IFERROR(__xludf.DUMMYFUNCTION("""COMPUTED_VALUE"""),846261.0)</f>
        <v>846261</v>
      </c>
      <c r="D29" s="31" t="s">
        <v>11</v>
      </c>
      <c r="E29" s="31" t="s">
        <v>17</v>
      </c>
      <c r="F29" s="32"/>
      <c r="G29" s="57" t="s">
        <v>175</v>
      </c>
      <c r="H29" s="33"/>
      <c r="I29" s="13"/>
      <c r="J29" s="34"/>
      <c r="K29" s="46"/>
      <c r="L29" s="36"/>
      <c r="M29" s="34"/>
      <c r="N29" s="37"/>
      <c r="O29" s="38"/>
      <c r="P29" s="39"/>
      <c r="Q29" s="40"/>
      <c r="R29" s="41"/>
      <c r="S29" s="42"/>
      <c r="T29" s="42"/>
      <c r="U29" s="34"/>
      <c r="V29" s="34"/>
      <c r="W29" s="13"/>
    </row>
    <row r="30" ht="18.75" customHeight="1">
      <c r="A30" s="13"/>
      <c r="B30" s="44">
        <v>2659337.0</v>
      </c>
      <c r="C30" s="47">
        <f>IFERROR(__xludf.DUMMYFUNCTION("""COMPUTED_VALUE"""),2659337.0)</f>
        <v>2659337</v>
      </c>
      <c r="D30" s="31" t="s">
        <v>9</v>
      </c>
      <c r="E30" s="31" t="s">
        <v>35</v>
      </c>
      <c r="F30" s="32"/>
      <c r="G30" s="57" t="s">
        <v>155</v>
      </c>
      <c r="H30" s="33"/>
      <c r="I30" s="13"/>
      <c r="J30" s="34"/>
      <c r="K30" s="46"/>
      <c r="L30" s="36"/>
      <c r="M30" s="34"/>
      <c r="N30" s="37"/>
      <c r="O30" s="38"/>
      <c r="P30" s="39"/>
      <c r="Q30" s="40"/>
      <c r="R30" s="41"/>
      <c r="S30" s="42"/>
      <c r="T30" s="42"/>
      <c r="U30" s="34"/>
      <c r="V30" s="34"/>
      <c r="W30" s="13"/>
    </row>
    <row r="31" ht="18.75" customHeight="1">
      <c r="A31" s="13"/>
      <c r="B31" s="44">
        <v>2277989.0</v>
      </c>
      <c r="C31" s="47">
        <f>IFERROR(__xludf.DUMMYFUNCTION("""COMPUTED_VALUE"""),2277989.0)</f>
        <v>2277989</v>
      </c>
      <c r="D31" s="31" t="s">
        <v>7</v>
      </c>
      <c r="E31" s="31" t="s">
        <v>17</v>
      </c>
      <c r="F31" s="32"/>
      <c r="G31" s="57" t="s">
        <v>201</v>
      </c>
      <c r="H31" s="33"/>
      <c r="I31" s="13"/>
      <c r="J31" s="34"/>
      <c r="K31" s="46"/>
      <c r="L31" s="36"/>
      <c r="M31" s="34"/>
      <c r="N31" s="37"/>
      <c r="O31" s="38"/>
      <c r="P31" s="39"/>
      <c r="Q31" s="40"/>
      <c r="R31" s="41"/>
      <c r="S31" s="42"/>
      <c r="T31" s="42"/>
      <c r="U31" s="34"/>
      <c r="V31" s="34"/>
      <c r="W31" s="13"/>
    </row>
    <row r="32" ht="18.75" customHeight="1">
      <c r="A32" s="13"/>
      <c r="B32" s="56" t="s">
        <v>202</v>
      </c>
      <c r="C32" s="47">
        <f>IFERROR(__xludf.DUMMYFUNCTION("""COMPUTED_VALUE"""),3743202.0)</f>
        <v>3743202</v>
      </c>
      <c r="D32" s="31" t="s">
        <v>11</v>
      </c>
      <c r="E32" s="32"/>
      <c r="F32" s="32"/>
      <c r="G32" s="57" t="s">
        <v>180</v>
      </c>
      <c r="H32" s="33"/>
      <c r="I32" s="13"/>
      <c r="J32" s="34"/>
      <c r="K32" s="46"/>
      <c r="L32" s="36"/>
      <c r="M32" s="34"/>
      <c r="N32" s="37"/>
      <c r="O32" s="38"/>
      <c r="P32" s="39"/>
      <c r="Q32" s="40"/>
      <c r="R32" s="41"/>
      <c r="S32" s="42"/>
      <c r="T32" s="42"/>
      <c r="U32" s="34"/>
      <c r="V32" s="34"/>
      <c r="W32" s="13"/>
    </row>
    <row r="33" ht="18.75" customHeight="1">
      <c r="A33" s="13"/>
      <c r="B33" s="48"/>
      <c r="C33" s="47"/>
      <c r="D33" s="32"/>
      <c r="E33" s="32"/>
      <c r="F33" s="32"/>
      <c r="G33" s="33"/>
      <c r="H33" s="33"/>
      <c r="I33" s="13"/>
      <c r="J33" s="34"/>
      <c r="K33" s="46"/>
      <c r="L33" s="36"/>
      <c r="M33" s="34"/>
      <c r="N33" s="37"/>
      <c r="O33" s="38"/>
      <c r="P33" s="39"/>
      <c r="Q33" s="40"/>
      <c r="R33" s="41"/>
      <c r="S33" s="42"/>
      <c r="T33" s="42"/>
      <c r="U33" s="34"/>
      <c r="V33" s="34"/>
      <c r="W33" s="13"/>
    </row>
    <row r="34" ht="18.75" customHeight="1">
      <c r="A34" s="13"/>
      <c r="B34" s="48"/>
      <c r="C34" s="47"/>
      <c r="D34" s="32"/>
      <c r="E34" s="32"/>
      <c r="F34" s="32"/>
      <c r="G34" s="33"/>
      <c r="H34" s="33"/>
      <c r="I34" s="13"/>
      <c r="J34" s="34"/>
      <c r="K34" s="46"/>
      <c r="L34" s="36"/>
      <c r="M34" s="34"/>
      <c r="N34" s="37"/>
      <c r="O34" s="38"/>
      <c r="P34" s="39"/>
      <c r="Q34" s="40"/>
      <c r="R34" s="41"/>
      <c r="S34" s="42"/>
      <c r="T34" s="42"/>
      <c r="U34" s="34"/>
      <c r="V34" s="34"/>
      <c r="W34" s="13"/>
    </row>
    <row r="35" ht="18.75" customHeight="1">
      <c r="A35" s="13"/>
      <c r="B35" s="48"/>
      <c r="C35" s="47"/>
      <c r="D35" s="32"/>
      <c r="E35" s="32"/>
      <c r="F35" s="32"/>
      <c r="G35" s="33"/>
      <c r="H35" s="33"/>
      <c r="I35" s="13"/>
      <c r="J35" s="34"/>
      <c r="K35" s="46"/>
      <c r="L35" s="36"/>
      <c r="M35" s="34"/>
      <c r="N35" s="37"/>
      <c r="O35" s="38"/>
      <c r="P35" s="39"/>
      <c r="Q35" s="40"/>
      <c r="R35" s="41"/>
      <c r="S35" s="42"/>
      <c r="T35" s="42"/>
      <c r="U35" s="34"/>
      <c r="V35" s="34"/>
      <c r="W35" s="13"/>
    </row>
    <row r="36" ht="18.75" customHeight="1">
      <c r="A36" s="13"/>
      <c r="B36" s="48"/>
      <c r="C36" s="47"/>
      <c r="D36" s="32"/>
      <c r="E36" s="32"/>
      <c r="F36" s="32"/>
      <c r="G36" s="33"/>
      <c r="H36" s="33"/>
      <c r="I36" s="13"/>
      <c r="J36" s="34"/>
      <c r="K36" s="46"/>
      <c r="L36" s="36"/>
      <c r="M36" s="34"/>
      <c r="N36" s="37"/>
      <c r="O36" s="38"/>
      <c r="P36" s="39"/>
      <c r="Q36" s="40"/>
      <c r="R36" s="41"/>
      <c r="S36" s="42"/>
      <c r="T36" s="42"/>
      <c r="U36" s="34"/>
      <c r="V36" s="34"/>
      <c r="W36" s="13"/>
    </row>
    <row r="37" ht="18.75" customHeight="1">
      <c r="A37" s="13"/>
      <c r="B37" s="48"/>
      <c r="C37" s="47"/>
      <c r="D37" s="32"/>
      <c r="E37" s="32"/>
      <c r="F37" s="32"/>
      <c r="G37" s="33"/>
      <c r="H37" s="33"/>
      <c r="I37" s="13"/>
      <c r="J37" s="34"/>
      <c r="K37" s="46"/>
      <c r="L37" s="36"/>
      <c r="M37" s="34"/>
      <c r="N37" s="37"/>
      <c r="O37" s="38"/>
      <c r="P37" s="39"/>
      <c r="Q37" s="40"/>
      <c r="R37" s="41"/>
      <c r="S37" s="42"/>
      <c r="T37" s="42"/>
      <c r="U37" s="34"/>
      <c r="V37" s="34"/>
      <c r="W37" s="13"/>
    </row>
    <row r="38" ht="18.75" customHeight="1">
      <c r="A38" s="13"/>
      <c r="B38" s="48"/>
      <c r="C38" s="47"/>
      <c r="D38" s="32"/>
      <c r="E38" s="32"/>
      <c r="F38" s="32"/>
      <c r="G38" s="33"/>
      <c r="H38" s="33"/>
      <c r="I38" s="13"/>
      <c r="J38" s="34"/>
      <c r="K38" s="46"/>
      <c r="L38" s="36"/>
      <c r="M38" s="34"/>
      <c r="N38" s="37"/>
      <c r="O38" s="38"/>
      <c r="P38" s="39"/>
      <c r="Q38" s="40"/>
      <c r="R38" s="41"/>
      <c r="S38" s="42"/>
      <c r="T38" s="42"/>
      <c r="U38" s="34"/>
      <c r="V38" s="34"/>
      <c r="W38" s="13"/>
    </row>
    <row r="39" ht="18.75" customHeight="1">
      <c r="A39" s="13"/>
      <c r="B39" s="48"/>
      <c r="C39" s="47"/>
      <c r="D39" s="32"/>
      <c r="E39" s="32"/>
      <c r="F39" s="32"/>
      <c r="G39" s="33"/>
      <c r="H39" s="33"/>
      <c r="I39" s="13"/>
      <c r="J39" s="34"/>
      <c r="K39" s="46"/>
      <c r="L39" s="36"/>
      <c r="M39" s="34"/>
      <c r="N39" s="37"/>
      <c r="O39" s="38"/>
      <c r="P39" s="39"/>
      <c r="Q39" s="40"/>
      <c r="R39" s="41"/>
      <c r="S39" s="42"/>
      <c r="T39" s="42"/>
      <c r="U39" s="34"/>
      <c r="V39" s="34"/>
      <c r="W39" s="13"/>
    </row>
    <row r="40" ht="18.75" customHeight="1">
      <c r="A40" s="13"/>
      <c r="B40" s="48"/>
      <c r="C40" s="47"/>
      <c r="D40" s="32"/>
      <c r="E40" s="32"/>
      <c r="F40" s="32"/>
      <c r="G40" s="33"/>
      <c r="H40" s="33"/>
      <c r="I40" s="13"/>
      <c r="J40" s="34"/>
      <c r="K40" s="46"/>
      <c r="L40" s="36"/>
      <c r="M40" s="34"/>
      <c r="N40" s="37"/>
      <c r="O40" s="38"/>
      <c r="P40" s="39"/>
      <c r="Q40" s="40"/>
      <c r="R40" s="41"/>
      <c r="S40" s="42"/>
      <c r="T40" s="42"/>
      <c r="U40" s="34"/>
      <c r="V40" s="34"/>
      <c r="W40" s="13"/>
    </row>
    <row r="41" ht="18.75" customHeight="1">
      <c r="A41" s="13"/>
      <c r="B41" s="48"/>
      <c r="C41" s="47"/>
      <c r="D41" s="32"/>
      <c r="E41" s="32"/>
      <c r="F41" s="32"/>
      <c r="G41" s="33"/>
      <c r="H41" s="33"/>
      <c r="I41" s="13"/>
      <c r="J41" s="34"/>
      <c r="K41" s="46"/>
      <c r="L41" s="36"/>
      <c r="M41" s="34"/>
      <c r="N41" s="37"/>
      <c r="O41" s="38"/>
      <c r="P41" s="39"/>
      <c r="Q41" s="40"/>
      <c r="R41" s="41"/>
      <c r="S41" s="42"/>
      <c r="T41" s="42"/>
      <c r="U41" s="34"/>
      <c r="V41" s="34"/>
      <c r="W41" s="13"/>
    </row>
    <row r="42" ht="18.75" customHeight="1">
      <c r="A42" s="13"/>
      <c r="B42" s="48"/>
      <c r="C42" s="47"/>
      <c r="D42" s="32"/>
      <c r="E42" s="32"/>
      <c r="F42" s="32"/>
      <c r="G42" s="33"/>
      <c r="H42" s="33"/>
      <c r="I42" s="13"/>
      <c r="J42" s="34"/>
      <c r="K42" s="46"/>
      <c r="L42" s="36"/>
      <c r="M42" s="34"/>
      <c r="N42" s="37"/>
      <c r="O42" s="38"/>
      <c r="P42" s="39"/>
      <c r="Q42" s="40"/>
      <c r="R42" s="41"/>
      <c r="S42" s="42"/>
      <c r="T42" s="42"/>
      <c r="U42" s="34"/>
      <c r="V42" s="34"/>
      <c r="W42" s="13"/>
    </row>
    <row r="43" ht="18.75" customHeight="1">
      <c r="A43" s="13"/>
      <c r="B43" s="48"/>
      <c r="C43" s="47"/>
      <c r="D43" s="32"/>
      <c r="E43" s="32"/>
      <c r="F43" s="32"/>
      <c r="G43" s="33"/>
      <c r="H43" s="33"/>
      <c r="I43" s="13"/>
      <c r="J43" s="34"/>
      <c r="K43" s="46"/>
      <c r="L43" s="36"/>
      <c r="M43" s="34"/>
      <c r="N43" s="37"/>
      <c r="O43" s="38"/>
      <c r="P43" s="39"/>
      <c r="Q43" s="40"/>
      <c r="R43" s="41"/>
      <c r="S43" s="42"/>
      <c r="T43" s="42"/>
      <c r="U43" s="34"/>
      <c r="V43" s="34"/>
      <c r="W43" s="13"/>
    </row>
    <row r="44" ht="18.75" customHeight="1">
      <c r="A44" s="13"/>
      <c r="B44" s="48"/>
      <c r="C44" s="47"/>
      <c r="D44" s="32"/>
      <c r="E44" s="32"/>
      <c r="F44" s="32"/>
      <c r="G44" s="33"/>
      <c r="H44" s="33"/>
      <c r="I44" s="13"/>
      <c r="J44" s="34"/>
      <c r="K44" s="46"/>
      <c r="L44" s="36"/>
      <c r="M44" s="34"/>
      <c r="N44" s="37"/>
      <c r="O44" s="38"/>
      <c r="P44" s="39"/>
      <c r="Q44" s="40"/>
      <c r="R44" s="41"/>
      <c r="S44" s="42"/>
      <c r="T44" s="42"/>
      <c r="U44" s="34"/>
      <c r="V44" s="34"/>
      <c r="W44" s="13"/>
    </row>
    <row r="45" ht="18.75" customHeight="1">
      <c r="A45" s="13"/>
      <c r="B45" s="48"/>
      <c r="C45" s="47"/>
      <c r="D45" s="32"/>
      <c r="E45" s="32"/>
      <c r="F45" s="32"/>
      <c r="G45" s="33"/>
      <c r="H45" s="33"/>
      <c r="I45" s="13"/>
      <c r="J45" s="34"/>
      <c r="K45" s="46"/>
      <c r="L45" s="36"/>
      <c r="M45" s="34"/>
      <c r="N45" s="37"/>
      <c r="O45" s="38"/>
      <c r="P45" s="39"/>
      <c r="Q45" s="40"/>
      <c r="R45" s="41"/>
      <c r="S45" s="42"/>
      <c r="T45" s="42"/>
      <c r="U45" s="34"/>
      <c r="V45" s="34"/>
      <c r="W45" s="13"/>
    </row>
    <row r="46" ht="18.75" customHeight="1">
      <c r="A46" s="13"/>
      <c r="B46" s="48"/>
      <c r="C46" s="47"/>
      <c r="D46" s="32"/>
      <c r="E46" s="32"/>
      <c r="F46" s="32"/>
      <c r="G46" s="33"/>
      <c r="H46" s="33"/>
      <c r="I46" s="13"/>
      <c r="J46" s="34"/>
      <c r="K46" s="46"/>
      <c r="L46" s="36"/>
      <c r="M46" s="34"/>
      <c r="N46" s="37"/>
      <c r="O46" s="38"/>
      <c r="P46" s="39"/>
      <c r="Q46" s="40"/>
      <c r="R46" s="41"/>
      <c r="S46" s="42"/>
      <c r="T46" s="42"/>
      <c r="U46" s="34"/>
      <c r="V46" s="34"/>
      <c r="W46" s="13"/>
    </row>
    <row r="47" ht="18.75" customHeight="1">
      <c r="A47" s="13"/>
      <c r="B47" s="48"/>
      <c r="C47" s="47"/>
      <c r="D47" s="32"/>
      <c r="E47" s="32"/>
      <c r="F47" s="32"/>
      <c r="G47" s="33"/>
      <c r="H47" s="33"/>
      <c r="I47" s="13"/>
      <c r="J47" s="34"/>
      <c r="K47" s="46"/>
      <c r="L47" s="36"/>
      <c r="M47" s="34"/>
      <c r="N47" s="37"/>
      <c r="O47" s="38"/>
      <c r="P47" s="39"/>
      <c r="Q47" s="40"/>
      <c r="R47" s="41"/>
      <c r="S47" s="42"/>
      <c r="T47" s="42"/>
      <c r="U47" s="34"/>
      <c r="V47" s="34"/>
      <c r="W47" s="13"/>
    </row>
    <row r="48" ht="18.75" customHeight="1">
      <c r="A48" s="13"/>
      <c r="B48" s="48"/>
      <c r="C48" s="47"/>
      <c r="D48" s="32"/>
      <c r="E48" s="32"/>
      <c r="F48" s="32"/>
      <c r="G48" s="33"/>
      <c r="H48" s="33"/>
      <c r="I48" s="13"/>
      <c r="J48" s="34"/>
      <c r="K48" s="46"/>
      <c r="L48" s="36"/>
      <c r="M48" s="34"/>
      <c r="N48" s="37"/>
      <c r="O48" s="38"/>
      <c r="P48" s="39"/>
      <c r="Q48" s="40"/>
      <c r="R48" s="41"/>
      <c r="S48" s="42"/>
      <c r="T48" s="42"/>
      <c r="U48" s="34"/>
      <c r="V48" s="34"/>
      <c r="W48" s="13"/>
    </row>
    <row r="49" ht="18.75" customHeight="1">
      <c r="A49" s="13"/>
      <c r="B49" s="48"/>
      <c r="C49" s="47"/>
      <c r="D49" s="32"/>
      <c r="E49" s="32"/>
      <c r="F49" s="32"/>
      <c r="G49" s="33"/>
      <c r="H49" s="33"/>
      <c r="I49" s="13"/>
      <c r="J49" s="34"/>
      <c r="K49" s="46"/>
      <c r="L49" s="36"/>
      <c r="M49" s="34"/>
      <c r="N49" s="37"/>
      <c r="O49" s="38"/>
      <c r="P49" s="39"/>
      <c r="Q49" s="40"/>
      <c r="R49" s="41"/>
      <c r="S49" s="42"/>
      <c r="T49" s="42"/>
      <c r="U49" s="34"/>
      <c r="V49" s="34"/>
      <c r="W49" s="13"/>
    </row>
    <row r="50" ht="18.75" customHeight="1">
      <c r="A50" s="13"/>
      <c r="B50" s="48"/>
      <c r="C50" s="47"/>
      <c r="D50" s="32"/>
      <c r="E50" s="32"/>
      <c r="F50" s="32"/>
      <c r="G50" s="33"/>
      <c r="H50" s="33"/>
      <c r="I50" s="13"/>
      <c r="J50" s="34"/>
      <c r="K50" s="46"/>
      <c r="L50" s="36"/>
      <c r="M50" s="34"/>
      <c r="N50" s="37"/>
      <c r="O50" s="38"/>
      <c r="P50" s="39"/>
      <c r="Q50" s="40"/>
      <c r="R50" s="41"/>
      <c r="S50" s="42"/>
      <c r="T50" s="42"/>
      <c r="U50" s="34"/>
      <c r="V50" s="34"/>
      <c r="W50" s="13"/>
    </row>
    <row r="51" ht="18.75" customHeight="1">
      <c r="A51" s="13"/>
      <c r="B51" s="48"/>
      <c r="C51" s="47"/>
      <c r="D51" s="32"/>
      <c r="E51" s="32"/>
      <c r="F51" s="32"/>
      <c r="G51" s="33"/>
      <c r="H51" s="33"/>
      <c r="I51" s="13"/>
      <c r="J51" s="34"/>
      <c r="K51" s="46"/>
      <c r="L51" s="36"/>
      <c r="M51" s="34"/>
      <c r="N51" s="37"/>
      <c r="O51" s="38"/>
      <c r="P51" s="39"/>
      <c r="Q51" s="40"/>
      <c r="R51" s="41"/>
      <c r="S51" s="42"/>
      <c r="T51" s="42"/>
      <c r="U51" s="34"/>
      <c r="V51" s="34"/>
      <c r="W51" s="13"/>
    </row>
    <row r="52" ht="18.75" customHeight="1">
      <c r="A52" s="13"/>
      <c r="B52" s="48"/>
      <c r="C52" s="47"/>
      <c r="D52" s="32"/>
      <c r="E52" s="32"/>
      <c r="F52" s="32"/>
      <c r="G52" s="33"/>
      <c r="H52" s="33"/>
      <c r="I52" s="13"/>
      <c r="J52" s="34"/>
      <c r="K52" s="46"/>
      <c r="L52" s="36"/>
      <c r="M52" s="34"/>
      <c r="N52" s="37"/>
      <c r="O52" s="38"/>
      <c r="P52" s="39"/>
      <c r="Q52" s="40"/>
      <c r="R52" s="41"/>
      <c r="S52" s="42"/>
      <c r="T52" s="42"/>
      <c r="U52" s="34"/>
      <c r="V52" s="34"/>
      <c r="W52" s="13"/>
    </row>
    <row r="53" ht="18.75" customHeight="1">
      <c r="A53" s="13"/>
      <c r="B53" s="48"/>
      <c r="C53" s="47"/>
      <c r="D53" s="32"/>
      <c r="E53" s="32"/>
      <c r="F53" s="32"/>
      <c r="G53" s="33"/>
      <c r="H53" s="33"/>
      <c r="I53" s="13"/>
      <c r="J53" s="34"/>
      <c r="K53" s="46"/>
      <c r="L53" s="36"/>
      <c r="M53" s="34"/>
      <c r="N53" s="37"/>
      <c r="O53" s="38"/>
      <c r="P53" s="39"/>
      <c r="Q53" s="40"/>
      <c r="R53" s="41"/>
      <c r="S53" s="42"/>
      <c r="T53" s="42"/>
      <c r="U53" s="34"/>
      <c r="V53" s="34"/>
      <c r="W53" s="13"/>
    </row>
    <row r="54" ht="18.75" customHeight="1">
      <c r="A54" s="13"/>
      <c r="B54" s="48"/>
      <c r="C54" s="47"/>
      <c r="D54" s="32"/>
      <c r="E54" s="32"/>
      <c r="F54" s="32"/>
      <c r="G54" s="33"/>
      <c r="H54" s="33"/>
      <c r="I54" s="13"/>
      <c r="J54" s="34"/>
      <c r="K54" s="46"/>
      <c r="L54" s="36"/>
      <c r="M54" s="34"/>
      <c r="N54" s="37"/>
      <c r="O54" s="38"/>
      <c r="P54" s="39"/>
      <c r="Q54" s="40"/>
      <c r="R54" s="41"/>
      <c r="S54" s="42"/>
      <c r="T54" s="42"/>
      <c r="U54" s="34"/>
      <c r="V54" s="34"/>
      <c r="W54" s="13"/>
    </row>
    <row r="55" ht="18.75" customHeight="1">
      <c r="A55" s="13"/>
      <c r="B55" s="48"/>
      <c r="C55" s="47"/>
      <c r="D55" s="32"/>
      <c r="E55" s="32"/>
      <c r="F55" s="32"/>
      <c r="G55" s="33"/>
      <c r="H55" s="33"/>
      <c r="I55" s="13"/>
      <c r="J55" s="34"/>
      <c r="K55" s="46"/>
      <c r="L55" s="36"/>
      <c r="M55" s="34"/>
      <c r="N55" s="37"/>
      <c r="O55" s="38"/>
      <c r="P55" s="39"/>
      <c r="Q55" s="40"/>
      <c r="R55" s="41"/>
      <c r="S55" s="42"/>
      <c r="T55" s="42"/>
      <c r="U55" s="34"/>
      <c r="V55" s="34"/>
      <c r="W55" s="13"/>
    </row>
    <row r="56" ht="18.75" customHeight="1">
      <c r="A56" s="13"/>
      <c r="B56" s="48"/>
      <c r="C56" s="47"/>
      <c r="D56" s="32"/>
      <c r="E56" s="32"/>
      <c r="F56" s="32"/>
      <c r="G56" s="33"/>
      <c r="H56" s="33"/>
      <c r="I56" s="13"/>
      <c r="J56" s="34"/>
      <c r="K56" s="46"/>
      <c r="L56" s="36"/>
      <c r="M56" s="34"/>
      <c r="N56" s="37"/>
      <c r="O56" s="38"/>
      <c r="P56" s="39"/>
      <c r="Q56" s="40"/>
      <c r="R56" s="41"/>
      <c r="S56" s="42"/>
      <c r="T56" s="42"/>
      <c r="U56" s="34"/>
      <c r="V56" s="34"/>
      <c r="W56" s="13"/>
    </row>
    <row r="57" ht="18.75" customHeight="1">
      <c r="A57" s="13"/>
      <c r="B57" s="48"/>
      <c r="C57" s="47"/>
      <c r="D57" s="32"/>
      <c r="E57" s="32"/>
      <c r="F57" s="32"/>
      <c r="G57" s="33"/>
      <c r="H57" s="33"/>
      <c r="I57" s="13"/>
      <c r="J57" s="34"/>
      <c r="K57" s="46"/>
      <c r="L57" s="36"/>
      <c r="M57" s="34"/>
      <c r="N57" s="37"/>
      <c r="O57" s="38"/>
      <c r="P57" s="39"/>
      <c r="Q57" s="40"/>
      <c r="R57" s="41"/>
      <c r="S57" s="42"/>
      <c r="T57" s="42"/>
      <c r="U57" s="34"/>
      <c r="V57" s="34"/>
      <c r="W57" s="13"/>
    </row>
    <row r="58" ht="18.75" customHeight="1">
      <c r="A58" s="13"/>
      <c r="B58" s="48"/>
      <c r="C58" s="47"/>
      <c r="D58" s="32"/>
      <c r="E58" s="32"/>
      <c r="F58" s="32"/>
      <c r="G58" s="33"/>
      <c r="H58" s="33"/>
      <c r="I58" s="13"/>
      <c r="J58" s="34"/>
      <c r="K58" s="46"/>
      <c r="L58" s="36"/>
      <c r="M58" s="34"/>
      <c r="N58" s="37"/>
      <c r="O58" s="38"/>
      <c r="P58" s="39"/>
      <c r="Q58" s="40"/>
      <c r="R58" s="41"/>
      <c r="S58" s="42"/>
      <c r="T58" s="42"/>
      <c r="U58" s="34"/>
      <c r="V58" s="34"/>
      <c r="W58" s="13"/>
    </row>
    <row r="59" ht="18.75" customHeight="1">
      <c r="A59" s="13"/>
      <c r="B59" s="48"/>
      <c r="C59" s="47"/>
      <c r="D59" s="32"/>
      <c r="E59" s="32"/>
      <c r="F59" s="32"/>
      <c r="G59" s="33"/>
      <c r="H59" s="33"/>
      <c r="I59" s="13"/>
      <c r="J59" s="34"/>
      <c r="K59" s="46"/>
      <c r="L59" s="36"/>
      <c r="M59" s="34"/>
      <c r="N59" s="37"/>
      <c r="O59" s="38"/>
      <c r="P59" s="39"/>
      <c r="Q59" s="40"/>
      <c r="R59" s="41"/>
      <c r="S59" s="42"/>
      <c r="T59" s="42"/>
      <c r="U59" s="34"/>
      <c r="V59" s="34"/>
      <c r="W59" s="13"/>
    </row>
    <row r="60" ht="18.75" customHeight="1">
      <c r="A60" s="13"/>
      <c r="B60" s="48"/>
      <c r="C60" s="47"/>
      <c r="D60" s="32"/>
      <c r="E60" s="32"/>
      <c r="F60" s="32"/>
      <c r="G60" s="33"/>
      <c r="H60" s="33"/>
      <c r="I60" s="13"/>
      <c r="J60" s="34"/>
      <c r="K60" s="46"/>
      <c r="L60" s="36"/>
      <c r="M60" s="34"/>
      <c r="N60" s="37"/>
      <c r="O60" s="38"/>
      <c r="P60" s="39"/>
      <c r="Q60" s="40"/>
      <c r="R60" s="41"/>
      <c r="S60" s="42"/>
      <c r="T60" s="42"/>
      <c r="U60" s="34"/>
      <c r="V60" s="34"/>
      <c r="W60" s="13"/>
    </row>
    <row r="61" ht="18.75" customHeight="1">
      <c r="A61" s="13"/>
      <c r="B61" s="48"/>
      <c r="C61" s="47"/>
      <c r="D61" s="32"/>
      <c r="E61" s="32"/>
      <c r="F61" s="32"/>
      <c r="G61" s="33"/>
      <c r="H61" s="33"/>
      <c r="I61" s="13"/>
      <c r="J61" s="34"/>
      <c r="K61" s="46"/>
      <c r="L61" s="36"/>
      <c r="M61" s="34"/>
      <c r="N61" s="37"/>
      <c r="O61" s="38"/>
      <c r="P61" s="39"/>
      <c r="Q61" s="40"/>
      <c r="R61" s="41"/>
      <c r="S61" s="42"/>
      <c r="T61" s="42"/>
      <c r="U61" s="34"/>
      <c r="V61" s="34"/>
      <c r="W61" s="13"/>
    </row>
    <row r="62" ht="18.75" customHeight="1">
      <c r="A62" s="13"/>
      <c r="B62" s="48"/>
      <c r="C62" s="47"/>
      <c r="D62" s="32"/>
      <c r="E62" s="32"/>
      <c r="F62" s="32"/>
      <c r="G62" s="33"/>
      <c r="H62" s="33"/>
      <c r="I62" s="13"/>
      <c r="J62" s="34"/>
      <c r="K62" s="46"/>
      <c r="L62" s="36"/>
      <c r="M62" s="34"/>
      <c r="N62" s="37"/>
      <c r="O62" s="38"/>
      <c r="P62" s="39"/>
      <c r="Q62" s="40"/>
      <c r="R62" s="41"/>
      <c r="S62" s="42"/>
      <c r="T62" s="42"/>
      <c r="U62" s="34"/>
      <c r="V62" s="34"/>
      <c r="W62" s="13"/>
    </row>
    <row r="63" ht="18.75" customHeight="1">
      <c r="A63" s="13"/>
      <c r="B63" s="48"/>
      <c r="C63" s="47"/>
      <c r="D63" s="32"/>
      <c r="E63" s="32"/>
      <c r="F63" s="32"/>
      <c r="G63" s="33"/>
      <c r="H63" s="33"/>
      <c r="I63" s="13"/>
      <c r="J63" s="34"/>
      <c r="K63" s="46"/>
      <c r="L63" s="36"/>
      <c r="M63" s="34"/>
      <c r="N63" s="37"/>
      <c r="O63" s="38"/>
      <c r="P63" s="39"/>
      <c r="Q63" s="40"/>
      <c r="R63" s="41"/>
      <c r="S63" s="42"/>
      <c r="T63" s="42"/>
      <c r="U63" s="34"/>
      <c r="V63" s="34"/>
      <c r="W63" s="13"/>
    </row>
    <row r="64" ht="18.75" customHeight="1">
      <c r="A64" s="13"/>
      <c r="B64" s="48"/>
      <c r="C64" s="47"/>
      <c r="D64" s="32"/>
      <c r="E64" s="32"/>
      <c r="F64" s="32"/>
      <c r="G64" s="33"/>
      <c r="H64" s="33"/>
      <c r="I64" s="13"/>
      <c r="J64" s="34"/>
      <c r="K64" s="46"/>
      <c r="L64" s="36"/>
      <c r="M64" s="34"/>
      <c r="N64" s="37"/>
      <c r="O64" s="38"/>
      <c r="P64" s="39"/>
      <c r="Q64" s="40"/>
      <c r="R64" s="41"/>
      <c r="S64" s="42"/>
      <c r="T64" s="42"/>
      <c r="U64" s="34"/>
      <c r="V64" s="34"/>
      <c r="W64" s="13"/>
    </row>
    <row r="65" ht="18.75" customHeight="1">
      <c r="A65" s="13"/>
      <c r="B65" s="48"/>
      <c r="C65" s="47"/>
      <c r="D65" s="32"/>
      <c r="E65" s="32"/>
      <c r="F65" s="32"/>
      <c r="G65" s="33"/>
      <c r="H65" s="33"/>
      <c r="I65" s="13"/>
      <c r="J65" s="34"/>
      <c r="K65" s="46"/>
      <c r="L65" s="36"/>
      <c r="M65" s="34"/>
      <c r="N65" s="37"/>
      <c r="O65" s="38"/>
      <c r="P65" s="39"/>
      <c r="Q65" s="40"/>
      <c r="R65" s="41"/>
      <c r="S65" s="42"/>
      <c r="T65" s="42"/>
      <c r="U65" s="34"/>
      <c r="V65" s="34"/>
      <c r="W65" s="13"/>
    </row>
    <row r="66" ht="18.75" customHeight="1">
      <c r="A66" s="13"/>
      <c r="B66" s="48"/>
      <c r="C66" s="47"/>
      <c r="D66" s="32"/>
      <c r="E66" s="32"/>
      <c r="F66" s="32"/>
      <c r="G66" s="33"/>
      <c r="H66" s="33"/>
      <c r="I66" s="13"/>
      <c r="J66" s="34"/>
      <c r="K66" s="46"/>
      <c r="L66" s="36"/>
      <c r="M66" s="34"/>
      <c r="N66" s="37"/>
      <c r="O66" s="38"/>
      <c r="P66" s="39"/>
      <c r="Q66" s="40"/>
      <c r="R66" s="41"/>
      <c r="S66" s="42"/>
      <c r="T66" s="42"/>
      <c r="U66" s="34"/>
      <c r="V66" s="34"/>
      <c r="W66" s="13"/>
    </row>
    <row r="67" ht="18.75" customHeight="1">
      <c r="A67" s="13"/>
      <c r="B67" s="48"/>
      <c r="C67" s="47"/>
      <c r="D67" s="32"/>
      <c r="E67" s="32"/>
      <c r="F67" s="32"/>
      <c r="G67" s="33"/>
      <c r="H67" s="33"/>
      <c r="I67" s="13"/>
      <c r="J67" s="34"/>
      <c r="K67" s="46"/>
      <c r="L67" s="36"/>
      <c r="M67" s="34"/>
      <c r="N67" s="37"/>
      <c r="O67" s="38"/>
      <c r="P67" s="39"/>
      <c r="Q67" s="40"/>
      <c r="R67" s="41"/>
      <c r="S67" s="42"/>
      <c r="T67" s="42"/>
      <c r="U67" s="34"/>
      <c r="V67" s="34"/>
      <c r="W67" s="13"/>
    </row>
    <row r="68" ht="18.75" customHeight="1">
      <c r="A68" s="13"/>
      <c r="B68" s="48"/>
      <c r="C68" s="47"/>
      <c r="D68" s="32"/>
      <c r="E68" s="32"/>
      <c r="F68" s="32"/>
      <c r="G68" s="33"/>
      <c r="H68" s="33"/>
      <c r="I68" s="13"/>
      <c r="J68" s="34"/>
      <c r="K68" s="46"/>
      <c r="L68" s="36"/>
      <c r="M68" s="34"/>
      <c r="N68" s="37"/>
      <c r="O68" s="38"/>
      <c r="P68" s="39"/>
      <c r="Q68" s="40"/>
      <c r="R68" s="41"/>
      <c r="S68" s="42"/>
      <c r="T68" s="42"/>
      <c r="U68" s="34"/>
      <c r="V68" s="34"/>
      <c r="W68" s="13"/>
    </row>
    <row r="69" ht="18.75" customHeight="1">
      <c r="A69" s="13"/>
      <c r="B69" s="48"/>
      <c r="C69" s="47"/>
      <c r="D69" s="32"/>
      <c r="E69" s="32"/>
      <c r="F69" s="32"/>
      <c r="G69" s="33"/>
      <c r="H69" s="33"/>
      <c r="I69" s="13"/>
      <c r="J69" s="34"/>
      <c r="K69" s="46"/>
      <c r="L69" s="36"/>
      <c r="M69" s="34"/>
      <c r="N69" s="37"/>
      <c r="O69" s="38"/>
      <c r="P69" s="39"/>
      <c r="Q69" s="40"/>
      <c r="R69" s="41"/>
      <c r="S69" s="42"/>
      <c r="T69" s="42"/>
      <c r="U69" s="34"/>
      <c r="V69" s="34"/>
      <c r="W69" s="13"/>
    </row>
    <row r="70" ht="18.75" customHeight="1">
      <c r="A70" s="13"/>
      <c r="B70" s="48"/>
      <c r="C70" s="47"/>
      <c r="D70" s="32"/>
      <c r="E70" s="32"/>
      <c r="F70" s="32"/>
      <c r="G70" s="33"/>
      <c r="H70" s="33"/>
      <c r="I70" s="13"/>
      <c r="J70" s="34"/>
      <c r="K70" s="46"/>
      <c r="L70" s="36"/>
      <c r="M70" s="34"/>
      <c r="N70" s="37"/>
      <c r="O70" s="38"/>
      <c r="P70" s="39"/>
      <c r="Q70" s="40"/>
      <c r="R70" s="41"/>
      <c r="S70" s="42"/>
      <c r="T70" s="42"/>
      <c r="U70" s="34"/>
      <c r="V70" s="34"/>
      <c r="W70" s="13"/>
    </row>
    <row r="71" ht="18.75" customHeight="1">
      <c r="A71" s="13"/>
      <c r="B71" s="48"/>
      <c r="C71" s="47"/>
      <c r="D71" s="32"/>
      <c r="E71" s="32"/>
      <c r="F71" s="32"/>
      <c r="G71" s="33"/>
      <c r="H71" s="33"/>
      <c r="I71" s="13"/>
      <c r="J71" s="34"/>
      <c r="K71" s="46"/>
      <c r="L71" s="36"/>
      <c r="M71" s="34"/>
      <c r="N71" s="37"/>
      <c r="O71" s="38"/>
      <c r="P71" s="39"/>
      <c r="Q71" s="40"/>
      <c r="R71" s="41"/>
      <c r="S71" s="42"/>
      <c r="T71" s="42"/>
      <c r="U71" s="34"/>
      <c r="V71" s="34"/>
      <c r="W71" s="13"/>
    </row>
    <row r="72" ht="18.75" customHeight="1">
      <c r="A72" s="13"/>
      <c r="B72" s="48"/>
      <c r="C72" s="47"/>
      <c r="D72" s="32"/>
      <c r="E72" s="32"/>
      <c r="F72" s="32"/>
      <c r="G72" s="33"/>
      <c r="H72" s="33"/>
      <c r="I72" s="13"/>
      <c r="J72" s="34"/>
      <c r="K72" s="46"/>
      <c r="L72" s="36"/>
      <c r="M72" s="34"/>
      <c r="N72" s="37"/>
      <c r="O72" s="38"/>
      <c r="P72" s="39"/>
      <c r="Q72" s="40"/>
      <c r="R72" s="41"/>
      <c r="S72" s="42"/>
      <c r="T72" s="42"/>
      <c r="U72" s="34"/>
      <c r="V72" s="34"/>
      <c r="W72" s="13"/>
    </row>
    <row r="73" ht="18.75" customHeight="1">
      <c r="A73" s="13"/>
      <c r="B73" s="48"/>
      <c r="C73" s="47"/>
      <c r="D73" s="32"/>
      <c r="E73" s="32"/>
      <c r="F73" s="32"/>
      <c r="G73" s="33"/>
      <c r="H73" s="33"/>
      <c r="I73" s="13"/>
      <c r="J73" s="34"/>
      <c r="K73" s="46"/>
      <c r="L73" s="36"/>
      <c r="M73" s="34"/>
      <c r="N73" s="37"/>
      <c r="O73" s="38"/>
      <c r="P73" s="39"/>
      <c r="Q73" s="40"/>
      <c r="R73" s="41"/>
      <c r="S73" s="42"/>
      <c r="T73" s="42"/>
      <c r="U73" s="34"/>
      <c r="V73" s="34"/>
      <c r="W73" s="13"/>
    </row>
    <row r="74" ht="18.75" customHeight="1">
      <c r="A74" s="13"/>
      <c r="B74" s="48"/>
      <c r="C74" s="47"/>
      <c r="D74" s="32"/>
      <c r="E74" s="32"/>
      <c r="F74" s="32"/>
      <c r="G74" s="33"/>
      <c r="H74" s="33"/>
      <c r="I74" s="13"/>
      <c r="J74" s="34"/>
      <c r="K74" s="46"/>
      <c r="L74" s="36"/>
      <c r="M74" s="34"/>
      <c r="N74" s="37"/>
      <c r="O74" s="38"/>
      <c r="P74" s="39"/>
      <c r="Q74" s="40"/>
      <c r="R74" s="41"/>
      <c r="S74" s="42"/>
      <c r="T74" s="42"/>
      <c r="U74" s="34"/>
      <c r="V74" s="34"/>
      <c r="W74" s="13"/>
    </row>
    <row r="75" ht="18.75" customHeight="1">
      <c r="A75" s="13"/>
      <c r="B75" s="48"/>
      <c r="C75" s="47"/>
      <c r="D75" s="32"/>
      <c r="E75" s="32"/>
      <c r="F75" s="32"/>
      <c r="G75" s="33"/>
      <c r="H75" s="33"/>
      <c r="I75" s="13"/>
      <c r="J75" s="34"/>
      <c r="K75" s="46"/>
      <c r="L75" s="36"/>
      <c r="M75" s="34"/>
      <c r="N75" s="37"/>
      <c r="O75" s="38"/>
      <c r="P75" s="39"/>
      <c r="Q75" s="40"/>
      <c r="R75" s="41"/>
      <c r="S75" s="42"/>
      <c r="T75" s="42"/>
      <c r="U75" s="34"/>
      <c r="V75" s="34"/>
      <c r="W75" s="13"/>
    </row>
    <row r="76" ht="18.75" customHeight="1">
      <c r="A76" s="13"/>
      <c r="B76" s="48"/>
      <c r="C76" s="47"/>
      <c r="D76" s="32"/>
      <c r="E76" s="32"/>
      <c r="F76" s="32"/>
      <c r="G76" s="33"/>
      <c r="H76" s="33"/>
      <c r="I76" s="13"/>
      <c r="J76" s="34"/>
      <c r="K76" s="46"/>
      <c r="L76" s="36"/>
      <c r="M76" s="34"/>
      <c r="N76" s="37"/>
      <c r="O76" s="38"/>
      <c r="P76" s="39"/>
      <c r="Q76" s="40"/>
      <c r="R76" s="41"/>
      <c r="S76" s="42"/>
      <c r="T76" s="42"/>
      <c r="U76" s="34"/>
      <c r="V76" s="34"/>
      <c r="W76" s="13"/>
    </row>
    <row r="77" ht="18.75" customHeight="1">
      <c r="A77" s="13"/>
      <c r="B77" s="48"/>
      <c r="C77" s="47"/>
      <c r="D77" s="32"/>
      <c r="E77" s="32"/>
      <c r="F77" s="32"/>
      <c r="G77" s="33"/>
      <c r="H77" s="33"/>
      <c r="I77" s="13"/>
      <c r="J77" s="34"/>
      <c r="K77" s="46"/>
      <c r="L77" s="36"/>
      <c r="M77" s="34"/>
      <c r="N77" s="37"/>
      <c r="O77" s="38"/>
      <c r="P77" s="39"/>
      <c r="Q77" s="40"/>
      <c r="R77" s="41"/>
      <c r="S77" s="42"/>
      <c r="T77" s="42"/>
      <c r="U77" s="34"/>
      <c r="V77" s="34"/>
      <c r="W77" s="13"/>
    </row>
    <row r="78" ht="18.75" customHeight="1">
      <c r="A78" s="13"/>
      <c r="B78" s="48"/>
      <c r="C78" s="47"/>
      <c r="D78" s="32"/>
      <c r="E78" s="32"/>
      <c r="F78" s="32"/>
      <c r="G78" s="33"/>
      <c r="H78" s="33"/>
      <c r="I78" s="13"/>
      <c r="J78" s="34"/>
      <c r="K78" s="46"/>
      <c r="L78" s="36"/>
      <c r="M78" s="34"/>
      <c r="N78" s="37"/>
      <c r="O78" s="38"/>
      <c r="P78" s="39"/>
      <c r="Q78" s="40"/>
      <c r="R78" s="41"/>
      <c r="S78" s="42"/>
      <c r="T78" s="42"/>
      <c r="U78" s="34"/>
      <c r="V78" s="34"/>
      <c r="W78" s="13"/>
    </row>
    <row r="79" ht="18.75" customHeight="1">
      <c r="A79" s="13"/>
      <c r="B79" s="48"/>
      <c r="C79" s="47"/>
      <c r="D79" s="32"/>
      <c r="E79" s="32"/>
      <c r="F79" s="32"/>
      <c r="G79" s="33"/>
      <c r="H79" s="33"/>
      <c r="I79" s="13"/>
      <c r="J79" s="34"/>
      <c r="K79" s="46"/>
      <c r="L79" s="36"/>
      <c r="M79" s="34"/>
      <c r="N79" s="37"/>
      <c r="O79" s="38"/>
      <c r="P79" s="39"/>
      <c r="Q79" s="40"/>
      <c r="R79" s="41"/>
      <c r="S79" s="42"/>
      <c r="T79" s="42"/>
      <c r="U79" s="34"/>
      <c r="V79" s="34"/>
      <c r="W79" s="13"/>
    </row>
    <row r="80" ht="18.75" customHeight="1">
      <c r="A80" s="13"/>
      <c r="B80" s="48"/>
      <c r="C80" s="47"/>
      <c r="D80" s="32"/>
      <c r="E80" s="32"/>
      <c r="F80" s="32"/>
      <c r="G80" s="33"/>
      <c r="H80" s="33"/>
      <c r="I80" s="13"/>
      <c r="J80" s="34"/>
      <c r="K80" s="46"/>
      <c r="L80" s="36"/>
      <c r="M80" s="34"/>
      <c r="N80" s="37"/>
      <c r="O80" s="38"/>
      <c r="P80" s="39"/>
      <c r="Q80" s="40"/>
      <c r="R80" s="41"/>
      <c r="S80" s="42"/>
      <c r="T80" s="42"/>
      <c r="U80" s="34"/>
      <c r="V80" s="34"/>
      <c r="W80" s="13"/>
    </row>
    <row r="81" ht="18.75" customHeight="1">
      <c r="A81" s="13"/>
      <c r="B81" s="48"/>
      <c r="C81" s="47"/>
      <c r="D81" s="32"/>
      <c r="E81" s="32"/>
      <c r="F81" s="32"/>
      <c r="G81" s="33"/>
      <c r="H81" s="33"/>
      <c r="I81" s="13"/>
      <c r="J81" s="34"/>
      <c r="K81" s="46"/>
      <c r="L81" s="36"/>
      <c r="M81" s="34"/>
      <c r="N81" s="37"/>
      <c r="O81" s="38"/>
      <c r="P81" s="39"/>
      <c r="Q81" s="40"/>
      <c r="R81" s="41"/>
      <c r="S81" s="42"/>
      <c r="T81" s="42"/>
      <c r="U81" s="34"/>
      <c r="V81" s="34"/>
      <c r="W81" s="13"/>
    </row>
    <row r="82" ht="18.75" customHeight="1">
      <c r="A82" s="13"/>
      <c r="B82" s="48"/>
      <c r="C82" s="47"/>
      <c r="D82" s="32"/>
      <c r="E82" s="32"/>
      <c r="F82" s="32"/>
      <c r="G82" s="33"/>
      <c r="H82" s="33"/>
      <c r="I82" s="13"/>
      <c r="J82" s="34"/>
      <c r="K82" s="46"/>
      <c r="L82" s="36"/>
      <c r="M82" s="34"/>
      <c r="N82" s="37"/>
      <c r="O82" s="38"/>
      <c r="P82" s="39"/>
      <c r="Q82" s="40"/>
      <c r="R82" s="41"/>
      <c r="S82" s="42"/>
      <c r="T82" s="42"/>
      <c r="U82" s="34"/>
      <c r="V82" s="34"/>
      <c r="W82" s="13"/>
    </row>
    <row r="83" ht="18.75" customHeight="1">
      <c r="A83" s="13"/>
      <c r="B83" s="48"/>
      <c r="C83" s="47"/>
      <c r="D83" s="32"/>
      <c r="E83" s="32"/>
      <c r="F83" s="32"/>
      <c r="G83" s="33"/>
      <c r="H83" s="33"/>
      <c r="I83" s="13"/>
      <c r="J83" s="34"/>
      <c r="K83" s="46"/>
      <c r="L83" s="36"/>
      <c r="M83" s="34"/>
      <c r="N83" s="37"/>
      <c r="O83" s="38"/>
      <c r="P83" s="39"/>
      <c r="Q83" s="40"/>
      <c r="R83" s="41"/>
      <c r="S83" s="42"/>
      <c r="T83" s="42"/>
      <c r="U83" s="34"/>
      <c r="V83" s="34"/>
      <c r="W83" s="13"/>
    </row>
    <row r="84" ht="18.75" customHeight="1">
      <c r="A84" s="13"/>
      <c r="B84" s="48"/>
      <c r="C84" s="47"/>
      <c r="D84" s="32"/>
      <c r="E84" s="32"/>
      <c r="F84" s="32"/>
      <c r="G84" s="33"/>
      <c r="H84" s="33"/>
      <c r="I84" s="13"/>
      <c r="J84" s="34"/>
      <c r="K84" s="46"/>
      <c r="L84" s="36"/>
      <c r="M84" s="34"/>
      <c r="N84" s="37"/>
      <c r="O84" s="38"/>
      <c r="P84" s="39"/>
      <c r="Q84" s="40"/>
      <c r="R84" s="41"/>
      <c r="S84" s="42"/>
      <c r="T84" s="42"/>
      <c r="U84" s="34"/>
      <c r="V84" s="34"/>
      <c r="W84" s="13"/>
    </row>
    <row r="85" ht="18.75" customHeight="1">
      <c r="A85" s="13"/>
      <c r="B85" s="48"/>
      <c r="C85" s="47"/>
      <c r="D85" s="32"/>
      <c r="E85" s="32"/>
      <c r="F85" s="32"/>
      <c r="G85" s="33"/>
      <c r="H85" s="33"/>
      <c r="I85" s="13"/>
      <c r="J85" s="34"/>
      <c r="K85" s="46"/>
      <c r="L85" s="36"/>
      <c r="M85" s="34"/>
      <c r="N85" s="37"/>
      <c r="O85" s="38"/>
      <c r="P85" s="39"/>
      <c r="Q85" s="40"/>
      <c r="R85" s="41"/>
      <c r="S85" s="42"/>
      <c r="T85" s="42"/>
      <c r="U85" s="34"/>
      <c r="V85" s="34"/>
      <c r="W85" s="13"/>
    </row>
    <row r="86" ht="18.75" customHeight="1">
      <c r="A86" s="13"/>
      <c r="B86" s="48"/>
      <c r="C86" s="47"/>
      <c r="D86" s="32"/>
      <c r="E86" s="32"/>
      <c r="F86" s="32"/>
      <c r="G86" s="33"/>
      <c r="H86" s="33"/>
      <c r="I86" s="13"/>
      <c r="J86" s="34"/>
      <c r="K86" s="46"/>
      <c r="L86" s="36"/>
      <c r="M86" s="34"/>
      <c r="N86" s="37"/>
      <c r="O86" s="38"/>
      <c r="P86" s="39"/>
      <c r="Q86" s="40"/>
      <c r="R86" s="41"/>
      <c r="S86" s="42"/>
      <c r="T86" s="42"/>
      <c r="U86" s="34"/>
      <c r="V86" s="34"/>
      <c r="W86" s="13"/>
    </row>
    <row r="87" ht="18.75" customHeight="1">
      <c r="A87" s="13"/>
      <c r="B87" s="48"/>
      <c r="C87" s="47"/>
      <c r="D87" s="32"/>
      <c r="E87" s="32"/>
      <c r="F87" s="32"/>
      <c r="G87" s="33"/>
      <c r="H87" s="33"/>
      <c r="I87" s="13"/>
      <c r="J87" s="34"/>
      <c r="K87" s="46"/>
      <c r="L87" s="36"/>
      <c r="M87" s="34"/>
      <c r="N87" s="37"/>
      <c r="O87" s="38"/>
      <c r="P87" s="39"/>
      <c r="Q87" s="40"/>
      <c r="R87" s="41"/>
      <c r="S87" s="42"/>
      <c r="T87" s="42"/>
      <c r="U87" s="34"/>
      <c r="V87" s="34"/>
      <c r="W87" s="13"/>
    </row>
    <row r="88" ht="18.75" customHeight="1">
      <c r="A88" s="13"/>
      <c r="B88" s="48"/>
      <c r="C88" s="47"/>
      <c r="D88" s="32"/>
      <c r="E88" s="32"/>
      <c r="F88" s="32"/>
      <c r="G88" s="33"/>
      <c r="H88" s="33"/>
      <c r="I88" s="13"/>
      <c r="J88" s="34"/>
      <c r="K88" s="46"/>
      <c r="L88" s="36"/>
      <c r="M88" s="34"/>
      <c r="N88" s="37"/>
      <c r="O88" s="38"/>
      <c r="P88" s="39"/>
      <c r="Q88" s="40"/>
      <c r="R88" s="41"/>
      <c r="S88" s="42"/>
      <c r="T88" s="42"/>
      <c r="U88" s="34"/>
      <c r="V88" s="34"/>
      <c r="W88" s="13"/>
    </row>
    <row r="89" ht="18.75" customHeight="1">
      <c r="A89" s="13"/>
      <c r="B89" s="48"/>
      <c r="C89" s="47"/>
      <c r="D89" s="32"/>
      <c r="E89" s="32"/>
      <c r="F89" s="32"/>
      <c r="G89" s="33"/>
      <c r="H89" s="33"/>
      <c r="I89" s="13"/>
      <c r="J89" s="34"/>
      <c r="K89" s="46"/>
      <c r="L89" s="36"/>
      <c r="M89" s="34"/>
      <c r="N89" s="37"/>
      <c r="O89" s="38"/>
      <c r="P89" s="39"/>
      <c r="Q89" s="40"/>
      <c r="R89" s="41"/>
      <c r="S89" s="42"/>
      <c r="T89" s="42"/>
      <c r="U89" s="34"/>
      <c r="V89" s="34"/>
      <c r="W89" s="13"/>
    </row>
    <row r="90" ht="18.75" customHeight="1">
      <c r="A90" s="13"/>
      <c r="B90" s="48"/>
      <c r="C90" s="47"/>
      <c r="D90" s="32"/>
      <c r="E90" s="32"/>
      <c r="F90" s="32"/>
      <c r="G90" s="33"/>
      <c r="H90" s="33"/>
      <c r="I90" s="13"/>
      <c r="J90" s="34"/>
      <c r="K90" s="46"/>
      <c r="L90" s="36"/>
      <c r="M90" s="34"/>
      <c r="N90" s="37"/>
      <c r="O90" s="38"/>
      <c r="P90" s="39"/>
      <c r="Q90" s="40"/>
      <c r="R90" s="41"/>
      <c r="S90" s="42"/>
      <c r="T90" s="42"/>
      <c r="U90" s="34"/>
      <c r="V90" s="34"/>
      <c r="W90" s="13"/>
    </row>
    <row r="91" ht="18.75" customHeight="1">
      <c r="A91" s="13"/>
      <c r="B91" s="48"/>
      <c r="C91" s="47"/>
      <c r="D91" s="32"/>
      <c r="E91" s="32"/>
      <c r="F91" s="32"/>
      <c r="G91" s="33"/>
      <c r="H91" s="33"/>
      <c r="I91" s="13"/>
      <c r="J91" s="34"/>
      <c r="K91" s="46"/>
      <c r="L91" s="36"/>
      <c r="M91" s="34"/>
      <c r="N91" s="37"/>
      <c r="O91" s="38"/>
      <c r="P91" s="39"/>
      <c r="Q91" s="40"/>
      <c r="R91" s="41"/>
      <c r="S91" s="42"/>
      <c r="T91" s="42"/>
      <c r="U91" s="34"/>
      <c r="V91" s="34"/>
      <c r="W91" s="13"/>
    </row>
    <row r="92" ht="18.75" customHeight="1">
      <c r="A92" s="13"/>
      <c r="B92" s="48"/>
      <c r="C92" s="47"/>
      <c r="D92" s="32"/>
      <c r="E92" s="32"/>
      <c r="F92" s="32"/>
      <c r="G92" s="33"/>
      <c r="H92" s="33"/>
      <c r="I92" s="13"/>
      <c r="J92" s="34"/>
      <c r="K92" s="46"/>
      <c r="L92" s="36"/>
      <c r="M92" s="34"/>
      <c r="N92" s="37"/>
      <c r="O92" s="38"/>
      <c r="P92" s="39"/>
      <c r="Q92" s="40"/>
      <c r="R92" s="41"/>
      <c r="S92" s="42"/>
      <c r="T92" s="42"/>
      <c r="U92" s="34"/>
      <c r="V92" s="34"/>
      <c r="W92" s="13"/>
    </row>
    <row r="93" ht="18.75" customHeight="1">
      <c r="A93" s="13"/>
      <c r="B93" s="48"/>
      <c r="C93" s="47"/>
      <c r="D93" s="32"/>
      <c r="E93" s="32"/>
      <c r="F93" s="32"/>
      <c r="G93" s="33"/>
      <c r="H93" s="33"/>
      <c r="I93" s="13"/>
      <c r="J93" s="34"/>
      <c r="K93" s="46"/>
      <c r="L93" s="36"/>
      <c r="M93" s="34"/>
      <c r="N93" s="37"/>
      <c r="O93" s="38"/>
      <c r="P93" s="39"/>
      <c r="Q93" s="40"/>
      <c r="R93" s="41"/>
      <c r="S93" s="42"/>
      <c r="T93" s="42"/>
      <c r="U93" s="34"/>
      <c r="V93" s="34"/>
      <c r="W93" s="13"/>
    </row>
    <row r="94" ht="18.75" customHeight="1">
      <c r="A94" s="13"/>
      <c r="B94" s="48"/>
      <c r="C94" s="47"/>
      <c r="D94" s="32"/>
      <c r="E94" s="32"/>
      <c r="F94" s="32"/>
      <c r="G94" s="33"/>
      <c r="H94" s="33"/>
      <c r="I94" s="13"/>
      <c r="J94" s="34"/>
      <c r="K94" s="46"/>
      <c r="L94" s="36"/>
      <c r="M94" s="34"/>
      <c r="N94" s="37"/>
      <c r="O94" s="38"/>
      <c r="P94" s="39"/>
      <c r="Q94" s="40"/>
      <c r="R94" s="41"/>
      <c r="S94" s="42"/>
      <c r="T94" s="42"/>
      <c r="U94" s="34"/>
      <c r="V94" s="34"/>
      <c r="W94" s="13"/>
    </row>
    <row r="95" ht="18.75" customHeight="1">
      <c r="A95" s="13"/>
      <c r="B95" s="48"/>
      <c r="C95" s="47"/>
      <c r="D95" s="32"/>
      <c r="E95" s="32"/>
      <c r="F95" s="32"/>
      <c r="G95" s="33"/>
      <c r="H95" s="33"/>
      <c r="I95" s="13"/>
      <c r="J95" s="34"/>
      <c r="K95" s="46"/>
      <c r="L95" s="36"/>
      <c r="M95" s="34"/>
      <c r="N95" s="37"/>
      <c r="O95" s="38"/>
      <c r="P95" s="39"/>
      <c r="Q95" s="40"/>
      <c r="R95" s="41"/>
      <c r="S95" s="42"/>
      <c r="T95" s="42"/>
      <c r="U95" s="34"/>
      <c r="V95" s="34"/>
      <c r="W95" s="13"/>
    </row>
    <row r="96" ht="18.75" customHeight="1">
      <c r="A96" s="13"/>
      <c r="B96" s="48"/>
      <c r="C96" s="47"/>
      <c r="D96" s="32"/>
      <c r="E96" s="32"/>
      <c r="F96" s="32"/>
      <c r="G96" s="33"/>
      <c r="H96" s="33"/>
      <c r="I96" s="13"/>
      <c r="J96" s="34"/>
      <c r="K96" s="46"/>
      <c r="L96" s="36"/>
      <c r="M96" s="34"/>
      <c r="N96" s="37"/>
      <c r="O96" s="38"/>
      <c r="P96" s="39"/>
      <c r="Q96" s="40"/>
      <c r="R96" s="41"/>
      <c r="S96" s="42"/>
      <c r="T96" s="42"/>
      <c r="U96" s="34"/>
      <c r="V96" s="34"/>
      <c r="W96" s="13"/>
    </row>
    <row r="97" ht="18.75" customHeight="1">
      <c r="A97" s="13"/>
      <c r="B97" s="48"/>
      <c r="C97" s="47"/>
      <c r="D97" s="32"/>
      <c r="E97" s="32"/>
      <c r="F97" s="32"/>
      <c r="G97" s="33"/>
      <c r="H97" s="33"/>
      <c r="I97" s="13"/>
      <c r="J97" s="34"/>
      <c r="K97" s="46"/>
      <c r="L97" s="36"/>
      <c r="M97" s="34"/>
      <c r="N97" s="37"/>
      <c r="O97" s="38"/>
      <c r="P97" s="39"/>
      <c r="Q97" s="40"/>
      <c r="R97" s="41"/>
      <c r="S97" s="42"/>
      <c r="T97" s="42"/>
      <c r="U97" s="34"/>
      <c r="V97" s="34"/>
      <c r="W97" s="13"/>
    </row>
    <row r="98" ht="18.75" customHeight="1">
      <c r="A98" s="13"/>
      <c r="B98" s="48"/>
      <c r="C98" s="47"/>
      <c r="D98" s="32"/>
      <c r="E98" s="32"/>
      <c r="F98" s="32"/>
      <c r="G98" s="33"/>
      <c r="H98" s="33"/>
      <c r="I98" s="13"/>
      <c r="J98" s="34"/>
      <c r="K98" s="46"/>
      <c r="L98" s="36"/>
      <c r="M98" s="34"/>
      <c r="N98" s="37"/>
      <c r="O98" s="38"/>
      <c r="P98" s="39"/>
      <c r="Q98" s="40"/>
      <c r="R98" s="41"/>
      <c r="S98" s="42"/>
      <c r="T98" s="42"/>
      <c r="U98" s="34"/>
      <c r="V98" s="34"/>
      <c r="W98" s="13"/>
    </row>
    <row r="99" ht="18.75" customHeight="1">
      <c r="A99" s="13"/>
      <c r="B99" s="48"/>
      <c r="C99" s="47"/>
      <c r="D99" s="32"/>
      <c r="E99" s="32"/>
      <c r="F99" s="32"/>
      <c r="G99" s="33"/>
      <c r="H99" s="33"/>
      <c r="I99" s="13"/>
      <c r="J99" s="34"/>
      <c r="K99" s="46"/>
      <c r="L99" s="36"/>
      <c r="M99" s="34"/>
      <c r="N99" s="37"/>
      <c r="O99" s="38"/>
      <c r="P99" s="39"/>
      <c r="Q99" s="40"/>
      <c r="R99" s="41"/>
      <c r="S99" s="42"/>
      <c r="T99" s="42"/>
      <c r="U99" s="34"/>
      <c r="V99" s="34"/>
      <c r="W99" s="13"/>
    </row>
    <row r="100" ht="18.75" customHeight="1">
      <c r="A100" s="13"/>
      <c r="B100" s="48"/>
      <c r="C100" s="47"/>
      <c r="D100" s="32"/>
      <c r="E100" s="32"/>
      <c r="F100" s="32"/>
      <c r="G100" s="33"/>
      <c r="H100" s="33"/>
      <c r="I100" s="13"/>
      <c r="J100" s="34"/>
      <c r="K100" s="46"/>
      <c r="L100" s="36"/>
      <c r="M100" s="34"/>
      <c r="N100" s="37"/>
      <c r="O100" s="38"/>
      <c r="P100" s="39"/>
      <c r="Q100" s="40"/>
      <c r="R100" s="41"/>
      <c r="S100" s="42"/>
      <c r="T100" s="42"/>
      <c r="U100" s="34"/>
      <c r="V100" s="34"/>
      <c r="W100" s="13"/>
    </row>
    <row r="101" ht="18.75" customHeight="1">
      <c r="A101" s="13"/>
      <c r="B101" s="48"/>
      <c r="C101" s="47"/>
      <c r="D101" s="32"/>
      <c r="E101" s="32"/>
      <c r="F101" s="32"/>
      <c r="G101" s="33"/>
      <c r="H101" s="33"/>
      <c r="I101" s="13"/>
      <c r="J101" s="34"/>
      <c r="K101" s="46"/>
      <c r="L101" s="36"/>
      <c r="M101" s="34"/>
      <c r="N101" s="37"/>
      <c r="O101" s="38"/>
      <c r="P101" s="39"/>
      <c r="Q101" s="40"/>
      <c r="R101" s="41"/>
      <c r="S101" s="42"/>
      <c r="T101" s="42"/>
      <c r="U101" s="34"/>
      <c r="V101" s="34"/>
      <c r="W101" s="13"/>
    </row>
    <row r="102" ht="18.75" customHeight="1">
      <c r="A102" s="13"/>
      <c r="B102" s="48"/>
      <c r="C102" s="47"/>
      <c r="D102" s="32"/>
      <c r="E102" s="32"/>
      <c r="F102" s="32"/>
      <c r="G102" s="33"/>
      <c r="H102" s="33"/>
      <c r="I102" s="13"/>
      <c r="J102" s="34"/>
      <c r="K102" s="46"/>
      <c r="L102" s="36"/>
      <c r="M102" s="34"/>
      <c r="N102" s="37"/>
      <c r="O102" s="38"/>
      <c r="P102" s="39"/>
      <c r="Q102" s="40"/>
      <c r="R102" s="41"/>
      <c r="S102" s="42"/>
      <c r="T102" s="42"/>
      <c r="U102" s="34"/>
      <c r="V102" s="34"/>
      <c r="W102" s="13"/>
    </row>
    <row r="103" ht="18.75" customHeight="1">
      <c r="A103" s="13"/>
      <c r="B103" s="48"/>
      <c r="C103" s="47"/>
      <c r="D103" s="32"/>
      <c r="E103" s="32"/>
      <c r="F103" s="32"/>
      <c r="G103" s="33"/>
      <c r="H103" s="33"/>
      <c r="I103" s="13"/>
      <c r="J103" s="34"/>
      <c r="K103" s="46"/>
      <c r="L103" s="36"/>
      <c r="M103" s="34"/>
      <c r="N103" s="37"/>
      <c r="O103" s="38"/>
      <c r="P103" s="39"/>
      <c r="Q103" s="40"/>
      <c r="R103" s="41"/>
      <c r="S103" s="42"/>
      <c r="T103" s="42"/>
      <c r="U103" s="34"/>
      <c r="V103" s="34"/>
      <c r="W103" s="13"/>
    </row>
    <row r="104" ht="18.75" customHeight="1">
      <c r="A104" s="13"/>
      <c r="B104" s="48"/>
      <c r="C104" s="47"/>
      <c r="D104" s="32"/>
      <c r="E104" s="32"/>
      <c r="F104" s="32"/>
      <c r="G104" s="33"/>
      <c r="H104" s="33"/>
      <c r="I104" s="13"/>
      <c r="J104" s="34"/>
      <c r="K104" s="46"/>
      <c r="L104" s="36"/>
      <c r="M104" s="34"/>
      <c r="N104" s="37"/>
      <c r="O104" s="38"/>
      <c r="P104" s="39"/>
      <c r="Q104" s="40"/>
      <c r="R104" s="41"/>
      <c r="S104" s="42"/>
      <c r="T104" s="42"/>
      <c r="U104" s="34"/>
      <c r="V104" s="34"/>
      <c r="W104" s="13"/>
    </row>
  </sheetData>
  <mergeCells count="4">
    <mergeCell ref="B3:H3"/>
    <mergeCell ref="J3:V3"/>
    <mergeCell ref="F4:G4"/>
    <mergeCell ref="M4:N4"/>
  </mergeCells>
  <conditionalFormatting sqref="L5:L104">
    <cfRule type="expression" dxfId="0" priority="1">
      <formula>LEFT($L5,2)="NM"</formula>
    </cfRule>
  </conditionalFormatting>
  <conditionalFormatting sqref="L5:L104">
    <cfRule type="expression" dxfId="1" priority="2">
      <formula>LEFT($L5,2)="HD"</formula>
    </cfRule>
  </conditionalFormatting>
  <conditionalFormatting sqref="L5:L104">
    <cfRule type="expression" dxfId="2" priority="3">
      <formula>LEFT($L5,2)="HR"</formula>
    </cfRule>
  </conditionalFormatting>
  <conditionalFormatting sqref="L5:L104">
    <cfRule type="expression" dxfId="3" priority="4">
      <formula>LEFT($L5,2)="DT"</formula>
    </cfRule>
  </conditionalFormatting>
  <conditionalFormatting sqref="L5:L104">
    <cfRule type="expression" dxfId="4" priority="5">
      <formula>LEFT($L5,2)="FM"</formula>
    </cfRule>
  </conditionalFormatting>
  <conditionalFormatting sqref="L5:L104">
    <cfRule type="expression" dxfId="5" priority="6">
      <formula>LEFT($L5,2)="TB"</formula>
    </cfRule>
  </conditionalFormatting>
  <conditionalFormatting sqref="L5:L104">
    <cfRule type="expression" dxfId="6" priority="7">
      <formula>LEFT($L5,2)="EZ"</formula>
    </cfRule>
  </conditionalFormatting>
  <conditionalFormatting sqref="L5:L104">
    <cfRule type="expression" dxfId="7" priority="8">
      <formula>LEFT($L5,2)="HT"</formula>
    </cfRule>
  </conditionalFormatting>
  <conditionalFormatting sqref="J5:V104">
    <cfRule type="expression" dxfId="8" priority="9">
      <formula>LEFT($L5,2)&lt;&gt;""</formula>
    </cfRule>
  </conditionalFormatting>
  <conditionalFormatting sqref="B5:H104 K5:K19">
    <cfRule type="expression" dxfId="2" priority="10">
      <formula>COUNTIF($C$5:$C$104,$C5)&gt;1</formula>
    </cfRule>
  </conditionalFormatting>
  <conditionalFormatting sqref="B5:H104 K5:K19">
    <cfRule type="expression" dxfId="9" priority="11">
      <formula>COUNTIF($K$5:$K104,$C5)=1</formula>
    </cfRule>
  </conditionalFormatting>
  <dataValidations>
    <dataValidation type="list" allowBlank="1" sqref="B2">
      <formula1>Settings!$E$3:$E$12</formula1>
    </dataValidation>
    <dataValidation type="list" allowBlank="1" showDropDown="1" sqref="K20:K104">
      <formula1>'_api'!$A$3:$A$1007</formula1>
    </dataValidation>
    <dataValidation type="list" allowBlank="1" sqref="D5:D104">
      <formula1>Settings!$I$2:$P$2</formula1>
    </dataValidation>
    <dataValidation type="list" allowBlank="1" sqref="E5:E104">
      <formula1>Settings!$B$3:$B$12</formula1>
    </dataValidation>
  </dataValidations>
  <hyperlinks>
    <hyperlink r:id="rId2" location="osu/3823691" ref="B6"/>
    <hyperlink r:id="rId3" location="osu/3823691" ref="G6"/>
    <hyperlink r:id="rId4" location="osu/3297107" ref="N6"/>
    <hyperlink r:id="rId5" location="osu/2995193" ref="B7"/>
    <hyperlink r:id="rId6" location="osu/2995193" ref="G7"/>
    <hyperlink r:id="rId7" location="osu/2440455" ref="N7"/>
    <hyperlink r:id="rId8" location="osu/2016938" ref="B8"/>
    <hyperlink r:id="rId9" location="osu/2016938" ref="G8"/>
    <hyperlink r:id="rId10" location="osu/3248876" ref="N8"/>
    <hyperlink r:id="rId11" location="osu/2340750" ref="G9"/>
    <hyperlink r:id="rId12" location="osu/1989991" ref="N9"/>
    <hyperlink r:id="rId13" location="osu/3297107" ref="G10"/>
    <hyperlink r:id="rId14" location="osu/3280686" ref="N10"/>
    <hyperlink r:id="rId15" location="osu/2440455" ref="G11"/>
    <hyperlink r:id="rId16" location="osu/134141" ref="N11"/>
    <hyperlink r:id="rId17" location="osu/3248876" ref="G12"/>
    <hyperlink r:id="rId18" location="osu/2659337" ref="N12"/>
    <hyperlink r:id="rId19" location="osu/1989991" ref="G13"/>
    <hyperlink r:id="rId20" location="osu/2110801" ref="N13"/>
    <hyperlink r:id="rId21" location="osu/3280686" ref="G14"/>
    <hyperlink r:id="rId22" location="osu/2044893" ref="N14"/>
    <hyperlink r:id="rId23" location="osu/3396305" ref="G15"/>
    <hyperlink r:id="rId24" location="osu/2366848" ref="N15"/>
    <hyperlink r:id="rId25" location="osu/3446761" ref="G16"/>
    <hyperlink r:id="rId26" location="osu/3396305" ref="N16"/>
    <hyperlink r:id="rId27" location="osu/2044893" ref="G17"/>
    <hyperlink r:id="rId28" location="osu/846261" ref="N17"/>
    <hyperlink r:id="rId29" location="osu/3044231" ref="G18"/>
    <hyperlink r:id="rId30" location="osu/3743202" ref="N18"/>
    <hyperlink r:id="rId31" location="osu/57384" ref="G19"/>
    <hyperlink r:id="rId32" location="osu/3446761" ref="N19"/>
    <hyperlink r:id="rId33" location="osu/2110801" ref="G20"/>
    <hyperlink r:id="rId34" location="osu/2366848" ref="G21"/>
    <hyperlink r:id="rId35" location="osu/2694599" ref="G22"/>
    <hyperlink r:id="rId36" location="osu/134141" ref="B23"/>
    <hyperlink r:id="rId37" location="osu/134141" ref="G23"/>
    <hyperlink r:id="rId38" location="osu/250577" ref="B24"/>
    <hyperlink r:id="rId39" location="osu/250577" ref="G24"/>
    <hyperlink r:id="rId40" location="osu/2161153" ref="G25"/>
    <hyperlink r:id="rId41" location="osu/2795818" ref="G26"/>
    <hyperlink r:id="rId42" location="osu/3941210" ref="G27"/>
    <hyperlink r:id="rId43" location="osu/3742030" ref="G28"/>
    <hyperlink r:id="rId44" location="osu/846261" ref="G29"/>
    <hyperlink r:id="rId45" location="osu/2659337" ref="G30"/>
    <hyperlink r:id="rId46" location="osu/2277989" ref="G31"/>
    <hyperlink r:id="rId47" location="osu/3743202" ref="B32"/>
    <hyperlink r:id="rId48" location="osu/3743202" ref="G32"/>
  </hyperlinks>
  <drawing r:id="rId49"/>
  <legacyDrawing r:id="rId5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37.63"/>
    <col customWidth="1" min="3" max="3" width="12.63"/>
    <col customWidth="1" min="4" max="4" width="9.5"/>
    <col customWidth="1" min="6" max="6" width="11.13"/>
    <col customWidth="1" min="7" max="8" width="25.13"/>
    <col customWidth="1" min="9" max="9" width="3.25"/>
    <col customWidth="1" min="12" max="12" width="5.13"/>
    <col customWidth="1" min="13" max="13" width="11.13"/>
    <col customWidth="1" min="14" max="14" width="31.38"/>
    <col customWidth="1" min="15" max="20" width="6.38" outlineLevel="1"/>
    <col min="21" max="22" width="12.63" outlineLevel="1"/>
    <col customWidth="1" min="23" max="23" width="3.25"/>
  </cols>
  <sheetData>
    <row r="1" ht="18.75" customHeight="1">
      <c r="A1" s="13"/>
      <c r="B1" s="13"/>
      <c r="C1" s="13"/>
      <c r="D1" s="13"/>
      <c r="E1" s="13"/>
      <c r="F1" s="13"/>
      <c r="G1" s="13"/>
      <c r="H1" s="13"/>
      <c r="I1" s="13"/>
      <c r="J1" s="13"/>
      <c r="K1" s="13"/>
      <c r="L1" s="13"/>
      <c r="M1" s="13"/>
      <c r="N1" s="13"/>
      <c r="O1" s="13"/>
      <c r="P1" s="13"/>
      <c r="Q1" s="13"/>
      <c r="R1" s="13"/>
      <c r="S1" s="13"/>
      <c r="T1" s="13"/>
      <c r="U1" s="13"/>
      <c r="V1" s="13"/>
      <c r="W1" s="13"/>
    </row>
    <row r="2" ht="18.75" customHeight="1">
      <c r="A2" s="13"/>
      <c r="B2" s="14" t="s">
        <v>27</v>
      </c>
      <c r="C2" s="15" t="s">
        <v>5</v>
      </c>
      <c r="D2" s="16">
        <f>IFERROR(VLOOKUP(B2,Settings!E3:H12,3,0),"")</f>
        <v>9</v>
      </c>
      <c r="E2" s="17" t="s">
        <v>6</v>
      </c>
      <c r="F2" s="18">
        <f>IFERROR(VLOOKUP(B2,Settings!E3:H12,4,0),"")</f>
        <v>1</v>
      </c>
      <c r="G2" s="13"/>
      <c r="H2" s="13"/>
      <c r="I2" s="13"/>
      <c r="J2" s="13"/>
      <c r="K2" s="13"/>
      <c r="L2" s="13"/>
      <c r="M2" s="13"/>
      <c r="N2" s="13"/>
      <c r="O2" s="13"/>
      <c r="P2" s="13"/>
      <c r="Q2" s="13"/>
      <c r="R2" s="13"/>
      <c r="S2" s="13"/>
      <c r="T2" s="13"/>
      <c r="U2" s="13"/>
      <c r="V2" s="13"/>
      <c r="W2" s="13"/>
    </row>
    <row r="3" ht="26.25" customHeight="1">
      <c r="A3" s="13"/>
      <c r="B3" s="19" t="s">
        <v>44</v>
      </c>
      <c r="C3" s="20"/>
      <c r="D3" s="20"/>
      <c r="E3" s="20"/>
      <c r="F3" s="20"/>
      <c r="G3" s="20"/>
      <c r="H3" s="20"/>
      <c r="I3" s="13"/>
      <c r="J3" s="19" t="s">
        <v>45</v>
      </c>
      <c r="K3" s="20"/>
      <c r="L3" s="20"/>
      <c r="M3" s="20"/>
      <c r="N3" s="20"/>
      <c r="O3" s="20"/>
      <c r="P3" s="20"/>
      <c r="Q3" s="20"/>
      <c r="R3" s="20"/>
      <c r="S3" s="20"/>
      <c r="T3" s="20"/>
      <c r="U3" s="20"/>
      <c r="V3" s="20"/>
      <c r="W3" s="13"/>
    </row>
    <row r="4" ht="18.75" customHeight="1">
      <c r="A4" s="13"/>
      <c r="B4" s="21" t="s">
        <v>46</v>
      </c>
      <c r="C4" s="21" t="s">
        <v>47</v>
      </c>
      <c r="D4" s="21" t="s">
        <v>48</v>
      </c>
      <c r="E4" s="21" t="s">
        <v>49</v>
      </c>
      <c r="F4" s="21" t="s">
        <v>50</v>
      </c>
      <c r="G4" s="22"/>
      <c r="H4" s="21" t="s">
        <v>51</v>
      </c>
      <c r="I4" s="13"/>
      <c r="J4" s="21" t="s">
        <v>52</v>
      </c>
      <c r="K4" s="21" t="s">
        <v>47</v>
      </c>
      <c r="L4" s="23" t="s">
        <v>48</v>
      </c>
      <c r="M4" s="21" t="s">
        <v>50</v>
      </c>
      <c r="N4" s="22"/>
      <c r="O4" s="24" t="s">
        <v>53</v>
      </c>
      <c r="P4" s="25" t="s">
        <v>54</v>
      </c>
      <c r="Q4" s="26" t="s">
        <v>55</v>
      </c>
      <c r="R4" s="27" t="s">
        <v>56</v>
      </c>
      <c r="S4" s="21" t="s">
        <v>57</v>
      </c>
      <c r="T4" s="21" t="s">
        <v>58</v>
      </c>
      <c r="U4" s="21" t="s">
        <v>60</v>
      </c>
      <c r="V4" s="21" t="s">
        <v>47</v>
      </c>
      <c r="W4" s="13"/>
    </row>
    <row r="5" ht="18.75" customHeight="1">
      <c r="A5" s="13"/>
      <c r="B5" s="29" t="s">
        <v>203</v>
      </c>
      <c r="C5" s="30">
        <f>IFERROR(__xludf.DUMMYFUNCTION("ArrayFormula(IFERROR(VALUE(REGEXEXTRACT(B5:B104&amp;"""",""\d+$""))))"),306038.0)</f>
        <v>306038</v>
      </c>
      <c r="D5" s="31" t="s">
        <v>7</v>
      </c>
      <c r="E5" s="31" t="s">
        <v>35</v>
      </c>
      <c r="F5" s="32" t="str">
        <f t="array" ref="F5:F104">MAP(C5:C104,LAMBDA(id,IFNA(IMAGE(MAPDATA(id,"cover_url")),"")))</f>
        <v/>
      </c>
      <c r="G5" s="57" t="str">
        <f t="array" ref="G5:G104">IFNA(HYPERLINK(VLOOKUP(C5:C104,'_api'!B3:BC104,MATCH("url",'_api'!B2:W2,0),0),VLOOKUP(C5:C104,'_api'!B3:BC104,MATCH("string",'_api'!B2:W2,0),0)),"")</f>
        <v>ZUN - Kobito of the Shining Needle ~ Little Princess [Lunatic]</v>
      </c>
      <c r="H5" s="51" t="s">
        <v>204</v>
      </c>
      <c r="I5" s="13"/>
      <c r="J5" s="35" t="s">
        <v>154</v>
      </c>
      <c r="K5" s="45">
        <v>2827293.0</v>
      </c>
      <c r="L5" s="36" t="str">
        <f>IFERROR(__xludf.DUMMYFUNCTION("TRANSPOSE(SPLIT(JOIN("","",MAP(TRANSPOSE(Settings!I2:P2),TRANSPOSE(INDEX(Settings!I3:P12,MATCH(B2,Settings!E3:E12,0))),LAMBDA(mod,n,JOIN("","",ARRAYFORMULA(IF(n=0,"""",mod&amp;SEQUENCE(n))))))),"",""))"),"NM1")</f>
        <v>NM1</v>
      </c>
      <c r="M5" s="34" t="str">
        <f t="array" ref="M5:M104">MAP(K5:K104,LAMBDA(id,IFNA(IMAGE(MAPDATA(id,"cover_url")),"")))</f>
        <v/>
      </c>
      <c r="N5" s="53" t="str">
        <f>IFNA(MAPDATA(K5:K104,"string_url"),"")</f>
        <v>Yorushika - Thoughtcrime [Akitoshi's Insane]</v>
      </c>
      <c r="O5" s="38">
        <f t="array" ref="O5:Q104">IFNA(MAPDATA_MODDED(K5:K104,{"difficultyrating","bpm","hit_length"},L5:L104),"")</f>
        <v>4.88906</v>
      </c>
      <c r="P5" s="39">
        <v>200.0</v>
      </c>
      <c r="Q5" s="40">
        <v>0.00268518518350902</v>
      </c>
      <c r="R5" s="41">
        <f t="array" ref="R5:T104">IFNA(MAPDATA_MODDED(K5:K104,"diff_"&amp;{"size","approach","overall"},L5:L104),"")</f>
        <v>3.8</v>
      </c>
      <c r="S5" s="42">
        <v>9.0</v>
      </c>
      <c r="T5" s="42">
        <v>7.8</v>
      </c>
      <c r="U5" s="34" t="str">
        <f t="array" ref="U5:V104">IFNA(MAPDATA(K5:K104,{"creator","beatmap_id"}),"")</f>
        <v>Meg</v>
      </c>
      <c r="V5" s="34">
        <v>2827293.0</v>
      </c>
      <c r="W5" s="13"/>
    </row>
    <row r="6" ht="18.75" customHeight="1">
      <c r="A6" s="13"/>
      <c r="B6" s="56" t="s">
        <v>205</v>
      </c>
      <c r="C6" s="45">
        <f>IFERROR(__xludf.DUMMYFUNCTION("""COMPUTED_VALUE"""),3563790.0)</f>
        <v>3563790</v>
      </c>
      <c r="D6" s="31" t="s">
        <v>7</v>
      </c>
      <c r="E6" s="31" t="s">
        <v>26</v>
      </c>
      <c r="F6" s="32"/>
      <c r="G6" s="57" t="s">
        <v>206</v>
      </c>
      <c r="H6" s="51" t="s">
        <v>207</v>
      </c>
      <c r="I6" s="13" t="s">
        <v>0</v>
      </c>
      <c r="J6" s="35" t="s">
        <v>208</v>
      </c>
      <c r="K6" s="45">
        <v>2004679.0</v>
      </c>
      <c r="L6" s="36" t="str">
        <f>IFERROR(__xludf.DUMMYFUNCTION("""COMPUTED_VALUE"""),"NM2")</f>
        <v>NM2</v>
      </c>
      <c r="M6" s="34"/>
      <c r="N6" s="53" t="s">
        <v>209</v>
      </c>
      <c r="O6" s="38">
        <v>4.90416</v>
      </c>
      <c r="P6" s="39">
        <v>195.0</v>
      </c>
      <c r="Q6" s="40">
        <v>0.0014351851859828457</v>
      </c>
      <c r="R6" s="41">
        <v>4.5</v>
      </c>
      <c r="S6" s="42">
        <v>9.0</v>
      </c>
      <c r="T6" s="42">
        <v>8.0</v>
      </c>
      <c r="U6" s="34" t="s">
        <v>210</v>
      </c>
      <c r="V6" s="34">
        <v>2004679.0</v>
      </c>
      <c r="W6" s="13"/>
    </row>
    <row r="7" ht="18.75" customHeight="1">
      <c r="A7" s="13"/>
      <c r="B7" s="56" t="s">
        <v>211</v>
      </c>
      <c r="C7" s="45">
        <f>IFERROR(__xludf.DUMMYFUNCTION("""COMPUTED_VALUE"""),3496410.0)</f>
        <v>3496410</v>
      </c>
      <c r="D7" s="31" t="s">
        <v>14</v>
      </c>
      <c r="E7" s="31" t="s">
        <v>26</v>
      </c>
      <c r="F7" s="32"/>
      <c r="G7" s="57" t="s">
        <v>212</v>
      </c>
      <c r="H7" s="51" t="s">
        <v>124</v>
      </c>
      <c r="I7" s="13"/>
      <c r="J7" s="35" t="s">
        <v>213</v>
      </c>
      <c r="K7" s="45">
        <v>3239199.0</v>
      </c>
      <c r="L7" s="36" t="str">
        <f>IFERROR(__xludf.DUMMYFUNCTION("""COMPUTED_VALUE"""),"NM3")</f>
        <v>NM3</v>
      </c>
      <c r="M7" s="34"/>
      <c r="N7" s="53" t="s">
        <v>214</v>
      </c>
      <c r="O7" s="38">
        <v>4.71336</v>
      </c>
      <c r="P7" s="39">
        <v>143.0</v>
      </c>
      <c r="Q7" s="40">
        <v>0.0026273148141626734</v>
      </c>
      <c r="R7" s="41">
        <v>4.0</v>
      </c>
      <c r="S7" s="42">
        <v>9.0</v>
      </c>
      <c r="T7" s="42">
        <v>8.0</v>
      </c>
      <c r="U7" s="34" t="s">
        <v>215</v>
      </c>
      <c r="V7" s="34">
        <v>3239199.0</v>
      </c>
      <c r="W7" s="13"/>
    </row>
    <row r="8" ht="18.75" customHeight="1">
      <c r="A8" s="13"/>
      <c r="B8" s="56" t="s">
        <v>216</v>
      </c>
      <c r="C8" s="45">
        <f>IFERROR(__xludf.DUMMYFUNCTION("""COMPUTED_VALUE"""),3887774.0)</f>
        <v>3887774</v>
      </c>
      <c r="D8" s="31" t="s">
        <v>8</v>
      </c>
      <c r="E8" s="31" t="s">
        <v>26</v>
      </c>
      <c r="F8" s="32"/>
      <c r="G8" s="57" t="s">
        <v>217</v>
      </c>
      <c r="H8" s="33"/>
      <c r="I8" s="13"/>
      <c r="J8" s="35" t="s">
        <v>218</v>
      </c>
      <c r="K8" s="64">
        <v>2794904.0</v>
      </c>
      <c r="L8" s="36" t="str">
        <f>IFERROR(__xludf.DUMMYFUNCTION("""COMPUTED_VALUE"""),"NM4")</f>
        <v>NM4</v>
      </c>
      <c r="M8" s="34"/>
      <c r="N8" s="53" t="s">
        <v>219</v>
      </c>
      <c r="O8" s="38">
        <v>4.57912</v>
      </c>
      <c r="P8" s="39">
        <v>170.0</v>
      </c>
      <c r="Q8" s="40">
        <v>0.0016435185170848854</v>
      </c>
      <c r="R8" s="41">
        <v>4.0</v>
      </c>
      <c r="S8" s="42">
        <v>9.0</v>
      </c>
      <c r="T8" s="42">
        <v>7.5</v>
      </c>
      <c r="U8" s="34" t="s">
        <v>220</v>
      </c>
      <c r="V8" s="34">
        <v>2794904.0</v>
      </c>
      <c r="W8" s="13"/>
    </row>
    <row r="9" ht="18.75" customHeight="1">
      <c r="A9" s="13"/>
      <c r="B9" s="56" t="s">
        <v>221</v>
      </c>
      <c r="C9" s="45">
        <f>IFERROR(__xludf.DUMMYFUNCTION("""COMPUTED_VALUE"""),2827293.0)</f>
        <v>2827293</v>
      </c>
      <c r="D9" s="31" t="s">
        <v>7</v>
      </c>
      <c r="E9" s="31" t="s">
        <v>17</v>
      </c>
      <c r="F9" s="32"/>
      <c r="G9" s="57" t="s">
        <v>222</v>
      </c>
      <c r="H9" s="51" t="s">
        <v>223</v>
      </c>
      <c r="I9" s="13"/>
      <c r="J9" s="35" t="s">
        <v>224</v>
      </c>
      <c r="K9" s="64">
        <v>2853477.0</v>
      </c>
      <c r="L9" s="36" t="str">
        <f>IFERROR(__xludf.DUMMYFUNCTION("""COMPUTED_VALUE"""),"NM5")</f>
        <v>NM5</v>
      </c>
      <c r="M9" s="34"/>
      <c r="N9" s="53" t="s">
        <v>225</v>
      </c>
      <c r="O9" s="38">
        <v>4.6484</v>
      </c>
      <c r="P9" s="39">
        <v>140.0</v>
      </c>
      <c r="Q9" s="40">
        <v>0.002071759259706596</v>
      </c>
      <c r="R9" s="41">
        <v>4.4</v>
      </c>
      <c r="S9" s="42">
        <v>8.3</v>
      </c>
      <c r="T9" s="42">
        <v>7.0</v>
      </c>
      <c r="U9" s="34" t="s">
        <v>226</v>
      </c>
      <c r="V9" s="34">
        <v>2853477.0</v>
      </c>
      <c r="W9" s="13"/>
    </row>
    <row r="10" ht="18.75" customHeight="1">
      <c r="A10" s="13"/>
      <c r="B10" s="56" t="s">
        <v>227</v>
      </c>
      <c r="C10" s="45">
        <f>IFERROR(__xludf.DUMMYFUNCTION("""COMPUTED_VALUE"""),2004679.0)</f>
        <v>2004679</v>
      </c>
      <c r="D10" s="31" t="s">
        <v>7</v>
      </c>
      <c r="E10" s="31" t="s">
        <v>38</v>
      </c>
      <c r="F10" s="32"/>
      <c r="G10" s="57" t="s">
        <v>209</v>
      </c>
      <c r="H10" s="51" t="s">
        <v>228</v>
      </c>
      <c r="I10" s="13"/>
      <c r="J10" s="35" t="s">
        <v>154</v>
      </c>
      <c r="K10" s="47">
        <v>1733441.0</v>
      </c>
      <c r="L10" s="36" t="str">
        <f>IFERROR(__xludf.DUMMYFUNCTION("""COMPUTED_VALUE"""),"HD1")</f>
        <v>HD1</v>
      </c>
      <c r="M10" s="34"/>
      <c r="N10" s="53" t="s">
        <v>229</v>
      </c>
      <c r="O10" s="38">
        <v>4.95838</v>
      </c>
      <c r="P10" s="39">
        <v>170.0</v>
      </c>
      <c r="Q10" s="40">
        <v>0.001724537036352558</v>
      </c>
      <c r="R10" s="41">
        <v>4.0</v>
      </c>
      <c r="S10" s="42">
        <v>9.0</v>
      </c>
      <c r="T10" s="42">
        <v>8.0</v>
      </c>
      <c r="U10" s="34" t="s">
        <v>230</v>
      </c>
      <c r="V10" s="34">
        <v>1733441.0</v>
      </c>
      <c r="W10" s="13"/>
    </row>
    <row r="11" ht="18.75" customHeight="1">
      <c r="A11" s="13"/>
      <c r="B11" s="56" t="s">
        <v>231</v>
      </c>
      <c r="C11" s="45">
        <f>IFERROR(__xludf.DUMMYFUNCTION("""COMPUTED_VALUE"""),3117101.0)</f>
        <v>3117101</v>
      </c>
      <c r="D11" s="31" t="s">
        <v>7</v>
      </c>
      <c r="E11" s="31" t="s">
        <v>17</v>
      </c>
      <c r="F11" s="32"/>
      <c r="G11" s="57" t="s">
        <v>232</v>
      </c>
      <c r="H11" s="51" t="s">
        <v>233</v>
      </c>
      <c r="I11" s="13"/>
      <c r="J11" s="35" t="s">
        <v>234</v>
      </c>
      <c r="K11" s="61">
        <v>3460069.0</v>
      </c>
      <c r="L11" s="36" t="str">
        <f>IFERROR(__xludf.DUMMYFUNCTION("""COMPUTED_VALUE"""),"HD2")</f>
        <v>HD2</v>
      </c>
      <c r="M11" s="34"/>
      <c r="N11" s="53" t="s">
        <v>235</v>
      </c>
      <c r="O11" s="38">
        <v>4.42032</v>
      </c>
      <c r="P11" s="39">
        <v>174.0</v>
      </c>
      <c r="Q11" s="40">
        <v>0.0012731481474475004</v>
      </c>
      <c r="R11" s="41">
        <v>4.0</v>
      </c>
      <c r="S11" s="42">
        <v>8.0</v>
      </c>
      <c r="T11" s="42">
        <v>7.0</v>
      </c>
      <c r="U11" s="34" t="s">
        <v>185</v>
      </c>
      <c r="V11" s="34">
        <v>3460069.0</v>
      </c>
      <c r="W11" s="13"/>
    </row>
    <row r="12" ht="18.75" customHeight="1">
      <c r="A12" s="13"/>
      <c r="B12" s="56" t="s">
        <v>236</v>
      </c>
      <c r="C12" s="45">
        <f>IFERROR(__xludf.DUMMYFUNCTION("""COMPUTED_VALUE"""),1489274.0)</f>
        <v>1489274</v>
      </c>
      <c r="D12" s="31" t="s">
        <v>7</v>
      </c>
      <c r="E12" s="31" t="s">
        <v>17</v>
      </c>
      <c r="F12" s="32"/>
      <c r="G12" s="57" t="s">
        <v>237</v>
      </c>
      <c r="H12" s="51" t="s">
        <v>238</v>
      </c>
      <c r="I12" s="13"/>
      <c r="J12" s="35" t="s">
        <v>239</v>
      </c>
      <c r="K12" s="61">
        <v>1956568.0</v>
      </c>
      <c r="L12" s="36" t="str">
        <f>IFERROR(__xludf.DUMMYFUNCTION("""COMPUTED_VALUE"""),"HR1")</f>
        <v>HR1</v>
      </c>
      <c r="M12" s="34"/>
      <c r="N12" s="53" t="s">
        <v>240</v>
      </c>
      <c r="O12" s="38">
        <v>4.85394</v>
      </c>
      <c r="P12" s="39">
        <v>160.0</v>
      </c>
      <c r="Q12" s="40">
        <v>0.0024999999986903276</v>
      </c>
      <c r="R12" s="41">
        <v>4.9399999999999995</v>
      </c>
      <c r="S12" s="42">
        <v>10.0</v>
      </c>
      <c r="T12" s="42">
        <v>10.0</v>
      </c>
      <c r="U12" s="34" t="s">
        <v>241</v>
      </c>
      <c r="V12" s="34">
        <v>1956568.0</v>
      </c>
      <c r="W12" s="13"/>
    </row>
    <row r="13" ht="18.75" customHeight="1">
      <c r="A13" s="13"/>
      <c r="B13" s="56" t="s">
        <v>242</v>
      </c>
      <c r="C13" s="47">
        <f>IFERROR(__xludf.DUMMYFUNCTION("""COMPUTED_VALUE"""),4082310.0)</f>
        <v>4082310</v>
      </c>
      <c r="D13" s="31" t="s">
        <v>7</v>
      </c>
      <c r="E13" s="31" t="s">
        <v>17</v>
      </c>
      <c r="F13" s="32"/>
      <c r="G13" s="57" t="s">
        <v>243</v>
      </c>
      <c r="H13" s="51" t="s">
        <v>244</v>
      </c>
      <c r="I13" s="13"/>
      <c r="J13" s="35" t="s">
        <v>245</v>
      </c>
      <c r="K13" s="64">
        <v>295650.0</v>
      </c>
      <c r="L13" s="36" t="str">
        <f>IFERROR(__xludf.DUMMYFUNCTION("""COMPUTED_VALUE"""),"HR2")</f>
        <v>HR2</v>
      </c>
      <c r="M13" s="34"/>
      <c r="N13" s="53" t="s">
        <v>246</v>
      </c>
      <c r="O13" s="38">
        <v>4.62781</v>
      </c>
      <c r="P13" s="39">
        <v>135.0</v>
      </c>
      <c r="Q13" s="40">
        <v>0.002245370371383615</v>
      </c>
      <c r="R13" s="41">
        <v>6.5</v>
      </c>
      <c r="S13" s="42">
        <v>10.0</v>
      </c>
      <c r="T13" s="42">
        <v>9.799999999999999</v>
      </c>
      <c r="U13" s="34" t="s">
        <v>247</v>
      </c>
      <c r="V13" s="34">
        <v>295650.0</v>
      </c>
      <c r="W13" s="13"/>
    </row>
    <row r="14" ht="18.75" customHeight="1">
      <c r="A14" s="13"/>
      <c r="B14" s="56" t="s">
        <v>248</v>
      </c>
      <c r="C14" s="47">
        <f>IFERROR(__xludf.DUMMYFUNCTION("""COMPUTED_VALUE"""),155064.0)</f>
        <v>155064</v>
      </c>
      <c r="D14" s="31" t="s">
        <v>8</v>
      </c>
      <c r="E14" s="31" t="s">
        <v>17</v>
      </c>
      <c r="F14" s="32"/>
      <c r="G14" s="57" t="s">
        <v>249</v>
      </c>
      <c r="H14" s="51" t="s">
        <v>250</v>
      </c>
      <c r="I14" s="13"/>
      <c r="J14" s="35" t="s">
        <v>251</v>
      </c>
      <c r="K14" s="61">
        <v>3446883.0</v>
      </c>
      <c r="L14" s="36" t="str">
        <f>IFERROR(__xludf.DUMMYFUNCTION("""COMPUTED_VALUE"""),"DT1")</f>
        <v>DT1</v>
      </c>
      <c r="M14" s="34"/>
      <c r="N14" s="53" t="s">
        <v>252</v>
      </c>
      <c r="O14" s="38">
        <v>4.94646</v>
      </c>
      <c r="P14" s="39">
        <v>193.5</v>
      </c>
      <c r="Q14" s="40">
        <v>0.0016820987657411024</v>
      </c>
      <c r="R14" s="41">
        <v>3.8</v>
      </c>
      <c r="S14" s="42">
        <v>9.666666666666668</v>
      </c>
      <c r="T14" s="42">
        <v>9.083333333333334</v>
      </c>
      <c r="U14" s="34" t="s">
        <v>253</v>
      </c>
      <c r="V14" s="34">
        <v>3446883.0</v>
      </c>
      <c r="W14" s="13"/>
    </row>
    <row r="15" ht="18.75" customHeight="1">
      <c r="A15" s="13"/>
      <c r="B15" s="56" t="s">
        <v>254</v>
      </c>
      <c r="C15" s="47">
        <f>IFERROR(__xludf.DUMMYFUNCTION("""COMPUTED_VALUE"""),4024821.0)</f>
        <v>4024821</v>
      </c>
      <c r="D15" s="31" t="s">
        <v>8</v>
      </c>
      <c r="E15" s="31" t="s">
        <v>17</v>
      </c>
      <c r="F15" s="32"/>
      <c r="G15" s="57" t="s">
        <v>255</v>
      </c>
      <c r="H15" s="51" t="s">
        <v>256</v>
      </c>
      <c r="I15" s="13"/>
      <c r="J15" s="35" t="s">
        <v>257</v>
      </c>
      <c r="K15" s="47">
        <v>1521209.0</v>
      </c>
      <c r="L15" s="36" t="str">
        <f>IFERROR(__xludf.DUMMYFUNCTION("""COMPUTED_VALUE"""),"DT2")</f>
        <v>DT2</v>
      </c>
      <c r="M15" s="34"/>
      <c r="N15" s="53" t="s">
        <v>258</v>
      </c>
      <c r="O15" s="38">
        <v>4.76186</v>
      </c>
      <c r="P15" s="39">
        <v>270.0</v>
      </c>
      <c r="Q15" s="40">
        <v>0.0013348765423870645</v>
      </c>
      <c r="R15" s="41">
        <v>3.5</v>
      </c>
      <c r="S15" s="42">
        <v>9.666666666666668</v>
      </c>
      <c r="T15" s="42">
        <v>8.416666666666666</v>
      </c>
      <c r="U15" s="34" t="s">
        <v>259</v>
      </c>
      <c r="V15" s="34">
        <v>1521209.0</v>
      </c>
      <c r="W15" s="13"/>
    </row>
    <row r="16" ht="18.75" customHeight="1">
      <c r="A16" s="13"/>
      <c r="B16" s="56" t="s">
        <v>260</v>
      </c>
      <c r="C16" s="47">
        <f>IFERROR(__xludf.DUMMYFUNCTION("""COMPUTED_VALUE"""),2729314.0)</f>
        <v>2729314</v>
      </c>
      <c r="D16" s="31" t="s">
        <v>9</v>
      </c>
      <c r="E16" s="31" t="s">
        <v>17</v>
      </c>
      <c r="F16" s="32"/>
      <c r="G16" s="57" t="s">
        <v>261</v>
      </c>
      <c r="H16" s="51" t="s">
        <v>262</v>
      </c>
      <c r="I16" s="13"/>
      <c r="J16" s="35" t="s">
        <v>263</v>
      </c>
      <c r="K16" s="45">
        <v>3616100.0</v>
      </c>
      <c r="L16" s="36" t="str">
        <f>IFERROR(__xludf.DUMMYFUNCTION("""COMPUTED_VALUE"""),"DT3")</f>
        <v>DT3</v>
      </c>
      <c r="M16" s="34"/>
      <c r="N16" s="53" t="s">
        <v>264</v>
      </c>
      <c r="O16" s="38">
        <v>4.72433</v>
      </c>
      <c r="P16" s="39">
        <v>189.0</v>
      </c>
      <c r="Q16" s="40">
        <v>9.413580240410132E-4</v>
      </c>
      <c r="R16" s="41">
        <v>3.6</v>
      </c>
      <c r="S16" s="42">
        <v>9.666666666666668</v>
      </c>
      <c r="T16" s="42">
        <v>8.75</v>
      </c>
      <c r="U16" s="34" t="s">
        <v>85</v>
      </c>
      <c r="V16" s="34">
        <v>3616100.0</v>
      </c>
      <c r="W16" s="13"/>
    </row>
    <row r="17" ht="18.75" customHeight="1">
      <c r="A17" s="13"/>
      <c r="B17" s="56" t="s">
        <v>265</v>
      </c>
      <c r="C17" s="47">
        <f>IFERROR(__xludf.DUMMYFUNCTION("""COMPUTED_VALUE"""),87319.0)</f>
        <v>87319</v>
      </c>
      <c r="D17" s="31" t="s">
        <v>9</v>
      </c>
      <c r="E17" s="31" t="s">
        <v>17</v>
      </c>
      <c r="F17" s="32"/>
      <c r="G17" s="57" t="s">
        <v>266</v>
      </c>
      <c r="H17" s="51" t="s">
        <v>267</v>
      </c>
      <c r="I17" s="13"/>
      <c r="J17" s="35" t="s">
        <v>268</v>
      </c>
      <c r="K17" s="61">
        <v>2151207.0</v>
      </c>
      <c r="L17" s="36" t="str">
        <f>IFERROR(__xludf.DUMMYFUNCTION("""COMPUTED_VALUE"""),"FM1")</f>
        <v>FM1</v>
      </c>
      <c r="M17" s="34"/>
      <c r="N17" s="53" t="s">
        <v>269</v>
      </c>
      <c r="O17" s="38">
        <v>4.63282</v>
      </c>
      <c r="P17" s="39">
        <v>210.0</v>
      </c>
      <c r="Q17" s="40">
        <v>0.0017592592594155576</v>
      </c>
      <c r="R17" s="41">
        <v>3.0</v>
      </c>
      <c r="S17" s="42">
        <v>9.0</v>
      </c>
      <c r="T17" s="42">
        <v>8.0</v>
      </c>
      <c r="U17" s="34" t="s">
        <v>270</v>
      </c>
      <c r="V17" s="34">
        <v>2151207.0</v>
      </c>
      <c r="W17" s="13"/>
    </row>
    <row r="18" ht="18.75" customHeight="1">
      <c r="A18" s="13"/>
      <c r="B18" s="56" t="s">
        <v>271</v>
      </c>
      <c r="C18" s="47">
        <f>IFERROR(__xludf.DUMMYFUNCTION("""COMPUTED_VALUE"""),1913099.0)</f>
        <v>1913099</v>
      </c>
      <c r="D18" s="31" t="s">
        <v>10</v>
      </c>
      <c r="E18" s="31" t="s">
        <v>17</v>
      </c>
      <c r="F18" s="32"/>
      <c r="G18" s="57" t="s">
        <v>272</v>
      </c>
      <c r="H18" s="51" t="s">
        <v>273</v>
      </c>
      <c r="I18" s="13"/>
      <c r="J18" s="35" t="s">
        <v>274</v>
      </c>
      <c r="K18" s="47">
        <v>417898.0</v>
      </c>
      <c r="L18" s="36" t="str">
        <f>IFERROR(__xludf.DUMMYFUNCTION("""COMPUTED_VALUE"""),"FM2")</f>
        <v>FM2</v>
      </c>
      <c r="M18" s="34"/>
      <c r="N18" s="53" t="s">
        <v>275</v>
      </c>
      <c r="O18" s="38">
        <v>4.3997</v>
      </c>
      <c r="P18" s="39">
        <v>150.0</v>
      </c>
      <c r="Q18" s="40">
        <v>0.0015856481477385387</v>
      </c>
      <c r="R18" s="41">
        <v>5.0</v>
      </c>
      <c r="S18" s="42">
        <v>8.0</v>
      </c>
      <c r="T18" s="42">
        <v>7.0</v>
      </c>
      <c r="U18" s="34" t="s">
        <v>276</v>
      </c>
      <c r="V18" s="34">
        <v>417898.0</v>
      </c>
      <c r="W18" s="13"/>
    </row>
    <row r="19" ht="18.75" customHeight="1">
      <c r="A19" s="13"/>
      <c r="B19" s="56" t="s">
        <v>277</v>
      </c>
      <c r="C19" s="47">
        <f>IFERROR(__xludf.DUMMYFUNCTION("""COMPUTED_VALUE"""),1521209.0)</f>
        <v>1521209</v>
      </c>
      <c r="D19" s="31" t="s">
        <v>10</v>
      </c>
      <c r="E19" s="31" t="s">
        <v>17</v>
      </c>
      <c r="F19" s="32"/>
      <c r="G19" s="57" t="s">
        <v>258</v>
      </c>
      <c r="H19" s="51" t="s">
        <v>278</v>
      </c>
      <c r="I19" s="13"/>
      <c r="J19" s="35" t="s">
        <v>279</v>
      </c>
      <c r="K19" s="47">
        <v>1857415.0</v>
      </c>
      <c r="L19" s="36" t="str">
        <f>IFERROR(__xludf.DUMMYFUNCTION("""COMPUTED_VALUE"""),"TB1")</f>
        <v>TB1</v>
      </c>
      <c r="M19" s="34"/>
      <c r="N19" s="53" t="s">
        <v>280</v>
      </c>
      <c r="O19" s="38">
        <v>5.08792</v>
      </c>
      <c r="P19" s="39">
        <v>170.0</v>
      </c>
      <c r="Q19" s="40">
        <v>0.003402777776500443</v>
      </c>
      <c r="R19" s="41">
        <v>4.0</v>
      </c>
      <c r="S19" s="42">
        <v>9.0</v>
      </c>
      <c r="T19" s="42">
        <v>8.0</v>
      </c>
      <c r="U19" s="34" t="s">
        <v>281</v>
      </c>
      <c r="V19" s="34">
        <v>1857415.0</v>
      </c>
      <c r="W19" s="13"/>
    </row>
    <row r="20" ht="18.75" customHeight="1">
      <c r="A20" s="13"/>
      <c r="B20" s="56" t="s">
        <v>282</v>
      </c>
      <c r="C20" s="47">
        <f>IFERROR(__xludf.DUMMYFUNCTION("""COMPUTED_VALUE"""),2967720.0)</f>
        <v>2967720</v>
      </c>
      <c r="D20" s="31" t="s">
        <v>10</v>
      </c>
      <c r="E20" s="31" t="s">
        <v>17</v>
      </c>
      <c r="F20" s="32"/>
      <c r="G20" s="57" t="s">
        <v>283</v>
      </c>
      <c r="H20" s="51" t="s">
        <v>284</v>
      </c>
      <c r="I20" s="13"/>
      <c r="J20" s="34"/>
      <c r="K20" s="46"/>
      <c r="L20" s="36"/>
      <c r="M20" s="34"/>
      <c r="N20" s="37"/>
      <c r="O20" s="38"/>
      <c r="P20" s="39"/>
      <c r="Q20" s="40"/>
      <c r="R20" s="41"/>
      <c r="S20" s="42"/>
      <c r="T20" s="42"/>
      <c r="U20" s="34"/>
      <c r="V20" s="34"/>
      <c r="W20" s="13"/>
    </row>
    <row r="21" ht="18.75" customHeight="1">
      <c r="A21" s="13"/>
      <c r="B21" s="56" t="s">
        <v>285</v>
      </c>
      <c r="C21" s="47">
        <f>IFERROR(__xludf.DUMMYFUNCTION("""COMPUTED_VALUE"""),1498150.0)</f>
        <v>1498150</v>
      </c>
      <c r="D21" s="31" t="s">
        <v>11</v>
      </c>
      <c r="E21" s="31" t="s">
        <v>17</v>
      </c>
      <c r="F21" s="32"/>
      <c r="G21" s="57" t="s">
        <v>286</v>
      </c>
      <c r="H21" s="51" t="s">
        <v>287</v>
      </c>
      <c r="I21" s="13"/>
      <c r="J21" s="34"/>
      <c r="K21" s="46"/>
      <c r="L21" s="36"/>
      <c r="M21" s="34"/>
      <c r="N21" s="37"/>
      <c r="O21" s="38"/>
      <c r="P21" s="39"/>
      <c r="Q21" s="40"/>
      <c r="R21" s="41"/>
      <c r="S21" s="42"/>
      <c r="T21" s="42"/>
      <c r="U21" s="34"/>
      <c r="V21" s="34"/>
      <c r="W21" s="13"/>
    </row>
    <row r="22" ht="18.75" customHeight="1">
      <c r="A22" s="13"/>
      <c r="B22" s="56" t="s">
        <v>288</v>
      </c>
      <c r="C22" s="47">
        <f>IFERROR(__xludf.DUMMYFUNCTION("""COMPUTED_VALUE"""),417898.0)</f>
        <v>417898</v>
      </c>
      <c r="D22" s="31" t="s">
        <v>11</v>
      </c>
      <c r="E22" s="31" t="s">
        <v>17</v>
      </c>
      <c r="F22" s="32"/>
      <c r="G22" s="57" t="s">
        <v>275</v>
      </c>
      <c r="H22" s="51" t="s">
        <v>289</v>
      </c>
      <c r="I22" s="13"/>
      <c r="J22" s="34"/>
      <c r="K22" s="46"/>
      <c r="L22" s="36"/>
      <c r="M22" s="34"/>
      <c r="N22" s="37"/>
      <c r="O22" s="38"/>
      <c r="P22" s="39"/>
      <c r="Q22" s="40"/>
      <c r="R22" s="41"/>
      <c r="S22" s="42"/>
      <c r="T22" s="42"/>
      <c r="U22" s="34"/>
      <c r="V22" s="34"/>
      <c r="W22" s="13"/>
    </row>
    <row r="23" ht="18.75" customHeight="1">
      <c r="A23" s="13"/>
      <c r="B23" s="56" t="s">
        <v>290</v>
      </c>
      <c r="C23" s="47">
        <f>IFERROR(__xludf.DUMMYFUNCTION("""COMPUTED_VALUE"""),87369.0)</f>
        <v>87369</v>
      </c>
      <c r="D23" s="31" t="s">
        <v>9</v>
      </c>
      <c r="E23" s="31" t="s">
        <v>35</v>
      </c>
      <c r="F23" s="32"/>
      <c r="G23" s="57" t="s">
        <v>291</v>
      </c>
      <c r="H23" s="51" t="s">
        <v>292</v>
      </c>
      <c r="I23" s="13"/>
      <c r="J23" s="34"/>
      <c r="K23" s="46"/>
      <c r="L23" s="36"/>
      <c r="M23" s="34"/>
      <c r="N23" s="37"/>
      <c r="O23" s="38"/>
      <c r="P23" s="39"/>
      <c r="Q23" s="40"/>
      <c r="R23" s="41"/>
      <c r="S23" s="42"/>
      <c r="T23" s="42"/>
      <c r="U23" s="34"/>
      <c r="V23" s="34"/>
      <c r="W23" s="13"/>
    </row>
    <row r="24" ht="18.75" customHeight="1">
      <c r="A24" s="13"/>
      <c r="B24" s="56" t="s">
        <v>293</v>
      </c>
      <c r="C24" s="47">
        <f>IFERROR(__xludf.DUMMYFUNCTION("""COMPUTED_VALUE"""),2530278.0)</f>
        <v>2530278</v>
      </c>
      <c r="D24" s="31" t="s">
        <v>9</v>
      </c>
      <c r="E24" s="31" t="s">
        <v>35</v>
      </c>
      <c r="F24" s="32"/>
      <c r="G24" s="57" t="s">
        <v>294</v>
      </c>
      <c r="H24" s="51" t="s">
        <v>295</v>
      </c>
      <c r="I24" s="13"/>
      <c r="J24" s="34"/>
      <c r="K24" s="46"/>
      <c r="L24" s="36"/>
      <c r="M24" s="34"/>
      <c r="N24" s="37"/>
      <c r="O24" s="38"/>
      <c r="P24" s="39"/>
      <c r="Q24" s="40"/>
      <c r="R24" s="41"/>
      <c r="S24" s="42"/>
      <c r="T24" s="42"/>
      <c r="U24" s="34"/>
      <c r="V24" s="34"/>
      <c r="W24" s="13"/>
    </row>
    <row r="25" ht="18.75" customHeight="1">
      <c r="A25" s="13"/>
      <c r="B25" s="56" t="s">
        <v>296</v>
      </c>
      <c r="C25" s="47">
        <f>IFERROR(__xludf.DUMMYFUNCTION("""COMPUTED_VALUE"""),892543.0)</f>
        <v>892543</v>
      </c>
      <c r="D25" s="31" t="s">
        <v>9</v>
      </c>
      <c r="E25" s="31" t="s">
        <v>35</v>
      </c>
      <c r="F25" s="32"/>
      <c r="G25" s="57" t="s">
        <v>297</v>
      </c>
      <c r="H25" s="51" t="s">
        <v>298</v>
      </c>
      <c r="I25" s="13"/>
      <c r="J25" s="34"/>
      <c r="K25" s="46"/>
      <c r="L25" s="36"/>
      <c r="M25" s="34"/>
      <c r="N25" s="37"/>
      <c r="O25" s="38"/>
      <c r="P25" s="39"/>
      <c r="Q25" s="40"/>
      <c r="R25" s="41"/>
      <c r="S25" s="42"/>
      <c r="T25" s="42"/>
      <c r="U25" s="34"/>
      <c r="V25" s="34"/>
      <c r="W25" s="13"/>
    </row>
    <row r="26" ht="18.75" customHeight="1">
      <c r="A26" s="13"/>
      <c r="B26" s="44">
        <v>3714964.0</v>
      </c>
      <c r="C26" s="47">
        <f>IFERROR(__xludf.DUMMYFUNCTION("""COMPUTED_VALUE"""),3714964.0)</f>
        <v>3714964</v>
      </c>
      <c r="D26" s="31" t="s">
        <v>9</v>
      </c>
      <c r="E26" s="31" t="s">
        <v>17</v>
      </c>
      <c r="F26" s="32"/>
      <c r="G26" s="57" t="s">
        <v>299</v>
      </c>
      <c r="H26" s="51" t="s">
        <v>83</v>
      </c>
      <c r="I26" s="13"/>
      <c r="J26" s="34"/>
      <c r="K26" s="46"/>
      <c r="L26" s="36"/>
      <c r="M26" s="34"/>
      <c r="N26" s="37"/>
      <c r="O26" s="38"/>
      <c r="P26" s="39"/>
      <c r="Q26" s="40"/>
      <c r="R26" s="41"/>
      <c r="S26" s="42"/>
      <c r="T26" s="42"/>
      <c r="U26" s="34"/>
      <c r="V26" s="34"/>
      <c r="W26" s="13"/>
    </row>
    <row r="27" ht="18.75" customHeight="1">
      <c r="A27" s="13"/>
      <c r="B27" s="56" t="s">
        <v>300</v>
      </c>
      <c r="C27" s="47">
        <f>IFERROR(__xludf.DUMMYFUNCTION("""COMPUTED_VALUE"""),2200330.0)</f>
        <v>2200330</v>
      </c>
      <c r="D27" s="31" t="s">
        <v>8</v>
      </c>
      <c r="E27" s="31" t="s">
        <v>17</v>
      </c>
      <c r="F27" s="32"/>
      <c r="G27" s="57" t="s">
        <v>301</v>
      </c>
      <c r="H27" s="51" t="s">
        <v>79</v>
      </c>
      <c r="I27" s="13"/>
      <c r="J27" s="34"/>
      <c r="K27" s="46"/>
      <c r="L27" s="36"/>
      <c r="M27" s="34"/>
      <c r="N27" s="37"/>
      <c r="O27" s="38"/>
      <c r="P27" s="39"/>
      <c r="Q27" s="40"/>
      <c r="R27" s="41"/>
      <c r="S27" s="42"/>
      <c r="T27" s="42"/>
      <c r="U27" s="34"/>
      <c r="V27" s="34"/>
      <c r="W27" s="13"/>
    </row>
    <row r="28" ht="18.75" customHeight="1">
      <c r="A28" s="13"/>
      <c r="B28" s="56" t="s">
        <v>302</v>
      </c>
      <c r="C28" s="47">
        <f>IFERROR(__xludf.DUMMYFUNCTION("""COMPUTED_VALUE"""),1733441.0)</f>
        <v>1733441</v>
      </c>
      <c r="D28" s="31" t="s">
        <v>8</v>
      </c>
      <c r="E28" s="31" t="s">
        <v>17</v>
      </c>
      <c r="F28" s="32"/>
      <c r="G28" s="57" t="s">
        <v>229</v>
      </c>
      <c r="H28" s="51" t="s">
        <v>303</v>
      </c>
      <c r="I28" s="13"/>
      <c r="J28" s="34"/>
      <c r="K28" s="46"/>
      <c r="L28" s="36"/>
      <c r="M28" s="34"/>
      <c r="N28" s="37"/>
      <c r="O28" s="38"/>
      <c r="P28" s="39"/>
      <c r="Q28" s="40"/>
      <c r="R28" s="41"/>
      <c r="S28" s="42"/>
      <c r="T28" s="42"/>
      <c r="U28" s="34"/>
      <c r="V28" s="34"/>
      <c r="W28" s="13"/>
    </row>
    <row r="29" ht="18.75" customHeight="1">
      <c r="A29" s="13"/>
      <c r="B29" s="56" t="s">
        <v>304</v>
      </c>
      <c r="C29" s="47">
        <f>IFERROR(__xludf.DUMMYFUNCTION("""COMPUTED_VALUE"""),3601684.0)</f>
        <v>3601684</v>
      </c>
      <c r="D29" s="31" t="s">
        <v>7</v>
      </c>
      <c r="E29" s="31" t="s">
        <v>17</v>
      </c>
      <c r="F29" s="32"/>
      <c r="G29" s="57" t="s">
        <v>305</v>
      </c>
      <c r="H29" s="51" t="s">
        <v>306</v>
      </c>
      <c r="I29" s="13"/>
      <c r="J29" s="34"/>
      <c r="K29" s="46"/>
      <c r="L29" s="36"/>
      <c r="M29" s="34"/>
      <c r="N29" s="37"/>
      <c r="O29" s="38"/>
      <c r="P29" s="39"/>
      <c r="Q29" s="40"/>
      <c r="R29" s="41"/>
      <c r="S29" s="42"/>
      <c r="T29" s="42"/>
      <c r="U29" s="34"/>
      <c r="V29" s="34"/>
      <c r="W29" s="13"/>
    </row>
    <row r="30" ht="18.75" customHeight="1">
      <c r="A30" s="13"/>
      <c r="B30" s="56" t="s">
        <v>307</v>
      </c>
      <c r="C30" s="47">
        <f>IFERROR(__xludf.DUMMYFUNCTION("""COMPUTED_VALUE"""),315101.0)</f>
        <v>315101</v>
      </c>
      <c r="D30" s="31" t="s">
        <v>10</v>
      </c>
      <c r="E30" s="31" t="s">
        <v>17</v>
      </c>
      <c r="F30" s="32"/>
      <c r="G30" s="57" t="s">
        <v>308</v>
      </c>
      <c r="H30" s="51" t="s">
        <v>309</v>
      </c>
      <c r="I30" s="13"/>
      <c r="J30" s="34"/>
      <c r="K30" s="46"/>
      <c r="L30" s="36"/>
      <c r="M30" s="34"/>
      <c r="N30" s="37"/>
      <c r="O30" s="38"/>
      <c r="P30" s="39"/>
      <c r="Q30" s="40"/>
      <c r="R30" s="41"/>
      <c r="S30" s="42"/>
      <c r="T30" s="42"/>
      <c r="U30" s="34"/>
      <c r="V30" s="34"/>
      <c r="W30" s="13"/>
    </row>
    <row r="31" ht="18.75" customHeight="1">
      <c r="A31" s="13"/>
      <c r="B31" s="56" t="s">
        <v>310</v>
      </c>
      <c r="C31" s="47">
        <f>IFERROR(__xludf.DUMMYFUNCTION("""COMPUTED_VALUE"""),1761258.0)</f>
        <v>1761258</v>
      </c>
      <c r="D31" s="31" t="s">
        <v>7</v>
      </c>
      <c r="E31" s="31" t="s">
        <v>17</v>
      </c>
      <c r="F31" s="32"/>
      <c r="G31" s="57" t="s">
        <v>311</v>
      </c>
      <c r="H31" s="51" t="s">
        <v>312</v>
      </c>
      <c r="I31" s="13"/>
      <c r="J31" s="34"/>
      <c r="K31" s="46"/>
      <c r="L31" s="36"/>
      <c r="M31" s="34"/>
      <c r="N31" s="37"/>
      <c r="O31" s="38"/>
      <c r="P31" s="39"/>
      <c r="Q31" s="40"/>
      <c r="R31" s="41"/>
      <c r="S31" s="42"/>
      <c r="T31" s="42"/>
      <c r="U31" s="34"/>
      <c r="V31" s="34"/>
      <c r="W31" s="13"/>
    </row>
    <row r="32" ht="18.75" customHeight="1">
      <c r="A32" s="13"/>
      <c r="B32" s="65" t="s">
        <v>313</v>
      </c>
      <c r="C32" s="47">
        <f>IFERROR(__xludf.DUMMYFUNCTION("""COMPUTED_VALUE"""),2701775.0)</f>
        <v>2701775</v>
      </c>
      <c r="D32" s="31" t="s">
        <v>11</v>
      </c>
      <c r="E32" s="32"/>
      <c r="F32" s="32"/>
      <c r="G32" s="57" t="s">
        <v>314</v>
      </c>
      <c r="H32" s="51" t="s">
        <v>315</v>
      </c>
      <c r="I32" s="13"/>
      <c r="J32" s="34"/>
      <c r="K32" s="46"/>
      <c r="L32" s="36"/>
      <c r="M32" s="34"/>
      <c r="N32" s="37"/>
      <c r="O32" s="38"/>
      <c r="P32" s="39"/>
      <c r="Q32" s="40"/>
      <c r="R32" s="41"/>
      <c r="S32" s="42"/>
      <c r="T32" s="42"/>
      <c r="U32" s="34"/>
      <c r="V32" s="34"/>
      <c r="W32" s="13"/>
    </row>
    <row r="33" ht="18.75" customHeight="1">
      <c r="A33" s="13"/>
      <c r="B33" s="56" t="s">
        <v>316</v>
      </c>
      <c r="C33" s="47">
        <f>IFERROR(__xludf.DUMMYFUNCTION("""COMPUTED_VALUE"""),3460069.0)</f>
        <v>3460069</v>
      </c>
      <c r="D33" s="31" t="s">
        <v>8</v>
      </c>
      <c r="E33" s="31" t="s">
        <v>38</v>
      </c>
      <c r="F33" s="32"/>
      <c r="G33" s="57" t="s">
        <v>235</v>
      </c>
      <c r="H33" s="33"/>
      <c r="I33" s="13"/>
      <c r="J33" s="34"/>
      <c r="K33" s="46"/>
      <c r="L33" s="36"/>
      <c r="M33" s="34"/>
      <c r="N33" s="37"/>
      <c r="O33" s="38"/>
      <c r="P33" s="39"/>
      <c r="Q33" s="40"/>
      <c r="R33" s="41"/>
      <c r="S33" s="42"/>
      <c r="T33" s="42"/>
      <c r="U33" s="34"/>
      <c r="V33" s="34"/>
      <c r="W33" s="13"/>
    </row>
    <row r="34" ht="18.75" customHeight="1">
      <c r="A34" s="13"/>
      <c r="B34" s="56" t="s">
        <v>317</v>
      </c>
      <c r="C34" s="47">
        <f>IFERROR(__xludf.DUMMYFUNCTION("""COMPUTED_VALUE"""),3053637.0)</f>
        <v>3053637</v>
      </c>
      <c r="D34" s="31" t="s">
        <v>10</v>
      </c>
      <c r="E34" s="31" t="s">
        <v>17</v>
      </c>
      <c r="F34" s="32"/>
      <c r="G34" s="57" t="s">
        <v>318</v>
      </c>
      <c r="H34" s="33"/>
      <c r="I34" s="13"/>
      <c r="J34" s="34"/>
      <c r="K34" s="46"/>
      <c r="L34" s="36"/>
      <c r="M34" s="34"/>
      <c r="N34" s="37"/>
      <c r="O34" s="38"/>
      <c r="P34" s="39"/>
      <c r="Q34" s="40"/>
      <c r="R34" s="41"/>
      <c r="S34" s="42"/>
      <c r="T34" s="42"/>
      <c r="U34" s="34"/>
      <c r="V34" s="34"/>
      <c r="W34" s="13"/>
    </row>
    <row r="35" ht="18.75" customHeight="1">
      <c r="A35" s="13"/>
      <c r="B35" s="56" t="s">
        <v>319</v>
      </c>
      <c r="C35" s="47">
        <f>IFERROR(__xludf.DUMMYFUNCTION("""COMPUTED_VALUE"""),3332932.0)</f>
        <v>3332932</v>
      </c>
      <c r="D35" s="31" t="s">
        <v>9</v>
      </c>
      <c r="E35" s="31" t="s">
        <v>17</v>
      </c>
      <c r="F35" s="32"/>
      <c r="G35" s="57" t="s">
        <v>320</v>
      </c>
      <c r="H35" s="33"/>
      <c r="I35" s="13"/>
      <c r="J35" s="34"/>
      <c r="K35" s="46"/>
      <c r="L35" s="36"/>
      <c r="M35" s="34"/>
      <c r="N35" s="37"/>
      <c r="O35" s="38"/>
      <c r="P35" s="39"/>
      <c r="Q35" s="40"/>
      <c r="R35" s="41"/>
      <c r="S35" s="42"/>
      <c r="T35" s="42"/>
      <c r="U35" s="34"/>
      <c r="V35" s="34"/>
      <c r="W35" s="13"/>
    </row>
    <row r="36" ht="18.75" customHeight="1">
      <c r="A36" s="13"/>
      <c r="B36" s="56" t="s">
        <v>321</v>
      </c>
      <c r="C36" s="47">
        <f>IFERROR(__xludf.DUMMYFUNCTION("""COMPUTED_VALUE"""),2151207.0)</f>
        <v>2151207</v>
      </c>
      <c r="D36" s="31" t="s">
        <v>11</v>
      </c>
      <c r="E36" s="31" t="s">
        <v>17</v>
      </c>
      <c r="F36" s="32"/>
      <c r="G36" s="57" t="s">
        <v>269</v>
      </c>
      <c r="H36" s="33"/>
      <c r="I36" s="13"/>
      <c r="J36" s="34"/>
      <c r="K36" s="46"/>
      <c r="L36" s="36"/>
      <c r="M36" s="34"/>
      <c r="N36" s="37"/>
      <c r="O36" s="38"/>
      <c r="P36" s="39"/>
      <c r="Q36" s="40"/>
      <c r="R36" s="41"/>
      <c r="S36" s="42"/>
      <c r="T36" s="42"/>
      <c r="U36" s="34"/>
      <c r="V36" s="34"/>
      <c r="W36" s="13"/>
    </row>
    <row r="37" ht="18.75" customHeight="1">
      <c r="A37" s="13"/>
      <c r="B37" s="56" t="s">
        <v>322</v>
      </c>
      <c r="C37" s="47">
        <f>IFERROR(__xludf.DUMMYFUNCTION("""COMPUTED_VALUE"""),3169863.0)</f>
        <v>3169863</v>
      </c>
      <c r="D37" s="31" t="s">
        <v>7</v>
      </c>
      <c r="E37" s="32"/>
      <c r="F37" s="32"/>
      <c r="G37" s="57" t="s">
        <v>323</v>
      </c>
      <c r="H37" s="33"/>
      <c r="I37" s="13"/>
      <c r="J37" s="34"/>
      <c r="K37" s="46"/>
      <c r="L37" s="36"/>
      <c r="M37" s="34"/>
      <c r="N37" s="37"/>
      <c r="O37" s="38"/>
      <c r="P37" s="39"/>
      <c r="Q37" s="40"/>
      <c r="R37" s="41"/>
      <c r="S37" s="42"/>
      <c r="T37" s="42"/>
      <c r="U37" s="34"/>
      <c r="V37" s="34"/>
      <c r="W37" s="13"/>
    </row>
    <row r="38" ht="18.75" customHeight="1">
      <c r="A38" s="13"/>
      <c r="B38" s="56" t="s">
        <v>324</v>
      </c>
      <c r="C38" s="47">
        <f>IFERROR(__xludf.DUMMYFUNCTION("""COMPUTED_VALUE"""),2891411.0)</f>
        <v>2891411</v>
      </c>
      <c r="D38" s="31" t="s">
        <v>9</v>
      </c>
      <c r="E38" s="32"/>
      <c r="F38" s="32"/>
      <c r="G38" s="57" t="s">
        <v>325</v>
      </c>
      <c r="H38" s="33"/>
      <c r="I38" s="13"/>
      <c r="J38" s="34"/>
      <c r="K38" s="46"/>
      <c r="L38" s="36"/>
      <c r="M38" s="34"/>
      <c r="N38" s="37"/>
      <c r="O38" s="38"/>
      <c r="P38" s="39"/>
      <c r="Q38" s="40"/>
      <c r="R38" s="41"/>
      <c r="S38" s="42"/>
      <c r="T38" s="42"/>
      <c r="U38" s="34"/>
      <c r="V38" s="34"/>
      <c r="W38" s="13"/>
    </row>
    <row r="39" ht="18.75" customHeight="1">
      <c r="A39" s="13"/>
      <c r="B39" s="56" t="s">
        <v>326</v>
      </c>
      <c r="C39" s="47">
        <f>IFERROR(__xludf.DUMMYFUNCTION("""COMPUTED_VALUE"""),2794904.0)</f>
        <v>2794904</v>
      </c>
      <c r="D39" s="31" t="s">
        <v>7</v>
      </c>
      <c r="E39" s="31" t="s">
        <v>17</v>
      </c>
      <c r="F39" s="32"/>
      <c r="G39" s="57" t="s">
        <v>219</v>
      </c>
      <c r="H39" s="33"/>
      <c r="I39" s="13"/>
      <c r="J39" s="34"/>
      <c r="K39" s="46"/>
      <c r="L39" s="36"/>
      <c r="M39" s="34"/>
      <c r="N39" s="37"/>
      <c r="O39" s="38"/>
      <c r="P39" s="39"/>
      <c r="Q39" s="40"/>
      <c r="R39" s="41"/>
      <c r="S39" s="42"/>
      <c r="T39" s="42"/>
      <c r="U39" s="34"/>
      <c r="V39" s="34"/>
      <c r="W39" s="13"/>
    </row>
    <row r="40" ht="18.75" customHeight="1">
      <c r="A40" s="13"/>
      <c r="B40" s="58" t="s">
        <v>327</v>
      </c>
      <c r="C40" s="47">
        <f>IFERROR(__xludf.DUMMYFUNCTION("""COMPUTED_VALUE"""),295650.0)</f>
        <v>295650</v>
      </c>
      <c r="D40" s="31" t="s">
        <v>9</v>
      </c>
      <c r="E40" s="31" t="s">
        <v>32</v>
      </c>
      <c r="F40" s="32"/>
      <c r="G40" s="57" t="s">
        <v>246</v>
      </c>
      <c r="H40" s="33"/>
      <c r="I40" s="13"/>
      <c r="J40" s="34"/>
      <c r="K40" s="46"/>
      <c r="L40" s="36"/>
      <c r="M40" s="34"/>
      <c r="N40" s="37"/>
      <c r="O40" s="38"/>
      <c r="P40" s="39"/>
      <c r="Q40" s="40"/>
      <c r="R40" s="41"/>
      <c r="S40" s="42"/>
      <c r="T40" s="42"/>
      <c r="U40" s="34"/>
      <c r="V40" s="34"/>
      <c r="W40" s="13"/>
    </row>
    <row r="41" ht="18.75" customHeight="1">
      <c r="A41" s="13"/>
      <c r="B41" s="56" t="s">
        <v>328</v>
      </c>
      <c r="C41" s="47">
        <f>IFERROR(__xludf.DUMMYFUNCTION("""COMPUTED_VALUE"""),1956568.0)</f>
        <v>1956568</v>
      </c>
      <c r="D41" s="31" t="s">
        <v>9</v>
      </c>
      <c r="E41" s="31" t="s">
        <v>17</v>
      </c>
      <c r="F41" s="32"/>
      <c r="G41" s="57" t="s">
        <v>240</v>
      </c>
      <c r="H41" s="33"/>
      <c r="I41" s="13"/>
      <c r="J41" s="34"/>
      <c r="K41" s="46"/>
      <c r="L41" s="36"/>
      <c r="M41" s="34"/>
      <c r="N41" s="37"/>
      <c r="O41" s="38"/>
      <c r="P41" s="39"/>
      <c r="Q41" s="40"/>
      <c r="R41" s="41"/>
      <c r="S41" s="42"/>
      <c r="T41" s="42"/>
      <c r="U41" s="34"/>
      <c r="V41" s="34"/>
      <c r="W41" s="13"/>
    </row>
    <row r="42" ht="18.75" customHeight="1">
      <c r="A42" s="13"/>
      <c r="B42" s="56" t="s">
        <v>329</v>
      </c>
      <c r="C42" s="47">
        <f>IFERROR(__xludf.DUMMYFUNCTION("""COMPUTED_VALUE"""),3239199.0)</f>
        <v>3239199</v>
      </c>
      <c r="D42" s="31" t="s">
        <v>7</v>
      </c>
      <c r="E42" s="31" t="s">
        <v>38</v>
      </c>
      <c r="F42" s="32"/>
      <c r="G42" s="57" t="s">
        <v>214</v>
      </c>
      <c r="H42" s="33"/>
      <c r="I42" s="13"/>
      <c r="J42" s="34"/>
      <c r="K42" s="46"/>
      <c r="L42" s="36"/>
      <c r="M42" s="34"/>
      <c r="N42" s="37"/>
      <c r="O42" s="38"/>
      <c r="P42" s="39"/>
      <c r="Q42" s="40"/>
      <c r="R42" s="41"/>
      <c r="S42" s="42"/>
      <c r="T42" s="42"/>
      <c r="U42" s="34"/>
      <c r="V42" s="34"/>
      <c r="W42" s="13"/>
    </row>
    <row r="43" ht="18.75" customHeight="1">
      <c r="A43" s="13"/>
      <c r="B43" s="56" t="s">
        <v>330</v>
      </c>
      <c r="C43" s="47">
        <f>IFERROR(__xludf.DUMMYFUNCTION("""COMPUTED_VALUE"""),3446883.0)</f>
        <v>3446883</v>
      </c>
      <c r="D43" s="31" t="s">
        <v>10</v>
      </c>
      <c r="E43" s="31" t="s">
        <v>26</v>
      </c>
      <c r="F43" s="32"/>
      <c r="G43" s="57" t="s">
        <v>252</v>
      </c>
      <c r="H43" s="33"/>
      <c r="I43" s="13"/>
      <c r="J43" s="34"/>
      <c r="K43" s="46"/>
      <c r="L43" s="36"/>
      <c r="M43" s="34"/>
      <c r="N43" s="37"/>
      <c r="O43" s="38"/>
      <c r="P43" s="39"/>
      <c r="Q43" s="40"/>
      <c r="R43" s="41"/>
      <c r="S43" s="42"/>
      <c r="T43" s="42"/>
      <c r="U43" s="34"/>
      <c r="V43" s="34"/>
      <c r="W43" s="13"/>
    </row>
    <row r="44" ht="18.75" customHeight="1">
      <c r="A44" s="13"/>
      <c r="B44" s="56" t="s">
        <v>331</v>
      </c>
      <c r="C44" s="47">
        <f>IFERROR(__xludf.DUMMYFUNCTION("""COMPUTED_VALUE"""),3616100.0)</f>
        <v>3616100</v>
      </c>
      <c r="D44" s="31" t="s">
        <v>10</v>
      </c>
      <c r="E44" s="31" t="s">
        <v>26</v>
      </c>
      <c r="F44" s="32"/>
      <c r="G44" s="57" t="s">
        <v>264</v>
      </c>
      <c r="H44" s="33"/>
      <c r="I44" s="13"/>
      <c r="J44" s="34"/>
      <c r="K44" s="46"/>
      <c r="L44" s="36"/>
      <c r="M44" s="34"/>
      <c r="N44" s="37"/>
      <c r="O44" s="38"/>
      <c r="P44" s="39"/>
      <c r="Q44" s="40"/>
      <c r="R44" s="41"/>
      <c r="S44" s="42"/>
      <c r="T44" s="42"/>
      <c r="U44" s="34"/>
      <c r="V44" s="34"/>
      <c r="W44" s="13"/>
    </row>
    <row r="45" ht="18.75" customHeight="1">
      <c r="A45" s="13"/>
      <c r="B45" s="56" t="s">
        <v>332</v>
      </c>
      <c r="C45" s="47">
        <f>IFERROR(__xludf.DUMMYFUNCTION("""COMPUTED_VALUE"""),2853477.0)</f>
        <v>2853477</v>
      </c>
      <c r="D45" s="31" t="s">
        <v>7</v>
      </c>
      <c r="E45" s="31" t="s">
        <v>17</v>
      </c>
      <c r="F45" s="32"/>
      <c r="G45" s="57" t="s">
        <v>225</v>
      </c>
      <c r="H45" s="33"/>
      <c r="I45" s="13"/>
      <c r="J45" s="34"/>
      <c r="K45" s="46"/>
      <c r="L45" s="36"/>
      <c r="M45" s="34"/>
      <c r="N45" s="37"/>
      <c r="O45" s="38"/>
      <c r="P45" s="39"/>
      <c r="Q45" s="40"/>
      <c r="R45" s="41"/>
      <c r="S45" s="42"/>
      <c r="T45" s="42"/>
      <c r="U45" s="34"/>
      <c r="V45" s="34"/>
      <c r="W45" s="13"/>
    </row>
    <row r="46" ht="18.75" customHeight="1">
      <c r="A46" s="13"/>
      <c r="B46" s="56" t="s">
        <v>333</v>
      </c>
      <c r="C46" s="47">
        <f>IFERROR(__xludf.DUMMYFUNCTION("""COMPUTED_VALUE"""),577517.0)</f>
        <v>577517</v>
      </c>
      <c r="D46" s="31" t="s">
        <v>14</v>
      </c>
      <c r="E46" s="32"/>
      <c r="F46" s="32"/>
      <c r="G46" s="57" t="s">
        <v>334</v>
      </c>
      <c r="H46" s="33"/>
      <c r="I46" s="13"/>
      <c r="J46" s="34"/>
      <c r="K46" s="46"/>
      <c r="L46" s="36"/>
      <c r="M46" s="34"/>
      <c r="N46" s="37"/>
      <c r="O46" s="38"/>
      <c r="P46" s="39"/>
      <c r="Q46" s="40"/>
      <c r="R46" s="41"/>
      <c r="S46" s="42"/>
      <c r="T46" s="42"/>
      <c r="U46" s="34"/>
      <c r="V46" s="34"/>
      <c r="W46" s="13"/>
    </row>
    <row r="47" ht="18.75" customHeight="1">
      <c r="A47" s="13"/>
      <c r="B47" s="58" t="s">
        <v>335</v>
      </c>
      <c r="C47" s="47">
        <f>IFERROR(__xludf.DUMMYFUNCTION("""COMPUTED_VALUE"""),3990086.0)</f>
        <v>3990086</v>
      </c>
      <c r="D47" s="31" t="s">
        <v>7</v>
      </c>
      <c r="E47" s="32"/>
      <c r="F47" s="32"/>
      <c r="G47" s="57" t="s">
        <v>336</v>
      </c>
      <c r="H47" s="33"/>
      <c r="I47" s="13"/>
      <c r="J47" s="34"/>
      <c r="K47" s="46"/>
      <c r="L47" s="36"/>
      <c r="M47" s="34"/>
      <c r="N47" s="37"/>
      <c r="O47" s="38"/>
      <c r="P47" s="39"/>
      <c r="Q47" s="40"/>
      <c r="R47" s="41"/>
      <c r="S47" s="42"/>
      <c r="T47" s="42"/>
      <c r="U47" s="34"/>
      <c r="V47" s="34"/>
      <c r="W47" s="13"/>
    </row>
    <row r="48" ht="18.75" customHeight="1">
      <c r="A48" s="13"/>
      <c r="B48" s="56" t="s">
        <v>337</v>
      </c>
      <c r="C48" s="47">
        <f>IFERROR(__xludf.DUMMYFUNCTION("""COMPUTED_VALUE"""),1857415.0)</f>
        <v>1857415</v>
      </c>
      <c r="D48" s="31" t="s">
        <v>14</v>
      </c>
      <c r="E48" s="31" t="s">
        <v>35</v>
      </c>
      <c r="F48" s="32"/>
      <c r="G48" s="57" t="s">
        <v>280</v>
      </c>
      <c r="H48" s="33"/>
      <c r="I48" s="13"/>
      <c r="J48" s="34"/>
      <c r="K48" s="46"/>
      <c r="L48" s="36"/>
      <c r="M48" s="34"/>
      <c r="N48" s="37"/>
      <c r="O48" s="38"/>
      <c r="P48" s="39"/>
      <c r="Q48" s="40"/>
      <c r="R48" s="41"/>
      <c r="S48" s="42"/>
      <c r="T48" s="42"/>
      <c r="U48" s="34"/>
      <c r="V48" s="34"/>
      <c r="W48" s="13"/>
    </row>
    <row r="49" ht="18.75" customHeight="1">
      <c r="A49" s="13"/>
      <c r="B49" s="56" t="s">
        <v>338</v>
      </c>
      <c r="C49" s="47">
        <f>IFERROR(__xludf.DUMMYFUNCTION("""COMPUTED_VALUE"""),2536100.0)</f>
        <v>2536100</v>
      </c>
      <c r="D49" s="31" t="s">
        <v>14</v>
      </c>
      <c r="E49" s="31" t="s">
        <v>35</v>
      </c>
      <c r="F49" s="32"/>
      <c r="G49" s="57" t="s">
        <v>339</v>
      </c>
      <c r="H49" s="33"/>
      <c r="I49" s="13"/>
      <c r="J49" s="34"/>
      <c r="K49" s="46"/>
      <c r="L49" s="36"/>
      <c r="M49" s="34"/>
      <c r="N49" s="37"/>
      <c r="O49" s="38"/>
      <c r="P49" s="39"/>
      <c r="Q49" s="40"/>
      <c r="R49" s="41"/>
      <c r="S49" s="42"/>
      <c r="T49" s="42"/>
      <c r="U49" s="34"/>
      <c r="V49" s="34"/>
      <c r="W49" s="13"/>
    </row>
    <row r="50" ht="18.75" customHeight="1">
      <c r="A50" s="13"/>
      <c r="B50" s="44"/>
      <c r="C50" s="47"/>
      <c r="D50" s="32"/>
      <c r="E50" s="32"/>
      <c r="F50" s="32"/>
      <c r="G50" s="33"/>
      <c r="H50" s="33"/>
      <c r="I50" s="13"/>
      <c r="J50" s="34"/>
      <c r="K50" s="46"/>
      <c r="L50" s="36"/>
      <c r="M50" s="34"/>
      <c r="N50" s="37"/>
      <c r="O50" s="38"/>
      <c r="P50" s="39"/>
      <c r="Q50" s="40"/>
      <c r="R50" s="41"/>
      <c r="S50" s="42"/>
      <c r="T50" s="42"/>
      <c r="U50" s="34"/>
      <c r="V50" s="34"/>
      <c r="W50" s="13"/>
    </row>
    <row r="51" ht="18.75" customHeight="1">
      <c r="A51" s="13"/>
      <c r="B51" s="48"/>
      <c r="C51" s="47"/>
      <c r="D51" s="32"/>
      <c r="E51" s="32"/>
      <c r="F51" s="32"/>
      <c r="G51" s="33"/>
      <c r="H51" s="33"/>
      <c r="I51" s="13"/>
      <c r="J51" s="34"/>
      <c r="K51" s="46"/>
      <c r="L51" s="36"/>
      <c r="M51" s="34"/>
      <c r="N51" s="37"/>
      <c r="O51" s="38"/>
      <c r="P51" s="39"/>
      <c r="Q51" s="40"/>
      <c r="R51" s="41"/>
      <c r="S51" s="42"/>
      <c r="T51" s="42"/>
      <c r="U51" s="34"/>
      <c r="V51" s="34"/>
      <c r="W51" s="13"/>
    </row>
    <row r="52" ht="18.75" customHeight="1">
      <c r="A52" s="13"/>
      <c r="B52" s="48"/>
      <c r="C52" s="47"/>
      <c r="D52" s="32"/>
      <c r="E52" s="32"/>
      <c r="F52" s="32"/>
      <c r="G52" s="33"/>
      <c r="H52" s="33"/>
      <c r="I52" s="13"/>
      <c r="J52" s="34"/>
      <c r="K52" s="46"/>
      <c r="L52" s="36"/>
      <c r="M52" s="34"/>
      <c r="N52" s="37"/>
      <c r="O52" s="38"/>
      <c r="P52" s="39"/>
      <c r="Q52" s="40"/>
      <c r="R52" s="41"/>
      <c r="S52" s="42"/>
      <c r="T52" s="42"/>
      <c r="U52" s="34"/>
      <c r="V52" s="34"/>
      <c r="W52" s="13"/>
    </row>
    <row r="53" ht="18.75" customHeight="1">
      <c r="A53" s="13"/>
      <c r="B53" s="48"/>
      <c r="C53" s="47"/>
      <c r="D53" s="32"/>
      <c r="E53" s="32"/>
      <c r="F53" s="32"/>
      <c r="G53" s="33"/>
      <c r="H53" s="33"/>
      <c r="I53" s="13"/>
      <c r="J53" s="34"/>
      <c r="K53" s="46"/>
      <c r="L53" s="36"/>
      <c r="M53" s="34"/>
      <c r="N53" s="37"/>
      <c r="O53" s="38"/>
      <c r="P53" s="39"/>
      <c r="Q53" s="40"/>
      <c r="R53" s="41"/>
      <c r="S53" s="42"/>
      <c r="T53" s="42"/>
      <c r="U53" s="34"/>
      <c r="V53" s="34"/>
      <c r="W53" s="13"/>
    </row>
    <row r="54" ht="18.75" customHeight="1">
      <c r="A54" s="13"/>
      <c r="B54" s="48"/>
      <c r="C54" s="47"/>
      <c r="D54" s="32"/>
      <c r="E54" s="32"/>
      <c r="F54" s="32"/>
      <c r="G54" s="33"/>
      <c r="H54" s="33"/>
      <c r="I54" s="13"/>
      <c r="J54" s="34"/>
      <c r="K54" s="46"/>
      <c r="L54" s="36"/>
      <c r="M54" s="34"/>
      <c r="N54" s="37"/>
      <c r="O54" s="38"/>
      <c r="P54" s="39"/>
      <c r="Q54" s="40"/>
      <c r="R54" s="41"/>
      <c r="S54" s="42"/>
      <c r="T54" s="42"/>
      <c r="U54" s="34"/>
      <c r="V54" s="34"/>
      <c r="W54" s="13"/>
    </row>
    <row r="55" ht="18.75" customHeight="1">
      <c r="A55" s="13"/>
      <c r="B55" s="48"/>
      <c r="C55" s="47"/>
      <c r="D55" s="32"/>
      <c r="E55" s="32"/>
      <c r="F55" s="32"/>
      <c r="G55" s="33"/>
      <c r="H55" s="33"/>
      <c r="I55" s="13"/>
      <c r="J55" s="34"/>
      <c r="K55" s="46"/>
      <c r="L55" s="36"/>
      <c r="M55" s="34"/>
      <c r="N55" s="37"/>
      <c r="O55" s="38"/>
      <c r="P55" s="39"/>
      <c r="Q55" s="40"/>
      <c r="R55" s="41"/>
      <c r="S55" s="42"/>
      <c r="T55" s="42"/>
      <c r="U55" s="34"/>
      <c r="V55" s="34"/>
      <c r="W55" s="13"/>
    </row>
    <row r="56" ht="18.75" customHeight="1">
      <c r="A56" s="13"/>
      <c r="B56" s="48"/>
      <c r="C56" s="47"/>
      <c r="D56" s="32"/>
      <c r="E56" s="32"/>
      <c r="F56" s="32"/>
      <c r="G56" s="33"/>
      <c r="H56" s="33"/>
      <c r="I56" s="13"/>
      <c r="J56" s="34"/>
      <c r="K56" s="46"/>
      <c r="L56" s="36"/>
      <c r="M56" s="34"/>
      <c r="N56" s="37"/>
      <c r="O56" s="38"/>
      <c r="P56" s="39"/>
      <c r="Q56" s="40"/>
      <c r="R56" s="41"/>
      <c r="S56" s="42"/>
      <c r="T56" s="42"/>
      <c r="U56" s="34"/>
      <c r="V56" s="34"/>
      <c r="W56" s="13"/>
    </row>
    <row r="57" ht="18.75" customHeight="1">
      <c r="A57" s="13"/>
      <c r="B57" s="48"/>
      <c r="C57" s="47"/>
      <c r="D57" s="32"/>
      <c r="E57" s="32"/>
      <c r="F57" s="32"/>
      <c r="G57" s="33"/>
      <c r="H57" s="33"/>
      <c r="I57" s="13"/>
      <c r="J57" s="34"/>
      <c r="K57" s="46"/>
      <c r="L57" s="36"/>
      <c r="M57" s="34"/>
      <c r="N57" s="37"/>
      <c r="O57" s="38"/>
      <c r="P57" s="39"/>
      <c r="Q57" s="40"/>
      <c r="R57" s="41"/>
      <c r="S57" s="42"/>
      <c r="T57" s="42"/>
      <c r="U57" s="34"/>
      <c r="V57" s="34"/>
      <c r="W57" s="13"/>
    </row>
    <row r="58" ht="18.75" customHeight="1">
      <c r="A58" s="13"/>
      <c r="B58" s="48"/>
      <c r="C58" s="47"/>
      <c r="D58" s="32"/>
      <c r="E58" s="32"/>
      <c r="F58" s="32"/>
      <c r="G58" s="33"/>
      <c r="H58" s="33"/>
      <c r="I58" s="13"/>
      <c r="J58" s="34"/>
      <c r="K58" s="46"/>
      <c r="L58" s="36"/>
      <c r="M58" s="34"/>
      <c r="N58" s="37"/>
      <c r="O58" s="38"/>
      <c r="P58" s="39"/>
      <c r="Q58" s="40"/>
      <c r="R58" s="41"/>
      <c r="S58" s="42"/>
      <c r="T58" s="42"/>
      <c r="U58" s="34"/>
      <c r="V58" s="34"/>
      <c r="W58" s="13"/>
    </row>
    <row r="59" ht="18.75" customHeight="1">
      <c r="A59" s="13"/>
      <c r="B59" s="48"/>
      <c r="C59" s="47"/>
      <c r="D59" s="32"/>
      <c r="E59" s="32"/>
      <c r="F59" s="32"/>
      <c r="G59" s="33"/>
      <c r="H59" s="33"/>
      <c r="I59" s="13"/>
      <c r="J59" s="34"/>
      <c r="K59" s="46"/>
      <c r="L59" s="36"/>
      <c r="M59" s="34"/>
      <c r="N59" s="37"/>
      <c r="O59" s="38"/>
      <c r="P59" s="39"/>
      <c r="Q59" s="40"/>
      <c r="R59" s="41"/>
      <c r="S59" s="42"/>
      <c r="T59" s="42"/>
      <c r="U59" s="34"/>
      <c r="V59" s="34"/>
      <c r="W59" s="13"/>
    </row>
    <row r="60" ht="18.75" customHeight="1">
      <c r="A60" s="13"/>
      <c r="B60" s="48"/>
      <c r="C60" s="47"/>
      <c r="D60" s="32"/>
      <c r="E60" s="32"/>
      <c r="F60" s="32"/>
      <c r="G60" s="33"/>
      <c r="H60" s="33"/>
      <c r="I60" s="13"/>
      <c r="J60" s="34"/>
      <c r="K60" s="46"/>
      <c r="L60" s="36"/>
      <c r="M60" s="34"/>
      <c r="N60" s="37"/>
      <c r="O60" s="38"/>
      <c r="P60" s="39"/>
      <c r="Q60" s="40"/>
      <c r="R60" s="41"/>
      <c r="S60" s="42"/>
      <c r="T60" s="42"/>
      <c r="U60" s="34"/>
      <c r="V60" s="34"/>
      <c r="W60" s="13"/>
    </row>
    <row r="61" ht="18.75" customHeight="1">
      <c r="A61" s="13"/>
      <c r="B61" s="48"/>
      <c r="C61" s="47"/>
      <c r="D61" s="32"/>
      <c r="E61" s="32"/>
      <c r="F61" s="32"/>
      <c r="G61" s="33"/>
      <c r="H61" s="33"/>
      <c r="I61" s="13"/>
      <c r="J61" s="34"/>
      <c r="K61" s="46"/>
      <c r="L61" s="36"/>
      <c r="M61" s="34"/>
      <c r="N61" s="37"/>
      <c r="O61" s="38"/>
      <c r="P61" s="39"/>
      <c r="Q61" s="40"/>
      <c r="R61" s="41"/>
      <c r="S61" s="42"/>
      <c r="T61" s="42"/>
      <c r="U61" s="34"/>
      <c r="V61" s="34"/>
      <c r="W61" s="13"/>
    </row>
    <row r="62" ht="18.75" customHeight="1">
      <c r="A62" s="13"/>
      <c r="B62" s="48"/>
      <c r="C62" s="47"/>
      <c r="D62" s="32"/>
      <c r="E62" s="32"/>
      <c r="F62" s="32"/>
      <c r="G62" s="33"/>
      <c r="H62" s="33"/>
      <c r="I62" s="13"/>
      <c r="J62" s="34"/>
      <c r="K62" s="46"/>
      <c r="L62" s="36"/>
      <c r="M62" s="34"/>
      <c r="N62" s="37"/>
      <c r="O62" s="38"/>
      <c r="P62" s="39"/>
      <c r="Q62" s="40"/>
      <c r="R62" s="41"/>
      <c r="S62" s="42"/>
      <c r="T62" s="42"/>
      <c r="U62" s="34"/>
      <c r="V62" s="34"/>
      <c r="W62" s="13"/>
    </row>
    <row r="63" ht="18.75" customHeight="1">
      <c r="A63" s="13"/>
      <c r="B63" s="48"/>
      <c r="C63" s="47"/>
      <c r="D63" s="32"/>
      <c r="E63" s="32"/>
      <c r="F63" s="32"/>
      <c r="G63" s="33"/>
      <c r="H63" s="33"/>
      <c r="I63" s="13"/>
      <c r="J63" s="34"/>
      <c r="K63" s="46"/>
      <c r="L63" s="36"/>
      <c r="M63" s="34"/>
      <c r="N63" s="37"/>
      <c r="O63" s="38"/>
      <c r="P63" s="39"/>
      <c r="Q63" s="40"/>
      <c r="R63" s="41"/>
      <c r="S63" s="42"/>
      <c r="T63" s="42"/>
      <c r="U63" s="34"/>
      <c r="V63" s="34"/>
      <c r="W63" s="13"/>
    </row>
    <row r="64" ht="18.75" customHeight="1">
      <c r="A64" s="13"/>
      <c r="B64" s="48"/>
      <c r="C64" s="47"/>
      <c r="D64" s="32"/>
      <c r="E64" s="32"/>
      <c r="F64" s="32"/>
      <c r="G64" s="33"/>
      <c r="H64" s="33"/>
      <c r="I64" s="13"/>
      <c r="J64" s="34"/>
      <c r="K64" s="46"/>
      <c r="L64" s="36"/>
      <c r="M64" s="34"/>
      <c r="N64" s="37"/>
      <c r="O64" s="38"/>
      <c r="P64" s="39"/>
      <c r="Q64" s="40"/>
      <c r="R64" s="41"/>
      <c r="S64" s="42"/>
      <c r="T64" s="42"/>
      <c r="U64" s="34"/>
      <c r="V64" s="34"/>
      <c r="W64" s="13"/>
    </row>
    <row r="65" ht="18.75" customHeight="1">
      <c r="A65" s="13"/>
      <c r="B65" s="48"/>
      <c r="C65" s="47"/>
      <c r="D65" s="32"/>
      <c r="E65" s="32"/>
      <c r="F65" s="32"/>
      <c r="G65" s="33"/>
      <c r="H65" s="33"/>
      <c r="I65" s="13"/>
      <c r="J65" s="34"/>
      <c r="K65" s="46"/>
      <c r="L65" s="36"/>
      <c r="M65" s="34"/>
      <c r="N65" s="37"/>
      <c r="O65" s="38"/>
      <c r="P65" s="39"/>
      <c r="Q65" s="40"/>
      <c r="R65" s="41"/>
      <c r="S65" s="42"/>
      <c r="T65" s="42"/>
      <c r="U65" s="34"/>
      <c r="V65" s="34"/>
      <c r="W65" s="13"/>
    </row>
    <row r="66" ht="18.75" customHeight="1">
      <c r="A66" s="13"/>
      <c r="B66" s="48"/>
      <c r="C66" s="47"/>
      <c r="D66" s="32"/>
      <c r="E66" s="32"/>
      <c r="F66" s="32"/>
      <c r="G66" s="33"/>
      <c r="H66" s="33"/>
      <c r="I66" s="13"/>
      <c r="J66" s="34"/>
      <c r="K66" s="46"/>
      <c r="L66" s="36"/>
      <c r="M66" s="34"/>
      <c r="N66" s="37"/>
      <c r="O66" s="38"/>
      <c r="P66" s="39"/>
      <c r="Q66" s="40"/>
      <c r="R66" s="41"/>
      <c r="S66" s="42"/>
      <c r="T66" s="42"/>
      <c r="U66" s="34"/>
      <c r="V66" s="34"/>
      <c r="W66" s="13"/>
    </row>
    <row r="67" ht="18.75" customHeight="1">
      <c r="A67" s="13"/>
      <c r="B67" s="48"/>
      <c r="C67" s="47"/>
      <c r="D67" s="32"/>
      <c r="E67" s="32"/>
      <c r="F67" s="32"/>
      <c r="G67" s="33"/>
      <c r="H67" s="33"/>
      <c r="I67" s="13"/>
      <c r="J67" s="34"/>
      <c r="K67" s="46"/>
      <c r="L67" s="36"/>
      <c r="M67" s="34"/>
      <c r="N67" s="37"/>
      <c r="O67" s="38"/>
      <c r="P67" s="39"/>
      <c r="Q67" s="40"/>
      <c r="R67" s="41"/>
      <c r="S67" s="42"/>
      <c r="T67" s="42"/>
      <c r="U67" s="34"/>
      <c r="V67" s="34"/>
      <c r="W67" s="13"/>
    </row>
    <row r="68" ht="18.75" customHeight="1">
      <c r="A68" s="13"/>
      <c r="B68" s="48"/>
      <c r="C68" s="47"/>
      <c r="D68" s="32"/>
      <c r="E68" s="32"/>
      <c r="F68" s="32"/>
      <c r="G68" s="33"/>
      <c r="H68" s="33"/>
      <c r="I68" s="13"/>
      <c r="J68" s="34"/>
      <c r="K68" s="46"/>
      <c r="L68" s="36"/>
      <c r="M68" s="34"/>
      <c r="N68" s="37"/>
      <c r="O68" s="38"/>
      <c r="P68" s="39"/>
      <c r="Q68" s="40"/>
      <c r="R68" s="41"/>
      <c r="S68" s="42"/>
      <c r="T68" s="42"/>
      <c r="U68" s="34"/>
      <c r="V68" s="34"/>
      <c r="W68" s="13"/>
    </row>
    <row r="69" ht="18.75" customHeight="1">
      <c r="A69" s="13"/>
      <c r="B69" s="48"/>
      <c r="C69" s="47"/>
      <c r="D69" s="32"/>
      <c r="E69" s="32"/>
      <c r="F69" s="32"/>
      <c r="G69" s="33"/>
      <c r="H69" s="33"/>
      <c r="I69" s="13"/>
      <c r="J69" s="34"/>
      <c r="K69" s="46"/>
      <c r="L69" s="36"/>
      <c r="M69" s="34"/>
      <c r="N69" s="37"/>
      <c r="O69" s="38"/>
      <c r="P69" s="39"/>
      <c r="Q69" s="40"/>
      <c r="R69" s="41"/>
      <c r="S69" s="42"/>
      <c r="T69" s="42"/>
      <c r="U69" s="34"/>
      <c r="V69" s="34"/>
      <c r="W69" s="13"/>
    </row>
    <row r="70" ht="18.75" customHeight="1">
      <c r="A70" s="13"/>
      <c r="B70" s="48"/>
      <c r="C70" s="47"/>
      <c r="D70" s="32"/>
      <c r="E70" s="32"/>
      <c r="F70" s="32"/>
      <c r="G70" s="33"/>
      <c r="H70" s="33"/>
      <c r="I70" s="13"/>
      <c r="J70" s="34"/>
      <c r="K70" s="46"/>
      <c r="L70" s="36"/>
      <c r="M70" s="34"/>
      <c r="N70" s="37"/>
      <c r="O70" s="38"/>
      <c r="P70" s="39"/>
      <c r="Q70" s="40"/>
      <c r="R70" s="41"/>
      <c r="S70" s="42"/>
      <c r="T70" s="42"/>
      <c r="U70" s="34"/>
      <c r="V70" s="34"/>
      <c r="W70" s="13"/>
    </row>
    <row r="71" ht="18.75" customHeight="1">
      <c r="A71" s="13"/>
      <c r="B71" s="48"/>
      <c r="C71" s="47"/>
      <c r="D71" s="32"/>
      <c r="E71" s="32"/>
      <c r="F71" s="32"/>
      <c r="G71" s="33"/>
      <c r="H71" s="33"/>
      <c r="I71" s="13"/>
      <c r="J71" s="34"/>
      <c r="K71" s="46"/>
      <c r="L71" s="36"/>
      <c r="M71" s="34"/>
      <c r="N71" s="37"/>
      <c r="O71" s="38"/>
      <c r="P71" s="39"/>
      <c r="Q71" s="40"/>
      <c r="R71" s="41"/>
      <c r="S71" s="42"/>
      <c r="T71" s="42"/>
      <c r="U71" s="34"/>
      <c r="V71" s="34"/>
      <c r="W71" s="13"/>
    </row>
    <row r="72" ht="18.75" customHeight="1">
      <c r="A72" s="13"/>
      <c r="B72" s="48"/>
      <c r="C72" s="47"/>
      <c r="D72" s="32"/>
      <c r="E72" s="32"/>
      <c r="F72" s="32"/>
      <c r="G72" s="33"/>
      <c r="H72" s="33"/>
      <c r="I72" s="13"/>
      <c r="J72" s="34"/>
      <c r="K72" s="46"/>
      <c r="L72" s="36"/>
      <c r="M72" s="34"/>
      <c r="N72" s="37"/>
      <c r="O72" s="38"/>
      <c r="P72" s="39"/>
      <c r="Q72" s="40"/>
      <c r="R72" s="41"/>
      <c r="S72" s="42"/>
      <c r="T72" s="42"/>
      <c r="U72" s="34"/>
      <c r="V72" s="34"/>
      <c r="W72" s="13"/>
    </row>
    <row r="73" ht="18.75" customHeight="1">
      <c r="A73" s="13"/>
      <c r="B73" s="48"/>
      <c r="C73" s="47"/>
      <c r="D73" s="32"/>
      <c r="E73" s="32"/>
      <c r="F73" s="32"/>
      <c r="G73" s="33"/>
      <c r="H73" s="33"/>
      <c r="I73" s="13"/>
      <c r="J73" s="34"/>
      <c r="K73" s="46"/>
      <c r="L73" s="36"/>
      <c r="M73" s="34"/>
      <c r="N73" s="37"/>
      <c r="O73" s="38"/>
      <c r="P73" s="39"/>
      <c r="Q73" s="40"/>
      <c r="R73" s="41"/>
      <c r="S73" s="42"/>
      <c r="T73" s="42"/>
      <c r="U73" s="34"/>
      <c r="V73" s="34"/>
      <c r="W73" s="13"/>
    </row>
    <row r="74" ht="18.75" customHeight="1">
      <c r="A74" s="13"/>
      <c r="B74" s="48"/>
      <c r="C74" s="47"/>
      <c r="D74" s="32"/>
      <c r="E74" s="32"/>
      <c r="F74" s="32"/>
      <c r="G74" s="33"/>
      <c r="H74" s="33"/>
      <c r="I74" s="13"/>
      <c r="J74" s="34"/>
      <c r="K74" s="46"/>
      <c r="L74" s="36"/>
      <c r="M74" s="34"/>
      <c r="N74" s="37"/>
      <c r="O74" s="38"/>
      <c r="P74" s="39"/>
      <c r="Q74" s="40"/>
      <c r="R74" s="41"/>
      <c r="S74" s="42"/>
      <c r="T74" s="42"/>
      <c r="U74" s="34"/>
      <c r="V74" s="34"/>
      <c r="W74" s="13"/>
    </row>
    <row r="75" ht="18.75" customHeight="1">
      <c r="A75" s="13"/>
      <c r="B75" s="48"/>
      <c r="C75" s="47"/>
      <c r="D75" s="32"/>
      <c r="E75" s="32"/>
      <c r="F75" s="32"/>
      <c r="G75" s="33"/>
      <c r="H75" s="33"/>
      <c r="I75" s="13"/>
      <c r="J75" s="34"/>
      <c r="K75" s="46"/>
      <c r="L75" s="36"/>
      <c r="M75" s="34"/>
      <c r="N75" s="37"/>
      <c r="O75" s="38"/>
      <c r="P75" s="39"/>
      <c r="Q75" s="40"/>
      <c r="R75" s="41"/>
      <c r="S75" s="42"/>
      <c r="T75" s="42"/>
      <c r="U75" s="34"/>
      <c r="V75" s="34"/>
      <c r="W75" s="13"/>
    </row>
    <row r="76" ht="18.75" customHeight="1">
      <c r="A76" s="13"/>
      <c r="B76" s="48"/>
      <c r="C76" s="47"/>
      <c r="D76" s="32"/>
      <c r="E76" s="32"/>
      <c r="F76" s="32"/>
      <c r="G76" s="33"/>
      <c r="H76" s="33"/>
      <c r="I76" s="13"/>
      <c r="J76" s="34"/>
      <c r="K76" s="46"/>
      <c r="L76" s="36"/>
      <c r="M76" s="34"/>
      <c r="N76" s="37"/>
      <c r="O76" s="38"/>
      <c r="P76" s="39"/>
      <c r="Q76" s="40"/>
      <c r="R76" s="41"/>
      <c r="S76" s="42"/>
      <c r="T76" s="42"/>
      <c r="U76" s="34"/>
      <c r="V76" s="34"/>
      <c r="W76" s="13"/>
    </row>
    <row r="77" ht="18.75" customHeight="1">
      <c r="A77" s="13"/>
      <c r="B77" s="48"/>
      <c r="C77" s="47"/>
      <c r="D77" s="32"/>
      <c r="E77" s="32"/>
      <c r="F77" s="32"/>
      <c r="G77" s="33"/>
      <c r="H77" s="33"/>
      <c r="I77" s="13"/>
      <c r="J77" s="34"/>
      <c r="K77" s="46"/>
      <c r="L77" s="36"/>
      <c r="M77" s="34"/>
      <c r="N77" s="37"/>
      <c r="O77" s="38"/>
      <c r="P77" s="39"/>
      <c r="Q77" s="40"/>
      <c r="R77" s="41"/>
      <c r="S77" s="42"/>
      <c r="T77" s="42"/>
      <c r="U77" s="34"/>
      <c r="V77" s="34"/>
      <c r="W77" s="13"/>
    </row>
    <row r="78" ht="18.75" customHeight="1">
      <c r="A78" s="13"/>
      <c r="B78" s="48"/>
      <c r="C78" s="47"/>
      <c r="D78" s="32"/>
      <c r="E78" s="32"/>
      <c r="F78" s="32"/>
      <c r="G78" s="33"/>
      <c r="H78" s="33"/>
      <c r="I78" s="13"/>
      <c r="J78" s="34"/>
      <c r="K78" s="46"/>
      <c r="L78" s="36"/>
      <c r="M78" s="34"/>
      <c r="N78" s="37"/>
      <c r="O78" s="38"/>
      <c r="P78" s="39"/>
      <c r="Q78" s="40"/>
      <c r="R78" s="41"/>
      <c r="S78" s="42"/>
      <c r="T78" s="42"/>
      <c r="U78" s="34"/>
      <c r="V78" s="34"/>
      <c r="W78" s="13"/>
    </row>
    <row r="79" ht="18.75" customHeight="1">
      <c r="A79" s="13"/>
      <c r="B79" s="48"/>
      <c r="C79" s="47"/>
      <c r="D79" s="32"/>
      <c r="E79" s="32"/>
      <c r="F79" s="32"/>
      <c r="G79" s="33"/>
      <c r="H79" s="33"/>
      <c r="I79" s="13"/>
      <c r="J79" s="34"/>
      <c r="K79" s="46"/>
      <c r="L79" s="36"/>
      <c r="M79" s="34"/>
      <c r="N79" s="37"/>
      <c r="O79" s="38"/>
      <c r="P79" s="39"/>
      <c r="Q79" s="40"/>
      <c r="R79" s="41"/>
      <c r="S79" s="42"/>
      <c r="T79" s="42"/>
      <c r="U79" s="34"/>
      <c r="V79" s="34"/>
      <c r="W79" s="13"/>
    </row>
    <row r="80" ht="18.75" customHeight="1">
      <c r="A80" s="13"/>
      <c r="B80" s="48"/>
      <c r="C80" s="47"/>
      <c r="D80" s="32"/>
      <c r="E80" s="32"/>
      <c r="F80" s="32"/>
      <c r="G80" s="33"/>
      <c r="H80" s="33"/>
      <c r="I80" s="13"/>
      <c r="J80" s="34"/>
      <c r="K80" s="46"/>
      <c r="L80" s="36"/>
      <c r="M80" s="34"/>
      <c r="N80" s="37"/>
      <c r="O80" s="38"/>
      <c r="P80" s="39"/>
      <c r="Q80" s="40"/>
      <c r="R80" s="41"/>
      <c r="S80" s="42"/>
      <c r="T80" s="42"/>
      <c r="U80" s="34"/>
      <c r="V80" s="34"/>
      <c r="W80" s="13"/>
    </row>
    <row r="81" ht="18.75" customHeight="1">
      <c r="A81" s="13"/>
      <c r="B81" s="48"/>
      <c r="C81" s="47"/>
      <c r="D81" s="32"/>
      <c r="E81" s="32"/>
      <c r="F81" s="32"/>
      <c r="G81" s="33"/>
      <c r="H81" s="33"/>
      <c r="I81" s="13"/>
      <c r="J81" s="34"/>
      <c r="K81" s="46"/>
      <c r="L81" s="36"/>
      <c r="M81" s="34"/>
      <c r="N81" s="37"/>
      <c r="O81" s="38"/>
      <c r="P81" s="39"/>
      <c r="Q81" s="40"/>
      <c r="R81" s="41"/>
      <c r="S81" s="42"/>
      <c r="T81" s="42"/>
      <c r="U81" s="34"/>
      <c r="V81" s="34"/>
      <c r="W81" s="13"/>
    </row>
    <row r="82" ht="18.75" customHeight="1">
      <c r="A82" s="13"/>
      <c r="B82" s="48"/>
      <c r="C82" s="47"/>
      <c r="D82" s="32"/>
      <c r="E82" s="32"/>
      <c r="F82" s="32"/>
      <c r="G82" s="33"/>
      <c r="H82" s="33"/>
      <c r="I82" s="13"/>
      <c r="J82" s="34"/>
      <c r="K82" s="46"/>
      <c r="L82" s="36"/>
      <c r="M82" s="34"/>
      <c r="N82" s="37"/>
      <c r="O82" s="38"/>
      <c r="P82" s="39"/>
      <c r="Q82" s="40"/>
      <c r="R82" s="41"/>
      <c r="S82" s="42"/>
      <c r="T82" s="42"/>
      <c r="U82" s="34"/>
      <c r="V82" s="34"/>
      <c r="W82" s="13"/>
    </row>
    <row r="83" ht="18.75" customHeight="1">
      <c r="A83" s="13"/>
      <c r="B83" s="48"/>
      <c r="C83" s="47"/>
      <c r="D83" s="32"/>
      <c r="E83" s="32"/>
      <c r="F83" s="32"/>
      <c r="G83" s="33"/>
      <c r="H83" s="33"/>
      <c r="I83" s="13"/>
      <c r="J83" s="34"/>
      <c r="K83" s="46"/>
      <c r="L83" s="36"/>
      <c r="M83" s="34"/>
      <c r="N83" s="37"/>
      <c r="O83" s="38"/>
      <c r="P83" s="39"/>
      <c r="Q83" s="40"/>
      <c r="R83" s="41"/>
      <c r="S83" s="42"/>
      <c r="T83" s="42"/>
      <c r="U83" s="34"/>
      <c r="V83" s="34"/>
      <c r="W83" s="13"/>
    </row>
    <row r="84" ht="18.75" customHeight="1">
      <c r="A84" s="13"/>
      <c r="B84" s="48"/>
      <c r="C84" s="47"/>
      <c r="D84" s="32"/>
      <c r="E84" s="32"/>
      <c r="F84" s="32"/>
      <c r="G84" s="33"/>
      <c r="H84" s="33"/>
      <c r="I84" s="13"/>
      <c r="J84" s="34"/>
      <c r="K84" s="46"/>
      <c r="L84" s="36"/>
      <c r="M84" s="34"/>
      <c r="N84" s="37"/>
      <c r="O84" s="38"/>
      <c r="P84" s="39"/>
      <c r="Q84" s="40"/>
      <c r="R84" s="41"/>
      <c r="S84" s="42"/>
      <c r="T84" s="42"/>
      <c r="U84" s="34"/>
      <c r="V84" s="34"/>
      <c r="W84" s="13"/>
    </row>
    <row r="85" ht="18.75" customHeight="1">
      <c r="A85" s="13"/>
      <c r="B85" s="48"/>
      <c r="C85" s="47"/>
      <c r="D85" s="32"/>
      <c r="E85" s="32"/>
      <c r="F85" s="32"/>
      <c r="G85" s="33"/>
      <c r="H85" s="33"/>
      <c r="I85" s="13"/>
      <c r="J85" s="34"/>
      <c r="K85" s="46"/>
      <c r="L85" s="36"/>
      <c r="M85" s="34"/>
      <c r="N85" s="37"/>
      <c r="O85" s="38"/>
      <c r="P85" s="39"/>
      <c r="Q85" s="40"/>
      <c r="R85" s="41"/>
      <c r="S85" s="42"/>
      <c r="T85" s="42"/>
      <c r="U85" s="34"/>
      <c r="V85" s="34"/>
      <c r="W85" s="13"/>
    </row>
    <row r="86" ht="18.75" customHeight="1">
      <c r="A86" s="13"/>
      <c r="B86" s="48"/>
      <c r="C86" s="47"/>
      <c r="D86" s="32"/>
      <c r="E86" s="32"/>
      <c r="F86" s="32"/>
      <c r="G86" s="33"/>
      <c r="H86" s="33"/>
      <c r="I86" s="13"/>
      <c r="J86" s="34"/>
      <c r="K86" s="46"/>
      <c r="L86" s="36"/>
      <c r="M86" s="34"/>
      <c r="N86" s="37"/>
      <c r="O86" s="38"/>
      <c r="P86" s="39"/>
      <c r="Q86" s="40"/>
      <c r="R86" s="41"/>
      <c r="S86" s="42"/>
      <c r="T86" s="42"/>
      <c r="U86" s="34"/>
      <c r="V86" s="34"/>
      <c r="W86" s="13"/>
    </row>
    <row r="87" ht="18.75" customHeight="1">
      <c r="A87" s="13"/>
      <c r="B87" s="48"/>
      <c r="C87" s="47"/>
      <c r="D87" s="32"/>
      <c r="E87" s="32"/>
      <c r="F87" s="32"/>
      <c r="G87" s="33"/>
      <c r="H87" s="33"/>
      <c r="I87" s="13"/>
      <c r="J87" s="34"/>
      <c r="K87" s="46"/>
      <c r="L87" s="36"/>
      <c r="M87" s="34"/>
      <c r="N87" s="37"/>
      <c r="O87" s="38"/>
      <c r="P87" s="39"/>
      <c r="Q87" s="40"/>
      <c r="R87" s="41"/>
      <c r="S87" s="42"/>
      <c r="T87" s="42"/>
      <c r="U87" s="34"/>
      <c r="V87" s="34"/>
      <c r="W87" s="13"/>
    </row>
    <row r="88" ht="18.75" customHeight="1">
      <c r="A88" s="13"/>
      <c r="B88" s="48"/>
      <c r="C88" s="47"/>
      <c r="D88" s="32"/>
      <c r="E88" s="32"/>
      <c r="F88" s="32"/>
      <c r="G88" s="33"/>
      <c r="H88" s="33"/>
      <c r="I88" s="13"/>
      <c r="J88" s="34"/>
      <c r="K88" s="46"/>
      <c r="L88" s="36"/>
      <c r="M88" s="34"/>
      <c r="N88" s="37"/>
      <c r="O88" s="38"/>
      <c r="P88" s="39"/>
      <c r="Q88" s="40"/>
      <c r="R88" s="41"/>
      <c r="S88" s="42"/>
      <c r="T88" s="42"/>
      <c r="U88" s="34"/>
      <c r="V88" s="34"/>
      <c r="W88" s="13"/>
    </row>
    <row r="89" ht="18.75" customHeight="1">
      <c r="A89" s="13"/>
      <c r="B89" s="48"/>
      <c r="C89" s="47"/>
      <c r="D89" s="32"/>
      <c r="E89" s="32"/>
      <c r="F89" s="32"/>
      <c r="G89" s="33"/>
      <c r="H89" s="33"/>
      <c r="I89" s="13"/>
      <c r="J89" s="34"/>
      <c r="K89" s="46"/>
      <c r="L89" s="36"/>
      <c r="M89" s="34"/>
      <c r="N89" s="37"/>
      <c r="O89" s="38"/>
      <c r="P89" s="39"/>
      <c r="Q89" s="40"/>
      <c r="R89" s="41"/>
      <c r="S89" s="42"/>
      <c r="T89" s="42"/>
      <c r="U89" s="34"/>
      <c r="V89" s="34"/>
      <c r="W89" s="13"/>
    </row>
    <row r="90" ht="18.75" customHeight="1">
      <c r="A90" s="13"/>
      <c r="B90" s="48"/>
      <c r="C90" s="47"/>
      <c r="D90" s="32"/>
      <c r="E90" s="32"/>
      <c r="F90" s="32"/>
      <c r="G90" s="33"/>
      <c r="H90" s="33"/>
      <c r="I90" s="13"/>
      <c r="J90" s="34"/>
      <c r="K90" s="46"/>
      <c r="L90" s="36"/>
      <c r="M90" s="34"/>
      <c r="N90" s="37"/>
      <c r="O90" s="38"/>
      <c r="P90" s="39"/>
      <c r="Q90" s="40"/>
      <c r="R90" s="41"/>
      <c r="S90" s="42"/>
      <c r="T90" s="42"/>
      <c r="U90" s="34"/>
      <c r="V90" s="34"/>
      <c r="W90" s="13"/>
    </row>
    <row r="91" ht="18.75" customHeight="1">
      <c r="A91" s="13"/>
      <c r="B91" s="48"/>
      <c r="C91" s="47"/>
      <c r="D91" s="32"/>
      <c r="E91" s="32"/>
      <c r="F91" s="32"/>
      <c r="G91" s="33"/>
      <c r="H91" s="33"/>
      <c r="I91" s="13"/>
      <c r="J91" s="34"/>
      <c r="K91" s="46"/>
      <c r="L91" s="36"/>
      <c r="M91" s="34"/>
      <c r="N91" s="37"/>
      <c r="O91" s="38"/>
      <c r="P91" s="39"/>
      <c r="Q91" s="40"/>
      <c r="R91" s="41"/>
      <c r="S91" s="42"/>
      <c r="T91" s="42"/>
      <c r="U91" s="34"/>
      <c r="V91" s="34"/>
      <c r="W91" s="13"/>
    </row>
    <row r="92" ht="18.75" customHeight="1">
      <c r="A92" s="13"/>
      <c r="B92" s="48"/>
      <c r="C92" s="47"/>
      <c r="D92" s="32"/>
      <c r="E92" s="32"/>
      <c r="F92" s="32"/>
      <c r="G92" s="33"/>
      <c r="H92" s="33"/>
      <c r="I92" s="13"/>
      <c r="J92" s="34"/>
      <c r="K92" s="46"/>
      <c r="L92" s="36"/>
      <c r="M92" s="34"/>
      <c r="N92" s="37"/>
      <c r="O92" s="38"/>
      <c r="P92" s="39"/>
      <c r="Q92" s="40"/>
      <c r="R92" s="41"/>
      <c r="S92" s="42"/>
      <c r="T92" s="42"/>
      <c r="U92" s="34"/>
      <c r="V92" s="34"/>
      <c r="W92" s="13"/>
    </row>
    <row r="93" ht="18.75" customHeight="1">
      <c r="A93" s="13"/>
      <c r="B93" s="48"/>
      <c r="C93" s="47"/>
      <c r="D93" s="32"/>
      <c r="E93" s="32"/>
      <c r="F93" s="32"/>
      <c r="G93" s="33"/>
      <c r="H93" s="33"/>
      <c r="I93" s="13"/>
      <c r="J93" s="34"/>
      <c r="K93" s="46"/>
      <c r="L93" s="36"/>
      <c r="M93" s="34"/>
      <c r="N93" s="37"/>
      <c r="O93" s="38"/>
      <c r="P93" s="39"/>
      <c r="Q93" s="40"/>
      <c r="R93" s="41"/>
      <c r="S93" s="42"/>
      <c r="T93" s="42"/>
      <c r="U93" s="34"/>
      <c r="V93" s="34"/>
      <c r="W93" s="13"/>
    </row>
    <row r="94" ht="18.75" customHeight="1">
      <c r="A94" s="13"/>
      <c r="B94" s="48"/>
      <c r="C94" s="47"/>
      <c r="D94" s="32"/>
      <c r="E94" s="32"/>
      <c r="F94" s="32"/>
      <c r="G94" s="33"/>
      <c r="H94" s="33"/>
      <c r="I94" s="13"/>
      <c r="J94" s="34"/>
      <c r="K94" s="46"/>
      <c r="L94" s="36"/>
      <c r="M94" s="34"/>
      <c r="N94" s="37"/>
      <c r="O94" s="38"/>
      <c r="P94" s="39"/>
      <c r="Q94" s="40"/>
      <c r="R94" s="41"/>
      <c r="S94" s="42"/>
      <c r="T94" s="42"/>
      <c r="U94" s="34"/>
      <c r="V94" s="34"/>
      <c r="W94" s="13"/>
    </row>
    <row r="95" ht="18.75" customHeight="1">
      <c r="A95" s="13"/>
      <c r="B95" s="48"/>
      <c r="C95" s="47"/>
      <c r="D95" s="32"/>
      <c r="E95" s="32"/>
      <c r="F95" s="32"/>
      <c r="G95" s="33"/>
      <c r="H95" s="33"/>
      <c r="I95" s="13"/>
      <c r="J95" s="34"/>
      <c r="K95" s="46"/>
      <c r="L95" s="36"/>
      <c r="M95" s="34"/>
      <c r="N95" s="37"/>
      <c r="O95" s="38"/>
      <c r="P95" s="39"/>
      <c r="Q95" s="40"/>
      <c r="R95" s="41"/>
      <c r="S95" s="42"/>
      <c r="T95" s="42"/>
      <c r="U95" s="34"/>
      <c r="V95" s="34"/>
      <c r="W95" s="13"/>
    </row>
    <row r="96" ht="18.75" customHeight="1">
      <c r="A96" s="13"/>
      <c r="B96" s="48"/>
      <c r="C96" s="47"/>
      <c r="D96" s="32"/>
      <c r="E96" s="32"/>
      <c r="F96" s="32"/>
      <c r="G96" s="33"/>
      <c r="H96" s="33"/>
      <c r="I96" s="13"/>
      <c r="J96" s="34"/>
      <c r="K96" s="46"/>
      <c r="L96" s="36"/>
      <c r="M96" s="34"/>
      <c r="N96" s="37"/>
      <c r="O96" s="38"/>
      <c r="P96" s="39"/>
      <c r="Q96" s="40"/>
      <c r="R96" s="41"/>
      <c r="S96" s="42"/>
      <c r="T96" s="42"/>
      <c r="U96" s="34"/>
      <c r="V96" s="34"/>
      <c r="W96" s="13"/>
    </row>
    <row r="97" ht="18.75" customHeight="1">
      <c r="A97" s="13"/>
      <c r="B97" s="48"/>
      <c r="C97" s="47"/>
      <c r="D97" s="32"/>
      <c r="E97" s="32"/>
      <c r="F97" s="32"/>
      <c r="G97" s="33"/>
      <c r="H97" s="33"/>
      <c r="I97" s="13"/>
      <c r="J97" s="34"/>
      <c r="K97" s="46"/>
      <c r="L97" s="36"/>
      <c r="M97" s="34"/>
      <c r="N97" s="37"/>
      <c r="O97" s="38"/>
      <c r="P97" s="39"/>
      <c r="Q97" s="40"/>
      <c r="R97" s="41"/>
      <c r="S97" s="42"/>
      <c r="T97" s="42"/>
      <c r="U97" s="34"/>
      <c r="V97" s="34"/>
      <c r="W97" s="13"/>
    </row>
    <row r="98" ht="18.75" customHeight="1">
      <c r="A98" s="13"/>
      <c r="B98" s="48"/>
      <c r="C98" s="47"/>
      <c r="D98" s="32"/>
      <c r="E98" s="32"/>
      <c r="F98" s="32"/>
      <c r="G98" s="33"/>
      <c r="H98" s="33"/>
      <c r="I98" s="13"/>
      <c r="J98" s="34"/>
      <c r="K98" s="46"/>
      <c r="L98" s="36"/>
      <c r="M98" s="34"/>
      <c r="N98" s="37"/>
      <c r="O98" s="38"/>
      <c r="P98" s="39"/>
      <c r="Q98" s="40"/>
      <c r="R98" s="41"/>
      <c r="S98" s="42"/>
      <c r="T98" s="42"/>
      <c r="U98" s="34"/>
      <c r="V98" s="34"/>
      <c r="W98" s="13"/>
    </row>
    <row r="99" ht="18.75" customHeight="1">
      <c r="A99" s="13"/>
      <c r="B99" s="48"/>
      <c r="C99" s="47"/>
      <c r="D99" s="32"/>
      <c r="E99" s="32"/>
      <c r="F99" s="32"/>
      <c r="G99" s="33"/>
      <c r="H99" s="33"/>
      <c r="I99" s="13"/>
      <c r="J99" s="34"/>
      <c r="K99" s="46"/>
      <c r="L99" s="36"/>
      <c r="M99" s="34"/>
      <c r="N99" s="37"/>
      <c r="O99" s="38"/>
      <c r="P99" s="39"/>
      <c r="Q99" s="40"/>
      <c r="R99" s="41"/>
      <c r="S99" s="42"/>
      <c r="T99" s="42"/>
      <c r="U99" s="34"/>
      <c r="V99" s="34"/>
      <c r="W99" s="13"/>
    </row>
    <row r="100" ht="18.75" customHeight="1">
      <c r="A100" s="13"/>
      <c r="B100" s="48"/>
      <c r="C100" s="47"/>
      <c r="D100" s="32"/>
      <c r="E100" s="32"/>
      <c r="F100" s="32"/>
      <c r="G100" s="33"/>
      <c r="H100" s="33"/>
      <c r="I100" s="13"/>
      <c r="J100" s="34"/>
      <c r="K100" s="46"/>
      <c r="L100" s="36"/>
      <c r="M100" s="34"/>
      <c r="N100" s="37"/>
      <c r="O100" s="38"/>
      <c r="P100" s="39"/>
      <c r="Q100" s="40"/>
      <c r="R100" s="41"/>
      <c r="S100" s="42"/>
      <c r="T100" s="42"/>
      <c r="U100" s="34"/>
      <c r="V100" s="34"/>
      <c r="W100" s="13"/>
    </row>
    <row r="101" ht="18.75" customHeight="1">
      <c r="A101" s="13"/>
      <c r="B101" s="48"/>
      <c r="C101" s="47"/>
      <c r="D101" s="32"/>
      <c r="E101" s="32"/>
      <c r="F101" s="32"/>
      <c r="G101" s="33"/>
      <c r="H101" s="33"/>
      <c r="I101" s="13"/>
      <c r="J101" s="34"/>
      <c r="K101" s="46"/>
      <c r="L101" s="36"/>
      <c r="M101" s="34"/>
      <c r="N101" s="37"/>
      <c r="O101" s="38"/>
      <c r="P101" s="39"/>
      <c r="Q101" s="40"/>
      <c r="R101" s="41"/>
      <c r="S101" s="42"/>
      <c r="T101" s="42"/>
      <c r="U101" s="34"/>
      <c r="V101" s="34"/>
      <c r="W101" s="13"/>
    </row>
    <row r="102" ht="18.75" customHeight="1">
      <c r="A102" s="13"/>
      <c r="B102" s="48"/>
      <c r="C102" s="47"/>
      <c r="D102" s="32"/>
      <c r="E102" s="32"/>
      <c r="F102" s="32"/>
      <c r="G102" s="33"/>
      <c r="H102" s="33"/>
      <c r="I102" s="13"/>
      <c r="J102" s="34"/>
      <c r="K102" s="46"/>
      <c r="L102" s="36"/>
      <c r="M102" s="34"/>
      <c r="N102" s="37"/>
      <c r="O102" s="38"/>
      <c r="P102" s="39"/>
      <c r="Q102" s="40"/>
      <c r="R102" s="41"/>
      <c r="S102" s="42"/>
      <c r="T102" s="42"/>
      <c r="U102" s="34"/>
      <c r="V102" s="34"/>
      <c r="W102" s="13"/>
    </row>
    <row r="103" ht="18.75" customHeight="1">
      <c r="A103" s="13"/>
      <c r="B103" s="48"/>
      <c r="C103" s="47"/>
      <c r="D103" s="32"/>
      <c r="E103" s="32"/>
      <c r="F103" s="32"/>
      <c r="G103" s="33"/>
      <c r="H103" s="33"/>
      <c r="I103" s="13"/>
      <c r="J103" s="34"/>
      <c r="K103" s="46"/>
      <c r="L103" s="36"/>
      <c r="M103" s="34"/>
      <c r="N103" s="37"/>
      <c r="O103" s="38"/>
      <c r="P103" s="39"/>
      <c r="Q103" s="40"/>
      <c r="R103" s="41"/>
      <c r="S103" s="42"/>
      <c r="T103" s="42"/>
      <c r="U103" s="34"/>
      <c r="V103" s="34"/>
      <c r="W103" s="13"/>
    </row>
    <row r="104" ht="18.75" customHeight="1">
      <c r="A104" s="13"/>
      <c r="B104" s="48"/>
      <c r="C104" s="47"/>
      <c r="D104" s="32"/>
      <c r="E104" s="32"/>
      <c r="F104" s="32"/>
      <c r="G104" s="33"/>
      <c r="H104" s="33"/>
      <c r="I104" s="13"/>
      <c r="J104" s="34"/>
      <c r="K104" s="46"/>
      <c r="L104" s="36"/>
      <c r="M104" s="34"/>
      <c r="N104" s="37"/>
      <c r="O104" s="38"/>
      <c r="P104" s="39"/>
      <c r="Q104" s="40"/>
      <c r="R104" s="41"/>
      <c r="S104" s="42"/>
      <c r="T104" s="42"/>
      <c r="U104" s="34"/>
      <c r="V104" s="34"/>
      <c r="W104" s="13"/>
    </row>
  </sheetData>
  <mergeCells count="4">
    <mergeCell ref="B3:H3"/>
    <mergeCell ref="J3:V3"/>
    <mergeCell ref="F4:G4"/>
    <mergeCell ref="M4:N4"/>
  </mergeCells>
  <conditionalFormatting sqref="L5:L104">
    <cfRule type="expression" dxfId="0" priority="1">
      <formula>LEFT($L5,2)="NM"</formula>
    </cfRule>
  </conditionalFormatting>
  <conditionalFormatting sqref="L5:L104">
    <cfRule type="expression" dxfId="1" priority="2">
      <formula>LEFT($L5,2)="HD"</formula>
    </cfRule>
  </conditionalFormatting>
  <conditionalFormatting sqref="L5:L104">
    <cfRule type="expression" dxfId="2" priority="3">
      <formula>LEFT($L5,2)="HR"</formula>
    </cfRule>
  </conditionalFormatting>
  <conditionalFormatting sqref="L5:L104">
    <cfRule type="expression" dxfId="3" priority="4">
      <formula>LEFT($L5,2)="DT"</formula>
    </cfRule>
  </conditionalFormatting>
  <conditionalFormatting sqref="L5:L104">
    <cfRule type="expression" dxfId="4" priority="5">
      <formula>LEFT($L5,2)="FM"</formula>
    </cfRule>
  </conditionalFormatting>
  <conditionalFormatting sqref="L5:L104">
    <cfRule type="expression" dxfId="5" priority="6">
      <formula>LEFT($L5,2)="TB"</formula>
    </cfRule>
  </conditionalFormatting>
  <conditionalFormatting sqref="L5:L104">
    <cfRule type="expression" dxfId="6" priority="7">
      <formula>LEFT($L5,2)="EZ"</formula>
    </cfRule>
  </conditionalFormatting>
  <conditionalFormatting sqref="L5:L104">
    <cfRule type="expression" dxfId="7" priority="8">
      <formula>LEFT($L5,2)="HT"</formula>
    </cfRule>
  </conditionalFormatting>
  <conditionalFormatting sqref="J5:V104">
    <cfRule type="expression" dxfId="8" priority="9">
      <formula>LEFT($L5,2)&lt;&gt;""</formula>
    </cfRule>
  </conditionalFormatting>
  <conditionalFormatting sqref="B5:H104 K5:K19">
    <cfRule type="expression" dxfId="2" priority="10">
      <formula>COUNTIF($C$5:$C$104,$C5)&gt;1</formula>
    </cfRule>
  </conditionalFormatting>
  <conditionalFormatting sqref="B5:H104 K5:K19">
    <cfRule type="expression" dxfId="9" priority="11">
      <formula>COUNTIF($K$5:$K104,$C5)=1</formula>
    </cfRule>
  </conditionalFormatting>
  <dataValidations>
    <dataValidation type="list" allowBlank="1" sqref="B2">
      <formula1>Settings!$E$3:$E$12</formula1>
    </dataValidation>
    <dataValidation type="list" allowBlank="1" showDropDown="1" sqref="K20:K104">
      <formula1>'_api'!$A$3:$A$1007</formula1>
    </dataValidation>
    <dataValidation type="list" allowBlank="1" sqref="D5:D104">
      <formula1>Settings!$I$2:$P$2</formula1>
    </dataValidation>
    <dataValidation type="list" allowBlank="1" sqref="E5:E104">
      <formula1>Settings!$B$3:$B$12</formula1>
    </dataValidation>
  </dataValidations>
  <hyperlinks>
    <hyperlink r:id="rId2" location="osu/306038" ref="B5"/>
    <hyperlink r:id="rId3" location="osu/3563790" ref="B6"/>
    <hyperlink r:id="rId4" location="osu/3563790" ref="G6"/>
    <hyperlink r:id="rId5" location="osu/2004679" ref="N6"/>
    <hyperlink r:id="rId6" location="osu/3496410" ref="B7"/>
    <hyperlink r:id="rId7" location="osu/3496410" ref="G7"/>
    <hyperlink r:id="rId8" location="osu/3239199" ref="N7"/>
    <hyperlink r:id="rId9" location="osu/3887774" ref="B8"/>
    <hyperlink r:id="rId10" location="osu/3887774" ref="G8"/>
    <hyperlink r:id="rId11" location="osu/2794904" ref="N8"/>
    <hyperlink r:id="rId12" location="osu/2827293" ref="B9"/>
    <hyperlink r:id="rId13" location="osu/2827293" ref="G9"/>
    <hyperlink r:id="rId14" location="osu/2853477" ref="N9"/>
    <hyperlink r:id="rId15" location="osu/2004679" ref="B10"/>
    <hyperlink r:id="rId16" location="osu/2004679" ref="G10"/>
    <hyperlink r:id="rId17" location="osu/1733441" ref="N10"/>
    <hyperlink r:id="rId18" location="osu/3117101" ref="B11"/>
    <hyperlink r:id="rId19" location="osu/3117101" ref="G11"/>
    <hyperlink r:id="rId20" location="osu/3460069" ref="N11"/>
    <hyperlink r:id="rId21" location="osu/1489274" ref="B12"/>
    <hyperlink r:id="rId22" location="osu/1489274" ref="G12"/>
    <hyperlink r:id="rId23" location="osu/1956568" ref="N12"/>
    <hyperlink r:id="rId24" location="osu/4082310" ref="B13"/>
    <hyperlink r:id="rId25" location="osu/4082310" ref="G13"/>
    <hyperlink r:id="rId26" location="osu/295650" ref="N13"/>
    <hyperlink r:id="rId27" location="osu/155064" ref="B14"/>
    <hyperlink r:id="rId28" location="osu/155064" ref="G14"/>
    <hyperlink r:id="rId29" location="osu/3446883" ref="N14"/>
    <hyperlink r:id="rId30" location="osu/4024821" ref="B15"/>
    <hyperlink r:id="rId31" location="osu/4024821" ref="G15"/>
    <hyperlink r:id="rId32" location="osu/1521209" ref="N15"/>
    <hyperlink r:id="rId33" location="osu/2729314" ref="B16"/>
    <hyperlink r:id="rId34" location="osu/2729314" ref="G16"/>
    <hyperlink r:id="rId35" location="osu/3616100" ref="N16"/>
    <hyperlink r:id="rId36" location="osu/87319" ref="B17"/>
    <hyperlink r:id="rId37" location="osu/87319" ref="G17"/>
    <hyperlink r:id="rId38" location="osu/2151207" ref="N17"/>
    <hyperlink r:id="rId39" location="osu/1913099" ref="B18"/>
    <hyperlink r:id="rId40" location="osu/1913099" ref="G18"/>
    <hyperlink r:id="rId41" location="osu/417898" ref="N18"/>
    <hyperlink r:id="rId42" location="osu/1521209" ref="B19"/>
    <hyperlink r:id="rId43" location="osu/1521209" ref="G19"/>
    <hyperlink r:id="rId44" location="osu/1857415" ref="N19"/>
    <hyperlink r:id="rId45" location="osu/2967720" ref="B20"/>
    <hyperlink r:id="rId46" location="osu/2967720" ref="G20"/>
    <hyperlink r:id="rId47" location="osu/1498150" ref="B21"/>
    <hyperlink r:id="rId48" location="osu/1498150" ref="G21"/>
    <hyperlink r:id="rId49" location="osu/417898" ref="B22"/>
    <hyperlink r:id="rId50" location="osu/417898" ref="G22"/>
    <hyperlink r:id="rId51" location="osu/87369" ref="B23"/>
    <hyperlink r:id="rId52" location="osu/87369" ref="G23"/>
    <hyperlink r:id="rId53" location="osu/2530278" ref="B24"/>
    <hyperlink r:id="rId54" location="osu/2530278" ref="G24"/>
    <hyperlink r:id="rId55" location="osu/892543" ref="B25"/>
    <hyperlink r:id="rId56" location="osu/892543" ref="G25"/>
    <hyperlink r:id="rId57" location="osu/3714964" ref="G26"/>
    <hyperlink r:id="rId58" location="osu/2200330" ref="B27"/>
    <hyperlink r:id="rId59" location="osu/2200330" ref="G27"/>
    <hyperlink r:id="rId60" location="osu/1733441" ref="B28"/>
    <hyperlink r:id="rId61" location="osu/1733441" ref="G28"/>
    <hyperlink r:id="rId62" location="osu/3601684" ref="B29"/>
    <hyperlink r:id="rId63" location="osu/3601684" ref="G29"/>
    <hyperlink r:id="rId64" location="osu/315101" ref="B30"/>
    <hyperlink r:id="rId65" location="osu/315101" ref="G30"/>
    <hyperlink r:id="rId66" location="osu/1761258" ref="B31"/>
    <hyperlink r:id="rId67" location="osu/1761258" ref="G31"/>
    <hyperlink r:id="rId68" location="osu/2701775" ref="B32"/>
    <hyperlink r:id="rId69" location="osu/2701775" ref="G32"/>
    <hyperlink r:id="rId70" location="osu/3460069" ref="B33"/>
    <hyperlink r:id="rId71" location="osu/3460069" ref="G33"/>
    <hyperlink r:id="rId72" location="osu/3053637" ref="B34"/>
    <hyperlink r:id="rId73" location="osu/3053637" ref="G34"/>
    <hyperlink r:id="rId74" location="osu/3332932" ref="B35"/>
    <hyperlink r:id="rId75" location="osu/3332932" ref="G35"/>
    <hyperlink r:id="rId76" location="osu/2151207" ref="B36"/>
    <hyperlink r:id="rId77" location="osu/2151207" ref="G36"/>
    <hyperlink r:id="rId78" location="osu/3169863" ref="B37"/>
    <hyperlink r:id="rId79" location="osu/3169863" ref="G37"/>
    <hyperlink r:id="rId80" location="osu/2891411" ref="B38"/>
    <hyperlink r:id="rId81" location="osu/2891411" ref="G38"/>
    <hyperlink r:id="rId82" location="osu/2794904" ref="B39"/>
    <hyperlink r:id="rId83" location="osu/2794904" ref="G39"/>
    <hyperlink r:id="rId84" location="osu/295650" ref="B40"/>
    <hyperlink r:id="rId85" location="osu/295650" ref="G40"/>
    <hyperlink r:id="rId86" location="osu/1956568" ref="B41"/>
    <hyperlink r:id="rId87" location="osu/1956568" ref="G41"/>
    <hyperlink r:id="rId88" location="osu/3239199" ref="B42"/>
    <hyperlink r:id="rId89" location="osu/3239199" ref="G42"/>
    <hyperlink r:id="rId90" location="osu/3446883" ref="B43"/>
    <hyperlink r:id="rId91" location="osu/3446883" ref="G43"/>
    <hyperlink r:id="rId92" location="osu/3616100" ref="B44"/>
    <hyperlink r:id="rId93" location="osu/3616100" ref="G44"/>
    <hyperlink r:id="rId94" location="osu/2853477" ref="B45"/>
    <hyperlink r:id="rId95" location="osu/2853477" ref="G45"/>
    <hyperlink r:id="rId96" location="osu/577517" ref="B46"/>
    <hyperlink r:id="rId97" location="osu/577517" ref="G46"/>
    <hyperlink r:id="rId98" location="osu/3990086" ref="B47"/>
    <hyperlink r:id="rId99" location="osu/3990086" ref="G47"/>
    <hyperlink r:id="rId100" location="osu/1857415" ref="B48"/>
    <hyperlink r:id="rId101" location="osu/1857415" ref="G48"/>
    <hyperlink r:id="rId102" location="osu/2536100" ref="B49"/>
    <hyperlink r:id="rId103" location="osu/2536100" ref="G49"/>
  </hyperlinks>
  <drawing r:id="rId104"/>
  <legacyDrawing r:id="rId10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37.63"/>
    <col customWidth="1" min="3" max="3" width="12.63"/>
    <col customWidth="1" min="4" max="4" width="9.5"/>
    <col customWidth="1" min="6" max="6" width="11.13"/>
    <col customWidth="1" min="7" max="8" width="25.13"/>
    <col customWidth="1" min="9" max="9" width="3.25"/>
    <col customWidth="1" min="12" max="12" width="5.13"/>
    <col customWidth="1" min="13" max="13" width="11.13"/>
    <col customWidth="1" min="14" max="14" width="31.38"/>
    <col customWidth="1" min="15" max="20" width="6.38" outlineLevel="1"/>
    <col min="21" max="22" width="12.63" outlineLevel="1"/>
    <col customWidth="1" min="23" max="23" width="3.25"/>
  </cols>
  <sheetData>
    <row r="1" ht="18.75" customHeight="1">
      <c r="A1" s="13" t="s">
        <v>340</v>
      </c>
      <c r="B1" s="13"/>
      <c r="C1" s="13"/>
      <c r="D1" s="13"/>
      <c r="E1" s="13"/>
      <c r="F1" s="13"/>
      <c r="G1" s="13"/>
      <c r="H1" s="13"/>
      <c r="I1" s="13"/>
      <c r="J1" s="13"/>
      <c r="K1" s="13"/>
      <c r="L1" s="13"/>
      <c r="M1" s="13"/>
      <c r="N1" s="13"/>
      <c r="O1" s="13"/>
      <c r="P1" s="13"/>
      <c r="Q1" s="13"/>
      <c r="R1" s="13"/>
      <c r="S1" s="13"/>
      <c r="T1" s="13"/>
      <c r="U1" s="13"/>
      <c r="V1" s="13"/>
      <c r="W1" s="13"/>
    </row>
    <row r="2" ht="18.75" customHeight="1">
      <c r="A2" s="13"/>
      <c r="B2" s="14" t="s">
        <v>30</v>
      </c>
      <c r="C2" s="15" t="s">
        <v>5</v>
      </c>
      <c r="D2" s="16">
        <f>IFERROR(VLOOKUP(B2,Settings!E3:H12,3,0),"")</f>
        <v>11</v>
      </c>
      <c r="E2" s="17" t="s">
        <v>6</v>
      </c>
      <c r="F2" s="18">
        <f>IFERROR(VLOOKUP(B2,Settings!E3:H12,4,0),"")</f>
        <v>2</v>
      </c>
      <c r="G2" s="13"/>
      <c r="H2" s="13"/>
      <c r="I2" s="13"/>
      <c r="J2" s="13"/>
      <c r="K2" s="13"/>
      <c r="L2" s="13"/>
      <c r="M2" s="13"/>
      <c r="N2" s="13"/>
      <c r="O2" s="13"/>
      <c r="P2" s="13"/>
      <c r="Q2" s="13"/>
      <c r="R2" s="13"/>
      <c r="S2" s="13"/>
      <c r="T2" s="13"/>
      <c r="U2" s="13"/>
      <c r="V2" s="13"/>
      <c r="W2" s="13"/>
    </row>
    <row r="3" ht="26.25" customHeight="1">
      <c r="A3" s="13"/>
      <c r="B3" s="19" t="s">
        <v>44</v>
      </c>
      <c r="C3" s="20"/>
      <c r="D3" s="20"/>
      <c r="E3" s="20"/>
      <c r="F3" s="20"/>
      <c r="G3" s="20"/>
      <c r="H3" s="20"/>
      <c r="I3" s="13"/>
      <c r="J3" s="19" t="s">
        <v>45</v>
      </c>
      <c r="K3" s="20"/>
      <c r="L3" s="20"/>
      <c r="M3" s="20"/>
      <c r="N3" s="20"/>
      <c r="O3" s="20"/>
      <c r="P3" s="20"/>
      <c r="Q3" s="20"/>
      <c r="R3" s="20"/>
      <c r="S3" s="20"/>
      <c r="T3" s="20"/>
      <c r="U3" s="20"/>
      <c r="V3" s="20"/>
      <c r="W3" s="13"/>
    </row>
    <row r="4" ht="18.75" customHeight="1">
      <c r="A4" s="13"/>
      <c r="B4" s="21" t="s">
        <v>46</v>
      </c>
      <c r="C4" s="21" t="s">
        <v>47</v>
      </c>
      <c r="D4" s="21" t="s">
        <v>48</v>
      </c>
      <c r="E4" s="21" t="s">
        <v>49</v>
      </c>
      <c r="F4" s="21" t="s">
        <v>50</v>
      </c>
      <c r="G4" s="22"/>
      <c r="H4" s="21" t="s">
        <v>51</v>
      </c>
      <c r="I4" s="13"/>
      <c r="J4" s="21" t="s">
        <v>52</v>
      </c>
      <c r="K4" s="21" t="s">
        <v>47</v>
      </c>
      <c r="L4" s="23" t="s">
        <v>48</v>
      </c>
      <c r="M4" s="21" t="s">
        <v>50</v>
      </c>
      <c r="N4" s="22"/>
      <c r="O4" s="24" t="s">
        <v>53</v>
      </c>
      <c r="P4" s="25" t="s">
        <v>54</v>
      </c>
      <c r="Q4" s="26" t="s">
        <v>55</v>
      </c>
      <c r="R4" s="27" t="s">
        <v>56</v>
      </c>
      <c r="S4" s="21" t="s">
        <v>57</v>
      </c>
      <c r="T4" s="21" t="s">
        <v>58</v>
      </c>
      <c r="U4" s="21" t="s">
        <v>60</v>
      </c>
      <c r="V4" s="21" t="s">
        <v>47</v>
      </c>
      <c r="W4" s="13"/>
    </row>
    <row r="5" ht="18.75" customHeight="1">
      <c r="A5" s="13"/>
      <c r="B5" s="29" t="s">
        <v>341</v>
      </c>
      <c r="C5" s="30">
        <f>IFERROR(__xludf.DUMMYFUNCTION("ArrayFormula(IFERROR(VALUE(REGEXEXTRACT(B5:B104&amp;"""",""\d+$""))))"),3298592.0)</f>
        <v>3298592</v>
      </c>
      <c r="D5" s="31" t="s">
        <v>8</v>
      </c>
      <c r="E5" s="31"/>
      <c r="F5" s="32" t="str">
        <f t="array" ref="F5:F104">MAP(C5:C104,LAMBDA(id,IFNA(IMAGE(MAPDATA(id,"cover_url")),"")))</f>
        <v/>
      </c>
      <c r="G5" s="57" t="str">
        <f t="array" ref="G5:G104">IFNA(HYPERLINK(VLOOKUP(C5:C104,'_api'!B3:BC104,MATCH("url",'_api'!B2:W2,0),0),VLOOKUP(C5:C104,'_api'!B3:BC104,MATCH("string",'_api'!B2:W2,0),0)),"")</f>
        <v>kors k - SigSig [Luscent's Insane]</v>
      </c>
      <c r="H5" s="51" t="s">
        <v>79</v>
      </c>
      <c r="I5" s="13"/>
      <c r="J5" s="35" t="s">
        <v>342</v>
      </c>
      <c r="K5" s="45">
        <v>1965654.0</v>
      </c>
      <c r="L5" s="36" t="str">
        <f>IFERROR(__xludf.DUMMYFUNCTION("TRANSPOSE(SPLIT(JOIN("","",MAP(TRANSPOSE(Settings!I2:P2),TRANSPOSE(INDEX(Settings!I3:P12,MATCH(B2,Settings!E3:E12,0))),LAMBDA(mod,n,JOIN("","",ARRAYFORMULA(IF(n=0,"""",mod&amp;SEQUENCE(n))))))),"",""))"),"NM1")</f>
        <v>NM1</v>
      </c>
      <c r="M5" s="34" t="str">
        <f t="array" ref="M5:M104">MAP(K5:K104,LAMBDA(id,IFNA(IMAGE(MAPDATA(id,"cover_url")),"")))</f>
        <v/>
      </c>
      <c r="N5" s="53" t="str">
        <f>IFNA(MAPDATA(K5:K104,"string_url"),"")</f>
        <v>Sangatsu no Phantasia - Pink Lemonade [Insane]</v>
      </c>
      <c r="O5" s="38">
        <f t="array" ref="O5:Q104">IFNA(MAPDATA_MODDED(K5:K104,{"difficultyrating","bpm","hit_length"},L5:L104),"")</f>
        <v>5.08315</v>
      </c>
      <c r="P5" s="39">
        <v>191.0</v>
      </c>
      <c r="Q5" s="40">
        <v>0.0028703703719656914</v>
      </c>
      <c r="R5" s="41">
        <f t="array" ref="R5:T104">IFNA(MAPDATA_MODDED(K5:K104,"diff_"&amp;{"size","approach","overall"},L5:L104),"")</f>
        <v>4</v>
      </c>
      <c r="S5" s="42">
        <v>9.0</v>
      </c>
      <c r="T5" s="42">
        <v>7.0</v>
      </c>
      <c r="U5" s="34" t="str">
        <f t="array" ref="U5:V104">IFNA(MAPDATA(K5:K104,{"creator","beatmap_id"}),"")</f>
        <v>Chirony</v>
      </c>
      <c r="V5" s="34">
        <v>1965654.0</v>
      </c>
      <c r="W5" s="13"/>
    </row>
    <row r="6" ht="18.75" customHeight="1">
      <c r="A6" s="13"/>
      <c r="B6" s="29" t="s">
        <v>343</v>
      </c>
      <c r="C6" s="30">
        <f>IFERROR(__xludf.DUMMYFUNCTION("""COMPUTED_VALUE"""),63604.0)</f>
        <v>63604</v>
      </c>
      <c r="D6" s="31" t="s">
        <v>8</v>
      </c>
      <c r="E6" s="31"/>
      <c r="F6" s="32"/>
      <c r="G6" s="57" t="s">
        <v>344</v>
      </c>
      <c r="H6" s="33"/>
      <c r="I6" s="13" t="s">
        <v>0</v>
      </c>
      <c r="J6" s="35" t="s">
        <v>345</v>
      </c>
      <c r="K6" s="47">
        <v>1838159.0</v>
      </c>
      <c r="L6" s="36" t="str">
        <f>IFERROR(__xludf.DUMMYFUNCTION("""COMPUTED_VALUE"""),"NM2")</f>
        <v>NM2</v>
      </c>
      <c r="M6" s="34"/>
      <c r="N6" s="53" t="s">
        <v>346</v>
      </c>
      <c r="O6" s="38">
        <v>5.15169</v>
      </c>
      <c r="P6" s="39">
        <v>180.0</v>
      </c>
      <c r="Q6" s="40">
        <v>0.0011805555550381541</v>
      </c>
      <c r="R6" s="41">
        <v>3.8</v>
      </c>
      <c r="S6" s="42">
        <v>9.0</v>
      </c>
      <c r="T6" s="42">
        <v>7.5</v>
      </c>
      <c r="U6" s="34" t="s">
        <v>347</v>
      </c>
      <c r="V6" s="34">
        <v>1838159.0</v>
      </c>
      <c r="W6" s="13"/>
    </row>
    <row r="7" ht="18.75" customHeight="1">
      <c r="A7" s="13"/>
      <c r="B7" s="30" t="s">
        <v>348</v>
      </c>
      <c r="C7" s="45">
        <f>IFERROR(__xludf.DUMMYFUNCTION("""COMPUTED_VALUE"""),2690081.0)</f>
        <v>2690081</v>
      </c>
      <c r="D7" s="31" t="s">
        <v>11</v>
      </c>
      <c r="E7" s="32"/>
      <c r="F7" s="32"/>
      <c r="G7" s="57" t="s">
        <v>349</v>
      </c>
      <c r="H7" s="51" t="s">
        <v>350</v>
      </c>
      <c r="I7" s="13"/>
      <c r="J7" s="35" t="s">
        <v>351</v>
      </c>
      <c r="K7" s="61">
        <v>2568756.0</v>
      </c>
      <c r="L7" s="36" t="str">
        <f>IFERROR(__xludf.DUMMYFUNCTION("""COMPUTED_VALUE"""),"NM3")</f>
        <v>NM3</v>
      </c>
      <c r="M7" s="34"/>
      <c r="N7" s="53" t="s">
        <v>352</v>
      </c>
      <c r="O7" s="38">
        <v>4.81073</v>
      </c>
      <c r="P7" s="39">
        <v>123.0</v>
      </c>
      <c r="Q7" s="40">
        <v>0.00251157407546998</v>
      </c>
      <c r="R7" s="41">
        <v>3.6</v>
      </c>
      <c r="S7" s="42">
        <v>9.1</v>
      </c>
      <c r="T7" s="42">
        <v>8.0</v>
      </c>
      <c r="U7" s="34" t="s">
        <v>353</v>
      </c>
      <c r="V7" s="34">
        <v>2568756.0</v>
      </c>
      <c r="W7" s="13"/>
    </row>
    <row r="8" ht="18.75" customHeight="1">
      <c r="A8" s="13"/>
      <c r="B8" s="56" t="s">
        <v>354</v>
      </c>
      <c r="C8" s="45">
        <f>IFERROR(__xludf.DUMMYFUNCTION("""COMPUTED_VALUE"""),1965654.0)</f>
        <v>1965654</v>
      </c>
      <c r="D8" s="31" t="s">
        <v>7</v>
      </c>
      <c r="E8" s="31" t="s">
        <v>17</v>
      </c>
      <c r="F8" s="32"/>
      <c r="G8" s="57" t="s">
        <v>355</v>
      </c>
      <c r="H8" s="51" t="s">
        <v>356</v>
      </c>
      <c r="I8" s="13"/>
      <c r="J8" s="35" t="s">
        <v>357</v>
      </c>
      <c r="K8" s="47">
        <v>3341368.0</v>
      </c>
      <c r="L8" s="36" t="str">
        <f>IFERROR(__xludf.DUMMYFUNCTION("""COMPUTED_VALUE"""),"NM4")</f>
        <v>NM4</v>
      </c>
      <c r="M8" s="34"/>
      <c r="N8" s="53" t="s">
        <v>358</v>
      </c>
      <c r="O8" s="38">
        <v>4.59923</v>
      </c>
      <c r="P8" s="39">
        <v>190.0</v>
      </c>
      <c r="Q8" s="40">
        <v>0.0013888888897781726</v>
      </c>
      <c r="R8" s="41">
        <v>4.0</v>
      </c>
      <c r="S8" s="42">
        <v>9.2</v>
      </c>
      <c r="T8" s="42">
        <v>7.0</v>
      </c>
      <c r="U8" s="34" t="s">
        <v>359</v>
      </c>
      <c r="V8" s="34">
        <v>3341368.0</v>
      </c>
      <c r="W8" s="13"/>
    </row>
    <row r="9" ht="18.75" customHeight="1">
      <c r="A9" s="13"/>
      <c r="B9" s="56" t="s">
        <v>360</v>
      </c>
      <c r="C9" s="45">
        <f>IFERROR(__xludf.DUMMYFUNCTION("""COMPUTED_VALUE"""),3118794.0)</f>
        <v>3118794</v>
      </c>
      <c r="D9" s="31" t="s">
        <v>7</v>
      </c>
      <c r="E9" s="31" t="s">
        <v>42</v>
      </c>
      <c r="F9" s="32"/>
      <c r="G9" s="57" t="s">
        <v>361</v>
      </c>
      <c r="H9" s="51" t="s">
        <v>306</v>
      </c>
      <c r="I9" s="13"/>
      <c r="J9" s="35" t="s">
        <v>362</v>
      </c>
      <c r="K9" s="47">
        <v>4215637.0</v>
      </c>
      <c r="L9" s="36" t="str">
        <f>IFERROR(__xludf.DUMMYFUNCTION("""COMPUTED_VALUE"""),"NM5")</f>
        <v>NM5</v>
      </c>
      <c r="M9" s="34"/>
      <c r="N9" s="53" t="s">
        <v>363</v>
      </c>
      <c r="O9" s="38">
        <v>5.01002</v>
      </c>
      <c r="P9" s="39">
        <v>217.0</v>
      </c>
      <c r="Q9" s="40">
        <v>0.002141203702194616</v>
      </c>
      <c r="R9" s="41">
        <v>4.0</v>
      </c>
      <c r="S9" s="42">
        <v>9.0</v>
      </c>
      <c r="T9" s="42">
        <v>8.0</v>
      </c>
      <c r="U9" s="34" t="s">
        <v>364</v>
      </c>
      <c r="V9" s="34">
        <v>4215637.0</v>
      </c>
      <c r="W9" s="13"/>
    </row>
    <row r="10" ht="18.75" customHeight="1">
      <c r="A10" s="13"/>
      <c r="B10" s="56" t="s">
        <v>365</v>
      </c>
      <c r="C10" s="45">
        <f>IFERROR(__xludf.DUMMYFUNCTION("""COMPUTED_VALUE"""),3248255.0)</f>
        <v>3248255</v>
      </c>
      <c r="D10" s="31" t="s">
        <v>9</v>
      </c>
      <c r="E10" s="31" t="s">
        <v>35</v>
      </c>
      <c r="F10" s="32"/>
      <c r="G10" s="57" t="s">
        <v>366</v>
      </c>
      <c r="H10" s="51" t="s">
        <v>367</v>
      </c>
      <c r="I10" s="13"/>
      <c r="J10" s="35" t="s">
        <v>368</v>
      </c>
      <c r="K10" s="47">
        <v>3821597.0</v>
      </c>
      <c r="L10" s="36" t="str">
        <f>IFERROR(__xludf.DUMMYFUNCTION("""COMPUTED_VALUE"""),"NM6")</f>
        <v>NM6</v>
      </c>
      <c r="M10" s="34"/>
      <c r="N10" s="53" t="s">
        <v>369</v>
      </c>
      <c r="O10" s="38">
        <v>4.11281</v>
      </c>
      <c r="P10" s="39">
        <v>146.5</v>
      </c>
      <c r="Q10" s="40">
        <v>9.606481471564621E-4</v>
      </c>
      <c r="R10" s="41">
        <v>5.0</v>
      </c>
      <c r="S10" s="42">
        <v>6.9</v>
      </c>
      <c r="T10" s="42">
        <v>6.9</v>
      </c>
      <c r="U10" s="34" t="s">
        <v>370</v>
      </c>
      <c r="V10" s="34">
        <v>3821597.0</v>
      </c>
      <c r="W10" s="13"/>
    </row>
    <row r="11" ht="18.75" customHeight="1">
      <c r="A11" s="13"/>
      <c r="B11" s="56" t="s">
        <v>371</v>
      </c>
      <c r="C11" s="45">
        <f>IFERROR(__xludf.DUMMYFUNCTION("""COMPUTED_VALUE"""),1635864.0)</f>
        <v>1635864</v>
      </c>
      <c r="D11" s="31" t="s">
        <v>8</v>
      </c>
      <c r="E11" s="31" t="s">
        <v>35</v>
      </c>
      <c r="F11" s="32"/>
      <c r="G11" s="57" t="s">
        <v>372</v>
      </c>
      <c r="H11" s="51" t="s">
        <v>373</v>
      </c>
      <c r="I11" s="13"/>
      <c r="J11" s="35" t="s">
        <v>374</v>
      </c>
      <c r="K11" s="47">
        <v>2671048.0</v>
      </c>
      <c r="L11" s="36" t="str">
        <f>IFERROR(__xludf.DUMMYFUNCTION("""COMPUTED_VALUE"""),"HD1")</f>
        <v>HD1</v>
      </c>
      <c r="M11" s="34"/>
      <c r="N11" s="53" t="s">
        <v>375</v>
      </c>
      <c r="O11" s="38">
        <v>5.08091</v>
      </c>
      <c r="P11" s="39">
        <v>170.0</v>
      </c>
      <c r="Q11" s="40">
        <v>0.002395833333139308</v>
      </c>
      <c r="R11" s="41">
        <v>4.5</v>
      </c>
      <c r="S11" s="42">
        <v>9.0</v>
      </c>
      <c r="T11" s="42">
        <v>8.5</v>
      </c>
      <c r="U11" s="34" t="s">
        <v>226</v>
      </c>
      <c r="V11" s="34">
        <v>2671048.0</v>
      </c>
      <c r="W11" s="13"/>
    </row>
    <row r="12" ht="18.75" customHeight="1">
      <c r="A12" s="13"/>
      <c r="B12" s="56" t="s">
        <v>376</v>
      </c>
      <c r="C12" s="45">
        <f>IFERROR(__xludf.DUMMYFUNCTION("""COMPUTED_VALUE"""),1404975.0)</f>
        <v>1404975</v>
      </c>
      <c r="D12" s="31" t="s">
        <v>8</v>
      </c>
      <c r="E12" s="31" t="s">
        <v>35</v>
      </c>
      <c r="F12" s="32"/>
      <c r="G12" s="57" t="s">
        <v>377</v>
      </c>
      <c r="H12" s="51" t="s">
        <v>378</v>
      </c>
      <c r="I12" s="13"/>
      <c r="J12" s="35" t="s">
        <v>379</v>
      </c>
      <c r="K12" s="47">
        <v>105978.0</v>
      </c>
      <c r="L12" s="36" t="str">
        <f>IFERROR(__xludf.DUMMYFUNCTION("""COMPUTED_VALUE"""),"HD2")</f>
        <v>HD2</v>
      </c>
      <c r="M12" s="34"/>
      <c r="N12" s="53" t="s">
        <v>380</v>
      </c>
      <c r="O12" s="38">
        <v>4.51204</v>
      </c>
      <c r="P12" s="39">
        <v>190.0</v>
      </c>
      <c r="Q12" s="40">
        <v>0.0017129629632108845</v>
      </c>
      <c r="R12" s="41">
        <v>4.0</v>
      </c>
      <c r="S12" s="42">
        <v>8.0</v>
      </c>
      <c r="T12" s="42">
        <v>6.0</v>
      </c>
      <c r="U12" s="34" t="s">
        <v>381</v>
      </c>
      <c r="V12" s="34">
        <v>105978.0</v>
      </c>
      <c r="W12" s="13"/>
    </row>
    <row r="13" ht="18.75" customHeight="1">
      <c r="A13" s="13"/>
      <c r="B13" s="56" t="s">
        <v>382</v>
      </c>
      <c r="C13" s="47">
        <f>IFERROR(__xludf.DUMMYFUNCTION("""COMPUTED_VALUE"""),1687599.0)</f>
        <v>1687599</v>
      </c>
      <c r="D13" s="31" t="s">
        <v>7</v>
      </c>
      <c r="E13" s="31" t="s">
        <v>17</v>
      </c>
      <c r="F13" s="32"/>
      <c r="G13" s="57" t="s">
        <v>383</v>
      </c>
      <c r="H13" s="51" t="s">
        <v>384</v>
      </c>
      <c r="I13" s="13"/>
      <c r="J13" s="35" t="s">
        <v>385</v>
      </c>
      <c r="K13" s="47">
        <v>1491793.0</v>
      </c>
      <c r="L13" s="36" t="str">
        <f>IFERROR(__xludf.DUMMYFUNCTION("""COMPUTED_VALUE"""),"HD3")</f>
        <v>HD3</v>
      </c>
      <c r="M13" s="34"/>
      <c r="N13" s="53" t="s">
        <v>386</v>
      </c>
      <c r="O13" s="38">
        <v>4.95782</v>
      </c>
      <c r="P13" s="39">
        <v>160.0</v>
      </c>
      <c r="Q13" s="40">
        <v>0.0018865740748879034</v>
      </c>
      <c r="R13" s="41">
        <v>4.0</v>
      </c>
      <c r="S13" s="42">
        <v>9.0</v>
      </c>
      <c r="T13" s="42">
        <v>8.0</v>
      </c>
      <c r="U13" s="34" t="s">
        <v>259</v>
      </c>
      <c r="V13" s="34">
        <v>1491793.0</v>
      </c>
      <c r="W13" s="13"/>
    </row>
    <row r="14" ht="18.75" customHeight="1">
      <c r="A14" s="13"/>
      <c r="B14" s="56" t="s">
        <v>387</v>
      </c>
      <c r="C14" s="47">
        <f>IFERROR(__xludf.DUMMYFUNCTION("""COMPUTED_VALUE"""),2072245.0)</f>
        <v>2072245</v>
      </c>
      <c r="D14" s="31" t="s">
        <v>7</v>
      </c>
      <c r="E14" s="31" t="s">
        <v>38</v>
      </c>
      <c r="F14" s="32"/>
      <c r="G14" s="57" t="s">
        <v>388</v>
      </c>
      <c r="H14" s="51" t="s">
        <v>389</v>
      </c>
      <c r="I14" s="13"/>
      <c r="J14" s="35" t="s">
        <v>390</v>
      </c>
      <c r="K14" s="35">
        <v>3913591.0</v>
      </c>
      <c r="L14" s="36" t="str">
        <f>IFERROR(__xludf.DUMMYFUNCTION("""COMPUTED_VALUE"""),"HR1")</f>
        <v>HR1</v>
      </c>
      <c r="M14" s="34"/>
      <c r="N14" s="53" t="s">
        <v>391</v>
      </c>
      <c r="O14" s="38">
        <v>5.01388</v>
      </c>
      <c r="P14" s="39">
        <v>193.0</v>
      </c>
      <c r="Q14" s="40">
        <v>0.0024305555562023073</v>
      </c>
      <c r="R14" s="41">
        <v>5.2</v>
      </c>
      <c r="S14" s="42">
        <v>10.0</v>
      </c>
      <c r="T14" s="42">
        <v>10.0</v>
      </c>
      <c r="U14" s="34" t="s">
        <v>392</v>
      </c>
      <c r="V14" s="34">
        <v>3913591.0</v>
      </c>
      <c r="W14" s="13"/>
    </row>
    <row r="15" ht="18.75" customHeight="1">
      <c r="A15" s="13"/>
      <c r="B15" s="56" t="s">
        <v>393</v>
      </c>
      <c r="C15" s="47">
        <f>IFERROR(__xludf.DUMMYFUNCTION("""COMPUTED_VALUE"""),1596086.0)</f>
        <v>1596086</v>
      </c>
      <c r="D15" s="31" t="s">
        <v>8</v>
      </c>
      <c r="E15" s="31" t="s">
        <v>23</v>
      </c>
      <c r="F15" s="32"/>
      <c r="G15" s="57" t="s">
        <v>394</v>
      </c>
      <c r="H15" s="51" t="s">
        <v>124</v>
      </c>
      <c r="I15" s="13"/>
      <c r="J15" s="35" t="s">
        <v>395</v>
      </c>
      <c r="K15" s="47">
        <v>37750.0</v>
      </c>
      <c r="L15" s="36" t="str">
        <f>IFERROR(__xludf.DUMMYFUNCTION("""COMPUTED_VALUE"""),"HR2")</f>
        <v>HR2</v>
      </c>
      <c r="M15" s="34"/>
      <c r="N15" s="53" t="s">
        <v>396</v>
      </c>
      <c r="O15" s="38">
        <v>4.74237</v>
      </c>
      <c r="P15" s="39">
        <v>160.0</v>
      </c>
      <c r="Q15" s="40">
        <v>0.001354166666715173</v>
      </c>
      <c r="R15" s="41">
        <v>6.5</v>
      </c>
      <c r="S15" s="42">
        <v>9.799999999999999</v>
      </c>
      <c r="T15" s="42">
        <v>9.799999999999999</v>
      </c>
      <c r="U15" s="34" t="s">
        <v>397</v>
      </c>
      <c r="V15" s="34">
        <v>37750.0</v>
      </c>
      <c r="W15" s="13"/>
    </row>
    <row r="16" ht="18.75" customHeight="1">
      <c r="A16" s="13"/>
      <c r="B16" s="56" t="s">
        <v>398</v>
      </c>
      <c r="C16" s="47">
        <f>IFERROR(__xludf.DUMMYFUNCTION("""COMPUTED_VALUE"""),1251955.0)</f>
        <v>1251955</v>
      </c>
      <c r="D16" s="31" t="s">
        <v>8</v>
      </c>
      <c r="E16" s="31" t="s">
        <v>23</v>
      </c>
      <c r="F16" s="32"/>
      <c r="G16" s="57" t="s">
        <v>399</v>
      </c>
      <c r="H16" s="51" t="s">
        <v>400</v>
      </c>
      <c r="I16" s="13"/>
      <c r="J16" s="35" t="s">
        <v>401</v>
      </c>
      <c r="K16" s="45">
        <v>3248255.0</v>
      </c>
      <c r="L16" s="36" t="str">
        <f>IFERROR(__xludf.DUMMYFUNCTION("""COMPUTED_VALUE"""),"HR3")</f>
        <v>HR3</v>
      </c>
      <c r="M16" s="34"/>
      <c r="N16" s="53" t="s">
        <v>366</v>
      </c>
      <c r="O16" s="38">
        <v>4.87767</v>
      </c>
      <c r="P16" s="39">
        <v>140.0</v>
      </c>
      <c r="Q16" s="40">
        <v>0.0014236111128411721</v>
      </c>
      <c r="R16" s="41">
        <v>5.2</v>
      </c>
      <c r="S16" s="42">
        <v>10.0</v>
      </c>
      <c r="T16" s="42">
        <v>10.0</v>
      </c>
      <c r="U16" s="34" t="s">
        <v>402</v>
      </c>
      <c r="V16" s="34">
        <v>3248255.0</v>
      </c>
      <c r="W16" s="13"/>
    </row>
    <row r="17" ht="18.75" customHeight="1">
      <c r="A17" s="13"/>
      <c r="B17" s="56" t="s">
        <v>403</v>
      </c>
      <c r="C17" s="47">
        <f>IFERROR(__xludf.DUMMYFUNCTION("""COMPUTED_VALUE"""),2472143.0)</f>
        <v>2472143</v>
      </c>
      <c r="D17" s="31" t="s">
        <v>11</v>
      </c>
      <c r="E17" s="31" t="s">
        <v>23</v>
      </c>
      <c r="F17" s="32"/>
      <c r="G17" s="57" t="s">
        <v>404</v>
      </c>
      <c r="H17" s="51" t="s">
        <v>405</v>
      </c>
      <c r="I17" s="13"/>
      <c r="J17" s="35" t="s">
        <v>406</v>
      </c>
      <c r="K17" s="35">
        <v>674080.0</v>
      </c>
      <c r="L17" s="36" t="str">
        <f>IFERROR(__xludf.DUMMYFUNCTION("""COMPUTED_VALUE"""),"DT1")</f>
        <v>DT1</v>
      </c>
      <c r="M17" s="34"/>
      <c r="N17" s="53" t="s">
        <v>407</v>
      </c>
      <c r="O17" s="38">
        <v>5.0485</v>
      </c>
      <c r="P17" s="39">
        <v>276.0</v>
      </c>
      <c r="Q17" s="40">
        <v>0.0019135802479771276</v>
      </c>
      <c r="R17" s="41">
        <v>4.0</v>
      </c>
      <c r="S17" s="42">
        <v>9.666666666666668</v>
      </c>
      <c r="T17" s="42">
        <v>8.416666666666666</v>
      </c>
      <c r="U17" s="34" t="s">
        <v>408</v>
      </c>
      <c r="V17" s="34">
        <v>674080.0</v>
      </c>
      <c r="W17" s="13"/>
    </row>
    <row r="18" ht="18.75" customHeight="1">
      <c r="A18" s="13"/>
      <c r="B18" s="56" t="s">
        <v>409</v>
      </c>
      <c r="C18" s="47">
        <f>IFERROR(__xludf.DUMMYFUNCTION("""COMPUTED_VALUE"""),3221246.0)</f>
        <v>3221246</v>
      </c>
      <c r="D18" s="31" t="s">
        <v>7</v>
      </c>
      <c r="E18" s="31" t="s">
        <v>23</v>
      </c>
      <c r="F18" s="32"/>
      <c r="G18" s="57" t="s">
        <v>410</v>
      </c>
      <c r="H18" s="51" t="s">
        <v>411</v>
      </c>
      <c r="I18" s="13"/>
      <c r="J18" s="35" t="s">
        <v>362</v>
      </c>
      <c r="K18" s="47">
        <v>3299370.0</v>
      </c>
      <c r="L18" s="36" t="str">
        <f>IFERROR(__xludf.DUMMYFUNCTION("""COMPUTED_VALUE"""),"DT2")</f>
        <v>DT2</v>
      </c>
      <c r="M18" s="34"/>
      <c r="N18" s="53" t="s">
        <v>412</v>
      </c>
      <c r="O18" s="38">
        <v>4.96093</v>
      </c>
      <c r="P18" s="39">
        <v>228.0</v>
      </c>
      <c r="Q18" s="40">
        <v>0.001697530863263334</v>
      </c>
      <c r="R18" s="41">
        <v>4.0</v>
      </c>
      <c r="S18" s="42">
        <v>9.666666666666668</v>
      </c>
      <c r="T18" s="42">
        <v>9.083333333333334</v>
      </c>
      <c r="U18" s="34" t="s">
        <v>210</v>
      </c>
      <c r="V18" s="34">
        <v>3299370.0</v>
      </c>
      <c r="W18" s="13"/>
    </row>
    <row r="19" ht="18.75" customHeight="1">
      <c r="A19" s="13"/>
      <c r="B19" s="56" t="s">
        <v>413</v>
      </c>
      <c r="C19" s="47">
        <f>IFERROR(__xludf.DUMMYFUNCTION("""COMPUTED_VALUE"""),3822120.0)</f>
        <v>3822120</v>
      </c>
      <c r="D19" s="31" t="s">
        <v>9</v>
      </c>
      <c r="E19" s="31" t="s">
        <v>23</v>
      </c>
      <c r="F19" s="32"/>
      <c r="G19" s="57" t="s">
        <v>414</v>
      </c>
      <c r="H19" s="51" t="s">
        <v>415</v>
      </c>
      <c r="I19" s="13"/>
      <c r="J19" s="35" t="s">
        <v>416</v>
      </c>
      <c r="K19" s="61">
        <v>3822599.0</v>
      </c>
      <c r="L19" s="36" t="str">
        <f>IFERROR(__xludf.DUMMYFUNCTION("""COMPUTED_VALUE"""),"DT3")</f>
        <v>DT3</v>
      </c>
      <c r="M19" s="34"/>
      <c r="N19" s="53" t="s">
        <v>417</v>
      </c>
      <c r="O19" s="38">
        <v>4.91921</v>
      </c>
      <c r="P19" s="39">
        <v>315.0</v>
      </c>
      <c r="Q19" s="40">
        <v>8.333333341094354E-4</v>
      </c>
      <c r="R19" s="41">
        <v>3.5</v>
      </c>
      <c r="S19" s="42">
        <v>9.666666666666668</v>
      </c>
      <c r="T19" s="42">
        <v>8.416666666666666</v>
      </c>
      <c r="U19" s="34" t="s">
        <v>418</v>
      </c>
      <c r="V19" s="34">
        <v>3822599.0</v>
      </c>
      <c r="W19" s="13"/>
    </row>
    <row r="20" ht="18.75" customHeight="1">
      <c r="A20" s="13"/>
      <c r="B20" s="56" t="s">
        <v>419</v>
      </c>
      <c r="C20" s="47">
        <f>IFERROR(__xludf.DUMMYFUNCTION("""COMPUTED_VALUE"""),48215.0)</f>
        <v>48215</v>
      </c>
      <c r="D20" s="31" t="s">
        <v>9</v>
      </c>
      <c r="E20" s="31" t="s">
        <v>23</v>
      </c>
      <c r="F20" s="32"/>
      <c r="G20" s="57" t="s">
        <v>420</v>
      </c>
      <c r="H20" s="51" t="s">
        <v>421</v>
      </c>
      <c r="I20" s="13"/>
      <c r="J20" s="35" t="s">
        <v>422</v>
      </c>
      <c r="K20" s="47">
        <v>3274886.0</v>
      </c>
      <c r="L20" s="36" t="str">
        <f>IFERROR(__xludf.DUMMYFUNCTION("""COMPUTED_VALUE"""),"FM1")</f>
        <v>FM1</v>
      </c>
      <c r="M20" s="34"/>
      <c r="N20" s="53" t="s">
        <v>423</v>
      </c>
      <c r="O20" s="38">
        <v>4.70593</v>
      </c>
      <c r="P20" s="39">
        <v>169.0</v>
      </c>
      <c r="Q20" s="40">
        <v>0.0021874999983992893</v>
      </c>
      <c r="R20" s="41">
        <v>4.2</v>
      </c>
      <c r="S20" s="42">
        <v>8.7</v>
      </c>
      <c r="T20" s="42">
        <v>8.2</v>
      </c>
      <c r="U20" s="34" t="s">
        <v>424</v>
      </c>
      <c r="V20" s="34">
        <v>3274886.0</v>
      </c>
      <c r="W20" s="13"/>
    </row>
    <row r="21" ht="18.75" customHeight="1">
      <c r="A21" s="13"/>
      <c r="B21" s="56" t="s">
        <v>425</v>
      </c>
      <c r="C21" s="47">
        <f>IFERROR(__xludf.DUMMYFUNCTION("""COMPUTED_VALUE"""),3616425.0)</f>
        <v>3616425</v>
      </c>
      <c r="D21" s="31" t="s">
        <v>7</v>
      </c>
      <c r="E21" s="31" t="s">
        <v>23</v>
      </c>
      <c r="F21" s="32"/>
      <c r="G21" s="57" t="s">
        <v>426</v>
      </c>
      <c r="H21" s="51" t="s">
        <v>427</v>
      </c>
      <c r="I21" s="13"/>
      <c r="J21" s="35" t="s">
        <v>428</v>
      </c>
      <c r="K21" s="61">
        <v>3804111.0</v>
      </c>
      <c r="L21" s="36" t="str">
        <f>IFERROR(__xludf.DUMMYFUNCTION("""COMPUTED_VALUE"""),"FM2")</f>
        <v>FM2</v>
      </c>
      <c r="M21" s="34"/>
      <c r="N21" s="53" t="s">
        <v>429</v>
      </c>
      <c r="O21" s="38">
        <v>4.323</v>
      </c>
      <c r="P21" s="39">
        <v>190.0</v>
      </c>
      <c r="Q21" s="40">
        <v>0.0017824074056989048</v>
      </c>
      <c r="R21" s="41">
        <v>5.0</v>
      </c>
      <c r="S21" s="42">
        <v>8.0</v>
      </c>
      <c r="T21" s="42">
        <v>7.0</v>
      </c>
      <c r="U21" s="34" t="s">
        <v>430</v>
      </c>
      <c r="V21" s="34">
        <v>3804111.0</v>
      </c>
      <c r="W21" s="13"/>
    </row>
    <row r="22" ht="18.75" customHeight="1">
      <c r="A22" s="13"/>
      <c r="B22" s="56" t="s">
        <v>431</v>
      </c>
      <c r="C22" s="47">
        <f>IFERROR(__xludf.DUMMYFUNCTION("""COMPUTED_VALUE"""),2532230.0)</f>
        <v>2532230</v>
      </c>
      <c r="D22" s="31" t="s">
        <v>7</v>
      </c>
      <c r="E22" s="31" t="s">
        <v>23</v>
      </c>
      <c r="F22" s="32"/>
      <c r="G22" s="57" t="s">
        <v>432</v>
      </c>
      <c r="H22" s="51" t="s">
        <v>433</v>
      </c>
      <c r="I22" s="13"/>
      <c r="J22" s="35" t="s">
        <v>434</v>
      </c>
      <c r="K22" s="47">
        <v>577517.0</v>
      </c>
      <c r="L22" s="36" t="str">
        <f>IFERROR(__xludf.DUMMYFUNCTION("""COMPUTED_VALUE"""),"TB1")</f>
        <v>TB1</v>
      </c>
      <c r="M22" s="34"/>
      <c r="N22" s="53" t="s">
        <v>334</v>
      </c>
      <c r="O22" s="38">
        <v>5.38366</v>
      </c>
      <c r="P22" s="39">
        <v>173.0</v>
      </c>
      <c r="Q22" s="40">
        <v>0.003472222222626442</v>
      </c>
      <c r="R22" s="41">
        <v>4.0</v>
      </c>
      <c r="S22" s="42">
        <v>9.2</v>
      </c>
      <c r="T22" s="42">
        <v>8.0</v>
      </c>
      <c r="U22" s="34" t="s">
        <v>435</v>
      </c>
      <c r="V22" s="34">
        <v>577517.0</v>
      </c>
      <c r="W22" s="13"/>
    </row>
    <row r="23" ht="18.75" customHeight="1">
      <c r="A23" s="13"/>
      <c r="B23" s="56" t="s">
        <v>436</v>
      </c>
      <c r="C23" s="47">
        <f>IFERROR(__xludf.DUMMYFUNCTION("""COMPUTED_VALUE"""),2986144.0)</f>
        <v>2986144</v>
      </c>
      <c r="D23" s="31" t="s">
        <v>7</v>
      </c>
      <c r="E23" s="31" t="s">
        <v>23</v>
      </c>
      <c r="F23" s="32"/>
      <c r="G23" s="57" t="s">
        <v>437</v>
      </c>
      <c r="H23" s="51" t="s">
        <v>438</v>
      </c>
      <c r="I23" s="13"/>
      <c r="J23" s="34"/>
      <c r="K23" s="35"/>
      <c r="L23" s="36"/>
      <c r="M23" s="34"/>
      <c r="N23" s="37"/>
      <c r="O23" s="38"/>
      <c r="P23" s="39"/>
      <c r="Q23" s="40"/>
      <c r="R23" s="41"/>
      <c r="S23" s="42"/>
      <c r="T23" s="42"/>
      <c r="U23" s="34"/>
      <c r="V23" s="34"/>
      <c r="W23" s="13"/>
    </row>
    <row r="24" ht="18.75" customHeight="1">
      <c r="A24" s="13"/>
      <c r="B24" s="56" t="s">
        <v>439</v>
      </c>
      <c r="C24" s="47">
        <f>IFERROR(__xludf.DUMMYFUNCTION("""COMPUTED_VALUE"""),1975970.0)</f>
        <v>1975970</v>
      </c>
      <c r="D24" s="31" t="s">
        <v>8</v>
      </c>
      <c r="E24" s="31" t="s">
        <v>23</v>
      </c>
      <c r="F24" s="32"/>
      <c r="G24" s="57" t="s">
        <v>440</v>
      </c>
      <c r="H24" s="51" t="s">
        <v>441</v>
      </c>
      <c r="I24" s="13"/>
      <c r="J24" s="34"/>
      <c r="K24" s="35"/>
      <c r="L24" s="36"/>
      <c r="M24" s="34"/>
      <c r="N24" s="37"/>
      <c r="O24" s="38"/>
      <c r="P24" s="39"/>
      <c r="Q24" s="40"/>
      <c r="R24" s="41"/>
      <c r="S24" s="42"/>
      <c r="T24" s="42"/>
      <c r="U24" s="34"/>
      <c r="V24" s="34"/>
      <c r="W24" s="13"/>
    </row>
    <row r="25" ht="18.75" customHeight="1">
      <c r="A25" s="13"/>
      <c r="B25" s="56" t="s">
        <v>442</v>
      </c>
      <c r="C25" s="47">
        <f>IFERROR(__xludf.DUMMYFUNCTION("""COMPUTED_VALUE"""),3912466.0)</f>
        <v>3912466</v>
      </c>
      <c r="D25" s="31" t="s">
        <v>7</v>
      </c>
      <c r="E25" s="31" t="s">
        <v>23</v>
      </c>
      <c r="F25" s="32"/>
      <c r="G25" s="57" t="s">
        <v>443</v>
      </c>
      <c r="H25" s="51" t="s">
        <v>444</v>
      </c>
      <c r="I25" s="13"/>
      <c r="J25" s="34"/>
      <c r="K25" s="46"/>
      <c r="L25" s="36"/>
      <c r="M25" s="34"/>
      <c r="N25" s="37"/>
      <c r="O25" s="38"/>
      <c r="P25" s="39"/>
      <c r="Q25" s="40"/>
      <c r="R25" s="41"/>
      <c r="S25" s="42"/>
      <c r="T25" s="42"/>
      <c r="U25" s="34"/>
      <c r="V25" s="34"/>
      <c r="W25" s="13"/>
    </row>
    <row r="26" ht="18.75" customHeight="1">
      <c r="A26" s="13"/>
      <c r="B26" s="56" t="s">
        <v>445</v>
      </c>
      <c r="C26" s="47">
        <f>IFERROR(__xludf.DUMMYFUNCTION("""COMPUTED_VALUE"""),1600995.0)</f>
        <v>1600995</v>
      </c>
      <c r="D26" s="31" t="s">
        <v>7</v>
      </c>
      <c r="E26" s="31" t="s">
        <v>23</v>
      </c>
      <c r="F26" s="32"/>
      <c r="G26" s="57" t="s">
        <v>446</v>
      </c>
      <c r="H26" s="51" t="s">
        <v>207</v>
      </c>
      <c r="I26" s="13"/>
      <c r="J26" s="34"/>
      <c r="K26" s="46"/>
      <c r="L26" s="36"/>
      <c r="M26" s="34"/>
      <c r="N26" s="37"/>
      <c r="O26" s="38"/>
      <c r="P26" s="39"/>
      <c r="Q26" s="40"/>
      <c r="R26" s="41"/>
      <c r="S26" s="42"/>
      <c r="T26" s="42"/>
      <c r="U26" s="34"/>
      <c r="V26" s="34"/>
      <c r="W26" s="13"/>
    </row>
    <row r="27" ht="18.75" customHeight="1">
      <c r="A27" s="13"/>
      <c r="B27" s="56" t="s">
        <v>447</v>
      </c>
      <c r="C27" s="47">
        <f>IFERROR(__xludf.DUMMYFUNCTION("""COMPUTED_VALUE"""),2800663.0)</f>
        <v>2800663</v>
      </c>
      <c r="D27" s="31" t="s">
        <v>7</v>
      </c>
      <c r="E27" s="31" t="s">
        <v>23</v>
      </c>
      <c r="F27" s="32"/>
      <c r="G27" s="57" t="s">
        <v>448</v>
      </c>
      <c r="H27" s="51" t="s">
        <v>449</v>
      </c>
      <c r="I27" s="13"/>
      <c r="J27" s="34"/>
      <c r="K27" s="46"/>
      <c r="L27" s="36"/>
      <c r="M27" s="34"/>
      <c r="N27" s="37"/>
      <c r="O27" s="38"/>
      <c r="P27" s="39"/>
      <c r="Q27" s="40"/>
      <c r="R27" s="41"/>
      <c r="S27" s="42"/>
      <c r="T27" s="42"/>
      <c r="U27" s="34"/>
      <c r="V27" s="34"/>
      <c r="W27" s="13"/>
    </row>
    <row r="28" ht="18.75" customHeight="1">
      <c r="A28" s="13"/>
      <c r="B28" s="56" t="s">
        <v>450</v>
      </c>
      <c r="C28" s="47">
        <f>IFERROR(__xludf.DUMMYFUNCTION("""COMPUTED_VALUE"""),103476.0)</f>
        <v>103476</v>
      </c>
      <c r="D28" s="31" t="s">
        <v>8</v>
      </c>
      <c r="E28" s="31"/>
      <c r="F28" s="32"/>
      <c r="G28" s="57" t="s">
        <v>451</v>
      </c>
      <c r="H28" s="51" t="s">
        <v>452</v>
      </c>
      <c r="I28" s="13"/>
      <c r="J28" s="34"/>
      <c r="K28" s="46"/>
      <c r="L28" s="36"/>
      <c r="M28" s="34"/>
      <c r="N28" s="37"/>
      <c r="O28" s="38"/>
      <c r="P28" s="39"/>
      <c r="Q28" s="40"/>
      <c r="R28" s="41"/>
      <c r="S28" s="42"/>
      <c r="T28" s="42"/>
      <c r="U28" s="34"/>
      <c r="V28" s="34"/>
      <c r="W28" s="13"/>
    </row>
    <row r="29" ht="18.75" customHeight="1">
      <c r="A29" s="13"/>
      <c r="B29" s="56" t="s">
        <v>453</v>
      </c>
      <c r="C29" s="47">
        <f>IFERROR(__xludf.DUMMYFUNCTION("""COMPUTED_VALUE"""),3870932.0)</f>
        <v>3870932</v>
      </c>
      <c r="D29" s="31" t="s">
        <v>7</v>
      </c>
      <c r="E29" s="32"/>
      <c r="F29" s="32"/>
      <c r="G29" s="57" t="s">
        <v>454</v>
      </c>
      <c r="H29" s="51" t="s">
        <v>455</v>
      </c>
      <c r="I29" s="13"/>
      <c r="J29" s="34"/>
      <c r="K29" s="46"/>
      <c r="L29" s="36"/>
      <c r="M29" s="34"/>
      <c r="N29" s="37"/>
      <c r="O29" s="38"/>
      <c r="P29" s="39"/>
      <c r="Q29" s="40"/>
      <c r="R29" s="41"/>
      <c r="S29" s="42"/>
      <c r="T29" s="42"/>
      <c r="U29" s="34"/>
      <c r="V29" s="34"/>
      <c r="W29" s="13"/>
    </row>
    <row r="30" ht="18.75" customHeight="1">
      <c r="A30" s="13"/>
      <c r="B30" s="44"/>
      <c r="C30" s="47"/>
      <c r="D30" s="31" t="s">
        <v>7</v>
      </c>
      <c r="E30" s="32"/>
      <c r="F30" s="32"/>
      <c r="G30" s="33"/>
      <c r="H30" s="51" t="s">
        <v>455</v>
      </c>
      <c r="I30" s="13"/>
      <c r="J30" s="34"/>
      <c r="K30" s="46"/>
      <c r="L30" s="36"/>
      <c r="M30" s="34"/>
      <c r="N30" s="37"/>
      <c r="O30" s="38"/>
      <c r="P30" s="39"/>
      <c r="Q30" s="40"/>
      <c r="R30" s="41"/>
      <c r="S30" s="42"/>
      <c r="T30" s="42"/>
      <c r="U30" s="34"/>
      <c r="V30" s="34"/>
      <c r="W30" s="13"/>
    </row>
    <row r="31" ht="18.75" customHeight="1">
      <c r="A31" s="13"/>
      <c r="B31" s="56" t="s">
        <v>456</v>
      </c>
      <c r="C31" s="47">
        <f>IFERROR(__xludf.DUMMYFUNCTION("""COMPUTED_VALUE"""),3913591.0)</f>
        <v>3913591</v>
      </c>
      <c r="D31" s="31" t="s">
        <v>9</v>
      </c>
      <c r="E31" s="31" t="s">
        <v>17</v>
      </c>
      <c r="F31" s="32"/>
      <c r="G31" s="57" t="s">
        <v>391</v>
      </c>
      <c r="H31" s="33"/>
      <c r="I31" s="13"/>
      <c r="J31" s="34"/>
      <c r="K31" s="46"/>
      <c r="L31" s="36"/>
      <c r="M31" s="34"/>
      <c r="N31" s="37"/>
      <c r="O31" s="38"/>
      <c r="P31" s="39"/>
      <c r="Q31" s="40"/>
      <c r="R31" s="41"/>
      <c r="S31" s="42"/>
      <c r="T31" s="42"/>
      <c r="U31" s="34"/>
      <c r="V31" s="34"/>
      <c r="W31" s="13"/>
    </row>
    <row r="32" ht="18.75" customHeight="1">
      <c r="A32" s="13"/>
      <c r="B32" s="56" t="s">
        <v>457</v>
      </c>
      <c r="C32" s="47">
        <f>IFERROR(__xludf.DUMMYFUNCTION("""COMPUTED_VALUE"""),674080.0)</f>
        <v>674080</v>
      </c>
      <c r="D32" s="31" t="s">
        <v>10</v>
      </c>
      <c r="E32" s="31" t="s">
        <v>17</v>
      </c>
      <c r="F32" s="32"/>
      <c r="G32" s="57" t="s">
        <v>407</v>
      </c>
      <c r="H32" s="33"/>
      <c r="I32" s="13"/>
      <c r="J32" s="34"/>
      <c r="K32" s="46"/>
      <c r="L32" s="36"/>
      <c r="M32" s="34"/>
      <c r="N32" s="37"/>
      <c r="O32" s="38"/>
      <c r="P32" s="39"/>
      <c r="Q32" s="40"/>
      <c r="R32" s="41"/>
      <c r="S32" s="42"/>
      <c r="T32" s="42"/>
      <c r="U32" s="34"/>
      <c r="V32" s="34"/>
      <c r="W32" s="13"/>
    </row>
    <row r="33" ht="18.75" customHeight="1">
      <c r="A33" s="13"/>
      <c r="B33" s="58" t="s">
        <v>73</v>
      </c>
      <c r="C33" s="47">
        <f>IFERROR(__xludf.DUMMYFUNCTION("""COMPUTED_VALUE"""),2514122.0)</f>
        <v>2514122</v>
      </c>
      <c r="D33" s="31" t="s">
        <v>11</v>
      </c>
      <c r="E33" s="32"/>
      <c r="F33" s="32"/>
      <c r="G33" s="57" t="s">
        <v>74</v>
      </c>
      <c r="H33" s="33"/>
      <c r="I33" s="13"/>
      <c r="J33" s="34"/>
      <c r="K33" s="46"/>
      <c r="L33" s="36"/>
      <c r="M33" s="34"/>
      <c r="N33" s="37"/>
      <c r="O33" s="38"/>
      <c r="P33" s="39"/>
      <c r="Q33" s="40"/>
      <c r="R33" s="41"/>
      <c r="S33" s="42"/>
      <c r="T33" s="42"/>
      <c r="U33" s="34"/>
      <c r="V33" s="34"/>
      <c r="W33" s="13"/>
    </row>
    <row r="34" ht="18.75" customHeight="1">
      <c r="A34" s="13"/>
      <c r="B34" s="56" t="s">
        <v>458</v>
      </c>
      <c r="C34" s="47">
        <f>IFERROR(__xludf.DUMMYFUNCTION("""COMPUTED_VALUE"""),3407970.0)</f>
        <v>3407970</v>
      </c>
      <c r="D34" s="31" t="s">
        <v>9</v>
      </c>
      <c r="E34" s="32"/>
      <c r="F34" s="32"/>
      <c r="G34" s="57" t="s">
        <v>459</v>
      </c>
      <c r="H34" s="33"/>
      <c r="I34" s="13"/>
      <c r="J34" s="34"/>
      <c r="K34" s="46"/>
      <c r="L34" s="36"/>
      <c r="M34" s="34"/>
      <c r="N34" s="37"/>
      <c r="O34" s="38"/>
      <c r="P34" s="39"/>
      <c r="Q34" s="40"/>
      <c r="R34" s="41"/>
      <c r="S34" s="42"/>
      <c r="T34" s="42"/>
      <c r="U34" s="34"/>
      <c r="V34" s="34"/>
      <c r="W34" s="13"/>
    </row>
    <row r="35" ht="18.75" customHeight="1">
      <c r="A35" s="13"/>
      <c r="B35" s="56" t="s">
        <v>460</v>
      </c>
      <c r="C35" s="47">
        <f>IFERROR(__xludf.DUMMYFUNCTION("""COMPUTED_VALUE"""),2917786.0)</f>
        <v>2917786</v>
      </c>
      <c r="D35" s="31" t="s">
        <v>9</v>
      </c>
      <c r="E35" s="32"/>
      <c r="F35" s="32"/>
      <c r="G35" s="57" t="s">
        <v>461</v>
      </c>
      <c r="H35" s="33"/>
      <c r="I35" s="13"/>
      <c r="J35" s="34"/>
      <c r="K35" s="46"/>
      <c r="L35" s="36"/>
      <c r="M35" s="34"/>
      <c r="N35" s="37"/>
      <c r="O35" s="38"/>
      <c r="P35" s="39"/>
      <c r="Q35" s="40"/>
      <c r="R35" s="41"/>
      <c r="S35" s="42"/>
      <c r="T35" s="42"/>
      <c r="U35" s="34"/>
      <c r="V35" s="34"/>
      <c r="W35" s="13"/>
    </row>
    <row r="36" ht="18.75" customHeight="1">
      <c r="A36" s="13"/>
      <c r="B36" s="56" t="s">
        <v>462</v>
      </c>
      <c r="C36" s="47">
        <f>IFERROR(__xludf.DUMMYFUNCTION("""COMPUTED_VALUE"""),2671048.0)</f>
        <v>2671048</v>
      </c>
      <c r="D36" s="31" t="s">
        <v>8</v>
      </c>
      <c r="E36" s="31" t="s">
        <v>17</v>
      </c>
      <c r="F36" s="32"/>
      <c r="G36" s="57" t="s">
        <v>375</v>
      </c>
      <c r="H36" s="33"/>
      <c r="I36" s="13"/>
      <c r="J36" s="34"/>
      <c r="K36" s="46"/>
      <c r="L36" s="36"/>
      <c r="M36" s="34"/>
      <c r="N36" s="37"/>
      <c r="O36" s="38"/>
      <c r="P36" s="39"/>
      <c r="Q36" s="40"/>
      <c r="R36" s="41"/>
      <c r="S36" s="42"/>
      <c r="T36" s="42"/>
      <c r="U36" s="34"/>
      <c r="V36" s="34"/>
      <c r="W36" s="13"/>
    </row>
    <row r="37" ht="18.75" customHeight="1">
      <c r="A37" s="13"/>
      <c r="B37" s="56" t="s">
        <v>463</v>
      </c>
      <c r="C37" s="47">
        <f>IFERROR(__xludf.DUMMYFUNCTION("""COMPUTED_VALUE"""),74778.0)</f>
        <v>74778</v>
      </c>
      <c r="D37" s="31" t="s">
        <v>11</v>
      </c>
      <c r="E37" s="32"/>
      <c r="F37" s="32"/>
      <c r="G37" s="57" t="s">
        <v>464</v>
      </c>
      <c r="H37" s="33"/>
      <c r="I37" s="13"/>
      <c r="J37" s="34"/>
      <c r="K37" s="46"/>
      <c r="L37" s="36"/>
      <c r="M37" s="34"/>
      <c r="N37" s="37"/>
      <c r="O37" s="38"/>
      <c r="P37" s="39"/>
      <c r="Q37" s="40"/>
      <c r="R37" s="41"/>
      <c r="S37" s="42"/>
      <c r="T37" s="42"/>
      <c r="U37" s="34"/>
      <c r="V37" s="34"/>
      <c r="W37" s="13"/>
    </row>
    <row r="38" ht="18.75" customHeight="1">
      <c r="A38" s="13"/>
      <c r="B38" s="56" t="s">
        <v>465</v>
      </c>
      <c r="C38" s="47">
        <f>IFERROR(__xludf.DUMMYFUNCTION("""COMPUTED_VALUE"""),3530469.0)</f>
        <v>3530469</v>
      </c>
      <c r="D38" s="31" t="s">
        <v>8</v>
      </c>
      <c r="E38" s="32"/>
      <c r="F38" s="32"/>
      <c r="G38" s="57" t="s">
        <v>466</v>
      </c>
      <c r="H38" s="33"/>
      <c r="I38" s="13"/>
      <c r="J38" s="34"/>
      <c r="K38" s="46"/>
      <c r="L38" s="36"/>
      <c r="M38" s="34"/>
      <c r="N38" s="37"/>
      <c r="O38" s="38"/>
      <c r="P38" s="39"/>
      <c r="Q38" s="40"/>
      <c r="R38" s="41"/>
      <c r="S38" s="42"/>
      <c r="T38" s="42"/>
      <c r="U38" s="34"/>
      <c r="V38" s="34"/>
      <c r="W38" s="13"/>
    </row>
    <row r="39" ht="18.75" customHeight="1">
      <c r="A39" s="13"/>
      <c r="B39" s="56" t="s">
        <v>467</v>
      </c>
      <c r="C39" s="47">
        <f>IFERROR(__xludf.DUMMYFUNCTION("""COMPUTED_VALUE"""),1491793.0)</f>
        <v>1491793</v>
      </c>
      <c r="D39" s="31" t="s">
        <v>8</v>
      </c>
      <c r="E39" s="31" t="s">
        <v>17</v>
      </c>
      <c r="F39" s="32"/>
      <c r="G39" s="57" t="s">
        <v>386</v>
      </c>
      <c r="H39" s="33"/>
      <c r="I39" s="13"/>
      <c r="J39" s="34"/>
      <c r="K39" s="46"/>
      <c r="L39" s="36"/>
      <c r="M39" s="34"/>
      <c r="N39" s="37"/>
      <c r="O39" s="38"/>
      <c r="P39" s="39"/>
      <c r="Q39" s="40"/>
      <c r="R39" s="41"/>
      <c r="S39" s="42"/>
      <c r="T39" s="42"/>
      <c r="U39" s="34"/>
      <c r="V39" s="34"/>
      <c r="W39" s="13"/>
    </row>
    <row r="40" ht="18.75" customHeight="1">
      <c r="A40" s="13"/>
      <c r="B40" s="56" t="s">
        <v>468</v>
      </c>
      <c r="C40" s="47">
        <f>IFERROR(__xludf.DUMMYFUNCTION("""COMPUTED_VALUE"""),3291796.0)</f>
        <v>3291796</v>
      </c>
      <c r="D40" s="31" t="s">
        <v>7</v>
      </c>
      <c r="E40" s="32"/>
      <c r="F40" s="32"/>
      <c r="G40" s="57" t="s">
        <v>469</v>
      </c>
      <c r="H40" s="33"/>
      <c r="I40" s="13"/>
      <c r="J40" s="34"/>
      <c r="K40" s="46"/>
      <c r="L40" s="36"/>
      <c r="M40" s="34"/>
      <c r="N40" s="37"/>
      <c r="O40" s="38"/>
      <c r="P40" s="39"/>
      <c r="Q40" s="40"/>
      <c r="R40" s="41"/>
      <c r="S40" s="42"/>
      <c r="T40" s="42"/>
      <c r="U40" s="34"/>
      <c r="V40" s="34"/>
      <c r="W40" s="13"/>
    </row>
    <row r="41" ht="18.75" customHeight="1">
      <c r="A41" s="13"/>
      <c r="B41" s="56" t="s">
        <v>470</v>
      </c>
      <c r="C41" s="47">
        <f>IFERROR(__xludf.DUMMYFUNCTION("""COMPUTED_VALUE"""),3299370.0)</f>
        <v>3299370</v>
      </c>
      <c r="D41" s="31" t="s">
        <v>10</v>
      </c>
      <c r="E41" s="31" t="s">
        <v>17</v>
      </c>
      <c r="F41" s="32"/>
      <c r="G41" s="57" t="s">
        <v>412</v>
      </c>
      <c r="H41" s="33"/>
      <c r="I41" s="13"/>
      <c r="J41" s="34"/>
      <c r="K41" s="46"/>
      <c r="L41" s="36"/>
      <c r="M41" s="34"/>
      <c r="N41" s="37"/>
      <c r="O41" s="38"/>
      <c r="P41" s="39"/>
      <c r="Q41" s="40"/>
      <c r="R41" s="41"/>
      <c r="S41" s="42"/>
      <c r="T41" s="42"/>
      <c r="U41" s="34"/>
      <c r="V41" s="34"/>
      <c r="W41" s="13"/>
    </row>
    <row r="42" ht="18.75" customHeight="1">
      <c r="A42" s="13"/>
      <c r="B42" s="56" t="s">
        <v>471</v>
      </c>
      <c r="C42" s="47">
        <f>IFERROR(__xludf.DUMMYFUNCTION("""COMPUTED_VALUE"""),3822599.0)</f>
        <v>3822599</v>
      </c>
      <c r="D42" s="31" t="s">
        <v>10</v>
      </c>
      <c r="E42" s="31" t="s">
        <v>17</v>
      </c>
      <c r="F42" s="32"/>
      <c r="G42" s="57" t="s">
        <v>417</v>
      </c>
      <c r="H42" s="33"/>
      <c r="I42" s="13"/>
      <c r="J42" s="34"/>
      <c r="K42" s="46"/>
      <c r="L42" s="36"/>
      <c r="M42" s="34"/>
      <c r="N42" s="37"/>
      <c r="O42" s="38"/>
      <c r="P42" s="39"/>
      <c r="Q42" s="40"/>
      <c r="R42" s="41"/>
      <c r="S42" s="42"/>
      <c r="T42" s="42"/>
      <c r="U42" s="34"/>
      <c r="V42" s="34"/>
      <c r="W42" s="13"/>
    </row>
    <row r="43" ht="18.75" customHeight="1">
      <c r="A43" s="13"/>
      <c r="B43" s="56" t="s">
        <v>472</v>
      </c>
      <c r="C43" s="47">
        <f>IFERROR(__xludf.DUMMYFUNCTION("""COMPUTED_VALUE"""),785982.0)</f>
        <v>785982</v>
      </c>
      <c r="D43" s="31" t="s">
        <v>11</v>
      </c>
      <c r="E43" s="31" t="s">
        <v>35</v>
      </c>
      <c r="F43" s="32"/>
      <c r="G43" s="57" t="s">
        <v>473</v>
      </c>
      <c r="H43" s="33"/>
      <c r="I43" s="13"/>
      <c r="J43" s="34"/>
      <c r="K43" s="46"/>
      <c r="L43" s="36"/>
      <c r="M43" s="34"/>
      <c r="N43" s="37"/>
      <c r="O43" s="38"/>
      <c r="P43" s="39"/>
      <c r="Q43" s="40"/>
      <c r="R43" s="41"/>
      <c r="S43" s="42"/>
      <c r="T43" s="42"/>
      <c r="U43" s="34"/>
      <c r="V43" s="34"/>
      <c r="W43" s="13"/>
    </row>
    <row r="44" ht="18.75" customHeight="1">
      <c r="A44" s="13"/>
      <c r="B44" s="56" t="s">
        <v>474</v>
      </c>
      <c r="C44" s="47">
        <f>IFERROR(__xludf.DUMMYFUNCTION("""COMPUTED_VALUE"""),382887.0)</f>
        <v>382887</v>
      </c>
      <c r="D44" s="31" t="s">
        <v>7</v>
      </c>
      <c r="E44" s="31" t="s">
        <v>35</v>
      </c>
      <c r="F44" s="32"/>
      <c r="G44" s="57" t="s">
        <v>475</v>
      </c>
      <c r="H44" s="33"/>
      <c r="I44" s="13"/>
      <c r="J44" s="34"/>
      <c r="K44" s="46"/>
      <c r="L44" s="36"/>
      <c r="M44" s="34"/>
      <c r="N44" s="37"/>
      <c r="O44" s="38"/>
      <c r="P44" s="39"/>
      <c r="Q44" s="40"/>
      <c r="R44" s="41"/>
      <c r="S44" s="42"/>
      <c r="T44" s="42"/>
      <c r="U44" s="34"/>
      <c r="V44" s="34"/>
      <c r="W44" s="13"/>
    </row>
    <row r="45" ht="18.75" customHeight="1">
      <c r="A45" s="13"/>
      <c r="B45" s="56" t="s">
        <v>476</v>
      </c>
      <c r="C45" s="47">
        <f>IFERROR(__xludf.DUMMYFUNCTION("""COMPUTED_VALUE"""),4215637.0)</f>
        <v>4215637</v>
      </c>
      <c r="D45" s="31" t="s">
        <v>7</v>
      </c>
      <c r="E45" s="31" t="s">
        <v>35</v>
      </c>
      <c r="F45" s="32"/>
      <c r="G45" s="57" t="s">
        <v>363</v>
      </c>
      <c r="H45" s="33"/>
      <c r="I45" s="13"/>
      <c r="J45" s="34"/>
      <c r="K45" s="46"/>
      <c r="L45" s="36"/>
      <c r="M45" s="34"/>
      <c r="N45" s="37"/>
      <c r="O45" s="38"/>
      <c r="P45" s="39"/>
      <c r="Q45" s="40"/>
      <c r="R45" s="41"/>
      <c r="S45" s="42"/>
      <c r="T45" s="42"/>
      <c r="U45" s="34"/>
      <c r="V45" s="34"/>
      <c r="W45" s="13"/>
    </row>
    <row r="46" ht="18.75" customHeight="1">
      <c r="A46" s="13"/>
      <c r="B46" s="56" t="s">
        <v>477</v>
      </c>
      <c r="C46" s="47">
        <f>IFERROR(__xludf.DUMMYFUNCTION("""COMPUTED_VALUE"""),2277128.0)</f>
        <v>2277128</v>
      </c>
      <c r="D46" s="31" t="s">
        <v>8</v>
      </c>
      <c r="E46" s="31" t="s">
        <v>17</v>
      </c>
      <c r="F46" s="32"/>
      <c r="G46" s="57" t="s">
        <v>478</v>
      </c>
      <c r="H46" s="33"/>
      <c r="I46" s="13"/>
      <c r="J46" s="34"/>
      <c r="K46" s="46"/>
      <c r="L46" s="36"/>
      <c r="M46" s="34"/>
      <c r="N46" s="37"/>
      <c r="O46" s="38"/>
      <c r="P46" s="39"/>
      <c r="Q46" s="40"/>
      <c r="R46" s="41"/>
      <c r="S46" s="42"/>
      <c r="T46" s="42"/>
      <c r="U46" s="34"/>
      <c r="V46" s="34"/>
      <c r="W46" s="13"/>
    </row>
    <row r="47" ht="18.75" customHeight="1">
      <c r="A47" s="13"/>
      <c r="B47" s="56" t="s">
        <v>479</v>
      </c>
      <c r="C47" s="47">
        <f>IFERROR(__xludf.DUMMYFUNCTION("""COMPUTED_VALUE"""),3804111.0)</f>
        <v>3804111</v>
      </c>
      <c r="D47" s="31" t="s">
        <v>11</v>
      </c>
      <c r="E47" s="31" t="s">
        <v>17</v>
      </c>
      <c r="F47" s="32"/>
      <c r="G47" s="57" t="s">
        <v>429</v>
      </c>
      <c r="H47" s="33"/>
      <c r="I47" s="13"/>
      <c r="J47" s="34"/>
      <c r="K47" s="46"/>
      <c r="L47" s="36"/>
      <c r="M47" s="34"/>
      <c r="N47" s="37"/>
      <c r="O47" s="38"/>
      <c r="P47" s="39"/>
      <c r="Q47" s="40"/>
      <c r="R47" s="41"/>
      <c r="S47" s="42"/>
      <c r="T47" s="42"/>
      <c r="U47" s="34"/>
      <c r="V47" s="34"/>
      <c r="W47" s="13"/>
    </row>
    <row r="48" ht="18.75" customHeight="1">
      <c r="A48" s="13"/>
      <c r="B48" s="56" t="s">
        <v>480</v>
      </c>
      <c r="C48" s="47">
        <f>IFERROR(__xludf.DUMMYFUNCTION("""COMPUTED_VALUE"""),2076261.0)</f>
        <v>2076261</v>
      </c>
      <c r="D48" s="31" t="s">
        <v>14</v>
      </c>
      <c r="E48" s="32"/>
      <c r="F48" s="32"/>
      <c r="G48" s="57" t="s">
        <v>481</v>
      </c>
      <c r="H48" s="33"/>
      <c r="I48" s="13"/>
      <c r="J48" s="34"/>
      <c r="K48" s="46"/>
      <c r="L48" s="36"/>
      <c r="M48" s="34"/>
      <c r="N48" s="37"/>
      <c r="O48" s="38"/>
      <c r="P48" s="39"/>
      <c r="Q48" s="40"/>
      <c r="R48" s="41"/>
      <c r="S48" s="42"/>
      <c r="T48" s="42"/>
      <c r="U48" s="34"/>
      <c r="V48" s="34"/>
      <c r="W48" s="13"/>
    </row>
    <row r="49" ht="18.75" customHeight="1">
      <c r="A49" s="13"/>
      <c r="B49" s="56" t="s">
        <v>482</v>
      </c>
      <c r="C49" s="47">
        <f>IFERROR(__xludf.DUMMYFUNCTION("""COMPUTED_VALUE"""),1838159.0)</f>
        <v>1838159</v>
      </c>
      <c r="D49" s="31" t="s">
        <v>7</v>
      </c>
      <c r="E49" s="31" t="s">
        <v>38</v>
      </c>
      <c r="F49" s="32"/>
      <c r="G49" s="57" t="s">
        <v>346</v>
      </c>
      <c r="H49" s="33"/>
      <c r="I49" s="13"/>
      <c r="J49" s="34"/>
      <c r="K49" s="46"/>
      <c r="L49" s="36"/>
      <c r="M49" s="34"/>
      <c r="N49" s="37"/>
      <c r="O49" s="38"/>
      <c r="P49" s="39"/>
      <c r="Q49" s="40"/>
      <c r="R49" s="41"/>
      <c r="S49" s="42"/>
      <c r="T49" s="42"/>
      <c r="U49" s="34"/>
      <c r="V49" s="34"/>
      <c r="W49" s="13"/>
    </row>
    <row r="50" ht="18.75" customHeight="1">
      <c r="A50" s="13"/>
      <c r="B50" s="44"/>
      <c r="C50" s="47"/>
      <c r="D50" s="31" t="s">
        <v>7</v>
      </c>
      <c r="E50" s="32"/>
      <c r="F50" s="32"/>
      <c r="G50" s="33"/>
      <c r="H50" s="33"/>
      <c r="I50" s="13"/>
      <c r="J50" s="34"/>
      <c r="K50" s="46"/>
      <c r="L50" s="36"/>
      <c r="M50" s="34"/>
      <c r="N50" s="37"/>
      <c r="O50" s="38"/>
      <c r="P50" s="39"/>
      <c r="Q50" s="40"/>
      <c r="R50" s="41"/>
      <c r="S50" s="42"/>
      <c r="T50" s="42"/>
      <c r="U50" s="34"/>
      <c r="V50" s="34"/>
      <c r="W50" s="13"/>
    </row>
    <row r="51" ht="18.75" customHeight="1">
      <c r="A51" s="13"/>
      <c r="B51" s="56" t="s">
        <v>333</v>
      </c>
      <c r="C51" s="47">
        <f>IFERROR(__xludf.DUMMYFUNCTION("""COMPUTED_VALUE"""),577517.0)</f>
        <v>577517</v>
      </c>
      <c r="D51" s="31" t="s">
        <v>14</v>
      </c>
      <c r="E51" s="32"/>
      <c r="F51" s="32"/>
      <c r="G51" s="57" t="s">
        <v>334</v>
      </c>
      <c r="H51" s="33"/>
      <c r="I51" s="13"/>
      <c r="J51" s="34"/>
      <c r="K51" s="46"/>
      <c r="L51" s="36"/>
      <c r="M51" s="34"/>
      <c r="N51" s="37"/>
      <c r="O51" s="38"/>
      <c r="P51" s="39"/>
      <c r="Q51" s="40"/>
      <c r="R51" s="41"/>
      <c r="S51" s="42"/>
      <c r="T51" s="42"/>
      <c r="U51" s="34"/>
      <c r="V51" s="34"/>
      <c r="W51" s="13"/>
    </row>
    <row r="52" ht="18.75" customHeight="1">
      <c r="A52" s="13"/>
      <c r="B52" s="56" t="s">
        <v>483</v>
      </c>
      <c r="C52" s="47">
        <f>IFERROR(__xludf.DUMMYFUNCTION("""COMPUTED_VALUE"""),2568756.0)</f>
        <v>2568756</v>
      </c>
      <c r="D52" s="31" t="s">
        <v>7</v>
      </c>
      <c r="E52" s="32"/>
      <c r="F52" s="32"/>
      <c r="G52" s="57" t="s">
        <v>352</v>
      </c>
      <c r="H52" s="33"/>
      <c r="I52" s="13"/>
      <c r="J52" s="34"/>
      <c r="K52" s="46"/>
      <c r="L52" s="36"/>
      <c r="M52" s="34"/>
      <c r="N52" s="37"/>
      <c r="O52" s="38"/>
      <c r="P52" s="39"/>
      <c r="Q52" s="40"/>
      <c r="R52" s="41"/>
      <c r="S52" s="42"/>
      <c r="T52" s="42"/>
      <c r="U52" s="34"/>
      <c r="V52" s="34"/>
      <c r="W52" s="13"/>
    </row>
    <row r="53" ht="18.75" customHeight="1">
      <c r="A53" s="13"/>
      <c r="B53" s="56" t="s">
        <v>484</v>
      </c>
      <c r="C53" s="47">
        <f>IFERROR(__xludf.DUMMYFUNCTION("""COMPUTED_VALUE"""),3341368.0)</f>
        <v>3341368</v>
      </c>
      <c r="D53" s="31" t="s">
        <v>7</v>
      </c>
      <c r="E53" s="32"/>
      <c r="F53" s="32"/>
      <c r="G53" s="57" t="s">
        <v>358</v>
      </c>
      <c r="H53" s="33"/>
      <c r="I53" s="13"/>
      <c r="J53" s="34"/>
      <c r="K53" s="46"/>
      <c r="L53" s="36"/>
      <c r="M53" s="34"/>
      <c r="N53" s="37"/>
      <c r="O53" s="38"/>
      <c r="P53" s="39"/>
      <c r="Q53" s="40"/>
      <c r="R53" s="41"/>
      <c r="S53" s="42"/>
      <c r="T53" s="42"/>
      <c r="U53" s="34"/>
      <c r="V53" s="34"/>
      <c r="W53" s="13"/>
    </row>
    <row r="54" ht="18.75" customHeight="1">
      <c r="A54" s="13"/>
      <c r="B54" s="56" t="s">
        <v>485</v>
      </c>
      <c r="C54" s="47">
        <f>IFERROR(__xludf.DUMMYFUNCTION("""COMPUTED_VALUE"""),3274886.0)</f>
        <v>3274886</v>
      </c>
      <c r="D54" s="31" t="s">
        <v>11</v>
      </c>
      <c r="E54" s="32"/>
      <c r="F54" s="32"/>
      <c r="G54" s="57" t="s">
        <v>423</v>
      </c>
      <c r="H54" s="33"/>
      <c r="I54" s="13"/>
      <c r="J54" s="34"/>
      <c r="K54" s="46"/>
      <c r="L54" s="36"/>
      <c r="M54" s="34"/>
      <c r="N54" s="37"/>
      <c r="O54" s="38"/>
      <c r="P54" s="39"/>
      <c r="Q54" s="40"/>
      <c r="R54" s="41"/>
      <c r="S54" s="42"/>
      <c r="T54" s="42"/>
      <c r="U54" s="34"/>
      <c r="V54" s="34"/>
      <c r="W54" s="13"/>
    </row>
    <row r="55" ht="18.75" customHeight="1">
      <c r="A55" s="13"/>
      <c r="B55" s="56" t="s">
        <v>486</v>
      </c>
      <c r="C55" s="47">
        <f>IFERROR(__xludf.DUMMYFUNCTION("""COMPUTED_VALUE"""),74779.0)</f>
        <v>74779</v>
      </c>
      <c r="D55" s="31" t="s">
        <v>9</v>
      </c>
      <c r="E55" s="32"/>
      <c r="F55" s="32"/>
      <c r="G55" s="57" t="s">
        <v>487</v>
      </c>
      <c r="H55" s="33"/>
      <c r="I55" s="13"/>
      <c r="J55" s="34"/>
      <c r="K55" s="46"/>
      <c r="L55" s="36"/>
      <c r="M55" s="34"/>
      <c r="N55" s="37"/>
      <c r="O55" s="38"/>
      <c r="P55" s="39"/>
      <c r="Q55" s="40"/>
      <c r="R55" s="41"/>
      <c r="S55" s="42"/>
      <c r="T55" s="42"/>
      <c r="U55" s="34"/>
      <c r="V55" s="34"/>
      <c r="W55" s="13"/>
    </row>
    <row r="56" ht="18.75" customHeight="1">
      <c r="A56" s="13"/>
      <c r="B56" s="56" t="s">
        <v>488</v>
      </c>
      <c r="C56" s="47">
        <f>IFERROR(__xludf.DUMMYFUNCTION("""COMPUTED_VALUE"""),37750.0)</f>
        <v>37750</v>
      </c>
      <c r="D56" s="31" t="s">
        <v>9</v>
      </c>
      <c r="E56" s="32"/>
      <c r="F56" s="32"/>
      <c r="G56" s="57" t="s">
        <v>396</v>
      </c>
      <c r="H56" s="33"/>
      <c r="I56" s="13"/>
      <c r="J56" s="34"/>
      <c r="K56" s="46"/>
      <c r="L56" s="36"/>
      <c r="M56" s="34"/>
      <c r="N56" s="37"/>
      <c r="O56" s="38"/>
      <c r="P56" s="39"/>
      <c r="Q56" s="40"/>
      <c r="R56" s="41"/>
      <c r="S56" s="42"/>
      <c r="T56" s="42"/>
      <c r="U56" s="34"/>
      <c r="V56" s="34"/>
      <c r="W56" s="13"/>
    </row>
    <row r="57" ht="18.75" customHeight="1">
      <c r="A57" s="13"/>
      <c r="B57" s="56" t="s">
        <v>489</v>
      </c>
      <c r="C57" s="47">
        <f>IFERROR(__xludf.DUMMYFUNCTION("""COMPUTED_VALUE"""),105978.0)</f>
        <v>105978</v>
      </c>
      <c r="D57" s="31" t="s">
        <v>8</v>
      </c>
      <c r="E57" s="32"/>
      <c r="F57" s="32"/>
      <c r="G57" s="57" t="s">
        <v>380</v>
      </c>
      <c r="H57" s="33"/>
      <c r="I57" s="13"/>
      <c r="J57" s="34"/>
      <c r="K57" s="46"/>
      <c r="L57" s="36"/>
      <c r="M57" s="34"/>
      <c r="N57" s="37"/>
      <c r="O57" s="38"/>
      <c r="P57" s="39"/>
      <c r="Q57" s="40"/>
      <c r="R57" s="41"/>
      <c r="S57" s="42"/>
      <c r="T57" s="42"/>
      <c r="U57" s="34"/>
      <c r="V57" s="34"/>
      <c r="W57" s="13"/>
    </row>
    <row r="58" ht="18.75" customHeight="1">
      <c r="A58" s="13"/>
      <c r="B58" s="56" t="s">
        <v>490</v>
      </c>
      <c r="C58" s="47">
        <f>IFERROR(__xludf.DUMMYFUNCTION("""COMPUTED_VALUE"""),3821597.0)</f>
        <v>3821597</v>
      </c>
      <c r="D58" s="31" t="s">
        <v>7</v>
      </c>
      <c r="E58" s="32"/>
      <c r="F58" s="32"/>
      <c r="G58" s="57" t="s">
        <v>369</v>
      </c>
      <c r="H58" s="33"/>
      <c r="I58" s="13"/>
      <c r="J58" s="34"/>
      <c r="K58" s="46"/>
      <c r="L58" s="36"/>
      <c r="M58" s="34"/>
      <c r="N58" s="37"/>
      <c r="O58" s="38"/>
      <c r="P58" s="39"/>
      <c r="Q58" s="40"/>
      <c r="R58" s="41"/>
      <c r="S58" s="42"/>
      <c r="T58" s="42"/>
      <c r="U58" s="34"/>
      <c r="V58" s="34"/>
      <c r="W58" s="13"/>
    </row>
    <row r="59" ht="18.75" customHeight="1">
      <c r="A59" s="13"/>
      <c r="B59" s="48"/>
      <c r="C59" s="47"/>
      <c r="D59" s="32"/>
      <c r="E59" s="32"/>
      <c r="F59" s="32"/>
      <c r="G59" s="33"/>
      <c r="H59" s="33"/>
      <c r="I59" s="13"/>
      <c r="J59" s="34"/>
      <c r="K59" s="46"/>
      <c r="L59" s="36"/>
      <c r="M59" s="34"/>
      <c r="N59" s="37"/>
      <c r="O59" s="38"/>
      <c r="P59" s="39"/>
      <c r="Q59" s="40"/>
      <c r="R59" s="41"/>
      <c r="S59" s="42"/>
      <c r="T59" s="42"/>
      <c r="U59" s="34"/>
      <c r="V59" s="34"/>
      <c r="W59" s="13"/>
    </row>
    <row r="60" ht="18.75" customHeight="1">
      <c r="A60" s="13"/>
      <c r="B60" s="48"/>
      <c r="C60" s="47"/>
      <c r="D60" s="32"/>
      <c r="E60" s="32"/>
      <c r="F60" s="32"/>
      <c r="G60" s="33"/>
      <c r="H60" s="33"/>
      <c r="I60" s="13"/>
      <c r="J60" s="34"/>
      <c r="K60" s="46"/>
      <c r="L60" s="36"/>
      <c r="M60" s="34"/>
      <c r="N60" s="37"/>
      <c r="O60" s="38"/>
      <c r="P60" s="39"/>
      <c r="Q60" s="40"/>
      <c r="R60" s="41"/>
      <c r="S60" s="42"/>
      <c r="T60" s="42"/>
      <c r="U60" s="34"/>
      <c r="V60" s="34"/>
      <c r="W60" s="13"/>
    </row>
    <row r="61" ht="18.75" customHeight="1">
      <c r="A61" s="13"/>
      <c r="B61" s="48"/>
      <c r="C61" s="47"/>
      <c r="D61" s="32"/>
      <c r="E61" s="32"/>
      <c r="F61" s="32"/>
      <c r="G61" s="33"/>
      <c r="H61" s="33"/>
      <c r="I61" s="13"/>
      <c r="J61" s="34"/>
      <c r="K61" s="46"/>
      <c r="L61" s="36"/>
      <c r="M61" s="34"/>
      <c r="N61" s="37"/>
      <c r="O61" s="38"/>
      <c r="P61" s="39"/>
      <c r="Q61" s="40"/>
      <c r="R61" s="41"/>
      <c r="S61" s="42"/>
      <c r="T61" s="42"/>
      <c r="U61" s="34"/>
      <c r="V61" s="34"/>
      <c r="W61" s="13"/>
    </row>
    <row r="62" ht="18.75" customHeight="1">
      <c r="A62" s="13"/>
      <c r="B62" s="48"/>
      <c r="C62" s="47"/>
      <c r="D62" s="32"/>
      <c r="E62" s="32"/>
      <c r="F62" s="32"/>
      <c r="G62" s="33"/>
      <c r="H62" s="33"/>
      <c r="I62" s="13"/>
      <c r="J62" s="34"/>
      <c r="K62" s="46"/>
      <c r="L62" s="36"/>
      <c r="M62" s="34"/>
      <c r="N62" s="37"/>
      <c r="O62" s="38"/>
      <c r="P62" s="39"/>
      <c r="Q62" s="40"/>
      <c r="R62" s="41"/>
      <c r="S62" s="42"/>
      <c r="T62" s="42"/>
      <c r="U62" s="34"/>
      <c r="V62" s="34"/>
      <c r="W62" s="13"/>
    </row>
    <row r="63" ht="18.75" customHeight="1">
      <c r="A63" s="13"/>
      <c r="B63" s="48"/>
      <c r="C63" s="47"/>
      <c r="D63" s="32"/>
      <c r="E63" s="32"/>
      <c r="F63" s="32"/>
      <c r="G63" s="33"/>
      <c r="H63" s="33"/>
      <c r="I63" s="13"/>
      <c r="J63" s="34"/>
      <c r="K63" s="46"/>
      <c r="L63" s="36"/>
      <c r="M63" s="34"/>
      <c r="N63" s="37"/>
      <c r="O63" s="38"/>
      <c r="P63" s="39"/>
      <c r="Q63" s="40"/>
      <c r="R63" s="41"/>
      <c r="S63" s="42"/>
      <c r="T63" s="42"/>
      <c r="U63" s="34"/>
      <c r="V63" s="34"/>
      <c r="W63" s="13"/>
    </row>
    <row r="64" ht="18.75" customHeight="1">
      <c r="A64" s="13"/>
      <c r="B64" s="48"/>
      <c r="C64" s="47"/>
      <c r="D64" s="32"/>
      <c r="E64" s="32"/>
      <c r="F64" s="32"/>
      <c r="G64" s="33"/>
      <c r="H64" s="33"/>
      <c r="I64" s="13"/>
      <c r="J64" s="34"/>
      <c r="K64" s="46"/>
      <c r="L64" s="36"/>
      <c r="M64" s="34"/>
      <c r="N64" s="37"/>
      <c r="O64" s="38"/>
      <c r="P64" s="39"/>
      <c r="Q64" s="40"/>
      <c r="R64" s="41"/>
      <c r="S64" s="42"/>
      <c r="T64" s="42"/>
      <c r="U64" s="34"/>
      <c r="V64" s="34"/>
      <c r="W64" s="13"/>
    </row>
    <row r="65" ht="18.75" customHeight="1">
      <c r="A65" s="13"/>
      <c r="B65" s="48"/>
      <c r="C65" s="47"/>
      <c r="D65" s="32"/>
      <c r="E65" s="32"/>
      <c r="F65" s="32"/>
      <c r="G65" s="33"/>
      <c r="H65" s="33"/>
      <c r="I65" s="13"/>
      <c r="J65" s="34"/>
      <c r="K65" s="46"/>
      <c r="L65" s="36"/>
      <c r="M65" s="34"/>
      <c r="N65" s="37"/>
      <c r="O65" s="38"/>
      <c r="P65" s="39"/>
      <c r="Q65" s="40"/>
      <c r="R65" s="41"/>
      <c r="S65" s="42"/>
      <c r="T65" s="42"/>
      <c r="U65" s="34"/>
      <c r="V65" s="34"/>
      <c r="W65" s="13"/>
    </row>
    <row r="66" ht="18.75" customHeight="1">
      <c r="A66" s="13"/>
      <c r="B66" s="48"/>
      <c r="C66" s="47"/>
      <c r="D66" s="32"/>
      <c r="E66" s="32"/>
      <c r="F66" s="32"/>
      <c r="G66" s="33"/>
      <c r="H66" s="33"/>
      <c r="I66" s="13"/>
      <c r="J66" s="34"/>
      <c r="K66" s="46"/>
      <c r="L66" s="36"/>
      <c r="M66" s="34"/>
      <c r="N66" s="37"/>
      <c r="O66" s="38"/>
      <c r="P66" s="39"/>
      <c r="Q66" s="40"/>
      <c r="R66" s="41"/>
      <c r="S66" s="42"/>
      <c r="T66" s="42"/>
      <c r="U66" s="34"/>
      <c r="V66" s="34"/>
      <c r="W66" s="13"/>
    </row>
    <row r="67" ht="18.75" customHeight="1">
      <c r="A67" s="13"/>
      <c r="B67" s="48"/>
      <c r="C67" s="47"/>
      <c r="D67" s="32"/>
      <c r="E67" s="32"/>
      <c r="F67" s="32"/>
      <c r="G67" s="33"/>
      <c r="H67" s="33"/>
      <c r="I67" s="13"/>
      <c r="J67" s="34"/>
      <c r="K67" s="46"/>
      <c r="L67" s="36"/>
      <c r="M67" s="34"/>
      <c r="N67" s="37"/>
      <c r="O67" s="38"/>
      <c r="P67" s="39"/>
      <c r="Q67" s="40"/>
      <c r="R67" s="41"/>
      <c r="S67" s="42"/>
      <c r="T67" s="42"/>
      <c r="U67" s="34"/>
      <c r="V67" s="34"/>
      <c r="W67" s="13"/>
    </row>
    <row r="68" ht="18.75" customHeight="1">
      <c r="A68" s="13"/>
      <c r="B68" s="48"/>
      <c r="C68" s="47"/>
      <c r="D68" s="32"/>
      <c r="E68" s="32"/>
      <c r="F68" s="32"/>
      <c r="G68" s="33"/>
      <c r="H68" s="33"/>
      <c r="I68" s="13"/>
      <c r="J68" s="34"/>
      <c r="K68" s="46"/>
      <c r="L68" s="36"/>
      <c r="M68" s="34"/>
      <c r="N68" s="37"/>
      <c r="O68" s="38"/>
      <c r="P68" s="39"/>
      <c r="Q68" s="40"/>
      <c r="R68" s="41"/>
      <c r="S68" s="42"/>
      <c r="T68" s="42"/>
      <c r="U68" s="34"/>
      <c r="V68" s="34"/>
      <c r="W68" s="13"/>
    </row>
    <row r="69" ht="18.75" customHeight="1">
      <c r="A69" s="13"/>
      <c r="B69" s="48"/>
      <c r="C69" s="47"/>
      <c r="D69" s="32"/>
      <c r="E69" s="32"/>
      <c r="F69" s="32"/>
      <c r="G69" s="33"/>
      <c r="H69" s="33"/>
      <c r="I69" s="13"/>
      <c r="J69" s="34"/>
      <c r="K69" s="46"/>
      <c r="L69" s="36"/>
      <c r="M69" s="34"/>
      <c r="N69" s="37"/>
      <c r="O69" s="38"/>
      <c r="P69" s="39"/>
      <c r="Q69" s="40"/>
      <c r="R69" s="41"/>
      <c r="S69" s="42"/>
      <c r="T69" s="42"/>
      <c r="U69" s="34"/>
      <c r="V69" s="34"/>
      <c r="W69" s="13"/>
    </row>
    <row r="70" ht="18.75" customHeight="1">
      <c r="A70" s="13"/>
      <c r="B70" s="48"/>
      <c r="C70" s="47"/>
      <c r="D70" s="32"/>
      <c r="E70" s="32"/>
      <c r="F70" s="32"/>
      <c r="G70" s="33"/>
      <c r="H70" s="33"/>
      <c r="I70" s="13"/>
      <c r="J70" s="34"/>
      <c r="K70" s="46"/>
      <c r="L70" s="36"/>
      <c r="M70" s="34"/>
      <c r="N70" s="37"/>
      <c r="O70" s="38"/>
      <c r="P70" s="39"/>
      <c r="Q70" s="40"/>
      <c r="R70" s="41"/>
      <c r="S70" s="42"/>
      <c r="T70" s="42"/>
      <c r="U70" s="34"/>
      <c r="V70" s="34"/>
      <c r="W70" s="13"/>
    </row>
    <row r="71" ht="18.75" customHeight="1">
      <c r="A71" s="13"/>
      <c r="B71" s="48"/>
      <c r="C71" s="47"/>
      <c r="D71" s="32"/>
      <c r="E71" s="32"/>
      <c r="F71" s="32"/>
      <c r="G71" s="33"/>
      <c r="H71" s="33"/>
      <c r="I71" s="13"/>
      <c r="J71" s="34"/>
      <c r="K71" s="46"/>
      <c r="L71" s="36"/>
      <c r="M71" s="34"/>
      <c r="N71" s="37"/>
      <c r="O71" s="38"/>
      <c r="P71" s="39"/>
      <c r="Q71" s="40"/>
      <c r="R71" s="41"/>
      <c r="S71" s="42"/>
      <c r="T71" s="42"/>
      <c r="U71" s="34"/>
      <c r="V71" s="34"/>
      <c r="W71" s="13"/>
    </row>
    <row r="72" ht="18.75" customHeight="1">
      <c r="A72" s="13"/>
      <c r="B72" s="48"/>
      <c r="C72" s="47"/>
      <c r="D72" s="32"/>
      <c r="E72" s="32"/>
      <c r="F72" s="32"/>
      <c r="G72" s="33"/>
      <c r="H72" s="33"/>
      <c r="I72" s="13"/>
      <c r="J72" s="34"/>
      <c r="K72" s="46"/>
      <c r="L72" s="36"/>
      <c r="M72" s="34"/>
      <c r="N72" s="37"/>
      <c r="O72" s="38"/>
      <c r="P72" s="39"/>
      <c r="Q72" s="40"/>
      <c r="R72" s="41"/>
      <c r="S72" s="42"/>
      <c r="T72" s="42"/>
      <c r="U72" s="34"/>
      <c r="V72" s="34"/>
      <c r="W72" s="13"/>
    </row>
    <row r="73" ht="18.75" customHeight="1">
      <c r="A73" s="13"/>
      <c r="B73" s="48"/>
      <c r="C73" s="47"/>
      <c r="D73" s="32"/>
      <c r="E73" s="32"/>
      <c r="F73" s="32"/>
      <c r="G73" s="33"/>
      <c r="H73" s="33"/>
      <c r="I73" s="13"/>
      <c r="J73" s="34"/>
      <c r="K73" s="46"/>
      <c r="L73" s="36"/>
      <c r="M73" s="34"/>
      <c r="N73" s="37"/>
      <c r="O73" s="38"/>
      <c r="P73" s="39"/>
      <c r="Q73" s="40"/>
      <c r="R73" s="41"/>
      <c r="S73" s="42"/>
      <c r="T73" s="42"/>
      <c r="U73" s="34"/>
      <c r="V73" s="34"/>
      <c r="W73" s="13"/>
    </row>
    <row r="74" ht="18.75" customHeight="1">
      <c r="A74" s="13"/>
      <c r="B74" s="48"/>
      <c r="C74" s="47"/>
      <c r="D74" s="32"/>
      <c r="E74" s="32"/>
      <c r="F74" s="32"/>
      <c r="G74" s="33"/>
      <c r="H74" s="33"/>
      <c r="I74" s="13"/>
      <c r="J74" s="34"/>
      <c r="K74" s="46"/>
      <c r="L74" s="36"/>
      <c r="M74" s="34"/>
      <c r="N74" s="37"/>
      <c r="O74" s="38"/>
      <c r="P74" s="39"/>
      <c r="Q74" s="40"/>
      <c r="R74" s="41"/>
      <c r="S74" s="42"/>
      <c r="T74" s="42"/>
      <c r="U74" s="34"/>
      <c r="V74" s="34"/>
      <c r="W74" s="13"/>
    </row>
    <row r="75" ht="18.75" customHeight="1">
      <c r="A75" s="13"/>
      <c r="B75" s="48"/>
      <c r="C75" s="47"/>
      <c r="D75" s="32"/>
      <c r="E75" s="32"/>
      <c r="F75" s="32"/>
      <c r="G75" s="33"/>
      <c r="H75" s="33"/>
      <c r="I75" s="13"/>
      <c r="J75" s="34"/>
      <c r="K75" s="46"/>
      <c r="L75" s="36"/>
      <c r="M75" s="34"/>
      <c r="N75" s="37"/>
      <c r="O75" s="38"/>
      <c r="P75" s="39"/>
      <c r="Q75" s="40"/>
      <c r="R75" s="41"/>
      <c r="S75" s="42"/>
      <c r="T75" s="42"/>
      <c r="U75" s="34"/>
      <c r="V75" s="34"/>
      <c r="W75" s="13"/>
    </row>
    <row r="76" ht="18.75" customHeight="1">
      <c r="A76" s="13"/>
      <c r="B76" s="48"/>
      <c r="C76" s="47"/>
      <c r="D76" s="32"/>
      <c r="E76" s="32"/>
      <c r="F76" s="32"/>
      <c r="G76" s="33"/>
      <c r="H76" s="33"/>
      <c r="I76" s="13"/>
      <c r="J76" s="34"/>
      <c r="K76" s="46"/>
      <c r="L76" s="36"/>
      <c r="M76" s="34"/>
      <c r="N76" s="37"/>
      <c r="O76" s="38"/>
      <c r="P76" s="39"/>
      <c r="Q76" s="40"/>
      <c r="R76" s="41"/>
      <c r="S76" s="42"/>
      <c r="T76" s="42"/>
      <c r="U76" s="34"/>
      <c r="V76" s="34"/>
      <c r="W76" s="13"/>
    </row>
    <row r="77" ht="18.75" customHeight="1">
      <c r="A77" s="13"/>
      <c r="B77" s="48"/>
      <c r="C77" s="47"/>
      <c r="D77" s="32"/>
      <c r="E77" s="32"/>
      <c r="F77" s="32"/>
      <c r="G77" s="33"/>
      <c r="H77" s="33"/>
      <c r="I77" s="13"/>
      <c r="J77" s="34"/>
      <c r="K77" s="46"/>
      <c r="L77" s="36"/>
      <c r="M77" s="34"/>
      <c r="N77" s="37"/>
      <c r="O77" s="38"/>
      <c r="P77" s="39"/>
      <c r="Q77" s="40"/>
      <c r="R77" s="41"/>
      <c r="S77" s="42"/>
      <c r="T77" s="42"/>
      <c r="U77" s="34"/>
      <c r="V77" s="34"/>
      <c r="W77" s="13"/>
    </row>
    <row r="78" ht="18.75" customHeight="1">
      <c r="A78" s="13"/>
      <c r="B78" s="48"/>
      <c r="C78" s="47"/>
      <c r="D78" s="32"/>
      <c r="E78" s="32"/>
      <c r="F78" s="32"/>
      <c r="G78" s="33"/>
      <c r="H78" s="33"/>
      <c r="I78" s="13"/>
      <c r="J78" s="34"/>
      <c r="K78" s="46"/>
      <c r="L78" s="36"/>
      <c r="M78" s="34"/>
      <c r="N78" s="37"/>
      <c r="O78" s="38"/>
      <c r="P78" s="39"/>
      <c r="Q78" s="40"/>
      <c r="R78" s="41"/>
      <c r="S78" s="42"/>
      <c r="T78" s="42"/>
      <c r="U78" s="34"/>
      <c r="V78" s="34"/>
      <c r="W78" s="13"/>
    </row>
    <row r="79" ht="18.75" customHeight="1">
      <c r="A79" s="13"/>
      <c r="B79" s="48"/>
      <c r="C79" s="47"/>
      <c r="D79" s="32"/>
      <c r="E79" s="32"/>
      <c r="F79" s="32"/>
      <c r="G79" s="33"/>
      <c r="H79" s="33"/>
      <c r="I79" s="13"/>
      <c r="J79" s="34"/>
      <c r="K79" s="46"/>
      <c r="L79" s="36"/>
      <c r="M79" s="34"/>
      <c r="N79" s="37"/>
      <c r="O79" s="38"/>
      <c r="P79" s="39"/>
      <c r="Q79" s="40"/>
      <c r="R79" s="41"/>
      <c r="S79" s="42"/>
      <c r="T79" s="42"/>
      <c r="U79" s="34"/>
      <c r="V79" s="34"/>
      <c r="W79" s="13"/>
    </row>
    <row r="80" ht="18.75" customHeight="1">
      <c r="A80" s="13"/>
      <c r="B80" s="48"/>
      <c r="C80" s="47"/>
      <c r="D80" s="32"/>
      <c r="E80" s="32"/>
      <c r="F80" s="32"/>
      <c r="G80" s="33"/>
      <c r="H80" s="33"/>
      <c r="I80" s="13"/>
      <c r="J80" s="34"/>
      <c r="K80" s="46"/>
      <c r="L80" s="36"/>
      <c r="M80" s="34"/>
      <c r="N80" s="37"/>
      <c r="O80" s="38"/>
      <c r="P80" s="39"/>
      <c r="Q80" s="40"/>
      <c r="R80" s="41"/>
      <c r="S80" s="42"/>
      <c r="T80" s="42"/>
      <c r="U80" s="34"/>
      <c r="V80" s="34"/>
      <c r="W80" s="13"/>
    </row>
    <row r="81" ht="18.75" customHeight="1">
      <c r="A81" s="13"/>
      <c r="B81" s="48"/>
      <c r="C81" s="47"/>
      <c r="D81" s="32"/>
      <c r="E81" s="32"/>
      <c r="F81" s="32"/>
      <c r="G81" s="33"/>
      <c r="H81" s="33"/>
      <c r="I81" s="13"/>
      <c r="J81" s="34"/>
      <c r="K81" s="46"/>
      <c r="L81" s="36"/>
      <c r="M81" s="34"/>
      <c r="N81" s="37"/>
      <c r="O81" s="38"/>
      <c r="P81" s="39"/>
      <c r="Q81" s="40"/>
      <c r="R81" s="41"/>
      <c r="S81" s="42"/>
      <c r="T81" s="42"/>
      <c r="U81" s="34"/>
      <c r="V81" s="34"/>
      <c r="W81" s="13"/>
    </row>
    <row r="82" ht="18.75" customHeight="1">
      <c r="A82" s="13"/>
      <c r="B82" s="48"/>
      <c r="C82" s="47"/>
      <c r="D82" s="32"/>
      <c r="E82" s="32"/>
      <c r="F82" s="32"/>
      <c r="G82" s="33"/>
      <c r="H82" s="33"/>
      <c r="I82" s="13"/>
      <c r="J82" s="34"/>
      <c r="K82" s="46"/>
      <c r="L82" s="36"/>
      <c r="M82" s="34"/>
      <c r="N82" s="37"/>
      <c r="O82" s="38"/>
      <c r="P82" s="39"/>
      <c r="Q82" s="40"/>
      <c r="R82" s="41"/>
      <c r="S82" s="42"/>
      <c r="T82" s="42"/>
      <c r="U82" s="34"/>
      <c r="V82" s="34"/>
      <c r="W82" s="13"/>
    </row>
    <row r="83" ht="18.75" customHeight="1">
      <c r="A83" s="13"/>
      <c r="B83" s="48"/>
      <c r="C83" s="47"/>
      <c r="D83" s="32"/>
      <c r="E83" s="32"/>
      <c r="F83" s="32"/>
      <c r="G83" s="33"/>
      <c r="H83" s="33"/>
      <c r="I83" s="13"/>
      <c r="J83" s="34"/>
      <c r="K83" s="46"/>
      <c r="L83" s="36"/>
      <c r="M83" s="34"/>
      <c r="N83" s="37"/>
      <c r="O83" s="38"/>
      <c r="P83" s="39"/>
      <c r="Q83" s="40"/>
      <c r="R83" s="41"/>
      <c r="S83" s="42"/>
      <c r="T83" s="42"/>
      <c r="U83" s="34"/>
      <c r="V83" s="34"/>
      <c r="W83" s="13"/>
    </row>
    <row r="84" ht="18.75" customHeight="1">
      <c r="A84" s="13"/>
      <c r="B84" s="48"/>
      <c r="C84" s="47"/>
      <c r="D84" s="32"/>
      <c r="E84" s="32"/>
      <c r="F84" s="32"/>
      <c r="G84" s="33"/>
      <c r="H84" s="33"/>
      <c r="I84" s="13"/>
      <c r="J84" s="34"/>
      <c r="K84" s="46"/>
      <c r="L84" s="36"/>
      <c r="M84" s="34"/>
      <c r="N84" s="37"/>
      <c r="O84" s="38"/>
      <c r="P84" s="39"/>
      <c r="Q84" s="40"/>
      <c r="R84" s="41"/>
      <c r="S84" s="42"/>
      <c r="T84" s="42"/>
      <c r="U84" s="34"/>
      <c r="V84" s="34"/>
      <c r="W84" s="13"/>
    </row>
    <row r="85" ht="18.75" customHeight="1">
      <c r="A85" s="13"/>
      <c r="B85" s="48"/>
      <c r="C85" s="47"/>
      <c r="D85" s="32"/>
      <c r="E85" s="32"/>
      <c r="F85" s="32"/>
      <c r="G85" s="33"/>
      <c r="H85" s="33"/>
      <c r="I85" s="13"/>
      <c r="J85" s="34"/>
      <c r="K85" s="46"/>
      <c r="L85" s="36"/>
      <c r="M85" s="34"/>
      <c r="N85" s="37"/>
      <c r="O85" s="38"/>
      <c r="P85" s="39"/>
      <c r="Q85" s="40"/>
      <c r="R85" s="41"/>
      <c r="S85" s="42"/>
      <c r="T85" s="42"/>
      <c r="U85" s="34"/>
      <c r="V85" s="34"/>
      <c r="W85" s="13"/>
    </row>
    <row r="86" ht="18.75" customHeight="1">
      <c r="A86" s="13"/>
      <c r="B86" s="48"/>
      <c r="C86" s="47"/>
      <c r="D86" s="32"/>
      <c r="E86" s="32"/>
      <c r="F86" s="32"/>
      <c r="G86" s="33"/>
      <c r="H86" s="33"/>
      <c r="I86" s="13"/>
      <c r="J86" s="34"/>
      <c r="K86" s="46"/>
      <c r="L86" s="36"/>
      <c r="M86" s="34"/>
      <c r="N86" s="37"/>
      <c r="O86" s="38"/>
      <c r="P86" s="39"/>
      <c r="Q86" s="40"/>
      <c r="R86" s="41"/>
      <c r="S86" s="42"/>
      <c r="T86" s="42"/>
      <c r="U86" s="34"/>
      <c r="V86" s="34"/>
      <c r="W86" s="13"/>
    </row>
    <row r="87" ht="18.75" customHeight="1">
      <c r="A87" s="13"/>
      <c r="B87" s="48"/>
      <c r="C87" s="47"/>
      <c r="D87" s="32"/>
      <c r="E87" s="32"/>
      <c r="F87" s="32"/>
      <c r="G87" s="33"/>
      <c r="H87" s="33"/>
      <c r="I87" s="13"/>
      <c r="J87" s="34"/>
      <c r="K87" s="46"/>
      <c r="L87" s="36"/>
      <c r="M87" s="34"/>
      <c r="N87" s="37"/>
      <c r="O87" s="38"/>
      <c r="P87" s="39"/>
      <c r="Q87" s="40"/>
      <c r="R87" s="41"/>
      <c r="S87" s="42"/>
      <c r="T87" s="42"/>
      <c r="U87" s="34"/>
      <c r="V87" s="34"/>
      <c r="W87" s="13"/>
    </row>
    <row r="88" ht="18.75" customHeight="1">
      <c r="A88" s="13"/>
      <c r="B88" s="48"/>
      <c r="C88" s="47"/>
      <c r="D88" s="32"/>
      <c r="E88" s="32"/>
      <c r="F88" s="32"/>
      <c r="G88" s="33"/>
      <c r="H88" s="33"/>
      <c r="I88" s="13"/>
      <c r="J88" s="34"/>
      <c r="K88" s="46"/>
      <c r="L88" s="36"/>
      <c r="M88" s="34"/>
      <c r="N88" s="37"/>
      <c r="O88" s="38"/>
      <c r="P88" s="39"/>
      <c r="Q88" s="40"/>
      <c r="R88" s="41"/>
      <c r="S88" s="42"/>
      <c r="T88" s="42"/>
      <c r="U88" s="34"/>
      <c r="V88" s="34"/>
      <c r="W88" s="13"/>
    </row>
    <row r="89" ht="18.75" customHeight="1">
      <c r="A89" s="13"/>
      <c r="B89" s="48"/>
      <c r="C89" s="47"/>
      <c r="D89" s="32"/>
      <c r="E89" s="32"/>
      <c r="F89" s="32"/>
      <c r="G89" s="33"/>
      <c r="H89" s="33"/>
      <c r="I89" s="13"/>
      <c r="J89" s="34"/>
      <c r="K89" s="46"/>
      <c r="L89" s="36"/>
      <c r="M89" s="34"/>
      <c r="N89" s="37"/>
      <c r="O89" s="38"/>
      <c r="P89" s="39"/>
      <c r="Q89" s="40"/>
      <c r="R89" s="41"/>
      <c r="S89" s="42"/>
      <c r="T89" s="42"/>
      <c r="U89" s="34"/>
      <c r="V89" s="34"/>
      <c r="W89" s="13"/>
    </row>
    <row r="90" ht="18.75" customHeight="1">
      <c r="A90" s="13"/>
      <c r="B90" s="48"/>
      <c r="C90" s="47"/>
      <c r="D90" s="32"/>
      <c r="E90" s="32"/>
      <c r="F90" s="32"/>
      <c r="G90" s="33"/>
      <c r="H90" s="33"/>
      <c r="I90" s="13"/>
      <c r="J90" s="34"/>
      <c r="K90" s="46"/>
      <c r="L90" s="36"/>
      <c r="M90" s="34"/>
      <c r="N90" s="37"/>
      <c r="O90" s="38"/>
      <c r="P90" s="39"/>
      <c r="Q90" s="40"/>
      <c r="R90" s="41"/>
      <c r="S90" s="42"/>
      <c r="T90" s="42"/>
      <c r="U90" s="34"/>
      <c r="V90" s="34"/>
      <c r="W90" s="13"/>
    </row>
    <row r="91" ht="18.75" customHeight="1">
      <c r="A91" s="13"/>
      <c r="B91" s="48"/>
      <c r="C91" s="47"/>
      <c r="D91" s="32"/>
      <c r="E91" s="32"/>
      <c r="F91" s="32"/>
      <c r="G91" s="33"/>
      <c r="H91" s="33"/>
      <c r="I91" s="13"/>
      <c r="J91" s="34"/>
      <c r="K91" s="46"/>
      <c r="L91" s="36"/>
      <c r="M91" s="34"/>
      <c r="N91" s="37"/>
      <c r="O91" s="38"/>
      <c r="P91" s="39"/>
      <c r="Q91" s="40"/>
      <c r="R91" s="41"/>
      <c r="S91" s="42"/>
      <c r="T91" s="42"/>
      <c r="U91" s="34"/>
      <c r="V91" s="34"/>
      <c r="W91" s="13"/>
    </row>
    <row r="92" ht="18.75" customHeight="1">
      <c r="A92" s="13"/>
      <c r="B92" s="48"/>
      <c r="C92" s="47"/>
      <c r="D92" s="32"/>
      <c r="E92" s="32"/>
      <c r="F92" s="32"/>
      <c r="G92" s="33"/>
      <c r="H92" s="33"/>
      <c r="I92" s="13"/>
      <c r="J92" s="34"/>
      <c r="K92" s="46"/>
      <c r="L92" s="36"/>
      <c r="M92" s="34"/>
      <c r="N92" s="37"/>
      <c r="O92" s="38"/>
      <c r="P92" s="39"/>
      <c r="Q92" s="40"/>
      <c r="R92" s="41"/>
      <c r="S92" s="42"/>
      <c r="T92" s="42"/>
      <c r="U92" s="34"/>
      <c r="V92" s="34"/>
      <c r="W92" s="13"/>
    </row>
    <row r="93" ht="18.75" customHeight="1">
      <c r="A93" s="13"/>
      <c r="B93" s="48"/>
      <c r="C93" s="47"/>
      <c r="D93" s="32"/>
      <c r="E93" s="32"/>
      <c r="F93" s="32"/>
      <c r="G93" s="33"/>
      <c r="H93" s="33"/>
      <c r="I93" s="13"/>
      <c r="J93" s="34"/>
      <c r="K93" s="46"/>
      <c r="L93" s="36"/>
      <c r="M93" s="34"/>
      <c r="N93" s="37"/>
      <c r="O93" s="38"/>
      <c r="P93" s="39"/>
      <c r="Q93" s="40"/>
      <c r="R93" s="41"/>
      <c r="S93" s="42"/>
      <c r="T93" s="42"/>
      <c r="U93" s="34"/>
      <c r="V93" s="34"/>
      <c r="W93" s="13"/>
    </row>
    <row r="94" ht="18.75" customHeight="1">
      <c r="A94" s="13"/>
      <c r="B94" s="48"/>
      <c r="C94" s="47"/>
      <c r="D94" s="32"/>
      <c r="E94" s="32"/>
      <c r="F94" s="32"/>
      <c r="G94" s="33"/>
      <c r="H94" s="33"/>
      <c r="I94" s="13"/>
      <c r="J94" s="34"/>
      <c r="K94" s="46"/>
      <c r="L94" s="36"/>
      <c r="M94" s="34"/>
      <c r="N94" s="37"/>
      <c r="O94" s="38"/>
      <c r="P94" s="39"/>
      <c r="Q94" s="40"/>
      <c r="R94" s="41"/>
      <c r="S94" s="42"/>
      <c r="T94" s="42"/>
      <c r="U94" s="34"/>
      <c r="V94" s="34"/>
      <c r="W94" s="13"/>
    </row>
    <row r="95" ht="18.75" customHeight="1">
      <c r="A95" s="13"/>
      <c r="B95" s="48"/>
      <c r="C95" s="47"/>
      <c r="D95" s="32"/>
      <c r="E95" s="32"/>
      <c r="F95" s="32"/>
      <c r="G95" s="33"/>
      <c r="H95" s="33"/>
      <c r="I95" s="13"/>
      <c r="J95" s="34"/>
      <c r="K95" s="46"/>
      <c r="L95" s="36"/>
      <c r="M95" s="34"/>
      <c r="N95" s="37"/>
      <c r="O95" s="38"/>
      <c r="P95" s="39"/>
      <c r="Q95" s="40"/>
      <c r="R95" s="41"/>
      <c r="S95" s="42"/>
      <c r="T95" s="42"/>
      <c r="U95" s="34"/>
      <c r="V95" s="34"/>
      <c r="W95" s="13"/>
    </row>
    <row r="96" ht="18.75" customHeight="1">
      <c r="A96" s="13"/>
      <c r="B96" s="48"/>
      <c r="C96" s="47"/>
      <c r="D96" s="32"/>
      <c r="E96" s="32"/>
      <c r="F96" s="32"/>
      <c r="G96" s="33"/>
      <c r="H96" s="33"/>
      <c r="I96" s="13"/>
      <c r="J96" s="34"/>
      <c r="K96" s="46"/>
      <c r="L96" s="36"/>
      <c r="M96" s="34"/>
      <c r="N96" s="37"/>
      <c r="O96" s="38"/>
      <c r="P96" s="39"/>
      <c r="Q96" s="40"/>
      <c r="R96" s="41"/>
      <c r="S96" s="42"/>
      <c r="T96" s="42"/>
      <c r="U96" s="34"/>
      <c r="V96" s="34"/>
      <c r="W96" s="13"/>
    </row>
    <row r="97" ht="18.75" customHeight="1">
      <c r="A97" s="13"/>
      <c r="B97" s="48"/>
      <c r="C97" s="47"/>
      <c r="D97" s="32"/>
      <c r="E97" s="32"/>
      <c r="F97" s="32"/>
      <c r="G97" s="33"/>
      <c r="H97" s="33"/>
      <c r="I97" s="13"/>
      <c r="J97" s="34"/>
      <c r="K97" s="46"/>
      <c r="L97" s="36"/>
      <c r="M97" s="34"/>
      <c r="N97" s="37"/>
      <c r="O97" s="38"/>
      <c r="P97" s="39"/>
      <c r="Q97" s="40"/>
      <c r="R97" s="41"/>
      <c r="S97" s="42"/>
      <c r="T97" s="42"/>
      <c r="U97" s="34"/>
      <c r="V97" s="34"/>
      <c r="W97" s="13"/>
    </row>
    <row r="98" ht="18.75" customHeight="1">
      <c r="A98" s="13"/>
      <c r="B98" s="48"/>
      <c r="C98" s="47"/>
      <c r="D98" s="32"/>
      <c r="E98" s="32"/>
      <c r="F98" s="32"/>
      <c r="G98" s="33"/>
      <c r="H98" s="33"/>
      <c r="I98" s="13"/>
      <c r="J98" s="34"/>
      <c r="K98" s="46"/>
      <c r="L98" s="36"/>
      <c r="M98" s="34"/>
      <c r="N98" s="37"/>
      <c r="O98" s="38"/>
      <c r="P98" s="39"/>
      <c r="Q98" s="40"/>
      <c r="R98" s="41"/>
      <c r="S98" s="42"/>
      <c r="T98" s="42"/>
      <c r="U98" s="34"/>
      <c r="V98" s="34"/>
      <c r="W98" s="13"/>
    </row>
    <row r="99" ht="18.75" customHeight="1">
      <c r="A99" s="13"/>
      <c r="B99" s="48"/>
      <c r="C99" s="47"/>
      <c r="D99" s="32"/>
      <c r="E99" s="32"/>
      <c r="F99" s="32"/>
      <c r="G99" s="33"/>
      <c r="H99" s="33"/>
      <c r="I99" s="13"/>
      <c r="J99" s="34"/>
      <c r="K99" s="46"/>
      <c r="L99" s="36"/>
      <c r="M99" s="34"/>
      <c r="N99" s="37"/>
      <c r="O99" s="38"/>
      <c r="P99" s="39"/>
      <c r="Q99" s="40"/>
      <c r="R99" s="41"/>
      <c r="S99" s="42"/>
      <c r="T99" s="42"/>
      <c r="U99" s="34"/>
      <c r="V99" s="34"/>
      <c r="W99" s="13"/>
    </row>
    <row r="100" ht="18.75" customHeight="1">
      <c r="A100" s="13"/>
      <c r="B100" s="48"/>
      <c r="C100" s="47"/>
      <c r="D100" s="32"/>
      <c r="E100" s="32"/>
      <c r="F100" s="32"/>
      <c r="G100" s="33"/>
      <c r="H100" s="33"/>
      <c r="I100" s="13"/>
      <c r="J100" s="34"/>
      <c r="K100" s="46"/>
      <c r="L100" s="36"/>
      <c r="M100" s="34"/>
      <c r="N100" s="37"/>
      <c r="O100" s="38"/>
      <c r="P100" s="39"/>
      <c r="Q100" s="40"/>
      <c r="R100" s="41"/>
      <c r="S100" s="42"/>
      <c r="T100" s="42"/>
      <c r="U100" s="34"/>
      <c r="V100" s="34"/>
      <c r="W100" s="13"/>
    </row>
    <row r="101" ht="18.75" customHeight="1">
      <c r="A101" s="13"/>
      <c r="B101" s="48"/>
      <c r="C101" s="47"/>
      <c r="D101" s="32"/>
      <c r="E101" s="32"/>
      <c r="F101" s="32"/>
      <c r="G101" s="33"/>
      <c r="H101" s="33"/>
      <c r="I101" s="13"/>
      <c r="J101" s="34"/>
      <c r="K101" s="46"/>
      <c r="L101" s="36"/>
      <c r="M101" s="34"/>
      <c r="N101" s="37"/>
      <c r="O101" s="38"/>
      <c r="P101" s="39"/>
      <c r="Q101" s="40"/>
      <c r="R101" s="41"/>
      <c r="S101" s="42"/>
      <c r="T101" s="42"/>
      <c r="U101" s="34"/>
      <c r="V101" s="34"/>
      <c r="W101" s="13"/>
    </row>
    <row r="102" ht="18.75" customHeight="1">
      <c r="A102" s="13"/>
      <c r="B102" s="48"/>
      <c r="C102" s="47"/>
      <c r="D102" s="32"/>
      <c r="E102" s="32"/>
      <c r="F102" s="32"/>
      <c r="G102" s="33"/>
      <c r="H102" s="33"/>
      <c r="I102" s="13"/>
      <c r="J102" s="34"/>
      <c r="K102" s="46"/>
      <c r="L102" s="36"/>
      <c r="M102" s="34"/>
      <c r="N102" s="37"/>
      <c r="O102" s="38"/>
      <c r="P102" s="39"/>
      <c r="Q102" s="40"/>
      <c r="R102" s="41"/>
      <c r="S102" s="42"/>
      <c r="T102" s="42"/>
      <c r="U102" s="34"/>
      <c r="V102" s="34"/>
      <c r="W102" s="13"/>
    </row>
    <row r="103" ht="18.75" customHeight="1">
      <c r="A103" s="13"/>
      <c r="B103" s="48"/>
      <c r="C103" s="47"/>
      <c r="D103" s="32"/>
      <c r="E103" s="32"/>
      <c r="F103" s="32"/>
      <c r="G103" s="33"/>
      <c r="H103" s="33"/>
      <c r="I103" s="13"/>
      <c r="J103" s="34"/>
      <c r="K103" s="46"/>
      <c r="L103" s="36"/>
      <c r="M103" s="34"/>
      <c r="N103" s="37"/>
      <c r="O103" s="38"/>
      <c r="P103" s="39"/>
      <c r="Q103" s="40"/>
      <c r="R103" s="41"/>
      <c r="S103" s="42"/>
      <c r="T103" s="42"/>
      <c r="U103" s="34"/>
      <c r="V103" s="34"/>
      <c r="W103" s="13"/>
    </row>
    <row r="104" ht="18.75" customHeight="1">
      <c r="A104" s="13"/>
      <c r="B104" s="48"/>
      <c r="C104" s="47"/>
      <c r="D104" s="32"/>
      <c r="E104" s="32"/>
      <c r="F104" s="32"/>
      <c r="G104" s="33"/>
      <c r="H104" s="33"/>
      <c r="I104" s="13"/>
      <c r="J104" s="34"/>
      <c r="K104" s="46"/>
      <c r="L104" s="36"/>
      <c r="M104" s="34"/>
      <c r="N104" s="37"/>
      <c r="O104" s="38"/>
      <c r="P104" s="39"/>
      <c r="Q104" s="40"/>
      <c r="R104" s="41"/>
      <c r="S104" s="42"/>
      <c r="T104" s="42"/>
      <c r="U104" s="34"/>
      <c r="V104" s="34"/>
      <c r="W104" s="13"/>
    </row>
  </sheetData>
  <mergeCells count="4">
    <mergeCell ref="B3:H3"/>
    <mergeCell ref="J3:V3"/>
    <mergeCell ref="F4:G4"/>
    <mergeCell ref="M4:N4"/>
  </mergeCells>
  <conditionalFormatting sqref="L5:L104">
    <cfRule type="expression" dxfId="0" priority="1">
      <formula>LEFT($L5,2)="NM"</formula>
    </cfRule>
  </conditionalFormatting>
  <conditionalFormatting sqref="L5:L104">
    <cfRule type="expression" dxfId="1" priority="2">
      <formula>LEFT($L5,2)="HD"</formula>
    </cfRule>
  </conditionalFormatting>
  <conditionalFormatting sqref="L5:L104">
    <cfRule type="expression" dxfId="2" priority="3">
      <formula>LEFT($L5,2)="HR"</formula>
    </cfRule>
  </conditionalFormatting>
  <conditionalFormatting sqref="L5:L104">
    <cfRule type="expression" dxfId="3" priority="4">
      <formula>LEFT($L5,2)="DT"</formula>
    </cfRule>
  </conditionalFormatting>
  <conditionalFormatting sqref="L5:L104">
    <cfRule type="expression" dxfId="4" priority="5">
      <formula>LEFT($L5,2)="FM"</formula>
    </cfRule>
  </conditionalFormatting>
  <conditionalFormatting sqref="L5:L104">
    <cfRule type="expression" dxfId="5" priority="6">
      <formula>LEFT($L5,2)="TB"</formula>
    </cfRule>
  </conditionalFormatting>
  <conditionalFormatting sqref="L5:L104">
    <cfRule type="expression" dxfId="6" priority="7">
      <formula>LEFT($L5,2)="EZ"</formula>
    </cfRule>
  </conditionalFormatting>
  <conditionalFormatting sqref="L5:L104">
    <cfRule type="expression" dxfId="7" priority="8">
      <formula>LEFT($L5,2)="HT"</formula>
    </cfRule>
  </conditionalFormatting>
  <conditionalFormatting sqref="J5:V104">
    <cfRule type="expression" dxfId="8" priority="9">
      <formula>LEFT($L5,2)&lt;&gt;""</formula>
    </cfRule>
  </conditionalFormatting>
  <conditionalFormatting sqref="B5:H104 K5:K13 K15:K16 K18 K20 K22">
    <cfRule type="expression" dxfId="2" priority="10">
      <formula>COUNTIF($C$5:$C$104,$C5)&gt;1</formula>
    </cfRule>
  </conditionalFormatting>
  <conditionalFormatting sqref="B5:H104 K5:K13 K15:K16 K18 K20 K22">
    <cfRule type="expression" dxfId="9" priority="11">
      <formula>COUNTIF($K$5:$K104,$C5)=1</formula>
    </cfRule>
  </conditionalFormatting>
  <dataValidations>
    <dataValidation type="list" allowBlank="1" sqref="B2">
      <formula1>Settings!$E$3:$E$12</formula1>
    </dataValidation>
    <dataValidation type="list" allowBlank="1" showDropDown="1" sqref="K14 K17 K19 K21 K23:K104">
      <formula1>'_api'!$A$3:$A$1007</formula1>
    </dataValidation>
    <dataValidation type="list" allowBlank="1" sqref="D5:D104">
      <formula1>Settings!$I$2:$P$2</formula1>
    </dataValidation>
    <dataValidation type="list" allowBlank="1" sqref="E5:E104">
      <formula1>Settings!$B$3:$B$12</formula1>
    </dataValidation>
  </dataValidations>
  <hyperlinks>
    <hyperlink r:id="rId2" location="osu/3298592" ref="B5"/>
    <hyperlink r:id="rId3" location="osu/63604" ref="B6"/>
    <hyperlink r:id="rId4" location="osu/63604" ref="G6"/>
    <hyperlink r:id="rId5" location="osu/1838159" ref="N6"/>
    <hyperlink r:id="rId6" location="osu/2690081" ref="B7"/>
    <hyperlink r:id="rId7" location="osu/2690081" ref="G7"/>
    <hyperlink r:id="rId8" location="osu/2568756" ref="N7"/>
    <hyperlink r:id="rId9" location="osu/1965654" ref="B8"/>
    <hyperlink r:id="rId10" location="osu/1965654" ref="G8"/>
    <hyperlink r:id="rId11" location="osu/3341368" ref="N8"/>
    <hyperlink r:id="rId12" location="osu/3118794" ref="B9"/>
    <hyperlink r:id="rId13" location="osu/3118794" ref="G9"/>
    <hyperlink r:id="rId14" location="osu/4215637" ref="N9"/>
    <hyperlink r:id="rId15" location="osu/3248255" ref="B10"/>
    <hyperlink r:id="rId16" location="osu/3248255" ref="G10"/>
    <hyperlink r:id="rId17" location="osu/3821597" ref="N10"/>
    <hyperlink r:id="rId18" location="osu/1635864" ref="B11"/>
    <hyperlink r:id="rId19" location="osu/1635864" ref="G11"/>
    <hyperlink r:id="rId20" location="osu/2671048" ref="N11"/>
    <hyperlink r:id="rId21" location="osu/1404975" ref="B12"/>
    <hyperlink r:id="rId22" location="osu/1404975" ref="G12"/>
    <hyperlink r:id="rId23" location="osu/105978" ref="N12"/>
    <hyperlink r:id="rId24" location="osu/1687599" ref="B13"/>
    <hyperlink r:id="rId25" location="osu/1687599" ref="G13"/>
    <hyperlink r:id="rId26" location="osu/1491793" ref="N13"/>
    <hyperlink r:id="rId27" ref="B14"/>
    <hyperlink r:id="rId28" location="osu/2072245" ref="G14"/>
    <hyperlink r:id="rId29" location="osu/3913591" ref="N14"/>
    <hyperlink r:id="rId30" location="osu/1596086" ref="B15"/>
    <hyperlink r:id="rId31" location="osu/1596086" ref="G15"/>
    <hyperlink r:id="rId32" location="osu/37750" ref="N15"/>
    <hyperlink r:id="rId33" location="osu/1251955" ref="B16"/>
    <hyperlink r:id="rId34" location="osu/1251955" ref="G16"/>
    <hyperlink r:id="rId35" location="osu/3248255" ref="N16"/>
    <hyperlink r:id="rId36" location="osu/2472143" ref="B17"/>
    <hyperlink r:id="rId37" location="osu/2472143" ref="G17"/>
    <hyperlink r:id="rId38" location="osu/674080" ref="N17"/>
    <hyperlink r:id="rId39" location="osu/3221246" ref="B18"/>
    <hyperlink r:id="rId40" location="osu/3221246" ref="G18"/>
    <hyperlink r:id="rId41" location="osu/3299370" ref="N18"/>
    <hyperlink r:id="rId42" location="osu/3822120" ref="B19"/>
    <hyperlink r:id="rId43" location="osu/3822120" ref="G19"/>
    <hyperlink r:id="rId44" location="osu/3822599" ref="N19"/>
    <hyperlink r:id="rId45" location="osu/48215" ref="B20"/>
    <hyperlink r:id="rId46" location="osu/48215" ref="G20"/>
    <hyperlink r:id="rId47" location="osu/3274886" ref="N20"/>
    <hyperlink r:id="rId48" location="osu/3616425" ref="B21"/>
    <hyperlink r:id="rId49" location="osu/3616425" ref="G21"/>
    <hyperlink r:id="rId50" location="osu/3804111" ref="N21"/>
    <hyperlink r:id="rId51" location="osu/2532230" ref="B22"/>
    <hyperlink r:id="rId52" location="osu/2532230" ref="G22"/>
    <hyperlink r:id="rId53" location="osu/577517" ref="N22"/>
    <hyperlink r:id="rId54" location="osu/2986144" ref="B23"/>
    <hyperlink r:id="rId55" location="osu/2986144" ref="G23"/>
    <hyperlink r:id="rId56" location="osu/1975970" ref="B24"/>
    <hyperlink r:id="rId57" location="osu/1975970" ref="G24"/>
    <hyperlink r:id="rId58" location="osu/3912466" ref="B25"/>
    <hyperlink r:id="rId59" location="osu/3912466" ref="G25"/>
    <hyperlink r:id="rId60" location="osu/1600995" ref="B26"/>
    <hyperlink r:id="rId61" location="osu/1600995" ref="G26"/>
    <hyperlink r:id="rId62" ref="B27"/>
    <hyperlink r:id="rId63" location="osu/2800663" ref="G27"/>
    <hyperlink r:id="rId64" location="osu/103476" ref="B28"/>
    <hyperlink r:id="rId65" location="osu/103476" ref="G28"/>
    <hyperlink r:id="rId66" location="osu/3870932" ref="B29"/>
    <hyperlink r:id="rId67" location="osu/3870932" ref="G29"/>
    <hyperlink r:id="rId68" location="osu/3913591" ref="B31"/>
    <hyperlink r:id="rId69" location="osu/3913591" ref="G31"/>
    <hyperlink r:id="rId70" location="osu/674080" ref="B32"/>
    <hyperlink r:id="rId71" location="osu/674080" ref="G32"/>
    <hyperlink r:id="rId72" location="osu/2514122" ref="B33"/>
    <hyperlink r:id="rId73" location="osu/2514122" ref="G33"/>
    <hyperlink r:id="rId74" location="osu/3407970" ref="B34"/>
    <hyperlink r:id="rId75" location="osu/3407970" ref="G34"/>
    <hyperlink r:id="rId76" location="osu/2917786" ref="B35"/>
    <hyperlink r:id="rId77" location="osu/2917786" ref="G35"/>
    <hyperlink r:id="rId78" location="osu/2671048" ref="B36"/>
    <hyperlink r:id="rId79" location="osu/2671048" ref="G36"/>
    <hyperlink r:id="rId80" location="osu/74778" ref="B37"/>
    <hyperlink r:id="rId81" location="osu/74778" ref="G37"/>
    <hyperlink r:id="rId82" location="osu/3530469" ref="B38"/>
    <hyperlink r:id="rId83" location="osu/3530469" ref="G38"/>
    <hyperlink r:id="rId84" location="osu/1491793" ref="B39"/>
    <hyperlink r:id="rId85" location="osu/1491793" ref="G39"/>
    <hyperlink r:id="rId86" location="osu/3291796" ref="B40"/>
    <hyperlink r:id="rId87" location="osu/3291796" ref="G40"/>
    <hyperlink r:id="rId88" location="osu/3299370" ref="B41"/>
    <hyperlink r:id="rId89" location="osu/3299370" ref="G41"/>
    <hyperlink r:id="rId90" location="osu/3822599" ref="B42"/>
    <hyperlink r:id="rId91" location="osu/3822599" ref="G42"/>
    <hyperlink r:id="rId92" location="osu/785982" ref="B43"/>
    <hyperlink r:id="rId93" location="osu/785982" ref="G43"/>
    <hyperlink r:id="rId94" location="osu/382887" ref="B44"/>
    <hyperlink r:id="rId95" location="osu/382887" ref="G44"/>
    <hyperlink r:id="rId96" location="osu/4215637" ref="B45"/>
    <hyperlink r:id="rId97" location="osu/4215637" ref="G45"/>
    <hyperlink r:id="rId98" location="osu/2277128" ref="B46"/>
    <hyperlink r:id="rId99" location="osu/2277128" ref="G46"/>
    <hyperlink r:id="rId100" location="osu/3804111" ref="B47"/>
    <hyperlink r:id="rId101" location="osu/3804111" ref="G47"/>
    <hyperlink r:id="rId102" location="osu/2076261" ref="B48"/>
    <hyperlink r:id="rId103" location="osu/2076261" ref="G48"/>
    <hyperlink r:id="rId104" location="osu/1838159" ref="B49"/>
    <hyperlink r:id="rId105" location="osu/1838159" ref="G49"/>
    <hyperlink r:id="rId106" location="osu/577517" ref="B51"/>
    <hyperlink r:id="rId107" location="osu/577517" ref="G51"/>
    <hyperlink r:id="rId108" location="osu/2568756" ref="B52"/>
    <hyperlink r:id="rId109" location="osu/2568756" ref="G52"/>
    <hyperlink r:id="rId110" location="osu/3341368" ref="B53"/>
    <hyperlink r:id="rId111" location="osu/3341368" ref="G53"/>
    <hyperlink r:id="rId112" location="osu/3274886" ref="B54"/>
    <hyperlink r:id="rId113" location="osu/3274886" ref="G54"/>
    <hyperlink r:id="rId114" location="osu/74779" ref="B55"/>
    <hyperlink r:id="rId115" location="osu/74779" ref="G55"/>
    <hyperlink r:id="rId116" location="osu/37750" ref="B56"/>
    <hyperlink r:id="rId117" location="osu/37750" ref="G56"/>
    <hyperlink r:id="rId118" location="osu/105978" ref="B57"/>
    <hyperlink r:id="rId119" location="osu/105978" ref="G57"/>
    <hyperlink r:id="rId120" location="osu/3821597" ref="B58"/>
    <hyperlink r:id="rId121" location="osu/3821597" ref="G58"/>
  </hyperlinks>
  <drawing r:id="rId122"/>
  <legacyDrawing r:id="rId1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37.63"/>
    <col customWidth="1" min="3" max="3" width="12.63"/>
    <col customWidth="1" min="4" max="4" width="9.5"/>
    <col customWidth="1" min="6" max="6" width="11.13"/>
    <col customWidth="1" min="7" max="8" width="25.13"/>
    <col customWidth="1" min="9" max="9" width="3.25"/>
    <col customWidth="1" min="12" max="12" width="5.13"/>
    <col customWidth="1" min="13" max="13" width="11.13"/>
    <col customWidth="1" min="14" max="14" width="31.38"/>
    <col customWidth="1" min="15" max="20" width="6.38" outlineLevel="1"/>
    <col min="21" max="22" width="12.63" outlineLevel="1"/>
    <col customWidth="1" min="23" max="23" width="3.25"/>
  </cols>
  <sheetData>
    <row r="1" ht="18.75" customHeight="1">
      <c r="A1" s="13"/>
      <c r="B1" s="13"/>
      <c r="C1" s="13"/>
      <c r="D1" s="13"/>
      <c r="E1" s="13"/>
      <c r="F1" s="13"/>
      <c r="G1" s="13"/>
      <c r="H1" s="13"/>
      <c r="I1" s="13"/>
      <c r="J1" s="13"/>
      <c r="K1" s="13"/>
      <c r="L1" s="13"/>
      <c r="M1" s="13"/>
      <c r="N1" s="13"/>
      <c r="O1" s="13"/>
      <c r="P1" s="13"/>
      <c r="Q1" s="13"/>
      <c r="R1" s="13"/>
      <c r="S1" s="13"/>
      <c r="T1" s="13"/>
      <c r="U1" s="13"/>
      <c r="V1" s="13"/>
      <c r="W1" s="13"/>
    </row>
    <row r="2" ht="18.75" customHeight="1">
      <c r="A2" s="13"/>
      <c r="B2" s="14" t="s">
        <v>33</v>
      </c>
      <c r="C2" s="15" t="s">
        <v>5</v>
      </c>
      <c r="D2" s="16">
        <f>IFERROR(VLOOKUP(B2,Settings!E3:H12,3,0),"")</f>
        <v>11</v>
      </c>
      <c r="E2" s="17" t="s">
        <v>6</v>
      </c>
      <c r="F2" s="18">
        <f>IFERROR(VLOOKUP(B2,Settings!E3:H12,4,0),"")</f>
        <v>2</v>
      </c>
      <c r="G2" s="13"/>
      <c r="H2" s="13"/>
      <c r="I2" s="13"/>
      <c r="J2" s="13"/>
      <c r="K2" s="13"/>
      <c r="L2" s="13"/>
      <c r="M2" s="13"/>
      <c r="N2" s="13"/>
      <c r="O2" s="13"/>
      <c r="P2" s="13"/>
      <c r="Q2" s="13"/>
      <c r="R2" s="13"/>
      <c r="S2" s="13"/>
      <c r="T2" s="13"/>
      <c r="U2" s="13"/>
      <c r="V2" s="13"/>
      <c r="W2" s="13"/>
    </row>
    <row r="3" ht="26.25" customHeight="1">
      <c r="A3" s="13"/>
      <c r="B3" s="19" t="s">
        <v>44</v>
      </c>
      <c r="C3" s="20"/>
      <c r="D3" s="20"/>
      <c r="E3" s="20"/>
      <c r="F3" s="20"/>
      <c r="G3" s="20"/>
      <c r="H3" s="20"/>
      <c r="I3" s="13"/>
      <c r="J3" s="19" t="s">
        <v>45</v>
      </c>
      <c r="K3" s="20"/>
      <c r="L3" s="20"/>
      <c r="M3" s="20"/>
      <c r="N3" s="20"/>
      <c r="O3" s="20"/>
      <c r="P3" s="20"/>
      <c r="Q3" s="20"/>
      <c r="R3" s="20"/>
      <c r="S3" s="20"/>
      <c r="T3" s="20"/>
      <c r="U3" s="20"/>
      <c r="V3" s="20"/>
      <c r="W3" s="13"/>
    </row>
    <row r="4" ht="18.75" customHeight="1">
      <c r="A4" s="13"/>
      <c r="B4" s="21" t="s">
        <v>46</v>
      </c>
      <c r="C4" s="21" t="s">
        <v>47</v>
      </c>
      <c r="D4" s="21" t="s">
        <v>48</v>
      </c>
      <c r="E4" s="21" t="s">
        <v>49</v>
      </c>
      <c r="F4" s="21" t="s">
        <v>50</v>
      </c>
      <c r="G4" s="22"/>
      <c r="H4" s="21" t="s">
        <v>51</v>
      </c>
      <c r="I4" s="13"/>
      <c r="J4" s="21" t="s">
        <v>52</v>
      </c>
      <c r="K4" s="21" t="s">
        <v>47</v>
      </c>
      <c r="L4" s="23" t="s">
        <v>48</v>
      </c>
      <c r="M4" s="21" t="s">
        <v>50</v>
      </c>
      <c r="N4" s="22"/>
      <c r="O4" s="24" t="s">
        <v>53</v>
      </c>
      <c r="P4" s="25" t="s">
        <v>54</v>
      </c>
      <c r="Q4" s="26" t="s">
        <v>55</v>
      </c>
      <c r="R4" s="27" t="s">
        <v>56</v>
      </c>
      <c r="S4" s="21" t="s">
        <v>57</v>
      </c>
      <c r="T4" s="21" t="s">
        <v>58</v>
      </c>
      <c r="U4" s="21" t="s">
        <v>60</v>
      </c>
      <c r="V4" s="21" t="s">
        <v>47</v>
      </c>
      <c r="W4" s="13"/>
    </row>
    <row r="5" ht="18.75" customHeight="1">
      <c r="A5" s="13"/>
      <c r="B5" s="29" t="s">
        <v>491</v>
      </c>
      <c r="C5" s="30">
        <f>IFERROR(__xludf.DUMMYFUNCTION("ArrayFormula(IFERROR(VALUE(REGEXEXTRACT(B5:B104&amp;"""",""\d+$""))))"),1405094.0)</f>
        <v>1405094</v>
      </c>
      <c r="D5" s="31" t="s">
        <v>9</v>
      </c>
      <c r="E5" s="31" t="s">
        <v>35</v>
      </c>
      <c r="F5" s="32" t="str">
        <f t="array" ref="F5:F104">MAP(C5:C104,LAMBDA(id,IFNA(IMAGE(MAPDATA(id,"cover_url")),"")))</f>
        <v/>
      </c>
      <c r="G5" s="57" t="str">
        <f t="array" ref="G5:G104">IFNA(HYPERLINK(VLOOKUP(C5:C104,'_api'!B3:BC104,MATCH("url",'_api'!B2:W2,0),0),VLOOKUP(C5:C104,'_api'!B3:BC104,MATCH("string",'_api'!B2:W2,0),0)),"")</f>
        <v>Camellia - Routing [Another]</v>
      </c>
      <c r="H5" s="51" t="s">
        <v>367</v>
      </c>
      <c r="I5" s="13"/>
      <c r="J5" s="35" t="s">
        <v>492</v>
      </c>
      <c r="K5" s="47">
        <v>1717844.0</v>
      </c>
      <c r="L5" s="36" t="str">
        <f>IFERROR(__xludf.DUMMYFUNCTION("TRANSPOSE(SPLIT(JOIN("","",MAP(TRANSPOSE(Settings!I2:P2),TRANSPOSE(INDEX(Settings!I3:P12,MATCH(B2,Settings!E3:E12,0))),LAMBDA(mod,n,JOIN("","",ARRAYFORMULA(IF(n=0,"""",mod&amp;SEQUENCE(n))))))),"",""))"),"NM1")</f>
        <v>NM1</v>
      </c>
      <c r="M5" s="34" t="str">
        <f t="array" ref="M5:M104">MAP(K5:K104,LAMBDA(id,IFNA(IMAGE(MAPDATA(id,"cover_url")),"")))</f>
        <v/>
      </c>
      <c r="N5" s="53" t="str">
        <f>IFNA(MAPDATA(K5:K104,"string_url"),"")</f>
        <v>t+pazolite - Party in the HOLLOWood feat. Nanahira [INSane]</v>
      </c>
      <c r="O5" s="38">
        <f t="array" ref="O5:Q104">IFNA(MAPDATA_MODDED(K5:K104,{"difficultyrating","bpm","hit_length"},L5:L104),"")</f>
        <v>5.37201</v>
      </c>
      <c r="P5" s="39">
        <v>178.0</v>
      </c>
      <c r="Q5" s="40">
        <v>0.0026041666678793263</v>
      </c>
      <c r="R5" s="41">
        <f t="array" ref="R5:T104">IFNA(MAPDATA_MODDED(K5:K104,"diff_"&amp;{"size","approach","overall"},L5:L104),"")</f>
        <v>4</v>
      </c>
      <c r="S5" s="42">
        <v>9.0</v>
      </c>
      <c r="T5" s="42">
        <v>8.0</v>
      </c>
      <c r="U5" s="34" t="str">
        <f t="array" ref="U5:V104">IFNA(MAPDATA(K5:K104,{"creator","beatmap_id"}),"")</f>
        <v>eiri-</v>
      </c>
      <c r="V5" s="34">
        <v>1717844.0</v>
      </c>
      <c r="W5" s="13"/>
    </row>
    <row r="6" ht="18.75" customHeight="1">
      <c r="A6" s="13"/>
      <c r="B6" s="58" t="s">
        <v>493</v>
      </c>
      <c r="C6" s="45">
        <f>IFERROR(__xludf.DUMMYFUNCTION("""COMPUTED_VALUE"""),3841174.0)</f>
        <v>3841174</v>
      </c>
      <c r="D6" s="31" t="s">
        <v>9</v>
      </c>
      <c r="E6" s="31" t="s">
        <v>17</v>
      </c>
      <c r="F6" s="32"/>
      <c r="G6" s="57" t="s">
        <v>494</v>
      </c>
      <c r="H6" s="33"/>
      <c r="I6" s="13" t="s">
        <v>0</v>
      </c>
      <c r="J6" s="35" t="s">
        <v>495</v>
      </c>
      <c r="K6" s="47">
        <v>3656173.0</v>
      </c>
      <c r="L6" s="36" t="str">
        <f>IFERROR(__xludf.DUMMYFUNCTION("""COMPUTED_VALUE"""),"NM2")</f>
        <v>NM2</v>
      </c>
      <c r="M6" s="34"/>
      <c r="N6" s="53" t="s">
        <v>496</v>
      </c>
      <c r="O6" s="38">
        <v>5.19532</v>
      </c>
      <c r="P6" s="39">
        <v>172.0</v>
      </c>
      <c r="Q6" s="40">
        <v>0.001574074074596865</v>
      </c>
      <c r="R6" s="41">
        <v>4.0</v>
      </c>
      <c r="S6" s="42">
        <v>9.1</v>
      </c>
      <c r="T6" s="42">
        <v>8.0</v>
      </c>
      <c r="U6" s="34" t="s">
        <v>364</v>
      </c>
      <c r="V6" s="34">
        <v>3656173.0</v>
      </c>
      <c r="W6" s="13"/>
    </row>
    <row r="7" ht="18.75" customHeight="1">
      <c r="A7" s="13"/>
      <c r="B7" s="56" t="s">
        <v>497</v>
      </c>
      <c r="C7" s="45">
        <f>IFERROR(__xludf.DUMMYFUNCTION("""COMPUTED_VALUE"""),703042.0)</f>
        <v>703042</v>
      </c>
      <c r="D7" s="31" t="s">
        <v>9</v>
      </c>
      <c r="E7" s="31" t="s">
        <v>35</v>
      </c>
      <c r="F7" s="32"/>
      <c r="G7" s="57" t="s">
        <v>498</v>
      </c>
      <c r="H7" s="51" t="s">
        <v>499</v>
      </c>
      <c r="I7" s="13"/>
      <c r="J7" s="35" t="s">
        <v>500</v>
      </c>
      <c r="K7" s="47">
        <v>2715749.0</v>
      </c>
      <c r="L7" s="36" t="str">
        <f>IFERROR(__xludf.DUMMYFUNCTION("""COMPUTED_VALUE"""),"NM3")</f>
        <v>NM3</v>
      </c>
      <c r="M7" s="34"/>
      <c r="N7" s="53" t="s">
        <v>501</v>
      </c>
      <c r="O7" s="38">
        <v>5.03898</v>
      </c>
      <c r="P7" s="39">
        <v>134.0</v>
      </c>
      <c r="Q7" s="40">
        <v>0.0016550925938645378</v>
      </c>
      <c r="R7" s="41">
        <v>3.0</v>
      </c>
      <c r="S7" s="42">
        <v>9.2</v>
      </c>
      <c r="T7" s="42">
        <v>8.0</v>
      </c>
      <c r="U7" s="34" t="s">
        <v>502</v>
      </c>
      <c r="V7" s="34">
        <v>2715749.0</v>
      </c>
      <c r="W7" s="13"/>
    </row>
    <row r="8" ht="18.75" customHeight="1">
      <c r="A8" s="13"/>
      <c r="B8" s="66">
        <v>2514122.0</v>
      </c>
      <c r="C8" s="45">
        <f>IFERROR(__xludf.DUMMYFUNCTION("""COMPUTED_VALUE"""),2514122.0)</f>
        <v>2514122</v>
      </c>
      <c r="D8" s="31" t="s">
        <v>11</v>
      </c>
      <c r="E8" s="31" t="s">
        <v>17</v>
      </c>
      <c r="F8" s="32"/>
      <c r="G8" s="57" t="s">
        <v>74</v>
      </c>
      <c r="H8" s="33"/>
      <c r="I8" s="13"/>
      <c r="J8" s="35" t="s">
        <v>503</v>
      </c>
      <c r="K8" s="45">
        <v>3291796.0</v>
      </c>
      <c r="L8" s="36" t="str">
        <f>IFERROR(__xludf.DUMMYFUNCTION("""COMPUTED_VALUE"""),"NM4")</f>
        <v>NM4</v>
      </c>
      <c r="M8" s="34"/>
      <c r="N8" s="53" t="s">
        <v>469</v>
      </c>
      <c r="O8" s="38">
        <v>4.70195</v>
      </c>
      <c r="P8" s="39">
        <v>172.0</v>
      </c>
      <c r="Q8" s="40">
        <v>0.0015625000014551915</v>
      </c>
      <c r="R8" s="41">
        <v>3.8</v>
      </c>
      <c r="S8" s="42">
        <v>9.0</v>
      </c>
      <c r="T8" s="42">
        <v>8.6</v>
      </c>
      <c r="U8" s="34" t="s">
        <v>72</v>
      </c>
      <c r="V8" s="34">
        <v>3291796.0</v>
      </c>
      <c r="W8" s="13"/>
    </row>
    <row r="9" ht="18.75" customHeight="1">
      <c r="A9" s="13"/>
      <c r="B9" s="56" t="s">
        <v>504</v>
      </c>
      <c r="C9" s="45">
        <f>IFERROR(__xludf.DUMMYFUNCTION("""COMPUTED_VALUE"""),3399446.0)</f>
        <v>3399446</v>
      </c>
      <c r="D9" s="31" t="s">
        <v>8</v>
      </c>
      <c r="E9" s="31" t="s">
        <v>35</v>
      </c>
      <c r="F9" s="32"/>
      <c r="G9" s="57" t="s">
        <v>505</v>
      </c>
      <c r="H9" s="51" t="s">
        <v>373</v>
      </c>
      <c r="I9" s="13"/>
      <c r="J9" s="35" t="s">
        <v>362</v>
      </c>
      <c r="K9" s="47">
        <v>3187491.0</v>
      </c>
      <c r="L9" s="36" t="str">
        <f>IFERROR(__xludf.DUMMYFUNCTION("""COMPUTED_VALUE"""),"NM5")</f>
        <v>NM5</v>
      </c>
      <c r="M9" s="34"/>
      <c r="N9" s="53" t="s">
        <v>506</v>
      </c>
      <c r="O9" s="38">
        <v>5.1866</v>
      </c>
      <c r="P9" s="39">
        <v>220.0</v>
      </c>
      <c r="Q9" s="40">
        <v>0.0024537037024856545</v>
      </c>
      <c r="R9" s="41">
        <v>3.8</v>
      </c>
      <c r="S9" s="42">
        <v>9.2</v>
      </c>
      <c r="T9" s="42">
        <v>8.0</v>
      </c>
      <c r="U9" s="34" t="s">
        <v>507</v>
      </c>
      <c r="V9" s="34">
        <v>3187491.0</v>
      </c>
      <c r="W9" s="13"/>
    </row>
    <row r="10" ht="18.75" customHeight="1">
      <c r="A10" s="13"/>
      <c r="B10" s="56" t="s">
        <v>508</v>
      </c>
      <c r="C10" s="45">
        <f>IFERROR(__xludf.DUMMYFUNCTION("""COMPUTED_VALUE"""),2383229.0)</f>
        <v>2383229</v>
      </c>
      <c r="D10" s="31" t="s">
        <v>8</v>
      </c>
      <c r="E10" s="31" t="s">
        <v>35</v>
      </c>
      <c r="F10" s="32"/>
      <c r="G10" s="57" t="s">
        <v>509</v>
      </c>
      <c r="H10" s="51" t="s">
        <v>373</v>
      </c>
      <c r="I10" s="13"/>
      <c r="J10" s="35" t="s">
        <v>510</v>
      </c>
      <c r="K10" s="47">
        <v>3990086.0</v>
      </c>
      <c r="L10" s="36" t="str">
        <f>IFERROR(__xludf.DUMMYFUNCTION("""COMPUTED_VALUE"""),"NM6")</f>
        <v>NM6</v>
      </c>
      <c r="M10" s="34"/>
      <c r="N10" s="53" t="s">
        <v>336</v>
      </c>
      <c r="O10" s="38">
        <v>4.56568</v>
      </c>
      <c r="P10" s="39">
        <v>174.0</v>
      </c>
      <c r="Q10" s="40">
        <v>0.0013657407398568466</v>
      </c>
      <c r="R10" s="41">
        <v>3.8</v>
      </c>
      <c r="S10" s="42">
        <v>7.0</v>
      </c>
      <c r="T10" s="42">
        <v>7.0</v>
      </c>
      <c r="U10" s="34" t="s">
        <v>511</v>
      </c>
      <c r="V10" s="34">
        <v>3990086.0</v>
      </c>
      <c r="W10" s="13"/>
    </row>
    <row r="11" ht="18.75" customHeight="1">
      <c r="A11" s="13"/>
      <c r="B11" s="56" t="s">
        <v>512</v>
      </c>
      <c r="C11" s="45">
        <f>IFERROR(__xludf.DUMMYFUNCTION("""COMPUTED_VALUE"""),1972425.0)</f>
        <v>1972425</v>
      </c>
      <c r="D11" s="31" t="s">
        <v>8</v>
      </c>
      <c r="E11" s="31" t="s">
        <v>35</v>
      </c>
      <c r="F11" s="32"/>
      <c r="G11" s="57" t="s">
        <v>513</v>
      </c>
      <c r="H11" s="51" t="s">
        <v>303</v>
      </c>
      <c r="I11" s="13"/>
      <c r="J11" s="35" t="s">
        <v>514</v>
      </c>
      <c r="K11" s="45">
        <v>1972425.0</v>
      </c>
      <c r="L11" s="36" t="str">
        <f>IFERROR(__xludf.DUMMYFUNCTION("""COMPUTED_VALUE"""),"HD1")</f>
        <v>HD1</v>
      </c>
      <c r="M11" s="34"/>
      <c r="N11" s="53" t="s">
        <v>513</v>
      </c>
      <c r="O11" s="38">
        <v>5.21311</v>
      </c>
      <c r="P11" s="39">
        <v>183.0</v>
      </c>
      <c r="Q11" s="40">
        <v>0.0024537037024856545</v>
      </c>
      <c r="R11" s="41">
        <v>3.7</v>
      </c>
      <c r="S11" s="42">
        <v>9.3</v>
      </c>
      <c r="T11" s="42">
        <v>8.0</v>
      </c>
      <c r="U11" s="34" t="s">
        <v>515</v>
      </c>
      <c r="V11" s="34">
        <v>1972425.0</v>
      </c>
      <c r="W11" s="13"/>
    </row>
    <row r="12" ht="18.75" customHeight="1">
      <c r="A12" s="13"/>
      <c r="B12" s="56" t="s">
        <v>468</v>
      </c>
      <c r="C12" s="45">
        <f>IFERROR(__xludf.DUMMYFUNCTION("""COMPUTED_VALUE"""),3291796.0)</f>
        <v>3291796</v>
      </c>
      <c r="D12" s="31" t="s">
        <v>7</v>
      </c>
      <c r="E12" s="32"/>
      <c r="F12" s="32"/>
      <c r="G12" s="57" t="s">
        <v>469</v>
      </c>
      <c r="H12" s="51" t="s">
        <v>384</v>
      </c>
      <c r="I12" s="13"/>
      <c r="J12" s="35" t="s">
        <v>516</v>
      </c>
      <c r="K12" s="47">
        <v>2277128.0</v>
      </c>
      <c r="L12" s="36" t="str">
        <f>IFERROR(__xludf.DUMMYFUNCTION("""COMPUTED_VALUE"""),"HD2")</f>
        <v>HD2</v>
      </c>
      <c r="M12" s="34"/>
      <c r="N12" s="53" t="s">
        <v>478</v>
      </c>
      <c r="O12" s="38">
        <v>4.71265</v>
      </c>
      <c r="P12" s="39">
        <v>180.0</v>
      </c>
      <c r="Q12" s="40">
        <v>0.0013657407398568466</v>
      </c>
      <c r="R12" s="41">
        <v>4.0</v>
      </c>
      <c r="S12" s="42">
        <v>8.0</v>
      </c>
      <c r="T12" s="42">
        <v>7.0</v>
      </c>
      <c r="U12" s="34" t="s">
        <v>517</v>
      </c>
      <c r="V12" s="34">
        <v>2277128.0</v>
      </c>
      <c r="W12" s="13"/>
    </row>
    <row r="13" ht="18.75" customHeight="1">
      <c r="A13" s="13"/>
      <c r="B13" s="56" t="s">
        <v>518</v>
      </c>
      <c r="C13" s="47">
        <f>IFERROR(__xludf.DUMMYFUNCTION("""COMPUTED_VALUE"""),3656173.0)</f>
        <v>3656173</v>
      </c>
      <c r="D13" s="31" t="s">
        <v>7</v>
      </c>
      <c r="E13" s="32"/>
      <c r="F13" s="32"/>
      <c r="G13" s="57" t="s">
        <v>496</v>
      </c>
      <c r="H13" s="33"/>
      <c r="I13" s="13"/>
      <c r="J13" s="35" t="s">
        <v>519</v>
      </c>
      <c r="K13" s="47">
        <v>2044890.0</v>
      </c>
      <c r="L13" s="36" t="str">
        <f>IFERROR(__xludf.DUMMYFUNCTION("""COMPUTED_VALUE"""),"HD3")</f>
        <v>HD3</v>
      </c>
      <c r="M13" s="34"/>
      <c r="N13" s="53" t="s">
        <v>520</v>
      </c>
      <c r="O13" s="38">
        <v>5.03191</v>
      </c>
      <c r="P13" s="39">
        <v>170.0</v>
      </c>
      <c r="Q13" s="40">
        <v>0.002222222221462289</v>
      </c>
      <c r="R13" s="41">
        <v>3.8</v>
      </c>
      <c r="S13" s="42">
        <v>9.1</v>
      </c>
      <c r="T13" s="42">
        <v>8.0</v>
      </c>
      <c r="U13" s="34" t="s">
        <v>521</v>
      </c>
      <c r="V13" s="34">
        <v>2044890.0</v>
      </c>
      <c r="W13" s="13"/>
    </row>
    <row r="14" ht="18.75" customHeight="1">
      <c r="A14" s="13"/>
      <c r="B14" s="56" t="s">
        <v>522</v>
      </c>
      <c r="C14" s="47">
        <f>IFERROR(__xludf.DUMMYFUNCTION("""COMPUTED_VALUE"""),2992124.0)</f>
        <v>2992124</v>
      </c>
      <c r="D14" s="31" t="s">
        <v>7</v>
      </c>
      <c r="E14" s="32"/>
      <c r="F14" s="32"/>
      <c r="G14" s="57" t="s">
        <v>523</v>
      </c>
      <c r="H14" s="33"/>
      <c r="I14" s="13"/>
      <c r="J14" s="35" t="s">
        <v>524</v>
      </c>
      <c r="K14" s="47">
        <v>3454421.0</v>
      </c>
      <c r="L14" s="36" t="str">
        <f>IFERROR(__xludf.DUMMYFUNCTION("""COMPUTED_VALUE"""),"HR1")</f>
        <v>HR1</v>
      </c>
      <c r="M14" s="34"/>
      <c r="N14" s="53" t="s">
        <v>525</v>
      </c>
      <c r="O14" s="38">
        <v>5.19533</v>
      </c>
      <c r="P14" s="39">
        <v>206.0</v>
      </c>
      <c r="Q14" s="40">
        <v>0.002314814813871635</v>
      </c>
      <c r="R14" s="41">
        <v>5.2</v>
      </c>
      <c r="S14" s="42">
        <v>10.0</v>
      </c>
      <c r="T14" s="42">
        <v>10.0</v>
      </c>
      <c r="U14" s="34" t="s">
        <v>526</v>
      </c>
      <c r="V14" s="34">
        <v>3454421.0</v>
      </c>
      <c r="W14" s="13"/>
    </row>
    <row r="15" ht="18.75" customHeight="1">
      <c r="A15" s="13"/>
      <c r="B15" s="56" t="s">
        <v>527</v>
      </c>
      <c r="C15" s="47">
        <f>IFERROR(__xludf.DUMMYFUNCTION("""COMPUTED_VALUE"""),3986899.0)</f>
        <v>3986899</v>
      </c>
      <c r="D15" s="31" t="s">
        <v>7</v>
      </c>
      <c r="E15" s="32"/>
      <c r="F15" s="32"/>
      <c r="G15" s="57" t="s">
        <v>528</v>
      </c>
      <c r="H15" s="33"/>
      <c r="I15" s="13"/>
      <c r="J15" s="63" t="s">
        <v>529</v>
      </c>
      <c r="K15" s="61">
        <v>2917786.0</v>
      </c>
      <c r="L15" s="36" t="str">
        <f>IFERROR(__xludf.DUMMYFUNCTION("""COMPUTED_VALUE"""),"HR2")</f>
        <v>HR2</v>
      </c>
      <c r="M15" s="34"/>
      <c r="N15" s="53" t="s">
        <v>461</v>
      </c>
      <c r="O15" s="38">
        <v>4.85907</v>
      </c>
      <c r="P15" s="39">
        <v>130.0</v>
      </c>
      <c r="Q15" s="40">
        <v>0.0019791666672972497</v>
      </c>
      <c r="R15" s="41">
        <v>6.5</v>
      </c>
      <c r="S15" s="42">
        <v>10.0</v>
      </c>
      <c r="T15" s="42">
        <v>10.0</v>
      </c>
      <c r="U15" s="34" t="s">
        <v>530</v>
      </c>
      <c r="V15" s="34">
        <v>2917786.0</v>
      </c>
      <c r="W15" s="13"/>
    </row>
    <row r="16" ht="18.75" customHeight="1">
      <c r="A16" s="13"/>
      <c r="B16" s="56" t="s">
        <v>531</v>
      </c>
      <c r="C16" s="47">
        <f>IFERROR(__xludf.DUMMYFUNCTION("""COMPUTED_VALUE"""),2200110.0)</f>
        <v>2200110</v>
      </c>
      <c r="D16" s="31" t="s">
        <v>7</v>
      </c>
      <c r="E16" s="32"/>
      <c r="F16" s="32"/>
      <c r="G16" s="57" t="s">
        <v>532</v>
      </c>
      <c r="H16" s="33"/>
      <c r="I16" s="13"/>
      <c r="J16" s="35" t="s">
        <v>533</v>
      </c>
      <c r="K16" s="30">
        <v>1405094.0</v>
      </c>
      <c r="L16" s="36" t="str">
        <f>IFERROR(__xludf.DUMMYFUNCTION("""COMPUTED_VALUE"""),"HR3")</f>
        <v>HR3</v>
      </c>
      <c r="M16" s="34"/>
      <c r="N16" s="53" t="s">
        <v>534</v>
      </c>
      <c r="O16" s="38">
        <v>5.0835</v>
      </c>
      <c r="P16" s="39">
        <v>144.0</v>
      </c>
      <c r="Q16" s="40">
        <v>0.0012731481474475004</v>
      </c>
      <c r="R16" s="41">
        <v>4.55</v>
      </c>
      <c r="S16" s="42">
        <v>10.0</v>
      </c>
      <c r="T16" s="42">
        <v>10.0</v>
      </c>
      <c r="U16" s="34" t="s">
        <v>535</v>
      </c>
      <c r="V16" s="34">
        <v>1405094.0</v>
      </c>
      <c r="W16" s="13"/>
    </row>
    <row r="17" ht="18.75" customHeight="1">
      <c r="A17" s="13"/>
      <c r="B17" s="56" t="s">
        <v>335</v>
      </c>
      <c r="C17" s="47">
        <f>IFERROR(__xludf.DUMMYFUNCTION("""COMPUTED_VALUE"""),3990086.0)</f>
        <v>3990086</v>
      </c>
      <c r="D17" s="31" t="s">
        <v>7</v>
      </c>
      <c r="E17" s="32"/>
      <c r="F17" s="32"/>
      <c r="G17" s="57" t="s">
        <v>336</v>
      </c>
      <c r="H17" s="33"/>
      <c r="I17" s="13"/>
      <c r="J17" s="35" t="s">
        <v>536</v>
      </c>
      <c r="K17" s="47">
        <v>1592512.0</v>
      </c>
      <c r="L17" s="36" t="str">
        <f>IFERROR(__xludf.DUMMYFUNCTION("""COMPUTED_VALUE"""),"DT1")</f>
        <v>DT1</v>
      </c>
      <c r="M17" s="34"/>
      <c r="N17" s="53" t="s">
        <v>537</v>
      </c>
      <c r="O17" s="38">
        <v>5.31524</v>
      </c>
      <c r="P17" s="39">
        <v>285.0</v>
      </c>
      <c r="Q17" s="40">
        <v>0.0016126543220404226</v>
      </c>
      <c r="R17" s="41">
        <v>4.0</v>
      </c>
      <c r="S17" s="42">
        <v>9.666666666666668</v>
      </c>
      <c r="T17" s="42">
        <v>8.75</v>
      </c>
      <c r="U17" s="34" t="s">
        <v>210</v>
      </c>
      <c r="V17" s="34">
        <v>1592512.0</v>
      </c>
      <c r="W17" s="13"/>
    </row>
    <row r="18" ht="18.75" customHeight="1">
      <c r="A18" s="13"/>
      <c r="B18" s="56" t="s">
        <v>538</v>
      </c>
      <c r="C18" s="47">
        <f>IFERROR(__xludf.DUMMYFUNCTION("""COMPUTED_VALUE"""),2666261.0)</f>
        <v>2666261</v>
      </c>
      <c r="D18" s="31" t="s">
        <v>8</v>
      </c>
      <c r="E18" s="32"/>
      <c r="F18" s="32"/>
      <c r="G18" s="57" t="s">
        <v>539</v>
      </c>
      <c r="H18" s="33"/>
      <c r="I18" s="13"/>
      <c r="J18" s="35" t="s">
        <v>540</v>
      </c>
      <c r="K18" s="47">
        <v>2388648.0</v>
      </c>
      <c r="L18" s="36" t="str">
        <f>IFERROR(__xludf.DUMMYFUNCTION("""COMPUTED_VALUE"""),"DT2")</f>
        <v>DT2</v>
      </c>
      <c r="M18" s="34"/>
      <c r="N18" s="53" t="s">
        <v>541</v>
      </c>
      <c r="O18" s="38">
        <v>5.127</v>
      </c>
      <c r="P18" s="39">
        <v>217.5</v>
      </c>
      <c r="Q18" s="40">
        <v>0.001697530863263334</v>
      </c>
      <c r="R18" s="41">
        <v>3.8</v>
      </c>
      <c r="S18" s="42">
        <v>9.666666666666668</v>
      </c>
      <c r="T18" s="42">
        <v>9.083333333333334</v>
      </c>
      <c r="U18" s="34" t="s">
        <v>542</v>
      </c>
      <c r="V18" s="34">
        <v>2388648.0</v>
      </c>
      <c r="W18" s="13"/>
    </row>
    <row r="19" ht="18.75" customHeight="1">
      <c r="A19" s="13"/>
      <c r="B19" s="56" t="s">
        <v>290</v>
      </c>
      <c r="C19" s="47">
        <f>IFERROR(__xludf.DUMMYFUNCTION("""COMPUTED_VALUE"""),87369.0)</f>
        <v>87369</v>
      </c>
      <c r="D19" s="31" t="s">
        <v>8</v>
      </c>
      <c r="E19" s="32"/>
      <c r="F19" s="32"/>
      <c r="G19" s="57" t="s">
        <v>291</v>
      </c>
      <c r="H19" s="33"/>
      <c r="I19" s="13"/>
      <c r="J19" s="45" t="s">
        <v>543</v>
      </c>
      <c r="K19" s="47">
        <v>3819183.0</v>
      </c>
      <c r="L19" s="36" t="str">
        <f>IFERROR(__xludf.DUMMYFUNCTION("""COMPUTED_VALUE"""),"DT3")</f>
        <v>DT3</v>
      </c>
      <c r="M19" s="34"/>
      <c r="N19" s="53" t="s">
        <v>544</v>
      </c>
      <c r="O19" s="38">
        <v>5.16896</v>
      </c>
      <c r="P19" s="39">
        <v>255.0</v>
      </c>
      <c r="Q19" s="40">
        <v>0.0013503086423346151</v>
      </c>
      <c r="R19" s="41">
        <v>3.5</v>
      </c>
      <c r="S19" s="42">
        <v>9.666666666666668</v>
      </c>
      <c r="T19" s="42">
        <v>8.416666666666666</v>
      </c>
      <c r="U19" s="34" t="s">
        <v>545</v>
      </c>
      <c r="V19" s="34">
        <v>3819183.0</v>
      </c>
      <c r="W19" s="13"/>
    </row>
    <row r="20" ht="18.75" customHeight="1">
      <c r="A20" s="13"/>
      <c r="B20" s="56" t="s">
        <v>546</v>
      </c>
      <c r="C20" s="47">
        <f>IFERROR(__xludf.DUMMYFUNCTION("""COMPUTED_VALUE"""),667685.0)</f>
        <v>667685</v>
      </c>
      <c r="D20" s="31" t="s">
        <v>9</v>
      </c>
      <c r="E20" s="32"/>
      <c r="F20" s="32"/>
      <c r="G20" s="57" t="s">
        <v>547</v>
      </c>
      <c r="H20" s="33"/>
      <c r="I20" s="13"/>
      <c r="J20" s="35" t="s">
        <v>548</v>
      </c>
      <c r="K20" s="45">
        <v>2514122.0</v>
      </c>
      <c r="L20" s="36" t="str">
        <f>IFERROR(__xludf.DUMMYFUNCTION("""COMPUTED_VALUE"""),"FM1")</f>
        <v>FM1</v>
      </c>
      <c r="M20" s="34"/>
      <c r="N20" s="53" t="s">
        <v>74</v>
      </c>
      <c r="O20" s="38">
        <v>4.95233</v>
      </c>
      <c r="P20" s="39">
        <v>200.0</v>
      </c>
      <c r="Q20" s="40">
        <v>0.0025810185179580003</v>
      </c>
      <c r="R20" s="41">
        <v>3.0</v>
      </c>
      <c r="S20" s="42">
        <v>9.0</v>
      </c>
      <c r="T20" s="42">
        <v>8.0</v>
      </c>
      <c r="U20" s="34" t="s">
        <v>549</v>
      </c>
      <c r="V20" s="34">
        <v>2514122.0</v>
      </c>
      <c r="W20" s="13"/>
    </row>
    <row r="21" ht="18.75" customHeight="1">
      <c r="A21" s="13"/>
      <c r="B21" s="56" t="s">
        <v>550</v>
      </c>
      <c r="C21" s="47">
        <f>IFERROR(__xludf.DUMMYFUNCTION("""COMPUTED_VALUE"""),1782851.0)</f>
        <v>1782851</v>
      </c>
      <c r="D21" s="31" t="s">
        <v>9</v>
      </c>
      <c r="E21" s="32"/>
      <c r="F21" s="32"/>
      <c r="G21" s="57" t="s">
        <v>551</v>
      </c>
      <c r="H21" s="33"/>
      <c r="I21" s="13"/>
      <c r="J21" s="35" t="s">
        <v>543</v>
      </c>
      <c r="K21" s="47">
        <v>28366.0</v>
      </c>
      <c r="L21" s="36" t="str">
        <f>IFERROR(__xludf.DUMMYFUNCTION("""COMPUTED_VALUE"""),"FM2")</f>
        <v>FM2</v>
      </c>
      <c r="M21" s="34"/>
      <c r="N21" s="53" t="s">
        <v>552</v>
      </c>
      <c r="O21" s="38">
        <v>4.71486</v>
      </c>
      <c r="P21" s="39">
        <v>160.0</v>
      </c>
      <c r="Q21" s="40">
        <v>0.0016203703708015382</v>
      </c>
      <c r="R21" s="41">
        <v>5.0</v>
      </c>
      <c r="S21" s="42">
        <v>8.0</v>
      </c>
      <c r="T21" s="42">
        <v>8.0</v>
      </c>
      <c r="U21" s="34" t="s">
        <v>553</v>
      </c>
      <c r="V21" s="34">
        <v>28366.0</v>
      </c>
      <c r="W21" s="13"/>
    </row>
    <row r="22" ht="18.75" customHeight="1">
      <c r="A22" s="13"/>
      <c r="B22" s="56" t="s">
        <v>554</v>
      </c>
      <c r="C22" s="47">
        <f>IFERROR(__xludf.DUMMYFUNCTION("""COMPUTED_VALUE"""),1592512.0)</f>
        <v>1592512</v>
      </c>
      <c r="D22" s="31" t="s">
        <v>10</v>
      </c>
      <c r="E22" s="32"/>
      <c r="F22" s="32"/>
      <c r="G22" s="57" t="s">
        <v>537</v>
      </c>
      <c r="H22" s="33"/>
      <c r="I22" s="13"/>
      <c r="J22" s="35" t="s">
        <v>555</v>
      </c>
      <c r="K22" s="47">
        <v>1248147.0</v>
      </c>
      <c r="L22" s="36" t="str">
        <f>IFERROR(__xludf.DUMMYFUNCTION("""COMPUTED_VALUE"""),"TB1")</f>
        <v>TB1</v>
      </c>
      <c r="M22" s="34"/>
      <c r="N22" s="53" t="s">
        <v>556</v>
      </c>
      <c r="O22" s="38">
        <v>5.47932</v>
      </c>
      <c r="P22" s="39">
        <v>170.0</v>
      </c>
      <c r="Q22" s="40">
        <v>0.0035648148150357883</v>
      </c>
      <c r="R22" s="41">
        <v>4.0</v>
      </c>
      <c r="S22" s="42">
        <v>9.4</v>
      </c>
      <c r="T22" s="42">
        <v>8.0</v>
      </c>
      <c r="U22" s="34" t="s">
        <v>557</v>
      </c>
      <c r="V22" s="34">
        <v>1248147.0</v>
      </c>
      <c r="W22" s="13"/>
    </row>
    <row r="23" ht="18.75" customHeight="1">
      <c r="A23" s="13"/>
      <c r="B23" s="56" t="s">
        <v>558</v>
      </c>
      <c r="C23" s="47">
        <f>IFERROR(__xludf.DUMMYFUNCTION("""COMPUTED_VALUE"""),3819183.0)</f>
        <v>3819183</v>
      </c>
      <c r="D23" s="31" t="s">
        <v>10</v>
      </c>
      <c r="E23" s="32"/>
      <c r="F23" s="32"/>
      <c r="G23" s="57" t="s">
        <v>544</v>
      </c>
      <c r="H23" s="33"/>
      <c r="I23" s="13"/>
      <c r="J23" s="34"/>
      <c r="K23" s="46"/>
      <c r="L23" s="36"/>
      <c r="M23" s="34"/>
      <c r="N23" s="37"/>
      <c r="O23" s="38"/>
      <c r="P23" s="39"/>
      <c r="Q23" s="40"/>
      <c r="R23" s="41"/>
      <c r="S23" s="42"/>
      <c r="T23" s="42"/>
      <c r="U23" s="34"/>
      <c r="V23" s="34"/>
      <c r="W23" s="13"/>
    </row>
    <row r="24" ht="18.75" customHeight="1">
      <c r="A24" s="13"/>
      <c r="B24" s="56" t="s">
        <v>559</v>
      </c>
      <c r="C24" s="47">
        <f>IFERROR(__xludf.DUMMYFUNCTION("""COMPUTED_VALUE"""),2643263.0)</f>
        <v>2643263</v>
      </c>
      <c r="D24" s="31" t="s">
        <v>11</v>
      </c>
      <c r="E24" s="32"/>
      <c r="F24" s="32"/>
      <c r="G24" s="57" t="s">
        <v>560</v>
      </c>
      <c r="H24" s="33"/>
      <c r="I24" s="13"/>
      <c r="J24" s="34"/>
      <c r="K24" s="46"/>
      <c r="L24" s="36"/>
      <c r="M24" s="34"/>
      <c r="N24" s="37"/>
      <c r="O24" s="38"/>
      <c r="P24" s="39"/>
      <c r="Q24" s="40"/>
      <c r="R24" s="41"/>
      <c r="S24" s="42"/>
      <c r="T24" s="42"/>
      <c r="U24" s="34"/>
      <c r="V24" s="34"/>
      <c r="W24" s="13"/>
    </row>
    <row r="25" ht="18.75" customHeight="1">
      <c r="A25" s="13"/>
      <c r="B25" s="56" t="s">
        <v>561</v>
      </c>
      <c r="C25" s="47">
        <f>IFERROR(__xludf.DUMMYFUNCTION("""COMPUTED_VALUE"""),1403845.0)</f>
        <v>1403845</v>
      </c>
      <c r="D25" s="32"/>
      <c r="E25" s="32"/>
      <c r="F25" s="32"/>
      <c r="G25" s="57" t="s">
        <v>562</v>
      </c>
      <c r="H25" s="33"/>
      <c r="I25" s="13"/>
      <c r="J25" s="34"/>
      <c r="K25" s="46"/>
      <c r="L25" s="36"/>
      <c r="M25" s="34"/>
      <c r="N25" s="37"/>
      <c r="O25" s="38"/>
      <c r="P25" s="39"/>
      <c r="Q25" s="40"/>
      <c r="R25" s="41"/>
      <c r="S25" s="42"/>
      <c r="T25" s="42"/>
      <c r="U25" s="34"/>
      <c r="V25" s="34"/>
      <c r="W25" s="13"/>
    </row>
    <row r="26" ht="18.75" customHeight="1">
      <c r="A26" s="13"/>
      <c r="B26" s="56" t="s">
        <v>563</v>
      </c>
      <c r="C26" s="47">
        <f>IFERROR(__xludf.DUMMYFUNCTION("""COMPUTED_VALUE"""),2872861.0)</f>
        <v>2872861</v>
      </c>
      <c r="D26" s="31" t="s">
        <v>8</v>
      </c>
      <c r="E26" s="32"/>
      <c r="F26" s="32"/>
      <c r="G26" s="57" t="s">
        <v>564</v>
      </c>
      <c r="H26" s="33"/>
      <c r="I26" s="13"/>
      <c r="J26" s="34"/>
      <c r="K26" s="46"/>
      <c r="L26" s="36"/>
      <c r="M26" s="34"/>
      <c r="N26" s="37"/>
      <c r="O26" s="38"/>
      <c r="P26" s="39"/>
      <c r="Q26" s="40"/>
      <c r="R26" s="41"/>
      <c r="S26" s="42"/>
      <c r="T26" s="42"/>
      <c r="U26" s="34"/>
      <c r="V26" s="34"/>
      <c r="W26" s="13"/>
    </row>
    <row r="27" ht="18.75" customHeight="1">
      <c r="A27" s="13"/>
      <c r="B27" s="56" t="s">
        <v>460</v>
      </c>
      <c r="C27" s="47">
        <f>IFERROR(__xludf.DUMMYFUNCTION("""COMPUTED_VALUE"""),2917786.0)</f>
        <v>2917786</v>
      </c>
      <c r="D27" s="31" t="s">
        <v>9</v>
      </c>
      <c r="E27" s="32"/>
      <c r="F27" s="32"/>
      <c r="G27" s="57" t="s">
        <v>461</v>
      </c>
      <c r="H27" s="33"/>
      <c r="I27" s="13"/>
      <c r="J27" s="34"/>
      <c r="K27" s="46"/>
      <c r="L27" s="36"/>
      <c r="M27" s="34"/>
      <c r="N27" s="37"/>
      <c r="O27" s="38"/>
      <c r="P27" s="39"/>
      <c r="Q27" s="40"/>
      <c r="R27" s="41"/>
      <c r="S27" s="42"/>
      <c r="T27" s="42"/>
      <c r="U27" s="34"/>
      <c r="V27" s="34"/>
      <c r="W27" s="13"/>
    </row>
    <row r="28" ht="18.75" customHeight="1">
      <c r="A28" s="13"/>
      <c r="B28" s="56" t="s">
        <v>565</v>
      </c>
      <c r="C28" s="47">
        <f>IFERROR(__xludf.DUMMYFUNCTION("""COMPUTED_VALUE"""),2715749.0)</f>
        <v>2715749</v>
      </c>
      <c r="D28" s="31" t="s">
        <v>7</v>
      </c>
      <c r="E28" s="32"/>
      <c r="F28" s="32"/>
      <c r="G28" s="57" t="s">
        <v>501</v>
      </c>
      <c r="H28" s="33"/>
      <c r="I28" s="13"/>
      <c r="J28" s="34"/>
      <c r="K28" s="46"/>
      <c r="L28" s="36"/>
      <c r="M28" s="34"/>
      <c r="N28" s="37"/>
      <c r="O28" s="38"/>
      <c r="P28" s="39"/>
      <c r="Q28" s="40"/>
      <c r="R28" s="41"/>
      <c r="S28" s="42"/>
      <c r="T28" s="42"/>
      <c r="U28" s="34"/>
      <c r="V28" s="34"/>
      <c r="W28" s="13"/>
    </row>
    <row r="29" ht="18.75" customHeight="1">
      <c r="A29" s="13"/>
      <c r="B29" s="56" t="s">
        <v>566</v>
      </c>
      <c r="C29" s="47">
        <f>IFERROR(__xludf.DUMMYFUNCTION("""COMPUTED_VALUE"""),2044890.0)</f>
        <v>2044890</v>
      </c>
      <c r="D29" s="31" t="s">
        <v>8</v>
      </c>
      <c r="E29" s="32"/>
      <c r="F29" s="32"/>
      <c r="G29" s="57" t="s">
        <v>520</v>
      </c>
      <c r="H29" s="33"/>
      <c r="I29" s="13"/>
      <c r="J29" s="34"/>
      <c r="K29" s="46"/>
      <c r="L29" s="36"/>
      <c r="M29" s="34"/>
      <c r="N29" s="37"/>
      <c r="O29" s="38"/>
      <c r="P29" s="39"/>
      <c r="Q29" s="40"/>
      <c r="R29" s="41"/>
      <c r="S29" s="42"/>
      <c r="T29" s="42"/>
      <c r="U29" s="34"/>
      <c r="V29" s="34"/>
      <c r="W29" s="13"/>
    </row>
    <row r="30" ht="18.75" customHeight="1">
      <c r="A30" s="13"/>
      <c r="B30" s="56" t="s">
        <v>567</v>
      </c>
      <c r="C30" s="47">
        <f>IFERROR(__xludf.DUMMYFUNCTION("""COMPUTED_VALUE"""),3454421.0)</f>
        <v>3454421</v>
      </c>
      <c r="D30" s="31" t="s">
        <v>9</v>
      </c>
      <c r="E30" s="32"/>
      <c r="F30" s="32"/>
      <c r="G30" s="57" t="s">
        <v>525</v>
      </c>
      <c r="H30" s="33"/>
      <c r="I30" s="13"/>
      <c r="J30" s="34"/>
      <c r="K30" s="46"/>
      <c r="L30" s="36"/>
      <c r="M30" s="34"/>
      <c r="N30" s="37"/>
      <c r="O30" s="38"/>
      <c r="P30" s="39"/>
      <c r="Q30" s="40"/>
      <c r="R30" s="41"/>
      <c r="S30" s="42"/>
      <c r="T30" s="42"/>
      <c r="U30" s="34"/>
      <c r="V30" s="34"/>
      <c r="W30" s="13"/>
    </row>
    <row r="31" ht="18.75" customHeight="1">
      <c r="A31" s="13"/>
      <c r="B31" s="56" t="s">
        <v>568</v>
      </c>
      <c r="C31" s="47">
        <f>IFERROR(__xludf.DUMMYFUNCTION("""COMPUTED_VALUE"""),152180.0)</f>
        <v>152180</v>
      </c>
      <c r="D31" s="31" t="s">
        <v>8</v>
      </c>
      <c r="E31" s="32"/>
      <c r="F31" s="32"/>
      <c r="G31" s="57" t="s">
        <v>569</v>
      </c>
      <c r="H31" s="33"/>
      <c r="I31" s="13"/>
      <c r="J31" s="34"/>
      <c r="K31" s="46"/>
      <c r="L31" s="36"/>
      <c r="M31" s="34"/>
      <c r="N31" s="37"/>
      <c r="O31" s="38"/>
      <c r="P31" s="39"/>
      <c r="Q31" s="40"/>
      <c r="R31" s="41"/>
      <c r="S31" s="42"/>
      <c r="T31" s="42"/>
      <c r="U31" s="34"/>
      <c r="V31" s="34"/>
      <c r="W31" s="13"/>
    </row>
    <row r="32" ht="18.75" customHeight="1">
      <c r="A32" s="13"/>
      <c r="B32" s="56" t="s">
        <v>570</v>
      </c>
      <c r="C32" s="47">
        <f>IFERROR(__xludf.DUMMYFUNCTION("""COMPUTED_VALUE"""),2446833.0)</f>
        <v>2446833</v>
      </c>
      <c r="D32" s="31" t="s">
        <v>9</v>
      </c>
      <c r="E32" s="32"/>
      <c r="F32" s="32"/>
      <c r="G32" s="57" t="s">
        <v>571</v>
      </c>
      <c r="H32" s="33"/>
      <c r="I32" s="13"/>
      <c r="J32" s="34"/>
      <c r="K32" s="46"/>
      <c r="L32" s="36"/>
      <c r="M32" s="34"/>
      <c r="N32" s="37"/>
      <c r="O32" s="38"/>
      <c r="P32" s="39"/>
      <c r="Q32" s="40"/>
      <c r="R32" s="41"/>
      <c r="S32" s="42"/>
      <c r="T32" s="42"/>
      <c r="U32" s="34"/>
      <c r="V32" s="34"/>
      <c r="W32" s="13"/>
    </row>
    <row r="33" ht="18.75" customHeight="1">
      <c r="A33" s="13"/>
      <c r="B33" s="56" t="s">
        <v>572</v>
      </c>
      <c r="C33" s="47">
        <f>IFERROR(__xludf.DUMMYFUNCTION("""COMPUTED_VALUE"""),2942900.0)</f>
        <v>2942900</v>
      </c>
      <c r="D33" s="31" t="s">
        <v>10</v>
      </c>
      <c r="E33" s="32"/>
      <c r="F33" s="32"/>
      <c r="G33" s="57" t="s">
        <v>573</v>
      </c>
      <c r="H33" s="33"/>
      <c r="I33" s="13"/>
      <c r="J33" s="34"/>
      <c r="K33" s="46"/>
      <c r="L33" s="36"/>
      <c r="M33" s="34"/>
      <c r="N33" s="37"/>
      <c r="O33" s="38"/>
      <c r="P33" s="39"/>
      <c r="Q33" s="40"/>
      <c r="R33" s="41"/>
      <c r="S33" s="42"/>
      <c r="T33" s="42"/>
      <c r="U33" s="34"/>
      <c r="V33" s="34"/>
      <c r="W33" s="13"/>
    </row>
    <row r="34" ht="18.75" customHeight="1">
      <c r="A34" s="13"/>
      <c r="B34" s="56" t="s">
        <v>574</v>
      </c>
      <c r="C34" s="47">
        <f>IFERROR(__xludf.DUMMYFUNCTION("""COMPUTED_VALUE"""),4133990.0)</f>
        <v>4133990</v>
      </c>
      <c r="D34" s="31" t="s">
        <v>10</v>
      </c>
      <c r="E34" s="32"/>
      <c r="F34" s="32"/>
      <c r="G34" s="57" t="s">
        <v>575</v>
      </c>
      <c r="H34" s="33"/>
      <c r="I34" s="13"/>
      <c r="J34" s="34"/>
      <c r="K34" s="46"/>
      <c r="L34" s="36"/>
      <c r="M34" s="34"/>
      <c r="N34" s="37"/>
      <c r="O34" s="38"/>
      <c r="P34" s="39"/>
      <c r="Q34" s="40"/>
      <c r="R34" s="41"/>
      <c r="S34" s="42"/>
      <c r="T34" s="42"/>
      <c r="U34" s="34"/>
      <c r="V34" s="34"/>
      <c r="W34" s="13"/>
    </row>
    <row r="35" ht="18.75" customHeight="1">
      <c r="A35" s="13"/>
      <c r="B35" s="56" t="s">
        <v>576</v>
      </c>
      <c r="C35" s="47">
        <f>IFERROR(__xludf.DUMMYFUNCTION("""COMPUTED_VALUE"""),2758832.0)</f>
        <v>2758832</v>
      </c>
      <c r="D35" s="31" t="s">
        <v>10</v>
      </c>
      <c r="E35" s="32"/>
      <c r="F35" s="32"/>
      <c r="G35" s="57" t="s">
        <v>577</v>
      </c>
      <c r="H35" s="33"/>
      <c r="I35" s="13"/>
      <c r="J35" s="34"/>
      <c r="K35" s="46"/>
      <c r="L35" s="36"/>
      <c r="M35" s="34"/>
      <c r="N35" s="37"/>
      <c r="O35" s="38"/>
      <c r="P35" s="39"/>
      <c r="Q35" s="40"/>
      <c r="R35" s="41"/>
      <c r="S35" s="42"/>
      <c r="T35" s="42"/>
      <c r="U35" s="34"/>
      <c r="V35" s="34"/>
      <c r="W35" s="13"/>
    </row>
    <row r="36" ht="18.75" customHeight="1">
      <c r="A36" s="13"/>
      <c r="B36" s="56" t="s">
        <v>578</v>
      </c>
      <c r="C36" s="47">
        <f>IFERROR(__xludf.DUMMYFUNCTION("""COMPUTED_VALUE"""),1738876.0)</f>
        <v>1738876</v>
      </c>
      <c r="D36" s="31" t="s">
        <v>8</v>
      </c>
      <c r="E36" s="32"/>
      <c r="F36" s="32"/>
      <c r="G36" s="57" t="s">
        <v>579</v>
      </c>
      <c r="H36" s="51" t="s">
        <v>452</v>
      </c>
      <c r="I36" s="13"/>
      <c r="J36" s="34"/>
      <c r="K36" s="46"/>
      <c r="L36" s="36"/>
      <c r="M36" s="34"/>
      <c r="N36" s="37"/>
      <c r="O36" s="38"/>
      <c r="P36" s="39"/>
      <c r="Q36" s="40"/>
      <c r="R36" s="41"/>
      <c r="S36" s="42"/>
      <c r="T36" s="42"/>
      <c r="U36" s="34"/>
      <c r="V36" s="34"/>
      <c r="W36" s="13"/>
    </row>
    <row r="37" ht="18.75" customHeight="1">
      <c r="A37" s="13"/>
      <c r="B37" s="56" t="s">
        <v>580</v>
      </c>
      <c r="C37" s="47">
        <f>IFERROR(__xludf.DUMMYFUNCTION("""COMPUTED_VALUE"""),28366.0)</f>
        <v>28366</v>
      </c>
      <c r="D37" s="31" t="s">
        <v>11</v>
      </c>
      <c r="E37" s="32"/>
      <c r="F37" s="32"/>
      <c r="G37" s="57" t="s">
        <v>552</v>
      </c>
      <c r="H37" s="33"/>
      <c r="I37" s="13"/>
      <c r="J37" s="34"/>
      <c r="K37" s="46"/>
      <c r="L37" s="36"/>
      <c r="M37" s="34"/>
      <c r="N37" s="37"/>
      <c r="O37" s="38"/>
      <c r="P37" s="39"/>
      <c r="Q37" s="40"/>
      <c r="R37" s="41"/>
      <c r="S37" s="42"/>
      <c r="T37" s="42"/>
      <c r="U37" s="34"/>
      <c r="V37" s="34"/>
      <c r="W37" s="13"/>
    </row>
    <row r="38" ht="18.75" customHeight="1">
      <c r="A38" s="13"/>
      <c r="B38" s="56" t="s">
        <v>581</v>
      </c>
      <c r="C38" s="47">
        <f>IFERROR(__xludf.DUMMYFUNCTION("""COMPUTED_VALUE"""),3350322.0)</f>
        <v>3350322</v>
      </c>
      <c r="D38" s="31" t="s">
        <v>8</v>
      </c>
      <c r="E38" s="32"/>
      <c r="F38" s="32"/>
      <c r="G38" s="57" t="s">
        <v>582</v>
      </c>
      <c r="H38" s="33"/>
      <c r="I38" s="13"/>
      <c r="J38" s="34"/>
      <c r="K38" s="46"/>
      <c r="L38" s="36"/>
      <c r="M38" s="34"/>
      <c r="N38" s="37"/>
      <c r="O38" s="38"/>
      <c r="P38" s="39"/>
      <c r="Q38" s="40"/>
      <c r="R38" s="41"/>
      <c r="S38" s="42"/>
      <c r="T38" s="42"/>
      <c r="U38" s="34"/>
      <c r="V38" s="34"/>
      <c r="W38" s="13"/>
    </row>
    <row r="39" ht="18.75" customHeight="1">
      <c r="A39" s="13"/>
      <c r="B39" s="56" t="s">
        <v>583</v>
      </c>
      <c r="C39" s="47">
        <f>IFERROR(__xludf.DUMMYFUNCTION("""COMPUTED_VALUE"""),3309941.0)</f>
        <v>3309941</v>
      </c>
      <c r="D39" s="31" t="s">
        <v>8</v>
      </c>
      <c r="E39" s="32"/>
      <c r="F39" s="32"/>
      <c r="G39" s="57" t="s">
        <v>584</v>
      </c>
      <c r="H39" s="51" t="s">
        <v>585</v>
      </c>
      <c r="I39" s="13"/>
      <c r="J39" s="34"/>
      <c r="K39" s="46"/>
      <c r="L39" s="36"/>
      <c r="M39" s="34"/>
      <c r="N39" s="37"/>
      <c r="O39" s="38"/>
      <c r="P39" s="39"/>
      <c r="Q39" s="40"/>
      <c r="R39" s="41"/>
      <c r="S39" s="42"/>
      <c r="T39" s="42"/>
      <c r="U39" s="34"/>
      <c r="V39" s="34"/>
      <c r="W39" s="13"/>
    </row>
    <row r="40" ht="18.75" customHeight="1">
      <c r="A40" s="13"/>
      <c r="B40" s="56" t="s">
        <v>586</v>
      </c>
      <c r="C40" s="47">
        <f>IFERROR(__xludf.DUMMYFUNCTION("""COMPUTED_VALUE"""),2388648.0)</f>
        <v>2388648</v>
      </c>
      <c r="D40" s="31" t="s">
        <v>10</v>
      </c>
      <c r="E40" s="32"/>
      <c r="F40" s="32"/>
      <c r="G40" s="57" t="s">
        <v>541</v>
      </c>
      <c r="H40" s="33"/>
      <c r="I40" s="13"/>
      <c r="J40" s="34"/>
      <c r="K40" s="46"/>
      <c r="L40" s="36"/>
      <c r="M40" s="34"/>
      <c r="N40" s="37"/>
      <c r="O40" s="38"/>
      <c r="P40" s="39"/>
      <c r="Q40" s="40"/>
      <c r="R40" s="41"/>
      <c r="S40" s="42"/>
      <c r="T40" s="42"/>
      <c r="U40" s="34"/>
      <c r="V40" s="34"/>
      <c r="W40" s="13"/>
    </row>
    <row r="41" ht="18.75" customHeight="1">
      <c r="A41" s="13"/>
      <c r="B41" s="56" t="s">
        <v>587</v>
      </c>
      <c r="C41" s="47">
        <f>IFERROR(__xludf.DUMMYFUNCTION("""COMPUTED_VALUE"""),722224.0)</f>
        <v>722224</v>
      </c>
      <c r="D41" s="31" t="s">
        <v>14</v>
      </c>
      <c r="E41" s="32"/>
      <c r="F41" s="32"/>
      <c r="G41" s="57" t="s">
        <v>588</v>
      </c>
      <c r="H41" s="33"/>
      <c r="I41" s="13"/>
      <c r="J41" s="34"/>
      <c r="K41" s="46"/>
      <c r="L41" s="36"/>
      <c r="M41" s="34"/>
      <c r="N41" s="37"/>
      <c r="O41" s="38"/>
      <c r="P41" s="39"/>
      <c r="Q41" s="40"/>
      <c r="R41" s="41"/>
      <c r="S41" s="42"/>
      <c r="T41" s="42"/>
      <c r="U41" s="34"/>
      <c r="V41" s="34"/>
      <c r="W41" s="13"/>
    </row>
    <row r="42" ht="18.75" customHeight="1">
      <c r="A42" s="13"/>
      <c r="B42" s="56" t="s">
        <v>589</v>
      </c>
      <c r="C42" s="47">
        <f>IFERROR(__xludf.DUMMYFUNCTION("""COMPUTED_VALUE"""),3187491.0)</f>
        <v>3187491</v>
      </c>
      <c r="D42" s="31" t="s">
        <v>7</v>
      </c>
      <c r="E42" s="32"/>
      <c r="F42" s="32"/>
      <c r="G42" s="57" t="s">
        <v>506</v>
      </c>
      <c r="H42" s="33"/>
      <c r="I42" s="13"/>
      <c r="J42" s="34"/>
      <c r="K42" s="46"/>
      <c r="L42" s="36"/>
      <c r="M42" s="34"/>
      <c r="N42" s="37"/>
      <c r="O42" s="38"/>
      <c r="P42" s="39"/>
      <c r="Q42" s="40"/>
      <c r="R42" s="41"/>
      <c r="S42" s="42"/>
      <c r="T42" s="42"/>
      <c r="U42" s="34"/>
      <c r="V42" s="34"/>
      <c r="W42" s="13"/>
    </row>
    <row r="43" ht="18.75" customHeight="1">
      <c r="A43" s="13"/>
      <c r="B43" s="56" t="s">
        <v>489</v>
      </c>
      <c r="C43" s="47">
        <f>IFERROR(__xludf.DUMMYFUNCTION("""COMPUTED_VALUE"""),105978.0)</f>
        <v>105978</v>
      </c>
      <c r="D43" s="31" t="s">
        <v>8</v>
      </c>
      <c r="E43" s="32"/>
      <c r="F43" s="32"/>
      <c r="G43" s="57" t="s">
        <v>380</v>
      </c>
      <c r="H43" s="33"/>
      <c r="I43" s="13"/>
      <c r="J43" s="34"/>
      <c r="K43" s="46"/>
      <c r="L43" s="36"/>
      <c r="M43" s="34"/>
      <c r="N43" s="37"/>
      <c r="O43" s="38"/>
      <c r="P43" s="39"/>
      <c r="Q43" s="40"/>
      <c r="R43" s="41"/>
      <c r="S43" s="42"/>
      <c r="T43" s="42"/>
      <c r="U43" s="34"/>
      <c r="V43" s="34"/>
      <c r="W43" s="13"/>
    </row>
    <row r="44" ht="18.75" customHeight="1">
      <c r="A44" s="13"/>
      <c r="B44" s="56" t="s">
        <v>590</v>
      </c>
      <c r="C44" s="47">
        <f>IFERROR(__xludf.DUMMYFUNCTION("""COMPUTED_VALUE"""),86079.0)</f>
        <v>86079</v>
      </c>
      <c r="D44" s="32"/>
      <c r="E44" s="32"/>
      <c r="F44" s="32"/>
      <c r="G44" s="57" t="s">
        <v>591</v>
      </c>
      <c r="H44" s="33"/>
      <c r="I44" s="13"/>
      <c r="J44" s="34"/>
      <c r="K44" s="46"/>
      <c r="L44" s="36"/>
      <c r="M44" s="34"/>
      <c r="N44" s="37"/>
      <c r="O44" s="38"/>
      <c r="P44" s="39"/>
      <c r="Q44" s="40"/>
      <c r="R44" s="41"/>
      <c r="S44" s="42"/>
      <c r="T44" s="42"/>
      <c r="U44" s="34"/>
      <c r="V44" s="34"/>
      <c r="W44" s="13"/>
    </row>
    <row r="45" ht="18.75" customHeight="1">
      <c r="A45" s="13"/>
      <c r="B45" s="56" t="s">
        <v>477</v>
      </c>
      <c r="C45" s="47">
        <f>IFERROR(__xludf.DUMMYFUNCTION("""COMPUTED_VALUE"""),2277128.0)</f>
        <v>2277128</v>
      </c>
      <c r="D45" s="31" t="s">
        <v>8</v>
      </c>
      <c r="E45" s="32"/>
      <c r="F45" s="32"/>
      <c r="G45" s="57" t="s">
        <v>478</v>
      </c>
      <c r="H45" s="33"/>
      <c r="I45" s="13"/>
      <c r="J45" s="34"/>
      <c r="K45" s="46"/>
      <c r="L45" s="36"/>
      <c r="M45" s="34"/>
      <c r="N45" s="37"/>
      <c r="O45" s="38"/>
      <c r="P45" s="39"/>
      <c r="Q45" s="40"/>
      <c r="R45" s="41"/>
      <c r="S45" s="42"/>
      <c r="T45" s="42"/>
      <c r="U45" s="34"/>
      <c r="V45" s="34"/>
      <c r="W45" s="13"/>
    </row>
    <row r="46" ht="18.75" customHeight="1">
      <c r="A46" s="13"/>
      <c r="B46" s="56" t="s">
        <v>592</v>
      </c>
      <c r="C46" s="47">
        <f>IFERROR(__xludf.DUMMYFUNCTION("""COMPUTED_VALUE"""),1717844.0)</f>
        <v>1717844</v>
      </c>
      <c r="D46" s="31" t="s">
        <v>7</v>
      </c>
      <c r="E46" s="31" t="s">
        <v>35</v>
      </c>
      <c r="F46" s="32"/>
      <c r="G46" s="57" t="s">
        <v>593</v>
      </c>
      <c r="H46" s="33"/>
      <c r="I46" s="13"/>
      <c r="J46" s="34"/>
      <c r="K46" s="46"/>
      <c r="L46" s="36"/>
      <c r="M46" s="34"/>
      <c r="N46" s="37"/>
      <c r="O46" s="38"/>
      <c r="P46" s="39"/>
      <c r="Q46" s="40"/>
      <c r="R46" s="41"/>
      <c r="S46" s="42"/>
      <c r="T46" s="42"/>
      <c r="U46" s="34"/>
      <c r="V46" s="34"/>
      <c r="W46" s="13"/>
    </row>
    <row r="47" ht="18.75" customHeight="1">
      <c r="A47" s="13"/>
      <c r="B47" s="56" t="s">
        <v>594</v>
      </c>
      <c r="C47" s="47">
        <f>IFERROR(__xludf.DUMMYFUNCTION("""COMPUTED_VALUE"""),1248147.0)</f>
        <v>1248147</v>
      </c>
      <c r="D47" s="31" t="s">
        <v>14</v>
      </c>
      <c r="E47" s="31" t="s">
        <v>35</v>
      </c>
      <c r="F47" s="32"/>
      <c r="G47" s="57" t="s">
        <v>556</v>
      </c>
      <c r="H47" s="33"/>
      <c r="I47" s="13"/>
      <c r="J47" s="34"/>
      <c r="K47" s="46"/>
      <c r="L47" s="36"/>
      <c r="M47" s="34"/>
      <c r="N47" s="37"/>
      <c r="O47" s="38"/>
      <c r="P47" s="39"/>
      <c r="Q47" s="40"/>
      <c r="R47" s="41"/>
      <c r="S47" s="42"/>
      <c r="T47" s="42"/>
      <c r="U47" s="34"/>
      <c r="V47" s="34"/>
      <c r="W47" s="13"/>
    </row>
    <row r="48" ht="18.75" customHeight="1">
      <c r="A48" s="13"/>
      <c r="B48" s="48"/>
      <c r="C48" s="47"/>
      <c r="D48" s="32"/>
      <c r="E48" s="32"/>
      <c r="F48" s="32"/>
      <c r="G48" s="33"/>
      <c r="H48" s="33"/>
      <c r="I48" s="13"/>
      <c r="J48" s="34"/>
      <c r="K48" s="46"/>
      <c r="L48" s="36"/>
      <c r="M48" s="34"/>
      <c r="N48" s="37"/>
      <c r="O48" s="38"/>
      <c r="P48" s="39"/>
      <c r="Q48" s="40"/>
      <c r="R48" s="41"/>
      <c r="S48" s="42"/>
      <c r="T48" s="42"/>
      <c r="U48" s="34"/>
      <c r="V48" s="34"/>
      <c r="W48" s="13"/>
    </row>
    <row r="49" ht="18.75" customHeight="1">
      <c r="A49" s="13"/>
      <c r="B49" s="48"/>
      <c r="C49" s="47"/>
      <c r="D49" s="32"/>
      <c r="E49" s="32"/>
      <c r="F49" s="32"/>
      <c r="G49" s="33"/>
      <c r="H49" s="33"/>
      <c r="I49" s="13"/>
      <c r="J49" s="34"/>
      <c r="K49" s="46"/>
      <c r="L49" s="36"/>
      <c r="M49" s="34"/>
      <c r="N49" s="37"/>
      <c r="O49" s="38"/>
      <c r="P49" s="39"/>
      <c r="Q49" s="40"/>
      <c r="R49" s="41"/>
      <c r="S49" s="42"/>
      <c r="T49" s="42"/>
      <c r="U49" s="34"/>
      <c r="V49" s="34"/>
      <c r="W49" s="13"/>
    </row>
    <row r="50" ht="18.75" customHeight="1">
      <c r="A50" s="13"/>
      <c r="B50" s="48"/>
      <c r="C50" s="47"/>
      <c r="D50" s="32"/>
      <c r="E50" s="32"/>
      <c r="F50" s="32"/>
      <c r="G50" s="33"/>
      <c r="H50" s="33"/>
      <c r="I50" s="13"/>
      <c r="J50" s="34"/>
      <c r="K50" s="46"/>
      <c r="L50" s="36"/>
      <c r="M50" s="34"/>
      <c r="N50" s="37"/>
      <c r="O50" s="38"/>
      <c r="P50" s="39"/>
      <c r="Q50" s="40"/>
      <c r="R50" s="41"/>
      <c r="S50" s="42"/>
      <c r="T50" s="42"/>
      <c r="U50" s="34"/>
      <c r="V50" s="34"/>
      <c r="W50" s="13"/>
    </row>
    <row r="51" ht="18.75" customHeight="1">
      <c r="A51" s="13"/>
      <c r="B51" s="48"/>
      <c r="C51" s="47"/>
      <c r="D51" s="32"/>
      <c r="E51" s="32"/>
      <c r="F51" s="32"/>
      <c r="G51" s="33"/>
      <c r="H51" s="33"/>
      <c r="I51" s="13"/>
      <c r="J51" s="34"/>
      <c r="K51" s="46"/>
      <c r="L51" s="36"/>
      <c r="M51" s="34"/>
      <c r="N51" s="37"/>
      <c r="O51" s="38"/>
      <c r="P51" s="39"/>
      <c r="Q51" s="40"/>
      <c r="R51" s="41"/>
      <c r="S51" s="42"/>
      <c r="T51" s="42"/>
      <c r="U51" s="34"/>
      <c r="V51" s="34"/>
      <c r="W51" s="13"/>
    </row>
    <row r="52" ht="18.75" customHeight="1">
      <c r="A52" s="13"/>
      <c r="B52" s="48"/>
      <c r="C52" s="47"/>
      <c r="D52" s="32"/>
      <c r="E52" s="32"/>
      <c r="F52" s="32"/>
      <c r="G52" s="33"/>
      <c r="H52" s="33"/>
      <c r="I52" s="13"/>
      <c r="J52" s="34"/>
      <c r="K52" s="46"/>
      <c r="L52" s="36"/>
      <c r="M52" s="34"/>
      <c r="N52" s="37"/>
      <c r="O52" s="38"/>
      <c r="P52" s="39"/>
      <c r="Q52" s="40"/>
      <c r="R52" s="41"/>
      <c r="S52" s="42"/>
      <c r="T52" s="42"/>
      <c r="U52" s="34"/>
      <c r="V52" s="34"/>
      <c r="W52" s="13"/>
    </row>
    <row r="53" ht="18.75" customHeight="1">
      <c r="A53" s="13"/>
      <c r="B53" s="48"/>
      <c r="C53" s="47"/>
      <c r="D53" s="32"/>
      <c r="E53" s="32"/>
      <c r="F53" s="32"/>
      <c r="G53" s="33"/>
      <c r="H53" s="33"/>
      <c r="I53" s="13"/>
      <c r="J53" s="34"/>
      <c r="K53" s="46"/>
      <c r="L53" s="36"/>
      <c r="M53" s="34"/>
      <c r="N53" s="37"/>
      <c r="O53" s="38"/>
      <c r="P53" s="39"/>
      <c r="Q53" s="40"/>
      <c r="R53" s="41"/>
      <c r="S53" s="42"/>
      <c r="T53" s="42"/>
      <c r="U53" s="34"/>
      <c r="V53" s="34"/>
      <c r="W53" s="13"/>
    </row>
    <row r="54" ht="18.75" customHeight="1">
      <c r="A54" s="13"/>
      <c r="B54" s="48"/>
      <c r="C54" s="47"/>
      <c r="D54" s="32"/>
      <c r="E54" s="32"/>
      <c r="F54" s="32"/>
      <c r="G54" s="33"/>
      <c r="H54" s="33"/>
      <c r="I54" s="13"/>
      <c r="J54" s="34"/>
      <c r="K54" s="46"/>
      <c r="L54" s="36"/>
      <c r="M54" s="34"/>
      <c r="N54" s="37"/>
      <c r="O54" s="38"/>
      <c r="P54" s="39"/>
      <c r="Q54" s="40"/>
      <c r="R54" s="41"/>
      <c r="S54" s="42"/>
      <c r="T54" s="42"/>
      <c r="U54" s="34"/>
      <c r="V54" s="34"/>
      <c r="W54" s="13"/>
    </row>
    <row r="55" ht="18.75" customHeight="1">
      <c r="A55" s="13"/>
      <c r="B55" s="48"/>
      <c r="C55" s="47"/>
      <c r="D55" s="32"/>
      <c r="E55" s="32"/>
      <c r="F55" s="32"/>
      <c r="G55" s="33"/>
      <c r="H55" s="33"/>
      <c r="I55" s="13"/>
      <c r="J55" s="34"/>
      <c r="K55" s="46"/>
      <c r="L55" s="36"/>
      <c r="M55" s="34"/>
      <c r="N55" s="37"/>
      <c r="O55" s="38"/>
      <c r="P55" s="39"/>
      <c r="Q55" s="40"/>
      <c r="R55" s="41"/>
      <c r="S55" s="42"/>
      <c r="T55" s="42"/>
      <c r="U55" s="34"/>
      <c r="V55" s="34"/>
      <c r="W55" s="13"/>
    </row>
    <row r="56" ht="18.75" customHeight="1">
      <c r="A56" s="13"/>
      <c r="B56" s="48"/>
      <c r="C56" s="47"/>
      <c r="D56" s="32"/>
      <c r="E56" s="32"/>
      <c r="F56" s="32"/>
      <c r="G56" s="33"/>
      <c r="H56" s="33"/>
      <c r="I56" s="13"/>
      <c r="J56" s="34"/>
      <c r="K56" s="46"/>
      <c r="L56" s="36"/>
      <c r="M56" s="34"/>
      <c r="N56" s="37"/>
      <c r="O56" s="38"/>
      <c r="P56" s="39"/>
      <c r="Q56" s="40"/>
      <c r="R56" s="41"/>
      <c r="S56" s="42"/>
      <c r="T56" s="42"/>
      <c r="U56" s="34"/>
      <c r="V56" s="34"/>
      <c r="W56" s="13"/>
    </row>
    <row r="57" ht="18.75" customHeight="1">
      <c r="A57" s="13"/>
      <c r="B57" s="48"/>
      <c r="C57" s="47"/>
      <c r="D57" s="32"/>
      <c r="E57" s="32"/>
      <c r="F57" s="32"/>
      <c r="G57" s="33"/>
      <c r="H57" s="33"/>
      <c r="I57" s="13"/>
      <c r="J57" s="34"/>
      <c r="K57" s="46"/>
      <c r="L57" s="36"/>
      <c r="M57" s="34"/>
      <c r="N57" s="37"/>
      <c r="O57" s="38"/>
      <c r="P57" s="39"/>
      <c r="Q57" s="40"/>
      <c r="R57" s="41"/>
      <c r="S57" s="42"/>
      <c r="T57" s="42"/>
      <c r="U57" s="34"/>
      <c r="V57" s="34"/>
      <c r="W57" s="13"/>
    </row>
    <row r="58" ht="18.75" customHeight="1">
      <c r="A58" s="13"/>
      <c r="B58" s="48"/>
      <c r="C58" s="47"/>
      <c r="D58" s="32"/>
      <c r="E58" s="32"/>
      <c r="F58" s="32"/>
      <c r="G58" s="33"/>
      <c r="H58" s="33"/>
      <c r="I58" s="13"/>
      <c r="J58" s="34"/>
      <c r="K58" s="46"/>
      <c r="L58" s="36"/>
      <c r="M58" s="34"/>
      <c r="N58" s="37"/>
      <c r="O58" s="38"/>
      <c r="P58" s="39"/>
      <c r="Q58" s="40"/>
      <c r="R58" s="41"/>
      <c r="S58" s="42"/>
      <c r="T58" s="42"/>
      <c r="U58" s="34"/>
      <c r="V58" s="34"/>
      <c r="W58" s="13"/>
    </row>
    <row r="59" ht="18.75" customHeight="1">
      <c r="A59" s="13"/>
      <c r="B59" s="48"/>
      <c r="C59" s="47"/>
      <c r="D59" s="32"/>
      <c r="E59" s="32"/>
      <c r="F59" s="32"/>
      <c r="G59" s="33"/>
      <c r="H59" s="33"/>
      <c r="I59" s="13"/>
      <c r="J59" s="34"/>
      <c r="K59" s="46"/>
      <c r="L59" s="36"/>
      <c r="M59" s="34"/>
      <c r="N59" s="37"/>
      <c r="O59" s="38"/>
      <c r="P59" s="39"/>
      <c r="Q59" s="40"/>
      <c r="R59" s="41"/>
      <c r="S59" s="42"/>
      <c r="T59" s="42"/>
      <c r="U59" s="34"/>
      <c r="V59" s="34"/>
      <c r="W59" s="13"/>
    </row>
    <row r="60" ht="18.75" customHeight="1">
      <c r="A60" s="13"/>
      <c r="B60" s="48"/>
      <c r="C60" s="47"/>
      <c r="D60" s="32"/>
      <c r="E60" s="32"/>
      <c r="F60" s="32"/>
      <c r="G60" s="33"/>
      <c r="H60" s="33"/>
      <c r="I60" s="13"/>
      <c r="J60" s="34"/>
      <c r="K60" s="46"/>
      <c r="L60" s="36"/>
      <c r="M60" s="34"/>
      <c r="N60" s="37"/>
      <c r="O60" s="38"/>
      <c r="P60" s="39"/>
      <c r="Q60" s="40"/>
      <c r="R60" s="41"/>
      <c r="S60" s="42"/>
      <c r="T60" s="42"/>
      <c r="U60" s="34"/>
      <c r="V60" s="34"/>
      <c r="W60" s="13"/>
    </row>
    <row r="61" ht="18.75" customHeight="1">
      <c r="A61" s="13"/>
      <c r="B61" s="48"/>
      <c r="C61" s="47"/>
      <c r="D61" s="32"/>
      <c r="E61" s="32"/>
      <c r="F61" s="32"/>
      <c r="G61" s="33"/>
      <c r="H61" s="33"/>
      <c r="I61" s="13"/>
      <c r="J61" s="34"/>
      <c r="K61" s="46"/>
      <c r="L61" s="36"/>
      <c r="M61" s="34"/>
      <c r="N61" s="37"/>
      <c r="O61" s="38"/>
      <c r="P61" s="39"/>
      <c r="Q61" s="40"/>
      <c r="R61" s="41"/>
      <c r="S61" s="42"/>
      <c r="T61" s="42"/>
      <c r="U61" s="34"/>
      <c r="V61" s="34"/>
      <c r="W61" s="13"/>
    </row>
    <row r="62" ht="18.75" customHeight="1">
      <c r="A62" s="13"/>
      <c r="B62" s="48"/>
      <c r="C62" s="47"/>
      <c r="D62" s="32"/>
      <c r="E62" s="32"/>
      <c r="F62" s="32"/>
      <c r="G62" s="33"/>
      <c r="H62" s="33"/>
      <c r="I62" s="13"/>
      <c r="J62" s="34"/>
      <c r="K62" s="46"/>
      <c r="L62" s="36"/>
      <c r="M62" s="34"/>
      <c r="N62" s="37"/>
      <c r="O62" s="38"/>
      <c r="P62" s="39"/>
      <c r="Q62" s="40"/>
      <c r="R62" s="41"/>
      <c r="S62" s="42"/>
      <c r="T62" s="42"/>
      <c r="U62" s="34"/>
      <c r="V62" s="34"/>
      <c r="W62" s="13"/>
    </row>
    <row r="63" ht="18.75" customHeight="1">
      <c r="A63" s="13"/>
      <c r="B63" s="48"/>
      <c r="C63" s="47"/>
      <c r="D63" s="32"/>
      <c r="E63" s="32"/>
      <c r="F63" s="32"/>
      <c r="G63" s="33"/>
      <c r="H63" s="33"/>
      <c r="I63" s="13"/>
      <c r="J63" s="34"/>
      <c r="K63" s="46"/>
      <c r="L63" s="36"/>
      <c r="M63" s="34"/>
      <c r="N63" s="37"/>
      <c r="O63" s="38"/>
      <c r="P63" s="39"/>
      <c r="Q63" s="40"/>
      <c r="R63" s="41"/>
      <c r="S63" s="42"/>
      <c r="T63" s="42"/>
      <c r="U63" s="34"/>
      <c r="V63" s="34"/>
      <c r="W63" s="13"/>
    </row>
    <row r="64" ht="18.75" customHeight="1">
      <c r="A64" s="13"/>
      <c r="B64" s="48"/>
      <c r="C64" s="47"/>
      <c r="D64" s="32"/>
      <c r="E64" s="32"/>
      <c r="F64" s="32"/>
      <c r="G64" s="33"/>
      <c r="H64" s="33"/>
      <c r="I64" s="13"/>
      <c r="J64" s="34"/>
      <c r="K64" s="46"/>
      <c r="L64" s="36"/>
      <c r="M64" s="34"/>
      <c r="N64" s="37"/>
      <c r="O64" s="38"/>
      <c r="P64" s="39"/>
      <c r="Q64" s="40"/>
      <c r="R64" s="41"/>
      <c r="S64" s="42"/>
      <c r="T64" s="42"/>
      <c r="U64" s="34"/>
      <c r="V64" s="34"/>
      <c r="W64" s="13"/>
    </row>
    <row r="65" ht="18.75" customHeight="1">
      <c r="A65" s="13"/>
      <c r="B65" s="48"/>
      <c r="C65" s="47"/>
      <c r="D65" s="32"/>
      <c r="E65" s="32"/>
      <c r="F65" s="32"/>
      <c r="G65" s="33"/>
      <c r="H65" s="33"/>
      <c r="I65" s="13"/>
      <c r="J65" s="34"/>
      <c r="K65" s="46"/>
      <c r="L65" s="36"/>
      <c r="M65" s="34"/>
      <c r="N65" s="37"/>
      <c r="O65" s="38"/>
      <c r="P65" s="39"/>
      <c r="Q65" s="40"/>
      <c r="R65" s="41"/>
      <c r="S65" s="42"/>
      <c r="T65" s="42"/>
      <c r="U65" s="34"/>
      <c r="V65" s="34"/>
      <c r="W65" s="13"/>
    </row>
    <row r="66" ht="18.75" customHeight="1">
      <c r="A66" s="13"/>
      <c r="B66" s="48"/>
      <c r="C66" s="47"/>
      <c r="D66" s="32"/>
      <c r="E66" s="32"/>
      <c r="F66" s="32"/>
      <c r="G66" s="33"/>
      <c r="H66" s="33"/>
      <c r="I66" s="13"/>
      <c r="J66" s="34"/>
      <c r="K66" s="46"/>
      <c r="L66" s="36"/>
      <c r="M66" s="34"/>
      <c r="N66" s="37"/>
      <c r="O66" s="38"/>
      <c r="P66" s="39"/>
      <c r="Q66" s="40"/>
      <c r="R66" s="41"/>
      <c r="S66" s="42"/>
      <c r="T66" s="42"/>
      <c r="U66" s="34"/>
      <c r="V66" s="34"/>
      <c r="W66" s="13"/>
    </row>
    <row r="67" ht="18.75" customHeight="1">
      <c r="A67" s="13"/>
      <c r="B67" s="48"/>
      <c r="C67" s="47"/>
      <c r="D67" s="32"/>
      <c r="E67" s="32"/>
      <c r="F67" s="32"/>
      <c r="G67" s="33"/>
      <c r="H67" s="33"/>
      <c r="I67" s="13"/>
      <c r="J67" s="34"/>
      <c r="K67" s="46"/>
      <c r="L67" s="36"/>
      <c r="M67" s="34"/>
      <c r="N67" s="37"/>
      <c r="O67" s="38"/>
      <c r="P67" s="39"/>
      <c r="Q67" s="40"/>
      <c r="R67" s="41"/>
      <c r="S67" s="42"/>
      <c r="T67" s="42"/>
      <c r="U67" s="34"/>
      <c r="V67" s="34"/>
      <c r="W67" s="13"/>
    </row>
    <row r="68" ht="18.75" customHeight="1">
      <c r="A68" s="13"/>
      <c r="B68" s="48"/>
      <c r="C68" s="47"/>
      <c r="D68" s="32"/>
      <c r="E68" s="32"/>
      <c r="F68" s="32"/>
      <c r="G68" s="33"/>
      <c r="H68" s="33"/>
      <c r="I68" s="13"/>
      <c r="J68" s="34"/>
      <c r="K68" s="46"/>
      <c r="L68" s="36"/>
      <c r="M68" s="34"/>
      <c r="N68" s="37"/>
      <c r="O68" s="38"/>
      <c r="P68" s="39"/>
      <c r="Q68" s="40"/>
      <c r="R68" s="41"/>
      <c r="S68" s="42"/>
      <c r="T68" s="42"/>
      <c r="U68" s="34"/>
      <c r="V68" s="34"/>
      <c r="W68" s="13"/>
    </row>
    <row r="69" ht="18.75" customHeight="1">
      <c r="A69" s="13"/>
      <c r="B69" s="48"/>
      <c r="C69" s="47"/>
      <c r="D69" s="32"/>
      <c r="E69" s="32"/>
      <c r="F69" s="32"/>
      <c r="G69" s="33"/>
      <c r="H69" s="33"/>
      <c r="I69" s="13"/>
      <c r="J69" s="34"/>
      <c r="K69" s="46"/>
      <c r="L69" s="36"/>
      <c r="M69" s="34"/>
      <c r="N69" s="37"/>
      <c r="O69" s="38"/>
      <c r="P69" s="39"/>
      <c r="Q69" s="40"/>
      <c r="R69" s="41"/>
      <c r="S69" s="42"/>
      <c r="T69" s="42"/>
      <c r="U69" s="34"/>
      <c r="V69" s="34"/>
      <c r="W69" s="13"/>
    </row>
    <row r="70" ht="18.75" customHeight="1">
      <c r="A70" s="13"/>
      <c r="B70" s="48"/>
      <c r="C70" s="47"/>
      <c r="D70" s="32"/>
      <c r="E70" s="32"/>
      <c r="F70" s="32"/>
      <c r="G70" s="33"/>
      <c r="H70" s="33"/>
      <c r="I70" s="13"/>
      <c r="J70" s="34"/>
      <c r="K70" s="46"/>
      <c r="L70" s="36"/>
      <c r="M70" s="34"/>
      <c r="N70" s="37"/>
      <c r="O70" s="38"/>
      <c r="P70" s="39"/>
      <c r="Q70" s="40"/>
      <c r="R70" s="41"/>
      <c r="S70" s="42"/>
      <c r="T70" s="42"/>
      <c r="U70" s="34"/>
      <c r="V70" s="34"/>
      <c r="W70" s="13"/>
    </row>
    <row r="71" ht="18.75" customHeight="1">
      <c r="A71" s="13"/>
      <c r="B71" s="48"/>
      <c r="C71" s="47"/>
      <c r="D71" s="32"/>
      <c r="E71" s="32"/>
      <c r="F71" s="32"/>
      <c r="G71" s="33"/>
      <c r="H71" s="33"/>
      <c r="I71" s="13"/>
      <c r="J71" s="34"/>
      <c r="K71" s="46"/>
      <c r="L71" s="36"/>
      <c r="M71" s="34"/>
      <c r="N71" s="37"/>
      <c r="O71" s="38"/>
      <c r="P71" s="39"/>
      <c r="Q71" s="40"/>
      <c r="R71" s="41"/>
      <c r="S71" s="42"/>
      <c r="T71" s="42"/>
      <c r="U71" s="34"/>
      <c r="V71" s="34"/>
      <c r="W71" s="13"/>
    </row>
    <row r="72" ht="18.75" customHeight="1">
      <c r="A72" s="13"/>
      <c r="B72" s="48"/>
      <c r="C72" s="47"/>
      <c r="D72" s="32"/>
      <c r="E72" s="32"/>
      <c r="F72" s="32"/>
      <c r="G72" s="33"/>
      <c r="H72" s="33"/>
      <c r="I72" s="13"/>
      <c r="J72" s="34"/>
      <c r="K72" s="46"/>
      <c r="L72" s="36"/>
      <c r="M72" s="34"/>
      <c r="N72" s="37"/>
      <c r="O72" s="38"/>
      <c r="P72" s="39"/>
      <c r="Q72" s="40"/>
      <c r="R72" s="41"/>
      <c r="S72" s="42"/>
      <c r="T72" s="42"/>
      <c r="U72" s="34"/>
      <c r="V72" s="34"/>
      <c r="W72" s="13"/>
    </row>
    <row r="73" ht="18.75" customHeight="1">
      <c r="A73" s="13"/>
      <c r="B73" s="48"/>
      <c r="C73" s="47"/>
      <c r="D73" s="32"/>
      <c r="E73" s="32"/>
      <c r="F73" s="32"/>
      <c r="G73" s="33"/>
      <c r="H73" s="33"/>
      <c r="I73" s="13"/>
      <c r="J73" s="34"/>
      <c r="K73" s="46"/>
      <c r="L73" s="36"/>
      <c r="M73" s="34"/>
      <c r="N73" s="37"/>
      <c r="O73" s="38"/>
      <c r="P73" s="39"/>
      <c r="Q73" s="40"/>
      <c r="R73" s="41"/>
      <c r="S73" s="42"/>
      <c r="T73" s="42"/>
      <c r="U73" s="34"/>
      <c r="V73" s="34"/>
      <c r="W73" s="13"/>
    </row>
    <row r="74" ht="18.75" customHeight="1">
      <c r="A74" s="13"/>
      <c r="B74" s="48"/>
      <c r="C74" s="47"/>
      <c r="D74" s="32"/>
      <c r="E74" s="32"/>
      <c r="F74" s="32"/>
      <c r="G74" s="33"/>
      <c r="H74" s="33"/>
      <c r="I74" s="13"/>
      <c r="J74" s="34"/>
      <c r="K74" s="46"/>
      <c r="L74" s="36"/>
      <c r="M74" s="34"/>
      <c r="N74" s="37"/>
      <c r="O74" s="38"/>
      <c r="P74" s="39"/>
      <c r="Q74" s="40"/>
      <c r="R74" s="41"/>
      <c r="S74" s="42"/>
      <c r="T74" s="42"/>
      <c r="U74" s="34"/>
      <c r="V74" s="34"/>
      <c r="W74" s="13"/>
    </row>
    <row r="75" ht="18.75" customHeight="1">
      <c r="A75" s="13"/>
      <c r="B75" s="48"/>
      <c r="C75" s="47"/>
      <c r="D75" s="32"/>
      <c r="E75" s="32"/>
      <c r="F75" s="32"/>
      <c r="G75" s="33"/>
      <c r="H75" s="33"/>
      <c r="I75" s="13"/>
      <c r="J75" s="34"/>
      <c r="K75" s="46"/>
      <c r="L75" s="36"/>
      <c r="M75" s="34"/>
      <c r="N75" s="37"/>
      <c r="O75" s="38"/>
      <c r="P75" s="39"/>
      <c r="Q75" s="40"/>
      <c r="R75" s="41"/>
      <c r="S75" s="42"/>
      <c r="T75" s="42"/>
      <c r="U75" s="34"/>
      <c r="V75" s="34"/>
      <c r="W75" s="13"/>
    </row>
    <row r="76" ht="18.75" customHeight="1">
      <c r="A76" s="13"/>
      <c r="B76" s="48"/>
      <c r="C76" s="47"/>
      <c r="D76" s="32"/>
      <c r="E76" s="32"/>
      <c r="F76" s="32"/>
      <c r="G76" s="33"/>
      <c r="H76" s="33"/>
      <c r="I76" s="13"/>
      <c r="J76" s="34"/>
      <c r="K76" s="46"/>
      <c r="L76" s="36"/>
      <c r="M76" s="34"/>
      <c r="N76" s="37"/>
      <c r="O76" s="38"/>
      <c r="P76" s="39"/>
      <c r="Q76" s="40"/>
      <c r="R76" s="41"/>
      <c r="S76" s="42"/>
      <c r="T76" s="42"/>
      <c r="U76" s="34"/>
      <c r="V76" s="34"/>
      <c r="W76" s="13"/>
    </row>
    <row r="77" ht="18.75" customHeight="1">
      <c r="A77" s="13"/>
      <c r="B77" s="48"/>
      <c r="C77" s="47"/>
      <c r="D77" s="32"/>
      <c r="E77" s="32"/>
      <c r="F77" s="32"/>
      <c r="G77" s="33"/>
      <c r="H77" s="33"/>
      <c r="I77" s="13"/>
      <c r="J77" s="34"/>
      <c r="K77" s="46"/>
      <c r="L77" s="36"/>
      <c r="M77" s="34"/>
      <c r="N77" s="37"/>
      <c r="O77" s="38"/>
      <c r="P77" s="39"/>
      <c r="Q77" s="40"/>
      <c r="R77" s="41"/>
      <c r="S77" s="42"/>
      <c r="T77" s="42"/>
      <c r="U77" s="34"/>
      <c r="V77" s="34"/>
      <c r="W77" s="13"/>
    </row>
    <row r="78" ht="18.75" customHeight="1">
      <c r="A78" s="13"/>
      <c r="B78" s="48"/>
      <c r="C78" s="47"/>
      <c r="D78" s="32"/>
      <c r="E78" s="32"/>
      <c r="F78" s="32"/>
      <c r="G78" s="33"/>
      <c r="H78" s="33"/>
      <c r="I78" s="13"/>
      <c r="J78" s="34"/>
      <c r="K78" s="46"/>
      <c r="L78" s="36"/>
      <c r="M78" s="34"/>
      <c r="N78" s="37"/>
      <c r="O78" s="38"/>
      <c r="P78" s="39"/>
      <c r="Q78" s="40"/>
      <c r="R78" s="41"/>
      <c r="S78" s="42"/>
      <c r="T78" s="42"/>
      <c r="U78" s="34"/>
      <c r="V78" s="34"/>
      <c r="W78" s="13"/>
    </row>
    <row r="79" ht="18.75" customHeight="1">
      <c r="A79" s="13"/>
      <c r="B79" s="48"/>
      <c r="C79" s="47"/>
      <c r="D79" s="32"/>
      <c r="E79" s="32"/>
      <c r="F79" s="32"/>
      <c r="G79" s="33"/>
      <c r="H79" s="33"/>
      <c r="I79" s="13"/>
      <c r="J79" s="34"/>
      <c r="K79" s="46"/>
      <c r="L79" s="36"/>
      <c r="M79" s="34"/>
      <c r="N79" s="37"/>
      <c r="O79" s="38"/>
      <c r="P79" s="39"/>
      <c r="Q79" s="40"/>
      <c r="R79" s="41"/>
      <c r="S79" s="42"/>
      <c r="T79" s="42"/>
      <c r="U79" s="34"/>
      <c r="V79" s="34"/>
      <c r="W79" s="13"/>
    </row>
    <row r="80" ht="18.75" customHeight="1">
      <c r="A80" s="13"/>
      <c r="B80" s="48"/>
      <c r="C80" s="47"/>
      <c r="D80" s="32"/>
      <c r="E80" s="32"/>
      <c r="F80" s="32"/>
      <c r="G80" s="33"/>
      <c r="H80" s="33"/>
      <c r="I80" s="13"/>
      <c r="J80" s="34"/>
      <c r="K80" s="46"/>
      <c r="L80" s="36"/>
      <c r="M80" s="34"/>
      <c r="N80" s="37"/>
      <c r="O80" s="38"/>
      <c r="P80" s="39"/>
      <c r="Q80" s="40"/>
      <c r="R80" s="41"/>
      <c r="S80" s="42"/>
      <c r="T80" s="42"/>
      <c r="U80" s="34"/>
      <c r="V80" s="34"/>
      <c r="W80" s="13"/>
    </row>
    <row r="81" ht="18.75" customHeight="1">
      <c r="A81" s="13"/>
      <c r="B81" s="48"/>
      <c r="C81" s="47"/>
      <c r="D81" s="32"/>
      <c r="E81" s="32"/>
      <c r="F81" s="32"/>
      <c r="G81" s="33"/>
      <c r="H81" s="33"/>
      <c r="I81" s="13"/>
      <c r="J81" s="34"/>
      <c r="K81" s="46"/>
      <c r="L81" s="36"/>
      <c r="M81" s="34"/>
      <c r="N81" s="37"/>
      <c r="O81" s="38"/>
      <c r="P81" s="39"/>
      <c r="Q81" s="40"/>
      <c r="R81" s="41"/>
      <c r="S81" s="42"/>
      <c r="T81" s="42"/>
      <c r="U81" s="34"/>
      <c r="V81" s="34"/>
      <c r="W81" s="13"/>
    </row>
    <row r="82" ht="18.75" customHeight="1">
      <c r="A82" s="13"/>
      <c r="B82" s="48"/>
      <c r="C82" s="47"/>
      <c r="D82" s="32"/>
      <c r="E82" s="32"/>
      <c r="F82" s="32"/>
      <c r="G82" s="33"/>
      <c r="H82" s="33"/>
      <c r="I82" s="13"/>
      <c r="J82" s="34"/>
      <c r="K82" s="46"/>
      <c r="L82" s="36"/>
      <c r="M82" s="34"/>
      <c r="N82" s="37"/>
      <c r="O82" s="38"/>
      <c r="P82" s="39"/>
      <c r="Q82" s="40"/>
      <c r="R82" s="41"/>
      <c r="S82" s="42"/>
      <c r="T82" s="42"/>
      <c r="U82" s="34"/>
      <c r="V82" s="34"/>
      <c r="W82" s="13"/>
    </row>
    <row r="83" ht="18.75" customHeight="1">
      <c r="A83" s="13"/>
      <c r="B83" s="48"/>
      <c r="C83" s="47"/>
      <c r="D83" s="32"/>
      <c r="E83" s="32"/>
      <c r="F83" s="32"/>
      <c r="G83" s="33"/>
      <c r="H83" s="33"/>
      <c r="I83" s="13"/>
      <c r="J83" s="34"/>
      <c r="K83" s="46"/>
      <c r="L83" s="36"/>
      <c r="M83" s="34"/>
      <c r="N83" s="37"/>
      <c r="O83" s="38"/>
      <c r="P83" s="39"/>
      <c r="Q83" s="40"/>
      <c r="R83" s="41"/>
      <c r="S83" s="42"/>
      <c r="T83" s="42"/>
      <c r="U83" s="34"/>
      <c r="V83" s="34"/>
      <c r="W83" s="13"/>
    </row>
    <row r="84" ht="18.75" customHeight="1">
      <c r="A84" s="13"/>
      <c r="B84" s="48"/>
      <c r="C84" s="47"/>
      <c r="D84" s="32"/>
      <c r="E84" s="32"/>
      <c r="F84" s="32"/>
      <c r="G84" s="33"/>
      <c r="H84" s="33"/>
      <c r="I84" s="13"/>
      <c r="J84" s="34"/>
      <c r="K84" s="46"/>
      <c r="L84" s="36"/>
      <c r="M84" s="34"/>
      <c r="N84" s="37"/>
      <c r="O84" s="38"/>
      <c r="P84" s="39"/>
      <c r="Q84" s="40"/>
      <c r="R84" s="41"/>
      <c r="S84" s="42"/>
      <c r="T84" s="42"/>
      <c r="U84" s="34"/>
      <c r="V84" s="34"/>
      <c r="W84" s="13"/>
    </row>
    <row r="85" ht="18.75" customHeight="1">
      <c r="A85" s="13"/>
      <c r="B85" s="48"/>
      <c r="C85" s="47"/>
      <c r="D85" s="32"/>
      <c r="E85" s="32"/>
      <c r="F85" s="32"/>
      <c r="G85" s="33"/>
      <c r="H85" s="33"/>
      <c r="I85" s="13"/>
      <c r="J85" s="34"/>
      <c r="K85" s="46"/>
      <c r="L85" s="36"/>
      <c r="M85" s="34"/>
      <c r="N85" s="37"/>
      <c r="O85" s="38"/>
      <c r="P85" s="39"/>
      <c r="Q85" s="40"/>
      <c r="R85" s="41"/>
      <c r="S85" s="42"/>
      <c r="T85" s="42"/>
      <c r="U85" s="34"/>
      <c r="V85" s="34"/>
      <c r="W85" s="13"/>
    </row>
    <row r="86" ht="18.75" customHeight="1">
      <c r="A86" s="13"/>
      <c r="B86" s="48"/>
      <c r="C86" s="47"/>
      <c r="D86" s="32"/>
      <c r="E86" s="32"/>
      <c r="F86" s="32"/>
      <c r="G86" s="33"/>
      <c r="H86" s="33"/>
      <c r="I86" s="13"/>
      <c r="J86" s="34"/>
      <c r="K86" s="46"/>
      <c r="L86" s="36"/>
      <c r="M86" s="34"/>
      <c r="N86" s="37"/>
      <c r="O86" s="38"/>
      <c r="P86" s="39"/>
      <c r="Q86" s="40"/>
      <c r="R86" s="41"/>
      <c r="S86" s="42"/>
      <c r="T86" s="42"/>
      <c r="U86" s="34"/>
      <c r="V86" s="34"/>
      <c r="W86" s="13"/>
    </row>
    <row r="87" ht="18.75" customHeight="1">
      <c r="A87" s="13"/>
      <c r="B87" s="48"/>
      <c r="C87" s="47"/>
      <c r="D87" s="32"/>
      <c r="E87" s="32"/>
      <c r="F87" s="32"/>
      <c r="G87" s="33"/>
      <c r="H87" s="33"/>
      <c r="I87" s="13"/>
      <c r="J87" s="34"/>
      <c r="K87" s="46"/>
      <c r="L87" s="36"/>
      <c r="M87" s="34"/>
      <c r="N87" s="37"/>
      <c r="O87" s="38"/>
      <c r="P87" s="39"/>
      <c r="Q87" s="40"/>
      <c r="R87" s="41"/>
      <c r="S87" s="42"/>
      <c r="T87" s="42"/>
      <c r="U87" s="34"/>
      <c r="V87" s="34"/>
      <c r="W87" s="13"/>
    </row>
    <row r="88" ht="18.75" customHeight="1">
      <c r="A88" s="13"/>
      <c r="B88" s="48"/>
      <c r="C88" s="47"/>
      <c r="D88" s="32"/>
      <c r="E88" s="32"/>
      <c r="F88" s="32"/>
      <c r="G88" s="33"/>
      <c r="H88" s="33"/>
      <c r="I88" s="13"/>
      <c r="J88" s="34"/>
      <c r="K88" s="46"/>
      <c r="L88" s="36"/>
      <c r="M88" s="34"/>
      <c r="N88" s="37"/>
      <c r="O88" s="38"/>
      <c r="P88" s="39"/>
      <c r="Q88" s="40"/>
      <c r="R88" s="41"/>
      <c r="S88" s="42"/>
      <c r="T88" s="42"/>
      <c r="U88" s="34"/>
      <c r="V88" s="34"/>
      <c r="W88" s="13"/>
    </row>
    <row r="89" ht="18.75" customHeight="1">
      <c r="A89" s="13"/>
      <c r="B89" s="48"/>
      <c r="C89" s="47"/>
      <c r="D89" s="32"/>
      <c r="E89" s="32"/>
      <c r="F89" s="32"/>
      <c r="G89" s="33"/>
      <c r="H89" s="33"/>
      <c r="I89" s="13"/>
      <c r="J89" s="34"/>
      <c r="K89" s="46"/>
      <c r="L89" s="36"/>
      <c r="M89" s="34"/>
      <c r="N89" s="37"/>
      <c r="O89" s="38"/>
      <c r="P89" s="39"/>
      <c r="Q89" s="40"/>
      <c r="R89" s="41"/>
      <c r="S89" s="42"/>
      <c r="T89" s="42"/>
      <c r="U89" s="34"/>
      <c r="V89" s="34"/>
      <c r="W89" s="13"/>
    </row>
    <row r="90" ht="18.75" customHeight="1">
      <c r="A90" s="13"/>
      <c r="B90" s="48"/>
      <c r="C90" s="47"/>
      <c r="D90" s="32"/>
      <c r="E90" s="32"/>
      <c r="F90" s="32"/>
      <c r="G90" s="33"/>
      <c r="H90" s="33"/>
      <c r="I90" s="13"/>
      <c r="J90" s="34"/>
      <c r="K90" s="46"/>
      <c r="L90" s="36"/>
      <c r="M90" s="34"/>
      <c r="N90" s="37"/>
      <c r="O90" s="38"/>
      <c r="P90" s="39"/>
      <c r="Q90" s="40"/>
      <c r="R90" s="41"/>
      <c r="S90" s="42"/>
      <c r="T90" s="42"/>
      <c r="U90" s="34"/>
      <c r="V90" s="34"/>
      <c r="W90" s="13"/>
    </row>
    <row r="91" ht="18.75" customHeight="1">
      <c r="A91" s="13"/>
      <c r="B91" s="48"/>
      <c r="C91" s="47"/>
      <c r="D91" s="32"/>
      <c r="E91" s="32"/>
      <c r="F91" s="32"/>
      <c r="G91" s="33"/>
      <c r="H91" s="33"/>
      <c r="I91" s="13"/>
      <c r="J91" s="34"/>
      <c r="K91" s="46"/>
      <c r="L91" s="36"/>
      <c r="M91" s="34"/>
      <c r="N91" s="37"/>
      <c r="O91" s="38"/>
      <c r="P91" s="39"/>
      <c r="Q91" s="40"/>
      <c r="R91" s="41"/>
      <c r="S91" s="42"/>
      <c r="T91" s="42"/>
      <c r="U91" s="34"/>
      <c r="V91" s="34"/>
      <c r="W91" s="13"/>
    </row>
    <row r="92" ht="18.75" customHeight="1">
      <c r="A92" s="13"/>
      <c r="B92" s="48"/>
      <c r="C92" s="47"/>
      <c r="D92" s="32"/>
      <c r="E92" s="32"/>
      <c r="F92" s="32"/>
      <c r="G92" s="33"/>
      <c r="H92" s="33"/>
      <c r="I92" s="13"/>
      <c r="J92" s="34"/>
      <c r="K92" s="46"/>
      <c r="L92" s="36"/>
      <c r="M92" s="34"/>
      <c r="N92" s="37"/>
      <c r="O92" s="38"/>
      <c r="P92" s="39"/>
      <c r="Q92" s="40"/>
      <c r="R92" s="41"/>
      <c r="S92" s="42"/>
      <c r="T92" s="42"/>
      <c r="U92" s="34"/>
      <c r="V92" s="34"/>
      <c r="W92" s="13"/>
    </row>
    <row r="93" ht="18.75" customHeight="1">
      <c r="A93" s="13"/>
      <c r="B93" s="48"/>
      <c r="C93" s="47"/>
      <c r="D93" s="32"/>
      <c r="E93" s="32"/>
      <c r="F93" s="32"/>
      <c r="G93" s="33"/>
      <c r="H93" s="33"/>
      <c r="I93" s="13"/>
      <c r="J93" s="34"/>
      <c r="K93" s="46"/>
      <c r="L93" s="36"/>
      <c r="M93" s="34"/>
      <c r="N93" s="37"/>
      <c r="O93" s="38"/>
      <c r="P93" s="39"/>
      <c r="Q93" s="40"/>
      <c r="R93" s="41"/>
      <c r="S93" s="42"/>
      <c r="T93" s="42"/>
      <c r="U93" s="34"/>
      <c r="V93" s="34"/>
      <c r="W93" s="13"/>
    </row>
    <row r="94" ht="18.75" customHeight="1">
      <c r="A94" s="13"/>
      <c r="B94" s="48"/>
      <c r="C94" s="47"/>
      <c r="D94" s="32"/>
      <c r="E94" s="32"/>
      <c r="F94" s="32"/>
      <c r="G94" s="33"/>
      <c r="H94" s="33"/>
      <c r="I94" s="13"/>
      <c r="J94" s="34"/>
      <c r="K94" s="46"/>
      <c r="L94" s="36"/>
      <c r="M94" s="34"/>
      <c r="N94" s="37"/>
      <c r="O94" s="38"/>
      <c r="P94" s="39"/>
      <c r="Q94" s="40"/>
      <c r="R94" s="41"/>
      <c r="S94" s="42"/>
      <c r="T94" s="42"/>
      <c r="U94" s="34"/>
      <c r="V94" s="34"/>
      <c r="W94" s="13"/>
    </row>
    <row r="95" ht="18.75" customHeight="1">
      <c r="A95" s="13"/>
      <c r="B95" s="48"/>
      <c r="C95" s="47"/>
      <c r="D95" s="32"/>
      <c r="E95" s="32"/>
      <c r="F95" s="32"/>
      <c r="G95" s="33"/>
      <c r="H95" s="33"/>
      <c r="I95" s="13"/>
      <c r="J95" s="34"/>
      <c r="K95" s="46"/>
      <c r="L95" s="36"/>
      <c r="M95" s="34"/>
      <c r="N95" s="37"/>
      <c r="O95" s="38"/>
      <c r="P95" s="39"/>
      <c r="Q95" s="40"/>
      <c r="R95" s="41"/>
      <c r="S95" s="42"/>
      <c r="T95" s="42"/>
      <c r="U95" s="34"/>
      <c r="V95" s="34"/>
      <c r="W95" s="13"/>
    </row>
    <row r="96" ht="18.75" customHeight="1">
      <c r="A96" s="13"/>
      <c r="B96" s="48"/>
      <c r="C96" s="47"/>
      <c r="D96" s="32"/>
      <c r="E96" s="32"/>
      <c r="F96" s="32"/>
      <c r="G96" s="33"/>
      <c r="H96" s="33"/>
      <c r="I96" s="13"/>
      <c r="J96" s="34"/>
      <c r="K96" s="46"/>
      <c r="L96" s="36"/>
      <c r="M96" s="34"/>
      <c r="N96" s="37"/>
      <c r="O96" s="38"/>
      <c r="P96" s="39"/>
      <c r="Q96" s="40"/>
      <c r="R96" s="41"/>
      <c r="S96" s="42"/>
      <c r="T96" s="42"/>
      <c r="U96" s="34"/>
      <c r="V96" s="34"/>
      <c r="W96" s="13"/>
    </row>
    <row r="97" ht="18.75" customHeight="1">
      <c r="A97" s="13"/>
      <c r="B97" s="48"/>
      <c r="C97" s="47"/>
      <c r="D97" s="32"/>
      <c r="E97" s="32"/>
      <c r="F97" s="32"/>
      <c r="G97" s="33"/>
      <c r="H97" s="33"/>
      <c r="I97" s="13"/>
      <c r="J97" s="34"/>
      <c r="K97" s="46"/>
      <c r="L97" s="36"/>
      <c r="M97" s="34"/>
      <c r="N97" s="37"/>
      <c r="O97" s="38"/>
      <c r="P97" s="39"/>
      <c r="Q97" s="40"/>
      <c r="R97" s="41"/>
      <c r="S97" s="42"/>
      <c r="T97" s="42"/>
      <c r="U97" s="34"/>
      <c r="V97" s="34"/>
      <c r="W97" s="13"/>
    </row>
    <row r="98" ht="18.75" customHeight="1">
      <c r="A98" s="13"/>
      <c r="B98" s="48"/>
      <c r="C98" s="47"/>
      <c r="D98" s="32"/>
      <c r="E98" s="32"/>
      <c r="F98" s="32"/>
      <c r="G98" s="33"/>
      <c r="H98" s="33"/>
      <c r="I98" s="13"/>
      <c r="J98" s="34"/>
      <c r="K98" s="46"/>
      <c r="L98" s="36"/>
      <c r="M98" s="34"/>
      <c r="N98" s="37"/>
      <c r="O98" s="38"/>
      <c r="P98" s="39"/>
      <c r="Q98" s="40"/>
      <c r="R98" s="41"/>
      <c r="S98" s="42"/>
      <c r="T98" s="42"/>
      <c r="U98" s="34"/>
      <c r="V98" s="34"/>
      <c r="W98" s="13"/>
    </row>
    <row r="99" ht="18.75" customHeight="1">
      <c r="A99" s="13"/>
      <c r="B99" s="48"/>
      <c r="C99" s="47"/>
      <c r="D99" s="32"/>
      <c r="E99" s="32"/>
      <c r="F99" s="32"/>
      <c r="G99" s="33"/>
      <c r="H99" s="33"/>
      <c r="I99" s="13"/>
      <c r="J99" s="34"/>
      <c r="K99" s="46"/>
      <c r="L99" s="36"/>
      <c r="M99" s="34"/>
      <c r="N99" s="37"/>
      <c r="O99" s="38"/>
      <c r="P99" s="39"/>
      <c r="Q99" s="40"/>
      <c r="R99" s="41"/>
      <c r="S99" s="42"/>
      <c r="T99" s="42"/>
      <c r="U99" s="34"/>
      <c r="V99" s="34"/>
      <c r="W99" s="13"/>
    </row>
    <row r="100" ht="18.75" customHeight="1">
      <c r="A100" s="13"/>
      <c r="B100" s="48"/>
      <c r="C100" s="47"/>
      <c r="D100" s="32"/>
      <c r="E100" s="32"/>
      <c r="F100" s="32"/>
      <c r="G100" s="33"/>
      <c r="H100" s="33"/>
      <c r="I100" s="13"/>
      <c r="J100" s="34"/>
      <c r="K100" s="46"/>
      <c r="L100" s="36"/>
      <c r="M100" s="34"/>
      <c r="N100" s="37"/>
      <c r="O100" s="38"/>
      <c r="P100" s="39"/>
      <c r="Q100" s="40"/>
      <c r="R100" s="41"/>
      <c r="S100" s="42"/>
      <c r="T100" s="42"/>
      <c r="U100" s="34"/>
      <c r="V100" s="34"/>
      <c r="W100" s="13"/>
    </row>
    <row r="101" ht="18.75" customHeight="1">
      <c r="A101" s="13"/>
      <c r="B101" s="48"/>
      <c r="C101" s="47"/>
      <c r="D101" s="32"/>
      <c r="E101" s="32"/>
      <c r="F101" s="32"/>
      <c r="G101" s="33"/>
      <c r="H101" s="33"/>
      <c r="I101" s="13"/>
      <c r="J101" s="34"/>
      <c r="K101" s="46"/>
      <c r="L101" s="36"/>
      <c r="M101" s="34"/>
      <c r="N101" s="37"/>
      <c r="O101" s="38"/>
      <c r="P101" s="39"/>
      <c r="Q101" s="40"/>
      <c r="R101" s="41"/>
      <c r="S101" s="42"/>
      <c r="T101" s="42"/>
      <c r="U101" s="34"/>
      <c r="V101" s="34"/>
      <c r="W101" s="13"/>
    </row>
    <row r="102" ht="18.75" customHeight="1">
      <c r="A102" s="13"/>
      <c r="B102" s="48"/>
      <c r="C102" s="47"/>
      <c r="D102" s="32"/>
      <c r="E102" s="32"/>
      <c r="F102" s="32"/>
      <c r="G102" s="33"/>
      <c r="H102" s="33"/>
      <c r="I102" s="13"/>
      <c r="J102" s="34"/>
      <c r="K102" s="46"/>
      <c r="L102" s="36"/>
      <c r="M102" s="34"/>
      <c r="N102" s="37"/>
      <c r="O102" s="38"/>
      <c r="P102" s="39"/>
      <c r="Q102" s="40"/>
      <c r="R102" s="41"/>
      <c r="S102" s="42"/>
      <c r="T102" s="42"/>
      <c r="U102" s="34"/>
      <c r="V102" s="34"/>
      <c r="W102" s="13"/>
    </row>
    <row r="103" ht="18.75" customHeight="1">
      <c r="A103" s="13"/>
      <c r="B103" s="48"/>
      <c r="C103" s="47"/>
      <c r="D103" s="32"/>
      <c r="E103" s="32"/>
      <c r="F103" s="32"/>
      <c r="G103" s="33"/>
      <c r="H103" s="33"/>
      <c r="I103" s="13"/>
      <c r="J103" s="34"/>
      <c r="K103" s="46"/>
      <c r="L103" s="36"/>
      <c r="M103" s="34"/>
      <c r="N103" s="37"/>
      <c r="O103" s="38"/>
      <c r="P103" s="39"/>
      <c r="Q103" s="40"/>
      <c r="R103" s="41"/>
      <c r="S103" s="42"/>
      <c r="T103" s="42"/>
      <c r="U103" s="34"/>
      <c r="V103" s="34"/>
      <c r="W103" s="13"/>
    </row>
    <row r="104" ht="18.75" customHeight="1">
      <c r="A104" s="13"/>
      <c r="B104" s="48"/>
      <c r="C104" s="47"/>
      <c r="D104" s="32"/>
      <c r="E104" s="32"/>
      <c r="F104" s="32"/>
      <c r="G104" s="33"/>
      <c r="H104" s="33"/>
      <c r="I104" s="13"/>
      <c r="J104" s="34"/>
      <c r="K104" s="46"/>
      <c r="L104" s="36"/>
      <c r="M104" s="34"/>
      <c r="N104" s="37"/>
      <c r="O104" s="38"/>
      <c r="P104" s="39"/>
      <c r="Q104" s="40"/>
      <c r="R104" s="41"/>
      <c r="S104" s="42"/>
      <c r="T104" s="42"/>
      <c r="U104" s="34"/>
      <c r="V104" s="34"/>
      <c r="W104" s="13"/>
    </row>
  </sheetData>
  <mergeCells count="4">
    <mergeCell ref="B3:H3"/>
    <mergeCell ref="J3:V3"/>
    <mergeCell ref="F4:G4"/>
    <mergeCell ref="M4:N4"/>
  </mergeCells>
  <conditionalFormatting sqref="L5:L104">
    <cfRule type="expression" dxfId="0" priority="1">
      <formula>LEFT($L5,2)="NM"</formula>
    </cfRule>
  </conditionalFormatting>
  <conditionalFormatting sqref="L5:L104">
    <cfRule type="expression" dxfId="1" priority="2">
      <formula>LEFT($L5,2)="HD"</formula>
    </cfRule>
  </conditionalFormatting>
  <conditionalFormatting sqref="L5:L104">
    <cfRule type="expression" dxfId="2" priority="3">
      <formula>LEFT($L5,2)="HR"</formula>
    </cfRule>
  </conditionalFormatting>
  <conditionalFormatting sqref="L5:L104">
    <cfRule type="expression" dxfId="3" priority="4">
      <formula>LEFT($L5,2)="DT"</formula>
    </cfRule>
  </conditionalFormatting>
  <conditionalFormatting sqref="L5:L104">
    <cfRule type="expression" dxfId="4" priority="5">
      <formula>LEFT($L5,2)="FM"</formula>
    </cfRule>
  </conditionalFormatting>
  <conditionalFormatting sqref="L5:L104">
    <cfRule type="expression" dxfId="5" priority="6">
      <formula>LEFT($L5,2)="TB"</formula>
    </cfRule>
  </conditionalFormatting>
  <conditionalFormatting sqref="L5:L104">
    <cfRule type="expression" dxfId="6" priority="7">
      <formula>LEFT($L5,2)="EZ"</formula>
    </cfRule>
  </conditionalFormatting>
  <conditionalFormatting sqref="L5:L104">
    <cfRule type="expression" dxfId="7" priority="8">
      <formula>LEFT($L5,2)="HT"</formula>
    </cfRule>
  </conditionalFormatting>
  <conditionalFormatting sqref="J5:V104">
    <cfRule type="expression" dxfId="8" priority="9">
      <formula>LEFT($L5,2)&lt;&gt;""</formula>
    </cfRule>
  </conditionalFormatting>
  <conditionalFormatting sqref="B5:H104 K5:K22 J19">
    <cfRule type="expression" dxfId="2" priority="10">
      <formula>COUNTIF($C$5:$C$104,$C5)&gt;1</formula>
    </cfRule>
  </conditionalFormatting>
  <conditionalFormatting sqref="B5:H104 K5:K22 J19">
    <cfRule type="expression" dxfId="9" priority="11">
      <formula>COUNTIF($K$5:$K104,$C5)=1</formula>
    </cfRule>
  </conditionalFormatting>
  <dataValidations>
    <dataValidation type="list" allowBlank="1" sqref="B2">
      <formula1>Settings!$E$3:$E$12</formula1>
    </dataValidation>
    <dataValidation type="list" allowBlank="1" showDropDown="1" sqref="J19:K19 K23:K104">
      <formula1>'_api'!$A$3:$A$1007</formula1>
    </dataValidation>
    <dataValidation type="list" allowBlank="1" sqref="D5:D104">
      <formula1>Settings!$I$2:$P$2</formula1>
    </dataValidation>
    <dataValidation type="list" allowBlank="1" sqref="E5:E104">
      <formula1>Settings!$B$3:$B$12</formula1>
    </dataValidation>
  </dataValidations>
  <hyperlinks>
    <hyperlink r:id="rId2" location="osu/1405094" ref="B5"/>
    <hyperlink r:id="rId3" location="osu/3841174" ref="B6"/>
    <hyperlink r:id="rId4" location="osu/3841174" ref="G6"/>
    <hyperlink r:id="rId5" location="osu/3656173" ref="N6"/>
    <hyperlink r:id="rId6" location="osu/703042" ref="B7"/>
    <hyperlink r:id="rId7" location="osu/703042" ref="G7"/>
    <hyperlink r:id="rId8" location="osu/2715749" ref="N7"/>
    <hyperlink r:id="rId9" location="osu/2514122" ref="G8"/>
    <hyperlink r:id="rId10" location="osu/3291796" ref="N8"/>
    <hyperlink r:id="rId11" location="osu/3399446" ref="B9"/>
    <hyperlink r:id="rId12" location="osu/3399446" ref="G9"/>
    <hyperlink r:id="rId13" location="osu/3187491" ref="N9"/>
    <hyperlink r:id="rId14" location="osu/2383229" ref="B10"/>
    <hyperlink r:id="rId15" location="osu/2383229" ref="G10"/>
    <hyperlink r:id="rId16" location="osu/3990086" ref="N10"/>
    <hyperlink r:id="rId17" location="osu/1972425" ref="B11"/>
    <hyperlink r:id="rId18" location="osu/1972425" ref="G11"/>
    <hyperlink r:id="rId19" location="osu/1972425" ref="N11"/>
    <hyperlink r:id="rId20" location="osu/3291796" ref="B12"/>
    <hyperlink r:id="rId21" location="osu/3291796" ref="G12"/>
    <hyperlink r:id="rId22" location="osu/2277128" ref="N12"/>
    <hyperlink r:id="rId23" location="osu/3656173" ref="B13"/>
    <hyperlink r:id="rId24" location="osu/3656173" ref="G13"/>
    <hyperlink r:id="rId25" location="osu/2044890" ref="N13"/>
    <hyperlink r:id="rId26" location="osu/2992124" ref="B14"/>
    <hyperlink r:id="rId27" location="osu/2992124" ref="G14"/>
    <hyperlink r:id="rId28" location="osu/3454421" ref="N14"/>
    <hyperlink r:id="rId29" location="osu/3986899" ref="B15"/>
    <hyperlink r:id="rId30" location="osu/3986899" ref="G15"/>
    <hyperlink r:id="rId31" location="osu/2917786" ref="N15"/>
    <hyperlink r:id="rId32" location="osu/2200110" ref="B16"/>
    <hyperlink r:id="rId33" location="osu/2200110" ref="G16"/>
    <hyperlink r:id="rId34" location="osu/1405094" ref="N16"/>
    <hyperlink r:id="rId35" location="osu/3990086" ref="B17"/>
    <hyperlink r:id="rId36" location="osu/3990086" ref="G17"/>
    <hyperlink r:id="rId37" location="osu/1592512" ref="N17"/>
    <hyperlink r:id="rId38" location="osu/2666261" ref="B18"/>
    <hyperlink r:id="rId39" location="osu/2666261" ref="G18"/>
    <hyperlink r:id="rId40" location="osu/2388648" ref="N18"/>
    <hyperlink r:id="rId41" location="osu/87369" ref="B19"/>
    <hyperlink r:id="rId42" location="osu/87369" ref="G19"/>
    <hyperlink r:id="rId43" location="osu/3819183" ref="N19"/>
    <hyperlink r:id="rId44" location="osu/667685" ref="B20"/>
    <hyperlink r:id="rId45" location="osu/667685" ref="G20"/>
    <hyperlink r:id="rId46" location="osu/2514122" ref="N20"/>
    <hyperlink r:id="rId47" location="osu/1782851" ref="B21"/>
    <hyperlink r:id="rId48" location="osu/1782851" ref="G21"/>
    <hyperlink r:id="rId49" location="osu/28366" ref="N21"/>
    <hyperlink r:id="rId50" location="osu/1592512" ref="B22"/>
    <hyperlink r:id="rId51" location="osu/1592512" ref="G22"/>
    <hyperlink r:id="rId52" location="osu/1248147" ref="N22"/>
    <hyperlink r:id="rId53" location="osu/3819183" ref="B23"/>
    <hyperlink r:id="rId54" location="osu/3819183" ref="G23"/>
    <hyperlink r:id="rId55" location="osu/2643263" ref="B24"/>
    <hyperlink r:id="rId56" location="osu/2643263" ref="G24"/>
    <hyperlink r:id="rId57" location="osu/1403845" ref="B25"/>
    <hyperlink r:id="rId58" location="osu/1403845" ref="G25"/>
    <hyperlink r:id="rId59" location="osu/2872861" ref="B26"/>
    <hyperlink r:id="rId60" location="osu/2872861" ref="G26"/>
    <hyperlink r:id="rId61" location="osu/2917786" ref="B27"/>
    <hyperlink r:id="rId62" location="osu/2917786" ref="G27"/>
    <hyperlink r:id="rId63" location="osu/2715749" ref="B28"/>
    <hyperlink r:id="rId64" location="osu/2715749" ref="G28"/>
    <hyperlink r:id="rId65" location="osu/2044890" ref="B29"/>
    <hyperlink r:id="rId66" location="osu/2044890" ref="G29"/>
    <hyperlink r:id="rId67" location="osu/3454421" ref="B30"/>
    <hyperlink r:id="rId68" location="osu/3454421" ref="G30"/>
    <hyperlink r:id="rId69" location="osu/152180" ref="B31"/>
    <hyperlink r:id="rId70" location="osu/152180" ref="G31"/>
    <hyperlink r:id="rId71" location="osu/2446833" ref="B32"/>
    <hyperlink r:id="rId72" location="osu/2446833" ref="G32"/>
    <hyperlink r:id="rId73" location="osu/2942900" ref="B33"/>
    <hyperlink r:id="rId74" location="osu/2942900" ref="G33"/>
    <hyperlink r:id="rId75" location="osu/4133990" ref="B34"/>
    <hyperlink r:id="rId76" location="osu/4133990" ref="G34"/>
    <hyperlink r:id="rId77" location="osu/2758832" ref="B35"/>
    <hyperlink r:id="rId78" location="osu/2758832" ref="G35"/>
    <hyperlink r:id="rId79" location="osu/1738876" ref="B36"/>
    <hyperlink r:id="rId80" location="osu/1738876" ref="G36"/>
    <hyperlink r:id="rId81" location="osu/28366" ref="B37"/>
    <hyperlink r:id="rId82" location="osu/28366" ref="G37"/>
    <hyperlink r:id="rId83" location="osu/3350322" ref="B38"/>
    <hyperlink r:id="rId84" location="osu/3350322" ref="G38"/>
    <hyperlink r:id="rId85" location="osu/3309941" ref="B39"/>
    <hyperlink r:id="rId86" location="osu/3309941" ref="G39"/>
    <hyperlink r:id="rId87" location="osu/2388648" ref="B40"/>
    <hyperlink r:id="rId88" location="osu/2388648" ref="G40"/>
    <hyperlink r:id="rId89" location="osu/722224" ref="B41"/>
    <hyperlink r:id="rId90" location="osu/722224" ref="G41"/>
    <hyperlink r:id="rId91" location="osu/3187491" ref="B42"/>
    <hyperlink r:id="rId92" location="osu/3187491" ref="G42"/>
    <hyperlink r:id="rId93" location="osu/105978" ref="B43"/>
    <hyperlink r:id="rId94" location="osu/105978" ref="G43"/>
    <hyperlink r:id="rId95" location="osu/86079" ref="B44"/>
    <hyperlink r:id="rId96" location="osu/86079" ref="G44"/>
    <hyperlink r:id="rId97" location="osu/2277128" ref="B45"/>
    <hyperlink r:id="rId98" location="osu/2277128" ref="G45"/>
    <hyperlink r:id="rId99" location="osu/1717844" ref="B46"/>
    <hyperlink r:id="rId100" location="osu/1717844" ref="G46"/>
    <hyperlink r:id="rId101" location="osu/1248147" ref="B47"/>
    <hyperlink r:id="rId102" location="osu/1248147" ref="G47"/>
  </hyperlinks>
  <drawing r:id="rId103"/>
  <legacyDrawing r:id="rId10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37.63"/>
    <col customWidth="1" min="3" max="3" width="12.63"/>
    <col customWidth="1" min="4" max="4" width="9.5"/>
    <col customWidth="1" min="6" max="6" width="11.13"/>
    <col customWidth="1" min="7" max="8" width="25.13"/>
    <col customWidth="1" min="9" max="9" width="3.25"/>
    <col customWidth="1" min="12" max="12" width="5.13"/>
    <col customWidth="1" min="13" max="13" width="11.13"/>
    <col customWidth="1" min="14" max="14" width="31.38"/>
    <col customWidth="1" min="15" max="20" width="6.38" outlineLevel="1"/>
    <col min="21" max="22" width="12.63" outlineLevel="1"/>
    <col customWidth="1" min="23" max="23" width="3.25"/>
  </cols>
  <sheetData>
    <row r="1" ht="18.75" customHeight="1">
      <c r="A1" s="13"/>
      <c r="B1" s="13"/>
      <c r="C1" s="13"/>
      <c r="D1" s="13"/>
      <c r="E1" s="13"/>
      <c r="F1" s="13"/>
      <c r="G1" s="13"/>
      <c r="H1" s="13"/>
      <c r="I1" s="13"/>
      <c r="J1" s="13"/>
      <c r="K1" s="13"/>
      <c r="L1" s="13"/>
      <c r="M1" s="13"/>
      <c r="N1" s="13"/>
      <c r="O1" s="13"/>
      <c r="P1" s="13"/>
      <c r="Q1" s="13"/>
      <c r="R1" s="13"/>
      <c r="S1" s="13"/>
      <c r="T1" s="13"/>
      <c r="U1" s="13"/>
      <c r="V1" s="13"/>
      <c r="W1" s="13"/>
    </row>
    <row r="2" ht="18.75" customHeight="1">
      <c r="A2" s="13"/>
      <c r="B2" s="14" t="s">
        <v>36</v>
      </c>
      <c r="C2" s="15" t="s">
        <v>5</v>
      </c>
      <c r="D2" s="16">
        <f>IFERROR(VLOOKUP(B2,Settings!E3:H12,3,0),"")</f>
        <v>13</v>
      </c>
      <c r="E2" s="17" t="s">
        <v>6</v>
      </c>
      <c r="F2" s="18">
        <f>IFERROR(VLOOKUP(B2,Settings!E3:H12,4,0),"")</f>
        <v>2</v>
      </c>
      <c r="G2" s="13"/>
      <c r="H2" s="13"/>
      <c r="I2" s="13"/>
      <c r="J2" s="13"/>
      <c r="K2" s="13"/>
      <c r="L2" s="13"/>
      <c r="M2" s="13"/>
      <c r="N2" s="13"/>
      <c r="O2" s="13"/>
      <c r="P2" s="13"/>
      <c r="Q2" s="13"/>
      <c r="R2" s="13"/>
      <c r="S2" s="13"/>
      <c r="T2" s="13"/>
      <c r="U2" s="13"/>
      <c r="V2" s="13"/>
      <c r="W2" s="13"/>
    </row>
    <row r="3" ht="26.25" customHeight="1">
      <c r="A3" s="13"/>
      <c r="B3" s="19" t="s">
        <v>44</v>
      </c>
      <c r="C3" s="20"/>
      <c r="D3" s="20"/>
      <c r="E3" s="20"/>
      <c r="F3" s="20"/>
      <c r="G3" s="20"/>
      <c r="H3" s="20"/>
      <c r="I3" s="13"/>
      <c r="J3" s="19" t="s">
        <v>45</v>
      </c>
      <c r="K3" s="20"/>
      <c r="L3" s="20"/>
      <c r="M3" s="20"/>
      <c r="N3" s="20"/>
      <c r="O3" s="20"/>
      <c r="P3" s="20"/>
      <c r="Q3" s="20"/>
      <c r="R3" s="20"/>
      <c r="S3" s="20"/>
      <c r="T3" s="20"/>
      <c r="U3" s="20"/>
      <c r="V3" s="20"/>
      <c r="W3" s="13"/>
    </row>
    <row r="4" ht="18.75" customHeight="1">
      <c r="A4" s="13"/>
      <c r="B4" s="21" t="s">
        <v>46</v>
      </c>
      <c r="C4" s="21" t="s">
        <v>47</v>
      </c>
      <c r="D4" s="21" t="s">
        <v>48</v>
      </c>
      <c r="E4" s="21" t="s">
        <v>49</v>
      </c>
      <c r="F4" s="21" t="s">
        <v>50</v>
      </c>
      <c r="G4" s="22"/>
      <c r="H4" s="21" t="s">
        <v>51</v>
      </c>
      <c r="I4" s="13"/>
      <c r="J4" s="21" t="s">
        <v>52</v>
      </c>
      <c r="K4" s="21" t="s">
        <v>47</v>
      </c>
      <c r="L4" s="23" t="s">
        <v>48</v>
      </c>
      <c r="M4" s="21" t="s">
        <v>50</v>
      </c>
      <c r="N4" s="22"/>
      <c r="O4" s="24" t="s">
        <v>53</v>
      </c>
      <c r="P4" s="25" t="s">
        <v>54</v>
      </c>
      <c r="Q4" s="26" t="s">
        <v>55</v>
      </c>
      <c r="R4" s="27" t="s">
        <v>56</v>
      </c>
      <c r="S4" s="21" t="s">
        <v>57</v>
      </c>
      <c r="T4" s="21" t="s">
        <v>58</v>
      </c>
      <c r="U4" s="21" t="s">
        <v>60</v>
      </c>
      <c r="V4" s="21" t="s">
        <v>47</v>
      </c>
      <c r="W4" s="13"/>
    </row>
    <row r="5" ht="18.75" customHeight="1">
      <c r="A5" s="13"/>
      <c r="B5" s="29" t="s">
        <v>595</v>
      </c>
      <c r="C5" s="30">
        <f>IFERROR(__xludf.DUMMYFUNCTION("ArrayFormula(IFERROR(VALUE(REGEXEXTRACT(B5:B104&amp;"""",""\d+$""))))"),646609.0)</f>
        <v>646609</v>
      </c>
      <c r="D5" s="31" t="s">
        <v>14</v>
      </c>
      <c r="E5" s="31" t="s">
        <v>35</v>
      </c>
      <c r="F5" s="32" t="str">
        <f t="array" ref="F5:F104">MAP(C5:C104,LAMBDA(id,IFNA(IMAGE(MAPDATA(id,"cover_url")),"")))</f>
        <v/>
      </c>
      <c r="G5" s="57" t="str">
        <f t="array" ref="G5:G104">IFNA(HYPERLINK(VLOOKUP(C5:C104,'_api'!B3:BC104,MATCH("url",'_api'!B2:W2,0),0),VLOOKUP(C5:C104,'_api'!B3:BC104,MATCH("string",'_api'!B2:W2,0),0)),"")</f>
        <v>Camellia - dreamless wanderer [Ethereal]</v>
      </c>
      <c r="H5" s="51" t="s">
        <v>596</v>
      </c>
      <c r="I5" s="13"/>
      <c r="J5" s="35" t="s">
        <v>154</v>
      </c>
      <c r="K5" s="47">
        <v>2198934.0</v>
      </c>
      <c r="L5" s="36" t="str">
        <f>IFERROR(__xludf.DUMMYFUNCTION("TRANSPOSE(SPLIT(JOIN("","",MAP(TRANSPOSE(Settings!I2:P2),TRANSPOSE(INDEX(Settings!I3:P12,MATCH(B2,Settings!E3:E12,0))),LAMBDA(mod,n,JOIN("","",ARRAYFORMULA(IF(n=0,"""",mod&amp;SEQUENCE(n))))))),"",""))"),"NM1")</f>
        <v>NM1</v>
      </c>
      <c r="M5" s="34" t="str">
        <f t="array" ref="M5:M104">MAP(K5:K104,LAMBDA(id,IFNA(IMAGE(MAPDATA(id,"cover_url")),"")))</f>
        <v/>
      </c>
      <c r="N5" s="53" t="str">
        <f>IFNA(MAPDATA(K5:K104,"string_url"),"")</f>
        <v>Camellia - Racemization [extreme]</v>
      </c>
      <c r="O5" s="38">
        <f t="array" ref="O5:Q104">IFNA(MAPDATA_MODDED(K5:K104,{"difficultyrating","bpm","hit_length"},L5:L104),"")</f>
        <v>5.52323</v>
      </c>
      <c r="P5" s="39">
        <v>202.0</v>
      </c>
      <c r="Q5" s="40">
        <v>0.002291666667588288</v>
      </c>
      <c r="R5" s="41">
        <f t="array" ref="R5:T104">IFNA(MAPDATA_MODDED(K5:K104,"diff_"&amp;{"size","approach","overall"},L5:L104),"")</f>
        <v>4</v>
      </c>
      <c r="S5" s="42">
        <v>9.3</v>
      </c>
      <c r="T5" s="42">
        <v>8.3</v>
      </c>
      <c r="U5" s="34" t="str">
        <f t="array" ref="U5:V104">IFNA(MAPDATA(K5:K104,{"creator","beatmap_id"}),"")</f>
        <v>Ciyus Miapah</v>
      </c>
      <c r="V5" s="34">
        <v>2198934.0</v>
      </c>
      <c r="W5" s="13"/>
    </row>
    <row r="6" ht="18.75" customHeight="1">
      <c r="A6" s="13"/>
      <c r="B6" s="56" t="s">
        <v>597</v>
      </c>
      <c r="C6" s="45">
        <f>IFERROR(__xludf.DUMMYFUNCTION("""COMPUTED_VALUE"""),2751338.0)</f>
        <v>2751338</v>
      </c>
      <c r="D6" s="31" t="s">
        <v>8</v>
      </c>
      <c r="E6" s="31" t="s">
        <v>17</v>
      </c>
      <c r="F6" s="32"/>
      <c r="G6" s="57" t="s">
        <v>598</v>
      </c>
      <c r="H6" s="51" t="s">
        <v>373</v>
      </c>
      <c r="I6" s="13" t="s">
        <v>0</v>
      </c>
      <c r="J6" s="35" t="s">
        <v>599</v>
      </c>
      <c r="K6" s="47">
        <v>3010348.0</v>
      </c>
      <c r="L6" s="36" t="str">
        <f>IFERROR(__xludf.DUMMYFUNCTION("""COMPUTED_VALUE"""),"NM2")</f>
        <v>NM2</v>
      </c>
      <c r="M6" s="34"/>
      <c r="N6" s="53" t="s">
        <v>600</v>
      </c>
      <c r="O6" s="38">
        <v>5.55254</v>
      </c>
      <c r="P6" s="39">
        <v>171.3</v>
      </c>
      <c r="Q6" s="40">
        <v>0.0011458333319751546</v>
      </c>
      <c r="R6" s="41">
        <v>4.0</v>
      </c>
      <c r="S6" s="42">
        <v>9.0</v>
      </c>
      <c r="T6" s="42">
        <v>8.2</v>
      </c>
      <c r="U6" s="34" t="s">
        <v>601</v>
      </c>
      <c r="V6" s="34">
        <v>3010348.0</v>
      </c>
      <c r="W6" s="13"/>
    </row>
    <row r="7" ht="18.75" customHeight="1">
      <c r="A7" s="13"/>
      <c r="B7" s="56" t="s">
        <v>602</v>
      </c>
      <c r="C7" s="45">
        <f>IFERROR(__xludf.DUMMYFUNCTION("""COMPUTED_VALUE"""),3182641.0)</f>
        <v>3182641</v>
      </c>
      <c r="D7" s="31" t="s">
        <v>8</v>
      </c>
      <c r="E7" s="31" t="s">
        <v>17</v>
      </c>
      <c r="F7" s="32"/>
      <c r="G7" s="57" t="s">
        <v>603</v>
      </c>
      <c r="H7" s="51" t="s">
        <v>303</v>
      </c>
      <c r="I7" s="13"/>
      <c r="J7" s="35" t="s">
        <v>604</v>
      </c>
      <c r="K7" s="47">
        <v>3774971.0</v>
      </c>
      <c r="L7" s="36" t="str">
        <f>IFERROR(__xludf.DUMMYFUNCTION("""COMPUTED_VALUE"""),"NM3")</f>
        <v>NM3</v>
      </c>
      <c r="M7" s="34"/>
      <c r="N7" s="53" t="s">
        <v>605</v>
      </c>
      <c r="O7" s="38">
        <v>5.25357</v>
      </c>
      <c r="P7" s="39">
        <v>128.0</v>
      </c>
      <c r="Q7" s="40">
        <v>0.002592592591099674</v>
      </c>
      <c r="R7" s="41">
        <v>4.0</v>
      </c>
      <c r="S7" s="42">
        <v>9.4</v>
      </c>
      <c r="T7" s="42">
        <v>9.0</v>
      </c>
      <c r="U7" s="34" t="s">
        <v>606</v>
      </c>
      <c r="V7" s="34">
        <v>3774971.0</v>
      </c>
      <c r="W7" s="13"/>
    </row>
    <row r="8" ht="18.75" customHeight="1">
      <c r="A8" s="13"/>
      <c r="B8" s="56" t="s">
        <v>550</v>
      </c>
      <c r="C8" s="45">
        <f>IFERROR(__xludf.DUMMYFUNCTION("""COMPUTED_VALUE"""),1782851.0)</f>
        <v>1782851</v>
      </c>
      <c r="D8" s="31" t="s">
        <v>9</v>
      </c>
      <c r="E8" s="31" t="s">
        <v>17</v>
      </c>
      <c r="F8" s="32"/>
      <c r="G8" s="57" t="s">
        <v>551</v>
      </c>
      <c r="H8" s="33"/>
      <c r="I8" s="13"/>
      <c r="J8" s="35" t="s">
        <v>607</v>
      </c>
      <c r="K8" s="47">
        <v>3802110.0</v>
      </c>
      <c r="L8" s="36" t="str">
        <f>IFERROR(__xludf.DUMMYFUNCTION("""COMPUTED_VALUE"""),"NM4")</f>
        <v>NM4</v>
      </c>
      <c r="M8" s="34"/>
      <c r="N8" s="53" t="s">
        <v>608</v>
      </c>
      <c r="O8" s="38">
        <v>5.28144</v>
      </c>
      <c r="P8" s="39">
        <v>128.0</v>
      </c>
      <c r="Q8" s="40">
        <v>0.001898148148029577</v>
      </c>
      <c r="R8" s="41">
        <v>3.7</v>
      </c>
      <c r="S8" s="42">
        <v>9.0</v>
      </c>
      <c r="T8" s="42">
        <v>8.0</v>
      </c>
      <c r="U8" s="34" t="s">
        <v>609</v>
      </c>
      <c r="V8" s="34">
        <v>3802110.0</v>
      </c>
      <c r="W8" s="13"/>
    </row>
    <row r="9" ht="18.75" customHeight="1">
      <c r="A9" s="13"/>
      <c r="B9" s="56" t="s">
        <v>610</v>
      </c>
      <c r="C9" s="45">
        <f>IFERROR(__xludf.DUMMYFUNCTION("""COMPUTED_VALUE"""),1896582.0)</f>
        <v>1896582</v>
      </c>
      <c r="D9" s="31" t="s">
        <v>8</v>
      </c>
      <c r="E9" s="31"/>
      <c r="F9" s="32"/>
      <c r="G9" s="57" t="s">
        <v>611</v>
      </c>
      <c r="H9" s="51" t="s">
        <v>612</v>
      </c>
      <c r="I9" s="13"/>
      <c r="J9" s="35" t="s">
        <v>613</v>
      </c>
      <c r="K9" s="47">
        <v>309900.0</v>
      </c>
      <c r="L9" s="36" t="str">
        <f>IFERROR(__xludf.DUMMYFUNCTION("""COMPUTED_VALUE"""),"NM5")</f>
        <v>NM5</v>
      </c>
      <c r="M9" s="34"/>
      <c r="N9" s="53" t="s">
        <v>614</v>
      </c>
      <c r="O9" s="38">
        <v>5.51825</v>
      </c>
      <c r="P9" s="39">
        <v>220.0</v>
      </c>
      <c r="Q9" s="40">
        <v>0.0012268518512428273</v>
      </c>
      <c r="R9" s="41">
        <v>4.0</v>
      </c>
      <c r="S9" s="42">
        <v>9.0</v>
      </c>
      <c r="T9" s="42">
        <v>7.0</v>
      </c>
      <c r="U9" s="34" t="s">
        <v>615</v>
      </c>
      <c r="V9" s="34">
        <v>309900.0</v>
      </c>
      <c r="W9" s="13"/>
    </row>
    <row r="10" ht="18.75" customHeight="1">
      <c r="A10" s="13"/>
      <c r="B10" s="56" t="s">
        <v>616</v>
      </c>
      <c r="C10" s="45">
        <f>IFERROR(__xludf.DUMMYFUNCTION("""COMPUTED_VALUE"""),3256307.0)</f>
        <v>3256307</v>
      </c>
      <c r="D10" s="31" t="s">
        <v>14</v>
      </c>
      <c r="E10" s="31" t="s">
        <v>35</v>
      </c>
      <c r="F10" s="32"/>
      <c r="G10" s="57" t="s">
        <v>617</v>
      </c>
      <c r="H10" s="51" t="s">
        <v>618</v>
      </c>
      <c r="I10" s="13"/>
      <c r="J10" s="35" t="s">
        <v>619</v>
      </c>
      <c r="K10" s="47">
        <v>3870932.0</v>
      </c>
      <c r="L10" s="36" t="str">
        <f>IFERROR(__xludf.DUMMYFUNCTION("""COMPUTED_VALUE"""),"NM6")</f>
        <v>NM6</v>
      </c>
      <c r="M10" s="34"/>
      <c r="N10" s="53" t="s">
        <v>454</v>
      </c>
      <c r="O10" s="38">
        <v>4.62529</v>
      </c>
      <c r="P10" s="39">
        <v>160.0</v>
      </c>
      <c r="Q10" s="40">
        <v>0.0014583333322661929</v>
      </c>
      <c r="R10" s="41">
        <v>5.0</v>
      </c>
      <c r="S10" s="42">
        <v>7.0</v>
      </c>
      <c r="T10" s="42">
        <v>7.0</v>
      </c>
      <c r="U10" s="34" t="s">
        <v>620</v>
      </c>
      <c r="V10" s="34">
        <v>3870932.0</v>
      </c>
      <c r="W10" s="13"/>
    </row>
    <row r="11" ht="18.75" customHeight="1">
      <c r="A11" s="13"/>
      <c r="B11" s="56" t="s">
        <v>621</v>
      </c>
      <c r="C11" s="45">
        <f>IFERROR(__xludf.DUMMYFUNCTION("""COMPUTED_VALUE"""),3444608.0)</f>
        <v>3444608</v>
      </c>
      <c r="D11" s="31" t="s">
        <v>7</v>
      </c>
      <c r="E11" s="31"/>
      <c r="F11" s="32"/>
      <c r="G11" s="57" t="s">
        <v>622</v>
      </c>
      <c r="H11" s="51" t="s">
        <v>455</v>
      </c>
      <c r="I11" s="13"/>
      <c r="J11" s="35" t="s">
        <v>623</v>
      </c>
      <c r="K11" s="47">
        <v>571620.0</v>
      </c>
      <c r="L11" s="36" t="str">
        <f>IFERROR(__xludf.DUMMYFUNCTION("""COMPUTED_VALUE"""),"HD1")</f>
        <v>HD1</v>
      </c>
      <c r="M11" s="34"/>
      <c r="N11" s="53" t="s">
        <v>624</v>
      </c>
      <c r="O11" s="38">
        <v>5.50651</v>
      </c>
      <c r="P11" s="39">
        <v>175.0</v>
      </c>
      <c r="Q11" s="40">
        <v>0.0018750000017462298</v>
      </c>
      <c r="R11" s="41">
        <v>4.2</v>
      </c>
      <c r="S11" s="42">
        <v>9.1</v>
      </c>
      <c r="T11" s="42">
        <v>8.0</v>
      </c>
      <c r="U11" s="34" t="s">
        <v>625</v>
      </c>
      <c r="V11" s="34">
        <v>571620.0</v>
      </c>
      <c r="W11" s="13"/>
    </row>
    <row r="12" ht="18.75" customHeight="1">
      <c r="A12" s="13"/>
      <c r="B12" s="56" t="s">
        <v>626</v>
      </c>
      <c r="C12" s="45">
        <f>IFERROR(__xludf.DUMMYFUNCTION("""COMPUTED_VALUE"""),192181.0)</f>
        <v>192181</v>
      </c>
      <c r="D12" s="31" t="s">
        <v>11</v>
      </c>
      <c r="E12" s="32"/>
      <c r="F12" s="32"/>
      <c r="G12" s="57" t="s">
        <v>627</v>
      </c>
      <c r="H12" s="51" t="s">
        <v>628</v>
      </c>
      <c r="I12" s="13"/>
      <c r="J12" s="35" t="s">
        <v>629</v>
      </c>
      <c r="K12" s="47">
        <v>3563737.0</v>
      </c>
      <c r="L12" s="36" t="str">
        <f>IFERROR(__xludf.DUMMYFUNCTION("""COMPUTED_VALUE"""),"HD2")</f>
        <v>HD2</v>
      </c>
      <c r="M12" s="47"/>
      <c r="N12" s="53" t="s">
        <v>630</v>
      </c>
      <c r="O12" s="38">
        <v>5.05513</v>
      </c>
      <c r="P12" s="39">
        <v>170.0</v>
      </c>
      <c r="Q12" s="40">
        <v>0.00204861110978527</v>
      </c>
      <c r="R12" s="41">
        <v>4.0</v>
      </c>
      <c r="S12" s="42">
        <v>8.0</v>
      </c>
      <c r="T12" s="42">
        <v>8.0</v>
      </c>
      <c r="U12" s="34" t="s">
        <v>631</v>
      </c>
      <c r="V12" s="34">
        <v>3563737.0</v>
      </c>
      <c r="W12" s="13"/>
    </row>
    <row r="13" ht="18.75" customHeight="1">
      <c r="A13" s="13"/>
      <c r="B13" s="56" t="s">
        <v>632</v>
      </c>
      <c r="C13" s="47">
        <f>IFERROR(__xludf.DUMMYFUNCTION("""COMPUTED_VALUE"""),1485947.0)</f>
        <v>1485947</v>
      </c>
      <c r="D13" s="31" t="s">
        <v>14</v>
      </c>
      <c r="E13" s="31" t="s">
        <v>17</v>
      </c>
      <c r="F13" s="32"/>
      <c r="G13" s="57" t="s">
        <v>633</v>
      </c>
      <c r="H13" s="33"/>
      <c r="I13" s="13"/>
      <c r="J13" s="35" t="s">
        <v>634</v>
      </c>
      <c r="K13" s="45">
        <v>2751338.0</v>
      </c>
      <c r="L13" s="36" t="str">
        <f>IFERROR(__xludf.DUMMYFUNCTION("""COMPUTED_VALUE"""),"HD3")</f>
        <v>HD3</v>
      </c>
      <c r="M13" s="34"/>
      <c r="N13" s="53" t="s">
        <v>598</v>
      </c>
      <c r="O13" s="38">
        <v>5.25951</v>
      </c>
      <c r="P13" s="39">
        <v>80.0</v>
      </c>
      <c r="Q13" s="40">
        <v>0.001527777778392192</v>
      </c>
      <c r="R13" s="41">
        <v>4.2</v>
      </c>
      <c r="S13" s="42">
        <v>9.2</v>
      </c>
      <c r="T13" s="42">
        <v>8.7</v>
      </c>
      <c r="U13" s="34" t="s">
        <v>635</v>
      </c>
      <c r="V13" s="34">
        <v>2751338.0</v>
      </c>
      <c r="W13" s="13"/>
    </row>
    <row r="14" ht="18.75" customHeight="1">
      <c r="A14" s="13"/>
      <c r="B14" s="67" t="s">
        <v>636</v>
      </c>
      <c r="C14" s="47">
        <f>IFERROR(__xludf.DUMMYFUNCTION("""COMPUTED_VALUE"""),2239337.0)</f>
        <v>2239337</v>
      </c>
      <c r="D14" s="31" t="s">
        <v>8</v>
      </c>
      <c r="E14" s="31" t="s">
        <v>35</v>
      </c>
      <c r="F14" s="32"/>
      <c r="G14" s="57" t="s">
        <v>637</v>
      </c>
      <c r="H14" s="51" t="s">
        <v>79</v>
      </c>
      <c r="I14" s="13"/>
      <c r="J14" s="35" t="s">
        <v>154</v>
      </c>
      <c r="K14" s="47">
        <v>2288966.0</v>
      </c>
      <c r="L14" s="36" t="str">
        <f>IFERROR(__xludf.DUMMYFUNCTION("""COMPUTED_VALUE"""),"HR1")</f>
        <v>HR1</v>
      </c>
      <c r="M14" s="34"/>
      <c r="N14" s="53" t="s">
        <v>638</v>
      </c>
      <c r="O14" s="38">
        <v>5.42869</v>
      </c>
      <c r="P14" s="39">
        <v>180.0</v>
      </c>
      <c r="Q14" s="40">
        <v>0.002592592591099674</v>
      </c>
      <c r="R14" s="41">
        <v>5.2</v>
      </c>
      <c r="S14" s="42">
        <v>10.0</v>
      </c>
      <c r="T14" s="42">
        <v>10.0</v>
      </c>
      <c r="U14" s="34" t="s">
        <v>210</v>
      </c>
      <c r="V14" s="34">
        <v>2288966.0</v>
      </c>
      <c r="W14" s="13"/>
    </row>
    <row r="15" ht="18.75" customHeight="1">
      <c r="A15" s="13"/>
      <c r="B15" s="56" t="s">
        <v>639</v>
      </c>
      <c r="C15" s="47">
        <f>IFERROR(__xludf.DUMMYFUNCTION("""COMPUTED_VALUE"""),2198934.0)</f>
        <v>2198934</v>
      </c>
      <c r="D15" s="31" t="s">
        <v>7</v>
      </c>
      <c r="E15" s="31" t="s">
        <v>35</v>
      </c>
      <c r="F15" s="32"/>
      <c r="G15" s="57" t="s">
        <v>640</v>
      </c>
      <c r="H15" s="51" t="s">
        <v>356</v>
      </c>
      <c r="I15" s="13"/>
      <c r="J15" s="35" t="s">
        <v>641</v>
      </c>
      <c r="K15" s="47">
        <v>2691754.0</v>
      </c>
      <c r="L15" s="36" t="str">
        <f>IFERROR(__xludf.DUMMYFUNCTION("""COMPUTED_VALUE"""),"HR2")</f>
        <v>HR2</v>
      </c>
      <c r="M15" s="34"/>
      <c r="N15" s="53" t="s">
        <v>642</v>
      </c>
      <c r="O15" s="38">
        <v>5.20036</v>
      </c>
      <c r="P15" s="39">
        <v>170.0</v>
      </c>
      <c r="Q15" s="40">
        <v>0.0018518518518249039</v>
      </c>
      <c r="R15" s="41">
        <v>6.5</v>
      </c>
      <c r="S15" s="42">
        <v>10.0</v>
      </c>
      <c r="T15" s="42">
        <v>9.799999999999999</v>
      </c>
      <c r="U15" s="34" t="s">
        <v>148</v>
      </c>
      <c r="V15" s="34">
        <v>2691754.0</v>
      </c>
      <c r="W15" s="13"/>
    </row>
    <row r="16" ht="18.75" customHeight="1">
      <c r="A16" s="13"/>
      <c r="B16" s="56" t="s">
        <v>643</v>
      </c>
      <c r="C16" s="47">
        <f>IFERROR(__xludf.DUMMYFUNCTION("""COMPUTED_VALUE"""),1387177.0)</f>
        <v>1387177</v>
      </c>
      <c r="D16" s="31" t="s">
        <v>7</v>
      </c>
      <c r="E16" s="31" t="s">
        <v>35</v>
      </c>
      <c r="F16" s="32"/>
      <c r="G16" s="57" t="s">
        <v>644</v>
      </c>
      <c r="H16" s="51" t="s">
        <v>455</v>
      </c>
      <c r="I16" s="13"/>
      <c r="J16" s="35" t="s">
        <v>645</v>
      </c>
      <c r="K16" s="47">
        <v>2856139.0</v>
      </c>
      <c r="L16" s="36" t="str">
        <f>IFERROR(__xludf.DUMMYFUNCTION("""COMPUTED_VALUE"""),"HR3")</f>
        <v>HR3</v>
      </c>
      <c r="M16" s="34"/>
      <c r="N16" s="53" t="s">
        <v>646</v>
      </c>
      <c r="O16" s="38">
        <v>5.36535</v>
      </c>
      <c r="P16" s="39">
        <v>177.0</v>
      </c>
      <c r="Q16" s="40">
        <v>0.0012731481474475004</v>
      </c>
      <c r="R16" s="41">
        <v>5.2</v>
      </c>
      <c r="S16" s="42">
        <v>10.0</v>
      </c>
      <c r="T16" s="42">
        <v>10.0</v>
      </c>
      <c r="U16" s="34" t="s">
        <v>647</v>
      </c>
      <c r="V16" s="34">
        <v>2856139.0</v>
      </c>
      <c r="W16" s="13"/>
    </row>
    <row r="17" ht="18.75" customHeight="1">
      <c r="A17" s="13"/>
      <c r="B17" s="56" t="s">
        <v>648</v>
      </c>
      <c r="C17" s="47">
        <f>IFERROR(__xludf.DUMMYFUNCTION("""COMPUTED_VALUE"""),2775823.0)</f>
        <v>2775823</v>
      </c>
      <c r="D17" s="31" t="s">
        <v>8</v>
      </c>
      <c r="E17" s="31" t="s">
        <v>17</v>
      </c>
      <c r="F17" s="32"/>
      <c r="G17" s="57" t="s">
        <v>649</v>
      </c>
      <c r="H17" s="33"/>
      <c r="I17" s="13"/>
      <c r="J17" s="35" t="s">
        <v>650</v>
      </c>
      <c r="K17" s="47">
        <v>765880.0</v>
      </c>
      <c r="L17" s="36" t="str">
        <f>IFERROR(__xludf.DUMMYFUNCTION("""COMPUTED_VALUE"""),"DT1")</f>
        <v>DT1</v>
      </c>
      <c r="M17" s="34"/>
      <c r="N17" s="53" t="s">
        <v>651</v>
      </c>
      <c r="O17" s="38">
        <v>5.44841</v>
      </c>
      <c r="P17" s="39">
        <v>195.0</v>
      </c>
      <c r="Q17" s="40">
        <v>0.0021527777789742686</v>
      </c>
      <c r="R17" s="41">
        <v>4.0</v>
      </c>
      <c r="S17" s="42">
        <v>9.866666666666667</v>
      </c>
      <c r="T17" s="42">
        <v>9.083333333333334</v>
      </c>
      <c r="U17" s="34" t="s">
        <v>652</v>
      </c>
      <c r="V17" s="34">
        <v>765880.0</v>
      </c>
      <c r="W17" s="13"/>
    </row>
    <row r="18" ht="18.75" customHeight="1">
      <c r="A18" s="13"/>
      <c r="B18" s="56" t="s">
        <v>653</v>
      </c>
      <c r="C18" s="47">
        <f>IFERROR(__xludf.DUMMYFUNCTION("""COMPUTED_VALUE"""),3206318.0)</f>
        <v>3206318</v>
      </c>
      <c r="D18" s="31" t="s">
        <v>8</v>
      </c>
      <c r="E18" s="31" t="s">
        <v>35</v>
      </c>
      <c r="F18" s="32"/>
      <c r="G18" s="57" t="s">
        <v>654</v>
      </c>
      <c r="H18" s="51" t="s">
        <v>655</v>
      </c>
      <c r="I18" s="13"/>
      <c r="J18" s="35" t="s">
        <v>656</v>
      </c>
      <c r="K18" s="47">
        <v>345642.0</v>
      </c>
      <c r="L18" s="36" t="str">
        <f>IFERROR(__xludf.DUMMYFUNCTION("""COMPUTED_VALUE"""),"DT2")</f>
        <v>DT2</v>
      </c>
      <c r="M18" s="34"/>
      <c r="N18" s="53" t="s">
        <v>657</v>
      </c>
      <c r="O18" s="38">
        <v>5.50915</v>
      </c>
      <c r="P18" s="39">
        <v>240.0</v>
      </c>
      <c r="Q18" s="40">
        <v>8.256172829230005E-4</v>
      </c>
      <c r="R18" s="41">
        <v>4.0</v>
      </c>
      <c r="S18" s="42">
        <v>9.666666666666668</v>
      </c>
      <c r="T18" s="42">
        <v>8.416666666666666</v>
      </c>
      <c r="U18" s="34" t="s">
        <v>658</v>
      </c>
      <c r="V18" s="34">
        <v>345642.0</v>
      </c>
      <c r="W18" s="13"/>
    </row>
    <row r="19" ht="18.75" customHeight="1">
      <c r="A19" s="13"/>
      <c r="B19" s="56" t="s">
        <v>659</v>
      </c>
      <c r="C19" s="47">
        <f>IFERROR(__xludf.DUMMYFUNCTION("""COMPUTED_VALUE"""),1484886.0)</f>
        <v>1484886</v>
      </c>
      <c r="D19" s="31" t="s">
        <v>14</v>
      </c>
      <c r="E19" s="31" t="s">
        <v>35</v>
      </c>
      <c r="F19" s="32"/>
      <c r="G19" s="57" t="s">
        <v>660</v>
      </c>
      <c r="H19" s="33"/>
      <c r="I19" s="13"/>
      <c r="J19" s="35" t="s">
        <v>172</v>
      </c>
      <c r="K19" s="47">
        <v>2671858.0</v>
      </c>
      <c r="L19" s="36" t="str">
        <f>IFERROR(__xludf.DUMMYFUNCTION("""COMPUTED_VALUE"""),"DT3")</f>
        <v>DT3</v>
      </c>
      <c r="M19" s="34"/>
      <c r="N19" s="53" t="s">
        <v>661</v>
      </c>
      <c r="O19" s="38">
        <v>5.36977</v>
      </c>
      <c r="P19" s="39">
        <v>247.5</v>
      </c>
      <c r="Q19" s="40">
        <v>0.0017438271606806666</v>
      </c>
      <c r="R19" s="41">
        <v>3.7</v>
      </c>
      <c r="S19" s="42">
        <v>9.666666666666668</v>
      </c>
      <c r="T19" s="42">
        <v>9.083333333333334</v>
      </c>
      <c r="U19" s="34" t="s">
        <v>662</v>
      </c>
      <c r="V19" s="34">
        <v>2671858.0</v>
      </c>
      <c r="W19" s="13"/>
    </row>
    <row r="20" ht="18.75" customHeight="1">
      <c r="A20" s="13"/>
      <c r="B20" s="56" t="s">
        <v>663</v>
      </c>
      <c r="C20" s="47">
        <f>IFERROR(__xludf.DUMMYFUNCTION("""COMPUTED_VALUE"""),3774971.0)</f>
        <v>3774971</v>
      </c>
      <c r="D20" s="31" t="s">
        <v>7</v>
      </c>
      <c r="E20" s="32"/>
      <c r="F20" s="32"/>
      <c r="G20" s="57" t="s">
        <v>605</v>
      </c>
      <c r="H20" s="33"/>
      <c r="I20" s="13"/>
      <c r="J20" s="35" t="s">
        <v>664</v>
      </c>
      <c r="K20" s="47">
        <v>4150885.0</v>
      </c>
      <c r="L20" s="36" t="str">
        <f>IFERROR(__xludf.DUMMYFUNCTION("""COMPUTED_VALUE"""),"DT4")</f>
        <v>DT4</v>
      </c>
      <c r="M20" s="34"/>
      <c r="N20" s="53" t="s">
        <v>665</v>
      </c>
      <c r="O20" s="38">
        <v>4.76974</v>
      </c>
      <c r="P20" s="39">
        <v>232.5</v>
      </c>
      <c r="Q20" s="40">
        <v>9.953703702194616E-4</v>
      </c>
      <c r="R20" s="41">
        <v>5.0</v>
      </c>
      <c r="S20" s="42">
        <v>8.333333333333334</v>
      </c>
      <c r="T20" s="42">
        <v>7.75</v>
      </c>
      <c r="U20" s="34" t="s">
        <v>666</v>
      </c>
      <c r="V20" s="34">
        <v>4150885.0</v>
      </c>
      <c r="W20" s="13"/>
    </row>
    <row r="21" ht="18.75" customHeight="1">
      <c r="A21" s="13"/>
      <c r="B21" s="56" t="s">
        <v>667</v>
      </c>
      <c r="C21" s="47">
        <f>IFERROR(__xludf.DUMMYFUNCTION("""COMPUTED_VALUE"""),2835868.0)</f>
        <v>2835868</v>
      </c>
      <c r="D21" s="31" t="s">
        <v>9</v>
      </c>
      <c r="E21" s="31" t="s">
        <v>17</v>
      </c>
      <c r="F21" s="32"/>
      <c r="G21" s="57" t="s">
        <v>668</v>
      </c>
      <c r="H21" s="33"/>
      <c r="I21" s="13"/>
      <c r="J21" s="35" t="s">
        <v>669</v>
      </c>
      <c r="K21" s="47">
        <v>4197268.0</v>
      </c>
      <c r="L21" s="36" t="str">
        <f>IFERROR(__xludf.DUMMYFUNCTION("""COMPUTED_VALUE"""),"FM1")</f>
        <v>FM1</v>
      </c>
      <c r="M21" s="34"/>
      <c r="N21" s="53" t="s">
        <v>670</v>
      </c>
      <c r="O21" s="38">
        <v>5.02118</v>
      </c>
      <c r="P21" s="39">
        <v>204.0</v>
      </c>
      <c r="Q21" s="40">
        <v>0.0021064814827695955</v>
      </c>
      <c r="R21" s="41">
        <v>3.0</v>
      </c>
      <c r="S21" s="42">
        <v>9.0</v>
      </c>
      <c r="T21" s="42">
        <v>8.0</v>
      </c>
      <c r="U21" s="34" t="s">
        <v>671</v>
      </c>
      <c r="V21" s="34">
        <v>4197268.0</v>
      </c>
      <c r="W21" s="13"/>
    </row>
    <row r="22" ht="18.75" customHeight="1">
      <c r="A22" s="13"/>
      <c r="B22" s="56" t="s">
        <v>672</v>
      </c>
      <c r="C22" s="47">
        <f>IFERROR(__xludf.DUMMYFUNCTION("""COMPUTED_VALUE"""),4075902.0)</f>
        <v>4075902</v>
      </c>
      <c r="D22" s="31" t="s">
        <v>8</v>
      </c>
      <c r="E22" s="31" t="s">
        <v>35</v>
      </c>
      <c r="F22" s="32"/>
      <c r="G22" s="57" t="s">
        <v>673</v>
      </c>
      <c r="H22" s="33"/>
      <c r="I22" s="13"/>
      <c r="J22" s="45" t="s">
        <v>674</v>
      </c>
      <c r="K22" s="45">
        <v>192181.0</v>
      </c>
      <c r="L22" s="36" t="str">
        <f>IFERROR(__xludf.DUMMYFUNCTION("""COMPUTED_VALUE"""),"FM2")</f>
        <v>FM2</v>
      </c>
      <c r="M22" s="34"/>
      <c r="N22" s="53" t="s">
        <v>627</v>
      </c>
      <c r="O22" s="38">
        <v>4.71418</v>
      </c>
      <c r="P22" s="39">
        <v>152.0</v>
      </c>
      <c r="Q22" s="40">
        <v>0.0016087962976598646</v>
      </c>
      <c r="R22" s="41">
        <v>5.0</v>
      </c>
      <c r="S22" s="42">
        <v>8.0</v>
      </c>
      <c r="T22" s="42">
        <v>7.0</v>
      </c>
      <c r="U22" s="34" t="s">
        <v>675</v>
      </c>
      <c r="V22" s="34">
        <v>192181.0</v>
      </c>
      <c r="W22" s="13"/>
    </row>
    <row r="23" ht="18.75" customHeight="1">
      <c r="A23" s="13"/>
      <c r="B23" s="56" t="s">
        <v>453</v>
      </c>
      <c r="C23" s="47">
        <f>IFERROR(__xludf.DUMMYFUNCTION("""COMPUTED_VALUE"""),3870932.0)</f>
        <v>3870932</v>
      </c>
      <c r="D23" s="31" t="s">
        <v>7</v>
      </c>
      <c r="E23" s="31" t="s">
        <v>17</v>
      </c>
      <c r="F23" s="32"/>
      <c r="G23" s="57" t="s">
        <v>454</v>
      </c>
      <c r="H23" s="33"/>
      <c r="I23" s="13"/>
      <c r="J23" s="35" t="s">
        <v>676</v>
      </c>
      <c r="K23" s="47">
        <v>3499229.0</v>
      </c>
      <c r="L23" s="36" t="str">
        <f>IFERROR(__xludf.DUMMYFUNCTION("""COMPUTED_VALUE"""),"FM3")</f>
        <v>FM3</v>
      </c>
      <c r="M23" s="34"/>
      <c r="N23" s="53" t="s">
        <v>677</v>
      </c>
      <c r="O23" s="38">
        <v>5.12068</v>
      </c>
      <c r="P23" s="39">
        <v>173.0</v>
      </c>
      <c r="Q23" s="40">
        <v>0.0018055555556202307</v>
      </c>
      <c r="R23" s="41">
        <v>3.8</v>
      </c>
      <c r="S23" s="42">
        <v>9.2</v>
      </c>
      <c r="T23" s="42">
        <v>8.0</v>
      </c>
      <c r="U23" s="34" t="s">
        <v>678</v>
      </c>
      <c r="V23" s="34">
        <v>3499229.0</v>
      </c>
      <c r="W23" s="13"/>
    </row>
    <row r="24" ht="18.75" customHeight="1">
      <c r="A24" s="13"/>
      <c r="B24" s="56" t="s">
        <v>679</v>
      </c>
      <c r="C24" s="47">
        <f>IFERROR(__xludf.DUMMYFUNCTION("""COMPUTED_VALUE"""),261729.0)</f>
        <v>261729</v>
      </c>
      <c r="D24" s="31" t="s">
        <v>7</v>
      </c>
      <c r="E24" s="31" t="s">
        <v>35</v>
      </c>
      <c r="F24" s="32"/>
      <c r="G24" s="57" t="s">
        <v>680</v>
      </c>
      <c r="H24" s="33"/>
      <c r="I24" s="13"/>
      <c r="J24" s="35" t="s">
        <v>681</v>
      </c>
      <c r="K24" s="47">
        <v>1485947.0</v>
      </c>
      <c r="L24" s="36" t="str">
        <f>IFERROR(__xludf.DUMMYFUNCTION("""COMPUTED_VALUE"""),"TB1")</f>
        <v>TB1</v>
      </c>
      <c r="M24" s="34"/>
      <c r="N24" s="53" t="s">
        <v>633</v>
      </c>
      <c r="O24" s="38">
        <v>5.71401</v>
      </c>
      <c r="P24" s="39">
        <v>174.0</v>
      </c>
      <c r="Q24" s="40">
        <v>0.003379629630217096</v>
      </c>
      <c r="R24" s="41">
        <v>4.0</v>
      </c>
      <c r="S24" s="42">
        <v>9.2</v>
      </c>
      <c r="T24" s="42">
        <v>9.0</v>
      </c>
      <c r="U24" s="34" t="s">
        <v>682</v>
      </c>
      <c r="V24" s="34">
        <v>1485947.0</v>
      </c>
      <c r="W24" s="13"/>
    </row>
    <row r="25" ht="18.75" customHeight="1">
      <c r="A25" s="13"/>
      <c r="B25" s="56" t="s">
        <v>683</v>
      </c>
      <c r="C25" s="47">
        <f>IFERROR(__xludf.DUMMYFUNCTION("""COMPUTED_VALUE"""),1290855.0)</f>
        <v>1290855</v>
      </c>
      <c r="D25" s="31" t="s">
        <v>7</v>
      </c>
      <c r="E25" s="32"/>
      <c r="F25" s="32"/>
      <c r="G25" s="57" t="s">
        <v>684</v>
      </c>
      <c r="H25" s="51" t="s">
        <v>685</v>
      </c>
      <c r="I25" s="13"/>
      <c r="J25" s="34"/>
      <c r="K25" s="46"/>
      <c r="L25" s="36"/>
      <c r="M25" s="34"/>
      <c r="N25" s="37"/>
      <c r="O25" s="38"/>
      <c r="P25" s="39"/>
      <c r="Q25" s="40"/>
      <c r="R25" s="41"/>
      <c r="S25" s="42"/>
      <c r="T25" s="42"/>
      <c r="U25" s="34"/>
      <c r="V25" s="34"/>
      <c r="W25" s="13"/>
    </row>
    <row r="26" ht="18.75" customHeight="1">
      <c r="A26" s="13"/>
      <c r="B26" s="56" t="s">
        <v>686</v>
      </c>
      <c r="C26" s="47">
        <f>IFERROR(__xludf.DUMMYFUNCTION("""COMPUTED_VALUE"""),2442178.0)</f>
        <v>2442178</v>
      </c>
      <c r="D26" s="31" t="s">
        <v>7</v>
      </c>
      <c r="E26" s="31" t="s">
        <v>17</v>
      </c>
      <c r="F26" s="32"/>
      <c r="G26" s="57" t="s">
        <v>687</v>
      </c>
      <c r="H26" s="33"/>
      <c r="I26" s="13"/>
      <c r="J26" s="34"/>
      <c r="K26" s="46"/>
      <c r="L26" s="36"/>
      <c r="M26" s="34"/>
      <c r="N26" s="37"/>
      <c r="O26" s="38"/>
      <c r="P26" s="39"/>
      <c r="Q26" s="40"/>
      <c r="R26" s="41"/>
      <c r="S26" s="42"/>
      <c r="T26" s="42"/>
      <c r="U26" s="34"/>
      <c r="V26" s="34"/>
      <c r="W26" s="13"/>
    </row>
    <row r="27" ht="18.75" customHeight="1">
      <c r="A27" s="13"/>
      <c r="B27" s="56" t="s">
        <v>688</v>
      </c>
      <c r="C27" s="47">
        <f>IFERROR(__xludf.DUMMYFUNCTION("""COMPUTED_VALUE"""),1863289.0)</f>
        <v>1863289</v>
      </c>
      <c r="D27" s="31" t="s">
        <v>7</v>
      </c>
      <c r="E27" s="31" t="s">
        <v>17</v>
      </c>
      <c r="F27" s="32"/>
      <c r="G27" s="57" t="s">
        <v>689</v>
      </c>
      <c r="H27" s="33"/>
      <c r="I27" s="13"/>
      <c r="J27" s="34"/>
      <c r="K27" s="46"/>
      <c r="L27" s="36"/>
      <c r="M27" s="34"/>
      <c r="N27" s="37"/>
      <c r="O27" s="38"/>
      <c r="P27" s="39"/>
      <c r="Q27" s="40"/>
      <c r="R27" s="41"/>
      <c r="S27" s="42"/>
      <c r="T27" s="42"/>
      <c r="U27" s="34"/>
      <c r="V27" s="34"/>
      <c r="W27" s="13"/>
    </row>
    <row r="28" ht="18.75" customHeight="1">
      <c r="A28" s="13"/>
      <c r="B28" s="56" t="s">
        <v>690</v>
      </c>
      <c r="C28" s="47">
        <f>IFERROR(__xludf.DUMMYFUNCTION("""COMPUTED_VALUE"""),757386.0)</f>
        <v>757386</v>
      </c>
      <c r="D28" s="31" t="s">
        <v>7</v>
      </c>
      <c r="E28" s="31" t="s">
        <v>17</v>
      </c>
      <c r="F28" s="32"/>
      <c r="G28" s="57" t="s">
        <v>691</v>
      </c>
      <c r="H28" s="51" t="s">
        <v>389</v>
      </c>
      <c r="I28" s="13"/>
      <c r="J28" s="34"/>
      <c r="K28" s="46"/>
      <c r="L28" s="36"/>
      <c r="M28" s="34"/>
      <c r="N28" s="37"/>
      <c r="O28" s="38"/>
      <c r="P28" s="39"/>
      <c r="Q28" s="40"/>
      <c r="R28" s="41"/>
      <c r="S28" s="42"/>
      <c r="T28" s="42"/>
      <c r="U28" s="34"/>
      <c r="V28" s="34"/>
      <c r="W28" s="13"/>
    </row>
    <row r="29" ht="18.75" customHeight="1">
      <c r="A29" s="13"/>
      <c r="B29" s="56" t="s">
        <v>692</v>
      </c>
      <c r="C29" s="47">
        <f>IFERROR(__xludf.DUMMYFUNCTION("""COMPUTED_VALUE"""),3010348.0)</f>
        <v>3010348</v>
      </c>
      <c r="D29" s="31" t="s">
        <v>7</v>
      </c>
      <c r="E29" s="31" t="s">
        <v>35</v>
      </c>
      <c r="F29" s="32"/>
      <c r="G29" s="57" t="s">
        <v>600</v>
      </c>
      <c r="H29" s="33"/>
      <c r="I29" s="13"/>
      <c r="J29" s="34"/>
      <c r="K29" s="46"/>
      <c r="L29" s="36"/>
      <c r="M29" s="34"/>
      <c r="N29" s="37"/>
      <c r="O29" s="38"/>
      <c r="P29" s="39"/>
      <c r="Q29" s="40"/>
      <c r="R29" s="41"/>
      <c r="S29" s="42"/>
      <c r="T29" s="42"/>
      <c r="U29" s="34"/>
      <c r="V29" s="34"/>
      <c r="W29" s="13"/>
    </row>
    <row r="30" ht="18.75" customHeight="1">
      <c r="A30" s="13"/>
      <c r="B30" s="56" t="s">
        <v>693</v>
      </c>
      <c r="C30" s="47">
        <f>IFERROR(__xludf.DUMMYFUNCTION("""COMPUTED_VALUE"""),2906707.0)</f>
        <v>2906707</v>
      </c>
      <c r="D30" s="31" t="s">
        <v>7</v>
      </c>
      <c r="E30" s="31" t="s">
        <v>17</v>
      </c>
      <c r="F30" s="32"/>
      <c r="G30" s="57" t="s">
        <v>694</v>
      </c>
      <c r="H30" s="33"/>
      <c r="I30" s="13"/>
      <c r="J30" s="34"/>
      <c r="K30" s="46"/>
      <c r="L30" s="36"/>
      <c r="M30" s="34"/>
      <c r="N30" s="37"/>
      <c r="O30" s="38"/>
      <c r="P30" s="39"/>
      <c r="Q30" s="40"/>
      <c r="R30" s="41"/>
      <c r="S30" s="42"/>
      <c r="T30" s="42"/>
      <c r="U30" s="34"/>
      <c r="V30" s="34"/>
      <c r="W30" s="13"/>
    </row>
    <row r="31" ht="18.75" customHeight="1">
      <c r="A31" s="13"/>
      <c r="B31" s="56" t="s">
        <v>695</v>
      </c>
      <c r="C31" s="47">
        <f>IFERROR(__xludf.DUMMYFUNCTION("""COMPUTED_VALUE"""),2842836.0)</f>
        <v>2842836</v>
      </c>
      <c r="D31" s="31" t="s">
        <v>7</v>
      </c>
      <c r="E31" s="31" t="s">
        <v>17</v>
      </c>
      <c r="F31" s="32"/>
      <c r="G31" s="57" t="s">
        <v>696</v>
      </c>
      <c r="H31" s="33"/>
      <c r="I31" s="13"/>
      <c r="J31" s="34"/>
      <c r="K31" s="46"/>
      <c r="L31" s="36"/>
      <c r="M31" s="34"/>
      <c r="N31" s="37"/>
      <c r="O31" s="38"/>
      <c r="P31" s="39"/>
      <c r="Q31" s="40"/>
      <c r="R31" s="41"/>
      <c r="S31" s="42"/>
      <c r="T31" s="42"/>
      <c r="U31" s="34"/>
      <c r="V31" s="34"/>
      <c r="W31" s="13"/>
    </row>
    <row r="32" ht="18.75" customHeight="1">
      <c r="A32" s="13"/>
      <c r="B32" s="56" t="s">
        <v>697</v>
      </c>
      <c r="C32" s="47">
        <f>IFERROR(__xludf.DUMMYFUNCTION("""COMPUTED_VALUE"""),3851000.0)</f>
        <v>3851000</v>
      </c>
      <c r="D32" s="31" t="s">
        <v>9</v>
      </c>
      <c r="E32" s="31" t="s">
        <v>17</v>
      </c>
      <c r="F32" s="32"/>
      <c r="G32" s="57" t="s">
        <v>698</v>
      </c>
      <c r="H32" s="33"/>
      <c r="I32" s="13"/>
      <c r="J32" s="34"/>
      <c r="K32" s="46"/>
      <c r="L32" s="36"/>
      <c r="M32" s="34"/>
      <c r="N32" s="37"/>
      <c r="O32" s="38"/>
      <c r="P32" s="39"/>
      <c r="Q32" s="40"/>
      <c r="R32" s="41"/>
      <c r="S32" s="42"/>
      <c r="T32" s="42"/>
      <c r="U32" s="34"/>
      <c r="V32" s="34"/>
      <c r="W32" s="13"/>
    </row>
    <row r="33" ht="18.75" customHeight="1">
      <c r="A33" s="13"/>
      <c r="B33" s="56" t="s">
        <v>699</v>
      </c>
      <c r="C33" s="47">
        <f>IFERROR(__xludf.DUMMYFUNCTION("""COMPUTED_VALUE"""),2058908.0)</f>
        <v>2058908</v>
      </c>
      <c r="D33" s="31" t="s">
        <v>9</v>
      </c>
      <c r="E33" s="31" t="s">
        <v>35</v>
      </c>
      <c r="F33" s="32"/>
      <c r="G33" s="57" t="s">
        <v>700</v>
      </c>
      <c r="H33" s="51" t="s">
        <v>701</v>
      </c>
      <c r="I33" s="13"/>
      <c r="J33" s="34"/>
      <c r="K33" s="46"/>
      <c r="L33" s="36"/>
      <c r="M33" s="34"/>
      <c r="N33" s="37"/>
      <c r="O33" s="38"/>
      <c r="P33" s="39"/>
      <c r="Q33" s="40"/>
      <c r="R33" s="41"/>
      <c r="S33" s="42"/>
      <c r="T33" s="42"/>
      <c r="U33" s="34"/>
      <c r="V33" s="34"/>
      <c r="W33" s="13"/>
    </row>
    <row r="34" ht="18.75" customHeight="1">
      <c r="A34" s="13"/>
      <c r="B34" s="56" t="s">
        <v>702</v>
      </c>
      <c r="C34" s="47">
        <f>IFERROR(__xludf.DUMMYFUNCTION("""COMPUTED_VALUE"""),804959.0)</f>
        <v>804959</v>
      </c>
      <c r="D34" s="31" t="s">
        <v>10</v>
      </c>
      <c r="E34" s="31" t="s">
        <v>17</v>
      </c>
      <c r="F34" s="32"/>
      <c r="G34" s="57" t="s">
        <v>703</v>
      </c>
      <c r="H34" s="33"/>
      <c r="I34" s="13"/>
      <c r="J34" s="34"/>
      <c r="K34" s="46"/>
      <c r="L34" s="36"/>
      <c r="M34" s="34"/>
      <c r="N34" s="37"/>
      <c r="O34" s="38"/>
      <c r="P34" s="39"/>
      <c r="Q34" s="40"/>
      <c r="R34" s="41"/>
      <c r="S34" s="42"/>
      <c r="T34" s="42"/>
      <c r="U34" s="34"/>
      <c r="V34" s="34"/>
      <c r="W34" s="13"/>
    </row>
    <row r="35" ht="18.75" customHeight="1">
      <c r="A35" s="13"/>
      <c r="B35" s="56" t="s">
        <v>704</v>
      </c>
      <c r="C35" s="47">
        <f>IFERROR(__xludf.DUMMYFUNCTION("""COMPUTED_VALUE"""),2856139.0)</f>
        <v>2856139</v>
      </c>
      <c r="D35" s="31" t="s">
        <v>9</v>
      </c>
      <c r="E35" s="31" t="s">
        <v>35</v>
      </c>
      <c r="F35" s="32"/>
      <c r="G35" s="57" t="s">
        <v>646</v>
      </c>
      <c r="H35" s="51" t="s">
        <v>705</v>
      </c>
      <c r="I35" s="13"/>
      <c r="J35" s="34"/>
      <c r="K35" s="46"/>
      <c r="L35" s="36"/>
      <c r="M35" s="34"/>
      <c r="N35" s="37"/>
      <c r="O35" s="38"/>
      <c r="P35" s="39"/>
      <c r="Q35" s="40"/>
      <c r="R35" s="41"/>
      <c r="S35" s="42"/>
      <c r="T35" s="42"/>
      <c r="U35" s="34"/>
      <c r="V35" s="34"/>
      <c r="W35" s="13"/>
    </row>
    <row r="36" ht="18.75" customHeight="1">
      <c r="A36" s="13"/>
      <c r="B36" s="44"/>
      <c r="C36" s="47"/>
      <c r="D36" s="31"/>
      <c r="E36" s="32"/>
      <c r="F36" s="32"/>
      <c r="G36" s="33"/>
      <c r="H36" s="33"/>
      <c r="I36" s="13"/>
      <c r="J36" s="34"/>
      <c r="K36" s="46"/>
      <c r="L36" s="36"/>
      <c r="M36" s="34"/>
      <c r="N36" s="37"/>
      <c r="O36" s="38"/>
      <c r="P36" s="39"/>
      <c r="Q36" s="40"/>
      <c r="R36" s="41"/>
      <c r="S36" s="42"/>
      <c r="T36" s="42"/>
      <c r="U36" s="34"/>
      <c r="V36" s="34"/>
      <c r="W36" s="13"/>
    </row>
    <row r="37" ht="18.75" customHeight="1">
      <c r="A37" s="13"/>
      <c r="B37" s="56" t="s">
        <v>706</v>
      </c>
      <c r="C37" s="47">
        <f>IFERROR(__xludf.DUMMYFUNCTION("""COMPUTED_VALUE"""),3499229.0)</f>
        <v>3499229</v>
      </c>
      <c r="D37" s="31" t="s">
        <v>11</v>
      </c>
      <c r="E37" s="31" t="s">
        <v>17</v>
      </c>
      <c r="F37" s="32"/>
      <c r="G37" s="57" t="s">
        <v>677</v>
      </c>
      <c r="H37" s="33"/>
      <c r="I37" s="13"/>
      <c r="J37" s="34"/>
      <c r="K37" s="46"/>
      <c r="L37" s="36"/>
      <c r="M37" s="34"/>
      <c r="N37" s="37"/>
      <c r="O37" s="38"/>
      <c r="P37" s="39"/>
      <c r="Q37" s="40"/>
      <c r="R37" s="41"/>
      <c r="S37" s="42"/>
      <c r="T37" s="42"/>
      <c r="U37" s="34"/>
      <c r="V37" s="34"/>
      <c r="W37" s="13"/>
    </row>
    <row r="38" ht="18.75" customHeight="1">
      <c r="A38" s="13"/>
      <c r="B38" s="68" t="s">
        <v>707</v>
      </c>
      <c r="C38" s="47">
        <f>IFERROR(__xludf.DUMMYFUNCTION("""COMPUTED_VALUE"""),4197268.0)</f>
        <v>4197268</v>
      </c>
      <c r="D38" s="31" t="s">
        <v>11</v>
      </c>
      <c r="E38" s="31" t="s">
        <v>17</v>
      </c>
      <c r="F38" s="32"/>
      <c r="G38" s="57" t="s">
        <v>670</v>
      </c>
      <c r="H38" s="33"/>
      <c r="I38" s="13"/>
      <c r="J38" s="34"/>
      <c r="K38" s="46"/>
      <c r="L38" s="36"/>
      <c r="M38" s="34"/>
      <c r="N38" s="37"/>
      <c r="O38" s="38"/>
      <c r="P38" s="39"/>
      <c r="Q38" s="40"/>
      <c r="R38" s="41"/>
      <c r="S38" s="42"/>
      <c r="T38" s="42"/>
      <c r="U38" s="34"/>
      <c r="V38" s="34"/>
      <c r="W38" s="13"/>
    </row>
    <row r="39" ht="18.75" customHeight="1">
      <c r="A39" s="13"/>
      <c r="B39" s="47">
        <v>86079.0</v>
      </c>
      <c r="C39" s="47">
        <f>IFERROR(__xludf.DUMMYFUNCTION("""COMPUTED_VALUE"""),86079.0)</f>
        <v>86079</v>
      </c>
      <c r="D39" s="31" t="s">
        <v>11</v>
      </c>
      <c r="E39" s="31" t="s">
        <v>35</v>
      </c>
      <c r="F39" s="32"/>
      <c r="G39" s="57" t="s">
        <v>591</v>
      </c>
      <c r="H39" s="33"/>
      <c r="I39" s="13"/>
      <c r="J39" s="34"/>
      <c r="K39" s="46"/>
      <c r="L39" s="36"/>
      <c r="M39" s="34"/>
      <c r="N39" s="37"/>
      <c r="O39" s="38"/>
      <c r="P39" s="39"/>
      <c r="Q39" s="40"/>
      <c r="R39" s="41"/>
      <c r="S39" s="42"/>
      <c r="T39" s="42"/>
      <c r="U39" s="34"/>
      <c r="V39" s="34"/>
      <c r="W39" s="13"/>
    </row>
    <row r="40" ht="18.75" customHeight="1">
      <c r="A40" s="13"/>
      <c r="B40" s="56" t="s">
        <v>708</v>
      </c>
      <c r="C40" s="47">
        <f>IFERROR(__xludf.DUMMYFUNCTION("""COMPUTED_VALUE"""),2849167.0)</f>
        <v>2849167</v>
      </c>
      <c r="D40" s="31" t="s">
        <v>10</v>
      </c>
      <c r="E40" s="31" t="s">
        <v>17</v>
      </c>
      <c r="F40" s="32"/>
      <c r="G40" s="57" t="s">
        <v>709</v>
      </c>
      <c r="H40" s="33"/>
      <c r="I40" s="13"/>
      <c r="J40" s="34"/>
      <c r="K40" s="46"/>
      <c r="L40" s="36"/>
      <c r="M40" s="34"/>
      <c r="N40" s="37"/>
      <c r="O40" s="38"/>
      <c r="P40" s="39"/>
      <c r="Q40" s="40"/>
      <c r="R40" s="41"/>
      <c r="S40" s="42"/>
      <c r="T40" s="42"/>
      <c r="U40" s="34"/>
      <c r="V40" s="34"/>
      <c r="W40" s="13"/>
    </row>
    <row r="41" ht="18.75" customHeight="1">
      <c r="A41" s="13"/>
      <c r="B41" s="56" t="s">
        <v>710</v>
      </c>
      <c r="C41" s="47">
        <f>IFERROR(__xludf.DUMMYFUNCTION("""COMPUTED_VALUE"""),4150885.0)</f>
        <v>4150885</v>
      </c>
      <c r="D41" s="31" t="s">
        <v>10</v>
      </c>
      <c r="E41" s="31" t="s">
        <v>17</v>
      </c>
      <c r="F41" s="32"/>
      <c r="G41" s="57" t="s">
        <v>665</v>
      </c>
      <c r="H41" s="33"/>
      <c r="I41" s="13"/>
      <c r="J41" s="34"/>
      <c r="K41" s="46"/>
      <c r="L41" s="36"/>
      <c r="M41" s="34"/>
      <c r="N41" s="37"/>
      <c r="O41" s="38"/>
      <c r="P41" s="39"/>
      <c r="Q41" s="40"/>
      <c r="R41" s="41"/>
      <c r="S41" s="42"/>
      <c r="T41" s="42"/>
      <c r="U41" s="34"/>
      <c r="V41" s="34"/>
      <c r="W41" s="13"/>
    </row>
    <row r="42" ht="18.75" customHeight="1">
      <c r="A42" s="13"/>
      <c r="B42" s="56" t="s">
        <v>711</v>
      </c>
      <c r="C42" s="47">
        <f>IFERROR(__xludf.DUMMYFUNCTION("""COMPUTED_VALUE"""),3798371.0)</f>
        <v>3798371</v>
      </c>
      <c r="D42" s="31" t="s">
        <v>10</v>
      </c>
      <c r="E42" s="31" t="s">
        <v>17</v>
      </c>
      <c r="F42" s="32"/>
      <c r="G42" s="57" t="s">
        <v>712</v>
      </c>
      <c r="H42" s="33"/>
      <c r="I42" s="13"/>
      <c r="J42" s="34"/>
      <c r="K42" s="46"/>
      <c r="L42" s="36"/>
      <c r="M42" s="34"/>
      <c r="N42" s="37"/>
      <c r="O42" s="38"/>
      <c r="P42" s="39"/>
      <c r="Q42" s="40"/>
      <c r="R42" s="41"/>
      <c r="S42" s="42"/>
      <c r="T42" s="42"/>
      <c r="U42" s="34"/>
      <c r="V42" s="34"/>
      <c r="W42" s="13"/>
    </row>
    <row r="43" ht="18.75" customHeight="1">
      <c r="A43" s="13"/>
      <c r="B43" s="56" t="s">
        <v>713</v>
      </c>
      <c r="C43" s="47">
        <f>IFERROR(__xludf.DUMMYFUNCTION("""COMPUTED_VALUE"""),2839573.0)</f>
        <v>2839573</v>
      </c>
      <c r="D43" s="31" t="s">
        <v>7</v>
      </c>
      <c r="E43" s="31" t="s">
        <v>35</v>
      </c>
      <c r="F43" s="32"/>
      <c r="G43" s="57" t="s">
        <v>714</v>
      </c>
      <c r="H43" s="51" t="s">
        <v>715</v>
      </c>
      <c r="I43" s="13"/>
      <c r="J43" s="34"/>
      <c r="K43" s="46"/>
      <c r="L43" s="36"/>
      <c r="M43" s="34"/>
      <c r="N43" s="37"/>
      <c r="O43" s="38"/>
      <c r="P43" s="39"/>
      <c r="Q43" s="40"/>
      <c r="R43" s="41"/>
      <c r="S43" s="42"/>
      <c r="T43" s="42"/>
      <c r="U43" s="34"/>
      <c r="V43" s="34"/>
      <c r="W43" s="13"/>
    </row>
    <row r="44" ht="18.75" customHeight="1">
      <c r="A44" s="13"/>
      <c r="B44" s="56" t="s">
        <v>716</v>
      </c>
      <c r="C44" s="47">
        <f>IFERROR(__xludf.DUMMYFUNCTION("""COMPUTED_VALUE"""),3711739.0)</f>
        <v>3711739</v>
      </c>
      <c r="D44" s="31" t="s">
        <v>7</v>
      </c>
      <c r="E44" s="31" t="s">
        <v>35</v>
      </c>
      <c r="F44" s="32"/>
      <c r="G44" s="57" t="s">
        <v>717</v>
      </c>
      <c r="H44" s="51" t="s">
        <v>718</v>
      </c>
      <c r="I44" s="13"/>
      <c r="J44" s="34"/>
      <c r="K44" s="46"/>
      <c r="L44" s="36"/>
      <c r="M44" s="34"/>
      <c r="N44" s="37"/>
      <c r="O44" s="38"/>
      <c r="P44" s="39"/>
      <c r="Q44" s="40"/>
      <c r="R44" s="41"/>
      <c r="S44" s="42"/>
      <c r="T44" s="42"/>
      <c r="U44" s="34"/>
      <c r="V44" s="34"/>
      <c r="W44" s="13"/>
    </row>
    <row r="45" ht="18.75" customHeight="1">
      <c r="A45" s="13"/>
      <c r="B45" s="56" t="s">
        <v>719</v>
      </c>
      <c r="C45" s="47">
        <f>IFERROR(__xludf.DUMMYFUNCTION("""COMPUTED_VALUE"""),2835894.0)</f>
        <v>2835894</v>
      </c>
      <c r="D45" s="31" t="s">
        <v>7</v>
      </c>
      <c r="E45" s="32"/>
      <c r="F45" s="32"/>
      <c r="G45" s="57" t="s">
        <v>720</v>
      </c>
      <c r="H45" s="51" t="s">
        <v>721</v>
      </c>
      <c r="I45" s="13"/>
      <c r="J45" s="34"/>
      <c r="K45" s="46"/>
      <c r="L45" s="36"/>
      <c r="M45" s="34"/>
      <c r="N45" s="37"/>
      <c r="O45" s="38"/>
      <c r="P45" s="39"/>
      <c r="Q45" s="40"/>
      <c r="R45" s="41"/>
      <c r="S45" s="42"/>
      <c r="T45" s="42"/>
      <c r="U45" s="34"/>
      <c r="V45" s="34"/>
      <c r="W45" s="13"/>
    </row>
    <row r="46" ht="18.75" customHeight="1">
      <c r="A46" s="13"/>
      <c r="B46" s="56" t="s">
        <v>722</v>
      </c>
      <c r="C46" s="47">
        <f>IFERROR(__xludf.DUMMYFUNCTION("""COMPUTED_VALUE"""),3404589.0)</f>
        <v>3404589</v>
      </c>
      <c r="D46" s="31" t="s">
        <v>7</v>
      </c>
      <c r="E46" s="31" t="s">
        <v>35</v>
      </c>
      <c r="F46" s="32"/>
      <c r="G46" s="57" t="s">
        <v>723</v>
      </c>
      <c r="H46" s="51" t="s">
        <v>384</v>
      </c>
      <c r="I46" s="13"/>
      <c r="J46" s="34"/>
      <c r="K46" s="46"/>
      <c r="L46" s="36"/>
      <c r="M46" s="34"/>
      <c r="N46" s="37"/>
      <c r="O46" s="38"/>
      <c r="P46" s="39"/>
      <c r="Q46" s="40"/>
      <c r="R46" s="41"/>
      <c r="S46" s="42"/>
      <c r="T46" s="42"/>
      <c r="U46" s="34"/>
      <c r="V46" s="34"/>
      <c r="W46" s="13"/>
    </row>
    <row r="47" ht="18.75" customHeight="1">
      <c r="A47" s="13"/>
      <c r="B47" s="56" t="s">
        <v>724</v>
      </c>
      <c r="C47" s="47">
        <f>IFERROR(__xludf.DUMMYFUNCTION("""COMPUTED_VALUE"""),345642.0)</f>
        <v>345642</v>
      </c>
      <c r="D47" s="31" t="s">
        <v>10</v>
      </c>
      <c r="E47" s="31" t="s">
        <v>35</v>
      </c>
      <c r="F47" s="32"/>
      <c r="G47" s="57" t="s">
        <v>657</v>
      </c>
      <c r="H47" s="51" t="s">
        <v>725</v>
      </c>
      <c r="I47" s="13"/>
      <c r="J47" s="34"/>
      <c r="K47" s="46"/>
      <c r="L47" s="36"/>
      <c r="M47" s="34"/>
      <c r="N47" s="37"/>
      <c r="O47" s="38"/>
      <c r="P47" s="39"/>
      <c r="Q47" s="40"/>
      <c r="R47" s="41"/>
      <c r="S47" s="42"/>
      <c r="T47" s="42"/>
      <c r="U47" s="34"/>
      <c r="V47" s="34"/>
      <c r="W47" s="13"/>
    </row>
    <row r="48" ht="18.75" customHeight="1">
      <c r="A48" s="13"/>
      <c r="B48" s="56" t="s">
        <v>726</v>
      </c>
      <c r="C48" s="47">
        <f>IFERROR(__xludf.DUMMYFUNCTION("""COMPUTED_VALUE"""),2970566.0)</f>
        <v>2970566</v>
      </c>
      <c r="D48" s="31" t="s">
        <v>10</v>
      </c>
      <c r="E48" s="31" t="s">
        <v>35</v>
      </c>
      <c r="F48" s="32"/>
      <c r="G48" s="57" t="s">
        <v>727</v>
      </c>
      <c r="H48" s="51" t="s">
        <v>728</v>
      </c>
      <c r="I48" s="13"/>
      <c r="J48" s="34"/>
      <c r="K48" s="46"/>
      <c r="L48" s="36"/>
      <c r="M48" s="34"/>
      <c r="N48" s="37"/>
      <c r="O48" s="38"/>
      <c r="P48" s="39"/>
      <c r="Q48" s="40"/>
      <c r="R48" s="41"/>
      <c r="S48" s="42"/>
      <c r="T48" s="42"/>
      <c r="U48" s="34"/>
      <c r="V48" s="34"/>
      <c r="W48" s="13"/>
    </row>
    <row r="49" ht="18.75" customHeight="1">
      <c r="A49" s="13"/>
      <c r="B49" s="56" t="s">
        <v>729</v>
      </c>
      <c r="C49" s="47">
        <f>IFERROR(__xludf.DUMMYFUNCTION("""COMPUTED_VALUE"""),1035068.0)</f>
        <v>1035068</v>
      </c>
      <c r="D49" s="31" t="s">
        <v>10</v>
      </c>
      <c r="E49" s="31" t="s">
        <v>35</v>
      </c>
      <c r="F49" s="32"/>
      <c r="G49" s="57" t="s">
        <v>730</v>
      </c>
      <c r="H49" s="51" t="s">
        <v>725</v>
      </c>
      <c r="I49" s="13"/>
      <c r="J49" s="34"/>
      <c r="K49" s="46"/>
      <c r="L49" s="36"/>
      <c r="M49" s="34"/>
      <c r="N49" s="37"/>
      <c r="O49" s="38"/>
      <c r="P49" s="39"/>
      <c r="Q49" s="40"/>
      <c r="R49" s="41"/>
      <c r="S49" s="42"/>
      <c r="T49" s="42"/>
      <c r="U49" s="34"/>
      <c r="V49" s="34"/>
      <c r="W49" s="13"/>
    </row>
    <row r="50" ht="18.75" customHeight="1">
      <c r="A50" s="13"/>
      <c r="B50" s="56" t="s">
        <v>731</v>
      </c>
      <c r="C50" s="47">
        <f>IFERROR(__xludf.DUMMYFUNCTION("""COMPUTED_VALUE"""),824390.0)</f>
        <v>824390</v>
      </c>
      <c r="D50" s="31" t="s">
        <v>10</v>
      </c>
      <c r="E50" s="31" t="s">
        <v>35</v>
      </c>
      <c r="F50" s="32"/>
      <c r="G50" s="57" t="s">
        <v>732</v>
      </c>
      <c r="H50" s="51" t="s">
        <v>309</v>
      </c>
      <c r="I50" s="13"/>
      <c r="J50" s="34"/>
      <c r="K50" s="46"/>
      <c r="L50" s="36"/>
      <c r="M50" s="34"/>
      <c r="N50" s="37"/>
      <c r="O50" s="38"/>
      <c r="P50" s="39"/>
      <c r="Q50" s="40"/>
      <c r="R50" s="41"/>
      <c r="S50" s="42"/>
      <c r="T50" s="42"/>
      <c r="U50" s="34"/>
      <c r="V50" s="34"/>
      <c r="W50" s="13"/>
    </row>
    <row r="51" ht="18.75" customHeight="1">
      <c r="A51" s="13"/>
      <c r="B51" s="56" t="s">
        <v>733</v>
      </c>
      <c r="C51" s="47">
        <f>IFERROR(__xludf.DUMMYFUNCTION("""COMPUTED_VALUE"""),2111279.0)</f>
        <v>2111279</v>
      </c>
      <c r="D51" s="31" t="s">
        <v>7</v>
      </c>
      <c r="E51" s="31" t="s">
        <v>17</v>
      </c>
      <c r="F51" s="32"/>
      <c r="G51" s="57" t="s">
        <v>734</v>
      </c>
      <c r="H51" s="33"/>
      <c r="I51" s="13"/>
      <c r="J51" s="34"/>
      <c r="K51" s="46"/>
      <c r="L51" s="36"/>
      <c r="M51" s="34"/>
      <c r="N51" s="37"/>
      <c r="O51" s="38"/>
      <c r="P51" s="39"/>
      <c r="Q51" s="40"/>
      <c r="R51" s="41"/>
      <c r="S51" s="42"/>
      <c r="T51" s="42"/>
      <c r="U51" s="34"/>
      <c r="V51" s="34"/>
      <c r="W51" s="13"/>
    </row>
    <row r="52" ht="18.75" customHeight="1">
      <c r="A52" s="13"/>
      <c r="B52" s="56" t="s">
        <v>735</v>
      </c>
      <c r="C52" s="47">
        <f>IFERROR(__xludf.DUMMYFUNCTION("""COMPUTED_VALUE"""),2417645.0)</f>
        <v>2417645</v>
      </c>
      <c r="D52" s="31" t="s">
        <v>8</v>
      </c>
      <c r="E52" s="31" t="s">
        <v>17</v>
      </c>
      <c r="F52" s="32"/>
      <c r="G52" s="57" t="s">
        <v>736</v>
      </c>
      <c r="H52" s="33"/>
      <c r="I52" s="13"/>
      <c r="J52" s="34"/>
      <c r="K52" s="46"/>
      <c r="L52" s="36"/>
      <c r="M52" s="34"/>
      <c r="N52" s="37"/>
      <c r="O52" s="38"/>
      <c r="P52" s="39"/>
      <c r="Q52" s="40"/>
      <c r="R52" s="41"/>
      <c r="S52" s="42"/>
      <c r="T52" s="42"/>
      <c r="U52" s="34"/>
      <c r="V52" s="34"/>
      <c r="W52" s="13"/>
    </row>
    <row r="53" ht="18.75" customHeight="1">
      <c r="A53" s="13"/>
      <c r="B53" s="56" t="s">
        <v>737</v>
      </c>
      <c r="C53" s="47">
        <f>IFERROR(__xludf.DUMMYFUNCTION("""COMPUTED_VALUE"""),765880.0)</f>
        <v>765880</v>
      </c>
      <c r="D53" s="31" t="s">
        <v>10</v>
      </c>
      <c r="E53" s="31" t="s">
        <v>17</v>
      </c>
      <c r="F53" s="32"/>
      <c r="G53" s="57" t="s">
        <v>651</v>
      </c>
      <c r="H53" s="33"/>
      <c r="I53" s="13"/>
      <c r="J53" s="34"/>
      <c r="K53" s="46"/>
      <c r="L53" s="36"/>
      <c r="M53" s="34"/>
      <c r="N53" s="37"/>
      <c r="O53" s="38"/>
      <c r="P53" s="39"/>
      <c r="Q53" s="40"/>
      <c r="R53" s="41"/>
      <c r="S53" s="42"/>
      <c r="T53" s="42"/>
      <c r="U53" s="34"/>
      <c r="V53" s="34"/>
      <c r="W53" s="13"/>
    </row>
    <row r="54" ht="18.75" customHeight="1">
      <c r="A54" s="13"/>
      <c r="B54" s="56" t="s">
        <v>738</v>
      </c>
      <c r="C54" s="47">
        <f>IFERROR(__xludf.DUMMYFUNCTION("""COMPUTED_VALUE"""),3396297.0)</f>
        <v>3396297</v>
      </c>
      <c r="D54" s="31" t="s">
        <v>11</v>
      </c>
      <c r="E54" s="31" t="s">
        <v>35</v>
      </c>
      <c r="F54" s="32"/>
      <c r="G54" s="57" t="s">
        <v>739</v>
      </c>
      <c r="H54" s="33"/>
      <c r="I54" s="13"/>
      <c r="J54" s="34"/>
      <c r="K54" s="46"/>
      <c r="L54" s="36"/>
      <c r="M54" s="34"/>
      <c r="N54" s="37"/>
      <c r="O54" s="38"/>
      <c r="P54" s="39"/>
      <c r="Q54" s="40"/>
      <c r="R54" s="41"/>
      <c r="S54" s="42"/>
      <c r="T54" s="42"/>
      <c r="U54" s="34"/>
      <c r="V54" s="34"/>
      <c r="W54" s="13"/>
    </row>
    <row r="55" ht="18.75" customHeight="1">
      <c r="A55" s="13"/>
      <c r="B55" s="56" t="s">
        <v>740</v>
      </c>
      <c r="C55" s="47">
        <f>IFERROR(__xludf.DUMMYFUNCTION("""COMPUTED_VALUE"""),2691754.0)</f>
        <v>2691754</v>
      </c>
      <c r="D55" s="31" t="s">
        <v>9</v>
      </c>
      <c r="E55" s="31" t="s">
        <v>35</v>
      </c>
      <c r="F55" s="32"/>
      <c r="G55" s="57" t="s">
        <v>642</v>
      </c>
      <c r="H55" s="33"/>
      <c r="I55" s="13"/>
      <c r="J55" s="34"/>
      <c r="K55" s="46"/>
      <c r="L55" s="36"/>
      <c r="M55" s="34"/>
      <c r="N55" s="37"/>
      <c r="O55" s="38"/>
      <c r="P55" s="39"/>
      <c r="Q55" s="40"/>
      <c r="R55" s="41"/>
      <c r="S55" s="42"/>
      <c r="T55" s="42"/>
      <c r="U55" s="34"/>
      <c r="V55" s="34"/>
      <c r="W55" s="13"/>
    </row>
    <row r="56" ht="18.75" customHeight="1">
      <c r="A56" s="13"/>
      <c r="B56" s="56" t="s">
        <v>741</v>
      </c>
      <c r="C56" s="47">
        <f>IFERROR(__xludf.DUMMYFUNCTION("""COMPUTED_VALUE"""),3802110.0)</f>
        <v>3802110</v>
      </c>
      <c r="D56" s="31" t="s">
        <v>7</v>
      </c>
      <c r="E56" s="31" t="s">
        <v>17</v>
      </c>
      <c r="F56" s="32"/>
      <c r="G56" s="57" t="s">
        <v>608</v>
      </c>
      <c r="H56" s="33"/>
      <c r="I56" s="13"/>
      <c r="J56" s="34"/>
      <c r="K56" s="46"/>
      <c r="L56" s="36"/>
      <c r="M56" s="34"/>
      <c r="N56" s="37"/>
      <c r="O56" s="38"/>
      <c r="P56" s="39"/>
      <c r="Q56" s="40"/>
      <c r="R56" s="41"/>
      <c r="S56" s="42"/>
      <c r="T56" s="42"/>
      <c r="U56" s="34"/>
      <c r="V56" s="34"/>
      <c r="W56" s="13"/>
    </row>
    <row r="57" ht="18.75" customHeight="1">
      <c r="A57" s="13"/>
      <c r="B57" s="56" t="s">
        <v>742</v>
      </c>
      <c r="C57" s="47">
        <f>IFERROR(__xludf.DUMMYFUNCTION("""COMPUTED_VALUE"""),2671858.0)</f>
        <v>2671858</v>
      </c>
      <c r="D57" s="31" t="s">
        <v>10</v>
      </c>
      <c r="E57" s="31" t="s">
        <v>17</v>
      </c>
      <c r="F57" s="32"/>
      <c r="G57" s="57" t="s">
        <v>661</v>
      </c>
      <c r="H57" s="33"/>
      <c r="I57" s="13"/>
      <c r="J57" s="34"/>
      <c r="K57" s="46"/>
      <c r="L57" s="36"/>
      <c r="M57" s="34"/>
      <c r="N57" s="37"/>
      <c r="O57" s="38"/>
      <c r="P57" s="39"/>
      <c r="Q57" s="40"/>
      <c r="R57" s="41"/>
      <c r="S57" s="42"/>
      <c r="T57" s="42"/>
      <c r="U57" s="34"/>
      <c r="V57" s="34"/>
      <c r="W57" s="13"/>
    </row>
    <row r="58" ht="18.75" customHeight="1">
      <c r="A58" s="13"/>
      <c r="B58" s="56" t="s">
        <v>743</v>
      </c>
      <c r="C58" s="47">
        <f>IFERROR(__xludf.DUMMYFUNCTION("""COMPUTED_VALUE"""),2288966.0)</f>
        <v>2288966</v>
      </c>
      <c r="D58" s="31" t="s">
        <v>9</v>
      </c>
      <c r="E58" s="31" t="s">
        <v>17</v>
      </c>
      <c r="F58" s="32"/>
      <c r="G58" s="57" t="s">
        <v>638</v>
      </c>
      <c r="H58" s="33"/>
      <c r="I58" s="13"/>
      <c r="J58" s="34"/>
      <c r="K58" s="46"/>
      <c r="L58" s="36"/>
      <c r="M58" s="34"/>
      <c r="N58" s="37"/>
      <c r="O58" s="38"/>
      <c r="P58" s="39"/>
      <c r="Q58" s="40"/>
      <c r="R58" s="41"/>
      <c r="S58" s="42"/>
      <c r="T58" s="42"/>
      <c r="U58" s="34"/>
      <c r="V58" s="34"/>
      <c r="W58" s="13"/>
    </row>
    <row r="59" ht="18.75" customHeight="1">
      <c r="A59" s="13"/>
      <c r="B59" s="56" t="s">
        <v>744</v>
      </c>
      <c r="C59" s="47">
        <f>IFERROR(__xludf.DUMMYFUNCTION("""COMPUTED_VALUE"""),3752605.0)</f>
        <v>3752605</v>
      </c>
      <c r="D59" s="31" t="s">
        <v>8</v>
      </c>
      <c r="E59" s="31" t="s">
        <v>17</v>
      </c>
      <c r="F59" s="32"/>
      <c r="G59" s="57" t="s">
        <v>745</v>
      </c>
      <c r="H59" s="33"/>
      <c r="I59" s="13"/>
      <c r="J59" s="34"/>
      <c r="K59" s="46"/>
      <c r="L59" s="36"/>
      <c r="M59" s="34"/>
      <c r="N59" s="37"/>
      <c r="O59" s="38"/>
      <c r="P59" s="39"/>
      <c r="Q59" s="40"/>
      <c r="R59" s="41"/>
      <c r="S59" s="42"/>
      <c r="T59" s="42"/>
      <c r="U59" s="34"/>
      <c r="V59" s="34"/>
      <c r="W59" s="13"/>
    </row>
    <row r="60" ht="18.75" customHeight="1">
      <c r="A60" s="13"/>
      <c r="B60" s="56" t="s">
        <v>746</v>
      </c>
      <c r="C60" s="47">
        <f>IFERROR(__xludf.DUMMYFUNCTION("""COMPUTED_VALUE"""),3953905.0)</f>
        <v>3953905</v>
      </c>
      <c r="D60" s="31" t="s">
        <v>8</v>
      </c>
      <c r="E60" s="31" t="s">
        <v>35</v>
      </c>
      <c r="F60" s="32"/>
      <c r="G60" s="57" t="s">
        <v>747</v>
      </c>
      <c r="H60" s="33"/>
      <c r="I60" s="13"/>
      <c r="J60" s="34"/>
      <c r="K60" s="46"/>
      <c r="L60" s="36"/>
      <c r="M60" s="34"/>
      <c r="N60" s="37"/>
      <c r="O60" s="38"/>
      <c r="P60" s="39"/>
      <c r="Q60" s="40"/>
      <c r="R60" s="41"/>
      <c r="S60" s="42"/>
      <c r="T60" s="42"/>
      <c r="U60" s="34"/>
      <c r="V60" s="34"/>
      <c r="W60" s="13"/>
    </row>
    <row r="61" ht="18.75" customHeight="1">
      <c r="A61" s="13"/>
      <c r="B61" s="56" t="s">
        <v>748</v>
      </c>
      <c r="C61" s="47">
        <f>IFERROR(__xludf.DUMMYFUNCTION("""COMPUTED_VALUE"""),309899.0)</f>
        <v>309899</v>
      </c>
      <c r="D61" s="31" t="s">
        <v>7</v>
      </c>
      <c r="E61" s="31" t="s">
        <v>35</v>
      </c>
      <c r="F61" s="32"/>
      <c r="G61" s="57" t="s">
        <v>749</v>
      </c>
      <c r="H61" s="33"/>
      <c r="I61" s="13"/>
      <c r="J61" s="34"/>
      <c r="K61" s="46"/>
      <c r="L61" s="36"/>
      <c r="M61" s="34"/>
      <c r="N61" s="37"/>
      <c r="O61" s="38"/>
      <c r="P61" s="39"/>
      <c r="Q61" s="40"/>
      <c r="R61" s="41"/>
      <c r="S61" s="42"/>
      <c r="T61" s="42"/>
      <c r="U61" s="34"/>
      <c r="V61" s="34"/>
      <c r="W61" s="13"/>
    </row>
    <row r="62" ht="18.75" customHeight="1">
      <c r="A62" s="13"/>
      <c r="B62" s="56" t="s">
        <v>750</v>
      </c>
      <c r="C62" s="47">
        <f>IFERROR(__xludf.DUMMYFUNCTION("""COMPUTED_VALUE"""),309900.0)</f>
        <v>309900</v>
      </c>
      <c r="D62" s="31" t="s">
        <v>7</v>
      </c>
      <c r="E62" s="31" t="s">
        <v>35</v>
      </c>
      <c r="F62" s="32"/>
      <c r="G62" s="57" t="s">
        <v>614</v>
      </c>
      <c r="H62" s="33"/>
      <c r="I62" s="13"/>
      <c r="J62" s="34"/>
      <c r="K62" s="46"/>
      <c r="L62" s="36"/>
      <c r="M62" s="34"/>
      <c r="N62" s="37"/>
      <c r="O62" s="38"/>
      <c r="P62" s="39"/>
      <c r="Q62" s="40"/>
      <c r="R62" s="41"/>
      <c r="S62" s="42"/>
      <c r="T62" s="42"/>
      <c r="U62" s="34"/>
      <c r="V62" s="34"/>
      <c r="W62" s="13"/>
    </row>
    <row r="63" ht="18.75" customHeight="1">
      <c r="A63" s="13"/>
      <c r="B63" s="56" t="s">
        <v>751</v>
      </c>
      <c r="C63" s="47">
        <f>IFERROR(__xludf.DUMMYFUNCTION("""COMPUTED_VALUE"""),3563737.0)</f>
        <v>3563737</v>
      </c>
      <c r="D63" s="31" t="s">
        <v>8</v>
      </c>
      <c r="E63" s="31" t="s">
        <v>17</v>
      </c>
      <c r="F63" s="32"/>
      <c r="G63" s="57" t="s">
        <v>630</v>
      </c>
      <c r="H63" s="33"/>
      <c r="I63" s="13"/>
      <c r="J63" s="34"/>
      <c r="K63" s="46"/>
      <c r="L63" s="36"/>
      <c r="M63" s="34"/>
      <c r="N63" s="37"/>
      <c r="O63" s="38"/>
      <c r="P63" s="39"/>
      <c r="Q63" s="40"/>
      <c r="R63" s="41"/>
      <c r="S63" s="42"/>
      <c r="T63" s="42"/>
      <c r="U63" s="34"/>
      <c r="V63" s="34"/>
      <c r="W63" s="13"/>
    </row>
    <row r="64" ht="18.75" customHeight="1">
      <c r="A64" s="13"/>
      <c r="B64" s="56" t="s">
        <v>752</v>
      </c>
      <c r="C64" s="47">
        <f>IFERROR(__xludf.DUMMYFUNCTION("""COMPUTED_VALUE"""),571620.0)</f>
        <v>571620</v>
      </c>
      <c r="D64" s="31" t="s">
        <v>8</v>
      </c>
      <c r="E64" s="31" t="s">
        <v>35</v>
      </c>
      <c r="F64" s="32"/>
      <c r="G64" s="57" t="s">
        <v>624</v>
      </c>
      <c r="H64" s="33"/>
      <c r="I64" s="13"/>
      <c r="J64" s="34"/>
      <c r="K64" s="46"/>
      <c r="L64" s="36"/>
      <c r="M64" s="34"/>
      <c r="N64" s="37"/>
      <c r="O64" s="38"/>
      <c r="P64" s="39"/>
      <c r="Q64" s="40"/>
      <c r="R64" s="41"/>
      <c r="S64" s="42"/>
      <c r="T64" s="42"/>
      <c r="U64" s="34"/>
      <c r="V64" s="34"/>
      <c r="W64" s="13"/>
    </row>
    <row r="65" ht="18.75" customHeight="1">
      <c r="A65" s="13"/>
      <c r="B65" s="48"/>
      <c r="C65" s="47"/>
      <c r="D65" s="32"/>
      <c r="E65" s="32"/>
      <c r="F65" s="32"/>
      <c r="G65" s="33"/>
      <c r="H65" s="33"/>
      <c r="I65" s="13"/>
      <c r="J65" s="34"/>
      <c r="K65" s="46"/>
      <c r="L65" s="36"/>
      <c r="M65" s="34"/>
      <c r="N65" s="37"/>
      <c r="O65" s="38"/>
      <c r="P65" s="39"/>
      <c r="Q65" s="40"/>
      <c r="R65" s="41"/>
      <c r="S65" s="42"/>
      <c r="T65" s="42"/>
      <c r="U65" s="34"/>
      <c r="V65" s="34"/>
      <c r="W65" s="13"/>
    </row>
    <row r="66" ht="18.75" customHeight="1">
      <c r="A66" s="13"/>
      <c r="B66" s="48"/>
      <c r="C66" s="47"/>
      <c r="D66" s="32"/>
      <c r="E66" s="32"/>
      <c r="F66" s="32"/>
      <c r="G66" s="33"/>
      <c r="H66" s="33"/>
      <c r="I66" s="13"/>
      <c r="J66" s="34"/>
      <c r="K66" s="46"/>
      <c r="L66" s="36"/>
      <c r="M66" s="34"/>
      <c r="N66" s="37"/>
      <c r="O66" s="38"/>
      <c r="P66" s="39"/>
      <c r="Q66" s="40"/>
      <c r="R66" s="41"/>
      <c r="S66" s="42"/>
      <c r="T66" s="42"/>
      <c r="U66" s="34"/>
      <c r="V66" s="34"/>
      <c r="W66" s="13"/>
    </row>
    <row r="67" ht="18.75" customHeight="1">
      <c r="A67" s="13"/>
      <c r="B67" s="48"/>
      <c r="C67" s="47"/>
      <c r="D67" s="32"/>
      <c r="E67" s="32"/>
      <c r="F67" s="32"/>
      <c r="G67" s="33"/>
      <c r="H67" s="33"/>
      <c r="I67" s="13"/>
      <c r="J67" s="34"/>
      <c r="K67" s="46"/>
      <c r="L67" s="36"/>
      <c r="M67" s="34"/>
      <c r="N67" s="37"/>
      <c r="O67" s="38"/>
      <c r="P67" s="39"/>
      <c r="Q67" s="40"/>
      <c r="R67" s="41"/>
      <c r="S67" s="42"/>
      <c r="T67" s="42"/>
      <c r="U67" s="34"/>
      <c r="V67" s="34"/>
      <c r="W67" s="13"/>
    </row>
    <row r="68" ht="18.75" customHeight="1">
      <c r="A68" s="13"/>
      <c r="B68" s="48"/>
      <c r="C68" s="47"/>
      <c r="D68" s="32"/>
      <c r="E68" s="32"/>
      <c r="F68" s="32"/>
      <c r="G68" s="33"/>
      <c r="H68" s="33"/>
      <c r="I68" s="13"/>
      <c r="J68" s="34"/>
      <c r="K68" s="46"/>
      <c r="L68" s="36"/>
      <c r="M68" s="34"/>
      <c r="N68" s="37"/>
      <c r="O68" s="38"/>
      <c r="P68" s="39"/>
      <c r="Q68" s="40"/>
      <c r="R68" s="41"/>
      <c r="S68" s="42"/>
      <c r="T68" s="42"/>
      <c r="U68" s="34"/>
      <c r="V68" s="34"/>
      <c r="W68" s="13"/>
    </row>
    <row r="69" ht="18.75" customHeight="1">
      <c r="A69" s="13"/>
      <c r="B69" s="48"/>
      <c r="C69" s="47"/>
      <c r="D69" s="32"/>
      <c r="E69" s="32"/>
      <c r="F69" s="32"/>
      <c r="G69" s="33"/>
      <c r="H69" s="33"/>
      <c r="I69" s="13"/>
      <c r="J69" s="34"/>
      <c r="K69" s="46"/>
      <c r="L69" s="36"/>
      <c r="M69" s="34"/>
      <c r="N69" s="37"/>
      <c r="O69" s="38"/>
      <c r="P69" s="39"/>
      <c r="Q69" s="40"/>
      <c r="R69" s="41"/>
      <c r="S69" s="42"/>
      <c r="T69" s="42"/>
      <c r="U69" s="34"/>
      <c r="V69" s="34"/>
      <c r="W69" s="13"/>
    </row>
    <row r="70" ht="18.75" customHeight="1">
      <c r="A70" s="13"/>
      <c r="B70" s="48"/>
      <c r="C70" s="47"/>
      <c r="D70" s="32"/>
      <c r="E70" s="32"/>
      <c r="F70" s="32"/>
      <c r="G70" s="33"/>
      <c r="H70" s="33"/>
      <c r="I70" s="13"/>
      <c r="J70" s="34"/>
      <c r="K70" s="46"/>
      <c r="L70" s="36"/>
      <c r="M70" s="34"/>
      <c r="N70" s="37"/>
      <c r="O70" s="38"/>
      <c r="P70" s="39"/>
      <c r="Q70" s="40"/>
      <c r="R70" s="41"/>
      <c r="S70" s="42"/>
      <c r="T70" s="42"/>
      <c r="U70" s="34"/>
      <c r="V70" s="34"/>
      <c r="W70" s="13"/>
    </row>
    <row r="71" ht="18.75" customHeight="1">
      <c r="A71" s="13"/>
      <c r="B71" s="48"/>
      <c r="C71" s="47"/>
      <c r="D71" s="32"/>
      <c r="E71" s="32"/>
      <c r="F71" s="32"/>
      <c r="G71" s="33"/>
      <c r="H71" s="33"/>
      <c r="I71" s="13"/>
      <c r="J71" s="34"/>
      <c r="K71" s="46"/>
      <c r="L71" s="36"/>
      <c r="M71" s="34"/>
      <c r="N71" s="37"/>
      <c r="O71" s="38"/>
      <c r="P71" s="39"/>
      <c r="Q71" s="40"/>
      <c r="R71" s="41"/>
      <c r="S71" s="42"/>
      <c r="T71" s="42"/>
      <c r="U71" s="34"/>
      <c r="V71" s="34"/>
      <c r="W71" s="13"/>
    </row>
    <row r="72" ht="18.75" customHeight="1">
      <c r="A72" s="13"/>
      <c r="B72" s="48"/>
      <c r="C72" s="47"/>
      <c r="D72" s="32"/>
      <c r="E72" s="32"/>
      <c r="F72" s="32"/>
      <c r="G72" s="33"/>
      <c r="H72" s="33"/>
      <c r="I72" s="13"/>
      <c r="J72" s="34"/>
      <c r="K72" s="46"/>
      <c r="L72" s="36"/>
      <c r="M72" s="34"/>
      <c r="N72" s="37"/>
      <c r="O72" s="38"/>
      <c r="P72" s="39"/>
      <c r="Q72" s="40"/>
      <c r="R72" s="41"/>
      <c r="S72" s="42"/>
      <c r="T72" s="42"/>
      <c r="U72" s="34"/>
      <c r="V72" s="34"/>
      <c r="W72" s="13"/>
    </row>
    <row r="73" ht="18.75" customHeight="1">
      <c r="A73" s="13"/>
      <c r="B73" s="48"/>
      <c r="C73" s="47"/>
      <c r="D73" s="32"/>
      <c r="E73" s="32"/>
      <c r="F73" s="32"/>
      <c r="G73" s="33"/>
      <c r="H73" s="33"/>
      <c r="I73" s="13"/>
      <c r="J73" s="34"/>
      <c r="K73" s="46"/>
      <c r="L73" s="36"/>
      <c r="M73" s="34"/>
      <c r="N73" s="37"/>
      <c r="O73" s="38"/>
      <c r="P73" s="39"/>
      <c r="Q73" s="40"/>
      <c r="R73" s="41"/>
      <c r="S73" s="42"/>
      <c r="T73" s="42"/>
      <c r="U73" s="34"/>
      <c r="V73" s="34"/>
      <c r="W73" s="13"/>
    </row>
    <row r="74" ht="18.75" customHeight="1">
      <c r="A74" s="13"/>
      <c r="B74" s="48"/>
      <c r="C74" s="47"/>
      <c r="D74" s="32"/>
      <c r="E74" s="32"/>
      <c r="F74" s="32"/>
      <c r="G74" s="33"/>
      <c r="H74" s="33"/>
      <c r="I74" s="13"/>
      <c r="J74" s="34"/>
      <c r="K74" s="46"/>
      <c r="L74" s="36"/>
      <c r="M74" s="34"/>
      <c r="N74" s="37"/>
      <c r="O74" s="38"/>
      <c r="P74" s="39"/>
      <c r="Q74" s="40"/>
      <c r="R74" s="41"/>
      <c r="S74" s="42"/>
      <c r="T74" s="42"/>
      <c r="U74" s="34"/>
      <c r="V74" s="34"/>
      <c r="W74" s="13"/>
    </row>
    <row r="75" ht="18.75" customHeight="1">
      <c r="A75" s="13"/>
      <c r="B75" s="48"/>
      <c r="C75" s="47"/>
      <c r="D75" s="32"/>
      <c r="E75" s="32"/>
      <c r="F75" s="32"/>
      <c r="G75" s="33"/>
      <c r="H75" s="33"/>
      <c r="I75" s="13"/>
      <c r="J75" s="34"/>
      <c r="K75" s="46"/>
      <c r="L75" s="36"/>
      <c r="M75" s="34"/>
      <c r="N75" s="37"/>
      <c r="O75" s="38"/>
      <c r="P75" s="39"/>
      <c r="Q75" s="40"/>
      <c r="R75" s="41"/>
      <c r="S75" s="42"/>
      <c r="T75" s="42"/>
      <c r="U75" s="34"/>
      <c r="V75" s="34"/>
      <c r="W75" s="13"/>
    </row>
    <row r="76" ht="18.75" customHeight="1">
      <c r="A76" s="13"/>
      <c r="B76" s="48"/>
      <c r="C76" s="47"/>
      <c r="D76" s="32"/>
      <c r="E76" s="32"/>
      <c r="F76" s="32"/>
      <c r="G76" s="33"/>
      <c r="H76" s="33"/>
      <c r="I76" s="13"/>
      <c r="J76" s="34"/>
      <c r="K76" s="46"/>
      <c r="L76" s="36"/>
      <c r="M76" s="34"/>
      <c r="N76" s="37"/>
      <c r="O76" s="38"/>
      <c r="P76" s="39"/>
      <c r="Q76" s="40"/>
      <c r="R76" s="41"/>
      <c r="S76" s="42"/>
      <c r="T76" s="42"/>
      <c r="U76" s="34"/>
      <c r="V76" s="34"/>
      <c r="W76" s="13"/>
    </row>
    <row r="77" ht="18.75" customHeight="1">
      <c r="A77" s="13"/>
      <c r="B77" s="48"/>
      <c r="C77" s="47"/>
      <c r="D77" s="32"/>
      <c r="E77" s="32"/>
      <c r="F77" s="32"/>
      <c r="G77" s="33"/>
      <c r="H77" s="33"/>
      <c r="I77" s="13"/>
      <c r="J77" s="34"/>
      <c r="K77" s="46"/>
      <c r="L77" s="36"/>
      <c r="M77" s="34"/>
      <c r="N77" s="37"/>
      <c r="O77" s="38"/>
      <c r="P77" s="39"/>
      <c r="Q77" s="40"/>
      <c r="R77" s="41"/>
      <c r="S77" s="42"/>
      <c r="T77" s="42"/>
      <c r="U77" s="34"/>
      <c r="V77" s="34"/>
      <c r="W77" s="13"/>
    </row>
    <row r="78" ht="18.75" customHeight="1">
      <c r="A78" s="13"/>
      <c r="B78" s="48"/>
      <c r="C78" s="47"/>
      <c r="D78" s="32"/>
      <c r="E78" s="32"/>
      <c r="F78" s="32"/>
      <c r="G78" s="33"/>
      <c r="H78" s="33"/>
      <c r="I78" s="13"/>
      <c r="J78" s="34"/>
      <c r="K78" s="46"/>
      <c r="L78" s="36"/>
      <c r="M78" s="34"/>
      <c r="N78" s="37"/>
      <c r="O78" s="38"/>
      <c r="P78" s="39"/>
      <c r="Q78" s="40"/>
      <c r="R78" s="41"/>
      <c r="S78" s="42"/>
      <c r="T78" s="42"/>
      <c r="U78" s="34"/>
      <c r="V78" s="34"/>
      <c r="W78" s="13"/>
    </row>
    <row r="79" ht="18.75" customHeight="1">
      <c r="A79" s="13"/>
      <c r="B79" s="48"/>
      <c r="C79" s="47"/>
      <c r="D79" s="32"/>
      <c r="E79" s="32"/>
      <c r="F79" s="32"/>
      <c r="G79" s="33"/>
      <c r="H79" s="33"/>
      <c r="I79" s="13"/>
      <c r="J79" s="34"/>
      <c r="K79" s="46"/>
      <c r="L79" s="36"/>
      <c r="M79" s="34"/>
      <c r="N79" s="37"/>
      <c r="O79" s="38"/>
      <c r="P79" s="39"/>
      <c r="Q79" s="40"/>
      <c r="R79" s="41"/>
      <c r="S79" s="42"/>
      <c r="T79" s="42"/>
      <c r="U79" s="34"/>
      <c r="V79" s="34"/>
      <c r="W79" s="13"/>
    </row>
    <row r="80" ht="18.75" customHeight="1">
      <c r="A80" s="13"/>
      <c r="B80" s="48"/>
      <c r="C80" s="47"/>
      <c r="D80" s="32"/>
      <c r="E80" s="32"/>
      <c r="F80" s="32"/>
      <c r="G80" s="33"/>
      <c r="H80" s="33"/>
      <c r="I80" s="13"/>
      <c r="J80" s="34"/>
      <c r="K80" s="46"/>
      <c r="L80" s="36"/>
      <c r="M80" s="34"/>
      <c r="N80" s="37"/>
      <c r="O80" s="38"/>
      <c r="P80" s="39"/>
      <c r="Q80" s="40"/>
      <c r="R80" s="41"/>
      <c r="S80" s="42"/>
      <c r="T80" s="42"/>
      <c r="U80" s="34"/>
      <c r="V80" s="34"/>
      <c r="W80" s="13"/>
    </row>
    <row r="81" ht="18.75" customHeight="1">
      <c r="A81" s="13"/>
      <c r="B81" s="48"/>
      <c r="C81" s="47"/>
      <c r="D81" s="32"/>
      <c r="E81" s="32"/>
      <c r="F81" s="32"/>
      <c r="G81" s="33"/>
      <c r="H81" s="33"/>
      <c r="I81" s="13"/>
      <c r="J81" s="34"/>
      <c r="K81" s="46"/>
      <c r="L81" s="36"/>
      <c r="M81" s="34"/>
      <c r="N81" s="37"/>
      <c r="O81" s="38"/>
      <c r="P81" s="39"/>
      <c r="Q81" s="40"/>
      <c r="R81" s="41"/>
      <c r="S81" s="42"/>
      <c r="T81" s="42"/>
      <c r="U81" s="34"/>
      <c r="V81" s="34"/>
      <c r="W81" s="13"/>
    </row>
    <row r="82" ht="18.75" customHeight="1">
      <c r="A82" s="13"/>
      <c r="B82" s="48"/>
      <c r="C82" s="47"/>
      <c r="D82" s="32"/>
      <c r="E82" s="32"/>
      <c r="F82" s="32"/>
      <c r="G82" s="33"/>
      <c r="H82" s="33"/>
      <c r="I82" s="13"/>
      <c r="J82" s="34"/>
      <c r="K82" s="46"/>
      <c r="L82" s="36"/>
      <c r="M82" s="34"/>
      <c r="N82" s="37"/>
      <c r="O82" s="38"/>
      <c r="P82" s="39"/>
      <c r="Q82" s="40"/>
      <c r="R82" s="41"/>
      <c r="S82" s="42"/>
      <c r="T82" s="42"/>
      <c r="U82" s="34"/>
      <c r="V82" s="34"/>
      <c r="W82" s="13"/>
    </row>
    <row r="83" ht="18.75" customHeight="1">
      <c r="A83" s="13"/>
      <c r="B83" s="48"/>
      <c r="C83" s="47"/>
      <c r="D83" s="32"/>
      <c r="E83" s="32"/>
      <c r="F83" s="32"/>
      <c r="G83" s="33"/>
      <c r="H83" s="33"/>
      <c r="I83" s="13"/>
      <c r="J83" s="34"/>
      <c r="K83" s="46"/>
      <c r="L83" s="36"/>
      <c r="M83" s="34"/>
      <c r="N83" s="37"/>
      <c r="O83" s="38"/>
      <c r="P83" s="39"/>
      <c r="Q83" s="40"/>
      <c r="R83" s="41"/>
      <c r="S83" s="42"/>
      <c r="T83" s="42"/>
      <c r="U83" s="34"/>
      <c r="V83" s="34"/>
      <c r="W83" s="13"/>
    </row>
    <row r="84" ht="18.75" customHeight="1">
      <c r="A84" s="13"/>
      <c r="B84" s="48"/>
      <c r="C84" s="47"/>
      <c r="D84" s="32"/>
      <c r="E84" s="32"/>
      <c r="F84" s="32"/>
      <c r="G84" s="33"/>
      <c r="H84" s="33"/>
      <c r="I84" s="13"/>
      <c r="J84" s="34"/>
      <c r="K84" s="46"/>
      <c r="L84" s="36"/>
      <c r="M84" s="34"/>
      <c r="N84" s="37"/>
      <c r="O84" s="38"/>
      <c r="P84" s="39"/>
      <c r="Q84" s="40"/>
      <c r="R84" s="41"/>
      <c r="S84" s="42"/>
      <c r="T84" s="42"/>
      <c r="U84" s="34"/>
      <c r="V84" s="34"/>
      <c r="W84" s="13"/>
    </row>
    <row r="85" ht="18.75" customHeight="1">
      <c r="A85" s="13"/>
      <c r="B85" s="48"/>
      <c r="C85" s="47"/>
      <c r="D85" s="32"/>
      <c r="E85" s="32"/>
      <c r="F85" s="32"/>
      <c r="G85" s="33"/>
      <c r="H85" s="33"/>
      <c r="I85" s="13"/>
      <c r="J85" s="34"/>
      <c r="K85" s="46"/>
      <c r="L85" s="36"/>
      <c r="M85" s="34"/>
      <c r="N85" s="37"/>
      <c r="O85" s="38"/>
      <c r="P85" s="39"/>
      <c r="Q85" s="40"/>
      <c r="R85" s="41"/>
      <c r="S85" s="42"/>
      <c r="T85" s="42"/>
      <c r="U85" s="34"/>
      <c r="V85" s="34"/>
      <c r="W85" s="13"/>
    </row>
    <row r="86" ht="18.75" customHeight="1">
      <c r="A86" s="13"/>
      <c r="B86" s="69">
        <v>975342.0</v>
      </c>
      <c r="C86" s="47">
        <f>IFERROR(__xludf.DUMMYFUNCTION("""COMPUTED_VALUE"""),975342.0)</f>
        <v>975342</v>
      </c>
      <c r="D86" s="32"/>
      <c r="E86" s="32"/>
      <c r="F86" s="32"/>
      <c r="G86" s="57" t="s">
        <v>753</v>
      </c>
      <c r="H86" s="33"/>
      <c r="I86" s="13"/>
      <c r="J86" s="34"/>
      <c r="K86" s="46"/>
      <c r="L86" s="36"/>
      <c r="M86" s="34"/>
      <c r="N86" s="37"/>
      <c r="O86" s="38"/>
      <c r="P86" s="39"/>
      <c r="Q86" s="40"/>
      <c r="R86" s="41"/>
      <c r="S86" s="42"/>
      <c r="T86" s="42"/>
      <c r="U86" s="34"/>
      <c r="V86" s="34"/>
      <c r="W86" s="13"/>
    </row>
    <row r="87" ht="18.75" customHeight="1">
      <c r="A87" s="13"/>
      <c r="B87" s="48"/>
      <c r="C87" s="47"/>
      <c r="D87" s="32"/>
      <c r="E87" s="32"/>
      <c r="F87" s="32"/>
      <c r="G87" s="33"/>
      <c r="H87" s="33"/>
      <c r="I87" s="13"/>
      <c r="J87" s="34"/>
      <c r="K87" s="46"/>
      <c r="L87" s="36"/>
      <c r="M87" s="34"/>
      <c r="N87" s="37"/>
      <c r="O87" s="38"/>
      <c r="P87" s="39"/>
      <c r="Q87" s="40"/>
      <c r="R87" s="41"/>
      <c r="S87" s="42"/>
      <c r="T87" s="42"/>
      <c r="U87" s="34"/>
      <c r="V87" s="34"/>
      <c r="W87" s="13"/>
    </row>
    <row r="88" ht="18.75" customHeight="1">
      <c r="A88" s="13"/>
      <c r="B88" s="48"/>
      <c r="C88" s="47"/>
      <c r="D88" s="32"/>
      <c r="E88" s="32"/>
      <c r="F88" s="32"/>
      <c r="G88" s="33"/>
      <c r="H88" s="33"/>
      <c r="I88" s="13"/>
      <c r="J88" s="34"/>
      <c r="K88" s="46"/>
      <c r="L88" s="36"/>
      <c r="M88" s="34"/>
      <c r="N88" s="37"/>
      <c r="O88" s="38"/>
      <c r="P88" s="39"/>
      <c r="Q88" s="40"/>
      <c r="R88" s="41"/>
      <c r="S88" s="42"/>
      <c r="T88" s="42"/>
      <c r="U88" s="34"/>
      <c r="V88" s="34"/>
      <c r="W88" s="13"/>
    </row>
    <row r="89" ht="18.75" customHeight="1">
      <c r="A89" s="13"/>
      <c r="B89" s="48"/>
      <c r="C89" s="47"/>
      <c r="D89" s="32"/>
      <c r="E89" s="32"/>
      <c r="F89" s="32"/>
      <c r="G89" s="33"/>
      <c r="H89" s="33"/>
      <c r="I89" s="13"/>
      <c r="J89" s="34"/>
      <c r="K89" s="46"/>
      <c r="L89" s="36"/>
      <c r="M89" s="34"/>
      <c r="N89" s="37"/>
      <c r="O89" s="38"/>
      <c r="P89" s="39"/>
      <c r="Q89" s="40"/>
      <c r="R89" s="41"/>
      <c r="S89" s="42"/>
      <c r="T89" s="42"/>
      <c r="U89" s="34"/>
      <c r="V89" s="34"/>
      <c r="W89" s="13"/>
    </row>
    <row r="90" ht="18.75" customHeight="1">
      <c r="A90" s="13"/>
      <c r="B90" s="48"/>
      <c r="C90" s="47"/>
      <c r="D90" s="32"/>
      <c r="E90" s="32"/>
      <c r="F90" s="32"/>
      <c r="G90" s="33"/>
      <c r="H90" s="33"/>
      <c r="I90" s="13"/>
      <c r="J90" s="34"/>
      <c r="K90" s="46"/>
      <c r="L90" s="36"/>
      <c r="M90" s="34"/>
      <c r="N90" s="37"/>
      <c r="O90" s="38"/>
      <c r="P90" s="39"/>
      <c r="Q90" s="40"/>
      <c r="R90" s="41"/>
      <c r="S90" s="42"/>
      <c r="T90" s="42"/>
      <c r="U90" s="34"/>
      <c r="V90" s="34"/>
      <c r="W90" s="13"/>
    </row>
    <row r="91" ht="18.75" customHeight="1">
      <c r="A91" s="13"/>
      <c r="B91" s="48"/>
      <c r="C91" s="47"/>
      <c r="D91" s="32"/>
      <c r="E91" s="32"/>
      <c r="F91" s="32"/>
      <c r="G91" s="33"/>
      <c r="H91" s="33"/>
      <c r="I91" s="13"/>
      <c r="J91" s="34"/>
      <c r="K91" s="46"/>
      <c r="L91" s="36"/>
      <c r="M91" s="34"/>
      <c r="N91" s="37"/>
      <c r="O91" s="38"/>
      <c r="P91" s="39"/>
      <c r="Q91" s="40"/>
      <c r="R91" s="41"/>
      <c r="S91" s="42"/>
      <c r="T91" s="42"/>
      <c r="U91" s="34"/>
      <c r="V91" s="34"/>
      <c r="W91" s="13"/>
    </row>
    <row r="92" ht="18.75" customHeight="1">
      <c r="A92" s="13"/>
      <c r="B92" s="48"/>
      <c r="C92" s="47"/>
      <c r="D92" s="32"/>
      <c r="E92" s="32"/>
      <c r="F92" s="32"/>
      <c r="G92" s="33"/>
      <c r="H92" s="33"/>
      <c r="I92" s="13"/>
      <c r="J92" s="34"/>
      <c r="K92" s="46"/>
      <c r="L92" s="36"/>
      <c r="M92" s="34"/>
      <c r="N92" s="37"/>
      <c r="O92" s="38"/>
      <c r="P92" s="39"/>
      <c r="Q92" s="40"/>
      <c r="R92" s="41"/>
      <c r="S92" s="42"/>
      <c r="T92" s="42"/>
      <c r="U92" s="34"/>
      <c r="V92" s="34"/>
      <c r="W92" s="13"/>
    </row>
    <row r="93" ht="18.75" customHeight="1">
      <c r="A93" s="13"/>
      <c r="B93" s="48"/>
      <c r="C93" s="47"/>
      <c r="D93" s="32"/>
      <c r="E93" s="32"/>
      <c r="F93" s="32"/>
      <c r="G93" s="33"/>
      <c r="H93" s="33"/>
      <c r="I93" s="13"/>
      <c r="J93" s="34"/>
      <c r="K93" s="46"/>
      <c r="L93" s="36"/>
      <c r="M93" s="34"/>
      <c r="N93" s="37"/>
      <c r="O93" s="38"/>
      <c r="P93" s="39"/>
      <c r="Q93" s="40"/>
      <c r="R93" s="41"/>
      <c r="S93" s="42"/>
      <c r="T93" s="42"/>
      <c r="U93" s="34"/>
      <c r="V93" s="34"/>
      <c r="W93" s="13"/>
    </row>
    <row r="94" ht="18.75" customHeight="1">
      <c r="A94" s="13"/>
      <c r="B94" s="48"/>
      <c r="C94" s="47"/>
      <c r="D94" s="32"/>
      <c r="E94" s="32"/>
      <c r="F94" s="32"/>
      <c r="G94" s="33"/>
      <c r="H94" s="33"/>
      <c r="I94" s="13"/>
      <c r="J94" s="34"/>
      <c r="K94" s="46"/>
      <c r="L94" s="36"/>
      <c r="M94" s="34"/>
      <c r="N94" s="37"/>
      <c r="O94" s="38"/>
      <c r="P94" s="39"/>
      <c r="Q94" s="40"/>
      <c r="R94" s="41"/>
      <c r="S94" s="42"/>
      <c r="T94" s="42"/>
      <c r="U94" s="34"/>
      <c r="V94" s="34"/>
      <c r="W94" s="13"/>
    </row>
    <row r="95" ht="18.75" customHeight="1">
      <c r="A95" s="13"/>
      <c r="B95" s="48"/>
      <c r="C95" s="47"/>
      <c r="D95" s="32"/>
      <c r="E95" s="32"/>
      <c r="F95" s="32"/>
      <c r="G95" s="33"/>
      <c r="H95" s="33"/>
      <c r="I95" s="13"/>
      <c r="J95" s="34"/>
      <c r="K95" s="46"/>
      <c r="L95" s="36"/>
      <c r="M95" s="34"/>
      <c r="N95" s="37"/>
      <c r="O95" s="38"/>
      <c r="P95" s="39"/>
      <c r="Q95" s="40"/>
      <c r="R95" s="41"/>
      <c r="S95" s="42"/>
      <c r="T95" s="42"/>
      <c r="U95" s="34"/>
      <c r="V95" s="34"/>
      <c r="W95" s="13"/>
    </row>
    <row r="96" ht="18.75" customHeight="1">
      <c r="A96" s="13"/>
      <c r="B96" s="48"/>
      <c r="C96" s="47"/>
      <c r="D96" s="32"/>
      <c r="E96" s="32"/>
      <c r="F96" s="32"/>
      <c r="G96" s="33"/>
      <c r="H96" s="33"/>
      <c r="I96" s="13"/>
      <c r="J96" s="34"/>
      <c r="K96" s="46"/>
      <c r="L96" s="36"/>
      <c r="M96" s="34"/>
      <c r="N96" s="37"/>
      <c r="O96" s="38"/>
      <c r="P96" s="39"/>
      <c r="Q96" s="40"/>
      <c r="R96" s="41"/>
      <c r="S96" s="42"/>
      <c r="T96" s="42"/>
      <c r="U96" s="34"/>
      <c r="V96" s="34"/>
      <c r="W96" s="13"/>
    </row>
    <row r="97" ht="18.75" customHeight="1">
      <c r="A97" s="13"/>
      <c r="B97" s="48"/>
      <c r="C97" s="47"/>
      <c r="D97" s="32"/>
      <c r="E97" s="32"/>
      <c r="F97" s="32"/>
      <c r="G97" s="33"/>
      <c r="H97" s="33"/>
      <c r="I97" s="13"/>
      <c r="J97" s="34"/>
      <c r="K97" s="46"/>
      <c r="L97" s="36"/>
      <c r="M97" s="34"/>
      <c r="N97" s="37"/>
      <c r="O97" s="38"/>
      <c r="P97" s="39"/>
      <c r="Q97" s="40"/>
      <c r="R97" s="41"/>
      <c r="S97" s="42"/>
      <c r="T97" s="42"/>
      <c r="U97" s="34"/>
      <c r="V97" s="34"/>
      <c r="W97" s="13"/>
    </row>
    <row r="98" ht="18.75" customHeight="1">
      <c r="A98" s="13"/>
      <c r="B98" s="48"/>
      <c r="C98" s="47"/>
      <c r="D98" s="32"/>
      <c r="E98" s="32"/>
      <c r="F98" s="32"/>
      <c r="G98" s="33"/>
      <c r="H98" s="33"/>
      <c r="I98" s="13"/>
      <c r="J98" s="34"/>
      <c r="K98" s="46"/>
      <c r="L98" s="36"/>
      <c r="M98" s="34"/>
      <c r="N98" s="37"/>
      <c r="O98" s="38"/>
      <c r="P98" s="39"/>
      <c r="Q98" s="40"/>
      <c r="R98" s="41"/>
      <c r="S98" s="42"/>
      <c r="T98" s="42"/>
      <c r="U98" s="34"/>
      <c r="V98" s="34"/>
      <c r="W98" s="13"/>
    </row>
    <row r="99" ht="18.75" customHeight="1">
      <c r="A99" s="13"/>
      <c r="B99" s="48"/>
      <c r="C99" s="47"/>
      <c r="D99" s="32"/>
      <c r="E99" s="32"/>
      <c r="F99" s="32"/>
      <c r="G99" s="33"/>
      <c r="H99" s="33"/>
      <c r="I99" s="13"/>
      <c r="J99" s="34"/>
      <c r="K99" s="46"/>
      <c r="L99" s="36"/>
      <c r="M99" s="34"/>
      <c r="N99" s="37"/>
      <c r="O99" s="38"/>
      <c r="P99" s="39"/>
      <c r="Q99" s="40"/>
      <c r="R99" s="41"/>
      <c r="S99" s="42"/>
      <c r="T99" s="42"/>
      <c r="U99" s="34"/>
      <c r="V99" s="34"/>
      <c r="W99" s="13"/>
    </row>
    <row r="100" ht="18.75" customHeight="1">
      <c r="A100" s="13"/>
      <c r="B100" s="48"/>
      <c r="C100" s="47"/>
      <c r="D100" s="32"/>
      <c r="E100" s="32"/>
      <c r="F100" s="32"/>
      <c r="G100" s="33"/>
      <c r="H100" s="33"/>
      <c r="I100" s="13"/>
      <c r="J100" s="34"/>
      <c r="K100" s="46"/>
      <c r="L100" s="36"/>
      <c r="M100" s="34"/>
      <c r="N100" s="37"/>
      <c r="O100" s="38"/>
      <c r="P100" s="39"/>
      <c r="Q100" s="40"/>
      <c r="R100" s="41"/>
      <c r="S100" s="42"/>
      <c r="T100" s="42"/>
      <c r="U100" s="34"/>
      <c r="V100" s="34"/>
      <c r="W100" s="13"/>
    </row>
    <row r="101" ht="18.75" customHeight="1">
      <c r="A101" s="13"/>
      <c r="B101" s="48"/>
      <c r="C101" s="47"/>
      <c r="D101" s="32"/>
      <c r="E101" s="32"/>
      <c r="F101" s="32"/>
      <c r="G101" s="33"/>
      <c r="H101" s="33"/>
      <c r="I101" s="13"/>
      <c r="J101" s="34"/>
      <c r="K101" s="46"/>
      <c r="L101" s="36"/>
      <c r="M101" s="34"/>
      <c r="N101" s="37"/>
      <c r="O101" s="38"/>
      <c r="P101" s="39"/>
      <c r="Q101" s="40"/>
      <c r="R101" s="41"/>
      <c r="S101" s="42"/>
      <c r="T101" s="42"/>
      <c r="U101" s="34"/>
      <c r="V101" s="34"/>
      <c r="W101" s="13"/>
    </row>
    <row r="102" ht="18.75" customHeight="1">
      <c r="A102" s="13"/>
      <c r="B102" s="48"/>
      <c r="C102" s="47"/>
      <c r="D102" s="32"/>
      <c r="E102" s="32"/>
      <c r="F102" s="32"/>
      <c r="G102" s="33"/>
      <c r="H102" s="33"/>
      <c r="I102" s="13"/>
      <c r="J102" s="34"/>
      <c r="K102" s="46"/>
      <c r="L102" s="36"/>
      <c r="M102" s="34"/>
      <c r="N102" s="37"/>
      <c r="O102" s="38"/>
      <c r="P102" s="39"/>
      <c r="Q102" s="40"/>
      <c r="R102" s="41"/>
      <c r="S102" s="42"/>
      <c r="T102" s="42"/>
      <c r="U102" s="34"/>
      <c r="V102" s="34"/>
      <c r="W102" s="13"/>
    </row>
    <row r="103" ht="18.75" customHeight="1">
      <c r="A103" s="13"/>
      <c r="B103" s="48"/>
      <c r="C103" s="47"/>
      <c r="D103" s="32"/>
      <c r="E103" s="32"/>
      <c r="F103" s="32"/>
      <c r="G103" s="33"/>
      <c r="H103" s="33"/>
      <c r="I103" s="13"/>
      <c r="J103" s="34"/>
      <c r="K103" s="46"/>
      <c r="L103" s="36"/>
      <c r="M103" s="34"/>
      <c r="N103" s="37"/>
      <c r="O103" s="38"/>
      <c r="P103" s="39"/>
      <c r="Q103" s="40"/>
      <c r="R103" s="41"/>
      <c r="S103" s="42"/>
      <c r="T103" s="42"/>
      <c r="U103" s="34"/>
      <c r="V103" s="34"/>
      <c r="W103" s="13"/>
    </row>
    <row r="104" ht="18.75" customHeight="1">
      <c r="A104" s="13"/>
      <c r="B104" s="48"/>
      <c r="C104" s="47"/>
      <c r="D104" s="32"/>
      <c r="E104" s="32"/>
      <c r="F104" s="32"/>
      <c r="G104" s="33"/>
      <c r="H104" s="33"/>
      <c r="I104" s="13"/>
      <c r="J104" s="34"/>
      <c r="K104" s="46"/>
      <c r="L104" s="36"/>
      <c r="M104" s="34"/>
      <c r="N104" s="37"/>
      <c r="O104" s="38"/>
      <c r="P104" s="39"/>
      <c r="Q104" s="40"/>
      <c r="R104" s="41"/>
      <c r="S104" s="42"/>
      <c r="T104" s="42"/>
      <c r="U104" s="34"/>
      <c r="V104" s="34"/>
      <c r="W104" s="13"/>
    </row>
  </sheetData>
  <mergeCells count="4">
    <mergeCell ref="B3:H3"/>
    <mergeCell ref="J3:V3"/>
    <mergeCell ref="F4:G4"/>
    <mergeCell ref="M4:N4"/>
  </mergeCells>
  <conditionalFormatting sqref="L5:L104">
    <cfRule type="expression" dxfId="0" priority="1">
      <formula>LEFT($L5,2)="NM"</formula>
    </cfRule>
  </conditionalFormatting>
  <conditionalFormatting sqref="L5:L104">
    <cfRule type="expression" dxfId="1" priority="2">
      <formula>LEFT($L5,2)="HD"</formula>
    </cfRule>
  </conditionalFormatting>
  <conditionalFormatting sqref="L5:L104">
    <cfRule type="expression" dxfId="2" priority="3">
      <formula>LEFT($L5,2)="HR"</formula>
    </cfRule>
  </conditionalFormatting>
  <conditionalFormatting sqref="L5:L104">
    <cfRule type="expression" dxfId="3" priority="4">
      <formula>LEFT($L5,2)="DT"</formula>
    </cfRule>
  </conditionalFormatting>
  <conditionalFormatting sqref="L5:L104">
    <cfRule type="expression" dxfId="4" priority="5">
      <formula>LEFT($L5,2)="FM"</formula>
    </cfRule>
  </conditionalFormatting>
  <conditionalFormatting sqref="L5:L104">
    <cfRule type="expression" dxfId="5" priority="6">
      <formula>LEFT($L5,2)="TB"</formula>
    </cfRule>
  </conditionalFormatting>
  <conditionalFormatting sqref="L5:L104">
    <cfRule type="expression" dxfId="6" priority="7">
      <formula>LEFT($L5,2)="EZ"</formula>
    </cfRule>
  </conditionalFormatting>
  <conditionalFormatting sqref="L5:L104">
    <cfRule type="expression" dxfId="7" priority="8">
      <formula>LEFT($L5,2)="HT"</formula>
    </cfRule>
  </conditionalFormatting>
  <conditionalFormatting sqref="J5:V104 B8">
    <cfRule type="expression" dxfId="8" priority="9">
      <formula>LEFT($L5,2)&lt;&gt;""</formula>
    </cfRule>
  </conditionalFormatting>
  <conditionalFormatting sqref="B5:H104 K5:K24 M12 J22">
    <cfRule type="expression" dxfId="2" priority="10">
      <formula>COUNTIF($C$5:$C$104,$C5)&gt;1</formula>
    </cfRule>
  </conditionalFormatting>
  <conditionalFormatting sqref="B5:H104 K5:K24 M12 J22">
    <cfRule type="expression" dxfId="9" priority="11">
      <formula>COUNTIF($K$5:$K104,$C5)=1</formula>
    </cfRule>
  </conditionalFormatting>
  <dataValidations>
    <dataValidation type="list" allowBlank="1" sqref="B2">
      <formula1>Settings!$E$3:$E$12</formula1>
    </dataValidation>
    <dataValidation type="list" allowBlank="1" showDropDown="1" sqref="K25:K104">
      <formula1>'_api'!$A$3:$A$1007</formula1>
    </dataValidation>
    <dataValidation type="list" allowBlank="1" sqref="D5:D104">
      <formula1>Settings!$I$2:$P$2</formula1>
    </dataValidation>
    <dataValidation type="list" allowBlank="1" sqref="E5:E104">
      <formula1>Settings!$B$3:$B$12</formula1>
    </dataValidation>
  </dataValidations>
  <hyperlinks>
    <hyperlink r:id="rId2" location="osu/646609" ref="B5"/>
    <hyperlink r:id="rId3" location="osu/2751338" ref="B6"/>
    <hyperlink r:id="rId4" location="osu/2751338" ref="G6"/>
    <hyperlink r:id="rId5" location="osu/3010348" ref="N6"/>
    <hyperlink r:id="rId6" location="osu/3182641" ref="B7"/>
    <hyperlink r:id="rId7" location="osu/3182641" ref="G7"/>
    <hyperlink r:id="rId8" location="osu/3774971" ref="N7"/>
    <hyperlink r:id="rId9" location="osu/1782851" ref="B8"/>
    <hyperlink r:id="rId10" location="osu/1782851" ref="G8"/>
    <hyperlink r:id="rId11" location="osu/3802110" ref="N8"/>
    <hyperlink r:id="rId12" location="osu/1896582" ref="B9"/>
    <hyperlink r:id="rId13" location="osu/1896582" ref="G9"/>
    <hyperlink r:id="rId14" location="osu/309900" ref="N9"/>
    <hyperlink r:id="rId15" location="osu/3256307" ref="B10"/>
    <hyperlink r:id="rId16" location="osu/3256307" ref="G10"/>
    <hyperlink r:id="rId17" location="osu/3870932" ref="N10"/>
    <hyperlink r:id="rId18" location="osu/3444608" ref="B11"/>
    <hyperlink r:id="rId19" location="osu/3444608" ref="G11"/>
    <hyperlink r:id="rId20" location="osu/571620" ref="N11"/>
    <hyperlink r:id="rId21" location="osu/192181" ref="B12"/>
    <hyperlink r:id="rId22" location="osu/192181" ref="G12"/>
    <hyperlink r:id="rId23" location="osu/3563737" ref="N12"/>
    <hyperlink r:id="rId24" location="osu/1485947" ref="B13"/>
    <hyperlink r:id="rId25" location="osu/1485947" ref="G13"/>
    <hyperlink r:id="rId26" location="osu/2751338" ref="N13"/>
    <hyperlink r:id="rId27" location="osu/2239337" ref="B14"/>
    <hyperlink r:id="rId28" location="osu/2239337" ref="G14"/>
    <hyperlink r:id="rId29" location="osu/2288966" ref="N14"/>
    <hyperlink r:id="rId30" location="osu/2198934" ref="B15"/>
    <hyperlink r:id="rId31" location="osu/2198934" ref="G15"/>
    <hyperlink r:id="rId32" location="osu/2691754" ref="N15"/>
    <hyperlink r:id="rId33" location="osu/1387177" ref="B16"/>
    <hyperlink r:id="rId34" location="osu/1387177" ref="G16"/>
    <hyperlink r:id="rId35" location="osu/2856139" ref="N16"/>
    <hyperlink r:id="rId36" location="osu/2775823" ref="B17"/>
    <hyperlink r:id="rId37" location="osu/2775823" ref="G17"/>
    <hyperlink r:id="rId38" location="osu/765880" ref="N17"/>
    <hyperlink r:id="rId39" location="osu/3206318" ref="B18"/>
    <hyperlink r:id="rId40" location="osu/3206318" ref="G18"/>
    <hyperlink r:id="rId41" location="osu/345642" ref="N18"/>
    <hyperlink r:id="rId42" location="osu/1484886" ref="B19"/>
    <hyperlink r:id="rId43" location="osu/1484886" ref="G19"/>
    <hyperlink r:id="rId44" location="osu/2671858" ref="N19"/>
    <hyperlink r:id="rId45" location="osu/3774971" ref="B20"/>
    <hyperlink r:id="rId46" location="osu/3774971" ref="G20"/>
    <hyperlink r:id="rId47" location="osu/4150885" ref="N20"/>
    <hyperlink r:id="rId48" location="osu/2835868" ref="B21"/>
    <hyperlink r:id="rId49" location="osu/2835868" ref="G21"/>
    <hyperlink r:id="rId50" location="osu/4197268" ref="N21"/>
    <hyperlink r:id="rId51" location="osu/4075902" ref="B22"/>
    <hyperlink r:id="rId52" location="osu/4075902" ref="G22"/>
    <hyperlink r:id="rId53" location="osu/192181" ref="N22"/>
    <hyperlink r:id="rId54" location="osu/3870932" ref="B23"/>
    <hyperlink r:id="rId55" location="osu/3870932" ref="G23"/>
    <hyperlink r:id="rId56" location="osu/3499229" ref="N23"/>
    <hyperlink r:id="rId57" location="osu/261729" ref="B24"/>
    <hyperlink r:id="rId58" location="osu/261729" ref="G24"/>
    <hyperlink r:id="rId59" location="osu/1485947" ref="N24"/>
    <hyperlink r:id="rId60" location="osu/1290855" ref="B25"/>
    <hyperlink r:id="rId61" location="osu/1290855" ref="G25"/>
    <hyperlink r:id="rId62" location="osu/2442178" ref="B26"/>
    <hyperlink r:id="rId63" location="osu/2442178" ref="G26"/>
    <hyperlink r:id="rId64" location="osu/1863289" ref="B27"/>
    <hyperlink r:id="rId65" location="osu/1863289" ref="G27"/>
    <hyperlink r:id="rId66" location="osu/757386" ref="B28"/>
    <hyperlink r:id="rId67" location="osu/757386" ref="G28"/>
    <hyperlink r:id="rId68" location="osu/3010348" ref="B29"/>
    <hyperlink r:id="rId69" location="osu/3010348" ref="G29"/>
    <hyperlink r:id="rId70" location="osu/2906707" ref="B30"/>
    <hyperlink r:id="rId71" location="osu/2906707" ref="G30"/>
    <hyperlink r:id="rId72" location="osu/2842836" ref="B31"/>
    <hyperlink r:id="rId73" location="osu/2842836" ref="G31"/>
    <hyperlink r:id="rId74" location="osu/3851000" ref="B32"/>
    <hyperlink r:id="rId75" location="osu/3851000" ref="G32"/>
    <hyperlink r:id="rId76" location="osu/2058908" ref="B33"/>
    <hyperlink r:id="rId77" location="osu/2058908" ref="G33"/>
    <hyperlink r:id="rId78" location="osu/804959" ref="B34"/>
    <hyperlink r:id="rId79" location="osu/804959" ref="G34"/>
    <hyperlink r:id="rId80" location="osu/2856139" ref="B35"/>
    <hyperlink r:id="rId81" location="osu/2856139" ref="G35"/>
    <hyperlink r:id="rId82" location="osu/3499229" ref="B37"/>
    <hyperlink r:id="rId83" location="osu/3499229" ref="G37"/>
    <hyperlink r:id="rId84" location="osu/4197268" ref="B38"/>
    <hyperlink r:id="rId85" location="osu/4197268" ref="G38"/>
    <hyperlink r:id="rId86" location="osu/86079" ref="G39"/>
    <hyperlink r:id="rId87" location="osu/2849167" ref="B40"/>
    <hyperlink r:id="rId88" location="osu/2849167" ref="G40"/>
    <hyperlink r:id="rId89" location="osu/4150885" ref="B41"/>
    <hyperlink r:id="rId90" location="osu/4150885" ref="G41"/>
    <hyperlink r:id="rId91" location="osu/3798371" ref="B42"/>
    <hyperlink r:id="rId92" location="osu/3798371" ref="G42"/>
    <hyperlink r:id="rId93" location="osu/2839573" ref="B43"/>
    <hyperlink r:id="rId94" location="osu/2839573" ref="G43"/>
    <hyperlink r:id="rId95" location="osu/3711739" ref="B44"/>
    <hyperlink r:id="rId96" location="osu/3711739" ref="G44"/>
    <hyperlink r:id="rId97" location="osu/2835894" ref="B45"/>
    <hyperlink r:id="rId98" location="osu/2835894" ref="G45"/>
    <hyperlink r:id="rId99" location="osu/3404589" ref="B46"/>
    <hyperlink r:id="rId100" location="osu/3404589" ref="G46"/>
    <hyperlink r:id="rId101" location="osu/345642" ref="B47"/>
    <hyperlink r:id="rId102" location="osu/345642" ref="G47"/>
    <hyperlink r:id="rId103" location="osu/2970566" ref="B48"/>
    <hyperlink r:id="rId104" location="osu/2970566" ref="G48"/>
    <hyperlink r:id="rId105" ref="B49"/>
    <hyperlink r:id="rId106" location="osu/1035068" ref="G49"/>
    <hyperlink r:id="rId107" location="osu/824390" ref="B50"/>
    <hyperlink r:id="rId108" location="osu/824390" ref="G50"/>
    <hyperlink r:id="rId109" location="osu/2111279" ref="B51"/>
    <hyperlink r:id="rId110" location="osu/2111279" ref="G51"/>
    <hyperlink r:id="rId111" location="osu/2417645" ref="B52"/>
    <hyperlink r:id="rId112" location="osu/2417645" ref="G52"/>
    <hyperlink r:id="rId113" location="osu/765880" ref="B53"/>
    <hyperlink r:id="rId114" location="osu/765880" ref="G53"/>
    <hyperlink r:id="rId115" location="osu/3396297" ref="B54"/>
    <hyperlink r:id="rId116" location="osu/3396297" ref="G54"/>
    <hyperlink r:id="rId117" location="osu/2691754" ref="B55"/>
    <hyperlink r:id="rId118" location="osu/2691754" ref="G55"/>
    <hyperlink r:id="rId119" location="osu/3802110" ref="B56"/>
    <hyperlink r:id="rId120" location="osu/3802110" ref="G56"/>
    <hyperlink r:id="rId121" location="osu/2671858" ref="B57"/>
    <hyperlink r:id="rId122" location="osu/2671858" ref="G57"/>
    <hyperlink r:id="rId123" location="osu/2288966" ref="B58"/>
    <hyperlink r:id="rId124" location="osu/2288966" ref="G58"/>
    <hyperlink r:id="rId125" location="osu/3752605" ref="B59"/>
    <hyperlink r:id="rId126" location="osu/3752605" ref="G59"/>
    <hyperlink r:id="rId127" location="osu/3953905" ref="B60"/>
    <hyperlink r:id="rId128" location="osu/3953905" ref="G60"/>
    <hyperlink r:id="rId129" location="osu/309899" ref="B61"/>
    <hyperlink r:id="rId130" location="osu/309899" ref="G61"/>
    <hyperlink r:id="rId131" location="osu/309900" ref="B62"/>
    <hyperlink r:id="rId132" location="osu/309900" ref="G62"/>
    <hyperlink r:id="rId133" location="osu/3563737" ref="B63"/>
    <hyperlink r:id="rId134" location="osu/3563737" ref="G63"/>
    <hyperlink r:id="rId135" location="osu/571620" ref="B64"/>
    <hyperlink r:id="rId136" location="osu/571620" ref="G64"/>
    <hyperlink r:id="rId137" location="osu/975342" ref="G86"/>
  </hyperlinks>
  <drawing r:id="rId138"/>
  <legacyDrawing r:id="rId13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5"/>
    <col customWidth="1" min="2" max="2" width="37.63"/>
    <col customWidth="1" min="3" max="3" width="12.63"/>
    <col customWidth="1" min="4" max="4" width="9.5"/>
    <col customWidth="1" min="6" max="6" width="11.13"/>
    <col customWidth="1" min="7" max="8" width="25.13"/>
    <col customWidth="1" min="9" max="9" width="3.25"/>
    <col customWidth="1" min="12" max="12" width="5.13"/>
    <col customWidth="1" min="13" max="13" width="11.13"/>
    <col customWidth="1" min="14" max="14" width="31.38"/>
    <col customWidth="1" min="15" max="20" width="6.38" outlineLevel="1"/>
    <col min="21" max="22" width="12.63" outlineLevel="1"/>
    <col customWidth="1" min="23" max="23" width="3.25"/>
  </cols>
  <sheetData>
    <row r="1" ht="18.75" customHeight="1">
      <c r="A1" s="13"/>
      <c r="B1" s="13"/>
      <c r="C1" s="13"/>
      <c r="D1" s="13"/>
      <c r="E1" s="13"/>
      <c r="F1" s="13"/>
      <c r="G1" s="13"/>
      <c r="H1" s="13"/>
      <c r="I1" s="13"/>
      <c r="J1" s="13"/>
      <c r="K1" s="13"/>
      <c r="L1" s="13"/>
      <c r="M1" s="13"/>
      <c r="N1" s="13"/>
      <c r="O1" s="13"/>
      <c r="P1" s="13"/>
      <c r="Q1" s="13"/>
      <c r="R1" s="13"/>
      <c r="S1" s="13"/>
      <c r="T1" s="13"/>
      <c r="U1" s="13"/>
      <c r="V1" s="13"/>
      <c r="W1" s="13"/>
    </row>
    <row r="2" ht="18.75" customHeight="1">
      <c r="A2" s="13"/>
      <c r="B2" s="14" t="s">
        <v>36</v>
      </c>
      <c r="C2" s="15" t="s">
        <v>5</v>
      </c>
      <c r="D2" s="16">
        <f>IFERROR(VLOOKUP(B2,Settings!E3:H12,3,0),"")</f>
        <v>13</v>
      </c>
      <c r="E2" s="17" t="s">
        <v>6</v>
      </c>
      <c r="F2" s="18">
        <f>IFERROR(VLOOKUP(B2,Settings!E3:H12,4,0),"")</f>
        <v>2</v>
      </c>
      <c r="G2" s="13"/>
      <c r="H2" s="13"/>
      <c r="I2" s="13"/>
      <c r="J2" s="13"/>
      <c r="K2" s="13"/>
      <c r="L2" s="13"/>
      <c r="M2" s="13"/>
      <c r="N2" s="13"/>
      <c r="O2" s="13"/>
      <c r="P2" s="13"/>
      <c r="Q2" s="13"/>
      <c r="R2" s="13"/>
      <c r="S2" s="13"/>
      <c r="T2" s="13"/>
      <c r="U2" s="13"/>
      <c r="V2" s="13"/>
      <c r="W2" s="13"/>
    </row>
    <row r="3" ht="26.25" customHeight="1">
      <c r="A3" s="13"/>
      <c r="B3" s="19" t="s">
        <v>44</v>
      </c>
      <c r="C3" s="20"/>
      <c r="D3" s="20"/>
      <c r="E3" s="20"/>
      <c r="F3" s="20"/>
      <c r="G3" s="20"/>
      <c r="H3" s="20"/>
      <c r="I3" s="13"/>
      <c r="J3" s="19" t="s">
        <v>45</v>
      </c>
      <c r="K3" s="20"/>
      <c r="L3" s="20"/>
      <c r="M3" s="20"/>
      <c r="N3" s="20"/>
      <c r="O3" s="20"/>
      <c r="P3" s="20"/>
      <c r="Q3" s="20"/>
      <c r="R3" s="20"/>
      <c r="S3" s="20"/>
      <c r="T3" s="20"/>
      <c r="U3" s="20"/>
      <c r="V3" s="20"/>
      <c r="W3" s="13"/>
    </row>
    <row r="4" ht="18.75" customHeight="1">
      <c r="A4" s="13"/>
      <c r="B4" s="21" t="s">
        <v>46</v>
      </c>
      <c r="C4" s="21" t="s">
        <v>47</v>
      </c>
      <c r="D4" s="21" t="s">
        <v>48</v>
      </c>
      <c r="E4" s="21" t="s">
        <v>49</v>
      </c>
      <c r="F4" s="21" t="s">
        <v>50</v>
      </c>
      <c r="G4" s="22"/>
      <c r="H4" s="21" t="s">
        <v>51</v>
      </c>
      <c r="I4" s="13"/>
      <c r="J4" s="21" t="s">
        <v>52</v>
      </c>
      <c r="K4" s="21" t="s">
        <v>47</v>
      </c>
      <c r="L4" s="23" t="s">
        <v>48</v>
      </c>
      <c r="M4" s="21" t="s">
        <v>50</v>
      </c>
      <c r="N4" s="22"/>
      <c r="O4" s="24" t="s">
        <v>53</v>
      </c>
      <c r="P4" s="25" t="s">
        <v>54</v>
      </c>
      <c r="Q4" s="26" t="s">
        <v>55</v>
      </c>
      <c r="R4" s="27" t="s">
        <v>56</v>
      </c>
      <c r="S4" s="21" t="s">
        <v>57</v>
      </c>
      <c r="T4" s="21" t="s">
        <v>58</v>
      </c>
      <c r="U4" s="21" t="s">
        <v>60</v>
      </c>
      <c r="V4" s="21" t="s">
        <v>47</v>
      </c>
      <c r="W4" s="13"/>
    </row>
    <row r="5" ht="18.75" customHeight="1">
      <c r="A5" s="13"/>
      <c r="B5" s="70"/>
      <c r="C5" s="71" t="str">
        <f>IFERROR(__xludf.DUMMYFUNCTION("ArrayFormula(IFERROR(VALUE(REGEXEXTRACT(B5:B104&amp;"""",""\d+$""))))"),"")</f>
        <v/>
      </c>
      <c r="D5" s="31"/>
      <c r="E5" s="31"/>
      <c r="F5" s="32" t="str">
        <f t="array" ref="F5:F104">MAP(C5:C104,LAMBDA(id,IFNA(IMAGE(MAPDATA(id,"cover_url")),"")))</f>
        <v/>
      </c>
      <c r="G5" s="51" t="str">
        <f t="array" ref="G5:G104">IFNA(HYPERLINK(VLOOKUP(C5:C104,'_api'!B3:BC104,MATCH("url",'_api'!B2:W2,0),0),VLOOKUP(C5:C104,'_api'!B3:BC104,MATCH("string",'_api'!B2:W2,0),0)),"")</f>
        <v/>
      </c>
      <c r="H5" s="33"/>
      <c r="I5" s="13"/>
      <c r="J5" s="34"/>
      <c r="K5" s="48">
        <v>2792506.0</v>
      </c>
      <c r="L5" s="36" t="str">
        <f>IFERROR(__xludf.DUMMYFUNCTION("TRANSPOSE(SPLIT(JOIN("","",MAP(TRANSPOSE(Settings!I2:P2),TRANSPOSE(INDEX(Settings!I3:P12,MATCH(B2,Settings!E3:E12,0))),LAMBDA(mod,n,JOIN("","",ARRAYFORMULA(IF(n=0,"""",mod&amp;SEQUENCE(n))))))),"",""))"),"NM1")</f>
        <v>NM1</v>
      </c>
      <c r="M5" s="34" t="str">
        <f t="array" ref="M5:M104">MAP(K5:K104,LAMBDA(id,IFNA(IMAGE(MAPDATA(id,"cover_url")),"")))</f>
        <v/>
      </c>
      <c r="N5" s="53" t="str">
        <f>IFNA(MAPDATA(K5:K104,"string_url"),"")</f>
        <v>Airots - Tougen Roman (Epsilon Remix) [Dailycare's Extra]</v>
      </c>
      <c r="O5" s="38">
        <f t="array" ref="O5:Q104">IFNA(MAPDATA_MODDED(K5:K104,{"difficultyrating","bpm","hit_length"},L5:L104),"")</f>
        <v>5.67773</v>
      </c>
      <c r="P5" s="39">
        <v>175.0</v>
      </c>
      <c r="Q5" s="40">
        <v>0.002905092591390712</v>
      </c>
      <c r="R5" s="41">
        <f t="array" ref="R5:T104">IFNA(MAPDATA_MODDED(K5:K104,"diff_"&amp;{"size","approach","overall"},L5:L104),"")</f>
        <v>4.2</v>
      </c>
      <c r="S5" s="42">
        <v>9.3</v>
      </c>
      <c r="T5" s="42">
        <v>8.0</v>
      </c>
      <c r="U5" s="34" t="str">
        <f t="array" ref="U5:V104">IFNA(MAPDATA(K5:K104,{"creator","beatmap_id"}),"")</f>
        <v>GIDZ</v>
      </c>
      <c r="V5" s="34">
        <v>2792506.0</v>
      </c>
      <c r="W5" s="13"/>
    </row>
    <row r="6" ht="18.75" customHeight="1">
      <c r="A6" s="13"/>
      <c r="B6" s="70" t="s">
        <v>754</v>
      </c>
      <c r="C6" s="71">
        <f>IFERROR(__xludf.DUMMYFUNCTION("""COMPUTED_VALUE"""),3795759.0)</f>
        <v>3795759</v>
      </c>
      <c r="D6" s="31" t="s">
        <v>8</v>
      </c>
      <c r="E6" s="31" t="s">
        <v>755</v>
      </c>
      <c r="F6" s="32"/>
      <c r="G6" s="57" t="s">
        <v>756</v>
      </c>
      <c r="H6" s="51" t="s">
        <v>757</v>
      </c>
      <c r="I6" s="13" t="s">
        <v>0</v>
      </c>
      <c r="J6" s="35" t="s">
        <v>758</v>
      </c>
      <c r="K6" s="47">
        <v>3714369.0</v>
      </c>
      <c r="L6" s="36" t="str">
        <f>IFERROR(__xludf.DUMMYFUNCTION("""COMPUTED_VALUE"""),"NM2")</f>
        <v>NM2</v>
      </c>
      <c r="M6" s="34"/>
      <c r="N6" s="53" t="s">
        <v>759</v>
      </c>
      <c r="O6" s="38">
        <v>5.75189</v>
      </c>
      <c r="P6" s="39">
        <v>185.0</v>
      </c>
      <c r="Q6" s="40">
        <v>0.0014120370360615198</v>
      </c>
      <c r="R6" s="41">
        <v>4.0</v>
      </c>
      <c r="S6" s="42">
        <v>9.3</v>
      </c>
      <c r="T6" s="42">
        <v>8.0</v>
      </c>
      <c r="U6" s="34" t="s">
        <v>760</v>
      </c>
      <c r="V6" s="34">
        <v>3714369.0</v>
      </c>
      <c r="W6" s="13"/>
    </row>
    <row r="7" ht="18.75" customHeight="1">
      <c r="A7" s="13"/>
      <c r="B7" s="70" t="s">
        <v>761</v>
      </c>
      <c r="C7" s="71">
        <f>IFERROR(__xludf.DUMMYFUNCTION("""COMPUTED_VALUE"""),1863870.0)</f>
        <v>1863870</v>
      </c>
      <c r="D7" s="31" t="s">
        <v>8</v>
      </c>
      <c r="E7" s="31" t="s">
        <v>755</v>
      </c>
      <c r="F7" s="32"/>
      <c r="G7" s="57" t="s">
        <v>762</v>
      </c>
      <c r="H7" s="51" t="s">
        <v>763</v>
      </c>
      <c r="I7" s="13"/>
      <c r="J7" s="34"/>
      <c r="K7" s="47">
        <v>3461206.0</v>
      </c>
      <c r="L7" s="36" t="str">
        <f>IFERROR(__xludf.DUMMYFUNCTION("""COMPUTED_VALUE"""),"NM3")</f>
        <v>NM3</v>
      </c>
      <c r="M7" s="34"/>
      <c r="N7" s="53" t="s">
        <v>764</v>
      </c>
      <c r="O7" s="38">
        <v>5.42973</v>
      </c>
      <c r="P7" s="39">
        <v>135.0</v>
      </c>
      <c r="Q7" s="40">
        <v>0.002766203702776693</v>
      </c>
      <c r="R7" s="41">
        <v>4.2</v>
      </c>
      <c r="S7" s="42">
        <v>9.3</v>
      </c>
      <c r="T7" s="42">
        <v>8.0</v>
      </c>
      <c r="U7" s="34" t="s">
        <v>765</v>
      </c>
      <c r="V7" s="34">
        <v>3461206.0</v>
      </c>
      <c r="W7" s="13"/>
    </row>
    <row r="8" ht="18.75" customHeight="1">
      <c r="A8" s="13"/>
      <c r="B8" s="70" t="s">
        <v>766</v>
      </c>
      <c r="C8" s="71">
        <f>IFERROR(__xludf.DUMMYFUNCTION("""COMPUTED_VALUE"""),1456307.0)</f>
        <v>1456307</v>
      </c>
      <c r="D8" s="31" t="s">
        <v>11</v>
      </c>
      <c r="E8" s="31" t="s">
        <v>35</v>
      </c>
      <c r="F8" s="32"/>
      <c r="G8" s="57" t="s">
        <v>767</v>
      </c>
      <c r="H8" s="33"/>
      <c r="I8" s="13"/>
      <c r="J8" s="35" t="s">
        <v>768</v>
      </c>
      <c r="K8" s="47">
        <v>1737928.0</v>
      </c>
      <c r="L8" s="36" t="str">
        <f>IFERROR(__xludf.DUMMYFUNCTION("""COMPUTED_VALUE"""),"NM4")</f>
        <v>NM4</v>
      </c>
      <c r="M8" s="34"/>
      <c r="N8" s="53" t="s">
        <v>769</v>
      </c>
      <c r="O8" s="38">
        <v>5.21701</v>
      </c>
      <c r="P8" s="39">
        <v>170.0</v>
      </c>
      <c r="Q8" s="40">
        <v>0.0010648148163454607</v>
      </c>
      <c r="R8" s="41">
        <v>4.2</v>
      </c>
      <c r="S8" s="42">
        <v>9.0</v>
      </c>
      <c r="T8" s="42">
        <v>9.0</v>
      </c>
      <c r="U8" s="34" t="s">
        <v>770</v>
      </c>
      <c r="V8" s="34">
        <v>1737928.0</v>
      </c>
      <c r="W8" s="13"/>
    </row>
    <row r="9" ht="18.75" customHeight="1">
      <c r="A9" s="13"/>
      <c r="B9" s="70" t="s">
        <v>771</v>
      </c>
      <c r="C9" s="71">
        <f>IFERROR(__xludf.DUMMYFUNCTION("""COMPUTED_VALUE"""),4134134.0)</f>
        <v>4134134</v>
      </c>
      <c r="D9" s="31" t="s">
        <v>8</v>
      </c>
      <c r="E9" s="31" t="s">
        <v>17</v>
      </c>
      <c r="F9" s="32"/>
      <c r="G9" s="57" t="s">
        <v>772</v>
      </c>
      <c r="H9" s="51" t="s">
        <v>79</v>
      </c>
      <c r="I9" s="13"/>
      <c r="J9" s="34"/>
      <c r="K9" s="72">
        <v>3711739.0</v>
      </c>
      <c r="L9" s="36" t="str">
        <f>IFERROR(__xludf.DUMMYFUNCTION("""COMPUTED_VALUE"""),"NM5")</f>
        <v>NM5</v>
      </c>
      <c r="M9" s="34"/>
      <c r="N9" s="53" t="s">
        <v>717</v>
      </c>
      <c r="O9" s="38">
        <v>5.57368</v>
      </c>
      <c r="P9" s="39">
        <v>230.0</v>
      </c>
      <c r="Q9" s="40">
        <v>0.0013773148129985202</v>
      </c>
      <c r="R9" s="41">
        <v>4.0</v>
      </c>
      <c r="S9" s="42">
        <v>9.0</v>
      </c>
      <c r="T9" s="42">
        <v>8.0</v>
      </c>
      <c r="U9" s="34" t="s">
        <v>364</v>
      </c>
      <c r="V9" s="34">
        <v>3711739.0</v>
      </c>
      <c r="W9" s="13"/>
    </row>
    <row r="10" ht="18.75" customHeight="1">
      <c r="A10" s="13"/>
      <c r="B10" s="70" t="s">
        <v>773</v>
      </c>
      <c r="C10" s="71">
        <f>IFERROR(__xludf.DUMMYFUNCTION("""COMPUTED_VALUE"""),34211.0)</f>
        <v>34211</v>
      </c>
      <c r="D10" s="31" t="s">
        <v>7</v>
      </c>
      <c r="E10" s="31" t="s">
        <v>17</v>
      </c>
      <c r="F10" s="32"/>
      <c r="G10" s="57" t="s">
        <v>774</v>
      </c>
      <c r="H10" s="51" t="s">
        <v>775</v>
      </c>
      <c r="I10" s="13"/>
      <c r="J10" s="35"/>
      <c r="K10" s="47">
        <v>3711612.0</v>
      </c>
      <c r="L10" s="36" t="str">
        <f>IFERROR(__xludf.DUMMYFUNCTION("""COMPUTED_VALUE"""),"NM6")</f>
        <v>NM6</v>
      </c>
      <c r="M10" s="34"/>
      <c r="N10" s="53" t="s">
        <v>776</v>
      </c>
      <c r="O10" s="38">
        <v>4.81674</v>
      </c>
      <c r="P10" s="39">
        <v>163.0</v>
      </c>
      <c r="Q10" s="40">
        <v>0.0013194444436521735</v>
      </c>
      <c r="R10" s="41">
        <v>4.0</v>
      </c>
      <c r="S10" s="42">
        <v>7.0</v>
      </c>
      <c r="T10" s="42">
        <v>8.0</v>
      </c>
      <c r="U10" s="34" t="s">
        <v>777</v>
      </c>
      <c r="V10" s="34">
        <v>3711612.0</v>
      </c>
      <c r="W10" s="13"/>
    </row>
    <row r="11" ht="18.75" customHeight="1">
      <c r="A11" s="13"/>
      <c r="B11" s="73" t="s">
        <v>778</v>
      </c>
      <c r="C11" s="74">
        <f>IFERROR(__xludf.DUMMYFUNCTION("""COMPUTED_VALUE"""),1567978.0)</f>
        <v>1567978</v>
      </c>
      <c r="D11" s="31" t="s">
        <v>10</v>
      </c>
      <c r="E11" s="31" t="s">
        <v>17</v>
      </c>
      <c r="F11" s="32"/>
      <c r="G11" s="57" t="s">
        <v>779</v>
      </c>
      <c r="H11" s="33"/>
      <c r="I11" s="13"/>
      <c r="J11" s="34"/>
      <c r="K11" s="48">
        <v>2348578.0</v>
      </c>
      <c r="L11" s="36" t="str">
        <f>IFERROR(__xludf.DUMMYFUNCTION("""COMPUTED_VALUE"""),"HD1")</f>
        <v>HD1</v>
      </c>
      <c r="M11" s="34"/>
      <c r="N11" s="53" t="s">
        <v>780</v>
      </c>
      <c r="O11" s="38">
        <v>5.68607</v>
      </c>
      <c r="P11" s="39">
        <v>186.0</v>
      </c>
      <c r="Q11" s="40">
        <v>0.0022569444445252884</v>
      </c>
      <c r="R11" s="41">
        <v>4.0</v>
      </c>
      <c r="S11" s="42">
        <v>9.2</v>
      </c>
      <c r="T11" s="42">
        <v>8.9</v>
      </c>
      <c r="U11" s="34" t="s">
        <v>781</v>
      </c>
      <c r="V11" s="34">
        <v>2348578.0</v>
      </c>
      <c r="W11" s="13"/>
    </row>
    <row r="12" ht="18.75" customHeight="1">
      <c r="A12" s="13"/>
      <c r="B12" s="73" t="s">
        <v>782</v>
      </c>
      <c r="C12" s="74">
        <f>IFERROR(__xludf.DUMMYFUNCTION("""COMPUTED_VALUE"""),1045757.0)</f>
        <v>1045757</v>
      </c>
      <c r="D12" s="31" t="s">
        <v>14</v>
      </c>
      <c r="E12" s="31" t="s">
        <v>17</v>
      </c>
      <c r="F12" s="32"/>
      <c r="G12" s="57" t="s">
        <v>783</v>
      </c>
      <c r="H12" s="33"/>
      <c r="I12" s="13"/>
      <c r="J12" s="35" t="s">
        <v>784</v>
      </c>
      <c r="K12" s="71">
        <v>4134134.0</v>
      </c>
      <c r="L12" s="36" t="str">
        <f>IFERROR(__xludf.DUMMYFUNCTION("""COMPUTED_VALUE"""),"HD2")</f>
        <v>HD2</v>
      </c>
      <c r="M12" s="47"/>
      <c r="N12" s="53" t="s">
        <v>772</v>
      </c>
      <c r="O12" s="38">
        <v>5.22745</v>
      </c>
      <c r="P12" s="39">
        <v>181.0</v>
      </c>
      <c r="Q12" s="40">
        <v>0.001747685186273884</v>
      </c>
      <c r="R12" s="41">
        <v>4.0</v>
      </c>
      <c r="S12" s="42">
        <v>8.0</v>
      </c>
      <c r="T12" s="42">
        <v>8.0</v>
      </c>
      <c r="U12" s="34" t="s">
        <v>430</v>
      </c>
      <c r="V12" s="34">
        <v>4134134.0</v>
      </c>
      <c r="W12" s="13"/>
    </row>
    <row r="13" ht="18.75" customHeight="1">
      <c r="A13" s="13"/>
      <c r="B13" s="73" t="s">
        <v>785</v>
      </c>
      <c r="C13" s="75">
        <f>IFERROR(__xludf.DUMMYFUNCTION("""COMPUTED_VALUE"""),3412490.0)</f>
        <v>3412490</v>
      </c>
      <c r="D13" s="31" t="s">
        <v>8</v>
      </c>
      <c r="E13" s="31" t="s">
        <v>35</v>
      </c>
      <c r="F13" s="32"/>
      <c r="G13" s="57" t="s">
        <v>786</v>
      </c>
      <c r="H13" s="51" t="s">
        <v>303</v>
      </c>
      <c r="I13" s="13"/>
      <c r="J13" s="34"/>
      <c r="K13" s="47">
        <v>2565268.0</v>
      </c>
      <c r="L13" s="36" t="str">
        <f>IFERROR(__xludf.DUMMYFUNCTION("""COMPUTED_VALUE"""),"HD3")</f>
        <v>HD3</v>
      </c>
      <c r="M13" s="34"/>
      <c r="N13" s="53" t="s">
        <v>787</v>
      </c>
      <c r="O13" s="38">
        <v>5.299</v>
      </c>
      <c r="P13" s="39">
        <v>191.0</v>
      </c>
      <c r="Q13" s="40">
        <v>0.0017824074056989048</v>
      </c>
      <c r="R13" s="41">
        <v>4.5</v>
      </c>
      <c r="S13" s="42">
        <v>9.2</v>
      </c>
      <c r="T13" s="42">
        <v>8.0</v>
      </c>
      <c r="U13" s="34" t="s">
        <v>788</v>
      </c>
      <c r="V13" s="34">
        <v>2565268.0</v>
      </c>
      <c r="W13" s="13"/>
    </row>
    <row r="14" ht="18.75" customHeight="1">
      <c r="A14" s="13"/>
      <c r="B14" s="76" t="s">
        <v>789</v>
      </c>
      <c r="C14" s="77">
        <f>IFERROR(__xludf.DUMMYFUNCTION("""COMPUTED_VALUE"""),2015481.0)</f>
        <v>2015481</v>
      </c>
      <c r="D14" s="31" t="s">
        <v>9</v>
      </c>
      <c r="E14" s="31" t="s">
        <v>35</v>
      </c>
      <c r="F14" s="32"/>
      <c r="G14" s="57" t="s">
        <v>790</v>
      </c>
      <c r="H14" s="51" t="s">
        <v>88</v>
      </c>
      <c r="I14" s="13"/>
      <c r="J14" s="34"/>
      <c r="K14" s="77">
        <v>1258993.0</v>
      </c>
      <c r="L14" s="36" t="str">
        <f>IFERROR(__xludf.DUMMYFUNCTION("""COMPUTED_VALUE"""),"HR1")</f>
        <v>HR1</v>
      </c>
      <c r="M14" s="34"/>
      <c r="N14" s="53" t="s">
        <v>791</v>
      </c>
      <c r="O14" s="38">
        <v>5.49537</v>
      </c>
      <c r="P14" s="39">
        <v>200.0</v>
      </c>
      <c r="Q14" s="40">
        <v>0.00204861110978527</v>
      </c>
      <c r="R14" s="41">
        <v>5.2</v>
      </c>
      <c r="S14" s="42">
        <v>10.0</v>
      </c>
      <c r="T14" s="42">
        <v>10.0</v>
      </c>
      <c r="U14" s="34" t="s">
        <v>792</v>
      </c>
      <c r="V14" s="34">
        <v>1258993.0</v>
      </c>
      <c r="W14" s="13"/>
    </row>
    <row r="15" ht="18.75" customHeight="1">
      <c r="A15" s="13"/>
      <c r="B15" s="76" t="s">
        <v>793</v>
      </c>
      <c r="C15" s="77">
        <f>IFERROR(__xludf.DUMMYFUNCTION("""COMPUTED_VALUE"""),1258993.0)</f>
        <v>1258993</v>
      </c>
      <c r="D15" s="31" t="s">
        <v>9</v>
      </c>
      <c r="E15" s="31" t="s">
        <v>35</v>
      </c>
      <c r="F15" s="32"/>
      <c r="G15" s="57" t="s">
        <v>791</v>
      </c>
      <c r="H15" s="51" t="s">
        <v>794</v>
      </c>
      <c r="I15" s="13"/>
      <c r="J15" s="35"/>
      <c r="K15" s="48">
        <v>1592403.0</v>
      </c>
      <c r="L15" s="36" t="str">
        <f>IFERROR(__xludf.DUMMYFUNCTION("""COMPUTED_VALUE"""),"HR2")</f>
        <v>HR2</v>
      </c>
      <c r="M15" s="34"/>
      <c r="N15" s="53" t="s">
        <v>795</v>
      </c>
      <c r="O15" s="38">
        <v>5.31905</v>
      </c>
      <c r="P15" s="39">
        <v>160.0</v>
      </c>
      <c r="Q15" s="40">
        <v>0.0017592592594155576</v>
      </c>
      <c r="R15" s="41">
        <v>6.5</v>
      </c>
      <c r="S15" s="42">
        <v>10.0</v>
      </c>
      <c r="T15" s="42">
        <v>10.0</v>
      </c>
      <c r="U15" s="34" t="s">
        <v>796</v>
      </c>
      <c r="V15" s="34">
        <v>1592403.0</v>
      </c>
      <c r="W15" s="13"/>
    </row>
    <row r="16" ht="18.75" customHeight="1">
      <c r="A16" s="13"/>
      <c r="B16" s="76" t="s">
        <v>686</v>
      </c>
      <c r="C16" s="77">
        <f>IFERROR(__xludf.DUMMYFUNCTION("""COMPUTED_VALUE"""),2442178.0)</f>
        <v>2442178</v>
      </c>
      <c r="D16" s="31" t="s">
        <v>7</v>
      </c>
      <c r="E16" s="31" t="s">
        <v>17</v>
      </c>
      <c r="F16" s="32"/>
      <c r="G16" s="57" t="s">
        <v>687</v>
      </c>
      <c r="H16" s="51" t="s">
        <v>306</v>
      </c>
      <c r="I16" s="13"/>
      <c r="J16" s="34"/>
      <c r="K16" s="78">
        <v>3333734.0</v>
      </c>
      <c r="L16" s="36" t="str">
        <f>IFERROR(__xludf.DUMMYFUNCTION("""COMPUTED_VALUE"""),"HR3")</f>
        <v>HR3</v>
      </c>
      <c r="M16" s="34"/>
      <c r="N16" s="53" t="s">
        <v>797</v>
      </c>
      <c r="O16" s="38">
        <v>5.41149</v>
      </c>
      <c r="P16" s="39">
        <v>128.0</v>
      </c>
      <c r="Q16" s="40">
        <v>0.0021874999983992893</v>
      </c>
      <c r="R16" s="41">
        <v>5.2</v>
      </c>
      <c r="S16" s="42">
        <v>10.0</v>
      </c>
      <c r="T16" s="42">
        <v>10.0</v>
      </c>
      <c r="U16" s="34" t="s">
        <v>139</v>
      </c>
      <c r="V16" s="34">
        <v>3333734.0</v>
      </c>
      <c r="W16" s="13"/>
    </row>
    <row r="17" ht="18.75" customHeight="1">
      <c r="A17" s="13"/>
      <c r="B17" s="79" t="s">
        <v>683</v>
      </c>
      <c r="C17" s="78">
        <f>IFERROR(__xludf.DUMMYFUNCTION("""COMPUTED_VALUE"""),1290855.0)</f>
        <v>1290855</v>
      </c>
      <c r="D17" s="31" t="s">
        <v>11</v>
      </c>
      <c r="E17" s="31" t="s">
        <v>35</v>
      </c>
      <c r="F17" s="32"/>
      <c r="G17" s="57" t="s">
        <v>684</v>
      </c>
      <c r="H17" s="51" t="s">
        <v>798</v>
      </c>
      <c r="I17" s="13"/>
      <c r="J17" s="35"/>
      <c r="K17" s="47">
        <v>2519731.0</v>
      </c>
      <c r="L17" s="36" t="str">
        <f>IFERROR(__xludf.DUMMYFUNCTION("""COMPUTED_VALUE"""),"DT1")</f>
        <v>DT1</v>
      </c>
      <c r="M17" s="34"/>
      <c r="N17" s="53" t="s">
        <v>799</v>
      </c>
      <c r="O17" s="38">
        <v>5.72936</v>
      </c>
      <c r="P17" s="39">
        <v>255.0</v>
      </c>
      <c r="Q17" s="40">
        <v>0.0017592592592592592</v>
      </c>
      <c r="R17" s="41">
        <v>4.0</v>
      </c>
      <c r="S17" s="42">
        <v>10.0</v>
      </c>
      <c r="T17" s="42">
        <v>9.083333333333334</v>
      </c>
      <c r="U17" s="34" t="s">
        <v>800</v>
      </c>
      <c r="V17" s="34">
        <v>2519731.0</v>
      </c>
      <c r="W17" s="13"/>
    </row>
    <row r="18" ht="18.75" customHeight="1">
      <c r="A18" s="13"/>
      <c r="B18" s="80"/>
      <c r="C18" s="78"/>
      <c r="D18" s="31"/>
      <c r="E18" s="31"/>
      <c r="F18" s="32"/>
      <c r="G18" s="33"/>
      <c r="H18" s="51"/>
      <c r="I18" s="13"/>
      <c r="J18" s="47"/>
      <c r="K18" s="47">
        <v>1035068.0</v>
      </c>
      <c r="L18" s="36" t="str">
        <f>IFERROR(__xludf.DUMMYFUNCTION("""COMPUTED_VALUE"""),"DT2")</f>
        <v>DT2</v>
      </c>
      <c r="M18" s="34"/>
      <c r="N18" s="53" t="s">
        <v>730</v>
      </c>
      <c r="O18" s="38">
        <v>5.68312</v>
      </c>
      <c r="P18" s="39">
        <v>255.0</v>
      </c>
      <c r="Q18" s="40">
        <v>0.0015354938271533076</v>
      </c>
      <c r="R18" s="41">
        <v>3.8</v>
      </c>
      <c r="S18" s="42">
        <v>9.866666666666667</v>
      </c>
      <c r="T18" s="42">
        <v>9.083333333333334</v>
      </c>
      <c r="U18" s="34" t="s">
        <v>801</v>
      </c>
      <c r="V18" s="34">
        <v>1035068.0</v>
      </c>
      <c r="W18" s="13"/>
    </row>
    <row r="19" ht="18.75" customHeight="1">
      <c r="A19" s="13"/>
      <c r="B19" s="81" t="s">
        <v>802</v>
      </c>
      <c r="C19" s="78">
        <f>IFERROR(__xludf.DUMMYFUNCTION("""COMPUTED_VALUE"""),3333734.0)</f>
        <v>3333734</v>
      </c>
      <c r="D19" s="31" t="s">
        <v>9</v>
      </c>
      <c r="E19" s="31" t="s">
        <v>35</v>
      </c>
      <c r="F19" s="32"/>
      <c r="G19" s="57" t="s">
        <v>797</v>
      </c>
      <c r="H19" s="51" t="s">
        <v>367</v>
      </c>
      <c r="I19" s="13"/>
      <c r="J19" s="35"/>
      <c r="K19" s="47">
        <v>1707909.0</v>
      </c>
      <c r="L19" s="36" t="str">
        <f>IFERROR(__xludf.DUMMYFUNCTION("""COMPUTED_VALUE"""),"DT3")</f>
        <v>DT3</v>
      </c>
      <c r="M19" s="34"/>
      <c r="N19" s="53" t="s">
        <v>803</v>
      </c>
      <c r="O19" s="38">
        <v>5.48578</v>
      </c>
      <c r="P19" s="39">
        <v>255.0</v>
      </c>
      <c r="Q19" s="40">
        <v>0.0016358024683237697</v>
      </c>
      <c r="R19" s="41">
        <v>4.0</v>
      </c>
      <c r="S19" s="42">
        <v>9.666666666666668</v>
      </c>
      <c r="T19" s="42">
        <v>8.416666666666666</v>
      </c>
      <c r="U19" s="34" t="s">
        <v>804</v>
      </c>
      <c r="V19" s="34">
        <v>1707909.0</v>
      </c>
      <c r="W19" s="13"/>
    </row>
    <row r="20" ht="18.75" customHeight="1">
      <c r="A20" s="13"/>
      <c r="B20" s="82" t="s">
        <v>648</v>
      </c>
      <c r="C20" s="78">
        <f>IFERROR(__xludf.DUMMYFUNCTION("""COMPUTED_VALUE"""),2775823.0)</f>
        <v>2775823</v>
      </c>
      <c r="D20" s="31" t="s">
        <v>8</v>
      </c>
      <c r="E20" s="31" t="s">
        <v>17</v>
      </c>
      <c r="F20" s="32"/>
      <c r="G20" s="57" t="s">
        <v>649</v>
      </c>
      <c r="H20" s="33"/>
      <c r="I20" s="13"/>
      <c r="J20" s="61"/>
      <c r="K20" s="47">
        <v>25341.0</v>
      </c>
      <c r="L20" s="36" t="str">
        <f>IFERROR(__xludf.DUMMYFUNCTION("""COMPUTED_VALUE"""),"DT4")</f>
        <v>DT4</v>
      </c>
      <c r="M20" s="34"/>
      <c r="N20" s="53" t="s">
        <v>805</v>
      </c>
      <c r="O20" s="38">
        <v>5.00306</v>
      </c>
      <c r="P20" s="39">
        <v>228.0</v>
      </c>
      <c r="Q20" s="40">
        <v>0.0013040123449172825</v>
      </c>
      <c r="R20" s="41">
        <v>5.0</v>
      </c>
      <c r="S20" s="42">
        <v>8.333333333333334</v>
      </c>
      <c r="T20" s="42">
        <v>7.75</v>
      </c>
      <c r="U20" s="34" t="s">
        <v>806</v>
      </c>
      <c r="V20" s="34">
        <v>25341.0</v>
      </c>
      <c r="W20" s="13"/>
    </row>
    <row r="21" ht="18.75" customHeight="1">
      <c r="A21" s="13"/>
      <c r="B21" s="83" t="s">
        <v>807</v>
      </c>
      <c r="C21" s="72">
        <f>IFERROR(__xludf.DUMMYFUNCTION("""COMPUTED_VALUE"""),2405667.0)</f>
        <v>2405667</v>
      </c>
      <c r="D21" s="31" t="s">
        <v>8</v>
      </c>
      <c r="E21" s="31" t="s">
        <v>41</v>
      </c>
      <c r="F21" s="32"/>
      <c r="G21" s="57" t="s">
        <v>808</v>
      </c>
      <c r="H21" s="51" t="s">
        <v>809</v>
      </c>
      <c r="I21" s="13"/>
      <c r="J21" s="34"/>
      <c r="K21" s="48">
        <v>3883278.0</v>
      </c>
      <c r="L21" s="36" t="str">
        <f>IFERROR(__xludf.DUMMYFUNCTION("""COMPUTED_VALUE"""),"FM1")</f>
        <v>FM1</v>
      </c>
      <c r="M21" s="34"/>
      <c r="N21" s="53" t="s">
        <v>810</v>
      </c>
      <c r="O21" s="38">
        <v>5.29251</v>
      </c>
      <c r="P21" s="39">
        <v>180.0</v>
      </c>
      <c r="Q21" s="40">
        <v>0.002025462963501923</v>
      </c>
      <c r="R21" s="41">
        <v>3.0</v>
      </c>
      <c r="S21" s="42">
        <v>9.0</v>
      </c>
      <c r="T21" s="42">
        <v>7.5</v>
      </c>
      <c r="U21" s="34" t="s">
        <v>811</v>
      </c>
      <c r="V21" s="34">
        <v>3883278.0</v>
      </c>
      <c r="W21" s="13"/>
    </row>
    <row r="22" ht="18.75" customHeight="1">
      <c r="A22" s="13"/>
      <c r="B22" s="83" t="s">
        <v>716</v>
      </c>
      <c r="C22" s="72">
        <f>IFERROR(__xludf.DUMMYFUNCTION("""COMPUTED_VALUE"""),3711739.0)</f>
        <v>3711739</v>
      </c>
      <c r="D22" s="31" t="s">
        <v>7</v>
      </c>
      <c r="E22" s="31" t="s">
        <v>35</v>
      </c>
      <c r="F22" s="32"/>
      <c r="G22" s="57" t="s">
        <v>717</v>
      </c>
      <c r="H22" s="33"/>
      <c r="I22" s="13"/>
      <c r="J22" s="34"/>
      <c r="K22" s="47">
        <v>58701.0</v>
      </c>
      <c r="L22" s="36" t="str">
        <f>IFERROR(__xludf.DUMMYFUNCTION("""COMPUTED_VALUE"""),"FM2")</f>
        <v>FM2</v>
      </c>
      <c r="M22" s="34"/>
      <c r="N22" s="53" t="s">
        <v>812</v>
      </c>
      <c r="O22" s="38">
        <v>5.0039</v>
      </c>
      <c r="P22" s="39">
        <v>155.0</v>
      </c>
      <c r="Q22" s="40">
        <v>0.0018634259249665774</v>
      </c>
      <c r="R22" s="41">
        <v>5.0</v>
      </c>
      <c r="S22" s="42">
        <v>8.0</v>
      </c>
      <c r="T22" s="42">
        <v>8.0</v>
      </c>
      <c r="U22" s="34" t="s">
        <v>813</v>
      </c>
      <c r="V22" s="34">
        <v>58701.0</v>
      </c>
      <c r="W22" s="13"/>
    </row>
    <row r="23" ht="18.75" customHeight="1">
      <c r="A23" s="13"/>
      <c r="B23" s="83" t="s">
        <v>814</v>
      </c>
      <c r="C23" s="72">
        <f>IFERROR(__xludf.DUMMYFUNCTION("""COMPUTED_VALUE"""),2134906.0)</f>
        <v>2134906</v>
      </c>
      <c r="D23" s="31" t="s">
        <v>7</v>
      </c>
      <c r="E23" s="31" t="s">
        <v>35</v>
      </c>
      <c r="F23" s="32"/>
      <c r="G23" s="57" t="s">
        <v>815</v>
      </c>
      <c r="H23" s="51" t="s">
        <v>306</v>
      </c>
      <c r="I23" s="13"/>
      <c r="J23" s="35"/>
      <c r="K23" s="47">
        <v>3853742.0</v>
      </c>
      <c r="L23" s="36" t="str">
        <f>IFERROR(__xludf.DUMMYFUNCTION("""COMPUTED_VALUE"""),"FM3")</f>
        <v>FM3</v>
      </c>
      <c r="M23" s="34"/>
      <c r="N23" s="53" t="s">
        <v>816</v>
      </c>
      <c r="O23" s="38">
        <v>5.05375</v>
      </c>
      <c r="P23" s="39">
        <v>130.0</v>
      </c>
      <c r="Q23" s="40">
        <v>0.0016203703708015382</v>
      </c>
      <c r="R23" s="41">
        <v>3.5</v>
      </c>
      <c r="S23" s="42">
        <v>8.8</v>
      </c>
      <c r="T23" s="42">
        <v>8.0</v>
      </c>
      <c r="U23" s="34" t="s">
        <v>817</v>
      </c>
      <c r="V23" s="34">
        <v>3853742.0</v>
      </c>
      <c r="W23" s="13"/>
    </row>
    <row r="24" ht="18.75" customHeight="1">
      <c r="A24" s="13"/>
      <c r="B24" s="84" t="s">
        <v>818</v>
      </c>
      <c r="C24" s="85">
        <f>IFERROR(__xludf.DUMMYFUNCTION("""COMPUTED_VALUE"""),3326410.0)</f>
        <v>3326410</v>
      </c>
      <c r="D24" s="31" t="s">
        <v>10</v>
      </c>
      <c r="E24" s="31" t="s">
        <v>17</v>
      </c>
      <c r="F24" s="32"/>
      <c r="G24" s="57" t="s">
        <v>819</v>
      </c>
      <c r="H24" s="33"/>
      <c r="I24" s="13"/>
      <c r="J24" s="34"/>
      <c r="K24" s="47">
        <v>862338.0</v>
      </c>
      <c r="L24" s="36" t="str">
        <f>IFERROR(__xludf.DUMMYFUNCTION("""COMPUTED_VALUE"""),"TB1")</f>
        <v>TB1</v>
      </c>
      <c r="M24" s="34"/>
      <c r="N24" s="53" t="s">
        <v>820</v>
      </c>
      <c r="O24" s="38">
        <v>6.01809</v>
      </c>
      <c r="P24" s="39">
        <v>174.0</v>
      </c>
      <c r="Q24" s="40">
        <v>0.0033680555570754223</v>
      </c>
      <c r="R24" s="41">
        <v>4.0</v>
      </c>
      <c r="S24" s="42">
        <v>9.4</v>
      </c>
      <c r="T24" s="42">
        <v>8.5</v>
      </c>
      <c r="U24" s="34" t="s">
        <v>682</v>
      </c>
      <c r="V24" s="34">
        <v>862338.0</v>
      </c>
      <c r="W24" s="13"/>
    </row>
    <row r="25" ht="18.75" customHeight="1">
      <c r="A25" s="13"/>
      <c r="B25" s="56" t="s">
        <v>821</v>
      </c>
      <c r="C25" s="48">
        <f>IFERROR(__xludf.DUMMYFUNCTION("""COMPUTED_VALUE"""),2348578.0)</f>
        <v>2348578</v>
      </c>
      <c r="D25" s="31" t="s">
        <v>8</v>
      </c>
      <c r="E25" s="31" t="s">
        <v>17</v>
      </c>
      <c r="F25" s="32"/>
      <c r="G25" s="57" t="s">
        <v>780</v>
      </c>
      <c r="H25" s="51"/>
      <c r="I25" s="13"/>
      <c r="J25" s="34"/>
      <c r="K25" s="46"/>
      <c r="L25" s="36"/>
      <c r="M25" s="34"/>
      <c r="N25" s="37"/>
      <c r="O25" s="38"/>
      <c r="P25" s="39"/>
      <c r="Q25" s="40"/>
      <c r="R25" s="41"/>
      <c r="S25" s="42"/>
      <c r="T25" s="42"/>
      <c r="U25" s="34"/>
      <c r="V25" s="34"/>
      <c r="W25" s="13"/>
    </row>
    <row r="26" ht="18.75" customHeight="1">
      <c r="A26" s="13"/>
      <c r="B26" s="56" t="s">
        <v>822</v>
      </c>
      <c r="C26" s="48">
        <f>IFERROR(__xludf.DUMMYFUNCTION("""COMPUTED_VALUE"""),929118.0)</f>
        <v>929118</v>
      </c>
      <c r="D26" s="31" t="s">
        <v>7</v>
      </c>
      <c r="E26" s="31" t="s">
        <v>35</v>
      </c>
      <c r="F26" s="32"/>
      <c r="G26" s="57" t="s">
        <v>823</v>
      </c>
      <c r="H26" s="51" t="s">
        <v>312</v>
      </c>
      <c r="I26" s="13"/>
      <c r="J26" s="34"/>
      <c r="K26" s="46"/>
      <c r="L26" s="36"/>
      <c r="M26" s="34"/>
      <c r="N26" s="37"/>
      <c r="O26" s="38"/>
      <c r="P26" s="39"/>
      <c r="Q26" s="40"/>
      <c r="R26" s="41"/>
      <c r="S26" s="42"/>
      <c r="T26" s="42"/>
      <c r="U26" s="34"/>
      <c r="V26" s="34"/>
      <c r="W26" s="13"/>
    </row>
    <row r="27" ht="18.75" customHeight="1">
      <c r="A27" s="13"/>
      <c r="B27" s="56" t="s">
        <v>824</v>
      </c>
      <c r="C27" s="48">
        <f>IFERROR(__xludf.DUMMYFUNCTION("""COMPUTED_VALUE"""),2718270.0)</f>
        <v>2718270</v>
      </c>
      <c r="D27" s="31"/>
      <c r="E27" s="31" t="s">
        <v>17</v>
      </c>
      <c r="F27" s="32"/>
      <c r="G27" s="57" t="s">
        <v>825</v>
      </c>
      <c r="H27" s="33"/>
      <c r="I27" s="13"/>
      <c r="J27" s="34"/>
      <c r="K27" s="46"/>
      <c r="L27" s="36"/>
      <c r="M27" s="34"/>
      <c r="N27" s="37"/>
      <c r="O27" s="38"/>
      <c r="P27" s="39"/>
      <c r="Q27" s="40"/>
      <c r="R27" s="41"/>
      <c r="S27" s="42"/>
      <c r="T27" s="42"/>
      <c r="U27" s="34"/>
      <c r="V27" s="34"/>
      <c r="W27" s="13"/>
    </row>
    <row r="28" ht="18.75" customHeight="1">
      <c r="A28" s="13"/>
      <c r="B28" s="56" t="s">
        <v>826</v>
      </c>
      <c r="C28" s="48">
        <f>IFERROR(__xludf.DUMMYFUNCTION("""COMPUTED_VALUE"""),1744385.0)</f>
        <v>1744385</v>
      </c>
      <c r="D28" s="31" t="s">
        <v>7</v>
      </c>
      <c r="E28" s="31" t="s">
        <v>17</v>
      </c>
      <c r="F28" s="32"/>
      <c r="G28" s="57" t="s">
        <v>827</v>
      </c>
      <c r="H28" s="51"/>
      <c r="I28" s="13"/>
      <c r="J28" s="34"/>
      <c r="K28" s="46"/>
      <c r="L28" s="36"/>
      <c r="M28" s="34"/>
      <c r="N28" s="37"/>
      <c r="O28" s="38"/>
      <c r="P28" s="39"/>
      <c r="Q28" s="40"/>
      <c r="R28" s="41"/>
      <c r="S28" s="42"/>
      <c r="T28" s="42"/>
      <c r="U28" s="34"/>
      <c r="V28" s="34"/>
      <c r="W28" s="13"/>
    </row>
    <row r="29" ht="18.75" customHeight="1">
      <c r="A29" s="13"/>
      <c r="B29" s="56" t="s">
        <v>828</v>
      </c>
      <c r="C29" s="48">
        <f>IFERROR(__xludf.DUMMYFUNCTION("""COMPUTED_VALUE"""),3186407.0)</f>
        <v>3186407</v>
      </c>
      <c r="D29" s="31" t="s">
        <v>8</v>
      </c>
      <c r="E29" s="31" t="s">
        <v>17</v>
      </c>
      <c r="F29" s="32"/>
      <c r="G29" s="57" t="s">
        <v>829</v>
      </c>
      <c r="H29" s="51" t="s">
        <v>830</v>
      </c>
      <c r="I29" s="13"/>
      <c r="J29" s="34"/>
      <c r="K29" s="46"/>
      <c r="L29" s="36"/>
      <c r="M29" s="34"/>
      <c r="N29" s="37"/>
      <c r="O29" s="38"/>
      <c r="P29" s="39"/>
      <c r="Q29" s="40"/>
      <c r="R29" s="41"/>
      <c r="S29" s="42"/>
      <c r="T29" s="42"/>
      <c r="U29" s="34"/>
      <c r="V29" s="34"/>
      <c r="W29" s="13"/>
    </row>
    <row r="30" ht="18.75" customHeight="1">
      <c r="A30" s="13"/>
      <c r="B30" s="56" t="s">
        <v>831</v>
      </c>
      <c r="C30" s="48">
        <f>IFERROR(__xludf.DUMMYFUNCTION("""COMPUTED_VALUE"""),243487.0)</f>
        <v>243487</v>
      </c>
      <c r="D30" s="31" t="s">
        <v>7</v>
      </c>
      <c r="E30" s="31" t="s">
        <v>17</v>
      </c>
      <c r="F30" s="32"/>
      <c r="G30" s="57" t="s">
        <v>832</v>
      </c>
      <c r="H30" s="33"/>
      <c r="I30" s="13"/>
      <c r="J30" s="34"/>
      <c r="K30" s="46"/>
      <c r="L30" s="36"/>
      <c r="M30" s="34"/>
      <c r="N30" s="37"/>
      <c r="O30" s="38"/>
      <c r="P30" s="39"/>
      <c r="Q30" s="40"/>
      <c r="R30" s="41"/>
      <c r="S30" s="42"/>
      <c r="T30" s="42"/>
      <c r="U30" s="34"/>
      <c r="V30" s="34"/>
      <c r="W30" s="13"/>
    </row>
    <row r="31" ht="18.75" customHeight="1">
      <c r="A31" s="13"/>
      <c r="B31" s="56" t="s">
        <v>833</v>
      </c>
      <c r="C31" s="48">
        <f>IFERROR(__xludf.DUMMYFUNCTION("""COMPUTED_VALUE"""),3614024.0)</f>
        <v>3614024</v>
      </c>
      <c r="D31" s="31" t="s">
        <v>7</v>
      </c>
      <c r="E31" s="31" t="s">
        <v>17</v>
      </c>
      <c r="F31" s="32"/>
      <c r="G31" s="57" t="s">
        <v>834</v>
      </c>
      <c r="H31" s="33"/>
      <c r="I31" s="13"/>
      <c r="J31" s="34"/>
      <c r="K31" s="46"/>
      <c r="L31" s="36"/>
      <c r="M31" s="34"/>
      <c r="N31" s="37"/>
      <c r="O31" s="38"/>
      <c r="P31" s="39"/>
      <c r="Q31" s="40"/>
      <c r="R31" s="41"/>
      <c r="S31" s="42"/>
      <c r="T31" s="42"/>
      <c r="U31" s="34"/>
      <c r="V31" s="34"/>
      <c r="W31" s="13"/>
    </row>
    <row r="32" ht="18.75" customHeight="1">
      <c r="A32" s="13"/>
      <c r="B32" s="56" t="s">
        <v>835</v>
      </c>
      <c r="C32" s="48">
        <f>IFERROR(__xludf.DUMMYFUNCTION("""COMPUTED_VALUE"""),3257641.0)</f>
        <v>3257641</v>
      </c>
      <c r="D32" s="31" t="s">
        <v>9</v>
      </c>
      <c r="E32" s="31" t="s">
        <v>17</v>
      </c>
      <c r="F32" s="32"/>
      <c r="G32" s="57" t="s">
        <v>836</v>
      </c>
      <c r="H32" s="33"/>
      <c r="I32" s="13"/>
      <c r="J32" s="34"/>
      <c r="K32" s="46"/>
      <c r="L32" s="36"/>
      <c r="M32" s="34"/>
      <c r="N32" s="37"/>
      <c r="O32" s="38"/>
      <c r="P32" s="39"/>
      <c r="Q32" s="40"/>
      <c r="R32" s="41"/>
      <c r="S32" s="42"/>
      <c r="T32" s="42"/>
      <c r="U32" s="34"/>
      <c r="V32" s="34"/>
      <c r="W32" s="13"/>
    </row>
    <row r="33" ht="18.75" customHeight="1">
      <c r="A33" s="13"/>
      <c r="B33" s="56" t="s">
        <v>837</v>
      </c>
      <c r="C33" s="48">
        <f>IFERROR(__xludf.DUMMYFUNCTION("""COMPUTED_VALUE"""),3182052.0)</f>
        <v>3182052</v>
      </c>
      <c r="D33" s="31" t="s">
        <v>11</v>
      </c>
      <c r="E33" s="31" t="s">
        <v>17</v>
      </c>
      <c r="F33" s="32"/>
      <c r="G33" s="57" t="s">
        <v>838</v>
      </c>
      <c r="H33" s="51"/>
      <c r="I33" s="13"/>
      <c r="J33" s="34"/>
      <c r="K33" s="46"/>
      <c r="L33" s="36"/>
      <c r="M33" s="34"/>
      <c r="N33" s="37"/>
      <c r="O33" s="38"/>
      <c r="P33" s="39"/>
      <c r="Q33" s="40"/>
      <c r="R33" s="41"/>
      <c r="S33" s="42"/>
      <c r="T33" s="42"/>
      <c r="U33" s="34"/>
      <c r="V33" s="34"/>
      <c r="W33" s="13"/>
    </row>
    <row r="34" ht="18.75" customHeight="1">
      <c r="A34" s="13"/>
      <c r="B34" s="56" t="s">
        <v>839</v>
      </c>
      <c r="C34" s="48">
        <f>IFERROR(__xludf.DUMMYFUNCTION("""COMPUTED_VALUE"""),3071429.0)</f>
        <v>3071429</v>
      </c>
      <c r="D34" s="31" t="s">
        <v>10</v>
      </c>
      <c r="E34" s="31" t="s">
        <v>17</v>
      </c>
      <c r="F34" s="32"/>
      <c r="G34" s="57" t="s">
        <v>840</v>
      </c>
      <c r="H34" s="33"/>
      <c r="I34" s="13"/>
      <c r="J34" s="34"/>
      <c r="K34" s="46"/>
      <c r="L34" s="36"/>
      <c r="M34" s="34"/>
      <c r="N34" s="37"/>
      <c r="O34" s="38"/>
      <c r="P34" s="39"/>
      <c r="Q34" s="40"/>
      <c r="R34" s="41"/>
      <c r="S34" s="42"/>
      <c r="T34" s="42"/>
      <c r="U34" s="34"/>
      <c r="V34" s="34"/>
      <c r="W34" s="13"/>
    </row>
    <row r="35" ht="18.75" customHeight="1">
      <c r="A35" s="13"/>
      <c r="B35" s="56" t="s">
        <v>841</v>
      </c>
      <c r="C35" s="48">
        <f>IFERROR(__xludf.DUMMYFUNCTION("""COMPUTED_VALUE"""),1653270.0)</f>
        <v>1653270</v>
      </c>
      <c r="D35" s="31" t="s">
        <v>10</v>
      </c>
      <c r="E35" s="31"/>
      <c r="F35" s="32"/>
      <c r="G35" s="57" t="s">
        <v>842</v>
      </c>
      <c r="H35" s="51" t="s">
        <v>309</v>
      </c>
      <c r="I35" s="13"/>
      <c r="J35" s="34"/>
      <c r="K35" s="46"/>
      <c r="L35" s="36"/>
      <c r="M35" s="34"/>
      <c r="N35" s="37"/>
      <c r="O35" s="38"/>
      <c r="P35" s="39"/>
      <c r="Q35" s="40"/>
      <c r="R35" s="41"/>
      <c r="S35" s="42"/>
      <c r="T35" s="42"/>
      <c r="U35" s="34"/>
      <c r="V35" s="34"/>
      <c r="W35" s="13"/>
    </row>
    <row r="36" ht="18.75" customHeight="1">
      <c r="A36" s="13"/>
      <c r="B36" s="56" t="s">
        <v>843</v>
      </c>
      <c r="C36" s="48">
        <f>IFERROR(__xludf.DUMMYFUNCTION("""COMPUTED_VALUE"""),117424.0)</f>
        <v>117424</v>
      </c>
      <c r="D36" s="31" t="s">
        <v>11</v>
      </c>
      <c r="E36" s="31" t="s">
        <v>17</v>
      </c>
      <c r="F36" s="32"/>
      <c r="G36" s="57" t="s">
        <v>844</v>
      </c>
      <c r="H36" s="33"/>
      <c r="I36" s="13"/>
      <c r="J36" s="34"/>
      <c r="K36" s="46"/>
      <c r="L36" s="36"/>
      <c r="M36" s="34"/>
      <c r="N36" s="37"/>
      <c r="O36" s="38"/>
      <c r="P36" s="39"/>
      <c r="Q36" s="40"/>
      <c r="R36" s="41"/>
      <c r="S36" s="42"/>
      <c r="T36" s="42"/>
      <c r="U36" s="34"/>
      <c r="V36" s="34"/>
      <c r="W36" s="13"/>
    </row>
    <row r="37" ht="18.75" customHeight="1">
      <c r="A37" s="13"/>
      <c r="B37" s="56" t="s">
        <v>845</v>
      </c>
      <c r="C37" s="48">
        <f>IFERROR(__xludf.DUMMYFUNCTION("""COMPUTED_VALUE"""),2855311.0)</f>
        <v>2855311</v>
      </c>
      <c r="D37" s="31" t="s">
        <v>10</v>
      </c>
      <c r="E37" s="31" t="s">
        <v>17</v>
      </c>
      <c r="F37" s="32"/>
      <c r="G37" s="57" t="s">
        <v>846</v>
      </c>
      <c r="H37" s="33"/>
      <c r="I37" s="13"/>
      <c r="J37" s="34"/>
      <c r="K37" s="46"/>
      <c r="L37" s="36"/>
      <c r="M37" s="34"/>
      <c r="N37" s="37"/>
      <c r="O37" s="38"/>
      <c r="P37" s="39"/>
      <c r="Q37" s="40"/>
      <c r="R37" s="41"/>
      <c r="S37" s="42"/>
      <c r="T37" s="42"/>
      <c r="U37" s="34"/>
      <c r="V37" s="34"/>
      <c r="W37" s="13"/>
    </row>
    <row r="38" ht="18.75" customHeight="1">
      <c r="A38" s="13"/>
      <c r="B38" s="86" t="s">
        <v>847</v>
      </c>
      <c r="C38" s="48">
        <f>IFERROR(__xludf.DUMMYFUNCTION("""COMPUTED_VALUE"""),3883278.0)</f>
        <v>3883278</v>
      </c>
      <c r="D38" s="31" t="s">
        <v>11</v>
      </c>
      <c r="E38" s="31" t="s">
        <v>17</v>
      </c>
      <c r="F38" s="32"/>
      <c r="G38" s="57" t="s">
        <v>810</v>
      </c>
      <c r="H38" s="33"/>
      <c r="I38" s="13"/>
      <c r="J38" s="34"/>
      <c r="K38" s="46"/>
      <c r="L38" s="36"/>
      <c r="M38" s="34"/>
      <c r="N38" s="37"/>
      <c r="O38" s="38"/>
      <c r="P38" s="39"/>
      <c r="Q38" s="40"/>
      <c r="R38" s="41"/>
      <c r="S38" s="42"/>
      <c r="T38" s="42"/>
      <c r="U38" s="34"/>
      <c r="V38" s="34"/>
      <c r="W38" s="13"/>
    </row>
    <row r="39" ht="18.75" customHeight="1">
      <c r="A39" s="13"/>
      <c r="B39" s="56" t="s">
        <v>848</v>
      </c>
      <c r="C39" s="48">
        <f>IFERROR(__xludf.DUMMYFUNCTION("""COMPUTED_VALUE"""),1592403.0)</f>
        <v>1592403</v>
      </c>
      <c r="D39" s="31" t="s">
        <v>9</v>
      </c>
      <c r="E39" s="31" t="s">
        <v>35</v>
      </c>
      <c r="F39" s="32"/>
      <c r="G39" s="57" t="s">
        <v>795</v>
      </c>
      <c r="H39" s="33"/>
      <c r="I39" s="13"/>
      <c r="J39" s="34"/>
      <c r="K39" s="46"/>
      <c r="L39" s="36"/>
      <c r="M39" s="34"/>
      <c r="N39" s="37"/>
      <c r="O39" s="38"/>
      <c r="P39" s="39"/>
      <c r="Q39" s="40"/>
      <c r="R39" s="41"/>
      <c r="S39" s="42"/>
      <c r="T39" s="42"/>
      <c r="U39" s="34"/>
      <c r="V39" s="34"/>
      <c r="W39" s="13"/>
    </row>
    <row r="40" ht="18.75" customHeight="1">
      <c r="A40" s="13"/>
      <c r="B40" s="56" t="s">
        <v>849</v>
      </c>
      <c r="C40" s="48">
        <f>IFERROR(__xludf.DUMMYFUNCTION("""COMPUTED_VALUE"""),26436.0)</f>
        <v>26436</v>
      </c>
      <c r="D40" s="31" t="s">
        <v>9</v>
      </c>
      <c r="E40" s="31" t="s">
        <v>35</v>
      </c>
      <c r="F40" s="32"/>
      <c r="G40" s="57" t="s">
        <v>850</v>
      </c>
      <c r="H40" s="33"/>
      <c r="I40" s="13"/>
      <c r="J40" s="34"/>
      <c r="K40" s="46"/>
      <c r="L40" s="36"/>
      <c r="M40" s="34"/>
      <c r="N40" s="37"/>
      <c r="O40" s="38"/>
      <c r="P40" s="39"/>
      <c r="Q40" s="40"/>
      <c r="R40" s="41"/>
      <c r="S40" s="42"/>
      <c r="T40" s="42"/>
      <c r="U40" s="34"/>
      <c r="V40" s="34"/>
      <c r="W40" s="13"/>
    </row>
    <row r="41" ht="18.75" customHeight="1">
      <c r="A41" s="13"/>
      <c r="B41" s="56" t="s">
        <v>851</v>
      </c>
      <c r="C41" s="48">
        <f>IFERROR(__xludf.DUMMYFUNCTION("""COMPUTED_VALUE"""),2111658.0)</f>
        <v>2111658</v>
      </c>
      <c r="D41" s="31" t="s">
        <v>9</v>
      </c>
      <c r="E41" s="31" t="s">
        <v>35</v>
      </c>
      <c r="F41" s="32"/>
      <c r="G41" s="57" t="s">
        <v>852</v>
      </c>
      <c r="H41" s="33"/>
      <c r="I41" s="13"/>
      <c r="J41" s="34"/>
      <c r="K41" s="46"/>
      <c r="L41" s="36"/>
      <c r="M41" s="34"/>
      <c r="N41" s="37"/>
      <c r="O41" s="38"/>
      <c r="P41" s="39"/>
      <c r="Q41" s="40"/>
      <c r="R41" s="41"/>
      <c r="S41" s="42"/>
      <c r="T41" s="42"/>
      <c r="U41" s="34"/>
      <c r="V41" s="34"/>
      <c r="W41" s="13"/>
    </row>
    <row r="42" ht="18.75" customHeight="1">
      <c r="A42" s="13"/>
      <c r="B42" s="56" t="s">
        <v>853</v>
      </c>
      <c r="C42" s="48">
        <f>IFERROR(__xludf.DUMMYFUNCTION("""COMPUTED_VALUE"""),424554.0)</f>
        <v>424554</v>
      </c>
      <c r="D42" s="31" t="s">
        <v>9</v>
      </c>
      <c r="E42" s="31" t="s">
        <v>35</v>
      </c>
      <c r="F42" s="32"/>
      <c r="G42" s="57" t="s">
        <v>854</v>
      </c>
      <c r="H42" s="33"/>
      <c r="I42" s="13"/>
      <c r="J42" s="34"/>
      <c r="K42" s="46"/>
      <c r="L42" s="36"/>
      <c r="M42" s="34"/>
      <c r="N42" s="37"/>
      <c r="O42" s="38"/>
      <c r="P42" s="39"/>
      <c r="Q42" s="40"/>
      <c r="R42" s="41"/>
      <c r="S42" s="42"/>
      <c r="T42" s="42"/>
      <c r="U42" s="34"/>
      <c r="V42" s="34"/>
      <c r="W42" s="13"/>
    </row>
    <row r="43" ht="18.75" customHeight="1">
      <c r="A43" s="13"/>
      <c r="B43" s="56" t="s">
        <v>855</v>
      </c>
      <c r="C43" s="48">
        <f>IFERROR(__xludf.DUMMYFUNCTION("""COMPUTED_VALUE"""),2559136.0)</f>
        <v>2559136</v>
      </c>
      <c r="D43" s="31" t="s">
        <v>9</v>
      </c>
      <c r="E43" s="31" t="s">
        <v>35</v>
      </c>
      <c r="F43" s="32"/>
      <c r="G43" s="57" t="s">
        <v>856</v>
      </c>
      <c r="H43" s="51" t="s">
        <v>857</v>
      </c>
      <c r="I43" s="13"/>
      <c r="J43" s="34"/>
      <c r="K43" s="46"/>
      <c r="L43" s="36"/>
      <c r="M43" s="34"/>
      <c r="N43" s="37"/>
      <c r="O43" s="38"/>
      <c r="P43" s="39"/>
      <c r="Q43" s="40"/>
      <c r="R43" s="41"/>
      <c r="S43" s="42"/>
      <c r="T43" s="42"/>
      <c r="U43" s="34"/>
      <c r="V43" s="34"/>
      <c r="W43" s="13"/>
    </row>
    <row r="44" ht="18.75" customHeight="1">
      <c r="A44" s="13"/>
      <c r="B44" s="56" t="s">
        <v>858</v>
      </c>
      <c r="C44" s="48">
        <f>IFERROR(__xludf.DUMMYFUNCTION("""COMPUTED_VALUE"""),2792506.0)</f>
        <v>2792506</v>
      </c>
      <c r="D44" s="31" t="s">
        <v>7</v>
      </c>
      <c r="E44" s="31" t="s">
        <v>35</v>
      </c>
      <c r="F44" s="32"/>
      <c r="G44" s="57" t="s">
        <v>859</v>
      </c>
      <c r="H44" s="51" t="s">
        <v>860</v>
      </c>
      <c r="I44" s="13"/>
      <c r="J44" s="34"/>
      <c r="K44" s="46"/>
      <c r="L44" s="36"/>
      <c r="M44" s="34"/>
      <c r="N44" s="37"/>
      <c r="O44" s="38"/>
      <c r="P44" s="39"/>
      <c r="Q44" s="40"/>
      <c r="R44" s="41"/>
      <c r="S44" s="42"/>
      <c r="T44" s="42"/>
      <c r="U44" s="34"/>
      <c r="V44" s="34"/>
      <c r="W44" s="13"/>
    </row>
    <row r="45" ht="18.75" customHeight="1">
      <c r="A45" s="13"/>
      <c r="B45" s="56" t="s">
        <v>861</v>
      </c>
      <c r="C45" s="48">
        <f>IFERROR(__xludf.DUMMYFUNCTION("""COMPUTED_VALUE"""),3686559.0)</f>
        <v>3686559</v>
      </c>
      <c r="D45" s="31" t="s">
        <v>7</v>
      </c>
      <c r="E45" s="31" t="s">
        <v>17</v>
      </c>
      <c r="F45" s="32"/>
      <c r="G45" s="57" t="s">
        <v>862</v>
      </c>
      <c r="H45" s="51" t="s">
        <v>863</v>
      </c>
      <c r="I45" s="13"/>
      <c r="J45" s="34"/>
      <c r="K45" s="46"/>
      <c r="L45" s="36"/>
      <c r="M45" s="34"/>
      <c r="N45" s="37"/>
      <c r="O45" s="38"/>
      <c r="P45" s="39"/>
      <c r="Q45" s="40"/>
      <c r="R45" s="41"/>
      <c r="S45" s="42"/>
      <c r="T45" s="42"/>
      <c r="U45" s="34"/>
      <c r="V45" s="34"/>
      <c r="W45" s="13"/>
    </row>
    <row r="46" ht="18.75" customHeight="1">
      <c r="A46" s="13"/>
      <c r="B46" s="56" t="s">
        <v>864</v>
      </c>
      <c r="C46" s="48">
        <f>IFERROR(__xludf.DUMMYFUNCTION("""COMPUTED_VALUE"""),1938365.0)</f>
        <v>1938365</v>
      </c>
      <c r="D46" s="31" t="s">
        <v>7</v>
      </c>
      <c r="E46" s="31" t="s">
        <v>17</v>
      </c>
      <c r="F46" s="32"/>
      <c r="G46" s="57" t="s">
        <v>865</v>
      </c>
      <c r="H46" s="33"/>
      <c r="I46" s="13"/>
      <c r="J46" s="34"/>
      <c r="K46" s="46"/>
      <c r="L46" s="36"/>
      <c r="M46" s="34"/>
      <c r="N46" s="37"/>
      <c r="O46" s="38"/>
      <c r="P46" s="39"/>
      <c r="Q46" s="40"/>
      <c r="R46" s="41"/>
      <c r="S46" s="42"/>
      <c r="T46" s="42"/>
      <c r="U46" s="34"/>
      <c r="V46" s="34"/>
      <c r="W46" s="13"/>
    </row>
    <row r="47" ht="18.75" customHeight="1">
      <c r="A47" s="13"/>
      <c r="B47" s="56" t="s">
        <v>866</v>
      </c>
      <c r="C47" s="48">
        <f>IFERROR(__xludf.DUMMYFUNCTION("""COMPUTED_VALUE"""),1699306.0)</f>
        <v>1699306</v>
      </c>
      <c r="D47" s="31" t="s">
        <v>7</v>
      </c>
      <c r="E47" s="31" t="s">
        <v>17</v>
      </c>
      <c r="F47" s="32"/>
      <c r="G47" s="57" t="s">
        <v>867</v>
      </c>
      <c r="H47" s="33"/>
      <c r="I47" s="13"/>
      <c r="J47" s="34"/>
      <c r="K47" s="46"/>
      <c r="L47" s="36"/>
      <c r="M47" s="34"/>
      <c r="N47" s="37"/>
      <c r="O47" s="38"/>
      <c r="P47" s="39"/>
      <c r="Q47" s="40"/>
      <c r="R47" s="41"/>
      <c r="S47" s="42"/>
      <c r="T47" s="42"/>
      <c r="U47" s="34"/>
      <c r="V47" s="34"/>
      <c r="W47" s="13"/>
    </row>
    <row r="48" ht="18.75" customHeight="1">
      <c r="A48" s="13"/>
      <c r="B48" s="56" t="s">
        <v>868</v>
      </c>
      <c r="C48" s="48">
        <f>IFERROR(__xludf.DUMMYFUNCTION("""COMPUTED_VALUE"""),789815.0)</f>
        <v>789815</v>
      </c>
      <c r="D48" s="31" t="s">
        <v>7</v>
      </c>
      <c r="E48" s="31" t="s">
        <v>17</v>
      </c>
      <c r="F48" s="32"/>
      <c r="G48" s="57" t="s">
        <v>869</v>
      </c>
      <c r="H48" s="51" t="s">
        <v>870</v>
      </c>
      <c r="I48" s="13"/>
      <c r="J48" s="34"/>
      <c r="K48" s="46"/>
      <c r="L48" s="36"/>
      <c r="M48" s="34"/>
      <c r="N48" s="37"/>
      <c r="O48" s="38"/>
      <c r="P48" s="39"/>
      <c r="Q48" s="40"/>
      <c r="R48" s="41"/>
      <c r="S48" s="42"/>
      <c r="T48" s="42"/>
      <c r="U48" s="34"/>
      <c r="V48" s="34"/>
      <c r="W48" s="13"/>
    </row>
    <row r="49" ht="18.75" customHeight="1">
      <c r="A49" s="13"/>
      <c r="B49" s="56" t="s">
        <v>871</v>
      </c>
      <c r="C49" s="48">
        <f>IFERROR(__xludf.DUMMYFUNCTION("""COMPUTED_VALUE"""),1631406.0)</f>
        <v>1631406</v>
      </c>
      <c r="D49" s="31" t="s">
        <v>7</v>
      </c>
      <c r="E49" s="31" t="s">
        <v>17</v>
      </c>
      <c r="F49" s="32"/>
      <c r="G49" s="57" t="s">
        <v>872</v>
      </c>
      <c r="H49" s="33"/>
      <c r="I49" s="13"/>
      <c r="J49" s="34"/>
      <c r="K49" s="46"/>
      <c r="L49" s="36"/>
      <c r="M49" s="34"/>
      <c r="N49" s="37"/>
      <c r="O49" s="38"/>
      <c r="P49" s="39"/>
      <c r="Q49" s="40"/>
      <c r="R49" s="41"/>
      <c r="S49" s="42"/>
      <c r="T49" s="42"/>
      <c r="U49" s="34"/>
      <c r="V49" s="34"/>
      <c r="W49" s="13"/>
    </row>
    <row r="50" ht="18.75" customHeight="1">
      <c r="A50" s="13"/>
      <c r="B50" s="56" t="s">
        <v>873</v>
      </c>
      <c r="C50" s="48">
        <f>IFERROR(__xludf.DUMMYFUNCTION("""COMPUTED_VALUE"""),2961839.0)</f>
        <v>2961839</v>
      </c>
      <c r="D50" s="31" t="s">
        <v>10</v>
      </c>
      <c r="E50" s="31" t="s">
        <v>17</v>
      </c>
      <c r="F50" s="32"/>
      <c r="G50" s="57" t="s">
        <v>874</v>
      </c>
      <c r="H50" s="33"/>
      <c r="I50" s="13"/>
      <c r="J50" s="34"/>
      <c r="K50" s="46"/>
      <c r="L50" s="36"/>
      <c r="M50" s="34"/>
      <c r="N50" s="37"/>
      <c r="O50" s="38"/>
      <c r="P50" s="39"/>
      <c r="Q50" s="40"/>
      <c r="R50" s="41"/>
      <c r="S50" s="42"/>
      <c r="T50" s="42"/>
      <c r="U50" s="34"/>
      <c r="V50" s="34"/>
      <c r="W50" s="13"/>
    </row>
    <row r="51" ht="18.75" customHeight="1">
      <c r="A51" s="13"/>
      <c r="B51" s="56" t="s">
        <v>875</v>
      </c>
      <c r="C51" s="47">
        <f>IFERROR(__xludf.DUMMYFUNCTION("""COMPUTED_VALUE"""),1737928.0)</f>
        <v>1737928</v>
      </c>
      <c r="D51" s="31" t="s">
        <v>7</v>
      </c>
      <c r="E51" s="31" t="s">
        <v>35</v>
      </c>
      <c r="F51" s="32"/>
      <c r="G51" s="57" t="s">
        <v>769</v>
      </c>
      <c r="H51" s="33"/>
      <c r="I51" s="13"/>
      <c r="J51" s="34"/>
      <c r="K51" s="46"/>
      <c r="L51" s="36"/>
      <c r="M51" s="34"/>
      <c r="N51" s="37"/>
      <c r="O51" s="38"/>
      <c r="P51" s="39"/>
      <c r="Q51" s="40"/>
      <c r="R51" s="41"/>
      <c r="S51" s="42"/>
      <c r="T51" s="42"/>
      <c r="U51" s="34"/>
      <c r="V51" s="34"/>
      <c r="W51" s="13"/>
    </row>
    <row r="52" ht="18.75" customHeight="1">
      <c r="A52" s="13"/>
      <c r="B52" s="56" t="s">
        <v>876</v>
      </c>
      <c r="C52" s="47">
        <f>IFERROR(__xludf.DUMMYFUNCTION("""COMPUTED_VALUE"""),2577703.0)</f>
        <v>2577703</v>
      </c>
      <c r="D52" s="31" t="s">
        <v>7</v>
      </c>
      <c r="E52" s="31" t="s">
        <v>35</v>
      </c>
      <c r="F52" s="32"/>
      <c r="G52" s="57" t="s">
        <v>877</v>
      </c>
      <c r="H52" s="33"/>
      <c r="I52" s="13"/>
      <c r="J52" s="34"/>
      <c r="K52" s="46"/>
      <c r="L52" s="36"/>
      <c r="M52" s="34"/>
      <c r="N52" s="37"/>
      <c r="O52" s="38"/>
      <c r="P52" s="39"/>
      <c r="Q52" s="40"/>
      <c r="R52" s="41"/>
      <c r="S52" s="42"/>
      <c r="T52" s="42"/>
      <c r="U52" s="34"/>
      <c r="V52" s="34"/>
      <c r="W52" s="13"/>
    </row>
    <row r="53" ht="18.75" customHeight="1">
      <c r="A53" s="13"/>
      <c r="B53" s="56" t="s">
        <v>878</v>
      </c>
      <c r="C53" s="47">
        <f>IFERROR(__xludf.DUMMYFUNCTION("""COMPUTED_VALUE"""),25341.0)</f>
        <v>25341</v>
      </c>
      <c r="D53" s="31" t="s">
        <v>10</v>
      </c>
      <c r="E53" s="31" t="s">
        <v>35</v>
      </c>
      <c r="F53" s="32"/>
      <c r="G53" s="57" t="s">
        <v>805</v>
      </c>
      <c r="H53" s="33"/>
      <c r="I53" s="13"/>
      <c r="J53" s="34"/>
      <c r="K53" s="46"/>
      <c r="L53" s="36"/>
      <c r="M53" s="34"/>
      <c r="N53" s="37"/>
      <c r="O53" s="38"/>
      <c r="P53" s="39"/>
      <c r="Q53" s="40"/>
      <c r="R53" s="41"/>
      <c r="S53" s="42"/>
      <c r="T53" s="42"/>
      <c r="U53" s="34"/>
      <c r="V53" s="34"/>
      <c r="W53" s="13"/>
    </row>
    <row r="54" ht="18.75" customHeight="1">
      <c r="A54" s="13"/>
      <c r="B54" s="56" t="s">
        <v>879</v>
      </c>
      <c r="C54" s="47">
        <f>IFERROR(__xludf.DUMMYFUNCTION("""COMPUTED_VALUE"""),2565268.0)</f>
        <v>2565268</v>
      </c>
      <c r="D54" s="31" t="s">
        <v>8</v>
      </c>
      <c r="E54" s="31" t="s">
        <v>35</v>
      </c>
      <c r="F54" s="32"/>
      <c r="G54" s="57" t="s">
        <v>787</v>
      </c>
      <c r="H54" s="33"/>
      <c r="I54" s="13"/>
      <c r="J54" s="34"/>
      <c r="K54" s="46"/>
      <c r="L54" s="36"/>
      <c r="M54" s="34"/>
      <c r="N54" s="37"/>
      <c r="O54" s="38"/>
      <c r="P54" s="39"/>
      <c r="Q54" s="40"/>
      <c r="R54" s="41"/>
      <c r="S54" s="42"/>
      <c r="T54" s="42"/>
      <c r="U54" s="34"/>
      <c r="V54" s="34"/>
      <c r="W54" s="13"/>
    </row>
    <row r="55" ht="18.75" customHeight="1">
      <c r="A55" s="13"/>
      <c r="B55" s="56" t="s">
        <v>880</v>
      </c>
      <c r="C55" s="47">
        <f>IFERROR(__xludf.DUMMYFUNCTION("""COMPUTED_VALUE"""),3802071.0)</f>
        <v>3802071</v>
      </c>
      <c r="D55" s="31" t="s">
        <v>7</v>
      </c>
      <c r="E55" s="31" t="s">
        <v>35</v>
      </c>
      <c r="F55" s="32"/>
      <c r="G55" s="57" t="s">
        <v>881</v>
      </c>
      <c r="H55" s="33"/>
      <c r="I55" s="13"/>
      <c r="J55" s="34"/>
      <c r="K55" s="46"/>
      <c r="L55" s="36"/>
      <c r="M55" s="34"/>
      <c r="N55" s="37"/>
      <c r="O55" s="38"/>
      <c r="P55" s="39"/>
      <c r="Q55" s="40"/>
      <c r="R55" s="41"/>
      <c r="S55" s="42"/>
      <c r="T55" s="42"/>
      <c r="U55" s="34"/>
      <c r="V55" s="34"/>
      <c r="W55" s="13"/>
    </row>
    <row r="56" ht="18.75" customHeight="1">
      <c r="A56" s="13"/>
      <c r="B56" s="56" t="s">
        <v>882</v>
      </c>
      <c r="C56" s="47">
        <f>IFERROR(__xludf.DUMMYFUNCTION("""COMPUTED_VALUE"""),3700933.0)</f>
        <v>3700933</v>
      </c>
      <c r="D56" s="31" t="s">
        <v>11</v>
      </c>
      <c r="E56" s="31" t="s">
        <v>35</v>
      </c>
      <c r="F56" s="32"/>
      <c r="G56" s="57" t="s">
        <v>883</v>
      </c>
      <c r="H56" s="33"/>
      <c r="I56" s="13"/>
      <c r="J56" s="34"/>
      <c r="K56" s="46"/>
      <c r="L56" s="36"/>
      <c r="M56" s="34"/>
      <c r="N56" s="37"/>
      <c r="O56" s="38"/>
      <c r="P56" s="39"/>
      <c r="Q56" s="40"/>
      <c r="R56" s="41"/>
      <c r="S56" s="42"/>
      <c r="T56" s="42"/>
      <c r="U56" s="34"/>
      <c r="V56" s="34"/>
      <c r="W56" s="13"/>
    </row>
    <row r="57" ht="18.75" customHeight="1">
      <c r="A57" s="13"/>
      <c r="B57" s="56" t="s">
        <v>884</v>
      </c>
      <c r="C57" s="47">
        <f>IFERROR(__xludf.DUMMYFUNCTION("""COMPUTED_VALUE"""),3853742.0)</f>
        <v>3853742</v>
      </c>
      <c r="D57" s="31" t="s">
        <v>11</v>
      </c>
      <c r="E57" s="31" t="s">
        <v>35</v>
      </c>
      <c r="F57" s="32"/>
      <c r="G57" s="57" t="s">
        <v>816</v>
      </c>
      <c r="H57" s="33"/>
      <c r="I57" s="13"/>
      <c r="J57" s="34"/>
      <c r="K57" s="46"/>
      <c r="L57" s="36"/>
      <c r="M57" s="34"/>
      <c r="N57" s="37"/>
      <c r="O57" s="38"/>
      <c r="P57" s="39"/>
      <c r="Q57" s="40"/>
      <c r="R57" s="41"/>
      <c r="S57" s="42"/>
      <c r="T57" s="42"/>
      <c r="U57" s="34"/>
      <c r="V57" s="34"/>
      <c r="W57" s="13"/>
    </row>
    <row r="58" ht="18.75" customHeight="1">
      <c r="A58" s="13"/>
      <c r="B58" s="56" t="s">
        <v>885</v>
      </c>
      <c r="C58" s="47">
        <f>IFERROR(__xludf.DUMMYFUNCTION("""COMPUTED_VALUE"""),3039329.0)</f>
        <v>3039329</v>
      </c>
      <c r="D58" s="31" t="s">
        <v>7</v>
      </c>
      <c r="E58" s="31" t="s">
        <v>35</v>
      </c>
      <c r="F58" s="32"/>
      <c r="G58" s="57" t="s">
        <v>886</v>
      </c>
      <c r="H58" s="33"/>
      <c r="I58" s="13"/>
      <c r="J58" s="34"/>
      <c r="K58" s="46"/>
      <c r="L58" s="36"/>
      <c r="M58" s="34"/>
      <c r="N58" s="37"/>
      <c r="O58" s="38"/>
      <c r="P58" s="39"/>
      <c r="Q58" s="40"/>
      <c r="R58" s="41"/>
      <c r="S58" s="42"/>
      <c r="T58" s="42"/>
      <c r="U58" s="34"/>
      <c r="V58" s="34"/>
      <c r="W58" s="13"/>
    </row>
    <row r="59" ht="18.75" customHeight="1">
      <c r="A59" s="13"/>
      <c r="B59" s="56" t="s">
        <v>887</v>
      </c>
      <c r="C59" s="47">
        <f>IFERROR(__xludf.DUMMYFUNCTION("""COMPUTED_VALUE"""),3714369.0)</f>
        <v>3714369</v>
      </c>
      <c r="D59" s="31" t="s">
        <v>7</v>
      </c>
      <c r="E59" s="31" t="s">
        <v>35</v>
      </c>
      <c r="F59" s="32"/>
      <c r="G59" s="57" t="s">
        <v>759</v>
      </c>
      <c r="H59" s="33"/>
      <c r="I59" s="13"/>
      <c r="J59" s="34"/>
      <c r="K59" s="46"/>
      <c r="L59" s="36"/>
      <c r="M59" s="34"/>
      <c r="N59" s="37"/>
      <c r="O59" s="38"/>
      <c r="P59" s="39"/>
      <c r="Q59" s="40"/>
      <c r="R59" s="41"/>
      <c r="S59" s="42"/>
      <c r="T59" s="42"/>
      <c r="U59" s="34"/>
      <c r="V59" s="34"/>
      <c r="W59" s="13"/>
    </row>
    <row r="60" ht="18.75" customHeight="1">
      <c r="A60" s="13"/>
      <c r="B60" s="56" t="s">
        <v>888</v>
      </c>
      <c r="C60" s="47">
        <f>IFERROR(__xludf.DUMMYFUNCTION("""COMPUTED_VALUE"""),2690998.0)</f>
        <v>2690998</v>
      </c>
      <c r="D60" s="31" t="s">
        <v>7</v>
      </c>
      <c r="E60" s="31" t="s">
        <v>35</v>
      </c>
      <c r="F60" s="32"/>
      <c r="G60" s="57" t="s">
        <v>889</v>
      </c>
      <c r="H60" s="33"/>
      <c r="I60" s="13"/>
      <c r="J60" s="34"/>
      <c r="K60" s="46"/>
      <c r="L60" s="36"/>
      <c r="M60" s="34"/>
      <c r="N60" s="37"/>
      <c r="O60" s="38"/>
      <c r="P60" s="39"/>
      <c r="Q60" s="40"/>
      <c r="R60" s="41"/>
      <c r="S60" s="42"/>
      <c r="T60" s="42"/>
      <c r="U60" s="34"/>
      <c r="V60" s="34"/>
      <c r="W60" s="13"/>
    </row>
    <row r="61" ht="18.75" customHeight="1">
      <c r="A61" s="13"/>
      <c r="B61" s="56" t="s">
        <v>890</v>
      </c>
      <c r="C61" s="47">
        <f>IFERROR(__xludf.DUMMYFUNCTION("""COMPUTED_VALUE"""),3461206.0)</f>
        <v>3461206</v>
      </c>
      <c r="D61" s="31" t="s">
        <v>7</v>
      </c>
      <c r="E61" s="31" t="s">
        <v>35</v>
      </c>
      <c r="F61" s="32"/>
      <c r="G61" s="57" t="s">
        <v>764</v>
      </c>
      <c r="H61" s="33"/>
      <c r="I61" s="13"/>
      <c r="J61" s="34"/>
      <c r="K61" s="46"/>
      <c r="L61" s="36"/>
      <c r="M61" s="34"/>
      <c r="N61" s="37"/>
      <c r="O61" s="38"/>
      <c r="P61" s="39"/>
      <c r="Q61" s="40"/>
      <c r="R61" s="41"/>
      <c r="S61" s="42"/>
      <c r="T61" s="42"/>
      <c r="U61" s="34"/>
      <c r="V61" s="34"/>
      <c r="W61" s="13"/>
    </row>
    <row r="62" ht="18.75" customHeight="1">
      <c r="A62" s="13"/>
      <c r="B62" s="56" t="s">
        <v>891</v>
      </c>
      <c r="C62" s="47">
        <f>IFERROR(__xludf.DUMMYFUNCTION("""COMPUTED_VALUE"""),2279885.0)</f>
        <v>2279885</v>
      </c>
      <c r="D62" s="31" t="s">
        <v>7</v>
      </c>
      <c r="E62" s="31" t="s">
        <v>35</v>
      </c>
      <c r="F62" s="32"/>
      <c r="G62" s="57" t="s">
        <v>892</v>
      </c>
      <c r="H62" s="33"/>
      <c r="I62" s="13"/>
      <c r="J62" s="34"/>
      <c r="K62" s="46"/>
      <c r="L62" s="36"/>
      <c r="M62" s="34"/>
      <c r="N62" s="37"/>
      <c r="O62" s="38"/>
      <c r="P62" s="39"/>
      <c r="Q62" s="40"/>
      <c r="R62" s="41"/>
      <c r="S62" s="42"/>
      <c r="T62" s="42"/>
      <c r="U62" s="34"/>
      <c r="V62" s="34"/>
      <c r="W62" s="13"/>
    </row>
    <row r="63" ht="18.75" customHeight="1">
      <c r="A63" s="13"/>
      <c r="B63" s="56" t="s">
        <v>893</v>
      </c>
      <c r="C63" s="47">
        <f>IFERROR(__xludf.DUMMYFUNCTION("""COMPUTED_VALUE"""),847315.0)</f>
        <v>847315</v>
      </c>
      <c r="D63" s="31" t="s">
        <v>10</v>
      </c>
      <c r="E63" s="31" t="s">
        <v>17</v>
      </c>
      <c r="F63" s="32"/>
      <c r="G63" s="57" t="s">
        <v>894</v>
      </c>
      <c r="H63" s="33"/>
      <c r="I63" s="13"/>
      <c r="J63" s="34"/>
      <c r="K63" s="46"/>
      <c r="L63" s="36"/>
      <c r="M63" s="34"/>
      <c r="N63" s="37"/>
      <c r="O63" s="38"/>
      <c r="P63" s="39"/>
      <c r="Q63" s="40"/>
      <c r="R63" s="41"/>
      <c r="S63" s="42"/>
      <c r="T63" s="42"/>
      <c r="U63" s="34"/>
      <c r="V63" s="34"/>
      <c r="W63" s="13"/>
    </row>
    <row r="64" ht="18.75" customHeight="1">
      <c r="A64" s="13"/>
      <c r="B64" s="56" t="s">
        <v>895</v>
      </c>
      <c r="C64" s="47">
        <f>IFERROR(__xludf.DUMMYFUNCTION("""COMPUTED_VALUE"""),99407.0)</f>
        <v>99407</v>
      </c>
      <c r="D64" s="31" t="s">
        <v>11</v>
      </c>
      <c r="E64" s="31" t="s">
        <v>17</v>
      </c>
      <c r="F64" s="32"/>
      <c r="G64" s="57" t="s">
        <v>896</v>
      </c>
      <c r="H64" s="33"/>
      <c r="I64" s="13"/>
      <c r="J64" s="34"/>
      <c r="K64" s="46"/>
      <c r="L64" s="36"/>
      <c r="M64" s="34"/>
      <c r="N64" s="37"/>
      <c r="O64" s="38"/>
      <c r="P64" s="39"/>
      <c r="Q64" s="40"/>
      <c r="R64" s="41"/>
      <c r="S64" s="42"/>
      <c r="T64" s="42"/>
      <c r="U64" s="34"/>
      <c r="V64" s="34"/>
      <c r="W64" s="13"/>
    </row>
    <row r="65" ht="18.75" customHeight="1">
      <c r="A65" s="13"/>
      <c r="B65" s="56" t="s">
        <v>897</v>
      </c>
      <c r="C65" s="47">
        <f>IFERROR(__xludf.DUMMYFUNCTION("""COMPUTED_VALUE"""),58701.0)</f>
        <v>58701</v>
      </c>
      <c r="D65" s="31" t="s">
        <v>11</v>
      </c>
      <c r="E65" s="31" t="s">
        <v>35</v>
      </c>
      <c r="F65" s="32"/>
      <c r="G65" s="57" t="s">
        <v>812</v>
      </c>
      <c r="H65" s="33"/>
      <c r="I65" s="13"/>
      <c r="J65" s="34"/>
      <c r="K65" s="46"/>
      <c r="L65" s="36"/>
      <c r="M65" s="34"/>
      <c r="N65" s="37"/>
      <c r="O65" s="38"/>
      <c r="P65" s="39"/>
      <c r="Q65" s="40"/>
      <c r="R65" s="41"/>
      <c r="S65" s="42"/>
      <c r="T65" s="42"/>
      <c r="U65" s="34"/>
      <c r="V65" s="34"/>
      <c r="W65" s="13"/>
    </row>
    <row r="66" ht="18.75" customHeight="1">
      <c r="A66" s="13"/>
      <c r="B66" s="56" t="s">
        <v>898</v>
      </c>
      <c r="C66" s="47">
        <f>IFERROR(__xludf.DUMMYFUNCTION("""COMPUTED_VALUE"""),1707909.0)</f>
        <v>1707909</v>
      </c>
      <c r="D66" s="31" t="s">
        <v>10</v>
      </c>
      <c r="E66" s="31" t="s">
        <v>17</v>
      </c>
      <c r="F66" s="32"/>
      <c r="G66" s="57" t="s">
        <v>803</v>
      </c>
      <c r="H66" s="33"/>
      <c r="I66" s="13"/>
      <c r="J66" s="34"/>
      <c r="K66" s="46"/>
      <c r="L66" s="36"/>
      <c r="M66" s="34"/>
      <c r="N66" s="37"/>
      <c r="O66" s="38"/>
      <c r="P66" s="39"/>
      <c r="Q66" s="40"/>
      <c r="R66" s="41"/>
      <c r="S66" s="42"/>
      <c r="T66" s="42"/>
      <c r="U66" s="34"/>
      <c r="V66" s="34"/>
      <c r="W66" s="13"/>
    </row>
    <row r="67" ht="18.75" customHeight="1">
      <c r="A67" s="13"/>
      <c r="B67" s="56" t="s">
        <v>899</v>
      </c>
      <c r="C67" s="47">
        <f>IFERROR(__xludf.DUMMYFUNCTION("""COMPUTED_VALUE"""),3772514.0)</f>
        <v>3772514</v>
      </c>
      <c r="D67" s="31" t="s">
        <v>10</v>
      </c>
      <c r="E67" s="31" t="s">
        <v>35</v>
      </c>
      <c r="F67" s="32"/>
      <c r="G67" s="57" t="s">
        <v>900</v>
      </c>
      <c r="H67" s="33"/>
      <c r="I67" s="13"/>
      <c r="J67" s="34"/>
      <c r="K67" s="46"/>
      <c r="L67" s="36"/>
      <c r="M67" s="34"/>
      <c r="N67" s="37"/>
      <c r="O67" s="38"/>
      <c r="P67" s="39"/>
      <c r="Q67" s="40"/>
      <c r="R67" s="41"/>
      <c r="S67" s="42"/>
      <c r="T67" s="42"/>
      <c r="U67" s="34"/>
      <c r="V67" s="34"/>
      <c r="W67" s="13"/>
    </row>
    <row r="68" ht="18.75" customHeight="1">
      <c r="A68" s="13"/>
      <c r="B68" s="56" t="s">
        <v>901</v>
      </c>
      <c r="C68" s="47">
        <f>IFERROR(__xludf.DUMMYFUNCTION("""COMPUTED_VALUE"""),862338.0)</f>
        <v>862338</v>
      </c>
      <c r="D68" s="31" t="s">
        <v>14</v>
      </c>
      <c r="E68" s="31" t="s">
        <v>17</v>
      </c>
      <c r="F68" s="32"/>
      <c r="G68" s="57" t="s">
        <v>820</v>
      </c>
      <c r="H68" s="33"/>
      <c r="I68" s="13"/>
      <c r="J68" s="34"/>
      <c r="K68" s="46"/>
      <c r="L68" s="36"/>
      <c r="M68" s="34"/>
      <c r="N68" s="37"/>
      <c r="O68" s="38"/>
      <c r="P68" s="39"/>
      <c r="Q68" s="40"/>
      <c r="R68" s="41"/>
      <c r="S68" s="42"/>
      <c r="T68" s="42"/>
      <c r="U68" s="34"/>
      <c r="V68" s="34"/>
      <c r="W68" s="13"/>
    </row>
    <row r="69" ht="18.75" customHeight="1">
      <c r="A69" s="13"/>
      <c r="B69" s="56" t="s">
        <v>902</v>
      </c>
      <c r="C69" s="47">
        <f>IFERROR(__xludf.DUMMYFUNCTION("""COMPUTED_VALUE"""),3711612.0)</f>
        <v>3711612</v>
      </c>
      <c r="D69" s="31" t="s">
        <v>7</v>
      </c>
      <c r="E69" s="31" t="s">
        <v>17</v>
      </c>
      <c r="F69" s="32"/>
      <c r="G69" s="57" t="s">
        <v>776</v>
      </c>
      <c r="H69" s="33"/>
      <c r="I69" s="13"/>
      <c r="J69" s="34"/>
      <c r="K69" s="46"/>
      <c r="L69" s="36"/>
      <c r="M69" s="34"/>
      <c r="N69" s="37"/>
      <c r="O69" s="38"/>
      <c r="P69" s="39"/>
      <c r="Q69" s="40"/>
      <c r="R69" s="41"/>
      <c r="S69" s="42"/>
      <c r="T69" s="42"/>
      <c r="U69" s="34"/>
      <c r="V69" s="34"/>
      <c r="W69" s="13"/>
    </row>
    <row r="70" ht="18.75" customHeight="1">
      <c r="A70" s="13"/>
      <c r="B70" s="56" t="s">
        <v>903</v>
      </c>
      <c r="C70" s="47">
        <f>IFERROR(__xludf.DUMMYFUNCTION("""COMPUTED_VALUE"""),2519731.0)</f>
        <v>2519731</v>
      </c>
      <c r="D70" s="31" t="s">
        <v>10</v>
      </c>
      <c r="E70" s="31" t="s">
        <v>17</v>
      </c>
      <c r="F70" s="32"/>
      <c r="G70" s="57" t="s">
        <v>799</v>
      </c>
      <c r="H70" s="33"/>
      <c r="I70" s="13"/>
      <c r="J70" s="34"/>
      <c r="K70" s="46"/>
      <c r="L70" s="36"/>
      <c r="M70" s="34"/>
      <c r="N70" s="37"/>
      <c r="O70" s="38"/>
      <c r="P70" s="39"/>
      <c r="Q70" s="40"/>
      <c r="R70" s="41"/>
      <c r="S70" s="42"/>
      <c r="T70" s="42"/>
      <c r="U70" s="34"/>
      <c r="V70" s="34"/>
      <c r="W70" s="13"/>
    </row>
    <row r="71" ht="18.75" customHeight="1">
      <c r="A71" s="13"/>
      <c r="B71" s="56" t="s">
        <v>904</v>
      </c>
      <c r="C71" s="47">
        <f>IFERROR(__xludf.DUMMYFUNCTION("""COMPUTED_VALUE"""),1035068.0)</f>
        <v>1035068</v>
      </c>
      <c r="D71" s="31" t="s">
        <v>10</v>
      </c>
      <c r="E71" s="32"/>
      <c r="F71" s="32"/>
      <c r="G71" s="57" t="s">
        <v>730</v>
      </c>
      <c r="H71" s="33"/>
      <c r="I71" s="13"/>
      <c r="J71" s="34"/>
      <c r="K71" s="46"/>
      <c r="L71" s="36"/>
      <c r="M71" s="34"/>
      <c r="N71" s="37"/>
      <c r="O71" s="38"/>
      <c r="P71" s="39"/>
      <c r="Q71" s="40"/>
      <c r="R71" s="41"/>
      <c r="S71" s="42"/>
      <c r="T71" s="42"/>
      <c r="U71" s="34"/>
      <c r="V71" s="34"/>
      <c r="W71" s="13"/>
    </row>
    <row r="72" ht="18.75" customHeight="1">
      <c r="A72" s="13"/>
      <c r="B72" s="48"/>
      <c r="C72" s="47"/>
      <c r="D72" s="32"/>
      <c r="E72" s="32"/>
      <c r="F72" s="32"/>
      <c r="G72" s="33"/>
      <c r="H72" s="33"/>
      <c r="I72" s="13"/>
      <c r="J72" s="34"/>
      <c r="K72" s="46"/>
      <c r="L72" s="36"/>
      <c r="M72" s="34"/>
      <c r="N72" s="37"/>
      <c r="O72" s="38"/>
      <c r="P72" s="39"/>
      <c r="Q72" s="40"/>
      <c r="R72" s="41"/>
      <c r="S72" s="42"/>
      <c r="T72" s="42"/>
      <c r="U72" s="34"/>
      <c r="V72" s="34"/>
      <c r="W72" s="13"/>
    </row>
    <row r="73" ht="18.75" customHeight="1">
      <c r="A73" s="13"/>
      <c r="B73" s="48"/>
      <c r="C73" s="47"/>
      <c r="D73" s="32"/>
      <c r="E73" s="32"/>
      <c r="F73" s="32"/>
      <c r="G73" s="33"/>
      <c r="H73" s="33"/>
      <c r="I73" s="13"/>
      <c r="J73" s="34"/>
      <c r="K73" s="46"/>
      <c r="L73" s="36"/>
      <c r="M73" s="34"/>
      <c r="N73" s="37"/>
      <c r="O73" s="38"/>
      <c r="P73" s="39"/>
      <c r="Q73" s="40"/>
      <c r="R73" s="41"/>
      <c r="S73" s="42"/>
      <c r="T73" s="42"/>
      <c r="U73" s="34"/>
      <c r="V73" s="34"/>
      <c r="W73" s="13"/>
    </row>
    <row r="74" ht="18.75" customHeight="1">
      <c r="A74" s="13"/>
      <c r="B74" s="48"/>
      <c r="C74" s="47"/>
      <c r="D74" s="32"/>
      <c r="E74" s="32"/>
      <c r="F74" s="32"/>
      <c r="G74" s="33"/>
      <c r="H74" s="33"/>
      <c r="I74" s="13"/>
      <c r="J74" s="34"/>
      <c r="K74" s="46"/>
      <c r="L74" s="36"/>
      <c r="M74" s="34"/>
      <c r="N74" s="37"/>
      <c r="O74" s="38"/>
      <c r="P74" s="39"/>
      <c r="Q74" s="40"/>
      <c r="R74" s="41"/>
      <c r="S74" s="42"/>
      <c r="T74" s="42"/>
      <c r="U74" s="34"/>
      <c r="V74" s="34"/>
      <c r="W74" s="13"/>
    </row>
    <row r="75" ht="18.75" customHeight="1">
      <c r="A75" s="13"/>
      <c r="B75" s="48"/>
      <c r="C75" s="47"/>
      <c r="D75" s="32"/>
      <c r="E75" s="32"/>
      <c r="F75" s="32"/>
      <c r="G75" s="33"/>
      <c r="H75" s="33"/>
      <c r="I75" s="13"/>
      <c r="J75" s="34"/>
      <c r="K75" s="46"/>
      <c r="L75" s="36"/>
      <c r="M75" s="34"/>
      <c r="N75" s="37"/>
      <c r="O75" s="38"/>
      <c r="P75" s="39"/>
      <c r="Q75" s="40"/>
      <c r="R75" s="41"/>
      <c r="S75" s="42"/>
      <c r="T75" s="42"/>
      <c r="U75" s="34"/>
      <c r="V75" s="34"/>
      <c r="W75" s="13"/>
    </row>
    <row r="76" ht="18.75" customHeight="1">
      <c r="A76" s="13"/>
      <c r="B76" s="48"/>
      <c r="C76" s="47"/>
      <c r="D76" s="32"/>
      <c r="E76" s="32"/>
      <c r="F76" s="32"/>
      <c r="G76" s="33"/>
      <c r="H76" s="33"/>
      <c r="I76" s="13"/>
      <c r="J76" s="34"/>
      <c r="K76" s="46"/>
      <c r="L76" s="36"/>
      <c r="M76" s="34"/>
      <c r="N76" s="37"/>
      <c r="O76" s="38"/>
      <c r="P76" s="39"/>
      <c r="Q76" s="40"/>
      <c r="R76" s="41"/>
      <c r="S76" s="42"/>
      <c r="T76" s="42"/>
      <c r="U76" s="34"/>
      <c r="V76" s="34"/>
      <c r="W76" s="13"/>
    </row>
    <row r="77" ht="18.75" customHeight="1">
      <c r="A77" s="13"/>
      <c r="B77" s="48"/>
      <c r="C77" s="47"/>
      <c r="D77" s="32"/>
      <c r="E77" s="32"/>
      <c r="F77" s="32"/>
      <c r="G77" s="33"/>
      <c r="H77" s="33"/>
      <c r="I77" s="13"/>
      <c r="J77" s="34"/>
      <c r="K77" s="46"/>
      <c r="L77" s="36"/>
      <c r="M77" s="34"/>
      <c r="N77" s="37"/>
      <c r="O77" s="38"/>
      <c r="P77" s="39"/>
      <c r="Q77" s="40"/>
      <c r="R77" s="41"/>
      <c r="S77" s="42"/>
      <c r="T77" s="42"/>
      <c r="U77" s="34"/>
      <c r="V77" s="34"/>
      <c r="W77" s="13"/>
    </row>
    <row r="78" ht="18.75" customHeight="1">
      <c r="A78" s="13"/>
      <c r="B78" s="48"/>
      <c r="C78" s="47"/>
      <c r="D78" s="32"/>
      <c r="E78" s="32"/>
      <c r="F78" s="32"/>
      <c r="G78" s="33"/>
      <c r="H78" s="33"/>
      <c r="I78" s="13"/>
      <c r="J78" s="34"/>
      <c r="K78" s="46"/>
      <c r="L78" s="36"/>
      <c r="M78" s="34"/>
      <c r="N78" s="37"/>
      <c r="O78" s="38"/>
      <c r="P78" s="39"/>
      <c r="Q78" s="40"/>
      <c r="R78" s="41"/>
      <c r="S78" s="42"/>
      <c r="T78" s="42"/>
      <c r="U78" s="34"/>
      <c r="V78" s="34"/>
      <c r="W78" s="13"/>
    </row>
    <row r="79" ht="18.75" customHeight="1">
      <c r="A79" s="13"/>
      <c r="B79" s="48"/>
      <c r="C79" s="47"/>
      <c r="D79" s="32"/>
      <c r="E79" s="32"/>
      <c r="F79" s="32"/>
      <c r="G79" s="33"/>
      <c r="H79" s="33"/>
      <c r="I79" s="13"/>
      <c r="J79" s="34"/>
      <c r="K79" s="46"/>
      <c r="L79" s="36"/>
      <c r="M79" s="34"/>
      <c r="N79" s="37"/>
      <c r="O79" s="38"/>
      <c r="P79" s="39"/>
      <c r="Q79" s="40"/>
      <c r="R79" s="41"/>
      <c r="S79" s="42"/>
      <c r="T79" s="42"/>
      <c r="U79" s="34"/>
      <c r="V79" s="34"/>
      <c r="W79" s="13"/>
    </row>
    <row r="80" ht="18.75" customHeight="1">
      <c r="A80" s="13"/>
      <c r="B80" s="48"/>
      <c r="C80" s="47"/>
      <c r="D80" s="32"/>
      <c r="E80" s="32"/>
      <c r="F80" s="32"/>
      <c r="G80" s="33"/>
      <c r="H80" s="33"/>
      <c r="I80" s="13"/>
      <c r="J80" s="34"/>
      <c r="K80" s="46"/>
      <c r="L80" s="36"/>
      <c r="M80" s="34"/>
      <c r="N80" s="37"/>
      <c r="O80" s="38"/>
      <c r="P80" s="39"/>
      <c r="Q80" s="40"/>
      <c r="R80" s="41"/>
      <c r="S80" s="42"/>
      <c r="T80" s="42"/>
      <c r="U80" s="34"/>
      <c r="V80" s="34"/>
      <c r="W80" s="13"/>
    </row>
    <row r="81" ht="18.75" customHeight="1">
      <c r="A81" s="13"/>
      <c r="B81" s="48"/>
      <c r="C81" s="47"/>
      <c r="D81" s="32"/>
      <c r="E81" s="32"/>
      <c r="F81" s="32"/>
      <c r="G81" s="33"/>
      <c r="H81" s="33"/>
      <c r="I81" s="13"/>
      <c r="J81" s="34"/>
      <c r="K81" s="46"/>
      <c r="L81" s="36"/>
      <c r="M81" s="34"/>
      <c r="N81" s="37"/>
      <c r="O81" s="38"/>
      <c r="P81" s="39"/>
      <c r="Q81" s="40"/>
      <c r="R81" s="41"/>
      <c r="S81" s="42"/>
      <c r="T81" s="42"/>
      <c r="U81" s="34"/>
      <c r="V81" s="34"/>
      <c r="W81" s="13"/>
    </row>
    <row r="82" ht="18.75" customHeight="1">
      <c r="A82" s="13"/>
      <c r="B82" s="48"/>
      <c r="C82" s="47"/>
      <c r="D82" s="32"/>
      <c r="E82" s="32"/>
      <c r="F82" s="32"/>
      <c r="G82" s="33"/>
      <c r="H82" s="33"/>
      <c r="I82" s="13"/>
      <c r="J82" s="34"/>
      <c r="K82" s="46"/>
      <c r="L82" s="36"/>
      <c r="M82" s="34"/>
      <c r="N82" s="37"/>
      <c r="O82" s="38"/>
      <c r="P82" s="39"/>
      <c r="Q82" s="40"/>
      <c r="R82" s="41"/>
      <c r="S82" s="42"/>
      <c r="T82" s="42"/>
      <c r="U82" s="34"/>
      <c r="V82" s="34"/>
      <c r="W82" s="13"/>
    </row>
    <row r="83" ht="18.75" customHeight="1">
      <c r="A83" s="13"/>
      <c r="B83" s="48"/>
      <c r="C83" s="47"/>
      <c r="D83" s="32"/>
      <c r="E83" s="32"/>
      <c r="F83" s="32"/>
      <c r="G83" s="33"/>
      <c r="H83" s="33"/>
      <c r="I83" s="13"/>
      <c r="J83" s="34"/>
      <c r="K83" s="46"/>
      <c r="L83" s="36"/>
      <c r="M83" s="34"/>
      <c r="N83" s="37"/>
      <c r="O83" s="38"/>
      <c r="P83" s="39"/>
      <c r="Q83" s="40"/>
      <c r="R83" s="41"/>
      <c r="S83" s="42"/>
      <c r="T83" s="42"/>
      <c r="U83" s="34"/>
      <c r="V83" s="34"/>
      <c r="W83" s="13"/>
    </row>
    <row r="84" ht="18.75" customHeight="1">
      <c r="A84" s="13"/>
      <c r="B84" s="48"/>
      <c r="C84" s="47"/>
      <c r="D84" s="32"/>
      <c r="E84" s="32"/>
      <c r="F84" s="32"/>
      <c r="G84" s="33"/>
      <c r="H84" s="33"/>
      <c r="I84" s="13"/>
      <c r="J84" s="34"/>
      <c r="K84" s="46"/>
      <c r="L84" s="36"/>
      <c r="M84" s="34"/>
      <c r="N84" s="37"/>
      <c r="O84" s="38"/>
      <c r="P84" s="39"/>
      <c r="Q84" s="40"/>
      <c r="R84" s="41"/>
      <c r="S84" s="42"/>
      <c r="T84" s="42"/>
      <c r="U84" s="34"/>
      <c r="V84" s="34"/>
      <c r="W84" s="13"/>
    </row>
    <row r="85" ht="18.75" customHeight="1">
      <c r="A85" s="13"/>
      <c r="B85" s="48"/>
      <c r="C85" s="47"/>
      <c r="D85" s="32"/>
      <c r="E85" s="32"/>
      <c r="F85" s="32"/>
      <c r="G85" s="33"/>
      <c r="H85" s="33"/>
      <c r="I85" s="13"/>
      <c r="J85" s="34"/>
      <c r="K85" s="46"/>
      <c r="L85" s="36"/>
      <c r="M85" s="34"/>
      <c r="N85" s="37"/>
      <c r="O85" s="38"/>
      <c r="P85" s="39"/>
      <c r="Q85" s="40"/>
      <c r="R85" s="41"/>
      <c r="S85" s="42"/>
      <c r="T85" s="42"/>
      <c r="U85" s="34"/>
      <c r="V85" s="34"/>
      <c r="W85" s="13"/>
    </row>
    <row r="86" ht="18.75" customHeight="1">
      <c r="A86" s="13"/>
      <c r="B86" s="48"/>
      <c r="C86" s="47"/>
      <c r="D86" s="32"/>
      <c r="E86" s="32"/>
      <c r="F86" s="32"/>
      <c r="G86" s="33"/>
      <c r="H86" s="33"/>
      <c r="I86" s="13"/>
      <c r="J86" s="34"/>
      <c r="K86" s="46"/>
      <c r="L86" s="36"/>
      <c r="M86" s="34"/>
      <c r="N86" s="37"/>
      <c r="O86" s="38"/>
      <c r="P86" s="39"/>
      <c r="Q86" s="40"/>
      <c r="R86" s="41"/>
      <c r="S86" s="42"/>
      <c r="T86" s="42"/>
      <c r="U86" s="34"/>
      <c r="V86" s="34"/>
      <c r="W86" s="13"/>
    </row>
    <row r="87" ht="18.75" customHeight="1">
      <c r="A87" s="13"/>
      <c r="B87" s="48"/>
      <c r="C87" s="47"/>
      <c r="D87" s="32"/>
      <c r="E87" s="32"/>
      <c r="F87" s="32"/>
      <c r="G87" s="33"/>
      <c r="H87" s="33"/>
      <c r="I87" s="13"/>
      <c r="J87" s="34"/>
      <c r="K87" s="46"/>
      <c r="L87" s="36"/>
      <c r="M87" s="34"/>
      <c r="N87" s="37"/>
      <c r="O87" s="38"/>
      <c r="P87" s="39"/>
      <c r="Q87" s="40"/>
      <c r="R87" s="41"/>
      <c r="S87" s="42"/>
      <c r="T87" s="42"/>
      <c r="U87" s="34"/>
      <c r="V87" s="34"/>
      <c r="W87" s="13"/>
    </row>
    <row r="88" ht="18.75" customHeight="1">
      <c r="A88" s="13"/>
      <c r="B88" s="48"/>
      <c r="C88" s="47"/>
      <c r="D88" s="32"/>
      <c r="E88" s="32"/>
      <c r="F88" s="32"/>
      <c r="G88" s="33"/>
      <c r="H88" s="33"/>
      <c r="I88" s="13"/>
      <c r="J88" s="34"/>
      <c r="K88" s="46"/>
      <c r="L88" s="36"/>
      <c r="M88" s="34"/>
      <c r="N88" s="37"/>
      <c r="O88" s="38"/>
      <c r="P88" s="39"/>
      <c r="Q88" s="40"/>
      <c r="R88" s="41"/>
      <c r="S88" s="42"/>
      <c r="T88" s="42"/>
      <c r="U88" s="34"/>
      <c r="V88" s="34"/>
      <c r="W88" s="13"/>
    </row>
    <row r="89" ht="18.75" customHeight="1">
      <c r="A89" s="13"/>
      <c r="B89" s="48"/>
      <c r="C89" s="47"/>
      <c r="D89" s="32"/>
      <c r="E89" s="32"/>
      <c r="F89" s="32"/>
      <c r="G89" s="33"/>
      <c r="H89" s="33"/>
      <c r="I89" s="13"/>
      <c r="J89" s="34"/>
      <c r="K89" s="46"/>
      <c r="L89" s="36"/>
      <c r="M89" s="34"/>
      <c r="N89" s="37"/>
      <c r="O89" s="38"/>
      <c r="P89" s="39"/>
      <c r="Q89" s="40"/>
      <c r="R89" s="41"/>
      <c r="S89" s="42"/>
      <c r="T89" s="42"/>
      <c r="U89" s="34"/>
      <c r="V89" s="34"/>
      <c r="W89" s="13"/>
    </row>
    <row r="90" ht="18.75" customHeight="1">
      <c r="A90" s="13"/>
      <c r="B90" s="48"/>
      <c r="C90" s="47"/>
      <c r="D90" s="32"/>
      <c r="E90" s="32"/>
      <c r="F90" s="32"/>
      <c r="G90" s="33"/>
      <c r="H90" s="33"/>
      <c r="I90" s="13"/>
      <c r="J90" s="34"/>
      <c r="K90" s="46"/>
      <c r="L90" s="36"/>
      <c r="M90" s="34"/>
      <c r="N90" s="37"/>
      <c r="O90" s="38"/>
      <c r="P90" s="39"/>
      <c r="Q90" s="40"/>
      <c r="R90" s="41"/>
      <c r="S90" s="42"/>
      <c r="T90" s="42"/>
      <c r="U90" s="34"/>
      <c r="V90" s="34"/>
      <c r="W90" s="13"/>
    </row>
    <row r="91" ht="18.75" customHeight="1">
      <c r="A91" s="13"/>
      <c r="B91" s="48"/>
      <c r="C91" s="47"/>
      <c r="D91" s="32"/>
      <c r="E91" s="32"/>
      <c r="F91" s="32"/>
      <c r="G91" s="33"/>
      <c r="H91" s="33"/>
      <c r="I91" s="13"/>
      <c r="J91" s="34"/>
      <c r="K91" s="46"/>
      <c r="L91" s="36"/>
      <c r="M91" s="34"/>
      <c r="N91" s="37"/>
      <c r="O91" s="38"/>
      <c r="P91" s="39"/>
      <c r="Q91" s="40"/>
      <c r="R91" s="41"/>
      <c r="S91" s="42"/>
      <c r="T91" s="42"/>
      <c r="U91" s="34"/>
      <c r="V91" s="34"/>
      <c r="W91" s="13"/>
    </row>
    <row r="92" ht="18.75" customHeight="1">
      <c r="A92" s="13"/>
      <c r="B92" s="48"/>
      <c r="C92" s="47"/>
      <c r="D92" s="32"/>
      <c r="E92" s="32"/>
      <c r="F92" s="32"/>
      <c r="G92" s="33"/>
      <c r="H92" s="33"/>
      <c r="I92" s="13"/>
      <c r="J92" s="34"/>
      <c r="K92" s="46"/>
      <c r="L92" s="36"/>
      <c r="M92" s="34"/>
      <c r="N92" s="37"/>
      <c r="O92" s="38"/>
      <c r="P92" s="39"/>
      <c r="Q92" s="40"/>
      <c r="R92" s="41"/>
      <c r="S92" s="42"/>
      <c r="T92" s="42"/>
      <c r="U92" s="34"/>
      <c r="V92" s="34"/>
      <c r="W92" s="13"/>
    </row>
    <row r="93" ht="18.75" customHeight="1">
      <c r="A93" s="13"/>
      <c r="B93" s="48"/>
      <c r="C93" s="47"/>
      <c r="D93" s="32"/>
      <c r="E93" s="32"/>
      <c r="F93" s="32"/>
      <c r="G93" s="33"/>
      <c r="H93" s="33"/>
      <c r="I93" s="13"/>
      <c r="J93" s="34"/>
      <c r="K93" s="46"/>
      <c r="L93" s="36"/>
      <c r="M93" s="34"/>
      <c r="N93" s="37"/>
      <c r="O93" s="38"/>
      <c r="P93" s="39"/>
      <c r="Q93" s="40"/>
      <c r="R93" s="41"/>
      <c r="S93" s="42"/>
      <c r="T93" s="42"/>
      <c r="U93" s="34"/>
      <c r="V93" s="34"/>
      <c r="W93" s="13"/>
    </row>
    <row r="94" ht="18.75" customHeight="1">
      <c r="A94" s="13"/>
      <c r="B94" s="48"/>
      <c r="C94" s="47"/>
      <c r="D94" s="32"/>
      <c r="E94" s="32"/>
      <c r="F94" s="32"/>
      <c r="G94" s="33"/>
      <c r="H94" s="33"/>
      <c r="I94" s="13"/>
      <c r="J94" s="34"/>
      <c r="K94" s="46"/>
      <c r="L94" s="36"/>
      <c r="M94" s="34"/>
      <c r="N94" s="37"/>
      <c r="O94" s="38"/>
      <c r="P94" s="39"/>
      <c r="Q94" s="40"/>
      <c r="R94" s="41"/>
      <c r="S94" s="42"/>
      <c r="T94" s="42"/>
      <c r="U94" s="34"/>
      <c r="V94" s="34"/>
      <c r="W94" s="13"/>
    </row>
    <row r="95" ht="18.75" customHeight="1">
      <c r="A95" s="13"/>
      <c r="B95" s="48"/>
      <c r="C95" s="47"/>
      <c r="D95" s="32"/>
      <c r="E95" s="32"/>
      <c r="F95" s="32"/>
      <c r="G95" s="33"/>
      <c r="H95" s="33"/>
      <c r="I95" s="13"/>
      <c r="J95" s="34"/>
      <c r="K95" s="46"/>
      <c r="L95" s="36"/>
      <c r="M95" s="34"/>
      <c r="N95" s="37"/>
      <c r="O95" s="38"/>
      <c r="P95" s="39"/>
      <c r="Q95" s="40"/>
      <c r="R95" s="41"/>
      <c r="S95" s="42"/>
      <c r="T95" s="42"/>
      <c r="U95" s="34"/>
      <c r="V95" s="34"/>
      <c r="W95" s="13"/>
    </row>
    <row r="96" ht="18.75" customHeight="1">
      <c r="A96" s="13"/>
      <c r="B96" s="48"/>
      <c r="C96" s="47"/>
      <c r="D96" s="32"/>
      <c r="E96" s="32"/>
      <c r="F96" s="32"/>
      <c r="G96" s="33"/>
      <c r="H96" s="33"/>
      <c r="I96" s="13"/>
      <c r="J96" s="34"/>
      <c r="K96" s="46"/>
      <c r="L96" s="36"/>
      <c r="M96" s="34"/>
      <c r="N96" s="37"/>
      <c r="O96" s="38"/>
      <c r="P96" s="39"/>
      <c r="Q96" s="40"/>
      <c r="R96" s="41"/>
      <c r="S96" s="42"/>
      <c r="T96" s="42"/>
      <c r="U96" s="34"/>
      <c r="V96" s="34"/>
      <c r="W96" s="13"/>
    </row>
    <row r="97" ht="18.75" customHeight="1">
      <c r="A97" s="13"/>
      <c r="B97" s="48"/>
      <c r="C97" s="47"/>
      <c r="D97" s="32"/>
      <c r="E97" s="32"/>
      <c r="F97" s="32"/>
      <c r="G97" s="33"/>
      <c r="H97" s="33"/>
      <c r="I97" s="13"/>
      <c r="J97" s="34"/>
      <c r="K97" s="46"/>
      <c r="L97" s="36"/>
      <c r="M97" s="34"/>
      <c r="N97" s="37"/>
      <c r="O97" s="38"/>
      <c r="P97" s="39"/>
      <c r="Q97" s="40"/>
      <c r="R97" s="41"/>
      <c r="S97" s="42"/>
      <c r="T97" s="42"/>
      <c r="U97" s="34"/>
      <c r="V97" s="34"/>
      <c r="W97" s="13"/>
    </row>
    <row r="98" ht="18.75" customHeight="1">
      <c r="A98" s="13"/>
      <c r="B98" s="48"/>
      <c r="C98" s="47"/>
      <c r="D98" s="32"/>
      <c r="E98" s="32"/>
      <c r="F98" s="32"/>
      <c r="G98" s="33"/>
      <c r="H98" s="33"/>
      <c r="I98" s="13"/>
      <c r="J98" s="34"/>
      <c r="K98" s="46"/>
      <c r="L98" s="36"/>
      <c r="M98" s="34"/>
      <c r="N98" s="37"/>
      <c r="O98" s="38"/>
      <c r="P98" s="39"/>
      <c r="Q98" s="40"/>
      <c r="R98" s="41"/>
      <c r="S98" s="42"/>
      <c r="T98" s="42"/>
      <c r="U98" s="34"/>
      <c r="V98" s="34"/>
      <c r="W98" s="13"/>
    </row>
    <row r="99" ht="18.75" customHeight="1">
      <c r="A99" s="13"/>
      <c r="B99" s="48"/>
      <c r="C99" s="47"/>
      <c r="D99" s="32"/>
      <c r="E99" s="32"/>
      <c r="F99" s="32"/>
      <c r="G99" s="33"/>
      <c r="H99" s="33"/>
      <c r="I99" s="13"/>
      <c r="J99" s="34"/>
      <c r="K99" s="46"/>
      <c r="L99" s="36"/>
      <c r="M99" s="34"/>
      <c r="N99" s="37"/>
      <c r="O99" s="38"/>
      <c r="P99" s="39"/>
      <c r="Q99" s="40"/>
      <c r="R99" s="41"/>
      <c r="S99" s="42"/>
      <c r="T99" s="42"/>
      <c r="U99" s="34"/>
      <c r="V99" s="34"/>
      <c r="W99" s="13"/>
    </row>
    <row r="100" ht="18.75" customHeight="1">
      <c r="A100" s="13"/>
      <c r="B100" s="48"/>
      <c r="C100" s="47"/>
      <c r="D100" s="32"/>
      <c r="E100" s="32"/>
      <c r="F100" s="32"/>
      <c r="G100" s="33"/>
      <c r="H100" s="33"/>
      <c r="I100" s="13"/>
      <c r="J100" s="34"/>
      <c r="K100" s="46"/>
      <c r="L100" s="36"/>
      <c r="M100" s="34"/>
      <c r="N100" s="37"/>
      <c r="O100" s="38"/>
      <c r="P100" s="39"/>
      <c r="Q100" s="40"/>
      <c r="R100" s="41"/>
      <c r="S100" s="42"/>
      <c r="T100" s="42"/>
      <c r="U100" s="34"/>
      <c r="V100" s="34"/>
      <c r="W100" s="13"/>
    </row>
    <row r="101" ht="18.75" customHeight="1">
      <c r="A101" s="13"/>
      <c r="B101" s="48"/>
      <c r="C101" s="47"/>
      <c r="D101" s="32"/>
      <c r="E101" s="32"/>
      <c r="F101" s="32"/>
      <c r="G101" s="33"/>
      <c r="H101" s="33"/>
      <c r="I101" s="13"/>
      <c r="J101" s="34"/>
      <c r="K101" s="46"/>
      <c r="L101" s="36"/>
      <c r="M101" s="34"/>
      <c r="N101" s="37"/>
      <c r="O101" s="38"/>
      <c r="P101" s="39"/>
      <c r="Q101" s="40"/>
      <c r="R101" s="41"/>
      <c r="S101" s="42"/>
      <c r="T101" s="42"/>
      <c r="U101" s="34"/>
      <c r="V101" s="34"/>
      <c r="W101" s="13"/>
    </row>
    <row r="102" ht="18.75" customHeight="1">
      <c r="A102" s="13"/>
      <c r="B102" s="48"/>
      <c r="C102" s="47"/>
      <c r="D102" s="32"/>
      <c r="E102" s="32"/>
      <c r="F102" s="32"/>
      <c r="G102" s="33"/>
      <c r="H102" s="33"/>
      <c r="I102" s="13"/>
      <c r="J102" s="34"/>
      <c r="K102" s="46"/>
      <c r="L102" s="36"/>
      <c r="M102" s="34"/>
      <c r="N102" s="37"/>
      <c r="O102" s="38"/>
      <c r="P102" s="39"/>
      <c r="Q102" s="40"/>
      <c r="R102" s="41"/>
      <c r="S102" s="42"/>
      <c r="T102" s="42"/>
      <c r="U102" s="34"/>
      <c r="V102" s="34"/>
      <c r="W102" s="13"/>
    </row>
    <row r="103" ht="18.75" customHeight="1">
      <c r="A103" s="13"/>
      <c r="B103" s="48"/>
      <c r="C103" s="47"/>
      <c r="D103" s="32"/>
      <c r="E103" s="32"/>
      <c r="F103" s="32"/>
      <c r="G103" s="33"/>
      <c r="H103" s="33"/>
      <c r="I103" s="13"/>
      <c r="J103" s="34"/>
      <c r="K103" s="46"/>
      <c r="L103" s="36"/>
      <c r="M103" s="34"/>
      <c r="N103" s="37"/>
      <c r="O103" s="38"/>
      <c r="P103" s="39"/>
      <c r="Q103" s="40"/>
      <c r="R103" s="41"/>
      <c r="S103" s="42"/>
      <c r="T103" s="42"/>
      <c r="U103" s="34"/>
      <c r="V103" s="34"/>
      <c r="W103" s="13"/>
    </row>
    <row r="104" ht="18.75" customHeight="1">
      <c r="A104" s="13"/>
      <c r="B104" s="48"/>
      <c r="C104" s="47"/>
      <c r="D104" s="32"/>
      <c r="E104" s="32"/>
      <c r="F104" s="32"/>
      <c r="G104" s="33"/>
      <c r="H104" s="33"/>
      <c r="I104" s="13"/>
      <c r="J104" s="34"/>
      <c r="K104" s="46"/>
      <c r="L104" s="36"/>
      <c r="M104" s="34"/>
      <c r="N104" s="37"/>
      <c r="O104" s="38"/>
      <c r="P104" s="39"/>
      <c r="Q104" s="40"/>
      <c r="R104" s="41"/>
      <c r="S104" s="42"/>
      <c r="T104" s="42"/>
      <c r="U104" s="34"/>
      <c r="V104" s="34"/>
      <c r="W104" s="13"/>
    </row>
  </sheetData>
  <mergeCells count="4">
    <mergeCell ref="B3:H3"/>
    <mergeCell ref="J3:V3"/>
    <mergeCell ref="F4:G4"/>
    <mergeCell ref="M4:N4"/>
  </mergeCells>
  <conditionalFormatting sqref="C5">
    <cfRule type="expression" dxfId="8" priority="1">
      <formula>LEFT($M5,2)&lt;&gt;""</formula>
    </cfRule>
  </conditionalFormatting>
  <conditionalFormatting sqref="L5:L104">
    <cfRule type="expression" dxfId="0" priority="2">
      <formula>LEFT($L5,2)="NM"</formula>
    </cfRule>
  </conditionalFormatting>
  <conditionalFormatting sqref="L5:L104">
    <cfRule type="expression" dxfId="1" priority="3">
      <formula>LEFT($L5,2)="HD"</formula>
    </cfRule>
  </conditionalFormatting>
  <conditionalFormatting sqref="L5:L104">
    <cfRule type="expression" dxfId="2" priority="4">
      <formula>LEFT($L5,2)="HR"</formula>
    </cfRule>
  </conditionalFormatting>
  <conditionalFormatting sqref="L5:L104">
    <cfRule type="expression" dxfId="3" priority="5">
      <formula>LEFT($L5,2)="DT"</formula>
    </cfRule>
  </conditionalFormatting>
  <conditionalFormatting sqref="L5:L104">
    <cfRule type="expression" dxfId="4" priority="6">
      <formula>LEFT($L5,2)="FM"</formula>
    </cfRule>
  </conditionalFormatting>
  <conditionalFormatting sqref="L5:L104">
    <cfRule type="expression" dxfId="5" priority="7">
      <formula>LEFT($L5,2)="TB"</formula>
    </cfRule>
  </conditionalFormatting>
  <conditionalFormatting sqref="L5:L104">
    <cfRule type="expression" dxfId="6" priority="8">
      <formula>LEFT($L5,2)="EZ"</formula>
    </cfRule>
  </conditionalFormatting>
  <conditionalFormatting sqref="L5:L104">
    <cfRule type="expression" dxfId="7" priority="9">
      <formula>LEFT($L5,2)="HT"</formula>
    </cfRule>
  </conditionalFormatting>
  <conditionalFormatting sqref="J5:V104 B8">
    <cfRule type="expression" dxfId="8" priority="10">
      <formula>LEFT($L5,2)&lt;&gt;""</formula>
    </cfRule>
  </conditionalFormatting>
  <conditionalFormatting sqref="B5:H104 K5:K24 M12 J18">
    <cfRule type="expression" dxfId="2" priority="11">
      <formula>COUNTIF($C$5:$C$104,$C5)&gt;1</formula>
    </cfRule>
  </conditionalFormatting>
  <conditionalFormatting sqref="B5:H104 K5:K24 M12 J18">
    <cfRule type="expression" dxfId="9" priority="12">
      <formula>COUNTIF($K$5:$K104,$C5)=1</formula>
    </cfRule>
  </conditionalFormatting>
  <dataValidations>
    <dataValidation type="list" allowBlank="1" sqref="B2">
      <formula1>Settings!$E$3:$E$12</formula1>
    </dataValidation>
    <dataValidation type="list" allowBlank="1" showDropDown="1" sqref="K25:K104">
      <formula1>'_api'!$A$3:$A$1007</formula1>
    </dataValidation>
    <dataValidation type="list" allowBlank="1" sqref="D5:D104">
      <formula1>Settings!$I$2:$P$2</formula1>
    </dataValidation>
    <dataValidation type="list" allowBlank="1" sqref="E5:E24">
      <formula1>Settings!$B$3:$B$13</formula1>
    </dataValidation>
    <dataValidation type="list" allowBlank="1" sqref="E25:E104">
      <formula1>Settings!$B$3:$B$12</formula1>
    </dataValidation>
  </dataValidations>
  <hyperlinks>
    <hyperlink r:id="rId2" location="osu/3795759" ref="B6"/>
    <hyperlink r:id="rId3" location="osu/3795759" ref="G6"/>
    <hyperlink r:id="rId4" location="osu/3714369" ref="N6"/>
    <hyperlink r:id="rId5" location="osu/1863870" ref="B7"/>
    <hyperlink r:id="rId6" location="osu/1863870" ref="G7"/>
    <hyperlink r:id="rId7" location="osu/3461206" ref="N7"/>
    <hyperlink r:id="rId8" location="osu/1456307" ref="B8"/>
    <hyperlink r:id="rId9" location="osu/1456307" ref="G8"/>
    <hyperlink r:id="rId10" location="osu/1737928" ref="N8"/>
    <hyperlink r:id="rId11" location="osu/4134134" ref="B9"/>
    <hyperlink r:id="rId12" location="osu/4134134" ref="G9"/>
    <hyperlink r:id="rId13" location="osu/3711739" ref="N9"/>
    <hyperlink r:id="rId14" location="osu/34211" ref="B10"/>
    <hyperlink r:id="rId15" location="osu/34211" ref="G10"/>
    <hyperlink r:id="rId16" location="osu/3711612" ref="N10"/>
    <hyperlink r:id="rId17" location="osu/1567978" ref="B11"/>
    <hyperlink r:id="rId18" location="osu/1567978" ref="G11"/>
    <hyperlink r:id="rId19" location="osu/2348578" ref="N11"/>
    <hyperlink r:id="rId20" location="osu/1045757" ref="B12"/>
    <hyperlink r:id="rId21" location="osu/1045757" ref="G12"/>
    <hyperlink r:id="rId22" location="osu/4134134" ref="N12"/>
    <hyperlink r:id="rId23" location="osu/3412490" ref="B13"/>
    <hyperlink r:id="rId24" location="osu/3412490" ref="G13"/>
    <hyperlink r:id="rId25" location="osu/2565268" ref="N13"/>
    <hyperlink r:id="rId26" location="osu/2015481" ref="B14"/>
    <hyperlink r:id="rId27" location="osu/2015481" ref="G14"/>
    <hyperlink r:id="rId28" location="osu/1258993" ref="N14"/>
    <hyperlink r:id="rId29" location="osu/1258993" ref="B15"/>
    <hyperlink r:id="rId30" location="osu/1258993" ref="G15"/>
    <hyperlink r:id="rId31" location="osu/1592403" ref="N15"/>
    <hyperlink r:id="rId32" location="osu/2442178" ref="B16"/>
    <hyperlink r:id="rId33" location="osu/2442178" ref="G16"/>
    <hyperlink r:id="rId34" location="osu/3333734" ref="N16"/>
    <hyperlink r:id="rId35" location="osu/1290855" ref="B17"/>
    <hyperlink r:id="rId36" location="osu/1290855" ref="G17"/>
    <hyperlink r:id="rId37" location="osu/2519731" ref="N17"/>
    <hyperlink r:id="rId38" location="osu/1035068" ref="N18"/>
    <hyperlink r:id="rId39" location="osu/3333734" ref="B19"/>
    <hyperlink r:id="rId40" location="osu/3333734" ref="G19"/>
    <hyperlink r:id="rId41" location="osu/1707909" ref="N19"/>
    <hyperlink r:id="rId42" location="osu/2775823" ref="B20"/>
    <hyperlink r:id="rId43" location="osu/2775823" ref="G20"/>
    <hyperlink r:id="rId44" location="osu/25341" ref="N20"/>
    <hyperlink r:id="rId45" location="osu/2405667" ref="B21"/>
    <hyperlink r:id="rId46" location="osu/2405667" ref="G21"/>
    <hyperlink r:id="rId47" location="osu/3883278" ref="N21"/>
    <hyperlink r:id="rId48" location="osu/3711739" ref="B22"/>
    <hyperlink r:id="rId49" location="osu/3711739" ref="G22"/>
    <hyperlink r:id="rId50" location="osu/58701" ref="N22"/>
    <hyperlink r:id="rId51" location="osu/2134906" ref="B23"/>
    <hyperlink r:id="rId52" location="osu/2134906" ref="G23"/>
    <hyperlink r:id="rId53" location="osu/3853742" ref="N23"/>
    <hyperlink r:id="rId54" location="osu/3326410" ref="B24"/>
    <hyperlink r:id="rId55" location="osu/3326410" ref="G24"/>
    <hyperlink r:id="rId56" location="osu/862338" ref="N24"/>
    <hyperlink r:id="rId57" location="osu/2348578" ref="B25"/>
    <hyperlink r:id="rId58" location="osu/2348578" ref="G25"/>
    <hyperlink r:id="rId59" location="osu/929118" ref="B26"/>
    <hyperlink r:id="rId60" location="osu/929118" ref="G26"/>
    <hyperlink r:id="rId61" location="osu/2718270" ref="B27"/>
    <hyperlink r:id="rId62" location="osu/2718270" ref="G27"/>
    <hyperlink r:id="rId63" location="osu/1744385" ref="B28"/>
    <hyperlink r:id="rId64" location="osu/1744385" ref="G28"/>
    <hyperlink r:id="rId65" location="osu/3186407" ref="B29"/>
    <hyperlink r:id="rId66" location="osu/3186407" ref="G29"/>
    <hyperlink r:id="rId67" location="osu/243487" ref="B30"/>
    <hyperlink r:id="rId68" location="osu/243487" ref="G30"/>
    <hyperlink r:id="rId69" location="osu/3614024" ref="B31"/>
    <hyperlink r:id="rId70" location="osu/3614024" ref="G31"/>
    <hyperlink r:id="rId71" location="osu/3257641" ref="B32"/>
    <hyperlink r:id="rId72" location="osu/3257641" ref="G32"/>
    <hyperlink r:id="rId73" location="osu/3182052" ref="B33"/>
    <hyperlink r:id="rId74" location="osu/3182052" ref="G33"/>
    <hyperlink r:id="rId75" location="osu/3071429" ref="B34"/>
    <hyperlink r:id="rId76" location="osu/3071429" ref="G34"/>
    <hyperlink r:id="rId77" location="osu/1653270" ref="B35"/>
    <hyperlink r:id="rId78" location="osu/1653270" ref="G35"/>
    <hyperlink r:id="rId79" location="osu/117424" ref="B36"/>
    <hyperlink r:id="rId80" location="osu/117424" ref="G36"/>
    <hyperlink r:id="rId81" location="osu/2855311" ref="B37"/>
    <hyperlink r:id="rId82" location="osu/2855311" ref="G37"/>
    <hyperlink r:id="rId83" location="osu/3883278" ref="B38"/>
    <hyperlink r:id="rId84" location="osu/3883278" ref="G38"/>
    <hyperlink r:id="rId85" location="osu/1592403" ref="B39"/>
    <hyperlink r:id="rId86" location="osu/1592403" ref="G39"/>
    <hyperlink r:id="rId87" location="osu/26436" ref="B40"/>
    <hyperlink r:id="rId88" location="osu/26436" ref="G40"/>
    <hyperlink r:id="rId89" location="osu/2111658" ref="B41"/>
    <hyperlink r:id="rId90" location="osu/2111658" ref="G41"/>
    <hyperlink r:id="rId91" location="osu/424554" ref="B42"/>
    <hyperlink r:id="rId92" location="osu/424554" ref="G42"/>
    <hyperlink r:id="rId93" location="osu/2559136" ref="B43"/>
    <hyperlink r:id="rId94" location="osu/2559136" ref="G43"/>
    <hyperlink r:id="rId95" location="osu/2792506" ref="B44"/>
    <hyperlink r:id="rId96" location="osu/2792506" ref="G44"/>
    <hyperlink r:id="rId97" location="osu/3686559" ref="B45"/>
    <hyperlink r:id="rId98" location="osu/3686559" ref="G45"/>
    <hyperlink r:id="rId99" location="osu/1938365" ref="B46"/>
    <hyperlink r:id="rId100" location="osu/1938365" ref="G46"/>
    <hyperlink r:id="rId101" location="osu/1699306" ref="B47"/>
    <hyperlink r:id="rId102" location="osu/1699306" ref="G47"/>
    <hyperlink r:id="rId103" location="osu/789815" ref="B48"/>
    <hyperlink r:id="rId104" location="osu/789815" ref="G48"/>
    <hyperlink r:id="rId105" location="osu/1631406" ref="B49"/>
    <hyperlink r:id="rId106" location="osu/1631406" ref="G49"/>
    <hyperlink r:id="rId107" location="osu/2961839" ref="B50"/>
    <hyperlink r:id="rId108" location="osu/2961839" ref="G50"/>
    <hyperlink r:id="rId109" location="osu/1737928" ref="B51"/>
    <hyperlink r:id="rId110" location="osu/1737928" ref="G51"/>
    <hyperlink r:id="rId111" location="osu/2577703" ref="B52"/>
    <hyperlink r:id="rId112" location="osu/2577703" ref="G52"/>
    <hyperlink r:id="rId113" location="osu/25341" ref="B53"/>
    <hyperlink r:id="rId114" location="osu/25341" ref="G53"/>
    <hyperlink r:id="rId115" location="osu/2565268" ref="B54"/>
    <hyperlink r:id="rId116" location="osu/2565268" ref="G54"/>
    <hyperlink r:id="rId117" location="osu/3802071" ref="B55"/>
    <hyperlink r:id="rId118" location="osu/3802071" ref="G55"/>
    <hyperlink r:id="rId119" location="osu/3700933" ref="B56"/>
    <hyperlink r:id="rId120" location="osu/3700933" ref="G56"/>
    <hyperlink r:id="rId121" ref="B57"/>
    <hyperlink r:id="rId122" location="osu/3853742" ref="G57"/>
    <hyperlink r:id="rId123" ref="B58"/>
    <hyperlink r:id="rId124" location="osu/3039329" ref="G58"/>
    <hyperlink r:id="rId125" location="osu/3714369" ref="B59"/>
    <hyperlink r:id="rId126" location="osu/3714369" ref="G59"/>
    <hyperlink r:id="rId127" ref="B60"/>
    <hyperlink r:id="rId128" location="osu/2690998" ref="G60"/>
    <hyperlink r:id="rId129" location="osu/3461206" ref="B61"/>
    <hyperlink r:id="rId130" location="osu/3461206" ref="G61"/>
    <hyperlink r:id="rId131" location="osu/2279885" ref="B62"/>
    <hyperlink r:id="rId132" location="osu/2279885" ref="G62"/>
    <hyperlink r:id="rId133" location="osu/847315" ref="B63"/>
    <hyperlink r:id="rId134" location="osu/847315" ref="G63"/>
    <hyperlink r:id="rId135" location="osu/99407" ref="B64"/>
    <hyperlink r:id="rId136" location="osu/99407" ref="G64"/>
    <hyperlink r:id="rId137" location="osu/58701" ref="B65"/>
    <hyperlink r:id="rId138" location="osu/58701" ref="G65"/>
    <hyperlink r:id="rId139" location="osu/1707909" ref="B66"/>
    <hyperlink r:id="rId140" location="osu/1707909" ref="G66"/>
    <hyperlink r:id="rId141" location="osu/3772514" ref="B67"/>
    <hyperlink r:id="rId142" location="osu/3772514" ref="G67"/>
    <hyperlink r:id="rId143" location="osu/862338" ref="B68"/>
    <hyperlink r:id="rId144" location="osu/862338" ref="G68"/>
    <hyperlink r:id="rId145" location="osu/3711612" ref="B69"/>
    <hyperlink r:id="rId146" location="osu/3711612" ref="G69"/>
    <hyperlink r:id="rId147" location="osu/2519731" ref="B70"/>
    <hyperlink r:id="rId148" location="osu/2519731" ref="G70"/>
    <hyperlink r:id="rId149" location="osu/1035068" ref="B71"/>
    <hyperlink r:id="rId150" location="osu/1035068" ref="G71"/>
  </hyperlinks>
  <drawing r:id="rId151"/>
  <legacyDrawing r:id="rId15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63"/>
    <col customWidth="1" min="2" max="3" width="2.0"/>
    <col customWidth="1" min="4" max="4" width="10.13"/>
    <col customWidth="1" min="5" max="5" width="12.0"/>
    <col customWidth="1" min="6" max="6" width="56.38"/>
    <col customWidth="1" min="7" max="9" width="6.38"/>
    <col customWidth="1" min="10" max="12" width="4.88"/>
    <col customWidth="1" min="13" max="14" width="15.13"/>
    <col customWidth="1" min="15" max="15" width="1.38"/>
    <col customWidth="1" min="16" max="16" width="2.63"/>
  </cols>
  <sheetData>
    <row r="1" ht="30.75" customHeight="1">
      <c r="A1" s="87"/>
      <c r="B1" s="88"/>
      <c r="C1" s="89"/>
      <c r="D1" s="89"/>
      <c r="E1" s="89"/>
      <c r="F1" s="89"/>
      <c r="G1" s="89"/>
      <c r="H1" s="89"/>
      <c r="I1" s="89"/>
      <c r="J1" s="89"/>
      <c r="K1" s="89"/>
      <c r="L1" s="89"/>
      <c r="M1" s="89"/>
      <c r="N1" s="89"/>
      <c r="O1" s="89"/>
      <c r="P1" s="90"/>
    </row>
    <row r="2" ht="22.5" customHeight="1">
      <c r="A2" s="91" t="s">
        <v>0</v>
      </c>
      <c r="B2" s="92"/>
      <c r="C2" s="93"/>
      <c r="D2" s="94" t="s">
        <v>905</v>
      </c>
      <c r="E2" s="95"/>
      <c r="F2" s="96" t="s">
        <v>906</v>
      </c>
      <c r="G2" s="97"/>
      <c r="H2" s="95"/>
      <c r="I2" s="98"/>
      <c r="J2" s="98"/>
      <c r="K2" s="93"/>
      <c r="L2" s="96" t="s">
        <v>907</v>
      </c>
      <c r="M2" s="97"/>
      <c r="N2" s="95"/>
      <c r="O2" s="99"/>
      <c r="P2" s="92"/>
    </row>
    <row r="3" ht="7.5" customHeight="1">
      <c r="A3" s="100"/>
      <c r="B3" s="92"/>
      <c r="C3" s="98"/>
      <c r="D3" s="101"/>
      <c r="E3" s="101"/>
      <c r="F3" s="101"/>
      <c r="G3" s="101"/>
      <c r="H3" s="101"/>
      <c r="I3" s="101"/>
      <c r="J3" s="101"/>
      <c r="K3" s="101"/>
      <c r="L3" s="101"/>
      <c r="M3" s="102"/>
      <c r="N3" s="101"/>
      <c r="O3" s="99"/>
      <c r="P3" s="92"/>
    </row>
    <row r="4" ht="22.5" customHeight="1" outlineLevel="1">
      <c r="A4" s="100"/>
      <c r="B4" s="92"/>
      <c r="C4" s="93"/>
      <c r="D4" s="103" t="s">
        <v>908</v>
      </c>
      <c r="E4" s="103" t="s">
        <v>48</v>
      </c>
      <c r="F4" s="103" t="s">
        <v>909</v>
      </c>
      <c r="G4" s="104" t="s">
        <v>53</v>
      </c>
      <c r="H4" s="104" t="s">
        <v>54</v>
      </c>
      <c r="I4" s="105" t="s">
        <v>55</v>
      </c>
      <c r="J4" s="104" t="s">
        <v>56</v>
      </c>
      <c r="K4" s="104" t="s">
        <v>57</v>
      </c>
      <c r="L4" s="104" t="s">
        <v>58</v>
      </c>
      <c r="M4" s="103" t="s">
        <v>60</v>
      </c>
      <c r="N4" s="106" t="s">
        <v>47</v>
      </c>
      <c r="O4" s="99"/>
      <c r="P4" s="92"/>
    </row>
    <row r="5" ht="3.75" customHeight="1" outlineLevel="1">
      <c r="A5" s="100"/>
      <c r="B5" s="92"/>
      <c r="C5" s="93"/>
      <c r="D5" s="107"/>
      <c r="E5" s="108" t="s">
        <v>0</v>
      </c>
      <c r="F5" s="109"/>
      <c r="G5" s="110"/>
      <c r="H5" s="111"/>
      <c r="I5" s="112"/>
      <c r="J5" s="111"/>
      <c r="K5" s="110"/>
      <c r="L5" s="111"/>
      <c r="M5" s="108"/>
      <c r="N5" s="109"/>
      <c r="O5" s="99"/>
      <c r="P5" s="92"/>
    </row>
    <row r="6" ht="18.75" customHeight="1" outlineLevel="1">
      <c r="A6" s="100"/>
      <c r="B6" s="92"/>
      <c r="C6" s="93"/>
      <c r="D6" s="113"/>
      <c r="E6" s="114"/>
      <c r="F6" s="115"/>
      <c r="G6" s="116"/>
      <c r="H6" s="117"/>
      <c r="I6" s="118"/>
      <c r="J6" s="119"/>
      <c r="K6" s="119"/>
      <c r="L6" s="119"/>
      <c r="M6" s="120"/>
      <c r="N6" s="120"/>
      <c r="O6" s="99"/>
      <c r="P6" s="92"/>
    </row>
    <row r="7" ht="18.75" customHeight="1" outlineLevel="1">
      <c r="A7" s="100"/>
      <c r="B7" s="92"/>
      <c r="C7" s="93"/>
      <c r="D7" s="120"/>
      <c r="E7" s="114"/>
      <c r="F7" s="115"/>
      <c r="G7" s="116"/>
      <c r="H7" s="117"/>
      <c r="I7" s="118"/>
      <c r="J7" s="119"/>
      <c r="K7" s="119"/>
      <c r="L7" s="119"/>
      <c r="M7" s="120"/>
      <c r="N7" s="120"/>
      <c r="O7" s="99"/>
      <c r="P7" s="92"/>
    </row>
    <row r="8" ht="18.75" customHeight="1" outlineLevel="1">
      <c r="A8" s="100"/>
      <c r="B8" s="92"/>
      <c r="C8" s="93"/>
      <c r="D8" s="120"/>
      <c r="E8" s="114"/>
      <c r="F8" s="115"/>
      <c r="G8" s="116"/>
      <c r="H8" s="117"/>
      <c r="I8" s="118"/>
      <c r="J8" s="119"/>
      <c r="K8" s="119"/>
      <c r="L8" s="119"/>
      <c r="M8" s="120"/>
      <c r="N8" s="120"/>
      <c r="O8" s="99"/>
      <c r="P8" s="92"/>
    </row>
    <row r="9" ht="18.75" customHeight="1" outlineLevel="1">
      <c r="A9" s="100"/>
      <c r="B9" s="92"/>
      <c r="C9" s="93"/>
      <c r="D9" s="120"/>
      <c r="E9" s="114"/>
      <c r="F9" s="115"/>
      <c r="G9" s="116"/>
      <c r="H9" s="117"/>
      <c r="I9" s="118"/>
      <c r="J9" s="119"/>
      <c r="K9" s="119"/>
      <c r="L9" s="119"/>
      <c r="M9" s="120"/>
      <c r="N9" s="120"/>
      <c r="O9" s="99"/>
      <c r="P9" s="92"/>
    </row>
    <row r="10" ht="18.75" customHeight="1" outlineLevel="1">
      <c r="A10" s="100"/>
      <c r="B10" s="92"/>
      <c r="C10" s="93"/>
      <c r="D10" s="120"/>
      <c r="E10" s="114"/>
      <c r="F10" s="115"/>
      <c r="G10" s="116"/>
      <c r="H10" s="117"/>
      <c r="I10" s="118"/>
      <c r="J10" s="119"/>
      <c r="K10" s="119"/>
      <c r="L10" s="119"/>
      <c r="M10" s="120"/>
      <c r="N10" s="120"/>
      <c r="O10" s="99"/>
      <c r="P10" s="92"/>
    </row>
    <row r="11" ht="18.75" customHeight="1" outlineLevel="1">
      <c r="A11" s="100"/>
      <c r="B11" s="92"/>
      <c r="C11" s="93"/>
      <c r="D11" s="120"/>
      <c r="E11" s="114"/>
      <c r="F11" s="115"/>
      <c r="G11" s="116"/>
      <c r="H11" s="117"/>
      <c r="I11" s="118"/>
      <c r="J11" s="119"/>
      <c r="K11" s="119"/>
      <c r="L11" s="119"/>
      <c r="M11" s="120"/>
      <c r="N11" s="120"/>
      <c r="O11" s="99"/>
      <c r="P11" s="92"/>
    </row>
    <row r="12" ht="18.75" customHeight="1" outlineLevel="1">
      <c r="A12" s="100"/>
      <c r="B12" s="92"/>
      <c r="C12" s="93"/>
      <c r="D12" s="120"/>
      <c r="E12" s="114"/>
      <c r="F12" s="115"/>
      <c r="G12" s="116"/>
      <c r="H12" s="117"/>
      <c r="I12" s="118"/>
      <c r="J12" s="119"/>
      <c r="K12" s="119"/>
      <c r="L12" s="119"/>
      <c r="M12" s="120"/>
      <c r="N12" s="120"/>
      <c r="O12" s="99"/>
      <c r="P12" s="92"/>
    </row>
    <row r="13" ht="18.75" customHeight="1" outlineLevel="1">
      <c r="A13" s="100"/>
      <c r="B13" s="92"/>
      <c r="C13" s="93"/>
      <c r="D13" s="120"/>
      <c r="E13" s="114"/>
      <c r="F13" s="115"/>
      <c r="G13" s="116"/>
      <c r="H13" s="117"/>
      <c r="I13" s="118"/>
      <c r="J13" s="119"/>
      <c r="K13" s="119"/>
      <c r="L13" s="119"/>
      <c r="M13" s="120"/>
      <c r="N13" s="120"/>
      <c r="O13" s="99"/>
      <c r="P13" s="92"/>
    </row>
    <row r="14" ht="18.75" customHeight="1" outlineLevel="1">
      <c r="A14" s="100"/>
      <c r="B14" s="92"/>
      <c r="C14" s="93"/>
      <c r="D14" s="120"/>
      <c r="E14" s="114"/>
      <c r="F14" s="115"/>
      <c r="G14" s="116"/>
      <c r="H14" s="117"/>
      <c r="I14" s="118"/>
      <c r="J14" s="119"/>
      <c r="K14" s="119"/>
      <c r="L14" s="119"/>
      <c r="M14" s="120"/>
      <c r="N14" s="120"/>
      <c r="O14" s="99"/>
      <c r="P14" s="92"/>
    </row>
    <row r="15" ht="18.75" customHeight="1" outlineLevel="1">
      <c r="A15" s="100"/>
      <c r="B15" s="92"/>
      <c r="C15" s="93"/>
      <c r="D15" s="120"/>
      <c r="E15" s="114"/>
      <c r="F15" s="115"/>
      <c r="G15" s="116"/>
      <c r="H15" s="117"/>
      <c r="I15" s="118"/>
      <c r="J15" s="119"/>
      <c r="K15" s="119"/>
      <c r="L15" s="119"/>
      <c r="M15" s="120"/>
      <c r="N15" s="120"/>
      <c r="O15" s="99"/>
      <c r="P15" s="92"/>
    </row>
    <row r="16" ht="18.75" customHeight="1" outlineLevel="1">
      <c r="A16" s="121"/>
      <c r="B16" s="88"/>
      <c r="C16" s="89"/>
      <c r="D16" s="122"/>
      <c r="E16" s="123"/>
      <c r="F16" s="124"/>
      <c r="G16" s="125"/>
      <c r="H16" s="126"/>
      <c r="I16" s="127"/>
      <c r="J16" s="126"/>
      <c r="K16" s="125"/>
      <c r="L16" s="126"/>
      <c r="M16" s="125"/>
      <c r="N16" s="122"/>
      <c r="O16" s="89"/>
      <c r="P16" s="128"/>
    </row>
    <row r="17" ht="18.75" customHeight="1" outlineLevel="1">
      <c r="A17" s="121"/>
      <c r="B17" s="88"/>
      <c r="C17" s="89"/>
      <c r="D17" s="122"/>
      <c r="E17" s="123"/>
      <c r="F17" s="129"/>
      <c r="G17" s="125"/>
      <c r="H17" s="126"/>
      <c r="I17" s="127"/>
      <c r="J17" s="126"/>
      <c r="K17" s="125"/>
      <c r="L17" s="126"/>
      <c r="M17" s="125"/>
      <c r="N17" s="122"/>
      <c r="O17" s="89"/>
      <c r="P17" s="128"/>
    </row>
    <row r="18" ht="18.75" customHeight="1" outlineLevel="1">
      <c r="A18" s="121"/>
      <c r="B18" s="88"/>
      <c r="C18" s="89"/>
      <c r="D18" s="122"/>
      <c r="E18" s="123"/>
      <c r="F18" s="124"/>
      <c r="G18" s="125"/>
      <c r="H18" s="126"/>
      <c r="I18" s="127"/>
      <c r="J18" s="126"/>
      <c r="K18" s="125"/>
      <c r="L18" s="126"/>
      <c r="M18" s="125"/>
      <c r="N18" s="122"/>
      <c r="O18" s="89"/>
      <c r="P18" s="128"/>
    </row>
    <row r="19" ht="18.75" customHeight="1" outlineLevel="1">
      <c r="A19" s="121"/>
      <c r="B19" s="88"/>
      <c r="C19" s="89"/>
      <c r="D19" s="122"/>
      <c r="E19" s="123"/>
      <c r="F19" s="124"/>
      <c r="G19" s="125"/>
      <c r="H19" s="126"/>
      <c r="I19" s="127"/>
      <c r="J19" s="126"/>
      <c r="K19" s="125"/>
      <c r="L19" s="126"/>
      <c r="M19" s="125"/>
      <c r="N19" s="122"/>
      <c r="O19" s="89"/>
      <c r="P19" s="128"/>
    </row>
    <row r="20" ht="18.75" customHeight="1" outlineLevel="1">
      <c r="A20" s="121"/>
      <c r="B20" s="88"/>
      <c r="C20" s="89"/>
      <c r="D20" s="122"/>
      <c r="E20" s="123"/>
      <c r="F20" s="124"/>
      <c r="G20" s="125"/>
      <c r="H20" s="126"/>
      <c r="I20" s="127"/>
      <c r="J20" s="126"/>
      <c r="K20" s="125"/>
      <c r="L20" s="126"/>
      <c r="M20" s="125"/>
      <c r="N20" s="122"/>
      <c r="O20" s="89"/>
      <c r="P20" s="128"/>
    </row>
    <row r="21" ht="18.75" customHeight="1" outlineLevel="1">
      <c r="A21" s="121"/>
      <c r="B21" s="88"/>
      <c r="C21" s="89"/>
      <c r="D21" s="122"/>
      <c r="E21" s="123"/>
      <c r="F21" s="124"/>
      <c r="G21" s="125"/>
      <c r="H21" s="126"/>
      <c r="I21" s="127"/>
      <c r="J21" s="126"/>
      <c r="K21" s="125"/>
      <c r="L21" s="126"/>
      <c r="M21" s="125"/>
      <c r="N21" s="122"/>
      <c r="O21" s="89"/>
      <c r="P21" s="128"/>
    </row>
    <row r="22" ht="18.75" customHeight="1" outlineLevel="1">
      <c r="A22" s="121"/>
      <c r="B22" s="88"/>
      <c r="C22" s="89"/>
      <c r="D22" s="122"/>
      <c r="E22" s="123"/>
      <c r="F22" s="124"/>
      <c r="G22" s="125"/>
      <c r="H22" s="126"/>
      <c r="I22" s="127"/>
      <c r="J22" s="126"/>
      <c r="K22" s="125"/>
      <c r="L22" s="126"/>
      <c r="M22" s="125"/>
      <c r="N22" s="122"/>
      <c r="O22" s="89"/>
      <c r="P22" s="128"/>
    </row>
    <row r="23" ht="18.75" customHeight="1" outlineLevel="1">
      <c r="A23" s="121"/>
      <c r="B23" s="88"/>
      <c r="C23" s="89"/>
      <c r="D23" s="122"/>
      <c r="E23" s="123"/>
      <c r="F23" s="124"/>
      <c r="G23" s="125"/>
      <c r="H23" s="126"/>
      <c r="I23" s="127"/>
      <c r="J23" s="126"/>
      <c r="K23" s="125"/>
      <c r="L23" s="126"/>
      <c r="M23" s="125"/>
      <c r="N23" s="122"/>
      <c r="O23" s="89"/>
      <c r="P23" s="128"/>
    </row>
    <row r="24" ht="18.75" customHeight="1" outlineLevel="1">
      <c r="A24" s="121"/>
      <c r="B24" s="88"/>
      <c r="C24" s="89"/>
      <c r="D24" s="122"/>
      <c r="E24" s="123"/>
      <c r="F24" s="124"/>
      <c r="G24" s="125"/>
      <c r="H24" s="126"/>
      <c r="I24" s="127"/>
      <c r="J24" s="126"/>
      <c r="K24" s="125"/>
      <c r="L24" s="126"/>
      <c r="M24" s="125"/>
      <c r="N24" s="122"/>
      <c r="O24" s="89"/>
      <c r="P24" s="128"/>
    </row>
    <row r="25" ht="18.75" customHeight="1" outlineLevel="1">
      <c r="A25" s="121"/>
      <c r="B25" s="88"/>
      <c r="C25" s="89"/>
      <c r="D25" s="130"/>
      <c r="E25" s="131"/>
      <c r="F25" s="132"/>
      <c r="G25" s="133"/>
      <c r="H25" s="134"/>
      <c r="I25" s="135"/>
      <c r="J25" s="134"/>
      <c r="K25" s="133"/>
      <c r="L25" s="134"/>
      <c r="M25" s="133"/>
      <c r="N25" s="130"/>
      <c r="O25" s="89"/>
      <c r="P25" s="128"/>
    </row>
    <row r="26" ht="18.75" customHeight="1">
      <c r="A26" s="121"/>
      <c r="B26" s="88"/>
      <c r="C26" s="89"/>
      <c r="D26" s="89"/>
      <c r="E26" s="89"/>
      <c r="F26" s="89"/>
      <c r="G26" s="89"/>
      <c r="H26" s="89"/>
      <c r="I26" s="89"/>
      <c r="J26" s="89"/>
      <c r="K26" s="89"/>
      <c r="L26" s="89"/>
      <c r="M26" s="89"/>
      <c r="N26" s="89"/>
      <c r="O26" s="89"/>
      <c r="P26" s="128"/>
    </row>
    <row r="27" ht="22.5" customHeight="1">
      <c r="A27" s="91" t="s">
        <v>0</v>
      </c>
      <c r="B27" s="92"/>
      <c r="C27" s="93"/>
      <c r="D27" s="94" t="s">
        <v>910</v>
      </c>
      <c r="E27" s="95"/>
      <c r="F27" s="96" t="s">
        <v>906</v>
      </c>
      <c r="G27" s="97"/>
      <c r="H27" s="95"/>
      <c r="I27" s="98"/>
      <c r="J27" s="98"/>
      <c r="K27" s="93"/>
      <c r="L27" s="96" t="s">
        <v>907</v>
      </c>
      <c r="M27" s="97"/>
      <c r="N27" s="95"/>
      <c r="O27" s="99"/>
      <c r="P27" s="92"/>
    </row>
    <row r="28" ht="7.5" customHeight="1">
      <c r="A28" s="100"/>
      <c r="B28" s="92"/>
      <c r="C28" s="98"/>
      <c r="D28" s="101"/>
      <c r="E28" s="101"/>
      <c r="F28" s="101"/>
      <c r="G28" s="101"/>
      <c r="H28" s="101"/>
      <c r="I28" s="101"/>
      <c r="J28" s="101"/>
      <c r="K28" s="101"/>
      <c r="L28" s="101"/>
      <c r="M28" s="102"/>
      <c r="N28" s="101"/>
      <c r="O28" s="99"/>
      <c r="P28" s="92"/>
    </row>
    <row r="29" ht="22.5" customHeight="1" outlineLevel="1">
      <c r="A29" s="100"/>
      <c r="B29" s="92"/>
      <c r="C29" s="93"/>
      <c r="D29" s="103" t="s">
        <v>908</v>
      </c>
      <c r="E29" s="103" t="s">
        <v>48</v>
      </c>
      <c r="F29" s="103" t="s">
        <v>909</v>
      </c>
      <c r="G29" s="104" t="s">
        <v>53</v>
      </c>
      <c r="H29" s="104" t="s">
        <v>54</v>
      </c>
      <c r="I29" s="105" t="s">
        <v>55</v>
      </c>
      <c r="J29" s="104" t="s">
        <v>56</v>
      </c>
      <c r="K29" s="104" t="s">
        <v>57</v>
      </c>
      <c r="L29" s="104" t="s">
        <v>58</v>
      </c>
      <c r="M29" s="103" t="s">
        <v>60</v>
      </c>
      <c r="N29" s="106" t="s">
        <v>47</v>
      </c>
      <c r="O29" s="99"/>
      <c r="P29" s="92"/>
    </row>
    <row r="30" ht="3.75" customHeight="1" outlineLevel="1">
      <c r="A30" s="100"/>
      <c r="B30" s="92"/>
      <c r="C30" s="93"/>
      <c r="D30" s="107"/>
      <c r="E30" s="108" t="s">
        <v>0</v>
      </c>
      <c r="F30" s="109"/>
      <c r="G30" s="110"/>
      <c r="H30" s="111"/>
      <c r="I30" s="112"/>
      <c r="J30" s="111"/>
      <c r="K30" s="110"/>
      <c r="L30" s="111"/>
      <c r="M30" s="108"/>
      <c r="N30" s="109"/>
      <c r="O30" s="99"/>
      <c r="P30" s="92"/>
    </row>
    <row r="31" ht="18.75" customHeight="1" outlineLevel="1">
      <c r="A31" s="100"/>
      <c r="B31" s="92"/>
      <c r="C31" s="93"/>
      <c r="D31" s="113"/>
      <c r="E31" s="114"/>
      <c r="F31" s="115"/>
      <c r="G31" s="116"/>
      <c r="H31" s="117"/>
      <c r="I31" s="118"/>
      <c r="J31" s="119"/>
      <c r="K31" s="119"/>
      <c r="L31" s="119"/>
      <c r="M31" s="120"/>
      <c r="N31" s="120"/>
      <c r="O31" s="99"/>
      <c r="P31" s="92"/>
    </row>
    <row r="32" ht="18.75" customHeight="1" outlineLevel="1">
      <c r="A32" s="100"/>
      <c r="B32" s="92"/>
      <c r="C32" s="93"/>
      <c r="D32" s="120"/>
      <c r="E32" s="114"/>
      <c r="F32" s="115"/>
      <c r="G32" s="116"/>
      <c r="H32" s="117"/>
      <c r="I32" s="118"/>
      <c r="J32" s="119"/>
      <c r="K32" s="119"/>
      <c r="L32" s="119"/>
      <c r="M32" s="120"/>
      <c r="N32" s="120"/>
      <c r="O32" s="99"/>
      <c r="P32" s="92"/>
    </row>
    <row r="33" ht="18.75" customHeight="1" outlineLevel="1">
      <c r="A33" s="100"/>
      <c r="B33" s="92"/>
      <c r="C33" s="93"/>
      <c r="D33" s="120"/>
      <c r="E33" s="114"/>
      <c r="F33" s="115"/>
      <c r="G33" s="116"/>
      <c r="H33" s="117"/>
      <c r="I33" s="118"/>
      <c r="J33" s="119"/>
      <c r="K33" s="119"/>
      <c r="L33" s="119"/>
      <c r="M33" s="120"/>
      <c r="N33" s="120"/>
      <c r="O33" s="99"/>
      <c r="P33" s="92"/>
    </row>
    <row r="34" ht="18.75" customHeight="1" outlineLevel="1">
      <c r="A34" s="100"/>
      <c r="B34" s="92"/>
      <c r="C34" s="93"/>
      <c r="D34" s="120"/>
      <c r="E34" s="114"/>
      <c r="F34" s="115"/>
      <c r="G34" s="116"/>
      <c r="H34" s="117"/>
      <c r="I34" s="118"/>
      <c r="J34" s="119"/>
      <c r="K34" s="119"/>
      <c r="L34" s="119"/>
      <c r="M34" s="120"/>
      <c r="N34" s="120"/>
      <c r="O34" s="99"/>
      <c r="P34" s="92"/>
    </row>
    <row r="35" ht="18.75" customHeight="1" outlineLevel="1">
      <c r="A35" s="100"/>
      <c r="B35" s="92"/>
      <c r="C35" s="93"/>
      <c r="D35" s="120"/>
      <c r="E35" s="114"/>
      <c r="F35" s="115"/>
      <c r="G35" s="116"/>
      <c r="H35" s="117"/>
      <c r="I35" s="118"/>
      <c r="J35" s="119"/>
      <c r="K35" s="119"/>
      <c r="L35" s="119"/>
      <c r="M35" s="120"/>
      <c r="N35" s="120"/>
      <c r="O35" s="99"/>
      <c r="P35" s="92"/>
    </row>
    <row r="36" ht="18.75" customHeight="1" outlineLevel="1">
      <c r="A36" s="100"/>
      <c r="B36" s="92"/>
      <c r="C36" s="93"/>
      <c r="D36" s="120"/>
      <c r="E36" s="114"/>
      <c r="F36" s="115"/>
      <c r="G36" s="116"/>
      <c r="H36" s="117"/>
      <c r="I36" s="118"/>
      <c r="J36" s="119"/>
      <c r="K36" s="119"/>
      <c r="L36" s="119"/>
      <c r="M36" s="120"/>
      <c r="N36" s="120"/>
      <c r="O36" s="99"/>
      <c r="P36" s="92"/>
    </row>
    <row r="37" ht="18.75" customHeight="1" outlineLevel="1">
      <c r="A37" s="100"/>
      <c r="B37" s="92"/>
      <c r="C37" s="93"/>
      <c r="D37" s="120"/>
      <c r="E37" s="114"/>
      <c r="F37" s="115"/>
      <c r="G37" s="116"/>
      <c r="H37" s="117"/>
      <c r="I37" s="118"/>
      <c r="J37" s="119"/>
      <c r="K37" s="119"/>
      <c r="L37" s="119"/>
      <c r="M37" s="120"/>
      <c r="N37" s="120"/>
      <c r="O37" s="99"/>
      <c r="P37" s="92"/>
    </row>
    <row r="38" ht="18.75" customHeight="1" outlineLevel="1">
      <c r="A38" s="100"/>
      <c r="B38" s="92"/>
      <c r="C38" s="93"/>
      <c r="D38" s="120"/>
      <c r="E38" s="114"/>
      <c r="F38" s="115"/>
      <c r="G38" s="116"/>
      <c r="H38" s="117"/>
      <c r="I38" s="118"/>
      <c r="J38" s="119"/>
      <c r="K38" s="119"/>
      <c r="L38" s="119"/>
      <c r="M38" s="120"/>
      <c r="N38" s="120"/>
      <c r="O38" s="99"/>
      <c r="P38" s="92"/>
    </row>
    <row r="39" ht="18.75" customHeight="1" outlineLevel="1">
      <c r="A39" s="100"/>
      <c r="B39" s="92"/>
      <c r="C39" s="93"/>
      <c r="D39" s="120"/>
      <c r="E39" s="114"/>
      <c r="F39" s="115"/>
      <c r="G39" s="116"/>
      <c r="H39" s="117"/>
      <c r="I39" s="118"/>
      <c r="J39" s="119"/>
      <c r="K39" s="119"/>
      <c r="L39" s="119"/>
      <c r="M39" s="120"/>
      <c r="N39" s="120"/>
      <c r="O39" s="99"/>
      <c r="P39" s="92"/>
    </row>
    <row r="40" ht="18.75" customHeight="1" outlineLevel="1">
      <c r="A40" s="100"/>
      <c r="B40" s="92"/>
      <c r="C40" s="93"/>
      <c r="D40" s="120"/>
      <c r="E40" s="114"/>
      <c r="F40" s="115"/>
      <c r="G40" s="116"/>
      <c r="H40" s="117"/>
      <c r="I40" s="118"/>
      <c r="J40" s="119"/>
      <c r="K40" s="119"/>
      <c r="L40" s="119"/>
      <c r="M40" s="120"/>
      <c r="N40" s="120"/>
      <c r="O40" s="99"/>
      <c r="P40" s="92"/>
    </row>
    <row r="41" ht="18.75" customHeight="1" outlineLevel="1">
      <c r="A41" s="121"/>
      <c r="B41" s="88"/>
      <c r="C41" s="89"/>
      <c r="D41" s="122"/>
      <c r="E41" s="123"/>
      <c r="F41" s="124"/>
      <c r="G41" s="125"/>
      <c r="H41" s="126"/>
      <c r="I41" s="127"/>
      <c r="J41" s="126"/>
      <c r="K41" s="125"/>
      <c r="L41" s="126"/>
      <c r="M41" s="125"/>
      <c r="N41" s="122"/>
      <c r="O41" s="89"/>
      <c r="P41" s="128"/>
    </row>
    <row r="42" ht="18.75" customHeight="1" outlineLevel="1">
      <c r="A42" s="121"/>
      <c r="B42" s="88"/>
      <c r="C42" s="89"/>
      <c r="D42" s="122"/>
      <c r="E42" s="123"/>
      <c r="F42" s="129"/>
      <c r="G42" s="125"/>
      <c r="H42" s="126"/>
      <c r="I42" s="127"/>
      <c r="J42" s="126"/>
      <c r="K42" s="125"/>
      <c r="L42" s="126"/>
      <c r="M42" s="125"/>
      <c r="N42" s="122"/>
      <c r="O42" s="89"/>
      <c r="P42" s="128"/>
    </row>
    <row r="43" ht="18.75" customHeight="1" outlineLevel="1">
      <c r="A43" s="121"/>
      <c r="B43" s="88"/>
      <c r="C43" s="89"/>
      <c r="D43" s="122"/>
      <c r="E43" s="123"/>
      <c r="F43" s="124"/>
      <c r="G43" s="125"/>
      <c r="H43" s="126"/>
      <c r="I43" s="127"/>
      <c r="J43" s="126"/>
      <c r="K43" s="125"/>
      <c r="L43" s="126"/>
      <c r="M43" s="125"/>
      <c r="N43" s="122"/>
      <c r="O43" s="89"/>
      <c r="P43" s="128"/>
    </row>
    <row r="44" ht="18.75" customHeight="1" outlineLevel="1">
      <c r="A44" s="121"/>
      <c r="B44" s="88"/>
      <c r="C44" s="89"/>
      <c r="D44" s="122"/>
      <c r="E44" s="123"/>
      <c r="F44" s="124"/>
      <c r="G44" s="125"/>
      <c r="H44" s="126"/>
      <c r="I44" s="127"/>
      <c r="J44" s="126"/>
      <c r="K44" s="125"/>
      <c r="L44" s="126"/>
      <c r="M44" s="125"/>
      <c r="N44" s="122"/>
      <c r="O44" s="89"/>
      <c r="P44" s="128"/>
    </row>
    <row r="45" ht="18.75" customHeight="1" outlineLevel="1">
      <c r="A45" s="121"/>
      <c r="B45" s="88"/>
      <c r="C45" s="89"/>
      <c r="D45" s="122"/>
      <c r="E45" s="123"/>
      <c r="F45" s="124"/>
      <c r="G45" s="125"/>
      <c r="H45" s="126"/>
      <c r="I45" s="127"/>
      <c r="J45" s="126"/>
      <c r="K45" s="125"/>
      <c r="L45" s="126"/>
      <c r="M45" s="125"/>
      <c r="N45" s="122"/>
      <c r="O45" s="89"/>
      <c r="P45" s="128"/>
    </row>
    <row r="46" ht="18.75" customHeight="1" outlineLevel="1">
      <c r="A46" s="121"/>
      <c r="B46" s="88"/>
      <c r="C46" s="89"/>
      <c r="D46" s="122"/>
      <c r="E46" s="123"/>
      <c r="F46" s="124"/>
      <c r="G46" s="125"/>
      <c r="H46" s="126"/>
      <c r="I46" s="127"/>
      <c r="J46" s="126"/>
      <c r="K46" s="125"/>
      <c r="L46" s="126"/>
      <c r="M46" s="125"/>
      <c r="N46" s="122"/>
      <c r="O46" s="89"/>
      <c r="P46" s="128"/>
    </row>
    <row r="47" ht="18.75" customHeight="1" outlineLevel="1">
      <c r="A47" s="121"/>
      <c r="B47" s="88"/>
      <c r="C47" s="89"/>
      <c r="D47" s="122"/>
      <c r="E47" s="123"/>
      <c r="F47" s="124"/>
      <c r="G47" s="125"/>
      <c r="H47" s="126"/>
      <c r="I47" s="127"/>
      <c r="J47" s="126"/>
      <c r="K47" s="125"/>
      <c r="L47" s="126"/>
      <c r="M47" s="125"/>
      <c r="N47" s="122"/>
      <c r="O47" s="89"/>
      <c r="P47" s="128"/>
    </row>
    <row r="48" ht="18.75" customHeight="1" outlineLevel="1">
      <c r="A48" s="121"/>
      <c r="B48" s="88"/>
      <c r="C48" s="89"/>
      <c r="D48" s="122"/>
      <c r="E48" s="123"/>
      <c r="F48" s="124"/>
      <c r="G48" s="125"/>
      <c r="H48" s="126"/>
      <c r="I48" s="127"/>
      <c r="J48" s="126"/>
      <c r="K48" s="125"/>
      <c r="L48" s="126"/>
      <c r="M48" s="125"/>
      <c r="N48" s="122"/>
      <c r="O48" s="89"/>
      <c r="P48" s="128"/>
    </row>
    <row r="49" ht="18.75" customHeight="1" outlineLevel="1">
      <c r="A49" s="121"/>
      <c r="B49" s="88"/>
      <c r="C49" s="89"/>
      <c r="D49" s="122"/>
      <c r="E49" s="123"/>
      <c r="F49" s="124"/>
      <c r="G49" s="125"/>
      <c r="H49" s="126"/>
      <c r="I49" s="127"/>
      <c r="J49" s="126"/>
      <c r="K49" s="125"/>
      <c r="L49" s="126"/>
      <c r="M49" s="125"/>
      <c r="N49" s="122"/>
      <c r="O49" s="89"/>
      <c r="P49" s="128"/>
    </row>
    <row r="50" ht="18.75" customHeight="1" outlineLevel="1">
      <c r="A50" s="121"/>
      <c r="B50" s="88"/>
      <c r="C50" s="89"/>
      <c r="D50" s="130"/>
      <c r="E50" s="131"/>
      <c r="F50" s="132"/>
      <c r="G50" s="133"/>
      <c r="H50" s="134"/>
      <c r="I50" s="135"/>
      <c r="J50" s="134"/>
      <c r="K50" s="133"/>
      <c r="L50" s="134"/>
      <c r="M50" s="133"/>
      <c r="N50" s="130"/>
      <c r="O50" s="89"/>
      <c r="P50" s="128"/>
    </row>
    <row r="51" ht="3.75" customHeight="1" outlineLevel="1">
      <c r="A51" s="121"/>
      <c r="B51" s="88"/>
      <c r="C51" s="89"/>
      <c r="D51" s="136"/>
      <c r="E51" s="137"/>
      <c r="F51" s="138"/>
      <c r="G51" s="137"/>
      <c r="H51" s="137"/>
      <c r="I51" s="139"/>
      <c r="J51" s="137"/>
      <c r="K51" s="137"/>
      <c r="L51" s="137"/>
      <c r="M51" s="137"/>
      <c r="N51" s="137"/>
      <c r="O51" s="89"/>
      <c r="P51" s="128"/>
    </row>
    <row r="52" ht="18.75" customHeight="1">
      <c r="A52" s="121"/>
      <c r="B52" s="88"/>
      <c r="C52" s="89"/>
      <c r="D52" s="89"/>
      <c r="E52" s="89"/>
      <c r="F52" s="89"/>
      <c r="G52" s="89"/>
      <c r="H52" s="89"/>
      <c r="I52" s="89"/>
      <c r="J52" s="89"/>
      <c r="K52" s="89"/>
      <c r="L52" s="89"/>
      <c r="M52" s="89"/>
      <c r="N52" s="89"/>
      <c r="O52" s="89"/>
      <c r="P52" s="128"/>
    </row>
    <row r="53" ht="22.5" customHeight="1">
      <c r="A53" s="91" t="s">
        <v>0</v>
      </c>
      <c r="B53" s="92"/>
      <c r="C53" s="93"/>
      <c r="D53" s="94" t="s">
        <v>911</v>
      </c>
      <c r="E53" s="95"/>
      <c r="F53" s="96" t="s">
        <v>906</v>
      </c>
      <c r="G53" s="97"/>
      <c r="H53" s="95"/>
      <c r="I53" s="98"/>
      <c r="J53" s="98"/>
      <c r="K53" s="93"/>
      <c r="L53" s="96" t="s">
        <v>907</v>
      </c>
      <c r="M53" s="97"/>
      <c r="N53" s="95"/>
      <c r="O53" s="99"/>
      <c r="P53" s="92"/>
    </row>
    <row r="54" ht="7.5" customHeight="1">
      <c r="A54" s="100"/>
      <c r="B54" s="92"/>
      <c r="C54" s="98"/>
      <c r="D54" s="101"/>
      <c r="E54" s="101"/>
      <c r="F54" s="101"/>
      <c r="G54" s="101"/>
      <c r="H54" s="101"/>
      <c r="I54" s="101"/>
      <c r="J54" s="101"/>
      <c r="K54" s="101"/>
      <c r="L54" s="101"/>
      <c r="M54" s="102"/>
      <c r="N54" s="101"/>
      <c r="O54" s="99"/>
      <c r="P54" s="92"/>
    </row>
    <row r="55" ht="22.5" customHeight="1" outlineLevel="1">
      <c r="A55" s="100"/>
      <c r="B55" s="92"/>
      <c r="C55" s="93"/>
      <c r="D55" s="103" t="s">
        <v>908</v>
      </c>
      <c r="E55" s="103" t="s">
        <v>48</v>
      </c>
      <c r="F55" s="103" t="s">
        <v>909</v>
      </c>
      <c r="G55" s="104" t="s">
        <v>53</v>
      </c>
      <c r="H55" s="104" t="s">
        <v>54</v>
      </c>
      <c r="I55" s="105" t="s">
        <v>55</v>
      </c>
      <c r="J55" s="104" t="s">
        <v>56</v>
      </c>
      <c r="K55" s="104" t="s">
        <v>57</v>
      </c>
      <c r="L55" s="104" t="s">
        <v>58</v>
      </c>
      <c r="M55" s="103" t="s">
        <v>60</v>
      </c>
      <c r="N55" s="106" t="s">
        <v>47</v>
      </c>
      <c r="O55" s="99"/>
      <c r="P55" s="92"/>
    </row>
    <row r="56" ht="3.75" customHeight="1" outlineLevel="1">
      <c r="A56" s="100"/>
      <c r="B56" s="92"/>
      <c r="C56" s="93"/>
      <c r="D56" s="107"/>
      <c r="E56" s="108" t="s">
        <v>0</v>
      </c>
      <c r="F56" s="109"/>
      <c r="G56" s="110"/>
      <c r="H56" s="111"/>
      <c r="I56" s="112"/>
      <c r="J56" s="111"/>
      <c r="K56" s="110"/>
      <c r="L56" s="111"/>
      <c r="M56" s="108"/>
      <c r="N56" s="109"/>
      <c r="O56" s="99"/>
      <c r="P56" s="92"/>
    </row>
    <row r="57" ht="18.75" customHeight="1" outlineLevel="1">
      <c r="A57" s="100"/>
      <c r="B57" s="92"/>
      <c r="C57" s="93"/>
      <c r="D57" s="113"/>
      <c r="E57" s="114"/>
      <c r="F57" s="115"/>
      <c r="G57" s="116"/>
      <c r="H57" s="117"/>
      <c r="I57" s="118"/>
      <c r="J57" s="119"/>
      <c r="K57" s="119"/>
      <c r="L57" s="119"/>
      <c r="M57" s="120"/>
      <c r="N57" s="120"/>
      <c r="O57" s="99"/>
      <c r="P57" s="92"/>
    </row>
    <row r="58" ht="18.75" customHeight="1" outlineLevel="1">
      <c r="A58" s="100"/>
      <c r="B58" s="92"/>
      <c r="C58" s="93"/>
      <c r="D58" s="120"/>
      <c r="E58" s="114"/>
      <c r="F58" s="115"/>
      <c r="G58" s="116"/>
      <c r="H58" s="117"/>
      <c r="I58" s="118"/>
      <c r="J58" s="119"/>
      <c r="K58" s="119"/>
      <c r="L58" s="119"/>
      <c r="M58" s="120"/>
      <c r="N58" s="120"/>
      <c r="O58" s="99"/>
      <c r="P58" s="92"/>
    </row>
    <row r="59" ht="18.75" customHeight="1" outlineLevel="1">
      <c r="A59" s="100"/>
      <c r="B59" s="92"/>
      <c r="C59" s="93"/>
      <c r="D59" s="120"/>
      <c r="E59" s="114"/>
      <c r="F59" s="115"/>
      <c r="G59" s="116"/>
      <c r="H59" s="117"/>
      <c r="I59" s="118"/>
      <c r="J59" s="119"/>
      <c r="K59" s="119"/>
      <c r="L59" s="119"/>
      <c r="M59" s="120"/>
      <c r="N59" s="120"/>
      <c r="O59" s="99"/>
      <c r="P59" s="92"/>
    </row>
    <row r="60" ht="18.75" customHeight="1" outlineLevel="1">
      <c r="A60" s="100"/>
      <c r="B60" s="92"/>
      <c r="C60" s="93"/>
      <c r="D60" s="120"/>
      <c r="E60" s="114"/>
      <c r="F60" s="115"/>
      <c r="G60" s="116"/>
      <c r="H60" s="117"/>
      <c r="I60" s="118"/>
      <c r="J60" s="119"/>
      <c r="K60" s="119"/>
      <c r="L60" s="119"/>
      <c r="M60" s="120"/>
      <c r="N60" s="120"/>
      <c r="O60" s="99"/>
      <c r="P60" s="92"/>
    </row>
    <row r="61" ht="18.75" customHeight="1" outlineLevel="1">
      <c r="A61" s="100"/>
      <c r="B61" s="92"/>
      <c r="C61" s="93"/>
      <c r="D61" s="120"/>
      <c r="E61" s="114"/>
      <c r="F61" s="115"/>
      <c r="G61" s="116"/>
      <c r="H61" s="117"/>
      <c r="I61" s="118"/>
      <c r="J61" s="119"/>
      <c r="K61" s="119"/>
      <c r="L61" s="119"/>
      <c r="M61" s="120"/>
      <c r="N61" s="120"/>
      <c r="O61" s="99"/>
      <c r="P61" s="92"/>
    </row>
    <row r="62" ht="18.75" customHeight="1" outlineLevel="1">
      <c r="A62" s="100"/>
      <c r="B62" s="92"/>
      <c r="C62" s="93"/>
      <c r="D62" s="120"/>
      <c r="E62" s="114"/>
      <c r="F62" s="115"/>
      <c r="G62" s="116"/>
      <c r="H62" s="117"/>
      <c r="I62" s="118"/>
      <c r="J62" s="119"/>
      <c r="K62" s="119"/>
      <c r="L62" s="119"/>
      <c r="M62" s="120"/>
      <c r="N62" s="120"/>
      <c r="O62" s="99"/>
      <c r="P62" s="92"/>
    </row>
    <row r="63" ht="18.75" customHeight="1" outlineLevel="1">
      <c r="A63" s="100"/>
      <c r="B63" s="92"/>
      <c r="C63" s="93"/>
      <c r="D63" s="120"/>
      <c r="E63" s="114"/>
      <c r="F63" s="115"/>
      <c r="G63" s="116"/>
      <c r="H63" s="117"/>
      <c r="I63" s="118"/>
      <c r="J63" s="119"/>
      <c r="K63" s="119"/>
      <c r="L63" s="119"/>
      <c r="M63" s="120"/>
      <c r="N63" s="120"/>
      <c r="O63" s="99"/>
      <c r="P63" s="92"/>
    </row>
    <row r="64" ht="18.75" customHeight="1" outlineLevel="1">
      <c r="A64" s="100"/>
      <c r="B64" s="92"/>
      <c r="C64" s="93"/>
      <c r="D64" s="120"/>
      <c r="E64" s="114"/>
      <c r="F64" s="115"/>
      <c r="G64" s="116"/>
      <c r="H64" s="117"/>
      <c r="I64" s="118"/>
      <c r="J64" s="119"/>
      <c r="K64" s="119"/>
      <c r="L64" s="119"/>
      <c r="M64" s="120"/>
      <c r="N64" s="120"/>
      <c r="O64" s="99"/>
      <c r="P64" s="92"/>
    </row>
    <row r="65" ht="18.75" customHeight="1" outlineLevel="1">
      <c r="A65" s="100"/>
      <c r="B65" s="92"/>
      <c r="C65" s="93"/>
      <c r="D65" s="120"/>
      <c r="E65" s="114"/>
      <c r="F65" s="115"/>
      <c r="G65" s="116"/>
      <c r="H65" s="117"/>
      <c r="I65" s="118"/>
      <c r="J65" s="119"/>
      <c r="K65" s="119"/>
      <c r="L65" s="119"/>
      <c r="M65" s="120"/>
      <c r="N65" s="120"/>
      <c r="O65" s="99"/>
      <c r="P65" s="92"/>
    </row>
    <row r="66" ht="18.75" customHeight="1" outlineLevel="1">
      <c r="A66" s="100"/>
      <c r="B66" s="92"/>
      <c r="C66" s="93"/>
      <c r="D66" s="120"/>
      <c r="E66" s="114"/>
      <c r="F66" s="115"/>
      <c r="G66" s="116"/>
      <c r="H66" s="117"/>
      <c r="I66" s="118"/>
      <c r="J66" s="119"/>
      <c r="K66" s="119"/>
      <c r="L66" s="119"/>
      <c r="M66" s="120"/>
      <c r="N66" s="120"/>
      <c r="O66" s="99"/>
      <c r="P66" s="92"/>
    </row>
    <row r="67" ht="18.75" customHeight="1" outlineLevel="1">
      <c r="A67" s="121"/>
      <c r="B67" s="88"/>
      <c r="C67" s="89"/>
      <c r="D67" s="122"/>
      <c r="E67" s="123"/>
      <c r="F67" s="124"/>
      <c r="G67" s="125"/>
      <c r="H67" s="126"/>
      <c r="I67" s="127"/>
      <c r="J67" s="126"/>
      <c r="K67" s="125"/>
      <c r="L67" s="126"/>
      <c r="M67" s="125"/>
      <c r="N67" s="122"/>
      <c r="O67" s="89"/>
      <c r="P67" s="128"/>
    </row>
    <row r="68" ht="18.75" customHeight="1" outlineLevel="1">
      <c r="A68" s="121"/>
      <c r="B68" s="88"/>
      <c r="C68" s="89"/>
      <c r="D68" s="122"/>
      <c r="E68" s="123"/>
      <c r="F68" s="129"/>
      <c r="G68" s="125"/>
      <c r="H68" s="126"/>
      <c r="I68" s="127"/>
      <c r="J68" s="126"/>
      <c r="K68" s="125"/>
      <c r="L68" s="126"/>
      <c r="M68" s="125"/>
      <c r="N68" s="122"/>
      <c r="O68" s="89"/>
      <c r="P68" s="128"/>
    </row>
    <row r="69" ht="18.75" customHeight="1" outlineLevel="1">
      <c r="A69" s="121"/>
      <c r="B69" s="88"/>
      <c r="C69" s="89"/>
      <c r="D69" s="122"/>
      <c r="E69" s="123"/>
      <c r="F69" s="124"/>
      <c r="G69" s="125"/>
      <c r="H69" s="126"/>
      <c r="I69" s="127"/>
      <c r="J69" s="126"/>
      <c r="K69" s="125"/>
      <c r="L69" s="126"/>
      <c r="M69" s="125"/>
      <c r="N69" s="122"/>
      <c r="O69" s="89"/>
      <c r="P69" s="128"/>
    </row>
    <row r="70" ht="18.75" customHeight="1" outlineLevel="1">
      <c r="A70" s="121"/>
      <c r="B70" s="88"/>
      <c r="C70" s="89"/>
      <c r="D70" s="122"/>
      <c r="E70" s="123"/>
      <c r="F70" s="124"/>
      <c r="G70" s="125"/>
      <c r="H70" s="126"/>
      <c r="I70" s="127"/>
      <c r="J70" s="126"/>
      <c r="K70" s="125"/>
      <c r="L70" s="126"/>
      <c r="M70" s="125"/>
      <c r="N70" s="122"/>
      <c r="O70" s="89"/>
      <c r="P70" s="128"/>
    </row>
    <row r="71" ht="18.75" customHeight="1" outlineLevel="1">
      <c r="A71" s="121"/>
      <c r="B71" s="88"/>
      <c r="C71" s="89"/>
      <c r="D71" s="122"/>
      <c r="E71" s="123"/>
      <c r="F71" s="124"/>
      <c r="G71" s="125"/>
      <c r="H71" s="126"/>
      <c r="I71" s="127"/>
      <c r="J71" s="126"/>
      <c r="K71" s="125"/>
      <c r="L71" s="126"/>
      <c r="M71" s="125"/>
      <c r="N71" s="122"/>
      <c r="O71" s="89"/>
      <c r="P71" s="128"/>
    </row>
    <row r="72" ht="18.75" customHeight="1" outlineLevel="1">
      <c r="A72" s="121"/>
      <c r="B72" s="88"/>
      <c r="C72" s="89"/>
      <c r="D72" s="122"/>
      <c r="E72" s="123"/>
      <c r="F72" s="124"/>
      <c r="G72" s="125"/>
      <c r="H72" s="126"/>
      <c r="I72" s="127"/>
      <c r="J72" s="126"/>
      <c r="K72" s="125"/>
      <c r="L72" s="126"/>
      <c r="M72" s="125"/>
      <c r="N72" s="122"/>
      <c r="O72" s="89"/>
      <c r="P72" s="128"/>
    </row>
    <row r="73" ht="18.75" customHeight="1" outlineLevel="1">
      <c r="A73" s="121"/>
      <c r="B73" s="88"/>
      <c r="C73" s="89"/>
      <c r="D73" s="122"/>
      <c r="E73" s="123"/>
      <c r="F73" s="124"/>
      <c r="G73" s="125"/>
      <c r="H73" s="126"/>
      <c r="I73" s="127"/>
      <c r="J73" s="126"/>
      <c r="K73" s="125"/>
      <c r="L73" s="126"/>
      <c r="M73" s="125"/>
      <c r="N73" s="122"/>
      <c r="O73" s="89"/>
      <c r="P73" s="128"/>
    </row>
    <row r="74" ht="18.75" customHeight="1" outlineLevel="1">
      <c r="A74" s="121"/>
      <c r="B74" s="88"/>
      <c r="C74" s="89"/>
      <c r="D74" s="122"/>
      <c r="E74" s="123"/>
      <c r="F74" s="124"/>
      <c r="G74" s="125"/>
      <c r="H74" s="126"/>
      <c r="I74" s="127"/>
      <c r="J74" s="126"/>
      <c r="K74" s="125"/>
      <c r="L74" s="126"/>
      <c r="M74" s="125"/>
      <c r="N74" s="122"/>
      <c r="O74" s="89"/>
      <c r="P74" s="128"/>
    </row>
    <row r="75" ht="18.75" customHeight="1" outlineLevel="1">
      <c r="A75" s="121"/>
      <c r="B75" s="88"/>
      <c r="C75" s="89"/>
      <c r="D75" s="122"/>
      <c r="E75" s="123"/>
      <c r="F75" s="124"/>
      <c r="G75" s="125"/>
      <c r="H75" s="126"/>
      <c r="I75" s="127"/>
      <c r="J75" s="126"/>
      <c r="K75" s="125"/>
      <c r="L75" s="126"/>
      <c r="M75" s="125"/>
      <c r="N75" s="122"/>
      <c r="O75" s="89"/>
      <c r="P75" s="128"/>
    </row>
    <row r="76" ht="18.75" customHeight="1" outlineLevel="1">
      <c r="A76" s="121"/>
      <c r="B76" s="88"/>
      <c r="C76" s="89"/>
      <c r="D76" s="130"/>
      <c r="E76" s="131"/>
      <c r="F76" s="132"/>
      <c r="G76" s="133"/>
      <c r="H76" s="134"/>
      <c r="I76" s="135"/>
      <c r="J76" s="134"/>
      <c r="K76" s="133"/>
      <c r="L76" s="134"/>
      <c r="M76" s="133"/>
      <c r="N76" s="130"/>
      <c r="O76" s="89"/>
      <c r="P76" s="128"/>
    </row>
    <row r="77" ht="3.75" customHeight="1" outlineLevel="1">
      <c r="A77" s="121"/>
      <c r="B77" s="88"/>
      <c r="C77" s="89"/>
      <c r="D77" s="136"/>
      <c r="E77" s="137"/>
      <c r="F77" s="138"/>
      <c r="G77" s="137"/>
      <c r="H77" s="137"/>
      <c r="I77" s="139"/>
      <c r="J77" s="137"/>
      <c r="K77" s="137"/>
      <c r="L77" s="137"/>
      <c r="M77" s="137"/>
      <c r="N77" s="137"/>
      <c r="O77" s="89"/>
      <c r="P77" s="128"/>
    </row>
    <row r="78" ht="18.75" customHeight="1">
      <c r="A78" s="121"/>
      <c r="B78" s="88"/>
      <c r="C78" s="89"/>
      <c r="D78" s="89"/>
      <c r="E78" s="89"/>
      <c r="F78" s="89"/>
      <c r="G78" s="89"/>
      <c r="H78" s="89"/>
      <c r="I78" s="89"/>
      <c r="J78" s="89"/>
      <c r="K78" s="89"/>
      <c r="L78" s="89"/>
      <c r="M78" s="89"/>
      <c r="N78" s="89"/>
      <c r="O78" s="89"/>
      <c r="P78" s="88"/>
    </row>
    <row r="79" ht="22.5" customHeight="1">
      <c r="A79" s="91" t="s">
        <v>0</v>
      </c>
      <c r="B79" s="92"/>
      <c r="C79" s="93"/>
      <c r="D79" s="94" t="s">
        <v>912</v>
      </c>
      <c r="E79" s="95"/>
      <c r="F79" s="96" t="s">
        <v>906</v>
      </c>
      <c r="G79" s="97"/>
      <c r="H79" s="95"/>
      <c r="I79" s="98"/>
      <c r="J79" s="98"/>
      <c r="K79" s="93"/>
      <c r="L79" s="96" t="s">
        <v>907</v>
      </c>
      <c r="M79" s="97"/>
      <c r="N79" s="95"/>
      <c r="O79" s="99"/>
      <c r="P79" s="92"/>
    </row>
    <row r="80" ht="7.5" customHeight="1">
      <c r="A80" s="100"/>
      <c r="B80" s="92"/>
      <c r="C80" s="98"/>
      <c r="D80" s="101"/>
      <c r="E80" s="101"/>
      <c r="F80" s="101"/>
      <c r="G80" s="101"/>
      <c r="H80" s="101"/>
      <c r="I80" s="101"/>
      <c r="J80" s="101"/>
      <c r="K80" s="101"/>
      <c r="L80" s="101"/>
      <c r="M80" s="102"/>
      <c r="N80" s="101"/>
      <c r="O80" s="99"/>
      <c r="P80" s="92"/>
    </row>
    <row r="81" ht="22.5" customHeight="1" outlineLevel="1">
      <c r="A81" s="100"/>
      <c r="B81" s="92"/>
      <c r="C81" s="93"/>
      <c r="D81" s="103" t="s">
        <v>908</v>
      </c>
      <c r="E81" s="103" t="s">
        <v>48</v>
      </c>
      <c r="F81" s="103" t="s">
        <v>909</v>
      </c>
      <c r="G81" s="104" t="s">
        <v>53</v>
      </c>
      <c r="H81" s="104" t="s">
        <v>54</v>
      </c>
      <c r="I81" s="105" t="s">
        <v>55</v>
      </c>
      <c r="J81" s="104" t="s">
        <v>56</v>
      </c>
      <c r="K81" s="104" t="s">
        <v>57</v>
      </c>
      <c r="L81" s="104" t="s">
        <v>58</v>
      </c>
      <c r="M81" s="103" t="s">
        <v>60</v>
      </c>
      <c r="N81" s="106" t="s">
        <v>47</v>
      </c>
      <c r="O81" s="99"/>
      <c r="P81" s="92"/>
    </row>
    <row r="82" ht="3.75" customHeight="1" outlineLevel="1">
      <c r="A82" s="100"/>
      <c r="B82" s="92"/>
      <c r="C82" s="93"/>
      <c r="D82" s="107"/>
      <c r="E82" s="108" t="s">
        <v>0</v>
      </c>
      <c r="F82" s="109"/>
      <c r="G82" s="110"/>
      <c r="H82" s="111"/>
      <c r="I82" s="112"/>
      <c r="J82" s="111"/>
      <c r="K82" s="110"/>
      <c r="L82" s="111"/>
      <c r="M82" s="108"/>
      <c r="N82" s="109"/>
      <c r="O82" s="99"/>
      <c r="P82" s="92"/>
    </row>
    <row r="83" ht="18.75" customHeight="1" outlineLevel="1">
      <c r="A83" s="100"/>
      <c r="B83" s="92"/>
      <c r="C83" s="93"/>
      <c r="D83" s="113"/>
      <c r="E83" s="114"/>
      <c r="F83" s="115"/>
      <c r="G83" s="116"/>
      <c r="H83" s="117"/>
      <c r="I83" s="118"/>
      <c r="J83" s="119"/>
      <c r="K83" s="119"/>
      <c r="L83" s="119"/>
      <c r="M83" s="120"/>
      <c r="N83" s="120"/>
      <c r="O83" s="99"/>
      <c r="P83" s="92"/>
    </row>
    <row r="84" ht="18.75" customHeight="1" outlineLevel="1">
      <c r="A84" s="100"/>
      <c r="B84" s="92"/>
      <c r="C84" s="93"/>
      <c r="D84" s="120"/>
      <c r="E84" s="114"/>
      <c r="F84" s="115"/>
      <c r="G84" s="116"/>
      <c r="H84" s="117"/>
      <c r="I84" s="118"/>
      <c r="J84" s="119"/>
      <c r="K84" s="119"/>
      <c r="L84" s="119"/>
      <c r="M84" s="120"/>
      <c r="N84" s="120"/>
      <c r="O84" s="99"/>
      <c r="P84" s="92"/>
    </row>
    <row r="85" ht="18.75" customHeight="1" outlineLevel="1">
      <c r="A85" s="100"/>
      <c r="B85" s="92"/>
      <c r="C85" s="93"/>
      <c r="D85" s="120"/>
      <c r="E85" s="114"/>
      <c r="F85" s="115"/>
      <c r="G85" s="116"/>
      <c r="H85" s="117"/>
      <c r="I85" s="118"/>
      <c r="J85" s="119"/>
      <c r="K85" s="119"/>
      <c r="L85" s="119"/>
      <c r="M85" s="120"/>
      <c r="N85" s="120"/>
      <c r="O85" s="99"/>
      <c r="P85" s="92"/>
    </row>
    <row r="86" ht="18.75" customHeight="1" outlineLevel="1">
      <c r="A86" s="100"/>
      <c r="B86" s="92"/>
      <c r="C86" s="93"/>
      <c r="D86" s="120"/>
      <c r="E86" s="114"/>
      <c r="F86" s="115"/>
      <c r="G86" s="116"/>
      <c r="H86" s="117"/>
      <c r="I86" s="118"/>
      <c r="J86" s="119"/>
      <c r="K86" s="119"/>
      <c r="L86" s="119"/>
      <c r="M86" s="120"/>
      <c r="N86" s="120"/>
      <c r="O86" s="99"/>
      <c r="P86" s="92"/>
    </row>
    <row r="87" ht="18.75" customHeight="1" outlineLevel="1">
      <c r="A87" s="100"/>
      <c r="B87" s="92"/>
      <c r="C87" s="93"/>
      <c r="D87" s="120"/>
      <c r="E87" s="114"/>
      <c r="F87" s="115"/>
      <c r="G87" s="116"/>
      <c r="H87" s="117"/>
      <c r="I87" s="118"/>
      <c r="J87" s="119"/>
      <c r="K87" s="119"/>
      <c r="L87" s="119"/>
      <c r="M87" s="120"/>
      <c r="N87" s="120"/>
      <c r="O87" s="99"/>
      <c r="P87" s="92"/>
    </row>
    <row r="88" ht="18.75" customHeight="1" outlineLevel="1">
      <c r="A88" s="100"/>
      <c r="B88" s="92"/>
      <c r="C88" s="93"/>
      <c r="D88" s="120"/>
      <c r="E88" s="114"/>
      <c r="F88" s="115"/>
      <c r="G88" s="116"/>
      <c r="H88" s="117"/>
      <c r="I88" s="118"/>
      <c r="J88" s="119"/>
      <c r="K88" s="119"/>
      <c r="L88" s="119"/>
      <c r="M88" s="120"/>
      <c r="N88" s="120"/>
      <c r="O88" s="99"/>
      <c r="P88" s="92"/>
    </row>
    <row r="89" ht="18.75" customHeight="1" outlineLevel="1">
      <c r="A89" s="100"/>
      <c r="B89" s="92"/>
      <c r="C89" s="93"/>
      <c r="D89" s="120"/>
      <c r="E89" s="114"/>
      <c r="F89" s="115"/>
      <c r="G89" s="116"/>
      <c r="H89" s="117"/>
      <c r="I89" s="118"/>
      <c r="J89" s="119"/>
      <c r="K89" s="119"/>
      <c r="L89" s="119"/>
      <c r="M89" s="120"/>
      <c r="N89" s="120"/>
      <c r="O89" s="99"/>
      <c r="P89" s="92"/>
    </row>
    <row r="90" ht="18.75" customHeight="1" outlineLevel="1">
      <c r="A90" s="100"/>
      <c r="B90" s="92"/>
      <c r="C90" s="93"/>
      <c r="D90" s="120"/>
      <c r="E90" s="114"/>
      <c r="F90" s="115"/>
      <c r="G90" s="116"/>
      <c r="H90" s="117"/>
      <c r="I90" s="118"/>
      <c r="J90" s="119"/>
      <c r="K90" s="119"/>
      <c r="L90" s="119"/>
      <c r="M90" s="120"/>
      <c r="N90" s="120"/>
      <c r="O90" s="99"/>
      <c r="P90" s="92"/>
    </row>
    <row r="91" ht="18.75" customHeight="1" outlineLevel="1">
      <c r="A91" s="100"/>
      <c r="B91" s="92"/>
      <c r="C91" s="93"/>
      <c r="D91" s="120"/>
      <c r="E91" s="114"/>
      <c r="F91" s="115"/>
      <c r="G91" s="116"/>
      <c r="H91" s="117"/>
      <c r="I91" s="118"/>
      <c r="J91" s="119"/>
      <c r="K91" s="119"/>
      <c r="L91" s="119"/>
      <c r="M91" s="120"/>
      <c r="N91" s="120"/>
      <c r="O91" s="99"/>
      <c r="P91" s="92"/>
    </row>
    <row r="92" ht="18.75" customHeight="1" outlineLevel="1">
      <c r="A92" s="100"/>
      <c r="B92" s="92"/>
      <c r="C92" s="93"/>
      <c r="D92" s="120"/>
      <c r="E92" s="114"/>
      <c r="F92" s="115"/>
      <c r="G92" s="116"/>
      <c r="H92" s="117"/>
      <c r="I92" s="118"/>
      <c r="J92" s="119"/>
      <c r="K92" s="119"/>
      <c r="L92" s="119"/>
      <c r="M92" s="120"/>
      <c r="N92" s="120"/>
      <c r="O92" s="99"/>
      <c r="P92" s="92"/>
    </row>
    <row r="93" ht="18.75" customHeight="1" outlineLevel="1">
      <c r="A93" s="121"/>
      <c r="B93" s="88"/>
      <c r="C93" s="89"/>
      <c r="D93" s="122"/>
      <c r="E93" s="123"/>
      <c r="F93" s="124"/>
      <c r="G93" s="125"/>
      <c r="H93" s="126"/>
      <c r="I93" s="127"/>
      <c r="J93" s="126"/>
      <c r="K93" s="125"/>
      <c r="L93" s="126"/>
      <c r="M93" s="125"/>
      <c r="N93" s="122"/>
      <c r="O93" s="89"/>
      <c r="P93" s="128"/>
    </row>
    <row r="94" ht="18.75" customHeight="1" outlineLevel="1">
      <c r="A94" s="121"/>
      <c r="B94" s="88"/>
      <c r="C94" s="89"/>
      <c r="D94" s="122"/>
      <c r="E94" s="123"/>
      <c r="F94" s="129"/>
      <c r="G94" s="125"/>
      <c r="H94" s="126"/>
      <c r="I94" s="127"/>
      <c r="J94" s="126"/>
      <c r="K94" s="125"/>
      <c r="L94" s="126"/>
      <c r="M94" s="125"/>
      <c r="N94" s="122"/>
      <c r="O94" s="89"/>
      <c r="P94" s="128"/>
    </row>
    <row r="95" ht="18.75" customHeight="1" outlineLevel="1">
      <c r="A95" s="121"/>
      <c r="B95" s="88"/>
      <c r="C95" s="89"/>
      <c r="D95" s="122"/>
      <c r="E95" s="123"/>
      <c r="F95" s="124"/>
      <c r="G95" s="125"/>
      <c r="H95" s="126"/>
      <c r="I95" s="127"/>
      <c r="J95" s="126"/>
      <c r="K95" s="125"/>
      <c r="L95" s="126"/>
      <c r="M95" s="125"/>
      <c r="N95" s="122"/>
      <c r="O95" s="89"/>
      <c r="P95" s="128"/>
    </row>
    <row r="96" ht="18.75" customHeight="1" outlineLevel="1">
      <c r="A96" s="121"/>
      <c r="B96" s="88"/>
      <c r="C96" s="89"/>
      <c r="D96" s="122"/>
      <c r="E96" s="123"/>
      <c r="F96" s="124"/>
      <c r="G96" s="125"/>
      <c r="H96" s="126"/>
      <c r="I96" s="127"/>
      <c r="J96" s="126"/>
      <c r="K96" s="125"/>
      <c r="L96" s="126"/>
      <c r="M96" s="125"/>
      <c r="N96" s="122"/>
      <c r="O96" s="89"/>
      <c r="P96" s="128"/>
    </row>
    <row r="97" ht="18.75" customHeight="1" outlineLevel="1">
      <c r="A97" s="121"/>
      <c r="B97" s="88"/>
      <c r="C97" s="89"/>
      <c r="D97" s="122"/>
      <c r="E97" s="123"/>
      <c r="F97" s="124"/>
      <c r="G97" s="125"/>
      <c r="H97" s="126"/>
      <c r="I97" s="127"/>
      <c r="J97" s="126"/>
      <c r="K97" s="125"/>
      <c r="L97" s="126"/>
      <c r="M97" s="125"/>
      <c r="N97" s="122"/>
      <c r="O97" s="89"/>
      <c r="P97" s="128"/>
    </row>
    <row r="98" ht="18.75" customHeight="1" outlineLevel="1">
      <c r="A98" s="121"/>
      <c r="B98" s="88"/>
      <c r="C98" s="89"/>
      <c r="D98" s="122"/>
      <c r="E98" s="123"/>
      <c r="F98" s="124"/>
      <c r="G98" s="125"/>
      <c r="H98" s="126"/>
      <c r="I98" s="127"/>
      <c r="J98" s="126"/>
      <c r="K98" s="125"/>
      <c r="L98" s="126"/>
      <c r="M98" s="125"/>
      <c r="N98" s="122"/>
      <c r="O98" s="89"/>
      <c r="P98" s="128"/>
    </row>
    <row r="99" ht="18.75" customHeight="1" outlineLevel="1">
      <c r="A99" s="121"/>
      <c r="B99" s="88"/>
      <c r="C99" s="89"/>
      <c r="D99" s="122"/>
      <c r="E99" s="123"/>
      <c r="F99" s="124"/>
      <c r="G99" s="125"/>
      <c r="H99" s="126"/>
      <c r="I99" s="127"/>
      <c r="J99" s="126"/>
      <c r="K99" s="125"/>
      <c r="L99" s="126"/>
      <c r="M99" s="125"/>
      <c r="N99" s="122"/>
      <c r="O99" s="89"/>
      <c r="P99" s="128"/>
    </row>
    <row r="100" ht="18.75" customHeight="1" outlineLevel="1">
      <c r="A100" s="121"/>
      <c r="B100" s="88"/>
      <c r="C100" s="89"/>
      <c r="D100" s="122"/>
      <c r="E100" s="123"/>
      <c r="F100" s="124"/>
      <c r="G100" s="125"/>
      <c r="H100" s="126"/>
      <c r="I100" s="127"/>
      <c r="J100" s="126"/>
      <c r="K100" s="125"/>
      <c r="L100" s="126"/>
      <c r="M100" s="125"/>
      <c r="N100" s="122"/>
      <c r="O100" s="89"/>
      <c r="P100" s="128"/>
    </row>
    <row r="101" ht="18.75" customHeight="1" outlineLevel="1">
      <c r="A101" s="121"/>
      <c r="B101" s="88"/>
      <c r="C101" s="89"/>
      <c r="D101" s="122"/>
      <c r="E101" s="123"/>
      <c r="F101" s="124"/>
      <c r="G101" s="125"/>
      <c r="H101" s="126"/>
      <c r="I101" s="127"/>
      <c r="J101" s="126"/>
      <c r="K101" s="125"/>
      <c r="L101" s="126"/>
      <c r="M101" s="125"/>
      <c r="N101" s="122"/>
      <c r="O101" s="89"/>
      <c r="P101" s="128"/>
    </row>
    <row r="102" ht="18.75" customHeight="1" outlineLevel="1">
      <c r="A102" s="121"/>
      <c r="B102" s="88"/>
      <c r="C102" s="89"/>
      <c r="D102" s="130"/>
      <c r="E102" s="131"/>
      <c r="F102" s="132"/>
      <c r="G102" s="133"/>
      <c r="H102" s="134"/>
      <c r="I102" s="135"/>
      <c r="J102" s="134"/>
      <c r="K102" s="133"/>
      <c r="L102" s="134"/>
      <c r="M102" s="133"/>
      <c r="N102" s="130"/>
      <c r="O102" s="89"/>
      <c r="P102" s="128"/>
    </row>
    <row r="103" ht="3.75" customHeight="1" outlineLevel="1">
      <c r="A103" s="121"/>
      <c r="B103" s="88"/>
      <c r="C103" s="89"/>
      <c r="D103" s="136"/>
      <c r="E103" s="137"/>
      <c r="F103" s="138"/>
      <c r="G103" s="137"/>
      <c r="H103" s="137"/>
      <c r="I103" s="139"/>
      <c r="J103" s="137"/>
      <c r="K103" s="137"/>
      <c r="L103" s="137"/>
      <c r="M103" s="137"/>
      <c r="N103" s="137"/>
      <c r="O103" s="89"/>
      <c r="P103" s="128"/>
    </row>
    <row r="104" ht="18.75" customHeight="1">
      <c r="A104" s="121"/>
      <c r="B104" s="88"/>
      <c r="C104" s="89"/>
      <c r="D104" s="89"/>
      <c r="E104" s="89"/>
      <c r="F104" s="89"/>
      <c r="G104" s="89"/>
      <c r="H104" s="89"/>
      <c r="I104" s="89"/>
      <c r="J104" s="89"/>
      <c r="K104" s="89"/>
      <c r="L104" s="89"/>
      <c r="M104" s="89"/>
      <c r="N104" s="89"/>
      <c r="O104" s="89"/>
      <c r="P104" s="88"/>
    </row>
    <row r="105" ht="22.5" customHeight="1">
      <c r="A105" s="91" t="s">
        <v>0</v>
      </c>
      <c r="B105" s="92"/>
      <c r="C105" s="93"/>
      <c r="D105" s="94" t="s">
        <v>28</v>
      </c>
      <c r="E105" s="95"/>
      <c r="F105" s="96" t="s">
        <v>906</v>
      </c>
      <c r="G105" s="97"/>
      <c r="H105" s="95"/>
      <c r="I105" s="98"/>
      <c r="J105" s="98"/>
      <c r="K105" s="93"/>
      <c r="L105" s="96" t="s">
        <v>907</v>
      </c>
      <c r="M105" s="97"/>
      <c r="N105" s="95"/>
      <c r="O105" s="99"/>
      <c r="P105" s="92"/>
    </row>
    <row r="106" ht="7.5" customHeight="1">
      <c r="A106" s="100"/>
      <c r="B106" s="92"/>
      <c r="C106" s="98"/>
      <c r="D106" s="101"/>
      <c r="E106" s="101"/>
      <c r="F106" s="101"/>
      <c r="G106" s="101"/>
      <c r="H106" s="101"/>
      <c r="I106" s="101"/>
      <c r="J106" s="101"/>
      <c r="K106" s="101"/>
      <c r="L106" s="101"/>
      <c r="M106" s="102"/>
      <c r="N106" s="101"/>
      <c r="O106" s="99"/>
      <c r="P106" s="92"/>
    </row>
    <row r="107" ht="22.5" customHeight="1" outlineLevel="1">
      <c r="A107" s="100"/>
      <c r="B107" s="92"/>
      <c r="C107" s="93"/>
      <c r="D107" s="103" t="s">
        <v>908</v>
      </c>
      <c r="E107" s="103" t="s">
        <v>48</v>
      </c>
      <c r="F107" s="103" t="s">
        <v>909</v>
      </c>
      <c r="G107" s="104" t="s">
        <v>53</v>
      </c>
      <c r="H107" s="104" t="s">
        <v>54</v>
      </c>
      <c r="I107" s="105" t="s">
        <v>55</v>
      </c>
      <c r="J107" s="104" t="s">
        <v>56</v>
      </c>
      <c r="K107" s="104" t="s">
        <v>57</v>
      </c>
      <c r="L107" s="104" t="s">
        <v>58</v>
      </c>
      <c r="M107" s="103" t="s">
        <v>60</v>
      </c>
      <c r="N107" s="106" t="s">
        <v>47</v>
      </c>
      <c r="O107" s="99"/>
      <c r="P107" s="92"/>
    </row>
    <row r="108" ht="3.75" customHeight="1" outlineLevel="1">
      <c r="A108" s="100"/>
      <c r="B108" s="92"/>
      <c r="C108" s="93"/>
      <c r="D108" s="107"/>
      <c r="E108" s="108" t="s">
        <v>0</v>
      </c>
      <c r="F108" s="109"/>
      <c r="G108" s="110"/>
      <c r="H108" s="111"/>
      <c r="I108" s="112"/>
      <c r="J108" s="111"/>
      <c r="K108" s="110"/>
      <c r="L108" s="111"/>
      <c r="M108" s="108"/>
      <c r="N108" s="109"/>
      <c r="O108" s="99"/>
      <c r="P108" s="92"/>
    </row>
    <row r="109" ht="18.75" customHeight="1" outlineLevel="1">
      <c r="A109" s="100"/>
      <c r="B109" s="92"/>
      <c r="C109" s="93"/>
      <c r="D109" s="113"/>
      <c r="E109" s="114"/>
      <c r="F109" s="115"/>
      <c r="G109" s="116"/>
      <c r="H109" s="117"/>
      <c r="I109" s="118"/>
      <c r="J109" s="119"/>
      <c r="K109" s="119"/>
      <c r="L109" s="119"/>
      <c r="M109" s="120"/>
      <c r="N109" s="120"/>
      <c r="O109" s="99"/>
      <c r="P109" s="92"/>
    </row>
    <row r="110" ht="18.75" customHeight="1" outlineLevel="1">
      <c r="A110" s="100"/>
      <c r="B110" s="92"/>
      <c r="C110" s="93"/>
      <c r="D110" s="120"/>
      <c r="E110" s="114"/>
      <c r="F110" s="115"/>
      <c r="G110" s="116"/>
      <c r="H110" s="117"/>
      <c r="I110" s="118"/>
      <c r="J110" s="119"/>
      <c r="K110" s="119"/>
      <c r="L110" s="119"/>
      <c r="M110" s="120"/>
      <c r="N110" s="120"/>
      <c r="O110" s="99"/>
      <c r="P110" s="92"/>
    </row>
    <row r="111" ht="18.75" customHeight="1" outlineLevel="1">
      <c r="A111" s="100"/>
      <c r="B111" s="92"/>
      <c r="C111" s="93"/>
      <c r="D111" s="120"/>
      <c r="E111" s="114"/>
      <c r="F111" s="115"/>
      <c r="G111" s="116"/>
      <c r="H111" s="117"/>
      <c r="I111" s="118"/>
      <c r="J111" s="119"/>
      <c r="K111" s="119"/>
      <c r="L111" s="119"/>
      <c r="M111" s="120"/>
      <c r="N111" s="120"/>
      <c r="O111" s="99"/>
      <c r="P111" s="92"/>
    </row>
    <row r="112" ht="18.75" customHeight="1" outlineLevel="1">
      <c r="A112" s="100"/>
      <c r="B112" s="92"/>
      <c r="C112" s="93"/>
      <c r="D112" s="120"/>
      <c r="E112" s="114"/>
      <c r="F112" s="115"/>
      <c r="G112" s="116"/>
      <c r="H112" s="117"/>
      <c r="I112" s="118"/>
      <c r="J112" s="119"/>
      <c r="K112" s="119"/>
      <c r="L112" s="119"/>
      <c r="M112" s="120"/>
      <c r="N112" s="120"/>
      <c r="O112" s="99"/>
      <c r="P112" s="92"/>
    </row>
    <row r="113" ht="18.75" customHeight="1" outlineLevel="1">
      <c r="A113" s="100"/>
      <c r="B113" s="92"/>
      <c r="C113" s="93"/>
      <c r="D113" s="120"/>
      <c r="E113" s="114"/>
      <c r="F113" s="115"/>
      <c r="G113" s="116"/>
      <c r="H113" s="117"/>
      <c r="I113" s="118"/>
      <c r="J113" s="119"/>
      <c r="K113" s="119"/>
      <c r="L113" s="119"/>
      <c r="M113" s="120"/>
      <c r="N113" s="120"/>
      <c r="O113" s="99"/>
      <c r="P113" s="92"/>
    </row>
    <row r="114" ht="18.75" customHeight="1" outlineLevel="1">
      <c r="A114" s="100"/>
      <c r="B114" s="92"/>
      <c r="C114" s="93"/>
      <c r="D114" s="120"/>
      <c r="E114" s="114"/>
      <c r="F114" s="115"/>
      <c r="G114" s="116"/>
      <c r="H114" s="117"/>
      <c r="I114" s="118"/>
      <c r="J114" s="119"/>
      <c r="K114" s="119"/>
      <c r="L114" s="119"/>
      <c r="M114" s="120"/>
      <c r="N114" s="120"/>
      <c r="O114" s="99"/>
      <c r="P114" s="92"/>
    </row>
    <row r="115" ht="18.75" customHeight="1" outlineLevel="1">
      <c r="A115" s="100"/>
      <c r="B115" s="92"/>
      <c r="C115" s="93"/>
      <c r="D115" s="120"/>
      <c r="E115" s="114"/>
      <c r="F115" s="115"/>
      <c r="G115" s="116"/>
      <c r="H115" s="117"/>
      <c r="I115" s="118"/>
      <c r="J115" s="119"/>
      <c r="K115" s="119"/>
      <c r="L115" s="119"/>
      <c r="M115" s="120"/>
      <c r="N115" s="120"/>
      <c r="O115" s="99"/>
      <c r="P115" s="92"/>
    </row>
    <row r="116" ht="18.75" customHeight="1" outlineLevel="1">
      <c r="A116" s="100"/>
      <c r="B116" s="92"/>
      <c r="C116" s="93"/>
      <c r="D116" s="120"/>
      <c r="E116" s="114"/>
      <c r="F116" s="115"/>
      <c r="G116" s="116"/>
      <c r="H116" s="117"/>
      <c r="I116" s="118"/>
      <c r="J116" s="119"/>
      <c r="K116" s="119"/>
      <c r="L116" s="119"/>
      <c r="M116" s="120"/>
      <c r="N116" s="120"/>
      <c r="O116" s="99"/>
      <c r="P116" s="92"/>
    </row>
    <row r="117" ht="18.75" customHeight="1" outlineLevel="1">
      <c r="A117" s="100"/>
      <c r="B117" s="92"/>
      <c r="C117" s="93"/>
      <c r="D117" s="120"/>
      <c r="E117" s="114"/>
      <c r="F117" s="115"/>
      <c r="G117" s="116"/>
      <c r="H117" s="117"/>
      <c r="I117" s="118"/>
      <c r="J117" s="119"/>
      <c r="K117" s="119"/>
      <c r="L117" s="119"/>
      <c r="M117" s="120"/>
      <c r="N117" s="120"/>
      <c r="O117" s="99"/>
      <c r="P117" s="92"/>
    </row>
    <row r="118" ht="18.75" customHeight="1" outlineLevel="1">
      <c r="A118" s="100"/>
      <c r="B118" s="92"/>
      <c r="C118" s="93"/>
      <c r="D118" s="120"/>
      <c r="E118" s="114"/>
      <c r="F118" s="115"/>
      <c r="G118" s="116"/>
      <c r="H118" s="117"/>
      <c r="I118" s="118"/>
      <c r="J118" s="119"/>
      <c r="K118" s="119"/>
      <c r="L118" s="119"/>
      <c r="M118" s="120"/>
      <c r="N118" s="120"/>
      <c r="O118" s="99"/>
      <c r="P118" s="92"/>
    </row>
    <row r="119" ht="18.75" customHeight="1" outlineLevel="1">
      <c r="A119" s="121"/>
      <c r="B119" s="88"/>
      <c r="C119" s="89"/>
      <c r="D119" s="122"/>
      <c r="E119" s="123"/>
      <c r="F119" s="124"/>
      <c r="G119" s="125"/>
      <c r="H119" s="126"/>
      <c r="I119" s="127"/>
      <c r="J119" s="126"/>
      <c r="K119" s="125"/>
      <c r="L119" s="126"/>
      <c r="M119" s="125"/>
      <c r="N119" s="122"/>
      <c r="O119" s="89"/>
      <c r="P119" s="128"/>
    </row>
    <row r="120" ht="18.75" customHeight="1" outlineLevel="1">
      <c r="A120" s="121"/>
      <c r="B120" s="88"/>
      <c r="C120" s="89"/>
      <c r="D120" s="122"/>
      <c r="E120" s="123"/>
      <c r="F120" s="129"/>
      <c r="G120" s="125"/>
      <c r="H120" s="126"/>
      <c r="I120" s="127"/>
      <c r="J120" s="126"/>
      <c r="K120" s="125"/>
      <c r="L120" s="126"/>
      <c r="M120" s="125"/>
      <c r="N120" s="122"/>
      <c r="O120" s="89"/>
      <c r="P120" s="128"/>
    </row>
    <row r="121" ht="18.75" customHeight="1" outlineLevel="1">
      <c r="A121" s="121"/>
      <c r="B121" s="88"/>
      <c r="C121" s="89"/>
      <c r="D121" s="122"/>
      <c r="E121" s="123"/>
      <c r="F121" s="124"/>
      <c r="G121" s="125"/>
      <c r="H121" s="126"/>
      <c r="I121" s="127"/>
      <c r="J121" s="126"/>
      <c r="K121" s="125"/>
      <c r="L121" s="126"/>
      <c r="M121" s="125"/>
      <c r="N121" s="122"/>
      <c r="O121" s="89"/>
      <c r="P121" s="128"/>
    </row>
    <row r="122" ht="18.75" customHeight="1" outlineLevel="1">
      <c r="A122" s="121"/>
      <c r="B122" s="88"/>
      <c r="C122" s="89"/>
      <c r="D122" s="122"/>
      <c r="E122" s="123"/>
      <c r="F122" s="124"/>
      <c r="G122" s="125"/>
      <c r="H122" s="126"/>
      <c r="I122" s="127"/>
      <c r="J122" s="126"/>
      <c r="K122" s="125"/>
      <c r="L122" s="126"/>
      <c r="M122" s="125"/>
      <c r="N122" s="122"/>
      <c r="O122" s="89"/>
      <c r="P122" s="128"/>
    </row>
    <row r="123" ht="18.75" customHeight="1" outlineLevel="1">
      <c r="A123" s="121"/>
      <c r="B123" s="88"/>
      <c r="C123" s="89"/>
      <c r="D123" s="122"/>
      <c r="E123" s="123"/>
      <c r="F123" s="124"/>
      <c r="G123" s="125"/>
      <c r="H123" s="126"/>
      <c r="I123" s="127"/>
      <c r="J123" s="126"/>
      <c r="K123" s="125"/>
      <c r="L123" s="126"/>
      <c r="M123" s="125"/>
      <c r="N123" s="122"/>
      <c r="O123" s="89"/>
      <c r="P123" s="128"/>
    </row>
    <row r="124" ht="18.75" customHeight="1" outlineLevel="1">
      <c r="A124" s="121"/>
      <c r="B124" s="88"/>
      <c r="C124" s="89"/>
      <c r="D124" s="122"/>
      <c r="E124" s="123"/>
      <c r="F124" s="124"/>
      <c r="G124" s="125"/>
      <c r="H124" s="126"/>
      <c r="I124" s="127"/>
      <c r="J124" s="126"/>
      <c r="K124" s="125"/>
      <c r="L124" s="126"/>
      <c r="M124" s="125"/>
      <c r="N124" s="122"/>
      <c r="O124" s="89"/>
      <c r="P124" s="128"/>
    </row>
    <row r="125" ht="18.75" customHeight="1" outlineLevel="1">
      <c r="A125" s="121"/>
      <c r="B125" s="88"/>
      <c r="C125" s="89"/>
      <c r="D125" s="122"/>
      <c r="E125" s="123"/>
      <c r="F125" s="124"/>
      <c r="G125" s="125"/>
      <c r="H125" s="126"/>
      <c r="I125" s="127"/>
      <c r="J125" s="126"/>
      <c r="K125" s="125"/>
      <c r="L125" s="126"/>
      <c r="M125" s="125"/>
      <c r="N125" s="122"/>
      <c r="O125" s="89"/>
      <c r="P125" s="128"/>
    </row>
    <row r="126" ht="18.75" customHeight="1" outlineLevel="1">
      <c r="A126" s="121"/>
      <c r="B126" s="88"/>
      <c r="C126" s="89"/>
      <c r="D126" s="122"/>
      <c r="E126" s="123"/>
      <c r="F126" s="124"/>
      <c r="G126" s="125"/>
      <c r="H126" s="126"/>
      <c r="I126" s="127"/>
      <c r="J126" s="126"/>
      <c r="K126" s="125"/>
      <c r="L126" s="126"/>
      <c r="M126" s="125"/>
      <c r="N126" s="122"/>
      <c r="O126" s="89"/>
      <c r="P126" s="128"/>
    </row>
    <row r="127" ht="18.75" customHeight="1" outlineLevel="1">
      <c r="A127" s="121"/>
      <c r="B127" s="88"/>
      <c r="C127" s="89"/>
      <c r="D127" s="122"/>
      <c r="E127" s="123"/>
      <c r="F127" s="124"/>
      <c r="G127" s="125"/>
      <c r="H127" s="126"/>
      <c r="I127" s="127"/>
      <c r="J127" s="126"/>
      <c r="K127" s="125"/>
      <c r="L127" s="126"/>
      <c r="M127" s="125"/>
      <c r="N127" s="122"/>
      <c r="O127" s="89"/>
      <c r="P127" s="128"/>
    </row>
    <row r="128" ht="18.75" customHeight="1" outlineLevel="1">
      <c r="A128" s="121"/>
      <c r="B128" s="88"/>
      <c r="C128" s="89"/>
      <c r="D128" s="130"/>
      <c r="E128" s="131"/>
      <c r="F128" s="132"/>
      <c r="G128" s="133"/>
      <c r="H128" s="134"/>
      <c r="I128" s="135"/>
      <c r="J128" s="134"/>
      <c r="K128" s="133"/>
      <c r="L128" s="134"/>
      <c r="M128" s="133"/>
      <c r="N128" s="130"/>
      <c r="O128" s="89"/>
      <c r="P128" s="128"/>
    </row>
    <row r="129" ht="3.75" customHeight="1" outlineLevel="1">
      <c r="A129" s="121"/>
      <c r="B129" s="88"/>
      <c r="C129" s="89"/>
      <c r="D129" s="140"/>
      <c r="E129" s="140"/>
      <c r="F129" s="141"/>
      <c r="G129" s="140"/>
      <c r="H129" s="140"/>
      <c r="I129" s="142"/>
      <c r="J129" s="140"/>
      <c r="K129" s="140"/>
      <c r="L129" s="140"/>
      <c r="M129" s="140"/>
      <c r="N129" s="140"/>
      <c r="O129" s="89"/>
      <c r="P129" s="88"/>
    </row>
    <row r="130" ht="18.75" customHeight="1">
      <c r="A130" s="121"/>
      <c r="B130" s="88"/>
      <c r="C130" s="89"/>
      <c r="D130" s="89"/>
      <c r="E130" s="89"/>
      <c r="F130" s="89"/>
      <c r="G130" s="89"/>
      <c r="H130" s="89"/>
      <c r="I130" s="89"/>
      <c r="J130" s="89"/>
      <c r="K130" s="89"/>
      <c r="L130" s="89"/>
      <c r="M130" s="89"/>
      <c r="N130" s="89"/>
      <c r="O130" s="89"/>
      <c r="P130" s="88"/>
    </row>
    <row r="131" ht="22.5" customHeight="1">
      <c r="A131" s="143" t="s">
        <v>0</v>
      </c>
      <c r="B131" s="88"/>
      <c r="C131" s="89"/>
      <c r="D131" s="144" t="s">
        <v>25</v>
      </c>
      <c r="E131" s="95"/>
      <c r="F131" s="144" t="s">
        <v>906</v>
      </c>
      <c r="G131" s="97"/>
      <c r="H131" s="95"/>
      <c r="I131" s="89"/>
      <c r="J131" s="89"/>
      <c r="K131" s="89"/>
      <c r="L131" s="144" t="s">
        <v>907</v>
      </c>
      <c r="M131" s="97"/>
      <c r="N131" s="95"/>
      <c r="O131" s="89"/>
      <c r="P131" s="128"/>
    </row>
    <row r="132" ht="7.5" customHeight="1">
      <c r="A132" s="87"/>
      <c r="B132" s="88"/>
      <c r="C132" s="89"/>
      <c r="D132" s="89"/>
      <c r="E132" s="89"/>
      <c r="F132" s="89"/>
      <c r="G132" s="89"/>
      <c r="H132" s="89"/>
      <c r="I132" s="89"/>
      <c r="J132" s="89"/>
      <c r="K132" s="89"/>
      <c r="L132" s="89"/>
      <c r="M132" s="89"/>
      <c r="N132" s="89"/>
      <c r="O132" s="89"/>
      <c r="P132" s="128"/>
    </row>
    <row r="133" ht="22.5" customHeight="1" outlineLevel="1">
      <c r="A133" s="145"/>
      <c r="B133" s="88"/>
      <c r="C133" s="89"/>
      <c r="D133" s="146" t="s">
        <v>908</v>
      </c>
      <c r="E133" s="147" t="s">
        <v>48</v>
      </c>
      <c r="F133" s="146" t="s">
        <v>909</v>
      </c>
      <c r="G133" s="147" t="s">
        <v>53</v>
      </c>
      <c r="H133" s="148" t="s">
        <v>54</v>
      </c>
      <c r="I133" s="149" t="s">
        <v>55</v>
      </c>
      <c r="J133" s="148" t="s">
        <v>56</v>
      </c>
      <c r="K133" s="147" t="s">
        <v>57</v>
      </c>
      <c r="L133" s="148" t="s">
        <v>58</v>
      </c>
      <c r="M133" s="150" t="s">
        <v>60</v>
      </c>
      <c r="N133" s="151" t="s">
        <v>47</v>
      </c>
      <c r="O133" s="89"/>
      <c r="P133" s="128"/>
    </row>
    <row r="134" ht="3.75" customHeight="1" outlineLevel="1">
      <c r="A134" s="145"/>
      <c r="B134" s="88"/>
      <c r="C134" s="89"/>
      <c r="D134" s="152"/>
      <c r="E134" s="153" t="s">
        <v>0</v>
      </c>
      <c r="F134" s="154"/>
      <c r="G134" s="153"/>
      <c r="H134" s="155"/>
      <c r="I134" s="156"/>
      <c r="J134" s="155"/>
      <c r="K134" s="153"/>
      <c r="L134" s="155"/>
      <c r="M134" s="153"/>
      <c r="N134" s="157"/>
      <c r="O134" s="89"/>
      <c r="P134" s="128"/>
    </row>
    <row r="135" ht="18.75" customHeight="1" outlineLevel="1">
      <c r="A135" s="121"/>
      <c r="B135" s="88"/>
      <c r="C135" s="89"/>
      <c r="D135" s="158"/>
      <c r="E135" s="123"/>
      <c r="F135" s="124"/>
      <c r="G135" s="125"/>
      <c r="H135" s="126"/>
      <c r="I135" s="127"/>
      <c r="J135" s="126"/>
      <c r="K135" s="125"/>
      <c r="L135" s="126"/>
      <c r="M135" s="125"/>
      <c r="N135" s="122"/>
      <c r="O135" s="89"/>
      <c r="P135" s="128"/>
    </row>
    <row r="136" ht="18.75" customHeight="1" outlineLevel="1">
      <c r="A136" s="121"/>
      <c r="B136" s="88"/>
      <c r="C136" s="89"/>
      <c r="D136" s="122"/>
      <c r="E136" s="123"/>
      <c r="F136" s="124"/>
      <c r="G136" s="125"/>
      <c r="H136" s="126"/>
      <c r="I136" s="127"/>
      <c r="J136" s="126"/>
      <c r="K136" s="125"/>
      <c r="L136" s="126"/>
      <c r="M136" s="125"/>
      <c r="N136" s="122"/>
      <c r="O136" s="89"/>
      <c r="P136" s="128"/>
    </row>
    <row r="137" ht="18.75" customHeight="1" outlineLevel="1">
      <c r="A137" s="121"/>
      <c r="B137" s="88"/>
      <c r="C137" s="89"/>
      <c r="D137" s="122"/>
      <c r="E137" s="123"/>
      <c r="F137" s="124"/>
      <c r="G137" s="125"/>
      <c r="H137" s="126"/>
      <c r="I137" s="127"/>
      <c r="J137" s="126"/>
      <c r="K137" s="125"/>
      <c r="L137" s="126"/>
      <c r="M137" s="125"/>
      <c r="N137" s="122"/>
      <c r="O137" s="89"/>
      <c r="P137" s="128"/>
    </row>
    <row r="138" ht="18.75" customHeight="1" outlineLevel="1">
      <c r="A138" s="121"/>
      <c r="B138" s="88"/>
      <c r="C138" s="89"/>
      <c r="D138" s="122"/>
      <c r="E138" s="123"/>
      <c r="F138" s="124"/>
      <c r="G138" s="125"/>
      <c r="H138" s="126"/>
      <c r="I138" s="127"/>
      <c r="J138" s="126"/>
      <c r="K138" s="125"/>
      <c r="L138" s="126"/>
      <c r="M138" s="125"/>
      <c r="N138" s="122"/>
      <c r="O138" s="89"/>
      <c r="P138" s="128"/>
    </row>
    <row r="139" ht="18.75" customHeight="1" outlineLevel="1">
      <c r="A139" s="121"/>
      <c r="B139" s="88"/>
      <c r="C139" s="89"/>
      <c r="D139" s="122"/>
      <c r="E139" s="123"/>
      <c r="F139" s="124"/>
      <c r="G139" s="125"/>
      <c r="H139" s="126"/>
      <c r="I139" s="127"/>
      <c r="J139" s="126"/>
      <c r="K139" s="125"/>
      <c r="L139" s="126"/>
      <c r="M139" s="125"/>
      <c r="N139" s="122"/>
      <c r="O139" s="89"/>
      <c r="P139" s="128"/>
    </row>
    <row r="140" ht="18.75" customHeight="1" outlineLevel="1">
      <c r="A140" s="121"/>
      <c r="B140" s="88"/>
      <c r="C140" s="89"/>
      <c r="D140" s="122"/>
      <c r="E140" s="123"/>
      <c r="F140" s="124"/>
      <c r="G140" s="125"/>
      <c r="H140" s="126"/>
      <c r="I140" s="127"/>
      <c r="J140" s="126"/>
      <c r="K140" s="125"/>
      <c r="L140" s="126"/>
      <c r="M140" s="125"/>
      <c r="N140" s="122"/>
      <c r="O140" s="89"/>
      <c r="P140" s="128"/>
    </row>
    <row r="141" ht="18.75" customHeight="1" outlineLevel="1">
      <c r="A141" s="121"/>
      <c r="B141" s="88"/>
      <c r="C141" s="89"/>
      <c r="D141" s="122"/>
      <c r="E141" s="123"/>
      <c r="F141" s="124"/>
      <c r="G141" s="125"/>
      <c r="H141" s="126"/>
      <c r="I141" s="127"/>
      <c r="J141" s="126"/>
      <c r="K141" s="125"/>
      <c r="L141" s="126"/>
      <c r="M141" s="125"/>
      <c r="N141" s="122"/>
      <c r="O141" s="89"/>
      <c r="P141" s="128"/>
    </row>
    <row r="142" ht="18.75" customHeight="1" outlineLevel="1">
      <c r="A142" s="121"/>
      <c r="B142" s="88"/>
      <c r="C142" s="89"/>
      <c r="D142" s="122"/>
      <c r="E142" s="123"/>
      <c r="F142" s="124"/>
      <c r="G142" s="125"/>
      <c r="H142" s="126"/>
      <c r="I142" s="127"/>
      <c r="J142" s="126"/>
      <c r="K142" s="125"/>
      <c r="L142" s="126"/>
      <c r="M142" s="125"/>
      <c r="N142" s="122"/>
      <c r="O142" s="89"/>
      <c r="P142" s="128"/>
    </row>
    <row r="143" ht="18.75" customHeight="1" outlineLevel="1">
      <c r="A143" s="121"/>
      <c r="B143" s="88"/>
      <c r="C143" s="89"/>
      <c r="D143" s="122"/>
      <c r="E143" s="123"/>
      <c r="F143" s="124"/>
      <c r="G143" s="125"/>
      <c r="H143" s="126"/>
      <c r="I143" s="127"/>
      <c r="J143" s="126"/>
      <c r="K143" s="125"/>
      <c r="L143" s="126"/>
      <c r="M143" s="125"/>
      <c r="N143" s="122"/>
      <c r="O143" s="89"/>
      <c r="P143" s="128"/>
    </row>
    <row r="144" ht="18.75" customHeight="1" outlineLevel="1">
      <c r="A144" s="121"/>
      <c r="B144" s="88"/>
      <c r="C144" s="89"/>
      <c r="D144" s="122"/>
      <c r="E144" s="123"/>
      <c r="F144" s="124"/>
      <c r="G144" s="125"/>
      <c r="H144" s="126"/>
      <c r="I144" s="127"/>
      <c r="J144" s="126"/>
      <c r="K144" s="125"/>
      <c r="L144" s="126"/>
      <c r="M144" s="125"/>
      <c r="N144" s="122"/>
      <c r="O144" s="89"/>
      <c r="P144" s="128"/>
    </row>
    <row r="145" ht="18.75" customHeight="1" outlineLevel="1">
      <c r="A145" s="121"/>
      <c r="B145" s="88"/>
      <c r="C145" s="89"/>
      <c r="D145" s="122"/>
      <c r="E145" s="123"/>
      <c r="F145" s="124"/>
      <c r="G145" s="125"/>
      <c r="H145" s="126"/>
      <c r="I145" s="127"/>
      <c r="J145" s="126"/>
      <c r="K145" s="125"/>
      <c r="L145" s="126"/>
      <c r="M145" s="125"/>
      <c r="N145" s="122"/>
      <c r="O145" s="89"/>
      <c r="P145" s="128"/>
    </row>
    <row r="146" ht="18.75" customHeight="1" outlineLevel="1">
      <c r="A146" s="121"/>
      <c r="B146" s="88"/>
      <c r="C146" s="89"/>
      <c r="D146" s="122"/>
      <c r="E146" s="123"/>
      <c r="F146" s="129"/>
      <c r="G146" s="125"/>
      <c r="H146" s="126"/>
      <c r="I146" s="127"/>
      <c r="J146" s="126"/>
      <c r="K146" s="125"/>
      <c r="L146" s="126"/>
      <c r="M146" s="125"/>
      <c r="N146" s="122"/>
      <c r="O146" s="89"/>
      <c r="P146" s="128"/>
    </row>
    <row r="147" ht="18.75" customHeight="1" outlineLevel="1">
      <c r="A147" s="121"/>
      <c r="B147" s="88"/>
      <c r="C147" s="89"/>
      <c r="D147" s="122"/>
      <c r="E147" s="123"/>
      <c r="F147" s="124"/>
      <c r="G147" s="125"/>
      <c r="H147" s="126"/>
      <c r="I147" s="127"/>
      <c r="J147" s="126"/>
      <c r="K147" s="125"/>
      <c r="L147" s="126"/>
      <c r="M147" s="125"/>
      <c r="N147" s="122"/>
      <c r="O147" s="89"/>
      <c r="P147" s="128"/>
    </row>
    <row r="148" ht="18.75" customHeight="1" outlineLevel="1">
      <c r="A148" s="121"/>
      <c r="B148" s="88"/>
      <c r="C148" s="89"/>
      <c r="D148" s="122"/>
      <c r="E148" s="123"/>
      <c r="F148" s="124"/>
      <c r="G148" s="125"/>
      <c r="H148" s="126"/>
      <c r="I148" s="127"/>
      <c r="J148" s="126"/>
      <c r="K148" s="125"/>
      <c r="L148" s="126"/>
      <c r="M148" s="125"/>
      <c r="N148" s="122"/>
      <c r="O148" s="89"/>
      <c r="P148" s="128"/>
    </row>
    <row r="149" ht="18.75" customHeight="1" outlineLevel="1">
      <c r="A149" s="121"/>
      <c r="B149" s="88"/>
      <c r="C149" s="89"/>
      <c r="D149" s="122"/>
      <c r="E149" s="123"/>
      <c r="F149" s="124"/>
      <c r="G149" s="125"/>
      <c r="H149" s="126"/>
      <c r="I149" s="127"/>
      <c r="J149" s="126"/>
      <c r="K149" s="125"/>
      <c r="L149" s="126"/>
      <c r="M149" s="125"/>
      <c r="N149" s="122"/>
      <c r="O149" s="89"/>
      <c r="P149" s="128"/>
    </row>
    <row r="150" ht="18.75" customHeight="1" outlineLevel="1">
      <c r="A150" s="121"/>
      <c r="B150" s="88"/>
      <c r="C150" s="89"/>
      <c r="D150" s="122"/>
      <c r="E150" s="123"/>
      <c r="F150" s="124"/>
      <c r="G150" s="125"/>
      <c r="H150" s="126"/>
      <c r="I150" s="127"/>
      <c r="J150" s="126"/>
      <c r="K150" s="125"/>
      <c r="L150" s="126"/>
      <c r="M150" s="125"/>
      <c r="N150" s="122"/>
      <c r="O150" s="89"/>
      <c r="P150" s="128"/>
    </row>
    <row r="151" ht="18.75" customHeight="1" outlineLevel="1">
      <c r="A151" s="121"/>
      <c r="B151" s="88"/>
      <c r="C151" s="89"/>
      <c r="D151" s="122"/>
      <c r="E151" s="123"/>
      <c r="F151" s="124"/>
      <c r="G151" s="125"/>
      <c r="H151" s="126"/>
      <c r="I151" s="127"/>
      <c r="J151" s="126"/>
      <c r="K151" s="125"/>
      <c r="L151" s="126"/>
      <c r="M151" s="125"/>
      <c r="N151" s="122"/>
      <c r="O151" s="89"/>
      <c r="P151" s="128"/>
    </row>
    <row r="152" ht="18.75" customHeight="1" outlineLevel="1">
      <c r="A152" s="121"/>
      <c r="B152" s="88"/>
      <c r="C152" s="89"/>
      <c r="D152" s="122"/>
      <c r="E152" s="123"/>
      <c r="F152" s="124"/>
      <c r="G152" s="125"/>
      <c r="H152" s="126"/>
      <c r="I152" s="127"/>
      <c r="J152" s="126"/>
      <c r="K152" s="125"/>
      <c r="L152" s="126"/>
      <c r="M152" s="125"/>
      <c r="N152" s="122"/>
      <c r="O152" s="89"/>
      <c r="P152" s="128"/>
    </row>
    <row r="153" ht="18.75" customHeight="1" outlineLevel="1">
      <c r="A153" s="121"/>
      <c r="B153" s="88"/>
      <c r="C153" s="89"/>
      <c r="D153" s="122"/>
      <c r="E153" s="123"/>
      <c r="F153" s="124"/>
      <c r="G153" s="125"/>
      <c r="H153" s="126"/>
      <c r="I153" s="127"/>
      <c r="J153" s="126"/>
      <c r="K153" s="125"/>
      <c r="L153" s="126"/>
      <c r="M153" s="125"/>
      <c r="N153" s="122"/>
      <c r="O153" s="89"/>
      <c r="P153" s="128"/>
    </row>
    <row r="154" ht="18.75" customHeight="1" outlineLevel="1">
      <c r="A154" s="121"/>
      <c r="B154" s="88"/>
      <c r="C154" s="89"/>
      <c r="D154" s="130"/>
      <c r="E154" s="131"/>
      <c r="F154" s="132"/>
      <c r="G154" s="133"/>
      <c r="H154" s="134"/>
      <c r="I154" s="135"/>
      <c r="J154" s="134"/>
      <c r="K154" s="133"/>
      <c r="L154" s="134"/>
      <c r="M154" s="133"/>
      <c r="N154" s="130"/>
      <c r="O154" s="89"/>
      <c r="P154" s="128"/>
    </row>
    <row r="155" ht="3.75" customHeight="1" outlineLevel="1">
      <c r="A155" s="121"/>
      <c r="B155" s="88"/>
      <c r="C155" s="89"/>
      <c r="D155" s="140"/>
      <c r="E155" s="140"/>
      <c r="F155" s="141"/>
      <c r="G155" s="140"/>
      <c r="H155" s="140"/>
      <c r="I155" s="142"/>
      <c r="J155" s="140"/>
      <c r="K155" s="140"/>
      <c r="L155" s="140"/>
      <c r="M155" s="140"/>
      <c r="N155" s="140"/>
      <c r="O155" s="89"/>
      <c r="P155" s="88"/>
    </row>
    <row r="156" ht="18.75" customHeight="1">
      <c r="A156" s="121"/>
      <c r="B156" s="88"/>
      <c r="C156" s="89"/>
      <c r="D156" s="89"/>
      <c r="E156" s="89"/>
      <c r="F156" s="89" t="s">
        <v>0</v>
      </c>
      <c r="G156" s="89"/>
      <c r="H156" s="89"/>
      <c r="I156" s="89"/>
      <c r="J156" s="89"/>
      <c r="K156" s="89"/>
      <c r="L156" s="89"/>
      <c r="M156" s="89"/>
      <c r="N156" s="89"/>
      <c r="O156" s="89"/>
      <c r="P156" s="88"/>
    </row>
    <row r="157" ht="22.5" customHeight="1">
      <c r="A157" s="143" t="s">
        <v>0</v>
      </c>
      <c r="B157" s="88"/>
      <c r="C157" s="89"/>
      <c r="D157" s="144" t="s">
        <v>18</v>
      </c>
      <c r="E157" s="95"/>
      <c r="F157" s="144" t="s">
        <v>906</v>
      </c>
      <c r="G157" s="97"/>
      <c r="H157" s="95"/>
      <c r="I157" s="89"/>
      <c r="J157" s="89"/>
      <c r="K157" s="89"/>
      <c r="L157" s="144" t="s">
        <v>907</v>
      </c>
      <c r="M157" s="97"/>
      <c r="N157" s="95"/>
      <c r="O157" s="89"/>
      <c r="P157" s="128"/>
    </row>
    <row r="158" ht="7.5" customHeight="1">
      <c r="A158" s="87"/>
      <c r="B158" s="88"/>
      <c r="C158" s="89"/>
      <c r="D158" s="89"/>
      <c r="E158" s="89"/>
      <c r="F158" s="89"/>
      <c r="G158" s="89"/>
      <c r="H158" s="89"/>
      <c r="I158" s="89"/>
      <c r="J158" s="89"/>
      <c r="K158" s="89"/>
      <c r="L158" s="89"/>
      <c r="M158" s="89"/>
      <c r="N158" s="89"/>
      <c r="O158" s="89"/>
      <c r="P158" s="128"/>
    </row>
    <row r="159" ht="22.5" customHeight="1" outlineLevel="1">
      <c r="A159" s="145"/>
      <c r="B159" s="88"/>
      <c r="C159" s="89"/>
      <c r="D159" s="146" t="s">
        <v>908</v>
      </c>
      <c r="E159" s="147" t="s">
        <v>48</v>
      </c>
      <c r="F159" s="146" t="s">
        <v>909</v>
      </c>
      <c r="G159" s="147" t="s">
        <v>53</v>
      </c>
      <c r="H159" s="148" t="s">
        <v>54</v>
      </c>
      <c r="I159" s="149" t="s">
        <v>55</v>
      </c>
      <c r="J159" s="148" t="s">
        <v>56</v>
      </c>
      <c r="K159" s="147" t="s">
        <v>57</v>
      </c>
      <c r="L159" s="148" t="s">
        <v>58</v>
      </c>
      <c r="M159" s="150" t="s">
        <v>60</v>
      </c>
      <c r="N159" s="151" t="s">
        <v>47</v>
      </c>
      <c r="O159" s="89"/>
      <c r="P159" s="128"/>
    </row>
    <row r="160" ht="3.75" customHeight="1" outlineLevel="1">
      <c r="A160" s="145"/>
      <c r="B160" s="88"/>
      <c r="C160" s="89"/>
      <c r="D160" s="152"/>
      <c r="E160" s="153" t="s">
        <v>0</v>
      </c>
      <c r="F160" s="154"/>
      <c r="G160" s="153"/>
      <c r="H160" s="155"/>
      <c r="I160" s="156"/>
      <c r="J160" s="155"/>
      <c r="K160" s="153"/>
      <c r="L160" s="155"/>
      <c r="M160" s="153"/>
      <c r="N160" s="157"/>
      <c r="O160" s="89"/>
      <c r="P160" s="128"/>
    </row>
    <row r="161" ht="18.75" customHeight="1" outlineLevel="1">
      <c r="A161" s="121"/>
      <c r="B161" s="88"/>
      <c r="C161" s="89"/>
      <c r="D161" s="158"/>
      <c r="E161" s="123"/>
      <c r="F161" s="124"/>
      <c r="G161" s="125"/>
      <c r="H161" s="126"/>
      <c r="I161" s="127"/>
      <c r="J161" s="126"/>
      <c r="K161" s="125"/>
      <c r="L161" s="126"/>
      <c r="M161" s="125"/>
      <c r="N161" s="122"/>
      <c r="O161" s="89"/>
      <c r="P161" s="128"/>
    </row>
    <row r="162" ht="18.75" customHeight="1" outlineLevel="1">
      <c r="A162" s="121"/>
      <c r="B162" s="88"/>
      <c r="C162" s="89"/>
      <c r="D162" s="122"/>
      <c r="E162" s="123"/>
      <c r="F162" s="124"/>
      <c r="G162" s="125"/>
      <c r="H162" s="126"/>
      <c r="I162" s="127"/>
      <c r="J162" s="126"/>
      <c r="K162" s="125"/>
      <c r="L162" s="126"/>
      <c r="M162" s="125"/>
      <c r="N162" s="122"/>
      <c r="O162" s="89"/>
      <c r="P162" s="128"/>
    </row>
    <row r="163" ht="18.75" customHeight="1" outlineLevel="1">
      <c r="A163" s="121"/>
      <c r="B163" s="88"/>
      <c r="C163" s="89"/>
      <c r="D163" s="122"/>
      <c r="E163" s="123"/>
      <c r="F163" s="124"/>
      <c r="G163" s="125"/>
      <c r="H163" s="126"/>
      <c r="I163" s="127"/>
      <c r="J163" s="126"/>
      <c r="K163" s="125"/>
      <c r="L163" s="126"/>
      <c r="M163" s="125"/>
      <c r="N163" s="122"/>
      <c r="O163" s="89"/>
      <c r="P163" s="128"/>
    </row>
    <row r="164" ht="18.75" customHeight="1" outlineLevel="1">
      <c r="A164" s="121"/>
      <c r="B164" s="88"/>
      <c r="C164" s="89"/>
      <c r="D164" s="122"/>
      <c r="E164" s="123"/>
      <c r="F164" s="124"/>
      <c r="G164" s="125"/>
      <c r="H164" s="126"/>
      <c r="I164" s="127"/>
      <c r="J164" s="126"/>
      <c r="K164" s="125"/>
      <c r="L164" s="126"/>
      <c r="M164" s="125"/>
      <c r="N164" s="122"/>
      <c r="O164" s="89"/>
      <c r="P164" s="128"/>
    </row>
    <row r="165" ht="18.75" customHeight="1" outlineLevel="1">
      <c r="A165" s="121"/>
      <c r="B165" s="88"/>
      <c r="C165" s="89"/>
      <c r="D165" s="122"/>
      <c r="E165" s="123"/>
      <c r="F165" s="124"/>
      <c r="G165" s="125"/>
      <c r="H165" s="126"/>
      <c r="I165" s="127"/>
      <c r="J165" s="126"/>
      <c r="K165" s="125"/>
      <c r="L165" s="126"/>
      <c r="M165" s="125"/>
      <c r="N165" s="122"/>
      <c r="O165" s="89"/>
      <c r="P165" s="128"/>
    </row>
    <row r="166" ht="18.75" customHeight="1" outlineLevel="1">
      <c r="A166" s="121"/>
      <c r="B166" s="88"/>
      <c r="C166" s="89"/>
      <c r="D166" s="122"/>
      <c r="E166" s="123"/>
      <c r="F166" s="124"/>
      <c r="G166" s="125"/>
      <c r="H166" s="126"/>
      <c r="I166" s="127"/>
      <c r="J166" s="126"/>
      <c r="K166" s="125"/>
      <c r="L166" s="126"/>
      <c r="M166" s="125"/>
      <c r="N166" s="122"/>
      <c r="O166" s="89"/>
      <c r="P166" s="128"/>
    </row>
    <row r="167" ht="18.75" customHeight="1" outlineLevel="1">
      <c r="A167" s="121"/>
      <c r="B167" s="88"/>
      <c r="C167" s="89"/>
      <c r="D167" s="122"/>
      <c r="E167" s="123"/>
      <c r="F167" s="124"/>
      <c r="G167" s="125"/>
      <c r="H167" s="126"/>
      <c r="I167" s="127"/>
      <c r="J167" s="126"/>
      <c r="K167" s="125"/>
      <c r="L167" s="126"/>
      <c r="M167" s="125"/>
      <c r="N167" s="122"/>
      <c r="O167" s="89"/>
      <c r="P167" s="128"/>
    </row>
    <row r="168" ht="18.75" customHeight="1" outlineLevel="1">
      <c r="A168" s="121"/>
      <c r="B168" s="88"/>
      <c r="C168" s="89"/>
      <c r="D168" s="122"/>
      <c r="E168" s="123"/>
      <c r="F168" s="124"/>
      <c r="G168" s="125"/>
      <c r="H168" s="126"/>
      <c r="I168" s="127"/>
      <c r="J168" s="126"/>
      <c r="K168" s="125"/>
      <c r="L168" s="126"/>
      <c r="M168" s="125"/>
      <c r="N168" s="122"/>
      <c r="O168" s="89"/>
      <c r="P168" s="128"/>
    </row>
    <row r="169" ht="18.75" customHeight="1" outlineLevel="1">
      <c r="A169" s="121"/>
      <c r="B169" s="88"/>
      <c r="C169" s="89"/>
      <c r="D169" s="122"/>
      <c r="E169" s="123"/>
      <c r="F169" s="124"/>
      <c r="G169" s="125"/>
      <c r="H169" s="126"/>
      <c r="I169" s="127"/>
      <c r="J169" s="126"/>
      <c r="K169" s="125"/>
      <c r="L169" s="126"/>
      <c r="M169" s="125"/>
      <c r="N169" s="122"/>
      <c r="O169" s="89"/>
      <c r="P169" s="128"/>
    </row>
    <row r="170" ht="18.75" customHeight="1" outlineLevel="1">
      <c r="A170" s="121"/>
      <c r="B170" s="88"/>
      <c r="C170" s="89"/>
      <c r="D170" s="159"/>
      <c r="E170" s="160"/>
      <c r="F170" s="161"/>
      <c r="G170" s="162"/>
      <c r="H170" s="163"/>
      <c r="I170" s="164"/>
      <c r="J170" s="163"/>
      <c r="K170" s="162"/>
      <c r="L170" s="163"/>
      <c r="M170" s="162"/>
      <c r="N170" s="159"/>
      <c r="O170" s="89"/>
      <c r="P170" s="128"/>
    </row>
    <row r="171" ht="18.75" customHeight="1">
      <c r="A171" s="121"/>
      <c r="B171" s="88"/>
      <c r="C171" s="89"/>
      <c r="D171" s="89"/>
      <c r="E171" s="89"/>
      <c r="F171" s="89"/>
      <c r="G171" s="89"/>
      <c r="H171" s="89"/>
      <c r="I171" s="89"/>
      <c r="J171" s="89"/>
      <c r="K171" s="89"/>
      <c r="L171" s="89"/>
      <c r="M171" s="89"/>
      <c r="N171" s="89"/>
      <c r="O171" s="89"/>
      <c r="P171" s="88"/>
    </row>
  </sheetData>
  <mergeCells count="21">
    <mergeCell ref="F53:H53"/>
    <mergeCell ref="L53:N53"/>
    <mergeCell ref="D2:E2"/>
    <mergeCell ref="F2:H2"/>
    <mergeCell ref="L2:N2"/>
    <mergeCell ref="D27:E27"/>
    <mergeCell ref="F27:H27"/>
    <mergeCell ref="L27:N27"/>
    <mergeCell ref="D53:E53"/>
    <mergeCell ref="F131:H131"/>
    <mergeCell ref="L131:N131"/>
    <mergeCell ref="D157:E157"/>
    <mergeCell ref="F157:H157"/>
    <mergeCell ref="L157:N157"/>
    <mergeCell ref="D79:E79"/>
    <mergeCell ref="F79:H79"/>
    <mergeCell ref="L79:N79"/>
    <mergeCell ref="D105:E105"/>
    <mergeCell ref="F105:H105"/>
    <mergeCell ref="L105:N105"/>
    <mergeCell ref="D131:E131"/>
  </mergeCells>
  <conditionalFormatting sqref="E4:E25 F4:N4 E29:E51 F29:N29 E55:E77 F55:N55 E81:E103 F81:N81 E107:E129 F107:N107 E133:E155 F133:N133 E159:E170 F159:N159">
    <cfRule type="containsText" dxfId="10" priority="1" operator="containsText" text="NM">
      <formula>NOT(ISERROR(SEARCH(("NM"),(E4))))</formula>
    </cfRule>
  </conditionalFormatting>
  <conditionalFormatting sqref="E4:E25 F4:N4 E29:E51 F29:N29 E55:E77 F55:N55 E81:E103 F81:N81 E107:E129 F107:N107 E133:E155 F133:N133 E159:E170 F159:N159">
    <cfRule type="containsText" dxfId="11" priority="2" operator="containsText" text="HD">
      <formula>NOT(ISERROR(SEARCH(("HD"),(E4))))</formula>
    </cfRule>
  </conditionalFormatting>
  <conditionalFormatting sqref="E4:E25 F4:N4 E29:E51 F29:N29 E55:E77 F55:N55 E81:E103 F81:N81 E107:E129 F107:N107 E133:E155 F133:N133 E159:E170 F159:N159">
    <cfRule type="containsText" dxfId="12" priority="3" operator="containsText" text="HR">
      <formula>NOT(ISERROR(SEARCH(("HR"),(E4))))</formula>
    </cfRule>
  </conditionalFormatting>
  <conditionalFormatting sqref="E4:E25 F4:N4 E29:E51 F29:N29 E55:E77 F55:N55 E81:E103 F81:N81 E107:E129 F107:N107 E133:E155 F133:N133 E159:E170 F159:N159">
    <cfRule type="containsText" dxfId="13" priority="4" operator="containsText" text="DT">
      <formula>NOT(ISERROR(SEARCH(("DT"),(E4))))</formula>
    </cfRule>
  </conditionalFormatting>
  <conditionalFormatting sqref="E4:E25 F4:N4 E29:E51 F29:N29 E55:E77 F55:N55 E81:E103 F81:N81 E107:E129 F107:N107 E133:E155 F133:N133 E159:E170 F159:N159">
    <cfRule type="containsText" dxfId="14" priority="5" operator="containsText" text="FM">
      <formula>NOT(ISERROR(SEARCH(("FM"),(E4))))</formula>
    </cfRule>
  </conditionalFormatting>
  <conditionalFormatting sqref="E4:E25 F4:N4 E29:E51 F29:N29 E55:E77 F55:N55 E81:E103 F81:N81 E107:E129 F107:N107 E133:E155 F133:N133 E159:E170 F159:N159">
    <cfRule type="containsText" dxfId="15" priority="6" operator="containsText" text="TB">
      <formula>NOT(ISERROR(SEARCH(("TB"),(E4))))</formula>
    </cfRule>
  </conditionalFormatting>
  <conditionalFormatting sqref="D2 F2 D4:N25 D27 F27 D29:N51 D53 F53 D55:N77 D79 F79 D81:N103 D105 F105 D107:N129 D131 F131 D133:N155 D157 F157 D159:N170">
    <cfRule type="expression" dxfId="16" priority="7">
      <formula>IF(LEFT($E2,2)="NM",TRUE,FALSE)</formula>
    </cfRule>
  </conditionalFormatting>
  <conditionalFormatting sqref="D2 F2 D4:N25 D27 F27 D29:N51 D53 F53 D55:N77 D79 F79 D81:N103 D105 F105 D107:N129 D131 F131 D133:N155 D157 F157 D159:N170">
    <cfRule type="expression" dxfId="17" priority="8">
      <formula>IF(LEFT($E2,2)="HD",TRUE,FALSE)</formula>
    </cfRule>
  </conditionalFormatting>
  <conditionalFormatting sqref="D2 F2 D4:N25 D27 F27 D29:N51 D53 F53 D55:N77 D79 F79 D81:N103 D105 F105 D107:N129 D131 F131 D133:N155 D157 F157 D159:N170">
    <cfRule type="expression" dxfId="18" priority="9">
      <formula>IF(LEFT($E2,2)="HR",TRUE,FALSE)</formula>
    </cfRule>
  </conditionalFormatting>
  <conditionalFormatting sqref="D2 F2 D4:N25 D27 F27 D29:N51 D53 F53 D55:N77 D79 F79 D81:N103 D105 F105 D107:N129 D131 F131 D133:N155 D157 F157 D159:N170">
    <cfRule type="expression" dxfId="19" priority="10">
      <formula>IF(LEFT($E2,2)="DT",TRUE,FALSE)</formula>
    </cfRule>
  </conditionalFormatting>
  <conditionalFormatting sqref="D2 F2 D4:N25 D27 F27 D29:N51 D53 F53 D55:N77 D79 F79 D81:N103 D105 F105 D107:N129 D131 F131 D133:N155 D157 F157 D159:N170">
    <cfRule type="expression" dxfId="20" priority="11">
      <formula>IF(LEFT($E2,2)="FM",TRUE,FALSE)</formula>
    </cfRule>
  </conditionalFormatting>
  <conditionalFormatting sqref="D2 F2 D4:N25 D27 F27 D29:N51 D53 F53 D55:N77 D79 F79 D81:N103 D105 F105 D107:N129 D131 F131 D133:N155 D157 F157 D159:N170">
    <cfRule type="expression" dxfId="21" priority="12">
      <formula>IF(LEFT($E2,2)="TB",TRUE,FALSE)</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3" width="68.88"/>
    <col customWidth="1" min="4" max="4" width="3.25"/>
    <col customWidth="1" min="5" max="5" width="41.13"/>
    <col customWidth="1" min="6" max="6" width="3.25"/>
  </cols>
  <sheetData>
    <row r="1" ht="18.75" customHeight="1">
      <c r="A1" s="165"/>
      <c r="B1" s="165"/>
      <c r="C1" s="165"/>
      <c r="D1" s="165"/>
      <c r="E1" s="165"/>
      <c r="F1" s="165"/>
    </row>
    <row r="2" ht="37.5" customHeight="1">
      <c r="A2" s="165"/>
      <c r="B2" s="166" t="s">
        <v>913</v>
      </c>
      <c r="D2" s="165"/>
      <c r="E2" s="167" t="str">
        <f>IMAGE("https://i.imgur.com/V5nuXji.png")</f>
        <v/>
      </c>
      <c r="F2" s="165"/>
    </row>
    <row r="3" ht="18.75" customHeight="1">
      <c r="A3" s="165"/>
      <c r="B3" s="165"/>
      <c r="C3" s="165"/>
      <c r="D3" s="165"/>
      <c r="F3" s="165"/>
    </row>
    <row r="4" ht="37.5" customHeight="1">
      <c r="A4" s="165"/>
      <c r="B4" s="168" t="s">
        <v>914</v>
      </c>
      <c r="C4" s="22"/>
      <c r="D4" s="165"/>
      <c r="F4" s="165"/>
    </row>
    <row r="5" ht="33.75" customHeight="1">
      <c r="A5" s="165"/>
      <c r="B5" s="169">
        <v>1.0</v>
      </c>
      <c r="C5" s="170" t="s">
        <v>915</v>
      </c>
      <c r="D5" s="165"/>
      <c r="F5" s="165"/>
    </row>
    <row r="6" ht="18.75" customHeight="1">
      <c r="A6" s="165"/>
      <c r="B6" s="169">
        <v>2.0</v>
      </c>
      <c r="C6" s="170" t="s">
        <v>916</v>
      </c>
      <c r="D6" s="165"/>
      <c r="F6" s="165"/>
    </row>
    <row r="7" ht="18.75" customHeight="1">
      <c r="A7" s="165"/>
      <c r="B7" s="169">
        <v>3.0</v>
      </c>
      <c r="C7" s="170" t="s">
        <v>917</v>
      </c>
      <c r="D7" s="165"/>
      <c r="F7" s="165"/>
    </row>
    <row r="8" ht="18.75" customHeight="1">
      <c r="A8" s="165"/>
      <c r="B8" s="169">
        <v>4.0</v>
      </c>
      <c r="C8" s="170" t="s">
        <v>918</v>
      </c>
      <c r="D8" s="165"/>
      <c r="F8" s="165"/>
    </row>
    <row r="9" ht="18.75" customHeight="1">
      <c r="A9" s="165"/>
      <c r="B9" s="169">
        <v>5.0</v>
      </c>
      <c r="C9" s="171" t="s">
        <v>919</v>
      </c>
      <c r="D9" s="165"/>
      <c r="F9" s="165"/>
    </row>
    <row r="10" ht="18.75" customHeight="1">
      <c r="A10" s="165"/>
      <c r="B10" s="169">
        <v>6.0</v>
      </c>
      <c r="C10" s="171" t="s">
        <v>920</v>
      </c>
      <c r="D10" s="165"/>
      <c r="F10" s="165"/>
    </row>
    <row r="11" ht="18.75" customHeight="1">
      <c r="A11" s="165"/>
      <c r="B11" s="165"/>
      <c r="C11" s="165"/>
      <c r="D11" s="165"/>
      <c r="E11" s="172"/>
      <c r="F11" s="165"/>
    </row>
    <row r="12" ht="18.75" customHeight="1">
      <c r="A12" s="165"/>
      <c r="B12" s="169">
        <v>7.0</v>
      </c>
      <c r="C12" s="173" t="s">
        <v>921</v>
      </c>
      <c r="D12" s="165"/>
      <c r="E12" s="174"/>
      <c r="F12" s="165"/>
    </row>
    <row r="13" ht="18.75" customHeight="1">
      <c r="A13" s="165"/>
      <c r="B13" s="169"/>
      <c r="C13" s="175" t="s">
        <v>922</v>
      </c>
      <c r="D13" s="165"/>
      <c r="E13" s="174"/>
      <c r="F13" s="165"/>
    </row>
    <row r="14" ht="18.75" customHeight="1">
      <c r="A14" s="165"/>
      <c r="B14" s="165"/>
      <c r="C14" s="165"/>
      <c r="D14" s="165"/>
      <c r="E14" s="172"/>
      <c r="F14" s="165"/>
    </row>
    <row r="15" ht="18.75" customHeight="1">
      <c r="A15" s="165"/>
      <c r="B15" s="169">
        <v>8.0</v>
      </c>
      <c r="C15" s="175" t="s">
        <v>923</v>
      </c>
      <c r="D15" s="165"/>
      <c r="E15" s="174"/>
      <c r="F15" s="165"/>
    </row>
    <row r="16" ht="18.75" customHeight="1">
      <c r="A16" s="165"/>
      <c r="B16" s="165"/>
      <c r="C16" s="165"/>
      <c r="D16" s="165"/>
      <c r="E16" s="165"/>
    </row>
  </sheetData>
  <mergeCells count="4">
    <mergeCell ref="B2:C2"/>
    <mergeCell ref="E2:E10"/>
    <mergeCell ref="B4:C4"/>
    <mergeCell ref="E16:F16"/>
  </mergeCells>
  <hyperlinks>
    <hyperlink r:id="rId2" ref="B2"/>
    <hyperlink r:id="rId3" location="gid=946861243" ref="C13"/>
    <hyperlink display="Publicize your sheet" location="'FinalPublic Sheet'!A1" ref="C15"/>
  </hyperlink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4" width="37.63"/>
    <col customWidth="1" min="5" max="5" width="3.25"/>
  </cols>
  <sheetData>
    <row r="1" ht="18.75" customHeight="1">
      <c r="A1" s="176"/>
      <c r="B1" s="177"/>
      <c r="C1" s="176"/>
      <c r="D1" s="176"/>
      <c r="E1" s="176"/>
    </row>
    <row r="2" ht="18.75" customHeight="1">
      <c r="A2" s="176"/>
      <c r="B2" s="178" t="s">
        <v>924</v>
      </c>
      <c r="E2" s="179"/>
    </row>
    <row r="3" ht="18.75" customHeight="1">
      <c r="A3" s="176"/>
      <c r="B3" s="22"/>
      <c r="C3" s="22"/>
      <c r="D3" s="22"/>
      <c r="E3" s="179"/>
    </row>
    <row r="4" ht="18.75" customHeight="1">
      <c r="A4" s="176"/>
      <c r="B4" s="169">
        <v>1.0</v>
      </c>
      <c r="C4" s="180" t="s">
        <v>925</v>
      </c>
      <c r="E4" s="179"/>
    </row>
    <row r="5" ht="18.75" customHeight="1">
      <c r="A5" s="176"/>
      <c r="B5" s="169">
        <v>2.0</v>
      </c>
      <c r="C5" s="180" t="s">
        <v>926</v>
      </c>
      <c r="E5" s="179"/>
    </row>
    <row r="6" ht="18.75" customHeight="1">
      <c r="A6" s="176"/>
      <c r="B6" s="169">
        <v>3.0</v>
      </c>
      <c r="C6" s="180" t="s">
        <v>927</v>
      </c>
      <c r="E6" s="179"/>
    </row>
    <row r="7" ht="18.75" customHeight="1">
      <c r="A7" s="176"/>
      <c r="B7" s="169">
        <v>4.0</v>
      </c>
      <c r="C7" s="180" t="s">
        <v>928</v>
      </c>
      <c r="E7" s="179"/>
    </row>
    <row r="8" ht="18.75" customHeight="1">
      <c r="A8" s="176"/>
      <c r="B8" s="169"/>
      <c r="E8" s="179"/>
    </row>
    <row r="9" ht="18.75" customHeight="1">
      <c r="A9" s="176"/>
      <c r="B9" s="169">
        <v>5.0</v>
      </c>
      <c r="C9" s="180" t="s">
        <v>929</v>
      </c>
      <c r="E9" s="179"/>
    </row>
    <row r="10" ht="18.75" customHeight="1">
      <c r="A10" s="176"/>
      <c r="B10" s="169"/>
      <c r="E10" s="179"/>
    </row>
    <row r="11" ht="18.75" customHeight="1">
      <c r="A11" s="176"/>
      <c r="B11" s="169">
        <v>6.0</v>
      </c>
      <c r="C11" s="180" t="s">
        <v>930</v>
      </c>
      <c r="E11" s="179"/>
    </row>
    <row r="12" ht="18.75" customHeight="1">
      <c r="A12" s="176"/>
      <c r="B12" s="169"/>
      <c r="E12" s="179"/>
    </row>
    <row r="13" ht="18.75" customHeight="1">
      <c r="A13" s="176"/>
      <c r="B13" s="177"/>
      <c r="C13" s="176"/>
      <c r="D13" s="176"/>
      <c r="E13" s="176"/>
    </row>
  </sheetData>
  <mergeCells count="7">
    <mergeCell ref="B2:D3"/>
    <mergeCell ref="C4:D4"/>
    <mergeCell ref="C5:D5"/>
    <mergeCell ref="C6:D6"/>
    <mergeCell ref="C7:D8"/>
    <mergeCell ref="C9:D10"/>
    <mergeCell ref="C11:D1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25"/>
    <col customWidth="1" min="5" max="21" width="27.88"/>
    <col customWidth="1" min="22" max="22" width="3.25"/>
  </cols>
  <sheetData>
    <row r="1" ht="18.75" customHeight="1">
      <c r="A1" s="181"/>
      <c r="B1" s="181"/>
      <c r="C1" s="181"/>
      <c r="D1" s="181"/>
      <c r="E1" s="181"/>
      <c r="F1" s="181"/>
      <c r="G1" s="181"/>
      <c r="H1" s="181"/>
      <c r="I1" s="181"/>
      <c r="J1" s="181"/>
      <c r="K1" s="181"/>
      <c r="L1" s="181"/>
      <c r="M1" s="181"/>
      <c r="N1" s="181"/>
      <c r="O1" s="181"/>
      <c r="P1" s="181"/>
      <c r="Q1" s="181"/>
      <c r="R1" s="181"/>
      <c r="S1" s="181"/>
      <c r="T1" s="181"/>
      <c r="U1" s="181"/>
      <c r="V1" s="181"/>
    </row>
    <row r="2" ht="18.75" customHeight="1">
      <c r="A2" s="181"/>
      <c r="B2" s="182" t="s">
        <v>931</v>
      </c>
      <c r="N2" s="182"/>
      <c r="O2" s="182"/>
      <c r="P2" s="182"/>
      <c r="Q2" s="182"/>
      <c r="R2" s="182"/>
      <c r="S2" s="182"/>
      <c r="T2" s="182"/>
      <c r="U2" s="182"/>
      <c r="V2" s="181"/>
    </row>
    <row r="3" ht="18.75" customHeight="1">
      <c r="A3" s="181"/>
      <c r="B3" s="181"/>
      <c r="C3" s="181"/>
      <c r="D3" s="181"/>
      <c r="E3" s="181"/>
      <c r="F3" s="181"/>
      <c r="G3" s="181"/>
      <c r="H3" s="181"/>
      <c r="I3" s="181"/>
      <c r="J3" s="181"/>
      <c r="K3" s="181"/>
      <c r="L3" s="181"/>
      <c r="M3" s="181"/>
      <c r="N3" s="181"/>
      <c r="O3" s="181"/>
      <c r="P3" s="181"/>
      <c r="Q3" s="181"/>
      <c r="R3" s="181"/>
      <c r="S3" s="181"/>
      <c r="T3" s="181"/>
      <c r="U3" s="181"/>
      <c r="V3" s="181"/>
    </row>
    <row r="4" ht="18.75" customHeight="1">
      <c r="A4" s="181"/>
      <c r="B4" s="183" t="s">
        <v>932</v>
      </c>
      <c r="F4" s="184" t="s">
        <v>933</v>
      </c>
      <c r="N4" s="183"/>
      <c r="O4" s="183"/>
      <c r="P4" s="183"/>
      <c r="Q4" s="183"/>
      <c r="R4" s="183"/>
      <c r="S4" s="183"/>
      <c r="T4" s="183"/>
      <c r="U4" s="183"/>
      <c r="V4" s="181"/>
    </row>
    <row r="5" ht="18.75" customHeight="1">
      <c r="A5" s="181"/>
      <c r="B5" s="183" t="s">
        <v>934</v>
      </c>
      <c r="C5" s="183" t="s">
        <v>48</v>
      </c>
      <c r="D5" s="183" t="s">
        <v>47</v>
      </c>
      <c r="E5" s="183" t="s">
        <v>50</v>
      </c>
      <c r="F5" s="184" t="s">
        <v>935</v>
      </c>
      <c r="G5" s="183" t="s">
        <v>936</v>
      </c>
      <c r="H5" s="183" t="s">
        <v>937</v>
      </c>
      <c r="I5" s="183"/>
      <c r="J5" s="183"/>
      <c r="K5" s="183"/>
      <c r="L5" s="183"/>
      <c r="M5" s="183"/>
      <c r="N5" s="183"/>
      <c r="O5" s="183"/>
      <c r="P5" s="183"/>
      <c r="Q5" s="183"/>
      <c r="R5" s="183"/>
      <c r="S5" s="183"/>
      <c r="T5" s="183"/>
      <c r="U5" s="183"/>
      <c r="V5" s="181"/>
    </row>
    <row r="6" ht="18.75" customHeight="1">
      <c r="A6" s="181"/>
      <c r="B6" s="185" t="str">
        <f>IFERROR(__xludf.DUMMYFUNCTION("TRANSPOSE(SPLIT(JOIN("","",ArrayFormula(REPT(Settings!E3:E12&amp;"","",Settings!Q3:Q12))),"",""))"),"Qualifiers")</f>
        <v>Qualifiers</v>
      </c>
      <c r="C6" s="185" t="str">
        <f>IFERROR(__xludf.DUMMYFUNCTION("IFERROR(MAP({""L"",""K""},LAMBDA(col,TRANSPOSE(SPLIT(JOIN("","",MAP(FILTER(Settings!F3:F12,Settings!D3:D12),FILTER(Settings!Q3:Q12,Settings!D3:D12),LAMBDA(stage,count,JOIN("","",ARRAY_CONSTRAIN(INDIRECT(stage&amp;""!""&amp;col&amp;""5:""&amp;col),count,1))))),"","")))))"),"NM1")</f>
        <v>NM1</v>
      </c>
      <c r="D6" s="186">
        <f>IFERROR(__xludf.DUMMYFUNCTION("""COMPUTED_VALUE"""),3924030.0)</f>
        <v>3924030</v>
      </c>
      <c r="E6" s="187" t="str">
        <f t="array" ref="E6:E624">IFERROR(MAPDATA(D6:D624,"string_url"),"")</f>
        <v>nonoc - Relive [Insane]</v>
      </c>
      <c r="F6" s="188" t="str">
        <f t="array" ref="F6:U624">IFERROR(MAPDATA(D6:D624,F5:U5),"")</f>
        <v>nonoc - Relive [Insane]</v>
      </c>
      <c r="G6" s="185" t="s">
        <v>938</v>
      </c>
      <c r="H6" s="185">
        <v>196.0</v>
      </c>
      <c r="I6" s="185"/>
      <c r="J6" s="185"/>
      <c r="K6" s="185"/>
      <c r="L6" s="185"/>
      <c r="M6" s="185"/>
      <c r="N6" s="185"/>
      <c r="O6" s="185"/>
      <c r="P6" s="185"/>
      <c r="Q6" s="185"/>
      <c r="R6" s="185"/>
      <c r="S6" s="185"/>
      <c r="T6" s="185"/>
      <c r="U6" s="185"/>
      <c r="V6" s="181"/>
    </row>
    <row r="7" ht="18.75" customHeight="1">
      <c r="A7" s="181"/>
      <c r="B7" s="185" t="str">
        <f>IFERROR(__xludf.DUMMYFUNCTION("""COMPUTED_VALUE"""),"Qualifiers")</f>
        <v>Qualifiers</v>
      </c>
      <c r="C7" s="185" t="str">
        <f>IFERROR(__xludf.DUMMYFUNCTION("""COMPUTED_VALUE"""),"NM2")</f>
        <v>NM2</v>
      </c>
      <c r="D7" s="185">
        <f>IFERROR(__xludf.DUMMYFUNCTION("""COMPUTED_VALUE"""),908887.0)</f>
        <v>908887</v>
      </c>
      <c r="E7" s="187" t="s">
        <v>64</v>
      </c>
      <c r="F7" s="188" t="s">
        <v>64</v>
      </c>
      <c r="G7" s="185" t="s">
        <v>939</v>
      </c>
      <c r="H7" s="185">
        <v>170.0</v>
      </c>
      <c r="I7" s="185"/>
      <c r="J7" s="185"/>
      <c r="K7" s="185"/>
      <c r="L7" s="185"/>
      <c r="M7" s="185"/>
      <c r="N7" s="185"/>
      <c r="O7" s="185"/>
      <c r="P7" s="185"/>
      <c r="Q7" s="185"/>
      <c r="R7" s="185"/>
      <c r="S7" s="185"/>
      <c r="T7" s="185"/>
      <c r="U7" s="185"/>
      <c r="V7" s="181"/>
    </row>
    <row r="8" ht="18.75" customHeight="1">
      <c r="A8" s="181"/>
      <c r="B8" s="185" t="str">
        <f>IFERROR(__xludf.DUMMYFUNCTION("""COMPUTED_VALUE"""),"Qualifiers")</f>
        <v>Qualifiers</v>
      </c>
      <c r="C8" s="185" t="str">
        <f>IFERROR(__xludf.DUMMYFUNCTION("""COMPUTED_VALUE"""),"NM3")</f>
        <v>NM3</v>
      </c>
      <c r="D8" s="185">
        <f>IFERROR(__xludf.DUMMYFUNCTION("""COMPUTED_VALUE"""),3035501.0)</f>
        <v>3035501</v>
      </c>
      <c r="E8" s="187" t="s">
        <v>68</v>
      </c>
      <c r="F8" s="188" t="s">
        <v>68</v>
      </c>
      <c r="G8" s="185" t="s">
        <v>940</v>
      </c>
      <c r="H8" s="185">
        <v>135.0</v>
      </c>
      <c r="I8" s="185"/>
      <c r="J8" s="185"/>
      <c r="K8" s="185"/>
      <c r="L8" s="185"/>
      <c r="M8" s="185"/>
      <c r="N8" s="185"/>
      <c r="O8" s="185"/>
      <c r="P8" s="185"/>
      <c r="Q8" s="185"/>
      <c r="R8" s="185"/>
      <c r="S8" s="185"/>
      <c r="T8" s="185"/>
      <c r="U8" s="185"/>
      <c r="V8" s="181"/>
    </row>
    <row r="9" ht="18.75" customHeight="1">
      <c r="A9" s="181"/>
      <c r="B9" s="185" t="str">
        <f>IFERROR(__xludf.DUMMYFUNCTION("""COMPUTED_VALUE"""),"Qualifiers")</f>
        <v>Qualifiers</v>
      </c>
      <c r="C9" s="185" t="str">
        <f>IFERROR(__xludf.DUMMYFUNCTION("""COMPUTED_VALUE"""),"NM4")</f>
        <v>NM4</v>
      </c>
      <c r="D9" s="185">
        <f>IFERROR(__xludf.DUMMYFUNCTION("""COMPUTED_VALUE"""),3737825.0)</f>
        <v>3737825</v>
      </c>
      <c r="E9" s="187" t="s">
        <v>71</v>
      </c>
      <c r="F9" s="188" t="s">
        <v>71</v>
      </c>
      <c r="G9" s="185" t="s">
        <v>941</v>
      </c>
      <c r="H9" s="185">
        <v>180.0</v>
      </c>
      <c r="I9" s="185"/>
      <c r="J9" s="185"/>
      <c r="K9" s="185"/>
      <c r="L9" s="185"/>
      <c r="M9" s="185"/>
      <c r="N9" s="185"/>
      <c r="O9" s="185"/>
      <c r="P9" s="185"/>
      <c r="Q9" s="185"/>
      <c r="R9" s="185"/>
      <c r="S9" s="185"/>
      <c r="T9" s="185"/>
      <c r="U9" s="185"/>
      <c r="V9" s="181"/>
    </row>
    <row r="10" ht="18.75" customHeight="1">
      <c r="A10" s="181"/>
      <c r="B10" s="185" t="str">
        <f>IFERROR(__xludf.DUMMYFUNCTION("""COMPUTED_VALUE"""),"Qualifiers")</f>
        <v>Qualifiers</v>
      </c>
      <c r="C10" s="185" t="str">
        <f>IFERROR(__xludf.DUMMYFUNCTION("""COMPUTED_VALUE"""),"HD1")</f>
        <v>HD1</v>
      </c>
      <c r="D10" s="185">
        <f>IFERROR(__xludf.DUMMYFUNCTION("""COMPUTED_VALUE"""),2094462.0)</f>
        <v>2094462</v>
      </c>
      <c r="E10" s="187" t="s">
        <v>75</v>
      </c>
      <c r="F10" s="188" t="s">
        <v>75</v>
      </c>
      <c r="G10" s="185" t="s">
        <v>942</v>
      </c>
      <c r="H10" s="185">
        <v>170.0</v>
      </c>
      <c r="I10" s="185"/>
      <c r="J10" s="185"/>
      <c r="K10" s="185"/>
      <c r="L10" s="185"/>
      <c r="M10" s="185"/>
      <c r="N10" s="185"/>
      <c r="O10" s="185"/>
      <c r="P10" s="185"/>
      <c r="Q10" s="185"/>
      <c r="R10" s="185"/>
      <c r="S10" s="185"/>
      <c r="T10" s="185"/>
      <c r="U10" s="185"/>
      <c r="V10" s="181"/>
    </row>
    <row r="11" ht="18.75" customHeight="1">
      <c r="A11" s="181"/>
      <c r="B11" s="185" t="str">
        <f>IFERROR(__xludf.DUMMYFUNCTION("""COMPUTED_VALUE"""),"Qualifiers")</f>
        <v>Qualifiers</v>
      </c>
      <c r="C11" s="185" t="str">
        <f>IFERROR(__xludf.DUMMYFUNCTION("""COMPUTED_VALUE"""),"HD2")</f>
        <v>HD2</v>
      </c>
      <c r="D11" s="185">
        <f>IFERROR(__xludf.DUMMYFUNCTION("""COMPUTED_VALUE"""),2619929.0)</f>
        <v>2619929</v>
      </c>
      <c r="E11" s="187" t="s">
        <v>78</v>
      </c>
      <c r="F11" s="188" t="s">
        <v>78</v>
      </c>
      <c r="G11" s="185" t="s">
        <v>943</v>
      </c>
      <c r="H11" s="185">
        <v>165.0</v>
      </c>
      <c r="I11" s="185"/>
      <c r="J11" s="185"/>
      <c r="K11" s="185"/>
      <c r="L11" s="185"/>
      <c r="M11" s="185"/>
      <c r="N11" s="185"/>
      <c r="O11" s="185"/>
      <c r="P11" s="185"/>
      <c r="Q11" s="185"/>
      <c r="R11" s="185"/>
      <c r="S11" s="185"/>
      <c r="T11" s="185"/>
      <c r="U11" s="185"/>
      <c r="V11" s="181"/>
    </row>
    <row r="12" ht="18.75" customHeight="1">
      <c r="A12" s="181"/>
      <c r="B12" s="185" t="str">
        <f>IFERROR(__xludf.DUMMYFUNCTION("""COMPUTED_VALUE"""),"Qualifiers")</f>
        <v>Qualifiers</v>
      </c>
      <c r="C12" s="185" t="str">
        <f>IFERROR(__xludf.DUMMYFUNCTION("""COMPUTED_VALUE"""),"HR1")</f>
        <v>HR1</v>
      </c>
      <c r="D12" s="185">
        <f>IFERROR(__xludf.DUMMYFUNCTION("""COMPUTED_VALUE"""),2027623.0)</f>
        <v>2027623</v>
      </c>
      <c r="E12" s="187" t="s">
        <v>84</v>
      </c>
      <c r="F12" s="188" t="s">
        <v>84</v>
      </c>
      <c r="G12" s="185" t="s">
        <v>944</v>
      </c>
      <c r="H12" s="185">
        <v>142.0</v>
      </c>
      <c r="I12" s="185"/>
      <c r="J12" s="185"/>
      <c r="K12" s="185"/>
      <c r="L12" s="185"/>
      <c r="M12" s="185"/>
      <c r="N12" s="185"/>
      <c r="O12" s="185"/>
      <c r="P12" s="185"/>
      <c r="Q12" s="185"/>
      <c r="R12" s="185"/>
      <c r="S12" s="185"/>
      <c r="T12" s="185"/>
      <c r="U12" s="185"/>
      <c r="V12" s="181"/>
    </row>
    <row r="13" ht="18.75" customHeight="1">
      <c r="A13" s="181"/>
      <c r="B13" s="185" t="str">
        <f>IFERROR(__xludf.DUMMYFUNCTION("""COMPUTED_VALUE"""),"Qualifiers")</f>
        <v>Qualifiers</v>
      </c>
      <c r="C13" s="185" t="str">
        <f>IFERROR(__xludf.DUMMYFUNCTION("""COMPUTED_VALUE"""),"HR2")</f>
        <v>HR2</v>
      </c>
      <c r="D13" s="185">
        <f>IFERROR(__xludf.DUMMYFUNCTION("""COMPUTED_VALUE"""),1523138.0)</f>
        <v>1523138</v>
      </c>
      <c r="E13" s="187" t="s">
        <v>87</v>
      </c>
      <c r="F13" s="188" t="s">
        <v>87</v>
      </c>
      <c r="G13" s="185" t="s">
        <v>945</v>
      </c>
      <c r="H13" s="185">
        <v>155.42</v>
      </c>
      <c r="I13" s="185"/>
      <c r="J13" s="185"/>
      <c r="K13" s="185"/>
      <c r="L13" s="185"/>
      <c r="M13" s="185"/>
      <c r="N13" s="185"/>
      <c r="O13" s="185"/>
      <c r="P13" s="185"/>
      <c r="Q13" s="185"/>
      <c r="R13" s="185"/>
      <c r="S13" s="185"/>
      <c r="T13" s="185"/>
      <c r="U13" s="185"/>
      <c r="V13" s="181"/>
    </row>
    <row r="14" ht="18.75" customHeight="1">
      <c r="A14" s="181"/>
      <c r="B14" s="185" t="str">
        <f>IFERROR(__xludf.DUMMYFUNCTION("""COMPUTED_VALUE"""),"Qualifiers")</f>
        <v>Qualifiers</v>
      </c>
      <c r="C14" s="185" t="str">
        <f>IFERROR(__xludf.DUMMYFUNCTION("""COMPUTED_VALUE"""),"DT1")</f>
        <v>DT1</v>
      </c>
      <c r="D14" s="185">
        <f>IFERROR(__xludf.DUMMYFUNCTION("""COMPUTED_VALUE"""),4105349.0)</f>
        <v>4105349</v>
      </c>
      <c r="E14" s="187" t="s">
        <v>91</v>
      </c>
      <c r="F14" s="188" t="s">
        <v>91</v>
      </c>
      <c r="G14" s="185" t="s">
        <v>946</v>
      </c>
      <c r="H14" s="185">
        <v>157.0</v>
      </c>
      <c r="I14" s="185"/>
      <c r="J14" s="185"/>
      <c r="K14" s="185"/>
      <c r="L14" s="185"/>
      <c r="M14" s="185"/>
      <c r="N14" s="185"/>
      <c r="O14" s="185"/>
      <c r="P14" s="185"/>
      <c r="Q14" s="185"/>
      <c r="R14" s="185"/>
      <c r="S14" s="185"/>
      <c r="T14" s="185"/>
      <c r="U14" s="185"/>
      <c r="V14" s="181"/>
    </row>
    <row r="15" ht="18.75" customHeight="1">
      <c r="A15" s="181"/>
      <c r="B15" s="185" t="str">
        <f>IFERROR(__xludf.DUMMYFUNCTION("""COMPUTED_VALUE"""),"Qualifiers")</f>
        <v>Qualifiers</v>
      </c>
      <c r="C15" s="185" t="str">
        <f>IFERROR(__xludf.DUMMYFUNCTION("""COMPUTED_VALUE"""),"DT2")</f>
        <v>DT2</v>
      </c>
      <c r="D15" s="185">
        <f>IFERROR(__xludf.DUMMYFUNCTION("""COMPUTED_VALUE"""),3533589.0)</f>
        <v>3533589</v>
      </c>
      <c r="E15" s="187" t="s">
        <v>95</v>
      </c>
      <c r="F15" s="188" t="s">
        <v>95</v>
      </c>
      <c r="G15" s="185" t="s">
        <v>947</v>
      </c>
      <c r="H15" s="185">
        <v>156.0</v>
      </c>
      <c r="I15" s="185"/>
      <c r="J15" s="185"/>
      <c r="K15" s="185"/>
      <c r="L15" s="185"/>
      <c r="M15" s="185"/>
      <c r="N15" s="185"/>
      <c r="O15" s="185"/>
      <c r="P15" s="185"/>
      <c r="Q15" s="185"/>
      <c r="R15" s="185"/>
      <c r="S15" s="185"/>
      <c r="T15" s="185"/>
      <c r="U15" s="185"/>
      <c r="V15" s="181"/>
    </row>
    <row r="16" ht="18.75" customHeight="1">
      <c r="A16" s="181"/>
      <c r="B16" s="185" t="str">
        <f>IFERROR(__xludf.DUMMYFUNCTION("""COMPUTED_VALUE"""),"Round of 32")</f>
        <v>Round of 32</v>
      </c>
      <c r="C16" s="185" t="str">
        <f>IFERROR(__xludf.DUMMYFUNCTION("""COMPUTED_VALUE"""),"NM1")</f>
        <v>NM1</v>
      </c>
      <c r="D16" s="185">
        <f>IFERROR(__xludf.DUMMYFUNCTION("""COMPUTED_VALUE"""),2277989.0)</f>
        <v>2277989</v>
      </c>
      <c r="E16" s="187" t="s">
        <v>201</v>
      </c>
      <c r="F16" s="188" t="s">
        <v>201</v>
      </c>
      <c r="G16" s="185" t="s">
        <v>948</v>
      </c>
      <c r="H16" s="185">
        <v>190.0</v>
      </c>
      <c r="I16" s="185"/>
      <c r="J16" s="185"/>
      <c r="K16" s="185"/>
      <c r="L16" s="185"/>
      <c r="M16" s="185"/>
      <c r="N16" s="185"/>
      <c r="O16" s="185"/>
      <c r="P16" s="185"/>
      <c r="Q16" s="185"/>
      <c r="R16" s="185"/>
      <c r="S16" s="185"/>
      <c r="T16" s="185"/>
      <c r="U16" s="185"/>
      <c r="V16" s="181"/>
    </row>
    <row r="17" ht="18.75" customHeight="1">
      <c r="A17" s="181"/>
      <c r="B17" s="185" t="str">
        <f>IFERROR(__xludf.DUMMYFUNCTION("""COMPUTED_VALUE"""),"Round of 32")</f>
        <v>Round of 32</v>
      </c>
      <c r="C17" s="185" t="str">
        <f>IFERROR(__xludf.DUMMYFUNCTION("""COMPUTED_VALUE"""),"NM2")</f>
        <v>NM2</v>
      </c>
      <c r="D17" s="185">
        <f>IFERROR(__xludf.DUMMYFUNCTION("""COMPUTED_VALUE"""),3297107.0)</f>
        <v>3297107</v>
      </c>
      <c r="E17" s="187" t="s">
        <v>126</v>
      </c>
      <c r="F17" s="188" t="s">
        <v>126</v>
      </c>
      <c r="G17" s="185" t="s">
        <v>949</v>
      </c>
      <c r="H17" s="185">
        <v>181.0</v>
      </c>
      <c r="I17" s="185"/>
      <c r="J17" s="185"/>
      <c r="K17" s="185"/>
      <c r="L17" s="185"/>
      <c r="M17" s="185"/>
      <c r="N17" s="185"/>
      <c r="O17" s="185"/>
      <c r="P17" s="185"/>
      <c r="Q17" s="185"/>
      <c r="R17" s="185"/>
      <c r="S17" s="185"/>
      <c r="T17" s="185"/>
      <c r="U17" s="185"/>
      <c r="V17" s="181"/>
    </row>
    <row r="18" ht="18.75" customHeight="1">
      <c r="A18" s="181"/>
      <c r="B18" s="185" t="str">
        <f>IFERROR(__xludf.DUMMYFUNCTION("""COMPUTED_VALUE"""),"Round of 32")</f>
        <v>Round of 32</v>
      </c>
      <c r="C18" s="185" t="str">
        <f>IFERROR(__xludf.DUMMYFUNCTION("""COMPUTED_VALUE"""),"NM3")</f>
        <v>NM3</v>
      </c>
      <c r="D18" s="185">
        <f>IFERROR(__xludf.DUMMYFUNCTION("""COMPUTED_VALUE"""),2440455.0)</f>
        <v>2440455</v>
      </c>
      <c r="E18" s="187" t="s">
        <v>132</v>
      </c>
      <c r="F18" s="188" t="s">
        <v>132</v>
      </c>
      <c r="G18" s="185" t="s">
        <v>950</v>
      </c>
      <c r="H18" s="185">
        <v>252.0</v>
      </c>
      <c r="I18" s="185"/>
      <c r="J18" s="185"/>
      <c r="K18" s="185"/>
      <c r="L18" s="185"/>
      <c r="M18" s="185"/>
      <c r="N18" s="185"/>
      <c r="O18" s="185"/>
      <c r="P18" s="185"/>
      <c r="Q18" s="185"/>
      <c r="R18" s="185"/>
      <c r="S18" s="185"/>
      <c r="T18" s="185"/>
      <c r="U18" s="185"/>
      <c r="V18" s="181"/>
    </row>
    <row r="19" ht="18.75" customHeight="1">
      <c r="A19" s="181"/>
      <c r="B19" s="185" t="str">
        <f>IFERROR(__xludf.DUMMYFUNCTION("""COMPUTED_VALUE"""),"Round of 32")</f>
        <v>Round of 32</v>
      </c>
      <c r="C19" s="185" t="str">
        <f>IFERROR(__xludf.DUMMYFUNCTION("""COMPUTED_VALUE"""),"NM4")</f>
        <v>NM4</v>
      </c>
      <c r="D19" s="185">
        <f>IFERROR(__xludf.DUMMYFUNCTION("""COMPUTED_VALUE"""),3248876.0)</f>
        <v>3248876</v>
      </c>
      <c r="E19" s="187" t="s">
        <v>138</v>
      </c>
      <c r="F19" s="188" t="s">
        <v>138</v>
      </c>
      <c r="G19" s="185" t="s">
        <v>951</v>
      </c>
      <c r="H19" s="185">
        <v>200.0</v>
      </c>
      <c r="I19" s="185"/>
      <c r="J19" s="185"/>
      <c r="K19" s="185"/>
      <c r="L19" s="185"/>
      <c r="M19" s="185"/>
      <c r="N19" s="185"/>
      <c r="O19" s="185"/>
      <c r="P19" s="185"/>
      <c r="Q19" s="185"/>
      <c r="R19" s="185"/>
      <c r="S19" s="185"/>
      <c r="T19" s="185"/>
      <c r="U19" s="185"/>
      <c r="V19" s="181"/>
    </row>
    <row r="20" ht="18.75" customHeight="1">
      <c r="A20" s="181"/>
      <c r="B20" s="185" t="str">
        <f>IFERROR(__xludf.DUMMYFUNCTION("""COMPUTED_VALUE"""),"Round of 32")</f>
        <v>Round of 32</v>
      </c>
      <c r="C20" s="185" t="str">
        <f>IFERROR(__xludf.DUMMYFUNCTION("""COMPUTED_VALUE"""),"NM5")</f>
        <v>NM5</v>
      </c>
      <c r="D20" s="185">
        <f>IFERROR(__xludf.DUMMYFUNCTION("""COMPUTED_VALUE"""),1989991.0)</f>
        <v>1989991</v>
      </c>
      <c r="E20" s="187" t="s">
        <v>143</v>
      </c>
      <c r="F20" s="188" t="s">
        <v>143</v>
      </c>
      <c r="G20" s="185" t="s">
        <v>952</v>
      </c>
      <c r="H20" s="185">
        <v>127.0</v>
      </c>
      <c r="I20" s="185"/>
      <c r="J20" s="185"/>
      <c r="K20" s="185"/>
      <c r="L20" s="185"/>
      <c r="M20" s="185"/>
      <c r="N20" s="185"/>
      <c r="O20" s="185"/>
      <c r="P20" s="185"/>
      <c r="Q20" s="185"/>
      <c r="R20" s="185"/>
      <c r="S20" s="185"/>
      <c r="T20" s="185"/>
      <c r="U20" s="185"/>
      <c r="V20" s="181"/>
    </row>
    <row r="21" ht="18.75" customHeight="1">
      <c r="A21" s="181"/>
      <c r="B21" s="185" t="str">
        <f>IFERROR(__xludf.DUMMYFUNCTION("""COMPUTED_VALUE"""),"Round of 32")</f>
        <v>Round of 32</v>
      </c>
      <c r="C21" s="185" t="str">
        <f>IFERROR(__xludf.DUMMYFUNCTION("""COMPUTED_VALUE"""),"HD1")</f>
        <v>HD1</v>
      </c>
      <c r="D21" s="185">
        <f>IFERROR(__xludf.DUMMYFUNCTION("""COMPUTED_VALUE"""),3280686.0)</f>
        <v>3280686</v>
      </c>
      <c r="E21" s="187" t="s">
        <v>147</v>
      </c>
      <c r="F21" s="188" t="s">
        <v>147</v>
      </c>
      <c r="G21" s="185" t="s">
        <v>953</v>
      </c>
      <c r="H21" s="185">
        <v>170.0</v>
      </c>
      <c r="I21" s="185"/>
      <c r="J21" s="185"/>
      <c r="K21" s="185"/>
      <c r="L21" s="185"/>
      <c r="M21" s="185"/>
      <c r="N21" s="185"/>
      <c r="O21" s="185"/>
      <c r="P21" s="185"/>
      <c r="Q21" s="185"/>
      <c r="R21" s="185"/>
      <c r="S21" s="185"/>
      <c r="T21" s="185"/>
      <c r="U21" s="185"/>
      <c r="V21" s="181"/>
    </row>
    <row r="22" ht="18.75" customHeight="1">
      <c r="A22" s="181"/>
      <c r="B22" s="185" t="str">
        <f>IFERROR(__xludf.DUMMYFUNCTION("""COMPUTED_VALUE"""),"Round of 32")</f>
        <v>Round of 32</v>
      </c>
      <c r="C22" s="185" t="str">
        <f>IFERROR(__xludf.DUMMYFUNCTION("""COMPUTED_VALUE"""),"HD2")</f>
        <v>HD2</v>
      </c>
      <c r="D22" s="185">
        <f>IFERROR(__xludf.DUMMYFUNCTION("""COMPUTED_VALUE"""),134141.0)</f>
        <v>134141</v>
      </c>
      <c r="E22" s="187" t="s">
        <v>151</v>
      </c>
      <c r="F22" s="188" t="s">
        <v>151</v>
      </c>
      <c r="G22" s="185" t="s">
        <v>954</v>
      </c>
      <c r="H22" s="185">
        <v>175.0</v>
      </c>
      <c r="I22" s="185"/>
      <c r="J22" s="185"/>
      <c r="K22" s="185"/>
      <c r="L22" s="185"/>
      <c r="M22" s="185"/>
      <c r="N22" s="185"/>
      <c r="O22" s="185"/>
      <c r="P22" s="185"/>
      <c r="Q22" s="185"/>
      <c r="R22" s="185"/>
      <c r="S22" s="185"/>
      <c r="T22" s="185"/>
      <c r="U22" s="185"/>
      <c r="V22" s="181"/>
    </row>
    <row r="23" ht="18.75" customHeight="1">
      <c r="A23" s="181"/>
      <c r="B23" s="185" t="str">
        <f>IFERROR(__xludf.DUMMYFUNCTION("""COMPUTED_VALUE"""),"Round of 32")</f>
        <v>Round of 32</v>
      </c>
      <c r="C23" s="185" t="str">
        <f>IFERROR(__xludf.DUMMYFUNCTION("""COMPUTED_VALUE"""),"HR1")</f>
        <v>HR1</v>
      </c>
      <c r="D23" s="185">
        <f>IFERROR(__xludf.DUMMYFUNCTION("""COMPUTED_VALUE"""),2659337.0)</f>
        <v>2659337</v>
      </c>
      <c r="E23" s="187" t="s">
        <v>155</v>
      </c>
      <c r="F23" s="188" t="s">
        <v>155</v>
      </c>
      <c r="G23" s="185" t="s">
        <v>955</v>
      </c>
      <c r="H23" s="185">
        <v>185.0</v>
      </c>
      <c r="I23" s="185"/>
      <c r="J23" s="185"/>
      <c r="K23" s="185"/>
      <c r="L23" s="185"/>
      <c r="M23" s="185"/>
      <c r="N23" s="185"/>
      <c r="O23" s="185"/>
      <c r="P23" s="185"/>
      <c r="Q23" s="185"/>
      <c r="R23" s="185"/>
      <c r="S23" s="185"/>
      <c r="T23" s="185"/>
      <c r="U23" s="185"/>
      <c r="V23" s="181"/>
    </row>
    <row r="24" ht="18.75" customHeight="1">
      <c r="A24" s="181"/>
      <c r="B24" s="185" t="str">
        <f>IFERROR(__xludf.DUMMYFUNCTION("""COMPUTED_VALUE"""),"Round of 32")</f>
        <v>Round of 32</v>
      </c>
      <c r="C24" s="185" t="str">
        <f>IFERROR(__xludf.DUMMYFUNCTION("""COMPUTED_VALUE"""),"HR2")</f>
        <v>HR2</v>
      </c>
      <c r="D24" s="185">
        <f>IFERROR(__xludf.DUMMYFUNCTION("""COMPUTED_VALUE"""),2110801.0)</f>
        <v>2110801</v>
      </c>
      <c r="E24" s="187" t="s">
        <v>159</v>
      </c>
      <c r="F24" s="188" t="s">
        <v>159</v>
      </c>
      <c r="G24" s="185" t="s">
        <v>956</v>
      </c>
      <c r="H24" s="185">
        <v>100.0</v>
      </c>
      <c r="I24" s="185"/>
      <c r="J24" s="185"/>
      <c r="K24" s="185"/>
      <c r="L24" s="185"/>
      <c r="M24" s="185"/>
      <c r="N24" s="185"/>
      <c r="O24" s="185"/>
      <c r="P24" s="185"/>
      <c r="Q24" s="185"/>
      <c r="R24" s="185"/>
      <c r="S24" s="185"/>
      <c r="T24" s="185"/>
      <c r="U24" s="185"/>
      <c r="V24" s="181"/>
    </row>
    <row r="25" ht="18.75" customHeight="1">
      <c r="A25" s="181"/>
      <c r="B25" s="185" t="str">
        <f>IFERROR(__xludf.DUMMYFUNCTION("""COMPUTED_VALUE"""),"Round of 32")</f>
        <v>Round of 32</v>
      </c>
      <c r="C25" s="185" t="str">
        <f>IFERROR(__xludf.DUMMYFUNCTION("""COMPUTED_VALUE"""),"DT1")</f>
        <v>DT1</v>
      </c>
      <c r="D25" s="185">
        <f>IFERROR(__xludf.DUMMYFUNCTION("""COMPUTED_VALUE"""),2044893.0)</f>
        <v>2044893</v>
      </c>
      <c r="E25" s="187" t="s">
        <v>163</v>
      </c>
      <c r="F25" s="188" t="s">
        <v>163</v>
      </c>
      <c r="G25" s="185" t="s">
        <v>957</v>
      </c>
      <c r="H25" s="185">
        <v>156.0</v>
      </c>
      <c r="I25" s="185"/>
      <c r="J25" s="185"/>
      <c r="K25" s="185"/>
      <c r="L25" s="185"/>
      <c r="M25" s="185"/>
      <c r="N25" s="185"/>
      <c r="O25" s="185"/>
      <c r="P25" s="185"/>
      <c r="Q25" s="185"/>
      <c r="R25" s="185"/>
      <c r="S25" s="185"/>
      <c r="T25" s="185"/>
      <c r="U25" s="185"/>
      <c r="V25" s="181"/>
    </row>
    <row r="26" ht="18.75" customHeight="1">
      <c r="A26" s="181"/>
      <c r="B26" s="185" t="str">
        <f>IFERROR(__xludf.DUMMYFUNCTION("""COMPUTED_VALUE"""),"Round of 32")</f>
        <v>Round of 32</v>
      </c>
      <c r="C26" s="185" t="str">
        <f>IFERROR(__xludf.DUMMYFUNCTION("""COMPUTED_VALUE"""),"DT2")</f>
        <v>DT2</v>
      </c>
      <c r="D26" s="185">
        <f>IFERROR(__xludf.DUMMYFUNCTION("""COMPUTED_VALUE"""),2366848.0)</f>
        <v>2366848</v>
      </c>
      <c r="E26" s="187" t="s">
        <v>168</v>
      </c>
      <c r="F26" s="188" t="s">
        <v>168</v>
      </c>
      <c r="G26" s="185" t="s">
        <v>958</v>
      </c>
      <c r="H26" s="185">
        <v>150.0</v>
      </c>
      <c r="I26" s="185"/>
      <c r="J26" s="185"/>
      <c r="K26" s="185"/>
      <c r="L26" s="185"/>
      <c r="M26" s="185"/>
      <c r="N26" s="185"/>
      <c r="O26" s="185"/>
      <c r="P26" s="185"/>
      <c r="Q26" s="185"/>
      <c r="R26" s="185"/>
      <c r="S26" s="185"/>
      <c r="T26" s="185"/>
      <c r="U26" s="185"/>
      <c r="V26" s="181"/>
    </row>
    <row r="27" ht="18.75" customHeight="1">
      <c r="A27" s="181"/>
      <c r="B27" s="185" t="str">
        <f>IFERROR(__xludf.DUMMYFUNCTION("""COMPUTED_VALUE"""),"Round of 32")</f>
        <v>Round of 32</v>
      </c>
      <c r="C27" s="185" t="str">
        <f>IFERROR(__xludf.DUMMYFUNCTION("""COMPUTED_VALUE"""),"DT3")</f>
        <v>DT3</v>
      </c>
      <c r="D27" s="185">
        <f>IFERROR(__xludf.DUMMYFUNCTION("""COMPUTED_VALUE"""),3396305.0)</f>
        <v>3396305</v>
      </c>
      <c r="E27" s="187" t="s">
        <v>165</v>
      </c>
      <c r="F27" s="188" t="s">
        <v>165</v>
      </c>
      <c r="G27" s="185" t="s">
        <v>959</v>
      </c>
      <c r="H27" s="185">
        <v>156.0</v>
      </c>
      <c r="I27" s="185"/>
      <c r="J27" s="185"/>
      <c r="K27" s="185"/>
      <c r="L27" s="185"/>
      <c r="M27" s="185"/>
      <c r="N27" s="185"/>
      <c r="O27" s="185"/>
      <c r="P27" s="185"/>
      <c r="Q27" s="185"/>
      <c r="R27" s="185"/>
      <c r="S27" s="185"/>
      <c r="T27" s="185"/>
      <c r="U27" s="185"/>
      <c r="V27" s="181"/>
    </row>
    <row r="28" ht="18.75" customHeight="1">
      <c r="A28" s="181"/>
      <c r="B28" s="185" t="str">
        <f>IFERROR(__xludf.DUMMYFUNCTION("""COMPUTED_VALUE"""),"Round of 32")</f>
        <v>Round of 32</v>
      </c>
      <c r="C28" s="185" t="str">
        <f>IFERROR(__xludf.DUMMYFUNCTION("""COMPUTED_VALUE"""),"FM1")</f>
        <v>FM1</v>
      </c>
      <c r="D28" s="185">
        <f>IFERROR(__xludf.DUMMYFUNCTION("""COMPUTED_VALUE"""),846261.0)</f>
        <v>846261</v>
      </c>
      <c r="E28" s="187" t="s">
        <v>175</v>
      </c>
      <c r="F28" s="188" t="s">
        <v>175</v>
      </c>
      <c r="G28" s="185" t="s">
        <v>960</v>
      </c>
      <c r="H28" s="185">
        <v>168.0</v>
      </c>
      <c r="I28" s="185"/>
      <c r="J28" s="185"/>
      <c r="K28" s="185"/>
      <c r="L28" s="185"/>
      <c r="M28" s="185"/>
      <c r="N28" s="185"/>
      <c r="O28" s="185"/>
      <c r="P28" s="185"/>
      <c r="Q28" s="185"/>
      <c r="R28" s="185"/>
      <c r="S28" s="185"/>
      <c r="T28" s="185"/>
      <c r="U28" s="185"/>
      <c r="V28" s="181"/>
    </row>
    <row r="29" ht="18.75" customHeight="1">
      <c r="A29" s="181"/>
      <c r="B29" s="185" t="str">
        <f>IFERROR(__xludf.DUMMYFUNCTION("""COMPUTED_VALUE"""),"Round of 32")</f>
        <v>Round of 32</v>
      </c>
      <c r="C29" s="185" t="str">
        <f>IFERROR(__xludf.DUMMYFUNCTION("""COMPUTED_VALUE"""),"FM2")</f>
        <v>FM2</v>
      </c>
      <c r="D29" s="185">
        <f>IFERROR(__xludf.DUMMYFUNCTION("""COMPUTED_VALUE"""),3743202.0)</f>
        <v>3743202</v>
      </c>
      <c r="E29" s="187" t="s">
        <v>180</v>
      </c>
      <c r="F29" s="188" t="s">
        <v>180</v>
      </c>
      <c r="G29" s="185">
        <v>-45.0</v>
      </c>
      <c r="H29" s="185">
        <v>120.0</v>
      </c>
      <c r="I29" s="185"/>
      <c r="J29" s="185"/>
      <c r="K29" s="185"/>
      <c r="L29" s="185"/>
      <c r="M29" s="185"/>
      <c r="N29" s="185"/>
      <c r="O29" s="185"/>
      <c r="P29" s="185"/>
      <c r="Q29" s="185"/>
      <c r="R29" s="185"/>
      <c r="S29" s="185"/>
      <c r="T29" s="185"/>
      <c r="U29" s="185"/>
      <c r="V29" s="181"/>
    </row>
    <row r="30" ht="18.75" customHeight="1">
      <c r="A30" s="181"/>
      <c r="B30" s="185" t="str">
        <f>IFERROR(__xludf.DUMMYFUNCTION("""COMPUTED_VALUE"""),"Round of 32")</f>
        <v>Round of 32</v>
      </c>
      <c r="C30" s="185" t="str">
        <f>IFERROR(__xludf.DUMMYFUNCTION("""COMPUTED_VALUE"""),"TB1")</f>
        <v>TB1</v>
      </c>
      <c r="D30" s="185">
        <f>IFERROR(__xludf.DUMMYFUNCTION("""COMPUTED_VALUE"""),3446761.0)</f>
        <v>3446761</v>
      </c>
      <c r="E30" s="187" t="s">
        <v>170</v>
      </c>
      <c r="F30" s="188" t="s">
        <v>170</v>
      </c>
      <c r="G30" s="185" t="s">
        <v>961</v>
      </c>
      <c r="H30" s="185">
        <v>190.0</v>
      </c>
      <c r="I30" s="185"/>
      <c r="J30" s="185"/>
      <c r="K30" s="185"/>
      <c r="L30" s="185"/>
      <c r="M30" s="185"/>
      <c r="N30" s="185"/>
      <c r="O30" s="185"/>
      <c r="P30" s="185"/>
      <c r="Q30" s="185"/>
      <c r="R30" s="185"/>
      <c r="S30" s="185"/>
      <c r="T30" s="185"/>
      <c r="U30" s="185"/>
      <c r="V30" s="181"/>
    </row>
    <row r="31" ht="18.75" customHeight="1">
      <c r="A31" s="181"/>
      <c r="B31" s="185" t="str">
        <f>IFERROR(__xludf.DUMMYFUNCTION("""COMPUTED_VALUE"""),"Round of 16")</f>
        <v>Round of 16</v>
      </c>
      <c r="C31" s="185" t="str">
        <f>IFERROR(__xludf.DUMMYFUNCTION("""COMPUTED_VALUE"""),"NM1")</f>
        <v>NM1</v>
      </c>
      <c r="D31" s="185">
        <f>IFERROR(__xludf.DUMMYFUNCTION("""COMPUTED_VALUE"""),2827293.0)</f>
        <v>2827293</v>
      </c>
      <c r="E31" s="187" t="s">
        <v>222</v>
      </c>
      <c r="F31" s="188" t="s">
        <v>222</v>
      </c>
      <c r="G31" s="185" t="s">
        <v>962</v>
      </c>
      <c r="H31" s="185">
        <v>200.0</v>
      </c>
      <c r="I31" s="185"/>
      <c r="J31" s="185"/>
      <c r="K31" s="185"/>
      <c r="L31" s="185"/>
      <c r="M31" s="185"/>
      <c r="N31" s="185"/>
      <c r="O31" s="185"/>
      <c r="P31" s="185"/>
      <c r="Q31" s="185"/>
      <c r="R31" s="185"/>
      <c r="S31" s="185"/>
      <c r="T31" s="185"/>
      <c r="U31" s="185"/>
      <c r="V31" s="181"/>
    </row>
    <row r="32" ht="18.75" customHeight="1">
      <c r="A32" s="181"/>
      <c r="B32" s="185" t="str">
        <f>IFERROR(__xludf.DUMMYFUNCTION("""COMPUTED_VALUE"""),"Round of 16")</f>
        <v>Round of 16</v>
      </c>
      <c r="C32" s="185" t="str">
        <f>IFERROR(__xludf.DUMMYFUNCTION("""COMPUTED_VALUE"""),"NM2")</f>
        <v>NM2</v>
      </c>
      <c r="D32" s="185">
        <f>IFERROR(__xludf.DUMMYFUNCTION("""COMPUTED_VALUE"""),2004679.0)</f>
        <v>2004679</v>
      </c>
      <c r="E32" s="187" t="s">
        <v>209</v>
      </c>
      <c r="F32" s="188" t="s">
        <v>209</v>
      </c>
      <c r="G32" s="185" t="s">
        <v>963</v>
      </c>
      <c r="H32" s="185">
        <v>195.0</v>
      </c>
      <c r="I32" s="185"/>
      <c r="J32" s="185"/>
      <c r="K32" s="185"/>
      <c r="L32" s="185"/>
      <c r="M32" s="185"/>
      <c r="N32" s="185"/>
      <c r="O32" s="185"/>
      <c r="P32" s="185"/>
      <c r="Q32" s="185"/>
      <c r="R32" s="185"/>
      <c r="S32" s="185"/>
      <c r="T32" s="185"/>
      <c r="U32" s="185"/>
      <c r="V32" s="181"/>
    </row>
    <row r="33" ht="18.75" customHeight="1">
      <c r="A33" s="181"/>
      <c r="B33" s="185" t="str">
        <f>IFERROR(__xludf.DUMMYFUNCTION("""COMPUTED_VALUE"""),"Round of 16")</f>
        <v>Round of 16</v>
      </c>
      <c r="C33" s="185" t="str">
        <f>IFERROR(__xludf.DUMMYFUNCTION("""COMPUTED_VALUE"""),"NM3")</f>
        <v>NM3</v>
      </c>
      <c r="D33" s="185">
        <f>IFERROR(__xludf.DUMMYFUNCTION("""COMPUTED_VALUE"""),3239199.0)</f>
        <v>3239199</v>
      </c>
      <c r="E33" s="187" t="s">
        <v>214</v>
      </c>
      <c r="F33" s="188" t="s">
        <v>214</v>
      </c>
      <c r="G33" s="185" t="s">
        <v>964</v>
      </c>
      <c r="H33" s="185">
        <v>143.0</v>
      </c>
      <c r="I33" s="185"/>
      <c r="J33" s="185"/>
      <c r="K33" s="185"/>
      <c r="L33" s="185"/>
      <c r="M33" s="185"/>
      <c r="N33" s="185"/>
      <c r="O33" s="185"/>
      <c r="P33" s="185"/>
      <c r="Q33" s="185"/>
      <c r="R33" s="185"/>
      <c r="S33" s="185"/>
      <c r="T33" s="185"/>
      <c r="U33" s="185"/>
      <c r="V33" s="181"/>
    </row>
    <row r="34" ht="18.75" customHeight="1">
      <c r="A34" s="181"/>
      <c r="B34" s="185" t="str">
        <f>IFERROR(__xludf.DUMMYFUNCTION("""COMPUTED_VALUE"""),"Round of 16")</f>
        <v>Round of 16</v>
      </c>
      <c r="C34" s="185" t="str">
        <f>IFERROR(__xludf.DUMMYFUNCTION("""COMPUTED_VALUE"""),"NM4")</f>
        <v>NM4</v>
      </c>
      <c r="D34" s="185">
        <f>IFERROR(__xludf.DUMMYFUNCTION("""COMPUTED_VALUE"""),2794904.0)</f>
        <v>2794904</v>
      </c>
      <c r="E34" s="187" t="s">
        <v>219</v>
      </c>
      <c r="F34" s="188" t="s">
        <v>219</v>
      </c>
      <c r="G34" s="185" t="s">
        <v>965</v>
      </c>
      <c r="H34" s="185">
        <v>170.0</v>
      </c>
      <c r="I34" s="185"/>
      <c r="J34" s="185"/>
      <c r="K34" s="185"/>
      <c r="L34" s="185"/>
      <c r="M34" s="185"/>
      <c r="N34" s="185"/>
      <c r="O34" s="185"/>
      <c r="P34" s="185"/>
      <c r="Q34" s="185"/>
      <c r="R34" s="185"/>
      <c r="S34" s="185"/>
      <c r="T34" s="185"/>
      <c r="U34" s="185"/>
      <c r="V34" s="181"/>
    </row>
    <row r="35" ht="18.75" customHeight="1">
      <c r="A35" s="181"/>
      <c r="B35" s="185" t="str">
        <f>IFERROR(__xludf.DUMMYFUNCTION("""COMPUTED_VALUE"""),"Round of 16")</f>
        <v>Round of 16</v>
      </c>
      <c r="C35" s="185" t="str">
        <f>IFERROR(__xludf.DUMMYFUNCTION("""COMPUTED_VALUE"""),"NM5")</f>
        <v>NM5</v>
      </c>
      <c r="D35" s="185">
        <f>IFERROR(__xludf.DUMMYFUNCTION("""COMPUTED_VALUE"""),2853477.0)</f>
        <v>2853477</v>
      </c>
      <c r="E35" s="187" t="s">
        <v>225</v>
      </c>
      <c r="F35" s="188" t="s">
        <v>225</v>
      </c>
      <c r="G35" s="185" t="s">
        <v>966</v>
      </c>
      <c r="H35" s="185">
        <v>140.0</v>
      </c>
      <c r="I35" s="185"/>
      <c r="J35" s="185"/>
      <c r="K35" s="185"/>
      <c r="L35" s="185"/>
      <c r="M35" s="185"/>
      <c r="N35" s="185"/>
      <c r="O35" s="185"/>
      <c r="P35" s="185"/>
      <c r="Q35" s="185"/>
      <c r="R35" s="185"/>
      <c r="S35" s="185"/>
      <c r="T35" s="185"/>
      <c r="U35" s="185"/>
      <c r="V35" s="181"/>
    </row>
    <row r="36" ht="18.75" customHeight="1">
      <c r="A36" s="181"/>
      <c r="B36" s="185" t="str">
        <f>IFERROR(__xludf.DUMMYFUNCTION("""COMPUTED_VALUE"""),"Round of 16")</f>
        <v>Round of 16</v>
      </c>
      <c r="C36" s="185" t="str">
        <f>IFERROR(__xludf.DUMMYFUNCTION("""COMPUTED_VALUE"""),"HD1")</f>
        <v>HD1</v>
      </c>
      <c r="D36" s="185">
        <f>IFERROR(__xludf.DUMMYFUNCTION("""COMPUTED_VALUE"""),1733441.0)</f>
        <v>1733441</v>
      </c>
      <c r="E36" s="187" t="s">
        <v>229</v>
      </c>
      <c r="F36" s="188" t="s">
        <v>229</v>
      </c>
      <c r="G36" s="185" t="s">
        <v>967</v>
      </c>
      <c r="H36" s="185">
        <v>170.0</v>
      </c>
      <c r="I36" s="185"/>
      <c r="J36" s="185"/>
      <c r="K36" s="185"/>
      <c r="L36" s="185"/>
      <c r="M36" s="185"/>
      <c r="N36" s="185"/>
      <c r="O36" s="185"/>
      <c r="P36" s="185"/>
      <c r="Q36" s="185"/>
      <c r="R36" s="185"/>
      <c r="S36" s="185"/>
      <c r="T36" s="185"/>
      <c r="U36" s="185"/>
      <c r="V36" s="181"/>
    </row>
    <row r="37" ht="18.75" customHeight="1">
      <c r="A37" s="181"/>
      <c r="B37" s="185" t="str">
        <f>IFERROR(__xludf.DUMMYFUNCTION("""COMPUTED_VALUE"""),"Round of 16")</f>
        <v>Round of 16</v>
      </c>
      <c r="C37" s="185" t="str">
        <f>IFERROR(__xludf.DUMMYFUNCTION("""COMPUTED_VALUE"""),"HD2")</f>
        <v>HD2</v>
      </c>
      <c r="D37" s="185">
        <f>IFERROR(__xludf.DUMMYFUNCTION("""COMPUTED_VALUE"""),3460069.0)</f>
        <v>3460069</v>
      </c>
      <c r="E37" s="187" t="s">
        <v>235</v>
      </c>
      <c r="F37" s="188" t="s">
        <v>235</v>
      </c>
      <c r="G37" s="185" t="s">
        <v>968</v>
      </c>
      <c r="H37" s="185">
        <v>174.0</v>
      </c>
      <c r="I37" s="185"/>
      <c r="J37" s="185"/>
      <c r="K37" s="185"/>
      <c r="L37" s="185"/>
      <c r="M37" s="185"/>
      <c r="N37" s="185"/>
      <c r="O37" s="185"/>
      <c r="P37" s="185"/>
      <c r="Q37" s="185"/>
      <c r="R37" s="185"/>
      <c r="S37" s="185"/>
      <c r="T37" s="185"/>
      <c r="U37" s="185"/>
      <c r="V37" s="181"/>
    </row>
    <row r="38" ht="18.75" customHeight="1">
      <c r="A38" s="181"/>
      <c r="B38" s="185" t="str">
        <f>IFERROR(__xludf.DUMMYFUNCTION("""COMPUTED_VALUE"""),"Round of 16")</f>
        <v>Round of 16</v>
      </c>
      <c r="C38" s="185" t="str">
        <f>IFERROR(__xludf.DUMMYFUNCTION("""COMPUTED_VALUE"""),"HR1")</f>
        <v>HR1</v>
      </c>
      <c r="D38" s="185">
        <f>IFERROR(__xludf.DUMMYFUNCTION("""COMPUTED_VALUE"""),1956568.0)</f>
        <v>1956568</v>
      </c>
      <c r="E38" s="187" t="s">
        <v>240</v>
      </c>
      <c r="F38" s="188" t="s">
        <v>240</v>
      </c>
      <c r="G38" s="185" t="s">
        <v>969</v>
      </c>
      <c r="H38" s="185">
        <v>160.0</v>
      </c>
      <c r="I38" s="185"/>
      <c r="J38" s="185"/>
      <c r="K38" s="185"/>
      <c r="L38" s="185"/>
      <c r="M38" s="185"/>
      <c r="N38" s="185"/>
      <c r="O38" s="185"/>
      <c r="P38" s="185"/>
      <c r="Q38" s="185"/>
      <c r="R38" s="185"/>
      <c r="S38" s="185"/>
      <c r="T38" s="185"/>
      <c r="U38" s="185"/>
      <c r="V38" s="181"/>
    </row>
    <row r="39" ht="18.75" customHeight="1">
      <c r="A39" s="181"/>
      <c r="B39" s="185" t="str">
        <f>IFERROR(__xludf.DUMMYFUNCTION("""COMPUTED_VALUE"""),"Round of 16")</f>
        <v>Round of 16</v>
      </c>
      <c r="C39" s="185" t="str">
        <f>IFERROR(__xludf.DUMMYFUNCTION("""COMPUTED_VALUE"""),"HR2")</f>
        <v>HR2</v>
      </c>
      <c r="D39" s="185">
        <f>IFERROR(__xludf.DUMMYFUNCTION("""COMPUTED_VALUE"""),295650.0)</f>
        <v>295650</v>
      </c>
      <c r="E39" s="187" t="s">
        <v>246</v>
      </c>
      <c r="F39" s="188" t="s">
        <v>246</v>
      </c>
      <c r="G39" s="185" t="s">
        <v>970</v>
      </c>
      <c r="H39" s="185">
        <v>135.0</v>
      </c>
      <c r="I39" s="185"/>
      <c r="J39" s="185"/>
      <c r="K39" s="185"/>
      <c r="L39" s="185"/>
      <c r="M39" s="185"/>
      <c r="N39" s="185"/>
      <c r="O39" s="185"/>
      <c r="P39" s="185"/>
      <c r="Q39" s="185"/>
      <c r="R39" s="185"/>
      <c r="S39" s="185"/>
      <c r="T39" s="185"/>
      <c r="U39" s="185"/>
      <c r="V39" s="181"/>
    </row>
    <row r="40" ht="18.75" customHeight="1">
      <c r="A40" s="181"/>
      <c r="B40" s="185" t="str">
        <f>IFERROR(__xludf.DUMMYFUNCTION("""COMPUTED_VALUE"""),"Round of 16")</f>
        <v>Round of 16</v>
      </c>
      <c r="C40" s="185" t="str">
        <f>IFERROR(__xludf.DUMMYFUNCTION("""COMPUTED_VALUE"""),"DT1")</f>
        <v>DT1</v>
      </c>
      <c r="D40" s="185">
        <f>IFERROR(__xludf.DUMMYFUNCTION("""COMPUTED_VALUE"""),3446883.0)</f>
        <v>3446883</v>
      </c>
      <c r="E40" s="187" t="s">
        <v>252</v>
      </c>
      <c r="F40" s="188" t="s">
        <v>252</v>
      </c>
      <c r="G40" s="185" t="s">
        <v>971</v>
      </c>
      <c r="H40" s="185">
        <v>129.0</v>
      </c>
      <c r="I40" s="185"/>
      <c r="J40" s="185"/>
      <c r="K40" s="185"/>
      <c r="L40" s="185"/>
      <c r="M40" s="185"/>
      <c r="N40" s="185"/>
      <c r="O40" s="185"/>
      <c r="P40" s="185"/>
      <c r="Q40" s="185"/>
      <c r="R40" s="185"/>
      <c r="S40" s="185"/>
      <c r="T40" s="185"/>
      <c r="U40" s="185"/>
      <c r="V40" s="181"/>
    </row>
    <row r="41" ht="18.75" customHeight="1">
      <c r="A41" s="181"/>
      <c r="B41" s="185" t="str">
        <f>IFERROR(__xludf.DUMMYFUNCTION("""COMPUTED_VALUE"""),"Round of 16")</f>
        <v>Round of 16</v>
      </c>
      <c r="C41" s="185" t="str">
        <f>IFERROR(__xludf.DUMMYFUNCTION("""COMPUTED_VALUE"""),"DT2")</f>
        <v>DT2</v>
      </c>
      <c r="D41" s="185">
        <f>IFERROR(__xludf.DUMMYFUNCTION("""COMPUTED_VALUE"""),1521209.0)</f>
        <v>1521209</v>
      </c>
      <c r="E41" s="187" t="s">
        <v>258</v>
      </c>
      <c r="F41" s="188" t="s">
        <v>258</v>
      </c>
      <c r="G41" s="185" t="s">
        <v>972</v>
      </c>
      <c r="H41" s="185">
        <v>180.0</v>
      </c>
      <c r="I41" s="185"/>
      <c r="J41" s="185"/>
      <c r="K41" s="185"/>
      <c r="L41" s="185"/>
      <c r="M41" s="185"/>
      <c r="N41" s="185"/>
      <c r="O41" s="185"/>
      <c r="P41" s="185"/>
      <c r="Q41" s="185"/>
      <c r="R41" s="185"/>
      <c r="S41" s="185"/>
      <c r="T41" s="185"/>
      <c r="U41" s="185"/>
      <c r="V41" s="181"/>
    </row>
    <row r="42" ht="18.75" customHeight="1">
      <c r="A42" s="181"/>
      <c r="B42" s="185" t="str">
        <f>IFERROR(__xludf.DUMMYFUNCTION("""COMPUTED_VALUE"""),"Round of 16")</f>
        <v>Round of 16</v>
      </c>
      <c r="C42" s="185" t="str">
        <f>IFERROR(__xludf.DUMMYFUNCTION("""COMPUTED_VALUE"""),"DT3")</f>
        <v>DT3</v>
      </c>
      <c r="D42" s="185">
        <f>IFERROR(__xludf.DUMMYFUNCTION("""COMPUTED_VALUE"""),3616100.0)</f>
        <v>3616100</v>
      </c>
      <c r="E42" s="187" t="s">
        <v>264</v>
      </c>
      <c r="F42" s="188" t="s">
        <v>264</v>
      </c>
      <c r="G42" s="185" t="s">
        <v>973</v>
      </c>
      <c r="H42" s="185">
        <v>126.0</v>
      </c>
      <c r="I42" s="185"/>
      <c r="J42" s="185"/>
      <c r="K42" s="185"/>
      <c r="L42" s="185"/>
      <c r="M42" s="185"/>
      <c r="N42" s="185"/>
      <c r="O42" s="185"/>
      <c r="P42" s="185"/>
      <c r="Q42" s="185"/>
      <c r="R42" s="185"/>
      <c r="S42" s="185"/>
      <c r="T42" s="185"/>
      <c r="U42" s="185"/>
      <c r="V42" s="181"/>
    </row>
    <row r="43" ht="18.75" customHeight="1">
      <c r="A43" s="181"/>
      <c r="B43" s="185" t="str">
        <f>IFERROR(__xludf.DUMMYFUNCTION("""COMPUTED_VALUE"""),"Round of 16")</f>
        <v>Round of 16</v>
      </c>
      <c r="C43" s="185" t="str">
        <f>IFERROR(__xludf.DUMMYFUNCTION("""COMPUTED_VALUE"""),"FM1")</f>
        <v>FM1</v>
      </c>
      <c r="D43" s="185">
        <f>IFERROR(__xludf.DUMMYFUNCTION("""COMPUTED_VALUE"""),2151207.0)</f>
        <v>2151207</v>
      </c>
      <c r="E43" s="187" t="s">
        <v>269</v>
      </c>
      <c r="F43" s="188" t="s">
        <v>269</v>
      </c>
      <c r="G43" s="185" t="s">
        <v>974</v>
      </c>
      <c r="H43" s="185">
        <v>210.0</v>
      </c>
      <c r="I43" s="185"/>
      <c r="J43" s="185"/>
      <c r="K43" s="185"/>
      <c r="L43" s="185"/>
      <c r="M43" s="185"/>
      <c r="N43" s="185"/>
      <c r="O43" s="185"/>
      <c r="P43" s="185"/>
      <c r="Q43" s="185"/>
      <c r="R43" s="185"/>
      <c r="S43" s="185"/>
      <c r="T43" s="185"/>
      <c r="U43" s="185"/>
      <c r="V43" s="181"/>
    </row>
    <row r="44" ht="18.75" customHeight="1">
      <c r="A44" s="181"/>
      <c r="B44" s="185" t="str">
        <f>IFERROR(__xludf.DUMMYFUNCTION("""COMPUTED_VALUE"""),"Round of 16")</f>
        <v>Round of 16</v>
      </c>
      <c r="C44" s="185" t="str">
        <f>IFERROR(__xludf.DUMMYFUNCTION("""COMPUTED_VALUE"""),"FM2")</f>
        <v>FM2</v>
      </c>
      <c r="D44" s="185">
        <f>IFERROR(__xludf.DUMMYFUNCTION("""COMPUTED_VALUE"""),417898.0)</f>
        <v>417898</v>
      </c>
      <c r="E44" s="187" t="s">
        <v>275</v>
      </c>
      <c r="F44" s="188" t="s">
        <v>275</v>
      </c>
      <c r="G44" s="185" t="s">
        <v>975</v>
      </c>
      <c r="H44" s="185">
        <v>150.0</v>
      </c>
      <c r="I44" s="185"/>
      <c r="J44" s="185"/>
      <c r="K44" s="185"/>
      <c r="L44" s="185"/>
      <c r="M44" s="185"/>
      <c r="N44" s="185"/>
      <c r="O44" s="185"/>
      <c r="P44" s="185"/>
      <c r="Q44" s="185"/>
      <c r="R44" s="185"/>
      <c r="S44" s="185"/>
      <c r="T44" s="185"/>
      <c r="U44" s="185"/>
      <c r="V44" s="181"/>
    </row>
    <row r="45" ht="18.75" customHeight="1">
      <c r="A45" s="181"/>
      <c r="B45" s="185" t="str">
        <f>IFERROR(__xludf.DUMMYFUNCTION("""COMPUTED_VALUE"""),"Round of 16")</f>
        <v>Round of 16</v>
      </c>
      <c r="C45" s="185" t="str">
        <f>IFERROR(__xludf.DUMMYFUNCTION("""COMPUTED_VALUE"""),"TB1")</f>
        <v>TB1</v>
      </c>
      <c r="D45" s="185">
        <f>IFERROR(__xludf.DUMMYFUNCTION("""COMPUTED_VALUE"""),1857415.0)</f>
        <v>1857415</v>
      </c>
      <c r="E45" s="187" t="s">
        <v>280</v>
      </c>
      <c r="F45" s="188" t="s">
        <v>280</v>
      </c>
      <c r="G45" s="185" t="s">
        <v>976</v>
      </c>
      <c r="H45" s="185">
        <v>170.0</v>
      </c>
      <c r="I45" s="185"/>
      <c r="J45" s="185"/>
      <c r="K45" s="185"/>
      <c r="L45" s="185"/>
      <c r="M45" s="185"/>
      <c r="N45" s="185"/>
      <c r="O45" s="185"/>
      <c r="P45" s="185"/>
      <c r="Q45" s="185"/>
      <c r="R45" s="185"/>
      <c r="S45" s="185"/>
      <c r="T45" s="185"/>
      <c r="U45" s="185"/>
      <c r="V45" s="181"/>
    </row>
    <row r="46" ht="18.75" customHeight="1">
      <c r="A46" s="181"/>
      <c r="B46" s="185" t="str">
        <f>IFERROR(__xludf.DUMMYFUNCTION("""COMPUTED_VALUE"""),"Quarterfinals")</f>
        <v>Quarterfinals</v>
      </c>
      <c r="C46" s="185" t="str">
        <f>IFERROR(__xludf.DUMMYFUNCTION("""COMPUTED_VALUE"""),"NM1")</f>
        <v>NM1</v>
      </c>
      <c r="D46" s="185">
        <f>IFERROR(__xludf.DUMMYFUNCTION("""COMPUTED_VALUE"""),1965654.0)</f>
        <v>1965654</v>
      </c>
      <c r="E46" s="187" t="s">
        <v>355</v>
      </c>
      <c r="F46" s="188" t="s">
        <v>355</v>
      </c>
      <c r="G46" s="185" t="s">
        <v>940</v>
      </c>
      <c r="H46" s="185">
        <v>191.0</v>
      </c>
      <c r="I46" s="185"/>
      <c r="J46" s="185"/>
      <c r="K46" s="185"/>
      <c r="L46" s="185"/>
      <c r="M46" s="185"/>
      <c r="N46" s="185"/>
      <c r="O46" s="185"/>
      <c r="P46" s="185"/>
      <c r="Q46" s="185"/>
      <c r="R46" s="185"/>
      <c r="S46" s="185"/>
      <c r="T46" s="185"/>
      <c r="U46" s="185"/>
      <c r="V46" s="181"/>
    </row>
    <row r="47" ht="18.75" customHeight="1">
      <c r="A47" s="181"/>
      <c r="B47" s="185" t="str">
        <f>IFERROR(__xludf.DUMMYFUNCTION("""COMPUTED_VALUE"""),"Quarterfinals")</f>
        <v>Quarterfinals</v>
      </c>
      <c r="C47" s="185" t="str">
        <f>IFERROR(__xludf.DUMMYFUNCTION("""COMPUTED_VALUE"""),"NM2")</f>
        <v>NM2</v>
      </c>
      <c r="D47" s="185">
        <f>IFERROR(__xludf.DUMMYFUNCTION("""COMPUTED_VALUE"""),1838159.0)</f>
        <v>1838159</v>
      </c>
      <c r="E47" s="187" t="s">
        <v>346</v>
      </c>
      <c r="F47" s="188" t="s">
        <v>346</v>
      </c>
      <c r="G47" s="185" t="s">
        <v>977</v>
      </c>
      <c r="H47" s="185">
        <v>180.0</v>
      </c>
      <c r="I47" s="185"/>
      <c r="J47" s="185"/>
      <c r="K47" s="185"/>
      <c r="L47" s="185"/>
      <c r="M47" s="185"/>
      <c r="N47" s="185"/>
      <c r="O47" s="185"/>
      <c r="P47" s="185"/>
      <c r="Q47" s="185"/>
      <c r="R47" s="185"/>
      <c r="S47" s="185"/>
      <c r="T47" s="185"/>
      <c r="U47" s="185"/>
      <c r="V47" s="181"/>
    </row>
    <row r="48" ht="18.75" customHeight="1">
      <c r="A48" s="181"/>
      <c r="B48" s="185" t="str">
        <f>IFERROR(__xludf.DUMMYFUNCTION("""COMPUTED_VALUE"""),"Quarterfinals")</f>
        <v>Quarterfinals</v>
      </c>
      <c r="C48" s="185" t="str">
        <f>IFERROR(__xludf.DUMMYFUNCTION("""COMPUTED_VALUE"""),"NM3")</f>
        <v>NM3</v>
      </c>
      <c r="D48" s="185">
        <f>IFERROR(__xludf.DUMMYFUNCTION("""COMPUTED_VALUE"""),2568756.0)</f>
        <v>2568756</v>
      </c>
      <c r="E48" s="187" t="s">
        <v>352</v>
      </c>
      <c r="F48" s="188" t="s">
        <v>352</v>
      </c>
      <c r="G48" s="185" t="s">
        <v>978</v>
      </c>
      <c r="H48" s="185">
        <v>123.0</v>
      </c>
      <c r="I48" s="185"/>
      <c r="J48" s="185"/>
      <c r="K48" s="185"/>
      <c r="L48" s="185"/>
      <c r="M48" s="185"/>
      <c r="N48" s="185"/>
      <c r="O48" s="185"/>
      <c r="P48" s="185"/>
      <c r="Q48" s="185"/>
      <c r="R48" s="185"/>
      <c r="S48" s="185"/>
      <c r="T48" s="185"/>
      <c r="U48" s="185"/>
      <c r="V48" s="181"/>
    </row>
    <row r="49" ht="18.75" customHeight="1">
      <c r="A49" s="181"/>
      <c r="B49" s="185" t="str">
        <f>IFERROR(__xludf.DUMMYFUNCTION("""COMPUTED_VALUE"""),"Quarterfinals")</f>
        <v>Quarterfinals</v>
      </c>
      <c r="C49" s="185" t="str">
        <f>IFERROR(__xludf.DUMMYFUNCTION("""COMPUTED_VALUE"""),"NM4")</f>
        <v>NM4</v>
      </c>
      <c r="D49" s="185">
        <f>IFERROR(__xludf.DUMMYFUNCTION("""COMPUTED_VALUE"""),3341368.0)</f>
        <v>3341368</v>
      </c>
      <c r="E49" s="187" t="s">
        <v>358</v>
      </c>
      <c r="F49" s="188" t="s">
        <v>358</v>
      </c>
      <c r="G49" s="185" t="s">
        <v>979</v>
      </c>
      <c r="H49" s="185">
        <v>190.0</v>
      </c>
      <c r="I49" s="185"/>
      <c r="J49" s="185"/>
      <c r="K49" s="185"/>
      <c r="L49" s="185"/>
      <c r="M49" s="185"/>
      <c r="N49" s="185"/>
      <c r="O49" s="185"/>
      <c r="P49" s="185"/>
      <c r="Q49" s="185"/>
      <c r="R49" s="185"/>
      <c r="S49" s="185"/>
      <c r="T49" s="185"/>
      <c r="U49" s="185"/>
      <c r="V49" s="181"/>
    </row>
    <row r="50" ht="18.75" customHeight="1">
      <c r="A50" s="181"/>
      <c r="B50" s="185" t="str">
        <f>IFERROR(__xludf.DUMMYFUNCTION("""COMPUTED_VALUE"""),"Quarterfinals")</f>
        <v>Quarterfinals</v>
      </c>
      <c r="C50" s="185" t="str">
        <f>IFERROR(__xludf.DUMMYFUNCTION("""COMPUTED_VALUE"""),"NM5")</f>
        <v>NM5</v>
      </c>
      <c r="D50" s="185">
        <f>IFERROR(__xludf.DUMMYFUNCTION("""COMPUTED_VALUE"""),4215637.0)</f>
        <v>4215637</v>
      </c>
      <c r="E50" s="187" t="s">
        <v>363</v>
      </c>
      <c r="F50" s="188" t="s">
        <v>363</v>
      </c>
      <c r="G50" s="185" t="s">
        <v>980</v>
      </c>
      <c r="H50" s="185">
        <v>217.0</v>
      </c>
      <c r="I50" s="185"/>
      <c r="J50" s="185"/>
      <c r="K50" s="185"/>
      <c r="L50" s="185"/>
      <c r="M50" s="185"/>
      <c r="N50" s="185"/>
      <c r="O50" s="185"/>
      <c r="P50" s="185"/>
      <c r="Q50" s="185"/>
      <c r="R50" s="185"/>
      <c r="S50" s="185"/>
      <c r="T50" s="185"/>
      <c r="U50" s="185"/>
      <c r="V50" s="181"/>
    </row>
    <row r="51" ht="18.75" customHeight="1">
      <c r="A51" s="181"/>
      <c r="B51" s="185" t="str">
        <f>IFERROR(__xludf.DUMMYFUNCTION("""COMPUTED_VALUE"""),"Quarterfinals")</f>
        <v>Quarterfinals</v>
      </c>
      <c r="C51" s="185" t="str">
        <f>IFERROR(__xludf.DUMMYFUNCTION("""COMPUTED_VALUE"""),"NM6")</f>
        <v>NM6</v>
      </c>
      <c r="D51" s="185">
        <f>IFERROR(__xludf.DUMMYFUNCTION("""COMPUTED_VALUE"""),3821597.0)</f>
        <v>3821597</v>
      </c>
      <c r="E51" s="187" t="s">
        <v>369</v>
      </c>
      <c r="F51" s="188" t="s">
        <v>369</v>
      </c>
      <c r="G51" s="185" t="s">
        <v>981</v>
      </c>
      <c r="H51" s="185">
        <v>146.5</v>
      </c>
      <c r="I51" s="185"/>
      <c r="J51" s="185"/>
      <c r="K51" s="185"/>
      <c r="L51" s="185"/>
      <c r="M51" s="185"/>
      <c r="N51" s="185"/>
      <c r="O51" s="185"/>
      <c r="P51" s="185"/>
      <c r="Q51" s="185"/>
      <c r="R51" s="185"/>
      <c r="S51" s="185"/>
      <c r="T51" s="185"/>
      <c r="U51" s="185"/>
      <c r="V51" s="181"/>
    </row>
    <row r="52" ht="18.75" customHeight="1">
      <c r="A52" s="181"/>
      <c r="B52" s="185" t="str">
        <f>IFERROR(__xludf.DUMMYFUNCTION("""COMPUTED_VALUE"""),"Quarterfinals")</f>
        <v>Quarterfinals</v>
      </c>
      <c r="C52" s="185" t="str">
        <f>IFERROR(__xludf.DUMMYFUNCTION("""COMPUTED_VALUE"""),"HD1")</f>
        <v>HD1</v>
      </c>
      <c r="D52" s="185">
        <f>IFERROR(__xludf.DUMMYFUNCTION("""COMPUTED_VALUE"""),2671048.0)</f>
        <v>2671048</v>
      </c>
      <c r="E52" s="187" t="s">
        <v>375</v>
      </c>
      <c r="F52" s="188" t="s">
        <v>375</v>
      </c>
      <c r="G52" s="185" t="s">
        <v>982</v>
      </c>
      <c r="H52" s="185">
        <v>170.0</v>
      </c>
      <c r="I52" s="185"/>
      <c r="J52" s="185"/>
      <c r="K52" s="185"/>
      <c r="L52" s="185"/>
      <c r="M52" s="185"/>
      <c r="N52" s="185"/>
      <c r="O52" s="185"/>
      <c r="P52" s="185"/>
      <c r="Q52" s="185"/>
      <c r="R52" s="185"/>
      <c r="S52" s="185"/>
      <c r="T52" s="185"/>
      <c r="U52" s="185"/>
      <c r="V52" s="181"/>
    </row>
    <row r="53" ht="18.75" customHeight="1">
      <c r="A53" s="181"/>
      <c r="B53" s="185" t="str">
        <f>IFERROR(__xludf.DUMMYFUNCTION("""COMPUTED_VALUE"""),"Quarterfinals")</f>
        <v>Quarterfinals</v>
      </c>
      <c r="C53" s="185" t="str">
        <f>IFERROR(__xludf.DUMMYFUNCTION("""COMPUTED_VALUE"""),"HD2")</f>
        <v>HD2</v>
      </c>
      <c r="D53" s="185">
        <f>IFERROR(__xludf.DUMMYFUNCTION("""COMPUTED_VALUE"""),105978.0)</f>
        <v>105978</v>
      </c>
      <c r="E53" s="187" t="s">
        <v>380</v>
      </c>
      <c r="F53" s="188" t="s">
        <v>380</v>
      </c>
      <c r="G53" s="185" t="s">
        <v>983</v>
      </c>
      <c r="H53" s="185">
        <v>190.0</v>
      </c>
      <c r="I53" s="185"/>
      <c r="J53" s="185"/>
      <c r="K53" s="185"/>
      <c r="L53" s="185"/>
      <c r="M53" s="185"/>
      <c r="N53" s="185"/>
      <c r="O53" s="185"/>
      <c r="P53" s="185"/>
      <c r="Q53" s="185"/>
      <c r="R53" s="185"/>
      <c r="S53" s="185"/>
      <c r="T53" s="185"/>
      <c r="U53" s="185"/>
      <c r="V53" s="181"/>
    </row>
    <row r="54" ht="18.75" customHeight="1">
      <c r="A54" s="181"/>
      <c r="B54" s="185" t="str">
        <f>IFERROR(__xludf.DUMMYFUNCTION("""COMPUTED_VALUE"""),"Quarterfinals")</f>
        <v>Quarterfinals</v>
      </c>
      <c r="C54" s="185" t="str">
        <f>IFERROR(__xludf.DUMMYFUNCTION("""COMPUTED_VALUE"""),"HD3")</f>
        <v>HD3</v>
      </c>
      <c r="D54" s="185">
        <f>IFERROR(__xludf.DUMMYFUNCTION("""COMPUTED_VALUE"""),1491793.0)</f>
        <v>1491793</v>
      </c>
      <c r="E54" s="187" t="s">
        <v>386</v>
      </c>
      <c r="F54" s="188" t="s">
        <v>386</v>
      </c>
      <c r="G54" s="185" t="s">
        <v>984</v>
      </c>
      <c r="H54" s="185">
        <v>160.0</v>
      </c>
      <c r="I54" s="185"/>
      <c r="J54" s="185"/>
      <c r="K54" s="185"/>
      <c r="L54" s="185"/>
      <c r="M54" s="185"/>
      <c r="N54" s="185"/>
      <c r="O54" s="185"/>
      <c r="P54" s="185"/>
      <c r="Q54" s="185"/>
      <c r="R54" s="185"/>
      <c r="S54" s="185"/>
      <c r="T54" s="185"/>
      <c r="U54" s="185"/>
      <c r="V54" s="181"/>
    </row>
    <row r="55" ht="18.75" customHeight="1">
      <c r="A55" s="181"/>
      <c r="B55" s="185" t="str">
        <f>IFERROR(__xludf.DUMMYFUNCTION("""COMPUTED_VALUE"""),"Quarterfinals")</f>
        <v>Quarterfinals</v>
      </c>
      <c r="C55" s="185" t="str">
        <f>IFERROR(__xludf.DUMMYFUNCTION("""COMPUTED_VALUE"""),"HR1")</f>
        <v>HR1</v>
      </c>
      <c r="D55" s="185">
        <f>IFERROR(__xludf.DUMMYFUNCTION("""COMPUTED_VALUE"""),3913591.0)</f>
        <v>3913591</v>
      </c>
      <c r="E55" s="187" t="s">
        <v>391</v>
      </c>
      <c r="F55" s="188" t="s">
        <v>391</v>
      </c>
      <c r="G55" s="185" t="s">
        <v>985</v>
      </c>
      <c r="H55" s="185">
        <v>193.0</v>
      </c>
      <c r="I55" s="185"/>
      <c r="J55" s="185"/>
      <c r="K55" s="185"/>
      <c r="L55" s="185"/>
      <c r="M55" s="185"/>
      <c r="N55" s="185"/>
      <c r="O55" s="185"/>
      <c r="P55" s="185"/>
      <c r="Q55" s="185"/>
      <c r="R55" s="185"/>
      <c r="S55" s="185"/>
      <c r="T55" s="185"/>
      <c r="U55" s="185"/>
      <c r="V55" s="181"/>
    </row>
    <row r="56" ht="18.75" customHeight="1">
      <c r="A56" s="181"/>
      <c r="B56" s="185" t="str">
        <f>IFERROR(__xludf.DUMMYFUNCTION("""COMPUTED_VALUE"""),"Quarterfinals")</f>
        <v>Quarterfinals</v>
      </c>
      <c r="C56" s="185" t="str">
        <f>IFERROR(__xludf.DUMMYFUNCTION("""COMPUTED_VALUE"""),"HR2")</f>
        <v>HR2</v>
      </c>
      <c r="D56" s="185">
        <f>IFERROR(__xludf.DUMMYFUNCTION("""COMPUTED_VALUE"""),37750.0)</f>
        <v>37750</v>
      </c>
      <c r="E56" s="187" t="s">
        <v>396</v>
      </c>
      <c r="F56" s="188" t="s">
        <v>396</v>
      </c>
      <c r="G56" s="185" t="s">
        <v>986</v>
      </c>
      <c r="H56" s="185">
        <v>160.0</v>
      </c>
      <c r="I56" s="185"/>
      <c r="J56" s="185"/>
      <c r="K56" s="185"/>
      <c r="L56" s="185"/>
      <c r="M56" s="185"/>
      <c r="N56" s="185"/>
      <c r="O56" s="185"/>
      <c r="P56" s="185"/>
      <c r="Q56" s="185"/>
      <c r="R56" s="185"/>
      <c r="S56" s="185"/>
      <c r="T56" s="185"/>
      <c r="U56" s="185"/>
      <c r="V56" s="181"/>
    </row>
    <row r="57" ht="18.75" customHeight="1">
      <c r="A57" s="181"/>
      <c r="B57" s="185" t="str">
        <f>IFERROR(__xludf.DUMMYFUNCTION("""COMPUTED_VALUE"""),"Quarterfinals")</f>
        <v>Quarterfinals</v>
      </c>
      <c r="C57" s="185" t="str">
        <f>IFERROR(__xludf.DUMMYFUNCTION("""COMPUTED_VALUE"""),"HR3")</f>
        <v>HR3</v>
      </c>
      <c r="D57" s="185">
        <f>IFERROR(__xludf.DUMMYFUNCTION("""COMPUTED_VALUE"""),3248255.0)</f>
        <v>3248255</v>
      </c>
      <c r="E57" s="187" t="s">
        <v>366</v>
      </c>
      <c r="F57" s="188" t="s">
        <v>366</v>
      </c>
      <c r="G57" s="185" t="s">
        <v>987</v>
      </c>
      <c r="H57" s="185">
        <v>140.0</v>
      </c>
      <c r="I57" s="185"/>
      <c r="J57" s="185"/>
      <c r="K57" s="185"/>
      <c r="L57" s="185"/>
      <c r="M57" s="185"/>
      <c r="N57" s="185"/>
      <c r="O57" s="185"/>
      <c r="P57" s="185"/>
      <c r="Q57" s="185"/>
      <c r="R57" s="185"/>
      <c r="S57" s="185"/>
      <c r="T57" s="185"/>
      <c r="U57" s="185"/>
      <c r="V57" s="181"/>
    </row>
    <row r="58" ht="18.75" customHeight="1">
      <c r="A58" s="181"/>
      <c r="B58" s="185" t="str">
        <f>IFERROR(__xludf.DUMMYFUNCTION("""COMPUTED_VALUE"""),"Quarterfinals")</f>
        <v>Quarterfinals</v>
      </c>
      <c r="C58" s="185" t="str">
        <f>IFERROR(__xludf.DUMMYFUNCTION("""COMPUTED_VALUE"""),"DT1")</f>
        <v>DT1</v>
      </c>
      <c r="D58" s="185">
        <f>IFERROR(__xludf.DUMMYFUNCTION("""COMPUTED_VALUE"""),674080.0)</f>
        <v>674080</v>
      </c>
      <c r="E58" s="187" t="s">
        <v>407</v>
      </c>
      <c r="F58" s="188" t="s">
        <v>407</v>
      </c>
      <c r="G58" s="185" t="s">
        <v>988</v>
      </c>
      <c r="H58" s="185">
        <v>184.0</v>
      </c>
      <c r="I58" s="185"/>
      <c r="J58" s="185"/>
      <c r="K58" s="185"/>
      <c r="L58" s="185"/>
      <c r="M58" s="185"/>
      <c r="N58" s="185"/>
      <c r="O58" s="185"/>
      <c r="P58" s="185"/>
      <c r="Q58" s="185"/>
      <c r="R58" s="185"/>
      <c r="S58" s="185"/>
      <c r="T58" s="185"/>
      <c r="U58" s="185"/>
      <c r="V58" s="181"/>
    </row>
    <row r="59" ht="18.75" customHeight="1">
      <c r="A59" s="181"/>
      <c r="B59" s="185" t="str">
        <f>IFERROR(__xludf.DUMMYFUNCTION("""COMPUTED_VALUE"""),"Quarterfinals")</f>
        <v>Quarterfinals</v>
      </c>
      <c r="C59" s="185" t="str">
        <f>IFERROR(__xludf.DUMMYFUNCTION("""COMPUTED_VALUE"""),"DT2")</f>
        <v>DT2</v>
      </c>
      <c r="D59" s="185">
        <f>IFERROR(__xludf.DUMMYFUNCTION("""COMPUTED_VALUE"""),3299370.0)</f>
        <v>3299370</v>
      </c>
      <c r="E59" s="187" t="s">
        <v>412</v>
      </c>
      <c r="F59" s="188" t="s">
        <v>412</v>
      </c>
      <c r="G59" s="185">
        <v>-45.0</v>
      </c>
      <c r="H59" s="185">
        <v>152.0</v>
      </c>
      <c r="I59" s="185"/>
      <c r="J59" s="185"/>
      <c r="K59" s="185"/>
      <c r="L59" s="185"/>
      <c r="M59" s="185"/>
      <c r="N59" s="185"/>
      <c r="O59" s="185"/>
      <c r="P59" s="185"/>
      <c r="Q59" s="185"/>
      <c r="R59" s="185"/>
      <c r="S59" s="185"/>
      <c r="T59" s="185"/>
      <c r="U59" s="185"/>
      <c r="V59" s="181"/>
    </row>
    <row r="60" ht="18.75" customHeight="1">
      <c r="A60" s="181"/>
      <c r="B60" s="185" t="str">
        <f>IFERROR(__xludf.DUMMYFUNCTION("""COMPUTED_VALUE"""),"Quarterfinals")</f>
        <v>Quarterfinals</v>
      </c>
      <c r="C60" s="185" t="str">
        <f>IFERROR(__xludf.DUMMYFUNCTION("""COMPUTED_VALUE"""),"DT3")</f>
        <v>DT3</v>
      </c>
      <c r="D60" s="185">
        <f>IFERROR(__xludf.DUMMYFUNCTION("""COMPUTED_VALUE"""),3822599.0)</f>
        <v>3822599</v>
      </c>
      <c r="E60" s="187" t="s">
        <v>417</v>
      </c>
      <c r="F60" s="188" t="s">
        <v>417</v>
      </c>
      <c r="G60" s="185" t="s">
        <v>979</v>
      </c>
      <c r="H60" s="185">
        <v>210.0</v>
      </c>
      <c r="I60" s="185"/>
      <c r="J60" s="185"/>
      <c r="K60" s="185"/>
      <c r="L60" s="185"/>
      <c r="M60" s="185"/>
      <c r="N60" s="185"/>
      <c r="O60" s="185"/>
      <c r="P60" s="185"/>
      <c r="Q60" s="185"/>
      <c r="R60" s="185"/>
      <c r="S60" s="185"/>
      <c r="T60" s="185"/>
      <c r="U60" s="185"/>
      <c r="V60" s="181"/>
    </row>
    <row r="61" ht="18.75" customHeight="1">
      <c r="A61" s="181"/>
      <c r="B61" s="185" t="str">
        <f>IFERROR(__xludf.DUMMYFUNCTION("""COMPUTED_VALUE"""),"Quarterfinals")</f>
        <v>Quarterfinals</v>
      </c>
      <c r="C61" s="185" t="str">
        <f>IFERROR(__xludf.DUMMYFUNCTION("""COMPUTED_VALUE"""),"FM1")</f>
        <v>FM1</v>
      </c>
      <c r="D61" s="185">
        <f>IFERROR(__xludf.DUMMYFUNCTION("""COMPUTED_VALUE"""),3274886.0)</f>
        <v>3274886</v>
      </c>
      <c r="E61" s="187" t="s">
        <v>423</v>
      </c>
      <c r="F61" s="188" t="s">
        <v>423</v>
      </c>
      <c r="G61" s="185" t="s">
        <v>989</v>
      </c>
      <c r="H61" s="185">
        <v>169.0</v>
      </c>
      <c r="I61" s="185"/>
      <c r="J61" s="185"/>
      <c r="K61" s="185"/>
      <c r="L61" s="185"/>
      <c r="M61" s="185"/>
      <c r="N61" s="185"/>
      <c r="O61" s="185"/>
      <c r="P61" s="185"/>
      <c r="Q61" s="185"/>
      <c r="R61" s="185"/>
      <c r="S61" s="185"/>
      <c r="T61" s="185"/>
      <c r="U61" s="185"/>
      <c r="V61" s="181"/>
    </row>
    <row r="62" ht="18.75" customHeight="1">
      <c r="A62" s="181"/>
      <c r="B62" s="185" t="str">
        <f>IFERROR(__xludf.DUMMYFUNCTION("""COMPUTED_VALUE"""),"Quarterfinals")</f>
        <v>Quarterfinals</v>
      </c>
      <c r="C62" s="185" t="str">
        <f>IFERROR(__xludf.DUMMYFUNCTION("""COMPUTED_VALUE"""),"FM2")</f>
        <v>FM2</v>
      </c>
      <c r="D62" s="185">
        <f>IFERROR(__xludf.DUMMYFUNCTION("""COMPUTED_VALUE"""),3804111.0)</f>
        <v>3804111</v>
      </c>
      <c r="E62" s="187" t="s">
        <v>429</v>
      </c>
      <c r="F62" s="188" t="s">
        <v>429</v>
      </c>
      <c r="G62" s="185" t="s">
        <v>990</v>
      </c>
      <c r="H62" s="185">
        <v>190.0</v>
      </c>
      <c r="I62" s="185"/>
      <c r="J62" s="185"/>
      <c r="K62" s="185"/>
      <c r="L62" s="185"/>
      <c r="M62" s="185"/>
      <c r="N62" s="185"/>
      <c r="O62" s="185"/>
      <c r="P62" s="185"/>
      <c r="Q62" s="185"/>
      <c r="R62" s="185"/>
      <c r="S62" s="185"/>
      <c r="T62" s="185"/>
      <c r="U62" s="185"/>
      <c r="V62" s="181"/>
    </row>
    <row r="63" ht="18.75" customHeight="1">
      <c r="A63" s="181"/>
      <c r="B63" s="185" t="str">
        <f>IFERROR(__xludf.DUMMYFUNCTION("""COMPUTED_VALUE"""),"Quarterfinals")</f>
        <v>Quarterfinals</v>
      </c>
      <c r="C63" s="185" t="str">
        <f>IFERROR(__xludf.DUMMYFUNCTION("""COMPUTED_VALUE"""),"TB1")</f>
        <v>TB1</v>
      </c>
      <c r="D63" s="185">
        <f>IFERROR(__xludf.DUMMYFUNCTION("""COMPUTED_VALUE"""),577517.0)</f>
        <v>577517</v>
      </c>
      <c r="E63" s="187" t="s">
        <v>334</v>
      </c>
      <c r="F63" s="188" t="s">
        <v>334</v>
      </c>
      <c r="G63" s="185" t="s">
        <v>991</v>
      </c>
      <c r="H63" s="185">
        <v>173.0</v>
      </c>
      <c r="I63" s="185"/>
      <c r="J63" s="185"/>
      <c r="K63" s="185"/>
      <c r="L63" s="185"/>
      <c r="M63" s="185"/>
      <c r="N63" s="185"/>
      <c r="O63" s="185"/>
      <c r="P63" s="185"/>
      <c r="Q63" s="185"/>
      <c r="R63" s="185"/>
      <c r="S63" s="185"/>
      <c r="T63" s="185"/>
      <c r="U63" s="185"/>
      <c r="V63" s="181"/>
    </row>
    <row r="64" ht="18.75" customHeight="1">
      <c r="A64" s="181"/>
      <c r="B64" s="185" t="str">
        <f>IFERROR(__xludf.DUMMYFUNCTION("""COMPUTED_VALUE"""),"Semifinals")</f>
        <v>Semifinals</v>
      </c>
      <c r="C64" s="185" t="str">
        <f>IFERROR(__xludf.DUMMYFUNCTION("""COMPUTED_VALUE"""),"NM1")</f>
        <v>NM1</v>
      </c>
      <c r="D64" s="185">
        <f>IFERROR(__xludf.DUMMYFUNCTION("""COMPUTED_VALUE"""),1717844.0)</f>
        <v>1717844</v>
      </c>
      <c r="E64" s="187" t="s">
        <v>593</v>
      </c>
      <c r="F64" s="188" t="s">
        <v>593</v>
      </c>
      <c r="G64" s="185" t="s">
        <v>992</v>
      </c>
      <c r="H64" s="185">
        <v>178.0</v>
      </c>
      <c r="I64" s="185"/>
      <c r="J64" s="185"/>
      <c r="K64" s="185"/>
      <c r="L64" s="185"/>
      <c r="M64" s="185"/>
      <c r="N64" s="185"/>
      <c r="O64" s="185"/>
      <c r="P64" s="185"/>
      <c r="Q64" s="185"/>
      <c r="R64" s="185"/>
      <c r="S64" s="185"/>
      <c r="T64" s="185"/>
      <c r="U64" s="185"/>
      <c r="V64" s="181"/>
    </row>
    <row r="65" ht="18.75" customHeight="1">
      <c r="A65" s="181"/>
      <c r="B65" s="185" t="str">
        <f>IFERROR(__xludf.DUMMYFUNCTION("""COMPUTED_VALUE"""),"Semifinals")</f>
        <v>Semifinals</v>
      </c>
      <c r="C65" s="185" t="str">
        <f>IFERROR(__xludf.DUMMYFUNCTION("""COMPUTED_VALUE"""),"NM2")</f>
        <v>NM2</v>
      </c>
      <c r="D65" s="185">
        <f>IFERROR(__xludf.DUMMYFUNCTION("""COMPUTED_VALUE"""),3656173.0)</f>
        <v>3656173</v>
      </c>
      <c r="E65" s="187" t="s">
        <v>496</v>
      </c>
      <c r="F65" s="188" t="s">
        <v>496</v>
      </c>
      <c r="G65" s="185" t="s">
        <v>993</v>
      </c>
      <c r="H65" s="185">
        <v>172.0</v>
      </c>
      <c r="I65" s="185"/>
      <c r="J65" s="185"/>
      <c r="K65" s="185"/>
      <c r="L65" s="185"/>
      <c r="M65" s="185"/>
      <c r="N65" s="185"/>
      <c r="O65" s="185"/>
      <c r="P65" s="185"/>
      <c r="Q65" s="185"/>
      <c r="R65" s="185"/>
      <c r="S65" s="185"/>
      <c r="T65" s="185"/>
      <c r="U65" s="185"/>
      <c r="V65" s="181"/>
    </row>
    <row r="66" ht="18.75" customHeight="1">
      <c r="A66" s="181"/>
      <c r="B66" s="185" t="str">
        <f>IFERROR(__xludf.DUMMYFUNCTION("""COMPUTED_VALUE"""),"Semifinals")</f>
        <v>Semifinals</v>
      </c>
      <c r="C66" s="185" t="str">
        <f>IFERROR(__xludf.DUMMYFUNCTION("""COMPUTED_VALUE"""),"NM3")</f>
        <v>NM3</v>
      </c>
      <c r="D66" s="185">
        <f>IFERROR(__xludf.DUMMYFUNCTION("""COMPUTED_VALUE"""),2715749.0)</f>
        <v>2715749</v>
      </c>
      <c r="E66" s="187" t="s">
        <v>501</v>
      </c>
      <c r="F66" s="188" t="s">
        <v>501</v>
      </c>
      <c r="G66" s="185" t="s">
        <v>994</v>
      </c>
      <c r="H66" s="185">
        <v>134.0</v>
      </c>
      <c r="I66" s="185"/>
      <c r="J66" s="185"/>
      <c r="K66" s="185"/>
      <c r="L66" s="185"/>
      <c r="M66" s="185"/>
      <c r="N66" s="185"/>
      <c r="O66" s="185"/>
      <c r="P66" s="185"/>
      <c r="Q66" s="185"/>
      <c r="R66" s="185"/>
      <c r="S66" s="185"/>
      <c r="T66" s="185"/>
      <c r="U66" s="185"/>
      <c r="V66" s="181"/>
    </row>
    <row r="67" ht="18.75" customHeight="1">
      <c r="A67" s="181"/>
      <c r="B67" s="185" t="str">
        <f>IFERROR(__xludf.DUMMYFUNCTION("""COMPUTED_VALUE"""),"Semifinals")</f>
        <v>Semifinals</v>
      </c>
      <c r="C67" s="185" t="str">
        <f>IFERROR(__xludf.DUMMYFUNCTION("""COMPUTED_VALUE"""),"NM4")</f>
        <v>NM4</v>
      </c>
      <c r="D67" s="185">
        <f>IFERROR(__xludf.DUMMYFUNCTION("""COMPUTED_VALUE"""),3291796.0)</f>
        <v>3291796</v>
      </c>
      <c r="E67" s="187" t="s">
        <v>469</v>
      </c>
      <c r="F67" s="188" t="s">
        <v>469</v>
      </c>
      <c r="G67" s="185" t="s">
        <v>995</v>
      </c>
      <c r="H67" s="185">
        <v>172.0</v>
      </c>
      <c r="I67" s="185"/>
      <c r="J67" s="185"/>
      <c r="K67" s="185"/>
      <c r="L67" s="185"/>
      <c r="M67" s="185"/>
      <c r="N67" s="185"/>
      <c r="O67" s="185"/>
      <c r="P67" s="185"/>
      <c r="Q67" s="185"/>
      <c r="R67" s="185"/>
      <c r="S67" s="185"/>
      <c r="T67" s="185"/>
      <c r="U67" s="185"/>
      <c r="V67" s="181"/>
    </row>
    <row r="68" ht="18.75" customHeight="1">
      <c r="A68" s="181"/>
      <c r="B68" s="185" t="str">
        <f>IFERROR(__xludf.DUMMYFUNCTION("""COMPUTED_VALUE"""),"Semifinals")</f>
        <v>Semifinals</v>
      </c>
      <c r="C68" s="185" t="str">
        <f>IFERROR(__xludf.DUMMYFUNCTION("""COMPUTED_VALUE"""),"NM5")</f>
        <v>NM5</v>
      </c>
      <c r="D68" s="185">
        <f>IFERROR(__xludf.DUMMYFUNCTION("""COMPUTED_VALUE"""),3187491.0)</f>
        <v>3187491</v>
      </c>
      <c r="E68" s="187" t="s">
        <v>506</v>
      </c>
      <c r="F68" s="188" t="s">
        <v>506</v>
      </c>
      <c r="G68" s="185" t="s">
        <v>996</v>
      </c>
      <c r="H68" s="185">
        <v>220.0</v>
      </c>
      <c r="I68" s="185"/>
      <c r="J68" s="185"/>
      <c r="K68" s="185"/>
      <c r="L68" s="185"/>
      <c r="M68" s="185"/>
      <c r="N68" s="185"/>
      <c r="O68" s="185"/>
      <c r="P68" s="185"/>
      <c r="Q68" s="185"/>
      <c r="R68" s="185"/>
      <c r="S68" s="185"/>
      <c r="T68" s="185"/>
      <c r="U68" s="185"/>
      <c r="V68" s="181"/>
    </row>
    <row r="69" ht="18.75" customHeight="1">
      <c r="A69" s="181"/>
      <c r="B69" s="185" t="str">
        <f>IFERROR(__xludf.DUMMYFUNCTION("""COMPUTED_VALUE"""),"Semifinals")</f>
        <v>Semifinals</v>
      </c>
      <c r="C69" s="185" t="str">
        <f>IFERROR(__xludf.DUMMYFUNCTION("""COMPUTED_VALUE"""),"NM6")</f>
        <v>NM6</v>
      </c>
      <c r="D69" s="185">
        <f>IFERROR(__xludf.DUMMYFUNCTION("""COMPUTED_VALUE"""),3990086.0)</f>
        <v>3990086</v>
      </c>
      <c r="E69" s="187" t="s">
        <v>336</v>
      </c>
      <c r="F69" s="188" t="s">
        <v>336</v>
      </c>
      <c r="G69" s="185" t="s">
        <v>997</v>
      </c>
      <c r="H69" s="185">
        <v>174.0</v>
      </c>
      <c r="I69" s="185"/>
      <c r="J69" s="185"/>
      <c r="K69" s="185"/>
      <c r="L69" s="185"/>
      <c r="M69" s="185"/>
      <c r="N69" s="185"/>
      <c r="O69" s="185"/>
      <c r="P69" s="185"/>
      <c r="Q69" s="185"/>
      <c r="R69" s="185"/>
      <c r="S69" s="185"/>
      <c r="T69" s="185"/>
      <c r="U69" s="185"/>
      <c r="V69" s="181"/>
    </row>
    <row r="70" ht="18.75" customHeight="1">
      <c r="A70" s="181"/>
      <c r="B70" s="185" t="str">
        <f>IFERROR(__xludf.DUMMYFUNCTION("""COMPUTED_VALUE"""),"Semifinals")</f>
        <v>Semifinals</v>
      </c>
      <c r="C70" s="185" t="str">
        <f>IFERROR(__xludf.DUMMYFUNCTION("""COMPUTED_VALUE"""),"HD1")</f>
        <v>HD1</v>
      </c>
      <c r="D70" s="185">
        <f>IFERROR(__xludf.DUMMYFUNCTION("""COMPUTED_VALUE"""),1972425.0)</f>
        <v>1972425</v>
      </c>
      <c r="E70" s="187" t="s">
        <v>513</v>
      </c>
      <c r="F70" s="188" t="s">
        <v>513</v>
      </c>
      <c r="G70" s="185" t="s">
        <v>998</v>
      </c>
      <c r="H70" s="185">
        <v>183.0</v>
      </c>
      <c r="I70" s="185"/>
      <c r="J70" s="185"/>
      <c r="K70" s="185"/>
      <c r="L70" s="185"/>
      <c r="M70" s="185"/>
      <c r="N70" s="185"/>
      <c r="O70" s="185"/>
      <c r="P70" s="185"/>
      <c r="Q70" s="185"/>
      <c r="R70" s="185"/>
      <c r="S70" s="185"/>
      <c r="T70" s="185"/>
      <c r="U70" s="185"/>
      <c r="V70" s="181"/>
    </row>
    <row r="71" ht="18.75" customHeight="1">
      <c r="A71" s="181"/>
      <c r="B71" s="185" t="str">
        <f>IFERROR(__xludf.DUMMYFUNCTION("""COMPUTED_VALUE"""),"Semifinals")</f>
        <v>Semifinals</v>
      </c>
      <c r="C71" s="185" t="str">
        <f>IFERROR(__xludf.DUMMYFUNCTION("""COMPUTED_VALUE"""),"HD2")</f>
        <v>HD2</v>
      </c>
      <c r="D71" s="185">
        <f>IFERROR(__xludf.DUMMYFUNCTION("""COMPUTED_VALUE"""),2277128.0)</f>
        <v>2277128</v>
      </c>
      <c r="E71" s="187" t="s">
        <v>478</v>
      </c>
      <c r="F71" s="188" t="s">
        <v>478</v>
      </c>
      <c r="G71" s="185" t="s">
        <v>999</v>
      </c>
      <c r="H71" s="185">
        <v>180.0</v>
      </c>
      <c r="I71" s="185"/>
      <c r="J71" s="185"/>
      <c r="K71" s="185"/>
      <c r="L71" s="185"/>
      <c r="M71" s="185"/>
      <c r="N71" s="185"/>
      <c r="O71" s="185"/>
      <c r="P71" s="185"/>
      <c r="Q71" s="185"/>
      <c r="R71" s="185"/>
      <c r="S71" s="185"/>
      <c r="T71" s="185"/>
      <c r="U71" s="185"/>
      <c r="V71" s="181"/>
    </row>
    <row r="72" ht="18.75" customHeight="1">
      <c r="A72" s="181"/>
      <c r="B72" s="185" t="str">
        <f>IFERROR(__xludf.DUMMYFUNCTION("""COMPUTED_VALUE"""),"Semifinals")</f>
        <v>Semifinals</v>
      </c>
      <c r="C72" s="185" t="str">
        <f>IFERROR(__xludf.DUMMYFUNCTION("""COMPUTED_VALUE"""),"HD3")</f>
        <v>HD3</v>
      </c>
      <c r="D72" s="185">
        <f>IFERROR(__xludf.DUMMYFUNCTION("""COMPUTED_VALUE"""),2044890.0)</f>
        <v>2044890</v>
      </c>
      <c r="E72" s="187" t="s">
        <v>520</v>
      </c>
      <c r="F72" s="188" t="s">
        <v>520</v>
      </c>
      <c r="G72" s="185" t="s">
        <v>972</v>
      </c>
      <c r="H72" s="185">
        <v>170.0</v>
      </c>
      <c r="I72" s="185"/>
      <c r="J72" s="185"/>
      <c r="K72" s="185"/>
      <c r="L72" s="185"/>
      <c r="M72" s="185"/>
      <c r="N72" s="185"/>
      <c r="O72" s="185"/>
      <c r="P72" s="185"/>
      <c r="Q72" s="185"/>
      <c r="R72" s="185"/>
      <c r="S72" s="185"/>
      <c r="T72" s="185"/>
      <c r="U72" s="185"/>
      <c r="V72" s="181"/>
    </row>
    <row r="73" ht="18.75" customHeight="1">
      <c r="A73" s="181"/>
      <c r="B73" s="185" t="str">
        <f>IFERROR(__xludf.DUMMYFUNCTION("""COMPUTED_VALUE"""),"Semifinals")</f>
        <v>Semifinals</v>
      </c>
      <c r="C73" s="185" t="str">
        <f>IFERROR(__xludf.DUMMYFUNCTION("""COMPUTED_VALUE"""),"HR1")</f>
        <v>HR1</v>
      </c>
      <c r="D73" s="185">
        <f>IFERROR(__xludf.DUMMYFUNCTION("""COMPUTED_VALUE"""),3454421.0)</f>
        <v>3454421</v>
      </c>
      <c r="E73" s="187" t="s">
        <v>525</v>
      </c>
      <c r="F73" s="188" t="s">
        <v>525</v>
      </c>
      <c r="G73" s="185" t="s">
        <v>1000</v>
      </c>
      <c r="H73" s="185">
        <v>206.0</v>
      </c>
      <c r="I73" s="185"/>
      <c r="J73" s="185"/>
      <c r="K73" s="185"/>
      <c r="L73" s="185"/>
      <c r="M73" s="185"/>
      <c r="N73" s="185"/>
      <c r="O73" s="185"/>
      <c r="P73" s="185"/>
      <c r="Q73" s="185"/>
      <c r="R73" s="185"/>
      <c r="S73" s="185"/>
      <c r="T73" s="185"/>
      <c r="U73" s="185"/>
      <c r="V73" s="181"/>
    </row>
    <row r="74" ht="18.75" customHeight="1">
      <c r="A74" s="181"/>
      <c r="B74" s="185" t="str">
        <f>IFERROR(__xludf.DUMMYFUNCTION("""COMPUTED_VALUE"""),"Semifinals")</f>
        <v>Semifinals</v>
      </c>
      <c r="C74" s="185" t="str">
        <f>IFERROR(__xludf.DUMMYFUNCTION("""COMPUTED_VALUE"""),"HR2")</f>
        <v>HR2</v>
      </c>
      <c r="D74" s="185">
        <f>IFERROR(__xludf.DUMMYFUNCTION("""COMPUTED_VALUE"""),2917786.0)</f>
        <v>2917786</v>
      </c>
      <c r="E74" s="187" t="s">
        <v>461</v>
      </c>
      <c r="F74" s="188" t="s">
        <v>461</v>
      </c>
      <c r="G74" s="185" t="s">
        <v>1001</v>
      </c>
      <c r="H74" s="185">
        <v>130.0</v>
      </c>
      <c r="I74" s="185"/>
      <c r="J74" s="185"/>
      <c r="K74" s="185"/>
      <c r="L74" s="185"/>
      <c r="M74" s="185"/>
      <c r="N74" s="185"/>
      <c r="O74" s="185"/>
      <c r="P74" s="185"/>
      <c r="Q74" s="185"/>
      <c r="R74" s="185"/>
      <c r="S74" s="185"/>
      <c r="T74" s="185"/>
      <c r="U74" s="185"/>
      <c r="V74" s="181"/>
    </row>
    <row r="75" ht="18.75" customHeight="1">
      <c r="A75" s="181"/>
      <c r="B75" s="185" t="str">
        <f>IFERROR(__xludf.DUMMYFUNCTION("""COMPUTED_VALUE"""),"Semifinals")</f>
        <v>Semifinals</v>
      </c>
      <c r="C75" s="185" t="str">
        <f>IFERROR(__xludf.DUMMYFUNCTION("""COMPUTED_VALUE"""),"HR3")</f>
        <v>HR3</v>
      </c>
      <c r="D75" s="185">
        <f>IFERROR(__xludf.DUMMYFUNCTION("""COMPUTED_VALUE"""),1405094.0)</f>
        <v>1405094</v>
      </c>
      <c r="E75" s="187" t="s">
        <v>534</v>
      </c>
      <c r="F75" s="188" t="s">
        <v>534</v>
      </c>
      <c r="G75" s="185" t="s">
        <v>996</v>
      </c>
      <c r="H75" s="185">
        <v>144.0</v>
      </c>
      <c r="I75" s="185"/>
      <c r="J75" s="185"/>
      <c r="K75" s="185"/>
      <c r="L75" s="185"/>
      <c r="M75" s="185"/>
      <c r="N75" s="185"/>
      <c r="O75" s="185"/>
      <c r="P75" s="185"/>
      <c r="Q75" s="185"/>
      <c r="R75" s="185"/>
      <c r="S75" s="185"/>
      <c r="T75" s="185"/>
      <c r="U75" s="185"/>
      <c r="V75" s="181"/>
    </row>
    <row r="76" ht="18.75" customHeight="1">
      <c r="A76" s="181"/>
      <c r="B76" s="185" t="str">
        <f>IFERROR(__xludf.DUMMYFUNCTION("""COMPUTED_VALUE"""),"Semifinals")</f>
        <v>Semifinals</v>
      </c>
      <c r="C76" s="185" t="str">
        <f>IFERROR(__xludf.DUMMYFUNCTION("""COMPUTED_VALUE"""),"DT1")</f>
        <v>DT1</v>
      </c>
      <c r="D76" s="185">
        <f>IFERROR(__xludf.DUMMYFUNCTION("""COMPUTED_VALUE"""),1592512.0)</f>
        <v>1592512</v>
      </c>
      <c r="E76" s="187" t="s">
        <v>537</v>
      </c>
      <c r="F76" s="188" t="s">
        <v>537</v>
      </c>
      <c r="G76" s="185" t="s">
        <v>1002</v>
      </c>
      <c r="H76" s="185">
        <v>190.0</v>
      </c>
      <c r="I76" s="185"/>
      <c r="J76" s="185"/>
      <c r="K76" s="185"/>
      <c r="L76" s="185"/>
      <c r="M76" s="185"/>
      <c r="N76" s="185"/>
      <c r="O76" s="185"/>
      <c r="P76" s="185"/>
      <c r="Q76" s="185"/>
      <c r="R76" s="185"/>
      <c r="S76" s="185"/>
      <c r="T76" s="185"/>
      <c r="U76" s="185"/>
      <c r="V76" s="181"/>
    </row>
    <row r="77" ht="18.75" customHeight="1">
      <c r="A77" s="181"/>
      <c r="B77" s="185" t="str">
        <f>IFERROR(__xludf.DUMMYFUNCTION("""COMPUTED_VALUE"""),"Semifinals")</f>
        <v>Semifinals</v>
      </c>
      <c r="C77" s="185" t="str">
        <f>IFERROR(__xludf.DUMMYFUNCTION("""COMPUTED_VALUE"""),"DT2")</f>
        <v>DT2</v>
      </c>
      <c r="D77" s="185">
        <f>IFERROR(__xludf.DUMMYFUNCTION("""COMPUTED_VALUE"""),2388648.0)</f>
        <v>2388648</v>
      </c>
      <c r="E77" s="187" t="s">
        <v>541</v>
      </c>
      <c r="F77" s="188" t="s">
        <v>541</v>
      </c>
      <c r="G77" s="185" t="s">
        <v>1003</v>
      </c>
      <c r="H77" s="185">
        <v>145.0</v>
      </c>
      <c r="I77" s="185"/>
      <c r="J77" s="185"/>
      <c r="K77" s="185"/>
      <c r="L77" s="185"/>
      <c r="M77" s="185"/>
      <c r="N77" s="185"/>
      <c r="O77" s="185"/>
      <c r="P77" s="185"/>
      <c r="Q77" s="185"/>
      <c r="R77" s="185"/>
      <c r="S77" s="185"/>
      <c r="T77" s="185"/>
      <c r="U77" s="185"/>
      <c r="V77" s="181"/>
    </row>
    <row r="78" ht="18.75" customHeight="1">
      <c r="A78" s="181"/>
      <c r="B78" s="185" t="str">
        <f>IFERROR(__xludf.DUMMYFUNCTION("""COMPUTED_VALUE"""),"Semifinals")</f>
        <v>Semifinals</v>
      </c>
      <c r="C78" s="185" t="str">
        <f>IFERROR(__xludf.DUMMYFUNCTION("""COMPUTED_VALUE"""),"DT3")</f>
        <v>DT3</v>
      </c>
      <c r="D78" s="185">
        <f>IFERROR(__xludf.DUMMYFUNCTION("""COMPUTED_VALUE"""),3819183.0)</f>
        <v>3819183</v>
      </c>
      <c r="E78" s="187" t="s">
        <v>544</v>
      </c>
      <c r="F78" s="188" t="s">
        <v>544</v>
      </c>
      <c r="G78" s="185" t="s">
        <v>1004</v>
      </c>
      <c r="H78" s="185">
        <v>170.0</v>
      </c>
      <c r="I78" s="185"/>
      <c r="J78" s="185"/>
      <c r="K78" s="185"/>
      <c r="L78" s="185"/>
      <c r="M78" s="185"/>
      <c r="N78" s="185"/>
      <c r="O78" s="185"/>
      <c r="P78" s="185"/>
      <c r="Q78" s="185"/>
      <c r="R78" s="185"/>
      <c r="S78" s="185"/>
      <c r="T78" s="185"/>
      <c r="U78" s="185"/>
      <c r="V78" s="181"/>
    </row>
    <row r="79" ht="18.75" customHeight="1">
      <c r="A79" s="181"/>
      <c r="B79" s="185" t="str">
        <f>IFERROR(__xludf.DUMMYFUNCTION("""COMPUTED_VALUE"""),"Semifinals")</f>
        <v>Semifinals</v>
      </c>
      <c r="C79" s="185" t="str">
        <f>IFERROR(__xludf.DUMMYFUNCTION("""COMPUTED_VALUE"""),"FM1")</f>
        <v>FM1</v>
      </c>
      <c r="D79" s="185">
        <f>IFERROR(__xludf.DUMMYFUNCTION("""COMPUTED_VALUE"""),2514122.0)</f>
        <v>2514122</v>
      </c>
      <c r="E79" s="187" t="s">
        <v>74</v>
      </c>
      <c r="F79" s="188" t="s">
        <v>74</v>
      </c>
      <c r="G79" s="185" t="s">
        <v>1005</v>
      </c>
      <c r="H79" s="185">
        <v>200.0</v>
      </c>
      <c r="I79" s="185"/>
      <c r="J79" s="185"/>
      <c r="K79" s="185"/>
      <c r="L79" s="185"/>
      <c r="M79" s="185"/>
      <c r="N79" s="185"/>
      <c r="O79" s="185"/>
      <c r="P79" s="185"/>
      <c r="Q79" s="185"/>
      <c r="R79" s="185"/>
      <c r="S79" s="185"/>
      <c r="T79" s="185"/>
      <c r="U79" s="185"/>
      <c r="V79" s="181"/>
    </row>
    <row r="80" ht="18.75" customHeight="1">
      <c r="A80" s="181"/>
      <c r="B80" s="185" t="str">
        <f>IFERROR(__xludf.DUMMYFUNCTION("""COMPUTED_VALUE"""),"Semifinals")</f>
        <v>Semifinals</v>
      </c>
      <c r="C80" s="185" t="str">
        <f>IFERROR(__xludf.DUMMYFUNCTION("""COMPUTED_VALUE"""),"FM2")</f>
        <v>FM2</v>
      </c>
      <c r="D80" s="185">
        <f>IFERROR(__xludf.DUMMYFUNCTION("""COMPUTED_VALUE"""),28366.0)</f>
        <v>28366</v>
      </c>
      <c r="E80" s="187" t="s">
        <v>552</v>
      </c>
      <c r="F80" s="188" t="s">
        <v>552</v>
      </c>
      <c r="G80" s="185" t="s">
        <v>1006</v>
      </c>
      <c r="H80" s="185">
        <v>160.0</v>
      </c>
      <c r="I80" s="185"/>
      <c r="J80" s="185"/>
      <c r="K80" s="185"/>
      <c r="L80" s="185"/>
      <c r="M80" s="185"/>
      <c r="N80" s="185"/>
      <c r="O80" s="185"/>
      <c r="P80" s="185"/>
      <c r="Q80" s="185"/>
      <c r="R80" s="185"/>
      <c r="S80" s="185"/>
      <c r="T80" s="185"/>
      <c r="U80" s="185"/>
      <c r="V80" s="181"/>
    </row>
    <row r="81" ht="18.75" customHeight="1">
      <c r="A81" s="181"/>
      <c r="B81" s="185" t="str">
        <f>IFERROR(__xludf.DUMMYFUNCTION("""COMPUTED_VALUE"""),"Semifinals")</f>
        <v>Semifinals</v>
      </c>
      <c r="C81" s="185" t="str">
        <f>IFERROR(__xludf.DUMMYFUNCTION("""COMPUTED_VALUE"""),"TB1")</f>
        <v>TB1</v>
      </c>
      <c r="D81" s="185">
        <f>IFERROR(__xludf.DUMMYFUNCTION("""COMPUTED_VALUE"""),1248147.0)</f>
        <v>1248147</v>
      </c>
      <c r="E81" s="187" t="s">
        <v>556</v>
      </c>
      <c r="F81" s="188" t="s">
        <v>556</v>
      </c>
      <c r="G81" s="185" t="s">
        <v>996</v>
      </c>
      <c r="H81" s="185">
        <v>170.0</v>
      </c>
      <c r="I81" s="185"/>
      <c r="J81" s="185"/>
      <c r="K81" s="185"/>
      <c r="L81" s="185"/>
      <c r="M81" s="185"/>
      <c r="N81" s="185"/>
      <c r="O81" s="185"/>
      <c r="P81" s="185"/>
      <c r="Q81" s="185"/>
      <c r="R81" s="185"/>
      <c r="S81" s="185"/>
      <c r="T81" s="185"/>
      <c r="U81" s="185"/>
      <c r="V81" s="181"/>
    </row>
    <row r="82" ht="18.75" customHeight="1">
      <c r="A82" s="181"/>
      <c r="B82" s="185" t="str">
        <f>IFERROR(__xludf.DUMMYFUNCTION("""COMPUTED_VALUE"""),"Finals")</f>
        <v>Finals</v>
      </c>
      <c r="C82" s="185" t="str">
        <f>IFERROR(__xludf.DUMMYFUNCTION("""COMPUTED_VALUE"""),"NM1")</f>
        <v>NM1</v>
      </c>
      <c r="D82" s="185">
        <f>IFERROR(__xludf.DUMMYFUNCTION("""COMPUTED_VALUE"""),2198934.0)</f>
        <v>2198934</v>
      </c>
      <c r="E82" s="187" t="s">
        <v>640</v>
      </c>
      <c r="F82" s="188" t="s">
        <v>640</v>
      </c>
      <c r="G82" s="185" t="s">
        <v>996</v>
      </c>
      <c r="H82" s="185">
        <v>202.0</v>
      </c>
      <c r="I82" s="185"/>
      <c r="J82" s="185"/>
      <c r="K82" s="185"/>
      <c r="L82" s="185"/>
      <c r="M82" s="185"/>
      <c r="N82" s="185"/>
      <c r="O82" s="185"/>
      <c r="P82" s="185"/>
      <c r="Q82" s="185"/>
      <c r="R82" s="185"/>
      <c r="S82" s="185"/>
      <c r="T82" s="185"/>
      <c r="U82" s="185"/>
      <c r="V82" s="181"/>
    </row>
    <row r="83" ht="18.75" customHeight="1">
      <c r="A83" s="181"/>
      <c r="B83" s="185" t="str">
        <f>IFERROR(__xludf.DUMMYFUNCTION("""COMPUTED_VALUE"""),"Finals")</f>
        <v>Finals</v>
      </c>
      <c r="C83" s="185" t="str">
        <f>IFERROR(__xludf.DUMMYFUNCTION("""COMPUTED_VALUE"""),"NM2")</f>
        <v>NM2</v>
      </c>
      <c r="D83" s="185">
        <f>IFERROR(__xludf.DUMMYFUNCTION("""COMPUTED_VALUE"""),3010348.0)</f>
        <v>3010348</v>
      </c>
      <c r="E83" s="187" t="s">
        <v>600</v>
      </c>
      <c r="F83" s="188" t="s">
        <v>600</v>
      </c>
      <c r="G83" s="185" t="s">
        <v>1007</v>
      </c>
      <c r="H83" s="185">
        <v>171.3</v>
      </c>
      <c r="I83" s="185"/>
      <c r="J83" s="185"/>
      <c r="K83" s="185"/>
      <c r="L83" s="185"/>
      <c r="M83" s="185"/>
      <c r="N83" s="185"/>
      <c r="O83" s="185"/>
      <c r="P83" s="185"/>
      <c r="Q83" s="185"/>
      <c r="R83" s="185"/>
      <c r="S83" s="185"/>
      <c r="T83" s="185"/>
      <c r="U83" s="185"/>
      <c r="V83" s="181"/>
    </row>
    <row r="84" ht="18.75" customHeight="1">
      <c r="A84" s="181"/>
      <c r="B84" s="185" t="str">
        <f>IFERROR(__xludf.DUMMYFUNCTION("""COMPUTED_VALUE"""),"Finals")</f>
        <v>Finals</v>
      </c>
      <c r="C84" s="185" t="str">
        <f>IFERROR(__xludf.DUMMYFUNCTION("""COMPUTED_VALUE"""),"NM3")</f>
        <v>NM3</v>
      </c>
      <c r="D84" s="185">
        <f>IFERROR(__xludf.DUMMYFUNCTION("""COMPUTED_VALUE"""),3774971.0)</f>
        <v>3774971</v>
      </c>
      <c r="E84" s="187" t="s">
        <v>605</v>
      </c>
      <c r="F84" s="188" t="s">
        <v>605</v>
      </c>
      <c r="G84" s="185" t="s">
        <v>1008</v>
      </c>
      <c r="H84" s="185">
        <v>128.0</v>
      </c>
      <c r="I84" s="185"/>
      <c r="J84" s="185"/>
      <c r="K84" s="185"/>
      <c r="L84" s="185"/>
      <c r="M84" s="185"/>
      <c r="N84" s="185"/>
      <c r="O84" s="185"/>
      <c r="P84" s="185"/>
      <c r="Q84" s="185"/>
      <c r="R84" s="185"/>
      <c r="S84" s="185"/>
      <c r="T84" s="185"/>
      <c r="U84" s="185"/>
      <c r="V84" s="181"/>
    </row>
    <row r="85" ht="18.75" customHeight="1">
      <c r="A85" s="181"/>
      <c r="B85" s="185" t="str">
        <f>IFERROR(__xludf.DUMMYFUNCTION("""COMPUTED_VALUE"""),"Finals")</f>
        <v>Finals</v>
      </c>
      <c r="C85" s="185" t="str">
        <f>IFERROR(__xludf.DUMMYFUNCTION("""COMPUTED_VALUE"""),"NM4")</f>
        <v>NM4</v>
      </c>
      <c r="D85" s="185">
        <f>IFERROR(__xludf.DUMMYFUNCTION("""COMPUTED_VALUE"""),3802110.0)</f>
        <v>3802110</v>
      </c>
      <c r="E85" s="187" t="s">
        <v>608</v>
      </c>
      <c r="F85" s="188" t="s">
        <v>608</v>
      </c>
      <c r="G85" s="185" t="s">
        <v>1009</v>
      </c>
      <c r="H85" s="185">
        <v>128.0</v>
      </c>
      <c r="I85" s="185"/>
      <c r="J85" s="185"/>
      <c r="K85" s="185"/>
      <c r="L85" s="185"/>
      <c r="M85" s="185"/>
      <c r="N85" s="185"/>
      <c r="O85" s="185"/>
      <c r="P85" s="185"/>
      <c r="Q85" s="185"/>
      <c r="R85" s="185"/>
      <c r="S85" s="185"/>
      <c r="T85" s="185"/>
      <c r="U85" s="185"/>
      <c r="V85" s="181"/>
    </row>
    <row r="86" ht="18.75" customHeight="1">
      <c r="A86" s="181"/>
      <c r="B86" s="185" t="str">
        <f>IFERROR(__xludf.DUMMYFUNCTION("""COMPUTED_VALUE"""),"Finals")</f>
        <v>Finals</v>
      </c>
      <c r="C86" s="185" t="str">
        <f>IFERROR(__xludf.DUMMYFUNCTION("""COMPUTED_VALUE"""),"NM5")</f>
        <v>NM5</v>
      </c>
      <c r="D86" s="185">
        <f>IFERROR(__xludf.DUMMYFUNCTION("""COMPUTED_VALUE"""),309900.0)</f>
        <v>309900</v>
      </c>
      <c r="E86" s="187" t="s">
        <v>614</v>
      </c>
      <c r="F86" s="188" t="s">
        <v>614</v>
      </c>
      <c r="G86" s="185" t="s">
        <v>1010</v>
      </c>
      <c r="H86" s="185">
        <v>220.0</v>
      </c>
      <c r="I86" s="185"/>
      <c r="J86" s="185"/>
      <c r="K86" s="185"/>
      <c r="L86" s="185"/>
      <c r="M86" s="185"/>
      <c r="N86" s="185"/>
      <c r="O86" s="185"/>
      <c r="P86" s="185"/>
      <c r="Q86" s="185"/>
      <c r="R86" s="185"/>
      <c r="S86" s="185"/>
      <c r="T86" s="185"/>
      <c r="U86" s="185"/>
      <c r="V86" s="181"/>
    </row>
    <row r="87" ht="18.75" customHeight="1">
      <c r="A87" s="181"/>
      <c r="B87" s="185" t="str">
        <f>IFERROR(__xludf.DUMMYFUNCTION("""COMPUTED_VALUE"""),"Finals")</f>
        <v>Finals</v>
      </c>
      <c r="C87" s="185" t="str">
        <f>IFERROR(__xludf.DUMMYFUNCTION("""COMPUTED_VALUE"""),"NM6")</f>
        <v>NM6</v>
      </c>
      <c r="D87" s="185">
        <f>IFERROR(__xludf.DUMMYFUNCTION("""COMPUTED_VALUE"""),3870932.0)</f>
        <v>3870932</v>
      </c>
      <c r="E87" s="187" t="s">
        <v>454</v>
      </c>
      <c r="F87" s="188" t="s">
        <v>454</v>
      </c>
      <c r="G87" s="185" t="s">
        <v>1011</v>
      </c>
      <c r="H87" s="185">
        <v>160.0</v>
      </c>
      <c r="I87" s="185"/>
      <c r="J87" s="185"/>
      <c r="K87" s="185"/>
      <c r="L87" s="185"/>
      <c r="M87" s="185"/>
      <c r="N87" s="185"/>
      <c r="O87" s="185"/>
      <c r="P87" s="185"/>
      <c r="Q87" s="185"/>
      <c r="R87" s="185"/>
      <c r="S87" s="185"/>
      <c r="T87" s="185"/>
      <c r="U87" s="185"/>
      <c r="V87" s="181"/>
    </row>
    <row r="88" ht="18.75" customHeight="1">
      <c r="A88" s="181"/>
      <c r="B88" s="185" t="str">
        <f>IFERROR(__xludf.DUMMYFUNCTION("""COMPUTED_VALUE"""),"Finals")</f>
        <v>Finals</v>
      </c>
      <c r="C88" s="185" t="str">
        <f>IFERROR(__xludf.DUMMYFUNCTION("""COMPUTED_VALUE"""),"HD1")</f>
        <v>HD1</v>
      </c>
      <c r="D88" s="185">
        <f>IFERROR(__xludf.DUMMYFUNCTION("""COMPUTED_VALUE"""),571620.0)</f>
        <v>571620</v>
      </c>
      <c r="E88" s="187" t="s">
        <v>624</v>
      </c>
      <c r="F88" s="188" t="s">
        <v>624</v>
      </c>
      <c r="G88" s="185" t="s">
        <v>1012</v>
      </c>
      <c r="H88" s="185">
        <v>175.0</v>
      </c>
      <c r="I88" s="185"/>
      <c r="J88" s="185"/>
      <c r="K88" s="185"/>
      <c r="L88" s="185"/>
      <c r="M88" s="185"/>
      <c r="N88" s="185"/>
      <c r="O88" s="185"/>
      <c r="P88" s="185"/>
      <c r="Q88" s="185"/>
      <c r="R88" s="185"/>
      <c r="S88" s="185"/>
      <c r="T88" s="185"/>
      <c r="U88" s="185"/>
      <c r="V88" s="181"/>
    </row>
    <row r="89" ht="18.75" customHeight="1">
      <c r="A89" s="181"/>
      <c r="B89" s="185" t="str">
        <f>IFERROR(__xludf.DUMMYFUNCTION("""COMPUTED_VALUE"""),"Finals")</f>
        <v>Finals</v>
      </c>
      <c r="C89" s="185" t="str">
        <f>IFERROR(__xludf.DUMMYFUNCTION("""COMPUTED_VALUE"""),"HD2")</f>
        <v>HD2</v>
      </c>
      <c r="D89" s="185">
        <f>IFERROR(__xludf.DUMMYFUNCTION("""COMPUTED_VALUE"""),3563737.0)</f>
        <v>3563737</v>
      </c>
      <c r="E89" s="187" t="s">
        <v>630</v>
      </c>
      <c r="F89" s="188" t="s">
        <v>630</v>
      </c>
      <c r="G89" s="185" t="s">
        <v>1013</v>
      </c>
      <c r="H89" s="185">
        <v>170.0</v>
      </c>
      <c r="I89" s="185"/>
      <c r="J89" s="185"/>
      <c r="K89" s="185"/>
      <c r="L89" s="185"/>
      <c r="M89" s="185"/>
      <c r="N89" s="185"/>
      <c r="O89" s="185"/>
      <c r="P89" s="185"/>
      <c r="Q89" s="185"/>
      <c r="R89" s="185"/>
      <c r="S89" s="185"/>
      <c r="T89" s="185"/>
      <c r="U89" s="185"/>
      <c r="V89" s="181"/>
    </row>
    <row r="90" ht="18.75" customHeight="1">
      <c r="A90" s="181"/>
      <c r="B90" s="185" t="str">
        <f>IFERROR(__xludf.DUMMYFUNCTION("""COMPUTED_VALUE"""),"Finals")</f>
        <v>Finals</v>
      </c>
      <c r="C90" s="185" t="str">
        <f>IFERROR(__xludf.DUMMYFUNCTION("""COMPUTED_VALUE"""),"HD3")</f>
        <v>HD3</v>
      </c>
      <c r="D90" s="185">
        <f>IFERROR(__xludf.DUMMYFUNCTION("""COMPUTED_VALUE"""),2751338.0)</f>
        <v>2751338</v>
      </c>
      <c r="E90" s="187" t="s">
        <v>598</v>
      </c>
      <c r="F90" s="188" t="s">
        <v>598</v>
      </c>
      <c r="G90" s="185" t="s">
        <v>1014</v>
      </c>
      <c r="H90" s="185">
        <v>80.0</v>
      </c>
      <c r="I90" s="185"/>
      <c r="J90" s="185"/>
      <c r="K90" s="185"/>
      <c r="L90" s="185"/>
      <c r="M90" s="185"/>
      <c r="N90" s="185"/>
      <c r="O90" s="185"/>
      <c r="P90" s="185"/>
      <c r="Q90" s="185"/>
      <c r="R90" s="185"/>
      <c r="S90" s="185"/>
      <c r="T90" s="185"/>
      <c r="U90" s="185"/>
      <c r="V90" s="181"/>
    </row>
    <row r="91" ht="18.75" customHeight="1">
      <c r="A91" s="181"/>
      <c r="B91" s="185" t="str">
        <f>IFERROR(__xludf.DUMMYFUNCTION("""COMPUTED_VALUE"""),"Finals")</f>
        <v>Finals</v>
      </c>
      <c r="C91" s="185" t="str">
        <f>IFERROR(__xludf.DUMMYFUNCTION("""COMPUTED_VALUE"""),"HR1")</f>
        <v>HR1</v>
      </c>
      <c r="D91" s="185">
        <f>IFERROR(__xludf.DUMMYFUNCTION("""COMPUTED_VALUE"""),2288966.0)</f>
        <v>2288966</v>
      </c>
      <c r="E91" s="187" t="s">
        <v>638</v>
      </c>
      <c r="F91" s="188" t="s">
        <v>638</v>
      </c>
      <c r="G91" s="185" t="s">
        <v>1015</v>
      </c>
      <c r="H91" s="185">
        <v>180.0</v>
      </c>
      <c r="I91" s="185"/>
      <c r="J91" s="185"/>
      <c r="K91" s="185"/>
      <c r="L91" s="185"/>
      <c r="M91" s="185"/>
      <c r="N91" s="185"/>
      <c r="O91" s="185"/>
      <c r="P91" s="185"/>
      <c r="Q91" s="185"/>
      <c r="R91" s="185"/>
      <c r="S91" s="185"/>
      <c r="T91" s="185"/>
      <c r="U91" s="185"/>
      <c r="V91" s="181"/>
    </row>
    <row r="92" ht="18.75" customHeight="1">
      <c r="A92" s="181"/>
      <c r="B92" s="185" t="str">
        <f>IFERROR(__xludf.DUMMYFUNCTION("""COMPUTED_VALUE"""),"Finals")</f>
        <v>Finals</v>
      </c>
      <c r="C92" s="185" t="str">
        <f>IFERROR(__xludf.DUMMYFUNCTION("""COMPUTED_VALUE"""),"HR2")</f>
        <v>HR2</v>
      </c>
      <c r="D92" s="185">
        <f>IFERROR(__xludf.DUMMYFUNCTION("""COMPUTED_VALUE"""),2691754.0)</f>
        <v>2691754</v>
      </c>
      <c r="E92" s="187" t="s">
        <v>642</v>
      </c>
      <c r="F92" s="188" t="s">
        <v>642</v>
      </c>
      <c r="G92" s="185" t="s">
        <v>1016</v>
      </c>
      <c r="H92" s="185">
        <v>170.0</v>
      </c>
      <c r="I92" s="185"/>
      <c r="J92" s="185"/>
      <c r="K92" s="185"/>
      <c r="L92" s="185"/>
      <c r="M92" s="185"/>
      <c r="N92" s="185"/>
      <c r="O92" s="185"/>
      <c r="P92" s="185"/>
      <c r="Q92" s="185"/>
      <c r="R92" s="185"/>
      <c r="S92" s="185"/>
      <c r="T92" s="185"/>
      <c r="U92" s="185"/>
      <c r="V92" s="181"/>
    </row>
    <row r="93" ht="18.75" customHeight="1">
      <c r="A93" s="181"/>
      <c r="B93" s="185" t="str">
        <f>IFERROR(__xludf.DUMMYFUNCTION("""COMPUTED_VALUE"""),"Finals")</f>
        <v>Finals</v>
      </c>
      <c r="C93" s="185" t="str">
        <f>IFERROR(__xludf.DUMMYFUNCTION("""COMPUTED_VALUE"""),"HR3")</f>
        <v>HR3</v>
      </c>
      <c r="D93" s="185">
        <f>IFERROR(__xludf.DUMMYFUNCTION("""COMPUTED_VALUE"""),2856139.0)</f>
        <v>2856139</v>
      </c>
      <c r="E93" s="187" t="s">
        <v>646</v>
      </c>
      <c r="F93" s="188" t="s">
        <v>646</v>
      </c>
      <c r="G93" s="185" t="s">
        <v>1017</v>
      </c>
      <c r="H93" s="185">
        <v>177.0</v>
      </c>
      <c r="I93" s="185"/>
      <c r="J93" s="185"/>
      <c r="K93" s="185"/>
      <c r="L93" s="185"/>
      <c r="M93" s="185"/>
      <c r="N93" s="185"/>
      <c r="O93" s="185"/>
      <c r="P93" s="185"/>
      <c r="Q93" s="185"/>
      <c r="R93" s="185"/>
      <c r="S93" s="185"/>
      <c r="T93" s="185"/>
      <c r="U93" s="185"/>
      <c r="V93" s="181"/>
    </row>
    <row r="94" ht="18.75" customHeight="1">
      <c r="A94" s="181"/>
      <c r="B94" s="185" t="str">
        <f>IFERROR(__xludf.DUMMYFUNCTION("""COMPUTED_VALUE"""),"Finals")</f>
        <v>Finals</v>
      </c>
      <c r="C94" s="185" t="str">
        <f>IFERROR(__xludf.DUMMYFUNCTION("""COMPUTED_VALUE"""),"DT1")</f>
        <v>DT1</v>
      </c>
      <c r="D94" s="185">
        <f>IFERROR(__xludf.DUMMYFUNCTION("""COMPUTED_VALUE"""),765880.0)</f>
        <v>765880</v>
      </c>
      <c r="E94" s="187" t="s">
        <v>651</v>
      </c>
      <c r="F94" s="188" t="s">
        <v>651</v>
      </c>
      <c r="G94" s="185" t="s">
        <v>1018</v>
      </c>
      <c r="H94" s="185">
        <v>130.0</v>
      </c>
      <c r="I94" s="185"/>
      <c r="J94" s="185"/>
      <c r="K94" s="185"/>
      <c r="L94" s="185"/>
      <c r="M94" s="185"/>
      <c r="N94" s="185"/>
      <c r="O94" s="185"/>
      <c r="P94" s="185"/>
      <c r="Q94" s="185"/>
      <c r="R94" s="185"/>
      <c r="S94" s="185"/>
      <c r="T94" s="185"/>
      <c r="U94" s="185"/>
      <c r="V94" s="181"/>
    </row>
    <row r="95" ht="18.75" customHeight="1">
      <c r="A95" s="181"/>
      <c r="B95" s="185" t="str">
        <f>IFERROR(__xludf.DUMMYFUNCTION("""COMPUTED_VALUE"""),"Finals")</f>
        <v>Finals</v>
      </c>
      <c r="C95" s="185" t="str">
        <f>IFERROR(__xludf.DUMMYFUNCTION("""COMPUTED_VALUE"""),"DT2")</f>
        <v>DT2</v>
      </c>
      <c r="D95" s="185">
        <f>IFERROR(__xludf.DUMMYFUNCTION("""COMPUTED_VALUE"""),345642.0)</f>
        <v>345642</v>
      </c>
      <c r="E95" s="187" t="s">
        <v>657</v>
      </c>
      <c r="F95" s="188" t="s">
        <v>657</v>
      </c>
      <c r="G95" s="185" t="s">
        <v>1019</v>
      </c>
      <c r="H95" s="185">
        <v>160.0</v>
      </c>
      <c r="I95" s="185"/>
      <c r="J95" s="185"/>
      <c r="K95" s="185"/>
      <c r="L95" s="185"/>
      <c r="M95" s="185"/>
      <c r="N95" s="185"/>
      <c r="O95" s="185"/>
      <c r="P95" s="185"/>
      <c r="Q95" s="185"/>
      <c r="R95" s="185"/>
      <c r="S95" s="185"/>
      <c r="T95" s="185"/>
      <c r="U95" s="185"/>
      <c r="V95" s="181"/>
    </row>
    <row r="96" ht="18.75" customHeight="1">
      <c r="A96" s="181"/>
      <c r="B96" s="185" t="str">
        <f>IFERROR(__xludf.DUMMYFUNCTION("""COMPUTED_VALUE"""),"Finals")</f>
        <v>Finals</v>
      </c>
      <c r="C96" s="185" t="str">
        <f>IFERROR(__xludf.DUMMYFUNCTION("""COMPUTED_VALUE"""),"DT3")</f>
        <v>DT3</v>
      </c>
      <c r="D96" s="185">
        <f>IFERROR(__xludf.DUMMYFUNCTION("""COMPUTED_VALUE"""),2671858.0)</f>
        <v>2671858</v>
      </c>
      <c r="E96" s="187" t="s">
        <v>661</v>
      </c>
      <c r="F96" s="188" t="s">
        <v>661</v>
      </c>
      <c r="G96" s="185" t="s">
        <v>996</v>
      </c>
      <c r="H96" s="185">
        <v>165.0</v>
      </c>
      <c r="I96" s="185"/>
      <c r="J96" s="185"/>
      <c r="K96" s="185"/>
      <c r="L96" s="185"/>
      <c r="M96" s="185"/>
      <c r="N96" s="185"/>
      <c r="O96" s="185"/>
      <c r="P96" s="185"/>
      <c r="Q96" s="185"/>
      <c r="R96" s="185"/>
      <c r="S96" s="185"/>
      <c r="T96" s="185"/>
      <c r="U96" s="185"/>
      <c r="V96" s="181"/>
    </row>
    <row r="97" ht="18.75" customHeight="1">
      <c r="A97" s="181"/>
      <c r="B97" s="185" t="str">
        <f>IFERROR(__xludf.DUMMYFUNCTION("""COMPUTED_VALUE"""),"Finals")</f>
        <v>Finals</v>
      </c>
      <c r="C97" s="185" t="str">
        <f>IFERROR(__xludf.DUMMYFUNCTION("""COMPUTED_VALUE"""),"DT4")</f>
        <v>DT4</v>
      </c>
      <c r="D97" s="185">
        <f>IFERROR(__xludf.DUMMYFUNCTION("""COMPUTED_VALUE"""),4150885.0)</f>
        <v>4150885</v>
      </c>
      <c r="E97" s="187" t="s">
        <v>665</v>
      </c>
      <c r="F97" s="188" t="s">
        <v>665</v>
      </c>
      <c r="G97" s="185" t="s">
        <v>1020</v>
      </c>
      <c r="H97" s="185">
        <v>155.0</v>
      </c>
      <c r="I97" s="185"/>
      <c r="J97" s="185"/>
      <c r="K97" s="185"/>
      <c r="L97" s="185"/>
      <c r="M97" s="185"/>
      <c r="N97" s="185"/>
      <c r="O97" s="185"/>
      <c r="P97" s="185"/>
      <c r="Q97" s="185"/>
      <c r="R97" s="185"/>
      <c r="S97" s="185"/>
      <c r="T97" s="185"/>
      <c r="U97" s="185"/>
      <c r="V97" s="181"/>
    </row>
    <row r="98" ht="18.75" customHeight="1">
      <c r="A98" s="181"/>
      <c r="B98" s="185" t="str">
        <f>IFERROR(__xludf.DUMMYFUNCTION("""COMPUTED_VALUE"""),"Finals")</f>
        <v>Finals</v>
      </c>
      <c r="C98" s="185" t="str">
        <f>IFERROR(__xludf.DUMMYFUNCTION("""COMPUTED_VALUE"""),"FM1")</f>
        <v>FM1</v>
      </c>
      <c r="D98" s="185">
        <f>IFERROR(__xludf.DUMMYFUNCTION("""COMPUTED_VALUE"""),4197268.0)</f>
        <v>4197268</v>
      </c>
      <c r="E98" s="187" t="s">
        <v>670</v>
      </c>
      <c r="F98" s="188" t="s">
        <v>670</v>
      </c>
      <c r="G98" s="185" t="s">
        <v>1021</v>
      </c>
      <c r="H98" s="185">
        <v>204.0</v>
      </c>
      <c r="I98" s="185"/>
      <c r="J98" s="185"/>
      <c r="K98" s="185"/>
      <c r="L98" s="185"/>
      <c r="M98" s="185"/>
      <c r="N98" s="185"/>
      <c r="O98" s="185"/>
      <c r="P98" s="185"/>
      <c r="Q98" s="185"/>
      <c r="R98" s="185"/>
      <c r="S98" s="185"/>
      <c r="T98" s="185"/>
      <c r="U98" s="185"/>
      <c r="V98" s="181"/>
    </row>
    <row r="99" ht="18.75" customHeight="1">
      <c r="A99" s="181"/>
      <c r="B99" s="185" t="str">
        <f>IFERROR(__xludf.DUMMYFUNCTION("""COMPUTED_VALUE"""),"Finals")</f>
        <v>Finals</v>
      </c>
      <c r="C99" s="185" t="str">
        <f>IFERROR(__xludf.DUMMYFUNCTION("""COMPUTED_VALUE"""),"FM2")</f>
        <v>FM2</v>
      </c>
      <c r="D99" s="185">
        <f>IFERROR(__xludf.DUMMYFUNCTION("""COMPUTED_VALUE"""),192181.0)</f>
        <v>192181</v>
      </c>
      <c r="E99" s="187" t="s">
        <v>627</v>
      </c>
      <c r="F99" s="188" t="s">
        <v>627</v>
      </c>
      <c r="G99" s="185" t="s">
        <v>1019</v>
      </c>
      <c r="H99" s="185">
        <v>152.0</v>
      </c>
      <c r="I99" s="185"/>
      <c r="J99" s="185"/>
      <c r="K99" s="185"/>
      <c r="L99" s="185"/>
      <c r="M99" s="185"/>
      <c r="N99" s="185"/>
      <c r="O99" s="185"/>
      <c r="P99" s="185"/>
      <c r="Q99" s="185"/>
      <c r="R99" s="185"/>
      <c r="S99" s="185"/>
      <c r="T99" s="185"/>
      <c r="U99" s="185"/>
      <c r="V99" s="181"/>
    </row>
    <row r="100" ht="18.75" customHeight="1">
      <c r="A100" s="181"/>
      <c r="B100" s="185" t="str">
        <f>IFERROR(__xludf.DUMMYFUNCTION("""COMPUTED_VALUE"""),"Finals")</f>
        <v>Finals</v>
      </c>
      <c r="C100" s="185" t="str">
        <f>IFERROR(__xludf.DUMMYFUNCTION("""COMPUTED_VALUE"""),"FM3")</f>
        <v>FM3</v>
      </c>
      <c r="D100" s="185">
        <f>IFERROR(__xludf.DUMMYFUNCTION("""COMPUTED_VALUE"""),3499229.0)</f>
        <v>3499229</v>
      </c>
      <c r="E100" s="187" t="s">
        <v>677</v>
      </c>
      <c r="F100" s="188" t="s">
        <v>677</v>
      </c>
      <c r="G100" s="185" t="s">
        <v>1022</v>
      </c>
      <c r="H100" s="185">
        <v>173.0</v>
      </c>
      <c r="I100" s="185"/>
      <c r="J100" s="185"/>
      <c r="K100" s="185"/>
      <c r="L100" s="185"/>
      <c r="M100" s="185"/>
      <c r="N100" s="185"/>
      <c r="O100" s="185"/>
      <c r="P100" s="185"/>
      <c r="Q100" s="185"/>
      <c r="R100" s="185"/>
      <c r="S100" s="185"/>
      <c r="T100" s="185"/>
      <c r="U100" s="185"/>
      <c r="V100" s="181"/>
    </row>
    <row r="101" ht="18.75" customHeight="1">
      <c r="A101" s="181"/>
      <c r="B101" s="185" t="str">
        <f>IFERROR(__xludf.DUMMYFUNCTION("""COMPUTED_VALUE"""),"Finals")</f>
        <v>Finals</v>
      </c>
      <c r="C101" s="185" t="str">
        <f>IFERROR(__xludf.DUMMYFUNCTION("""COMPUTED_VALUE"""),"TB1")</f>
        <v>TB1</v>
      </c>
      <c r="D101" s="185">
        <f>IFERROR(__xludf.DUMMYFUNCTION("""COMPUTED_VALUE"""),1485947.0)</f>
        <v>1485947</v>
      </c>
      <c r="E101" s="187" t="s">
        <v>633</v>
      </c>
      <c r="F101" s="188" t="s">
        <v>633</v>
      </c>
      <c r="G101" s="185" t="s">
        <v>1023</v>
      </c>
      <c r="H101" s="185">
        <v>174.0</v>
      </c>
      <c r="I101" s="185"/>
      <c r="J101" s="185"/>
      <c r="K101" s="185"/>
      <c r="L101" s="185"/>
      <c r="M101" s="185"/>
      <c r="N101" s="185"/>
      <c r="O101" s="185"/>
      <c r="P101" s="185"/>
      <c r="Q101" s="185"/>
      <c r="R101" s="185"/>
      <c r="S101" s="185"/>
      <c r="T101" s="185"/>
      <c r="U101" s="185"/>
      <c r="V101" s="181"/>
    </row>
    <row r="102" ht="18.75" customHeight="1">
      <c r="A102" s="181"/>
      <c r="B102" s="185" t="str">
        <f>IFERROR(__xludf.DUMMYFUNCTION("""COMPUTED_VALUE"""),"Grand Finals")</f>
        <v>Grand Finals</v>
      </c>
      <c r="C102" s="185" t="str">
        <f>IFERROR(__xludf.DUMMYFUNCTION("""COMPUTED_VALUE"""),"NM1")</f>
        <v>NM1</v>
      </c>
      <c r="D102" s="185">
        <f>IFERROR(__xludf.DUMMYFUNCTION("""COMPUTED_VALUE"""),2792506.0)</f>
        <v>2792506</v>
      </c>
      <c r="E102" s="187" t="s">
        <v>859</v>
      </c>
      <c r="F102" s="188" t="s">
        <v>859</v>
      </c>
      <c r="G102" s="185" t="s">
        <v>1024</v>
      </c>
      <c r="H102" s="185">
        <v>175.0</v>
      </c>
      <c r="I102" s="185"/>
      <c r="J102" s="185"/>
      <c r="K102" s="185"/>
      <c r="L102" s="185"/>
      <c r="M102" s="185"/>
      <c r="N102" s="185"/>
      <c r="O102" s="185"/>
      <c r="P102" s="185"/>
      <c r="Q102" s="185"/>
      <c r="R102" s="185"/>
      <c r="S102" s="185"/>
      <c r="T102" s="185"/>
      <c r="U102" s="185"/>
      <c r="V102" s="181"/>
    </row>
    <row r="103" ht="18.75" customHeight="1">
      <c r="A103" s="181"/>
      <c r="B103" s="185" t="str">
        <f>IFERROR(__xludf.DUMMYFUNCTION("""COMPUTED_VALUE"""),"Grand Finals")</f>
        <v>Grand Finals</v>
      </c>
      <c r="C103" s="185" t="str">
        <f>IFERROR(__xludf.DUMMYFUNCTION("""COMPUTED_VALUE"""),"NM2")</f>
        <v>NM2</v>
      </c>
      <c r="D103" s="185">
        <f>IFERROR(__xludf.DUMMYFUNCTION("""COMPUTED_VALUE"""),3714369.0)</f>
        <v>3714369</v>
      </c>
      <c r="E103" s="187" t="s">
        <v>759</v>
      </c>
      <c r="F103" s="188" t="s">
        <v>759</v>
      </c>
      <c r="G103" s="185" t="s">
        <v>1025</v>
      </c>
      <c r="H103" s="185">
        <v>185.0</v>
      </c>
      <c r="I103" s="185"/>
      <c r="J103" s="185"/>
      <c r="K103" s="185"/>
      <c r="L103" s="185"/>
      <c r="M103" s="185"/>
      <c r="N103" s="185"/>
      <c r="O103" s="185"/>
      <c r="P103" s="185"/>
      <c r="Q103" s="185"/>
      <c r="R103" s="185"/>
      <c r="S103" s="185"/>
      <c r="T103" s="185"/>
      <c r="U103" s="185"/>
      <c r="V103" s="181"/>
    </row>
    <row r="104" ht="18.75" customHeight="1">
      <c r="A104" s="181"/>
      <c r="B104" s="185" t="str">
        <f>IFERROR(__xludf.DUMMYFUNCTION("""COMPUTED_VALUE"""),"Grand Finals")</f>
        <v>Grand Finals</v>
      </c>
      <c r="C104" s="185" t="str">
        <f>IFERROR(__xludf.DUMMYFUNCTION("""COMPUTED_VALUE"""),"NM3")</f>
        <v>NM3</v>
      </c>
      <c r="D104" s="185">
        <f>IFERROR(__xludf.DUMMYFUNCTION("""COMPUTED_VALUE"""),3461206.0)</f>
        <v>3461206</v>
      </c>
      <c r="E104" s="187" t="s">
        <v>764</v>
      </c>
      <c r="F104" s="188" t="s">
        <v>764</v>
      </c>
      <c r="G104" s="185" t="s">
        <v>1026</v>
      </c>
      <c r="H104" s="185">
        <v>135.0</v>
      </c>
      <c r="I104" s="185"/>
      <c r="J104" s="185"/>
      <c r="K104" s="185"/>
      <c r="L104" s="185"/>
      <c r="M104" s="185"/>
      <c r="N104" s="185"/>
      <c r="O104" s="185"/>
      <c r="P104" s="185"/>
      <c r="Q104" s="185"/>
      <c r="R104" s="185"/>
      <c r="S104" s="185"/>
      <c r="T104" s="185"/>
      <c r="U104" s="185"/>
      <c r="V104" s="181"/>
    </row>
    <row r="105" ht="18.75" customHeight="1">
      <c r="A105" s="181"/>
      <c r="B105" s="185" t="str">
        <f>IFERROR(__xludf.DUMMYFUNCTION("""COMPUTED_VALUE"""),"Grand Finals")</f>
        <v>Grand Finals</v>
      </c>
      <c r="C105" s="185" t="str">
        <f>IFERROR(__xludf.DUMMYFUNCTION("""COMPUTED_VALUE"""),"NM4")</f>
        <v>NM4</v>
      </c>
      <c r="D105" s="185">
        <f>IFERROR(__xludf.DUMMYFUNCTION("""COMPUTED_VALUE"""),1737928.0)</f>
        <v>1737928</v>
      </c>
      <c r="E105" s="187" t="s">
        <v>769</v>
      </c>
      <c r="F105" s="188" t="s">
        <v>769</v>
      </c>
      <c r="G105" s="185" t="s">
        <v>1027</v>
      </c>
      <c r="H105" s="185">
        <v>170.0</v>
      </c>
      <c r="I105" s="185"/>
      <c r="J105" s="185"/>
      <c r="K105" s="185"/>
      <c r="L105" s="185"/>
      <c r="M105" s="185"/>
      <c r="N105" s="185"/>
      <c r="O105" s="185"/>
      <c r="P105" s="185"/>
      <c r="Q105" s="185"/>
      <c r="R105" s="185"/>
      <c r="S105" s="185"/>
      <c r="T105" s="185"/>
      <c r="U105" s="185"/>
      <c r="V105" s="181"/>
    </row>
    <row r="106" ht="18.75" customHeight="1">
      <c r="A106" s="181"/>
      <c r="B106" s="185" t="str">
        <f>IFERROR(__xludf.DUMMYFUNCTION("""COMPUTED_VALUE"""),"Grand Finals")</f>
        <v>Grand Finals</v>
      </c>
      <c r="C106" s="185" t="str">
        <f>IFERROR(__xludf.DUMMYFUNCTION("""COMPUTED_VALUE"""),"NM5")</f>
        <v>NM5</v>
      </c>
      <c r="D106" s="185">
        <f>IFERROR(__xludf.DUMMYFUNCTION("""COMPUTED_VALUE"""),3711739.0)</f>
        <v>3711739</v>
      </c>
      <c r="E106" s="187" t="s">
        <v>717</v>
      </c>
      <c r="F106" s="188" t="s">
        <v>717</v>
      </c>
      <c r="G106" s="185" t="s">
        <v>1028</v>
      </c>
      <c r="H106" s="185">
        <v>230.0</v>
      </c>
      <c r="I106" s="185"/>
      <c r="J106" s="185"/>
      <c r="K106" s="185"/>
      <c r="L106" s="185"/>
      <c r="M106" s="185"/>
      <c r="N106" s="185"/>
      <c r="O106" s="185"/>
      <c r="P106" s="185"/>
      <c r="Q106" s="185"/>
      <c r="R106" s="185"/>
      <c r="S106" s="185"/>
      <c r="T106" s="185"/>
      <c r="U106" s="185"/>
      <c r="V106" s="181"/>
    </row>
    <row r="107" ht="18.75" customHeight="1">
      <c r="A107" s="181"/>
      <c r="B107" s="185" t="str">
        <f>IFERROR(__xludf.DUMMYFUNCTION("""COMPUTED_VALUE"""),"Grand Finals")</f>
        <v>Grand Finals</v>
      </c>
      <c r="C107" s="185" t="str">
        <f>IFERROR(__xludf.DUMMYFUNCTION("""COMPUTED_VALUE"""),"NM6")</f>
        <v>NM6</v>
      </c>
      <c r="D107" s="185">
        <f>IFERROR(__xludf.DUMMYFUNCTION("""COMPUTED_VALUE"""),3711612.0)</f>
        <v>3711612</v>
      </c>
      <c r="E107" s="187" t="s">
        <v>776</v>
      </c>
      <c r="F107" s="188" t="s">
        <v>776</v>
      </c>
      <c r="G107" s="185" t="s">
        <v>777</v>
      </c>
      <c r="H107" s="185">
        <v>163.0</v>
      </c>
      <c r="I107" s="185"/>
      <c r="J107" s="185"/>
      <c r="K107" s="185"/>
      <c r="L107" s="185"/>
      <c r="M107" s="185"/>
      <c r="N107" s="185"/>
      <c r="O107" s="185"/>
      <c r="P107" s="185"/>
      <c r="Q107" s="185"/>
      <c r="R107" s="185"/>
      <c r="S107" s="185"/>
      <c r="T107" s="185"/>
      <c r="U107" s="185"/>
      <c r="V107" s="181"/>
    </row>
    <row r="108" ht="18.75" customHeight="1">
      <c r="A108" s="181"/>
      <c r="B108" s="185" t="str">
        <f>IFERROR(__xludf.DUMMYFUNCTION("""COMPUTED_VALUE"""),"Grand Finals")</f>
        <v>Grand Finals</v>
      </c>
      <c r="C108" s="185" t="str">
        <f>IFERROR(__xludf.DUMMYFUNCTION("""COMPUTED_VALUE"""),"HD1")</f>
        <v>HD1</v>
      </c>
      <c r="D108" s="185">
        <f>IFERROR(__xludf.DUMMYFUNCTION("""COMPUTED_VALUE"""),2348578.0)</f>
        <v>2348578</v>
      </c>
      <c r="E108" s="187" t="s">
        <v>780</v>
      </c>
      <c r="F108" s="188" t="s">
        <v>780</v>
      </c>
      <c r="G108" s="185" t="s">
        <v>1029</v>
      </c>
      <c r="H108" s="185">
        <v>186.0</v>
      </c>
      <c r="I108" s="185"/>
      <c r="J108" s="185"/>
      <c r="K108" s="185"/>
      <c r="L108" s="185"/>
      <c r="M108" s="185"/>
      <c r="N108" s="185"/>
      <c r="O108" s="185"/>
      <c r="P108" s="185"/>
      <c r="Q108" s="185"/>
      <c r="R108" s="185"/>
      <c r="S108" s="185"/>
      <c r="T108" s="185"/>
      <c r="U108" s="185"/>
      <c r="V108" s="181"/>
    </row>
    <row r="109" ht="18.75" customHeight="1">
      <c r="A109" s="181"/>
      <c r="B109" s="185" t="str">
        <f>IFERROR(__xludf.DUMMYFUNCTION("""COMPUTED_VALUE"""),"Grand Finals")</f>
        <v>Grand Finals</v>
      </c>
      <c r="C109" s="185" t="str">
        <f>IFERROR(__xludf.DUMMYFUNCTION("""COMPUTED_VALUE"""),"HD2")</f>
        <v>HD2</v>
      </c>
      <c r="D109" s="185">
        <f>IFERROR(__xludf.DUMMYFUNCTION("""COMPUTED_VALUE"""),4134134.0)</f>
        <v>4134134</v>
      </c>
      <c r="E109" s="187" t="s">
        <v>772</v>
      </c>
      <c r="F109" s="188" t="s">
        <v>772</v>
      </c>
      <c r="G109" s="185" t="s">
        <v>1030</v>
      </c>
      <c r="H109" s="185">
        <v>181.0</v>
      </c>
      <c r="I109" s="185"/>
      <c r="J109" s="185"/>
      <c r="K109" s="185"/>
      <c r="L109" s="185"/>
      <c r="M109" s="185"/>
      <c r="N109" s="185"/>
      <c r="O109" s="185"/>
      <c r="P109" s="185"/>
      <c r="Q109" s="185"/>
      <c r="R109" s="185"/>
      <c r="S109" s="185"/>
      <c r="T109" s="185"/>
      <c r="U109" s="185"/>
      <c r="V109" s="181"/>
    </row>
    <row r="110" ht="18.75" customHeight="1">
      <c r="A110" s="181"/>
      <c r="B110" s="185" t="str">
        <f>IFERROR(__xludf.DUMMYFUNCTION("""COMPUTED_VALUE"""),"Grand Finals")</f>
        <v>Grand Finals</v>
      </c>
      <c r="C110" s="185" t="str">
        <f>IFERROR(__xludf.DUMMYFUNCTION("""COMPUTED_VALUE"""),"HD3")</f>
        <v>HD3</v>
      </c>
      <c r="D110" s="185">
        <f>IFERROR(__xludf.DUMMYFUNCTION("""COMPUTED_VALUE"""),2565268.0)</f>
        <v>2565268</v>
      </c>
      <c r="E110" s="187" t="s">
        <v>787</v>
      </c>
      <c r="F110" s="188" t="s">
        <v>787</v>
      </c>
      <c r="G110" s="185" t="s">
        <v>996</v>
      </c>
      <c r="H110" s="185">
        <v>191.0</v>
      </c>
      <c r="I110" s="185"/>
      <c r="J110" s="185"/>
      <c r="K110" s="185"/>
      <c r="L110" s="185"/>
      <c r="M110" s="185"/>
      <c r="N110" s="185"/>
      <c r="O110" s="185"/>
      <c r="P110" s="185"/>
      <c r="Q110" s="185"/>
      <c r="R110" s="185"/>
      <c r="S110" s="185"/>
      <c r="T110" s="185"/>
      <c r="U110" s="185"/>
      <c r="V110" s="181"/>
    </row>
    <row r="111" ht="18.75" customHeight="1">
      <c r="A111" s="181"/>
      <c r="B111" s="185" t="str">
        <f>IFERROR(__xludf.DUMMYFUNCTION("""COMPUTED_VALUE"""),"Grand Finals")</f>
        <v>Grand Finals</v>
      </c>
      <c r="C111" s="185" t="str">
        <f>IFERROR(__xludf.DUMMYFUNCTION("""COMPUTED_VALUE"""),"HR1")</f>
        <v>HR1</v>
      </c>
      <c r="D111" s="185">
        <f>IFERROR(__xludf.DUMMYFUNCTION("""COMPUTED_VALUE"""),1258993.0)</f>
        <v>1258993</v>
      </c>
      <c r="E111" s="187" t="s">
        <v>791</v>
      </c>
      <c r="F111" s="188" t="s">
        <v>791</v>
      </c>
      <c r="G111" s="185" t="s">
        <v>1031</v>
      </c>
      <c r="H111" s="185">
        <v>200.0</v>
      </c>
      <c r="I111" s="185"/>
      <c r="J111" s="185"/>
      <c r="K111" s="185"/>
      <c r="L111" s="185"/>
      <c r="M111" s="185"/>
      <c r="N111" s="185"/>
      <c r="O111" s="185"/>
      <c r="P111" s="185"/>
      <c r="Q111" s="185"/>
      <c r="R111" s="185"/>
      <c r="S111" s="185"/>
      <c r="T111" s="185"/>
      <c r="U111" s="185"/>
      <c r="V111" s="181"/>
    </row>
    <row r="112" ht="18.75" customHeight="1">
      <c r="A112" s="181"/>
      <c r="B112" s="185" t="str">
        <f>IFERROR(__xludf.DUMMYFUNCTION("""COMPUTED_VALUE"""),"Grand Finals")</f>
        <v>Grand Finals</v>
      </c>
      <c r="C112" s="185" t="str">
        <f>IFERROR(__xludf.DUMMYFUNCTION("""COMPUTED_VALUE"""),"HR2")</f>
        <v>HR2</v>
      </c>
      <c r="D112" s="185">
        <f>IFERROR(__xludf.DUMMYFUNCTION("""COMPUTED_VALUE"""),1592403.0)</f>
        <v>1592403</v>
      </c>
      <c r="E112" s="187" t="s">
        <v>795</v>
      </c>
      <c r="F112" s="188" t="s">
        <v>795</v>
      </c>
      <c r="G112" s="185" t="s">
        <v>1032</v>
      </c>
      <c r="H112" s="185">
        <v>160.0</v>
      </c>
      <c r="I112" s="185"/>
      <c r="J112" s="185"/>
      <c r="K112" s="185"/>
      <c r="L112" s="185"/>
      <c r="M112" s="185"/>
      <c r="N112" s="185"/>
      <c r="O112" s="185"/>
      <c r="P112" s="185"/>
      <c r="Q112" s="185"/>
      <c r="R112" s="185"/>
      <c r="S112" s="185"/>
      <c r="T112" s="185"/>
      <c r="U112" s="185"/>
      <c r="V112" s="181"/>
    </row>
    <row r="113" ht="18.75" customHeight="1">
      <c r="A113" s="181"/>
      <c r="B113" s="185" t="str">
        <f>IFERROR(__xludf.DUMMYFUNCTION("""COMPUTED_VALUE"""),"Grand Finals")</f>
        <v>Grand Finals</v>
      </c>
      <c r="C113" s="185" t="str">
        <f>IFERROR(__xludf.DUMMYFUNCTION("""COMPUTED_VALUE"""),"HR3")</f>
        <v>HR3</v>
      </c>
      <c r="D113" s="185">
        <f>IFERROR(__xludf.DUMMYFUNCTION("""COMPUTED_VALUE"""),3333734.0)</f>
        <v>3333734</v>
      </c>
      <c r="E113" s="187" t="s">
        <v>797</v>
      </c>
      <c r="F113" s="188" t="s">
        <v>797</v>
      </c>
      <c r="G113" s="185" t="s">
        <v>1009</v>
      </c>
      <c r="H113" s="185">
        <v>128.0</v>
      </c>
      <c r="I113" s="185"/>
      <c r="J113" s="185"/>
      <c r="K113" s="185"/>
      <c r="L113" s="185"/>
      <c r="M113" s="185"/>
      <c r="N113" s="185"/>
      <c r="O113" s="185"/>
      <c r="P113" s="185"/>
      <c r="Q113" s="185"/>
      <c r="R113" s="185"/>
      <c r="S113" s="185"/>
      <c r="T113" s="185"/>
      <c r="U113" s="185"/>
      <c r="V113" s="181"/>
    </row>
    <row r="114" ht="18.75" customHeight="1">
      <c r="A114" s="181"/>
      <c r="B114" s="185" t="str">
        <f>IFERROR(__xludf.DUMMYFUNCTION("""COMPUTED_VALUE"""),"Grand Finals")</f>
        <v>Grand Finals</v>
      </c>
      <c r="C114" s="185" t="str">
        <f>IFERROR(__xludf.DUMMYFUNCTION("""COMPUTED_VALUE"""),"DT1")</f>
        <v>DT1</v>
      </c>
      <c r="D114" s="185">
        <f>IFERROR(__xludf.DUMMYFUNCTION("""COMPUTED_VALUE"""),2519731.0)</f>
        <v>2519731</v>
      </c>
      <c r="E114" s="187" t="s">
        <v>799</v>
      </c>
      <c r="F114" s="188" t="s">
        <v>799</v>
      </c>
      <c r="G114" s="185" t="s">
        <v>1033</v>
      </c>
      <c r="H114" s="185">
        <v>170.0</v>
      </c>
      <c r="I114" s="185"/>
      <c r="J114" s="185"/>
      <c r="K114" s="185"/>
      <c r="L114" s="185"/>
      <c r="M114" s="185"/>
      <c r="N114" s="185"/>
      <c r="O114" s="185"/>
      <c r="P114" s="185"/>
      <c r="Q114" s="185"/>
      <c r="R114" s="185"/>
      <c r="S114" s="185"/>
      <c r="T114" s="185"/>
      <c r="U114" s="185"/>
      <c r="V114" s="181"/>
    </row>
    <row r="115" ht="18.75" customHeight="1">
      <c r="A115" s="181"/>
      <c r="B115" s="185" t="str">
        <f>IFERROR(__xludf.DUMMYFUNCTION("""COMPUTED_VALUE"""),"Grand Finals")</f>
        <v>Grand Finals</v>
      </c>
      <c r="C115" s="185" t="str">
        <f>IFERROR(__xludf.DUMMYFUNCTION("""COMPUTED_VALUE"""),"DT2")</f>
        <v>DT2</v>
      </c>
      <c r="D115" s="185">
        <f>IFERROR(__xludf.DUMMYFUNCTION("""COMPUTED_VALUE"""),1035068.0)</f>
        <v>1035068</v>
      </c>
      <c r="E115" s="187" t="s">
        <v>730</v>
      </c>
      <c r="F115" s="188" t="s">
        <v>730</v>
      </c>
      <c r="G115" s="185" t="s">
        <v>1034</v>
      </c>
      <c r="H115" s="185">
        <v>170.0</v>
      </c>
      <c r="I115" s="185"/>
      <c r="J115" s="185"/>
      <c r="K115" s="185"/>
      <c r="L115" s="185"/>
      <c r="M115" s="185"/>
      <c r="N115" s="185"/>
      <c r="O115" s="185"/>
      <c r="P115" s="185"/>
      <c r="Q115" s="185"/>
      <c r="R115" s="185"/>
      <c r="S115" s="185"/>
      <c r="T115" s="185"/>
      <c r="U115" s="185"/>
      <c r="V115" s="181"/>
    </row>
    <row r="116" ht="18.75" customHeight="1">
      <c r="A116" s="181"/>
      <c r="B116" s="185" t="str">
        <f>IFERROR(__xludf.DUMMYFUNCTION("""COMPUTED_VALUE"""),"Grand Finals")</f>
        <v>Grand Finals</v>
      </c>
      <c r="C116" s="185" t="str">
        <f>IFERROR(__xludf.DUMMYFUNCTION("""COMPUTED_VALUE"""),"DT3")</f>
        <v>DT3</v>
      </c>
      <c r="D116" s="185">
        <f>IFERROR(__xludf.DUMMYFUNCTION("""COMPUTED_VALUE"""),1707909.0)</f>
        <v>1707909</v>
      </c>
      <c r="E116" s="187" t="s">
        <v>803</v>
      </c>
      <c r="F116" s="188" t="s">
        <v>803</v>
      </c>
      <c r="G116" s="185" t="s">
        <v>1009</v>
      </c>
      <c r="H116" s="185">
        <v>170.0</v>
      </c>
      <c r="I116" s="185"/>
      <c r="J116" s="185"/>
      <c r="K116" s="185"/>
      <c r="L116" s="185"/>
      <c r="M116" s="185"/>
      <c r="N116" s="185"/>
      <c r="O116" s="185"/>
      <c r="P116" s="185"/>
      <c r="Q116" s="185"/>
      <c r="R116" s="185"/>
      <c r="S116" s="185"/>
      <c r="T116" s="185"/>
      <c r="U116" s="185"/>
      <c r="V116" s="181"/>
    </row>
    <row r="117" ht="18.75" customHeight="1">
      <c r="A117" s="181"/>
      <c r="B117" s="185" t="str">
        <f>IFERROR(__xludf.DUMMYFUNCTION("""COMPUTED_VALUE"""),"Grand Finals")</f>
        <v>Grand Finals</v>
      </c>
      <c r="C117" s="185" t="str">
        <f>IFERROR(__xludf.DUMMYFUNCTION("""COMPUTED_VALUE"""),"DT4")</f>
        <v>DT4</v>
      </c>
      <c r="D117" s="185">
        <f>IFERROR(__xludf.DUMMYFUNCTION("""COMPUTED_VALUE"""),25341.0)</f>
        <v>25341</v>
      </c>
      <c r="E117" s="187" t="s">
        <v>805</v>
      </c>
      <c r="F117" s="188" t="s">
        <v>805</v>
      </c>
      <c r="G117" s="185" t="s">
        <v>1035</v>
      </c>
      <c r="H117" s="185">
        <v>152.0</v>
      </c>
      <c r="I117" s="185"/>
      <c r="J117" s="185"/>
      <c r="K117" s="185"/>
      <c r="L117" s="185"/>
      <c r="M117" s="185"/>
      <c r="N117" s="185"/>
      <c r="O117" s="185"/>
      <c r="P117" s="185"/>
      <c r="Q117" s="185"/>
      <c r="R117" s="185"/>
      <c r="S117" s="185"/>
      <c r="T117" s="185"/>
      <c r="U117" s="185"/>
      <c r="V117" s="181"/>
    </row>
    <row r="118" ht="18.75" customHeight="1">
      <c r="A118" s="181"/>
      <c r="B118" s="185" t="str">
        <f>IFERROR(__xludf.DUMMYFUNCTION("""COMPUTED_VALUE"""),"Grand Finals")</f>
        <v>Grand Finals</v>
      </c>
      <c r="C118" s="185" t="str">
        <f>IFERROR(__xludf.DUMMYFUNCTION("""COMPUTED_VALUE"""),"FM1")</f>
        <v>FM1</v>
      </c>
      <c r="D118" s="185">
        <f>IFERROR(__xludf.DUMMYFUNCTION("""COMPUTED_VALUE"""),3883278.0)</f>
        <v>3883278</v>
      </c>
      <c r="E118" s="187" t="s">
        <v>810</v>
      </c>
      <c r="F118" s="188" t="s">
        <v>810</v>
      </c>
      <c r="G118" s="185" t="s">
        <v>1036</v>
      </c>
      <c r="H118" s="185">
        <v>180.0</v>
      </c>
      <c r="I118" s="185"/>
      <c r="J118" s="185"/>
      <c r="K118" s="185"/>
      <c r="L118" s="185"/>
      <c r="M118" s="185"/>
      <c r="N118" s="185"/>
      <c r="O118" s="185"/>
      <c r="P118" s="185"/>
      <c r="Q118" s="185"/>
      <c r="R118" s="185"/>
      <c r="S118" s="185"/>
      <c r="T118" s="185"/>
      <c r="U118" s="185"/>
      <c r="V118" s="181"/>
    </row>
    <row r="119" ht="18.75" customHeight="1">
      <c r="A119" s="181"/>
      <c r="B119" s="185" t="str">
        <f>IFERROR(__xludf.DUMMYFUNCTION("""COMPUTED_VALUE"""),"Grand Finals")</f>
        <v>Grand Finals</v>
      </c>
      <c r="C119" s="185" t="str">
        <f>IFERROR(__xludf.DUMMYFUNCTION("""COMPUTED_VALUE"""),"FM2")</f>
        <v>FM2</v>
      </c>
      <c r="D119" s="185">
        <f>IFERROR(__xludf.DUMMYFUNCTION("""COMPUTED_VALUE"""),58701.0)</f>
        <v>58701</v>
      </c>
      <c r="E119" s="187" t="s">
        <v>812</v>
      </c>
      <c r="F119" s="188" t="s">
        <v>812</v>
      </c>
      <c r="G119" s="185" t="s">
        <v>1037</v>
      </c>
      <c r="H119" s="185">
        <v>155.0</v>
      </c>
      <c r="I119" s="185"/>
      <c r="J119" s="185"/>
      <c r="K119" s="185"/>
      <c r="L119" s="185"/>
      <c r="M119" s="185"/>
      <c r="N119" s="185"/>
      <c r="O119" s="185"/>
      <c r="P119" s="185"/>
      <c r="Q119" s="185"/>
      <c r="R119" s="185"/>
      <c r="S119" s="185"/>
      <c r="T119" s="185"/>
      <c r="U119" s="185"/>
      <c r="V119" s="181"/>
    </row>
    <row r="120" ht="18.75" customHeight="1">
      <c r="A120" s="181"/>
      <c r="B120" s="185" t="str">
        <f>IFERROR(__xludf.DUMMYFUNCTION("""COMPUTED_VALUE"""),"Grand Finals")</f>
        <v>Grand Finals</v>
      </c>
      <c r="C120" s="185" t="str">
        <f>IFERROR(__xludf.DUMMYFUNCTION("""COMPUTED_VALUE"""),"FM3")</f>
        <v>FM3</v>
      </c>
      <c r="D120" s="185">
        <f>IFERROR(__xludf.DUMMYFUNCTION("""COMPUTED_VALUE"""),3853742.0)</f>
        <v>3853742</v>
      </c>
      <c r="E120" s="187" t="s">
        <v>816</v>
      </c>
      <c r="F120" s="188" t="s">
        <v>816</v>
      </c>
      <c r="G120" s="185" t="s">
        <v>1038</v>
      </c>
      <c r="H120" s="185">
        <v>130.0</v>
      </c>
      <c r="I120" s="185"/>
      <c r="J120" s="185"/>
      <c r="K120" s="185"/>
      <c r="L120" s="185"/>
      <c r="M120" s="185"/>
      <c r="N120" s="185"/>
      <c r="O120" s="185"/>
      <c r="P120" s="185"/>
      <c r="Q120" s="185"/>
      <c r="R120" s="185"/>
      <c r="S120" s="185"/>
      <c r="T120" s="185"/>
      <c r="U120" s="185"/>
      <c r="V120" s="181"/>
    </row>
    <row r="121" ht="18.75" customHeight="1">
      <c r="A121" s="181"/>
      <c r="B121" s="185" t="str">
        <f>IFERROR(__xludf.DUMMYFUNCTION("""COMPUTED_VALUE"""),"Grand Finals")</f>
        <v>Grand Finals</v>
      </c>
      <c r="C121" s="185" t="str">
        <f>IFERROR(__xludf.DUMMYFUNCTION("""COMPUTED_VALUE"""),"TB1")</f>
        <v>TB1</v>
      </c>
      <c r="D121" s="185">
        <f>IFERROR(__xludf.DUMMYFUNCTION("""COMPUTED_VALUE"""),862338.0)</f>
        <v>862338</v>
      </c>
      <c r="E121" s="187" t="s">
        <v>820</v>
      </c>
      <c r="F121" s="188" t="s">
        <v>820</v>
      </c>
      <c r="G121" s="185" t="s">
        <v>996</v>
      </c>
      <c r="H121" s="185">
        <v>174.0</v>
      </c>
      <c r="I121" s="185"/>
      <c r="J121" s="185"/>
      <c r="K121" s="185"/>
      <c r="L121" s="185"/>
      <c r="M121" s="185"/>
      <c r="N121" s="185"/>
      <c r="O121" s="185"/>
      <c r="P121" s="185"/>
      <c r="Q121" s="185"/>
      <c r="R121" s="185"/>
      <c r="S121" s="185"/>
      <c r="T121" s="185"/>
      <c r="U121" s="185"/>
      <c r="V121" s="181" t="s">
        <v>0</v>
      </c>
    </row>
    <row r="122" ht="18.75" customHeight="1">
      <c r="A122" s="181"/>
      <c r="B122" s="185"/>
      <c r="C122" s="185"/>
      <c r="D122" s="185"/>
      <c r="E122" s="185"/>
      <c r="F122" s="189"/>
      <c r="G122" s="185"/>
      <c r="H122" s="185"/>
      <c r="I122" s="185"/>
      <c r="J122" s="185"/>
      <c r="K122" s="185"/>
      <c r="L122" s="185"/>
      <c r="M122" s="185"/>
      <c r="N122" s="185"/>
      <c r="O122" s="185"/>
      <c r="P122" s="185"/>
      <c r="Q122" s="185"/>
      <c r="R122" s="185"/>
      <c r="S122" s="185"/>
      <c r="T122" s="185"/>
      <c r="U122" s="185"/>
      <c r="V122" s="181"/>
    </row>
    <row r="123" ht="18.75" customHeight="1">
      <c r="A123" s="181"/>
      <c r="B123" s="185"/>
      <c r="C123" s="185"/>
      <c r="D123" s="185"/>
      <c r="E123" s="185"/>
      <c r="F123" s="189"/>
      <c r="G123" s="185"/>
      <c r="H123" s="185"/>
      <c r="I123" s="185"/>
      <c r="J123" s="185"/>
      <c r="K123" s="185"/>
      <c r="L123" s="185"/>
      <c r="M123" s="185"/>
      <c r="N123" s="185"/>
      <c r="O123" s="185"/>
      <c r="P123" s="185"/>
      <c r="Q123" s="185"/>
      <c r="R123" s="185"/>
      <c r="S123" s="185"/>
      <c r="T123" s="185"/>
      <c r="U123" s="185"/>
      <c r="V123" s="181"/>
    </row>
    <row r="124" ht="18.75" customHeight="1">
      <c r="A124" s="181"/>
      <c r="B124" s="185"/>
      <c r="C124" s="185"/>
      <c r="D124" s="185"/>
      <c r="E124" s="185"/>
      <c r="F124" s="185"/>
      <c r="G124" s="185"/>
      <c r="H124" s="185"/>
      <c r="I124" s="185"/>
      <c r="J124" s="185"/>
      <c r="K124" s="185"/>
      <c r="L124" s="185"/>
      <c r="M124" s="185"/>
      <c r="N124" s="185"/>
      <c r="O124" s="185"/>
      <c r="P124" s="185"/>
      <c r="Q124" s="185"/>
      <c r="R124" s="185"/>
      <c r="S124" s="185"/>
      <c r="T124" s="185"/>
      <c r="U124" s="185"/>
      <c r="V124" s="181"/>
    </row>
    <row r="125" ht="18.75" customHeight="1">
      <c r="A125" s="181"/>
      <c r="B125" s="185"/>
      <c r="C125" s="185"/>
      <c r="D125" s="185"/>
      <c r="E125" s="185"/>
      <c r="F125" s="185"/>
      <c r="G125" s="185"/>
      <c r="H125" s="185"/>
      <c r="I125" s="185"/>
      <c r="J125" s="185"/>
      <c r="K125" s="185"/>
      <c r="L125" s="185"/>
      <c r="M125" s="185"/>
      <c r="N125" s="185"/>
      <c r="O125" s="185"/>
      <c r="P125" s="185"/>
      <c r="Q125" s="185"/>
      <c r="R125" s="185"/>
      <c r="S125" s="185"/>
      <c r="T125" s="185"/>
      <c r="U125" s="185"/>
      <c r="V125" s="181"/>
    </row>
    <row r="126" ht="18.75" customHeight="1">
      <c r="A126" s="181"/>
      <c r="B126" s="185"/>
      <c r="C126" s="185"/>
      <c r="D126" s="185"/>
      <c r="E126" s="185"/>
      <c r="F126" s="185"/>
      <c r="G126" s="185"/>
      <c r="H126" s="185"/>
      <c r="I126" s="185"/>
      <c r="J126" s="185"/>
      <c r="K126" s="185"/>
      <c r="L126" s="185"/>
      <c r="M126" s="185"/>
      <c r="N126" s="185"/>
      <c r="O126" s="185"/>
      <c r="P126" s="185"/>
      <c r="Q126" s="185"/>
      <c r="R126" s="185"/>
      <c r="S126" s="185"/>
      <c r="T126" s="185"/>
      <c r="U126" s="185"/>
      <c r="V126" s="181"/>
    </row>
    <row r="127" ht="18.75" customHeight="1">
      <c r="A127" s="181"/>
      <c r="B127" s="185"/>
      <c r="C127" s="185"/>
      <c r="D127" s="185"/>
      <c r="E127" s="185"/>
      <c r="F127" s="185"/>
      <c r="G127" s="185"/>
      <c r="H127" s="185"/>
      <c r="I127" s="185"/>
      <c r="J127" s="185"/>
      <c r="K127" s="185"/>
      <c r="L127" s="185"/>
      <c r="M127" s="185"/>
      <c r="N127" s="185"/>
      <c r="O127" s="185"/>
      <c r="P127" s="185"/>
      <c r="Q127" s="185"/>
      <c r="R127" s="185"/>
      <c r="S127" s="185"/>
      <c r="T127" s="185"/>
      <c r="U127" s="185"/>
      <c r="V127" s="181"/>
    </row>
    <row r="128" ht="18.75" customHeight="1">
      <c r="A128" s="181"/>
      <c r="B128" s="185"/>
      <c r="C128" s="185"/>
      <c r="D128" s="185"/>
      <c r="E128" s="185"/>
      <c r="F128" s="185"/>
      <c r="G128" s="185"/>
      <c r="H128" s="185"/>
      <c r="I128" s="185"/>
      <c r="J128" s="185"/>
      <c r="K128" s="185"/>
      <c r="L128" s="185"/>
      <c r="M128" s="185"/>
      <c r="N128" s="185"/>
      <c r="O128" s="185"/>
      <c r="P128" s="185"/>
      <c r="Q128" s="185"/>
      <c r="R128" s="185"/>
      <c r="S128" s="185"/>
      <c r="T128" s="185"/>
      <c r="U128" s="185"/>
      <c r="V128" s="181"/>
    </row>
    <row r="129" ht="18.75" customHeight="1">
      <c r="A129" s="181"/>
      <c r="B129" s="185"/>
      <c r="C129" s="185"/>
      <c r="D129" s="185"/>
      <c r="E129" s="185"/>
      <c r="F129" s="185"/>
      <c r="G129" s="185"/>
      <c r="H129" s="185"/>
      <c r="I129" s="185"/>
      <c r="J129" s="185"/>
      <c r="K129" s="185"/>
      <c r="L129" s="185"/>
      <c r="M129" s="185"/>
      <c r="N129" s="185"/>
      <c r="O129" s="185"/>
      <c r="P129" s="185"/>
      <c r="Q129" s="185"/>
      <c r="R129" s="185"/>
      <c r="S129" s="185"/>
      <c r="T129" s="185"/>
      <c r="U129" s="185"/>
      <c r="V129" s="181"/>
    </row>
    <row r="130" ht="18.75" customHeight="1">
      <c r="A130" s="181"/>
      <c r="B130" s="185"/>
      <c r="C130" s="185"/>
      <c r="D130" s="185"/>
      <c r="E130" s="185"/>
      <c r="F130" s="185"/>
      <c r="G130" s="185"/>
      <c r="H130" s="185"/>
      <c r="I130" s="185"/>
      <c r="J130" s="185"/>
      <c r="K130" s="185"/>
      <c r="L130" s="185"/>
      <c r="M130" s="185"/>
      <c r="N130" s="185"/>
      <c r="O130" s="185"/>
      <c r="P130" s="185"/>
      <c r="Q130" s="185"/>
      <c r="R130" s="185"/>
      <c r="S130" s="185"/>
      <c r="T130" s="185"/>
      <c r="U130" s="185"/>
      <c r="V130" s="181"/>
    </row>
    <row r="131" ht="18.75" customHeight="1">
      <c r="A131" s="181"/>
      <c r="B131" s="185"/>
      <c r="C131" s="185"/>
      <c r="D131" s="185"/>
      <c r="E131" s="185"/>
      <c r="F131" s="185"/>
      <c r="G131" s="185"/>
      <c r="H131" s="185"/>
      <c r="I131" s="185"/>
      <c r="J131" s="185"/>
      <c r="K131" s="185"/>
      <c r="L131" s="185"/>
      <c r="M131" s="185"/>
      <c r="N131" s="185"/>
      <c r="O131" s="185"/>
      <c r="P131" s="185"/>
      <c r="Q131" s="185"/>
      <c r="R131" s="185"/>
      <c r="S131" s="185"/>
      <c r="T131" s="185"/>
      <c r="U131" s="185"/>
      <c r="V131" s="181"/>
    </row>
    <row r="132" ht="18.75" customHeight="1">
      <c r="A132" s="181"/>
      <c r="B132" s="185"/>
      <c r="C132" s="185"/>
      <c r="D132" s="185"/>
      <c r="E132" s="185"/>
      <c r="F132" s="185"/>
      <c r="G132" s="185"/>
      <c r="H132" s="185"/>
      <c r="I132" s="185"/>
      <c r="J132" s="185"/>
      <c r="K132" s="185"/>
      <c r="L132" s="185"/>
      <c r="M132" s="185"/>
      <c r="N132" s="185"/>
      <c r="O132" s="185"/>
      <c r="P132" s="185"/>
      <c r="Q132" s="185"/>
      <c r="R132" s="185"/>
      <c r="S132" s="185"/>
      <c r="T132" s="185"/>
      <c r="U132" s="185"/>
      <c r="V132" s="181"/>
    </row>
    <row r="133" ht="18.75" customHeight="1">
      <c r="A133" s="181"/>
      <c r="B133" s="185"/>
      <c r="C133" s="185"/>
      <c r="D133" s="185"/>
      <c r="E133" s="185"/>
      <c r="F133" s="185"/>
      <c r="G133" s="185"/>
      <c r="H133" s="185"/>
      <c r="I133" s="185"/>
      <c r="J133" s="185"/>
      <c r="K133" s="185"/>
      <c r="L133" s="185"/>
      <c r="M133" s="185"/>
      <c r="N133" s="185"/>
      <c r="O133" s="185"/>
      <c r="P133" s="185"/>
      <c r="Q133" s="185"/>
      <c r="R133" s="185"/>
      <c r="S133" s="185"/>
      <c r="T133" s="185"/>
      <c r="U133" s="185"/>
      <c r="V133" s="181"/>
    </row>
    <row r="134" ht="18.75" customHeight="1">
      <c r="A134" s="181"/>
      <c r="B134" s="185"/>
      <c r="C134" s="185"/>
      <c r="D134" s="185"/>
      <c r="E134" s="185"/>
      <c r="F134" s="185"/>
      <c r="G134" s="185"/>
      <c r="H134" s="185"/>
      <c r="I134" s="185"/>
      <c r="J134" s="185"/>
      <c r="K134" s="185"/>
      <c r="L134" s="185"/>
      <c r="M134" s="185"/>
      <c r="N134" s="185"/>
      <c r="O134" s="185"/>
      <c r="P134" s="185"/>
      <c r="Q134" s="185"/>
      <c r="R134" s="185"/>
      <c r="S134" s="185"/>
      <c r="T134" s="185"/>
      <c r="U134" s="185"/>
      <c r="V134" s="181"/>
    </row>
    <row r="135" ht="18.75" customHeight="1">
      <c r="A135" s="181"/>
      <c r="B135" s="185"/>
      <c r="C135" s="185"/>
      <c r="D135" s="185"/>
      <c r="E135" s="185"/>
      <c r="F135" s="185"/>
      <c r="G135" s="185"/>
      <c r="H135" s="185"/>
      <c r="I135" s="185"/>
      <c r="J135" s="185"/>
      <c r="K135" s="185"/>
      <c r="L135" s="185"/>
      <c r="M135" s="185"/>
      <c r="N135" s="185"/>
      <c r="O135" s="185"/>
      <c r="P135" s="185"/>
      <c r="Q135" s="185"/>
      <c r="R135" s="185"/>
      <c r="S135" s="185"/>
      <c r="T135" s="185"/>
      <c r="U135" s="185"/>
      <c r="V135" s="181"/>
    </row>
    <row r="136" ht="18.75" customHeight="1">
      <c r="A136" s="181"/>
      <c r="B136" s="185"/>
      <c r="C136" s="185"/>
      <c r="D136" s="185"/>
      <c r="E136" s="185"/>
      <c r="F136" s="185"/>
      <c r="G136" s="185"/>
      <c r="H136" s="185"/>
      <c r="I136" s="185"/>
      <c r="J136" s="185"/>
      <c r="K136" s="185"/>
      <c r="L136" s="185"/>
      <c r="M136" s="185"/>
      <c r="N136" s="185"/>
      <c r="O136" s="185"/>
      <c r="P136" s="185"/>
      <c r="Q136" s="185"/>
      <c r="R136" s="185"/>
      <c r="S136" s="185"/>
      <c r="T136" s="185"/>
      <c r="U136" s="185"/>
      <c r="V136" s="181"/>
    </row>
    <row r="137" ht="18.75" customHeight="1">
      <c r="A137" s="181"/>
      <c r="B137" s="185"/>
      <c r="C137" s="185"/>
      <c r="D137" s="185"/>
      <c r="E137" s="185"/>
      <c r="F137" s="185"/>
      <c r="G137" s="185"/>
      <c r="H137" s="185"/>
      <c r="I137" s="185"/>
      <c r="J137" s="185"/>
      <c r="K137" s="185"/>
      <c r="L137" s="185"/>
      <c r="M137" s="185"/>
      <c r="N137" s="185"/>
      <c r="O137" s="185"/>
      <c r="P137" s="185"/>
      <c r="Q137" s="185"/>
      <c r="R137" s="185"/>
      <c r="S137" s="185"/>
      <c r="T137" s="185"/>
      <c r="U137" s="185"/>
      <c r="V137" s="181"/>
    </row>
    <row r="138" ht="18.75" customHeight="1">
      <c r="A138" s="181"/>
      <c r="B138" s="185"/>
      <c r="C138" s="185"/>
      <c r="D138" s="185"/>
      <c r="E138" s="185"/>
      <c r="F138" s="185"/>
      <c r="G138" s="185"/>
      <c r="H138" s="185"/>
      <c r="I138" s="185"/>
      <c r="J138" s="185"/>
      <c r="K138" s="185"/>
      <c r="L138" s="185"/>
      <c r="M138" s="185"/>
      <c r="N138" s="185"/>
      <c r="O138" s="185"/>
      <c r="P138" s="185"/>
      <c r="Q138" s="185"/>
      <c r="R138" s="185"/>
      <c r="S138" s="185"/>
      <c r="T138" s="185"/>
      <c r="U138" s="185"/>
      <c r="V138" s="181"/>
    </row>
    <row r="139" ht="18.75" customHeight="1">
      <c r="A139" s="181"/>
      <c r="B139" s="185"/>
      <c r="C139" s="185"/>
      <c r="D139" s="185"/>
      <c r="E139" s="185"/>
      <c r="F139" s="185"/>
      <c r="G139" s="185"/>
      <c r="H139" s="185"/>
      <c r="I139" s="185"/>
      <c r="J139" s="185"/>
      <c r="K139" s="185"/>
      <c r="L139" s="185"/>
      <c r="M139" s="185"/>
      <c r="N139" s="185"/>
      <c r="O139" s="185"/>
      <c r="P139" s="185"/>
      <c r="Q139" s="185"/>
      <c r="R139" s="185"/>
      <c r="S139" s="185"/>
      <c r="T139" s="185"/>
      <c r="U139" s="185"/>
      <c r="V139" s="181"/>
    </row>
    <row r="140" ht="18.75" customHeight="1">
      <c r="A140" s="181"/>
      <c r="B140" s="185"/>
      <c r="C140" s="185"/>
      <c r="D140" s="185"/>
      <c r="E140" s="185"/>
      <c r="F140" s="185"/>
      <c r="G140" s="185"/>
      <c r="H140" s="185"/>
      <c r="I140" s="185"/>
      <c r="J140" s="185"/>
      <c r="K140" s="185"/>
      <c r="L140" s="185"/>
      <c r="M140" s="185"/>
      <c r="N140" s="185"/>
      <c r="O140" s="185"/>
      <c r="P140" s="185"/>
      <c r="Q140" s="185"/>
      <c r="R140" s="185"/>
      <c r="S140" s="185"/>
      <c r="T140" s="185"/>
      <c r="U140" s="185"/>
      <c r="V140" s="181"/>
    </row>
    <row r="141" ht="18.75" customHeight="1">
      <c r="A141" s="181"/>
      <c r="B141" s="185"/>
      <c r="C141" s="185"/>
      <c r="D141" s="185"/>
      <c r="E141" s="185"/>
      <c r="F141" s="185"/>
      <c r="G141" s="185"/>
      <c r="H141" s="185"/>
      <c r="I141" s="185"/>
      <c r="J141" s="185"/>
      <c r="K141" s="185"/>
      <c r="L141" s="185"/>
      <c r="M141" s="185"/>
      <c r="N141" s="185"/>
      <c r="O141" s="185"/>
      <c r="P141" s="185"/>
      <c r="Q141" s="185"/>
      <c r="R141" s="185"/>
      <c r="S141" s="185"/>
      <c r="T141" s="185"/>
      <c r="U141" s="185"/>
      <c r="V141" s="181"/>
    </row>
    <row r="142" ht="18.75" customHeight="1">
      <c r="A142" s="181"/>
      <c r="B142" s="185"/>
      <c r="C142" s="185"/>
      <c r="D142" s="185"/>
      <c r="E142" s="185"/>
      <c r="F142" s="185"/>
      <c r="G142" s="185"/>
      <c r="H142" s="185"/>
      <c r="I142" s="185"/>
      <c r="J142" s="185"/>
      <c r="K142" s="185"/>
      <c r="L142" s="185"/>
      <c r="M142" s="185"/>
      <c r="N142" s="185"/>
      <c r="O142" s="185"/>
      <c r="P142" s="185"/>
      <c r="Q142" s="185"/>
      <c r="R142" s="185"/>
      <c r="S142" s="185"/>
      <c r="T142" s="185"/>
      <c r="U142" s="185"/>
      <c r="V142" s="181"/>
    </row>
    <row r="143" ht="18.75" customHeight="1">
      <c r="A143" s="181"/>
      <c r="B143" s="185"/>
      <c r="C143" s="185"/>
      <c r="D143" s="185"/>
      <c r="E143" s="185"/>
      <c r="F143" s="185"/>
      <c r="G143" s="185"/>
      <c r="H143" s="185"/>
      <c r="I143" s="185"/>
      <c r="J143" s="185"/>
      <c r="K143" s="185"/>
      <c r="L143" s="185"/>
      <c r="M143" s="185"/>
      <c r="N143" s="185"/>
      <c r="O143" s="185"/>
      <c r="P143" s="185"/>
      <c r="Q143" s="185"/>
      <c r="R143" s="185"/>
      <c r="S143" s="185"/>
      <c r="T143" s="185"/>
      <c r="U143" s="185"/>
      <c r="V143" s="181"/>
    </row>
    <row r="144" ht="18.75" customHeight="1">
      <c r="A144" s="181"/>
      <c r="B144" s="185"/>
      <c r="C144" s="185"/>
      <c r="D144" s="185"/>
      <c r="E144" s="185"/>
      <c r="F144" s="185"/>
      <c r="G144" s="185"/>
      <c r="H144" s="185"/>
      <c r="I144" s="185"/>
      <c r="J144" s="185"/>
      <c r="K144" s="185"/>
      <c r="L144" s="185"/>
      <c r="M144" s="185"/>
      <c r="N144" s="185"/>
      <c r="O144" s="185"/>
      <c r="P144" s="185"/>
      <c r="Q144" s="185"/>
      <c r="R144" s="185"/>
      <c r="S144" s="185"/>
      <c r="T144" s="185"/>
      <c r="U144" s="185"/>
      <c r="V144" s="181"/>
    </row>
    <row r="145" ht="18.75" customHeight="1">
      <c r="A145" s="181"/>
      <c r="B145" s="185"/>
      <c r="C145" s="185"/>
      <c r="D145" s="185"/>
      <c r="E145" s="185"/>
      <c r="F145" s="185"/>
      <c r="G145" s="185"/>
      <c r="H145" s="185"/>
      <c r="I145" s="185"/>
      <c r="J145" s="185"/>
      <c r="K145" s="185"/>
      <c r="L145" s="185"/>
      <c r="M145" s="185"/>
      <c r="N145" s="185"/>
      <c r="O145" s="185"/>
      <c r="P145" s="185"/>
      <c r="Q145" s="185"/>
      <c r="R145" s="185"/>
      <c r="S145" s="185"/>
      <c r="T145" s="185"/>
      <c r="U145" s="185"/>
      <c r="V145" s="181"/>
    </row>
    <row r="146" ht="18.75" customHeight="1">
      <c r="A146" s="181"/>
      <c r="B146" s="185"/>
      <c r="C146" s="185"/>
      <c r="D146" s="185"/>
      <c r="E146" s="185"/>
      <c r="F146" s="185"/>
      <c r="G146" s="185"/>
      <c r="H146" s="185"/>
      <c r="I146" s="185"/>
      <c r="J146" s="185"/>
      <c r="K146" s="185"/>
      <c r="L146" s="185"/>
      <c r="M146" s="185"/>
      <c r="N146" s="185"/>
      <c r="O146" s="185"/>
      <c r="P146" s="185"/>
      <c r="Q146" s="185"/>
      <c r="R146" s="185"/>
      <c r="S146" s="185"/>
      <c r="T146" s="185"/>
      <c r="U146" s="185"/>
      <c r="V146" s="181"/>
    </row>
    <row r="147" ht="18.75" customHeight="1">
      <c r="A147" s="181"/>
      <c r="B147" s="185"/>
      <c r="C147" s="185"/>
      <c r="D147" s="185"/>
      <c r="E147" s="185"/>
      <c r="F147" s="185"/>
      <c r="G147" s="185"/>
      <c r="H147" s="185"/>
      <c r="I147" s="185"/>
      <c r="J147" s="185"/>
      <c r="K147" s="185"/>
      <c r="L147" s="185"/>
      <c r="M147" s="185"/>
      <c r="N147" s="185"/>
      <c r="O147" s="185"/>
      <c r="P147" s="185"/>
      <c r="Q147" s="185"/>
      <c r="R147" s="185"/>
      <c r="S147" s="185"/>
      <c r="T147" s="185"/>
      <c r="U147" s="185"/>
      <c r="V147" s="181"/>
    </row>
    <row r="148" ht="18.75" customHeight="1">
      <c r="A148" s="181"/>
      <c r="B148" s="185"/>
      <c r="C148" s="185"/>
      <c r="D148" s="185"/>
      <c r="E148" s="185"/>
      <c r="F148" s="185"/>
      <c r="G148" s="185"/>
      <c r="H148" s="185"/>
      <c r="I148" s="185"/>
      <c r="J148" s="185"/>
      <c r="K148" s="185"/>
      <c r="L148" s="185"/>
      <c r="M148" s="185"/>
      <c r="N148" s="185"/>
      <c r="O148" s="185"/>
      <c r="P148" s="185"/>
      <c r="Q148" s="185"/>
      <c r="R148" s="185"/>
      <c r="S148" s="185"/>
      <c r="T148" s="185"/>
      <c r="U148" s="185"/>
      <c r="V148" s="181"/>
    </row>
    <row r="149" ht="18.75" customHeight="1">
      <c r="A149" s="181"/>
      <c r="B149" s="185"/>
      <c r="C149" s="185"/>
      <c r="D149" s="185"/>
      <c r="E149" s="185"/>
      <c r="F149" s="185"/>
      <c r="G149" s="185"/>
      <c r="H149" s="185"/>
      <c r="I149" s="185"/>
      <c r="J149" s="185"/>
      <c r="K149" s="185"/>
      <c r="L149" s="185"/>
      <c r="M149" s="185"/>
      <c r="N149" s="185"/>
      <c r="O149" s="185"/>
      <c r="P149" s="185"/>
      <c r="Q149" s="185"/>
      <c r="R149" s="185"/>
      <c r="S149" s="185"/>
      <c r="T149" s="185"/>
      <c r="U149" s="185"/>
      <c r="V149" s="181"/>
    </row>
    <row r="150" ht="18.75" customHeight="1">
      <c r="A150" s="181"/>
      <c r="B150" s="185"/>
      <c r="C150" s="185"/>
      <c r="D150" s="185"/>
      <c r="E150" s="185"/>
      <c r="F150" s="185"/>
      <c r="G150" s="185"/>
      <c r="H150" s="185"/>
      <c r="I150" s="185"/>
      <c r="J150" s="185"/>
      <c r="K150" s="185"/>
      <c r="L150" s="185"/>
      <c r="M150" s="185"/>
      <c r="N150" s="185"/>
      <c r="O150" s="185"/>
      <c r="P150" s="185"/>
      <c r="Q150" s="185"/>
      <c r="R150" s="185"/>
      <c r="S150" s="185"/>
      <c r="T150" s="185"/>
      <c r="U150" s="185"/>
      <c r="V150" s="181"/>
    </row>
    <row r="151" ht="18.75" customHeight="1">
      <c r="A151" s="181"/>
      <c r="B151" s="185"/>
      <c r="C151" s="185"/>
      <c r="D151" s="185"/>
      <c r="E151" s="185"/>
      <c r="F151" s="185"/>
      <c r="G151" s="185"/>
      <c r="H151" s="185"/>
      <c r="I151" s="185"/>
      <c r="J151" s="185"/>
      <c r="K151" s="185"/>
      <c r="L151" s="185"/>
      <c r="M151" s="185"/>
      <c r="N151" s="185"/>
      <c r="O151" s="185"/>
      <c r="P151" s="185"/>
      <c r="Q151" s="185"/>
      <c r="R151" s="185"/>
      <c r="S151" s="185"/>
      <c r="T151" s="185"/>
      <c r="U151" s="185"/>
      <c r="V151" s="181"/>
    </row>
    <row r="152" ht="18.75" customHeight="1">
      <c r="A152" s="181"/>
      <c r="B152" s="185"/>
      <c r="C152" s="185"/>
      <c r="D152" s="185"/>
      <c r="E152" s="185"/>
      <c r="F152" s="185"/>
      <c r="G152" s="185"/>
      <c r="H152" s="185"/>
      <c r="I152" s="185"/>
      <c r="J152" s="185"/>
      <c r="K152" s="185"/>
      <c r="L152" s="185"/>
      <c r="M152" s="185"/>
      <c r="N152" s="185"/>
      <c r="O152" s="185"/>
      <c r="P152" s="185"/>
      <c r="Q152" s="185"/>
      <c r="R152" s="185"/>
      <c r="S152" s="185"/>
      <c r="T152" s="185"/>
      <c r="U152" s="185"/>
      <c r="V152" s="181"/>
    </row>
    <row r="153" ht="18.75" customHeight="1">
      <c r="A153" s="181"/>
      <c r="B153" s="185"/>
      <c r="C153" s="185"/>
      <c r="D153" s="185"/>
      <c r="E153" s="185"/>
      <c r="F153" s="185"/>
      <c r="G153" s="185"/>
      <c r="H153" s="185"/>
      <c r="I153" s="185"/>
      <c r="J153" s="185"/>
      <c r="K153" s="185"/>
      <c r="L153" s="185"/>
      <c r="M153" s="185"/>
      <c r="N153" s="185"/>
      <c r="O153" s="185"/>
      <c r="P153" s="185"/>
      <c r="Q153" s="185"/>
      <c r="R153" s="185"/>
      <c r="S153" s="185"/>
      <c r="T153" s="185"/>
      <c r="U153" s="185"/>
      <c r="V153" s="181"/>
    </row>
    <row r="154" ht="18.75" customHeight="1">
      <c r="A154" s="181"/>
      <c r="B154" s="185"/>
      <c r="C154" s="185"/>
      <c r="D154" s="185"/>
      <c r="E154" s="185"/>
      <c r="F154" s="185"/>
      <c r="G154" s="185"/>
      <c r="H154" s="185"/>
      <c r="I154" s="185"/>
      <c r="J154" s="185"/>
      <c r="K154" s="185"/>
      <c r="L154" s="185"/>
      <c r="M154" s="185"/>
      <c r="N154" s="185"/>
      <c r="O154" s="185"/>
      <c r="P154" s="185"/>
      <c r="Q154" s="185"/>
      <c r="R154" s="185"/>
      <c r="S154" s="185"/>
      <c r="T154" s="185"/>
      <c r="U154" s="185"/>
      <c r="V154" s="181"/>
    </row>
    <row r="155" ht="18.75" customHeight="1">
      <c r="A155" s="181"/>
      <c r="B155" s="185"/>
      <c r="C155" s="185"/>
      <c r="D155" s="185"/>
      <c r="E155" s="185"/>
      <c r="F155" s="185"/>
      <c r="G155" s="185"/>
      <c r="H155" s="185"/>
      <c r="I155" s="185"/>
      <c r="J155" s="185"/>
      <c r="K155" s="185"/>
      <c r="L155" s="185"/>
      <c r="M155" s="185"/>
      <c r="N155" s="185"/>
      <c r="O155" s="185"/>
      <c r="P155" s="185"/>
      <c r="Q155" s="185"/>
      <c r="R155" s="185"/>
      <c r="S155" s="185"/>
      <c r="T155" s="185"/>
      <c r="U155" s="185"/>
      <c r="V155" s="181"/>
    </row>
    <row r="156" ht="18.75" customHeight="1">
      <c r="A156" s="181"/>
      <c r="B156" s="185"/>
      <c r="C156" s="185"/>
      <c r="D156" s="185"/>
      <c r="E156" s="185"/>
      <c r="F156" s="185"/>
      <c r="G156" s="185"/>
      <c r="H156" s="185"/>
      <c r="I156" s="185"/>
      <c r="J156" s="185"/>
      <c r="K156" s="185"/>
      <c r="L156" s="185"/>
      <c r="M156" s="185"/>
      <c r="N156" s="185"/>
      <c r="O156" s="185"/>
      <c r="P156" s="185"/>
      <c r="Q156" s="185"/>
      <c r="R156" s="185"/>
      <c r="S156" s="185"/>
      <c r="T156" s="185"/>
      <c r="U156" s="185"/>
      <c r="V156" s="181"/>
    </row>
    <row r="157" ht="18.75" customHeight="1">
      <c r="A157" s="181"/>
      <c r="B157" s="185"/>
      <c r="C157" s="185"/>
      <c r="D157" s="185"/>
      <c r="E157" s="185"/>
      <c r="F157" s="185"/>
      <c r="G157" s="185"/>
      <c r="H157" s="185"/>
      <c r="I157" s="185"/>
      <c r="J157" s="185"/>
      <c r="K157" s="185"/>
      <c r="L157" s="185"/>
      <c r="M157" s="185"/>
      <c r="N157" s="185"/>
      <c r="O157" s="185"/>
      <c r="P157" s="185"/>
      <c r="Q157" s="185"/>
      <c r="R157" s="185"/>
      <c r="S157" s="185"/>
      <c r="T157" s="185"/>
      <c r="U157" s="185"/>
      <c r="V157" s="181"/>
    </row>
    <row r="158" ht="18.75" customHeight="1">
      <c r="A158" s="181"/>
      <c r="B158" s="185"/>
      <c r="C158" s="185"/>
      <c r="D158" s="185"/>
      <c r="E158" s="185"/>
      <c r="F158" s="185"/>
      <c r="G158" s="185"/>
      <c r="H158" s="185"/>
      <c r="I158" s="185"/>
      <c r="J158" s="185"/>
      <c r="K158" s="185"/>
      <c r="L158" s="185"/>
      <c r="M158" s="185"/>
      <c r="N158" s="185"/>
      <c r="O158" s="185"/>
      <c r="P158" s="185"/>
      <c r="Q158" s="185"/>
      <c r="R158" s="185"/>
      <c r="S158" s="185"/>
      <c r="T158" s="185"/>
      <c r="U158" s="185"/>
      <c r="V158" s="181"/>
    </row>
    <row r="159" ht="18.75" customHeight="1">
      <c r="A159" s="181"/>
      <c r="B159" s="185"/>
      <c r="C159" s="185"/>
      <c r="D159" s="185"/>
      <c r="E159" s="185"/>
      <c r="F159" s="185"/>
      <c r="G159" s="185"/>
      <c r="H159" s="185"/>
      <c r="I159" s="185"/>
      <c r="J159" s="185"/>
      <c r="K159" s="185"/>
      <c r="L159" s="185"/>
      <c r="M159" s="185"/>
      <c r="N159" s="185"/>
      <c r="O159" s="185"/>
      <c r="P159" s="185"/>
      <c r="Q159" s="185"/>
      <c r="R159" s="185"/>
      <c r="S159" s="185"/>
      <c r="T159" s="185"/>
      <c r="U159" s="185"/>
      <c r="V159" s="181"/>
    </row>
    <row r="160" ht="18.75" customHeight="1">
      <c r="A160" s="181"/>
      <c r="B160" s="185"/>
      <c r="C160" s="185"/>
      <c r="D160" s="185"/>
      <c r="E160" s="185"/>
      <c r="F160" s="185"/>
      <c r="G160" s="185"/>
      <c r="H160" s="185"/>
      <c r="I160" s="185"/>
      <c r="J160" s="185"/>
      <c r="K160" s="185"/>
      <c r="L160" s="185"/>
      <c r="M160" s="185"/>
      <c r="N160" s="185"/>
      <c r="O160" s="185"/>
      <c r="P160" s="185"/>
      <c r="Q160" s="185"/>
      <c r="R160" s="185"/>
      <c r="S160" s="185"/>
      <c r="T160" s="185"/>
      <c r="U160" s="185"/>
      <c r="V160" s="181"/>
    </row>
    <row r="161" ht="18.75" customHeight="1">
      <c r="A161" s="181"/>
      <c r="B161" s="185"/>
      <c r="C161" s="185"/>
      <c r="D161" s="185"/>
      <c r="E161" s="185"/>
      <c r="F161" s="185"/>
      <c r="G161" s="185"/>
      <c r="H161" s="185"/>
      <c r="I161" s="185"/>
      <c r="J161" s="185"/>
      <c r="K161" s="185"/>
      <c r="L161" s="185"/>
      <c r="M161" s="185"/>
      <c r="N161" s="185"/>
      <c r="O161" s="185"/>
      <c r="P161" s="185"/>
      <c r="Q161" s="185"/>
      <c r="R161" s="185"/>
      <c r="S161" s="185"/>
      <c r="T161" s="185"/>
      <c r="U161" s="185"/>
      <c r="V161" s="181"/>
    </row>
    <row r="162" ht="18.75" customHeight="1">
      <c r="A162" s="181"/>
      <c r="B162" s="185"/>
      <c r="C162" s="185"/>
      <c r="D162" s="185"/>
      <c r="E162" s="185"/>
      <c r="F162" s="185"/>
      <c r="G162" s="185"/>
      <c r="H162" s="185"/>
      <c r="I162" s="185"/>
      <c r="J162" s="185"/>
      <c r="K162" s="185"/>
      <c r="L162" s="185"/>
      <c r="M162" s="185"/>
      <c r="N162" s="185"/>
      <c r="O162" s="185"/>
      <c r="P162" s="185"/>
      <c r="Q162" s="185"/>
      <c r="R162" s="185"/>
      <c r="S162" s="185"/>
      <c r="T162" s="185"/>
      <c r="U162" s="185"/>
      <c r="V162" s="181"/>
    </row>
    <row r="163" ht="18.75" customHeight="1">
      <c r="A163" s="181"/>
      <c r="B163" s="185"/>
      <c r="C163" s="185"/>
      <c r="D163" s="185"/>
      <c r="E163" s="185"/>
      <c r="F163" s="185"/>
      <c r="G163" s="185"/>
      <c r="H163" s="185"/>
      <c r="I163" s="185"/>
      <c r="J163" s="185"/>
      <c r="K163" s="185"/>
      <c r="L163" s="185"/>
      <c r="M163" s="185"/>
      <c r="N163" s="185"/>
      <c r="O163" s="185"/>
      <c r="P163" s="185"/>
      <c r="Q163" s="185"/>
      <c r="R163" s="185"/>
      <c r="S163" s="185"/>
      <c r="T163" s="185"/>
      <c r="U163" s="185"/>
      <c r="V163" s="181"/>
    </row>
    <row r="164" ht="18.75" customHeight="1">
      <c r="A164" s="181"/>
      <c r="B164" s="185"/>
      <c r="C164" s="185"/>
      <c r="D164" s="185"/>
      <c r="E164" s="185"/>
      <c r="F164" s="185"/>
      <c r="G164" s="185"/>
      <c r="H164" s="185"/>
      <c r="I164" s="185"/>
      <c r="J164" s="185"/>
      <c r="K164" s="185"/>
      <c r="L164" s="185"/>
      <c r="M164" s="185"/>
      <c r="N164" s="185"/>
      <c r="O164" s="185"/>
      <c r="P164" s="185"/>
      <c r="Q164" s="185"/>
      <c r="R164" s="185"/>
      <c r="S164" s="185"/>
      <c r="T164" s="185"/>
      <c r="U164" s="185"/>
      <c r="V164" s="181"/>
    </row>
    <row r="165" ht="18.75" customHeight="1">
      <c r="A165" s="181"/>
      <c r="B165" s="185"/>
      <c r="C165" s="185"/>
      <c r="D165" s="185"/>
      <c r="E165" s="185"/>
      <c r="F165" s="185"/>
      <c r="G165" s="185"/>
      <c r="H165" s="185"/>
      <c r="I165" s="185"/>
      <c r="J165" s="185"/>
      <c r="K165" s="185"/>
      <c r="L165" s="185"/>
      <c r="M165" s="185"/>
      <c r="N165" s="185"/>
      <c r="O165" s="185"/>
      <c r="P165" s="185"/>
      <c r="Q165" s="185"/>
      <c r="R165" s="185"/>
      <c r="S165" s="185"/>
      <c r="T165" s="185"/>
      <c r="U165" s="185"/>
      <c r="V165" s="181"/>
    </row>
    <row r="166" ht="18.75" customHeight="1">
      <c r="A166" s="181"/>
      <c r="B166" s="185"/>
      <c r="C166" s="185"/>
      <c r="D166" s="185"/>
      <c r="E166" s="185"/>
      <c r="F166" s="185"/>
      <c r="G166" s="185"/>
      <c r="H166" s="185"/>
      <c r="I166" s="185"/>
      <c r="J166" s="185"/>
      <c r="K166" s="185"/>
      <c r="L166" s="185"/>
      <c r="M166" s="185"/>
      <c r="N166" s="185"/>
      <c r="O166" s="185"/>
      <c r="P166" s="185"/>
      <c r="Q166" s="185"/>
      <c r="R166" s="185"/>
      <c r="S166" s="185"/>
      <c r="T166" s="185"/>
      <c r="U166" s="185"/>
      <c r="V166" s="181"/>
    </row>
    <row r="167" ht="18.75" customHeight="1">
      <c r="A167" s="181"/>
      <c r="B167" s="185"/>
      <c r="C167" s="185"/>
      <c r="D167" s="185"/>
      <c r="E167" s="185"/>
      <c r="F167" s="185"/>
      <c r="G167" s="185"/>
      <c r="H167" s="185"/>
      <c r="I167" s="185"/>
      <c r="J167" s="185"/>
      <c r="K167" s="185"/>
      <c r="L167" s="185"/>
      <c r="M167" s="185"/>
      <c r="N167" s="185"/>
      <c r="O167" s="185"/>
      <c r="P167" s="185"/>
      <c r="Q167" s="185"/>
      <c r="R167" s="185"/>
      <c r="S167" s="185"/>
      <c r="T167" s="185"/>
      <c r="U167" s="185"/>
      <c r="V167" s="181"/>
    </row>
    <row r="168" ht="18.75" customHeight="1">
      <c r="A168" s="181"/>
      <c r="B168" s="185"/>
      <c r="C168" s="185"/>
      <c r="D168" s="185"/>
      <c r="E168" s="185"/>
      <c r="F168" s="185"/>
      <c r="G168" s="185"/>
      <c r="H168" s="185"/>
      <c r="I168" s="185"/>
      <c r="J168" s="185"/>
      <c r="K168" s="185"/>
      <c r="L168" s="185"/>
      <c r="M168" s="185"/>
      <c r="N168" s="185"/>
      <c r="O168" s="185"/>
      <c r="P168" s="185"/>
      <c r="Q168" s="185"/>
      <c r="R168" s="185"/>
      <c r="S168" s="185"/>
      <c r="T168" s="185"/>
      <c r="U168" s="185"/>
      <c r="V168" s="181"/>
    </row>
    <row r="169" ht="18.75" customHeight="1">
      <c r="A169" s="181"/>
      <c r="B169" s="185"/>
      <c r="C169" s="185"/>
      <c r="D169" s="185"/>
      <c r="E169" s="185"/>
      <c r="F169" s="185"/>
      <c r="G169" s="185"/>
      <c r="H169" s="185"/>
      <c r="I169" s="185"/>
      <c r="J169" s="185"/>
      <c r="K169" s="185"/>
      <c r="L169" s="185"/>
      <c r="M169" s="185"/>
      <c r="N169" s="185"/>
      <c r="O169" s="185"/>
      <c r="P169" s="185"/>
      <c r="Q169" s="185"/>
      <c r="R169" s="185"/>
      <c r="S169" s="185"/>
      <c r="T169" s="185"/>
      <c r="U169" s="185"/>
      <c r="V169" s="181"/>
    </row>
    <row r="170" ht="18.75" customHeight="1">
      <c r="A170" s="181"/>
      <c r="B170" s="185"/>
      <c r="C170" s="185"/>
      <c r="D170" s="185"/>
      <c r="E170" s="185"/>
      <c r="F170" s="185"/>
      <c r="G170" s="185"/>
      <c r="H170" s="185"/>
      <c r="I170" s="185"/>
      <c r="J170" s="185"/>
      <c r="K170" s="185"/>
      <c r="L170" s="185"/>
      <c r="M170" s="185"/>
      <c r="N170" s="185"/>
      <c r="O170" s="185"/>
      <c r="P170" s="185"/>
      <c r="Q170" s="185"/>
      <c r="R170" s="185"/>
      <c r="S170" s="185"/>
      <c r="T170" s="185"/>
      <c r="U170" s="185"/>
      <c r="V170" s="181"/>
    </row>
    <row r="171" ht="18.75" customHeight="1">
      <c r="A171" s="181"/>
      <c r="B171" s="185"/>
      <c r="C171" s="185"/>
      <c r="D171" s="185"/>
      <c r="E171" s="185"/>
      <c r="F171" s="185"/>
      <c r="G171" s="185"/>
      <c r="H171" s="185"/>
      <c r="I171" s="185"/>
      <c r="J171" s="185"/>
      <c r="K171" s="185"/>
      <c r="L171" s="185"/>
      <c r="M171" s="185"/>
      <c r="N171" s="185"/>
      <c r="O171" s="185"/>
      <c r="P171" s="185"/>
      <c r="Q171" s="185"/>
      <c r="R171" s="185"/>
      <c r="S171" s="185"/>
      <c r="T171" s="185"/>
      <c r="U171" s="185"/>
      <c r="V171" s="181"/>
    </row>
    <row r="172" ht="18.75" customHeight="1">
      <c r="A172" s="181"/>
      <c r="B172" s="185"/>
      <c r="C172" s="185"/>
      <c r="D172" s="185"/>
      <c r="E172" s="185"/>
      <c r="F172" s="185"/>
      <c r="G172" s="185"/>
      <c r="H172" s="185"/>
      <c r="I172" s="185"/>
      <c r="J172" s="185"/>
      <c r="K172" s="185"/>
      <c r="L172" s="185"/>
      <c r="M172" s="185"/>
      <c r="N172" s="185"/>
      <c r="O172" s="185"/>
      <c r="P172" s="185"/>
      <c r="Q172" s="185"/>
      <c r="R172" s="185"/>
      <c r="S172" s="185"/>
      <c r="T172" s="185"/>
      <c r="U172" s="185"/>
      <c r="V172" s="181"/>
    </row>
    <row r="173" ht="18.75" customHeight="1">
      <c r="A173" s="181"/>
      <c r="B173" s="185"/>
      <c r="C173" s="185"/>
      <c r="D173" s="185"/>
      <c r="E173" s="185"/>
      <c r="F173" s="185"/>
      <c r="G173" s="185"/>
      <c r="H173" s="185"/>
      <c r="I173" s="185"/>
      <c r="J173" s="185"/>
      <c r="K173" s="185"/>
      <c r="L173" s="185"/>
      <c r="M173" s="185"/>
      <c r="N173" s="185"/>
      <c r="O173" s="185"/>
      <c r="P173" s="185"/>
      <c r="Q173" s="185"/>
      <c r="R173" s="185"/>
      <c r="S173" s="185"/>
      <c r="T173" s="185"/>
      <c r="U173" s="185"/>
      <c r="V173" s="181"/>
    </row>
    <row r="174" ht="18.75" customHeight="1">
      <c r="A174" s="181"/>
      <c r="B174" s="185"/>
      <c r="C174" s="185"/>
      <c r="D174" s="185"/>
      <c r="E174" s="185"/>
      <c r="F174" s="185"/>
      <c r="G174" s="185"/>
      <c r="H174" s="185"/>
      <c r="I174" s="185"/>
      <c r="J174" s="185"/>
      <c r="K174" s="185"/>
      <c r="L174" s="185"/>
      <c r="M174" s="185"/>
      <c r="N174" s="185"/>
      <c r="O174" s="185"/>
      <c r="P174" s="185"/>
      <c r="Q174" s="185"/>
      <c r="R174" s="185"/>
      <c r="S174" s="185"/>
      <c r="T174" s="185"/>
      <c r="U174" s="185"/>
      <c r="V174" s="181"/>
    </row>
    <row r="175" ht="18.75" customHeight="1">
      <c r="A175" s="181"/>
      <c r="B175" s="185"/>
      <c r="C175" s="185"/>
      <c r="D175" s="185"/>
      <c r="E175" s="185"/>
      <c r="F175" s="185"/>
      <c r="G175" s="185"/>
      <c r="H175" s="185"/>
      <c r="I175" s="185"/>
      <c r="J175" s="185"/>
      <c r="K175" s="185"/>
      <c r="L175" s="185"/>
      <c r="M175" s="185"/>
      <c r="N175" s="185"/>
      <c r="O175" s="185"/>
      <c r="P175" s="185"/>
      <c r="Q175" s="185"/>
      <c r="R175" s="185"/>
      <c r="S175" s="185"/>
      <c r="T175" s="185"/>
      <c r="U175" s="185"/>
      <c r="V175" s="181"/>
    </row>
    <row r="176" ht="18.75" customHeight="1">
      <c r="A176" s="181"/>
      <c r="B176" s="185"/>
      <c r="C176" s="185"/>
      <c r="D176" s="185"/>
      <c r="E176" s="185"/>
      <c r="F176" s="185"/>
      <c r="G176" s="185"/>
      <c r="H176" s="185"/>
      <c r="I176" s="185"/>
      <c r="J176" s="185"/>
      <c r="K176" s="185"/>
      <c r="L176" s="185"/>
      <c r="M176" s="185"/>
      <c r="N176" s="185"/>
      <c r="O176" s="185"/>
      <c r="P176" s="185"/>
      <c r="Q176" s="185"/>
      <c r="R176" s="185"/>
      <c r="S176" s="185"/>
      <c r="T176" s="185"/>
      <c r="U176" s="185"/>
      <c r="V176" s="181"/>
    </row>
    <row r="177" ht="18.75" customHeight="1">
      <c r="A177" s="181"/>
      <c r="B177" s="185"/>
      <c r="C177" s="185"/>
      <c r="D177" s="185"/>
      <c r="E177" s="185"/>
      <c r="F177" s="185"/>
      <c r="G177" s="185"/>
      <c r="H177" s="185"/>
      <c r="I177" s="185"/>
      <c r="J177" s="185"/>
      <c r="K177" s="185"/>
      <c r="L177" s="185"/>
      <c r="M177" s="185"/>
      <c r="N177" s="185"/>
      <c r="O177" s="185"/>
      <c r="P177" s="185"/>
      <c r="Q177" s="185"/>
      <c r="R177" s="185"/>
      <c r="S177" s="185"/>
      <c r="T177" s="185"/>
      <c r="U177" s="185"/>
      <c r="V177" s="181"/>
    </row>
    <row r="178" ht="18.75" customHeight="1">
      <c r="A178" s="181"/>
      <c r="B178" s="185"/>
      <c r="C178" s="185"/>
      <c r="D178" s="185"/>
      <c r="E178" s="185"/>
      <c r="F178" s="185"/>
      <c r="G178" s="185"/>
      <c r="H178" s="185"/>
      <c r="I178" s="185"/>
      <c r="J178" s="185"/>
      <c r="K178" s="185"/>
      <c r="L178" s="185"/>
      <c r="M178" s="185"/>
      <c r="N178" s="185"/>
      <c r="O178" s="185"/>
      <c r="P178" s="185"/>
      <c r="Q178" s="185"/>
      <c r="R178" s="185"/>
      <c r="S178" s="185"/>
      <c r="T178" s="185"/>
      <c r="U178" s="185"/>
      <c r="V178" s="181"/>
    </row>
    <row r="179" ht="18.75" customHeight="1">
      <c r="A179" s="181"/>
      <c r="B179" s="185"/>
      <c r="C179" s="185"/>
      <c r="D179" s="185"/>
      <c r="E179" s="185"/>
      <c r="F179" s="185"/>
      <c r="G179" s="185"/>
      <c r="H179" s="185"/>
      <c r="I179" s="185"/>
      <c r="J179" s="185"/>
      <c r="K179" s="185"/>
      <c r="L179" s="185"/>
      <c r="M179" s="185"/>
      <c r="N179" s="185"/>
      <c r="O179" s="185"/>
      <c r="P179" s="185"/>
      <c r="Q179" s="185"/>
      <c r="R179" s="185"/>
      <c r="S179" s="185"/>
      <c r="T179" s="185"/>
      <c r="U179" s="185"/>
      <c r="V179" s="181"/>
    </row>
    <row r="180" ht="18.75" customHeight="1">
      <c r="A180" s="181"/>
      <c r="B180" s="185"/>
      <c r="C180" s="185"/>
      <c r="D180" s="185"/>
      <c r="E180" s="185"/>
      <c r="F180" s="185"/>
      <c r="G180" s="185"/>
      <c r="H180" s="185"/>
      <c r="I180" s="185"/>
      <c r="J180" s="185"/>
      <c r="K180" s="185"/>
      <c r="L180" s="185"/>
      <c r="M180" s="185"/>
      <c r="N180" s="185"/>
      <c r="O180" s="185"/>
      <c r="P180" s="185"/>
      <c r="Q180" s="185"/>
      <c r="R180" s="185"/>
      <c r="S180" s="185"/>
      <c r="T180" s="185"/>
      <c r="U180" s="185"/>
      <c r="V180" s="181"/>
    </row>
    <row r="181" ht="18.75" customHeight="1">
      <c r="A181" s="181"/>
      <c r="B181" s="185"/>
      <c r="C181" s="185"/>
      <c r="D181" s="185"/>
      <c r="E181" s="185"/>
      <c r="F181" s="185"/>
      <c r="G181" s="185"/>
      <c r="H181" s="185"/>
      <c r="I181" s="185"/>
      <c r="J181" s="185"/>
      <c r="K181" s="185"/>
      <c r="L181" s="185"/>
      <c r="M181" s="185"/>
      <c r="N181" s="185"/>
      <c r="O181" s="185"/>
      <c r="P181" s="185"/>
      <c r="Q181" s="185"/>
      <c r="R181" s="185"/>
      <c r="S181" s="185"/>
      <c r="T181" s="185"/>
      <c r="U181" s="185"/>
      <c r="V181" s="181"/>
    </row>
    <row r="182" ht="18.75" customHeight="1">
      <c r="A182" s="181"/>
      <c r="B182" s="185"/>
      <c r="C182" s="185"/>
      <c r="D182" s="185"/>
      <c r="E182" s="185"/>
      <c r="F182" s="185"/>
      <c r="G182" s="185"/>
      <c r="H182" s="185"/>
      <c r="I182" s="185"/>
      <c r="J182" s="185"/>
      <c r="K182" s="185"/>
      <c r="L182" s="185"/>
      <c r="M182" s="185"/>
      <c r="N182" s="185"/>
      <c r="O182" s="185"/>
      <c r="P182" s="185"/>
      <c r="Q182" s="185"/>
      <c r="R182" s="185"/>
      <c r="S182" s="185"/>
      <c r="T182" s="185"/>
      <c r="U182" s="185"/>
      <c r="V182" s="181"/>
    </row>
    <row r="183" ht="18.75" customHeight="1">
      <c r="A183" s="181"/>
      <c r="B183" s="185"/>
      <c r="C183" s="185"/>
      <c r="D183" s="185"/>
      <c r="E183" s="185"/>
      <c r="F183" s="185"/>
      <c r="G183" s="185"/>
      <c r="H183" s="185"/>
      <c r="I183" s="185"/>
      <c r="J183" s="185"/>
      <c r="K183" s="185"/>
      <c r="L183" s="185"/>
      <c r="M183" s="185"/>
      <c r="N183" s="185"/>
      <c r="O183" s="185"/>
      <c r="P183" s="185"/>
      <c r="Q183" s="185"/>
      <c r="R183" s="185"/>
      <c r="S183" s="185"/>
      <c r="T183" s="185"/>
      <c r="U183" s="185"/>
      <c r="V183" s="181"/>
    </row>
    <row r="184" ht="18.75" customHeight="1">
      <c r="A184" s="181"/>
      <c r="B184" s="185"/>
      <c r="C184" s="185"/>
      <c r="D184" s="185"/>
      <c r="E184" s="185"/>
      <c r="F184" s="185"/>
      <c r="G184" s="185"/>
      <c r="H184" s="185"/>
      <c r="I184" s="185"/>
      <c r="J184" s="185"/>
      <c r="K184" s="185"/>
      <c r="L184" s="185"/>
      <c r="M184" s="185"/>
      <c r="N184" s="185"/>
      <c r="O184" s="185"/>
      <c r="P184" s="185"/>
      <c r="Q184" s="185"/>
      <c r="R184" s="185"/>
      <c r="S184" s="185"/>
      <c r="T184" s="185"/>
      <c r="U184" s="185"/>
      <c r="V184" s="181"/>
    </row>
    <row r="185" ht="18.75" customHeight="1">
      <c r="A185" s="181"/>
      <c r="B185" s="185"/>
      <c r="C185" s="185"/>
      <c r="D185" s="185"/>
      <c r="E185" s="185"/>
      <c r="F185" s="185"/>
      <c r="G185" s="185"/>
      <c r="H185" s="185"/>
      <c r="I185" s="185"/>
      <c r="J185" s="185"/>
      <c r="K185" s="185"/>
      <c r="L185" s="185"/>
      <c r="M185" s="185"/>
      <c r="N185" s="185"/>
      <c r="O185" s="185"/>
      <c r="P185" s="185"/>
      <c r="Q185" s="185"/>
      <c r="R185" s="185"/>
      <c r="S185" s="185"/>
      <c r="T185" s="185"/>
      <c r="U185" s="185"/>
      <c r="V185" s="181"/>
    </row>
    <row r="186" ht="18.75" customHeight="1">
      <c r="A186" s="181"/>
      <c r="B186" s="185"/>
      <c r="C186" s="185"/>
      <c r="D186" s="185"/>
      <c r="E186" s="185"/>
      <c r="F186" s="185"/>
      <c r="G186" s="185"/>
      <c r="H186" s="185"/>
      <c r="I186" s="185"/>
      <c r="J186" s="185"/>
      <c r="K186" s="185"/>
      <c r="L186" s="185"/>
      <c r="M186" s="185"/>
      <c r="N186" s="185"/>
      <c r="O186" s="185"/>
      <c r="P186" s="185"/>
      <c r="Q186" s="185"/>
      <c r="R186" s="185"/>
      <c r="S186" s="185"/>
      <c r="T186" s="185"/>
      <c r="U186" s="185"/>
      <c r="V186" s="181"/>
    </row>
    <row r="187" ht="18.75" customHeight="1">
      <c r="A187" s="181"/>
      <c r="B187" s="185"/>
      <c r="C187" s="185"/>
      <c r="D187" s="185"/>
      <c r="E187" s="185"/>
      <c r="F187" s="185"/>
      <c r="G187" s="185"/>
      <c r="H187" s="185"/>
      <c r="I187" s="185"/>
      <c r="J187" s="185"/>
      <c r="K187" s="185"/>
      <c r="L187" s="185"/>
      <c r="M187" s="185"/>
      <c r="N187" s="185"/>
      <c r="O187" s="185"/>
      <c r="P187" s="185"/>
      <c r="Q187" s="185"/>
      <c r="R187" s="185"/>
      <c r="S187" s="185"/>
      <c r="T187" s="185"/>
      <c r="U187" s="185"/>
      <c r="V187" s="181"/>
    </row>
    <row r="188" ht="18.75" customHeight="1">
      <c r="A188" s="181"/>
      <c r="B188" s="185"/>
      <c r="C188" s="185"/>
      <c r="D188" s="185"/>
      <c r="E188" s="185"/>
      <c r="F188" s="185"/>
      <c r="G188" s="185"/>
      <c r="H188" s="185"/>
      <c r="I188" s="185"/>
      <c r="J188" s="185"/>
      <c r="K188" s="185"/>
      <c r="L188" s="185"/>
      <c r="M188" s="185"/>
      <c r="N188" s="185"/>
      <c r="O188" s="185"/>
      <c r="P188" s="185"/>
      <c r="Q188" s="185"/>
      <c r="R188" s="185"/>
      <c r="S188" s="185"/>
      <c r="T188" s="185"/>
      <c r="U188" s="185"/>
      <c r="V188" s="181"/>
    </row>
    <row r="189" ht="18.75" customHeight="1">
      <c r="A189" s="181"/>
      <c r="B189" s="185"/>
      <c r="C189" s="185"/>
      <c r="D189" s="185"/>
      <c r="E189" s="185"/>
      <c r="F189" s="185"/>
      <c r="G189" s="185"/>
      <c r="H189" s="185"/>
      <c r="I189" s="185"/>
      <c r="J189" s="185"/>
      <c r="K189" s="185"/>
      <c r="L189" s="185"/>
      <c r="M189" s="185"/>
      <c r="N189" s="185"/>
      <c r="O189" s="185"/>
      <c r="P189" s="185"/>
      <c r="Q189" s="185"/>
      <c r="R189" s="185"/>
      <c r="S189" s="185"/>
      <c r="T189" s="185"/>
      <c r="U189" s="185"/>
      <c r="V189" s="181"/>
    </row>
    <row r="190" ht="18.75" customHeight="1">
      <c r="A190" s="181"/>
      <c r="B190" s="185"/>
      <c r="C190" s="185"/>
      <c r="D190" s="185"/>
      <c r="E190" s="185"/>
      <c r="F190" s="185"/>
      <c r="G190" s="185"/>
      <c r="H190" s="185"/>
      <c r="I190" s="185"/>
      <c r="J190" s="185"/>
      <c r="K190" s="185"/>
      <c r="L190" s="185"/>
      <c r="M190" s="185"/>
      <c r="N190" s="185"/>
      <c r="O190" s="185"/>
      <c r="P190" s="185"/>
      <c r="Q190" s="185"/>
      <c r="R190" s="185"/>
      <c r="S190" s="185"/>
      <c r="T190" s="185"/>
      <c r="U190" s="185"/>
      <c r="V190" s="181"/>
    </row>
    <row r="191" ht="18.75" customHeight="1">
      <c r="A191" s="181"/>
      <c r="B191" s="185"/>
      <c r="C191" s="185"/>
      <c r="D191" s="185"/>
      <c r="E191" s="185"/>
      <c r="F191" s="185"/>
      <c r="G191" s="185"/>
      <c r="H191" s="185"/>
      <c r="I191" s="185"/>
      <c r="J191" s="185"/>
      <c r="K191" s="185"/>
      <c r="L191" s="185"/>
      <c r="M191" s="185"/>
      <c r="N191" s="185"/>
      <c r="O191" s="185"/>
      <c r="P191" s="185"/>
      <c r="Q191" s="185"/>
      <c r="R191" s="185"/>
      <c r="S191" s="185"/>
      <c r="T191" s="185"/>
      <c r="U191" s="185"/>
      <c r="V191" s="181"/>
    </row>
    <row r="192" ht="18.75" customHeight="1">
      <c r="A192" s="181"/>
      <c r="B192" s="185"/>
      <c r="C192" s="185"/>
      <c r="D192" s="185"/>
      <c r="E192" s="185"/>
      <c r="F192" s="185"/>
      <c r="G192" s="185"/>
      <c r="H192" s="185"/>
      <c r="I192" s="185"/>
      <c r="J192" s="185"/>
      <c r="K192" s="185"/>
      <c r="L192" s="185"/>
      <c r="M192" s="185"/>
      <c r="N192" s="185"/>
      <c r="O192" s="185"/>
      <c r="P192" s="185"/>
      <c r="Q192" s="185"/>
      <c r="R192" s="185"/>
      <c r="S192" s="185"/>
      <c r="T192" s="185"/>
      <c r="U192" s="185"/>
      <c r="V192" s="181"/>
    </row>
    <row r="193" ht="18.75" customHeight="1">
      <c r="A193" s="181"/>
      <c r="B193" s="185"/>
      <c r="C193" s="185"/>
      <c r="D193" s="185"/>
      <c r="E193" s="185"/>
      <c r="F193" s="185"/>
      <c r="G193" s="185"/>
      <c r="H193" s="185"/>
      <c r="I193" s="185"/>
      <c r="J193" s="185"/>
      <c r="K193" s="185"/>
      <c r="L193" s="185"/>
      <c r="M193" s="185"/>
      <c r="N193" s="185"/>
      <c r="O193" s="185"/>
      <c r="P193" s="185"/>
      <c r="Q193" s="185"/>
      <c r="R193" s="185"/>
      <c r="S193" s="185"/>
      <c r="T193" s="185"/>
      <c r="U193" s="185"/>
      <c r="V193" s="181"/>
    </row>
    <row r="194" ht="18.75" customHeight="1">
      <c r="A194" s="181"/>
      <c r="B194" s="185"/>
      <c r="C194" s="185"/>
      <c r="D194" s="185"/>
      <c r="E194" s="185"/>
      <c r="F194" s="185"/>
      <c r="G194" s="185"/>
      <c r="H194" s="185"/>
      <c r="I194" s="185"/>
      <c r="J194" s="185"/>
      <c r="K194" s="185"/>
      <c r="L194" s="185"/>
      <c r="M194" s="185"/>
      <c r="N194" s="185"/>
      <c r="O194" s="185"/>
      <c r="P194" s="185"/>
      <c r="Q194" s="185"/>
      <c r="R194" s="185"/>
      <c r="S194" s="185"/>
      <c r="T194" s="185"/>
      <c r="U194" s="185"/>
      <c r="V194" s="181"/>
    </row>
    <row r="195" ht="18.75" customHeight="1">
      <c r="A195" s="181"/>
      <c r="B195" s="185"/>
      <c r="C195" s="185"/>
      <c r="D195" s="185"/>
      <c r="E195" s="185"/>
      <c r="F195" s="185"/>
      <c r="G195" s="185"/>
      <c r="H195" s="185"/>
      <c r="I195" s="185"/>
      <c r="J195" s="185"/>
      <c r="K195" s="185"/>
      <c r="L195" s="185"/>
      <c r="M195" s="185"/>
      <c r="N195" s="185"/>
      <c r="O195" s="185"/>
      <c r="P195" s="185"/>
      <c r="Q195" s="185"/>
      <c r="R195" s="185"/>
      <c r="S195" s="185"/>
      <c r="T195" s="185"/>
      <c r="U195" s="185"/>
      <c r="V195" s="181"/>
    </row>
    <row r="196" ht="18.75" customHeight="1">
      <c r="A196" s="181"/>
      <c r="B196" s="185"/>
      <c r="C196" s="185"/>
      <c r="D196" s="185"/>
      <c r="E196" s="185"/>
      <c r="F196" s="185"/>
      <c r="G196" s="185"/>
      <c r="H196" s="185"/>
      <c r="I196" s="185"/>
      <c r="J196" s="185"/>
      <c r="K196" s="185"/>
      <c r="L196" s="185"/>
      <c r="M196" s="185"/>
      <c r="N196" s="185"/>
      <c r="O196" s="185"/>
      <c r="P196" s="185"/>
      <c r="Q196" s="185"/>
      <c r="R196" s="185"/>
      <c r="S196" s="185"/>
      <c r="T196" s="185"/>
      <c r="U196" s="185"/>
      <c r="V196" s="181"/>
    </row>
    <row r="197" ht="18.75" customHeight="1">
      <c r="A197" s="181"/>
      <c r="B197" s="185"/>
      <c r="C197" s="185"/>
      <c r="D197" s="185"/>
      <c r="E197" s="185"/>
      <c r="F197" s="185"/>
      <c r="G197" s="185"/>
      <c r="H197" s="185"/>
      <c r="I197" s="185"/>
      <c r="J197" s="185"/>
      <c r="K197" s="185"/>
      <c r="L197" s="185"/>
      <c r="M197" s="185"/>
      <c r="N197" s="185"/>
      <c r="O197" s="185"/>
      <c r="P197" s="185"/>
      <c r="Q197" s="185"/>
      <c r="R197" s="185"/>
      <c r="S197" s="185"/>
      <c r="T197" s="185"/>
      <c r="U197" s="185"/>
      <c r="V197" s="181"/>
    </row>
    <row r="198" ht="18.75" customHeight="1">
      <c r="A198" s="181"/>
      <c r="B198" s="185"/>
      <c r="C198" s="185"/>
      <c r="D198" s="185"/>
      <c r="E198" s="185"/>
      <c r="F198" s="185"/>
      <c r="G198" s="185"/>
      <c r="H198" s="185"/>
      <c r="I198" s="185"/>
      <c r="J198" s="185"/>
      <c r="K198" s="185"/>
      <c r="L198" s="185"/>
      <c r="M198" s="185"/>
      <c r="N198" s="185"/>
      <c r="O198" s="185"/>
      <c r="P198" s="185"/>
      <c r="Q198" s="185"/>
      <c r="R198" s="185"/>
      <c r="S198" s="185"/>
      <c r="T198" s="185"/>
      <c r="U198" s="185"/>
      <c r="V198" s="181"/>
    </row>
    <row r="199" ht="18.75" customHeight="1">
      <c r="A199" s="181"/>
      <c r="B199" s="185"/>
      <c r="C199" s="185"/>
      <c r="D199" s="185"/>
      <c r="E199" s="185"/>
      <c r="F199" s="185"/>
      <c r="G199" s="185"/>
      <c r="H199" s="185"/>
      <c r="I199" s="185"/>
      <c r="J199" s="185"/>
      <c r="K199" s="185"/>
      <c r="L199" s="185"/>
      <c r="M199" s="185"/>
      <c r="N199" s="185"/>
      <c r="O199" s="185"/>
      <c r="P199" s="185"/>
      <c r="Q199" s="185"/>
      <c r="R199" s="185"/>
      <c r="S199" s="185"/>
      <c r="T199" s="185"/>
      <c r="U199" s="185"/>
      <c r="V199" s="181"/>
    </row>
    <row r="200" ht="18.75" customHeight="1">
      <c r="A200" s="181"/>
      <c r="B200" s="185"/>
      <c r="C200" s="185"/>
      <c r="D200" s="185"/>
      <c r="E200" s="185"/>
      <c r="F200" s="185"/>
      <c r="G200" s="185"/>
      <c r="H200" s="185"/>
      <c r="I200" s="185"/>
      <c r="J200" s="185"/>
      <c r="K200" s="185"/>
      <c r="L200" s="185"/>
      <c r="M200" s="185"/>
      <c r="N200" s="185"/>
      <c r="O200" s="185"/>
      <c r="P200" s="185"/>
      <c r="Q200" s="185"/>
      <c r="R200" s="185"/>
      <c r="S200" s="185"/>
      <c r="T200" s="185"/>
      <c r="U200" s="185"/>
      <c r="V200" s="181"/>
    </row>
    <row r="201" ht="18.75" customHeight="1">
      <c r="A201" s="181"/>
      <c r="B201" s="185"/>
      <c r="C201" s="185"/>
      <c r="D201" s="185"/>
      <c r="E201" s="185"/>
      <c r="F201" s="185"/>
      <c r="G201" s="185"/>
      <c r="H201" s="185"/>
      <c r="I201" s="185"/>
      <c r="J201" s="185"/>
      <c r="K201" s="185"/>
      <c r="L201" s="185"/>
      <c r="M201" s="185"/>
      <c r="N201" s="185"/>
      <c r="O201" s="185"/>
      <c r="P201" s="185"/>
      <c r="Q201" s="185"/>
      <c r="R201" s="185"/>
      <c r="S201" s="185"/>
      <c r="T201" s="185"/>
      <c r="U201" s="185"/>
      <c r="V201" s="181"/>
    </row>
    <row r="202" ht="18.75" customHeight="1">
      <c r="A202" s="181"/>
      <c r="B202" s="185"/>
      <c r="C202" s="185"/>
      <c r="D202" s="185"/>
      <c r="E202" s="185"/>
      <c r="F202" s="185"/>
      <c r="G202" s="185"/>
      <c r="H202" s="185"/>
      <c r="I202" s="185"/>
      <c r="J202" s="185"/>
      <c r="K202" s="185"/>
      <c r="L202" s="185"/>
      <c r="M202" s="185"/>
      <c r="N202" s="185"/>
      <c r="O202" s="185"/>
      <c r="P202" s="185"/>
      <c r="Q202" s="185"/>
      <c r="R202" s="185"/>
      <c r="S202" s="185"/>
      <c r="T202" s="185"/>
      <c r="U202" s="185"/>
      <c r="V202" s="181"/>
    </row>
    <row r="203" ht="18.75" customHeight="1">
      <c r="A203" s="181"/>
      <c r="B203" s="185"/>
      <c r="C203" s="185"/>
      <c r="D203" s="185"/>
      <c r="E203" s="185"/>
      <c r="F203" s="185"/>
      <c r="G203" s="185"/>
      <c r="H203" s="185"/>
      <c r="I203" s="185"/>
      <c r="J203" s="185"/>
      <c r="K203" s="185"/>
      <c r="L203" s="185"/>
      <c r="M203" s="185"/>
      <c r="N203" s="185"/>
      <c r="O203" s="185"/>
      <c r="P203" s="185"/>
      <c r="Q203" s="185"/>
      <c r="R203" s="185"/>
      <c r="S203" s="185"/>
      <c r="T203" s="185"/>
      <c r="U203" s="185"/>
      <c r="V203" s="181"/>
    </row>
    <row r="204" ht="18.75" customHeight="1">
      <c r="A204" s="181"/>
      <c r="B204" s="185"/>
      <c r="C204" s="185"/>
      <c r="D204" s="185"/>
      <c r="E204" s="185"/>
      <c r="F204" s="185"/>
      <c r="G204" s="185"/>
      <c r="H204" s="185"/>
      <c r="I204" s="185"/>
      <c r="J204" s="185"/>
      <c r="K204" s="185"/>
      <c r="L204" s="185"/>
      <c r="M204" s="185"/>
      <c r="N204" s="185"/>
      <c r="O204" s="185"/>
      <c r="P204" s="185"/>
      <c r="Q204" s="185"/>
      <c r="R204" s="185"/>
      <c r="S204" s="185"/>
      <c r="T204" s="185"/>
      <c r="U204" s="185"/>
      <c r="V204" s="181"/>
    </row>
    <row r="205" ht="18.75" customHeight="1">
      <c r="A205" s="181"/>
      <c r="B205" s="185"/>
      <c r="C205" s="185"/>
      <c r="D205" s="185"/>
      <c r="E205" s="185"/>
      <c r="F205" s="185"/>
      <c r="G205" s="185"/>
      <c r="H205" s="185"/>
      <c r="I205" s="185"/>
      <c r="J205" s="185"/>
      <c r="K205" s="185"/>
      <c r="L205" s="185"/>
      <c r="M205" s="185"/>
      <c r="N205" s="185"/>
      <c r="O205" s="185"/>
      <c r="P205" s="185"/>
      <c r="Q205" s="185"/>
      <c r="R205" s="185"/>
      <c r="S205" s="185"/>
      <c r="T205" s="185"/>
      <c r="U205" s="185"/>
      <c r="V205" s="181"/>
    </row>
    <row r="206" ht="18.75" customHeight="1">
      <c r="A206" s="181"/>
      <c r="B206" s="185"/>
      <c r="C206" s="185"/>
      <c r="D206" s="185"/>
      <c r="E206" s="185"/>
      <c r="F206" s="185"/>
      <c r="G206" s="185"/>
      <c r="H206" s="185"/>
      <c r="I206" s="185"/>
      <c r="J206" s="185"/>
      <c r="K206" s="185"/>
      <c r="L206" s="185"/>
      <c r="M206" s="185"/>
      <c r="N206" s="185"/>
      <c r="O206" s="185"/>
      <c r="P206" s="185"/>
      <c r="Q206" s="185"/>
      <c r="R206" s="185"/>
      <c r="S206" s="185"/>
      <c r="T206" s="185"/>
      <c r="U206" s="185"/>
      <c r="V206" s="181"/>
    </row>
    <row r="207" ht="18.75" customHeight="1">
      <c r="A207" s="181"/>
      <c r="B207" s="185"/>
      <c r="C207" s="185"/>
      <c r="D207" s="185"/>
      <c r="E207" s="185"/>
      <c r="F207" s="185"/>
      <c r="G207" s="185"/>
      <c r="H207" s="185"/>
      <c r="I207" s="185"/>
      <c r="J207" s="185"/>
      <c r="K207" s="185"/>
      <c r="L207" s="185"/>
      <c r="M207" s="185"/>
      <c r="N207" s="185"/>
      <c r="O207" s="185"/>
      <c r="P207" s="185"/>
      <c r="Q207" s="185"/>
      <c r="R207" s="185"/>
      <c r="S207" s="185"/>
      <c r="T207" s="185"/>
      <c r="U207" s="185"/>
      <c r="V207" s="181"/>
    </row>
    <row r="208" ht="18.75" customHeight="1">
      <c r="A208" s="181"/>
      <c r="B208" s="185"/>
      <c r="C208" s="185"/>
      <c r="D208" s="185"/>
      <c r="E208" s="185"/>
      <c r="F208" s="185"/>
      <c r="G208" s="185"/>
      <c r="H208" s="185"/>
      <c r="I208" s="185"/>
      <c r="J208" s="185"/>
      <c r="K208" s="185"/>
      <c r="L208" s="185"/>
      <c r="M208" s="185"/>
      <c r="N208" s="185"/>
      <c r="O208" s="185"/>
      <c r="P208" s="185"/>
      <c r="Q208" s="185"/>
      <c r="R208" s="185"/>
      <c r="S208" s="185"/>
      <c r="T208" s="185"/>
      <c r="U208" s="185"/>
      <c r="V208" s="181"/>
    </row>
    <row r="209" ht="18.75" customHeight="1">
      <c r="A209" s="181"/>
      <c r="B209" s="185"/>
      <c r="C209" s="185"/>
      <c r="D209" s="185"/>
      <c r="E209" s="185"/>
      <c r="F209" s="185"/>
      <c r="G209" s="185"/>
      <c r="H209" s="185"/>
      <c r="I209" s="185"/>
      <c r="J209" s="185"/>
      <c r="K209" s="185"/>
      <c r="L209" s="185"/>
      <c r="M209" s="185"/>
      <c r="N209" s="185"/>
      <c r="O209" s="185"/>
      <c r="P209" s="185"/>
      <c r="Q209" s="185"/>
      <c r="R209" s="185"/>
      <c r="S209" s="185"/>
      <c r="T209" s="185"/>
      <c r="U209" s="185"/>
      <c r="V209" s="181"/>
    </row>
    <row r="210" ht="18.75" customHeight="1">
      <c r="A210" s="181"/>
      <c r="B210" s="185"/>
      <c r="C210" s="185"/>
      <c r="D210" s="185"/>
      <c r="E210" s="185"/>
      <c r="F210" s="185"/>
      <c r="G210" s="185"/>
      <c r="H210" s="185"/>
      <c r="I210" s="185"/>
      <c r="J210" s="185"/>
      <c r="K210" s="185"/>
      <c r="L210" s="185"/>
      <c r="M210" s="185"/>
      <c r="N210" s="185"/>
      <c r="O210" s="185"/>
      <c r="P210" s="185"/>
      <c r="Q210" s="185"/>
      <c r="R210" s="185"/>
      <c r="S210" s="185"/>
      <c r="T210" s="185"/>
      <c r="U210" s="185"/>
      <c r="V210" s="181"/>
    </row>
    <row r="211" ht="18.75" customHeight="1">
      <c r="A211" s="181"/>
      <c r="B211" s="185"/>
      <c r="C211" s="185"/>
      <c r="D211" s="185"/>
      <c r="E211" s="185"/>
      <c r="F211" s="185"/>
      <c r="G211" s="185"/>
      <c r="H211" s="185"/>
      <c r="I211" s="185"/>
      <c r="J211" s="185"/>
      <c r="K211" s="185"/>
      <c r="L211" s="185"/>
      <c r="M211" s="185"/>
      <c r="N211" s="185"/>
      <c r="O211" s="185"/>
      <c r="P211" s="185"/>
      <c r="Q211" s="185"/>
      <c r="R211" s="185"/>
      <c r="S211" s="185"/>
      <c r="T211" s="185"/>
      <c r="U211" s="185"/>
      <c r="V211" s="181"/>
    </row>
    <row r="212" ht="18.75" customHeight="1">
      <c r="A212" s="181"/>
      <c r="B212" s="185"/>
      <c r="C212" s="185"/>
      <c r="D212" s="185"/>
      <c r="E212" s="185"/>
      <c r="F212" s="185"/>
      <c r="G212" s="185"/>
      <c r="H212" s="185"/>
      <c r="I212" s="185"/>
      <c r="J212" s="185"/>
      <c r="K212" s="185"/>
      <c r="L212" s="185"/>
      <c r="M212" s="185"/>
      <c r="N212" s="185"/>
      <c r="O212" s="185"/>
      <c r="P212" s="185"/>
      <c r="Q212" s="185"/>
      <c r="R212" s="185"/>
      <c r="S212" s="185"/>
      <c r="T212" s="185"/>
      <c r="U212" s="185"/>
      <c r="V212" s="181"/>
    </row>
    <row r="213" ht="18.75" customHeight="1">
      <c r="A213" s="181"/>
      <c r="B213" s="185"/>
      <c r="C213" s="185"/>
      <c r="D213" s="185"/>
      <c r="E213" s="185"/>
      <c r="F213" s="185"/>
      <c r="G213" s="185"/>
      <c r="H213" s="185"/>
      <c r="I213" s="185"/>
      <c r="J213" s="185"/>
      <c r="K213" s="185"/>
      <c r="L213" s="185"/>
      <c r="M213" s="185"/>
      <c r="N213" s="185"/>
      <c r="O213" s="185"/>
      <c r="P213" s="185"/>
      <c r="Q213" s="185"/>
      <c r="R213" s="185"/>
      <c r="S213" s="185"/>
      <c r="T213" s="185"/>
      <c r="U213" s="185"/>
      <c r="V213" s="181"/>
    </row>
    <row r="214" ht="18.75" customHeight="1">
      <c r="A214" s="181"/>
      <c r="B214" s="185"/>
      <c r="C214" s="185"/>
      <c r="D214" s="185"/>
      <c r="E214" s="185"/>
      <c r="F214" s="185"/>
      <c r="G214" s="185"/>
      <c r="H214" s="185"/>
      <c r="I214" s="185"/>
      <c r="J214" s="185"/>
      <c r="K214" s="185"/>
      <c r="L214" s="185"/>
      <c r="M214" s="185"/>
      <c r="N214" s="185"/>
      <c r="O214" s="185"/>
      <c r="P214" s="185"/>
      <c r="Q214" s="185"/>
      <c r="R214" s="185"/>
      <c r="S214" s="185"/>
      <c r="T214" s="185"/>
      <c r="U214" s="185"/>
      <c r="V214" s="181"/>
    </row>
    <row r="215" ht="18.75" customHeight="1">
      <c r="A215" s="181"/>
      <c r="B215" s="185"/>
      <c r="C215" s="185"/>
      <c r="D215" s="185"/>
      <c r="E215" s="185"/>
      <c r="F215" s="185"/>
      <c r="G215" s="185"/>
      <c r="H215" s="185"/>
      <c r="I215" s="185"/>
      <c r="J215" s="185"/>
      <c r="K215" s="185"/>
      <c r="L215" s="185"/>
      <c r="M215" s="185"/>
      <c r="N215" s="185"/>
      <c r="O215" s="185"/>
      <c r="P215" s="185"/>
      <c r="Q215" s="185"/>
      <c r="R215" s="185"/>
      <c r="S215" s="185"/>
      <c r="T215" s="185"/>
      <c r="U215" s="185"/>
      <c r="V215" s="181"/>
    </row>
    <row r="216" ht="18.75" customHeight="1">
      <c r="A216" s="181"/>
      <c r="B216" s="185"/>
      <c r="C216" s="185"/>
      <c r="D216" s="185"/>
      <c r="E216" s="185"/>
      <c r="F216" s="185"/>
      <c r="G216" s="185"/>
      <c r="H216" s="185"/>
      <c r="I216" s="185"/>
      <c r="J216" s="185"/>
      <c r="K216" s="185"/>
      <c r="L216" s="185"/>
      <c r="M216" s="185"/>
      <c r="N216" s="185"/>
      <c r="O216" s="185"/>
      <c r="P216" s="185"/>
      <c r="Q216" s="185"/>
      <c r="R216" s="185"/>
      <c r="S216" s="185"/>
      <c r="T216" s="185"/>
      <c r="U216" s="185"/>
      <c r="V216" s="181"/>
    </row>
    <row r="217" ht="18.75" customHeight="1">
      <c r="A217" s="181"/>
      <c r="B217" s="185"/>
      <c r="C217" s="185"/>
      <c r="D217" s="185"/>
      <c r="E217" s="185"/>
      <c r="F217" s="185"/>
      <c r="G217" s="185"/>
      <c r="H217" s="185"/>
      <c r="I217" s="185"/>
      <c r="J217" s="185"/>
      <c r="K217" s="185"/>
      <c r="L217" s="185"/>
      <c r="M217" s="185"/>
      <c r="N217" s="185"/>
      <c r="O217" s="185"/>
      <c r="P217" s="185"/>
      <c r="Q217" s="185"/>
      <c r="R217" s="185"/>
      <c r="S217" s="185"/>
      <c r="T217" s="185"/>
      <c r="U217" s="185"/>
      <c r="V217" s="181"/>
    </row>
    <row r="218" ht="18.75" customHeight="1">
      <c r="A218" s="181"/>
      <c r="B218" s="185"/>
      <c r="C218" s="185"/>
      <c r="D218" s="185"/>
      <c r="E218" s="185"/>
      <c r="F218" s="185"/>
      <c r="G218" s="185"/>
      <c r="H218" s="185"/>
      <c r="I218" s="185"/>
      <c r="J218" s="185"/>
      <c r="K218" s="185"/>
      <c r="L218" s="185"/>
      <c r="M218" s="185"/>
      <c r="N218" s="185"/>
      <c r="O218" s="185"/>
      <c r="P218" s="185"/>
      <c r="Q218" s="185"/>
      <c r="R218" s="185"/>
      <c r="S218" s="185"/>
      <c r="T218" s="185"/>
      <c r="U218" s="185"/>
      <c r="V218" s="181"/>
    </row>
    <row r="219" ht="18.75" customHeight="1">
      <c r="A219" s="181"/>
      <c r="B219" s="185"/>
      <c r="C219" s="185"/>
      <c r="D219" s="185"/>
      <c r="E219" s="185"/>
      <c r="F219" s="185"/>
      <c r="G219" s="185"/>
      <c r="H219" s="185"/>
      <c r="I219" s="185"/>
      <c r="J219" s="185"/>
      <c r="K219" s="185"/>
      <c r="L219" s="185"/>
      <c r="M219" s="185"/>
      <c r="N219" s="185"/>
      <c r="O219" s="185"/>
      <c r="P219" s="185"/>
      <c r="Q219" s="185"/>
      <c r="R219" s="185"/>
      <c r="S219" s="185"/>
      <c r="T219" s="185"/>
      <c r="U219" s="185"/>
      <c r="V219" s="181"/>
    </row>
    <row r="220" ht="18.75" customHeight="1">
      <c r="A220" s="181"/>
      <c r="B220" s="185"/>
      <c r="C220" s="185"/>
      <c r="D220" s="185"/>
      <c r="E220" s="185"/>
      <c r="F220" s="185"/>
      <c r="G220" s="185"/>
      <c r="H220" s="185"/>
      <c r="I220" s="185"/>
      <c r="J220" s="185"/>
      <c r="K220" s="185"/>
      <c r="L220" s="185"/>
      <c r="M220" s="185"/>
      <c r="N220" s="185"/>
      <c r="O220" s="185"/>
      <c r="P220" s="185"/>
      <c r="Q220" s="185"/>
      <c r="R220" s="185"/>
      <c r="S220" s="185"/>
      <c r="T220" s="185"/>
      <c r="U220" s="185"/>
      <c r="V220" s="181"/>
    </row>
    <row r="221" ht="18.75" customHeight="1">
      <c r="A221" s="181"/>
      <c r="B221" s="185"/>
      <c r="C221" s="185"/>
      <c r="D221" s="185"/>
      <c r="E221" s="185"/>
      <c r="F221" s="185"/>
      <c r="G221" s="185"/>
      <c r="H221" s="185"/>
      <c r="I221" s="185"/>
      <c r="J221" s="185"/>
      <c r="K221" s="185"/>
      <c r="L221" s="185"/>
      <c r="M221" s="185"/>
      <c r="N221" s="185"/>
      <c r="O221" s="185"/>
      <c r="P221" s="185"/>
      <c r="Q221" s="185"/>
      <c r="R221" s="185"/>
      <c r="S221" s="185"/>
      <c r="T221" s="185"/>
      <c r="U221" s="185"/>
      <c r="V221" s="181"/>
    </row>
    <row r="222" ht="18.75" customHeight="1">
      <c r="A222" s="181"/>
      <c r="B222" s="185"/>
      <c r="C222" s="185"/>
      <c r="D222" s="185"/>
      <c r="E222" s="185"/>
      <c r="F222" s="185"/>
      <c r="G222" s="185"/>
      <c r="H222" s="185"/>
      <c r="I222" s="185"/>
      <c r="J222" s="185"/>
      <c r="K222" s="185"/>
      <c r="L222" s="185"/>
      <c r="M222" s="185"/>
      <c r="N222" s="185"/>
      <c r="O222" s="185"/>
      <c r="P222" s="185"/>
      <c r="Q222" s="185"/>
      <c r="R222" s="185"/>
      <c r="S222" s="185"/>
      <c r="T222" s="185"/>
      <c r="U222" s="185"/>
      <c r="V222" s="181"/>
    </row>
    <row r="223" ht="18.75" customHeight="1">
      <c r="A223" s="181"/>
      <c r="B223" s="185"/>
      <c r="C223" s="185"/>
      <c r="D223" s="185"/>
      <c r="E223" s="185"/>
      <c r="F223" s="185"/>
      <c r="G223" s="185"/>
      <c r="H223" s="185"/>
      <c r="I223" s="185"/>
      <c r="J223" s="185"/>
      <c r="K223" s="185"/>
      <c r="L223" s="185"/>
      <c r="M223" s="185"/>
      <c r="N223" s="185"/>
      <c r="O223" s="185"/>
      <c r="P223" s="185"/>
      <c r="Q223" s="185"/>
      <c r="R223" s="185"/>
      <c r="S223" s="185"/>
      <c r="T223" s="185"/>
      <c r="U223" s="185"/>
      <c r="V223" s="181"/>
    </row>
    <row r="224" ht="18.75" customHeight="1">
      <c r="A224" s="181"/>
      <c r="B224" s="185"/>
      <c r="C224" s="185"/>
      <c r="D224" s="185"/>
      <c r="E224" s="185"/>
      <c r="F224" s="185"/>
      <c r="G224" s="185"/>
      <c r="H224" s="185"/>
      <c r="I224" s="185"/>
      <c r="J224" s="185"/>
      <c r="K224" s="185"/>
      <c r="L224" s="185"/>
      <c r="M224" s="185"/>
      <c r="N224" s="185"/>
      <c r="O224" s="185"/>
      <c r="P224" s="185"/>
      <c r="Q224" s="185"/>
      <c r="R224" s="185"/>
      <c r="S224" s="185"/>
      <c r="T224" s="185"/>
      <c r="U224" s="185"/>
      <c r="V224" s="181"/>
    </row>
    <row r="225" ht="18.75" customHeight="1">
      <c r="A225" s="181"/>
      <c r="B225" s="185"/>
      <c r="C225" s="185"/>
      <c r="D225" s="185"/>
      <c r="E225" s="185"/>
      <c r="F225" s="185"/>
      <c r="G225" s="185"/>
      <c r="H225" s="185"/>
      <c r="I225" s="185"/>
      <c r="J225" s="185"/>
      <c r="K225" s="185"/>
      <c r="L225" s="185"/>
      <c r="M225" s="185"/>
      <c r="N225" s="185"/>
      <c r="O225" s="185"/>
      <c r="P225" s="185"/>
      <c r="Q225" s="185"/>
      <c r="R225" s="185"/>
      <c r="S225" s="185"/>
      <c r="T225" s="185"/>
      <c r="U225" s="185"/>
      <c r="V225" s="181"/>
    </row>
    <row r="226" ht="18.75" customHeight="1">
      <c r="A226" s="181"/>
      <c r="B226" s="185"/>
      <c r="C226" s="185"/>
      <c r="D226" s="185"/>
      <c r="E226" s="185"/>
      <c r="F226" s="185"/>
      <c r="G226" s="185"/>
      <c r="H226" s="185"/>
      <c r="I226" s="185"/>
      <c r="J226" s="185"/>
      <c r="K226" s="185"/>
      <c r="L226" s="185"/>
      <c r="M226" s="185"/>
      <c r="N226" s="185"/>
      <c r="O226" s="185"/>
      <c r="P226" s="185"/>
      <c r="Q226" s="185"/>
      <c r="R226" s="185"/>
      <c r="S226" s="185"/>
      <c r="T226" s="185"/>
      <c r="U226" s="185"/>
      <c r="V226" s="181"/>
    </row>
    <row r="227" ht="18.75" customHeight="1">
      <c r="A227" s="181"/>
      <c r="B227" s="185"/>
      <c r="C227" s="185"/>
      <c r="D227" s="185"/>
      <c r="E227" s="185"/>
      <c r="F227" s="185"/>
      <c r="G227" s="185"/>
      <c r="H227" s="185"/>
      <c r="I227" s="185"/>
      <c r="J227" s="185"/>
      <c r="K227" s="185"/>
      <c r="L227" s="185"/>
      <c r="M227" s="185"/>
      <c r="N227" s="185"/>
      <c r="O227" s="185"/>
      <c r="P227" s="185"/>
      <c r="Q227" s="185"/>
      <c r="R227" s="185"/>
      <c r="S227" s="185"/>
      <c r="T227" s="185"/>
      <c r="U227" s="185"/>
      <c r="V227" s="181"/>
    </row>
    <row r="228" ht="18.75" customHeight="1">
      <c r="A228" s="181"/>
      <c r="B228" s="185"/>
      <c r="C228" s="185"/>
      <c r="D228" s="185"/>
      <c r="E228" s="185"/>
      <c r="F228" s="185"/>
      <c r="G228" s="185"/>
      <c r="H228" s="185"/>
      <c r="I228" s="185"/>
      <c r="J228" s="185"/>
      <c r="K228" s="185"/>
      <c r="L228" s="185"/>
      <c r="M228" s="185"/>
      <c r="N228" s="185"/>
      <c r="O228" s="185"/>
      <c r="P228" s="185"/>
      <c r="Q228" s="185"/>
      <c r="R228" s="185"/>
      <c r="S228" s="185"/>
      <c r="T228" s="185"/>
      <c r="U228" s="185"/>
      <c r="V228" s="181"/>
    </row>
    <row r="229" ht="18.75" customHeight="1">
      <c r="A229" s="181"/>
      <c r="B229" s="185"/>
      <c r="C229" s="185"/>
      <c r="D229" s="185"/>
      <c r="E229" s="185"/>
      <c r="F229" s="185"/>
      <c r="G229" s="185"/>
      <c r="H229" s="185"/>
      <c r="I229" s="185"/>
      <c r="J229" s="185"/>
      <c r="K229" s="185"/>
      <c r="L229" s="185"/>
      <c r="M229" s="185"/>
      <c r="N229" s="185"/>
      <c r="O229" s="185"/>
      <c r="P229" s="185"/>
      <c r="Q229" s="185"/>
      <c r="R229" s="185"/>
      <c r="S229" s="185"/>
      <c r="T229" s="185"/>
      <c r="U229" s="185"/>
      <c r="V229" s="181"/>
    </row>
    <row r="230" ht="18.75" customHeight="1">
      <c r="A230" s="181"/>
      <c r="B230" s="185"/>
      <c r="C230" s="185"/>
      <c r="D230" s="185"/>
      <c r="E230" s="185"/>
      <c r="F230" s="185"/>
      <c r="G230" s="185"/>
      <c r="H230" s="185"/>
      <c r="I230" s="185"/>
      <c r="J230" s="185"/>
      <c r="K230" s="185"/>
      <c r="L230" s="185"/>
      <c r="M230" s="185"/>
      <c r="N230" s="185"/>
      <c r="O230" s="185"/>
      <c r="P230" s="185"/>
      <c r="Q230" s="185"/>
      <c r="R230" s="185"/>
      <c r="S230" s="185"/>
      <c r="T230" s="185"/>
      <c r="U230" s="185"/>
      <c r="V230" s="181"/>
    </row>
    <row r="231" ht="18.75" customHeight="1">
      <c r="A231" s="181"/>
      <c r="B231" s="185"/>
      <c r="C231" s="185"/>
      <c r="D231" s="185"/>
      <c r="E231" s="185"/>
      <c r="F231" s="185"/>
      <c r="G231" s="185"/>
      <c r="H231" s="185"/>
      <c r="I231" s="185"/>
      <c r="J231" s="185"/>
      <c r="K231" s="185"/>
      <c r="L231" s="185"/>
      <c r="M231" s="185"/>
      <c r="N231" s="185"/>
      <c r="O231" s="185"/>
      <c r="P231" s="185"/>
      <c r="Q231" s="185"/>
      <c r="R231" s="185"/>
      <c r="S231" s="185"/>
      <c r="T231" s="185"/>
      <c r="U231" s="185"/>
      <c r="V231" s="181"/>
    </row>
    <row r="232" ht="18.75" customHeight="1">
      <c r="A232" s="181"/>
      <c r="B232" s="185"/>
      <c r="C232" s="185"/>
      <c r="D232" s="185"/>
      <c r="E232" s="185"/>
      <c r="F232" s="185"/>
      <c r="G232" s="185"/>
      <c r="H232" s="185"/>
      <c r="I232" s="185"/>
      <c r="J232" s="185"/>
      <c r="K232" s="185"/>
      <c r="L232" s="185"/>
      <c r="M232" s="185"/>
      <c r="N232" s="185"/>
      <c r="O232" s="185"/>
      <c r="P232" s="185"/>
      <c r="Q232" s="185"/>
      <c r="R232" s="185"/>
      <c r="S232" s="185"/>
      <c r="T232" s="185"/>
      <c r="U232" s="185"/>
      <c r="V232" s="181"/>
    </row>
    <row r="233" ht="18.75" customHeight="1">
      <c r="A233" s="181"/>
      <c r="B233" s="185"/>
      <c r="C233" s="185"/>
      <c r="D233" s="185"/>
      <c r="E233" s="185"/>
      <c r="F233" s="185"/>
      <c r="G233" s="185"/>
      <c r="H233" s="185"/>
      <c r="I233" s="185"/>
      <c r="J233" s="185"/>
      <c r="K233" s="185"/>
      <c r="L233" s="185"/>
      <c r="M233" s="185"/>
      <c r="N233" s="185"/>
      <c r="O233" s="185"/>
      <c r="P233" s="185"/>
      <c r="Q233" s="185"/>
      <c r="R233" s="185"/>
      <c r="S233" s="185"/>
      <c r="T233" s="185"/>
      <c r="U233" s="185"/>
      <c r="V233" s="181"/>
    </row>
    <row r="234" ht="18.75" customHeight="1">
      <c r="A234" s="181"/>
      <c r="B234" s="185"/>
      <c r="C234" s="185"/>
      <c r="D234" s="185"/>
      <c r="E234" s="185"/>
      <c r="F234" s="185"/>
      <c r="G234" s="185"/>
      <c r="H234" s="185"/>
      <c r="I234" s="185"/>
      <c r="J234" s="185"/>
      <c r="K234" s="185"/>
      <c r="L234" s="185"/>
      <c r="M234" s="185"/>
      <c r="N234" s="185"/>
      <c r="O234" s="185"/>
      <c r="P234" s="185"/>
      <c r="Q234" s="185"/>
      <c r="R234" s="185"/>
      <c r="S234" s="185"/>
      <c r="T234" s="185"/>
      <c r="U234" s="185"/>
      <c r="V234" s="181"/>
    </row>
    <row r="235" ht="18.75" customHeight="1">
      <c r="A235" s="181"/>
      <c r="B235" s="185"/>
      <c r="C235" s="185"/>
      <c r="D235" s="185"/>
      <c r="E235" s="185"/>
      <c r="F235" s="185"/>
      <c r="G235" s="185"/>
      <c r="H235" s="185"/>
      <c r="I235" s="185"/>
      <c r="J235" s="185"/>
      <c r="K235" s="185"/>
      <c r="L235" s="185"/>
      <c r="M235" s="185"/>
      <c r="N235" s="185"/>
      <c r="O235" s="185"/>
      <c r="P235" s="185"/>
      <c r="Q235" s="185"/>
      <c r="R235" s="185"/>
      <c r="S235" s="185"/>
      <c r="T235" s="185"/>
      <c r="U235" s="185"/>
      <c r="V235" s="181"/>
    </row>
    <row r="236" ht="18.75" customHeight="1">
      <c r="A236" s="181"/>
      <c r="B236" s="185"/>
      <c r="C236" s="185"/>
      <c r="D236" s="185"/>
      <c r="E236" s="185"/>
      <c r="F236" s="185"/>
      <c r="G236" s="185"/>
      <c r="H236" s="185"/>
      <c r="I236" s="185"/>
      <c r="J236" s="185"/>
      <c r="K236" s="185"/>
      <c r="L236" s="185"/>
      <c r="M236" s="185"/>
      <c r="N236" s="185"/>
      <c r="O236" s="185"/>
      <c r="P236" s="185"/>
      <c r="Q236" s="185"/>
      <c r="R236" s="185"/>
      <c r="S236" s="185"/>
      <c r="T236" s="185"/>
      <c r="U236" s="185"/>
      <c r="V236" s="181"/>
    </row>
    <row r="237" ht="18.75" customHeight="1">
      <c r="A237" s="181"/>
      <c r="B237" s="185"/>
      <c r="C237" s="185"/>
      <c r="D237" s="185"/>
      <c r="E237" s="185"/>
      <c r="F237" s="185"/>
      <c r="G237" s="185"/>
      <c r="H237" s="185"/>
      <c r="I237" s="185"/>
      <c r="J237" s="185"/>
      <c r="K237" s="185"/>
      <c r="L237" s="185"/>
      <c r="M237" s="185"/>
      <c r="N237" s="185"/>
      <c r="O237" s="185"/>
      <c r="P237" s="185"/>
      <c r="Q237" s="185"/>
      <c r="R237" s="185"/>
      <c r="S237" s="185"/>
      <c r="T237" s="185"/>
      <c r="U237" s="185"/>
      <c r="V237" s="181"/>
    </row>
    <row r="238" ht="18.75" customHeight="1">
      <c r="A238" s="181"/>
      <c r="B238" s="185"/>
      <c r="C238" s="185"/>
      <c r="D238" s="185"/>
      <c r="E238" s="185"/>
      <c r="F238" s="185"/>
      <c r="G238" s="185"/>
      <c r="H238" s="185"/>
      <c r="I238" s="185"/>
      <c r="J238" s="185"/>
      <c r="K238" s="185"/>
      <c r="L238" s="185"/>
      <c r="M238" s="185"/>
      <c r="N238" s="185"/>
      <c r="O238" s="185"/>
      <c r="P238" s="185"/>
      <c r="Q238" s="185"/>
      <c r="R238" s="185"/>
      <c r="S238" s="185"/>
      <c r="T238" s="185"/>
      <c r="U238" s="185"/>
      <c r="V238" s="181"/>
    </row>
    <row r="239" ht="18.75" customHeight="1">
      <c r="A239" s="181"/>
      <c r="B239" s="185"/>
      <c r="C239" s="185"/>
      <c r="D239" s="185"/>
      <c r="E239" s="185"/>
      <c r="F239" s="185"/>
      <c r="G239" s="185"/>
      <c r="H239" s="185"/>
      <c r="I239" s="185"/>
      <c r="J239" s="185"/>
      <c r="K239" s="185"/>
      <c r="L239" s="185"/>
      <c r="M239" s="185"/>
      <c r="N239" s="185"/>
      <c r="O239" s="185"/>
      <c r="P239" s="185"/>
      <c r="Q239" s="185"/>
      <c r="R239" s="185"/>
      <c r="S239" s="185"/>
      <c r="T239" s="185"/>
      <c r="U239" s="185"/>
      <c r="V239" s="181"/>
    </row>
    <row r="240" ht="18.75" customHeight="1">
      <c r="A240" s="181"/>
      <c r="B240" s="185"/>
      <c r="C240" s="185"/>
      <c r="D240" s="185"/>
      <c r="E240" s="185"/>
      <c r="F240" s="185"/>
      <c r="G240" s="185"/>
      <c r="H240" s="185"/>
      <c r="I240" s="185"/>
      <c r="J240" s="185"/>
      <c r="K240" s="185"/>
      <c r="L240" s="185"/>
      <c r="M240" s="185"/>
      <c r="N240" s="185"/>
      <c r="O240" s="185"/>
      <c r="P240" s="185"/>
      <c r="Q240" s="185"/>
      <c r="R240" s="185"/>
      <c r="S240" s="185"/>
      <c r="T240" s="185"/>
      <c r="U240" s="185"/>
      <c r="V240" s="181"/>
    </row>
    <row r="241" ht="18.75" customHeight="1">
      <c r="A241" s="181"/>
      <c r="B241" s="185"/>
      <c r="C241" s="185"/>
      <c r="D241" s="185"/>
      <c r="E241" s="185"/>
      <c r="F241" s="185"/>
      <c r="G241" s="185"/>
      <c r="H241" s="185"/>
      <c r="I241" s="185"/>
      <c r="J241" s="185"/>
      <c r="K241" s="185"/>
      <c r="L241" s="185"/>
      <c r="M241" s="185"/>
      <c r="N241" s="185"/>
      <c r="O241" s="185"/>
      <c r="P241" s="185"/>
      <c r="Q241" s="185"/>
      <c r="R241" s="185"/>
      <c r="S241" s="185"/>
      <c r="T241" s="185"/>
      <c r="U241" s="185"/>
      <c r="V241" s="181"/>
    </row>
    <row r="242" ht="18.75" customHeight="1">
      <c r="A242" s="181"/>
      <c r="B242" s="185"/>
      <c r="C242" s="185"/>
      <c r="D242" s="185"/>
      <c r="E242" s="185"/>
      <c r="F242" s="185"/>
      <c r="G242" s="185"/>
      <c r="H242" s="185"/>
      <c r="I242" s="185"/>
      <c r="J242" s="185"/>
      <c r="K242" s="185"/>
      <c r="L242" s="185"/>
      <c r="M242" s="185"/>
      <c r="N242" s="185"/>
      <c r="O242" s="185"/>
      <c r="P242" s="185"/>
      <c r="Q242" s="185"/>
      <c r="R242" s="185"/>
      <c r="S242" s="185"/>
      <c r="T242" s="185"/>
      <c r="U242" s="185"/>
      <c r="V242" s="181"/>
    </row>
    <row r="243" ht="18.75" customHeight="1">
      <c r="A243" s="181"/>
      <c r="B243" s="185"/>
      <c r="C243" s="185"/>
      <c r="D243" s="185"/>
      <c r="E243" s="185"/>
      <c r="F243" s="185"/>
      <c r="G243" s="185"/>
      <c r="H243" s="185"/>
      <c r="I243" s="185"/>
      <c r="J243" s="185"/>
      <c r="K243" s="185"/>
      <c r="L243" s="185"/>
      <c r="M243" s="185"/>
      <c r="N243" s="185"/>
      <c r="O243" s="185"/>
      <c r="P243" s="185"/>
      <c r="Q243" s="185"/>
      <c r="R243" s="185"/>
      <c r="S243" s="185"/>
      <c r="T243" s="185"/>
      <c r="U243" s="185"/>
      <c r="V243" s="181"/>
    </row>
    <row r="244" ht="18.75" customHeight="1">
      <c r="A244" s="181"/>
      <c r="B244" s="185"/>
      <c r="C244" s="185"/>
      <c r="D244" s="185"/>
      <c r="E244" s="185"/>
      <c r="F244" s="185"/>
      <c r="G244" s="185"/>
      <c r="H244" s="185"/>
      <c r="I244" s="185"/>
      <c r="J244" s="185"/>
      <c r="K244" s="185"/>
      <c r="L244" s="185"/>
      <c r="M244" s="185"/>
      <c r="N244" s="185"/>
      <c r="O244" s="185"/>
      <c r="P244" s="185"/>
      <c r="Q244" s="185"/>
      <c r="R244" s="185"/>
      <c r="S244" s="185"/>
      <c r="T244" s="185"/>
      <c r="U244" s="185"/>
      <c r="V244" s="181"/>
    </row>
    <row r="245" ht="18.75" customHeight="1">
      <c r="A245" s="181"/>
      <c r="B245" s="185"/>
      <c r="C245" s="185"/>
      <c r="D245" s="185"/>
      <c r="E245" s="185"/>
      <c r="F245" s="185"/>
      <c r="G245" s="185"/>
      <c r="H245" s="185"/>
      <c r="I245" s="185"/>
      <c r="J245" s="185"/>
      <c r="K245" s="185"/>
      <c r="L245" s="185"/>
      <c r="M245" s="185"/>
      <c r="N245" s="185"/>
      <c r="O245" s="185"/>
      <c r="P245" s="185"/>
      <c r="Q245" s="185"/>
      <c r="R245" s="185"/>
      <c r="S245" s="185"/>
      <c r="T245" s="185"/>
      <c r="U245" s="185"/>
      <c r="V245" s="181"/>
    </row>
    <row r="246" ht="18.75" customHeight="1">
      <c r="A246" s="181"/>
      <c r="B246" s="185"/>
      <c r="C246" s="185"/>
      <c r="D246" s="185"/>
      <c r="E246" s="185"/>
      <c r="F246" s="185"/>
      <c r="G246" s="185"/>
      <c r="H246" s="185"/>
      <c r="I246" s="185"/>
      <c r="J246" s="185"/>
      <c r="K246" s="185"/>
      <c r="L246" s="185"/>
      <c r="M246" s="185"/>
      <c r="N246" s="185"/>
      <c r="O246" s="185"/>
      <c r="P246" s="185"/>
      <c r="Q246" s="185"/>
      <c r="R246" s="185"/>
      <c r="S246" s="185"/>
      <c r="T246" s="185"/>
      <c r="U246" s="185"/>
      <c r="V246" s="181"/>
    </row>
    <row r="247" ht="18.75" customHeight="1">
      <c r="A247" s="181"/>
      <c r="B247" s="185"/>
      <c r="C247" s="185"/>
      <c r="D247" s="185"/>
      <c r="E247" s="185"/>
      <c r="F247" s="185"/>
      <c r="G247" s="185"/>
      <c r="H247" s="185"/>
      <c r="I247" s="185"/>
      <c r="J247" s="185"/>
      <c r="K247" s="185"/>
      <c r="L247" s="185"/>
      <c r="M247" s="185"/>
      <c r="N247" s="185"/>
      <c r="O247" s="185"/>
      <c r="P247" s="185"/>
      <c r="Q247" s="185"/>
      <c r="R247" s="185"/>
      <c r="S247" s="185"/>
      <c r="T247" s="185"/>
      <c r="U247" s="185"/>
      <c r="V247" s="181"/>
    </row>
    <row r="248" ht="18.75" customHeight="1">
      <c r="A248" s="181"/>
      <c r="B248" s="185"/>
      <c r="C248" s="185"/>
      <c r="D248" s="185"/>
      <c r="E248" s="185"/>
      <c r="F248" s="185"/>
      <c r="G248" s="185"/>
      <c r="H248" s="185"/>
      <c r="I248" s="185"/>
      <c r="J248" s="185"/>
      <c r="K248" s="185"/>
      <c r="L248" s="185"/>
      <c r="M248" s="185"/>
      <c r="N248" s="185"/>
      <c r="O248" s="185"/>
      <c r="P248" s="185"/>
      <c r="Q248" s="185"/>
      <c r="R248" s="185"/>
      <c r="S248" s="185"/>
      <c r="T248" s="185"/>
      <c r="U248" s="185"/>
      <c r="V248" s="181"/>
    </row>
    <row r="249" ht="18.75" customHeight="1">
      <c r="A249" s="181"/>
      <c r="B249" s="185"/>
      <c r="C249" s="185"/>
      <c r="D249" s="185"/>
      <c r="E249" s="185"/>
      <c r="F249" s="185"/>
      <c r="G249" s="185"/>
      <c r="H249" s="185"/>
      <c r="I249" s="185"/>
      <c r="J249" s="185"/>
      <c r="K249" s="185"/>
      <c r="L249" s="185"/>
      <c r="M249" s="185"/>
      <c r="N249" s="185"/>
      <c r="O249" s="185"/>
      <c r="P249" s="185"/>
      <c r="Q249" s="185"/>
      <c r="R249" s="185"/>
      <c r="S249" s="185"/>
      <c r="T249" s="185"/>
      <c r="U249" s="185"/>
      <c r="V249" s="181"/>
    </row>
    <row r="250" ht="18.75" customHeight="1">
      <c r="A250" s="181"/>
      <c r="B250" s="185"/>
      <c r="C250" s="185"/>
      <c r="D250" s="185"/>
      <c r="E250" s="185"/>
      <c r="F250" s="185"/>
      <c r="G250" s="185"/>
      <c r="H250" s="185"/>
      <c r="I250" s="185"/>
      <c r="J250" s="185"/>
      <c r="K250" s="185"/>
      <c r="L250" s="185"/>
      <c r="M250" s="185"/>
      <c r="N250" s="185"/>
      <c r="O250" s="185"/>
      <c r="P250" s="185"/>
      <c r="Q250" s="185"/>
      <c r="R250" s="185"/>
      <c r="S250" s="185"/>
      <c r="T250" s="185"/>
      <c r="U250" s="185"/>
      <c r="V250" s="181"/>
    </row>
    <row r="251" ht="18.75" customHeight="1">
      <c r="A251" s="181"/>
      <c r="B251" s="185"/>
      <c r="C251" s="185"/>
      <c r="D251" s="185"/>
      <c r="E251" s="185"/>
      <c r="F251" s="185"/>
      <c r="G251" s="185"/>
      <c r="H251" s="185"/>
      <c r="I251" s="185"/>
      <c r="J251" s="185"/>
      <c r="K251" s="185"/>
      <c r="L251" s="185"/>
      <c r="M251" s="185"/>
      <c r="N251" s="185"/>
      <c r="O251" s="185"/>
      <c r="P251" s="185"/>
      <c r="Q251" s="185"/>
      <c r="R251" s="185"/>
      <c r="S251" s="185"/>
      <c r="T251" s="185"/>
      <c r="U251" s="185"/>
      <c r="V251" s="181"/>
    </row>
    <row r="252" ht="18.75" customHeight="1">
      <c r="A252" s="181"/>
      <c r="B252" s="185"/>
      <c r="C252" s="185"/>
      <c r="D252" s="185"/>
      <c r="E252" s="185"/>
      <c r="F252" s="185"/>
      <c r="G252" s="185"/>
      <c r="H252" s="185"/>
      <c r="I252" s="185"/>
      <c r="J252" s="185"/>
      <c r="K252" s="185"/>
      <c r="L252" s="185"/>
      <c r="M252" s="185"/>
      <c r="N252" s="185"/>
      <c r="O252" s="185"/>
      <c r="P252" s="185"/>
      <c r="Q252" s="185"/>
      <c r="R252" s="185"/>
      <c r="S252" s="185"/>
      <c r="T252" s="185"/>
      <c r="U252" s="185"/>
      <c r="V252" s="181"/>
    </row>
    <row r="253" ht="18.75" customHeight="1">
      <c r="A253" s="181"/>
      <c r="B253" s="185"/>
      <c r="C253" s="185"/>
      <c r="D253" s="185"/>
      <c r="E253" s="185"/>
      <c r="F253" s="185"/>
      <c r="G253" s="185"/>
      <c r="H253" s="185"/>
      <c r="I253" s="185"/>
      <c r="J253" s="185"/>
      <c r="K253" s="185"/>
      <c r="L253" s="185"/>
      <c r="M253" s="185"/>
      <c r="N253" s="185"/>
      <c r="O253" s="185"/>
      <c r="P253" s="185"/>
      <c r="Q253" s="185"/>
      <c r="R253" s="185"/>
      <c r="S253" s="185"/>
      <c r="T253" s="185"/>
      <c r="U253" s="185"/>
      <c r="V253" s="181"/>
    </row>
    <row r="254" ht="18.75" customHeight="1">
      <c r="A254" s="181"/>
      <c r="B254" s="185"/>
      <c r="C254" s="185"/>
      <c r="D254" s="185"/>
      <c r="E254" s="185"/>
      <c r="F254" s="185"/>
      <c r="G254" s="185"/>
      <c r="H254" s="185"/>
      <c r="I254" s="185"/>
      <c r="J254" s="185"/>
      <c r="K254" s="185"/>
      <c r="L254" s="185"/>
      <c r="M254" s="185"/>
      <c r="N254" s="185"/>
      <c r="O254" s="185"/>
      <c r="P254" s="185"/>
      <c r="Q254" s="185"/>
      <c r="R254" s="185"/>
      <c r="S254" s="185"/>
      <c r="T254" s="185"/>
      <c r="U254" s="185"/>
      <c r="V254" s="181"/>
    </row>
    <row r="255" ht="18.75" customHeight="1">
      <c r="A255" s="181"/>
      <c r="B255" s="185"/>
      <c r="C255" s="185"/>
      <c r="D255" s="185"/>
      <c r="E255" s="185"/>
      <c r="F255" s="185"/>
      <c r="G255" s="185"/>
      <c r="H255" s="185"/>
      <c r="I255" s="185"/>
      <c r="J255" s="185"/>
      <c r="K255" s="185"/>
      <c r="L255" s="185"/>
      <c r="M255" s="185"/>
      <c r="N255" s="185"/>
      <c r="O255" s="185"/>
      <c r="P255" s="185"/>
      <c r="Q255" s="185"/>
      <c r="R255" s="185"/>
      <c r="S255" s="185"/>
      <c r="T255" s="185"/>
      <c r="U255" s="185"/>
      <c r="V255" s="181"/>
    </row>
    <row r="256" ht="18.75" customHeight="1">
      <c r="A256" s="181"/>
      <c r="B256" s="185"/>
      <c r="C256" s="185"/>
      <c r="D256" s="185"/>
      <c r="E256" s="185"/>
      <c r="F256" s="185"/>
      <c r="G256" s="185"/>
      <c r="H256" s="185"/>
      <c r="I256" s="185"/>
      <c r="J256" s="185"/>
      <c r="K256" s="185"/>
      <c r="L256" s="185"/>
      <c r="M256" s="185"/>
      <c r="N256" s="185"/>
      <c r="O256" s="185"/>
      <c r="P256" s="185"/>
      <c r="Q256" s="185"/>
      <c r="R256" s="185"/>
      <c r="S256" s="185"/>
      <c r="T256" s="185"/>
      <c r="U256" s="185"/>
      <c r="V256" s="181"/>
    </row>
    <row r="257" ht="18.75" customHeight="1">
      <c r="A257" s="181"/>
      <c r="B257" s="185"/>
      <c r="C257" s="185"/>
      <c r="D257" s="185"/>
      <c r="E257" s="185"/>
      <c r="F257" s="185"/>
      <c r="G257" s="185"/>
      <c r="H257" s="185"/>
      <c r="I257" s="185"/>
      <c r="J257" s="185"/>
      <c r="K257" s="185"/>
      <c r="L257" s="185"/>
      <c r="M257" s="185"/>
      <c r="N257" s="185"/>
      <c r="O257" s="185"/>
      <c r="P257" s="185"/>
      <c r="Q257" s="185"/>
      <c r="R257" s="185"/>
      <c r="S257" s="185"/>
      <c r="T257" s="185"/>
      <c r="U257" s="185"/>
      <c r="V257" s="181"/>
    </row>
    <row r="258" ht="18.75" customHeight="1">
      <c r="A258" s="181"/>
      <c r="B258" s="185"/>
      <c r="C258" s="185"/>
      <c r="D258" s="185"/>
      <c r="E258" s="185"/>
      <c r="F258" s="185"/>
      <c r="G258" s="185"/>
      <c r="H258" s="185"/>
      <c r="I258" s="185"/>
      <c r="J258" s="185"/>
      <c r="K258" s="185"/>
      <c r="L258" s="185"/>
      <c r="M258" s="185"/>
      <c r="N258" s="185"/>
      <c r="O258" s="185"/>
      <c r="P258" s="185"/>
      <c r="Q258" s="185"/>
      <c r="R258" s="185"/>
      <c r="S258" s="185"/>
      <c r="T258" s="185"/>
      <c r="U258" s="185"/>
      <c r="V258" s="181"/>
    </row>
    <row r="259" ht="18.75" customHeight="1">
      <c r="A259" s="181"/>
      <c r="B259" s="185"/>
      <c r="C259" s="185"/>
      <c r="D259" s="185"/>
      <c r="E259" s="185"/>
      <c r="F259" s="185"/>
      <c r="G259" s="185"/>
      <c r="H259" s="185"/>
      <c r="I259" s="185"/>
      <c r="J259" s="185"/>
      <c r="K259" s="185"/>
      <c r="L259" s="185"/>
      <c r="M259" s="185"/>
      <c r="N259" s="185"/>
      <c r="O259" s="185"/>
      <c r="P259" s="185"/>
      <c r="Q259" s="185"/>
      <c r="R259" s="185"/>
      <c r="S259" s="185"/>
      <c r="T259" s="185"/>
      <c r="U259" s="185"/>
      <c r="V259" s="181"/>
    </row>
    <row r="260" ht="18.75" customHeight="1">
      <c r="A260" s="181"/>
      <c r="B260" s="185"/>
      <c r="C260" s="185"/>
      <c r="D260" s="185"/>
      <c r="E260" s="185"/>
      <c r="F260" s="185"/>
      <c r="G260" s="185"/>
      <c r="H260" s="185"/>
      <c r="I260" s="185"/>
      <c r="J260" s="185"/>
      <c r="K260" s="185"/>
      <c r="L260" s="185"/>
      <c r="M260" s="185"/>
      <c r="N260" s="185"/>
      <c r="O260" s="185"/>
      <c r="P260" s="185"/>
      <c r="Q260" s="185"/>
      <c r="R260" s="185"/>
      <c r="S260" s="185"/>
      <c r="T260" s="185"/>
      <c r="U260" s="185"/>
      <c r="V260" s="181"/>
    </row>
    <row r="261" ht="18.75" customHeight="1">
      <c r="A261" s="181"/>
      <c r="B261" s="185"/>
      <c r="C261" s="185"/>
      <c r="D261" s="185"/>
      <c r="E261" s="185"/>
      <c r="F261" s="185"/>
      <c r="G261" s="185"/>
      <c r="H261" s="185"/>
      <c r="I261" s="185"/>
      <c r="J261" s="185"/>
      <c r="K261" s="185"/>
      <c r="L261" s="185"/>
      <c r="M261" s="185"/>
      <c r="N261" s="185"/>
      <c r="O261" s="185"/>
      <c r="P261" s="185"/>
      <c r="Q261" s="185"/>
      <c r="R261" s="185"/>
      <c r="S261" s="185"/>
      <c r="T261" s="185"/>
      <c r="U261" s="185"/>
      <c r="V261" s="181"/>
    </row>
    <row r="262" ht="18.75" customHeight="1">
      <c r="A262" s="181"/>
      <c r="B262" s="185"/>
      <c r="C262" s="185"/>
      <c r="D262" s="185"/>
      <c r="E262" s="185"/>
      <c r="F262" s="185"/>
      <c r="G262" s="185"/>
      <c r="H262" s="185"/>
      <c r="I262" s="185"/>
      <c r="J262" s="185"/>
      <c r="K262" s="185"/>
      <c r="L262" s="185"/>
      <c r="M262" s="185"/>
      <c r="N262" s="185"/>
      <c r="O262" s="185"/>
      <c r="P262" s="185"/>
      <c r="Q262" s="185"/>
      <c r="R262" s="185"/>
      <c r="S262" s="185"/>
      <c r="T262" s="185"/>
      <c r="U262" s="185"/>
      <c r="V262" s="181"/>
    </row>
    <row r="263" ht="18.75" customHeight="1">
      <c r="A263" s="181"/>
      <c r="B263" s="185"/>
      <c r="C263" s="185"/>
      <c r="D263" s="185"/>
      <c r="E263" s="185"/>
      <c r="F263" s="185"/>
      <c r="G263" s="185"/>
      <c r="H263" s="185"/>
      <c r="I263" s="185"/>
      <c r="J263" s="185"/>
      <c r="K263" s="185"/>
      <c r="L263" s="185"/>
      <c r="M263" s="185"/>
      <c r="N263" s="185"/>
      <c r="O263" s="185"/>
      <c r="P263" s="185"/>
      <c r="Q263" s="185"/>
      <c r="R263" s="185"/>
      <c r="S263" s="185"/>
      <c r="T263" s="185"/>
      <c r="U263" s="185"/>
      <c r="V263" s="181"/>
    </row>
    <row r="264" ht="18.75" customHeight="1">
      <c r="A264" s="181"/>
      <c r="B264" s="185"/>
      <c r="C264" s="185"/>
      <c r="D264" s="185"/>
      <c r="E264" s="185"/>
      <c r="F264" s="185"/>
      <c r="G264" s="185"/>
      <c r="H264" s="185"/>
      <c r="I264" s="185"/>
      <c r="J264" s="185"/>
      <c r="K264" s="185"/>
      <c r="L264" s="185"/>
      <c r="M264" s="185"/>
      <c r="N264" s="185"/>
      <c r="O264" s="185"/>
      <c r="P264" s="185"/>
      <c r="Q264" s="185"/>
      <c r="R264" s="185"/>
      <c r="S264" s="185"/>
      <c r="T264" s="185"/>
      <c r="U264" s="185"/>
      <c r="V264" s="181"/>
    </row>
    <row r="265" ht="18.75" customHeight="1">
      <c r="A265" s="181"/>
      <c r="B265" s="185"/>
      <c r="C265" s="185"/>
      <c r="D265" s="185"/>
      <c r="E265" s="185"/>
      <c r="F265" s="185"/>
      <c r="G265" s="185"/>
      <c r="H265" s="185"/>
      <c r="I265" s="185"/>
      <c r="J265" s="185"/>
      <c r="K265" s="185"/>
      <c r="L265" s="185"/>
      <c r="M265" s="185"/>
      <c r="N265" s="185"/>
      <c r="O265" s="185"/>
      <c r="P265" s="185"/>
      <c r="Q265" s="185"/>
      <c r="R265" s="185"/>
      <c r="S265" s="185"/>
      <c r="T265" s="185"/>
      <c r="U265" s="185"/>
      <c r="V265" s="181"/>
    </row>
    <row r="266" ht="18.75" customHeight="1">
      <c r="A266" s="181"/>
      <c r="B266" s="185"/>
      <c r="C266" s="185"/>
      <c r="D266" s="185"/>
      <c r="E266" s="185"/>
      <c r="F266" s="185"/>
      <c r="G266" s="185"/>
      <c r="H266" s="185"/>
      <c r="I266" s="185"/>
      <c r="J266" s="185"/>
      <c r="K266" s="185"/>
      <c r="L266" s="185"/>
      <c r="M266" s="185"/>
      <c r="N266" s="185"/>
      <c r="O266" s="185"/>
      <c r="P266" s="185"/>
      <c r="Q266" s="185"/>
      <c r="R266" s="185"/>
      <c r="S266" s="185"/>
      <c r="T266" s="185"/>
      <c r="U266" s="185"/>
      <c r="V266" s="181"/>
    </row>
    <row r="267" ht="18.75" customHeight="1">
      <c r="A267" s="181"/>
      <c r="B267" s="185"/>
      <c r="C267" s="185"/>
      <c r="D267" s="185"/>
      <c r="E267" s="185"/>
      <c r="F267" s="185"/>
      <c r="G267" s="185"/>
      <c r="H267" s="185"/>
      <c r="I267" s="185"/>
      <c r="J267" s="185"/>
      <c r="K267" s="185"/>
      <c r="L267" s="185"/>
      <c r="M267" s="185"/>
      <c r="N267" s="185"/>
      <c r="O267" s="185"/>
      <c r="P267" s="185"/>
      <c r="Q267" s="185"/>
      <c r="R267" s="185"/>
      <c r="S267" s="185"/>
      <c r="T267" s="185"/>
      <c r="U267" s="185"/>
      <c r="V267" s="181"/>
    </row>
    <row r="268" ht="18.75" customHeight="1">
      <c r="A268" s="181"/>
      <c r="B268" s="185"/>
      <c r="C268" s="185"/>
      <c r="D268" s="185"/>
      <c r="E268" s="185"/>
      <c r="F268" s="185"/>
      <c r="G268" s="185"/>
      <c r="H268" s="185"/>
      <c r="I268" s="185"/>
      <c r="J268" s="185"/>
      <c r="K268" s="185"/>
      <c r="L268" s="185"/>
      <c r="M268" s="185"/>
      <c r="N268" s="185"/>
      <c r="O268" s="185"/>
      <c r="P268" s="185"/>
      <c r="Q268" s="185"/>
      <c r="R268" s="185"/>
      <c r="S268" s="185"/>
      <c r="T268" s="185"/>
      <c r="U268" s="185"/>
      <c r="V268" s="181"/>
    </row>
    <row r="269" ht="18.75" customHeight="1">
      <c r="A269" s="181"/>
      <c r="B269" s="185"/>
      <c r="C269" s="185"/>
      <c r="D269" s="185"/>
      <c r="E269" s="185"/>
      <c r="F269" s="185"/>
      <c r="G269" s="185"/>
      <c r="H269" s="185"/>
      <c r="I269" s="185"/>
      <c r="J269" s="185"/>
      <c r="K269" s="185"/>
      <c r="L269" s="185"/>
      <c r="M269" s="185"/>
      <c r="N269" s="185"/>
      <c r="O269" s="185"/>
      <c r="P269" s="185"/>
      <c r="Q269" s="185"/>
      <c r="R269" s="185"/>
      <c r="S269" s="185"/>
      <c r="T269" s="185"/>
      <c r="U269" s="185"/>
      <c r="V269" s="181"/>
    </row>
    <row r="270" ht="18.75" customHeight="1">
      <c r="A270" s="181"/>
      <c r="B270" s="185"/>
      <c r="C270" s="185"/>
      <c r="D270" s="185"/>
      <c r="E270" s="185"/>
      <c r="F270" s="185"/>
      <c r="G270" s="185"/>
      <c r="H270" s="185"/>
      <c r="I270" s="185"/>
      <c r="J270" s="185"/>
      <c r="K270" s="185"/>
      <c r="L270" s="185"/>
      <c r="M270" s="185"/>
      <c r="N270" s="185"/>
      <c r="O270" s="185"/>
      <c r="P270" s="185"/>
      <c r="Q270" s="185"/>
      <c r="R270" s="185"/>
      <c r="S270" s="185"/>
      <c r="T270" s="185"/>
      <c r="U270" s="185"/>
      <c r="V270" s="181"/>
    </row>
    <row r="271" ht="18.75" customHeight="1">
      <c r="A271" s="181"/>
      <c r="B271" s="185"/>
      <c r="C271" s="185"/>
      <c r="D271" s="185"/>
      <c r="E271" s="185"/>
      <c r="F271" s="185"/>
      <c r="G271" s="185"/>
      <c r="H271" s="185"/>
      <c r="I271" s="185"/>
      <c r="J271" s="185"/>
      <c r="K271" s="185"/>
      <c r="L271" s="185"/>
      <c r="M271" s="185"/>
      <c r="N271" s="185"/>
      <c r="O271" s="185"/>
      <c r="P271" s="185"/>
      <c r="Q271" s="185"/>
      <c r="R271" s="185"/>
      <c r="S271" s="185"/>
      <c r="T271" s="185"/>
      <c r="U271" s="185"/>
      <c r="V271" s="181"/>
    </row>
    <row r="272" ht="18.75" customHeight="1">
      <c r="A272" s="181"/>
      <c r="B272" s="185"/>
      <c r="C272" s="185"/>
      <c r="D272" s="185"/>
      <c r="E272" s="185"/>
      <c r="F272" s="185"/>
      <c r="G272" s="185"/>
      <c r="H272" s="185"/>
      <c r="I272" s="185"/>
      <c r="J272" s="185"/>
      <c r="K272" s="185"/>
      <c r="L272" s="185"/>
      <c r="M272" s="185"/>
      <c r="N272" s="185"/>
      <c r="O272" s="185"/>
      <c r="P272" s="185"/>
      <c r="Q272" s="185"/>
      <c r="R272" s="185"/>
      <c r="S272" s="185"/>
      <c r="T272" s="185"/>
      <c r="U272" s="185"/>
      <c r="V272" s="181"/>
    </row>
    <row r="273" ht="18.75" customHeight="1">
      <c r="A273" s="181"/>
      <c r="B273" s="185"/>
      <c r="C273" s="185"/>
      <c r="D273" s="185"/>
      <c r="E273" s="185"/>
      <c r="F273" s="185"/>
      <c r="G273" s="185"/>
      <c r="H273" s="185"/>
      <c r="I273" s="185"/>
      <c r="J273" s="185"/>
      <c r="K273" s="185"/>
      <c r="L273" s="185"/>
      <c r="M273" s="185"/>
      <c r="N273" s="185"/>
      <c r="O273" s="185"/>
      <c r="P273" s="185"/>
      <c r="Q273" s="185"/>
      <c r="R273" s="185"/>
      <c r="S273" s="185"/>
      <c r="T273" s="185"/>
      <c r="U273" s="185"/>
      <c r="V273" s="181"/>
    </row>
    <row r="274" ht="18.75" customHeight="1">
      <c r="A274" s="181"/>
      <c r="B274" s="185"/>
      <c r="C274" s="185"/>
      <c r="D274" s="185"/>
      <c r="E274" s="185"/>
      <c r="F274" s="185"/>
      <c r="G274" s="185"/>
      <c r="H274" s="185"/>
      <c r="I274" s="185"/>
      <c r="J274" s="185"/>
      <c r="K274" s="185"/>
      <c r="L274" s="185"/>
      <c r="M274" s="185"/>
      <c r="N274" s="185"/>
      <c r="O274" s="185"/>
      <c r="P274" s="185"/>
      <c r="Q274" s="185"/>
      <c r="R274" s="185"/>
      <c r="S274" s="185"/>
      <c r="T274" s="185"/>
      <c r="U274" s="185"/>
      <c r="V274" s="181"/>
    </row>
    <row r="275" ht="18.75" customHeight="1">
      <c r="A275" s="181"/>
      <c r="B275" s="185"/>
      <c r="C275" s="185"/>
      <c r="D275" s="185"/>
      <c r="E275" s="185"/>
      <c r="F275" s="185"/>
      <c r="G275" s="185"/>
      <c r="H275" s="185"/>
      <c r="I275" s="185"/>
      <c r="J275" s="185"/>
      <c r="K275" s="185"/>
      <c r="L275" s="185"/>
      <c r="M275" s="185"/>
      <c r="N275" s="185"/>
      <c r="O275" s="185"/>
      <c r="P275" s="185"/>
      <c r="Q275" s="185"/>
      <c r="R275" s="185"/>
      <c r="S275" s="185"/>
      <c r="T275" s="185"/>
      <c r="U275" s="185"/>
      <c r="V275" s="181"/>
    </row>
    <row r="276" ht="18.75" customHeight="1">
      <c r="A276" s="181"/>
      <c r="B276" s="185"/>
      <c r="C276" s="185"/>
      <c r="D276" s="185"/>
      <c r="E276" s="185"/>
      <c r="F276" s="185"/>
      <c r="G276" s="185"/>
      <c r="H276" s="185"/>
      <c r="I276" s="185"/>
      <c r="J276" s="185"/>
      <c r="K276" s="185"/>
      <c r="L276" s="185"/>
      <c r="M276" s="185"/>
      <c r="N276" s="185"/>
      <c r="O276" s="185"/>
      <c r="P276" s="185"/>
      <c r="Q276" s="185"/>
      <c r="R276" s="185"/>
      <c r="S276" s="185"/>
      <c r="T276" s="185"/>
      <c r="U276" s="185"/>
      <c r="V276" s="181"/>
    </row>
    <row r="277" ht="18.75" customHeight="1">
      <c r="A277" s="181"/>
      <c r="B277" s="185"/>
      <c r="C277" s="185"/>
      <c r="D277" s="185"/>
      <c r="E277" s="185"/>
      <c r="F277" s="185"/>
      <c r="G277" s="185"/>
      <c r="H277" s="185"/>
      <c r="I277" s="185"/>
      <c r="J277" s="185"/>
      <c r="K277" s="185"/>
      <c r="L277" s="185"/>
      <c r="M277" s="185"/>
      <c r="N277" s="185"/>
      <c r="O277" s="185"/>
      <c r="P277" s="185"/>
      <c r="Q277" s="185"/>
      <c r="R277" s="185"/>
      <c r="S277" s="185"/>
      <c r="T277" s="185"/>
      <c r="U277" s="185"/>
      <c r="V277" s="181"/>
    </row>
    <row r="278" ht="18.75" customHeight="1">
      <c r="A278" s="181"/>
      <c r="B278" s="185"/>
      <c r="C278" s="185"/>
      <c r="D278" s="185"/>
      <c r="E278" s="185"/>
      <c r="F278" s="185"/>
      <c r="G278" s="185"/>
      <c r="H278" s="185"/>
      <c r="I278" s="185"/>
      <c r="J278" s="185"/>
      <c r="K278" s="185"/>
      <c r="L278" s="185"/>
      <c r="M278" s="185"/>
      <c r="N278" s="185"/>
      <c r="O278" s="185"/>
      <c r="P278" s="185"/>
      <c r="Q278" s="185"/>
      <c r="R278" s="185"/>
      <c r="S278" s="185"/>
      <c r="T278" s="185"/>
      <c r="U278" s="185"/>
      <c r="V278" s="181"/>
    </row>
    <row r="279" ht="18.75" customHeight="1">
      <c r="A279" s="181"/>
      <c r="B279" s="185"/>
      <c r="C279" s="185"/>
      <c r="D279" s="185"/>
      <c r="E279" s="185"/>
      <c r="F279" s="185"/>
      <c r="G279" s="185"/>
      <c r="H279" s="185"/>
      <c r="I279" s="185"/>
      <c r="J279" s="185"/>
      <c r="K279" s="185"/>
      <c r="L279" s="185"/>
      <c r="M279" s="185"/>
      <c r="N279" s="185"/>
      <c r="O279" s="185"/>
      <c r="P279" s="185"/>
      <c r="Q279" s="185"/>
      <c r="R279" s="185"/>
      <c r="S279" s="185"/>
      <c r="T279" s="185"/>
      <c r="U279" s="185"/>
      <c r="V279" s="181"/>
    </row>
    <row r="280" ht="18.75" customHeight="1">
      <c r="A280" s="181"/>
      <c r="B280" s="185"/>
      <c r="C280" s="185"/>
      <c r="D280" s="185"/>
      <c r="E280" s="185"/>
      <c r="F280" s="185"/>
      <c r="G280" s="185"/>
      <c r="H280" s="185"/>
      <c r="I280" s="185"/>
      <c r="J280" s="185"/>
      <c r="K280" s="185"/>
      <c r="L280" s="185"/>
      <c r="M280" s="185"/>
      <c r="N280" s="185"/>
      <c r="O280" s="185"/>
      <c r="P280" s="185"/>
      <c r="Q280" s="185"/>
      <c r="R280" s="185"/>
      <c r="S280" s="185"/>
      <c r="T280" s="185"/>
      <c r="U280" s="185"/>
      <c r="V280" s="181"/>
    </row>
    <row r="281" ht="18.75" customHeight="1">
      <c r="A281" s="181"/>
      <c r="B281" s="185"/>
      <c r="C281" s="185"/>
      <c r="D281" s="185"/>
      <c r="E281" s="185"/>
      <c r="F281" s="185"/>
      <c r="G281" s="185"/>
      <c r="H281" s="185"/>
      <c r="I281" s="185"/>
      <c r="J281" s="185"/>
      <c r="K281" s="185"/>
      <c r="L281" s="185"/>
      <c r="M281" s="185"/>
      <c r="N281" s="185"/>
      <c r="O281" s="185"/>
      <c r="P281" s="185"/>
      <c r="Q281" s="185"/>
      <c r="R281" s="185"/>
      <c r="S281" s="185"/>
      <c r="T281" s="185"/>
      <c r="U281" s="185"/>
      <c r="V281" s="181"/>
    </row>
    <row r="282" ht="18.75" customHeight="1">
      <c r="A282" s="181"/>
      <c r="B282" s="185"/>
      <c r="C282" s="185"/>
      <c r="D282" s="185"/>
      <c r="E282" s="185"/>
      <c r="F282" s="185"/>
      <c r="G282" s="185"/>
      <c r="H282" s="185"/>
      <c r="I282" s="185"/>
      <c r="J282" s="185"/>
      <c r="K282" s="185"/>
      <c r="L282" s="185"/>
      <c r="M282" s="185"/>
      <c r="N282" s="185"/>
      <c r="O282" s="185"/>
      <c r="P282" s="185"/>
      <c r="Q282" s="185"/>
      <c r="R282" s="185"/>
      <c r="S282" s="185"/>
      <c r="T282" s="185"/>
      <c r="U282" s="185"/>
      <c r="V282" s="181"/>
    </row>
    <row r="283" ht="18.75" customHeight="1">
      <c r="A283" s="181"/>
      <c r="B283" s="185"/>
      <c r="C283" s="185"/>
      <c r="D283" s="185"/>
      <c r="E283" s="185"/>
      <c r="F283" s="185"/>
      <c r="G283" s="185"/>
      <c r="H283" s="185"/>
      <c r="I283" s="185"/>
      <c r="J283" s="185"/>
      <c r="K283" s="185"/>
      <c r="L283" s="185"/>
      <c r="M283" s="185"/>
      <c r="N283" s="185"/>
      <c r="O283" s="185"/>
      <c r="P283" s="185"/>
      <c r="Q283" s="185"/>
      <c r="R283" s="185"/>
      <c r="S283" s="185"/>
      <c r="T283" s="185"/>
      <c r="U283" s="185"/>
      <c r="V283" s="181"/>
    </row>
    <row r="284" ht="18.75" customHeight="1">
      <c r="A284" s="181"/>
      <c r="B284" s="185"/>
      <c r="C284" s="185"/>
      <c r="D284" s="185"/>
      <c r="E284" s="185"/>
      <c r="F284" s="185"/>
      <c r="G284" s="185"/>
      <c r="H284" s="185"/>
      <c r="I284" s="185"/>
      <c r="J284" s="185"/>
      <c r="K284" s="185"/>
      <c r="L284" s="185"/>
      <c r="M284" s="185"/>
      <c r="N284" s="185"/>
      <c r="O284" s="185"/>
      <c r="P284" s="185"/>
      <c r="Q284" s="185"/>
      <c r="R284" s="185"/>
      <c r="S284" s="185"/>
      <c r="T284" s="185"/>
      <c r="U284" s="185"/>
      <c r="V284" s="181"/>
    </row>
    <row r="285" ht="18.75" customHeight="1">
      <c r="A285" s="181"/>
      <c r="B285" s="185"/>
      <c r="C285" s="185"/>
      <c r="D285" s="185"/>
      <c r="E285" s="185"/>
      <c r="F285" s="185"/>
      <c r="G285" s="185"/>
      <c r="H285" s="185"/>
      <c r="I285" s="185"/>
      <c r="J285" s="185"/>
      <c r="K285" s="185"/>
      <c r="L285" s="185"/>
      <c r="M285" s="185"/>
      <c r="N285" s="185"/>
      <c r="O285" s="185"/>
      <c r="P285" s="185"/>
      <c r="Q285" s="185"/>
      <c r="R285" s="185"/>
      <c r="S285" s="185"/>
      <c r="T285" s="185"/>
      <c r="U285" s="185"/>
      <c r="V285" s="181"/>
    </row>
    <row r="286" ht="18.75" customHeight="1">
      <c r="A286" s="181"/>
      <c r="B286" s="185"/>
      <c r="C286" s="185"/>
      <c r="D286" s="185"/>
      <c r="E286" s="185"/>
      <c r="F286" s="185"/>
      <c r="G286" s="185"/>
      <c r="H286" s="185"/>
      <c r="I286" s="185"/>
      <c r="J286" s="185"/>
      <c r="K286" s="185"/>
      <c r="L286" s="185"/>
      <c r="M286" s="185"/>
      <c r="N286" s="185"/>
      <c r="O286" s="185"/>
      <c r="P286" s="185"/>
      <c r="Q286" s="185"/>
      <c r="R286" s="185"/>
      <c r="S286" s="185"/>
      <c r="T286" s="185"/>
      <c r="U286" s="185"/>
      <c r="V286" s="181"/>
    </row>
    <row r="287" ht="18.75" customHeight="1">
      <c r="A287" s="181"/>
      <c r="B287" s="185"/>
      <c r="C287" s="185"/>
      <c r="D287" s="185"/>
      <c r="E287" s="185"/>
      <c r="F287" s="185"/>
      <c r="G287" s="185"/>
      <c r="H287" s="185"/>
      <c r="I287" s="185"/>
      <c r="J287" s="185"/>
      <c r="K287" s="185"/>
      <c r="L287" s="185"/>
      <c r="M287" s="185"/>
      <c r="N287" s="185"/>
      <c r="O287" s="185"/>
      <c r="P287" s="185"/>
      <c r="Q287" s="185"/>
      <c r="R287" s="185"/>
      <c r="S287" s="185"/>
      <c r="T287" s="185"/>
      <c r="U287" s="185"/>
      <c r="V287" s="181"/>
    </row>
    <row r="288" ht="18.75" customHeight="1">
      <c r="A288" s="181"/>
      <c r="B288" s="185"/>
      <c r="C288" s="185"/>
      <c r="D288" s="185"/>
      <c r="E288" s="185"/>
      <c r="F288" s="185"/>
      <c r="G288" s="185"/>
      <c r="H288" s="185"/>
      <c r="I288" s="185"/>
      <c r="J288" s="185"/>
      <c r="K288" s="185"/>
      <c r="L288" s="185"/>
      <c r="M288" s="185"/>
      <c r="N288" s="185"/>
      <c r="O288" s="185"/>
      <c r="P288" s="185"/>
      <c r="Q288" s="185"/>
      <c r="R288" s="185"/>
      <c r="S288" s="185"/>
      <c r="T288" s="185"/>
      <c r="U288" s="185"/>
      <c r="V288" s="181"/>
    </row>
    <row r="289" ht="18.75" customHeight="1">
      <c r="A289" s="181"/>
      <c r="B289" s="185"/>
      <c r="C289" s="185"/>
      <c r="D289" s="185"/>
      <c r="E289" s="185"/>
      <c r="F289" s="185"/>
      <c r="G289" s="185"/>
      <c r="H289" s="185"/>
      <c r="I289" s="185"/>
      <c r="J289" s="185"/>
      <c r="K289" s="185"/>
      <c r="L289" s="185"/>
      <c r="M289" s="185"/>
      <c r="N289" s="185"/>
      <c r="O289" s="185"/>
      <c r="P289" s="185"/>
      <c r="Q289" s="185"/>
      <c r="R289" s="185"/>
      <c r="S289" s="185"/>
      <c r="T289" s="185"/>
      <c r="U289" s="185"/>
      <c r="V289" s="181"/>
    </row>
    <row r="290" ht="18.75" customHeight="1">
      <c r="A290" s="181"/>
      <c r="B290" s="185"/>
      <c r="C290" s="185"/>
      <c r="D290" s="185"/>
      <c r="E290" s="185"/>
      <c r="F290" s="185"/>
      <c r="G290" s="185"/>
      <c r="H290" s="185"/>
      <c r="I290" s="185"/>
      <c r="J290" s="185"/>
      <c r="K290" s="185"/>
      <c r="L290" s="185"/>
      <c r="M290" s="185"/>
      <c r="N290" s="185"/>
      <c r="O290" s="185"/>
      <c r="P290" s="185"/>
      <c r="Q290" s="185"/>
      <c r="R290" s="185"/>
      <c r="S290" s="185"/>
      <c r="T290" s="185"/>
      <c r="U290" s="185"/>
      <c r="V290" s="181"/>
    </row>
    <row r="291" ht="18.75" customHeight="1">
      <c r="A291" s="181"/>
      <c r="B291" s="185"/>
      <c r="C291" s="185"/>
      <c r="D291" s="185"/>
      <c r="E291" s="185"/>
      <c r="F291" s="185"/>
      <c r="G291" s="185"/>
      <c r="H291" s="185"/>
      <c r="I291" s="185"/>
      <c r="J291" s="185"/>
      <c r="K291" s="185"/>
      <c r="L291" s="185"/>
      <c r="M291" s="185"/>
      <c r="N291" s="185"/>
      <c r="O291" s="185"/>
      <c r="P291" s="185"/>
      <c r="Q291" s="185"/>
      <c r="R291" s="185"/>
      <c r="S291" s="185"/>
      <c r="T291" s="185"/>
      <c r="U291" s="185"/>
      <c r="V291" s="181"/>
    </row>
    <row r="292" ht="18.75" customHeight="1">
      <c r="A292" s="181"/>
      <c r="B292" s="185"/>
      <c r="C292" s="185"/>
      <c r="D292" s="185"/>
      <c r="E292" s="185"/>
      <c r="F292" s="185"/>
      <c r="G292" s="185"/>
      <c r="H292" s="185"/>
      <c r="I292" s="185"/>
      <c r="J292" s="185"/>
      <c r="K292" s="185"/>
      <c r="L292" s="185"/>
      <c r="M292" s="185"/>
      <c r="N292" s="185"/>
      <c r="O292" s="185"/>
      <c r="P292" s="185"/>
      <c r="Q292" s="185"/>
      <c r="R292" s="185"/>
      <c r="S292" s="185"/>
      <c r="T292" s="185"/>
      <c r="U292" s="185"/>
      <c r="V292" s="181"/>
    </row>
    <row r="293" ht="18.75" customHeight="1">
      <c r="A293" s="181"/>
      <c r="B293" s="185"/>
      <c r="C293" s="185"/>
      <c r="D293" s="185"/>
      <c r="E293" s="185"/>
      <c r="F293" s="185"/>
      <c r="G293" s="185"/>
      <c r="H293" s="185"/>
      <c r="I293" s="185"/>
      <c r="J293" s="185"/>
      <c r="K293" s="185"/>
      <c r="L293" s="185"/>
      <c r="M293" s="185"/>
      <c r="N293" s="185"/>
      <c r="O293" s="185"/>
      <c r="P293" s="185"/>
      <c r="Q293" s="185"/>
      <c r="R293" s="185"/>
      <c r="S293" s="185"/>
      <c r="T293" s="185"/>
      <c r="U293" s="185"/>
      <c r="V293" s="181"/>
    </row>
    <row r="294" ht="18.75" customHeight="1">
      <c r="A294" s="181"/>
      <c r="B294" s="185"/>
      <c r="C294" s="185"/>
      <c r="D294" s="185"/>
      <c r="E294" s="185"/>
      <c r="F294" s="185"/>
      <c r="G294" s="185"/>
      <c r="H294" s="185"/>
      <c r="I294" s="185"/>
      <c r="J294" s="185"/>
      <c r="K294" s="185"/>
      <c r="L294" s="185"/>
      <c r="M294" s="185"/>
      <c r="N294" s="185"/>
      <c r="O294" s="185"/>
      <c r="P294" s="185"/>
      <c r="Q294" s="185"/>
      <c r="R294" s="185"/>
      <c r="S294" s="185"/>
      <c r="T294" s="185"/>
      <c r="U294" s="185"/>
      <c r="V294" s="181"/>
    </row>
    <row r="295" ht="18.75" customHeight="1">
      <c r="A295" s="181"/>
      <c r="B295" s="185"/>
      <c r="C295" s="185"/>
      <c r="D295" s="185"/>
      <c r="E295" s="185"/>
      <c r="F295" s="185"/>
      <c r="G295" s="185"/>
      <c r="H295" s="185"/>
      <c r="I295" s="185"/>
      <c r="J295" s="185"/>
      <c r="K295" s="185"/>
      <c r="L295" s="185"/>
      <c r="M295" s="185"/>
      <c r="N295" s="185"/>
      <c r="O295" s="185"/>
      <c r="P295" s="185"/>
      <c r="Q295" s="185"/>
      <c r="R295" s="185"/>
      <c r="S295" s="185"/>
      <c r="T295" s="185"/>
      <c r="U295" s="185"/>
      <c r="V295" s="181"/>
    </row>
    <row r="296" ht="18.75" customHeight="1">
      <c r="A296" s="181"/>
      <c r="B296" s="185"/>
      <c r="C296" s="185"/>
      <c r="D296" s="185"/>
      <c r="E296" s="185"/>
      <c r="F296" s="185"/>
      <c r="G296" s="185"/>
      <c r="H296" s="185"/>
      <c r="I296" s="185"/>
      <c r="J296" s="185"/>
      <c r="K296" s="185"/>
      <c r="L296" s="185"/>
      <c r="M296" s="185"/>
      <c r="N296" s="185"/>
      <c r="O296" s="185"/>
      <c r="P296" s="185"/>
      <c r="Q296" s="185"/>
      <c r="R296" s="185"/>
      <c r="S296" s="185"/>
      <c r="T296" s="185"/>
      <c r="U296" s="185"/>
      <c r="V296" s="181"/>
    </row>
    <row r="297" ht="18.75" customHeight="1">
      <c r="A297" s="181"/>
      <c r="B297" s="185"/>
      <c r="C297" s="185"/>
      <c r="D297" s="185"/>
      <c r="E297" s="185"/>
      <c r="F297" s="185"/>
      <c r="G297" s="185"/>
      <c r="H297" s="185"/>
      <c r="I297" s="185"/>
      <c r="J297" s="185"/>
      <c r="K297" s="185"/>
      <c r="L297" s="185"/>
      <c r="M297" s="185"/>
      <c r="N297" s="185"/>
      <c r="O297" s="185"/>
      <c r="P297" s="185"/>
      <c r="Q297" s="185"/>
      <c r="R297" s="185"/>
      <c r="S297" s="185"/>
      <c r="T297" s="185"/>
      <c r="U297" s="185"/>
      <c r="V297" s="181"/>
    </row>
    <row r="298" ht="18.75" customHeight="1">
      <c r="A298" s="181"/>
      <c r="B298" s="185"/>
      <c r="C298" s="185"/>
      <c r="D298" s="185"/>
      <c r="E298" s="185"/>
      <c r="F298" s="185"/>
      <c r="G298" s="185"/>
      <c r="H298" s="185"/>
      <c r="I298" s="185"/>
      <c r="J298" s="185"/>
      <c r="K298" s="185"/>
      <c r="L298" s="185"/>
      <c r="M298" s="185"/>
      <c r="N298" s="185"/>
      <c r="O298" s="185"/>
      <c r="P298" s="185"/>
      <c r="Q298" s="185"/>
      <c r="R298" s="185"/>
      <c r="S298" s="185"/>
      <c r="T298" s="185"/>
      <c r="U298" s="185"/>
      <c r="V298" s="181"/>
    </row>
    <row r="299" ht="18.75" customHeight="1">
      <c r="A299" s="181"/>
      <c r="B299" s="185"/>
      <c r="C299" s="185"/>
      <c r="D299" s="185"/>
      <c r="E299" s="185"/>
      <c r="F299" s="185"/>
      <c r="G299" s="185"/>
      <c r="H299" s="185"/>
      <c r="I299" s="185"/>
      <c r="J299" s="185"/>
      <c r="K299" s="185"/>
      <c r="L299" s="185"/>
      <c r="M299" s="185"/>
      <c r="N299" s="185"/>
      <c r="O299" s="185"/>
      <c r="P299" s="185"/>
      <c r="Q299" s="185"/>
      <c r="R299" s="185"/>
      <c r="S299" s="185"/>
      <c r="T299" s="185"/>
      <c r="U299" s="185"/>
      <c r="V299" s="181"/>
    </row>
    <row r="300" ht="18.75" customHeight="1">
      <c r="A300" s="181"/>
      <c r="B300" s="185"/>
      <c r="C300" s="185"/>
      <c r="D300" s="185"/>
      <c r="E300" s="185"/>
      <c r="F300" s="185"/>
      <c r="G300" s="185"/>
      <c r="H300" s="185"/>
      <c r="I300" s="185"/>
      <c r="J300" s="185"/>
      <c r="K300" s="185"/>
      <c r="L300" s="185"/>
      <c r="M300" s="185"/>
      <c r="N300" s="185"/>
      <c r="O300" s="185"/>
      <c r="P300" s="185"/>
      <c r="Q300" s="185"/>
      <c r="R300" s="185"/>
      <c r="S300" s="185"/>
      <c r="T300" s="185"/>
      <c r="U300" s="185"/>
      <c r="V300" s="181"/>
    </row>
    <row r="301" ht="18.75" customHeight="1">
      <c r="A301" s="181"/>
      <c r="B301" s="185"/>
      <c r="C301" s="185"/>
      <c r="D301" s="185"/>
      <c r="E301" s="185"/>
      <c r="F301" s="185"/>
      <c r="G301" s="185"/>
      <c r="H301" s="185"/>
      <c r="I301" s="185"/>
      <c r="J301" s="185"/>
      <c r="K301" s="185"/>
      <c r="L301" s="185"/>
      <c r="M301" s="185"/>
      <c r="N301" s="185"/>
      <c r="O301" s="185"/>
      <c r="P301" s="185"/>
      <c r="Q301" s="185"/>
      <c r="R301" s="185"/>
      <c r="S301" s="185"/>
      <c r="T301" s="185"/>
      <c r="U301" s="185"/>
      <c r="V301" s="181"/>
    </row>
    <row r="302" ht="18.75" customHeight="1">
      <c r="A302" s="181"/>
      <c r="B302" s="185"/>
      <c r="C302" s="185"/>
      <c r="D302" s="185"/>
      <c r="E302" s="185"/>
      <c r="F302" s="185"/>
      <c r="G302" s="185"/>
      <c r="H302" s="185"/>
      <c r="I302" s="185"/>
      <c r="J302" s="185"/>
      <c r="K302" s="185"/>
      <c r="L302" s="185"/>
      <c r="M302" s="185"/>
      <c r="N302" s="185"/>
      <c r="O302" s="185"/>
      <c r="P302" s="185"/>
      <c r="Q302" s="185"/>
      <c r="R302" s="185"/>
      <c r="S302" s="185"/>
      <c r="T302" s="185"/>
      <c r="U302" s="185"/>
      <c r="V302" s="181"/>
    </row>
    <row r="303" ht="18.75" customHeight="1">
      <c r="A303" s="181"/>
      <c r="B303" s="185"/>
      <c r="C303" s="185"/>
      <c r="D303" s="185"/>
      <c r="E303" s="185"/>
      <c r="F303" s="185"/>
      <c r="G303" s="185"/>
      <c r="H303" s="185"/>
      <c r="I303" s="185"/>
      <c r="J303" s="185"/>
      <c r="K303" s="185"/>
      <c r="L303" s="185"/>
      <c r="M303" s="185"/>
      <c r="N303" s="185"/>
      <c r="O303" s="185"/>
      <c r="P303" s="185"/>
      <c r="Q303" s="185"/>
      <c r="R303" s="185"/>
      <c r="S303" s="185"/>
      <c r="T303" s="185"/>
      <c r="U303" s="185"/>
      <c r="V303" s="181"/>
    </row>
    <row r="304" ht="18.75" customHeight="1">
      <c r="A304" s="181"/>
      <c r="B304" s="185"/>
      <c r="C304" s="185"/>
      <c r="D304" s="185"/>
      <c r="E304" s="185"/>
      <c r="F304" s="185"/>
      <c r="G304" s="185"/>
      <c r="H304" s="185"/>
      <c r="I304" s="185"/>
      <c r="J304" s="185"/>
      <c r="K304" s="185"/>
      <c r="L304" s="185"/>
      <c r="M304" s="185"/>
      <c r="N304" s="185"/>
      <c r="O304" s="185"/>
      <c r="P304" s="185"/>
      <c r="Q304" s="185"/>
      <c r="R304" s="185"/>
      <c r="S304" s="185"/>
      <c r="T304" s="185"/>
      <c r="U304" s="185"/>
      <c r="V304" s="181"/>
    </row>
    <row r="305" ht="18.75" customHeight="1">
      <c r="A305" s="181"/>
      <c r="B305" s="185"/>
      <c r="C305" s="185"/>
      <c r="D305" s="185"/>
      <c r="E305" s="185"/>
      <c r="F305" s="185"/>
      <c r="G305" s="185"/>
      <c r="H305" s="185"/>
      <c r="I305" s="185"/>
      <c r="J305" s="185"/>
      <c r="K305" s="185"/>
      <c r="L305" s="185"/>
      <c r="M305" s="185"/>
      <c r="N305" s="185"/>
      <c r="O305" s="185"/>
      <c r="P305" s="185"/>
      <c r="Q305" s="185"/>
      <c r="R305" s="185"/>
      <c r="S305" s="185"/>
      <c r="T305" s="185"/>
      <c r="U305" s="185"/>
      <c r="V305" s="181"/>
    </row>
    <row r="306" ht="18.75" customHeight="1">
      <c r="A306" s="181"/>
      <c r="B306" s="185"/>
      <c r="C306" s="185"/>
      <c r="D306" s="185"/>
      <c r="E306" s="185"/>
      <c r="F306" s="185"/>
      <c r="G306" s="185"/>
      <c r="H306" s="185"/>
      <c r="I306" s="185"/>
      <c r="J306" s="185"/>
      <c r="K306" s="185"/>
      <c r="L306" s="185"/>
      <c r="M306" s="185"/>
      <c r="N306" s="185"/>
      <c r="O306" s="185"/>
      <c r="P306" s="185"/>
      <c r="Q306" s="185"/>
      <c r="R306" s="185"/>
      <c r="S306" s="185"/>
      <c r="T306" s="185"/>
      <c r="U306" s="185"/>
      <c r="V306" s="181"/>
    </row>
    <row r="307" ht="18.75" customHeight="1">
      <c r="A307" s="181"/>
      <c r="B307" s="185"/>
      <c r="C307" s="185"/>
      <c r="D307" s="185"/>
      <c r="E307" s="185"/>
      <c r="F307" s="185"/>
      <c r="G307" s="185"/>
      <c r="H307" s="185"/>
      <c r="I307" s="185"/>
      <c r="J307" s="185"/>
      <c r="K307" s="185"/>
      <c r="L307" s="185"/>
      <c r="M307" s="185"/>
      <c r="N307" s="185"/>
      <c r="O307" s="185"/>
      <c r="P307" s="185"/>
      <c r="Q307" s="185"/>
      <c r="R307" s="185"/>
      <c r="S307" s="185"/>
      <c r="T307" s="185"/>
      <c r="U307" s="185"/>
      <c r="V307" s="181"/>
    </row>
    <row r="308" ht="18.75" customHeight="1">
      <c r="A308" s="181"/>
      <c r="B308" s="185"/>
      <c r="C308" s="185"/>
      <c r="D308" s="185"/>
      <c r="E308" s="185"/>
      <c r="F308" s="185"/>
      <c r="G308" s="185"/>
      <c r="H308" s="185"/>
      <c r="I308" s="185"/>
      <c r="J308" s="185"/>
      <c r="K308" s="185"/>
      <c r="L308" s="185"/>
      <c r="M308" s="185"/>
      <c r="N308" s="185"/>
      <c r="O308" s="185"/>
      <c r="P308" s="185"/>
      <c r="Q308" s="185"/>
      <c r="R308" s="185"/>
      <c r="S308" s="185"/>
      <c r="T308" s="185"/>
      <c r="U308" s="185"/>
      <c r="V308" s="181"/>
    </row>
    <row r="309" ht="18.75" customHeight="1">
      <c r="A309" s="181"/>
      <c r="B309" s="185"/>
      <c r="C309" s="185"/>
      <c r="D309" s="185"/>
      <c r="E309" s="185"/>
      <c r="F309" s="185"/>
      <c r="G309" s="185"/>
      <c r="H309" s="185"/>
      <c r="I309" s="185"/>
      <c r="J309" s="185"/>
      <c r="K309" s="185"/>
      <c r="L309" s="185"/>
      <c r="M309" s="185"/>
      <c r="N309" s="185"/>
      <c r="O309" s="185"/>
      <c r="P309" s="185"/>
      <c r="Q309" s="185"/>
      <c r="R309" s="185"/>
      <c r="S309" s="185"/>
      <c r="T309" s="185"/>
      <c r="U309" s="185"/>
      <c r="V309" s="181"/>
    </row>
    <row r="310" ht="18.75" customHeight="1">
      <c r="A310" s="181"/>
      <c r="B310" s="185"/>
      <c r="C310" s="185"/>
      <c r="D310" s="185"/>
      <c r="E310" s="185"/>
      <c r="F310" s="185"/>
      <c r="G310" s="185"/>
      <c r="H310" s="185"/>
      <c r="I310" s="185"/>
      <c r="J310" s="185"/>
      <c r="K310" s="185"/>
      <c r="L310" s="185"/>
      <c r="M310" s="185"/>
      <c r="N310" s="185"/>
      <c r="O310" s="185"/>
      <c r="P310" s="185"/>
      <c r="Q310" s="185"/>
      <c r="R310" s="185"/>
      <c r="S310" s="185"/>
      <c r="T310" s="185"/>
      <c r="U310" s="185"/>
      <c r="V310" s="181"/>
    </row>
    <row r="311" ht="18.75" customHeight="1">
      <c r="A311" s="181"/>
      <c r="B311" s="185"/>
      <c r="C311" s="185"/>
      <c r="D311" s="185"/>
      <c r="E311" s="185"/>
      <c r="F311" s="185"/>
      <c r="G311" s="185"/>
      <c r="H311" s="185"/>
      <c r="I311" s="185"/>
      <c r="J311" s="185"/>
      <c r="K311" s="185"/>
      <c r="L311" s="185"/>
      <c r="M311" s="185"/>
      <c r="N311" s="185"/>
      <c r="O311" s="185"/>
      <c r="P311" s="185"/>
      <c r="Q311" s="185"/>
      <c r="R311" s="185"/>
      <c r="S311" s="185"/>
      <c r="T311" s="185"/>
      <c r="U311" s="185"/>
      <c r="V311" s="181"/>
    </row>
    <row r="312" ht="18.75" customHeight="1">
      <c r="A312" s="181"/>
      <c r="B312" s="185"/>
      <c r="C312" s="185"/>
      <c r="D312" s="185"/>
      <c r="E312" s="185"/>
      <c r="F312" s="185"/>
      <c r="G312" s="185"/>
      <c r="H312" s="185"/>
      <c r="I312" s="185"/>
      <c r="J312" s="185"/>
      <c r="K312" s="185"/>
      <c r="L312" s="185"/>
      <c r="M312" s="185"/>
      <c r="N312" s="185"/>
      <c r="O312" s="185"/>
      <c r="P312" s="185"/>
      <c r="Q312" s="185"/>
      <c r="R312" s="185"/>
      <c r="S312" s="185"/>
      <c r="T312" s="185"/>
      <c r="U312" s="185"/>
      <c r="V312" s="181"/>
    </row>
    <row r="313" ht="18.75" customHeight="1">
      <c r="A313" s="181"/>
      <c r="B313" s="185"/>
      <c r="C313" s="185"/>
      <c r="D313" s="185"/>
      <c r="E313" s="185"/>
      <c r="F313" s="185"/>
      <c r="G313" s="185"/>
      <c r="H313" s="185"/>
      <c r="I313" s="185"/>
      <c r="J313" s="185"/>
      <c r="K313" s="185"/>
      <c r="L313" s="185"/>
      <c r="M313" s="185"/>
      <c r="N313" s="185"/>
      <c r="O313" s="185"/>
      <c r="P313" s="185"/>
      <c r="Q313" s="185"/>
      <c r="R313" s="185"/>
      <c r="S313" s="185"/>
      <c r="T313" s="185"/>
      <c r="U313" s="185"/>
      <c r="V313" s="181"/>
    </row>
    <row r="314" ht="18.75" customHeight="1">
      <c r="A314" s="181"/>
      <c r="B314" s="185"/>
      <c r="C314" s="185"/>
      <c r="D314" s="185"/>
      <c r="E314" s="185"/>
      <c r="F314" s="185"/>
      <c r="G314" s="185"/>
      <c r="H314" s="185"/>
      <c r="I314" s="185"/>
      <c r="J314" s="185"/>
      <c r="K314" s="185"/>
      <c r="L314" s="185"/>
      <c r="M314" s="185"/>
      <c r="N314" s="185"/>
      <c r="O314" s="185"/>
      <c r="P314" s="185"/>
      <c r="Q314" s="185"/>
      <c r="R314" s="185"/>
      <c r="S314" s="185"/>
      <c r="T314" s="185"/>
      <c r="U314" s="185"/>
      <c r="V314" s="181"/>
    </row>
    <row r="315" ht="18.75" customHeight="1">
      <c r="A315" s="181"/>
      <c r="B315" s="185"/>
      <c r="C315" s="185"/>
      <c r="D315" s="185"/>
      <c r="E315" s="185"/>
      <c r="F315" s="185"/>
      <c r="G315" s="185"/>
      <c r="H315" s="185"/>
      <c r="I315" s="185"/>
      <c r="J315" s="185"/>
      <c r="K315" s="185"/>
      <c r="L315" s="185"/>
      <c r="M315" s="185"/>
      <c r="N315" s="185"/>
      <c r="O315" s="185"/>
      <c r="P315" s="185"/>
      <c r="Q315" s="185"/>
      <c r="R315" s="185"/>
      <c r="S315" s="185"/>
      <c r="T315" s="185"/>
      <c r="U315" s="185"/>
      <c r="V315" s="181"/>
    </row>
    <row r="316" ht="18.75" customHeight="1">
      <c r="A316" s="181"/>
      <c r="B316" s="185"/>
      <c r="C316" s="185"/>
      <c r="D316" s="185"/>
      <c r="E316" s="185"/>
      <c r="F316" s="185"/>
      <c r="G316" s="185"/>
      <c r="H316" s="185"/>
      <c r="I316" s="185"/>
      <c r="J316" s="185"/>
      <c r="K316" s="185"/>
      <c r="L316" s="185"/>
      <c r="M316" s="185"/>
      <c r="N316" s="185"/>
      <c r="O316" s="185"/>
      <c r="P316" s="185"/>
      <c r="Q316" s="185"/>
      <c r="R316" s="185"/>
      <c r="S316" s="185"/>
      <c r="T316" s="185"/>
      <c r="U316" s="185"/>
      <c r="V316" s="181"/>
    </row>
    <row r="317" ht="18.75" customHeight="1">
      <c r="A317" s="181"/>
      <c r="B317" s="185"/>
      <c r="C317" s="185"/>
      <c r="D317" s="185"/>
      <c r="E317" s="185"/>
      <c r="F317" s="185"/>
      <c r="G317" s="185"/>
      <c r="H317" s="185"/>
      <c r="I317" s="185"/>
      <c r="J317" s="185"/>
      <c r="K317" s="185"/>
      <c r="L317" s="185"/>
      <c r="M317" s="185"/>
      <c r="N317" s="185"/>
      <c r="O317" s="185"/>
      <c r="P317" s="185"/>
      <c r="Q317" s="185"/>
      <c r="R317" s="185"/>
      <c r="S317" s="185"/>
      <c r="T317" s="185"/>
      <c r="U317" s="185"/>
      <c r="V317" s="181"/>
    </row>
    <row r="318" ht="18.75" customHeight="1">
      <c r="A318" s="181"/>
      <c r="B318" s="185"/>
      <c r="C318" s="185"/>
      <c r="D318" s="185"/>
      <c r="E318" s="185"/>
      <c r="F318" s="185"/>
      <c r="G318" s="185"/>
      <c r="H318" s="185"/>
      <c r="I318" s="185"/>
      <c r="J318" s="185"/>
      <c r="K318" s="185"/>
      <c r="L318" s="185"/>
      <c r="M318" s="185"/>
      <c r="N318" s="185"/>
      <c r="O318" s="185"/>
      <c r="P318" s="185"/>
      <c r="Q318" s="185"/>
      <c r="R318" s="185"/>
      <c r="S318" s="185"/>
      <c r="T318" s="185"/>
      <c r="U318" s="185"/>
      <c r="V318" s="181"/>
    </row>
    <row r="319" ht="18.75" customHeight="1">
      <c r="A319" s="181"/>
      <c r="B319" s="185"/>
      <c r="C319" s="185"/>
      <c r="D319" s="185"/>
      <c r="E319" s="185"/>
      <c r="F319" s="185"/>
      <c r="G319" s="185"/>
      <c r="H319" s="185"/>
      <c r="I319" s="185"/>
      <c r="J319" s="185"/>
      <c r="K319" s="185"/>
      <c r="L319" s="185"/>
      <c r="M319" s="185"/>
      <c r="N319" s="185"/>
      <c r="O319" s="185"/>
      <c r="P319" s="185"/>
      <c r="Q319" s="185"/>
      <c r="R319" s="185"/>
      <c r="S319" s="185"/>
      <c r="T319" s="185"/>
      <c r="U319" s="185"/>
      <c r="V319" s="181"/>
    </row>
    <row r="320" ht="18.75" customHeight="1">
      <c r="A320" s="181"/>
      <c r="B320" s="185"/>
      <c r="C320" s="185"/>
      <c r="D320" s="185"/>
      <c r="E320" s="185"/>
      <c r="F320" s="185"/>
      <c r="G320" s="185"/>
      <c r="H320" s="185"/>
      <c r="I320" s="185"/>
      <c r="J320" s="185"/>
      <c r="K320" s="185"/>
      <c r="L320" s="185"/>
      <c r="M320" s="185"/>
      <c r="N320" s="185"/>
      <c r="O320" s="185"/>
      <c r="P320" s="185"/>
      <c r="Q320" s="185"/>
      <c r="R320" s="185"/>
      <c r="S320" s="185"/>
      <c r="T320" s="185"/>
      <c r="U320" s="185"/>
      <c r="V320" s="181"/>
    </row>
    <row r="321" ht="18.75" customHeight="1">
      <c r="A321" s="181"/>
      <c r="B321" s="185"/>
      <c r="C321" s="185"/>
      <c r="D321" s="185"/>
      <c r="E321" s="185"/>
      <c r="F321" s="185"/>
      <c r="G321" s="185"/>
      <c r="H321" s="185"/>
      <c r="I321" s="185"/>
      <c r="J321" s="185"/>
      <c r="K321" s="185"/>
      <c r="L321" s="185"/>
      <c r="M321" s="185"/>
      <c r="N321" s="185"/>
      <c r="O321" s="185"/>
      <c r="P321" s="185"/>
      <c r="Q321" s="185"/>
      <c r="R321" s="185"/>
      <c r="S321" s="185"/>
      <c r="T321" s="185"/>
      <c r="U321" s="185"/>
      <c r="V321" s="181"/>
    </row>
    <row r="322" ht="18.75" customHeight="1">
      <c r="A322" s="181"/>
      <c r="B322" s="185"/>
      <c r="C322" s="185"/>
      <c r="D322" s="185"/>
      <c r="E322" s="185"/>
      <c r="F322" s="185"/>
      <c r="G322" s="185"/>
      <c r="H322" s="185"/>
      <c r="I322" s="185"/>
      <c r="J322" s="185"/>
      <c r="K322" s="185"/>
      <c r="L322" s="185"/>
      <c r="M322" s="185"/>
      <c r="N322" s="185"/>
      <c r="O322" s="185"/>
      <c r="P322" s="185"/>
      <c r="Q322" s="185"/>
      <c r="R322" s="185"/>
      <c r="S322" s="185"/>
      <c r="T322" s="185"/>
      <c r="U322" s="185"/>
      <c r="V322" s="181"/>
    </row>
    <row r="323" ht="18.75" customHeight="1">
      <c r="A323" s="181"/>
      <c r="B323" s="185"/>
      <c r="C323" s="185"/>
      <c r="D323" s="185"/>
      <c r="E323" s="185"/>
      <c r="F323" s="185"/>
      <c r="G323" s="185"/>
      <c r="H323" s="185"/>
      <c r="I323" s="185"/>
      <c r="J323" s="185"/>
      <c r="K323" s="185"/>
      <c r="L323" s="185"/>
      <c r="M323" s="185"/>
      <c r="N323" s="185"/>
      <c r="O323" s="185"/>
      <c r="P323" s="185"/>
      <c r="Q323" s="185"/>
      <c r="R323" s="185"/>
      <c r="S323" s="185"/>
      <c r="T323" s="185"/>
      <c r="U323" s="185"/>
      <c r="V323" s="181"/>
    </row>
    <row r="324" ht="18.75" customHeight="1">
      <c r="A324" s="181"/>
      <c r="B324" s="185"/>
      <c r="C324" s="185"/>
      <c r="D324" s="185"/>
      <c r="E324" s="185"/>
      <c r="F324" s="185"/>
      <c r="G324" s="185"/>
      <c r="H324" s="185"/>
      <c r="I324" s="185"/>
      <c r="J324" s="185"/>
      <c r="K324" s="185"/>
      <c r="L324" s="185"/>
      <c r="M324" s="185"/>
      <c r="N324" s="185"/>
      <c r="O324" s="185"/>
      <c r="P324" s="185"/>
      <c r="Q324" s="185"/>
      <c r="R324" s="185"/>
      <c r="S324" s="185"/>
      <c r="T324" s="185"/>
      <c r="U324" s="185"/>
      <c r="V324" s="181"/>
    </row>
    <row r="325" ht="18.75" customHeight="1">
      <c r="A325" s="181"/>
      <c r="B325" s="185"/>
      <c r="C325" s="185"/>
      <c r="D325" s="185"/>
      <c r="E325" s="185"/>
      <c r="F325" s="185"/>
      <c r="G325" s="185"/>
      <c r="H325" s="185"/>
      <c r="I325" s="185"/>
      <c r="J325" s="185"/>
      <c r="K325" s="185"/>
      <c r="L325" s="185"/>
      <c r="M325" s="185"/>
      <c r="N325" s="185"/>
      <c r="O325" s="185"/>
      <c r="P325" s="185"/>
      <c r="Q325" s="185"/>
      <c r="R325" s="185"/>
      <c r="S325" s="185"/>
      <c r="T325" s="185"/>
      <c r="U325" s="185"/>
      <c r="V325" s="181"/>
    </row>
    <row r="326" ht="18.75" customHeight="1">
      <c r="A326" s="181"/>
      <c r="B326" s="185"/>
      <c r="C326" s="185"/>
      <c r="D326" s="185"/>
      <c r="E326" s="185"/>
      <c r="F326" s="185"/>
      <c r="G326" s="185"/>
      <c r="H326" s="185"/>
      <c r="I326" s="185"/>
      <c r="J326" s="185"/>
      <c r="K326" s="185"/>
      <c r="L326" s="185"/>
      <c r="M326" s="185"/>
      <c r="N326" s="185"/>
      <c r="O326" s="185"/>
      <c r="P326" s="185"/>
      <c r="Q326" s="185"/>
      <c r="R326" s="185"/>
      <c r="S326" s="185"/>
      <c r="T326" s="185"/>
      <c r="U326" s="185"/>
      <c r="V326" s="181"/>
    </row>
    <row r="327" ht="18.75" customHeight="1">
      <c r="A327" s="181"/>
      <c r="B327" s="185"/>
      <c r="C327" s="185"/>
      <c r="D327" s="185"/>
      <c r="E327" s="185"/>
      <c r="F327" s="185"/>
      <c r="G327" s="185"/>
      <c r="H327" s="185"/>
      <c r="I327" s="185"/>
      <c r="J327" s="185"/>
      <c r="K327" s="185"/>
      <c r="L327" s="185"/>
      <c r="M327" s="185"/>
      <c r="N327" s="185"/>
      <c r="O327" s="185"/>
      <c r="P327" s="185"/>
      <c r="Q327" s="185"/>
      <c r="R327" s="185"/>
      <c r="S327" s="185"/>
      <c r="T327" s="185"/>
      <c r="U327" s="185"/>
      <c r="V327" s="181"/>
    </row>
    <row r="328" ht="18.75" customHeight="1">
      <c r="A328" s="181"/>
      <c r="B328" s="185"/>
      <c r="C328" s="185"/>
      <c r="D328" s="185"/>
      <c r="E328" s="185"/>
      <c r="F328" s="185"/>
      <c r="G328" s="185"/>
      <c r="H328" s="185"/>
      <c r="I328" s="185"/>
      <c r="J328" s="185"/>
      <c r="K328" s="185"/>
      <c r="L328" s="185"/>
      <c r="M328" s="185"/>
      <c r="N328" s="185"/>
      <c r="O328" s="185"/>
      <c r="P328" s="185"/>
      <c r="Q328" s="185"/>
      <c r="R328" s="185"/>
      <c r="S328" s="185"/>
      <c r="T328" s="185"/>
      <c r="U328" s="185"/>
      <c r="V328" s="181"/>
    </row>
    <row r="329" ht="18.75" customHeight="1">
      <c r="A329" s="181"/>
      <c r="B329" s="185"/>
      <c r="C329" s="185"/>
      <c r="D329" s="185"/>
      <c r="E329" s="185"/>
      <c r="F329" s="185"/>
      <c r="G329" s="185"/>
      <c r="H329" s="185"/>
      <c r="I329" s="185"/>
      <c r="J329" s="185"/>
      <c r="K329" s="185"/>
      <c r="L329" s="185"/>
      <c r="M329" s="185"/>
      <c r="N329" s="185"/>
      <c r="O329" s="185"/>
      <c r="P329" s="185"/>
      <c r="Q329" s="185"/>
      <c r="R329" s="185"/>
      <c r="S329" s="185"/>
      <c r="T329" s="185"/>
      <c r="U329" s="185"/>
      <c r="V329" s="181"/>
    </row>
    <row r="330" ht="18.75" customHeight="1">
      <c r="A330" s="181"/>
      <c r="B330" s="185"/>
      <c r="C330" s="185"/>
      <c r="D330" s="185"/>
      <c r="E330" s="185"/>
      <c r="F330" s="185"/>
      <c r="G330" s="185"/>
      <c r="H330" s="185"/>
      <c r="I330" s="185"/>
      <c r="J330" s="185"/>
      <c r="K330" s="185"/>
      <c r="L330" s="185"/>
      <c r="M330" s="185"/>
      <c r="N330" s="185"/>
      <c r="O330" s="185"/>
      <c r="P330" s="185"/>
      <c r="Q330" s="185"/>
      <c r="R330" s="185"/>
      <c r="S330" s="185"/>
      <c r="T330" s="185"/>
      <c r="U330" s="185"/>
      <c r="V330" s="181"/>
    </row>
    <row r="331" ht="18.75" customHeight="1">
      <c r="A331" s="181"/>
      <c r="B331" s="185"/>
      <c r="C331" s="185"/>
      <c r="D331" s="185"/>
      <c r="E331" s="185"/>
      <c r="F331" s="185"/>
      <c r="G331" s="185"/>
      <c r="H331" s="185"/>
      <c r="I331" s="185"/>
      <c r="J331" s="185"/>
      <c r="K331" s="185"/>
      <c r="L331" s="185"/>
      <c r="M331" s="185"/>
      <c r="N331" s="185"/>
      <c r="O331" s="185"/>
      <c r="P331" s="185"/>
      <c r="Q331" s="185"/>
      <c r="R331" s="185"/>
      <c r="S331" s="185"/>
      <c r="T331" s="185"/>
      <c r="U331" s="185"/>
      <c r="V331" s="181"/>
    </row>
    <row r="332" ht="18.75" customHeight="1">
      <c r="A332" s="181"/>
      <c r="B332" s="185"/>
      <c r="C332" s="185"/>
      <c r="D332" s="185"/>
      <c r="E332" s="185"/>
      <c r="F332" s="185"/>
      <c r="G332" s="185"/>
      <c r="H332" s="185"/>
      <c r="I332" s="185"/>
      <c r="J332" s="185"/>
      <c r="K332" s="185"/>
      <c r="L332" s="185"/>
      <c r="M332" s="185"/>
      <c r="N332" s="185"/>
      <c r="O332" s="185"/>
      <c r="P332" s="185"/>
      <c r="Q332" s="185"/>
      <c r="R332" s="185"/>
      <c r="S332" s="185"/>
      <c r="T332" s="185"/>
      <c r="U332" s="185"/>
      <c r="V332" s="181"/>
    </row>
    <row r="333" ht="18.75" customHeight="1">
      <c r="A333" s="181"/>
      <c r="B333" s="185"/>
      <c r="C333" s="185"/>
      <c r="D333" s="185"/>
      <c r="E333" s="185"/>
      <c r="F333" s="185"/>
      <c r="G333" s="185"/>
      <c r="H333" s="185"/>
      <c r="I333" s="185"/>
      <c r="J333" s="185"/>
      <c r="K333" s="185"/>
      <c r="L333" s="185"/>
      <c r="M333" s="185"/>
      <c r="N333" s="185"/>
      <c r="O333" s="185"/>
      <c r="P333" s="185"/>
      <c r="Q333" s="185"/>
      <c r="R333" s="185"/>
      <c r="S333" s="185"/>
      <c r="T333" s="185"/>
      <c r="U333" s="185"/>
      <c r="V333" s="181"/>
    </row>
    <row r="334" ht="18.75" customHeight="1">
      <c r="A334" s="181"/>
      <c r="B334" s="185"/>
      <c r="C334" s="185"/>
      <c r="D334" s="185"/>
      <c r="E334" s="185"/>
      <c r="F334" s="185"/>
      <c r="G334" s="185"/>
      <c r="H334" s="185"/>
      <c r="I334" s="185"/>
      <c r="J334" s="185"/>
      <c r="K334" s="185"/>
      <c r="L334" s="185"/>
      <c r="M334" s="185"/>
      <c r="N334" s="185"/>
      <c r="O334" s="185"/>
      <c r="P334" s="185"/>
      <c r="Q334" s="185"/>
      <c r="R334" s="185"/>
      <c r="S334" s="185"/>
      <c r="T334" s="185"/>
      <c r="U334" s="185"/>
      <c r="V334" s="181"/>
    </row>
    <row r="335" ht="18.75" customHeight="1">
      <c r="A335" s="181"/>
      <c r="B335" s="185"/>
      <c r="C335" s="185"/>
      <c r="D335" s="185"/>
      <c r="E335" s="185"/>
      <c r="F335" s="185"/>
      <c r="G335" s="185"/>
      <c r="H335" s="185"/>
      <c r="I335" s="185"/>
      <c r="J335" s="185"/>
      <c r="K335" s="185"/>
      <c r="L335" s="185"/>
      <c r="M335" s="185"/>
      <c r="N335" s="185"/>
      <c r="O335" s="185"/>
      <c r="P335" s="185"/>
      <c r="Q335" s="185"/>
      <c r="R335" s="185"/>
      <c r="S335" s="185"/>
      <c r="T335" s="185"/>
      <c r="U335" s="185"/>
      <c r="V335" s="181"/>
    </row>
    <row r="336" ht="18.75" customHeight="1">
      <c r="A336" s="181"/>
      <c r="B336" s="185"/>
      <c r="C336" s="185"/>
      <c r="D336" s="185"/>
      <c r="E336" s="185"/>
      <c r="F336" s="185"/>
      <c r="G336" s="185"/>
      <c r="H336" s="185"/>
      <c r="I336" s="185"/>
      <c r="J336" s="185"/>
      <c r="K336" s="185"/>
      <c r="L336" s="185"/>
      <c r="M336" s="185"/>
      <c r="N336" s="185"/>
      <c r="O336" s="185"/>
      <c r="P336" s="185"/>
      <c r="Q336" s="185"/>
      <c r="R336" s="185"/>
      <c r="S336" s="185"/>
      <c r="T336" s="185"/>
      <c r="U336" s="185"/>
      <c r="V336" s="181"/>
    </row>
    <row r="337" ht="18.75" customHeight="1">
      <c r="A337" s="181"/>
      <c r="B337" s="185"/>
      <c r="C337" s="185"/>
      <c r="D337" s="185"/>
      <c r="E337" s="185"/>
      <c r="F337" s="185"/>
      <c r="G337" s="185"/>
      <c r="H337" s="185"/>
      <c r="I337" s="185"/>
      <c r="J337" s="185"/>
      <c r="K337" s="185"/>
      <c r="L337" s="185"/>
      <c r="M337" s="185"/>
      <c r="N337" s="185"/>
      <c r="O337" s="185"/>
      <c r="P337" s="185"/>
      <c r="Q337" s="185"/>
      <c r="R337" s="185"/>
      <c r="S337" s="185"/>
      <c r="T337" s="185"/>
      <c r="U337" s="185"/>
      <c r="V337" s="181"/>
    </row>
    <row r="338" ht="18.75" customHeight="1">
      <c r="A338" s="181"/>
      <c r="B338" s="185"/>
      <c r="C338" s="185"/>
      <c r="D338" s="185"/>
      <c r="E338" s="185"/>
      <c r="F338" s="185"/>
      <c r="G338" s="185"/>
      <c r="H338" s="185"/>
      <c r="I338" s="185"/>
      <c r="J338" s="185"/>
      <c r="K338" s="185"/>
      <c r="L338" s="185"/>
      <c r="M338" s="185"/>
      <c r="N338" s="185"/>
      <c r="O338" s="185"/>
      <c r="P338" s="185"/>
      <c r="Q338" s="185"/>
      <c r="R338" s="185"/>
      <c r="S338" s="185"/>
      <c r="T338" s="185"/>
      <c r="U338" s="185"/>
      <c r="V338" s="181"/>
    </row>
    <row r="339" ht="18.75" customHeight="1">
      <c r="A339" s="181"/>
      <c r="B339" s="185"/>
      <c r="C339" s="185"/>
      <c r="D339" s="185"/>
      <c r="E339" s="185"/>
      <c r="F339" s="185"/>
      <c r="G339" s="185"/>
      <c r="H339" s="185"/>
      <c r="I339" s="185"/>
      <c r="J339" s="185"/>
      <c r="K339" s="185"/>
      <c r="L339" s="185"/>
      <c r="M339" s="185"/>
      <c r="N339" s="185"/>
      <c r="O339" s="185"/>
      <c r="P339" s="185"/>
      <c r="Q339" s="185"/>
      <c r="R339" s="185"/>
      <c r="S339" s="185"/>
      <c r="T339" s="185"/>
      <c r="U339" s="185"/>
      <c r="V339" s="181"/>
    </row>
    <row r="340" ht="18.75" customHeight="1">
      <c r="A340" s="181"/>
      <c r="B340" s="185"/>
      <c r="C340" s="185"/>
      <c r="D340" s="185"/>
      <c r="E340" s="185"/>
      <c r="F340" s="185"/>
      <c r="G340" s="185"/>
      <c r="H340" s="185"/>
      <c r="I340" s="185"/>
      <c r="J340" s="185"/>
      <c r="K340" s="185"/>
      <c r="L340" s="185"/>
      <c r="M340" s="185"/>
      <c r="N340" s="185"/>
      <c r="O340" s="185"/>
      <c r="P340" s="185"/>
      <c r="Q340" s="185"/>
      <c r="R340" s="185"/>
      <c r="S340" s="185"/>
      <c r="T340" s="185"/>
      <c r="U340" s="185"/>
      <c r="V340" s="181"/>
    </row>
    <row r="341" ht="18.75" customHeight="1">
      <c r="A341" s="181"/>
      <c r="B341" s="185"/>
      <c r="C341" s="185"/>
      <c r="D341" s="185"/>
      <c r="E341" s="185"/>
      <c r="F341" s="185"/>
      <c r="G341" s="185"/>
      <c r="H341" s="185"/>
      <c r="I341" s="185"/>
      <c r="J341" s="185"/>
      <c r="K341" s="185"/>
      <c r="L341" s="185"/>
      <c r="M341" s="185"/>
      <c r="N341" s="185"/>
      <c r="O341" s="185"/>
      <c r="P341" s="185"/>
      <c r="Q341" s="185"/>
      <c r="R341" s="185"/>
      <c r="S341" s="185"/>
      <c r="T341" s="185"/>
      <c r="U341" s="185"/>
      <c r="V341" s="181"/>
    </row>
    <row r="342" ht="18.75" customHeight="1">
      <c r="A342" s="181"/>
      <c r="B342" s="185"/>
      <c r="C342" s="185"/>
      <c r="D342" s="185"/>
      <c r="E342" s="185"/>
      <c r="F342" s="185"/>
      <c r="G342" s="185"/>
      <c r="H342" s="185"/>
      <c r="I342" s="185"/>
      <c r="J342" s="185"/>
      <c r="K342" s="185"/>
      <c r="L342" s="185"/>
      <c r="M342" s="185"/>
      <c r="N342" s="185"/>
      <c r="O342" s="185"/>
      <c r="P342" s="185"/>
      <c r="Q342" s="185"/>
      <c r="R342" s="185"/>
      <c r="S342" s="185"/>
      <c r="T342" s="185"/>
      <c r="U342" s="185"/>
      <c r="V342" s="181"/>
    </row>
    <row r="343" ht="18.75" customHeight="1">
      <c r="A343" s="181"/>
      <c r="B343" s="185"/>
      <c r="C343" s="185"/>
      <c r="D343" s="185"/>
      <c r="E343" s="185"/>
      <c r="F343" s="185"/>
      <c r="G343" s="185"/>
      <c r="H343" s="185"/>
      <c r="I343" s="185"/>
      <c r="J343" s="185"/>
      <c r="K343" s="185"/>
      <c r="L343" s="185"/>
      <c r="M343" s="185"/>
      <c r="N343" s="185"/>
      <c r="O343" s="185"/>
      <c r="P343" s="185"/>
      <c r="Q343" s="185"/>
      <c r="R343" s="185"/>
      <c r="S343" s="185"/>
      <c r="T343" s="185"/>
      <c r="U343" s="185"/>
      <c r="V343" s="181"/>
    </row>
    <row r="344" ht="18.75" customHeight="1">
      <c r="A344" s="181"/>
      <c r="B344" s="185"/>
      <c r="C344" s="185"/>
      <c r="D344" s="185"/>
      <c r="E344" s="185"/>
      <c r="F344" s="185"/>
      <c r="G344" s="185"/>
      <c r="H344" s="185"/>
      <c r="I344" s="185"/>
      <c r="J344" s="185"/>
      <c r="K344" s="185"/>
      <c r="L344" s="185"/>
      <c r="M344" s="185"/>
      <c r="N344" s="185"/>
      <c r="O344" s="185"/>
      <c r="P344" s="185"/>
      <c r="Q344" s="185"/>
      <c r="R344" s="185"/>
      <c r="S344" s="185"/>
      <c r="T344" s="185"/>
      <c r="U344" s="185"/>
      <c r="V344" s="181"/>
    </row>
    <row r="345" ht="18.75" customHeight="1">
      <c r="A345" s="181"/>
      <c r="B345" s="185"/>
      <c r="C345" s="185"/>
      <c r="D345" s="185"/>
      <c r="E345" s="185"/>
      <c r="F345" s="185"/>
      <c r="G345" s="185"/>
      <c r="H345" s="185"/>
      <c r="I345" s="185"/>
      <c r="J345" s="185"/>
      <c r="K345" s="185"/>
      <c r="L345" s="185"/>
      <c r="M345" s="185"/>
      <c r="N345" s="185"/>
      <c r="O345" s="185"/>
      <c r="P345" s="185"/>
      <c r="Q345" s="185"/>
      <c r="R345" s="185"/>
      <c r="S345" s="185"/>
      <c r="T345" s="185"/>
      <c r="U345" s="185"/>
      <c r="V345" s="181"/>
    </row>
    <row r="346" ht="18.75" customHeight="1">
      <c r="A346" s="181"/>
      <c r="B346" s="185"/>
      <c r="C346" s="185"/>
      <c r="D346" s="185"/>
      <c r="E346" s="185"/>
      <c r="F346" s="185"/>
      <c r="G346" s="185"/>
      <c r="H346" s="185"/>
      <c r="I346" s="185"/>
      <c r="J346" s="185"/>
      <c r="K346" s="185"/>
      <c r="L346" s="185"/>
      <c r="M346" s="185"/>
      <c r="N346" s="185"/>
      <c r="O346" s="185"/>
      <c r="P346" s="185"/>
      <c r="Q346" s="185"/>
      <c r="R346" s="185"/>
      <c r="S346" s="185"/>
      <c r="T346" s="185"/>
      <c r="U346" s="185"/>
      <c r="V346" s="181"/>
    </row>
    <row r="347" ht="18.75" customHeight="1">
      <c r="A347" s="181"/>
      <c r="B347" s="185"/>
      <c r="C347" s="185"/>
      <c r="D347" s="185"/>
      <c r="E347" s="185"/>
      <c r="F347" s="185"/>
      <c r="G347" s="185"/>
      <c r="H347" s="185"/>
      <c r="I347" s="185"/>
      <c r="J347" s="185"/>
      <c r="K347" s="185"/>
      <c r="L347" s="185"/>
      <c r="M347" s="185"/>
      <c r="N347" s="185"/>
      <c r="O347" s="185"/>
      <c r="P347" s="185"/>
      <c r="Q347" s="185"/>
      <c r="R347" s="185"/>
      <c r="S347" s="185"/>
      <c r="T347" s="185"/>
      <c r="U347" s="185"/>
      <c r="V347" s="181"/>
    </row>
    <row r="348" ht="18.75" customHeight="1">
      <c r="A348" s="181"/>
      <c r="B348" s="185"/>
      <c r="C348" s="185"/>
      <c r="D348" s="185"/>
      <c r="E348" s="185"/>
      <c r="F348" s="185"/>
      <c r="G348" s="185"/>
      <c r="H348" s="185"/>
      <c r="I348" s="185"/>
      <c r="J348" s="185"/>
      <c r="K348" s="185"/>
      <c r="L348" s="185"/>
      <c r="M348" s="185"/>
      <c r="N348" s="185"/>
      <c r="O348" s="185"/>
      <c r="P348" s="185"/>
      <c r="Q348" s="185"/>
      <c r="R348" s="185"/>
      <c r="S348" s="185"/>
      <c r="T348" s="185"/>
      <c r="U348" s="185"/>
      <c r="V348" s="181"/>
    </row>
    <row r="349" ht="18.75" customHeight="1">
      <c r="A349" s="181"/>
      <c r="B349" s="185"/>
      <c r="C349" s="185"/>
      <c r="D349" s="185"/>
      <c r="E349" s="185"/>
      <c r="F349" s="185"/>
      <c r="G349" s="185"/>
      <c r="H349" s="185"/>
      <c r="I349" s="185"/>
      <c r="J349" s="185"/>
      <c r="K349" s="185"/>
      <c r="L349" s="185"/>
      <c r="M349" s="185"/>
      <c r="N349" s="185"/>
      <c r="O349" s="185"/>
      <c r="P349" s="185"/>
      <c r="Q349" s="185"/>
      <c r="R349" s="185"/>
      <c r="S349" s="185"/>
      <c r="T349" s="185"/>
      <c r="U349" s="185"/>
      <c r="V349" s="181"/>
    </row>
    <row r="350" ht="18.75" customHeight="1">
      <c r="A350" s="181"/>
      <c r="B350" s="185"/>
      <c r="C350" s="185"/>
      <c r="D350" s="185"/>
      <c r="E350" s="185"/>
      <c r="F350" s="185"/>
      <c r="G350" s="185"/>
      <c r="H350" s="185"/>
      <c r="I350" s="185"/>
      <c r="J350" s="185"/>
      <c r="K350" s="185"/>
      <c r="L350" s="185"/>
      <c r="M350" s="185"/>
      <c r="N350" s="185"/>
      <c r="O350" s="185"/>
      <c r="P350" s="185"/>
      <c r="Q350" s="185"/>
      <c r="R350" s="185"/>
      <c r="S350" s="185"/>
      <c r="T350" s="185"/>
      <c r="U350" s="185"/>
      <c r="V350" s="181"/>
    </row>
    <row r="351" ht="18.75" customHeight="1">
      <c r="A351" s="181"/>
      <c r="B351" s="185"/>
      <c r="C351" s="185"/>
      <c r="D351" s="185"/>
      <c r="E351" s="185"/>
      <c r="F351" s="185"/>
      <c r="G351" s="185"/>
      <c r="H351" s="185"/>
      <c r="I351" s="185"/>
      <c r="J351" s="185"/>
      <c r="K351" s="185"/>
      <c r="L351" s="185"/>
      <c r="M351" s="185"/>
      <c r="N351" s="185"/>
      <c r="O351" s="185"/>
      <c r="P351" s="185"/>
      <c r="Q351" s="185"/>
      <c r="R351" s="185"/>
      <c r="S351" s="185"/>
      <c r="T351" s="185"/>
      <c r="U351" s="185"/>
      <c r="V351" s="181"/>
    </row>
    <row r="352" ht="18.75" customHeight="1">
      <c r="A352" s="181"/>
      <c r="B352" s="185"/>
      <c r="C352" s="185"/>
      <c r="D352" s="185"/>
      <c r="E352" s="185"/>
      <c r="F352" s="185"/>
      <c r="G352" s="185"/>
      <c r="H352" s="185"/>
      <c r="I352" s="185"/>
      <c r="J352" s="185"/>
      <c r="K352" s="185"/>
      <c r="L352" s="185"/>
      <c r="M352" s="185"/>
      <c r="N352" s="185"/>
      <c r="O352" s="185"/>
      <c r="P352" s="185"/>
      <c r="Q352" s="185"/>
      <c r="R352" s="185"/>
      <c r="S352" s="185"/>
      <c r="T352" s="185"/>
      <c r="U352" s="185"/>
      <c r="V352" s="181"/>
    </row>
    <row r="353" ht="18.75" customHeight="1">
      <c r="A353" s="181"/>
      <c r="B353" s="185"/>
      <c r="C353" s="185"/>
      <c r="D353" s="185"/>
      <c r="E353" s="185"/>
      <c r="F353" s="185"/>
      <c r="G353" s="185"/>
      <c r="H353" s="185"/>
      <c r="I353" s="185"/>
      <c r="J353" s="185"/>
      <c r="K353" s="185"/>
      <c r="L353" s="185"/>
      <c r="M353" s="185"/>
      <c r="N353" s="185"/>
      <c r="O353" s="185"/>
      <c r="P353" s="185"/>
      <c r="Q353" s="185"/>
      <c r="R353" s="185"/>
      <c r="S353" s="185"/>
      <c r="T353" s="185"/>
      <c r="U353" s="185"/>
      <c r="V353" s="181"/>
    </row>
    <row r="354" ht="18.75" customHeight="1">
      <c r="A354" s="181"/>
      <c r="B354" s="185"/>
      <c r="C354" s="185"/>
      <c r="D354" s="185"/>
      <c r="E354" s="185"/>
      <c r="F354" s="185"/>
      <c r="G354" s="185"/>
      <c r="H354" s="185"/>
      <c r="I354" s="185"/>
      <c r="J354" s="185"/>
      <c r="K354" s="185"/>
      <c r="L354" s="185"/>
      <c r="M354" s="185"/>
      <c r="N354" s="185"/>
      <c r="O354" s="185"/>
      <c r="P354" s="185"/>
      <c r="Q354" s="185"/>
      <c r="R354" s="185"/>
      <c r="S354" s="185"/>
      <c r="T354" s="185"/>
      <c r="U354" s="185"/>
      <c r="V354" s="181"/>
    </row>
    <row r="355" ht="18.75" customHeight="1">
      <c r="A355" s="181"/>
      <c r="B355" s="185"/>
      <c r="C355" s="185"/>
      <c r="D355" s="185"/>
      <c r="E355" s="185"/>
      <c r="F355" s="185"/>
      <c r="G355" s="185"/>
      <c r="H355" s="185"/>
      <c r="I355" s="185"/>
      <c r="J355" s="185"/>
      <c r="K355" s="185"/>
      <c r="L355" s="185"/>
      <c r="M355" s="185"/>
      <c r="N355" s="185"/>
      <c r="O355" s="185"/>
      <c r="P355" s="185"/>
      <c r="Q355" s="185"/>
      <c r="R355" s="185"/>
      <c r="S355" s="185"/>
      <c r="T355" s="185"/>
      <c r="U355" s="185"/>
      <c r="V355" s="181"/>
    </row>
    <row r="356" ht="18.75" customHeight="1">
      <c r="A356" s="181"/>
      <c r="B356" s="185"/>
      <c r="C356" s="185"/>
      <c r="D356" s="185"/>
      <c r="E356" s="185"/>
      <c r="F356" s="185"/>
      <c r="G356" s="185"/>
      <c r="H356" s="185"/>
      <c r="I356" s="185"/>
      <c r="J356" s="185"/>
      <c r="K356" s="185"/>
      <c r="L356" s="185"/>
      <c r="M356" s="185"/>
      <c r="N356" s="185"/>
      <c r="O356" s="185"/>
      <c r="P356" s="185"/>
      <c r="Q356" s="185"/>
      <c r="R356" s="185"/>
      <c r="S356" s="185"/>
      <c r="T356" s="185"/>
      <c r="U356" s="185"/>
      <c r="V356" s="181"/>
    </row>
    <row r="357" ht="18.75" customHeight="1">
      <c r="A357" s="181"/>
      <c r="B357" s="185"/>
      <c r="C357" s="185"/>
      <c r="D357" s="185"/>
      <c r="E357" s="185"/>
      <c r="F357" s="185"/>
      <c r="G357" s="185"/>
      <c r="H357" s="185"/>
      <c r="I357" s="185"/>
      <c r="J357" s="185"/>
      <c r="K357" s="185"/>
      <c r="L357" s="185"/>
      <c r="M357" s="185"/>
      <c r="N357" s="185"/>
      <c r="O357" s="185"/>
      <c r="P357" s="185"/>
      <c r="Q357" s="185"/>
      <c r="R357" s="185"/>
      <c r="S357" s="185"/>
      <c r="T357" s="185"/>
      <c r="U357" s="185"/>
      <c r="V357" s="181"/>
    </row>
    <row r="358" ht="18.75" customHeight="1">
      <c r="A358" s="181"/>
      <c r="B358" s="185"/>
      <c r="C358" s="185"/>
      <c r="D358" s="185"/>
      <c r="E358" s="185"/>
      <c r="F358" s="185"/>
      <c r="G358" s="185"/>
      <c r="H358" s="185"/>
      <c r="I358" s="185"/>
      <c r="J358" s="185"/>
      <c r="K358" s="185"/>
      <c r="L358" s="185"/>
      <c r="M358" s="185"/>
      <c r="N358" s="185"/>
      <c r="O358" s="185"/>
      <c r="P358" s="185"/>
      <c r="Q358" s="185"/>
      <c r="R358" s="185"/>
      <c r="S358" s="185"/>
      <c r="T358" s="185"/>
      <c r="U358" s="185"/>
      <c r="V358" s="181"/>
    </row>
    <row r="359" ht="18.75" customHeight="1">
      <c r="A359" s="181"/>
      <c r="B359" s="185"/>
      <c r="C359" s="185"/>
      <c r="D359" s="185"/>
      <c r="E359" s="185"/>
      <c r="F359" s="185"/>
      <c r="G359" s="185"/>
      <c r="H359" s="185"/>
      <c r="I359" s="185"/>
      <c r="J359" s="185"/>
      <c r="K359" s="185"/>
      <c r="L359" s="185"/>
      <c r="M359" s="185"/>
      <c r="N359" s="185"/>
      <c r="O359" s="185"/>
      <c r="P359" s="185"/>
      <c r="Q359" s="185"/>
      <c r="R359" s="185"/>
      <c r="S359" s="185"/>
      <c r="T359" s="185"/>
      <c r="U359" s="185"/>
      <c r="V359" s="181"/>
    </row>
    <row r="360" ht="18.75" customHeight="1">
      <c r="A360" s="181"/>
      <c r="B360" s="185"/>
      <c r="C360" s="185"/>
      <c r="D360" s="185"/>
      <c r="E360" s="185"/>
      <c r="F360" s="185"/>
      <c r="G360" s="185"/>
      <c r="H360" s="185"/>
      <c r="I360" s="185"/>
      <c r="J360" s="185"/>
      <c r="K360" s="185"/>
      <c r="L360" s="185"/>
      <c r="M360" s="185"/>
      <c r="N360" s="185"/>
      <c r="O360" s="185"/>
      <c r="P360" s="185"/>
      <c r="Q360" s="185"/>
      <c r="R360" s="185"/>
      <c r="S360" s="185"/>
      <c r="T360" s="185"/>
      <c r="U360" s="185"/>
      <c r="V360" s="181"/>
    </row>
    <row r="361" ht="18.75" customHeight="1">
      <c r="A361" s="181"/>
      <c r="B361" s="185"/>
      <c r="C361" s="185"/>
      <c r="D361" s="185"/>
      <c r="E361" s="185"/>
      <c r="F361" s="185"/>
      <c r="G361" s="185"/>
      <c r="H361" s="185"/>
      <c r="I361" s="185"/>
      <c r="J361" s="185"/>
      <c r="K361" s="185"/>
      <c r="L361" s="185"/>
      <c r="M361" s="185"/>
      <c r="N361" s="185"/>
      <c r="O361" s="185"/>
      <c r="P361" s="185"/>
      <c r="Q361" s="185"/>
      <c r="R361" s="185"/>
      <c r="S361" s="185"/>
      <c r="T361" s="185"/>
      <c r="U361" s="185"/>
      <c r="V361" s="181"/>
    </row>
    <row r="362" ht="18.75" customHeight="1">
      <c r="A362" s="181"/>
      <c r="B362" s="185"/>
      <c r="C362" s="185"/>
      <c r="D362" s="185"/>
      <c r="E362" s="185"/>
      <c r="F362" s="185"/>
      <c r="G362" s="185"/>
      <c r="H362" s="185"/>
      <c r="I362" s="185"/>
      <c r="J362" s="185"/>
      <c r="K362" s="185"/>
      <c r="L362" s="185"/>
      <c r="M362" s="185"/>
      <c r="N362" s="185"/>
      <c r="O362" s="185"/>
      <c r="P362" s="185"/>
      <c r="Q362" s="185"/>
      <c r="R362" s="185"/>
      <c r="S362" s="185"/>
      <c r="T362" s="185"/>
      <c r="U362" s="185"/>
      <c r="V362" s="181"/>
    </row>
    <row r="363" ht="18.75" customHeight="1">
      <c r="A363" s="181"/>
      <c r="B363" s="185"/>
      <c r="C363" s="185"/>
      <c r="D363" s="185"/>
      <c r="E363" s="185"/>
      <c r="F363" s="185"/>
      <c r="G363" s="185"/>
      <c r="H363" s="185"/>
      <c r="I363" s="185"/>
      <c r="J363" s="185"/>
      <c r="K363" s="185"/>
      <c r="L363" s="185"/>
      <c r="M363" s="185"/>
      <c r="N363" s="185"/>
      <c r="O363" s="185"/>
      <c r="P363" s="185"/>
      <c r="Q363" s="185"/>
      <c r="R363" s="185"/>
      <c r="S363" s="185"/>
      <c r="T363" s="185"/>
      <c r="U363" s="185"/>
      <c r="V363" s="181"/>
    </row>
    <row r="364" ht="18.75" customHeight="1">
      <c r="A364" s="181"/>
      <c r="B364" s="185"/>
      <c r="C364" s="185"/>
      <c r="D364" s="185"/>
      <c r="E364" s="185"/>
      <c r="F364" s="185"/>
      <c r="G364" s="185"/>
      <c r="H364" s="185"/>
      <c r="I364" s="185"/>
      <c r="J364" s="185"/>
      <c r="K364" s="185"/>
      <c r="L364" s="185"/>
      <c r="M364" s="185"/>
      <c r="N364" s="185"/>
      <c r="O364" s="185"/>
      <c r="P364" s="185"/>
      <c r="Q364" s="185"/>
      <c r="R364" s="185"/>
      <c r="S364" s="185"/>
      <c r="T364" s="185"/>
      <c r="U364" s="185"/>
      <c r="V364" s="181"/>
    </row>
    <row r="365" ht="18.75" customHeight="1">
      <c r="A365" s="181"/>
      <c r="B365" s="185"/>
      <c r="C365" s="185"/>
      <c r="D365" s="185"/>
      <c r="E365" s="185"/>
      <c r="F365" s="185"/>
      <c r="G365" s="185"/>
      <c r="H365" s="185"/>
      <c r="I365" s="185"/>
      <c r="J365" s="185"/>
      <c r="K365" s="185"/>
      <c r="L365" s="185"/>
      <c r="M365" s="185"/>
      <c r="N365" s="185"/>
      <c r="O365" s="185"/>
      <c r="P365" s="185"/>
      <c r="Q365" s="185"/>
      <c r="R365" s="185"/>
      <c r="S365" s="185"/>
      <c r="T365" s="185"/>
      <c r="U365" s="185"/>
      <c r="V365" s="181"/>
    </row>
    <row r="366" ht="18.75" customHeight="1">
      <c r="A366" s="181"/>
      <c r="B366" s="185"/>
      <c r="C366" s="185"/>
      <c r="D366" s="185"/>
      <c r="E366" s="185"/>
      <c r="F366" s="185"/>
      <c r="G366" s="185"/>
      <c r="H366" s="185"/>
      <c r="I366" s="185"/>
      <c r="J366" s="185"/>
      <c r="K366" s="185"/>
      <c r="L366" s="185"/>
      <c r="M366" s="185"/>
      <c r="N366" s="185"/>
      <c r="O366" s="185"/>
      <c r="P366" s="185"/>
      <c r="Q366" s="185"/>
      <c r="R366" s="185"/>
      <c r="S366" s="185"/>
      <c r="T366" s="185"/>
      <c r="U366" s="185"/>
      <c r="V366" s="181"/>
    </row>
    <row r="367" ht="18.75" customHeight="1">
      <c r="A367" s="181"/>
      <c r="B367" s="185"/>
      <c r="C367" s="185"/>
      <c r="D367" s="185"/>
      <c r="E367" s="185"/>
      <c r="F367" s="185"/>
      <c r="G367" s="185"/>
      <c r="H367" s="185"/>
      <c r="I367" s="185"/>
      <c r="J367" s="185"/>
      <c r="K367" s="185"/>
      <c r="L367" s="185"/>
      <c r="M367" s="185"/>
      <c r="N367" s="185"/>
      <c r="O367" s="185"/>
      <c r="P367" s="185"/>
      <c r="Q367" s="185"/>
      <c r="R367" s="185"/>
      <c r="S367" s="185"/>
      <c r="T367" s="185"/>
      <c r="U367" s="185"/>
      <c r="V367" s="181"/>
    </row>
    <row r="368" ht="18.75" customHeight="1">
      <c r="A368" s="181"/>
      <c r="B368" s="185"/>
      <c r="C368" s="185"/>
      <c r="D368" s="185"/>
      <c r="E368" s="185"/>
      <c r="F368" s="185"/>
      <c r="G368" s="185"/>
      <c r="H368" s="185"/>
      <c r="I368" s="185"/>
      <c r="J368" s="185"/>
      <c r="K368" s="185"/>
      <c r="L368" s="185"/>
      <c r="M368" s="185"/>
      <c r="N368" s="185"/>
      <c r="O368" s="185"/>
      <c r="P368" s="185"/>
      <c r="Q368" s="185"/>
      <c r="R368" s="185"/>
      <c r="S368" s="185"/>
      <c r="T368" s="185"/>
      <c r="U368" s="185"/>
      <c r="V368" s="181"/>
    </row>
    <row r="369" ht="18.75" customHeight="1">
      <c r="A369" s="181"/>
      <c r="B369" s="185"/>
      <c r="C369" s="185"/>
      <c r="D369" s="185"/>
      <c r="E369" s="185"/>
      <c r="F369" s="185"/>
      <c r="G369" s="185"/>
      <c r="H369" s="185"/>
      <c r="I369" s="185"/>
      <c r="J369" s="185"/>
      <c r="K369" s="185"/>
      <c r="L369" s="185"/>
      <c r="M369" s="185"/>
      <c r="N369" s="185"/>
      <c r="O369" s="185"/>
      <c r="P369" s="185"/>
      <c r="Q369" s="185"/>
      <c r="R369" s="185"/>
      <c r="S369" s="185"/>
      <c r="T369" s="185"/>
      <c r="U369" s="185"/>
      <c r="V369" s="181"/>
    </row>
    <row r="370" ht="18.75" customHeight="1">
      <c r="A370" s="181"/>
      <c r="B370" s="185"/>
      <c r="C370" s="185"/>
      <c r="D370" s="185"/>
      <c r="E370" s="185"/>
      <c r="F370" s="185"/>
      <c r="G370" s="185"/>
      <c r="H370" s="185"/>
      <c r="I370" s="185"/>
      <c r="J370" s="185"/>
      <c r="K370" s="185"/>
      <c r="L370" s="185"/>
      <c r="M370" s="185"/>
      <c r="N370" s="185"/>
      <c r="O370" s="185"/>
      <c r="P370" s="185"/>
      <c r="Q370" s="185"/>
      <c r="R370" s="185"/>
      <c r="S370" s="185"/>
      <c r="T370" s="185"/>
      <c r="U370" s="185"/>
      <c r="V370" s="181"/>
    </row>
    <row r="371" ht="18.75" customHeight="1">
      <c r="A371" s="181"/>
      <c r="B371" s="185"/>
      <c r="C371" s="185"/>
      <c r="D371" s="185"/>
      <c r="E371" s="185"/>
      <c r="F371" s="185"/>
      <c r="G371" s="185"/>
      <c r="H371" s="185"/>
      <c r="I371" s="185"/>
      <c r="J371" s="185"/>
      <c r="K371" s="185"/>
      <c r="L371" s="185"/>
      <c r="M371" s="185"/>
      <c r="N371" s="185"/>
      <c r="O371" s="185"/>
      <c r="P371" s="185"/>
      <c r="Q371" s="185"/>
      <c r="R371" s="185"/>
      <c r="S371" s="185"/>
      <c r="T371" s="185"/>
      <c r="U371" s="185"/>
      <c r="V371" s="181"/>
    </row>
    <row r="372" ht="18.75" customHeight="1">
      <c r="A372" s="181"/>
      <c r="B372" s="185"/>
      <c r="C372" s="185"/>
      <c r="D372" s="185"/>
      <c r="E372" s="185"/>
      <c r="F372" s="185"/>
      <c r="G372" s="185"/>
      <c r="H372" s="185"/>
      <c r="I372" s="185"/>
      <c r="J372" s="185"/>
      <c r="K372" s="185"/>
      <c r="L372" s="185"/>
      <c r="M372" s="185"/>
      <c r="N372" s="185"/>
      <c r="O372" s="185"/>
      <c r="P372" s="185"/>
      <c r="Q372" s="185"/>
      <c r="R372" s="185"/>
      <c r="S372" s="185"/>
      <c r="T372" s="185"/>
      <c r="U372" s="185"/>
      <c r="V372" s="181"/>
    </row>
    <row r="373" ht="18.75" customHeight="1">
      <c r="A373" s="181"/>
      <c r="B373" s="185"/>
      <c r="C373" s="185"/>
      <c r="D373" s="185"/>
      <c r="E373" s="185"/>
      <c r="F373" s="185"/>
      <c r="G373" s="185"/>
      <c r="H373" s="185"/>
      <c r="I373" s="185"/>
      <c r="J373" s="185"/>
      <c r="K373" s="185"/>
      <c r="L373" s="185"/>
      <c r="M373" s="185"/>
      <c r="N373" s="185"/>
      <c r="O373" s="185"/>
      <c r="P373" s="185"/>
      <c r="Q373" s="185"/>
      <c r="R373" s="185"/>
      <c r="S373" s="185"/>
      <c r="T373" s="185"/>
      <c r="U373" s="185"/>
      <c r="V373" s="181"/>
    </row>
    <row r="374" ht="18.75" customHeight="1">
      <c r="A374" s="181"/>
      <c r="B374" s="185"/>
      <c r="C374" s="185"/>
      <c r="D374" s="185"/>
      <c r="E374" s="185"/>
      <c r="F374" s="185"/>
      <c r="G374" s="185"/>
      <c r="H374" s="185"/>
      <c r="I374" s="185"/>
      <c r="J374" s="185"/>
      <c r="K374" s="185"/>
      <c r="L374" s="185"/>
      <c r="M374" s="185"/>
      <c r="N374" s="185"/>
      <c r="O374" s="185"/>
      <c r="P374" s="185"/>
      <c r="Q374" s="185"/>
      <c r="R374" s="185"/>
      <c r="S374" s="185"/>
      <c r="T374" s="185"/>
      <c r="U374" s="185"/>
      <c r="V374" s="181"/>
    </row>
    <row r="375" ht="18.75" customHeight="1">
      <c r="A375" s="181"/>
      <c r="B375" s="185"/>
      <c r="C375" s="185"/>
      <c r="D375" s="185"/>
      <c r="E375" s="185"/>
      <c r="F375" s="185"/>
      <c r="G375" s="185"/>
      <c r="H375" s="185"/>
      <c r="I375" s="185"/>
      <c r="J375" s="185"/>
      <c r="K375" s="185"/>
      <c r="L375" s="185"/>
      <c r="M375" s="185"/>
      <c r="N375" s="185"/>
      <c r="O375" s="185"/>
      <c r="P375" s="185"/>
      <c r="Q375" s="185"/>
      <c r="R375" s="185"/>
      <c r="S375" s="185"/>
      <c r="T375" s="185"/>
      <c r="U375" s="185"/>
      <c r="V375" s="181"/>
    </row>
    <row r="376" ht="18.75" customHeight="1">
      <c r="A376" s="181"/>
      <c r="B376" s="185"/>
      <c r="C376" s="185"/>
      <c r="D376" s="185"/>
      <c r="E376" s="185"/>
      <c r="F376" s="185"/>
      <c r="G376" s="185"/>
      <c r="H376" s="185"/>
      <c r="I376" s="185"/>
      <c r="J376" s="185"/>
      <c r="K376" s="185"/>
      <c r="L376" s="185"/>
      <c r="M376" s="185"/>
      <c r="N376" s="185"/>
      <c r="O376" s="185"/>
      <c r="P376" s="185"/>
      <c r="Q376" s="185"/>
      <c r="R376" s="185"/>
      <c r="S376" s="185"/>
      <c r="T376" s="185"/>
      <c r="U376" s="185"/>
      <c r="V376" s="181"/>
    </row>
    <row r="377" ht="18.75" customHeight="1">
      <c r="A377" s="181"/>
      <c r="B377" s="185"/>
      <c r="C377" s="185"/>
      <c r="D377" s="185"/>
      <c r="E377" s="185"/>
      <c r="F377" s="185"/>
      <c r="G377" s="185"/>
      <c r="H377" s="185"/>
      <c r="I377" s="185"/>
      <c r="J377" s="185"/>
      <c r="K377" s="185"/>
      <c r="L377" s="185"/>
      <c r="M377" s="185"/>
      <c r="N377" s="185"/>
      <c r="O377" s="185"/>
      <c r="P377" s="185"/>
      <c r="Q377" s="185"/>
      <c r="R377" s="185"/>
      <c r="S377" s="185"/>
      <c r="T377" s="185"/>
      <c r="U377" s="185"/>
      <c r="V377" s="181"/>
    </row>
    <row r="378" ht="18.75" customHeight="1">
      <c r="A378" s="181"/>
      <c r="B378" s="185"/>
      <c r="C378" s="185"/>
      <c r="D378" s="185"/>
      <c r="E378" s="185"/>
      <c r="F378" s="185"/>
      <c r="G378" s="185"/>
      <c r="H378" s="185"/>
      <c r="I378" s="185"/>
      <c r="J378" s="185"/>
      <c r="K378" s="185"/>
      <c r="L378" s="185"/>
      <c r="M378" s="185"/>
      <c r="N378" s="185"/>
      <c r="O378" s="185"/>
      <c r="P378" s="185"/>
      <c r="Q378" s="185"/>
      <c r="R378" s="185"/>
      <c r="S378" s="185"/>
      <c r="T378" s="185"/>
      <c r="U378" s="185"/>
      <c r="V378" s="181"/>
    </row>
    <row r="379" ht="18.75" customHeight="1">
      <c r="A379" s="181"/>
      <c r="B379" s="185"/>
      <c r="C379" s="185"/>
      <c r="D379" s="185"/>
      <c r="E379" s="185"/>
      <c r="F379" s="185"/>
      <c r="G379" s="185"/>
      <c r="H379" s="185"/>
      <c r="I379" s="185"/>
      <c r="J379" s="185"/>
      <c r="K379" s="185"/>
      <c r="L379" s="185"/>
      <c r="M379" s="185"/>
      <c r="N379" s="185"/>
      <c r="O379" s="185"/>
      <c r="P379" s="185"/>
      <c r="Q379" s="185"/>
      <c r="R379" s="185"/>
      <c r="S379" s="185"/>
      <c r="T379" s="185"/>
      <c r="U379" s="185"/>
      <c r="V379" s="181"/>
    </row>
    <row r="380" ht="18.75" customHeight="1">
      <c r="A380" s="181"/>
      <c r="B380" s="185"/>
      <c r="C380" s="185"/>
      <c r="D380" s="185"/>
      <c r="E380" s="185"/>
      <c r="F380" s="185"/>
      <c r="G380" s="185"/>
      <c r="H380" s="185"/>
      <c r="I380" s="185"/>
      <c r="J380" s="185"/>
      <c r="K380" s="185"/>
      <c r="L380" s="185"/>
      <c r="M380" s="185"/>
      <c r="N380" s="185"/>
      <c r="O380" s="185"/>
      <c r="P380" s="185"/>
      <c r="Q380" s="185"/>
      <c r="R380" s="185"/>
      <c r="S380" s="185"/>
      <c r="T380" s="185"/>
      <c r="U380" s="185"/>
      <c r="V380" s="181"/>
    </row>
    <row r="381" ht="18.75" customHeight="1">
      <c r="A381" s="181"/>
      <c r="B381" s="185"/>
      <c r="C381" s="185"/>
      <c r="D381" s="185"/>
      <c r="E381" s="185"/>
      <c r="F381" s="185"/>
      <c r="G381" s="185"/>
      <c r="H381" s="185"/>
      <c r="I381" s="185"/>
      <c r="J381" s="185"/>
      <c r="K381" s="185"/>
      <c r="L381" s="185"/>
      <c r="M381" s="185"/>
      <c r="N381" s="185"/>
      <c r="O381" s="185"/>
      <c r="P381" s="185"/>
      <c r="Q381" s="185"/>
      <c r="R381" s="185"/>
      <c r="S381" s="185"/>
      <c r="T381" s="185"/>
      <c r="U381" s="185"/>
      <c r="V381" s="181"/>
    </row>
    <row r="382" ht="18.75" customHeight="1">
      <c r="A382" s="181"/>
      <c r="B382" s="185"/>
      <c r="C382" s="185"/>
      <c r="D382" s="185"/>
      <c r="E382" s="185"/>
      <c r="F382" s="185"/>
      <c r="G382" s="185"/>
      <c r="H382" s="185"/>
      <c r="I382" s="185"/>
      <c r="J382" s="185"/>
      <c r="K382" s="185"/>
      <c r="L382" s="185"/>
      <c r="M382" s="185"/>
      <c r="N382" s="185"/>
      <c r="O382" s="185"/>
      <c r="P382" s="185"/>
      <c r="Q382" s="185"/>
      <c r="R382" s="185"/>
      <c r="S382" s="185"/>
      <c r="T382" s="185"/>
      <c r="U382" s="185"/>
      <c r="V382" s="181"/>
    </row>
    <row r="383" ht="18.75" customHeight="1">
      <c r="A383" s="181"/>
      <c r="B383" s="185"/>
      <c r="C383" s="185"/>
      <c r="D383" s="185"/>
      <c r="E383" s="185"/>
      <c r="F383" s="185"/>
      <c r="G383" s="185"/>
      <c r="H383" s="185"/>
      <c r="I383" s="185"/>
      <c r="J383" s="185"/>
      <c r="K383" s="185"/>
      <c r="L383" s="185"/>
      <c r="M383" s="185"/>
      <c r="N383" s="185"/>
      <c r="O383" s="185"/>
      <c r="P383" s="185"/>
      <c r="Q383" s="185"/>
      <c r="R383" s="185"/>
      <c r="S383" s="185"/>
      <c r="T383" s="185"/>
      <c r="U383" s="185"/>
      <c r="V383" s="181"/>
    </row>
    <row r="384" ht="18.75" customHeight="1">
      <c r="A384" s="181"/>
      <c r="B384" s="185"/>
      <c r="C384" s="185"/>
      <c r="D384" s="185"/>
      <c r="E384" s="185"/>
      <c r="F384" s="185"/>
      <c r="G384" s="185"/>
      <c r="H384" s="185"/>
      <c r="I384" s="185"/>
      <c r="J384" s="185"/>
      <c r="K384" s="185"/>
      <c r="L384" s="185"/>
      <c r="M384" s="185"/>
      <c r="N384" s="185"/>
      <c r="O384" s="185"/>
      <c r="P384" s="185"/>
      <c r="Q384" s="185"/>
      <c r="R384" s="185"/>
      <c r="S384" s="185"/>
      <c r="T384" s="185"/>
      <c r="U384" s="185"/>
      <c r="V384" s="181"/>
    </row>
    <row r="385" ht="18.75" customHeight="1">
      <c r="A385" s="181"/>
      <c r="B385" s="185"/>
      <c r="C385" s="185"/>
      <c r="D385" s="185"/>
      <c r="E385" s="185"/>
      <c r="F385" s="185"/>
      <c r="G385" s="185"/>
      <c r="H385" s="185"/>
      <c r="I385" s="185"/>
      <c r="J385" s="185"/>
      <c r="K385" s="185"/>
      <c r="L385" s="185"/>
      <c r="M385" s="185"/>
      <c r="N385" s="185"/>
      <c r="O385" s="185"/>
      <c r="P385" s="185"/>
      <c r="Q385" s="185"/>
      <c r="R385" s="185"/>
      <c r="S385" s="185"/>
      <c r="T385" s="185"/>
      <c r="U385" s="185"/>
      <c r="V385" s="181"/>
    </row>
    <row r="386" ht="18.75" customHeight="1">
      <c r="A386" s="181"/>
      <c r="B386" s="185"/>
      <c r="C386" s="185"/>
      <c r="D386" s="185"/>
      <c r="E386" s="185"/>
      <c r="F386" s="185"/>
      <c r="G386" s="185"/>
      <c r="H386" s="185"/>
      <c r="I386" s="185"/>
      <c r="J386" s="185"/>
      <c r="K386" s="185"/>
      <c r="L386" s="185"/>
      <c r="M386" s="185"/>
      <c r="N386" s="185"/>
      <c r="O386" s="185"/>
      <c r="P386" s="185"/>
      <c r="Q386" s="185"/>
      <c r="R386" s="185"/>
      <c r="S386" s="185"/>
      <c r="T386" s="185"/>
      <c r="U386" s="185"/>
      <c r="V386" s="181"/>
    </row>
    <row r="387" ht="18.75" customHeight="1">
      <c r="A387" s="181"/>
      <c r="B387" s="185"/>
      <c r="C387" s="185"/>
      <c r="D387" s="185"/>
      <c r="E387" s="185"/>
      <c r="F387" s="185"/>
      <c r="G387" s="185"/>
      <c r="H387" s="185"/>
      <c r="I387" s="185"/>
      <c r="J387" s="185"/>
      <c r="K387" s="185"/>
      <c r="L387" s="185"/>
      <c r="M387" s="185"/>
      <c r="N387" s="185"/>
      <c r="O387" s="185"/>
      <c r="P387" s="185"/>
      <c r="Q387" s="185"/>
      <c r="R387" s="185"/>
      <c r="S387" s="185"/>
      <c r="T387" s="185"/>
      <c r="U387" s="185"/>
      <c r="V387" s="181"/>
    </row>
    <row r="388" ht="18.75" customHeight="1">
      <c r="A388" s="181"/>
      <c r="B388" s="185"/>
      <c r="C388" s="185"/>
      <c r="D388" s="185"/>
      <c r="E388" s="185"/>
      <c r="F388" s="185"/>
      <c r="G388" s="185"/>
      <c r="H388" s="185"/>
      <c r="I388" s="185"/>
      <c r="J388" s="185"/>
      <c r="K388" s="185"/>
      <c r="L388" s="185"/>
      <c r="M388" s="185"/>
      <c r="N388" s="185"/>
      <c r="O388" s="185"/>
      <c r="P388" s="185"/>
      <c r="Q388" s="185"/>
      <c r="R388" s="185"/>
      <c r="S388" s="185"/>
      <c r="T388" s="185"/>
      <c r="U388" s="185"/>
      <c r="V388" s="181"/>
    </row>
    <row r="389" ht="18.75" customHeight="1">
      <c r="A389" s="181"/>
      <c r="B389" s="185"/>
      <c r="C389" s="185"/>
      <c r="D389" s="185"/>
      <c r="E389" s="185"/>
      <c r="F389" s="185"/>
      <c r="G389" s="185"/>
      <c r="H389" s="185"/>
      <c r="I389" s="185"/>
      <c r="J389" s="185"/>
      <c r="K389" s="185"/>
      <c r="L389" s="185"/>
      <c r="M389" s="185"/>
      <c r="N389" s="185"/>
      <c r="O389" s="185"/>
      <c r="P389" s="185"/>
      <c r="Q389" s="185"/>
      <c r="R389" s="185"/>
      <c r="S389" s="185"/>
      <c r="T389" s="185"/>
      <c r="U389" s="185"/>
      <c r="V389" s="181"/>
    </row>
    <row r="390" ht="18.75" customHeight="1">
      <c r="A390" s="181"/>
      <c r="B390" s="185"/>
      <c r="C390" s="185"/>
      <c r="D390" s="185"/>
      <c r="E390" s="185"/>
      <c r="F390" s="185"/>
      <c r="G390" s="185"/>
      <c r="H390" s="185"/>
      <c r="I390" s="185"/>
      <c r="J390" s="185"/>
      <c r="K390" s="185"/>
      <c r="L390" s="185"/>
      <c r="M390" s="185"/>
      <c r="N390" s="185"/>
      <c r="O390" s="185"/>
      <c r="P390" s="185"/>
      <c r="Q390" s="185"/>
      <c r="R390" s="185"/>
      <c r="S390" s="185"/>
      <c r="T390" s="185"/>
      <c r="U390" s="185"/>
      <c r="V390" s="181"/>
    </row>
    <row r="391" ht="18.75" customHeight="1">
      <c r="A391" s="181"/>
      <c r="B391" s="185"/>
      <c r="C391" s="185"/>
      <c r="D391" s="185"/>
      <c r="E391" s="185"/>
      <c r="F391" s="185"/>
      <c r="G391" s="185"/>
      <c r="H391" s="185"/>
      <c r="I391" s="185"/>
      <c r="J391" s="185"/>
      <c r="K391" s="185"/>
      <c r="L391" s="185"/>
      <c r="M391" s="185"/>
      <c r="N391" s="185"/>
      <c r="O391" s="185"/>
      <c r="P391" s="185"/>
      <c r="Q391" s="185"/>
      <c r="R391" s="185"/>
      <c r="S391" s="185"/>
      <c r="T391" s="185"/>
      <c r="U391" s="185"/>
      <c r="V391" s="181"/>
    </row>
    <row r="392" ht="18.75" customHeight="1">
      <c r="A392" s="181"/>
      <c r="B392" s="185"/>
      <c r="C392" s="185"/>
      <c r="D392" s="185"/>
      <c r="E392" s="185"/>
      <c r="F392" s="185"/>
      <c r="G392" s="185"/>
      <c r="H392" s="185"/>
      <c r="I392" s="185"/>
      <c r="J392" s="185"/>
      <c r="K392" s="185"/>
      <c r="L392" s="185"/>
      <c r="M392" s="185"/>
      <c r="N392" s="185"/>
      <c r="O392" s="185"/>
      <c r="P392" s="185"/>
      <c r="Q392" s="185"/>
      <c r="R392" s="185"/>
      <c r="S392" s="185"/>
      <c r="T392" s="185"/>
      <c r="U392" s="185"/>
      <c r="V392" s="181"/>
    </row>
    <row r="393" ht="18.75" customHeight="1">
      <c r="A393" s="181"/>
      <c r="B393" s="185"/>
      <c r="C393" s="185"/>
      <c r="D393" s="185"/>
      <c r="E393" s="185"/>
      <c r="F393" s="185"/>
      <c r="G393" s="185"/>
      <c r="H393" s="185"/>
      <c r="I393" s="185"/>
      <c r="J393" s="185"/>
      <c r="K393" s="185"/>
      <c r="L393" s="185"/>
      <c r="M393" s="185"/>
      <c r="N393" s="185"/>
      <c r="O393" s="185"/>
      <c r="P393" s="185"/>
      <c r="Q393" s="185"/>
      <c r="R393" s="185"/>
      <c r="S393" s="185"/>
      <c r="T393" s="185"/>
      <c r="U393" s="185"/>
      <c r="V393" s="181"/>
    </row>
    <row r="394" ht="18.75" customHeight="1">
      <c r="A394" s="181"/>
      <c r="B394" s="185"/>
      <c r="C394" s="185"/>
      <c r="D394" s="185"/>
      <c r="E394" s="185"/>
      <c r="F394" s="185"/>
      <c r="G394" s="185"/>
      <c r="H394" s="185"/>
      <c r="I394" s="185"/>
      <c r="J394" s="185"/>
      <c r="K394" s="185"/>
      <c r="L394" s="185"/>
      <c r="M394" s="185"/>
      <c r="N394" s="185"/>
      <c r="O394" s="185"/>
      <c r="P394" s="185"/>
      <c r="Q394" s="185"/>
      <c r="R394" s="185"/>
      <c r="S394" s="185"/>
      <c r="T394" s="185"/>
      <c r="U394" s="185"/>
      <c r="V394" s="181"/>
    </row>
    <row r="395" ht="18.75" customHeight="1">
      <c r="A395" s="181"/>
      <c r="B395" s="185"/>
      <c r="C395" s="185"/>
      <c r="D395" s="185"/>
      <c r="E395" s="185"/>
      <c r="F395" s="185"/>
      <c r="G395" s="185"/>
      <c r="H395" s="185"/>
      <c r="I395" s="185"/>
      <c r="J395" s="185"/>
      <c r="K395" s="185"/>
      <c r="L395" s="185"/>
      <c r="M395" s="185"/>
      <c r="N395" s="185"/>
      <c r="O395" s="185"/>
      <c r="P395" s="185"/>
      <c r="Q395" s="185"/>
      <c r="R395" s="185"/>
      <c r="S395" s="185"/>
      <c r="T395" s="185"/>
      <c r="U395" s="185"/>
      <c r="V395" s="181"/>
    </row>
    <row r="396" ht="18.75" customHeight="1">
      <c r="A396" s="181"/>
      <c r="B396" s="185"/>
      <c r="C396" s="185"/>
      <c r="D396" s="185"/>
      <c r="E396" s="185"/>
      <c r="F396" s="185"/>
      <c r="G396" s="185"/>
      <c r="H396" s="185"/>
      <c r="I396" s="185"/>
      <c r="J396" s="185"/>
      <c r="K396" s="185"/>
      <c r="L396" s="185"/>
      <c r="M396" s="185"/>
      <c r="N396" s="185"/>
      <c r="O396" s="185"/>
      <c r="P396" s="185"/>
      <c r="Q396" s="185"/>
      <c r="R396" s="185"/>
      <c r="S396" s="185"/>
      <c r="T396" s="185"/>
      <c r="U396" s="185"/>
      <c r="V396" s="181"/>
    </row>
    <row r="397" ht="18.75" customHeight="1">
      <c r="A397" s="181"/>
      <c r="B397" s="185"/>
      <c r="C397" s="185"/>
      <c r="D397" s="185"/>
      <c r="E397" s="185"/>
      <c r="F397" s="185"/>
      <c r="G397" s="185"/>
      <c r="H397" s="185"/>
      <c r="I397" s="185"/>
      <c r="J397" s="185"/>
      <c r="K397" s="185"/>
      <c r="L397" s="185"/>
      <c r="M397" s="185"/>
      <c r="N397" s="185"/>
      <c r="O397" s="185"/>
      <c r="P397" s="185"/>
      <c r="Q397" s="185"/>
      <c r="R397" s="185"/>
      <c r="S397" s="185"/>
      <c r="T397" s="185"/>
      <c r="U397" s="185"/>
      <c r="V397" s="181"/>
    </row>
    <row r="398" ht="18.75" customHeight="1">
      <c r="A398" s="181"/>
      <c r="B398" s="185"/>
      <c r="C398" s="185"/>
      <c r="D398" s="185"/>
      <c r="E398" s="185"/>
      <c r="F398" s="185"/>
      <c r="G398" s="185"/>
      <c r="H398" s="185"/>
      <c r="I398" s="185"/>
      <c r="J398" s="185"/>
      <c r="K398" s="185"/>
      <c r="L398" s="185"/>
      <c r="M398" s="185"/>
      <c r="N398" s="185"/>
      <c r="O398" s="185"/>
      <c r="P398" s="185"/>
      <c r="Q398" s="185"/>
      <c r="R398" s="185"/>
      <c r="S398" s="185"/>
      <c r="T398" s="185"/>
      <c r="U398" s="185"/>
      <c r="V398" s="181"/>
    </row>
    <row r="399" ht="18.75" customHeight="1">
      <c r="A399" s="181"/>
      <c r="B399" s="185"/>
      <c r="C399" s="185"/>
      <c r="D399" s="185"/>
      <c r="E399" s="185"/>
      <c r="F399" s="185"/>
      <c r="G399" s="185"/>
      <c r="H399" s="185"/>
      <c r="I399" s="185"/>
      <c r="J399" s="185"/>
      <c r="K399" s="185"/>
      <c r="L399" s="185"/>
      <c r="M399" s="185"/>
      <c r="N399" s="185"/>
      <c r="O399" s="185"/>
      <c r="P399" s="185"/>
      <c r="Q399" s="185"/>
      <c r="R399" s="185"/>
      <c r="S399" s="185"/>
      <c r="T399" s="185"/>
      <c r="U399" s="185"/>
      <c r="V399" s="181"/>
    </row>
    <row r="400" ht="18.75" customHeight="1">
      <c r="A400" s="181"/>
      <c r="B400" s="185"/>
      <c r="C400" s="185"/>
      <c r="D400" s="185"/>
      <c r="E400" s="185"/>
      <c r="F400" s="185"/>
      <c r="G400" s="185"/>
      <c r="H400" s="185"/>
      <c r="I400" s="185"/>
      <c r="J400" s="185"/>
      <c r="K400" s="185"/>
      <c r="L400" s="185"/>
      <c r="M400" s="185"/>
      <c r="N400" s="185"/>
      <c r="O400" s="185"/>
      <c r="P400" s="185"/>
      <c r="Q400" s="185"/>
      <c r="R400" s="185"/>
      <c r="S400" s="185"/>
      <c r="T400" s="185"/>
      <c r="U400" s="185"/>
      <c r="V400" s="181"/>
    </row>
    <row r="401" ht="18.75" customHeight="1">
      <c r="A401" s="181"/>
      <c r="B401" s="185"/>
      <c r="C401" s="185"/>
      <c r="D401" s="185"/>
      <c r="E401" s="185"/>
      <c r="F401" s="185"/>
      <c r="G401" s="185"/>
      <c r="H401" s="185"/>
      <c r="I401" s="185"/>
      <c r="J401" s="185"/>
      <c r="K401" s="185"/>
      <c r="L401" s="185"/>
      <c r="M401" s="185"/>
      <c r="N401" s="185"/>
      <c r="O401" s="185"/>
      <c r="P401" s="185"/>
      <c r="Q401" s="185"/>
      <c r="R401" s="185"/>
      <c r="S401" s="185"/>
      <c r="T401" s="185"/>
      <c r="U401" s="185"/>
      <c r="V401" s="181"/>
    </row>
    <row r="402" ht="18.75" customHeight="1">
      <c r="A402" s="181"/>
      <c r="B402" s="185"/>
      <c r="C402" s="185"/>
      <c r="D402" s="185"/>
      <c r="E402" s="185"/>
      <c r="F402" s="185"/>
      <c r="G402" s="185"/>
      <c r="H402" s="185"/>
      <c r="I402" s="185"/>
      <c r="J402" s="185"/>
      <c r="K402" s="185"/>
      <c r="L402" s="185"/>
      <c r="M402" s="185"/>
      <c r="N402" s="185"/>
      <c r="O402" s="185"/>
      <c r="P402" s="185"/>
      <c r="Q402" s="185"/>
      <c r="R402" s="185"/>
      <c r="S402" s="185"/>
      <c r="T402" s="185"/>
      <c r="U402" s="185"/>
      <c r="V402" s="181"/>
    </row>
    <row r="403" ht="18.75" customHeight="1">
      <c r="A403" s="181"/>
      <c r="B403" s="185"/>
      <c r="C403" s="185"/>
      <c r="D403" s="185"/>
      <c r="E403" s="185"/>
      <c r="F403" s="185"/>
      <c r="G403" s="185"/>
      <c r="H403" s="185"/>
      <c r="I403" s="185"/>
      <c r="J403" s="185"/>
      <c r="K403" s="185"/>
      <c r="L403" s="185"/>
      <c r="M403" s="185"/>
      <c r="N403" s="185"/>
      <c r="O403" s="185"/>
      <c r="P403" s="185"/>
      <c r="Q403" s="185"/>
      <c r="R403" s="185"/>
      <c r="S403" s="185"/>
      <c r="T403" s="185"/>
      <c r="U403" s="185"/>
      <c r="V403" s="181"/>
    </row>
    <row r="404" ht="18.75" customHeight="1">
      <c r="A404" s="181"/>
      <c r="B404" s="185"/>
      <c r="C404" s="185"/>
      <c r="D404" s="185"/>
      <c r="E404" s="185"/>
      <c r="F404" s="185"/>
      <c r="G404" s="185"/>
      <c r="H404" s="185"/>
      <c r="I404" s="185"/>
      <c r="J404" s="185"/>
      <c r="K404" s="185"/>
      <c r="L404" s="185"/>
      <c r="M404" s="185"/>
      <c r="N404" s="185"/>
      <c r="O404" s="185"/>
      <c r="P404" s="185"/>
      <c r="Q404" s="185"/>
      <c r="R404" s="185"/>
      <c r="S404" s="185"/>
      <c r="T404" s="185"/>
      <c r="U404" s="185"/>
      <c r="V404" s="181"/>
    </row>
    <row r="405" ht="18.75" customHeight="1">
      <c r="A405" s="181"/>
      <c r="B405" s="185"/>
      <c r="C405" s="185"/>
      <c r="D405" s="185"/>
      <c r="E405" s="185"/>
      <c r="F405" s="185"/>
      <c r="G405" s="185"/>
      <c r="H405" s="185"/>
      <c r="I405" s="185"/>
      <c r="J405" s="185"/>
      <c r="K405" s="185"/>
      <c r="L405" s="185"/>
      <c r="M405" s="185"/>
      <c r="N405" s="185"/>
      <c r="O405" s="185"/>
      <c r="P405" s="185"/>
      <c r="Q405" s="185"/>
      <c r="R405" s="185"/>
      <c r="S405" s="185"/>
      <c r="T405" s="185"/>
      <c r="U405" s="185"/>
      <c r="V405" s="181"/>
    </row>
    <row r="406" ht="18.75" customHeight="1">
      <c r="A406" s="181"/>
      <c r="B406" s="185"/>
      <c r="C406" s="185"/>
      <c r="D406" s="185"/>
      <c r="E406" s="185"/>
      <c r="F406" s="185"/>
      <c r="G406" s="185"/>
      <c r="H406" s="185"/>
      <c r="I406" s="185"/>
      <c r="J406" s="185"/>
      <c r="K406" s="185"/>
      <c r="L406" s="185"/>
      <c r="M406" s="185"/>
      <c r="N406" s="185"/>
      <c r="O406" s="185"/>
      <c r="P406" s="185"/>
      <c r="Q406" s="185"/>
      <c r="R406" s="185"/>
      <c r="S406" s="185"/>
      <c r="T406" s="185"/>
      <c r="U406" s="185"/>
      <c r="V406" s="181"/>
    </row>
    <row r="407" ht="18.75" customHeight="1">
      <c r="A407" s="181"/>
      <c r="B407" s="185"/>
      <c r="C407" s="185"/>
      <c r="D407" s="185"/>
      <c r="E407" s="185"/>
      <c r="F407" s="185"/>
      <c r="G407" s="185"/>
      <c r="H407" s="185"/>
      <c r="I407" s="185"/>
      <c r="J407" s="185"/>
      <c r="K407" s="185"/>
      <c r="L407" s="185"/>
      <c r="M407" s="185"/>
      <c r="N407" s="185"/>
      <c r="O407" s="185"/>
      <c r="P407" s="185"/>
      <c r="Q407" s="185"/>
      <c r="R407" s="185"/>
      <c r="S407" s="185"/>
      <c r="T407" s="185"/>
      <c r="U407" s="185"/>
      <c r="V407" s="181"/>
    </row>
    <row r="408" ht="18.75" customHeight="1">
      <c r="A408" s="181"/>
      <c r="B408" s="185"/>
      <c r="C408" s="185"/>
      <c r="D408" s="185"/>
      <c r="E408" s="185"/>
      <c r="F408" s="185"/>
      <c r="G408" s="185"/>
      <c r="H408" s="185"/>
      <c r="I408" s="185"/>
      <c r="J408" s="185"/>
      <c r="K408" s="185"/>
      <c r="L408" s="185"/>
      <c r="M408" s="185"/>
      <c r="N408" s="185"/>
      <c r="O408" s="185"/>
      <c r="P408" s="185"/>
      <c r="Q408" s="185"/>
      <c r="R408" s="185"/>
      <c r="S408" s="185"/>
      <c r="T408" s="185"/>
      <c r="U408" s="185"/>
      <c r="V408" s="181"/>
    </row>
    <row r="409" ht="18.75" customHeight="1">
      <c r="A409" s="181"/>
      <c r="B409" s="185"/>
      <c r="C409" s="185"/>
      <c r="D409" s="185"/>
      <c r="E409" s="185"/>
      <c r="F409" s="185"/>
      <c r="G409" s="185"/>
      <c r="H409" s="185"/>
      <c r="I409" s="185"/>
      <c r="J409" s="185"/>
      <c r="K409" s="185"/>
      <c r="L409" s="185"/>
      <c r="M409" s="185"/>
      <c r="N409" s="185"/>
      <c r="O409" s="185"/>
      <c r="P409" s="185"/>
      <c r="Q409" s="185"/>
      <c r="R409" s="185"/>
      <c r="S409" s="185"/>
      <c r="T409" s="185"/>
      <c r="U409" s="185"/>
      <c r="V409" s="181"/>
    </row>
    <row r="410" ht="18.75" customHeight="1">
      <c r="A410" s="181"/>
      <c r="B410" s="185"/>
      <c r="C410" s="185"/>
      <c r="D410" s="185"/>
      <c r="E410" s="185"/>
      <c r="F410" s="185"/>
      <c r="G410" s="185"/>
      <c r="H410" s="185"/>
      <c r="I410" s="185"/>
      <c r="J410" s="185"/>
      <c r="K410" s="185"/>
      <c r="L410" s="185"/>
      <c r="M410" s="185"/>
      <c r="N410" s="185"/>
      <c r="O410" s="185"/>
      <c r="P410" s="185"/>
      <c r="Q410" s="185"/>
      <c r="R410" s="185"/>
      <c r="S410" s="185"/>
      <c r="T410" s="185"/>
      <c r="U410" s="185"/>
      <c r="V410" s="181"/>
    </row>
    <row r="411" ht="18.75" customHeight="1">
      <c r="A411" s="181"/>
      <c r="B411" s="185"/>
      <c r="C411" s="185"/>
      <c r="D411" s="185"/>
      <c r="E411" s="185"/>
      <c r="F411" s="185"/>
      <c r="G411" s="185"/>
      <c r="H411" s="185"/>
      <c r="I411" s="185"/>
      <c r="J411" s="185"/>
      <c r="K411" s="185"/>
      <c r="L411" s="185"/>
      <c r="M411" s="185"/>
      <c r="N411" s="185"/>
      <c r="O411" s="185"/>
      <c r="P411" s="185"/>
      <c r="Q411" s="185"/>
      <c r="R411" s="185"/>
      <c r="S411" s="185"/>
      <c r="T411" s="185"/>
      <c r="U411" s="185"/>
      <c r="V411" s="181"/>
    </row>
    <row r="412" ht="18.75" customHeight="1">
      <c r="A412" s="181"/>
      <c r="B412" s="185"/>
      <c r="C412" s="185"/>
      <c r="D412" s="185"/>
      <c r="E412" s="185"/>
      <c r="F412" s="185"/>
      <c r="G412" s="185"/>
      <c r="H412" s="185"/>
      <c r="I412" s="185"/>
      <c r="J412" s="185"/>
      <c r="K412" s="185"/>
      <c r="L412" s="185"/>
      <c r="M412" s="185"/>
      <c r="N412" s="185"/>
      <c r="O412" s="185"/>
      <c r="P412" s="185"/>
      <c r="Q412" s="185"/>
      <c r="R412" s="185"/>
      <c r="S412" s="185"/>
      <c r="T412" s="185"/>
      <c r="U412" s="185"/>
      <c r="V412" s="181"/>
    </row>
    <row r="413" ht="18.75" customHeight="1">
      <c r="A413" s="181"/>
      <c r="B413" s="185"/>
      <c r="C413" s="185"/>
      <c r="D413" s="185"/>
      <c r="E413" s="185"/>
      <c r="F413" s="185"/>
      <c r="G413" s="185"/>
      <c r="H413" s="185"/>
      <c r="I413" s="185"/>
      <c r="J413" s="185"/>
      <c r="K413" s="185"/>
      <c r="L413" s="185"/>
      <c r="M413" s="185"/>
      <c r="N413" s="185"/>
      <c r="O413" s="185"/>
      <c r="P413" s="185"/>
      <c r="Q413" s="185"/>
      <c r="R413" s="185"/>
      <c r="S413" s="185"/>
      <c r="T413" s="185"/>
      <c r="U413" s="185"/>
      <c r="V413" s="181"/>
    </row>
    <row r="414" ht="18.75" customHeight="1">
      <c r="A414" s="181"/>
      <c r="B414" s="185"/>
      <c r="C414" s="185"/>
      <c r="D414" s="185"/>
      <c r="E414" s="185"/>
      <c r="F414" s="185"/>
      <c r="G414" s="185"/>
      <c r="H414" s="185"/>
      <c r="I414" s="185"/>
      <c r="J414" s="185"/>
      <c r="K414" s="185"/>
      <c r="L414" s="185"/>
      <c r="M414" s="185"/>
      <c r="N414" s="185"/>
      <c r="O414" s="185"/>
      <c r="P414" s="185"/>
      <c r="Q414" s="185"/>
      <c r="R414" s="185"/>
      <c r="S414" s="185"/>
      <c r="T414" s="185"/>
      <c r="U414" s="185"/>
      <c r="V414" s="181"/>
    </row>
    <row r="415" ht="18.75" customHeight="1">
      <c r="A415" s="181"/>
      <c r="B415" s="185"/>
      <c r="C415" s="185"/>
      <c r="D415" s="185"/>
      <c r="E415" s="185"/>
      <c r="F415" s="185"/>
      <c r="G415" s="185"/>
      <c r="H415" s="185"/>
      <c r="I415" s="185"/>
      <c r="J415" s="185"/>
      <c r="K415" s="185"/>
      <c r="L415" s="185"/>
      <c r="M415" s="185"/>
      <c r="N415" s="185"/>
      <c r="O415" s="185"/>
      <c r="P415" s="185"/>
      <c r="Q415" s="185"/>
      <c r="R415" s="185"/>
      <c r="S415" s="185"/>
      <c r="T415" s="185"/>
      <c r="U415" s="185"/>
      <c r="V415" s="181"/>
    </row>
    <row r="416" ht="18.75" customHeight="1">
      <c r="A416" s="181"/>
      <c r="B416" s="185"/>
      <c r="C416" s="185"/>
      <c r="D416" s="185"/>
      <c r="E416" s="185"/>
      <c r="F416" s="185"/>
      <c r="G416" s="185"/>
      <c r="H416" s="185"/>
      <c r="I416" s="185"/>
      <c r="J416" s="185"/>
      <c r="K416" s="185"/>
      <c r="L416" s="185"/>
      <c r="M416" s="185"/>
      <c r="N416" s="185"/>
      <c r="O416" s="185"/>
      <c r="P416" s="185"/>
      <c r="Q416" s="185"/>
      <c r="R416" s="185"/>
      <c r="S416" s="185"/>
      <c r="T416" s="185"/>
      <c r="U416" s="185"/>
      <c r="V416" s="181"/>
    </row>
    <row r="417" ht="18.75" customHeight="1">
      <c r="A417" s="181"/>
      <c r="B417" s="185"/>
      <c r="C417" s="185"/>
      <c r="D417" s="185"/>
      <c r="E417" s="185"/>
      <c r="F417" s="185"/>
      <c r="G417" s="185"/>
      <c r="H417" s="185"/>
      <c r="I417" s="185"/>
      <c r="J417" s="185"/>
      <c r="K417" s="185"/>
      <c r="L417" s="185"/>
      <c r="M417" s="185"/>
      <c r="N417" s="185"/>
      <c r="O417" s="185"/>
      <c r="P417" s="185"/>
      <c r="Q417" s="185"/>
      <c r="R417" s="185"/>
      <c r="S417" s="185"/>
      <c r="T417" s="185"/>
      <c r="U417" s="185"/>
      <c r="V417" s="181"/>
    </row>
    <row r="418" ht="18.75" customHeight="1">
      <c r="A418" s="181"/>
      <c r="B418" s="185"/>
      <c r="C418" s="185"/>
      <c r="D418" s="185"/>
      <c r="E418" s="185"/>
      <c r="F418" s="185"/>
      <c r="G418" s="185"/>
      <c r="H418" s="185"/>
      <c r="I418" s="185"/>
      <c r="J418" s="185"/>
      <c r="K418" s="185"/>
      <c r="L418" s="185"/>
      <c r="M418" s="185"/>
      <c r="N418" s="185"/>
      <c r="O418" s="185"/>
      <c r="P418" s="185"/>
      <c r="Q418" s="185"/>
      <c r="R418" s="185"/>
      <c r="S418" s="185"/>
      <c r="T418" s="185"/>
      <c r="U418" s="185"/>
      <c r="V418" s="181"/>
    </row>
    <row r="419" ht="18.75" customHeight="1">
      <c r="A419" s="181"/>
      <c r="B419" s="185"/>
      <c r="C419" s="185"/>
      <c r="D419" s="185"/>
      <c r="E419" s="185"/>
      <c r="F419" s="185"/>
      <c r="G419" s="185"/>
      <c r="H419" s="185"/>
      <c r="I419" s="185"/>
      <c r="J419" s="185"/>
      <c r="K419" s="185"/>
      <c r="L419" s="185"/>
      <c r="M419" s="185"/>
      <c r="N419" s="185"/>
      <c r="O419" s="185"/>
      <c r="P419" s="185"/>
      <c r="Q419" s="185"/>
      <c r="R419" s="185"/>
      <c r="S419" s="185"/>
      <c r="T419" s="185"/>
      <c r="U419" s="185"/>
      <c r="V419" s="181"/>
    </row>
    <row r="420" ht="18.75" customHeight="1">
      <c r="A420" s="181"/>
      <c r="B420" s="185"/>
      <c r="C420" s="185"/>
      <c r="D420" s="185"/>
      <c r="E420" s="185"/>
      <c r="F420" s="185"/>
      <c r="G420" s="185"/>
      <c r="H420" s="185"/>
      <c r="I420" s="185"/>
      <c r="J420" s="185"/>
      <c r="K420" s="185"/>
      <c r="L420" s="185"/>
      <c r="M420" s="185"/>
      <c r="N420" s="185"/>
      <c r="O420" s="185"/>
      <c r="P420" s="185"/>
      <c r="Q420" s="185"/>
      <c r="R420" s="185"/>
      <c r="S420" s="185"/>
      <c r="T420" s="185"/>
      <c r="U420" s="185"/>
      <c r="V420" s="181"/>
    </row>
    <row r="421" ht="18.75" customHeight="1">
      <c r="A421" s="181"/>
      <c r="B421" s="185"/>
      <c r="C421" s="185"/>
      <c r="D421" s="185"/>
      <c r="E421" s="185"/>
      <c r="F421" s="185"/>
      <c r="G421" s="185"/>
      <c r="H421" s="185"/>
      <c r="I421" s="185"/>
      <c r="J421" s="185"/>
      <c r="K421" s="185"/>
      <c r="L421" s="185"/>
      <c r="M421" s="185"/>
      <c r="N421" s="185"/>
      <c r="O421" s="185"/>
      <c r="P421" s="185"/>
      <c r="Q421" s="185"/>
      <c r="R421" s="185"/>
      <c r="S421" s="185"/>
      <c r="T421" s="185"/>
      <c r="U421" s="185"/>
      <c r="V421" s="181"/>
    </row>
    <row r="422" ht="18.75" customHeight="1">
      <c r="A422" s="181"/>
      <c r="B422" s="185"/>
      <c r="C422" s="185"/>
      <c r="D422" s="185"/>
      <c r="E422" s="185"/>
      <c r="F422" s="185"/>
      <c r="G422" s="185"/>
      <c r="H422" s="185"/>
      <c r="I422" s="185"/>
      <c r="J422" s="185"/>
      <c r="K422" s="185"/>
      <c r="L422" s="185"/>
      <c r="M422" s="185"/>
      <c r="N422" s="185"/>
      <c r="O422" s="185"/>
      <c r="P422" s="185"/>
      <c r="Q422" s="185"/>
      <c r="R422" s="185"/>
      <c r="S422" s="185"/>
      <c r="T422" s="185"/>
      <c r="U422" s="185"/>
      <c r="V422" s="181"/>
    </row>
    <row r="423" ht="18.75" customHeight="1">
      <c r="A423" s="181"/>
      <c r="B423" s="185"/>
      <c r="C423" s="185"/>
      <c r="D423" s="185"/>
      <c r="E423" s="185"/>
      <c r="F423" s="185"/>
      <c r="G423" s="185"/>
      <c r="H423" s="185"/>
      <c r="I423" s="185"/>
      <c r="J423" s="185"/>
      <c r="K423" s="185"/>
      <c r="L423" s="185"/>
      <c r="M423" s="185"/>
      <c r="N423" s="185"/>
      <c r="O423" s="185"/>
      <c r="P423" s="185"/>
      <c r="Q423" s="185"/>
      <c r="R423" s="185"/>
      <c r="S423" s="185"/>
      <c r="T423" s="185"/>
      <c r="U423" s="185"/>
      <c r="V423" s="181"/>
    </row>
    <row r="424" ht="18.75" customHeight="1">
      <c r="A424" s="181"/>
      <c r="B424" s="185"/>
      <c r="C424" s="185"/>
      <c r="D424" s="185"/>
      <c r="E424" s="185"/>
      <c r="F424" s="185"/>
      <c r="G424" s="185"/>
      <c r="H424" s="185"/>
      <c r="I424" s="185"/>
      <c r="J424" s="185"/>
      <c r="K424" s="185"/>
      <c r="L424" s="185"/>
      <c r="M424" s="185"/>
      <c r="N424" s="185"/>
      <c r="O424" s="185"/>
      <c r="P424" s="185"/>
      <c r="Q424" s="185"/>
      <c r="R424" s="185"/>
      <c r="S424" s="185"/>
      <c r="T424" s="185"/>
      <c r="U424" s="185"/>
      <c r="V424" s="181"/>
    </row>
    <row r="425" ht="18.75" customHeight="1">
      <c r="A425" s="181"/>
      <c r="B425" s="185"/>
      <c r="C425" s="185"/>
      <c r="D425" s="185"/>
      <c r="E425" s="185"/>
      <c r="F425" s="185"/>
      <c r="G425" s="185"/>
      <c r="H425" s="185"/>
      <c r="I425" s="185"/>
      <c r="J425" s="185"/>
      <c r="K425" s="185"/>
      <c r="L425" s="185"/>
      <c r="M425" s="185"/>
      <c r="N425" s="185"/>
      <c r="O425" s="185"/>
      <c r="P425" s="185"/>
      <c r="Q425" s="185"/>
      <c r="R425" s="185"/>
      <c r="S425" s="185"/>
      <c r="T425" s="185"/>
      <c r="U425" s="185"/>
      <c r="V425" s="181"/>
    </row>
    <row r="426" ht="18.75" customHeight="1">
      <c r="A426" s="181"/>
      <c r="B426" s="185"/>
      <c r="C426" s="185"/>
      <c r="D426" s="185"/>
      <c r="E426" s="185"/>
      <c r="F426" s="185"/>
      <c r="G426" s="185"/>
      <c r="H426" s="185"/>
      <c r="I426" s="185"/>
      <c r="J426" s="185"/>
      <c r="K426" s="185"/>
      <c r="L426" s="185"/>
      <c r="M426" s="185"/>
      <c r="N426" s="185"/>
      <c r="O426" s="185"/>
      <c r="P426" s="185"/>
      <c r="Q426" s="185"/>
      <c r="R426" s="185"/>
      <c r="S426" s="185"/>
      <c r="T426" s="185"/>
      <c r="U426" s="185"/>
      <c r="V426" s="181"/>
    </row>
    <row r="427" ht="18.75" customHeight="1">
      <c r="A427" s="181"/>
      <c r="B427" s="185"/>
      <c r="C427" s="185"/>
      <c r="D427" s="185"/>
      <c r="E427" s="185"/>
      <c r="F427" s="185"/>
      <c r="G427" s="185"/>
      <c r="H427" s="185"/>
      <c r="I427" s="185"/>
      <c r="J427" s="185"/>
      <c r="K427" s="185"/>
      <c r="L427" s="185"/>
      <c r="M427" s="185"/>
      <c r="N427" s="185"/>
      <c r="O427" s="185"/>
      <c r="P427" s="185"/>
      <c r="Q427" s="185"/>
      <c r="R427" s="185"/>
      <c r="S427" s="185"/>
      <c r="T427" s="185"/>
      <c r="U427" s="185"/>
      <c r="V427" s="181"/>
    </row>
    <row r="428" ht="18.75" customHeight="1">
      <c r="A428" s="181"/>
      <c r="B428" s="185"/>
      <c r="C428" s="185"/>
      <c r="D428" s="185"/>
      <c r="E428" s="185"/>
      <c r="F428" s="185"/>
      <c r="G428" s="185"/>
      <c r="H428" s="185"/>
      <c r="I428" s="185"/>
      <c r="J428" s="185"/>
      <c r="K428" s="185"/>
      <c r="L428" s="185"/>
      <c r="M428" s="185"/>
      <c r="N428" s="185"/>
      <c r="O428" s="185"/>
      <c r="P428" s="185"/>
      <c r="Q428" s="185"/>
      <c r="R428" s="185"/>
      <c r="S428" s="185"/>
      <c r="T428" s="185"/>
      <c r="U428" s="185"/>
      <c r="V428" s="181"/>
    </row>
    <row r="429" ht="18.75" customHeight="1">
      <c r="A429" s="181"/>
      <c r="B429" s="185"/>
      <c r="C429" s="185"/>
      <c r="D429" s="185"/>
      <c r="E429" s="185"/>
      <c r="F429" s="185"/>
      <c r="G429" s="185"/>
      <c r="H429" s="185"/>
      <c r="I429" s="185"/>
      <c r="J429" s="185"/>
      <c r="K429" s="185"/>
      <c r="L429" s="185"/>
      <c r="M429" s="185"/>
      <c r="N429" s="185"/>
      <c r="O429" s="185"/>
      <c r="P429" s="185"/>
      <c r="Q429" s="185"/>
      <c r="R429" s="185"/>
      <c r="S429" s="185"/>
      <c r="T429" s="185"/>
      <c r="U429" s="185"/>
      <c r="V429" s="181"/>
    </row>
    <row r="430" ht="18.75" customHeight="1">
      <c r="A430" s="181"/>
      <c r="B430" s="185"/>
      <c r="C430" s="185"/>
      <c r="D430" s="185"/>
      <c r="E430" s="185"/>
      <c r="F430" s="185"/>
      <c r="G430" s="185"/>
      <c r="H430" s="185"/>
      <c r="I430" s="185"/>
      <c r="J430" s="185"/>
      <c r="K430" s="185"/>
      <c r="L430" s="185"/>
      <c r="M430" s="185"/>
      <c r="N430" s="185"/>
      <c r="O430" s="185"/>
      <c r="P430" s="185"/>
      <c r="Q430" s="185"/>
      <c r="R430" s="185"/>
      <c r="S430" s="185"/>
      <c r="T430" s="185"/>
      <c r="U430" s="185"/>
      <c r="V430" s="181"/>
    </row>
    <row r="431" ht="18.75" customHeight="1">
      <c r="A431" s="181"/>
      <c r="B431" s="185"/>
      <c r="C431" s="185"/>
      <c r="D431" s="185"/>
      <c r="E431" s="185"/>
      <c r="F431" s="185"/>
      <c r="G431" s="185"/>
      <c r="H431" s="185"/>
      <c r="I431" s="185"/>
      <c r="J431" s="185"/>
      <c r="K431" s="185"/>
      <c r="L431" s="185"/>
      <c r="M431" s="185"/>
      <c r="N431" s="185"/>
      <c r="O431" s="185"/>
      <c r="P431" s="185"/>
      <c r="Q431" s="185"/>
      <c r="R431" s="185"/>
      <c r="S431" s="185"/>
      <c r="T431" s="185"/>
      <c r="U431" s="185"/>
      <c r="V431" s="181"/>
    </row>
    <row r="432" ht="18.75" customHeight="1">
      <c r="A432" s="181"/>
      <c r="B432" s="185"/>
      <c r="C432" s="185"/>
      <c r="D432" s="185"/>
      <c r="E432" s="185"/>
      <c r="F432" s="185"/>
      <c r="G432" s="185"/>
      <c r="H432" s="185"/>
      <c r="I432" s="185"/>
      <c r="J432" s="185"/>
      <c r="K432" s="185"/>
      <c r="L432" s="185"/>
      <c r="M432" s="185"/>
      <c r="N432" s="185"/>
      <c r="O432" s="185"/>
      <c r="P432" s="185"/>
      <c r="Q432" s="185"/>
      <c r="R432" s="185"/>
      <c r="S432" s="185"/>
      <c r="T432" s="185"/>
      <c r="U432" s="185"/>
      <c r="V432" s="181"/>
    </row>
    <row r="433" ht="18.75" customHeight="1">
      <c r="A433" s="181"/>
      <c r="B433" s="185"/>
      <c r="C433" s="185"/>
      <c r="D433" s="185"/>
      <c r="E433" s="185"/>
      <c r="F433" s="185"/>
      <c r="G433" s="185"/>
      <c r="H433" s="185"/>
      <c r="I433" s="185"/>
      <c r="J433" s="185"/>
      <c r="K433" s="185"/>
      <c r="L433" s="185"/>
      <c r="M433" s="185"/>
      <c r="N433" s="185"/>
      <c r="O433" s="185"/>
      <c r="P433" s="185"/>
      <c r="Q433" s="185"/>
      <c r="R433" s="185"/>
      <c r="S433" s="185"/>
      <c r="T433" s="185"/>
      <c r="U433" s="185"/>
      <c r="V433" s="181"/>
    </row>
    <row r="434" ht="18.75" customHeight="1">
      <c r="A434" s="181"/>
      <c r="B434" s="185"/>
      <c r="C434" s="185"/>
      <c r="D434" s="185"/>
      <c r="E434" s="185"/>
      <c r="F434" s="185"/>
      <c r="G434" s="185"/>
      <c r="H434" s="185"/>
      <c r="I434" s="185"/>
      <c r="J434" s="185"/>
      <c r="K434" s="185"/>
      <c r="L434" s="185"/>
      <c r="M434" s="185"/>
      <c r="N434" s="185"/>
      <c r="O434" s="185"/>
      <c r="P434" s="185"/>
      <c r="Q434" s="185"/>
      <c r="R434" s="185"/>
      <c r="S434" s="185"/>
      <c r="T434" s="185"/>
      <c r="U434" s="185"/>
      <c r="V434" s="181"/>
    </row>
    <row r="435" ht="18.75" customHeight="1">
      <c r="A435" s="181"/>
      <c r="B435" s="185"/>
      <c r="C435" s="185"/>
      <c r="D435" s="185"/>
      <c r="E435" s="185"/>
      <c r="F435" s="185"/>
      <c r="G435" s="185"/>
      <c r="H435" s="185"/>
      <c r="I435" s="185"/>
      <c r="J435" s="185"/>
      <c r="K435" s="185"/>
      <c r="L435" s="185"/>
      <c r="M435" s="185"/>
      <c r="N435" s="185"/>
      <c r="O435" s="185"/>
      <c r="P435" s="185"/>
      <c r="Q435" s="185"/>
      <c r="R435" s="185"/>
      <c r="S435" s="185"/>
      <c r="T435" s="185"/>
      <c r="U435" s="185"/>
      <c r="V435" s="181"/>
    </row>
    <row r="436" ht="18.75" customHeight="1">
      <c r="A436" s="181"/>
      <c r="B436" s="185"/>
      <c r="C436" s="185"/>
      <c r="D436" s="185"/>
      <c r="E436" s="185"/>
      <c r="F436" s="185"/>
      <c r="G436" s="185"/>
      <c r="H436" s="185"/>
      <c r="I436" s="185"/>
      <c r="J436" s="185"/>
      <c r="K436" s="185"/>
      <c r="L436" s="185"/>
      <c r="M436" s="185"/>
      <c r="N436" s="185"/>
      <c r="O436" s="185"/>
      <c r="P436" s="185"/>
      <c r="Q436" s="185"/>
      <c r="R436" s="185"/>
      <c r="S436" s="185"/>
      <c r="T436" s="185"/>
      <c r="U436" s="185"/>
      <c r="V436" s="181"/>
    </row>
    <row r="437" ht="18.75" customHeight="1">
      <c r="A437" s="181"/>
      <c r="B437" s="185"/>
      <c r="C437" s="185"/>
      <c r="D437" s="185"/>
      <c r="E437" s="185"/>
      <c r="F437" s="185"/>
      <c r="G437" s="185"/>
      <c r="H437" s="185"/>
      <c r="I437" s="185"/>
      <c r="J437" s="185"/>
      <c r="K437" s="185"/>
      <c r="L437" s="185"/>
      <c r="M437" s="185"/>
      <c r="N437" s="185"/>
      <c r="O437" s="185"/>
      <c r="P437" s="185"/>
      <c r="Q437" s="185"/>
      <c r="R437" s="185"/>
      <c r="S437" s="185"/>
      <c r="T437" s="185"/>
      <c r="U437" s="185"/>
      <c r="V437" s="181"/>
    </row>
    <row r="438" ht="18.75" customHeight="1">
      <c r="A438" s="181"/>
      <c r="B438" s="185"/>
      <c r="C438" s="185"/>
      <c r="D438" s="185"/>
      <c r="E438" s="185"/>
      <c r="F438" s="185"/>
      <c r="G438" s="185"/>
      <c r="H438" s="185"/>
      <c r="I438" s="185"/>
      <c r="J438" s="185"/>
      <c r="K438" s="185"/>
      <c r="L438" s="185"/>
      <c r="M438" s="185"/>
      <c r="N438" s="185"/>
      <c r="O438" s="185"/>
      <c r="P438" s="185"/>
      <c r="Q438" s="185"/>
      <c r="R438" s="185"/>
      <c r="S438" s="185"/>
      <c r="T438" s="185"/>
      <c r="U438" s="185"/>
      <c r="V438" s="181"/>
    </row>
    <row r="439" ht="18.75" customHeight="1">
      <c r="A439" s="181"/>
      <c r="B439" s="185"/>
      <c r="C439" s="185"/>
      <c r="D439" s="185"/>
      <c r="E439" s="185"/>
      <c r="F439" s="185"/>
      <c r="G439" s="185"/>
      <c r="H439" s="185"/>
      <c r="I439" s="185"/>
      <c r="J439" s="185"/>
      <c r="K439" s="185"/>
      <c r="L439" s="185"/>
      <c r="M439" s="185"/>
      <c r="N439" s="185"/>
      <c r="O439" s="185"/>
      <c r="P439" s="185"/>
      <c r="Q439" s="185"/>
      <c r="R439" s="185"/>
      <c r="S439" s="185"/>
      <c r="T439" s="185"/>
      <c r="U439" s="185"/>
      <c r="V439" s="181"/>
    </row>
    <row r="440" ht="18.75" customHeight="1">
      <c r="A440" s="181"/>
      <c r="B440" s="185"/>
      <c r="C440" s="185"/>
      <c r="D440" s="185"/>
      <c r="E440" s="185"/>
      <c r="F440" s="185"/>
      <c r="G440" s="185"/>
      <c r="H440" s="185"/>
      <c r="I440" s="185"/>
      <c r="J440" s="185"/>
      <c r="K440" s="185"/>
      <c r="L440" s="185"/>
      <c r="M440" s="185"/>
      <c r="N440" s="185"/>
      <c r="O440" s="185"/>
      <c r="P440" s="185"/>
      <c r="Q440" s="185"/>
      <c r="R440" s="185"/>
      <c r="S440" s="185"/>
      <c r="T440" s="185"/>
      <c r="U440" s="185"/>
      <c r="V440" s="181"/>
    </row>
    <row r="441" ht="18.75" customHeight="1">
      <c r="A441" s="181"/>
      <c r="B441" s="185"/>
      <c r="C441" s="185"/>
      <c r="D441" s="185"/>
      <c r="E441" s="185"/>
      <c r="F441" s="185"/>
      <c r="G441" s="185"/>
      <c r="H441" s="185"/>
      <c r="I441" s="185"/>
      <c r="J441" s="185"/>
      <c r="K441" s="185"/>
      <c r="L441" s="185"/>
      <c r="M441" s="185"/>
      <c r="N441" s="185"/>
      <c r="O441" s="185"/>
      <c r="P441" s="185"/>
      <c r="Q441" s="185"/>
      <c r="R441" s="185"/>
      <c r="S441" s="185"/>
      <c r="T441" s="185"/>
      <c r="U441" s="185"/>
      <c r="V441" s="181"/>
    </row>
    <row r="442" ht="18.75" customHeight="1">
      <c r="A442" s="181"/>
      <c r="B442" s="185"/>
      <c r="C442" s="185"/>
      <c r="D442" s="185"/>
      <c r="E442" s="185"/>
      <c r="F442" s="185"/>
      <c r="G442" s="185"/>
      <c r="H442" s="185"/>
      <c r="I442" s="185"/>
      <c r="J442" s="185"/>
      <c r="K442" s="185"/>
      <c r="L442" s="185"/>
      <c r="M442" s="185"/>
      <c r="N442" s="185"/>
      <c r="O442" s="185"/>
      <c r="P442" s="185"/>
      <c r="Q442" s="185"/>
      <c r="R442" s="185"/>
      <c r="S442" s="185"/>
      <c r="T442" s="185"/>
      <c r="U442" s="185"/>
      <c r="V442" s="181"/>
    </row>
    <row r="443" ht="18.75" customHeight="1">
      <c r="A443" s="181"/>
      <c r="B443" s="185"/>
      <c r="C443" s="185"/>
      <c r="D443" s="185"/>
      <c r="E443" s="185"/>
      <c r="F443" s="185"/>
      <c r="G443" s="185"/>
      <c r="H443" s="185"/>
      <c r="I443" s="185"/>
      <c r="J443" s="185"/>
      <c r="K443" s="185"/>
      <c r="L443" s="185"/>
      <c r="M443" s="185"/>
      <c r="N443" s="185"/>
      <c r="O443" s="185"/>
      <c r="P443" s="185"/>
      <c r="Q443" s="185"/>
      <c r="R443" s="185"/>
      <c r="S443" s="185"/>
      <c r="T443" s="185"/>
      <c r="U443" s="185"/>
      <c r="V443" s="181"/>
    </row>
    <row r="444" ht="18.75" customHeight="1">
      <c r="A444" s="181"/>
      <c r="B444" s="185"/>
      <c r="C444" s="185"/>
      <c r="D444" s="185"/>
      <c r="E444" s="185"/>
      <c r="F444" s="185"/>
      <c r="G444" s="185"/>
      <c r="H444" s="185"/>
      <c r="I444" s="185"/>
      <c r="J444" s="185"/>
      <c r="K444" s="185"/>
      <c r="L444" s="185"/>
      <c r="M444" s="185"/>
      <c r="N444" s="185"/>
      <c r="O444" s="185"/>
      <c r="P444" s="185"/>
      <c r="Q444" s="185"/>
      <c r="R444" s="185"/>
      <c r="S444" s="185"/>
      <c r="T444" s="185"/>
      <c r="U444" s="185"/>
      <c r="V444" s="181"/>
    </row>
    <row r="445" ht="18.75" customHeight="1">
      <c r="A445" s="181"/>
      <c r="B445" s="185"/>
      <c r="C445" s="185"/>
      <c r="D445" s="185"/>
      <c r="E445" s="185"/>
      <c r="F445" s="185"/>
      <c r="G445" s="185"/>
      <c r="H445" s="185"/>
      <c r="I445" s="185"/>
      <c r="J445" s="185"/>
      <c r="K445" s="185"/>
      <c r="L445" s="185"/>
      <c r="M445" s="185"/>
      <c r="N445" s="185"/>
      <c r="O445" s="185"/>
      <c r="P445" s="185"/>
      <c r="Q445" s="185"/>
      <c r="R445" s="185"/>
      <c r="S445" s="185"/>
      <c r="T445" s="185"/>
      <c r="U445" s="185"/>
      <c r="V445" s="181"/>
    </row>
    <row r="446" ht="18.75" customHeight="1">
      <c r="A446" s="181"/>
      <c r="B446" s="185"/>
      <c r="C446" s="185"/>
      <c r="D446" s="185"/>
      <c r="E446" s="185"/>
      <c r="F446" s="185"/>
      <c r="G446" s="185"/>
      <c r="H446" s="185"/>
      <c r="I446" s="185"/>
      <c r="J446" s="185"/>
      <c r="K446" s="185"/>
      <c r="L446" s="185"/>
      <c r="M446" s="185"/>
      <c r="N446" s="185"/>
      <c r="O446" s="185"/>
      <c r="P446" s="185"/>
      <c r="Q446" s="185"/>
      <c r="R446" s="185"/>
      <c r="S446" s="185"/>
      <c r="T446" s="185"/>
      <c r="U446" s="185"/>
      <c r="V446" s="181"/>
    </row>
    <row r="447" ht="18.75" customHeight="1">
      <c r="A447" s="181"/>
      <c r="B447" s="185"/>
      <c r="C447" s="185"/>
      <c r="D447" s="185"/>
      <c r="E447" s="185"/>
      <c r="F447" s="185"/>
      <c r="G447" s="185"/>
      <c r="H447" s="185"/>
      <c r="I447" s="185"/>
      <c r="J447" s="185"/>
      <c r="K447" s="185"/>
      <c r="L447" s="185"/>
      <c r="M447" s="185"/>
      <c r="N447" s="185"/>
      <c r="O447" s="185"/>
      <c r="P447" s="185"/>
      <c r="Q447" s="185"/>
      <c r="R447" s="185"/>
      <c r="S447" s="185"/>
      <c r="T447" s="185"/>
      <c r="U447" s="185"/>
      <c r="V447" s="181"/>
    </row>
    <row r="448" ht="18.75" customHeight="1">
      <c r="A448" s="181"/>
      <c r="B448" s="185"/>
      <c r="C448" s="185"/>
      <c r="D448" s="185"/>
      <c r="E448" s="185"/>
      <c r="F448" s="185"/>
      <c r="G448" s="185"/>
      <c r="H448" s="185"/>
      <c r="I448" s="185"/>
      <c r="J448" s="185"/>
      <c r="K448" s="185"/>
      <c r="L448" s="185"/>
      <c r="M448" s="185"/>
      <c r="N448" s="185"/>
      <c r="O448" s="185"/>
      <c r="P448" s="185"/>
      <c r="Q448" s="185"/>
      <c r="R448" s="185"/>
      <c r="S448" s="185"/>
      <c r="T448" s="185"/>
      <c r="U448" s="185"/>
      <c r="V448" s="181"/>
    </row>
    <row r="449" ht="18.75" customHeight="1">
      <c r="A449" s="181"/>
      <c r="B449" s="185"/>
      <c r="C449" s="185"/>
      <c r="D449" s="185"/>
      <c r="E449" s="185"/>
      <c r="F449" s="185"/>
      <c r="G449" s="185"/>
      <c r="H449" s="185"/>
      <c r="I449" s="185"/>
      <c r="J449" s="185"/>
      <c r="K449" s="185"/>
      <c r="L449" s="185"/>
      <c r="M449" s="185"/>
      <c r="N449" s="185"/>
      <c r="O449" s="185"/>
      <c r="P449" s="185"/>
      <c r="Q449" s="185"/>
      <c r="R449" s="185"/>
      <c r="S449" s="185"/>
      <c r="T449" s="185"/>
      <c r="U449" s="185"/>
      <c r="V449" s="181"/>
    </row>
    <row r="450" ht="18.75" customHeight="1">
      <c r="A450" s="181"/>
      <c r="B450" s="185"/>
      <c r="C450" s="185"/>
      <c r="D450" s="185"/>
      <c r="E450" s="185"/>
      <c r="F450" s="185"/>
      <c r="G450" s="185"/>
      <c r="H450" s="185"/>
      <c r="I450" s="185"/>
      <c r="J450" s="185"/>
      <c r="K450" s="185"/>
      <c r="L450" s="185"/>
      <c r="M450" s="185"/>
      <c r="N450" s="185"/>
      <c r="O450" s="185"/>
      <c r="P450" s="185"/>
      <c r="Q450" s="185"/>
      <c r="R450" s="185"/>
      <c r="S450" s="185"/>
      <c r="T450" s="185"/>
      <c r="U450" s="185"/>
      <c r="V450" s="181"/>
    </row>
    <row r="451" ht="18.75" customHeight="1">
      <c r="A451" s="181"/>
      <c r="B451" s="185"/>
      <c r="C451" s="185"/>
      <c r="D451" s="185"/>
      <c r="E451" s="185"/>
      <c r="F451" s="185"/>
      <c r="G451" s="185"/>
      <c r="H451" s="185"/>
      <c r="I451" s="185"/>
      <c r="J451" s="185"/>
      <c r="K451" s="185"/>
      <c r="L451" s="185"/>
      <c r="M451" s="185"/>
      <c r="N451" s="185"/>
      <c r="O451" s="185"/>
      <c r="P451" s="185"/>
      <c r="Q451" s="185"/>
      <c r="R451" s="185"/>
      <c r="S451" s="185"/>
      <c r="T451" s="185"/>
      <c r="U451" s="185"/>
      <c r="V451" s="181"/>
    </row>
    <row r="452" ht="18.75" customHeight="1">
      <c r="A452" s="181"/>
      <c r="B452" s="185"/>
      <c r="C452" s="185"/>
      <c r="D452" s="185"/>
      <c r="E452" s="185"/>
      <c r="F452" s="185"/>
      <c r="G452" s="185"/>
      <c r="H452" s="185"/>
      <c r="I452" s="185"/>
      <c r="J452" s="185"/>
      <c r="K452" s="185"/>
      <c r="L452" s="185"/>
      <c r="M452" s="185"/>
      <c r="N452" s="185"/>
      <c r="O452" s="185"/>
      <c r="P452" s="185"/>
      <c r="Q452" s="185"/>
      <c r="R452" s="185"/>
      <c r="S452" s="185"/>
      <c r="T452" s="185"/>
      <c r="U452" s="185"/>
      <c r="V452" s="181"/>
    </row>
    <row r="453" ht="18.75" customHeight="1">
      <c r="A453" s="181"/>
      <c r="B453" s="185"/>
      <c r="C453" s="185"/>
      <c r="D453" s="185"/>
      <c r="E453" s="185"/>
      <c r="F453" s="185"/>
      <c r="G453" s="185"/>
      <c r="H453" s="185"/>
      <c r="I453" s="185"/>
      <c r="J453" s="185"/>
      <c r="K453" s="185"/>
      <c r="L453" s="185"/>
      <c r="M453" s="185"/>
      <c r="N453" s="185"/>
      <c r="O453" s="185"/>
      <c r="P453" s="185"/>
      <c r="Q453" s="185"/>
      <c r="R453" s="185"/>
      <c r="S453" s="185"/>
      <c r="T453" s="185"/>
      <c r="U453" s="185"/>
      <c r="V453" s="181"/>
    </row>
    <row r="454" ht="18.75" customHeight="1">
      <c r="A454" s="181"/>
      <c r="B454" s="185"/>
      <c r="C454" s="185"/>
      <c r="D454" s="185"/>
      <c r="E454" s="185"/>
      <c r="F454" s="185"/>
      <c r="G454" s="185"/>
      <c r="H454" s="185"/>
      <c r="I454" s="185"/>
      <c r="J454" s="185"/>
      <c r="K454" s="185"/>
      <c r="L454" s="185"/>
      <c r="M454" s="185"/>
      <c r="N454" s="185"/>
      <c r="O454" s="185"/>
      <c r="P454" s="185"/>
      <c r="Q454" s="185"/>
      <c r="R454" s="185"/>
      <c r="S454" s="185"/>
      <c r="T454" s="185"/>
      <c r="U454" s="185"/>
      <c r="V454" s="181"/>
    </row>
    <row r="455" ht="18.75" customHeight="1">
      <c r="A455" s="181"/>
      <c r="B455" s="185"/>
      <c r="C455" s="185"/>
      <c r="D455" s="185"/>
      <c r="E455" s="185"/>
      <c r="F455" s="185"/>
      <c r="G455" s="185"/>
      <c r="H455" s="185"/>
      <c r="I455" s="185"/>
      <c r="J455" s="185"/>
      <c r="K455" s="185"/>
      <c r="L455" s="185"/>
      <c r="M455" s="185"/>
      <c r="N455" s="185"/>
      <c r="O455" s="185"/>
      <c r="P455" s="185"/>
      <c r="Q455" s="185"/>
      <c r="R455" s="185"/>
      <c r="S455" s="185"/>
      <c r="T455" s="185"/>
      <c r="U455" s="185"/>
      <c r="V455" s="181"/>
    </row>
    <row r="456" ht="18.75" customHeight="1">
      <c r="A456" s="181"/>
      <c r="B456" s="185"/>
      <c r="C456" s="185"/>
      <c r="D456" s="185"/>
      <c r="E456" s="185"/>
      <c r="F456" s="185"/>
      <c r="G456" s="185"/>
      <c r="H456" s="185"/>
      <c r="I456" s="185"/>
      <c r="J456" s="185"/>
      <c r="K456" s="185"/>
      <c r="L456" s="185"/>
      <c r="M456" s="185"/>
      <c r="N456" s="185"/>
      <c r="O456" s="185"/>
      <c r="P456" s="185"/>
      <c r="Q456" s="185"/>
      <c r="R456" s="185"/>
      <c r="S456" s="185"/>
      <c r="T456" s="185"/>
      <c r="U456" s="185"/>
      <c r="V456" s="181"/>
    </row>
    <row r="457" ht="18.75" customHeight="1">
      <c r="A457" s="181"/>
      <c r="B457" s="185"/>
      <c r="C457" s="185"/>
      <c r="D457" s="185"/>
      <c r="E457" s="185"/>
      <c r="F457" s="185"/>
      <c r="G457" s="185"/>
      <c r="H457" s="185"/>
      <c r="I457" s="185"/>
      <c r="J457" s="185"/>
      <c r="K457" s="185"/>
      <c r="L457" s="185"/>
      <c r="M457" s="185"/>
      <c r="N457" s="185"/>
      <c r="O457" s="185"/>
      <c r="P457" s="185"/>
      <c r="Q457" s="185"/>
      <c r="R457" s="185"/>
      <c r="S457" s="185"/>
      <c r="T457" s="185"/>
      <c r="U457" s="185"/>
      <c r="V457" s="181"/>
    </row>
    <row r="458" ht="18.75" customHeight="1">
      <c r="A458" s="181"/>
      <c r="B458" s="185"/>
      <c r="C458" s="185"/>
      <c r="D458" s="185"/>
      <c r="E458" s="185"/>
      <c r="F458" s="185"/>
      <c r="G458" s="185"/>
      <c r="H458" s="185"/>
      <c r="I458" s="185"/>
      <c r="J458" s="185"/>
      <c r="K458" s="185"/>
      <c r="L458" s="185"/>
      <c r="M458" s="185"/>
      <c r="N458" s="185"/>
      <c r="O458" s="185"/>
      <c r="P458" s="185"/>
      <c r="Q458" s="185"/>
      <c r="R458" s="185"/>
      <c r="S458" s="185"/>
      <c r="T458" s="185"/>
      <c r="U458" s="185"/>
      <c r="V458" s="181"/>
    </row>
    <row r="459" ht="18.75" customHeight="1">
      <c r="A459" s="181"/>
      <c r="B459" s="185"/>
      <c r="C459" s="185"/>
      <c r="D459" s="185"/>
      <c r="E459" s="185"/>
      <c r="F459" s="185"/>
      <c r="G459" s="185"/>
      <c r="H459" s="185"/>
      <c r="I459" s="185"/>
      <c r="J459" s="185"/>
      <c r="K459" s="185"/>
      <c r="L459" s="185"/>
      <c r="M459" s="185"/>
      <c r="N459" s="185"/>
      <c r="O459" s="185"/>
      <c r="P459" s="185"/>
      <c r="Q459" s="185"/>
      <c r="R459" s="185"/>
      <c r="S459" s="185"/>
      <c r="T459" s="185"/>
      <c r="U459" s="185"/>
      <c r="V459" s="181"/>
    </row>
    <row r="460" ht="18.75" customHeight="1">
      <c r="A460" s="181"/>
      <c r="B460" s="185"/>
      <c r="C460" s="185"/>
      <c r="D460" s="185"/>
      <c r="E460" s="185"/>
      <c r="F460" s="185"/>
      <c r="G460" s="185"/>
      <c r="H460" s="185"/>
      <c r="I460" s="185"/>
      <c r="J460" s="185"/>
      <c r="K460" s="185"/>
      <c r="L460" s="185"/>
      <c r="M460" s="185"/>
      <c r="N460" s="185"/>
      <c r="O460" s="185"/>
      <c r="P460" s="185"/>
      <c r="Q460" s="185"/>
      <c r="R460" s="185"/>
      <c r="S460" s="185"/>
      <c r="T460" s="185"/>
      <c r="U460" s="185"/>
      <c r="V460" s="181"/>
    </row>
    <row r="461" ht="18.75" customHeight="1">
      <c r="A461" s="181"/>
      <c r="B461" s="185"/>
      <c r="C461" s="185"/>
      <c r="D461" s="185"/>
      <c r="E461" s="185"/>
      <c r="F461" s="185"/>
      <c r="G461" s="185"/>
      <c r="H461" s="185"/>
      <c r="I461" s="185"/>
      <c r="J461" s="185"/>
      <c r="K461" s="185"/>
      <c r="L461" s="185"/>
      <c r="M461" s="185"/>
      <c r="N461" s="185"/>
      <c r="O461" s="185"/>
      <c r="P461" s="185"/>
      <c r="Q461" s="185"/>
      <c r="R461" s="185"/>
      <c r="S461" s="185"/>
      <c r="T461" s="185"/>
      <c r="U461" s="185"/>
      <c r="V461" s="181"/>
    </row>
    <row r="462" ht="18.75" customHeight="1">
      <c r="A462" s="181"/>
      <c r="B462" s="185"/>
      <c r="C462" s="185"/>
      <c r="D462" s="185"/>
      <c r="E462" s="185"/>
      <c r="F462" s="185"/>
      <c r="G462" s="185"/>
      <c r="H462" s="185"/>
      <c r="I462" s="185"/>
      <c r="J462" s="185"/>
      <c r="K462" s="185"/>
      <c r="L462" s="185"/>
      <c r="M462" s="185"/>
      <c r="N462" s="185"/>
      <c r="O462" s="185"/>
      <c r="P462" s="185"/>
      <c r="Q462" s="185"/>
      <c r="R462" s="185"/>
      <c r="S462" s="185"/>
      <c r="T462" s="185"/>
      <c r="U462" s="185"/>
      <c r="V462" s="181"/>
    </row>
    <row r="463" ht="18.75" customHeight="1">
      <c r="A463" s="181"/>
      <c r="B463" s="185"/>
      <c r="C463" s="185"/>
      <c r="D463" s="185"/>
      <c r="E463" s="185"/>
      <c r="F463" s="185"/>
      <c r="G463" s="185"/>
      <c r="H463" s="185"/>
      <c r="I463" s="185"/>
      <c r="J463" s="185"/>
      <c r="K463" s="185"/>
      <c r="L463" s="185"/>
      <c r="M463" s="185"/>
      <c r="N463" s="185"/>
      <c r="O463" s="185"/>
      <c r="P463" s="185"/>
      <c r="Q463" s="185"/>
      <c r="R463" s="185"/>
      <c r="S463" s="185"/>
      <c r="T463" s="185"/>
      <c r="U463" s="185"/>
      <c r="V463" s="181"/>
    </row>
    <row r="464" ht="18.75" customHeight="1">
      <c r="A464" s="181"/>
      <c r="B464" s="185"/>
      <c r="C464" s="185"/>
      <c r="D464" s="185"/>
      <c r="E464" s="185"/>
      <c r="F464" s="185"/>
      <c r="G464" s="185"/>
      <c r="H464" s="185"/>
      <c r="I464" s="185"/>
      <c r="J464" s="185"/>
      <c r="K464" s="185"/>
      <c r="L464" s="185"/>
      <c r="M464" s="185"/>
      <c r="N464" s="185"/>
      <c r="O464" s="185"/>
      <c r="P464" s="185"/>
      <c r="Q464" s="185"/>
      <c r="R464" s="185"/>
      <c r="S464" s="185"/>
      <c r="T464" s="185"/>
      <c r="U464" s="185"/>
      <c r="V464" s="181"/>
    </row>
    <row r="465" ht="18.75" customHeight="1">
      <c r="A465" s="181"/>
      <c r="B465" s="185"/>
      <c r="C465" s="185"/>
      <c r="D465" s="185"/>
      <c r="E465" s="185"/>
      <c r="F465" s="185"/>
      <c r="G465" s="185"/>
      <c r="H465" s="185"/>
      <c r="I465" s="185"/>
      <c r="J465" s="185"/>
      <c r="K465" s="185"/>
      <c r="L465" s="185"/>
      <c r="M465" s="185"/>
      <c r="N465" s="185"/>
      <c r="O465" s="185"/>
      <c r="P465" s="185"/>
      <c r="Q465" s="185"/>
      <c r="R465" s="185"/>
      <c r="S465" s="185"/>
      <c r="T465" s="185"/>
      <c r="U465" s="185"/>
      <c r="V465" s="181"/>
    </row>
    <row r="466" ht="18.75" customHeight="1">
      <c r="A466" s="181"/>
      <c r="B466" s="185"/>
      <c r="C466" s="185"/>
      <c r="D466" s="185"/>
      <c r="E466" s="185"/>
      <c r="F466" s="185"/>
      <c r="G466" s="185"/>
      <c r="H466" s="185"/>
      <c r="I466" s="185"/>
      <c r="J466" s="185"/>
      <c r="K466" s="185"/>
      <c r="L466" s="185"/>
      <c r="M466" s="185"/>
      <c r="N466" s="185"/>
      <c r="O466" s="185"/>
      <c r="P466" s="185"/>
      <c r="Q466" s="185"/>
      <c r="R466" s="185"/>
      <c r="S466" s="185"/>
      <c r="T466" s="185"/>
      <c r="U466" s="185"/>
      <c r="V466" s="181"/>
    </row>
    <row r="467" ht="18.75" customHeight="1">
      <c r="A467" s="181"/>
      <c r="B467" s="185"/>
      <c r="C467" s="185"/>
      <c r="D467" s="185"/>
      <c r="E467" s="185"/>
      <c r="F467" s="185"/>
      <c r="G467" s="185"/>
      <c r="H467" s="185"/>
      <c r="I467" s="185"/>
      <c r="J467" s="185"/>
      <c r="K467" s="185"/>
      <c r="L467" s="185"/>
      <c r="M467" s="185"/>
      <c r="N467" s="185"/>
      <c r="O467" s="185"/>
      <c r="P467" s="185"/>
      <c r="Q467" s="185"/>
      <c r="R467" s="185"/>
      <c r="S467" s="185"/>
      <c r="T467" s="185"/>
      <c r="U467" s="185"/>
      <c r="V467" s="181"/>
    </row>
    <row r="468" ht="18.75" customHeight="1">
      <c r="A468" s="181"/>
      <c r="B468" s="185"/>
      <c r="C468" s="185"/>
      <c r="D468" s="185"/>
      <c r="E468" s="185"/>
      <c r="F468" s="185"/>
      <c r="G468" s="185"/>
      <c r="H468" s="185"/>
      <c r="I468" s="185"/>
      <c r="J468" s="185"/>
      <c r="K468" s="185"/>
      <c r="L468" s="185"/>
      <c r="M468" s="185"/>
      <c r="N468" s="185"/>
      <c r="O468" s="185"/>
      <c r="P468" s="185"/>
      <c r="Q468" s="185"/>
      <c r="R468" s="185"/>
      <c r="S468" s="185"/>
      <c r="T468" s="185"/>
      <c r="U468" s="185"/>
      <c r="V468" s="181"/>
    </row>
    <row r="469" ht="18.75" customHeight="1">
      <c r="A469" s="181"/>
      <c r="B469" s="185"/>
      <c r="C469" s="185"/>
      <c r="D469" s="185"/>
      <c r="E469" s="185"/>
      <c r="F469" s="185"/>
      <c r="G469" s="185"/>
      <c r="H469" s="185"/>
      <c r="I469" s="185"/>
      <c r="J469" s="185"/>
      <c r="K469" s="185"/>
      <c r="L469" s="185"/>
      <c r="M469" s="185"/>
      <c r="N469" s="185"/>
      <c r="O469" s="185"/>
      <c r="P469" s="185"/>
      <c r="Q469" s="185"/>
      <c r="R469" s="185"/>
      <c r="S469" s="185"/>
      <c r="T469" s="185"/>
      <c r="U469" s="185"/>
      <c r="V469" s="181"/>
    </row>
    <row r="470" ht="18.75" customHeight="1">
      <c r="A470" s="181"/>
      <c r="B470" s="185"/>
      <c r="C470" s="185"/>
      <c r="D470" s="185"/>
      <c r="E470" s="185"/>
      <c r="F470" s="185"/>
      <c r="G470" s="185"/>
      <c r="H470" s="185"/>
      <c r="I470" s="185"/>
      <c r="J470" s="185"/>
      <c r="K470" s="185"/>
      <c r="L470" s="185"/>
      <c r="M470" s="185"/>
      <c r="N470" s="185"/>
      <c r="O470" s="185"/>
      <c r="P470" s="185"/>
      <c r="Q470" s="185"/>
      <c r="R470" s="185"/>
      <c r="S470" s="185"/>
      <c r="T470" s="185"/>
      <c r="U470" s="185"/>
      <c r="V470" s="181"/>
    </row>
    <row r="471" ht="18.75" customHeight="1">
      <c r="A471" s="181"/>
      <c r="B471" s="185"/>
      <c r="C471" s="185"/>
      <c r="D471" s="185"/>
      <c r="E471" s="185"/>
      <c r="F471" s="185"/>
      <c r="G471" s="185"/>
      <c r="H471" s="185"/>
      <c r="I471" s="185"/>
      <c r="J471" s="185"/>
      <c r="K471" s="185"/>
      <c r="L471" s="185"/>
      <c r="M471" s="185"/>
      <c r="N471" s="185"/>
      <c r="O471" s="185"/>
      <c r="P471" s="185"/>
      <c r="Q471" s="185"/>
      <c r="R471" s="185"/>
      <c r="S471" s="185"/>
      <c r="T471" s="185"/>
      <c r="U471" s="185"/>
      <c r="V471" s="181"/>
    </row>
    <row r="472" ht="18.75" customHeight="1">
      <c r="A472" s="181"/>
      <c r="B472" s="185"/>
      <c r="C472" s="185"/>
      <c r="D472" s="185"/>
      <c r="E472" s="185"/>
      <c r="F472" s="185"/>
      <c r="G472" s="185"/>
      <c r="H472" s="185"/>
      <c r="I472" s="185"/>
      <c r="J472" s="185"/>
      <c r="K472" s="185"/>
      <c r="L472" s="185"/>
      <c r="M472" s="185"/>
      <c r="N472" s="185"/>
      <c r="O472" s="185"/>
      <c r="P472" s="185"/>
      <c r="Q472" s="185"/>
      <c r="R472" s="185"/>
      <c r="S472" s="185"/>
      <c r="T472" s="185"/>
      <c r="U472" s="185"/>
      <c r="V472" s="181"/>
    </row>
    <row r="473" ht="18.75" customHeight="1">
      <c r="A473" s="181"/>
      <c r="B473" s="185"/>
      <c r="C473" s="185"/>
      <c r="D473" s="185"/>
      <c r="E473" s="185"/>
      <c r="F473" s="185"/>
      <c r="G473" s="185"/>
      <c r="H473" s="185"/>
      <c r="I473" s="185"/>
      <c r="J473" s="185"/>
      <c r="K473" s="185"/>
      <c r="L473" s="185"/>
      <c r="M473" s="185"/>
      <c r="N473" s="185"/>
      <c r="O473" s="185"/>
      <c r="P473" s="185"/>
      <c r="Q473" s="185"/>
      <c r="R473" s="185"/>
      <c r="S473" s="185"/>
      <c r="T473" s="185"/>
      <c r="U473" s="185"/>
      <c r="V473" s="181"/>
    </row>
    <row r="474" ht="18.75" customHeight="1">
      <c r="A474" s="181"/>
      <c r="B474" s="185"/>
      <c r="C474" s="185"/>
      <c r="D474" s="185"/>
      <c r="E474" s="185"/>
      <c r="F474" s="185"/>
      <c r="G474" s="185"/>
      <c r="H474" s="185"/>
      <c r="I474" s="185"/>
      <c r="J474" s="185"/>
      <c r="K474" s="185"/>
      <c r="L474" s="185"/>
      <c r="M474" s="185"/>
      <c r="N474" s="185"/>
      <c r="O474" s="185"/>
      <c r="P474" s="185"/>
      <c r="Q474" s="185"/>
      <c r="R474" s="185"/>
      <c r="S474" s="185"/>
      <c r="T474" s="185"/>
      <c r="U474" s="185"/>
      <c r="V474" s="181"/>
    </row>
    <row r="475" ht="18.75" customHeight="1">
      <c r="A475" s="181"/>
      <c r="B475" s="185"/>
      <c r="C475" s="185"/>
      <c r="D475" s="185"/>
      <c r="E475" s="185"/>
      <c r="F475" s="185"/>
      <c r="G475" s="185"/>
      <c r="H475" s="185"/>
      <c r="I475" s="185"/>
      <c r="J475" s="185"/>
      <c r="K475" s="185"/>
      <c r="L475" s="185"/>
      <c r="M475" s="185"/>
      <c r="N475" s="185"/>
      <c r="O475" s="185"/>
      <c r="P475" s="185"/>
      <c r="Q475" s="185"/>
      <c r="R475" s="185"/>
      <c r="S475" s="185"/>
      <c r="T475" s="185"/>
      <c r="U475" s="185"/>
      <c r="V475" s="181"/>
    </row>
    <row r="476" ht="18.75" customHeight="1">
      <c r="A476" s="181"/>
      <c r="B476" s="185"/>
      <c r="C476" s="185"/>
      <c r="D476" s="185"/>
      <c r="E476" s="185"/>
      <c r="F476" s="185"/>
      <c r="G476" s="185"/>
      <c r="H476" s="185"/>
      <c r="I476" s="185"/>
      <c r="J476" s="185"/>
      <c r="K476" s="185"/>
      <c r="L476" s="185"/>
      <c r="M476" s="185"/>
      <c r="N476" s="185"/>
      <c r="O476" s="185"/>
      <c r="P476" s="185"/>
      <c r="Q476" s="185"/>
      <c r="R476" s="185"/>
      <c r="S476" s="185"/>
      <c r="T476" s="185"/>
      <c r="U476" s="185"/>
      <c r="V476" s="181"/>
    </row>
    <row r="477" ht="18.75" customHeight="1">
      <c r="A477" s="181"/>
      <c r="B477" s="185"/>
      <c r="C477" s="185"/>
      <c r="D477" s="185"/>
      <c r="E477" s="185"/>
      <c r="F477" s="185"/>
      <c r="G477" s="185"/>
      <c r="H477" s="185"/>
      <c r="I477" s="185"/>
      <c r="J477" s="185"/>
      <c r="K477" s="185"/>
      <c r="L477" s="185"/>
      <c r="M477" s="185"/>
      <c r="N477" s="185"/>
      <c r="O477" s="185"/>
      <c r="P477" s="185"/>
      <c r="Q477" s="185"/>
      <c r="R477" s="185"/>
      <c r="S477" s="185"/>
      <c r="T477" s="185"/>
      <c r="U477" s="185"/>
      <c r="V477" s="181"/>
    </row>
    <row r="478" ht="18.75" customHeight="1">
      <c r="A478" s="181"/>
      <c r="B478" s="185"/>
      <c r="C478" s="185"/>
      <c r="D478" s="185"/>
      <c r="E478" s="185"/>
      <c r="F478" s="185"/>
      <c r="G478" s="185"/>
      <c r="H478" s="185"/>
      <c r="I478" s="185"/>
      <c r="J478" s="185"/>
      <c r="K478" s="185"/>
      <c r="L478" s="185"/>
      <c r="M478" s="185"/>
      <c r="N478" s="185"/>
      <c r="O478" s="185"/>
      <c r="P478" s="185"/>
      <c r="Q478" s="185"/>
      <c r="R478" s="185"/>
      <c r="S478" s="185"/>
      <c r="T478" s="185"/>
      <c r="U478" s="185"/>
      <c r="V478" s="181"/>
    </row>
    <row r="479" ht="18.75" customHeight="1">
      <c r="A479" s="181"/>
      <c r="B479" s="185"/>
      <c r="C479" s="185"/>
      <c r="D479" s="185"/>
      <c r="E479" s="185"/>
      <c r="F479" s="185"/>
      <c r="G479" s="185"/>
      <c r="H479" s="185"/>
      <c r="I479" s="185"/>
      <c r="J479" s="185"/>
      <c r="K479" s="185"/>
      <c r="L479" s="185"/>
      <c r="M479" s="185"/>
      <c r="N479" s="185"/>
      <c r="O479" s="185"/>
      <c r="P479" s="185"/>
      <c r="Q479" s="185"/>
      <c r="R479" s="185"/>
      <c r="S479" s="185"/>
      <c r="T479" s="185"/>
      <c r="U479" s="185"/>
      <c r="V479" s="181"/>
    </row>
    <row r="480" ht="18.75" customHeight="1">
      <c r="A480" s="181"/>
      <c r="B480" s="185"/>
      <c r="C480" s="185"/>
      <c r="D480" s="185"/>
      <c r="E480" s="185"/>
      <c r="F480" s="185"/>
      <c r="G480" s="185"/>
      <c r="H480" s="185"/>
      <c r="I480" s="185"/>
      <c r="J480" s="185"/>
      <c r="K480" s="185"/>
      <c r="L480" s="185"/>
      <c r="M480" s="185"/>
      <c r="N480" s="185"/>
      <c r="O480" s="185"/>
      <c r="P480" s="185"/>
      <c r="Q480" s="185"/>
      <c r="R480" s="185"/>
      <c r="S480" s="185"/>
      <c r="T480" s="185"/>
      <c r="U480" s="185"/>
      <c r="V480" s="181"/>
    </row>
    <row r="481" ht="18.75" customHeight="1">
      <c r="A481" s="181"/>
      <c r="B481" s="185"/>
      <c r="C481" s="185"/>
      <c r="D481" s="185"/>
      <c r="E481" s="185"/>
      <c r="F481" s="185"/>
      <c r="G481" s="185"/>
      <c r="H481" s="185"/>
      <c r="I481" s="185"/>
      <c r="J481" s="185"/>
      <c r="K481" s="185"/>
      <c r="L481" s="185"/>
      <c r="M481" s="185"/>
      <c r="N481" s="185"/>
      <c r="O481" s="185"/>
      <c r="P481" s="185"/>
      <c r="Q481" s="185"/>
      <c r="R481" s="185"/>
      <c r="S481" s="185"/>
      <c r="T481" s="185"/>
      <c r="U481" s="185"/>
      <c r="V481" s="181"/>
    </row>
    <row r="482" ht="18.75" customHeight="1">
      <c r="A482" s="181"/>
      <c r="B482" s="185"/>
      <c r="C482" s="185"/>
      <c r="D482" s="185"/>
      <c r="E482" s="185"/>
      <c r="F482" s="185"/>
      <c r="G482" s="185"/>
      <c r="H482" s="185"/>
      <c r="I482" s="185"/>
      <c r="J482" s="185"/>
      <c r="K482" s="185"/>
      <c r="L482" s="185"/>
      <c r="M482" s="185"/>
      <c r="N482" s="185"/>
      <c r="O482" s="185"/>
      <c r="P482" s="185"/>
      <c r="Q482" s="185"/>
      <c r="R482" s="185"/>
      <c r="S482" s="185"/>
      <c r="T482" s="185"/>
      <c r="U482" s="185"/>
      <c r="V482" s="181"/>
    </row>
    <row r="483" ht="18.75" customHeight="1">
      <c r="A483" s="181"/>
      <c r="B483" s="185"/>
      <c r="C483" s="185"/>
      <c r="D483" s="185"/>
      <c r="E483" s="185"/>
      <c r="F483" s="185"/>
      <c r="G483" s="185"/>
      <c r="H483" s="185"/>
      <c r="I483" s="185"/>
      <c r="J483" s="185"/>
      <c r="K483" s="185"/>
      <c r="L483" s="185"/>
      <c r="M483" s="185"/>
      <c r="N483" s="185"/>
      <c r="O483" s="185"/>
      <c r="P483" s="185"/>
      <c r="Q483" s="185"/>
      <c r="R483" s="185"/>
      <c r="S483" s="185"/>
      <c r="T483" s="185"/>
      <c r="U483" s="185"/>
      <c r="V483" s="181"/>
    </row>
    <row r="484" ht="18.75" customHeight="1">
      <c r="A484" s="181"/>
      <c r="B484" s="185"/>
      <c r="C484" s="185"/>
      <c r="D484" s="185"/>
      <c r="E484" s="185"/>
      <c r="F484" s="185"/>
      <c r="G484" s="185"/>
      <c r="H484" s="185"/>
      <c r="I484" s="185"/>
      <c r="J484" s="185"/>
      <c r="K484" s="185"/>
      <c r="L484" s="185"/>
      <c r="M484" s="185"/>
      <c r="N484" s="185"/>
      <c r="O484" s="185"/>
      <c r="P484" s="185"/>
      <c r="Q484" s="185"/>
      <c r="R484" s="185"/>
      <c r="S484" s="185"/>
      <c r="T484" s="185"/>
      <c r="U484" s="185"/>
      <c r="V484" s="181"/>
    </row>
    <row r="485" ht="18.75" customHeight="1">
      <c r="A485" s="181"/>
      <c r="B485" s="185"/>
      <c r="C485" s="185"/>
      <c r="D485" s="185"/>
      <c r="E485" s="185"/>
      <c r="F485" s="185"/>
      <c r="G485" s="185"/>
      <c r="H485" s="185"/>
      <c r="I485" s="185"/>
      <c r="J485" s="185"/>
      <c r="K485" s="185"/>
      <c r="L485" s="185"/>
      <c r="M485" s="185"/>
      <c r="N485" s="185"/>
      <c r="O485" s="185"/>
      <c r="P485" s="185"/>
      <c r="Q485" s="185"/>
      <c r="R485" s="185"/>
      <c r="S485" s="185"/>
      <c r="T485" s="185"/>
      <c r="U485" s="185"/>
      <c r="V485" s="181"/>
    </row>
    <row r="486" ht="18.75" customHeight="1">
      <c r="A486" s="181"/>
      <c r="B486" s="185"/>
      <c r="C486" s="185"/>
      <c r="D486" s="185"/>
      <c r="E486" s="185"/>
      <c r="F486" s="185"/>
      <c r="G486" s="185"/>
      <c r="H486" s="185"/>
      <c r="I486" s="185"/>
      <c r="J486" s="185"/>
      <c r="K486" s="185"/>
      <c r="L486" s="185"/>
      <c r="M486" s="185"/>
      <c r="N486" s="185"/>
      <c r="O486" s="185"/>
      <c r="P486" s="185"/>
      <c r="Q486" s="185"/>
      <c r="R486" s="185"/>
      <c r="S486" s="185"/>
      <c r="T486" s="185"/>
      <c r="U486" s="185"/>
      <c r="V486" s="181"/>
    </row>
    <row r="487" ht="18.75" customHeight="1">
      <c r="A487" s="181"/>
      <c r="B487" s="185"/>
      <c r="C487" s="185"/>
      <c r="D487" s="185"/>
      <c r="E487" s="185"/>
      <c r="F487" s="185"/>
      <c r="G487" s="185"/>
      <c r="H487" s="185"/>
      <c r="I487" s="185"/>
      <c r="J487" s="185"/>
      <c r="K487" s="185"/>
      <c r="L487" s="185"/>
      <c r="M487" s="185"/>
      <c r="N487" s="185"/>
      <c r="O487" s="185"/>
      <c r="P487" s="185"/>
      <c r="Q487" s="185"/>
      <c r="R487" s="185"/>
      <c r="S487" s="185"/>
      <c r="T487" s="185"/>
      <c r="U487" s="185"/>
      <c r="V487" s="181"/>
    </row>
    <row r="488" ht="18.75" customHeight="1">
      <c r="A488" s="181"/>
      <c r="B488" s="185"/>
      <c r="C488" s="185"/>
      <c r="D488" s="185"/>
      <c r="E488" s="185"/>
      <c r="F488" s="185"/>
      <c r="G488" s="185"/>
      <c r="H488" s="185"/>
      <c r="I488" s="185"/>
      <c r="J488" s="185"/>
      <c r="K488" s="185"/>
      <c r="L488" s="185"/>
      <c r="M488" s="185"/>
      <c r="N488" s="185"/>
      <c r="O488" s="185"/>
      <c r="P488" s="185"/>
      <c r="Q488" s="185"/>
      <c r="R488" s="185"/>
      <c r="S488" s="185"/>
      <c r="T488" s="185"/>
      <c r="U488" s="185"/>
      <c r="V488" s="181"/>
    </row>
    <row r="489" ht="18.75" customHeight="1">
      <c r="A489" s="181"/>
      <c r="B489" s="185"/>
      <c r="C489" s="185"/>
      <c r="D489" s="185"/>
      <c r="E489" s="185"/>
      <c r="F489" s="185"/>
      <c r="G489" s="185"/>
      <c r="H489" s="185"/>
      <c r="I489" s="185"/>
      <c r="J489" s="185"/>
      <c r="K489" s="185"/>
      <c r="L489" s="185"/>
      <c r="M489" s="185"/>
      <c r="N489" s="185"/>
      <c r="O489" s="185"/>
      <c r="P489" s="185"/>
      <c r="Q489" s="185"/>
      <c r="R489" s="185"/>
      <c r="S489" s="185"/>
      <c r="T489" s="185"/>
      <c r="U489" s="185"/>
      <c r="V489" s="181"/>
    </row>
    <row r="490" ht="18.75" customHeight="1">
      <c r="A490" s="181"/>
      <c r="B490" s="185"/>
      <c r="C490" s="185"/>
      <c r="D490" s="185"/>
      <c r="E490" s="185"/>
      <c r="F490" s="185"/>
      <c r="G490" s="185"/>
      <c r="H490" s="185"/>
      <c r="I490" s="185"/>
      <c r="J490" s="185"/>
      <c r="K490" s="185"/>
      <c r="L490" s="185"/>
      <c r="M490" s="185"/>
      <c r="N490" s="185"/>
      <c r="O490" s="185"/>
      <c r="P490" s="185"/>
      <c r="Q490" s="185"/>
      <c r="R490" s="185"/>
      <c r="S490" s="185"/>
      <c r="T490" s="185"/>
      <c r="U490" s="185"/>
      <c r="V490" s="181"/>
    </row>
    <row r="491" ht="18.75" customHeight="1">
      <c r="A491" s="181"/>
      <c r="B491" s="185"/>
      <c r="C491" s="185"/>
      <c r="D491" s="185"/>
      <c r="E491" s="185"/>
      <c r="F491" s="185"/>
      <c r="G491" s="185"/>
      <c r="H491" s="185"/>
      <c r="I491" s="185"/>
      <c r="J491" s="185"/>
      <c r="K491" s="185"/>
      <c r="L491" s="185"/>
      <c r="M491" s="185"/>
      <c r="N491" s="185"/>
      <c r="O491" s="185"/>
      <c r="P491" s="185"/>
      <c r="Q491" s="185"/>
      <c r="R491" s="185"/>
      <c r="S491" s="185"/>
      <c r="T491" s="185"/>
      <c r="U491" s="185"/>
      <c r="V491" s="181"/>
    </row>
    <row r="492" ht="18.75" customHeight="1">
      <c r="A492" s="181"/>
      <c r="B492" s="185"/>
      <c r="C492" s="185"/>
      <c r="D492" s="185"/>
      <c r="E492" s="185"/>
      <c r="F492" s="185"/>
      <c r="G492" s="185"/>
      <c r="H492" s="185"/>
      <c r="I492" s="185"/>
      <c r="J492" s="185"/>
      <c r="K492" s="185"/>
      <c r="L492" s="185"/>
      <c r="M492" s="185"/>
      <c r="N492" s="185"/>
      <c r="O492" s="185"/>
      <c r="P492" s="185"/>
      <c r="Q492" s="185"/>
      <c r="R492" s="185"/>
      <c r="S492" s="185"/>
      <c r="T492" s="185"/>
      <c r="U492" s="185"/>
      <c r="V492" s="181"/>
    </row>
    <row r="493" ht="18.75" customHeight="1">
      <c r="A493" s="181"/>
      <c r="B493" s="185"/>
      <c r="C493" s="185"/>
      <c r="D493" s="185"/>
      <c r="E493" s="185"/>
      <c r="F493" s="185"/>
      <c r="G493" s="185"/>
      <c r="H493" s="185"/>
      <c r="I493" s="185"/>
      <c r="J493" s="185"/>
      <c r="K493" s="185"/>
      <c r="L493" s="185"/>
      <c r="M493" s="185"/>
      <c r="N493" s="185"/>
      <c r="O493" s="185"/>
      <c r="P493" s="185"/>
      <c r="Q493" s="185"/>
      <c r="R493" s="185"/>
      <c r="S493" s="185"/>
      <c r="T493" s="185"/>
      <c r="U493" s="185"/>
      <c r="V493" s="181"/>
    </row>
    <row r="494" ht="18.75" customHeight="1">
      <c r="A494" s="181"/>
      <c r="B494" s="185"/>
      <c r="C494" s="185"/>
      <c r="D494" s="185"/>
      <c r="E494" s="185"/>
      <c r="F494" s="185"/>
      <c r="G494" s="185"/>
      <c r="H494" s="185"/>
      <c r="I494" s="185"/>
      <c r="J494" s="185"/>
      <c r="K494" s="185"/>
      <c r="L494" s="185"/>
      <c r="M494" s="185"/>
      <c r="N494" s="185"/>
      <c r="O494" s="185"/>
      <c r="P494" s="185"/>
      <c r="Q494" s="185"/>
      <c r="R494" s="185"/>
      <c r="S494" s="185"/>
      <c r="T494" s="185"/>
      <c r="U494" s="185"/>
      <c r="V494" s="181"/>
    </row>
    <row r="495" ht="18.75" customHeight="1">
      <c r="A495" s="181"/>
      <c r="B495" s="185"/>
      <c r="C495" s="185"/>
      <c r="D495" s="185"/>
      <c r="E495" s="185"/>
      <c r="F495" s="185"/>
      <c r="G495" s="185"/>
      <c r="H495" s="185"/>
      <c r="I495" s="185"/>
      <c r="J495" s="185"/>
      <c r="K495" s="185"/>
      <c r="L495" s="185"/>
      <c r="M495" s="185"/>
      <c r="N495" s="185"/>
      <c r="O495" s="185"/>
      <c r="P495" s="185"/>
      <c r="Q495" s="185"/>
      <c r="R495" s="185"/>
      <c r="S495" s="185"/>
      <c r="T495" s="185"/>
      <c r="U495" s="185"/>
      <c r="V495" s="181"/>
    </row>
    <row r="496" ht="18.75" customHeight="1">
      <c r="A496" s="181"/>
      <c r="B496" s="185"/>
      <c r="C496" s="185"/>
      <c r="D496" s="185"/>
      <c r="E496" s="185"/>
      <c r="F496" s="185"/>
      <c r="G496" s="185"/>
      <c r="H496" s="185"/>
      <c r="I496" s="185"/>
      <c r="J496" s="185"/>
      <c r="K496" s="185"/>
      <c r="L496" s="185"/>
      <c r="M496" s="185"/>
      <c r="N496" s="185"/>
      <c r="O496" s="185"/>
      <c r="P496" s="185"/>
      <c r="Q496" s="185"/>
      <c r="R496" s="185"/>
      <c r="S496" s="185"/>
      <c r="T496" s="185"/>
      <c r="U496" s="185"/>
      <c r="V496" s="181"/>
    </row>
    <row r="497" ht="18.75" customHeight="1">
      <c r="A497" s="181"/>
      <c r="B497" s="185"/>
      <c r="C497" s="185"/>
      <c r="D497" s="185"/>
      <c r="E497" s="185"/>
      <c r="F497" s="185"/>
      <c r="G497" s="185"/>
      <c r="H497" s="185"/>
      <c r="I497" s="185"/>
      <c r="J497" s="185"/>
      <c r="K497" s="185"/>
      <c r="L497" s="185"/>
      <c r="M497" s="185"/>
      <c r="N497" s="185"/>
      <c r="O497" s="185"/>
      <c r="P497" s="185"/>
      <c r="Q497" s="185"/>
      <c r="R497" s="185"/>
      <c r="S497" s="185"/>
      <c r="T497" s="185"/>
      <c r="U497" s="185"/>
      <c r="V497" s="181"/>
    </row>
    <row r="498" ht="18.75" customHeight="1">
      <c r="A498" s="181"/>
      <c r="B498" s="185"/>
      <c r="C498" s="185"/>
      <c r="D498" s="185"/>
      <c r="E498" s="185"/>
      <c r="F498" s="185"/>
      <c r="G498" s="185"/>
      <c r="H498" s="185"/>
      <c r="I498" s="185"/>
      <c r="J498" s="185"/>
      <c r="K498" s="185"/>
      <c r="L498" s="185"/>
      <c r="M498" s="185"/>
      <c r="N498" s="185"/>
      <c r="O498" s="185"/>
      <c r="P498" s="185"/>
      <c r="Q498" s="185"/>
      <c r="R498" s="185"/>
      <c r="S498" s="185"/>
      <c r="T498" s="185"/>
      <c r="U498" s="185"/>
      <c r="V498" s="181"/>
    </row>
    <row r="499" ht="18.75" customHeight="1">
      <c r="A499" s="181"/>
      <c r="B499" s="185"/>
      <c r="C499" s="185"/>
      <c r="D499" s="185"/>
      <c r="E499" s="185"/>
      <c r="F499" s="185"/>
      <c r="G499" s="185"/>
      <c r="H499" s="185"/>
      <c r="I499" s="185"/>
      <c r="J499" s="185"/>
      <c r="K499" s="185"/>
      <c r="L499" s="185"/>
      <c r="M499" s="185"/>
      <c r="N499" s="185"/>
      <c r="O499" s="185"/>
      <c r="P499" s="185"/>
      <c r="Q499" s="185"/>
      <c r="R499" s="185"/>
      <c r="S499" s="185"/>
      <c r="T499" s="185"/>
      <c r="U499" s="185"/>
      <c r="V499" s="181"/>
    </row>
    <row r="500" ht="18.75" customHeight="1">
      <c r="A500" s="181"/>
      <c r="B500" s="185"/>
      <c r="C500" s="185"/>
      <c r="D500" s="185"/>
      <c r="E500" s="185"/>
      <c r="F500" s="185"/>
      <c r="G500" s="185"/>
      <c r="H500" s="185"/>
      <c r="I500" s="185"/>
      <c r="J500" s="185"/>
      <c r="K500" s="185"/>
      <c r="L500" s="185"/>
      <c r="M500" s="185"/>
      <c r="N500" s="185"/>
      <c r="O500" s="185"/>
      <c r="P500" s="185"/>
      <c r="Q500" s="185"/>
      <c r="R500" s="185"/>
      <c r="S500" s="185"/>
      <c r="T500" s="185"/>
      <c r="U500" s="185"/>
      <c r="V500" s="181"/>
    </row>
    <row r="501" ht="18.75" customHeight="1">
      <c r="A501" s="181"/>
      <c r="B501" s="185"/>
      <c r="C501" s="185"/>
      <c r="D501" s="185"/>
      <c r="E501" s="185"/>
      <c r="F501" s="185"/>
      <c r="G501" s="185"/>
      <c r="H501" s="185"/>
      <c r="I501" s="185"/>
      <c r="J501" s="185"/>
      <c r="K501" s="185"/>
      <c r="L501" s="185"/>
      <c r="M501" s="185"/>
      <c r="N501" s="185"/>
      <c r="O501" s="185"/>
      <c r="P501" s="185"/>
      <c r="Q501" s="185"/>
      <c r="R501" s="185"/>
      <c r="S501" s="185"/>
      <c r="T501" s="185"/>
      <c r="U501" s="185"/>
      <c r="V501" s="181"/>
    </row>
    <row r="502" ht="18.75" customHeight="1">
      <c r="A502" s="181"/>
      <c r="B502" s="185"/>
      <c r="C502" s="185"/>
      <c r="D502" s="185"/>
      <c r="E502" s="185"/>
      <c r="F502" s="185"/>
      <c r="G502" s="185"/>
      <c r="H502" s="185"/>
      <c r="I502" s="185"/>
      <c r="J502" s="185"/>
      <c r="K502" s="185"/>
      <c r="L502" s="185"/>
      <c r="M502" s="185"/>
      <c r="N502" s="185"/>
      <c r="O502" s="185"/>
      <c r="P502" s="185"/>
      <c r="Q502" s="185"/>
      <c r="R502" s="185"/>
      <c r="S502" s="185"/>
      <c r="T502" s="185"/>
      <c r="U502" s="185"/>
      <c r="V502" s="181"/>
    </row>
    <row r="503" ht="18.75" customHeight="1">
      <c r="A503" s="181"/>
      <c r="B503" s="185"/>
      <c r="C503" s="185"/>
      <c r="D503" s="185"/>
      <c r="E503" s="185"/>
      <c r="F503" s="185"/>
      <c r="G503" s="185"/>
      <c r="H503" s="185"/>
      <c r="I503" s="185"/>
      <c r="J503" s="185"/>
      <c r="K503" s="185"/>
      <c r="L503" s="185"/>
      <c r="M503" s="185"/>
      <c r="N503" s="185"/>
      <c r="O503" s="185"/>
      <c r="P503" s="185"/>
      <c r="Q503" s="185"/>
      <c r="R503" s="185"/>
      <c r="S503" s="185"/>
      <c r="T503" s="185"/>
      <c r="U503" s="185"/>
      <c r="V503" s="181"/>
    </row>
    <row r="504" ht="18.75" customHeight="1">
      <c r="A504" s="181"/>
      <c r="B504" s="185"/>
      <c r="C504" s="185"/>
      <c r="D504" s="185"/>
      <c r="E504" s="185"/>
      <c r="F504" s="185"/>
      <c r="G504" s="185"/>
      <c r="H504" s="185"/>
      <c r="I504" s="185"/>
      <c r="J504" s="185"/>
      <c r="K504" s="185"/>
      <c r="L504" s="185"/>
      <c r="M504" s="185"/>
      <c r="N504" s="185"/>
      <c r="O504" s="185"/>
      <c r="P504" s="185"/>
      <c r="Q504" s="185"/>
      <c r="R504" s="185"/>
      <c r="S504" s="185"/>
      <c r="T504" s="185"/>
      <c r="U504" s="185"/>
      <c r="V504" s="181"/>
    </row>
    <row r="505" ht="18.75" customHeight="1">
      <c r="A505" s="181"/>
      <c r="B505" s="185"/>
      <c r="C505" s="185"/>
      <c r="D505" s="185"/>
      <c r="E505" s="185"/>
      <c r="F505" s="185"/>
      <c r="G505" s="185"/>
      <c r="H505" s="185"/>
      <c r="I505" s="185"/>
      <c r="J505" s="185"/>
      <c r="K505" s="185"/>
      <c r="L505" s="185"/>
      <c r="M505" s="185"/>
      <c r="N505" s="185"/>
      <c r="O505" s="185"/>
      <c r="P505" s="185"/>
      <c r="Q505" s="185"/>
      <c r="R505" s="185"/>
      <c r="S505" s="185"/>
      <c r="T505" s="185"/>
      <c r="U505" s="185"/>
      <c r="V505" s="181"/>
    </row>
    <row r="506" ht="18.75" customHeight="1">
      <c r="A506" s="181"/>
      <c r="B506" s="185"/>
      <c r="C506" s="185"/>
      <c r="D506" s="185"/>
      <c r="E506" s="185"/>
      <c r="F506" s="185"/>
      <c r="G506" s="185"/>
      <c r="H506" s="185"/>
      <c r="I506" s="185"/>
      <c r="J506" s="185"/>
      <c r="K506" s="185"/>
      <c r="L506" s="185"/>
      <c r="M506" s="185"/>
      <c r="N506" s="185"/>
      <c r="O506" s="185"/>
      <c r="P506" s="185"/>
      <c r="Q506" s="185"/>
      <c r="R506" s="185"/>
      <c r="S506" s="185"/>
      <c r="T506" s="185"/>
      <c r="U506" s="185"/>
      <c r="V506" s="181"/>
    </row>
    <row r="507" ht="18.75" customHeight="1">
      <c r="A507" s="181"/>
      <c r="B507" s="185"/>
      <c r="C507" s="185"/>
      <c r="D507" s="185"/>
      <c r="E507" s="185"/>
      <c r="F507" s="185"/>
      <c r="G507" s="185"/>
      <c r="H507" s="185"/>
      <c r="I507" s="185"/>
      <c r="J507" s="185"/>
      <c r="K507" s="185"/>
      <c r="L507" s="185"/>
      <c r="M507" s="185"/>
      <c r="N507" s="185"/>
      <c r="O507" s="185"/>
      <c r="P507" s="185"/>
      <c r="Q507" s="185"/>
      <c r="R507" s="185"/>
      <c r="S507" s="185"/>
      <c r="T507" s="185"/>
      <c r="U507" s="185"/>
      <c r="V507" s="181"/>
    </row>
    <row r="508" ht="18.75" customHeight="1">
      <c r="A508" s="181"/>
      <c r="B508" s="185"/>
      <c r="C508" s="185"/>
      <c r="D508" s="185"/>
      <c r="E508" s="185"/>
      <c r="F508" s="185"/>
      <c r="G508" s="185"/>
      <c r="H508" s="185"/>
      <c r="I508" s="185"/>
      <c r="J508" s="185"/>
      <c r="K508" s="185"/>
      <c r="L508" s="185"/>
      <c r="M508" s="185"/>
      <c r="N508" s="185"/>
      <c r="O508" s="185"/>
      <c r="P508" s="185"/>
      <c r="Q508" s="185"/>
      <c r="R508" s="185"/>
      <c r="S508" s="185"/>
      <c r="T508" s="185"/>
      <c r="U508" s="185"/>
      <c r="V508" s="181"/>
    </row>
    <row r="509" ht="18.75" customHeight="1">
      <c r="A509" s="181"/>
      <c r="B509" s="185"/>
      <c r="C509" s="185"/>
      <c r="D509" s="185"/>
      <c r="E509" s="185"/>
      <c r="F509" s="185"/>
      <c r="G509" s="185"/>
      <c r="H509" s="185"/>
      <c r="I509" s="185"/>
      <c r="J509" s="185"/>
      <c r="K509" s="185"/>
      <c r="L509" s="185"/>
      <c r="M509" s="185"/>
      <c r="N509" s="185"/>
      <c r="O509" s="185"/>
      <c r="P509" s="185"/>
      <c r="Q509" s="185"/>
      <c r="R509" s="185"/>
      <c r="S509" s="185"/>
      <c r="T509" s="185"/>
      <c r="U509" s="185"/>
      <c r="V509" s="181"/>
    </row>
    <row r="510" ht="18.75" customHeight="1">
      <c r="A510" s="181"/>
      <c r="B510" s="185"/>
      <c r="C510" s="185"/>
      <c r="D510" s="185"/>
      <c r="E510" s="185"/>
      <c r="F510" s="185"/>
      <c r="G510" s="185"/>
      <c r="H510" s="185"/>
      <c r="I510" s="185"/>
      <c r="J510" s="185"/>
      <c r="K510" s="185"/>
      <c r="L510" s="185"/>
      <c r="M510" s="185"/>
      <c r="N510" s="185"/>
      <c r="O510" s="185"/>
      <c r="P510" s="185"/>
      <c r="Q510" s="185"/>
      <c r="R510" s="185"/>
      <c r="S510" s="185"/>
      <c r="T510" s="185"/>
      <c r="U510" s="185"/>
      <c r="V510" s="181"/>
    </row>
    <row r="511" ht="18.75" customHeight="1">
      <c r="A511" s="181"/>
      <c r="B511" s="185"/>
      <c r="C511" s="185"/>
      <c r="D511" s="185"/>
      <c r="E511" s="185"/>
      <c r="F511" s="185"/>
      <c r="G511" s="185"/>
      <c r="H511" s="185"/>
      <c r="I511" s="185"/>
      <c r="J511" s="185"/>
      <c r="K511" s="185"/>
      <c r="L511" s="185"/>
      <c r="M511" s="185"/>
      <c r="N511" s="185"/>
      <c r="O511" s="185"/>
      <c r="P511" s="185"/>
      <c r="Q511" s="185"/>
      <c r="R511" s="185"/>
      <c r="S511" s="185"/>
      <c r="T511" s="185"/>
      <c r="U511" s="185"/>
      <c r="V511" s="181"/>
    </row>
    <row r="512" ht="18.75" customHeight="1">
      <c r="A512" s="181"/>
      <c r="B512" s="185"/>
      <c r="C512" s="185"/>
      <c r="D512" s="185"/>
      <c r="E512" s="185"/>
      <c r="F512" s="185"/>
      <c r="G512" s="185"/>
      <c r="H512" s="185"/>
      <c r="I512" s="185"/>
      <c r="J512" s="185"/>
      <c r="K512" s="185"/>
      <c r="L512" s="185"/>
      <c r="M512" s="185"/>
      <c r="N512" s="185"/>
      <c r="O512" s="185"/>
      <c r="P512" s="185"/>
      <c r="Q512" s="185"/>
      <c r="R512" s="185"/>
      <c r="S512" s="185"/>
      <c r="T512" s="185"/>
      <c r="U512" s="185"/>
      <c r="V512" s="181"/>
    </row>
    <row r="513" ht="18.75" customHeight="1">
      <c r="A513" s="181"/>
      <c r="B513" s="185"/>
      <c r="C513" s="185"/>
      <c r="D513" s="185"/>
      <c r="E513" s="185"/>
      <c r="F513" s="185"/>
      <c r="G513" s="185"/>
      <c r="H513" s="185"/>
      <c r="I513" s="185"/>
      <c r="J513" s="185"/>
      <c r="K513" s="185"/>
      <c r="L513" s="185"/>
      <c r="M513" s="185"/>
      <c r="N513" s="185"/>
      <c r="O513" s="185"/>
      <c r="P513" s="185"/>
      <c r="Q513" s="185"/>
      <c r="R513" s="185"/>
      <c r="S513" s="185"/>
      <c r="T513" s="185"/>
      <c r="U513" s="185"/>
      <c r="V513" s="181"/>
    </row>
    <row r="514" ht="18.75" customHeight="1">
      <c r="A514" s="181"/>
      <c r="B514" s="185"/>
      <c r="C514" s="185"/>
      <c r="D514" s="185"/>
      <c r="E514" s="185"/>
      <c r="F514" s="185"/>
      <c r="G514" s="185"/>
      <c r="H514" s="185"/>
      <c r="I514" s="185"/>
      <c r="J514" s="185"/>
      <c r="K514" s="185"/>
      <c r="L514" s="185"/>
      <c r="M514" s="185"/>
      <c r="N514" s="185"/>
      <c r="O514" s="185"/>
      <c r="P514" s="185"/>
      <c r="Q514" s="185"/>
      <c r="R514" s="185"/>
      <c r="S514" s="185"/>
      <c r="T514" s="185"/>
      <c r="U514" s="185"/>
      <c r="V514" s="181"/>
    </row>
    <row r="515" ht="18.75" customHeight="1">
      <c r="A515" s="181"/>
      <c r="B515" s="185"/>
      <c r="C515" s="185"/>
      <c r="D515" s="185"/>
      <c r="E515" s="185"/>
      <c r="F515" s="185"/>
      <c r="G515" s="185"/>
      <c r="H515" s="185"/>
      <c r="I515" s="185"/>
      <c r="J515" s="185"/>
      <c r="K515" s="185"/>
      <c r="L515" s="185"/>
      <c r="M515" s="185"/>
      <c r="N515" s="185"/>
      <c r="O515" s="185"/>
      <c r="P515" s="185"/>
      <c r="Q515" s="185"/>
      <c r="R515" s="185"/>
      <c r="S515" s="185"/>
      <c r="T515" s="185"/>
      <c r="U515" s="185"/>
      <c r="V515" s="181"/>
    </row>
    <row r="516" ht="18.75" customHeight="1">
      <c r="A516" s="181"/>
      <c r="B516" s="185"/>
      <c r="C516" s="185"/>
      <c r="D516" s="185"/>
      <c r="E516" s="185"/>
      <c r="F516" s="185"/>
      <c r="G516" s="185"/>
      <c r="H516" s="185"/>
      <c r="I516" s="185"/>
      <c r="J516" s="185"/>
      <c r="K516" s="185"/>
      <c r="L516" s="185"/>
      <c r="M516" s="185"/>
      <c r="N516" s="185"/>
      <c r="O516" s="185"/>
      <c r="P516" s="185"/>
      <c r="Q516" s="185"/>
      <c r="R516" s="185"/>
      <c r="S516" s="185"/>
      <c r="T516" s="185"/>
      <c r="U516" s="185"/>
      <c r="V516" s="181"/>
    </row>
    <row r="517" ht="18.75" customHeight="1">
      <c r="A517" s="181"/>
      <c r="B517" s="185"/>
      <c r="C517" s="185"/>
      <c r="D517" s="185"/>
      <c r="E517" s="185"/>
      <c r="F517" s="185"/>
      <c r="G517" s="185"/>
      <c r="H517" s="185"/>
      <c r="I517" s="185"/>
      <c r="J517" s="185"/>
      <c r="K517" s="185"/>
      <c r="L517" s="185"/>
      <c r="M517" s="185"/>
      <c r="N517" s="185"/>
      <c r="O517" s="185"/>
      <c r="P517" s="185"/>
      <c r="Q517" s="185"/>
      <c r="R517" s="185"/>
      <c r="S517" s="185"/>
      <c r="T517" s="185"/>
      <c r="U517" s="185"/>
      <c r="V517" s="181"/>
    </row>
    <row r="518" ht="18.75" customHeight="1">
      <c r="A518" s="181"/>
      <c r="B518" s="185"/>
      <c r="C518" s="185"/>
      <c r="D518" s="185"/>
      <c r="E518" s="185"/>
      <c r="F518" s="185"/>
      <c r="G518" s="185"/>
      <c r="H518" s="185"/>
      <c r="I518" s="185"/>
      <c r="J518" s="185"/>
      <c r="K518" s="185"/>
      <c r="L518" s="185"/>
      <c r="M518" s="185"/>
      <c r="N518" s="185"/>
      <c r="O518" s="185"/>
      <c r="P518" s="185"/>
      <c r="Q518" s="185"/>
      <c r="R518" s="185"/>
      <c r="S518" s="185"/>
      <c r="T518" s="185"/>
      <c r="U518" s="185"/>
      <c r="V518" s="181"/>
    </row>
    <row r="519" ht="18.75" customHeight="1">
      <c r="A519" s="181"/>
      <c r="B519" s="185"/>
      <c r="C519" s="185"/>
      <c r="D519" s="185"/>
      <c r="E519" s="185"/>
      <c r="F519" s="185"/>
      <c r="G519" s="185"/>
      <c r="H519" s="185"/>
      <c r="I519" s="185"/>
      <c r="J519" s="185"/>
      <c r="K519" s="185"/>
      <c r="L519" s="185"/>
      <c r="M519" s="185"/>
      <c r="N519" s="185"/>
      <c r="O519" s="185"/>
      <c r="P519" s="185"/>
      <c r="Q519" s="185"/>
      <c r="R519" s="185"/>
      <c r="S519" s="185"/>
      <c r="T519" s="185"/>
      <c r="U519" s="185"/>
      <c r="V519" s="181"/>
    </row>
    <row r="520" ht="18.75" customHeight="1">
      <c r="A520" s="181"/>
      <c r="B520" s="185"/>
      <c r="C520" s="185"/>
      <c r="D520" s="185"/>
      <c r="E520" s="185"/>
      <c r="F520" s="185"/>
      <c r="G520" s="185"/>
      <c r="H520" s="185"/>
      <c r="I520" s="185"/>
      <c r="J520" s="185"/>
      <c r="K520" s="185"/>
      <c r="L520" s="185"/>
      <c r="M520" s="185"/>
      <c r="N520" s="185"/>
      <c r="O520" s="185"/>
      <c r="P520" s="185"/>
      <c r="Q520" s="185"/>
      <c r="R520" s="185"/>
      <c r="S520" s="185"/>
      <c r="T520" s="185"/>
      <c r="U520" s="185"/>
      <c r="V520" s="181"/>
    </row>
    <row r="521" ht="18.75" customHeight="1">
      <c r="A521" s="181"/>
      <c r="B521" s="185"/>
      <c r="C521" s="185"/>
      <c r="D521" s="185"/>
      <c r="E521" s="185"/>
      <c r="F521" s="185"/>
      <c r="G521" s="185"/>
      <c r="H521" s="185"/>
      <c r="I521" s="185"/>
      <c r="J521" s="185"/>
      <c r="K521" s="185"/>
      <c r="L521" s="185"/>
      <c r="M521" s="185"/>
      <c r="N521" s="185"/>
      <c r="O521" s="185"/>
      <c r="P521" s="185"/>
      <c r="Q521" s="185"/>
      <c r="R521" s="185"/>
      <c r="S521" s="185"/>
      <c r="T521" s="185"/>
      <c r="U521" s="185"/>
      <c r="V521" s="181"/>
    </row>
    <row r="522" ht="18.75" customHeight="1">
      <c r="A522" s="181"/>
      <c r="B522" s="185"/>
      <c r="C522" s="185"/>
      <c r="D522" s="185"/>
      <c r="E522" s="185"/>
      <c r="F522" s="185"/>
      <c r="G522" s="185"/>
      <c r="H522" s="185"/>
      <c r="I522" s="185"/>
      <c r="J522" s="185"/>
      <c r="K522" s="185"/>
      <c r="L522" s="185"/>
      <c r="M522" s="185"/>
      <c r="N522" s="185"/>
      <c r="O522" s="185"/>
      <c r="P522" s="185"/>
      <c r="Q522" s="185"/>
      <c r="R522" s="185"/>
      <c r="S522" s="185"/>
      <c r="T522" s="185"/>
      <c r="U522" s="185"/>
      <c r="V522" s="181"/>
    </row>
    <row r="523" ht="18.75" customHeight="1">
      <c r="A523" s="181"/>
      <c r="B523" s="185"/>
      <c r="C523" s="185"/>
      <c r="D523" s="185"/>
      <c r="E523" s="185"/>
      <c r="F523" s="185"/>
      <c r="G523" s="185"/>
      <c r="H523" s="185"/>
      <c r="I523" s="185"/>
      <c r="J523" s="185"/>
      <c r="K523" s="185"/>
      <c r="L523" s="185"/>
      <c r="M523" s="185"/>
      <c r="N523" s="185"/>
      <c r="O523" s="185"/>
      <c r="P523" s="185"/>
      <c r="Q523" s="185"/>
      <c r="R523" s="185"/>
      <c r="S523" s="185"/>
      <c r="T523" s="185"/>
      <c r="U523" s="185"/>
      <c r="V523" s="181"/>
    </row>
    <row r="524" ht="18.75" customHeight="1">
      <c r="A524" s="181"/>
      <c r="B524" s="185"/>
      <c r="C524" s="185"/>
      <c r="D524" s="185"/>
      <c r="E524" s="185"/>
      <c r="F524" s="185"/>
      <c r="G524" s="185"/>
      <c r="H524" s="185"/>
      <c r="I524" s="185"/>
      <c r="J524" s="185"/>
      <c r="K524" s="185"/>
      <c r="L524" s="185"/>
      <c r="M524" s="185"/>
      <c r="N524" s="185"/>
      <c r="O524" s="185"/>
      <c r="P524" s="185"/>
      <c r="Q524" s="185"/>
      <c r="R524" s="185"/>
      <c r="S524" s="185"/>
      <c r="T524" s="185"/>
      <c r="U524" s="185"/>
      <c r="V524" s="181"/>
    </row>
    <row r="525" ht="18.75" customHeight="1">
      <c r="A525" s="181"/>
      <c r="B525" s="185"/>
      <c r="C525" s="185"/>
      <c r="D525" s="185"/>
      <c r="E525" s="185"/>
      <c r="F525" s="185"/>
      <c r="G525" s="185"/>
      <c r="H525" s="185"/>
      <c r="I525" s="185"/>
      <c r="J525" s="185"/>
      <c r="K525" s="185"/>
      <c r="L525" s="185"/>
      <c r="M525" s="185"/>
      <c r="N525" s="185"/>
      <c r="O525" s="185"/>
      <c r="P525" s="185"/>
      <c r="Q525" s="185"/>
      <c r="R525" s="185"/>
      <c r="S525" s="185"/>
      <c r="T525" s="185"/>
      <c r="U525" s="185"/>
      <c r="V525" s="181"/>
    </row>
    <row r="526" ht="18.75" customHeight="1">
      <c r="A526" s="181"/>
      <c r="B526" s="185"/>
      <c r="C526" s="185"/>
      <c r="D526" s="185"/>
      <c r="E526" s="185"/>
      <c r="F526" s="185"/>
      <c r="G526" s="185"/>
      <c r="H526" s="185"/>
      <c r="I526" s="185"/>
      <c r="J526" s="185"/>
      <c r="K526" s="185"/>
      <c r="L526" s="185"/>
      <c r="M526" s="185"/>
      <c r="N526" s="185"/>
      <c r="O526" s="185"/>
      <c r="P526" s="185"/>
      <c r="Q526" s="185"/>
      <c r="R526" s="185"/>
      <c r="S526" s="185"/>
      <c r="T526" s="185"/>
      <c r="U526" s="185"/>
      <c r="V526" s="181"/>
    </row>
    <row r="527" ht="18.75" customHeight="1">
      <c r="A527" s="181"/>
      <c r="B527" s="185"/>
      <c r="C527" s="185"/>
      <c r="D527" s="185"/>
      <c r="E527" s="185"/>
      <c r="F527" s="185"/>
      <c r="G527" s="185"/>
      <c r="H527" s="185"/>
      <c r="I527" s="185"/>
      <c r="J527" s="185"/>
      <c r="K527" s="185"/>
      <c r="L527" s="185"/>
      <c r="M527" s="185"/>
      <c r="N527" s="185"/>
      <c r="O527" s="185"/>
      <c r="P527" s="185"/>
      <c r="Q527" s="185"/>
      <c r="R527" s="185"/>
      <c r="S527" s="185"/>
      <c r="T527" s="185"/>
      <c r="U527" s="185"/>
      <c r="V527" s="181"/>
    </row>
    <row r="528" ht="18.75" customHeight="1">
      <c r="A528" s="181"/>
      <c r="B528" s="185"/>
      <c r="C528" s="185"/>
      <c r="D528" s="185"/>
      <c r="E528" s="185"/>
      <c r="F528" s="185"/>
      <c r="G528" s="185"/>
      <c r="H528" s="185"/>
      <c r="I528" s="185"/>
      <c r="J528" s="185"/>
      <c r="K528" s="185"/>
      <c r="L528" s="185"/>
      <c r="M528" s="185"/>
      <c r="N528" s="185"/>
      <c r="O528" s="185"/>
      <c r="P528" s="185"/>
      <c r="Q528" s="185"/>
      <c r="R528" s="185"/>
      <c r="S528" s="185"/>
      <c r="T528" s="185"/>
      <c r="U528" s="185"/>
      <c r="V528" s="181"/>
    </row>
    <row r="529" ht="18.75" customHeight="1">
      <c r="A529" s="181"/>
      <c r="B529" s="185"/>
      <c r="C529" s="185"/>
      <c r="D529" s="185"/>
      <c r="E529" s="185"/>
      <c r="F529" s="185"/>
      <c r="G529" s="185"/>
      <c r="H529" s="185"/>
      <c r="I529" s="185"/>
      <c r="J529" s="185"/>
      <c r="K529" s="185"/>
      <c r="L529" s="185"/>
      <c r="M529" s="185"/>
      <c r="N529" s="185"/>
      <c r="O529" s="185"/>
      <c r="P529" s="185"/>
      <c r="Q529" s="185"/>
      <c r="R529" s="185"/>
      <c r="S529" s="185"/>
      <c r="T529" s="185"/>
      <c r="U529" s="185"/>
      <c r="V529" s="181"/>
    </row>
    <row r="530" ht="18.75" customHeight="1">
      <c r="A530" s="181"/>
      <c r="B530" s="185"/>
      <c r="C530" s="185"/>
      <c r="D530" s="185"/>
      <c r="E530" s="185"/>
      <c r="F530" s="185"/>
      <c r="G530" s="185"/>
      <c r="H530" s="185"/>
      <c r="I530" s="185"/>
      <c r="J530" s="185"/>
      <c r="K530" s="185"/>
      <c r="L530" s="185"/>
      <c r="M530" s="185"/>
      <c r="N530" s="185"/>
      <c r="O530" s="185"/>
      <c r="P530" s="185"/>
      <c r="Q530" s="185"/>
      <c r="R530" s="185"/>
      <c r="S530" s="185"/>
      <c r="T530" s="185"/>
      <c r="U530" s="185"/>
      <c r="V530" s="181"/>
    </row>
    <row r="531" ht="18.75" customHeight="1">
      <c r="A531" s="181"/>
      <c r="B531" s="185"/>
      <c r="C531" s="185"/>
      <c r="D531" s="185"/>
      <c r="E531" s="185"/>
      <c r="F531" s="185"/>
      <c r="G531" s="185"/>
      <c r="H531" s="185"/>
      <c r="I531" s="185"/>
      <c r="J531" s="185"/>
      <c r="K531" s="185"/>
      <c r="L531" s="185"/>
      <c r="M531" s="185"/>
      <c r="N531" s="185"/>
      <c r="O531" s="185"/>
      <c r="P531" s="185"/>
      <c r="Q531" s="185"/>
      <c r="R531" s="185"/>
      <c r="S531" s="185"/>
      <c r="T531" s="185"/>
      <c r="U531" s="185"/>
      <c r="V531" s="181"/>
    </row>
    <row r="532" ht="18.75" customHeight="1">
      <c r="A532" s="181"/>
      <c r="B532" s="185"/>
      <c r="C532" s="185"/>
      <c r="D532" s="185"/>
      <c r="E532" s="185"/>
      <c r="F532" s="185"/>
      <c r="G532" s="185"/>
      <c r="H532" s="185"/>
      <c r="I532" s="185"/>
      <c r="J532" s="185"/>
      <c r="K532" s="185"/>
      <c r="L532" s="185"/>
      <c r="M532" s="185"/>
      <c r="N532" s="185"/>
      <c r="O532" s="185"/>
      <c r="P532" s="185"/>
      <c r="Q532" s="185"/>
      <c r="R532" s="185"/>
      <c r="S532" s="185"/>
      <c r="T532" s="185"/>
      <c r="U532" s="185"/>
      <c r="V532" s="181"/>
    </row>
    <row r="533" ht="18.75" customHeight="1">
      <c r="A533" s="181"/>
      <c r="B533" s="185"/>
      <c r="C533" s="185"/>
      <c r="D533" s="185"/>
      <c r="E533" s="185"/>
      <c r="F533" s="185"/>
      <c r="G533" s="185"/>
      <c r="H533" s="185"/>
      <c r="I533" s="185"/>
      <c r="J533" s="185"/>
      <c r="K533" s="185"/>
      <c r="L533" s="185"/>
      <c r="M533" s="185"/>
      <c r="N533" s="185"/>
      <c r="O533" s="185"/>
      <c r="P533" s="185"/>
      <c r="Q533" s="185"/>
      <c r="R533" s="185"/>
      <c r="S533" s="185"/>
      <c r="T533" s="185"/>
      <c r="U533" s="185"/>
      <c r="V533" s="181"/>
    </row>
    <row r="534" ht="18.75" customHeight="1">
      <c r="A534" s="181"/>
      <c r="B534" s="185"/>
      <c r="C534" s="185"/>
      <c r="D534" s="185"/>
      <c r="E534" s="185"/>
      <c r="F534" s="185"/>
      <c r="G534" s="185"/>
      <c r="H534" s="185"/>
      <c r="I534" s="185"/>
      <c r="J534" s="185"/>
      <c r="K534" s="185"/>
      <c r="L534" s="185"/>
      <c r="M534" s="185"/>
      <c r="N534" s="185"/>
      <c r="O534" s="185"/>
      <c r="P534" s="185"/>
      <c r="Q534" s="185"/>
      <c r="R534" s="185"/>
      <c r="S534" s="185"/>
      <c r="T534" s="185"/>
      <c r="U534" s="185"/>
      <c r="V534" s="181"/>
    </row>
    <row r="535" ht="18.75" customHeight="1">
      <c r="A535" s="181"/>
      <c r="B535" s="185"/>
      <c r="C535" s="185"/>
      <c r="D535" s="185"/>
      <c r="E535" s="185"/>
      <c r="F535" s="185"/>
      <c r="G535" s="185"/>
      <c r="H535" s="185"/>
      <c r="I535" s="185"/>
      <c r="J535" s="185"/>
      <c r="K535" s="185"/>
      <c r="L535" s="185"/>
      <c r="M535" s="185"/>
      <c r="N535" s="185"/>
      <c r="O535" s="185"/>
      <c r="P535" s="185"/>
      <c r="Q535" s="185"/>
      <c r="R535" s="185"/>
      <c r="S535" s="185"/>
      <c r="T535" s="185"/>
      <c r="U535" s="185"/>
      <c r="V535" s="181"/>
    </row>
    <row r="536" ht="18.75" customHeight="1">
      <c r="A536" s="181"/>
      <c r="B536" s="185"/>
      <c r="C536" s="185"/>
      <c r="D536" s="185"/>
      <c r="E536" s="185"/>
      <c r="F536" s="185"/>
      <c r="G536" s="185"/>
      <c r="H536" s="185"/>
      <c r="I536" s="185"/>
      <c r="J536" s="185"/>
      <c r="K536" s="185"/>
      <c r="L536" s="185"/>
      <c r="M536" s="185"/>
      <c r="N536" s="185"/>
      <c r="O536" s="185"/>
      <c r="P536" s="185"/>
      <c r="Q536" s="185"/>
      <c r="R536" s="185"/>
      <c r="S536" s="185"/>
      <c r="T536" s="185"/>
      <c r="U536" s="185"/>
      <c r="V536" s="181"/>
    </row>
    <row r="537" ht="18.75" customHeight="1">
      <c r="A537" s="181"/>
      <c r="B537" s="185"/>
      <c r="C537" s="185"/>
      <c r="D537" s="185"/>
      <c r="E537" s="185"/>
      <c r="F537" s="185"/>
      <c r="G537" s="185"/>
      <c r="H537" s="185"/>
      <c r="I537" s="185"/>
      <c r="J537" s="185"/>
      <c r="K537" s="185"/>
      <c r="L537" s="185"/>
      <c r="M537" s="185"/>
      <c r="N537" s="185"/>
      <c r="O537" s="185"/>
      <c r="P537" s="185"/>
      <c r="Q537" s="185"/>
      <c r="R537" s="185"/>
      <c r="S537" s="185"/>
      <c r="T537" s="185"/>
      <c r="U537" s="185"/>
      <c r="V537" s="181"/>
    </row>
    <row r="538" ht="18.75" customHeight="1">
      <c r="A538" s="181"/>
      <c r="B538" s="185"/>
      <c r="C538" s="185"/>
      <c r="D538" s="185"/>
      <c r="E538" s="185"/>
      <c r="F538" s="185"/>
      <c r="G538" s="185"/>
      <c r="H538" s="185"/>
      <c r="I538" s="185"/>
      <c r="J538" s="185"/>
      <c r="K538" s="185"/>
      <c r="L538" s="185"/>
      <c r="M538" s="185"/>
      <c r="N538" s="185"/>
      <c r="O538" s="185"/>
      <c r="P538" s="185"/>
      <c r="Q538" s="185"/>
      <c r="R538" s="185"/>
      <c r="S538" s="185"/>
      <c r="T538" s="185"/>
      <c r="U538" s="185"/>
      <c r="V538" s="181"/>
    </row>
    <row r="539" ht="18.75" customHeight="1">
      <c r="A539" s="181"/>
      <c r="B539" s="185"/>
      <c r="C539" s="185"/>
      <c r="D539" s="185"/>
      <c r="E539" s="185"/>
      <c r="F539" s="185"/>
      <c r="G539" s="185"/>
      <c r="H539" s="185"/>
      <c r="I539" s="185"/>
      <c r="J539" s="185"/>
      <c r="K539" s="185"/>
      <c r="L539" s="185"/>
      <c r="M539" s="185"/>
      <c r="N539" s="185"/>
      <c r="O539" s="185"/>
      <c r="P539" s="185"/>
      <c r="Q539" s="185"/>
      <c r="R539" s="185"/>
      <c r="S539" s="185"/>
      <c r="T539" s="185"/>
      <c r="U539" s="185"/>
      <c r="V539" s="181"/>
    </row>
    <row r="540" ht="18.75" customHeight="1">
      <c r="A540" s="181"/>
      <c r="B540" s="185"/>
      <c r="C540" s="185"/>
      <c r="D540" s="185"/>
      <c r="E540" s="185"/>
      <c r="F540" s="185"/>
      <c r="G540" s="185"/>
      <c r="H540" s="185"/>
      <c r="I540" s="185"/>
      <c r="J540" s="185"/>
      <c r="K540" s="185"/>
      <c r="L540" s="185"/>
      <c r="M540" s="185"/>
      <c r="N540" s="185"/>
      <c r="O540" s="185"/>
      <c r="P540" s="185"/>
      <c r="Q540" s="185"/>
      <c r="R540" s="185"/>
      <c r="S540" s="185"/>
      <c r="T540" s="185"/>
      <c r="U540" s="185"/>
      <c r="V540" s="181"/>
    </row>
    <row r="541" ht="18.75" customHeight="1">
      <c r="A541" s="181"/>
      <c r="B541" s="185"/>
      <c r="C541" s="185"/>
      <c r="D541" s="185"/>
      <c r="E541" s="185"/>
      <c r="F541" s="185"/>
      <c r="G541" s="185"/>
      <c r="H541" s="185"/>
      <c r="I541" s="185"/>
      <c r="J541" s="185"/>
      <c r="K541" s="185"/>
      <c r="L541" s="185"/>
      <c r="M541" s="185"/>
      <c r="N541" s="185"/>
      <c r="O541" s="185"/>
      <c r="P541" s="185"/>
      <c r="Q541" s="185"/>
      <c r="R541" s="185"/>
      <c r="S541" s="185"/>
      <c r="T541" s="185"/>
      <c r="U541" s="185"/>
      <c r="V541" s="181"/>
    </row>
    <row r="542" ht="18.75" customHeight="1">
      <c r="A542" s="181"/>
      <c r="B542" s="185"/>
      <c r="C542" s="185"/>
      <c r="D542" s="185"/>
      <c r="E542" s="185"/>
      <c r="F542" s="185"/>
      <c r="G542" s="185"/>
      <c r="H542" s="185"/>
      <c r="I542" s="185"/>
      <c r="J542" s="185"/>
      <c r="K542" s="185"/>
      <c r="L542" s="185"/>
      <c r="M542" s="185"/>
      <c r="N542" s="185"/>
      <c r="O542" s="185"/>
      <c r="P542" s="185"/>
      <c r="Q542" s="185"/>
      <c r="R542" s="185"/>
      <c r="S542" s="185"/>
      <c r="T542" s="185"/>
      <c r="U542" s="185"/>
      <c r="V542" s="181"/>
    </row>
    <row r="543" ht="18.75" customHeight="1">
      <c r="A543" s="181"/>
      <c r="B543" s="185"/>
      <c r="C543" s="185"/>
      <c r="D543" s="185"/>
      <c r="E543" s="185"/>
      <c r="F543" s="185"/>
      <c r="G543" s="185"/>
      <c r="H543" s="185"/>
      <c r="I543" s="185"/>
      <c r="J543" s="185"/>
      <c r="K543" s="185"/>
      <c r="L543" s="185"/>
      <c r="M543" s="185"/>
      <c r="N543" s="185"/>
      <c r="O543" s="185"/>
      <c r="P543" s="185"/>
      <c r="Q543" s="185"/>
      <c r="R543" s="185"/>
      <c r="S543" s="185"/>
      <c r="T543" s="185"/>
      <c r="U543" s="185"/>
      <c r="V543" s="181"/>
    </row>
    <row r="544" ht="18.75" customHeight="1">
      <c r="A544" s="181"/>
      <c r="B544" s="185"/>
      <c r="C544" s="185"/>
      <c r="D544" s="185"/>
      <c r="E544" s="185"/>
      <c r="F544" s="185"/>
      <c r="G544" s="185"/>
      <c r="H544" s="185"/>
      <c r="I544" s="185"/>
      <c r="J544" s="185"/>
      <c r="K544" s="185"/>
      <c r="L544" s="185"/>
      <c r="M544" s="185"/>
      <c r="N544" s="185"/>
      <c r="O544" s="185"/>
      <c r="P544" s="185"/>
      <c r="Q544" s="185"/>
      <c r="R544" s="185"/>
      <c r="S544" s="185"/>
      <c r="T544" s="185"/>
      <c r="U544" s="185"/>
      <c r="V544" s="181"/>
    </row>
    <row r="545" ht="18.75" customHeight="1">
      <c r="A545" s="181"/>
      <c r="B545" s="185"/>
      <c r="C545" s="185"/>
      <c r="D545" s="185"/>
      <c r="E545" s="185"/>
      <c r="F545" s="185"/>
      <c r="G545" s="185"/>
      <c r="H545" s="185"/>
      <c r="I545" s="185"/>
      <c r="J545" s="185"/>
      <c r="K545" s="185"/>
      <c r="L545" s="185"/>
      <c r="M545" s="185"/>
      <c r="N545" s="185"/>
      <c r="O545" s="185"/>
      <c r="P545" s="185"/>
      <c r="Q545" s="185"/>
      <c r="R545" s="185"/>
      <c r="S545" s="185"/>
      <c r="T545" s="185"/>
      <c r="U545" s="185"/>
      <c r="V545" s="181"/>
    </row>
    <row r="546" ht="18.75" customHeight="1">
      <c r="A546" s="181"/>
      <c r="B546" s="185"/>
      <c r="C546" s="185"/>
      <c r="D546" s="185"/>
      <c r="E546" s="185"/>
      <c r="F546" s="185"/>
      <c r="G546" s="185"/>
      <c r="H546" s="185"/>
      <c r="I546" s="185"/>
      <c r="J546" s="185"/>
      <c r="K546" s="185"/>
      <c r="L546" s="185"/>
      <c r="M546" s="185"/>
      <c r="N546" s="185"/>
      <c r="O546" s="185"/>
      <c r="P546" s="185"/>
      <c r="Q546" s="185"/>
      <c r="R546" s="185"/>
      <c r="S546" s="185"/>
      <c r="T546" s="185"/>
      <c r="U546" s="185"/>
      <c r="V546" s="181"/>
    </row>
    <row r="547" ht="18.75" customHeight="1">
      <c r="A547" s="181"/>
      <c r="B547" s="185"/>
      <c r="C547" s="185"/>
      <c r="D547" s="185"/>
      <c r="E547" s="185"/>
      <c r="F547" s="185"/>
      <c r="G547" s="185"/>
      <c r="H547" s="185"/>
      <c r="I547" s="185"/>
      <c r="J547" s="185"/>
      <c r="K547" s="185"/>
      <c r="L547" s="185"/>
      <c r="M547" s="185"/>
      <c r="N547" s="185"/>
      <c r="O547" s="185"/>
      <c r="P547" s="185"/>
      <c r="Q547" s="185"/>
      <c r="R547" s="185"/>
      <c r="S547" s="185"/>
      <c r="T547" s="185"/>
      <c r="U547" s="185"/>
      <c r="V547" s="181"/>
    </row>
    <row r="548" ht="18.75" customHeight="1">
      <c r="A548" s="181"/>
      <c r="B548" s="185"/>
      <c r="C548" s="185"/>
      <c r="D548" s="185"/>
      <c r="E548" s="185"/>
      <c r="F548" s="185"/>
      <c r="G548" s="185"/>
      <c r="H548" s="185"/>
      <c r="I548" s="185"/>
      <c r="J548" s="185"/>
      <c r="K548" s="185"/>
      <c r="L548" s="185"/>
      <c r="M548" s="185"/>
      <c r="N548" s="185"/>
      <c r="O548" s="185"/>
      <c r="P548" s="185"/>
      <c r="Q548" s="185"/>
      <c r="R548" s="185"/>
      <c r="S548" s="185"/>
      <c r="T548" s="185"/>
      <c r="U548" s="185"/>
      <c r="V548" s="181"/>
    </row>
    <row r="549" ht="18.75" customHeight="1">
      <c r="A549" s="181"/>
      <c r="B549" s="185"/>
      <c r="C549" s="185"/>
      <c r="D549" s="185"/>
      <c r="E549" s="185"/>
      <c r="F549" s="185"/>
      <c r="G549" s="185"/>
      <c r="H549" s="185"/>
      <c r="I549" s="185"/>
      <c r="J549" s="185"/>
      <c r="K549" s="185"/>
      <c r="L549" s="185"/>
      <c r="M549" s="185"/>
      <c r="N549" s="185"/>
      <c r="O549" s="185"/>
      <c r="P549" s="185"/>
      <c r="Q549" s="185"/>
      <c r="R549" s="185"/>
      <c r="S549" s="185"/>
      <c r="T549" s="185"/>
      <c r="U549" s="185"/>
      <c r="V549" s="181"/>
    </row>
    <row r="550" ht="18.75" customHeight="1">
      <c r="A550" s="181"/>
      <c r="B550" s="185"/>
      <c r="C550" s="185"/>
      <c r="D550" s="185"/>
      <c r="E550" s="185"/>
      <c r="F550" s="185"/>
      <c r="G550" s="185"/>
      <c r="H550" s="185"/>
      <c r="I550" s="185"/>
      <c r="J550" s="185"/>
      <c r="K550" s="185"/>
      <c r="L550" s="185"/>
      <c r="M550" s="185"/>
      <c r="N550" s="185"/>
      <c r="O550" s="185"/>
      <c r="P550" s="185"/>
      <c r="Q550" s="185"/>
      <c r="R550" s="185"/>
      <c r="S550" s="185"/>
      <c r="T550" s="185"/>
      <c r="U550" s="185"/>
      <c r="V550" s="181"/>
    </row>
    <row r="551" ht="18.75" customHeight="1">
      <c r="A551" s="181"/>
      <c r="B551" s="185"/>
      <c r="C551" s="185"/>
      <c r="D551" s="185"/>
      <c r="E551" s="185"/>
      <c r="F551" s="185"/>
      <c r="G551" s="185"/>
      <c r="H551" s="185"/>
      <c r="I551" s="185"/>
      <c r="J551" s="185"/>
      <c r="K551" s="185"/>
      <c r="L551" s="185"/>
      <c r="M551" s="185"/>
      <c r="N551" s="185"/>
      <c r="O551" s="185"/>
      <c r="P551" s="185"/>
      <c r="Q551" s="185"/>
      <c r="R551" s="185"/>
      <c r="S551" s="185"/>
      <c r="T551" s="185"/>
      <c r="U551" s="185"/>
      <c r="V551" s="181"/>
    </row>
    <row r="552" ht="18.75" customHeight="1">
      <c r="A552" s="181"/>
      <c r="B552" s="185"/>
      <c r="C552" s="185"/>
      <c r="D552" s="185"/>
      <c r="E552" s="185"/>
      <c r="F552" s="185"/>
      <c r="G552" s="185"/>
      <c r="H552" s="185"/>
      <c r="I552" s="185"/>
      <c r="J552" s="185"/>
      <c r="K552" s="185"/>
      <c r="L552" s="185"/>
      <c r="M552" s="185"/>
      <c r="N552" s="185"/>
      <c r="O552" s="185"/>
      <c r="P552" s="185"/>
      <c r="Q552" s="185"/>
      <c r="R552" s="185"/>
      <c r="S552" s="185"/>
      <c r="T552" s="185"/>
      <c r="U552" s="185"/>
      <c r="V552" s="181"/>
    </row>
    <row r="553" ht="18.75" customHeight="1">
      <c r="A553" s="181"/>
      <c r="B553" s="185"/>
      <c r="C553" s="185"/>
      <c r="D553" s="185"/>
      <c r="E553" s="185"/>
      <c r="F553" s="185"/>
      <c r="G553" s="185"/>
      <c r="H553" s="185"/>
      <c r="I553" s="185"/>
      <c r="J553" s="185"/>
      <c r="K553" s="185"/>
      <c r="L553" s="185"/>
      <c r="M553" s="185"/>
      <c r="N553" s="185"/>
      <c r="O553" s="185"/>
      <c r="P553" s="185"/>
      <c r="Q553" s="185"/>
      <c r="R553" s="185"/>
      <c r="S553" s="185"/>
      <c r="T553" s="185"/>
      <c r="U553" s="185"/>
      <c r="V553" s="181"/>
    </row>
    <row r="554" ht="18.75" customHeight="1">
      <c r="A554" s="181"/>
      <c r="B554" s="185"/>
      <c r="C554" s="185"/>
      <c r="D554" s="185"/>
      <c r="E554" s="185"/>
      <c r="F554" s="185"/>
      <c r="G554" s="185"/>
      <c r="H554" s="185"/>
      <c r="I554" s="185"/>
      <c r="J554" s="185"/>
      <c r="K554" s="185"/>
      <c r="L554" s="185"/>
      <c r="M554" s="185"/>
      <c r="N554" s="185"/>
      <c r="O554" s="185"/>
      <c r="P554" s="185"/>
      <c r="Q554" s="185"/>
      <c r="R554" s="185"/>
      <c r="S554" s="185"/>
      <c r="T554" s="185"/>
      <c r="U554" s="185"/>
      <c r="V554" s="181"/>
    </row>
    <row r="555" ht="18.75" customHeight="1">
      <c r="A555" s="181"/>
      <c r="B555" s="185"/>
      <c r="C555" s="185"/>
      <c r="D555" s="185"/>
      <c r="E555" s="185"/>
      <c r="F555" s="185"/>
      <c r="G555" s="185"/>
      <c r="H555" s="185"/>
      <c r="I555" s="185"/>
      <c r="J555" s="185"/>
      <c r="K555" s="185"/>
      <c r="L555" s="185"/>
      <c r="M555" s="185"/>
      <c r="N555" s="185"/>
      <c r="O555" s="185"/>
      <c r="P555" s="185"/>
      <c r="Q555" s="185"/>
      <c r="R555" s="185"/>
      <c r="S555" s="185"/>
      <c r="T555" s="185"/>
      <c r="U555" s="185"/>
      <c r="V555" s="181"/>
    </row>
    <row r="556" ht="18.75" customHeight="1">
      <c r="A556" s="181"/>
      <c r="B556" s="185"/>
      <c r="C556" s="185"/>
      <c r="D556" s="185"/>
      <c r="E556" s="185"/>
      <c r="F556" s="185"/>
      <c r="G556" s="185"/>
      <c r="H556" s="185"/>
      <c r="I556" s="185"/>
      <c r="J556" s="185"/>
      <c r="K556" s="185"/>
      <c r="L556" s="185"/>
      <c r="M556" s="185"/>
      <c r="N556" s="185"/>
      <c r="O556" s="185"/>
      <c r="P556" s="185"/>
      <c r="Q556" s="185"/>
      <c r="R556" s="185"/>
      <c r="S556" s="185"/>
      <c r="T556" s="185"/>
      <c r="U556" s="185"/>
      <c r="V556" s="181"/>
    </row>
    <row r="557" ht="18.75" customHeight="1">
      <c r="A557" s="181"/>
      <c r="B557" s="185"/>
      <c r="C557" s="185"/>
      <c r="D557" s="185"/>
      <c r="E557" s="185"/>
      <c r="F557" s="185"/>
      <c r="G557" s="185"/>
      <c r="H557" s="185"/>
      <c r="I557" s="185"/>
      <c r="J557" s="185"/>
      <c r="K557" s="185"/>
      <c r="L557" s="185"/>
      <c r="M557" s="185"/>
      <c r="N557" s="185"/>
      <c r="O557" s="185"/>
      <c r="P557" s="185"/>
      <c r="Q557" s="185"/>
      <c r="R557" s="185"/>
      <c r="S557" s="185"/>
      <c r="T557" s="185"/>
      <c r="U557" s="185"/>
      <c r="V557" s="181"/>
    </row>
    <row r="558" ht="18.75" customHeight="1">
      <c r="A558" s="181"/>
      <c r="B558" s="185"/>
      <c r="C558" s="185"/>
      <c r="D558" s="185"/>
      <c r="E558" s="185"/>
      <c r="F558" s="185"/>
      <c r="G558" s="185"/>
      <c r="H558" s="185"/>
      <c r="I558" s="185"/>
      <c r="J558" s="185"/>
      <c r="K558" s="185"/>
      <c r="L558" s="185"/>
      <c r="M558" s="185"/>
      <c r="N558" s="185"/>
      <c r="O558" s="185"/>
      <c r="P558" s="185"/>
      <c r="Q558" s="185"/>
      <c r="R558" s="185"/>
      <c r="S558" s="185"/>
      <c r="T558" s="185"/>
      <c r="U558" s="185"/>
      <c r="V558" s="181"/>
    </row>
    <row r="559" ht="18.75" customHeight="1">
      <c r="A559" s="181"/>
      <c r="B559" s="185"/>
      <c r="C559" s="185"/>
      <c r="D559" s="185"/>
      <c r="E559" s="185"/>
      <c r="F559" s="185"/>
      <c r="G559" s="185"/>
      <c r="H559" s="185"/>
      <c r="I559" s="185"/>
      <c r="J559" s="185"/>
      <c r="K559" s="185"/>
      <c r="L559" s="185"/>
      <c r="M559" s="185"/>
      <c r="N559" s="185"/>
      <c r="O559" s="185"/>
      <c r="P559" s="185"/>
      <c r="Q559" s="185"/>
      <c r="R559" s="185"/>
      <c r="S559" s="185"/>
      <c r="T559" s="185"/>
      <c r="U559" s="185"/>
      <c r="V559" s="181"/>
    </row>
    <row r="560" ht="18.75" customHeight="1">
      <c r="A560" s="181"/>
      <c r="B560" s="185"/>
      <c r="C560" s="185"/>
      <c r="D560" s="185"/>
      <c r="E560" s="185"/>
      <c r="F560" s="185"/>
      <c r="G560" s="185"/>
      <c r="H560" s="185"/>
      <c r="I560" s="185"/>
      <c r="J560" s="185"/>
      <c r="K560" s="185"/>
      <c r="L560" s="185"/>
      <c r="M560" s="185"/>
      <c r="N560" s="185"/>
      <c r="O560" s="185"/>
      <c r="P560" s="185"/>
      <c r="Q560" s="185"/>
      <c r="R560" s="185"/>
      <c r="S560" s="185"/>
      <c r="T560" s="185"/>
      <c r="U560" s="185"/>
      <c r="V560" s="181"/>
    </row>
    <row r="561" ht="18.75" customHeight="1">
      <c r="A561" s="181"/>
      <c r="B561" s="185"/>
      <c r="C561" s="185"/>
      <c r="D561" s="185"/>
      <c r="E561" s="185"/>
      <c r="F561" s="185"/>
      <c r="G561" s="185"/>
      <c r="H561" s="185"/>
      <c r="I561" s="185"/>
      <c r="J561" s="185"/>
      <c r="K561" s="185"/>
      <c r="L561" s="185"/>
      <c r="M561" s="185"/>
      <c r="N561" s="185"/>
      <c r="O561" s="185"/>
      <c r="P561" s="185"/>
      <c r="Q561" s="185"/>
      <c r="R561" s="185"/>
      <c r="S561" s="185"/>
      <c r="T561" s="185"/>
      <c r="U561" s="185"/>
      <c r="V561" s="181"/>
    </row>
    <row r="562" ht="18.75" customHeight="1">
      <c r="A562" s="181"/>
      <c r="B562" s="185"/>
      <c r="C562" s="185"/>
      <c r="D562" s="185"/>
      <c r="E562" s="185"/>
      <c r="F562" s="185"/>
      <c r="G562" s="185"/>
      <c r="H562" s="185"/>
      <c r="I562" s="185"/>
      <c r="J562" s="185"/>
      <c r="K562" s="185"/>
      <c r="L562" s="185"/>
      <c r="M562" s="185"/>
      <c r="N562" s="185"/>
      <c r="O562" s="185"/>
      <c r="P562" s="185"/>
      <c r="Q562" s="185"/>
      <c r="R562" s="185"/>
      <c r="S562" s="185"/>
      <c r="T562" s="185"/>
      <c r="U562" s="185"/>
      <c r="V562" s="181"/>
    </row>
    <row r="563" ht="18.75" customHeight="1">
      <c r="A563" s="181"/>
      <c r="B563" s="185"/>
      <c r="C563" s="185"/>
      <c r="D563" s="185"/>
      <c r="E563" s="185"/>
      <c r="F563" s="185"/>
      <c r="G563" s="185"/>
      <c r="H563" s="185"/>
      <c r="I563" s="185"/>
      <c r="J563" s="185"/>
      <c r="K563" s="185"/>
      <c r="L563" s="185"/>
      <c r="M563" s="185"/>
      <c r="N563" s="185"/>
      <c r="O563" s="185"/>
      <c r="P563" s="185"/>
      <c r="Q563" s="185"/>
      <c r="R563" s="185"/>
      <c r="S563" s="185"/>
      <c r="T563" s="185"/>
      <c r="U563" s="185"/>
      <c r="V563" s="181"/>
    </row>
    <row r="564" ht="18.75" customHeight="1">
      <c r="A564" s="181"/>
      <c r="B564" s="185"/>
      <c r="C564" s="185"/>
      <c r="D564" s="185"/>
      <c r="E564" s="185"/>
      <c r="F564" s="185"/>
      <c r="G564" s="185"/>
      <c r="H564" s="185"/>
      <c r="I564" s="185"/>
      <c r="J564" s="185"/>
      <c r="K564" s="185"/>
      <c r="L564" s="185"/>
      <c r="M564" s="185"/>
      <c r="N564" s="185"/>
      <c r="O564" s="185"/>
      <c r="P564" s="185"/>
      <c r="Q564" s="185"/>
      <c r="R564" s="185"/>
      <c r="S564" s="185"/>
      <c r="T564" s="185"/>
      <c r="U564" s="185"/>
      <c r="V564" s="181"/>
    </row>
    <row r="565" ht="18.75" customHeight="1">
      <c r="A565" s="181"/>
      <c r="B565" s="185"/>
      <c r="C565" s="185"/>
      <c r="D565" s="185"/>
      <c r="E565" s="185"/>
      <c r="F565" s="185"/>
      <c r="G565" s="185"/>
      <c r="H565" s="185"/>
      <c r="I565" s="185"/>
      <c r="J565" s="185"/>
      <c r="K565" s="185"/>
      <c r="L565" s="185"/>
      <c r="M565" s="185"/>
      <c r="N565" s="185"/>
      <c r="O565" s="185"/>
      <c r="P565" s="185"/>
      <c r="Q565" s="185"/>
      <c r="R565" s="185"/>
      <c r="S565" s="185"/>
      <c r="T565" s="185"/>
      <c r="U565" s="185"/>
      <c r="V565" s="181"/>
    </row>
    <row r="566" ht="18.75" customHeight="1">
      <c r="A566" s="181"/>
      <c r="B566" s="185"/>
      <c r="C566" s="185"/>
      <c r="D566" s="185"/>
      <c r="E566" s="185"/>
      <c r="F566" s="185"/>
      <c r="G566" s="185"/>
      <c r="H566" s="185"/>
      <c r="I566" s="185"/>
      <c r="J566" s="185"/>
      <c r="K566" s="185"/>
      <c r="L566" s="185"/>
      <c r="M566" s="185"/>
      <c r="N566" s="185"/>
      <c r="O566" s="185"/>
      <c r="P566" s="185"/>
      <c r="Q566" s="185"/>
      <c r="R566" s="185"/>
      <c r="S566" s="185"/>
      <c r="T566" s="185"/>
      <c r="U566" s="185"/>
      <c r="V566" s="181"/>
    </row>
    <row r="567" ht="18.75" customHeight="1">
      <c r="A567" s="181"/>
      <c r="B567" s="185"/>
      <c r="C567" s="185"/>
      <c r="D567" s="185"/>
      <c r="E567" s="185"/>
      <c r="F567" s="185"/>
      <c r="G567" s="185"/>
      <c r="H567" s="185"/>
      <c r="I567" s="185"/>
      <c r="J567" s="185"/>
      <c r="K567" s="185"/>
      <c r="L567" s="185"/>
      <c r="M567" s="185"/>
      <c r="N567" s="185"/>
      <c r="O567" s="185"/>
      <c r="P567" s="185"/>
      <c r="Q567" s="185"/>
      <c r="R567" s="185"/>
      <c r="S567" s="185"/>
      <c r="T567" s="185"/>
      <c r="U567" s="185"/>
      <c r="V567" s="181"/>
    </row>
    <row r="568" ht="18.75" customHeight="1">
      <c r="A568" s="181"/>
      <c r="B568" s="185"/>
      <c r="C568" s="185"/>
      <c r="D568" s="185"/>
      <c r="E568" s="185"/>
      <c r="F568" s="185"/>
      <c r="G568" s="185"/>
      <c r="H568" s="185"/>
      <c r="I568" s="185"/>
      <c r="J568" s="185"/>
      <c r="K568" s="185"/>
      <c r="L568" s="185"/>
      <c r="M568" s="185"/>
      <c r="N568" s="185"/>
      <c r="O568" s="185"/>
      <c r="P568" s="185"/>
      <c r="Q568" s="185"/>
      <c r="R568" s="185"/>
      <c r="S568" s="185"/>
      <c r="T568" s="185"/>
      <c r="U568" s="185"/>
      <c r="V568" s="181"/>
    </row>
    <row r="569" ht="18.75" customHeight="1">
      <c r="A569" s="181"/>
      <c r="B569" s="185"/>
      <c r="C569" s="185"/>
      <c r="D569" s="185"/>
      <c r="E569" s="185"/>
      <c r="F569" s="185"/>
      <c r="G569" s="185"/>
      <c r="H569" s="185"/>
      <c r="I569" s="185"/>
      <c r="J569" s="185"/>
      <c r="K569" s="185"/>
      <c r="L569" s="185"/>
      <c r="M569" s="185"/>
      <c r="N569" s="185"/>
      <c r="O569" s="185"/>
      <c r="P569" s="185"/>
      <c r="Q569" s="185"/>
      <c r="R569" s="185"/>
      <c r="S569" s="185"/>
      <c r="T569" s="185"/>
      <c r="U569" s="185"/>
      <c r="V569" s="181"/>
    </row>
    <row r="570" ht="18.75" customHeight="1">
      <c r="A570" s="181"/>
      <c r="B570" s="185"/>
      <c r="C570" s="185"/>
      <c r="D570" s="185"/>
      <c r="E570" s="185"/>
      <c r="F570" s="185"/>
      <c r="G570" s="185"/>
      <c r="H570" s="185"/>
      <c r="I570" s="185"/>
      <c r="J570" s="185"/>
      <c r="K570" s="185"/>
      <c r="L570" s="185"/>
      <c r="M570" s="185"/>
      <c r="N570" s="185"/>
      <c r="O570" s="185"/>
      <c r="P570" s="185"/>
      <c r="Q570" s="185"/>
      <c r="R570" s="185"/>
      <c r="S570" s="185"/>
      <c r="T570" s="185"/>
      <c r="U570" s="185"/>
      <c r="V570" s="181"/>
    </row>
    <row r="571" ht="18.75" customHeight="1">
      <c r="A571" s="181"/>
      <c r="B571" s="185"/>
      <c r="C571" s="185"/>
      <c r="D571" s="185"/>
      <c r="E571" s="185"/>
      <c r="F571" s="185"/>
      <c r="G571" s="185"/>
      <c r="H571" s="185"/>
      <c r="I571" s="185"/>
      <c r="J571" s="185"/>
      <c r="K571" s="185"/>
      <c r="L571" s="185"/>
      <c r="M571" s="185"/>
      <c r="N571" s="185"/>
      <c r="O571" s="185"/>
      <c r="P571" s="185"/>
      <c r="Q571" s="185"/>
      <c r="R571" s="185"/>
      <c r="S571" s="185"/>
      <c r="T571" s="185"/>
      <c r="U571" s="185"/>
      <c r="V571" s="181"/>
    </row>
    <row r="572" ht="18.75" customHeight="1">
      <c r="A572" s="181"/>
      <c r="B572" s="185"/>
      <c r="C572" s="185"/>
      <c r="D572" s="185"/>
      <c r="E572" s="185"/>
      <c r="F572" s="185"/>
      <c r="G572" s="185"/>
      <c r="H572" s="185"/>
      <c r="I572" s="185"/>
      <c r="J572" s="185"/>
      <c r="K572" s="185"/>
      <c r="L572" s="185"/>
      <c r="M572" s="185"/>
      <c r="N572" s="185"/>
      <c r="O572" s="185"/>
      <c r="P572" s="185"/>
      <c r="Q572" s="185"/>
      <c r="R572" s="185"/>
      <c r="S572" s="185"/>
      <c r="T572" s="185"/>
      <c r="U572" s="185"/>
      <c r="V572" s="181"/>
    </row>
    <row r="573" ht="18.75" customHeight="1">
      <c r="A573" s="181"/>
      <c r="B573" s="185"/>
      <c r="C573" s="185"/>
      <c r="D573" s="185"/>
      <c r="E573" s="185"/>
      <c r="F573" s="185"/>
      <c r="G573" s="185"/>
      <c r="H573" s="185"/>
      <c r="I573" s="185"/>
      <c r="J573" s="185"/>
      <c r="K573" s="185"/>
      <c r="L573" s="185"/>
      <c r="M573" s="185"/>
      <c r="N573" s="185"/>
      <c r="O573" s="185"/>
      <c r="P573" s="185"/>
      <c r="Q573" s="185"/>
      <c r="R573" s="185"/>
      <c r="S573" s="185"/>
      <c r="T573" s="185"/>
      <c r="U573" s="185"/>
      <c r="V573" s="181"/>
    </row>
    <row r="574" ht="18.75" customHeight="1">
      <c r="A574" s="181"/>
      <c r="B574" s="185"/>
      <c r="C574" s="185"/>
      <c r="D574" s="185"/>
      <c r="E574" s="185"/>
      <c r="F574" s="185"/>
      <c r="G574" s="185"/>
      <c r="H574" s="185"/>
      <c r="I574" s="185"/>
      <c r="J574" s="185"/>
      <c r="K574" s="185"/>
      <c r="L574" s="185"/>
      <c r="M574" s="185"/>
      <c r="N574" s="185"/>
      <c r="O574" s="185"/>
      <c r="P574" s="185"/>
      <c r="Q574" s="185"/>
      <c r="R574" s="185"/>
      <c r="S574" s="185"/>
      <c r="T574" s="185"/>
      <c r="U574" s="185"/>
      <c r="V574" s="181"/>
    </row>
    <row r="575" ht="18.75" customHeight="1">
      <c r="A575" s="181"/>
      <c r="B575" s="185"/>
      <c r="C575" s="185"/>
      <c r="D575" s="185"/>
      <c r="E575" s="185"/>
      <c r="F575" s="185"/>
      <c r="G575" s="185"/>
      <c r="H575" s="185"/>
      <c r="I575" s="185"/>
      <c r="J575" s="185"/>
      <c r="K575" s="185"/>
      <c r="L575" s="185"/>
      <c r="M575" s="185"/>
      <c r="N575" s="185"/>
      <c r="O575" s="185"/>
      <c r="P575" s="185"/>
      <c r="Q575" s="185"/>
      <c r="R575" s="185"/>
      <c r="S575" s="185"/>
      <c r="T575" s="185"/>
      <c r="U575" s="185"/>
      <c r="V575" s="181"/>
    </row>
    <row r="576" ht="18.75" customHeight="1">
      <c r="A576" s="181"/>
      <c r="B576" s="185"/>
      <c r="C576" s="185"/>
      <c r="D576" s="185"/>
      <c r="E576" s="185"/>
      <c r="F576" s="185"/>
      <c r="G576" s="185"/>
      <c r="H576" s="185"/>
      <c r="I576" s="185"/>
      <c r="J576" s="185"/>
      <c r="K576" s="185"/>
      <c r="L576" s="185"/>
      <c r="M576" s="185"/>
      <c r="N576" s="185"/>
      <c r="O576" s="185"/>
      <c r="P576" s="185"/>
      <c r="Q576" s="185"/>
      <c r="R576" s="185"/>
      <c r="S576" s="185"/>
      <c r="T576" s="185"/>
      <c r="U576" s="185"/>
      <c r="V576" s="181"/>
    </row>
    <row r="577" ht="18.75" customHeight="1">
      <c r="A577" s="181"/>
      <c r="B577" s="185"/>
      <c r="C577" s="185"/>
      <c r="D577" s="185"/>
      <c r="E577" s="185"/>
      <c r="F577" s="185"/>
      <c r="G577" s="185"/>
      <c r="H577" s="185"/>
      <c r="I577" s="185"/>
      <c r="J577" s="185"/>
      <c r="K577" s="185"/>
      <c r="L577" s="185"/>
      <c r="M577" s="185"/>
      <c r="N577" s="185"/>
      <c r="O577" s="185"/>
      <c r="P577" s="185"/>
      <c r="Q577" s="185"/>
      <c r="R577" s="185"/>
      <c r="S577" s="185"/>
      <c r="T577" s="185"/>
      <c r="U577" s="185"/>
      <c r="V577" s="181"/>
    </row>
    <row r="578" ht="18.75" customHeight="1">
      <c r="A578" s="181"/>
      <c r="B578" s="185"/>
      <c r="C578" s="185"/>
      <c r="D578" s="185"/>
      <c r="E578" s="185"/>
      <c r="F578" s="185"/>
      <c r="G578" s="185"/>
      <c r="H578" s="185"/>
      <c r="I578" s="185"/>
      <c r="J578" s="185"/>
      <c r="K578" s="185"/>
      <c r="L578" s="185"/>
      <c r="M578" s="185"/>
      <c r="N578" s="185"/>
      <c r="O578" s="185"/>
      <c r="P578" s="185"/>
      <c r="Q578" s="185"/>
      <c r="R578" s="185"/>
      <c r="S578" s="185"/>
      <c r="T578" s="185"/>
      <c r="U578" s="185"/>
      <c r="V578" s="181"/>
    </row>
    <row r="579" ht="18.75" customHeight="1">
      <c r="A579" s="181"/>
      <c r="B579" s="185"/>
      <c r="C579" s="185"/>
      <c r="D579" s="185"/>
      <c r="E579" s="185"/>
      <c r="F579" s="185"/>
      <c r="G579" s="185"/>
      <c r="H579" s="185"/>
      <c r="I579" s="185"/>
      <c r="J579" s="185"/>
      <c r="K579" s="185"/>
      <c r="L579" s="185"/>
      <c r="M579" s="185"/>
      <c r="N579" s="185"/>
      <c r="O579" s="185"/>
      <c r="P579" s="185"/>
      <c r="Q579" s="185"/>
      <c r="R579" s="185"/>
      <c r="S579" s="185"/>
      <c r="T579" s="185"/>
      <c r="U579" s="185"/>
      <c r="V579" s="181"/>
    </row>
    <row r="580" ht="18.75" customHeight="1">
      <c r="A580" s="181"/>
      <c r="B580" s="185"/>
      <c r="C580" s="185"/>
      <c r="D580" s="185"/>
      <c r="E580" s="185"/>
      <c r="F580" s="185"/>
      <c r="G580" s="185"/>
      <c r="H580" s="185"/>
      <c r="I580" s="185"/>
      <c r="J580" s="185"/>
      <c r="K580" s="185"/>
      <c r="L580" s="185"/>
      <c r="M580" s="185"/>
      <c r="N580" s="185"/>
      <c r="O580" s="185"/>
      <c r="P580" s="185"/>
      <c r="Q580" s="185"/>
      <c r="R580" s="185"/>
      <c r="S580" s="185"/>
      <c r="T580" s="185"/>
      <c r="U580" s="185"/>
      <c r="V580" s="181"/>
    </row>
    <row r="581" ht="18.75" customHeight="1">
      <c r="A581" s="181"/>
      <c r="B581" s="185"/>
      <c r="C581" s="185"/>
      <c r="D581" s="185"/>
      <c r="E581" s="185"/>
      <c r="F581" s="185"/>
      <c r="G581" s="185"/>
      <c r="H581" s="185"/>
      <c r="I581" s="185"/>
      <c r="J581" s="185"/>
      <c r="K581" s="185"/>
      <c r="L581" s="185"/>
      <c r="M581" s="185"/>
      <c r="N581" s="185"/>
      <c r="O581" s="185"/>
      <c r="P581" s="185"/>
      <c r="Q581" s="185"/>
      <c r="R581" s="185"/>
      <c r="S581" s="185"/>
      <c r="T581" s="185"/>
      <c r="U581" s="185"/>
      <c r="V581" s="181"/>
    </row>
    <row r="582" ht="18.75" customHeight="1">
      <c r="A582" s="181"/>
      <c r="B582" s="185"/>
      <c r="C582" s="185"/>
      <c r="D582" s="185"/>
      <c r="E582" s="185"/>
      <c r="F582" s="185"/>
      <c r="G582" s="185"/>
      <c r="H582" s="185"/>
      <c r="I582" s="185"/>
      <c r="J582" s="185"/>
      <c r="K582" s="185"/>
      <c r="L582" s="185"/>
      <c r="M582" s="185"/>
      <c r="N582" s="185"/>
      <c r="O582" s="185"/>
      <c r="P582" s="185"/>
      <c r="Q582" s="185"/>
      <c r="R582" s="185"/>
      <c r="S582" s="185"/>
      <c r="T582" s="185"/>
      <c r="U582" s="185"/>
      <c r="V582" s="181"/>
    </row>
    <row r="583" ht="18.75" customHeight="1">
      <c r="A583" s="181"/>
      <c r="B583" s="185"/>
      <c r="C583" s="185"/>
      <c r="D583" s="185"/>
      <c r="E583" s="185"/>
      <c r="F583" s="185"/>
      <c r="G583" s="185"/>
      <c r="H583" s="185"/>
      <c r="I583" s="185"/>
      <c r="J583" s="185"/>
      <c r="K583" s="185"/>
      <c r="L583" s="185"/>
      <c r="M583" s="185"/>
      <c r="N583" s="185"/>
      <c r="O583" s="185"/>
      <c r="P583" s="185"/>
      <c r="Q583" s="185"/>
      <c r="R583" s="185"/>
      <c r="S583" s="185"/>
      <c r="T583" s="185"/>
      <c r="U583" s="185"/>
      <c r="V583" s="181"/>
    </row>
    <row r="584" ht="18.75" customHeight="1">
      <c r="A584" s="181"/>
      <c r="B584" s="185"/>
      <c r="C584" s="185"/>
      <c r="D584" s="185"/>
      <c r="E584" s="185"/>
      <c r="F584" s="185"/>
      <c r="G584" s="185"/>
      <c r="H584" s="185"/>
      <c r="I584" s="185"/>
      <c r="J584" s="185"/>
      <c r="K584" s="185"/>
      <c r="L584" s="185"/>
      <c r="M584" s="185"/>
      <c r="N584" s="185"/>
      <c r="O584" s="185"/>
      <c r="P584" s="185"/>
      <c r="Q584" s="185"/>
      <c r="R584" s="185"/>
      <c r="S584" s="185"/>
      <c r="T584" s="185"/>
      <c r="U584" s="185"/>
      <c r="V584" s="181"/>
    </row>
    <row r="585" ht="18.75" customHeight="1">
      <c r="A585" s="181"/>
      <c r="B585" s="185"/>
      <c r="C585" s="185"/>
      <c r="D585" s="185"/>
      <c r="E585" s="185"/>
      <c r="F585" s="185"/>
      <c r="G585" s="185"/>
      <c r="H585" s="185"/>
      <c r="I585" s="185"/>
      <c r="J585" s="185"/>
      <c r="K585" s="185"/>
      <c r="L585" s="185"/>
      <c r="M585" s="185"/>
      <c r="N585" s="185"/>
      <c r="O585" s="185"/>
      <c r="P585" s="185"/>
      <c r="Q585" s="185"/>
      <c r="R585" s="185"/>
      <c r="S585" s="185"/>
      <c r="T585" s="185"/>
      <c r="U585" s="185"/>
      <c r="V585" s="181"/>
    </row>
    <row r="586" ht="18.75" customHeight="1">
      <c r="A586" s="181"/>
      <c r="B586" s="185"/>
      <c r="C586" s="185"/>
      <c r="D586" s="185"/>
      <c r="E586" s="185"/>
      <c r="F586" s="185"/>
      <c r="G586" s="185"/>
      <c r="H586" s="185"/>
      <c r="I586" s="185"/>
      <c r="J586" s="185"/>
      <c r="K586" s="185"/>
      <c r="L586" s="185"/>
      <c r="M586" s="185"/>
      <c r="N586" s="185"/>
      <c r="O586" s="185"/>
      <c r="P586" s="185"/>
      <c r="Q586" s="185"/>
      <c r="R586" s="185"/>
      <c r="S586" s="185"/>
      <c r="T586" s="185"/>
      <c r="U586" s="185"/>
      <c r="V586" s="181"/>
    </row>
    <row r="587" ht="18.75" customHeight="1">
      <c r="A587" s="181"/>
      <c r="B587" s="185"/>
      <c r="C587" s="185"/>
      <c r="D587" s="185"/>
      <c r="E587" s="185"/>
      <c r="F587" s="185"/>
      <c r="G587" s="185"/>
      <c r="H587" s="185"/>
      <c r="I587" s="185"/>
      <c r="J587" s="185"/>
      <c r="K587" s="185"/>
      <c r="L587" s="185"/>
      <c r="M587" s="185"/>
      <c r="N587" s="185"/>
      <c r="O587" s="185"/>
      <c r="P587" s="185"/>
      <c r="Q587" s="185"/>
      <c r="R587" s="185"/>
      <c r="S587" s="185"/>
      <c r="T587" s="185"/>
      <c r="U587" s="185"/>
      <c r="V587" s="181"/>
    </row>
    <row r="588" ht="18.75" customHeight="1">
      <c r="A588" s="181"/>
      <c r="B588" s="185"/>
      <c r="C588" s="185"/>
      <c r="D588" s="185"/>
      <c r="E588" s="185"/>
      <c r="F588" s="185"/>
      <c r="G588" s="185"/>
      <c r="H588" s="185"/>
      <c r="I588" s="185"/>
      <c r="J588" s="185"/>
      <c r="K588" s="185"/>
      <c r="L588" s="185"/>
      <c r="M588" s="185"/>
      <c r="N588" s="185"/>
      <c r="O588" s="185"/>
      <c r="P588" s="185"/>
      <c r="Q588" s="185"/>
      <c r="R588" s="185"/>
      <c r="S588" s="185"/>
      <c r="T588" s="185"/>
      <c r="U588" s="185"/>
      <c r="V588" s="181"/>
    </row>
    <row r="589" ht="18.75" customHeight="1">
      <c r="A589" s="181"/>
      <c r="B589" s="185"/>
      <c r="C589" s="185"/>
      <c r="D589" s="185"/>
      <c r="E589" s="185"/>
      <c r="F589" s="185"/>
      <c r="G589" s="185"/>
      <c r="H589" s="185"/>
      <c r="I589" s="185"/>
      <c r="J589" s="185"/>
      <c r="K589" s="185"/>
      <c r="L589" s="185"/>
      <c r="M589" s="185"/>
      <c r="N589" s="185"/>
      <c r="O589" s="185"/>
      <c r="P589" s="185"/>
      <c r="Q589" s="185"/>
      <c r="R589" s="185"/>
      <c r="S589" s="185"/>
      <c r="T589" s="185"/>
      <c r="U589" s="185"/>
      <c r="V589" s="181"/>
    </row>
    <row r="590" ht="18.75" customHeight="1">
      <c r="A590" s="181"/>
      <c r="B590" s="185"/>
      <c r="C590" s="185"/>
      <c r="D590" s="185"/>
      <c r="E590" s="185"/>
      <c r="F590" s="185"/>
      <c r="G590" s="185"/>
      <c r="H590" s="185"/>
      <c r="I590" s="185"/>
      <c r="J590" s="185"/>
      <c r="K590" s="185"/>
      <c r="L590" s="185"/>
      <c r="M590" s="185"/>
      <c r="N590" s="185"/>
      <c r="O590" s="185"/>
      <c r="P590" s="185"/>
      <c r="Q590" s="185"/>
      <c r="R590" s="185"/>
      <c r="S590" s="185"/>
      <c r="T590" s="185"/>
      <c r="U590" s="185"/>
      <c r="V590" s="181"/>
    </row>
    <row r="591" ht="18.75" customHeight="1">
      <c r="A591" s="181"/>
      <c r="B591" s="185"/>
      <c r="C591" s="185"/>
      <c r="D591" s="185"/>
      <c r="E591" s="185"/>
      <c r="F591" s="185"/>
      <c r="G591" s="185"/>
      <c r="H591" s="185"/>
      <c r="I591" s="185"/>
      <c r="J591" s="185"/>
      <c r="K591" s="185"/>
      <c r="L591" s="185"/>
      <c r="M591" s="185"/>
      <c r="N591" s="185"/>
      <c r="O591" s="185"/>
      <c r="P591" s="185"/>
      <c r="Q591" s="185"/>
      <c r="R591" s="185"/>
      <c r="S591" s="185"/>
      <c r="T591" s="185"/>
      <c r="U591" s="185"/>
      <c r="V591" s="181"/>
    </row>
    <row r="592" ht="18.75" customHeight="1">
      <c r="A592" s="181"/>
      <c r="B592" s="185"/>
      <c r="C592" s="185"/>
      <c r="D592" s="185"/>
      <c r="E592" s="185"/>
      <c r="F592" s="185"/>
      <c r="G592" s="185"/>
      <c r="H592" s="185"/>
      <c r="I592" s="185"/>
      <c r="J592" s="185"/>
      <c r="K592" s="185"/>
      <c r="L592" s="185"/>
      <c r="M592" s="185"/>
      <c r="N592" s="185"/>
      <c r="O592" s="185"/>
      <c r="P592" s="185"/>
      <c r="Q592" s="185"/>
      <c r="R592" s="185"/>
      <c r="S592" s="185"/>
      <c r="T592" s="185"/>
      <c r="U592" s="185"/>
      <c r="V592" s="181"/>
    </row>
    <row r="593" ht="18.75" customHeight="1">
      <c r="A593" s="181"/>
      <c r="B593" s="185"/>
      <c r="C593" s="185"/>
      <c r="D593" s="185"/>
      <c r="E593" s="185"/>
      <c r="F593" s="185"/>
      <c r="G593" s="185"/>
      <c r="H593" s="185"/>
      <c r="I593" s="185"/>
      <c r="J593" s="185"/>
      <c r="K593" s="185"/>
      <c r="L593" s="185"/>
      <c r="M593" s="185"/>
      <c r="N593" s="185"/>
      <c r="O593" s="185"/>
      <c r="P593" s="185"/>
      <c r="Q593" s="185"/>
      <c r="R593" s="185"/>
      <c r="S593" s="185"/>
      <c r="T593" s="185"/>
      <c r="U593" s="185"/>
      <c r="V593" s="181"/>
    </row>
    <row r="594" ht="18.75" customHeight="1">
      <c r="A594" s="181"/>
      <c r="B594" s="185"/>
      <c r="C594" s="185"/>
      <c r="D594" s="185"/>
      <c r="E594" s="185"/>
      <c r="F594" s="185"/>
      <c r="G594" s="185"/>
      <c r="H594" s="185"/>
      <c r="I594" s="185"/>
      <c r="J594" s="185"/>
      <c r="K594" s="185"/>
      <c r="L594" s="185"/>
      <c r="M594" s="185"/>
      <c r="N594" s="185"/>
      <c r="O594" s="185"/>
      <c r="P594" s="185"/>
      <c r="Q594" s="185"/>
      <c r="R594" s="185"/>
      <c r="S594" s="185"/>
      <c r="T594" s="185"/>
      <c r="U594" s="185"/>
      <c r="V594" s="181"/>
    </row>
    <row r="595" ht="18.75" customHeight="1">
      <c r="A595" s="181"/>
      <c r="B595" s="185"/>
      <c r="C595" s="185"/>
      <c r="D595" s="185"/>
      <c r="E595" s="185"/>
      <c r="F595" s="185"/>
      <c r="G595" s="185"/>
      <c r="H595" s="185"/>
      <c r="I595" s="185"/>
      <c r="J595" s="185"/>
      <c r="K595" s="185"/>
      <c r="L595" s="185"/>
      <c r="M595" s="185"/>
      <c r="N595" s="185"/>
      <c r="O595" s="185"/>
      <c r="P595" s="185"/>
      <c r="Q595" s="185"/>
      <c r="R595" s="185"/>
      <c r="S595" s="185"/>
      <c r="T595" s="185"/>
      <c r="U595" s="185"/>
      <c r="V595" s="181"/>
    </row>
    <row r="596" ht="18.75" customHeight="1">
      <c r="A596" s="181"/>
      <c r="B596" s="185"/>
      <c r="C596" s="185"/>
      <c r="D596" s="185"/>
      <c r="E596" s="185"/>
      <c r="F596" s="185"/>
      <c r="G596" s="185"/>
      <c r="H596" s="185"/>
      <c r="I596" s="185"/>
      <c r="J596" s="185"/>
      <c r="K596" s="185"/>
      <c r="L596" s="185"/>
      <c r="M596" s="185"/>
      <c r="N596" s="185"/>
      <c r="O596" s="185"/>
      <c r="P596" s="185"/>
      <c r="Q596" s="185"/>
      <c r="R596" s="185"/>
      <c r="S596" s="185"/>
      <c r="T596" s="185"/>
      <c r="U596" s="185"/>
      <c r="V596" s="181"/>
    </row>
    <row r="597" ht="18.75" customHeight="1">
      <c r="A597" s="181"/>
      <c r="B597" s="185"/>
      <c r="C597" s="185"/>
      <c r="D597" s="185"/>
      <c r="E597" s="185"/>
      <c r="F597" s="185"/>
      <c r="G597" s="185"/>
      <c r="H597" s="185"/>
      <c r="I597" s="185"/>
      <c r="J597" s="185"/>
      <c r="K597" s="185"/>
      <c r="L597" s="185"/>
      <c r="M597" s="185"/>
      <c r="N597" s="185"/>
      <c r="O597" s="185"/>
      <c r="P597" s="185"/>
      <c r="Q597" s="185"/>
      <c r="R597" s="185"/>
      <c r="S597" s="185"/>
      <c r="T597" s="185"/>
      <c r="U597" s="185"/>
      <c r="V597" s="181"/>
    </row>
    <row r="598" ht="18.75" customHeight="1">
      <c r="A598" s="181"/>
      <c r="B598" s="185"/>
      <c r="C598" s="185"/>
      <c r="D598" s="185"/>
      <c r="E598" s="185"/>
      <c r="F598" s="185"/>
      <c r="G598" s="185"/>
      <c r="H598" s="185"/>
      <c r="I598" s="185"/>
      <c r="J598" s="185"/>
      <c r="K598" s="185"/>
      <c r="L598" s="185"/>
      <c r="M598" s="185"/>
      <c r="N598" s="185"/>
      <c r="O598" s="185"/>
      <c r="P598" s="185"/>
      <c r="Q598" s="185"/>
      <c r="R598" s="185"/>
      <c r="S598" s="185"/>
      <c r="T598" s="185"/>
      <c r="U598" s="185"/>
      <c r="V598" s="181"/>
    </row>
    <row r="599" ht="18.75" customHeight="1">
      <c r="A599" s="181"/>
      <c r="B599" s="185"/>
      <c r="C599" s="185"/>
      <c r="D599" s="185"/>
      <c r="E599" s="185"/>
      <c r="F599" s="185"/>
      <c r="G599" s="185"/>
      <c r="H599" s="185"/>
      <c r="I599" s="185"/>
      <c r="J599" s="185"/>
      <c r="K599" s="185"/>
      <c r="L599" s="185"/>
      <c r="M599" s="185"/>
      <c r="N599" s="185"/>
      <c r="O599" s="185"/>
      <c r="P599" s="185"/>
      <c r="Q599" s="185"/>
      <c r="R599" s="185"/>
      <c r="S599" s="185"/>
      <c r="T599" s="185"/>
      <c r="U599" s="185"/>
      <c r="V599" s="181"/>
    </row>
    <row r="600" ht="18.75" customHeight="1">
      <c r="A600" s="181"/>
      <c r="B600" s="185"/>
      <c r="C600" s="185"/>
      <c r="D600" s="185"/>
      <c r="E600" s="185"/>
      <c r="F600" s="185"/>
      <c r="G600" s="185"/>
      <c r="H600" s="185"/>
      <c r="I600" s="185"/>
      <c r="J600" s="185"/>
      <c r="K600" s="185"/>
      <c r="L600" s="185"/>
      <c r="M600" s="185"/>
      <c r="N600" s="185"/>
      <c r="O600" s="185"/>
      <c r="P600" s="185"/>
      <c r="Q600" s="185"/>
      <c r="R600" s="185"/>
      <c r="S600" s="185"/>
      <c r="T600" s="185"/>
      <c r="U600" s="185"/>
      <c r="V600" s="181"/>
    </row>
    <row r="601" ht="18.75" customHeight="1">
      <c r="A601" s="181"/>
      <c r="B601" s="185"/>
      <c r="C601" s="185"/>
      <c r="D601" s="185"/>
      <c r="E601" s="185"/>
      <c r="F601" s="185"/>
      <c r="G601" s="185"/>
      <c r="H601" s="185"/>
      <c r="I601" s="185"/>
      <c r="J601" s="185"/>
      <c r="K601" s="185"/>
      <c r="L601" s="185"/>
      <c r="M601" s="185"/>
      <c r="N601" s="185"/>
      <c r="O601" s="185"/>
      <c r="P601" s="185"/>
      <c r="Q601" s="185"/>
      <c r="R601" s="185"/>
      <c r="S601" s="185"/>
      <c r="T601" s="185"/>
      <c r="U601" s="185"/>
      <c r="V601" s="181"/>
    </row>
    <row r="602" ht="18.75" customHeight="1">
      <c r="A602" s="181"/>
      <c r="B602" s="185"/>
      <c r="C602" s="185"/>
      <c r="D602" s="185"/>
      <c r="E602" s="185"/>
      <c r="F602" s="185"/>
      <c r="G602" s="185"/>
      <c r="H602" s="185"/>
      <c r="I602" s="185"/>
      <c r="J602" s="185"/>
      <c r="K602" s="185"/>
      <c r="L602" s="185"/>
      <c r="M602" s="185"/>
      <c r="N602" s="185"/>
      <c r="O602" s="185"/>
      <c r="P602" s="185"/>
      <c r="Q602" s="185"/>
      <c r="R602" s="185"/>
      <c r="S602" s="185"/>
      <c r="T602" s="185"/>
      <c r="U602" s="185"/>
      <c r="V602" s="181"/>
    </row>
    <row r="603" ht="18.75" customHeight="1">
      <c r="A603" s="181"/>
      <c r="B603" s="185"/>
      <c r="C603" s="185"/>
      <c r="D603" s="185"/>
      <c r="E603" s="185"/>
      <c r="F603" s="185"/>
      <c r="G603" s="185"/>
      <c r="H603" s="185"/>
      <c r="I603" s="185"/>
      <c r="J603" s="185"/>
      <c r="K603" s="185"/>
      <c r="L603" s="185"/>
      <c r="M603" s="185"/>
      <c r="N603" s="185"/>
      <c r="O603" s="185"/>
      <c r="P603" s="185"/>
      <c r="Q603" s="185"/>
      <c r="R603" s="185"/>
      <c r="S603" s="185"/>
      <c r="T603" s="185"/>
      <c r="U603" s="185"/>
      <c r="V603" s="181"/>
    </row>
    <row r="604" ht="18.75" customHeight="1">
      <c r="A604" s="181"/>
      <c r="B604" s="185"/>
      <c r="C604" s="185"/>
      <c r="D604" s="185"/>
      <c r="E604" s="185"/>
      <c r="F604" s="185"/>
      <c r="G604" s="185"/>
      <c r="H604" s="185"/>
      <c r="I604" s="185"/>
      <c r="J604" s="185"/>
      <c r="K604" s="185"/>
      <c r="L604" s="185"/>
      <c r="M604" s="185"/>
      <c r="N604" s="185"/>
      <c r="O604" s="185"/>
      <c r="P604" s="185"/>
      <c r="Q604" s="185"/>
      <c r="R604" s="185"/>
      <c r="S604" s="185"/>
      <c r="T604" s="185"/>
      <c r="U604" s="185"/>
      <c r="V604" s="181"/>
    </row>
    <row r="605" ht="18.75" customHeight="1">
      <c r="A605" s="181"/>
      <c r="B605" s="185"/>
      <c r="C605" s="185"/>
      <c r="D605" s="185"/>
      <c r="E605" s="185"/>
      <c r="F605" s="185"/>
      <c r="G605" s="185"/>
      <c r="H605" s="185"/>
      <c r="I605" s="185"/>
      <c r="J605" s="185"/>
      <c r="K605" s="185"/>
      <c r="L605" s="185"/>
      <c r="M605" s="185"/>
      <c r="N605" s="185"/>
      <c r="O605" s="185"/>
      <c r="P605" s="185"/>
      <c r="Q605" s="185"/>
      <c r="R605" s="185"/>
      <c r="S605" s="185"/>
      <c r="T605" s="185"/>
      <c r="U605" s="185"/>
      <c r="V605" s="181"/>
    </row>
    <row r="606" ht="18.75" customHeight="1">
      <c r="A606" s="181"/>
      <c r="B606" s="185"/>
      <c r="C606" s="185"/>
      <c r="D606" s="185"/>
      <c r="E606" s="185"/>
      <c r="F606" s="185"/>
      <c r="G606" s="185"/>
      <c r="H606" s="185"/>
      <c r="I606" s="185"/>
      <c r="J606" s="185"/>
      <c r="K606" s="185"/>
      <c r="L606" s="185"/>
      <c r="M606" s="185"/>
      <c r="N606" s="185"/>
      <c r="O606" s="185"/>
      <c r="P606" s="185"/>
      <c r="Q606" s="185"/>
      <c r="R606" s="185"/>
      <c r="S606" s="185"/>
      <c r="T606" s="185"/>
      <c r="U606" s="185"/>
      <c r="V606" s="181"/>
    </row>
    <row r="607" ht="18.75" customHeight="1">
      <c r="A607" s="181"/>
      <c r="B607" s="185"/>
      <c r="C607" s="185"/>
      <c r="D607" s="185"/>
      <c r="E607" s="185"/>
      <c r="F607" s="185"/>
      <c r="G607" s="185"/>
      <c r="H607" s="185"/>
      <c r="I607" s="185"/>
      <c r="J607" s="185"/>
      <c r="K607" s="185"/>
      <c r="L607" s="185"/>
      <c r="M607" s="185"/>
      <c r="N607" s="185"/>
      <c r="O607" s="185"/>
      <c r="P607" s="185"/>
      <c r="Q607" s="185"/>
      <c r="R607" s="185"/>
      <c r="S607" s="185"/>
      <c r="T607" s="185"/>
      <c r="U607" s="185"/>
      <c r="V607" s="181"/>
    </row>
    <row r="608" ht="18.75" customHeight="1">
      <c r="A608" s="181"/>
      <c r="B608" s="185"/>
      <c r="C608" s="185"/>
      <c r="D608" s="185"/>
      <c r="E608" s="185"/>
      <c r="F608" s="185"/>
      <c r="G608" s="185"/>
      <c r="H608" s="185"/>
      <c r="I608" s="185"/>
      <c r="J608" s="185"/>
      <c r="K608" s="185"/>
      <c r="L608" s="185"/>
      <c r="M608" s="185"/>
      <c r="N608" s="185"/>
      <c r="O608" s="185"/>
      <c r="P608" s="185"/>
      <c r="Q608" s="185"/>
      <c r="R608" s="185"/>
      <c r="S608" s="185"/>
      <c r="T608" s="185"/>
      <c r="U608" s="185"/>
      <c r="V608" s="181"/>
    </row>
    <row r="609" ht="18.75" customHeight="1">
      <c r="A609" s="181"/>
      <c r="B609" s="185"/>
      <c r="C609" s="185"/>
      <c r="D609" s="185"/>
      <c r="E609" s="185"/>
      <c r="F609" s="185"/>
      <c r="G609" s="185"/>
      <c r="H609" s="185"/>
      <c r="I609" s="185"/>
      <c r="J609" s="185"/>
      <c r="K609" s="185"/>
      <c r="L609" s="185"/>
      <c r="M609" s="185"/>
      <c r="N609" s="185"/>
      <c r="O609" s="185"/>
      <c r="P609" s="185"/>
      <c r="Q609" s="185"/>
      <c r="R609" s="185"/>
      <c r="S609" s="185"/>
      <c r="T609" s="185"/>
      <c r="U609" s="185"/>
      <c r="V609" s="181"/>
    </row>
    <row r="610" ht="18.75" customHeight="1">
      <c r="A610" s="181"/>
      <c r="B610" s="185"/>
      <c r="C610" s="185"/>
      <c r="D610" s="185"/>
      <c r="E610" s="185"/>
      <c r="F610" s="185"/>
      <c r="G610" s="185"/>
      <c r="H610" s="185"/>
      <c r="I610" s="185"/>
      <c r="J610" s="185"/>
      <c r="K610" s="185"/>
      <c r="L610" s="185"/>
      <c r="M610" s="185"/>
      <c r="N610" s="185"/>
      <c r="O610" s="185"/>
      <c r="P610" s="185"/>
      <c r="Q610" s="185"/>
      <c r="R610" s="185"/>
      <c r="S610" s="185"/>
      <c r="T610" s="185"/>
      <c r="U610" s="185"/>
      <c r="V610" s="181"/>
    </row>
    <row r="611" ht="18.75" customHeight="1">
      <c r="A611" s="181"/>
      <c r="B611" s="185"/>
      <c r="C611" s="185"/>
      <c r="D611" s="185"/>
      <c r="E611" s="185"/>
      <c r="F611" s="185"/>
      <c r="G611" s="185"/>
      <c r="H611" s="185"/>
      <c r="I611" s="185"/>
      <c r="J611" s="185"/>
      <c r="K611" s="185"/>
      <c r="L611" s="185"/>
      <c r="M611" s="185"/>
      <c r="N611" s="185"/>
      <c r="O611" s="185"/>
      <c r="P611" s="185"/>
      <c r="Q611" s="185"/>
      <c r="R611" s="185"/>
      <c r="S611" s="185"/>
      <c r="T611" s="185"/>
      <c r="U611" s="185"/>
      <c r="V611" s="181"/>
    </row>
    <row r="612" ht="18.75" customHeight="1">
      <c r="A612" s="181"/>
      <c r="B612" s="185"/>
      <c r="C612" s="185"/>
      <c r="D612" s="185"/>
      <c r="E612" s="185"/>
      <c r="F612" s="185"/>
      <c r="G612" s="185"/>
      <c r="H612" s="185"/>
      <c r="I612" s="185"/>
      <c r="J612" s="185"/>
      <c r="K612" s="185"/>
      <c r="L612" s="185"/>
      <c r="M612" s="185"/>
      <c r="N612" s="185"/>
      <c r="O612" s="185"/>
      <c r="P612" s="185"/>
      <c r="Q612" s="185"/>
      <c r="R612" s="185"/>
      <c r="S612" s="185"/>
      <c r="T612" s="185"/>
      <c r="U612" s="185"/>
      <c r="V612" s="181"/>
    </row>
    <row r="613" ht="18.75" customHeight="1">
      <c r="A613" s="181"/>
      <c r="B613" s="185"/>
      <c r="C613" s="185"/>
      <c r="D613" s="185"/>
      <c r="E613" s="185"/>
      <c r="F613" s="185"/>
      <c r="G613" s="185"/>
      <c r="H613" s="185"/>
      <c r="I613" s="185"/>
      <c r="J613" s="185"/>
      <c r="K613" s="185"/>
      <c r="L613" s="185"/>
      <c r="M613" s="185"/>
      <c r="N613" s="185"/>
      <c r="O613" s="185"/>
      <c r="P613" s="185"/>
      <c r="Q613" s="185"/>
      <c r="R613" s="185"/>
      <c r="S613" s="185"/>
      <c r="T613" s="185"/>
      <c r="U613" s="185"/>
      <c r="V613" s="181"/>
    </row>
    <row r="614" ht="18.75" customHeight="1">
      <c r="A614" s="181"/>
      <c r="B614" s="185"/>
      <c r="C614" s="185"/>
      <c r="D614" s="185"/>
      <c r="E614" s="185"/>
      <c r="F614" s="185"/>
      <c r="G614" s="185"/>
      <c r="H614" s="185"/>
      <c r="I614" s="185"/>
      <c r="J614" s="185"/>
      <c r="K614" s="185"/>
      <c r="L614" s="185"/>
      <c r="M614" s="185"/>
      <c r="N614" s="185"/>
      <c r="O614" s="185"/>
      <c r="P614" s="185"/>
      <c r="Q614" s="185"/>
      <c r="R614" s="185"/>
      <c r="S614" s="185"/>
      <c r="T614" s="185"/>
      <c r="U614" s="185"/>
      <c r="V614" s="181"/>
    </row>
    <row r="615" ht="18.75" customHeight="1">
      <c r="A615" s="181"/>
      <c r="B615" s="185"/>
      <c r="C615" s="185"/>
      <c r="D615" s="185"/>
      <c r="E615" s="185"/>
      <c r="F615" s="185"/>
      <c r="G615" s="185"/>
      <c r="H615" s="185"/>
      <c r="I615" s="185"/>
      <c r="J615" s="185"/>
      <c r="K615" s="185"/>
      <c r="L615" s="185"/>
      <c r="M615" s="185"/>
      <c r="N615" s="185"/>
      <c r="O615" s="185"/>
      <c r="P615" s="185"/>
      <c r="Q615" s="185"/>
      <c r="R615" s="185"/>
      <c r="S615" s="185"/>
      <c r="T615" s="185"/>
      <c r="U615" s="185"/>
      <c r="V615" s="181"/>
    </row>
    <row r="616" ht="18.75" customHeight="1">
      <c r="A616" s="181"/>
      <c r="B616" s="185"/>
      <c r="C616" s="185"/>
      <c r="D616" s="185"/>
      <c r="E616" s="185"/>
      <c r="F616" s="185"/>
      <c r="G616" s="185"/>
      <c r="H616" s="185"/>
      <c r="I616" s="185"/>
      <c r="J616" s="185"/>
      <c r="K616" s="185"/>
      <c r="L616" s="185"/>
      <c r="M616" s="185"/>
      <c r="N616" s="185"/>
      <c r="O616" s="185"/>
      <c r="P616" s="185"/>
      <c r="Q616" s="185"/>
      <c r="R616" s="185"/>
      <c r="S616" s="185"/>
      <c r="T616" s="185"/>
      <c r="U616" s="185"/>
      <c r="V616" s="181"/>
    </row>
    <row r="617" ht="18.75" customHeight="1">
      <c r="A617" s="181"/>
      <c r="B617" s="185"/>
      <c r="C617" s="185"/>
      <c r="D617" s="185"/>
      <c r="E617" s="185"/>
      <c r="F617" s="185"/>
      <c r="G617" s="185"/>
      <c r="H617" s="185"/>
      <c r="I617" s="185"/>
      <c r="J617" s="185"/>
      <c r="K617" s="185"/>
      <c r="L617" s="185"/>
      <c r="M617" s="185"/>
      <c r="N617" s="185"/>
      <c r="O617" s="185"/>
      <c r="P617" s="185"/>
      <c r="Q617" s="185"/>
      <c r="R617" s="185"/>
      <c r="S617" s="185"/>
      <c r="T617" s="185"/>
      <c r="U617" s="185"/>
      <c r="V617" s="181"/>
    </row>
    <row r="618" ht="18.75" customHeight="1">
      <c r="A618" s="181"/>
      <c r="B618" s="185"/>
      <c r="C618" s="185"/>
      <c r="D618" s="185"/>
      <c r="E618" s="185"/>
      <c r="F618" s="185"/>
      <c r="G618" s="185"/>
      <c r="H618" s="185"/>
      <c r="I618" s="185"/>
      <c r="J618" s="185"/>
      <c r="K618" s="185"/>
      <c r="L618" s="185"/>
      <c r="M618" s="185"/>
      <c r="N618" s="185"/>
      <c r="O618" s="185"/>
      <c r="P618" s="185"/>
      <c r="Q618" s="185"/>
      <c r="R618" s="185"/>
      <c r="S618" s="185"/>
      <c r="T618" s="185"/>
      <c r="U618" s="185"/>
      <c r="V618" s="181"/>
    </row>
    <row r="619" ht="18.75" customHeight="1">
      <c r="A619" s="181"/>
      <c r="B619" s="185"/>
      <c r="C619" s="185"/>
      <c r="D619" s="185"/>
      <c r="E619" s="185"/>
      <c r="F619" s="185"/>
      <c r="G619" s="185"/>
      <c r="H619" s="185"/>
      <c r="I619" s="185"/>
      <c r="J619" s="185"/>
      <c r="K619" s="185"/>
      <c r="L619" s="185"/>
      <c r="M619" s="185"/>
      <c r="N619" s="185"/>
      <c r="O619" s="185"/>
      <c r="P619" s="185"/>
      <c r="Q619" s="185"/>
      <c r="R619" s="185"/>
      <c r="S619" s="185"/>
      <c r="T619" s="185"/>
      <c r="U619" s="185"/>
      <c r="V619" s="181"/>
    </row>
    <row r="620" ht="18.75" customHeight="1">
      <c r="A620" s="181"/>
      <c r="B620" s="185"/>
      <c r="C620" s="185"/>
      <c r="D620" s="185"/>
      <c r="E620" s="185"/>
      <c r="F620" s="185"/>
      <c r="G620" s="185"/>
      <c r="H620" s="185"/>
      <c r="I620" s="185"/>
      <c r="J620" s="185"/>
      <c r="K620" s="185"/>
      <c r="L620" s="185"/>
      <c r="M620" s="185"/>
      <c r="N620" s="185"/>
      <c r="O620" s="185"/>
      <c r="P620" s="185"/>
      <c r="Q620" s="185"/>
      <c r="R620" s="185"/>
      <c r="S620" s="185"/>
      <c r="T620" s="185"/>
      <c r="U620" s="185"/>
      <c r="V620" s="181"/>
    </row>
    <row r="621" ht="18.75" customHeight="1">
      <c r="A621" s="181"/>
      <c r="B621" s="185"/>
      <c r="C621" s="185"/>
      <c r="D621" s="185"/>
      <c r="E621" s="185"/>
      <c r="F621" s="185"/>
      <c r="G621" s="185"/>
      <c r="H621" s="185"/>
      <c r="I621" s="185"/>
      <c r="J621" s="185"/>
      <c r="K621" s="185"/>
      <c r="L621" s="185"/>
      <c r="M621" s="185"/>
      <c r="N621" s="185"/>
      <c r="O621" s="185"/>
      <c r="P621" s="185"/>
      <c r="Q621" s="185"/>
      <c r="R621" s="185"/>
      <c r="S621" s="185"/>
      <c r="T621" s="185"/>
      <c r="U621" s="185"/>
      <c r="V621" s="181"/>
    </row>
    <row r="622" ht="18.75" customHeight="1">
      <c r="A622" s="181"/>
      <c r="B622" s="185"/>
      <c r="C622" s="185"/>
      <c r="D622" s="185"/>
      <c r="E622" s="185"/>
      <c r="F622" s="185"/>
      <c r="G622" s="185"/>
      <c r="H622" s="185"/>
      <c r="I622" s="185"/>
      <c r="J622" s="185"/>
      <c r="K622" s="185"/>
      <c r="L622" s="185"/>
      <c r="M622" s="185"/>
      <c r="N622" s="185"/>
      <c r="O622" s="185"/>
      <c r="P622" s="185"/>
      <c r="Q622" s="185"/>
      <c r="R622" s="185"/>
      <c r="S622" s="185"/>
      <c r="T622" s="185"/>
      <c r="U622" s="185"/>
      <c r="V622" s="181"/>
    </row>
    <row r="623" ht="18.75" customHeight="1">
      <c r="A623" s="181"/>
      <c r="B623" s="185"/>
      <c r="C623" s="185"/>
      <c r="D623" s="185"/>
      <c r="E623" s="185"/>
      <c r="F623" s="185"/>
      <c r="G623" s="185"/>
      <c r="H623" s="185"/>
      <c r="I623" s="185"/>
      <c r="J623" s="185"/>
      <c r="K623" s="185"/>
      <c r="L623" s="185"/>
      <c r="M623" s="185"/>
      <c r="N623" s="185"/>
      <c r="O623" s="185"/>
      <c r="P623" s="185"/>
      <c r="Q623" s="185"/>
      <c r="R623" s="185"/>
      <c r="S623" s="185"/>
      <c r="T623" s="185"/>
      <c r="U623" s="185"/>
      <c r="V623" s="181"/>
    </row>
    <row r="624" ht="18.75" customHeight="1">
      <c r="A624" s="181"/>
      <c r="B624" s="185"/>
      <c r="C624" s="185"/>
      <c r="D624" s="185"/>
      <c r="E624" s="185"/>
      <c r="F624" s="185"/>
      <c r="G624" s="185"/>
      <c r="H624" s="185"/>
      <c r="I624" s="185"/>
      <c r="J624" s="185"/>
      <c r="K624" s="185"/>
      <c r="L624" s="185"/>
      <c r="M624" s="185"/>
      <c r="N624" s="185"/>
      <c r="O624" s="185"/>
      <c r="P624" s="185"/>
      <c r="Q624" s="185"/>
      <c r="R624" s="185"/>
      <c r="S624" s="185"/>
      <c r="T624" s="185"/>
      <c r="U624" s="185"/>
      <c r="V624" s="181"/>
    </row>
  </sheetData>
  <mergeCells count="3">
    <mergeCell ref="B2:M2"/>
    <mergeCell ref="B4:E4"/>
    <mergeCell ref="F4:M4"/>
  </mergeCells>
  <dataValidations>
    <dataValidation type="list" allowBlank="1" showErrorMessage="1" sqref="F5:U5">
      <formula1>'_api'!$B$2:$BQ$2</formula1>
    </dataValidation>
  </dataValidations>
  <hyperlinks>
    <hyperlink r:id="rId1" location="osu/908887" ref="E7"/>
    <hyperlink r:id="rId2" location="osu/908887" ref="F7"/>
    <hyperlink r:id="rId3" location="osu/3035501" ref="E8"/>
    <hyperlink r:id="rId4" location="osu/3035501" ref="F8"/>
    <hyperlink r:id="rId5" location="osu/3737825" ref="E9"/>
    <hyperlink r:id="rId6" location="osu/3737825" ref="F9"/>
    <hyperlink r:id="rId7" location="osu/2094462" ref="E10"/>
    <hyperlink r:id="rId8" location="osu/2094462" ref="F10"/>
    <hyperlink r:id="rId9" location="osu/2619929" ref="E11"/>
    <hyperlink r:id="rId10" location="osu/2619929" ref="F11"/>
    <hyperlink r:id="rId11" location="osu/2027623" ref="E12"/>
    <hyperlink r:id="rId12" location="osu/2027623" ref="F12"/>
    <hyperlink r:id="rId13" location="osu/1523138" ref="E13"/>
    <hyperlink r:id="rId14" location="osu/1523138" ref="F13"/>
    <hyperlink r:id="rId15" location="osu/4105349" ref="E14"/>
    <hyperlink r:id="rId16" location="osu/4105349" ref="F14"/>
    <hyperlink r:id="rId17" location="osu/3533589" ref="E15"/>
    <hyperlink r:id="rId18" location="osu/3533589" ref="F15"/>
    <hyperlink r:id="rId19" location="osu/2277989" ref="E16"/>
    <hyperlink r:id="rId20" location="osu/2277989" ref="F16"/>
    <hyperlink r:id="rId21" location="osu/3297107" ref="E17"/>
    <hyperlink r:id="rId22" location="osu/3297107" ref="F17"/>
    <hyperlink r:id="rId23" location="osu/2440455" ref="E18"/>
    <hyperlink r:id="rId24" location="osu/2440455" ref="F18"/>
    <hyperlink r:id="rId25" location="osu/3248876" ref="E19"/>
    <hyperlink r:id="rId26" location="osu/3248876" ref="F19"/>
    <hyperlink r:id="rId27" location="osu/1989991" ref="E20"/>
    <hyperlink r:id="rId28" location="osu/1989991" ref="F20"/>
    <hyperlink r:id="rId29" location="osu/3280686" ref="E21"/>
    <hyperlink r:id="rId30" location="osu/3280686" ref="F21"/>
    <hyperlink r:id="rId31" location="osu/134141" ref="E22"/>
    <hyperlink r:id="rId32" location="osu/134141" ref="F22"/>
    <hyperlink r:id="rId33" location="osu/2659337" ref="E23"/>
    <hyperlink r:id="rId34" location="osu/2659337" ref="F23"/>
    <hyperlink r:id="rId35" location="osu/2110801" ref="E24"/>
    <hyperlink r:id="rId36" location="osu/2110801" ref="F24"/>
    <hyperlink r:id="rId37" location="osu/2044893" ref="E25"/>
    <hyperlink r:id="rId38" location="osu/2044893" ref="F25"/>
    <hyperlink r:id="rId39" location="osu/2366848" ref="E26"/>
    <hyperlink r:id="rId40" location="osu/2366848" ref="F26"/>
    <hyperlink r:id="rId41" location="osu/3396305" ref="E27"/>
    <hyperlink r:id="rId42" location="osu/3396305" ref="F27"/>
    <hyperlink r:id="rId43" location="osu/846261" ref="E28"/>
    <hyperlink r:id="rId44" location="osu/846261" ref="F28"/>
    <hyperlink r:id="rId45" location="osu/3743202" ref="E29"/>
    <hyperlink r:id="rId46" location="osu/3743202" ref="F29"/>
    <hyperlink r:id="rId47" location="osu/3446761" ref="E30"/>
    <hyperlink r:id="rId48" location="osu/3446761" ref="F30"/>
    <hyperlink r:id="rId49" location="osu/2827293" ref="E31"/>
    <hyperlink r:id="rId50" location="osu/2827293" ref="F31"/>
    <hyperlink r:id="rId51" location="osu/2004679" ref="E32"/>
    <hyperlink r:id="rId52" location="osu/2004679" ref="F32"/>
    <hyperlink r:id="rId53" location="osu/3239199" ref="E33"/>
    <hyperlink r:id="rId54" location="osu/3239199" ref="F33"/>
    <hyperlink r:id="rId55" location="osu/2794904" ref="E34"/>
    <hyperlink r:id="rId56" location="osu/2794904" ref="F34"/>
    <hyperlink r:id="rId57" location="osu/2853477" ref="E35"/>
    <hyperlink r:id="rId58" location="osu/2853477" ref="F35"/>
    <hyperlink r:id="rId59" location="osu/1733441" ref="E36"/>
    <hyperlink r:id="rId60" location="osu/1733441" ref="F36"/>
    <hyperlink r:id="rId61" location="osu/3460069" ref="E37"/>
    <hyperlink r:id="rId62" location="osu/3460069" ref="F37"/>
    <hyperlink r:id="rId63" location="osu/1956568" ref="E38"/>
    <hyperlink r:id="rId64" location="osu/1956568" ref="F38"/>
    <hyperlink r:id="rId65" location="osu/295650" ref="E39"/>
    <hyperlink r:id="rId66" location="osu/295650" ref="F39"/>
    <hyperlink r:id="rId67" location="osu/3446883" ref="E40"/>
    <hyperlink r:id="rId68" location="osu/3446883" ref="F40"/>
    <hyperlink r:id="rId69" location="osu/1521209" ref="E41"/>
    <hyperlink r:id="rId70" location="osu/1521209" ref="F41"/>
    <hyperlink r:id="rId71" location="osu/3616100" ref="E42"/>
    <hyperlink r:id="rId72" location="osu/3616100" ref="F42"/>
    <hyperlink r:id="rId73" location="osu/2151207" ref="E43"/>
    <hyperlink r:id="rId74" location="osu/2151207" ref="F43"/>
    <hyperlink r:id="rId75" location="osu/417898" ref="E44"/>
    <hyperlink r:id="rId76" location="osu/417898" ref="F44"/>
    <hyperlink r:id="rId77" location="osu/1857415" ref="E45"/>
    <hyperlink r:id="rId78" location="osu/1857415" ref="F45"/>
    <hyperlink r:id="rId79" location="osu/1965654" ref="E46"/>
    <hyperlink r:id="rId80" location="osu/1965654" ref="F46"/>
    <hyperlink r:id="rId81" location="osu/1838159" ref="E47"/>
    <hyperlink r:id="rId82" location="osu/1838159" ref="F47"/>
    <hyperlink r:id="rId83" location="osu/2568756" ref="E48"/>
    <hyperlink r:id="rId84" location="osu/2568756" ref="F48"/>
    <hyperlink r:id="rId85" location="osu/3341368" ref="E49"/>
    <hyperlink r:id="rId86" location="osu/3341368" ref="F49"/>
    <hyperlink r:id="rId87" location="osu/4215637" ref="E50"/>
    <hyperlink r:id="rId88" location="osu/4215637" ref="F50"/>
    <hyperlink r:id="rId89" location="osu/3821597" ref="E51"/>
    <hyperlink r:id="rId90" location="osu/3821597" ref="F51"/>
    <hyperlink r:id="rId91" location="osu/2671048" ref="E52"/>
    <hyperlink r:id="rId92" location="osu/2671048" ref="F52"/>
    <hyperlink r:id="rId93" location="osu/105978" ref="E53"/>
    <hyperlink r:id="rId94" location="osu/105978" ref="F53"/>
    <hyperlink r:id="rId95" location="osu/1491793" ref="E54"/>
    <hyperlink r:id="rId96" location="osu/1491793" ref="F54"/>
    <hyperlink r:id="rId97" location="osu/3913591" ref="E55"/>
    <hyperlink r:id="rId98" location="osu/3913591" ref="F55"/>
    <hyperlink r:id="rId99" location="osu/37750" ref="E56"/>
    <hyperlink r:id="rId100" location="osu/37750" ref="F56"/>
    <hyperlink r:id="rId101" location="osu/3248255" ref="E57"/>
    <hyperlink r:id="rId102" location="osu/3248255" ref="F57"/>
    <hyperlink r:id="rId103" location="osu/674080" ref="E58"/>
    <hyperlink r:id="rId104" location="osu/674080" ref="F58"/>
    <hyperlink r:id="rId105" location="osu/3299370" ref="E59"/>
    <hyperlink r:id="rId106" location="osu/3299370" ref="F59"/>
    <hyperlink r:id="rId107" location="osu/3822599" ref="E60"/>
    <hyperlink r:id="rId108" location="osu/3822599" ref="F60"/>
    <hyperlink r:id="rId109" location="osu/3274886" ref="E61"/>
    <hyperlink r:id="rId110" location="osu/3274886" ref="F61"/>
    <hyperlink r:id="rId111" location="osu/3804111" ref="E62"/>
    <hyperlink r:id="rId112" location="osu/3804111" ref="F62"/>
    <hyperlink r:id="rId113" location="osu/577517" ref="E63"/>
    <hyperlink r:id="rId114" location="osu/577517" ref="F63"/>
    <hyperlink r:id="rId115" location="osu/1717844" ref="E64"/>
    <hyperlink r:id="rId116" location="osu/1717844" ref="F64"/>
    <hyperlink r:id="rId117" location="osu/3656173" ref="E65"/>
    <hyperlink r:id="rId118" location="osu/3656173" ref="F65"/>
    <hyperlink r:id="rId119" location="osu/2715749" ref="E66"/>
    <hyperlink r:id="rId120" location="osu/2715749" ref="F66"/>
    <hyperlink r:id="rId121" location="osu/3291796" ref="E67"/>
    <hyperlink r:id="rId122" location="osu/3291796" ref="F67"/>
    <hyperlink r:id="rId123" location="osu/3187491" ref="E68"/>
    <hyperlink r:id="rId124" location="osu/3187491" ref="F68"/>
    <hyperlink r:id="rId125" location="osu/3990086" ref="E69"/>
    <hyperlink r:id="rId126" location="osu/3990086" ref="F69"/>
    <hyperlink r:id="rId127" location="osu/1972425" ref="E70"/>
    <hyperlink r:id="rId128" location="osu/1972425" ref="F70"/>
    <hyperlink r:id="rId129" location="osu/2277128" ref="E71"/>
    <hyperlink r:id="rId130" location="osu/2277128" ref="F71"/>
    <hyperlink r:id="rId131" location="osu/2044890" ref="E72"/>
    <hyperlink r:id="rId132" location="osu/2044890" ref="F72"/>
    <hyperlink r:id="rId133" location="osu/3454421" ref="E73"/>
    <hyperlink r:id="rId134" location="osu/3454421" ref="F73"/>
    <hyperlink r:id="rId135" location="osu/2917786" ref="E74"/>
    <hyperlink r:id="rId136" location="osu/2917786" ref="F74"/>
    <hyperlink r:id="rId137" location="osu/1405094" ref="E75"/>
    <hyperlink r:id="rId138" location="osu/1405094" ref="F75"/>
    <hyperlink r:id="rId139" location="osu/1592512" ref="E76"/>
    <hyperlink r:id="rId140" location="osu/1592512" ref="F76"/>
    <hyperlink r:id="rId141" location="osu/2388648" ref="E77"/>
    <hyperlink r:id="rId142" location="osu/2388648" ref="F77"/>
    <hyperlink r:id="rId143" location="osu/3819183" ref="E78"/>
    <hyperlink r:id="rId144" location="osu/3819183" ref="F78"/>
    <hyperlink r:id="rId145" location="osu/2514122" ref="E79"/>
    <hyperlink r:id="rId146" location="osu/2514122" ref="F79"/>
    <hyperlink r:id="rId147" location="osu/28366" ref="E80"/>
    <hyperlink r:id="rId148" location="osu/28366" ref="F80"/>
    <hyperlink r:id="rId149" location="osu/1248147" ref="E81"/>
    <hyperlink r:id="rId150" location="osu/1248147" ref="F81"/>
    <hyperlink r:id="rId151" location="osu/2198934" ref="E82"/>
    <hyperlink r:id="rId152" location="osu/2198934" ref="F82"/>
    <hyperlink r:id="rId153" location="osu/3010348" ref="E83"/>
    <hyperlink r:id="rId154" location="osu/3010348" ref="F83"/>
    <hyperlink r:id="rId155" location="osu/3774971" ref="E84"/>
    <hyperlink r:id="rId156" location="osu/3774971" ref="F84"/>
    <hyperlink r:id="rId157" location="osu/3802110" ref="E85"/>
    <hyperlink r:id="rId158" location="osu/3802110" ref="F85"/>
    <hyperlink r:id="rId159" location="osu/309900" ref="E86"/>
    <hyperlink r:id="rId160" location="osu/309900" ref="F86"/>
    <hyperlink r:id="rId161" location="osu/3870932" ref="E87"/>
    <hyperlink r:id="rId162" location="osu/3870932" ref="F87"/>
    <hyperlink r:id="rId163" location="osu/571620" ref="E88"/>
    <hyperlink r:id="rId164" location="osu/571620" ref="F88"/>
    <hyperlink r:id="rId165" location="osu/3563737" ref="E89"/>
    <hyperlink r:id="rId166" location="osu/3563737" ref="F89"/>
    <hyperlink r:id="rId167" location="osu/2751338" ref="E90"/>
    <hyperlink r:id="rId168" location="osu/2751338" ref="F90"/>
    <hyperlink r:id="rId169" location="osu/2288966" ref="E91"/>
    <hyperlink r:id="rId170" location="osu/2288966" ref="F91"/>
    <hyperlink r:id="rId171" location="osu/2691754" ref="E92"/>
    <hyperlink r:id="rId172" location="osu/2691754" ref="F92"/>
    <hyperlink r:id="rId173" location="osu/2856139" ref="E93"/>
    <hyperlink r:id="rId174" location="osu/2856139" ref="F93"/>
    <hyperlink r:id="rId175" location="osu/765880" ref="E94"/>
    <hyperlink r:id="rId176" location="osu/765880" ref="F94"/>
    <hyperlink r:id="rId177" location="osu/345642" ref="E95"/>
    <hyperlink r:id="rId178" location="osu/345642" ref="F95"/>
    <hyperlink r:id="rId179" location="osu/2671858" ref="E96"/>
    <hyperlink r:id="rId180" location="osu/2671858" ref="F96"/>
    <hyperlink r:id="rId181" location="osu/4150885" ref="E97"/>
    <hyperlink r:id="rId182" location="osu/4150885" ref="F97"/>
    <hyperlink r:id="rId183" location="osu/4197268" ref="E98"/>
    <hyperlink r:id="rId184" location="osu/4197268" ref="F98"/>
    <hyperlink r:id="rId185" location="osu/192181" ref="E99"/>
    <hyperlink r:id="rId186" location="osu/192181" ref="F99"/>
    <hyperlink r:id="rId187" location="osu/3499229" ref="E100"/>
    <hyperlink r:id="rId188" location="osu/3499229" ref="F100"/>
    <hyperlink r:id="rId189" location="osu/1485947" ref="E101"/>
    <hyperlink r:id="rId190" location="osu/1485947" ref="F101"/>
    <hyperlink r:id="rId191" location="osu/2792506" ref="E102"/>
    <hyperlink r:id="rId192" location="osu/2792506" ref="F102"/>
    <hyperlink r:id="rId193" location="osu/3714369" ref="E103"/>
    <hyperlink r:id="rId194" location="osu/3714369" ref="F103"/>
    <hyperlink r:id="rId195" location="osu/3461206" ref="E104"/>
    <hyperlink r:id="rId196" location="osu/3461206" ref="F104"/>
    <hyperlink r:id="rId197" location="osu/1737928" ref="E105"/>
    <hyperlink r:id="rId198" location="osu/1737928" ref="F105"/>
    <hyperlink r:id="rId199" location="osu/3711739" ref="E106"/>
    <hyperlink r:id="rId200" location="osu/3711739" ref="F106"/>
    <hyperlink r:id="rId201" location="osu/3711612" ref="E107"/>
    <hyperlink r:id="rId202" location="osu/3711612" ref="F107"/>
    <hyperlink r:id="rId203" location="osu/2348578" ref="E108"/>
    <hyperlink r:id="rId204" location="osu/2348578" ref="F108"/>
    <hyperlink r:id="rId205" location="osu/4134134" ref="E109"/>
    <hyperlink r:id="rId206" location="osu/4134134" ref="F109"/>
    <hyperlink r:id="rId207" location="osu/2565268" ref="E110"/>
    <hyperlink r:id="rId208" location="osu/2565268" ref="F110"/>
    <hyperlink r:id="rId209" location="osu/1258993" ref="E111"/>
    <hyperlink r:id="rId210" location="osu/1258993" ref="F111"/>
    <hyperlink r:id="rId211" location="osu/1592403" ref="E112"/>
    <hyperlink r:id="rId212" location="osu/1592403" ref="F112"/>
    <hyperlink r:id="rId213" location="osu/3333734" ref="E113"/>
    <hyperlink r:id="rId214" location="osu/3333734" ref="F113"/>
    <hyperlink r:id="rId215" location="osu/2519731" ref="E114"/>
    <hyperlink r:id="rId216" location="osu/2519731" ref="F114"/>
    <hyperlink r:id="rId217" location="osu/1035068" ref="E115"/>
    <hyperlink r:id="rId218" location="osu/1035068" ref="F115"/>
    <hyperlink r:id="rId219" location="osu/1707909" ref="E116"/>
    <hyperlink r:id="rId220" location="osu/1707909" ref="F116"/>
    <hyperlink r:id="rId221" location="osu/25341" ref="E117"/>
    <hyperlink r:id="rId222" location="osu/25341" ref="F117"/>
    <hyperlink r:id="rId223" location="osu/3883278" ref="E118"/>
    <hyperlink r:id="rId224" location="osu/3883278" ref="F118"/>
    <hyperlink r:id="rId225" location="osu/58701" ref="E119"/>
    <hyperlink r:id="rId226" location="osu/58701" ref="F119"/>
    <hyperlink r:id="rId227" location="osu/3853742" ref="E120"/>
    <hyperlink r:id="rId228" location="osu/3853742" ref="F120"/>
    <hyperlink r:id="rId229" location="osu/862338" ref="E121"/>
    <hyperlink r:id="rId230" location="osu/862338" ref="F121"/>
  </hyperlinks>
  <drawing r:id="rId23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2.63" defaultRowHeight="15.75"/>
  <sheetData>
    <row r="1">
      <c r="A1" s="190" t="s">
        <v>1039</v>
      </c>
    </row>
    <row r="2">
      <c r="A2" s="191" t="str">
        <f t="array" ref="A2:J2">TRANSPOSE(ADDRESS(ROW(Template!C5),COLUMN(Template!C5),4,1,Settings!F3:F12)&amp;":"&amp;ADDRESS(ROW(Template!C298),COLUMN(Template!C298),4)&amp;T(NOW()))</f>
        <v>Quals!C5:C298</v>
      </c>
      <c r="B2" s="191" t="s">
        <v>1040</v>
      </c>
      <c r="C2" s="191" t="s">
        <v>1040</v>
      </c>
      <c r="D2" s="191" t="s">
        <v>1040</v>
      </c>
      <c r="E2" s="191" t="s">
        <v>1041</v>
      </c>
      <c r="F2" s="191" t="s">
        <v>1042</v>
      </c>
      <c r="G2" s="191" t="s">
        <v>1043</v>
      </c>
      <c r="H2" s="191" t="s">
        <v>1044</v>
      </c>
      <c r="I2" s="191" t="s">
        <v>1045</v>
      </c>
      <c r="J2" s="191" t="s">
        <v>1046</v>
      </c>
      <c r="K2" s="63" t="s">
        <v>1047</v>
      </c>
    </row>
    <row r="3">
      <c r="A3" s="192">
        <f t="array" ref="A3:A102">IFERROR(IF(INDIRECT(A2)="",,VALUE(INDIRECT(A2)&amp;T(NOW()))),"")</f>
        <v>3924030</v>
      </c>
      <c r="B3" s="192" t="str">
        <f t="array" ref="B3:B8">IFERROR(IF(INDIRECT(B2)="",,VALUE(INDIRECT(B2)&amp;T(NOW()))),"")</f>
        <v>#REF!</v>
      </c>
      <c r="C3" s="192" t="str">
        <f t="array" ref="C3">IFERROR(IF(INDIRECT(C2)="",,VALUE(INDIRECT(C2)&amp;T(NOW()))),"")</f>
        <v>#REF!</v>
      </c>
      <c r="D3" s="192" t="str">
        <f t="array" ref="D3:D8">IFERROR(IF(INDIRECT(D2)="",,VALUE(INDIRECT(D2)&amp;T(NOW()))),"")</f>
        <v>#REF!</v>
      </c>
      <c r="E3" s="192" t="str">
        <f t="array" ref="E3:E8">IFERROR(IF(INDIRECT(E2)="",,VALUE(INDIRECT(E2)&amp;T(NOW()))),"")</f>
        <v>#REF!</v>
      </c>
      <c r="F3" s="192" t="str">
        <f t="array" ref="F3:F8">IFERROR(IF(INDIRECT(F2)="",,VALUE(INDIRECT(F2)&amp;T(NOW()))),"")</f>
        <v>#REF!</v>
      </c>
      <c r="G3" s="192" t="str">
        <f t="array" ref="G3:G8">IFERROR(IF(INDIRECT(G2)="",,VALUE(INDIRECT(G2)&amp;T(NOW()))),"")</f>
        <v>#REF!</v>
      </c>
      <c r="H3" s="192" t="str">
        <f t="array" ref="H3:H8">IFERROR(IF(INDIRECT(H2)="",,VALUE(INDIRECT(H2)&amp;T(NOW()))),"")</f>
        <v>#REF!</v>
      </c>
      <c r="I3" s="192" t="str">
        <f t="array" ref="I3:I8">IFERROR(IF(INDIRECT(I2)="",,VALUE(INDIRECT(I2)&amp;T(NOW()))),"")</f>
        <v>#REF!</v>
      </c>
      <c r="J3" s="192" t="str">
        <f t="array" ref="J3:J8">IFERROR(IF(INDIRECT(J2)="",,VALUE(INDIRECT(J2)&amp;T(NOW()))),"")</f>
        <v>#REF!</v>
      </c>
      <c r="K3" s="30">
        <f>IFERROR(__xludf.DUMMYFUNCTION("IFNA(FILTER(FLATTEN(A3:J1001),FLATTEN(A3:J1001)&lt;&gt;""""))"),3924030.0)</f>
        <v>3924030</v>
      </c>
    </row>
    <row r="4">
      <c r="A4" s="192">
        <v>3207049.0</v>
      </c>
      <c r="B4" s="192"/>
      <c r="C4" s="192"/>
      <c r="D4" s="192"/>
      <c r="E4" s="192"/>
      <c r="F4" s="192"/>
      <c r="G4" s="192"/>
      <c r="H4" s="192"/>
      <c r="I4" s="192"/>
      <c r="J4" s="192"/>
      <c r="K4" s="60">
        <f>IFERROR(__xludf.DUMMYFUNCTION("""COMPUTED_VALUE"""),3207049.0)</f>
        <v>3207049</v>
      </c>
    </row>
    <row r="5">
      <c r="A5" s="192">
        <v>4113699.0</v>
      </c>
      <c r="B5" s="192"/>
      <c r="C5" s="192"/>
      <c r="D5" s="192"/>
      <c r="E5" s="192"/>
      <c r="F5" s="192"/>
      <c r="G5" s="192"/>
      <c r="H5" s="192"/>
      <c r="I5" s="192"/>
      <c r="J5" s="192"/>
      <c r="K5" s="60">
        <f>IFERROR(__xludf.DUMMYFUNCTION("""COMPUTED_VALUE"""),4113699.0)</f>
        <v>4113699</v>
      </c>
    </row>
    <row r="6">
      <c r="A6" s="192">
        <v>3737825.0</v>
      </c>
      <c r="B6" s="192"/>
      <c r="C6" s="192"/>
      <c r="D6" s="192"/>
      <c r="E6" s="192"/>
      <c r="F6" s="192"/>
      <c r="G6" s="192"/>
      <c r="H6" s="192"/>
      <c r="I6" s="192"/>
      <c r="J6" s="192"/>
      <c r="K6" s="60">
        <f>IFERROR(__xludf.DUMMYFUNCTION("""COMPUTED_VALUE"""),3737825.0)</f>
        <v>3737825</v>
      </c>
    </row>
    <row r="7">
      <c r="A7" s="192">
        <v>2514122.0</v>
      </c>
      <c r="B7" s="192"/>
      <c r="C7" s="192"/>
      <c r="D7" s="192"/>
      <c r="E7" s="192"/>
      <c r="F7" s="192"/>
      <c r="G7" s="192"/>
      <c r="H7" s="192"/>
      <c r="I7" s="192"/>
      <c r="J7" s="192"/>
      <c r="K7" s="60">
        <f>IFERROR(__xludf.DUMMYFUNCTION("""COMPUTED_VALUE"""),2514122.0)</f>
        <v>2514122</v>
      </c>
    </row>
    <row r="8">
      <c r="A8" s="192">
        <v>2619929.0</v>
      </c>
      <c r="B8" s="192" t="str">
        <f t="array" ref="B8:B301">IFERROR(IF(INDIRECT(B2)="",,VALUE(INDIRECT(B2)&amp;T(NOW()))),"")</f>
        <v/>
      </c>
      <c r="C8" s="192" t="str">
        <f t="array" ref="C8">IFERROR(IF(INDIRECT(C2)="",,VALUE(INDIRECT(C2)&amp;T(NOW()))),"")</f>
        <v>#REF!</v>
      </c>
      <c r="D8" s="192" t="str">
        <f t="array" ref="D8:D301">IFERROR(IF(INDIRECT(D2)="",,VALUE(INDIRECT(D2)&amp;T(NOW()))),"")</f>
        <v/>
      </c>
      <c r="E8" s="192" t="str">
        <f t="array" ref="E8:E107">IFERROR(IF(INDIRECT(E2)="",,VALUE(INDIRECT(E2)&amp;T(NOW()))),"")</f>
        <v/>
      </c>
      <c r="F8" s="192">
        <f t="array" ref="F8:F107">IFERROR(IF(INDIRECT(F2)="",,VALUE(INDIRECT(F2)&amp;T(NOW()))),"")</f>
        <v>306038</v>
      </c>
      <c r="G8" s="192">
        <f t="array" ref="G8:G107">IFERROR(IF(INDIRECT(G2)="",,VALUE(INDIRECT(G2)&amp;T(NOW()))),"")</f>
        <v>3298592</v>
      </c>
      <c r="H8" s="192">
        <f t="array" ref="H8:H107">IFERROR(IF(INDIRECT(H2)="",,VALUE(INDIRECT(H2)&amp;T(NOW()))),"")</f>
        <v>1405094</v>
      </c>
      <c r="I8" s="192">
        <f t="array" ref="I8:I107">IFERROR(IF(INDIRECT(I2)="",,VALUE(INDIRECT(I2)&amp;T(NOW()))),"")</f>
        <v>646609</v>
      </c>
      <c r="J8" s="192" t="str">
        <f t="array" ref="J8:J107">IFERROR(IF(INDIRECT(J2)="",,VALUE(INDIRECT(J2)&amp;T(NOW()))),"")</f>
        <v/>
      </c>
      <c r="K8" s="60">
        <f>IFERROR(__xludf.DUMMYFUNCTION("""COMPUTED_VALUE"""),2619929.0)</f>
        <v>2619929</v>
      </c>
    </row>
    <row r="9">
      <c r="A9" s="192">
        <v>3958395.0</v>
      </c>
      <c r="B9" s="192"/>
      <c r="C9" s="192"/>
      <c r="D9" s="192"/>
      <c r="E9" s="192">
        <v>3823691.0</v>
      </c>
      <c r="F9" s="192">
        <v>3563790.0</v>
      </c>
      <c r="G9" s="192">
        <v>63604.0</v>
      </c>
      <c r="H9" s="192">
        <v>3841174.0</v>
      </c>
      <c r="I9" s="192">
        <v>2751338.0</v>
      </c>
      <c r="J9" s="192">
        <v>3795759.0</v>
      </c>
      <c r="K9" s="60">
        <f>IFERROR(__xludf.DUMMYFUNCTION("""COMPUTED_VALUE"""),306038.0)</f>
        <v>306038</v>
      </c>
    </row>
    <row r="10">
      <c r="A10" s="192">
        <v>1523138.0</v>
      </c>
      <c r="B10" s="192"/>
      <c r="C10" s="192"/>
      <c r="D10" s="192"/>
      <c r="E10" s="192">
        <v>2995193.0</v>
      </c>
      <c r="F10" s="192">
        <v>3496410.0</v>
      </c>
      <c r="G10" s="192">
        <v>2690081.0</v>
      </c>
      <c r="H10" s="192">
        <v>703042.0</v>
      </c>
      <c r="I10" s="192">
        <v>3182641.0</v>
      </c>
      <c r="J10" s="192">
        <v>1863870.0</v>
      </c>
      <c r="K10" s="60">
        <f>IFERROR(__xludf.DUMMYFUNCTION("""COMPUTED_VALUE"""),3298592.0)</f>
        <v>3298592</v>
      </c>
    </row>
    <row r="11">
      <c r="A11" s="192">
        <v>4105349.0</v>
      </c>
      <c r="B11" s="192"/>
      <c r="C11" s="192"/>
      <c r="D11" s="192"/>
      <c r="E11" s="192">
        <v>2016938.0</v>
      </c>
      <c r="F11" s="192">
        <v>3887774.0</v>
      </c>
      <c r="G11" s="192">
        <v>1965654.0</v>
      </c>
      <c r="H11" s="192">
        <v>2514122.0</v>
      </c>
      <c r="I11" s="192">
        <v>1782851.0</v>
      </c>
      <c r="J11" s="192">
        <v>1456307.0</v>
      </c>
      <c r="K11" s="60">
        <f>IFERROR(__xludf.DUMMYFUNCTION("""COMPUTED_VALUE"""),1405094.0)</f>
        <v>1405094</v>
      </c>
    </row>
    <row r="12">
      <c r="A12" s="192">
        <v>3411549.0</v>
      </c>
      <c r="B12" s="192"/>
      <c r="C12" s="192"/>
      <c r="D12" s="192"/>
      <c r="E12" s="192">
        <v>2340750.0</v>
      </c>
      <c r="F12" s="192">
        <v>2827293.0</v>
      </c>
      <c r="G12" s="192">
        <v>3118794.0</v>
      </c>
      <c r="H12" s="192">
        <v>3399446.0</v>
      </c>
      <c r="I12" s="192">
        <v>1896582.0</v>
      </c>
      <c r="J12" s="192">
        <v>4134134.0</v>
      </c>
      <c r="K12" s="60">
        <f>IFERROR(__xludf.DUMMYFUNCTION("""COMPUTED_VALUE"""),646609.0)</f>
        <v>646609</v>
      </c>
    </row>
    <row r="13">
      <c r="A13" s="192">
        <v>2395972.0</v>
      </c>
      <c r="B13" s="192"/>
      <c r="C13" s="192"/>
      <c r="D13" s="192"/>
      <c r="E13" s="192">
        <v>3297107.0</v>
      </c>
      <c r="F13" s="192">
        <v>2004679.0</v>
      </c>
      <c r="G13" s="192">
        <v>3248255.0</v>
      </c>
      <c r="H13" s="192">
        <v>2383229.0</v>
      </c>
      <c r="I13" s="192">
        <v>3256307.0</v>
      </c>
      <c r="J13" s="192">
        <v>34211.0</v>
      </c>
      <c r="K13" s="60">
        <f>IFERROR(__xludf.DUMMYFUNCTION("""COMPUTED_VALUE"""),3958395.0)</f>
        <v>3958395</v>
      </c>
    </row>
    <row r="14">
      <c r="A14" s="192">
        <v>3720541.0</v>
      </c>
      <c r="B14" s="192"/>
      <c r="C14" s="192"/>
      <c r="D14" s="192"/>
      <c r="E14" s="192">
        <v>2440455.0</v>
      </c>
      <c r="F14" s="192">
        <v>3117101.0</v>
      </c>
      <c r="G14" s="192">
        <v>1635864.0</v>
      </c>
      <c r="H14" s="192">
        <v>1972425.0</v>
      </c>
      <c r="I14" s="192">
        <v>3444608.0</v>
      </c>
      <c r="J14" s="192">
        <v>1567978.0</v>
      </c>
      <c r="K14" s="60">
        <f>IFERROR(__xludf.DUMMYFUNCTION("""COMPUTED_VALUE"""),3823691.0)</f>
        <v>3823691</v>
      </c>
    </row>
    <row r="15">
      <c r="A15" s="192">
        <v>3081261.0</v>
      </c>
      <c r="B15" s="192"/>
      <c r="C15" s="192"/>
      <c r="D15" s="192"/>
      <c r="E15" s="192">
        <v>3248876.0</v>
      </c>
      <c r="F15" s="192">
        <v>1489274.0</v>
      </c>
      <c r="G15" s="192">
        <v>1404975.0</v>
      </c>
      <c r="H15" s="192">
        <v>3291796.0</v>
      </c>
      <c r="I15" s="192">
        <v>192181.0</v>
      </c>
      <c r="J15" s="192">
        <v>1045757.0</v>
      </c>
      <c r="K15" s="60">
        <f>IFERROR(__xludf.DUMMYFUNCTION("""COMPUTED_VALUE"""),3563790.0)</f>
        <v>3563790</v>
      </c>
    </row>
    <row r="16">
      <c r="A16" s="192">
        <v>3684386.0</v>
      </c>
      <c r="B16" s="192"/>
      <c r="C16" s="192"/>
      <c r="D16" s="192"/>
      <c r="E16" s="192">
        <v>1989991.0</v>
      </c>
      <c r="F16" s="192">
        <v>4082310.0</v>
      </c>
      <c r="G16" s="192">
        <v>1687599.0</v>
      </c>
      <c r="H16" s="192">
        <v>3656173.0</v>
      </c>
      <c r="I16" s="192">
        <v>1485947.0</v>
      </c>
      <c r="J16" s="192">
        <v>3412490.0</v>
      </c>
      <c r="K16" s="60">
        <f>IFERROR(__xludf.DUMMYFUNCTION("""COMPUTED_VALUE"""),63604.0)</f>
        <v>63604</v>
      </c>
    </row>
    <row r="17">
      <c r="A17" s="192">
        <v>3783139.0</v>
      </c>
      <c r="B17" s="192"/>
      <c r="C17" s="192"/>
      <c r="D17" s="192"/>
      <c r="E17" s="192">
        <v>3280686.0</v>
      </c>
      <c r="F17" s="192">
        <v>155064.0</v>
      </c>
      <c r="G17" s="192">
        <v>2072245.0</v>
      </c>
      <c r="H17" s="192">
        <v>2992124.0</v>
      </c>
      <c r="I17" s="192">
        <v>2239337.0</v>
      </c>
      <c r="J17" s="192">
        <v>2015481.0</v>
      </c>
      <c r="K17" s="60">
        <f>IFERROR(__xludf.DUMMYFUNCTION("""COMPUTED_VALUE"""),3841174.0)</f>
        <v>3841174</v>
      </c>
    </row>
    <row r="18">
      <c r="A18" s="192">
        <v>2027623.0</v>
      </c>
      <c r="B18" s="192"/>
      <c r="C18" s="192"/>
      <c r="D18" s="192"/>
      <c r="E18" s="192">
        <v>3396305.0</v>
      </c>
      <c r="F18" s="192">
        <v>4024821.0</v>
      </c>
      <c r="G18" s="192">
        <v>1596086.0</v>
      </c>
      <c r="H18" s="192">
        <v>3986899.0</v>
      </c>
      <c r="I18" s="192">
        <v>2198934.0</v>
      </c>
      <c r="J18" s="192">
        <v>1258993.0</v>
      </c>
      <c r="K18" s="60">
        <f>IFERROR(__xludf.DUMMYFUNCTION("""COMPUTED_VALUE"""),2751338.0)</f>
        <v>2751338</v>
      </c>
    </row>
    <row r="19">
      <c r="A19" s="192">
        <v>2305346.0</v>
      </c>
      <c r="B19" s="192"/>
      <c r="C19" s="192"/>
      <c r="D19" s="192"/>
      <c r="E19" s="192">
        <v>3446761.0</v>
      </c>
      <c r="F19" s="192">
        <v>2729314.0</v>
      </c>
      <c r="G19" s="192">
        <v>1251955.0</v>
      </c>
      <c r="H19" s="192">
        <v>2200110.0</v>
      </c>
      <c r="I19" s="192">
        <v>1387177.0</v>
      </c>
      <c r="J19" s="192">
        <v>2442178.0</v>
      </c>
      <c r="K19" s="60">
        <f>IFERROR(__xludf.DUMMYFUNCTION("""COMPUTED_VALUE"""),3795759.0)</f>
        <v>3795759</v>
      </c>
    </row>
    <row r="20">
      <c r="A20" s="192">
        <v>3310401.0</v>
      </c>
      <c r="B20" s="192"/>
      <c r="C20" s="192"/>
      <c r="D20" s="192"/>
      <c r="E20" s="192">
        <v>2044893.0</v>
      </c>
      <c r="F20" s="192">
        <v>87319.0</v>
      </c>
      <c r="G20" s="192">
        <v>2472143.0</v>
      </c>
      <c r="H20" s="192">
        <v>3990086.0</v>
      </c>
      <c r="I20" s="192">
        <v>2775823.0</v>
      </c>
      <c r="J20" s="192">
        <v>1290855.0</v>
      </c>
      <c r="K20" s="60">
        <f>IFERROR(__xludf.DUMMYFUNCTION("""COMPUTED_VALUE"""),1523138.0)</f>
        <v>1523138</v>
      </c>
    </row>
    <row r="21">
      <c r="A21" s="192">
        <v>4121042.0</v>
      </c>
      <c r="B21" s="192"/>
      <c r="C21" s="192"/>
      <c r="D21" s="192"/>
      <c r="E21" s="192">
        <v>3044231.0</v>
      </c>
      <c r="F21" s="192">
        <v>1913099.0</v>
      </c>
      <c r="G21" s="192">
        <v>3221246.0</v>
      </c>
      <c r="H21" s="192">
        <v>2666261.0</v>
      </c>
      <c r="I21" s="192">
        <v>3206318.0</v>
      </c>
      <c r="J21" s="192"/>
      <c r="K21" s="60">
        <f>IFERROR(__xludf.DUMMYFUNCTION("""COMPUTED_VALUE"""),2995193.0)</f>
        <v>2995193</v>
      </c>
    </row>
    <row r="22">
      <c r="A22" s="192">
        <v>908887.0</v>
      </c>
      <c r="B22" s="192"/>
      <c r="C22" s="192"/>
      <c r="D22" s="192"/>
      <c r="E22" s="192">
        <v>57384.0</v>
      </c>
      <c r="F22" s="192">
        <v>1521209.0</v>
      </c>
      <c r="G22" s="192">
        <v>3822120.0</v>
      </c>
      <c r="H22" s="192">
        <v>87369.0</v>
      </c>
      <c r="I22" s="192">
        <v>1484886.0</v>
      </c>
      <c r="J22" s="192">
        <v>3333734.0</v>
      </c>
      <c r="K22" s="60">
        <f>IFERROR(__xludf.DUMMYFUNCTION("""COMPUTED_VALUE"""),3496410.0)</f>
        <v>3496410</v>
      </c>
    </row>
    <row r="23">
      <c r="A23" s="192">
        <v>3533589.0</v>
      </c>
      <c r="B23" s="192"/>
      <c r="C23" s="192"/>
      <c r="D23" s="192"/>
      <c r="E23" s="192">
        <v>2110801.0</v>
      </c>
      <c r="F23" s="192">
        <v>2967720.0</v>
      </c>
      <c r="G23" s="192">
        <v>48215.0</v>
      </c>
      <c r="H23" s="192">
        <v>667685.0</v>
      </c>
      <c r="I23" s="192">
        <v>3774971.0</v>
      </c>
      <c r="J23" s="192">
        <v>2775823.0</v>
      </c>
      <c r="K23" s="60">
        <f>IFERROR(__xludf.DUMMYFUNCTION("""COMPUTED_VALUE"""),2690081.0)</f>
        <v>2690081</v>
      </c>
    </row>
    <row r="24">
      <c r="A24" s="192">
        <v>2094462.0</v>
      </c>
      <c r="B24" s="192"/>
      <c r="C24" s="192"/>
      <c r="D24" s="192"/>
      <c r="E24" s="192">
        <v>2366848.0</v>
      </c>
      <c r="F24" s="192">
        <v>1498150.0</v>
      </c>
      <c r="G24" s="192">
        <v>3616425.0</v>
      </c>
      <c r="H24" s="192">
        <v>1782851.0</v>
      </c>
      <c r="I24" s="192">
        <v>2835868.0</v>
      </c>
      <c r="J24" s="192">
        <v>2405667.0</v>
      </c>
      <c r="K24" s="60">
        <f>IFERROR(__xludf.DUMMYFUNCTION("""COMPUTED_VALUE"""),703042.0)</f>
        <v>703042</v>
      </c>
    </row>
    <row r="25">
      <c r="A25" s="192">
        <v>3035501.0</v>
      </c>
      <c r="B25" s="192"/>
      <c r="C25" s="192"/>
      <c r="D25" s="192"/>
      <c r="E25" s="192">
        <v>2694599.0</v>
      </c>
      <c r="F25" s="192">
        <v>417898.0</v>
      </c>
      <c r="G25" s="192">
        <v>2532230.0</v>
      </c>
      <c r="H25" s="192">
        <v>1592512.0</v>
      </c>
      <c r="I25" s="192">
        <v>4075902.0</v>
      </c>
      <c r="J25" s="192">
        <v>3711739.0</v>
      </c>
      <c r="K25" s="60">
        <f>IFERROR(__xludf.DUMMYFUNCTION("""COMPUTED_VALUE"""),3182641.0)</f>
        <v>3182641</v>
      </c>
    </row>
    <row r="26">
      <c r="A26" s="192"/>
      <c r="B26" s="192"/>
      <c r="C26" s="192"/>
      <c r="D26" s="192"/>
      <c r="E26" s="192">
        <v>134141.0</v>
      </c>
      <c r="F26" s="192">
        <v>87369.0</v>
      </c>
      <c r="G26" s="192">
        <v>2986144.0</v>
      </c>
      <c r="H26" s="192">
        <v>3819183.0</v>
      </c>
      <c r="I26" s="192">
        <v>3870932.0</v>
      </c>
      <c r="J26" s="192">
        <v>2134906.0</v>
      </c>
      <c r="K26" s="60">
        <f>IFERROR(__xludf.DUMMYFUNCTION("""COMPUTED_VALUE"""),1863870.0)</f>
        <v>1863870</v>
      </c>
    </row>
    <row r="27">
      <c r="A27" s="192"/>
      <c r="B27" s="192"/>
      <c r="C27" s="192"/>
      <c r="D27" s="192"/>
      <c r="E27" s="192">
        <v>250577.0</v>
      </c>
      <c r="F27" s="192">
        <v>2530278.0</v>
      </c>
      <c r="G27" s="192">
        <v>1975970.0</v>
      </c>
      <c r="H27" s="192">
        <v>2643263.0</v>
      </c>
      <c r="I27" s="192">
        <v>261729.0</v>
      </c>
      <c r="J27" s="192">
        <v>3326410.0</v>
      </c>
      <c r="K27" s="60">
        <f>IFERROR(__xludf.DUMMYFUNCTION("""COMPUTED_VALUE"""),4105349.0)</f>
        <v>4105349</v>
      </c>
    </row>
    <row r="28">
      <c r="A28" s="192"/>
      <c r="B28" s="192"/>
      <c r="C28" s="192"/>
      <c r="D28" s="192"/>
      <c r="E28" s="192">
        <v>2161153.0</v>
      </c>
      <c r="F28" s="192">
        <v>892543.0</v>
      </c>
      <c r="G28" s="192">
        <v>3912466.0</v>
      </c>
      <c r="H28" s="192">
        <v>1403845.0</v>
      </c>
      <c r="I28" s="192">
        <v>1290855.0</v>
      </c>
      <c r="J28" s="192">
        <v>2348578.0</v>
      </c>
      <c r="K28" s="60">
        <f>IFERROR(__xludf.DUMMYFUNCTION("""COMPUTED_VALUE"""),2016938.0)</f>
        <v>2016938</v>
      </c>
    </row>
    <row r="29">
      <c r="A29" s="192"/>
      <c r="B29" s="192"/>
      <c r="C29" s="192"/>
      <c r="D29" s="192"/>
      <c r="E29" s="192">
        <v>2795818.0</v>
      </c>
      <c r="F29" s="192">
        <v>3714964.0</v>
      </c>
      <c r="G29" s="192">
        <v>1600995.0</v>
      </c>
      <c r="H29" s="192">
        <v>2872861.0</v>
      </c>
      <c r="I29" s="192">
        <v>2442178.0</v>
      </c>
      <c r="J29" s="192">
        <v>929118.0</v>
      </c>
      <c r="K29" s="60">
        <f>IFERROR(__xludf.DUMMYFUNCTION("""COMPUTED_VALUE"""),3887774.0)</f>
        <v>3887774</v>
      </c>
    </row>
    <row r="30">
      <c r="A30" s="192"/>
      <c r="B30" s="192"/>
      <c r="C30" s="192"/>
      <c r="D30" s="192"/>
      <c r="E30" s="192">
        <v>3941210.0</v>
      </c>
      <c r="F30" s="192">
        <v>2200330.0</v>
      </c>
      <c r="G30" s="192">
        <v>2800663.0</v>
      </c>
      <c r="H30" s="192">
        <v>2917786.0</v>
      </c>
      <c r="I30" s="192">
        <v>1863289.0</v>
      </c>
      <c r="J30" s="192">
        <v>2718270.0</v>
      </c>
      <c r="K30" s="60">
        <f>IFERROR(__xludf.DUMMYFUNCTION("""COMPUTED_VALUE"""),1965654.0)</f>
        <v>1965654</v>
      </c>
    </row>
    <row r="31">
      <c r="A31" s="192"/>
      <c r="B31" s="192"/>
      <c r="C31" s="192"/>
      <c r="D31" s="192"/>
      <c r="E31" s="192">
        <v>3742030.0</v>
      </c>
      <c r="F31" s="192">
        <v>1733441.0</v>
      </c>
      <c r="G31" s="192">
        <v>103476.0</v>
      </c>
      <c r="H31" s="192">
        <v>2715749.0</v>
      </c>
      <c r="I31" s="192">
        <v>757386.0</v>
      </c>
      <c r="J31" s="192">
        <v>1744385.0</v>
      </c>
      <c r="K31" s="60">
        <f>IFERROR(__xludf.DUMMYFUNCTION("""COMPUTED_VALUE"""),2514122.0)</f>
        <v>2514122</v>
      </c>
    </row>
    <row r="32">
      <c r="A32" s="192"/>
      <c r="B32" s="192"/>
      <c r="C32" s="192"/>
      <c r="D32" s="192"/>
      <c r="E32" s="192">
        <v>846261.0</v>
      </c>
      <c r="F32" s="192">
        <v>3601684.0</v>
      </c>
      <c r="G32" s="192">
        <v>3870932.0</v>
      </c>
      <c r="H32" s="192">
        <v>2044890.0</v>
      </c>
      <c r="I32" s="192">
        <v>3010348.0</v>
      </c>
      <c r="J32" s="192">
        <v>3186407.0</v>
      </c>
      <c r="K32" s="60">
        <f>IFERROR(__xludf.DUMMYFUNCTION("""COMPUTED_VALUE"""),1782851.0)</f>
        <v>1782851</v>
      </c>
    </row>
    <row r="33">
      <c r="A33" s="192"/>
      <c r="B33" s="192"/>
      <c r="C33" s="192"/>
      <c r="D33" s="192"/>
      <c r="E33" s="192">
        <v>2659337.0</v>
      </c>
      <c r="F33" s="192">
        <v>315101.0</v>
      </c>
      <c r="G33" s="192"/>
      <c r="H33" s="192">
        <v>3454421.0</v>
      </c>
      <c r="I33" s="192">
        <v>2906707.0</v>
      </c>
      <c r="J33" s="192">
        <v>243487.0</v>
      </c>
      <c r="K33" s="60">
        <f>IFERROR(__xludf.DUMMYFUNCTION("""COMPUTED_VALUE"""),1456307.0)</f>
        <v>1456307</v>
      </c>
    </row>
    <row r="34">
      <c r="A34" s="192"/>
      <c r="B34" s="192"/>
      <c r="C34" s="192"/>
      <c r="D34" s="192"/>
      <c r="E34" s="192">
        <v>2277989.0</v>
      </c>
      <c r="F34" s="192">
        <v>1761258.0</v>
      </c>
      <c r="G34" s="192">
        <v>3913591.0</v>
      </c>
      <c r="H34" s="192">
        <v>152180.0</v>
      </c>
      <c r="I34" s="192">
        <v>2842836.0</v>
      </c>
      <c r="J34" s="192">
        <v>3614024.0</v>
      </c>
      <c r="K34" s="60">
        <f>IFERROR(__xludf.DUMMYFUNCTION("""COMPUTED_VALUE"""),3411549.0)</f>
        <v>3411549</v>
      </c>
    </row>
    <row r="35">
      <c r="A35" s="192"/>
      <c r="B35" s="192"/>
      <c r="C35" s="192"/>
      <c r="D35" s="192"/>
      <c r="E35" s="192">
        <v>3743202.0</v>
      </c>
      <c r="F35" s="192">
        <v>2701775.0</v>
      </c>
      <c r="G35" s="192">
        <v>674080.0</v>
      </c>
      <c r="H35" s="192">
        <v>2446833.0</v>
      </c>
      <c r="I35" s="192">
        <v>3851000.0</v>
      </c>
      <c r="J35" s="192">
        <v>3257641.0</v>
      </c>
      <c r="K35" s="60">
        <f>IFERROR(__xludf.DUMMYFUNCTION("""COMPUTED_VALUE"""),2340750.0)</f>
        <v>2340750</v>
      </c>
    </row>
    <row r="36">
      <c r="A36" s="192"/>
      <c r="B36" s="192"/>
      <c r="C36" s="192"/>
      <c r="D36" s="192"/>
      <c r="E36" s="192"/>
      <c r="F36" s="192">
        <v>3460069.0</v>
      </c>
      <c r="G36" s="192">
        <v>2514122.0</v>
      </c>
      <c r="H36" s="192">
        <v>2942900.0</v>
      </c>
      <c r="I36" s="192">
        <v>2058908.0</v>
      </c>
      <c r="J36" s="192">
        <v>3182052.0</v>
      </c>
      <c r="K36" s="60">
        <f>IFERROR(__xludf.DUMMYFUNCTION("""COMPUTED_VALUE"""),2827293.0)</f>
        <v>2827293</v>
      </c>
    </row>
    <row r="37">
      <c r="A37" s="192"/>
      <c r="B37" s="192"/>
      <c r="C37" s="192"/>
      <c r="D37" s="192"/>
      <c r="E37" s="192"/>
      <c r="F37" s="192">
        <v>3053637.0</v>
      </c>
      <c r="G37" s="192">
        <v>3407970.0</v>
      </c>
      <c r="H37" s="192">
        <v>4133990.0</v>
      </c>
      <c r="I37" s="192">
        <v>804959.0</v>
      </c>
      <c r="J37" s="192">
        <v>3071429.0</v>
      </c>
      <c r="K37" s="60">
        <f>IFERROR(__xludf.DUMMYFUNCTION("""COMPUTED_VALUE"""),3118794.0)</f>
        <v>3118794</v>
      </c>
    </row>
    <row r="38">
      <c r="A38" s="192"/>
      <c r="B38" s="192"/>
      <c r="C38" s="192"/>
      <c r="D38" s="192"/>
      <c r="E38" s="192"/>
      <c r="F38" s="192">
        <v>3332932.0</v>
      </c>
      <c r="G38" s="192">
        <v>2917786.0</v>
      </c>
      <c r="H38" s="192">
        <v>2758832.0</v>
      </c>
      <c r="I38" s="192">
        <v>2856139.0</v>
      </c>
      <c r="J38" s="192">
        <v>1653270.0</v>
      </c>
      <c r="K38" s="60">
        <f>IFERROR(__xludf.DUMMYFUNCTION("""COMPUTED_VALUE"""),3399446.0)</f>
        <v>3399446</v>
      </c>
    </row>
    <row r="39">
      <c r="A39" s="192"/>
      <c r="B39" s="192"/>
      <c r="C39" s="192"/>
      <c r="D39" s="192"/>
      <c r="E39" s="192"/>
      <c r="F39" s="192">
        <v>2151207.0</v>
      </c>
      <c r="G39" s="192">
        <v>2671048.0</v>
      </c>
      <c r="H39" s="192">
        <v>1738876.0</v>
      </c>
      <c r="I39" s="192"/>
      <c r="J39" s="192">
        <v>117424.0</v>
      </c>
      <c r="K39" s="60">
        <f>IFERROR(__xludf.DUMMYFUNCTION("""COMPUTED_VALUE"""),1896582.0)</f>
        <v>1896582</v>
      </c>
    </row>
    <row r="40">
      <c r="A40" s="192"/>
      <c r="B40" s="192"/>
      <c r="C40" s="192"/>
      <c r="D40" s="192"/>
      <c r="E40" s="192"/>
      <c r="F40" s="192">
        <v>3169863.0</v>
      </c>
      <c r="G40" s="192">
        <v>74778.0</v>
      </c>
      <c r="H40" s="192">
        <v>28366.0</v>
      </c>
      <c r="I40" s="192">
        <v>3499229.0</v>
      </c>
      <c r="J40" s="192">
        <v>2855311.0</v>
      </c>
      <c r="K40" s="60">
        <f>IFERROR(__xludf.DUMMYFUNCTION("""COMPUTED_VALUE"""),4134134.0)</f>
        <v>4134134</v>
      </c>
    </row>
    <row r="41">
      <c r="A41" s="192"/>
      <c r="B41" s="192"/>
      <c r="C41" s="192"/>
      <c r="D41" s="192"/>
      <c r="E41" s="192"/>
      <c r="F41" s="192">
        <v>2891411.0</v>
      </c>
      <c r="G41" s="192">
        <v>3530469.0</v>
      </c>
      <c r="H41" s="192">
        <v>3350322.0</v>
      </c>
      <c r="I41" s="192">
        <v>4197268.0</v>
      </c>
      <c r="J41" s="192">
        <v>3883278.0</v>
      </c>
      <c r="K41" s="60">
        <f>IFERROR(__xludf.DUMMYFUNCTION("""COMPUTED_VALUE"""),2395972.0)</f>
        <v>2395972</v>
      </c>
    </row>
    <row r="42">
      <c r="A42" s="192"/>
      <c r="B42" s="192"/>
      <c r="C42" s="192"/>
      <c r="D42" s="192"/>
      <c r="E42" s="192"/>
      <c r="F42" s="192">
        <v>2794904.0</v>
      </c>
      <c r="G42" s="192">
        <v>1491793.0</v>
      </c>
      <c r="H42" s="192">
        <v>3309941.0</v>
      </c>
      <c r="I42" s="192">
        <v>86079.0</v>
      </c>
      <c r="J42" s="192">
        <v>1592403.0</v>
      </c>
      <c r="K42" s="60">
        <f>IFERROR(__xludf.DUMMYFUNCTION("""COMPUTED_VALUE"""),3297107.0)</f>
        <v>3297107</v>
      </c>
    </row>
    <row r="43">
      <c r="A43" s="192"/>
      <c r="B43" s="192"/>
      <c r="C43" s="192"/>
      <c r="D43" s="192"/>
      <c r="E43" s="192"/>
      <c r="F43" s="192">
        <v>295650.0</v>
      </c>
      <c r="G43" s="192">
        <v>3291796.0</v>
      </c>
      <c r="H43" s="192">
        <v>2388648.0</v>
      </c>
      <c r="I43" s="192">
        <v>2849167.0</v>
      </c>
      <c r="J43" s="192">
        <v>26436.0</v>
      </c>
      <c r="K43" s="60">
        <f>IFERROR(__xludf.DUMMYFUNCTION("""COMPUTED_VALUE"""),2004679.0)</f>
        <v>2004679</v>
      </c>
    </row>
    <row r="44">
      <c r="A44" s="192"/>
      <c r="B44" s="192"/>
      <c r="C44" s="192"/>
      <c r="D44" s="192"/>
      <c r="E44" s="192"/>
      <c r="F44" s="192">
        <v>1956568.0</v>
      </c>
      <c r="G44" s="192">
        <v>3299370.0</v>
      </c>
      <c r="H44" s="192">
        <v>722224.0</v>
      </c>
      <c r="I44" s="192">
        <v>4150885.0</v>
      </c>
      <c r="J44" s="192">
        <v>2111658.0</v>
      </c>
      <c r="K44" s="60">
        <f>IFERROR(__xludf.DUMMYFUNCTION("""COMPUTED_VALUE"""),3248255.0)</f>
        <v>3248255</v>
      </c>
    </row>
    <row r="45">
      <c r="A45" s="192"/>
      <c r="B45" s="192"/>
      <c r="C45" s="192"/>
      <c r="D45" s="192"/>
      <c r="E45" s="192"/>
      <c r="F45" s="192">
        <v>3239199.0</v>
      </c>
      <c r="G45" s="192">
        <v>3822599.0</v>
      </c>
      <c r="H45" s="192">
        <v>3187491.0</v>
      </c>
      <c r="I45" s="192">
        <v>3798371.0</v>
      </c>
      <c r="J45" s="192">
        <v>424554.0</v>
      </c>
      <c r="K45" s="60">
        <f>IFERROR(__xludf.DUMMYFUNCTION("""COMPUTED_VALUE"""),2383229.0)</f>
        <v>2383229</v>
      </c>
    </row>
    <row r="46">
      <c r="A46" s="192"/>
      <c r="B46" s="192"/>
      <c r="C46" s="192"/>
      <c r="D46" s="192"/>
      <c r="E46" s="192"/>
      <c r="F46" s="192">
        <v>3446883.0</v>
      </c>
      <c r="G46" s="192">
        <v>785982.0</v>
      </c>
      <c r="H46" s="192">
        <v>105978.0</v>
      </c>
      <c r="I46" s="192">
        <v>2839573.0</v>
      </c>
      <c r="J46" s="192">
        <v>2559136.0</v>
      </c>
      <c r="K46" s="60">
        <f>IFERROR(__xludf.DUMMYFUNCTION("""COMPUTED_VALUE"""),3256307.0)</f>
        <v>3256307</v>
      </c>
    </row>
    <row r="47">
      <c r="A47" s="192"/>
      <c r="B47" s="192"/>
      <c r="C47" s="192"/>
      <c r="D47" s="192"/>
      <c r="E47" s="192"/>
      <c r="F47" s="192">
        <v>3616100.0</v>
      </c>
      <c r="G47" s="192">
        <v>382887.0</v>
      </c>
      <c r="H47" s="192">
        <v>86079.0</v>
      </c>
      <c r="I47" s="192">
        <v>3711739.0</v>
      </c>
      <c r="J47" s="192">
        <v>2792506.0</v>
      </c>
      <c r="K47" s="60">
        <f>IFERROR(__xludf.DUMMYFUNCTION("""COMPUTED_VALUE"""),34211.0)</f>
        <v>34211</v>
      </c>
    </row>
    <row r="48">
      <c r="A48" s="192"/>
      <c r="B48" s="192"/>
      <c r="C48" s="192"/>
      <c r="D48" s="192"/>
      <c r="E48" s="192"/>
      <c r="F48" s="192">
        <v>2853477.0</v>
      </c>
      <c r="G48" s="192">
        <v>4215637.0</v>
      </c>
      <c r="H48" s="192">
        <v>2277128.0</v>
      </c>
      <c r="I48" s="192">
        <v>2835894.0</v>
      </c>
      <c r="J48" s="192">
        <v>3686559.0</v>
      </c>
      <c r="K48" s="60">
        <f>IFERROR(__xludf.DUMMYFUNCTION("""COMPUTED_VALUE"""),3720541.0)</f>
        <v>3720541</v>
      </c>
    </row>
    <row r="49">
      <c r="A49" s="192"/>
      <c r="B49" s="192"/>
      <c r="C49" s="192"/>
      <c r="D49" s="192"/>
      <c r="E49" s="192"/>
      <c r="F49" s="192">
        <v>577517.0</v>
      </c>
      <c r="G49" s="192">
        <v>2277128.0</v>
      </c>
      <c r="H49" s="192">
        <v>1717844.0</v>
      </c>
      <c r="I49" s="192">
        <v>3404589.0</v>
      </c>
      <c r="J49" s="192">
        <v>1938365.0</v>
      </c>
      <c r="K49" s="60">
        <f>IFERROR(__xludf.DUMMYFUNCTION("""COMPUTED_VALUE"""),2440455.0)</f>
        <v>2440455</v>
      </c>
    </row>
    <row r="50">
      <c r="A50" s="192"/>
      <c r="B50" s="192"/>
      <c r="C50" s="192"/>
      <c r="D50" s="192"/>
      <c r="E50" s="192"/>
      <c r="F50" s="192">
        <v>3990086.0</v>
      </c>
      <c r="G50" s="192">
        <v>3804111.0</v>
      </c>
      <c r="H50" s="192">
        <v>1248147.0</v>
      </c>
      <c r="I50" s="192">
        <v>345642.0</v>
      </c>
      <c r="J50" s="192">
        <v>1699306.0</v>
      </c>
      <c r="K50" s="60">
        <f>IFERROR(__xludf.DUMMYFUNCTION("""COMPUTED_VALUE"""),3117101.0)</f>
        <v>3117101</v>
      </c>
    </row>
    <row r="51">
      <c r="A51" s="192"/>
      <c r="B51" s="192"/>
      <c r="C51" s="192"/>
      <c r="D51" s="192"/>
      <c r="E51" s="192"/>
      <c r="F51" s="192">
        <v>1857415.0</v>
      </c>
      <c r="G51" s="192">
        <v>2076261.0</v>
      </c>
      <c r="H51" s="192"/>
      <c r="I51" s="192">
        <v>2970566.0</v>
      </c>
      <c r="J51" s="192">
        <v>789815.0</v>
      </c>
      <c r="K51" s="60">
        <f>IFERROR(__xludf.DUMMYFUNCTION("""COMPUTED_VALUE"""),1635864.0)</f>
        <v>1635864</v>
      </c>
    </row>
    <row r="52">
      <c r="A52" s="192"/>
      <c r="B52" s="192"/>
      <c r="C52" s="192"/>
      <c r="D52" s="192"/>
      <c r="E52" s="192"/>
      <c r="F52" s="192">
        <v>2536100.0</v>
      </c>
      <c r="G52" s="192">
        <v>1838159.0</v>
      </c>
      <c r="H52" s="192"/>
      <c r="I52" s="192">
        <v>1035068.0</v>
      </c>
      <c r="J52" s="192">
        <v>1631406.0</v>
      </c>
      <c r="K52" s="60">
        <f>IFERROR(__xludf.DUMMYFUNCTION("""COMPUTED_VALUE"""),1972425.0)</f>
        <v>1972425</v>
      </c>
    </row>
    <row r="53">
      <c r="A53" s="192"/>
      <c r="B53" s="192"/>
      <c r="C53" s="192"/>
      <c r="D53" s="192"/>
      <c r="E53" s="192"/>
      <c r="F53" s="192"/>
      <c r="G53" s="192"/>
      <c r="H53" s="192"/>
      <c r="I53" s="192">
        <v>824390.0</v>
      </c>
      <c r="J53" s="192">
        <v>2961839.0</v>
      </c>
      <c r="K53" s="60">
        <f>IFERROR(__xludf.DUMMYFUNCTION("""COMPUTED_VALUE"""),3444608.0)</f>
        <v>3444608</v>
      </c>
    </row>
    <row r="54">
      <c r="A54" s="192"/>
      <c r="B54" s="192"/>
      <c r="C54" s="192"/>
      <c r="D54" s="192"/>
      <c r="E54" s="192"/>
      <c r="F54" s="192"/>
      <c r="G54" s="192">
        <v>577517.0</v>
      </c>
      <c r="H54" s="192"/>
      <c r="I54" s="192">
        <v>2111279.0</v>
      </c>
      <c r="J54" s="192">
        <v>1737928.0</v>
      </c>
      <c r="K54" s="60">
        <f>IFERROR(__xludf.DUMMYFUNCTION("""COMPUTED_VALUE"""),1567978.0)</f>
        <v>1567978</v>
      </c>
    </row>
    <row r="55">
      <c r="A55" s="192"/>
      <c r="B55" s="192"/>
      <c r="C55" s="192"/>
      <c r="D55" s="192"/>
      <c r="E55" s="192"/>
      <c r="F55" s="192"/>
      <c r="G55" s="192">
        <v>2568756.0</v>
      </c>
      <c r="H55" s="192"/>
      <c r="I55" s="192">
        <v>2417645.0</v>
      </c>
      <c r="J55" s="192">
        <v>2577703.0</v>
      </c>
      <c r="K55" s="60">
        <f>IFERROR(__xludf.DUMMYFUNCTION("""COMPUTED_VALUE"""),3081261.0)</f>
        <v>3081261</v>
      </c>
    </row>
    <row r="56">
      <c r="A56" s="192"/>
      <c r="B56" s="192"/>
      <c r="C56" s="192"/>
      <c r="D56" s="192"/>
      <c r="E56" s="192"/>
      <c r="F56" s="192"/>
      <c r="G56" s="192">
        <v>3341368.0</v>
      </c>
      <c r="H56" s="192"/>
      <c r="I56" s="192">
        <v>765880.0</v>
      </c>
      <c r="J56" s="192">
        <v>25341.0</v>
      </c>
      <c r="K56" s="60">
        <f>IFERROR(__xludf.DUMMYFUNCTION("""COMPUTED_VALUE"""),3248876.0)</f>
        <v>3248876</v>
      </c>
    </row>
    <row r="57">
      <c r="A57" s="192"/>
      <c r="B57" s="192"/>
      <c r="C57" s="192"/>
      <c r="D57" s="192"/>
      <c r="E57" s="192"/>
      <c r="F57" s="192"/>
      <c r="G57" s="192">
        <v>3274886.0</v>
      </c>
      <c r="H57" s="192"/>
      <c r="I57" s="192">
        <v>3396297.0</v>
      </c>
      <c r="J57" s="192">
        <v>2565268.0</v>
      </c>
      <c r="K57" s="60">
        <f>IFERROR(__xludf.DUMMYFUNCTION("""COMPUTED_VALUE"""),1489274.0)</f>
        <v>1489274</v>
      </c>
    </row>
    <row r="58">
      <c r="A58" s="192"/>
      <c r="B58" s="192"/>
      <c r="C58" s="192"/>
      <c r="D58" s="192"/>
      <c r="E58" s="192"/>
      <c r="F58" s="192"/>
      <c r="G58" s="192">
        <v>74779.0</v>
      </c>
      <c r="H58" s="192"/>
      <c r="I58" s="192">
        <v>2691754.0</v>
      </c>
      <c r="J58" s="192">
        <v>3802071.0</v>
      </c>
      <c r="K58" s="60">
        <f>IFERROR(__xludf.DUMMYFUNCTION("""COMPUTED_VALUE"""),1404975.0)</f>
        <v>1404975</v>
      </c>
    </row>
    <row r="59">
      <c r="A59" s="192"/>
      <c r="B59" s="192"/>
      <c r="C59" s="192"/>
      <c r="D59" s="192"/>
      <c r="E59" s="192"/>
      <c r="F59" s="192"/>
      <c r="G59" s="192">
        <v>37750.0</v>
      </c>
      <c r="H59" s="192"/>
      <c r="I59" s="192">
        <v>3802110.0</v>
      </c>
      <c r="J59" s="192">
        <v>3700933.0</v>
      </c>
      <c r="K59" s="60">
        <f>IFERROR(__xludf.DUMMYFUNCTION("""COMPUTED_VALUE"""),3291796.0)</f>
        <v>3291796</v>
      </c>
    </row>
    <row r="60">
      <c r="A60" s="192"/>
      <c r="B60" s="192"/>
      <c r="C60" s="192"/>
      <c r="D60" s="192"/>
      <c r="E60" s="192"/>
      <c r="F60" s="192"/>
      <c r="G60" s="192">
        <v>105978.0</v>
      </c>
      <c r="H60" s="192"/>
      <c r="I60" s="192">
        <v>2671858.0</v>
      </c>
      <c r="J60" s="192">
        <v>3853742.0</v>
      </c>
      <c r="K60" s="60">
        <f>IFERROR(__xludf.DUMMYFUNCTION("""COMPUTED_VALUE"""),192181.0)</f>
        <v>192181</v>
      </c>
    </row>
    <row r="61">
      <c r="A61" s="192"/>
      <c r="B61" s="192"/>
      <c r="C61" s="192"/>
      <c r="D61" s="192"/>
      <c r="E61" s="192"/>
      <c r="F61" s="192"/>
      <c r="G61" s="192">
        <v>3821597.0</v>
      </c>
      <c r="H61" s="192"/>
      <c r="I61" s="192">
        <v>2288966.0</v>
      </c>
      <c r="J61" s="192">
        <v>3039329.0</v>
      </c>
      <c r="K61" s="60">
        <f>IFERROR(__xludf.DUMMYFUNCTION("""COMPUTED_VALUE"""),1045757.0)</f>
        <v>1045757</v>
      </c>
    </row>
    <row r="62">
      <c r="A62" s="192"/>
      <c r="B62" s="192"/>
      <c r="C62" s="192"/>
      <c r="D62" s="192"/>
      <c r="E62" s="192"/>
      <c r="F62" s="192"/>
      <c r="G62" s="192"/>
      <c r="H62" s="192"/>
      <c r="I62" s="192">
        <v>3752605.0</v>
      </c>
      <c r="J62" s="192">
        <v>3714369.0</v>
      </c>
      <c r="K62" s="60">
        <f>IFERROR(__xludf.DUMMYFUNCTION("""COMPUTED_VALUE"""),3684386.0)</f>
        <v>3684386</v>
      </c>
    </row>
    <row r="63">
      <c r="A63" s="192"/>
      <c r="B63" s="192"/>
      <c r="C63" s="192"/>
      <c r="D63" s="192"/>
      <c r="E63" s="192"/>
      <c r="F63" s="192"/>
      <c r="G63" s="192"/>
      <c r="H63" s="192"/>
      <c r="I63" s="192">
        <v>3953905.0</v>
      </c>
      <c r="J63" s="192">
        <v>2690998.0</v>
      </c>
      <c r="K63" s="60">
        <f>IFERROR(__xludf.DUMMYFUNCTION("""COMPUTED_VALUE"""),1989991.0)</f>
        <v>1989991</v>
      </c>
    </row>
    <row r="64">
      <c r="A64" s="192"/>
      <c r="B64" s="192"/>
      <c r="C64" s="192"/>
      <c r="D64" s="192"/>
      <c r="E64" s="192"/>
      <c r="F64" s="192"/>
      <c r="G64" s="192"/>
      <c r="H64" s="192"/>
      <c r="I64" s="192">
        <v>309899.0</v>
      </c>
      <c r="J64" s="192">
        <v>3461206.0</v>
      </c>
      <c r="K64" s="60">
        <f>IFERROR(__xludf.DUMMYFUNCTION("""COMPUTED_VALUE"""),4082310.0)</f>
        <v>4082310</v>
      </c>
    </row>
    <row r="65">
      <c r="A65" s="192"/>
      <c r="B65" s="192"/>
      <c r="C65" s="192"/>
      <c r="D65" s="192"/>
      <c r="E65" s="192"/>
      <c r="F65" s="192"/>
      <c r="G65" s="192"/>
      <c r="H65" s="192"/>
      <c r="I65" s="192">
        <v>309900.0</v>
      </c>
      <c r="J65" s="192">
        <v>2279885.0</v>
      </c>
      <c r="K65" s="60">
        <f>IFERROR(__xludf.DUMMYFUNCTION("""COMPUTED_VALUE"""),1687599.0)</f>
        <v>1687599</v>
      </c>
    </row>
    <row r="66">
      <c r="A66" s="192"/>
      <c r="B66" s="192"/>
      <c r="C66" s="192"/>
      <c r="D66" s="192"/>
      <c r="E66" s="192"/>
      <c r="F66" s="192"/>
      <c r="G66" s="192"/>
      <c r="H66" s="192"/>
      <c r="I66" s="192">
        <v>3563737.0</v>
      </c>
      <c r="J66" s="192">
        <v>847315.0</v>
      </c>
      <c r="K66" s="60">
        <f>IFERROR(__xludf.DUMMYFUNCTION("""COMPUTED_VALUE"""),3656173.0)</f>
        <v>3656173</v>
      </c>
    </row>
    <row r="67">
      <c r="A67" s="192"/>
      <c r="B67" s="192"/>
      <c r="C67" s="192"/>
      <c r="D67" s="192"/>
      <c r="E67" s="192"/>
      <c r="F67" s="192"/>
      <c r="G67" s="192"/>
      <c r="H67" s="192"/>
      <c r="I67" s="192">
        <v>571620.0</v>
      </c>
      <c r="J67" s="192">
        <v>99407.0</v>
      </c>
      <c r="K67" s="60">
        <f>IFERROR(__xludf.DUMMYFUNCTION("""COMPUTED_VALUE"""),1485947.0)</f>
        <v>1485947</v>
      </c>
    </row>
    <row r="68">
      <c r="A68" s="192"/>
      <c r="B68" s="192"/>
      <c r="C68" s="192"/>
      <c r="D68" s="192"/>
      <c r="E68" s="192"/>
      <c r="F68" s="192"/>
      <c r="G68" s="192"/>
      <c r="H68" s="192"/>
      <c r="I68" s="192"/>
      <c r="J68" s="192">
        <v>58701.0</v>
      </c>
      <c r="K68" s="60">
        <f>IFERROR(__xludf.DUMMYFUNCTION("""COMPUTED_VALUE"""),3412490.0)</f>
        <v>3412490</v>
      </c>
    </row>
    <row r="69">
      <c r="A69" s="192"/>
      <c r="B69" s="192"/>
      <c r="C69" s="192"/>
      <c r="D69" s="192"/>
      <c r="E69" s="192"/>
      <c r="F69" s="192"/>
      <c r="G69" s="192"/>
      <c r="H69" s="192"/>
      <c r="I69" s="192"/>
      <c r="J69" s="192">
        <v>1707909.0</v>
      </c>
      <c r="K69" s="60">
        <f>IFERROR(__xludf.DUMMYFUNCTION("""COMPUTED_VALUE"""),3783139.0)</f>
        <v>3783139</v>
      </c>
    </row>
    <row r="70">
      <c r="A70" s="192"/>
      <c r="B70" s="192"/>
      <c r="C70" s="192"/>
      <c r="D70" s="192"/>
      <c r="E70" s="192"/>
      <c r="F70" s="192"/>
      <c r="G70" s="192"/>
      <c r="H70" s="192"/>
      <c r="I70" s="192"/>
      <c r="J70" s="192">
        <v>3772514.0</v>
      </c>
      <c r="K70" s="60">
        <f>IFERROR(__xludf.DUMMYFUNCTION("""COMPUTED_VALUE"""),3280686.0)</f>
        <v>3280686</v>
      </c>
    </row>
    <row r="71">
      <c r="A71" s="192"/>
      <c r="B71" s="192"/>
      <c r="C71" s="192"/>
      <c r="D71" s="192"/>
      <c r="E71" s="192"/>
      <c r="F71" s="192"/>
      <c r="G71" s="192"/>
      <c r="H71" s="192"/>
      <c r="I71" s="192"/>
      <c r="J71" s="192">
        <v>862338.0</v>
      </c>
      <c r="K71" s="60">
        <f>IFERROR(__xludf.DUMMYFUNCTION("""COMPUTED_VALUE"""),155064.0)</f>
        <v>155064</v>
      </c>
    </row>
    <row r="72">
      <c r="A72" s="192"/>
      <c r="B72" s="192"/>
      <c r="C72" s="192"/>
      <c r="D72" s="192"/>
      <c r="E72" s="192"/>
      <c r="F72" s="192"/>
      <c r="G72" s="192"/>
      <c r="H72" s="192"/>
      <c r="I72" s="192"/>
      <c r="J72" s="192">
        <v>3711612.0</v>
      </c>
      <c r="K72" s="60">
        <f>IFERROR(__xludf.DUMMYFUNCTION("""COMPUTED_VALUE"""),2072245.0)</f>
        <v>2072245</v>
      </c>
    </row>
    <row r="73">
      <c r="A73" s="192"/>
      <c r="B73" s="192"/>
      <c r="C73" s="192"/>
      <c r="D73" s="192"/>
      <c r="E73" s="192"/>
      <c r="F73" s="192"/>
      <c r="G73" s="192"/>
      <c r="H73" s="192"/>
      <c r="I73" s="192"/>
      <c r="J73" s="192">
        <v>2519731.0</v>
      </c>
      <c r="K73" s="60">
        <f>IFERROR(__xludf.DUMMYFUNCTION("""COMPUTED_VALUE"""),2992124.0)</f>
        <v>2992124</v>
      </c>
    </row>
    <row r="74">
      <c r="A74" s="192"/>
      <c r="B74" s="192"/>
      <c r="C74" s="192"/>
      <c r="D74" s="192"/>
      <c r="E74" s="192"/>
      <c r="F74" s="192"/>
      <c r="G74" s="192"/>
      <c r="H74" s="192"/>
      <c r="I74" s="192"/>
      <c r="J74" s="192">
        <v>1035068.0</v>
      </c>
      <c r="K74" s="60">
        <f>IFERROR(__xludf.DUMMYFUNCTION("""COMPUTED_VALUE"""),2239337.0)</f>
        <v>2239337</v>
      </c>
    </row>
    <row r="75">
      <c r="A75" s="192"/>
      <c r="B75" s="192"/>
      <c r="C75" s="192"/>
      <c r="D75" s="192"/>
      <c r="E75" s="192"/>
      <c r="F75" s="192"/>
      <c r="G75" s="192"/>
      <c r="H75" s="192"/>
      <c r="I75" s="192"/>
      <c r="J75" s="192"/>
      <c r="K75" s="60">
        <f>IFERROR(__xludf.DUMMYFUNCTION("""COMPUTED_VALUE"""),2015481.0)</f>
        <v>2015481</v>
      </c>
    </row>
    <row r="76">
      <c r="A76" s="192"/>
      <c r="B76" s="192"/>
      <c r="C76" s="192"/>
      <c r="D76" s="192"/>
      <c r="E76" s="192"/>
      <c r="F76" s="192"/>
      <c r="G76" s="192"/>
      <c r="H76" s="192"/>
      <c r="I76" s="192"/>
      <c r="J76" s="192"/>
      <c r="K76" s="60">
        <f>IFERROR(__xludf.DUMMYFUNCTION("""COMPUTED_VALUE"""),2027623.0)</f>
        <v>2027623</v>
      </c>
    </row>
    <row r="77">
      <c r="A77" s="192"/>
      <c r="B77" s="192"/>
      <c r="C77" s="192"/>
      <c r="D77" s="192"/>
      <c r="E77" s="192"/>
      <c r="F77" s="192"/>
      <c r="G77" s="192"/>
      <c r="H77" s="192"/>
      <c r="I77" s="192"/>
      <c r="J77" s="192"/>
      <c r="K77" s="60">
        <f>IFERROR(__xludf.DUMMYFUNCTION("""COMPUTED_VALUE"""),3396305.0)</f>
        <v>3396305</v>
      </c>
    </row>
    <row r="78">
      <c r="A78" s="192"/>
      <c r="B78" s="192"/>
      <c r="C78" s="192"/>
      <c r="D78" s="192"/>
      <c r="E78" s="192"/>
      <c r="F78" s="192"/>
      <c r="G78" s="192"/>
      <c r="H78" s="192"/>
      <c r="I78" s="192"/>
      <c r="J78" s="192"/>
      <c r="K78" s="60">
        <f>IFERROR(__xludf.DUMMYFUNCTION("""COMPUTED_VALUE"""),4024821.0)</f>
        <v>4024821</v>
      </c>
    </row>
    <row r="79">
      <c r="A79" s="192"/>
      <c r="B79" s="192"/>
      <c r="C79" s="192"/>
      <c r="D79" s="192"/>
      <c r="E79" s="192"/>
      <c r="F79" s="192"/>
      <c r="G79" s="192"/>
      <c r="H79" s="192"/>
      <c r="I79" s="192"/>
      <c r="J79" s="192"/>
      <c r="K79" s="60">
        <f>IFERROR(__xludf.DUMMYFUNCTION("""COMPUTED_VALUE"""),1596086.0)</f>
        <v>1596086</v>
      </c>
    </row>
    <row r="80">
      <c r="A80" s="192"/>
      <c r="B80" s="192"/>
      <c r="C80" s="192"/>
      <c r="D80" s="192"/>
      <c r="E80" s="192"/>
      <c r="F80" s="192"/>
      <c r="G80" s="192"/>
      <c r="H80" s="192"/>
      <c r="I80" s="192"/>
      <c r="J80" s="192"/>
      <c r="K80" s="60">
        <f>IFERROR(__xludf.DUMMYFUNCTION("""COMPUTED_VALUE"""),3986899.0)</f>
        <v>3986899</v>
      </c>
    </row>
    <row r="81">
      <c r="A81" s="192"/>
      <c r="B81" s="192"/>
      <c r="C81" s="192"/>
      <c r="D81" s="192"/>
      <c r="E81" s="192"/>
      <c r="F81" s="192"/>
      <c r="G81" s="192"/>
      <c r="H81" s="192"/>
      <c r="I81" s="192"/>
      <c r="J81" s="192"/>
      <c r="K81" s="60">
        <f>IFERROR(__xludf.DUMMYFUNCTION("""COMPUTED_VALUE"""),2198934.0)</f>
        <v>2198934</v>
      </c>
    </row>
    <row r="82">
      <c r="A82" s="192"/>
      <c r="B82" s="192"/>
      <c r="C82" s="192"/>
      <c r="D82" s="192"/>
      <c r="E82" s="192"/>
      <c r="F82" s="192"/>
      <c r="G82" s="192"/>
      <c r="H82" s="192"/>
      <c r="I82" s="192"/>
      <c r="J82" s="192"/>
      <c r="K82" s="60">
        <f>IFERROR(__xludf.DUMMYFUNCTION("""COMPUTED_VALUE"""),1258993.0)</f>
        <v>1258993</v>
      </c>
    </row>
    <row r="83">
      <c r="A83" s="192"/>
      <c r="B83" s="192"/>
      <c r="C83" s="192"/>
      <c r="D83" s="192"/>
      <c r="E83" s="192"/>
      <c r="F83" s="192"/>
      <c r="G83" s="192"/>
      <c r="H83" s="192"/>
      <c r="I83" s="192"/>
      <c r="J83" s="192"/>
      <c r="K83" s="60">
        <f>IFERROR(__xludf.DUMMYFUNCTION("""COMPUTED_VALUE"""),2305346.0)</f>
        <v>2305346</v>
      </c>
    </row>
    <row r="84">
      <c r="A84" s="192"/>
      <c r="B84" s="192"/>
      <c r="C84" s="192"/>
      <c r="D84" s="192"/>
      <c r="E84" s="192"/>
      <c r="F84" s="192"/>
      <c r="G84" s="192"/>
      <c r="H84" s="192"/>
      <c r="I84" s="192"/>
      <c r="J84" s="192"/>
      <c r="K84" s="60">
        <f>IFERROR(__xludf.DUMMYFUNCTION("""COMPUTED_VALUE"""),3446761.0)</f>
        <v>3446761</v>
      </c>
    </row>
    <row r="85">
      <c r="A85" s="192"/>
      <c r="B85" s="192"/>
      <c r="C85" s="192"/>
      <c r="D85" s="192"/>
      <c r="E85" s="192"/>
      <c r="F85" s="192"/>
      <c r="G85" s="192"/>
      <c r="H85" s="192"/>
      <c r="I85" s="192"/>
      <c r="J85" s="192"/>
      <c r="K85" s="60">
        <f>IFERROR(__xludf.DUMMYFUNCTION("""COMPUTED_VALUE"""),2729314.0)</f>
        <v>2729314</v>
      </c>
    </row>
    <row r="86">
      <c r="A86" s="192"/>
      <c r="B86" s="192"/>
      <c r="C86" s="192"/>
      <c r="D86" s="192"/>
      <c r="E86" s="192"/>
      <c r="F86" s="192"/>
      <c r="G86" s="192"/>
      <c r="H86" s="192"/>
      <c r="I86" s="192"/>
      <c r="J86" s="192"/>
      <c r="K86" s="60">
        <f>IFERROR(__xludf.DUMMYFUNCTION("""COMPUTED_VALUE"""),1251955.0)</f>
        <v>1251955</v>
      </c>
    </row>
    <row r="87">
      <c r="A87" s="192"/>
      <c r="B87" s="192"/>
      <c r="C87" s="192"/>
      <c r="D87" s="192"/>
      <c r="E87" s="192"/>
      <c r="F87" s="192"/>
      <c r="G87" s="192"/>
      <c r="H87" s="192"/>
      <c r="I87" s="192"/>
      <c r="J87" s="192"/>
      <c r="K87" s="60">
        <f>IFERROR(__xludf.DUMMYFUNCTION("""COMPUTED_VALUE"""),2200110.0)</f>
        <v>2200110</v>
      </c>
    </row>
    <row r="88">
      <c r="A88" s="192"/>
      <c r="B88" s="192"/>
      <c r="C88" s="192"/>
      <c r="D88" s="192"/>
      <c r="E88" s="192"/>
      <c r="F88" s="192"/>
      <c r="G88" s="192"/>
      <c r="H88" s="192"/>
      <c r="I88" s="192"/>
      <c r="J88" s="192"/>
      <c r="K88" s="60">
        <f>IFERROR(__xludf.DUMMYFUNCTION("""COMPUTED_VALUE"""),1387177.0)</f>
        <v>1387177</v>
      </c>
    </row>
    <row r="89">
      <c r="A89" s="192"/>
      <c r="B89" s="192"/>
      <c r="C89" s="192"/>
      <c r="D89" s="192"/>
      <c r="E89" s="192"/>
      <c r="F89" s="192"/>
      <c r="G89" s="192"/>
      <c r="H89" s="192"/>
      <c r="I89" s="192">
        <v>975342.0</v>
      </c>
      <c r="J89" s="192"/>
      <c r="K89" s="60">
        <f>IFERROR(__xludf.DUMMYFUNCTION("""COMPUTED_VALUE"""),2442178.0)</f>
        <v>2442178</v>
      </c>
    </row>
    <row r="90">
      <c r="A90" s="192"/>
      <c r="B90" s="192"/>
      <c r="C90" s="192"/>
      <c r="D90" s="192"/>
      <c r="E90" s="192"/>
      <c r="F90" s="192"/>
      <c r="G90" s="192"/>
      <c r="H90" s="192"/>
      <c r="I90" s="192"/>
      <c r="J90" s="192"/>
      <c r="K90" s="60">
        <f>IFERROR(__xludf.DUMMYFUNCTION("""COMPUTED_VALUE"""),3310401.0)</f>
        <v>3310401</v>
      </c>
    </row>
    <row r="91">
      <c r="A91" s="192"/>
      <c r="B91" s="192"/>
      <c r="C91" s="192"/>
      <c r="D91" s="192"/>
      <c r="E91" s="192"/>
      <c r="F91" s="192"/>
      <c r="G91" s="192"/>
      <c r="H91" s="192"/>
      <c r="I91" s="192"/>
      <c r="J91" s="192"/>
      <c r="K91" s="60">
        <f>IFERROR(__xludf.DUMMYFUNCTION("""COMPUTED_VALUE"""),2044893.0)</f>
        <v>2044893</v>
      </c>
    </row>
    <row r="92">
      <c r="A92" s="192"/>
      <c r="B92" s="192"/>
      <c r="C92" s="192"/>
      <c r="D92" s="192"/>
      <c r="E92" s="192"/>
      <c r="F92" s="192"/>
      <c r="G92" s="192"/>
      <c r="H92" s="192"/>
      <c r="I92" s="192"/>
      <c r="J92" s="192"/>
      <c r="K92" s="60">
        <f>IFERROR(__xludf.DUMMYFUNCTION("""COMPUTED_VALUE"""),87319.0)</f>
        <v>87319</v>
      </c>
    </row>
    <row r="93">
      <c r="A93" s="192"/>
      <c r="B93" s="192"/>
      <c r="C93" s="192"/>
      <c r="D93" s="192"/>
      <c r="E93" s="192"/>
      <c r="F93" s="192"/>
      <c r="G93" s="192"/>
      <c r="H93" s="192"/>
      <c r="I93" s="192"/>
      <c r="J93" s="192"/>
      <c r="K93" s="60">
        <f>IFERROR(__xludf.DUMMYFUNCTION("""COMPUTED_VALUE"""),2472143.0)</f>
        <v>2472143</v>
      </c>
    </row>
    <row r="94">
      <c r="A94" s="192"/>
      <c r="B94" s="192"/>
      <c r="C94" s="192"/>
      <c r="D94" s="192"/>
      <c r="E94" s="192"/>
      <c r="F94" s="192"/>
      <c r="G94" s="192"/>
      <c r="H94" s="192"/>
      <c r="I94" s="192"/>
      <c r="J94" s="192"/>
      <c r="K94" s="60">
        <f>IFERROR(__xludf.DUMMYFUNCTION("""COMPUTED_VALUE"""),3990086.0)</f>
        <v>3990086</v>
      </c>
    </row>
    <row r="95">
      <c r="A95" s="192"/>
      <c r="B95" s="192"/>
      <c r="C95" s="192"/>
      <c r="D95" s="192"/>
      <c r="E95" s="192"/>
      <c r="F95" s="192"/>
      <c r="G95" s="192"/>
      <c r="H95" s="192"/>
      <c r="I95" s="192"/>
      <c r="J95" s="192"/>
      <c r="K95" s="60">
        <f>IFERROR(__xludf.DUMMYFUNCTION("""COMPUTED_VALUE"""),2775823.0)</f>
        <v>2775823</v>
      </c>
    </row>
    <row r="96">
      <c r="A96" s="192"/>
      <c r="B96" s="192"/>
      <c r="C96" s="192"/>
      <c r="D96" s="192"/>
      <c r="E96" s="192"/>
      <c r="F96" s="192"/>
      <c r="G96" s="192"/>
      <c r="H96" s="192"/>
      <c r="I96" s="192"/>
      <c r="J96" s="192"/>
      <c r="K96" s="60">
        <f>IFERROR(__xludf.DUMMYFUNCTION("""COMPUTED_VALUE"""),1290855.0)</f>
        <v>1290855</v>
      </c>
    </row>
    <row r="97">
      <c r="A97" s="192"/>
      <c r="B97" s="192"/>
      <c r="C97" s="192"/>
      <c r="D97" s="192"/>
      <c r="E97" s="192"/>
      <c r="F97" s="192"/>
      <c r="G97" s="192"/>
      <c r="H97" s="192"/>
      <c r="I97" s="192"/>
      <c r="J97" s="192"/>
      <c r="K97" s="60">
        <f>IFERROR(__xludf.DUMMYFUNCTION("""COMPUTED_VALUE"""),4121042.0)</f>
        <v>4121042</v>
      </c>
    </row>
    <row r="98">
      <c r="A98" s="192"/>
      <c r="B98" s="192"/>
      <c r="C98" s="192"/>
      <c r="D98" s="192"/>
      <c r="E98" s="192"/>
      <c r="F98" s="192"/>
      <c r="G98" s="192"/>
      <c r="H98" s="192"/>
      <c r="I98" s="192"/>
      <c r="J98" s="192"/>
      <c r="K98" s="60">
        <f>IFERROR(__xludf.DUMMYFUNCTION("""COMPUTED_VALUE"""),3044231.0)</f>
        <v>3044231</v>
      </c>
    </row>
    <row r="99">
      <c r="A99" s="192"/>
      <c r="B99" s="192"/>
      <c r="C99" s="192"/>
      <c r="D99" s="192"/>
      <c r="E99" s="192"/>
      <c r="F99" s="192"/>
      <c r="G99" s="192"/>
      <c r="H99" s="192"/>
      <c r="I99" s="192"/>
      <c r="J99" s="192"/>
      <c r="K99" s="60">
        <f>IFERROR(__xludf.DUMMYFUNCTION("""COMPUTED_VALUE"""),1913099.0)</f>
        <v>1913099</v>
      </c>
    </row>
    <row r="100">
      <c r="A100" s="192"/>
      <c r="B100" s="192"/>
      <c r="C100" s="192"/>
      <c r="D100" s="192"/>
      <c r="E100" s="192"/>
      <c r="F100" s="192"/>
      <c r="G100" s="192"/>
      <c r="H100" s="192"/>
      <c r="I100" s="192"/>
      <c r="J100" s="192"/>
      <c r="K100" s="60">
        <f>IFERROR(__xludf.DUMMYFUNCTION("""COMPUTED_VALUE"""),3221246.0)</f>
        <v>3221246</v>
      </c>
    </row>
    <row r="101">
      <c r="A101" s="192"/>
      <c r="B101" s="192"/>
      <c r="C101" s="192"/>
      <c r="D101" s="192"/>
      <c r="E101" s="192"/>
      <c r="F101" s="192"/>
      <c r="G101" s="192"/>
      <c r="H101" s="192"/>
      <c r="I101" s="192"/>
      <c r="J101" s="192"/>
      <c r="K101" s="60">
        <f>IFERROR(__xludf.DUMMYFUNCTION("""COMPUTED_VALUE"""),2666261.0)</f>
        <v>2666261</v>
      </c>
    </row>
    <row r="102">
      <c r="A102" s="192"/>
      <c r="B102" s="192"/>
      <c r="C102" s="192"/>
      <c r="D102" s="192"/>
      <c r="E102" s="192"/>
      <c r="F102" s="192"/>
      <c r="G102" s="192"/>
      <c r="H102" s="192"/>
      <c r="I102" s="192"/>
      <c r="J102" s="192"/>
      <c r="K102" s="60">
        <f>IFERROR(__xludf.DUMMYFUNCTION("""COMPUTED_VALUE"""),3206318.0)</f>
        <v>3206318</v>
      </c>
    </row>
    <row r="103">
      <c r="A103" s="192"/>
      <c r="B103" s="192"/>
      <c r="C103" s="192"/>
      <c r="D103" s="192"/>
      <c r="E103" s="192"/>
      <c r="F103" s="192"/>
      <c r="G103" s="192"/>
      <c r="H103" s="192"/>
      <c r="I103" s="192"/>
      <c r="J103" s="192"/>
      <c r="K103" s="60">
        <f>IFERROR(__xludf.DUMMYFUNCTION("""COMPUTED_VALUE"""),908887.0)</f>
        <v>908887</v>
      </c>
    </row>
    <row r="104">
      <c r="A104" s="192"/>
      <c r="B104" s="192"/>
      <c r="C104" s="192"/>
      <c r="D104" s="192"/>
      <c r="E104" s="192"/>
      <c r="F104" s="192"/>
      <c r="G104" s="192"/>
      <c r="H104" s="192"/>
      <c r="I104" s="192"/>
      <c r="J104" s="192"/>
      <c r="K104" s="60">
        <f>IFERROR(__xludf.DUMMYFUNCTION("""COMPUTED_VALUE"""),57384.0)</f>
        <v>57384</v>
      </c>
    </row>
    <row r="105">
      <c r="A105" s="192"/>
      <c r="B105" s="192"/>
      <c r="C105" s="192"/>
      <c r="D105" s="192"/>
      <c r="E105" s="192"/>
      <c r="F105" s="192"/>
      <c r="G105" s="192"/>
      <c r="H105" s="192"/>
      <c r="I105" s="192"/>
      <c r="J105" s="192"/>
      <c r="K105" s="60">
        <f>IFERROR(__xludf.DUMMYFUNCTION("""COMPUTED_VALUE"""),1521209.0)</f>
        <v>1521209</v>
      </c>
    </row>
    <row r="106">
      <c r="A106" s="192"/>
      <c r="B106" s="192"/>
      <c r="C106" s="192"/>
      <c r="D106" s="192"/>
      <c r="E106" s="192"/>
      <c r="F106" s="192"/>
      <c r="G106" s="192"/>
      <c r="H106" s="192"/>
      <c r="I106" s="192"/>
      <c r="J106" s="192"/>
      <c r="K106" s="60">
        <f>IFERROR(__xludf.DUMMYFUNCTION("""COMPUTED_VALUE"""),3822120.0)</f>
        <v>3822120</v>
      </c>
    </row>
    <row r="107">
      <c r="A107" s="192"/>
      <c r="B107" s="192"/>
      <c r="C107" s="192"/>
      <c r="D107" s="192"/>
      <c r="E107" s="192"/>
      <c r="F107" s="192"/>
      <c r="G107" s="192"/>
      <c r="H107" s="192"/>
      <c r="I107" s="192"/>
      <c r="J107" s="192"/>
      <c r="K107" s="60">
        <f>IFERROR(__xludf.DUMMYFUNCTION("""COMPUTED_VALUE"""),87369.0)</f>
        <v>87369</v>
      </c>
    </row>
    <row r="108">
      <c r="A108" s="192"/>
      <c r="B108" s="192"/>
      <c r="C108" s="192"/>
      <c r="D108" s="192"/>
      <c r="E108" s="192"/>
      <c r="F108" s="192"/>
      <c r="G108" s="192"/>
      <c r="H108" s="192"/>
      <c r="I108" s="192"/>
      <c r="J108" s="192"/>
      <c r="K108" s="60">
        <f>IFERROR(__xludf.DUMMYFUNCTION("""COMPUTED_VALUE"""),1484886.0)</f>
        <v>1484886</v>
      </c>
    </row>
    <row r="109">
      <c r="A109" s="192"/>
      <c r="B109" s="192"/>
      <c r="C109" s="192"/>
      <c r="D109" s="192"/>
      <c r="E109" s="192"/>
      <c r="F109" s="192"/>
      <c r="G109" s="192"/>
      <c r="H109" s="192"/>
      <c r="I109" s="192"/>
      <c r="J109" s="192"/>
      <c r="K109" s="60">
        <f>IFERROR(__xludf.DUMMYFUNCTION("""COMPUTED_VALUE"""),3333734.0)</f>
        <v>3333734</v>
      </c>
    </row>
    <row r="110">
      <c r="A110" s="192"/>
      <c r="B110" s="192"/>
      <c r="C110" s="192"/>
      <c r="D110" s="192"/>
      <c r="E110" s="192"/>
      <c r="F110" s="192"/>
      <c r="G110" s="192"/>
      <c r="H110" s="192"/>
      <c r="I110" s="192"/>
      <c r="J110" s="192"/>
      <c r="K110" s="60">
        <f>IFERROR(__xludf.DUMMYFUNCTION("""COMPUTED_VALUE"""),3533589.0)</f>
        <v>3533589</v>
      </c>
    </row>
    <row r="111">
      <c r="A111" s="192"/>
      <c r="B111" s="192"/>
      <c r="C111" s="192"/>
      <c r="D111" s="192"/>
      <c r="E111" s="192"/>
      <c r="F111" s="192"/>
      <c r="G111" s="192"/>
      <c r="H111" s="192"/>
      <c r="I111" s="192"/>
      <c r="J111" s="192"/>
      <c r="K111" s="60">
        <f>IFERROR(__xludf.DUMMYFUNCTION("""COMPUTED_VALUE"""),2110801.0)</f>
        <v>2110801</v>
      </c>
    </row>
    <row r="112">
      <c r="A112" s="192"/>
      <c r="B112" s="192"/>
      <c r="C112" s="192"/>
      <c r="D112" s="192"/>
      <c r="E112" s="192"/>
      <c r="F112" s="192"/>
      <c r="G112" s="192"/>
      <c r="H112" s="192"/>
      <c r="I112" s="192"/>
      <c r="J112" s="192"/>
      <c r="K112" s="60">
        <f>IFERROR(__xludf.DUMMYFUNCTION("""COMPUTED_VALUE"""),2967720.0)</f>
        <v>2967720</v>
      </c>
    </row>
    <row r="113">
      <c r="A113" s="192"/>
      <c r="B113" s="192"/>
      <c r="C113" s="192"/>
      <c r="D113" s="192"/>
      <c r="E113" s="192"/>
      <c r="F113" s="192"/>
      <c r="G113" s="192"/>
      <c r="H113" s="192"/>
      <c r="I113" s="192"/>
      <c r="J113" s="192"/>
      <c r="K113" s="60">
        <f>IFERROR(__xludf.DUMMYFUNCTION("""COMPUTED_VALUE"""),48215.0)</f>
        <v>48215</v>
      </c>
    </row>
    <row r="114">
      <c r="A114" s="192"/>
      <c r="B114" s="192"/>
      <c r="C114" s="192"/>
      <c r="D114" s="192"/>
      <c r="E114" s="192"/>
      <c r="F114" s="192"/>
      <c r="G114" s="192"/>
      <c r="H114" s="192"/>
      <c r="I114" s="192"/>
      <c r="J114" s="192"/>
      <c r="K114" s="60">
        <f>IFERROR(__xludf.DUMMYFUNCTION("""COMPUTED_VALUE"""),667685.0)</f>
        <v>667685</v>
      </c>
    </row>
    <row r="115">
      <c r="A115" s="192"/>
      <c r="B115" s="192"/>
      <c r="C115" s="192"/>
      <c r="D115" s="192"/>
      <c r="E115" s="192"/>
      <c r="F115" s="192"/>
      <c r="G115" s="192"/>
      <c r="H115" s="192"/>
      <c r="I115" s="192"/>
      <c r="J115" s="192"/>
      <c r="K115" s="60">
        <f>IFERROR(__xludf.DUMMYFUNCTION("""COMPUTED_VALUE"""),3774971.0)</f>
        <v>3774971</v>
      </c>
    </row>
    <row r="116">
      <c r="A116" s="192"/>
      <c r="B116" s="192"/>
      <c r="C116" s="192"/>
      <c r="D116" s="192"/>
      <c r="E116" s="192"/>
      <c r="F116" s="192"/>
      <c r="G116" s="192"/>
      <c r="H116" s="192"/>
      <c r="I116" s="192"/>
      <c r="J116" s="192"/>
      <c r="K116" s="60">
        <f>IFERROR(__xludf.DUMMYFUNCTION("""COMPUTED_VALUE"""),2775823.0)</f>
        <v>2775823</v>
      </c>
    </row>
    <row r="117">
      <c r="A117" s="192"/>
      <c r="B117" s="192"/>
      <c r="C117" s="192"/>
      <c r="D117" s="192"/>
      <c r="E117" s="192"/>
      <c r="F117" s="192"/>
      <c r="G117" s="192"/>
      <c r="H117" s="192"/>
      <c r="I117" s="192"/>
      <c r="J117" s="192"/>
      <c r="K117" s="60">
        <f>IFERROR(__xludf.DUMMYFUNCTION("""COMPUTED_VALUE"""),2094462.0)</f>
        <v>2094462</v>
      </c>
    </row>
    <row r="118">
      <c r="A118" s="192"/>
      <c r="B118" s="192"/>
      <c r="C118" s="192"/>
      <c r="D118" s="192"/>
      <c r="E118" s="192"/>
      <c r="F118" s="192"/>
      <c r="G118" s="192"/>
      <c r="H118" s="192"/>
      <c r="I118" s="192"/>
      <c r="J118" s="192"/>
      <c r="K118" s="60">
        <f>IFERROR(__xludf.DUMMYFUNCTION("""COMPUTED_VALUE"""),2366848.0)</f>
        <v>2366848</v>
      </c>
    </row>
    <row r="119">
      <c r="A119" s="192"/>
      <c r="B119" s="192"/>
      <c r="C119" s="192"/>
      <c r="D119" s="192"/>
      <c r="E119" s="192"/>
      <c r="F119" s="192"/>
      <c r="G119" s="192"/>
      <c r="H119" s="192"/>
      <c r="I119" s="192"/>
      <c r="J119" s="192"/>
      <c r="K119" s="60">
        <f>IFERROR(__xludf.DUMMYFUNCTION("""COMPUTED_VALUE"""),1498150.0)</f>
        <v>1498150</v>
      </c>
    </row>
    <row r="120">
      <c r="A120" s="192"/>
      <c r="B120" s="192"/>
      <c r="C120" s="192"/>
      <c r="D120" s="192"/>
      <c r="E120" s="192"/>
      <c r="F120" s="192"/>
      <c r="G120" s="192"/>
      <c r="H120" s="192"/>
      <c r="I120" s="192"/>
      <c r="J120" s="192"/>
      <c r="K120" s="60">
        <f>IFERROR(__xludf.DUMMYFUNCTION("""COMPUTED_VALUE"""),3616425.0)</f>
        <v>3616425</v>
      </c>
    </row>
    <row r="121">
      <c r="A121" s="192"/>
      <c r="B121" s="192"/>
      <c r="C121" s="192"/>
      <c r="D121" s="192"/>
      <c r="E121" s="192"/>
      <c r="F121" s="192"/>
      <c r="G121" s="192"/>
      <c r="H121" s="192"/>
      <c r="I121" s="192"/>
      <c r="J121" s="192"/>
      <c r="K121" s="60">
        <f>IFERROR(__xludf.DUMMYFUNCTION("""COMPUTED_VALUE"""),1782851.0)</f>
        <v>1782851</v>
      </c>
    </row>
    <row r="122">
      <c r="A122" s="192"/>
      <c r="B122" s="192"/>
      <c r="C122" s="192"/>
      <c r="D122" s="192"/>
      <c r="E122" s="192"/>
      <c r="F122" s="192"/>
      <c r="G122" s="192"/>
      <c r="H122" s="192"/>
      <c r="I122" s="192"/>
      <c r="J122" s="192"/>
      <c r="K122" s="60">
        <f>IFERROR(__xludf.DUMMYFUNCTION("""COMPUTED_VALUE"""),2835868.0)</f>
        <v>2835868</v>
      </c>
    </row>
    <row r="123">
      <c r="A123" s="192"/>
      <c r="B123" s="192"/>
      <c r="C123" s="192"/>
      <c r="D123" s="192"/>
      <c r="E123" s="192"/>
      <c r="F123" s="192"/>
      <c r="G123" s="192"/>
      <c r="H123" s="192"/>
      <c r="I123" s="192"/>
      <c r="J123" s="192"/>
      <c r="K123" s="60">
        <f>IFERROR(__xludf.DUMMYFUNCTION("""COMPUTED_VALUE"""),2405667.0)</f>
        <v>2405667</v>
      </c>
    </row>
    <row r="124">
      <c r="A124" s="192"/>
      <c r="B124" s="192"/>
      <c r="C124" s="192"/>
      <c r="D124" s="192"/>
      <c r="E124" s="192"/>
      <c r="F124" s="192"/>
      <c r="G124" s="192"/>
      <c r="H124" s="192"/>
      <c r="I124" s="192"/>
      <c r="J124" s="192"/>
      <c r="K124" s="60">
        <f>IFERROR(__xludf.DUMMYFUNCTION("""COMPUTED_VALUE"""),3035501.0)</f>
        <v>3035501</v>
      </c>
    </row>
    <row r="125">
      <c r="A125" s="192"/>
      <c r="B125" s="192"/>
      <c r="C125" s="192"/>
      <c r="D125" s="192"/>
      <c r="E125" s="192"/>
      <c r="F125" s="192"/>
      <c r="G125" s="192"/>
      <c r="H125" s="192"/>
      <c r="I125" s="192"/>
      <c r="J125" s="192"/>
      <c r="K125" s="60">
        <f>IFERROR(__xludf.DUMMYFUNCTION("""COMPUTED_VALUE"""),2694599.0)</f>
        <v>2694599</v>
      </c>
    </row>
    <row r="126">
      <c r="A126" s="192"/>
      <c r="B126" s="192"/>
      <c r="C126" s="192"/>
      <c r="D126" s="192"/>
      <c r="E126" s="192"/>
      <c r="F126" s="192"/>
      <c r="G126" s="192"/>
      <c r="H126" s="192"/>
      <c r="I126" s="192"/>
      <c r="J126" s="192"/>
      <c r="K126" s="60">
        <f>IFERROR(__xludf.DUMMYFUNCTION("""COMPUTED_VALUE"""),417898.0)</f>
        <v>417898</v>
      </c>
    </row>
    <row r="127">
      <c r="A127" s="192"/>
      <c r="B127" s="192"/>
      <c r="C127" s="192"/>
      <c r="D127" s="192"/>
      <c r="E127" s="192"/>
      <c r="F127" s="192"/>
      <c r="G127" s="192"/>
      <c r="H127" s="192"/>
      <c r="I127" s="192"/>
      <c r="J127" s="192"/>
      <c r="K127" s="60">
        <f>IFERROR(__xludf.DUMMYFUNCTION("""COMPUTED_VALUE"""),2532230.0)</f>
        <v>2532230</v>
      </c>
    </row>
    <row r="128">
      <c r="A128" s="192"/>
      <c r="B128" s="192"/>
      <c r="C128" s="192"/>
      <c r="D128" s="192"/>
      <c r="E128" s="192"/>
      <c r="F128" s="192"/>
      <c r="G128" s="192"/>
      <c r="H128" s="192"/>
      <c r="I128" s="192"/>
      <c r="J128" s="192"/>
      <c r="K128" s="60">
        <f>IFERROR(__xludf.DUMMYFUNCTION("""COMPUTED_VALUE"""),1592512.0)</f>
        <v>1592512</v>
      </c>
    </row>
    <row r="129">
      <c r="A129" s="192"/>
      <c r="B129" s="192"/>
      <c r="C129" s="192"/>
      <c r="D129" s="192"/>
      <c r="E129" s="192"/>
      <c r="F129" s="192"/>
      <c r="G129" s="192"/>
      <c r="H129" s="192"/>
      <c r="I129" s="192"/>
      <c r="J129" s="192"/>
      <c r="K129" s="60">
        <f>IFERROR(__xludf.DUMMYFUNCTION("""COMPUTED_VALUE"""),4075902.0)</f>
        <v>4075902</v>
      </c>
    </row>
    <row r="130">
      <c r="A130" s="192"/>
      <c r="B130" s="192"/>
      <c r="C130" s="192"/>
      <c r="D130" s="192"/>
      <c r="E130" s="192"/>
      <c r="F130" s="192"/>
      <c r="G130" s="192"/>
      <c r="H130" s="192"/>
      <c r="I130" s="192"/>
      <c r="J130" s="192"/>
      <c r="K130" s="60">
        <f>IFERROR(__xludf.DUMMYFUNCTION("""COMPUTED_VALUE"""),3711739.0)</f>
        <v>3711739</v>
      </c>
    </row>
    <row r="131">
      <c r="A131" s="192"/>
      <c r="B131" s="192"/>
      <c r="C131" s="192"/>
      <c r="D131" s="192"/>
      <c r="E131" s="192"/>
      <c r="F131" s="192"/>
      <c r="G131" s="192"/>
      <c r="H131" s="192"/>
      <c r="I131" s="192"/>
      <c r="J131" s="192"/>
      <c r="K131" s="60">
        <f>IFERROR(__xludf.DUMMYFUNCTION("""COMPUTED_VALUE"""),134141.0)</f>
        <v>134141</v>
      </c>
    </row>
    <row r="132">
      <c r="A132" s="192"/>
      <c r="B132" s="192"/>
      <c r="C132" s="192"/>
      <c r="D132" s="192"/>
      <c r="E132" s="192"/>
      <c r="F132" s="192"/>
      <c r="G132" s="192"/>
      <c r="H132" s="192"/>
      <c r="I132" s="192"/>
      <c r="J132" s="192"/>
      <c r="K132" s="60">
        <f>IFERROR(__xludf.DUMMYFUNCTION("""COMPUTED_VALUE"""),87369.0)</f>
        <v>87369</v>
      </c>
    </row>
    <row r="133">
      <c r="A133" s="192"/>
      <c r="B133" s="192"/>
      <c r="C133" s="192"/>
      <c r="D133" s="192"/>
      <c r="E133" s="192"/>
      <c r="F133" s="192"/>
      <c r="G133" s="192"/>
      <c r="H133" s="192"/>
      <c r="I133" s="192"/>
      <c r="J133" s="192"/>
      <c r="K133" s="60">
        <f>IFERROR(__xludf.DUMMYFUNCTION("""COMPUTED_VALUE"""),2986144.0)</f>
        <v>2986144</v>
      </c>
    </row>
    <row r="134">
      <c r="A134" s="192"/>
      <c r="B134" s="192"/>
      <c r="C134" s="192"/>
      <c r="D134" s="192"/>
      <c r="E134" s="192"/>
      <c r="F134" s="192"/>
      <c r="G134" s="192"/>
      <c r="H134" s="192"/>
      <c r="I134" s="192"/>
      <c r="J134" s="192"/>
      <c r="K134" s="60">
        <f>IFERROR(__xludf.DUMMYFUNCTION("""COMPUTED_VALUE"""),3819183.0)</f>
        <v>3819183</v>
      </c>
    </row>
    <row r="135">
      <c r="A135" s="192"/>
      <c r="B135" s="192"/>
      <c r="C135" s="192"/>
      <c r="D135" s="192"/>
      <c r="E135" s="192"/>
      <c r="F135" s="192"/>
      <c r="G135" s="192"/>
      <c r="H135" s="192"/>
      <c r="I135" s="192"/>
      <c r="J135" s="192"/>
      <c r="K135" s="60">
        <f>IFERROR(__xludf.DUMMYFUNCTION("""COMPUTED_VALUE"""),3870932.0)</f>
        <v>3870932</v>
      </c>
    </row>
    <row r="136">
      <c r="A136" s="192"/>
      <c r="B136" s="192"/>
      <c r="C136" s="192"/>
      <c r="D136" s="192"/>
      <c r="E136" s="192"/>
      <c r="F136" s="192"/>
      <c r="G136" s="192"/>
      <c r="H136" s="192"/>
      <c r="I136" s="192"/>
      <c r="J136" s="192"/>
      <c r="K136" s="60">
        <f>IFERROR(__xludf.DUMMYFUNCTION("""COMPUTED_VALUE"""),2134906.0)</f>
        <v>2134906</v>
      </c>
    </row>
    <row r="137">
      <c r="A137" s="192"/>
      <c r="B137" s="192"/>
      <c r="C137" s="192"/>
      <c r="D137" s="192"/>
      <c r="E137" s="192"/>
      <c r="F137" s="192"/>
      <c r="G137" s="192"/>
      <c r="H137" s="192"/>
      <c r="I137" s="192"/>
      <c r="J137" s="192"/>
      <c r="K137" s="60">
        <f>IFERROR(__xludf.DUMMYFUNCTION("""COMPUTED_VALUE"""),250577.0)</f>
        <v>250577</v>
      </c>
    </row>
    <row r="138">
      <c r="A138" s="192"/>
      <c r="B138" s="192"/>
      <c r="C138" s="192"/>
      <c r="D138" s="192"/>
      <c r="E138" s="192"/>
      <c r="F138" s="192"/>
      <c r="G138" s="192"/>
      <c r="H138" s="192"/>
      <c r="I138" s="192"/>
      <c r="J138" s="192"/>
      <c r="K138" s="60">
        <f>IFERROR(__xludf.DUMMYFUNCTION("""COMPUTED_VALUE"""),2530278.0)</f>
        <v>2530278</v>
      </c>
    </row>
    <row r="139">
      <c r="A139" s="192"/>
      <c r="B139" s="192"/>
      <c r="C139" s="192"/>
      <c r="D139" s="192"/>
      <c r="E139" s="192"/>
      <c r="F139" s="192"/>
      <c r="G139" s="192"/>
      <c r="H139" s="192"/>
      <c r="I139" s="192"/>
      <c r="J139" s="192"/>
      <c r="K139" s="60">
        <f>IFERROR(__xludf.DUMMYFUNCTION("""COMPUTED_VALUE"""),1975970.0)</f>
        <v>1975970</v>
      </c>
    </row>
    <row r="140">
      <c r="A140" s="192"/>
      <c r="B140" s="192"/>
      <c r="C140" s="192"/>
      <c r="D140" s="192"/>
      <c r="E140" s="192"/>
      <c r="F140" s="192"/>
      <c r="G140" s="192"/>
      <c r="H140" s="192"/>
      <c r="I140" s="192"/>
      <c r="J140" s="192"/>
      <c r="K140" s="60">
        <f>IFERROR(__xludf.DUMMYFUNCTION("""COMPUTED_VALUE"""),2643263.0)</f>
        <v>2643263</v>
      </c>
    </row>
    <row r="141">
      <c r="A141" s="192"/>
      <c r="B141" s="192"/>
      <c r="C141" s="192"/>
      <c r="D141" s="192"/>
      <c r="E141" s="192"/>
      <c r="F141" s="192"/>
      <c r="G141" s="192"/>
      <c r="H141" s="192"/>
      <c r="I141" s="192"/>
      <c r="J141" s="192"/>
      <c r="K141" s="60">
        <f>IFERROR(__xludf.DUMMYFUNCTION("""COMPUTED_VALUE"""),261729.0)</f>
        <v>261729</v>
      </c>
    </row>
    <row r="142">
      <c r="A142" s="192"/>
      <c r="B142" s="192"/>
      <c r="C142" s="192"/>
      <c r="D142" s="192"/>
      <c r="E142" s="192"/>
      <c r="F142" s="192"/>
      <c r="G142" s="192"/>
      <c r="H142" s="192"/>
      <c r="I142" s="192"/>
      <c r="J142" s="192"/>
      <c r="K142" s="60">
        <f>IFERROR(__xludf.DUMMYFUNCTION("""COMPUTED_VALUE"""),3326410.0)</f>
        <v>3326410</v>
      </c>
    </row>
    <row r="143">
      <c r="A143" s="192"/>
      <c r="B143" s="192"/>
      <c r="C143" s="192"/>
      <c r="D143" s="192"/>
      <c r="E143" s="192"/>
      <c r="F143" s="192"/>
      <c r="G143" s="192"/>
      <c r="H143" s="192"/>
      <c r="I143" s="192"/>
      <c r="J143" s="192"/>
      <c r="K143" s="60">
        <f>IFERROR(__xludf.DUMMYFUNCTION("""COMPUTED_VALUE"""),2161153.0)</f>
        <v>2161153</v>
      </c>
    </row>
    <row r="144">
      <c r="A144" s="192"/>
      <c r="B144" s="192"/>
      <c r="C144" s="192"/>
      <c r="D144" s="192"/>
      <c r="E144" s="192"/>
      <c r="F144" s="192"/>
      <c r="G144" s="192"/>
      <c r="H144" s="192"/>
      <c r="I144" s="192"/>
      <c r="J144" s="192"/>
      <c r="K144" s="60">
        <f>IFERROR(__xludf.DUMMYFUNCTION("""COMPUTED_VALUE"""),892543.0)</f>
        <v>892543</v>
      </c>
    </row>
    <row r="145">
      <c r="A145" s="192"/>
      <c r="B145" s="192"/>
      <c r="C145" s="192"/>
      <c r="D145" s="192"/>
      <c r="E145" s="192"/>
      <c r="F145" s="192"/>
      <c r="G145" s="192"/>
      <c r="H145" s="192"/>
      <c r="I145" s="192"/>
      <c r="J145" s="192"/>
      <c r="K145" s="60">
        <f>IFERROR(__xludf.DUMMYFUNCTION("""COMPUTED_VALUE"""),3912466.0)</f>
        <v>3912466</v>
      </c>
    </row>
    <row r="146">
      <c r="A146" s="192"/>
      <c r="B146" s="192"/>
      <c r="C146" s="192"/>
      <c r="D146" s="192"/>
      <c r="E146" s="192"/>
      <c r="F146" s="192"/>
      <c r="G146" s="192"/>
      <c r="H146" s="192"/>
      <c r="I146" s="192"/>
      <c r="J146" s="192"/>
      <c r="K146" s="60">
        <f>IFERROR(__xludf.DUMMYFUNCTION("""COMPUTED_VALUE"""),1403845.0)</f>
        <v>1403845</v>
      </c>
    </row>
    <row r="147">
      <c r="A147" s="192"/>
      <c r="B147" s="192"/>
      <c r="C147" s="192"/>
      <c r="D147" s="192"/>
      <c r="E147" s="192"/>
      <c r="F147" s="192"/>
      <c r="G147" s="192"/>
      <c r="H147" s="192"/>
      <c r="I147" s="192"/>
      <c r="J147" s="192"/>
      <c r="K147" s="60">
        <f>IFERROR(__xludf.DUMMYFUNCTION("""COMPUTED_VALUE"""),1290855.0)</f>
        <v>1290855</v>
      </c>
    </row>
    <row r="148">
      <c r="A148" s="192"/>
      <c r="B148" s="192"/>
      <c r="C148" s="192"/>
      <c r="D148" s="192"/>
      <c r="E148" s="192"/>
      <c r="F148" s="192"/>
      <c r="G148" s="192"/>
      <c r="H148" s="192"/>
      <c r="I148" s="192"/>
      <c r="J148" s="192"/>
      <c r="K148" s="60">
        <f>IFERROR(__xludf.DUMMYFUNCTION("""COMPUTED_VALUE"""),2348578.0)</f>
        <v>2348578</v>
      </c>
    </row>
    <row r="149">
      <c r="A149" s="192"/>
      <c r="B149" s="192"/>
      <c r="C149" s="192"/>
      <c r="D149" s="192"/>
      <c r="E149" s="192"/>
      <c r="F149" s="192"/>
      <c r="G149" s="192"/>
      <c r="H149" s="192"/>
      <c r="I149" s="192"/>
      <c r="J149" s="192"/>
      <c r="K149" s="60">
        <f>IFERROR(__xludf.DUMMYFUNCTION("""COMPUTED_VALUE"""),2795818.0)</f>
        <v>2795818</v>
      </c>
    </row>
    <row r="150">
      <c r="A150" s="192"/>
      <c r="B150" s="192"/>
      <c r="C150" s="192"/>
      <c r="D150" s="192"/>
      <c r="E150" s="192"/>
      <c r="F150" s="192"/>
      <c r="G150" s="192"/>
      <c r="H150" s="192"/>
      <c r="I150" s="192"/>
      <c r="J150" s="192"/>
      <c r="K150" s="60">
        <f>IFERROR(__xludf.DUMMYFUNCTION("""COMPUTED_VALUE"""),3714964.0)</f>
        <v>3714964</v>
      </c>
    </row>
    <row r="151">
      <c r="A151" s="192"/>
      <c r="B151" s="192"/>
      <c r="C151" s="192"/>
      <c r="D151" s="192"/>
      <c r="E151" s="192"/>
      <c r="F151" s="192"/>
      <c r="G151" s="192"/>
      <c r="H151" s="192"/>
      <c r="I151" s="192"/>
      <c r="J151" s="192"/>
      <c r="K151" s="60">
        <f>IFERROR(__xludf.DUMMYFUNCTION("""COMPUTED_VALUE"""),1600995.0)</f>
        <v>1600995</v>
      </c>
    </row>
    <row r="152">
      <c r="A152" s="192"/>
      <c r="B152" s="192"/>
      <c r="C152" s="192"/>
      <c r="D152" s="192"/>
      <c r="E152" s="192"/>
      <c r="F152" s="192"/>
      <c r="G152" s="192"/>
      <c r="H152" s="192"/>
      <c r="I152" s="192"/>
      <c r="J152" s="192"/>
      <c r="K152" s="60">
        <f>IFERROR(__xludf.DUMMYFUNCTION("""COMPUTED_VALUE"""),2872861.0)</f>
        <v>2872861</v>
      </c>
    </row>
    <row r="153">
      <c r="A153" s="192"/>
      <c r="B153" s="192"/>
      <c r="C153" s="192"/>
      <c r="D153" s="192"/>
      <c r="E153" s="192"/>
      <c r="F153" s="192"/>
      <c r="G153" s="192"/>
      <c r="H153" s="192"/>
      <c r="I153" s="192"/>
      <c r="J153" s="192"/>
      <c r="K153" s="60">
        <f>IFERROR(__xludf.DUMMYFUNCTION("""COMPUTED_VALUE"""),2442178.0)</f>
        <v>2442178</v>
      </c>
    </row>
    <row r="154">
      <c r="A154" s="192"/>
      <c r="B154" s="192"/>
      <c r="C154" s="192"/>
      <c r="D154" s="192"/>
      <c r="E154" s="192"/>
      <c r="F154" s="192"/>
      <c r="G154" s="192"/>
      <c r="H154" s="192"/>
      <c r="I154" s="192"/>
      <c r="J154" s="192"/>
      <c r="K154" s="60">
        <f>IFERROR(__xludf.DUMMYFUNCTION("""COMPUTED_VALUE"""),929118.0)</f>
        <v>929118</v>
      </c>
    </row>
    <row r="155">
      <c r="A155" s="192"/>
      <c r="B155" s="192"/>
      <c r="C155" s="192"/>
      <c r="D155" s="192"/>
      <c r="E155" s="192"/>
      <c r="F155" s="192"/>
      <c r="G155" s="192"/>
      <c r="H155" s="192"/>
      <c r="I155" s="192"/>
      <c r="J155" s="192"/>
      <c r="K155" s="60">
        <f>IFERROR(__xludf.DUMMYFUNCTION("""COMPUTED_VALUE"""),3941210.0)</f>
        <v>3941210</v>
      </c>
    </row>
    <row r="156">
      <c r="A156" s="192"/>
      <c r="B156" s="192"/>
      <c r="C156" s="192"/>
      <c r="D156" s="192"/>
      <c r="E156" s="192"/>
      <c r="F156" s="192"/>
      <c r="G156" s="192"/>
      <c r="H156" s="192"/>
      <c r="I156" s="192"/>
      <c r="J156" s="192"/>
      <c r="K156" s="60">
        <f>IFERROR(__xludf.DUMMYFUNCTION("""COMPUTED_VALUE"""),2200330.0)</f>
        <v>2200330</v>
      </c>
    </row>
    <row r="157">
      <c r="A157" s="192"/>
      <c r="B157" s="192"/>
      <c r="C157" s="192"/>
      <c r="D157" s="192"/>
      <c r="E157" s="192"/>
      <c r="F157" s="192"/>
      <c r="G157" s="192"/>
      <c r="H157" s="192"/>
      <c r="I157" s="192"/>
      <c r="J157" s="192"/>
      <c r="K157" s="60">
        <f>IFERROR(__xludf.DUMMYFUNCTION("""COMPUTED_VALUE"""),2800663.0)</f>
        <v>2800663</v>
      </c>
    </row>
    <row r="158">
      <c r="A158" s="192"/>
      <c r="B158" s="192"/>
      <c r="C158" s="192"/>
      <c r="D158" s="192"/>
      <c r="E158" s="192"/>
      <c r="F158" s="192"/>
      <c r="G158" s="192"/>
      <c r="H158" s="192"/>
      <c r="I158" s="192"/>
      <c r="J158" s="192"/>
      <c r="K158" s="60">
        <f>IFERROR(__xludf.DUMMYFUNCTION("""COMPUTED_VALUE"""),2917786.0)</f>
        <v>2917786</v>
      </c>
    </row>
    <row r="159">
      <c r="A159" s="192"/>
      <c r="B159" s="192"/>
      <c r="C159" s="192"/>
      <c r="D159" s="192"/>
      <c r="E159" s="192"/>
      <c r="F159" s="192"/>
      <c r="G159" s="192"/>
      <c r="H159" s="192"/>
      <c r="I159" s="192"/>
      <c r="J159" s="192"/>
      <c r="K159" s="60">
        <f>IFERROR(__xludf.DUMMYFUNCTION("""COMPUTED_VALUE"""),1863289.0)</f>
        <v>1863289</v>
      </c>
    </row>
    <row r="160">
      <c r="A160" s="192"/>
      <c r="B160" s="192"/>
      <c r="C160" s="192"/>
      <c r="D160" s="192"/>
      <c r="E160" s="192"/>
      <c r="F160" s="192"/>
      <c r="G160" s="192"/>
      <c r="H160" s="192"/>
      <c r="I160" s="192"/>
      <c r="J160" s="192"/>
      <c r="K160" s="60">
        <f>IFERROR(__xludf.DUMMYFUNCTION("""COMPUTED_VALUE"""),2718270.0)</f>
        <v>2718270</v>
      </c>
    </row>
    <row r="161">
      <c r="A161" s="192"/>
      <c r="B161" s="192"/>
      <c r="C161" s="192"/>
      <c r="D161" s="192"/>
      <c r="E161" s="192"/>
      <c r="F161" s="192"/>
      <c r="G161" s="192"/>
      <c r="H161" s="192"/>
      <c r="I161" s="192"/>
      <c r="J161" s="192"/>
      <c r="K161" s="60">
        <f>IFERROR(__xludf.DUMMYFUNCTION("""COMPUTED_VALUE"""),3742030.0)</f>
        <v>3742030</v>
      </c>
    </row>
    <row r="162">
      <c r="A162" s="192"/>
      <c r="B162" s="192"/>
      <c r="C162" s="192"/>
      <c r="D162" s="192"/>
      <c r="E162" s="192"/>
      <c r="F162" s="192"/>
      <c r="G162" s="192"/>
      <c r="H162" s="192"/>
      <c r="I162" s="192"/>
      <c r="J162" s="192"/>
      <c r="K162" s="60">
        <f>IFERROR(__xludf.DUMMYFUNCTION("""COMPUTED_VALUE"""),1733441.0)</f>
        <v>1733441</v>
      </c>
    </row>
    <row r="163">
      <c r="A163" s="192"/>
      <c r="B163" s="192"/>
      <c r="C163" s="192"/>
      <c r="D163" s="192"/>
      <c r="E163" s="192"/>
      <c r="F163" s="192"/>
      <c r="G163" s="192"/>
      <c r="H163" s="192"/>
      <c r="I163" s="192"/>
      <c r="J163" s="192"/>
      <c r="K163" s="60">
        <f>IFERROR(__xludf.DUMMYFUNCTION("""COMPUTED_VALUE"""),103476.0)</f>
        <v>103476</v>
      </c>
    </row>
    <row r="164">
      <c r="A164" s="192"/>
      <c r="B164" s="192"/>
      <c r="C164" s="192"/>
      <c r="D164" s="192"/>
      <c r="E164" s="192"/>
      <c r="F164" s="192"/>
      <c r="G164" s="192"/>
      <c r="H164" s="192"/>
      <c r="I164" s="192"/>
      <c r="J164" s="192"/>
      <c r="K164" s="60">
        <f>IFERROR(__xludf.DUMMYFUNCTION("""COMPUTED_VALUE"""),2715749.0)</f>
        <v>2715749</v>
      </c>
    </row>
    <row r="165">
      <c r="A165" s="192"/>
      <c r="B165" s="192"/>
      <c r="C165" s="192"/>
      <c r="D165" s="192"/>
      <c r="E165" s="192"/>
      <c r="F165" s="192"/>
      <c r="G165" s="192"/>
      <c r="H165" s="192"/>
      <c r="I165" s="192"/>
      <c r="J165" s="192"/>
      <c r="K165" s="60">
        <f>IFERROR(__xludf.DUMMYFUNCTION("""COMPUTED_VALUE"""),757386.0)</f>
        <v>757386</v>
      </c>
    </row>
    <row r="166">
      <c r="A166" s="192"/>
      <c r="B166" s="192"/>
      <c r="C166" s="192"/>
      <c r="D166" s="192"/>
      <c r="E166" s="192"/>
      <c r="F166" s="192"/>
      <c r="G166" s="192"/>
      <c r="H166" s="192"/>
      <c r="I166" s="192"/>
      <c r="J166" s="192"/>
      <c r="K166" s="60">
        <f>IFERROR(__xludf.DUMMYFUNCTION("""COMPUTED_VALUE"""),1744385.0)</f>
        <v>1744385</v>
      </c>
    </row>
    <row r="167">
      <c r="A167" s="192"/>
      <c r="B167" s="192"/>
      <c r="C167" s="192"/>
      <c r="D167" s="192"/>
      <c r="E167" s="192"/>
      <c r="F167" s="192"/>
      <c r="G167" s="192"/>
      <c r="H167" s="192"/>
      <c r="I167" s="192"/>
      <c r="J167" s="192"/>
      <c r="K167" s="60">
        <f>IFERROR(__xludf.DUMMYFUNCTION("""COMPUTED_VALUE"""),846261.0)</f>
        <v>846261</v>
      </c>
    </row>
    <row r="168">
      <c r="A168" s="192"/>
      <c r="B168" s="192"/>
      <c r="C168" s="192"/>
      <c r="D168" s="192"/>
      <c r="E168" s="192"/>
      <c r="F168" s="192"/>
      <c r="G168" s="192"/>
      <c r="H168" s="192"/>
      <c r="I168" s="192"/>
      <c r="J168" s="192"/>
      <c r="K168" s="60">
        <f>IFERROR(__xludf.DUMMYFUNCTION("""COMPUTED_VALUE"""),3601684.0)</f>
        <v>3601684</v>
      </c>
    </row>
    <row r="169">
      <c r="A169" s="192"/>
      <c r="B169" s="192"/>
      <c r="C169" s="192"/>
      <c r="D169" s="192"/>
      <c r="E169" s="192"/>
      <c r="F169" s="192"/>
      <c r="G169" s="192"/>
      <c r="H169" s="192"/>
      <c r="I169" s="192"/>
      <c r="J169" s="192"/>
      <c r="K169" s="60">
        <f>IFERROR(__xludf.DUMMYFUNCTION("""COMPUTED_VALUE"""),3870932.0)</f>
        <v>3870932</v>
      </c>
    </row>
    <row r="170">
      <c r="A170" s="192"/>
      <c r="B170" s="192"/>
      <c r="C170" s="192"/>
      <c r="D170" s="192"/>
      <c r="E170" s="192"/>
      <c r="F170" s="192"/>
      <c r="G170" s="192"/>
      <c r="H170" s="192"/>
      <c r="I170" s="192"/>
      <c r="J170" s="192"/>
      <c r="K170" s="60">
        <f>IFERROR(__xludf.DUMMYFUNCTION("""COMPUTED_VALUE"""),2044890.0)</f>
        <v>2044890</v>
      </c>
    </row>
    <row r="171">
      <c r="A171" s="192"/>
      <c r="B171" s="192"/>
      <c r="C171" s="192"/>
      <c r="D171" s="192"/>
      <c r="E171" s="192"/>
      <c r="F171" s="192"/>
      <c r="G171" s="192"/>
      <c r="H171" s="192"/>
      <c r="I171" s="192"/>
      <c r="J171" s="192"/>
      <c r="K171" s="60">
        <f>IFERROR(__xludf.DUMMYFUNCTION("""COMPUTED_VALUE"""),3010348.0)</f>
        <v>3010348</v>
      </c>
    </row>
    <row r="172">
      <c r="A172" s="192"/>
      <c r="B172" s="192"/>
      <c r="C172" s="192"/>
      <c r="D172" s="192"/>
      <c r="E172" s="192"/>
      <c r="F172" s="192"/>
      <c r="G172" s="192"/>
      <c r="H172" s="192"/>
      <c r="I172" s="192"/>
      <c r="J172" s="192"/>
      <c r="K172" s="60">
        <f>IFERROR(__xludf.DUMMYFUNCTION("""COMPUTED_VALUE"""),3186407.0)</f>
        <v>3186407</v>
      </c>
    </row>
    <row r="173">
      <c r="A173" s="192"/>
      <c r="B173" s="192"/>
      <c r="C173" s="192"/>
      <c r="D173" s="192"/>
      <c r="E173" s="192"/>
      <c r="F173" s="192"/>
      <c r="G173" s="192"/>
      <c r="H173" s="192"/>
      <c r="I173" s="192"/>
      <c r="J173" s="192"/>
      <c r="K173" s="60">
        <f>IFERROR(__xludf.DUMMYFUNCTION("""COMPUTED_VALUE"""),2659337.0)</f>
        <v>2659337</v>
      </c>
    </row>
    <row r="174">
      <c r="A174" s="192"/>
      <c r="B174" s="192"/>
      <c r="C174" s="192"/>
      <c r="D174" s="192"/>
      <c r="E174" s="192"/>
      <c r="F174" s="192"/>
      <c r="G174" s="192"/>
      <c r="H174" s="192"/>
      <c r="I174" s="192"/>
      <c r="J174" s="192"/>
      <c r="K174" s="60">
        <f>IFERROR(__xludf.DUMMYFUNCTION("""COMPUTED_VALUE"""),315101.0)</f>
        <v>315101</v>
      </c>
    </row>
    <row r="175">
      <c r="A175" s="192"/>
      <c r="B175" s="192"/>
      <c r="C175" s="192"/>
      <c r="D175" s="192"/>
      <c r="E175" s="192"/>
      <c r="F175" s="192"/>
      <c r="G175" s="192"/>
      <c r="H175" s="192"/>
      <c r="I175" s="192"/>
      <c r="J175" s="192"/>
      <c r="K175" s="60">
        <f>IFERROR(__xludf.DUMMYFUNCTION("""COMPUTED_VALUE"""),3454421.0)</f>
        <v>3454421</v>
      </c>
    </row>
    <row r="176">
      <c r="A176" s="192"/>
      <c r="B176" s="192"/>
      <c r="C176" s="192"/>
      <c r="D176" s="192"/>
      <c r="E176" s="192"/>
      <c r="F176" s="192"/>
      <c r="G176" s="192"/>
      <c r="H176" s="192"/>
      <c r="I176" s="192"/>
      <c r="J176" s="192"/>
      <c r="K176" s="60">
        <f>IFERROR(__xludf.DUMMYFUNCTION("""COMPUTED_VALUE"""),2906707.0)</f>
        <v>2906707</v>
      </c>
    </row>
    <row r="177">
      <c r="A177" s="192"/>
      <c r="B177" s="192"/>
      <c r="C177" s="192"/>
      <c r="D177" s="192"/>
      <c r="E177" s="192"/>
      <c r="F177" s="192"/>
      <c r="G177" s="192"/>
      <c r="H177" s="192"/>
      <c r="I177" s="192"/>
      <c r="J177" s="192"/>
      <c r="K177" s="60">
        <f>IFERROR(__xludf.DUMMYFUNCTION("""COMPUTED_VALUE"""),243487.0)</f>
        <v>243487</v>
      </c>
    </row>
    <row r="178">
      <c r="A178" s="192"/>
      <c r="B178" s="192"/>
      <c r="C178" s="192"/>
      <c r="D178" s="192"/>
      <c r="E178" s="192"/>
      <c r="F178" s="192"/>
      <c r="G178" s="192"/>
      <c r="H178" s="192"/>
      <c r="I178" s="192"/>
      <c r="J178" s="192"/>
      <c r="K178" s="60">
        <f>IFERROR(__xludf.DUMMYFUNCTION("""COMPUTED_VALUE"""),2277989.0)</f>
        <v>2277989</v>
      </c>
    </row>
    <row r="179">
      <c r="A179" s="192"/>
      <c r="B179" s="192"/>
      <c r="C179" s="192"/>
      <c r="D179" s="192"/>
      <c r="E179" s="192"/>
      <c r="F179" s="192"/>
      <c r="G179" s="192"/>
      <c r="H179" s="192"/>
      <c r="I179" s="192"/>
      <c r="J179" s="192"/>
      <c r="K179" s="60">
        <f>IFERROR(__xludf.DUMMYFUNCTION("""COMPUTED_VALUE"""),1761258.0)</f>
        <v>1761258</v>
      </c>
    </row>
    <row r="180">
      <c r="A180" s="192"/>
      <c r="B180" s="192"/>
      <c r="C180" s="192"/>
      <c r="D180" s="192"/>
      <c r="E180" s="192"/>
      <c r="F180" s="192"/>
      <c r="G180" s="192"/>
      <c r="H180" s="192"/>
      <c r="I180" s="192"/>
      <c r="J180" s="192"/>
      <c r="K180" s="60">
        <f>IFERROR(__xludf.DUMMYFUNCTION("""COMPUTED_VALUE"""),3913591.0)</f>
        <v>3913591</v>
      </c>
    </row>
    <row r="181">
      <c r="A181" s="192"/>
      <c r="B181" s="192"/>
      <c r="C181" s="192"/>
      <c r="D181" s="192"/>
      <c r="E181" s="192"/>
      <c r="F181" s="192"/>
      <c r="G181" s="192"/>
      <c r="H181" s="192"/>
      <c r="I181" s="192"/>
      <c r="J181" s="192"/>
      <c r="K181" s="60">
        <f>IFERROR(__xludf.DUMMYFUNCTION("""COMPUTED_VALUE"""),152180.0)</f>
        <v>152180</v>
      </c>
    </row>
    <row r="182">
      <c r="A182" s="192"/>
      <c r="B182" s="192"/>
      <c r="C182" s="192"/>
      <c r="D182" s="192"/>
      <c r="E182" s="192"/>
      <c r="F182" s="192"/>
      <c r="G182" s="192"/>
      <c r="H182" s="192"/>
      <c r="I182" s="192"/>
      <c r="J182" s="192"/>
      <c r="K182" s="60">
        <f>IFERROR(__xludf.DUMMYFUNCTION("""COMPUTED_VALUE"""),2842836.0)</f>
        <v>2842836</v>
      </c>
    </row>
    <row r="183">
      <c r="A183" s="192"/>
      <c r="B183" s="192"/>
      <c r="C183" s="192"/>
      <c r="D183" s="192"/>
      <c r="E183" s="192"/>
      <c r="F183" s="192"/>
      <c r="G183" s="192"/>
      <c r="H183" s="192"/>
      <c r="I183" s="192"/>
      <c r="J183" s="192"/>
      <c r="K183" s="60">
        <f>IFERROR(__xludf.DUMMYFUNCTION("""COMPUTED_VALUE"""),3614024.0)</f>
        <v>3614024</v>
      </c>
    </row>
    <row r="184">
      <c r="A184" s="192"/>
      <c r="B184" s="192"/>
      <c r="C184" s="192"/>
      <c r="D184" s="192"/>
      <c r="E184" s="192"/>
      <c r="F184" s="192"/>
      <c r="G184" s="192"/>
      <c r="H184" s="192"/>
      <c r="I184" s="192"/>
      <c r="J184" s="192"/>
      <c r="K184" s="60">
        <f>IFERROR(__xludf.DUMMYFUNCTION("""COMPUTED_VALUE"""),3743202.0)</f>
        <v>3743202</v>
      </c>
    </row>
    <row r="185">
      <c r="A185" s="192"/>
      <c r="B185" s="192"/>
      <c r="C185" s="192"/>
      <c r="D185" s="192"/>
      <c r="E185" s="192"/>
      <c r="F185" s="192"/>
      <c r="G185" s="192"/>
      <c r="H185" s="192"/>
      <c r="I185" s="192"/>
      <c r="J185" s="192"/>
      <c r="K185" s="60">
        <f>IFERROR(__xludf.DUMMYFUNCTION("""COMPUTED_VALUE"""),2701775.0)</f>
        <v>2701775</v>
      </c>
    </row>
    <row r="186">
      <c r="A186" s="192"/>
      <c r="B186" s="192"/>
      <c r="C186" s="192"/>
      <c r="D186" s="192"/>
      <c r="E186" s="192"/>
      <c r="F186" s="192"/>
      <c r="G186" s="192"/>
      <c r="H186" s="192"/>
      <c r="I186" s="192"/>
      <c r="J186" s="192"/>
      <c r="K186" s="60">
        <f>IFERROR(__xludf.DUMMYFUNCTION("""COMPUTED_VALUE"""),674080.0)</f>
        <v>674080</v>
      </c>
    </row>
    <row r="187">
      <c r="A187" s="192"/>
      <c r="B187" s="192"/>
      <c r="C187" s="192"/>
      <c r="D187" s="192"/>
      <c r="E187" s="192"/>
      <c r="F187" s="192"/>
      <c r="G187" s="192"/>
      <c r="H187" s="192"/>
      <c r="I187" s="192"/>
      <c r="J187" s="192"/>
      <c r="K187" s="60">
        <f>IFERROR(__xludf.DUMMYFUNCTION("""COMPUTED_VALUE"""),2446833.0)</f>
        <v>2446833</v>
      </c>
    </row>
    <row r="188">
      <c r="A188" s="192"/>
      <c r="B188" s="192"/>
      <c r="C188" s="192"/>
      <c r="D188" s="192"/>
      <c r="E188" s="192"/>
      <c r="F188" s="192"/>
      <c r="G188" s="192"/>
      <c r="H188" s="192"/>
      <c r="I188" s="192"/>
      <c r="J188" s="192"/>
      <c r="K188" s="60">
        <f>IFERROR(__xludf.DUMMYFUNCTION("""COMPUTED_VALUE"""),3851000.0)</f>
        <v>3851000</v>
      </c>
    </row>
    <row r="189">
      <c r="A189" s="192"/>
      <c r="B189" s="192"/>
      <c r="C189" s="192"/>
      <c r="D189" s="192"/>
      <c r="E189" s="192"/>
      <c r="F189" s="192"/>
      <c r="G189" s="192"/>
      <c r="H189" s="192"/>
      <c r="I189" s="192"/>
      <c r="J189" s="192"/>
      <c r="K189" s="60">
        <f>IFERROR(__xludf.DUMMYFUNCTION("""COMPUTED_VALUE"""),3257641.0)</f>
        <v>3257641</v>
      </c>
    </row>
    <row r="190">
      <c r="A190" s="192"/>
      <c r="B190" s="192"/>
      <c r="C190" s="192"/>
      <c r="D190" s="192"/>
      <c r="E190" s="192"/>
      <c r="F190" s="192"/>
      <c r="G190" s="192"/>
      <c r="H190" s="192"/>
      <c r="I190" s="192"/>
      <c r="J190" s="192"/>
      <c r="K190" s="60">
        <f>IFERROR(__xludf.DUMMYFUNCTION("""COMPUTED_VALUE"""),3460069.0)</f>
        <v>3460069</v>
      </c>
    </row>
    <row r="191">
      <c r="A191" s="192"/>
      <c r="B191" s="192"/>
      <c r="C191" s="192"/>
      <c r="D191" s="192"/>
      <c r="E191" s="192"/>
      <c r="F191" s="192"/>
      <c r="G191" s="192"/>
      <c r="H191" s="192"/>
      <c r="I191" s="192"/>
      <c r="J191" s="192"/>
      <c r="K191" s="60">
        <f>IFERROR(__xludf.DUMMYFUNCTION("""COMPUTED_VALUE"""),2514122.0)</f>
        <v>2514122</v>
      </c>
    </row>
    <row r="192">
      <c r="A192" s="192"/>
      <c r="B192" s="192"/>
      <c r="C192" s="192"/>
      <c r="D192" s="192"/>
      <c r="E192" s="192"/>
      <c r="F192" s="192"/>
      <c r="G192" s="192"/>
      <c r="H192" s="192"/>
      <c r="I192" s="192"/>
      <c r="J192" s="192"/>
      <c r="K192" s="60">
        <f>IFERROR(__xludf.DUMMYFUNCTION("""COMPUTED_VALUE"""),2942900.0)</f>
        <v>2942900</v>
      </c>
    </row>
    <row r="193">
      <c r="A193" s="192"/>
      <c r="B193" s="192"/>
      <c r="C193" s="192"/>
      <c r="D193" s="192"/>
      <c r="E193" s="192"/>
      <c r="F193" s="192"/>
      <c r="G193" s="192"/>
      <c r="H193" s="192"/>
      <c r="I193" s="192"/>
      <c r="J193" s="192"/>
      <c r="K193" s="60">
        <f>IFERROR(__xludf.DUMMYFUNCTION("""COMPUTED_VALUE"""),2058908.0)</f>
        <v>2058908</v>
      </c>
    </row>
    <row r="194">
      <c r="A194" s="192"/>
      <c r="B194" s="192"/>
      <c r="C194" s="192"/>
      <c r="D194" s="192"/>
      <c r="E194" s="192"/>
      <c r="F194" s="192"/>
      <c r="G194" s="192"/>
      <c r="H194" s="192"/>
      <c r="I194" s="192"/>
      <c r="J194" s="192"/>
      <c r="K194" s="60">
        <f>IFERROR(__xludf.DUMMYFUNCTION("""COMPUTED_VALUE"""),3182052.0)</f>
        <v>3182052</v>
      </c>
    </row>
    <row r="195">
      <c r="A195" s="192"/>
      <c r="B195" s="192"/>
      <c r="C195" s="192"/>
      <c r="D195" s="192"/>
      <c r="E195" s="192"/>
      <c r="F195" s="192"/>
      <c r="G195" s="192"/>
      <c r="H195" s="192"/>
      <c r="I195" s="192"/>
      <c r="J195" s="192"/>
      <c r="K195" s="60">
        <f>IFERROR(__xludf.DUMMYFUNCTION("""COMPUTED_VALUE"""),3053637.0)</f>
        <v>3053637</v>
      </c>
    </row>
    <row r="196">
      <c r="A196" s="192"/>
      <c r="B196" s="192"/>
      <c r="C196" s="192"/>
      <c r="D196" s="192"/>
      <c r="E196" s="192"/>
      <c r="F196" s="192"/>
      <c r="G196" s="192"/>
      <c r="H196" s="192"/>
      <c r="I196" s="192"/>
      <c r="J196" s="192"/>
      <c r="K196" s="60">
        <f>IFERROR(__xludf.DUMMYFUNCTION("""COMPUTED_VALUE"""),3407970.0)</f>
        <v>3407970</v>
      </c>
    </row>
    <row r="197">
      <c r="A197" s="192"/>
      <c r="B197" s="192"/>
      <c r="C197" s="192"/>
      <c r="D197" s="192"/>
      <c r="E197" s="192"/>
      <c r="F197" s="192"/>
      <c r="G197" s="192"/>
      <c r="H197" s="192"/>
      <c r="I197" s="192"/>
      <c r="J197" s="192"/>
      <c r="K197" s="60">
        <f>IFERROR(__xludf.DUMMYFUNCTION("""COMPUTED_VALUE"""),4133990.0)</f>
        <v>4133990</v>
      </c>
    </row>
    <row r="198">
      <c r="A198" s="192"/>
      <c r="B198" s="192"/>
      <c r="C198" s="192"/>
      <c r="D198" s="192"/>
      <c r="E198" s="192"/>
      <c r="F198" s="192"/>
      <c r="G198" s="192"/>
      <c r="H198" s="192"/>
      <c r="I198" s="192"/>
      <c r="J198" s="192"/>
      <c r="K198" s="60">
        <f>IFERROR(__xludf.DUMMYFUNCTION("""COMPUTED_VALUE"""),804959.0)</f>
        <v>804959</v>
      </c>
    </row>
    <row r="199">
      <c r="A199" s="192"/>
      <c r="B199" s="192"/>
      <c r="C199" s="192"/>
      <c r="D199" s="192"/>
      <c r="E199" s="192"/>
      <c r="F199" s="192"/>
      <c r="G199" s="192"/>
      <c r="H199" s="192"/>
      <c r="I199" s="192"/>
      <c r="J199" s="192"/>
      <c r="K199" s="60">
        <f>IFERROR(__xludf.DUMMYFUNCTION("""COMPUTED_VALUE"""),3071429.0)</f>
        <v>3071429</v>
      </c>
    </row>
    <row r="200">
      <c r="A200" s="192"/>
      <c r="B200" s="192"/>
      <c r="C200" s="192"/>
      <c r="D200" s="192"/>
      <c r="E200" s="192"/>
      <c r="F200" s="192"/>
      <c r="G200" s="192"/>
      <c r="H200" s="192"/>
      <c r="I200" s="192"/>
      <c r="J200" s="192"/>
      <c r="K200" s="60">
        <f>IFERROR(__xludf.DUMMYFUNCTION("""COMPUTED_VALUE"""),3332932.0)</f>
        <v>3332932</v>
      </c>
    </row>
    <row r="201">
      <c r="A201" s="192"/>
      <c r="B201" s="192"/>
      <c r="C201" s="192"/>
      <c r="D201" s="192"/>
      <c r="E201" s="192"/>
      <c r="F201" s="192"/>
      <c r="G201" s="192"/>
      <c r="H201" s="192"/>
      <c r="I201" s="192"/>
      <c r="J201" s="192"/>
      <c r="K201" s="60">
        <f>IFERROR(__xludf.DUMMYFUNCTION("""COMPUTED_VALUE"""),2917786.0)</f>
        <v>2917786</v>
      </c>
    </row>
    <row r="202">
      <c r="A202" s="192"/>
      <c r="B202" s="192"/>
      <c r="C202" s="192"/>
      <c r="D202" s="192"/>
      <c r="E202" s="192"/>
      <c r="F202" s="192"/>
      <c r="G202" s="192"/>
      <c r="H202" s="192"/>
      <c r="I202" s="192"/>
      <c r="J202" s="192"/>
      <c r="K202" s="60">
        <f>IFERROR(__xludf.DUMMYFUNCTION("""COMPUTED_VALUE"""),2758832.0)</f>
        <v>2758832</v>
      </c>
    </row>
    <row r="203">
      <c r="A203" s="192"/>
      <c r="B203" s="192"/>
      <c r="C203" s="192"/>
      <c r="D203" s="192"/>
      <c r="E203" s="192"/>
      <c r="F203" s="192"/>
      <c r="G203" s="192"/>
      <c r="H203" s="192"/>
      <c r="I203" s="192"/>
      <c r="J203" s="192"/>
      <c r="K203" s="60">
        <f>IFERROR(__xludf.DUMMYFUNCTION("""COMPUTED_VALUE"""),2856139.0)</f>
        <v>2856139</v>
      </c>
    </row>
    <row r="204">
      <c r="A204" s="192"/>
      <c r="B204" s="192"/>
      <c r="C204" s="192"/>
      <c r="D204" s="192"/>
      <c r="E204" s="192"/>
      <c r="F204" s="192"/>
      <c r="G204" s="192"/>
      <c r="H204" s="192"/>
      <c r="I204" s="192"/>
      <c r="J204" s="192"/>
      <c r="K204" s="60">
        <f>IFERROR(__xludf.DUMMYFUNCTION("""COMPUTED_VALUE"""),1653270.0)</f>
        <v>1653270</v>
      </c>
    </row>
    <row r="205">
      <c r="A205" s="192"/>
      <c r="B205" s="192"/>
      <c r="C205" s="192"/>
      <c r="D205" s="192"/>
      <c r="E205" s="192"/>
      <c r="F205" s="192"/>
      <c r="G205" s="192"/>
      <c r="H205" s="192"/>
      <c r="I205" s="192"/>
      <c r="J205" s="192"/>
      <c r="K205" s="60">
        <f>IFERROR(__xludf.DUMMYFUNCTION("""COMPUTED_VALUE"""),2151207.0)</f>
        <v>2151207</v>
      </c>
    </row>
    <row r="206">
      <c r="A206" s="192"/>
      <c r="B206" s="192"/>
      <c r="C206" s="192"/>
      <c r="D206" s="192"/>
      <c r="E206" s="192"/>
      <c r="F206" s="192"/>
      <c r="G206" s="192"/>
      <c r="H206" s="192"/>
      <c r="I206" s="192"/>
      <c r="J206" s="192"/>
      <c r="K206" s="60">
        <f>IFERROR(__xludf.DUMMYFUNCTION("""COMPUTED_VALUE"""),2671048.0)</f>
        <v>2671048</v>
      </c>
    </row>
    <row r="207">
      <c r="A207" s="192"/>
      <c r="B207" s="192"/>
      <c r="C207" s="192"/>
      <c r="D207" s="192"/>
      <c r="E207" s="192"/>
      <c r="F207" s="192"/>
      <c r="G207" s="192"/>
      <c r="H207" s="192"/>
      <c r="I207" s="192"/>
      <c r="J207" s="192"/>
      <c r="K207" s="60">
        <f>IFERROR(__xludf.DUMMYFUNCTION("""COMPUTED_VALUE"""),1738876.0)</f>
        <v>1738876</v>
      </c>
    </row>
    <row r="208">
      <c r="A208" s="192"/>
      <c r="B208" s="192"/>
      <c r="C208" s="192"/>
      <c r="D208" s="192"/>
      <c r="E208" s="192"/>
      <c r="F208" s="192"/>
      <c r="G208" s="192"/>
      <c r="H208" s="192"/>
      <c r="I208" s="192"/>
      <c r="J208" s="192"/>
      <c r="K208" s="60">
        <f>IFERROR(__xludf.DUMMYFUNCTION("""COMPUTED_VALUE"""),117424.0)</f>
        <v>117424</v>
      </c>
    </row>
    <row r="209">
      <c r="A209" s="192"/>
      <c r="B209" s="192"/>
      <c r="C209" s="192"/>
      <c r="D209" s="192"/>
      <c r="E209" s="192"/>
      <c r="F209" s="192"/>
      <c r="G209" s="192"/>
      <c r="H209" s="192"/>
      <c r="I209" s="192"/>
      <c r="J209" s="192"/>
      <c r="K209" s="60">
        <f>IFERROR(__xludf.DUMMYFUNCTION("""COMPUTED_VALUE"""),3169863.0)</f>
        <v>3169863</v>
      </c>
    </row>
    <row r="210">
      <c r="A210" s="192"/>
      <c r="B210" s="192"/>
      <c r="C210" s="192"/>
      <c r="D210" s="192"/>
      <c r="E210" s="192"/>
      <c r="F210" s="192"/>
      <c r="G210" s="192"/>
      <c r="H210" s="192"/>
      <c r="I210" s="192"/>
      <c r="J210" s="192"/>
      <c r="K210" s="60">
        <f>IFERROR(__xludf.DUMMYFUNCTION("""COMPUTED_VALUE"""),74778.0)</f>
        <v>74778</v>
      </c>
    </row>
    <row r="211">
      <c r="A211" s="192"/>
      <c r="B211" s="192"/>
      <c r="C211" s="192"/>
      <c r="D211" s="192"/>
      <c r="E211" s="192"/>
      <c r="F211" s="192"/>
      <c r="G211" s="192"/>
      <c r="H211" s="192"/>
      <c r="I211" s="192"/>
      <c r="J211" s="192"/>
      <c r="K211" s="60">
        <f>IFERROR(__xludf.DUMMYFUNCTION("""COMPUTED_VALUE"""),28366.0)</f>
        <v>28366</v>
      </c>
    </row>
    <row r="212">
      <c r="A212" s="192"/>
      <c r="B212" s="192"/>
      <c r="C212" s="192"/>
      <c r="D212" s="192"/>
      <c r="E212" s="192"/>
      <c r="F212" s="192"/>
      <c r="G212" s="192"/>
      <c r="H212" s="192"/>
      <c r="I212" s="192"/>
      <c r="J212" s="192"/>
      <c r="K212" s="60">
        <f>IFERROR(__xludf.DUMMYFUNCTION("""COMPUTED_VALUE"""),3499229.0)</f>
        <v>3499229</v>
      </c>
    </row>
    <row r="213">
      <c r="A213" s="192"/>
      <c r="B213" s="192"/>
      <c r="C213" s="192"/>
      <c r="D213" s="192"/>
      <c r="E213" s="192"/>
      <c r="F213" s="192"/>
      <c r="G213" s="192"/>
      <c r="H213" s="192"/>
      <c r="I213" s="192"/>
      <c r="J213" s="192"/>
      <c r="K213" s="60">
        <f>IFERROR(__xludf.DUMMYFUNCTION("""COMPUTED_VALUE"""),2855311.0)</f>
        <v>2855311</v>
      </c>
    </row>
    <row r="214">
      <c r="A214" s="192"/>
      <c r="B214" s="192"/>
      <c r="C214" s="192"/>
      <c r="D214" s="192"/>
      <c r="E214" s="192"/>
      <c r="F214" s="192"/>
      <c r="G214" s="192"/>
      <c r="H214" s="192"/>
      <c r="I214" s="192"/>
      <c r="J214" s="192"/>
      <c r="K214" s="60">
        <f>IFERROR(__xludf.DUMMYFUNCTION("""COMPUTED_VALUE"""),2891411.0)</f>
        <v>2891411</v>
      </c>
    </row>
    <row r="215">
      <c r="A215" s="192"/>
      <c r="B215" s="192"/>
      <c r="C215" s="192"/>
      <c r="D215" s="192"/>
      <c r="E215" s="192"/>
      <c r="F215" s="192"/>
      <c r="G215" s="192"/>
      <c r="H215" s="192"/>
      <c r="I215" s="192"/>
      <c r="J215" s="192"/>
      <c r="K215" s="60">
        <f>IFERROR(__xludf.DUMMYFUNCTION("""COMPUTED_VALUE"""),3530469.0)</f>
        <v>3530469</v>
      </c>
    </row>
    <row r="216">
      <c r="A216" s="192"/>
      <c r="B216" s="192"/>
      <c r="C216" s="192"/>
      <c r="D216" s="192"/>
      <c r="E216" s="192"/>
      <c r="F216" s="192"/>
      <c r="G216" s="192"/>
      <c r="H216" s="192"/>
      <c r="I216" s="192"/>
      <c r="J216" s="192"/>
      <c r="K216" s="60">
        <f>IFERROR(__xludf.DUMMYFUNCTION("""COMPUTED_VALUE"""),3350322.0)</f>
        <v>3350322</v>
      </c>
    </row>
    <row r="217">
      <c r="A217" s="192"/>
      <c r="B217" s="192"/>
      <c r="C217" s="192"/>
      <c r="D217" s="192"/>
      <c r="E217" s="192"/>
      <c r="F217" s="192"/>
      <c r="G217" s="192"/>
      <c r="H217" s="192"/>
      <c r="I217" s="192"/>
      <c r="J217" s="192"/>
      <c r="K217" s="60">
        <f>IFERROR(__xludf.DUMMYFUNCTION("""COMPUTED_VALUE"""),4197268.0)</f>
        <v>4197268</v>
      </c>
    </row>
    <row r="218">
      <c r="A218" s="192"/>
      <c r="B218" s="192"/>
      <c r="C218" s="192"/>
      <c r="D218" s="192"/>
      <c r="E218" s="192"/>
      <c r="F218" s="192"/>
      <c r="G218" s="192"/>
      <c r="H218" s="192"/>
      <c r="I218" s="192"/>
      <c r="J218" s="192"/>
      <c r="K218" s="60">
        <f>IFERROR(__xludf.DUMMYFUNCTION("""COMPUTED_VALUE"""),3883278.0)</f>
        <v>3883278</v>
      </c>
    </row>
    <row r="219">
      <c r="A219" s="192"/>
      <c r="B219" s="192"/>
      <c r="C219" s="192"/>
      <c r="D219" s="192"/>
      <c r="E219" s="192"/>
      <c r="F219" s="192"/>
      <c r="G219" s="192"/>
      <c r="H219" s="192"/>
      <c r="I219" s="192"/>
      <c r="J219" s="192"/>
      <c r="K219" s="60">
        <f>IFERROR(__xludf.DUMMYFUNCTION("""COMPUTED_VALUE"""),2794904.0)</f>
        <v>2794904</v>
      </c>
    </row>
    <row r="220">
      <c r="A220" s="192"/>
      <c r="B220" s="192"/>
      <c r="C220" s="192"/>
      <c r="D220" s="192"/>
      <c r="E220" s="192"/>
      <c r="F220" s="192"/>
      <c r="G220" s="192"/>
      <c r="H220" s="192"/>
      <c r="I220" s="192"/>
      <c r="J220" s="192"/>
      <c r="K220" s="60">
        <f>IFERROR(__xludf.DUMMYFUNCTION("""COMPUTED_VALUE"""),1491793.0)</f>
        <v>1491793</v>
      </c>
    </row>
    <row r="221">
      <c r="A221" s="192"/>
      <c r="B221" s="192"/>
      <c r="C221" s="192"/>
      <c r="D221" s="192"/>
      <c r="E221" s="192"/>
      <c r="F221" s="192"/>
      <c r="G221" s="192"/>
      <c r="H221" s="192"/>
      <c r="I221" s="192"/>
      <c r="J221" s="192"/>
      <c r="K221" s="60">
        <f>IFERROR(__xludf.DUMMYFUNCTION("""COMPUTED_VALUE"""),3309941.0)</f>
        <v>3309941</v>
      </c>
    </row>
    <row r="222">
      <c r="A222" s="192"/>
      <c r="B222" s="192"/>
      <c r="C222" s="192"/>
      <c r="D222" s="192"/>
      <c r="E222" s="192"/>
      <c r="F222" s="192"/>
      <c r="G222" s="192"/>
      <c r="H222" s="192"/>
      <c r="I222" s="192"/>
      <c r="J222" s="192"/>
      <c r="K222" s="60">
        <f>IFERROR(__xludf.DUMMYFUNCTION("""COMPUTED_VALUE"""),86079.0)</f>
        <v>86079</v>
      </c>
    </row>
    <row r="223">
      <c r="A223" s="192"/>
      <c r="B223" s="192"/>
      <c r="C223" s="192"/>
      <c r="D223" s="192"/>
      <c r="E223" s="192"/>
      <c r="F223" s="192"/>
      <c r="G223" s="192"/>
      <c r="H223" s="192"/>
      <c r="I223" s="192"/>
      <c r="J223" s="192"/>
      <c r="K223" s="60">
        <f>IFERROR(__xludf.DUMMYFUNCTION("""COMPUTED_VALUE"""),1592403.0)</f>
        <v>1592403</v>
      </c>
    </row>
    <row r="224">
      <c r="A224" s="192"/>
      <c r="B224" s="192"/>
      <c r="C224" s="192"/>
      <c r="D224" s="192"/>
      <c r="E224" s="192"/>
      <c r="F224" s="192"/>
      <c r="G224" s="192"/>
      <c r="H224" s="192"/>
      <c r="I224" s="192"/>
      <c r="J224" s="192"/>
      <c r="K224" s="60">
        <f>IFERROR(__xludf.DUMMYFUNCTION("""COMPUTED_VALUE"""),295650.0)</f>
        <v>295650</v>
      </c>
    </row>
    <row r="225">
      <c r="A225" s="192"/>
      <c r="B225" s="192"/>
      <c r="C225" s="192"/>
      <c r="D225" s="192"/>
      <c r="E225" s="192"/>
      <c r="F225" s="192"/>
      <c r="G225" s="192"/>
      <c r="H225" s="192"/>
      <c r="I225" s="192"/>
      <c r="J225" s="192"/>
      <c r="K225" s="60">
        <f>IFERROR(__xludf.DUMMYFUNCTION("""COMPUTED_VALUE"""),3291796.0)</f>
        <v>3291796</v>
      </c>
    </row>
    <row r="226">
      <c r="A226" s="192"/>
      <c r="B226" s="192"/>
      <c r="C226" s="192"/>
      <c r="D226" s="192"/>
      <c r="E226" s="192"/>
      <c r="F226" s="192"/>
      <c r="G226" s="192"/>
      <c r="H226" s="192"/>
      <c r="I226" s="192"/>
      <c r="J226" s="192"/>
      <c r="K226" s="60">
        <f>IFERROR(__xludf.DUMMYFUNCTION("""COMPUTED_VALUE"""),2388648.0)</f>
        <v>2388648</v>
      </c>
    </row>
    <row r="227">
      <c r="A227" s="192"/>
      <c r="B227" s="192"/>
      <c r="C227" s="192"/>
      <c r="D227" s="192"/>
      <c r="E227" s="192"/>
      <c r="F227" s="192"/>
      <c r="G227" s="192"/>
      <c r="H227" s="192"/>
      <c r="I227" s="192"/>
      <c r="J227" s="192"/>
      <c r="K227" s="60">
        <f>IFERROR(__xludf.DUMMYFUNCTION("""COMPUTED_VALUE"""),2849167.0)</f>
        <v>2849167</v>
      </c>
    </row>
    <row r="228">
      <c r="A228" s="192"/>
      <c r="B228" s="192"/>
      <c r="C228" s="192"/>
      <c r="D228" s="192"/>
      <c r="E228" s="192"/>
      <c r="F228" s="192"/>
      <c r="G228" s="192"/>
      <c r="H228" s="192"/>
      <c r="I228" s="192"/>
      <c r="J228" s="192"/>
      <c r="K228" s="60">
        <f>IFERROR(__xludf.DUMMYFUNCTION("""COMPUTED_VALUE"""),26436.0)</f>
        <v>26436</v>
      </c>
    </row>
    <row r="229">
      <c r="A229" s="192"/>
      <c r="B229" s="192"/>
      <c r="C229" s="192"/>
      <c r="D229" s="192"/>
      <c r="E229" s="192"/>
      <c r="F229" s="192"/>
      <c r="G229" s="192"/>
      <c r="H229" s="192"/>
      <c r="I229" s="192"/>
      <c r="J229" s="192"/>
      <c r="K229" s="60">
        <f>IFERROR(__xludf.DUMMYFUNCTION("""COMPUTED_VALUE"""),1956568.0)</f>
        <v>1956568</v>
      </c>
    </row>
    <row r="230">
      <c r="A230" s="192"/>
      <c r="B230" s="192"/>
      <c r="C230" s="192"/>
      <c r="D230" s="192"/>
      <c r="E230" s="192"/>
      <c r="F230" s="192"/>
      <c r="G230" s="192"/>
      <c r="H230" s="192"/>
      <c r="I230" s="192"/>
      <c r="J230" s="192"/>
      <c r="K230" s="60">
        <f>IFERROR(__xludf.DUMMYFUNCTION("""COMPUTED_VALUE"""),3299370.0)</f>
        <v>3299370</v>
      </c>
    </row>
    <row r="231">
      <c r="A231" s="192"/>
      <c r="B231" s="192"/>
      <c r="C231" s="192"/>
      <c r="D231" s="192"/>
      <c r="E231" s="192"/>
      <c r="F231" s="192"/>
      <c r="G231" s="192"/>
      <c r="H231" s="192"/>
      <c r="I231" s="192"/>
      <c r="J231" s="192"/>
      <c r="K231" s="60">
        <f>IFERROR(__xludf.DUMMYFUNCTION("""COMPUTED_VALUE"""),722224.0)</f>
        <v>722224</v>
      </c>
    </row>
    <row r="232">
      <c r="A232" s="192"/>
      <c r="B232" s="192"/>
      <c r="C232" s="192"/>
      <c r="D232" s="192"/>
      <c r="E232" s="192"/>
      <c r="F232" s="192"/>
      <c r="G232" s="192"/>
      <c r="H232" s="192"/>
      <c r="I232" s="192"/>
      <c r="J232" s="192"/>
      <c r="K232" s="60">
        <f>IFERROR(__xludf.DUMMYFUNCTION("""COMPUTED_VALUE"""),4150885.0)</f>
        <v>4150885</v>
      </c>
    </row>
    <row r="233">
      <c r="A233" s="192"/>
      <c r="B233" s="192"/>
      <c r="C233" s="192"/>
      <c r="D233" s="192"/>
      <c r="E233" s="192"/>
      <c r="F233" s="192"/>
      <c r="G233" s="192"/>
      <c r="H233" s="192"/>
      <c r="I233" s="192"/>
      <c r="J233" s="192"/>
      <c r="K233" s="60">
        <f>IFERROR(__xludf.DUMMYFUNCTION("""COMPUTED_VALUE"""),2111658.0)</f>
        <v>2111658</v>
      </c>
    </row>
    <row r="234">
      <c r="A234" s="192"/>
      <c r="B234" s="192"/>
      <c r="C234" s="192"/>
      <c r="D234" s="192"/>
      <c r="E234" s="192"/>
      <c r="F234" s="192"/>
      <c r="G234" s="192"/>
      <c r="H234" s="192"/>
      <c r="I234" s="192"/>
      <c r="J234" s="192"/>
      <c r="K234" s="60">
        <f>IFERROR(__xludf.DUMMYFUNCTION("""COMPUTED_VALUE"""),3239199.0)</f>
        <v>3239199</v>
      </c>
    </row>
    <row r="235">
      <c r="A235" s="192"/>
      <c r="B235" s="192"/>
      <c r="C235" s="192"/>
      <c r="D235" s="192"/>
      <c r="E235" s="192"/>
      <c r="F235" s="192"/>
      <c r="G235" s="192"/>
      <c r="H235" s="192"/>
      <c r="I235" s="192"/>
      <c r="J235" s="192"/>
      <c r="K235" s="60">
        <f>IFERROR(__xludf.DUMMYFUNCTION("""COMPUTED_VALUE"""),3822599.0)</f>
        <v>3822599</v>
      </c>
    </row>
    <row r="236">
      <c r="A236" s="192"/>
      <c r="B236" s="192"/>
      <c r="C236" s="192"/>
      <c r="D236" s="192"/>
      <c r="E236" s="192"/>
      <c r="F236" s="192"/>
      <c r="G236" s="192"/>
      <c r="H236" s="192"/>
      <c r="I236" s="192"/>
      <c r="J236" s="192"/>
      <c r="K236" s="60">
        <f>IFERROR(__xludf.DUMMYFUNCTION("""COMPUTED_VALUE"""),3187491.0)</f>
        <v>3187491</v>
      </c>
    </row>
    <row r="237">
      <c r="A237" s="192"/>
      <c r="B237" s="192"/>
      <c r="C237" s="192"/>
      <c r="D237" s="192"/>
      <c r="E237" s="192"/>
      <c r="F237" s="192"/>
      <c r="G237" s="192"/>
      <c r="H237" s="192"/>
      <c r="I237" s="192"/>
      <c r="J237" s="192"/>
      <c r="K237" s="60">
        <f>IFERROR(__xludf.DUMMYFUNCTION("""COMPUTED_VALUE"""),3798371.0)</f>
        <v>3798371</v>
      </c>
    </row>
    <row r="238">
      <c r="A238" s="192"/>
      <c r="B238" s="192"/>
      <c r="C238" s="192"/>
      <c r="D238" s="192"/>
      <c r="E238" s="192"/>
      <c r="F238" s="192"/>
      <c r="G238" s="192"/>
      <c r="H238" s="192"/>
      <c r="I238" s="192"/>
      <c r="J238" s="192"/>
      <c r="K238" s="60">
        <f>IFERROR(__xludf.DUMMYFUNCTION("""COMPUTED_VALUE"""),424554.0)</f>
        <v>424554</v>
      </c>
    </row>
    <row r="239">
      <c r="A239" s="192"/>
      <c r="B239" s="192"/>
      <c r="C239" s="192"/>
      <c r="D239" s="192"/>
      <c r="E239" s="192"/>
      <c r="F239" s="192"/>
      <c r="G239" s="192"/>
      <c r="H239" s="192"/>
      <c r="I239" s="192"/>
      <c r="J239" s="192"/>
      <c r="K239" s="60">
        <f>IFERROR(__xludf.DUMMYFUNCTION("""COMPUTED_VALUE"""),3446883.0)</f>
        <v>3446883</v>
      </c>
    </row>
    <row r="240">
      <c r="A240" s="192"/>
      <c r="B240" s="192"/>
      <c r="C240" s="192"/>
      <c r="D240" s="192"/>
      <c r="E240" s="192"/>
      <c r="F240" s="192"/>
      <c r="G240" s="192"/>
      <c r="H240" s="192"/>
      <c r="I240" s="192"/>
      <c r="J240" s="192"/>
      <c r="K240" s="60">
        <f>IFERROR(__xludf.DUMMYFUNCTION("""COMPUTED_VALUE"""),785982.0)</f>
        <v>785982</v>
      </c>
    </row>
    <row r="241">
      <c r="A241" s="192"/>
      <c r="B241" s="192"/>
      <c r="C241" s="192"/>
      <c r="D241" s="192"/>
      <c r="E241" s="192"/>
      <c r="F241" s="192"/>
      <c r="G241" s="192"/>
      <c r="H241" s="192"/>
      <c r="I241" s="192"/>
      <c r="J241" s="192"/>
      <c r="K241" s="60">
        <f>IFERROR(__xludf.DUMMYFUNCTION("""COMPUTED_VALUE"""),105978.0)</f>
        <v>105978</v>
      </c>
    </row>
    <row r="242">
      <c r="A242" s="192"/>
      <c r="B242" s="192"/>
      <c r="C242" s="192"/>
      <c r="D242" s="192"/>
      <c r="E242" s="192"/>
      <c r="F242" s="192"/>
      <c r="G242" s="192"/>
      <c r="H242" s="192"/>
      <c r="I242" s="192"/>
      <c r="J242" s="192"/>
      <c r="K242" s="60">
        <f>IFERROR(__xludf.DUMMYFUNCTION("""COMPUTED_VALUE"""),2839573.0)</f>
        <v>2839573</v>
      </c>
    </row>
    <row r="243">
      <c r="A243" s="192"/>
      <c r="B243" s="192"/>
      <c r="C243" s="192"/>
      <c r="D243" s="192"/>
      <c r="E243" s="192"/>
      <c r="F243" s="192"/>
      <c r="G243" s="192"/>
      <c r="H243" s="192"/>
      <c r="I243" s="192"/>
      <c r="J243" s="192"/>
      <c r="K243" s="60">
        <f>IFERROR(__xludf.DUMMYFUNCTION("""COMPUTED_VALUE"""),2559136.0)</f>
        <v>2559136</v>
      </c>
    </row>
    <row r="244">
      <c r="A244" s="192"/>
      <c r="B244" s="192"/>
      <c r="C244" s="192"/>
      <c r="D244" s="192"/>
      <c r="E244" s="192"/>
      <c r="F244" s="192"/>
      <c r="G244" s="192"/>
      <c r="H244" s="192"/>
      <c r="I244" s="192"/>
      <c r="J244" s="192"/>
      <c r="K244" s="60">
        <f>IFERROR(__xludf.DUMMYFUNCTION("""COMPUTED_VALUE"""),3616100.0)</f>
        <v>3616100</v>
      </c>
    </row>
    <row r="245">
      <c r="A245" s="192"/>
      <c r="B245" s="192"/>
      <c r="C245" s="192"/>
      <c r="D245" s="192"/>
      <c r="E245" s="192"/>
      <c r="F245" s="192"/>
      <c r="G245" s="192"/>
      <c r="H245" s="192"/>
      <c r="I245" s="192"/>
      <c r="J245" s="192"/>
      <c r="K245" s="60">
        <f>IFERROR(__xludf.DUMMYFUNCTION("""COMPUTED_VALUE"""),382887.0)</f>
        <v>382887</v>
      </c>
    </row>
    <row r="246">
      <c r="A246" s="192"/>
      <c r="B246" s="192"/>
      <c r="C246" s="192"/>
      <c r="D246" s="192"/>
      <c r="E246" s="192"/>
      <c r="F246" s="192"/>
      <c r="G246" s="192"/>
      <c r="H246" s="192"/>
      <c r="I246" s="192"/>
      <c r="J246" s="192"/>
      <c r="K246" s="60">
        <f>IFERROR(__xludf.DUMMYFUNCTION("""COMPUTED_VALUE"""),86079.0)</f>
        <v>86079</v>
      </c>
    </row>
    <row r="247">
      <c r="A247" s="192"/>
      <c r="B247" s="192"/>
      <c r="C247" s="192"/>
      <c r="D247" s="192"/>
      <c r="E247" s="192"/>
      <c r="F247" s="192"/>
      <c r="G247" s="192"/>
      <c r="H247" s="192"/>
      <c r="I247" s="192"/>
      <c r="J247" s="192"/>
      <c r="K247" s="60">
        <f>IFERROR(__xludf.DUMMYFUNCTION("""COMPUTED_VALUE"""),3711739.0)</f>
        <v>3711739</v>
      </c>
    </row>
    <row r="248">
      <c r="A248" s="192"/>
      <c r="B248" s="192"/>
      <c r="C248" s="192"/>
      <c r="D248" s="192"/>
      <c r="E248" s="192"/>
      <c r="F248" s="192"/>
      <c r="G248" s="192"/>
      <c r="H248" s="192"/>
      <c r="I248" s="192"/>
      <c r="J248" s="192"/>
      <c r="K248" s="60">
        <f>IFERROR(__xludf.DUMMYFUNCTION("""COMPUTED_VALUE"""),2792506.0)</f>
        <v>2792506</v>
      </c>
    </row>
    <row r="249">
      <c r="A249" s="192"/>
      <c r="B249" s="192"/>
      <c r="C249" s="192"/>
      <c r="D249" s="192"/>
      <c r="E249" s="192"/>
      <c r="F249" s="192"/>
      <c r="G249" s="192"/>
      <c r="H249" s="192"/>
      <c r="I249" s="192"/>
      <c r="J249" s="192"/>
      <c r="K249" s="60">
        <f>IFERROR(__xludf.DUMMYFUNCTION("""COMPUTED_VALUE"""),2853477.0)</f>
        <v>2853477</v>
      </c>
    </row>
    <row r="250">
      <c r="A250" s="192"/>
      <c r="B250" s="192"/>
      <c r="C250" s="192"/>
      <c r="D250" s="192"/>
      <c r="E250" s="192"/>
      <c r="F250" s="192"/>
      <c r="G250" s="192"/>
      <c r="H250" s="192"/>
      <c r="I250" s="192"/>
      <c r="J250" s="192"/>
      <c r="K250" s="60">
        <f>IFERROR(__xludf.DUMMYFUNCTION("""COMPUTED_VALUE"""),4215637.0)</f>
        <v>4215637</v>
      </c>
    </row>
    <row r="251">
      <c r="A251" s="192"/>
      <c r="B251" s="192"/>
      <c r="C251" s="192"/>
      <c r="D251" s="192"/>
      <c r="E251" s="192"/>
      <c r="F251" s="192"/>
      <c r="G251" s="192"/>
      <c r="H251" s="192"/>
      <c r="I251" s="192"/>
      <c r="J251" s="192"/>
      <c r="K251" s="60">
        <f>IFERROR(__xludf.DUMMYFUNCTION("""COMPUTED_VALUE"""),2277128.0)</f>
        <v>2277128</v>
      </c>
    </row>
    <row r="252">
      <c r="A252" s="192"/>
      <c r="B252" s="192"/>
      <c r="C252" s="192"/>
      <c r="D252" s="192"/>
      <c r="E252" s="192"/>
      <c r="F252" s="192"/>
      <c r="G252" s="192"/>
      <c r="H252" s="192"/>
      <c r="I252" s="192"/>
      <c r="J252" s="192"/>
      <c r="K252" s="60">
        <f>IFERROR(__xludf.DUMMYFUNCTION("""COMPUTED_VALUE"""),2835894.0)</f>
        <v>2835894</v>
      </c>
    </row>
    <row r="253">
      <c r="A253" s="192"/>
      <c r="B253" s="192"/>
      <c r="C253" s="192"/>
      <c r="D253" s="192"/>
      <c r="E253" s="192"/>
      <c r="F253" s="192"/>
      <c r="G253" s="192"/>
      <c r="H253" s="192"/>
      <c r="I253" s="192"/>
      <c r="J253" s="192"/>
      <c r="K253" s="60">
        <f>IFERROR(__xludf.DUMMYFUNCTION("""COMPUTED_VALUE"""),3686559.0)</f>
        <v>3686559</v>
      </c>
    </row>
    <row r="254">
      <c r="A254" s="192"/>
      <c r="B254" s="192"/>
      <c r="C254" s="192"/>
      <c r="D254" s="192"/>
      <c r="E254" s="192"/>
      <c r="F254" s="192"/>
      <c r="G254" s="192"/>
      <c r="H254" s="192"/>
      <c r="I254" s="192"/>
      <c r="J254" s="192"/>
      <c r="K254" s="60">
        <f>IFERROR(__xludf.DUMMYFUNCTION("""COMPUTED_VALUE"""),577517.0)</f>
        <v>577517</v>
      </c>
    </row>
    <row r="255">
      <c r="A255" s="192"/>
      <c r="B255" s="192"/>
      <c r="C255" s="192"/>
      <c r="D255" s="192"/>
      <c r="E255" s="192"/>
      <c r="F255" s="192"/>
      <c r="G255" s="192"/>
      <c r="H255" s="192"/>
      <c r="I255" s="192"/>
      <c r="J255" s="192"/>
      <c r="K255" s="60">
        <f>IFERROR(__xludf.DUMMYFUNCTION("""COMPUTED_VALUE"""),2277128.0)</f>
        <v>2277128</v>
      </c>
    </row>
    <row r="256">
      <c r="A256" s="192"/>
      <c r="B256" s="192"/>
      <c r="C256" s="192"/>
      <c r="D256" s="192"/>
      <c r="E256" s="192"/>
      <c r="F256" s="192"/>
      <c r="G256" s="192"/>
      <c r="H256" s="192"/>
      <c r="I256" s="192"/>
      <c r="J256" s="192"/>
      <c r="K256" s="60">
        <f>IFERROR(__xludf.DUMMYFUNCTION("""COMPUTED_VALUE"""),1717844.0)</f>
        <v>1717844</v>
      </c>
    </row>
    <row r="257">
      <c r="A257" s="192"/>
      <c r="B257" s="192"/>
      <c r="C257" s="192"/>
      <c r="D257" s="192"/>
      <c r="E257" s="192"/>
      <c r="F257" s="192"/>
      <c r="G257" s="192"/>
      <c r="H257" s="192"/>
      <c r="I257" s="192"/>
      <c r="J257" s="192"/>
      <c r="K257" s="60">
        <f>IFERROR(__xludf.DUMMYFUNCTION("""COMPUTED_VALUE"""),3404589.0)</f>
        <v>3404589</v>
      </c>
    </row>
    <row r="258">
      <c r="A258" s="192"/>
      <c r="B258" s="192"/>
      <c r="C258" s="192"/>
      <c r="D258" s="192"/>
      <c r="E258" s="192"/>
      <c r="F258" s="192"/>
      <c r="G258" s="192"/>
      <c r="H258" s="192"/>
      <c r="I258" s="192"/>
      <c r="J258" s="192"/>
      <c r="K258" s="60">
        <f>IFERROR(__xludf.DUMMYFUNCTION("""COMPUTED_VALUE"""),1938365.0)</f>
        <v>1938365</v>
      </c>
    </row>
    <row r="259">
      <c r="A259" s="192"/>
      <c r="B259" s="192"/>
      <c r="C259" s="192"/>
      <c r="D259" s="192"/>
      <c r="E259" s="192"/>
      <c r="F259" s="192"/>
      <c r="G259" s="192"/>
      <c r="H259" s="192"/>
      <c r="I259" s="192"/>
      <c r="J259" s="192"/>
      <c r="K259" s="60">
        <f>IFERROR(__xludf.DUMMYFUNCTION("""COMPUTED_VALUE"""),3990086.0)</f>
        <v>3990086</v>
      </c>
    </row>
    <row r="260">
      <c r="A260" s="192"/>
      <c r="B260" s="192"/>
      <c r="C260" s="192"/>
      <c r="D260" s="192"/>
      <c r="E260" s="192"/>
      <c r="F260" s="192"/>
      <c r="G260" s="192"/>
      <c r="H260" s="192"/>
      <c r="I260" s="192"/>
      <c r="J260" s="192"/>
      <c r="K260" s="60">
        <f>IFERROR(__xludf.DUMMYFUNCTION("""COMPUTED_VALUE"""),3804111.0)</f>
        <v>3804111</v>
      </c>
    </row>
    <row r="261">
      <c r="A261" s="192"/>
      <c r="B261" s="192"/>
      <c r="C261" s="192"/>
      <c r="D261" s="192"/>
      <c r="E261" s="192"/>
      <c r="F261" s="192"/>
      <c r="G261" s="192"/>
      <c r="H261" s="192"/>
      <c r="I261" s="192"/>
      <c r="J261" s="192"/>
      <c r="K261" s="60">
        <f>IFERROR(__xludf.DUMMYFUNCTION("""COMPUTED_VALUE"""),1248147.0)</f>
        <v>1248147</v>
      </c>
    </row>
    <row r="262">
      <c r="A262" s="192"/>
      <c r="B262" s="192"/>
      <c r="C262" s="192"/>
      <c r="D262" s="192"/>
      <c r="E262" s="192"/>
      <c r="F262" s="192"/>
      <c r="G262" s="192"/>
      <c r="H262" s="192"/>
      <c r="I262" s="192"/>
      <c r="J262" s="192"/>
      <c r="K262" s="60">
        <f>IFERROR(__xludf.DUMMYFUNCTION("""COMPUTED_VALUE"""),345642.0)</f>
        <v>345642</v>
      </c>
    </row>
    <row r="263">
      <c r="A263" s="192"/>
      <c r="B263" s="192"/>
      <c r="C263" s="192"/>
      <c r="D263" s="192"/>
      <c r="E263" s="192"/>
      <c r="F263" s="192"/>
      <c r="G263" s="192"/>
      <c r="H263" s="192"/>
      <c r="I263" s="192"/>
      <c r="J263" s="192"/>
      <c r="K263" s="60">
        <f>IFERROR(__xludf.DUMMYFUNCTION("""COMPUTED_VALUE"""),1699306.0)</f>
        <v>1699306</v>
      </c>
    </row>
    <row r="264">
      <c r="A264" s="192"/>
      <c r="B264" s="192"/>
      <c r="C264" s="192"/>
      <c r="D264" s="192"/>
      <c r="E264" s="192"/>
      <c r="F264" s="192"/>
      <c r="G264" s="192"/>
      <c r="H264" s="192"/>
      <c r="I264" s="192"/>
      <c r="J264" s="192"/>
      <c r="K264" s="60">
        <f>IFERROR(__xludf.DUMMYFUNCTION("""COMPUTED_VALUE"""),1857415.0)</f>
        <v>1857415</v>
      </c>
    </row>
    <row r="265">
      <c r="A265" s="192"/>
      <c r="B265" s="192"/>
      <c r="C265" s="192"/>
      <c r="D265" s="192"/>
      <c r="E265" s="192"/>
      <c r="F265" s="192"/>
      <c r="G265" s="192"/>
      <c r="H265" s="192"/>
      <c r="I265" s="192"/>
      <c r="J265" s="192"/>
      <c r="K265" s="60">
        <f>IFERROR(__xludf.DUMMYFUNCTION("""COMPUTED_VALUE"""),2076261.0)</f>
        <v>2076261</v>
      </c>
    </row>
    <row r="266">
      <c r="A266" s="192"/>
      <c r="B266" s="192"/>
      <c r="C266" s="192"/>
      <c r="D266" s="192"/>
      <c r="E266" s="192"/>
      <c r="F266" s="192"/>
      <c r="G266" s="192"/>
      <c r="H266" s="192"/>
      <c r="I266" s="192"/>
      <c r="J266" s="192"/>
      <c r="K266" s="60">
        <f>IFERROR(__xludf.DUMMYFUNCTION("""COMPUTED_VALUE"""),2970566.0)</f>
        <v>2970566</v>
      </c>
    </row>
    <row r="267">
      <c r="A267" s="192"/>
      <c r="B267" s="192"/>
      <c r="C267" s="192"/>
      <c r="D267" s="192"/>
      <c r="E267" s="192"/>
      <c r="F267" s="192"/>
      <c r="G267" s="192"/>
      <c r="H267" s="192"/>
      <c r="I267" s="192"/>
      <c r="J267" s="192"/>
      <c r="K267" s="60">
        <f>IFERROR(__xludf.DUMMYFUNCTION("""COMPUTED_VALUE"""),789815.0)</f>
        <v>789815</v>
      </c>
    </row>
    <row r="268">
      <c r="A268" s="192"/>
      <c r="B268" s="192"/>
      <c r="C268" s="192"/>
      <c r="D268" s="192"/>
      <c r="E268" s="192"/>
      <c r="F268" s="192"/>
      <c r="G268" s="192"/>
      <c r="H268" s="192"/>
      <c r="I268" s="192"/>
      <c r="J268" s="192"/>
      <c r="K268" s="60">
        <f>IFERROR(__xludf.DUMMYFUNCTION("""COMPUTED_VALUE"""),2536100.0)</f>
        <v>2536100</v>
      </c>
    </row>
    <row r="269">
      <c r="A269" s="192"/>
      <c r="B269" s="192"/>
      <c r="C269" s="192"/>
      <c r="D269" s="192"/>
      <c r="E269" s="192"/>
      <c r="F269" s="192"/>
      <c r="G269" s="192"/>
      <c r="H269" s="192"/>
      <c r="I269" s="192"/>
      <c r="J269" s="192"/>
      <c r="K269" s="60">
        <f>IFERROR(__xludf.DUMMYFUNCTION("""COMPUTED_VALUE"""),1838159.0)</f>
        <v>1838159</v>
      </c>
    </row>
    <row r="270">
      <c r="A270" s="192"/>
      <c r="B270" s="192"/>
      <c r="C270" s="192"/>
      <c r="D270" s="192"/>
      <c r="E270" s="192"/>
      <c r="F270" s="192"/>
      <c r="G270" s="192"/>
      <c r="H270" s="192"/>
      <c r="I270" s="192"/>
      <c r="J270" s="192"/>
      <c r="K270" s="60">
        <f>IFERROR(__xludf.DUMMYFUNCTION("""COMPUTED_VALUE"""),1035068.0)</f>
        <v>1035068</v>
      </c>
    </row>
    <row r="271">
      <c r="A271" s="192"/>
      <c r="B271" s="192"/>
      <c r="C271" s="192"/>
      <c r="D271" s="192"/>
      <c r="E271" s="192"/>
      <c r="F271" s="192"/>
      <c r="G271" s="192"/>
      <c r="H271" s="192"/>
      <c r="I271" s="192"/>
      <c r="J271" s="192"/>
      <c r="K271" s="60">
        <f>IFERROR(__xludf.DUMMYFUNCTION("""COMPUTED_VALUE"""),1631406.0)</f>
        <v>1631406</v>
      </c>
    </row>
    <row r="272">
      <c r="A272" s="192"/>
      <c r="B272" s="192"/>
      <c r="C272" s="192"/>
      <c r="D272" s="192"/>
      <c r="E272" s="192"/>
      <c r="F272" s="192"/>
      <c r="G272" s="192"/>
      <c r="H272" s="192"/>
      <c r="I272" s="192"/>
      <c r="J272" s="192"/>
      <c r="K272" s="60">
        <f>IFERROR(__xludf.DUMMYFUNCTION("""COMPUTED_VALUE"""),824390.0)</f>
        <v>824390</v>
      </c>
    </row>
    <row r="273">
      <c r="A273" s="192"/>
      <c r="B273" s="192"/>
      <c r="C273" s="192"/>
      <c r="D273" s="192"/>
      <c r="E273" s="192"/>
      <c r="F273" s="192"/>
      <c r="G273" s="192"/>
      <c r="H273" s="192"/>
      <c r="I273" s="192"/>
      <c r="J273" s="192"/>
      <c r="K273" s="60">
        <f>IFERROR(__xludf.DUMMYFUNCTION("""COMPUTED_VALUE"""),2961839.0)</f>
        <v>2961839</v>
      </c>
    </row>
    <row r="274">
      <c r="A274" s="192"/>
      <c r="B274" s="192"/>
      <c r="C274" s="192"/>
      <c r="D274" s="192"/>
      <c r="E274" s="192"/>
      <c r="F274" s="192"/>
      <c r="G274" s="192"/>
      <c r="H274" s="192"/>
      <c r="I274" s="192"/>
      <c r="J274" s="192"/>
      <c r="K274" s="60">
        <f>IFERROR(__xludf.DUMMYFUNCTION("""COMPUTED_VALUE"""),577517.0)</f>
        <v>577517</v>
      </c>
    </row>
    <row r="275">
      <c r="A275" s="192"/>
      <c r="B275" s="192"/>
      <c r="C275" s="192"/>
      <c r="D275" s="192"/>
      <c r="E275" s="192"/>
      <c r="F275" s="192"/>
      <c r="G275" s="192"/>
      <c r="H275" s="192"/>
      <c r="I275" s="192"/>
      <c r="J275" s="192"/>
      <c r="K275" s="60">
        <f>IFERROR(__xludf.DUMMYFUNCTION("""COMPUTED_VALUE"""),2111279.0)</f>
        <v>2111279</v>
      </c>
    </row>
    <row r="276">
      <c r="A276" s="192"/>
      <c r="B276" s="192"/>
      <c r="C276" s="192"/>
      <c r="D276" s="192"/>
      <c r="E276" s="192"/>
      <c r="F276" s="192"/>
      <c r="G276" s="192"/>
      <c r="H276" s="192"/>
      <c r="I276" s="192"/>
      <c r="J276" s="192"/>
      <c r="K276" s="60">
        <f>IFERROR(__xludf.DUMMYFUNCTION("""COMPUTED_VALUE"""),1737928.0)</f>
        <v>1737928</v>
      </c>
    </row>
    <row r="277">
      <c r="A277" s="192"/>
      <c r="B277" s="192"/>
      <c r="C277" s="192"/>
      <c r="D277" s="192"/>
      <c r="E277" s="192"/>
      <c r="F277" s="192"/>
      <c r="G277" s="192"/>
      <c r="H277" s="192"/>
      <c r="I277" s="192"/>
      <c r="J277" s="192"/>
      <c r="K277" s="60">
        <f>IFERROR(__xludf.DUMMYFUNCTION("""COMPUTED_VALUE"""),2568756.0)</f>
        <v>2568756</v>
      </c>
    </row>
    <row r="278">
      <c r="A278" s="192"/>
      <c r="B278" s="192"/>
      <c r="C278" s="192"/>
      <c r="D278" s="192"/>
      <c r="E278" s="192"/>
      <c r="F278" s="192"/>
      <c r="G278" s="192"/>
      <c r="H278" s="192"/>
      <c r="I278" s="192"/>
      <c r="J278" s="192"/>
      <c r="K278" s="60">
        <f>IFERROR(__xludf.DUMMYFUNCTION("""COMPUTED_VALUE"""),2417645.0)</f>
        <v>2417645</v>
      </c>
    </row>
    <row r="279">
      <c r="A279" s="192"/>
      <c r="B279" s="192"/>
      <c r="C279" s="192"/>
      <c r="D279" s="192"/>
      <c r="E279" s="192"/>
      <c r="F279" s="192"/>
      <c r="G279" s="192"/>
      <c r="H279" s="192"/>
      <c r="I279" s="192"/>
      <c r="J279" s="192"/>
      <c r="K279" s="60">
        <f>IFERROR(__xludf.DUMMYFUNCTION("""COMPUTED_VALUE"""),2577703.0)</f>
        <v>2577703</v>
      </c>
    </row>
    <row r="280">
      <c r="A280" s="192"/>
      <c r="B280" s="192"/>
      <c r="C280" s="192"/>
      <c r="D280" s="192"/>
      <c r="E280" s="192"/>
      <c r="F280" s="192"/>
      <c r="G280" s="192"/>
      <c r="H280" s="192"/>
      <c r="I280" s="192"/>
      <c r="J280" s="192"/>
      <c r="K280" s="60">
        <f>IFERROR(__xludf.DUMMYFUNCTION("""COMPUTED_VALUE"""),3341368.0)</f>
        <v>3341368</v>
      </c>
    </row>
    <row r="281">
      <c r="A281" s="192"/>
      <c r="B281" s="192"/>
      <c r="C281" s="192"/>
      <c r="D281" s="192"/>
      <c r="E281" s="192"/>
      <c r="F281" s="192"/>
      <c r="G281" s="192"/>
      <c r="H281" s="192"/>
      <c r="I281" s="192"/>
      <c r="J281" s="192"/>
      <c r="K281" s="60">
        <f>IFERROR(__xludf.DUMMYFUNCTION("""COMPUTED_VALUE"""),765880.0)</f>
        <v>765880</v>
      </c>
    </row>
    <row r="282">
      <c r="A282" s="192"/>
      <c r="B282" s="192"/>
      <c r="C282" s="192"/>
      <c r="D282" s="192"/>
      <c r="E282" s="192"/>
      <c r="F282" s="192"/>
      <c r="G282" s="192"/>
      <c r="H282" s="192"/>
      <c r="I282" s="192"/>
      <c r="J282" s="192"/>
      <c r="K282" s="60">
        <f>IFERROR(__xludf.DUMMYFUNCTION("""COMPUTED_VALUE"""),25341.0)</f>
        <v>25341</v>
      </c>
    </row>
    <row r="283">
      <c r="A283" s="192"/>
      <c r="B283" s="192"/>
      <c r="C283" s="192"/>
      <c r="D283" s="192"/>
      <c r="E283" s="192"/>
      <c r="F283" s="192"/>
      <c r="G283" s="192"/>
      <c r="H283" s="192"/>
      <c r="I283" s="192"/>
      <c r="J283" s="192"/>
      <c r="K283" s="60">
        <f>IFERROR(__xludf.DUMMYFUNCTION("""COMPUTED_VALUE"""),3274886.0)</f>
        <v>3274886</v>
      </c>
    </row>
    <row r="284">
      <c r="A284" s="192"/>
      <c r="B284" s="192"/>
      <c r="C284" s="192"/>
      <c r="D284" s="192"/>
      <c r="E284" s="192"/>
      <c r="F284" s="192"/>
      <c r="G284" s="192"/>
      <c r="H284" s="192"/>
      <c r="I284" s="192"/>
      <c r="J284" s="192"/>
      <c r="K284" s="60">
        <f>IFERROR(__xludf.DUMMYFUNCTION("""COMPUTED_VALUE"""),3396297.0)</f>
        <v>3396297</v>
      </c>
    </row>
    <row r="285">
      <c r="A285" s="192"/>
      <c r="B285" s="192"/>
      <c r="C285" s="192"/>
      <c r="D285" s="192"/>
      <c r="E285" s="192"/>
      <c r="F285" s="192"/>
      <c r="G285" s="192"/>
      <c r="H285" s="192"/>
      <c r="I285" s="192"/>
      <c r="J285" s="192"/>
      <c r="K285" s="60">
        <f>IFERROR(__xludf.DUMMYFUNCTION("""COMPUTED_VALUE"""),2565268.0)</f>
        <v>2565268</v>
      </c>
    </row>
    <row r="286">
      <c r="A286" s="192"/>
      <c r="B286" s="192"/>
      <c r="C286" s="192"/>
      <c r="D286" s="192"/>
      <c r="E286" s="192"/>
      <c r="F286" s="192"/>
      <c r="G286" s="192"/>
      <c r="H286" s="192"/>
      <c r="I286" s="192"/>
      <c r="J286" s="192"/>
      <c r="K286" s="60">
        <f>IFERROR(__xludf.DUMMYFUNCTION("""COMPUTED_VALUE"""),74779.0)</f>
        <v>74779</v>
      </c>
    </row>
    <row r="287">
      <c r="A287" s="192"/>
      <c r="B287" s="192"/>
      <c r="C287" s="192"/>
      <c r="D287" s="192"/>
      <c r="E287" s="192"/>
      <c r="F287" s="192"/>
      <c r="G287" s="192"/>
      <c r="H287" s="192"/>
      <c r="I287" s="192"/>
      <c r="J287" s="192"/>
      <c r="K287" s="60">
        <f>IFERROR(__xludf.DUMMYFUNCTION("""COMPUTED_VALUE"""),2691754.0)</f>
        <v>2691754</v>
      </c>
    </row>
    <row r="288">
      <c r="A288" s="192"/>
      <c r="B288" s="192"/>
      <c r="C288" s="192"/>
      <c r="D288" s="192"/>
      <c r="E288" s="192"/>
      <c r="F288" s="192"/>
      <c r="G288" s="192"/>
      <c r="H288" s="192"/>
      <c r="I288" s="192"/>
      <c r="J288" s="192"/>
      <c r="K288" s="60">
        <f>IFERROR(__xludf.DUMMYFUNCTION("""COMPUTED_VALUE"""),3802071.0)</f>
        <v>3802071</v>
      </c>
    </row>
    <row r="289">
      <c r="A289" s="192"/>
      <c r="B289" s="192"/>
      <c r="C289" s="192"/>
      <c r="D289" s="192"/>
      <c r="E289" s="192"/>
      <c r="F289" s="192"/>
      <c r="G289" s="192"/>
      <c r="H289" s="192"/>
      <c r="I289" s="192"/>
      <c r="J289" s="192"/>
      <c r="K289" s="60">
        <f>IFERROR(__xludf.DUMMYFUNCTION("""COMPUTED_VALUE"""),37750.0)</f>
        <v>37750</v>
      </c>
    </row>
    <row r="290">
      <c r="A290" s="192"/>
      <c r="B290" s="192"/>
      <c r="C290" s="192"/>
      <c r="D290" s="192"/>
      <c r="E290" s="192"/>
      <c r="F290" s="192"/>
      <c r="G290" s="192"/>
      <c r="H290" s="192"/>
      <c r="I290" s="192"/>
      <c r="J290" s="192"/>
      <c r="K290" s="60">
        <f>IFERROR(__xludf.DUMMYFUNCTION("""COMPUTED_VALUE"""),3802110.0)</f>
        <v>3802110</v>
      </c>
    </row>
    <row r="291">
      <c r="A291" s="192"/>
      <c r="B291" s="192"/>
      <c r="C291" s="192"/>
      <c r="D291" s="192"/>
      <c r="E291" s="192"/>
      <c r="F291" s="192"/>
      <c r="G291" s="192"/>
      <c r="H291" s="192"/>
      <c r="I291" s="192"/>
      <c r="J291" s="192"/>
      <c r="K291" s="60">
        <f>IFERROR(__xludf.DUMMYFUNCTION("""COMPUTED_VALUE"""),3700933.0)</f>
        <v>3700933</v>
      </c>
    </row>
    <row r="292">
      <c r="A292" s="192"/>
      <c r="B292" s="192"/>
      <c r="C292" s="192"/>
      <c r="D292" s="192"/>
      <c r="E292" s="192"/>
      <c r="F292" s="192"/>
      <c r="G292" s="192"/>
      <c r="H292" s="192"/>
      <c r="I292" s="192"/>
      <c r="J292" s="192"/>
      <c r="K292" s="60">
        <f>IFERROR(__xludf.DUMMYFUNCTION("""COMPUTED_VALUE"""),105978.0)</f>
        <v>105978</v>
      </c>
    </row>
    <row r="293">
      <c r="A293" s="192"/>
      <c r="B293" s="192"/>
      <c r="C293" s="192"/>
      <c r="D293" s="192"/>
      <c r="E293" s="192"/>
      <c r="F293" s="192"/>
      <c r="G293" s="192"/>
      <c r="H293" s="192"/>
      <c r="I293" s="192"/>
      <c r="J293" s="192"/>
      <c r="K293" s="60">
        <f>IFERROR(__xludf.DUMMYFUNCTION("""COMPUTED_VALUE"""),2671858.0)</f>
        <v>2671858</v>
      </c>
    </row>
    <row r="294">
      <c r="A294" s="192"/>
      <c r="B294" s="192"/>
      <c r="C294" s="192"/>
      <c r="D294" s="192"/>
      <c r="E294" s="192"/>
      <c r="F294" s="192"/>
      <c r="G294" s="192"/>
      <c r="H294" s="192"/>
      <c r="I294" s="192"/>
      <c r="J294" s="192"/>
      <c r="K294" s="60">
        <f>IFERROR(__xludf.DUMMYFUNCTION("""COMPUTED_VALUE"""),3853742.0)</f>
        <v>3853742</v>
      </c>
    </row>
    <row r="295">
      <c r="A295" s="192"/>
      <c r="B295" s="192"/>
      <c r="C295" s="192"/>
      <c r="D295" s="192"/>
      <c r="E295" s="192"/>
      <c r="F295" s="192"/>
      <c r="G295" s="192"/>
      <c r="H295" s="192"/>
      <c r="I295" s="192"/>
      <c r="J295" s="192"/>
      <c r="K295" s="60">
        <f>IFERROR(__xludf.DUMMYFUNCTION("""COMPUTED_VALUE"""),3821597.0)</f>
        <v>3821597</v>
      </c>
    </row>
    <row r="296">
      <c r="A296" s="192"/>
      <c r="B296" s="192"/>
      <c r="C296" s="192"/>
      <c r="D296" s="192"/>
      <c r="E296" s="192"/>
      <c r="F296" s="192"/>
      <c r="G296" s="192"/>
      <c r="H296" s="192"/>
      <c r="I296" s="192"/>
      <c r="J296" s="192"/>
      <c r="K296" s="60">
        <f>IFERROR(__xludf.DUMMYFUNCTION("""COMPUTED_VALUE"""),2288966.0)</f>
        <v>2288966</v>
      </c>
    </row>
    <row r="297">
      <c r="A297" s="192"/>
      <c r="B297" s="192"/>
      <c r="C297" s="192"/>
      <c r="D297" s="192"/>
      <c r="E297" s="192"/>
      <c r="F297" s="192"/>
      <c r="G297" s="192"/>
      <c r="H297" s="192"/>
      <c r="I297" s="192"/>
      <c r="J297" s="192"/>
      <c r="K297" s="60">
        <f>IFERROR(__xludf.DUMMYFUNCTION("""COMPUTED_VALUE"""),3039329.0)</f>
        <v>3039329</v>
      </c>
    </row>
    <row r="298">
      <c r="A298" s="192"/>
      <c r="B298" s="192"/>
      <c r="C298" s="192"/>
      <c r="D298" s="192"/>
      <c r="E298" s="192"/>
      <c r="F298" s="192"/>
      <c r="G298" s="192"/>
      <c r="H298" s="192"/>
      <c r="I298" s="192"/>
      <c r="J298" s="192"/>
      <c r="K298" s="60">
        <f>IFERROR(__xludf.DUMMYFUNCTION("""COMPUTED_VALUE"""),3752605.0)</f>
        <v>3752605</v>
      </c>
    </row>
    <row r="299">
      <c r="A299" s="192"/>
      <c r="B299" s="192"/>
      <c r="C299" s="192"/>
      <c r="D299" s="192"/>
      <c r="E299" s="192"/>
      <c r="F299" s="192"/>
      <c r="G299" s="192"/>
      <c r="H299" s="192"/>
      <c r="I299" s="192"/>
      <c r="J299" s="192"/>
      <c r="K299" s="60">
        <f>IFERROR(__xludf.DUMMYFUNCTION("""COMPUTED_VALUE"""),3714369.0)</f>
        <v>3714369</v>
      </c>
    </row>
    <row r="300">
      <c r="A300" s="192"/>
      <c r="B300" s="192"/>
      <c r="C300" s="192"/>
      <c r="D300" s="192"/>
      <c r="E300" s="192"/>
      <c r="F300" s="192"/>
      <c r="G300" s="192"/>
      <c r="H300" s="192"/>
      <c r="I300" s="192"/>
      <c r="J300" s="192"/>
      <c r="K300" s="60">
        <f>IFERROR(__xludf.DUMMYFUNCTION("""COMPUTED_VALUE"""),3953905.0)</f>
        <v>3953905</v>
      </c>
    </row>
    <row r="301">
      <c r="A301" s="192"/>
      <c r="B301" s="192"/>
      <c r="C301" s="192"/>
      <c r="D301" s="192"/>
      <c r="E301" s="192"/>
      <c r="F301" s="192"/>
      <c r="G301" s="192"/>
      <c r="H301" s="192"/>
      <c r="I301" s="192"/>
      <c r="J301" s="192"/>
      <c r="K301" s="60">
        <f>IFERROR(__xludf.DUMMYFUNCTION("""COMPUTED_VALUE"""),2690998.0)</f>
        <v>2690998</v>
      </c>
    </row>
    <row r="302">
      <c r="A302" s="192"/>
      <c r="B302" s="192"/>
      <c r="C302" s="192"/>
      <c r="D302" s="192"/>
      <c r="E302" s="192"/>
      <c r="F302" s="192"/>
      <c r="G302" s="192"/>
      <c r="H302" s="192"/>
      <c r="I302" s="192"/>
      <c r="J302" s="192"/>
      <c r="K302" s="60">
        <f>IFERROR(__xludf.DUMMYFUNCTION("""COMPUTED_VALUE"""),309899.0)</f>
        <v>309899</v>
      </c>
    </row>
    <row r="303">
      <c r="A303" s="192"/>
      <c r="B303" s="192"/>
      <c r="C303" s="192"/>
      <c r="D303" s="192"/>
      <c r="E303" s="192"/>
      <c r="F303" s="192"/>
      <c r="G303" s="192"/>
      <c r="H303" s="192"/>
      <c r="I303" s="192"/>
      <c r="J303" s="192"/>
      <c r="K303" s="60">
        <f>IFERROR(__xludf.DUMMYFUNCTION("""COMPUTED_VALUE"""),3461206.0)</f>
        <v>3461206</v>
      </c>
    </row>
    <row r="304">
      <c r="A304" s="192"/>
      <c r="B304" s="192"/>
      <c r="C304" s="192"/>
      <c r="D304" s="192"/>
      <c r="E304" s="192"/>
      <c r="F304" s="192"/>
      <c r="G304" s="192"/>
      <c r="H304" s="192"/>
      <c r="I304" s="192"/>
      <c r="J304" s="192"/>
      <c r="K304" s="60">
        <f>IFERROR(__xludf.DUMMYFUNCTION("""COMPUTED_VALUE"""),309900.0)</f>
        <v>309900</v>
      </c>
    </row>
    <row r="305">
      <c r="A305" s="192"/>
      <c r="B305" s="192"/>
      <c r="C305" s="192"/>
      <c r="D305" s="192"/>
      <c r="E305" s="192"/>
      <c r="F305" s="192"/>
      <c r="G305" s="192"/>
      <c r="H305" s="192"/>
      <c r="I305" s="192"/>
      <c r="J305" s="192"/>
      <c r="K305" s="60">
        <f>IFERROR(__xludf.DUMMYFUNCTION("""COMPUTED_VALUE"""),2279885.0)</f>
        <v>2279885</v>
      </c>
    </row>
    <row r="306">
      <c r="A306" s="192"/>
      <c r="B306" s="192"/>
      <c r="C306" s="192"/>
      <c r="D306" s="192"/>
      <c r="E306" s="192"/>
      <c r="F306" s="192"/>
      <c r="G306" s="192"/>
      <c r="H306" s="192"/>
      <c r="I306" s="192"/>
      <c r="J306" s="192"/>
      <c r="K306" s="60">
        <f>IFERROR(__xludf.DUMMYFUNCTION("""COMPUTED_VALUE"""),3563737.0)</f>
        <v>3563737</v>
      </c>
    </row>
    <row r="307">
      <c r="A307" s="192"/>
      <c r="B307" s="192"/>
      <c r="C307" s="192"/>
      <c r="D307" s="192"/>
      <c r="E307" s="192"/>
      <c r="F307" s="192"/>
      <c r="G307" s="192"/>
      <c r="H307" s="192"/>
      <c r="I307" s="192"/>
      <c r="J307" s="192"/>
      <c r="K307" s="60">
        <f>IFERROR(__xludf.DUMMYFUNCTION("""COMPUTED_VALUE"""),847315.0)</f>
        <v>847315</v>
      </c>
    </row>
    <row r="308">
      <c r="A308" s="192"/>
      <c r="B308" s="192"/>
      <c r="C308" s="192"/>
      <c r="D308" s="192"/>
      <c r="E308" s="192"/>
      <c r="F308" s="192"/>
      <c r="G308" s="192"/>
      <c r="H308" s="192"/>
      <c r="I308" s="192"/>
      <c r="J308" s="192"/>
      <c r="K308" s="60">
        <f>IFERROR(__xludf.DUMMYFUNCTION("""COMPUTED_VALUE"""),571620.0)</f>
        <v>571620</v>
      </c>
    </row>
    <row r="309">
      <c r="A309" s="192"/>
      <c r="B309" s="192"/>
      <c r="C309" s="192"/>
      <c r="D309" s="192"/>
      <c r="E309" s="192"/>
      <c r="F309" s="192"/>
      <c r="G309" s="192"/>
      <c r="H309" s="192"/>
      <c r="I309" s="192"/>
      <c r="J309" s="192"/>
      <c r="K309" s="60">
        <f>IFERROR(__xludf.DUMMYFUNCTION("""COMPUTED_VALUE"""),99407.0)</f>
        <v>99407</v>
      </c>
    </row>
    <row r="310">
      <c r="A310" s="192"/>
      <c r="B310" s="192"/>
      <c r="C310" s="192"/>
      <c r="D310" s="192"/>
      <c r="E310" s="192"/>
      <c r="F310" s="192"/>
      <c r="G310" s="192"/>
      <c r="H310" s="192"/>
      <c r="I310" s="192"/>
      <c r="J310" s="192"/>
      <c r="K310" s="60">
        <f>IFERROR(__xludf.DUMMYFUNCTION("""COMPUTED_VALUE"""),58701.0)</f>
        <v>58701</v>
      </c>
    </row>
    <row r="311">
      <c r="A311" s="192"/>
      <c r="B311" s="192"/>
      <c r="C311" s="192"/>
      <c r="D311" s="192"/>
      <c r="E311" s="192"/>
      <c r="F311" s="192"/>
      <c r="G311" s="192"/>
      <c r="H311" s="192"/>
      <c r="I311" s="192"/>
      <c r="J311" s="192"/>
      <c r="K311" s="60">
        <f>IFERROR(__xludf.DUMMYFUNCTION("""COMPUTED_VALUE"""),1707909.0)</f>
        <v>1707909</v>
      </c>
    </row>
    <row r="312">
      <c r="A312" s="192"/>
      <c r="B312" s="192"/>
      <c r="C312" s="192"/>
      <c r="D312" s="192"/>
      <c r="E312" s="192"/>
      <c r="F312" s="192"/>
      <c r="G312" s="192"/>
      <c r="H312" s="192"/>
      <c r="I312" s="192"/>
      <c r="J312" s="192"/>
      <c r="K312" s="60">
        <f>IFERROR(__xludf.DUMMYFUNCTION("""COMPUTED_VALUE"""),3772514.0)</f>
        <v>3772514</v>
      </c>
    </row>
    <row r="313">
      <c r="A313" s="192"/>
      <c r="B313" s="192"/>
      <c r="C313" s="192"/>
      <c r="D313" s="192"/>
      <c r="E313" s="192"/>
      <c r="F313" s="192"/>
      <c r="G313" s="192"/>
      <c r="H313" s="192"/>
      <c r="I313" s="192"/>
      <c r="J313" s="192"/>
      <c r="K313" s="60">
        <f>IFERROR(__xludf.DUMMYFUNCTION("""COMPUTED_VALUE"""),862338.0)</f>
        <v>862338</v>
      </c>
    </row>
    <row r="314">
      <c r="A314" s="192"/>
      <c r="B314" s="192"/>
      <c r="C314" s="192"/>
      <c r="D314" s="192"/>
      <c r="E314" s="192"/>
      <c r="F314" s="192"/>
      <c r="G314" s="192"/>
      <c r="H314" s="192"/>
      <c r="I314" s="192"/>
      <c r="J314" s="192"/>
      <c r="K314" s="60">
        <f>IFERROR(__xludf.DUMMYFUNCTION("""COMPUTED_VALUE"""),3711612.0)</f>
        <v>3711612</v>
      </c>
    </row>
    <row r="315">
      <c r="A315" s="192"/>
      <c r="B315" s="192"/>
      <c r="C315" s="192"/>
      <c r="D315" s="192"/>
      <c r="E315" s="192"/>
      <c r="F315" s="192"/>
      <c r="G315" s="192"/>
      <c r="H315" s="192"/>
      <c r="I315" s="192"/>
      <c r="J315" s="192"/>
      <c r="K315" s="60">
        <f>IFERROR(__xludf.DUMMYFUNCTION("""COMPUTED_VALUE"""),2519731.0)</f>
        <v>2519731</v>
      </c>
    </row>
    <row r="316">
      <c r="A316" s="192"/>
      <c r="B316" s="192"/>
      <c r="C316" s="192"/>
      <c r="D316" s="192"/>
      <c r="E316" s="192"/>
      <c r="F316" s="192"/>
      <c r="G316" s="192"/>
      <c r="H316" s="192"/>
      <c r="I316" s="192"/>
      <c r="J316" s="192"/>
      <c r="K316" s="60">
        <f>IFERROR(__xludf.DUMMYFUNCTION("""COMPUTED_VALUE"""),1035068.0)</f>
        <v>1035068</v>
      </c>
    </row>
    <row r="317">
      <c r="A317" s="192"/>
      <c r="B317" s="192"/>
      <c r="C317" s="192"/>
      <c r="D317" s="192"/>
      <c r="E317" s="192"/>
      <c r="F317" s="192"/>
      <c r="G317" s="192"/>
      <c r="H317" s="192"/>
      <c r="I317" s="192"/>
      <c r="J317" s="192"/>
      <c r="K317" s="60">
        <f>IFERROR(__xludf.DUMMYFUNCTION("""COMPUTED_VALUE"""),975342.0)</f>
        <v>975342</v>
      </c>
    </row>
    <row r="318">
      <c r="A318" s="192"/>
      <c r="B318" s="192"/>
      <c r="C318" s="192"/>
      <c r="D318" s="192"/>
      <c r="E318" s="192"/>
      <c r="F318" s="192"/>
      <c r="G318" s="192"/>
      <c r="H318" s="192"/>
      <c r="I318" s="192"/>
      <c r="J318" s="192"/>
    </row>
    <row r="319">
      <c r="A319" s="192"/>
      <c r="B319" s="192"/>
      <c r="C319" s="192"/>
      <c r="D319" s="192"/>
      <c r="E319" s="192"/>
      <c r="F319" s="192"/>
      <c r="G319" s="192"/>
      <c r="H319" s="192"/>
      <c r="I319" s="192"/>
      <c r="J319" s="192"/>
    </row>
    <row r="320">
      <c r="A320" s="192"/>
      <c r="B320" s="192"/>
      <c r="C320" s="192"/>
      <c r="D320" s="192"/>
      <c r="E320" s="192"/>
      <c r="F320" s="192"/>
      <c r="G320" s="192"/>
      <c r="H320" s="192"/>
      <c r="I320" s="192"/>
      <c r="J320" s="192"/>
    </row>
    <row r="321">
      <c r="A321" s="192"/>
      <c r="B321" s="192"/>
      <c r="C321" s="192"/>
      <c r="D321" s="192"/>
      <c r="E321" s="192"/>
      <c r="F321" s="192"/>
      <c r="G321" s="192"/>
      <c r="H321" s="192"/>
      <c r="I321" s="192"/>
      <c r="J321" s="192"/>
    </row>
    <row r="322">
      <c r="A322" s="192"/>
      <c r="B322" s="192"/>
      <c r="C322" s="192"/>
      <c r="D322" s="192"/>
      <c r="E322" s="192"/>
      <c r="F322" s="192"/>
      <c r="G322" s="192"/>
      <c r="H322" s="192"/>
      <c r="I322" s="192"/>
      <c r="J322" s="192"/>
    </row>
    <row r="323">
      <c r="A323" s="192"/>
      <c r="B323" s="192"/>
      <c r="C323" s="192"/>
      <c r="D323" s="192"/>
      <c r="E323" s="192"/>
      <c r="F323" s="192"/>
      <c r="G323" s="192"/>
      <c r="H323" s="192"/>
      <c r="I323" s="192"/>
      <c r="J323" s="192"/>
    </row>
    <row r="324">
      <c r="A324" s="192"/>
      <c r="B324" s="192"/>
      <c r="C324" s="192"/>
      <c r="D324" s="192"/>
      <c r="E324" s="192"/>
      <c r="F324" s="192"/>
      <c r="G324" s="192"/>
      <c r="H324" s="192"/>
      <c r="I324" s="192"/>
      <c r="J324" s="192"/>
    </row>
    <row r="325">
      <c r="A325" s="192"/>
      <c r="B325" s="192"/>
      <c r="C325" s="192"/>
      <c r="D325" s="192"/>
      <c r="E325" s="192"/>
      <c r="F325" s="192"/>
      <c r="G325" s="192"/>
      <c r="H325" s="192"/>
      <c r="I325" s="192"/>
      <c r="J325" s="192"/>
    </row>
    <row r="326">
      <c r="A326" s="192"/>
      <c r="B326" s="192"/>
      <c r="C326" s="192"/>
      <c r="D326" s="192"/>
      <c r="E326" s="192"/>
      <c r="F326" s="192"/>
      <c r="G326" s="192"/>
      <c r="H326" s="192"/>
      <c r="I326" s="192"/>
      <c r="J326" s="192"/>
    </row>
    <row r="327">
      <c r="A327" s="192"/>
      <c r="B327" s="192"/>
      <c r="C327" s="192"/>
      <c r="D327" s="192"/>
      <c r="E327" s="192"/>
      <c r="F327" s="192"/>
      <c r="G327" s="192"/>
      <c r="H327" s="192"/>
      <c r="I327" s="192"/>
      <c r="J327" s="192"/>
    </row>
    <row r="328">
      <c r="A328" s="192"/>
      <c r="B328" s="192"/>
      <c r="C328" s="192"/>
      <c r="D328" s="192"/>
      <c r="E328" s="192"/>
      <c r="F328" s="192"/>
      <c r="G328" s="192"/>
      <c r="H328" s="192"/>
      <c r="I328" s="192"/>
      <c r="J328" s="192"/>
    </row>
    <row r="329">
      <c r="A329" s="192"/>
      <c r="B329" s="192"/>
      <c r="C329" s="192"/>
      <c r="D329" s="192"/>
      <c r="E329" s="192"/>
      <c r="F329" s="192"/>
      <c r="G329" s="192"/>
      <c r="H329" s="192"/>
      <c r="I329" s="192"/>
      <c r="J329" s="192"/>
    </row>
    <row r="330">
      <c r="A330" s="192"/>
      <c r="B330" s="192"/>
      <c r="C330" s="192"/>
      <c r="D330" s="192"/>
      <c r="E330" s="192"/>
      <c r="F330" s="192"/>
      <c r="G330" s="192"/>
      <c r="H330" s="192"/>
      <c r="I330" s="192"/>
      <c r="J330" s="192"/>
    </row>
    <row r="331">
      <c r="A331" s="192"/>
      <c r="B331" s="192"/>
      <c r="C331" s="192"/>
      <c r="D331" s="192"/>
      <c r="E331" s="192"/>
      <c r="F331" s="192"/>
      <c r="G331" s="192"/>
      <c r="H331" s="192"/>
      <c r="I331" s="192"/>
      <c r="J331" s="192"/>
    </row>
    <row r="332">
      <c r="A332" s="192"/>
      <c r="B332" s="192"/>
      <c r="C332" s="192"/>
      <c r="D332" s="192"/>
      <c r="E332" s="192"/>
      <c r="F332" s="192"/>
      <c r="G332" s="192"/>
      <c r="H332" s="192"/>
      <c r="I332" s="192"/>
      <c r="J332" s="192"/>
    </row>
    <row r="333">
      <c r="A333" s="192"/>
      <c r="B333" s="192"/>
      <c r="C333" s="192"/>
      <c r="D333" s="192"/>
      <c r="E333" s="192"/>
      <c r="F333" s="192"/>
      <c r="G333" s="192"/>
      <c r="H333" s="192"/>
      <c r="I333" s="192"/>
      <c r="J333" s="192"/>
    </row>
    <row r="334">
      <c r="A334" s="192"/>
      <c r="B334" s="192"/>
      <c r="C334" s="192"/>
      <c r="D334" s="192"/>
      <c r="E334" s="192"/>
      <c r="F334" s="192"/>
      <c r="G334" s="192"/>
      <c r="H334" s="192"/>
      <c r="I334" s="192"/>
      <c r="J334" s="192"/>
    </row>
    <row r="335">
      <c r="A335" s="192"/>
      <c r="B335" s="192"/>
      <c r="C335" s="192"/>
      <c r="D335" s="192"/>
      <c r="E335" s="192"/>
      <c r="F335" s="192"/>
      <c r="G335" s="192"/>
      <c r="H335" s="192"/>
      <c r="I335" s="192"/>
      <c r="J335" s="192"/>
    </row>
    <row r="336">
      <c r="A336" s="192"/>
      <c r="B336" s="192"/>
      <c r="C336" s="192"/>
      <c r="D336" s="192"/>
      <c r="E336" s="192"/>
      <c r="F336" s="192"/>
      <c r="G336" s="192"/>
      <c r="H336" s="192"/>
      <c r="I336" s="192"/>
      <c r="J336" s="192"/>
    </row>
    <row r="337">
      <c r="A337" s="192"/>
      <c r="B337" s="192"/>
      <c r="C337" s="192"/>
      <c r="D337" s="192"/>
      <c r="E337" s="192"/>
      <c r="F337" s="192"/>
      <c r="G337" s="192"/>
      <c r="H337" s="192"/>
      <c r="I337" s="192"/>
      <c r="J337" s="192"/>
    </row>
    <row r="338">
      <c r="A338" s="192"/>
      <c r="B338" s="192"/>
      <c r="C338" s="192"/>
      <c r="D338" s="192"/>
      <c r="E338" s="192"/>
      <c r="F338" s="192"/>
      <c r="G338" s="192"/>
      <c r="H338" s="192"/>
      <c r="I338" s="192"/>
      <c r="J338" s="192"/>
    </row>
    <row r="339">
      <c r="A339" s="192"/>
      <c r="B339" s="192"/>
      <c r="C339" s="192"/>
      <c r="D339" s="192"/>
      <c r="E339" s="192"/>
      <c r="F339" s="192"/>
      <c r="G339" s="192"/>
      <c r="H339" s="192"/>
      <c r="I339" s="192"/>
      <c r="J339" s="192"/>
    </row>
    <row r="340">
      <c r="A340" s="192"/>
      <c r="B340" s="192"/>
      <c r="C340" s="192"/>
      <c r="D340" s="192"/>
      <c r="E340" s="192"/>
      <c r="F340" s="192"/>
      <c r="G340" s="192"/>
      <c r="H340" s="192"/>
      <c r="I340" s="192"/>
      <c r="J340" s="192"/>
    </row>
    <row r="341">
      <c r="A341" s="192"/>
      <c r="B341" s="192"/>
      <c r="C341" s="192"/>
      <c r="D341" s="192"/>
      <c r="E341" s="192"/>
      <c r="F341" s="192"/>
      <c r="G341" s="192"/>
      <c r="H341" s="192"/>
      <c r="I341" s="192"/>
      <c r="J341" s="192"/>
    </row>
    <row r="342">
      <c r="A342" s="192"/>
      <c r="B342" s="192"/>
      <c r="C342" s="192"/>
      <c r="D342" s="192"/>
      <c r="E342" s="192"/>
      <c r="F342" s="192"/>
      <c r="G342" s="192"/>
      <c r="H342" s="192"/>
      <c r="I342" s="192"/>
      <c r="J342" s="192"/>
    </row>
    <row r="343">
      <c r="A343" s="192"/>
      <c r="B343" s="192"/>
      <c r="C343" s="192"/>
      <c r="D343" s="192"/>
      <c r="E343" s="192"/>
      <c r="F343" s="192"/>
      <c r="G343" s="192"/>
      <c r="H343" s="192"/>
      <c r="I343" s="192"/>
      <c r="J343" s="192"/>
    </row>
    <row r="344">
      <c r="A344" s="192"/>
      <c r="B344" s="192"/>
      <c r="C344" s="192"/>
      <c r="D344" s="192"/>
      <c r="E344" s="192"/>
      <c r="F344" s="192"/>
      <c r="G344" s="192"/>
      <c r="H344" s="192"/>
      <c r="I344" s="192"/>
      <c r="J344" s="192"/>
    </row>
    <row r="345">
      <c r="A345" s="192"/>
      <c r="B345" s="192"/>
      <c r="C345" s="192"/>
      <c r="D345" s="192"/>
      <c r="E345" s="192"/>
      <c r="F345" s="192"/>
      <c r="G345" s="192"/>
      <c r="H345" s="192"/>
      <c r="I345" s="192"/>
      <c r="J345" s="192"/>
    </row>
    <row r="346">
      <c r="A346" s="192"/>
      <c r="B346" s="192"/>
      <c r="C346" s="192"/>
      <c r="D346" s="192"/>
      <c r="E346" s="192"/>
      <c r="F346" s="192"/>
      <c r="G346" s="192"/>
      <c r="H346" s="192"/>
      <c r="I346" s="192"/>
      <c r="J346" s="192"/>
    </row>
    <row r="347">
      <c r="A347" s="192"/>
      <c r="B347" s="192"/>
      <c r="C347" s="192"/>
      <c r="D347" s="192"/>
      <c r="E347" s="192"/>
      <c r="F347" s="192"/>
      <c r="G347" s="192"/>
      <c r="H347" s="192"/>
      <c r="I347" s="192"/>
      <c r="J347" s="192"/>
    </row>
    <row r="348">
      <c r="A348" s="192"/>
      <c r="B348" s="192"/>
      <c r="C348" s="192"/>
      <c r="D348" s="192"/>
      <c r="E348" s="192"/>
      <c r="F348" s="192"/>
      <c r="G348" s="192"/>
      <c r="H348" s="192"/>
      <c r="I348" s="192"/>
      <c r="J348" s="192"/>
    </row>
    <row r="349">
      <c r="A349" s="192"/>
      <c r="B349" s="192"/>
      <c r="C349" s="192"/>
      <c r="D349" s="192"/>
      <c r="E349" s="192"/>
      <c r="F349" s="192"/>
      <c r="G349" s="192"/>
      <c r="H349" s="192"/>
      <c r="I349" s="192"/>
      <c r="J349" s="192"/>
    </row>
    <row r="350">
      <c r="A350" s="192"/>
      <c r="B350" s="192"/>
      <c r="C350" s="192"/>
      <c r="D350" s="192"/>
      <c r="E350" s="192"/>
      <c r="F350" s="192"/>
      <c r="G350" s="192"/>
      <c r="H350" s="192"/>
      <c r="I350" s="192"/>
      <c r="J350" s="192"/>
    </row>
    <row r="351">
      <c r="A351" s="192"/>
      <c r="B351" s="192"/>
      <c r="C351" s="192"/>
      <c r="D351" s="192"/>
      <c r="E351" s="192"/>
      <c r="F351" s="192"/>
      <c r="G351" s="192"/>
      <c r="H351" s="192"/>
      <c r="I351" s="192"/>
      <c r="J351" s="192"/>
    </row>
    <row r="352">
      <c r="A352" s="192"/>
      <c r="B352" s="192"/>
      <c r="C352" s="192"/>
      <c r="D352" s="192"/>
      <c r="E352" s="192"/>
      <c r="F352" s="192"/>
      <c r="G352" s="192"/>
      <c r="H352" s="192"/>
      <c r="I352" s="192"/>
      <c r="J352" s="192"/>
    </row>
    <row r="353">
      <c r="A353" s="192"/>
      <c r="B353" s="192"/>
      <c r="C353" s="192"/>
      <c r="D353" s="192"/>
      <c r="E353" s="192"/>
      <c r="F353" s="192"/>
      <c r="G353" s="192"/>
      <c r="H353" s="192"/>
      <c r="I353" s="192"/>
      <c r="J353" s="192"/>
    </row>
    <row r="354">
      <c r="A354" s="192"/>
      <c r="B354" s="192"/>
      <c r="C354" s="192"/>
      <c r="D354" s="192"/>
      <c r="E354" s="192"/>
      <c r="F354" s="192"/>
      <c r="G354" s="192"/>
      <c r="H354" s="192"/>
      <c r="I354" s="192"/>
      <c r="J354" s="192"/>
    </row>
    <row r="355">
      <c r="A355" s="192"/>
      <c r="B355" s="192"/>
      <c r="C355" s="192"/>
      <c r="D355" s="192"/>
      <c r="E355" s="192"/>
      <c r="F355" s="192"/>
      <c r="G355" s="192"/>
      <c r="H355" s="192"/>
      <c r="I355" s="192"/>
      <c r="J355" s="192"/>
    </row>
    <row r="356">
      <c r="A356" s="192"/>
      <c r="B356" s="192"/>
      <c r="C356" s="192"/>
      <c r="D356" s="192"/>
      <c r="E356" s="192"/>
      <c r="F356" s="192"/>
      <c r="G356" s="192"/>
      <c r="H356" s="192"/>
      <c r="I356" s="192"/>
      <c r="J356" s="192"/>
    </row>
    <row r="357">
      <c r="A357" s="192"/>
      <c r="B357" s="192"/>
      <c r="C357" s="192"/>
      <c r="D357" s="192"/>
      <c r="E357" s="192"/>
      <c r="F357" s="192"/>
      <c r="G357" s="192"/>
      <c r="H357" s="192"/>
      <c r="I357" s="192"/>
      <c r="J357" s="192"/>
    </row>
    <row r="358">
      <c r="A358" s="192"/>
      <c r="B358" s="192"/>
      <c r="C358" s="192"/>
      <c r="D358" s="192"/>
      <c r="E358" s="192"/>
      <c r="F358" s="192"/>
      <c r="G358" s="192"/>
      <c r="H358" s="192"/>
      <c r="I358" s="192"/>
      <c r="J358" s="192"/>
    </row>
    <row r="359">
      <c r="A359" s="192"/>
      <c r="B359" s="192"/>
      <c r="C359" s="192"/>
      <c r="D359" s="192"/>
      <c r="E359" s="192"/>
      <c r="F359" s="192"/>
      <c r="G359" s="192"/>
      <c r="H359" s="192"/>
      <c r="I359" s="192"/>
      <c r="J359" s="192"/>
    </row>
    <row r="360">
      <c r="A360" s="192"/>
      <c r="B360" s="192"/>
      <c r="C360" s="192"/>
      <c r="D360" s="192"/>
      <c r="E360" s="192"/>
      <c r="F360" s="192"/>
      <c r="G360" s="192"/>
      <c r="H360" s="192"/>
      <c r="I360" s="192"/>
      <c r="J360" s="192"/>
    </row>
    <row r="361">
      <c r="A361" s="192"/>
      <c r="B361" s="192"/>
      <c r="C361" s="192"/>
      <c r="D361" s="192"/>
      <c r="E361" s="192"/>
      <c r="F361" s="192"/>
      <c r="G361" s="192"/>
      <c r="H361" s="192"/>
      <c r="I361" s="192"/>
      <c r="J361" s="192"/>
    </row>
    <row r="362">
      <c r="A362" s="192"/>
      <c r="B362" s="192"/>
      <c r="C362" s="192"/>
      <c r="D362" s="192"/>
      <c r="E362" s="192"/>
      <c r="F362" s="192"/>
      <c r="G362" s="192"/>
      <c r="H362" s="192"/>
      <c r="I362" s="192"/>
      <c r="J362" s="192"/>
    </row>
    <row r="363">
      <c r="A363" s="192"/>
      <c r="B363" s="192"/>
      <c r="C363" s="192"/>
      <c r="D363" s="192"/>
      <c r="E363" s="192"/>
      <c r="F363" s="192"/>
      <c r="G363" s="192"/>
      <c r="H363" s="192"/>
      <c r="I363" s="192"/>
      <c r="J363" s="192"/>
    </row>
    <row r="364">
      <c r="A364" s="192"/>
      <c r="B364" s="192"/>
      <c r="C364" s="192"/>
      <c r="D364" s="192"/>
      <c r="E364" s="192"/>
      <c r="F364" s="192"/>
      <c r="G364" s="192"/>
      <c r="H364" s="192"/>
      <c r="I364" s="192"/>
      <c r="J364" s="192"/>
    </row>
    <row r="365">
      <c r="A365" s="192"/>
      <c r="B365" s="192"/>
      <c r="C365" s="192"/>
      <c r="D365" s="192"/>
      <c r="E365" s="192"/>
      <c r="F365" s="192"/>
      <c r="G365" s="192"/>
      <c r="H365" s="192"/>
      <c r="I365" s="192"/>
      <c r="J365" s="192"/>
    </row>
    <row r="366">
      <c r="A366" s="192"/>
      <c r="B366" s="192"/>
      <c r="C366" s="192"/>
      <c r="D366" s="192"/>
      <c r="E366" s="192"/>
      <c r="F366" s="192"/>
      <c r="G366" s="192"/>
      <c r="H366" s="192"/>
      <c r="I366" s="192"/>
      <c r="J366" s="192"/>
    </row>
    <row r="367">
      <c r="A367" s="192"/>
      <c r="B367" s="192"/>
      <c r="C367" s="192"/>
      <c r="D367" s="192"/>
      <c r="E367" s="192"/>
      <c r="F367" s="192"/>
      <c r="G367" s="192"/>
      <c r="H367" s="192"/>
      <c r="I367" s="192"/>
      <c r="J367" s="192"/>
    </row>
    <row r="368">
      <c r="A368" s="192"/>
      <c r="B368" s="192"/>
      <c r="C368" s="192"/>
      <c r="D368" s="192"/>
      <c r="E368" s="192"/>
      <c r="F368" s="192"/>
      <c r="G368" s="192"/>
      <c r="H368" s="192"/>
      <c r="I368" s="192"/>
      <c r="J368" s="192"/>
    </row>
    <row r="369">
      <c r="A369" s="192"/>
      <c r="B369" s="192"/>
      <c r="C369" s="192"/>
      <c r="D369" s="192"/>
      <c r="E369" s="192"/>
      <c r="F369" s="192"/>
      <c r="G369" s="192"/>
      <c r="H369" s="192"/>
      <c r="I369" s="192"/>
      <c r="J369" s="192"/>
    </row>
    <row r="370">
      <c r="A370" s="192"/>
      <c r="B370" s="192"/>
      <c r="C370" s="192"/>
      <c r="D370" s="192"/>
      <c r="E370" s="192"/>
      <c r="F370" s="192"/>
      <c r="G370" s="192"/>
      <c r="H370" s="192"/>
      <c r="I370" s="192"/>
      <c r="J370" s="192"/>
    </row>
    <row r="371">
      <c r="A371" s="192"/>
      <c r="B371" s="192"/>
      <c r="C371" s="192"/>
      <c r="D371" s="192"/>
      <c r="E371" s="192"/>
      <c r="F371" s="192"/>
      <c r="G371" s="192"/>
      <c r="H371" s="192"/>
      <c r="I371" s="192"/>
      <c r="J371" s="192"/>
    </row>
    <row r="372">
      <c r="A372" s="192"/>
      <c r="B372" s="192"/>
      <c r="C372" s="192"/>
      <c r="D372" s="192"/>
      <c r="E372" s="192"/>
      <c r="F372" s="192"/>
      <c r="G372" s="192"/>
      <c r="H372" s="192"/>
      <c r="I372" s="192"/>
      <c r="J372" s="192"/>
    </row>
    <row r="373">
      <c r="A373" s="192"/>
      <c r="B373" s="192"/>
      <c r="C373" s="192"/>
      <c r="D373" s="192"/>
      <c r="E373" s="192"/>
      <c r="F373" s="192"/>
      <c r="G373" s="192"/>
      <c r="H373" s="192"/>
      <c r="I373" s="192"/>
      <c r="J373" s="192"/>
    </row>
    <row r="374">
      <c r="A374" s="192"/>
      <c r="B374" s="192"/>
      <c r="C374" s="192"/>
      <c r="D374" s="192"/>
      <c r="E374" s="192"/>
      <c r="F374" s="192"/>
      <c r="G374" s="192"/>
      <c r="H374" s="192"/>
      <c r="I374" s="192"/>
      <c r="J374" s="192"/>
    </row>
    <row r="375">
      <c r="A375" s="192"/>
      <c r="B375" s="192"/>
      <c r="C375" s="192"/>
      <c r="D375" s="192"/>
      <c r="E375" s="192"/>
      <c r="F375" s="192"/>
      <c r="G375" s="192"/>
      <c r="H375" s="192"/>
      <c r="I375" s="192"/>
      <c r="J375" s="192"/>
    </row>
    <row r="376">
      <c r="A376" s="192"/>
      <c r="B376" s="192"/>
      <c r="C376" s="192"/>
      <c r="D376" s="192"/>
      <c r="E376" s="192"/>
      <c r="F376" s="192"/>
      <c r="G376" s="192"/>
      <c r="H376" s="192"/>
      <c r="I376" s="192"/>
      <c r="J376" s="192"/>
    </row>
    <row r="377">
      <c r="A377" s="192"/>
      <c r="B377" s="192"/>
      <c r="C377" s="192"/>
      <c r="D377" s="192"/>
      <c r="E377" s="192"/>
      <c r="F377" s="192"/>
      <c r="G377" s="192"/>
      <c r="H377" s="192"/>
      <c r="I377" s="192"/>
      <c r="J377" s="192"/>
    </row>
    <row r="378">
      <c r="A378" s="192"/>
      <c r="B378" s="192"/>
      <c r="C378" s="192"/>
      <c r="D378" s="192"/>
      <c r="E378" s="192"/>
      <c r="F378" s="192"/>
      <c r="G378" s="192"/>
      <c r="H378" s="192"/>
      <c r="I378" s="192"/>
      <c r="J378" s="192"/>
    </row>
    <row r="379">
      <c r="A379" s="192"/>
      <c r="B379" s="192"/>
      <c r="C379" s="192"/>
      <c r="D379" s="192"/>
      <c r="E379" s="192"/>
      <c r="F379" s="192"/>
      <c r="G379" s="192"/>
      <c r="H379" s="192"/>
      <c r="I379" s="192"/>
      <c r="J379" s="192"/>
    </row>
    <row r="380">
      <c r="A380" s="192"/>
      <c r="B380" s="192"/>
      <c r="C380" s="192"/>
      <c r="D380" s="192"/>
      <c r="E380" s="192"/>
      <c r="F380" s="192"/>
      <c r="G380" s="192"/>
      <c r="H380" s="192"/>
      <c r="I380" s="192"/>
      <c r="J380" s="192"/>
    </row>
    <row r="381">
      <c r="A381" s="192"/>
      <c r="B381" s="192"/>
      <c r="C381" s="192"/>
      <c r="D381" s="192"/>
      <c r="E381" s="192"/>
      <c r="F381" s="192"/>
      <c r="G381" s="192"/>
      <c r="H381" s="192"/>
      <c r="I381" s="192"/>
      <c r="J381" s="192"/>
    </row>
    <row r="382">
      <c r="A382" s="192"/>
      <c r="B382" s="192"/>
      <c r="C382" s="192"/>
      <c r="D382" s="192"/>
      <c r="E382" s="192"/>
      <c r="F382" s="192"/>
      <c r="G382" s="192"/>
      <c r="H382" s="192"/>
      <c r="I382" s="192"/>
      <c r="J382" s="192"/>
    </row>
    <row r="383">
      <c r="A383" s="192"/>
      <c r="B383" s="192"/>
      <c r="C383" s="192"/>
      <c r="D383" s="192"/>
      <c r="E383" s="192"/>
      <c r="F383" s="192"/>
      <c r="G383" s="192"/>
      <c r="H383" s="192"/>
      <c r="I383" s="192"/>
      <c r="J383" s="192"/>
    </row>
    <row r="384">
      <c r="A384" s="192"/>
      <c r="B384" s="192"/>
      <c r="C384" s="192"/>
      <c r="D384" s="192"/>
      <c r="E384" s="192"/>
      <c r="F384" s="192"/>
      <c r="G384" s="192"/>
      <c r="H384" s="192"/>
      <c r="I384" s="192"/>
      <c r="J384" s="192"/>
    </row>
    <row r="385">
      <c r="A385" s="192"/>
      <c r="B385" s="192"/>
      <c r="C385" s="192"/>
      <c r="D385" s="192"/>
      <c r="E385" s="192"/>
      <c r="F385" s="192"/>
      <c r="G385" s="192"/>
      <c r="H385" s="192"/>
      <c r="I385" s="192"/>
      <c r="J385" s="192"/>
    </row>
    <row r="386">
      <c r="A386" s="192"/>
      <c r="B386" s="192"/>
      <c r="C386" s="192"/>
      <c r="D386" s="192"/>
      <c r="E386" s="192"/>
      <c r="F386" s="192"/>
      <c r="G386" s="192"/>
      <c r="H386" s="192"/>
      <c r="I386" s="192"/>
      <c r="J386" s="192"/>
    </row>
    <row r="387">
      <c r="A387" s="192"/>
      <c r="B387" s="192"/>
      <c r="C387" s="192"/>
      <c r="D387" s="192"/>
      <c r="E387" s="192"/>
      <c r="F387" s="192"/>
      <c r="G387" s="192"/>
      <c r="H387" s="192"/>
      <c r="I387" s="192"/>
      <c r="J387" s="192"/>
    </row>
    <row r="388">
      <c r="A388" s="192"/>
      <c r="B388" s="192"/>
      <c r="C388" s="192"/>
      <c r="D388" s="192"/>
      <c r="E388" s="192"/>
      <c r="F388" s="192"/>
      <c r="G388" s="192"/>
      <c r="H388" s="192"/>
      <c r="I388" s="192"/>
      <c r="J388" s="192"/>
    </row>
    <row r="389">
      <c r="A389" s="192"/>
      <c r="B389" s="192"/>
      <c r="C389" s="192"/>
      <c r="D389" s="192"/>
      <c r="E389" s="192"/>
      <c r="F389" s="192"/>
      <c r="G389" s="192"/>
      <c r="H389" s="192"/>
      <c r="I389" s="192"/>
      <c r="J389" s="192"/>
    </row>
    <row r="390">
      <c r="A390" s="192"/>
      <c r="B390" s="192"/>
      <c r="C390" s="192"/>
      <c r="D390" s="192"/>
      <c r="E390" s="192"/>
      <c r="F390" s="192"/>
      <c r="G390" s="192"/>
      <c r="H390" s="192"/>
      <c r="I390" s="192"/>
      <c r="J390" s="192"/>
    </row>
    <row r="391">
      <c r="A391" s="192"/>
      <c r="B391" s="192"/>
      <c r="C391" s="192"/>
      <c r="D391" s="192"/>
      <c r="E391" s="192"/>
      <c r="F391" s="192"/>
      <c r="G391" s="192"/>
      <c r="H391" s="192"/>
      <c r="I391" s="192"/>
      <c r="J391" s="192"/>
    </row>
    <row r="392">
      <c r="A392" s="192"/>
      <c r="B392" s="192"/>
      <c r="C392" s="192"/>
      <c r="D392" s="192"/>
      <c r="E392" s="192"/>
      <c r="F392" s="192"/>
      <c r="G392" s="192"/>
      <c r="H392" s="192"/>
      <c r="I392" s="192"/>
      <c r="J392" s="192"/>
    </row>
    <row r="393">
      <c r="A393" s="192"/>
      <c r="B393" s="192"/>
      <c r="C393" s="192"/>
      <c r="D393" s="192"/>
      <c r="E393" s="192"/>
      <c r="F393" s="192"/>
      <c r="G393" s="192"/>
      <c r="H393" s="192"/>
      <c r="I393" s="192"/>
      <c r="J393" s="192"/>
    </row>
    <row r="394">
      <c r="A394" s="192"/>
      <c r="B394" s="192"/>
      <c r="C394" s="192"/>
      <c r="D394" s="192"/>
      <c r="E394" s="192"/>
      <c r="F394" s="192"/>
      <c r="G394" s="192"/>
      <c r="H394" s="192"/>
      <c r="I394" s="192"/>
      <c r="J394" s="192"/>
    </row>
    <row r="395">
      <c r="A395" s="192"/>
      <c r="B395" s="192"/>
      <c r="C395" s="192"/>
      <c r="D395" s="192"/>
      <c r="E395" s="192"/>
      <c r="F395" s="192"/>
      <c r="G395" s="192"/>
      <c r="H395" s="192"/>
      <c r="I395" s="192"/>
      <c r="J395" s="192"/>
    </row>
    <row r="396">
      <c r="A396" s="192"/>
      <c r="B396" s="192"/>
      <c r="C396" s="192"/>
      <c r="D396" s="192"/>
      <c r="E396" s="192"/>
      <c r="F396" s="192"/>
      <c r="G396" s="192"/>
      <c r="H396" s="192"/>
      <c r="I396" s="192"/>
      <c r="J396" s="192"/>
    </row>
    <row r="397">
      <c r="A397" s="192"/>
      <c r="B397" s="192"/>
      <c r="C397" s="192"/>
      <c r="D397" s="192"/>
      <c r="E397" s="192"/>
      <c r="F397" s="192"/>
      <c r="G397" s="192"/>
      <c r="H397" s="192"/>
      <c r="I397" s="192"/>
      <c r="J397" s="192"/>
    </row>
    <row r="398">
      <c r="A398" s="192"/>
      <c r="B398" s="192"/>
      <c r="C398" s="192"/>
      <c r="D398" s="192"/>
      <c r="E398" s="192"/>
      <c r="F398" s="192"/>
      <c r="G398" s="192"/>
      <c r="H398" s="192"/>
      <c r="I398" s="192"/>
      <c r="J398" s="192"/>
    </row>
    <row r="399">
      <c r="A399" s="192"/>
      <c r="B399" s="192"/>
      <c r="C399" s="192"/>
      <c r="D399" s="192"/>
      <c r="E399" s="192"/>
      <c r="F399" s="192"/>
      <c r="G399" s="192"/>
      <c r="H399" s="192"/>
      <c r="I399" s="192"/>
      <c r="J399" s="192"/>
    </row>
    <row r="400">
      <c r="A400" s="192"/>
      <c r="B400" s="192"/>
      <c r="C400" s="192"/>
      <c r="D400" s="192"/>
      <c r="E400" s="192"/>
      <c r="F400" s="192"/>
      <c r="G400" s="192"/>
      <c r="H400" s="192"/>
      <c r="I400" s="192"/>
      <c r="J400" s="192"/>
    </row>
    <row r="401">
      <c r="A401" s="192"/>
      <c r="B401" s="192"/>
      <c r="C401" s="192"/>
      <c r="D401" s="192"/>
      <c r="E401" s="192"/>
      <c r="F401" s="192"/>
      <c r="G401" s="192"/>
      <c r="H401" s="192"/>
      <c r="I401" s="192"/>
      <c r="J401" s="192"/>
    </row>
    <row r="402">
      <c r="A402" s="192"/>
      <c r="B402" s="192"/>
      <c r="C402" s="192"/>
      <c r="D402" s="192"/>
      <c r="E402" s="192"/>
      <c r="F402" s="192"/>
      <c r="G402" s="192"/>
      <c r="H402" s="192"/>
      <c r="I402" s="192"/>
      <c r="J402" s="192"/>
    </row>
    <row r="403">
      <c r="A403" s="192"/>
      <c r="B403" s="192"/>
      <c r="C403" s="192"/>
      <c r="D403" s="192"/>
      <c r="E403" s="192"/>
      <c r="F403" s="192"/>
      <c r="G403" s="192"/>
      <c r="H403" s="192"/>
      <c r="I403" s="192"/>
      <c r="J403" s="192"/>
    </row>
    <row r="404">
      <c r="A404" s="192"/>
      <c r="B404" s="192"/>
      <c r="C404" s="192"/>
      <c r="D404" s="192"/>
      <c r="E404" s="192"/>
      <c r="F404" s="192"/>
      <c r="G404" s="192"/>
      <c r="H404" s="192"/>
      <c r="I404" s="192"/>
      <c r="J404" s="192"/>
    </row>
    <row r="405">
      <c r="A405" s="192"/>
      <c r="B405" s="192"/>
      <c r="C405" s="192"/>
      <c r="D405" s="192"/>
      <c r="E405" s="192"/>
      <c r="F405" s="192"/>
      <c r="G405" s="192"/>
      <c r="H405" s="192"/>
      <c r="I405" s="192"/>
      <c r="J405" s="192"/>
    </row>
    <row r="406">
      <c r="A406" s="192"/>
      <c r="B406" s="192"/>
      <c r="C406" s="192"/>
      <c r="D406" s="192"/>
      <c r="E406" s="192"/>
      <c r="F406" s="192"/>
      <c r="G406" s="192"/>
      <c r="H406" s="192"/>
      <c r="I406" s="192"/>
      <c r="J406" s="192"/>
    </row>
    <row r="407">
      <c r="A407" s="192"/>
      <c r="B407" s="192"/>
      <c r="C407" s="192"/>
      <c r="D407" s="192"/>
      <c r="E407" s="192"/>
      <c r="F407" s="192"/>
      <c r="G407" s="192"/>
      <c r="H407" s="192"/>
      <c r="I407" s="192"/>
      <c r="J407" s="192"/>
    </row>
    <row r="408">
      <c r="A408" s="192"/>
      <c r="B408" s="192"/>
      <c r="C408" s="192"/>
      <c r="D408" s="192"/>
      <c r="E408" s="192"/>
      <c r="F408" s="192"/>
      <c r="G408" s="192"/>
      <c r="H408" s="192"/>
      <c r="I408" s="192"/>
      <c r="J408" s="192"/>
    </row>
    <row r="409">
      <c r="A409" s="192"/>
      <c r="B409" s="192"/>
      <c r="C409" s="192"/>
      <c r="D409" s="192"/>
      <c r="E409" s="192"/>
      <c r="F409" s="192"/>
      <c r="G409" s="192"/>
      <c r="H409" s="192"/>
      <c r="I409" s="192"/>
      <c r="J409" s="192"/>
    </row>
    <row r="410">
      <c r="A410" s="192"/>
      <c r="B410" s="192"/>
      <c r="C410" s="192"/>
      <c r="D410" s="192"/>
      <c r="E410" s="192"/>
      <c r="F410" s="192"/>
      <c r="G410" s="192"/>
      <c r="H410" s="192"/>
      <c r="I410" s="192"/>
      <c r="J410" s="192"/>
    </row>
    <row r="411">
      <c r="A411" s="192"/>
      <c r="B411" s="192"/>
      <c r="C411" s="192"/>
      <c r="D411" s="192"/>
      <c r="E411" s="192"/>
      <c r="F411" s="192"/>
      <c r="G411" s="192"/>
      <c r="H411" s="192"/>
      <c r="I411" s="192"/>
      <c r="J411" s="192"/>
    </row>
    <row r="412">
      <c r="A412" s="192"/>
      <c r="B412" s="192"/>
      <c r="C412" s="192"/>
      <c r="D412" s="192"/>
      <c r="E412" s="192"/>
      <c r="F412" s="192"/>
      <c r="G412" s="192"/>
      <c r="H412" s="192"/>
      <c r="I412" s="192"/>
      <c r="J412" s="192"/>
    </row>
    <row r="413">
      <c r="A413" s="192"/>
      <c r="B413" s="192"/>
      <c r="C413" s="192"/>
      <c r="D413" s="192"/>
      <c r="E413" s="192"/>
      <c r="F413" s="192"/>
      <c r="G413" s="192"/>
      <c r="H413" s="192"/>
      <c r="I413" s="192"/>
      <c r="J413" s="192"/>
    </row>
    <row r="414">
      <c r="A414" s="192"/>
      <c r="B414" s="192"/>
      <c r="C414" s="192"/>
      <c r="D414" s="192"/>
      <c r="E414" s="192"/>
      <c r="F414" s="192"/>
      <c r="G414" s="192"/>
      <c r="H414" s="192"/>
      <c r="I414" s="192"/>
      <c r="J414" s="192"/>
    </row>
    <row r="415">
      <c r="A415" s="192"/>
      <c r="B415" s="192"/>
      <c r="C415" s="192"/>
      <c r="D415" s="192"/>
      <c r="E415" s="192"/>
      <c r="F415" s="192"/>
      <c r="G415" s="192"/>
      <c r="H415" s="192"/>
      <c r="I415" s="192"/>
      <c r="J415" s="192"/>
    </row>
    <row r="416">
      <c r="A416" s="192"/>
      <c r="B416" s="192"/>
      <c r="C416" s="192"/>
      <c r="D416" s="192"/>
      <c r="E416" s="192"/>
      <c r="F416" s="192"/>
      <c r="G416" s="192"/>
      <c r="H416" s="192"/>
      <c r="I416" s="192"/>
      <c r="J416" s="192"/>
    </row>
    <row r="417">
      <c r="A417" s="192"/>
      <c r="B417" s="192"/>
      <c r="C417" s="192"/>
      <c r="D417" s="192"/>
      <c r="E417" s="192"/>
      <c r="F417" s="192"/>
      <c r="G417" s="192"/>
      <c r="H417" s="192"/>
      <c r="I417" s="192"/>
      <c r="J417" s="192"/>
    </row>
    <row r="418">
      <c r="A418" s="192"/>
      <c r="B418" s="192"/>
      <c r="C418" s="192"/>
      <c r="D418" s="192"/>
      <c r="E418" s="192"/>
      <c r="F418" s="192"/>
      <c r="G418" s="192"/>
      <c r="H418" s="192"/>
      <c r="I418" s="192"/>
      <c r="J418" s="192"/>
    </row>
    <row r="419">
      <c r="A419" s="192"/>
      <c r="B419" s="192"/>
      <c r="C419" s="192"/>
      <c r="D419" s="192"/>
      <c r="E419" s="192"/>
      <c r="F419" s="192"/>
      <c r="G419" s="192"/>
      <c r="H419" s="192"/>
      <c r="I419" s="192"/>
      <c r="J419" s="192"/>
    </row>
    <row r="420">
      <c r="A420" s="192"/>
      <c r="B420" s="192"/>
      <c r="C420" s="192"/>
      <c r="D420" s="192"/>
      <c r="E420" s="192"/>
      <c r="F420" s="192"/>
      <c r="G420" s="192"/>
      <c r="H420" s="192"/>
      <c r="I420" s="192"/>
      <c r="J420" s="192"/>
    </row>
    <row r="421">
      <c r="A421" s="192"/>
      <c r="B421" s="192"/>
      <c r="C421" s="192"/>
      <c r="D421" s="192"/>
      <c r="E421" s="192"/>
      <c r="F421" s="192"/>
      <c r="G421" s="192"/>
      <c r="H421" s="192"/>
      <c r="I421" s="192"/>
      <c r="J421" s="192"/>
    </row>
    <row r="422">
      <c r="A422" s="192"/>
      <c r="B422" s="192"/>
      <c r="C422" s="192"/>
      <c r="D422" s="192"/>
      <c r="E422" s="192"/>
      <c r="F422" s="192"/>
      <c r="G422" s="192"/>
      <c r="H422" s="192"/>
      <c r="I422" s="192"/>
      <c r="J422" s="192"/>
    </row>
    <row r="423">
      <c r="A423" s="192"/>
      <c r="B423" s="192"/>
      <c r="C423" s="192"/>
      <c r="D423" s="192"/>
      <c r="E423" s="192"/>
      <c r="F423" s="192"/>
      <c r="G423" s="192"/>
      <c r="H423" s="192"/>
      <c r="I423" s="192"/>
      <c r="J423" s="192"/>
    </row>
    <row r="424">
      <c r="A424" s="192"/>
      <c r="B424" s="192"/>
      <c r="C424" s="192"/>
      <c r="D424" s="192"/>
      <c r="E424" s="192"/>
      <c r="F424" s="192"/>
      <c r="G424" s="192"/>
      <c r="H424" s="192"/>
      <c r="I424" s="192"/>
      <c r="J424" s="192"/>
    </row>
    <row r="425">
      <c r="A425" s="192"/>
      <c r="B425" s="192"/>
      <c r="C425" s="192"/>
      <c r="D425" s="192"/>
      <c r="E425" s="192"/>
      <c r="F425" s="192"/>
      <c r="G425" s="192"/>
      <c r="H425" s="192"/>
      <c r="I425" s="192"/>
      <c r="J425" s="192"/>
    </row>
    <row r="426">
      <c r="A426" s="192"/>
      <c r="B426" s="192"/>
      <c r="C426" s="192"/>
      <c r="D426" s="192"/>
      <c r="E426" s="192"/>
      <c r="F426" s="192"/>
      <c r="G426" s="192"/>
      <c r="H426" s="192"/>
      <c r="I426" s="192"/>
      <c r="J426" s="192"/>
    </row>
    <row r="427">
      <c r="A427" s="192"/>
      <c r="B427" s="192"/>
      <c r="C427" s="192"/>
      <c r="D427" s="192"/>
      <c r="E427" s="192"/>
      <c r="F427" s="192"/>
      <c r="G427" s="192"/>
      <c r="H427" s="192"/>
      <c r="I427" s="192"/>
      <c r="J427" s="192"/>
    </row>
    <row r="428">
      <c r="A428" s="192"/>
      <c r="B428" s="192"/>
      <c r="C428" s="192"/>
      <c r="D428" s="192"/>
      <c r="E428" s="192"/>
      <c r="F428" s="192"/>
      <c r="G428" s="192"/>
      <c r="H428" s="192"/>
      <c r="I428" s="192"/>
      <c r="J428" s="192"/>
    </row>
    <row r="429">
      <c r="A429" s="192"/>
      <c r="B429" s="192"/>
      <c r="C429" s="192"/>
      <c r="D429" s="192"/>
      <c r="E429" s="192"/>
      <c r="F429" s="192"/>
      <c r="G429" s="192"/>
      <c r="H429" s="192"/>
      <c r="I429" s="192"/>
      <c r="J429" s="192"/>
    </row>
    <row r="430">
      <c r="A430" s="192"/>
      <c r="B430" s="192"/>
      <c r="C430" s="192"/>
      <c r="D430" s="192"/>
      <c r="E430" s="192"/>
      <c r="F430" s="192"/>
      <c r="G430" s="192"/>
      <c r="H430" s="192"/>
      <c r="I430" s="192"/>
      <c r="J430" s="192"/>
    </row>
    <row r="431">
      <c r="A431" s="192"/>
      <c r="B431" s="192"/>
      <c r="C431" s="192"/>
      <c r="D431" s="192"/>
      <c r="E431" s="192"/>
      <c r="F431" s="192"/>
      <c r="G431" s="192"/>
      <c r="H431" s="192"/>
      <c r="I431" s="192"/>
      <c r="J431" s="192"/>
    </row>
    <row r="432">
      <c r="A432" s="192"/>
      <c r="B432" s="192"/>
      <c r="C432" s="192"/>
      <c r="D432" s="192"/>
      <c r="E432" s="192"/>
      <c r="F432" s="192"/>
      <c r="G432" s="192"/>
      <c r="H432" s="192"/>
      <c r="I432" s="192"/>
      <c r="J432" s="192"/>
    </row>
    <row r="433">
      <c r="A433" s="192"/>
      <c r="B433" s="192"/>
      <c r="C433" s="192"/>
      <c r="D433" s="192"/>
      <c r="E433" s="192"/>
      <c r="F433" s="192"/>
      <c r="G433" s="192"/>
      <c r="H433" s="192"/>
      <c r="I433" s="192"/>
      <c r="J433" s="192"/>
    </row>
    <row r="434">
      <c r="A434" s="192"/>
      <c r="B434" s="192"/>
      <c r="C434" s="192"/>
      <c r="D434" s="192"/>
      <c r="E434" s="192"/>
      <c r="F434" s="192"/>
      <c r="G434" s="192"/>
      <c r="H434" s="192"/>
      <c r="I434" s="192"/>
      <c r="J434" s="192"/>
    </row>
    <row r="435">
      <c r="A435" s="192"/>
      <c r="B435" s="192"/>
      <c r="C435" s="192"/>
      <c r="D435" s="192"/>
      <c r="E435" s="192"/>
      <c r="F435" s="192"/>
      <c r="G435" s="192"/>
      <c r="H435" s="192"/>
      <c r="I435" s="192"/>
      <c r="J435" s="192"/>
    </row>
    <row r="436">
      <c r="A436" s="192"/>
      <c r="B436" s="192"/>
      <c r="C436" s="192"/>
      <c r="D436" s="192"/>
      <c r="E436" s="192"/>
      <c r="F436" s="192"/>
      <c r="G436" s="192"/>
      <c r="H436" s="192"/>
      <c r="I436" s="192"/>
      <c r="J436" s="192"/>
    </row>
    <row r="437">
      <c r="A437" s="192"/>
      <c r="B437" s="192"/>
      <c r="C437" s="192"/>
      <c r="D437" s="192"/>
      <c r="E437" s="192"/>
      <c r="F437" s="192"/>
      <c r="G437" s="192"/>
      <c r="H437" s="192"/>
      <c r="I437" s="192"/>
      <c r="J437" s="192"/>
    </row>
    <row r="438">
      <c r="A438" s="192"/>
      <c r="B438" s="192"/>
      <c r="C438" s="192"/>
      <c r="D438" s="192"/>
      <c r="E438" s="192"/>
      <c r="F438" s="192"/>
      <c r="G438" s="192"/>
      <c r="H438" s="192"/>
      <c r="I438" s="192"/>
      <c r="J438" s="192"/>
    </row>
    <row r="439">
      <c r="A439" s="192"/>
      <c r="B439" s="192"/>
      <c r="C439" s="192"/>
      <c r="D439" s="192"/>
      <c r="E439" s="192"/>
      <c r="F439" s="192"/>
      <c r="G439" s="192"/>
      <c r="H439" s="192"/>
      <c r="I439" s="192"/>
      <c r="J439" s="192"/>
    </row>
    <row r="440">
      <c r="A440" s="192"/>
      <c r="B440" s="192"/>
      <c r="C440" s="192"/>
      <c r="D440" s="192"/>
      <c r="E440" s="192"/>
      <c r="F440" s="192"/>
      <c r="G440" s="192"/>
      <c r="H440" s="192"/>
      <c r="I440" s="192"/>
      <c r="J440" s="192"/>
    </row>
    <row r="441">
      <c r="A441" s="192"/>
      <c r="B441" s="192"/>
      <c r="C441" s="192"/>
      <c r="D441" s="192"/>
      <c r="E441" s="192"/>
      <c r="F441" s="192"/>
      <c r="G441" s="192"/>
      <c r="H441" s="192"/>
      <c r="I441" s="192"/>
      <c r="J441" s="192"/>
    </row>
    <row r="442">
      <c r="A442" s="192"/>
      <c r="B442" s="192"/>
      <c r="C442" s="192"/>
      <c r="D442" s="192"/>
      <c r="E442" s="192"/>
      <c r="F442" s="192"/>
      <c r="G442" s="192"/>
      <c r="H442" s="192"/>
      <c r="I442" s="192"/>
      <c r="J442" s="192"/>
    </row>
    <row r="443">
      <c r="A443" s="192"/>
      <c r="B443" s="192"/>
      <c r="C443" s="192"/>
      <c r="D443" s="192"/>
      <c r="E443" s="192"/>
      <c r="F443" s="192"/>
      <c r="G443" s="192"/>
      <c r="H443" s="192"/>
      <c r="I443" s="192"/>
      <c r="J443" s="192"/>
    </row>
    <row r="444">
      <c r="A444" s="192"/>
      <c r="B444" s="192"/>
      <c r="C444" s="192"/>
      <c r="D444" s="192"/>
      <c r="E444" s="192"/>
      <c r="F444" s="192"/>
      <c r="G444" s="192"/>
      <c r="H444" s="192"/>
      <c r="I444" s="192"/>
      <c r="J444" s="192"/>
    </row>
    <row r="445">
      <c r="A445" s="192"/>
      <c r="B445" s="192"/>
      <c r="C445" s="192"/>
      <c r="D445" s="192"/>
      <c r="E445" s="192"/>
      <c r="F445" s="192"/>
      <c r="G445" s="192"/>
      <c r="H445" s="192"/>
      <c r="I445" s="192"/>
      <c r="J445" s="192"/>
    </row>
    <row r="446">
      <c r="A446" s="192"/>
      <c r="B446" s="192"/>
      <c r="C446" s="192"/>
      <c r="D446" s="192"/>
      <c r="E446" s="192"/>
      <c r="F446" s="192"/>
      <c r="G446" s="192"/>
      <c r="H446" s="192"/>
      <c r="I446" s="192"/>
      <c r="J446" s="192"/>
    </row>
    <row r="447">
      <c r="A447" s="192"/>
      <c r="B447" s="192"/>
      <c r="C447" s="192"/>
      <c r="D447" s="192"/>
      <c r="E447" s="192"/>
      <c r="F447" s="192"/>
      <c r="G447" s="192"/>
      <c r="H447" s="192"/>
      <c r="I447" s="192"/>
      <c r="J447" s="192"/>
    </row>
    <row r="448">
      <c r="A448" s="192"/>
      <c r="B448" s="192"/>
      <c r="C448" s="192"/>
      <c r="D448" s="192"/>
      <c r="E448" s="192"/>
      <c r="F448" s="192"/>
      <c r="G448" s="192"/>
      <c r="H448" s="192"/>
      <c r="I448" s="192"/>
      <c r="J448" s="192"/>
    </row>
    <row r="449">
      <c r="A449" s="192"/>
      <c r="B449" s="192"/>
      <c r="C449" s="192"/>
      <c r="D449" s="192"/>
      <c r="E449" s="192"/>
      <c r="F449" s="192"/>
      <c r="G449" s="192"/>
      <c r="H449" s="192"/>
      <c r="I449" s="192"/>
      <c r="J449" s="192"/>
    </row>
    <row r="450">
      <c r="A450" s="192"/>
      <c r="B450" s="192"/>
      <c r="C450" s="192"/>
      <c r="D450" s="192"/>
      <c r="E450" s="192"/>
      <c r="F450" s="192"/>
      <c r="G450" s="192"/>
      <c r="H450" s="192"/>
      <c r="I450" s="192"/>
      <c r="J450" s="192"/>
    </row>
    <row r="451">
      <c r="A451" s="192"/>
      <c r="B451" s="192"/>
      <c r="C451" s="192"/>
      <c r="D451" s="192"/>
      <c r="E451" s="192"/>
      <c r="F451" s="192"/>
      <c r="G451" s="192"/>
      <c r="H451" s="192"/>
      <c r="I451" s="192"/>
      <c r="J451" s="192"/>
    </row>
    <row r="452">
      <c r="A452" s="192"/>
      <c r="B452" s="192"/>
      <c r="C452" s="192"/>
      <c r="D452" s="192"/>
      <c r="E452" s="192"/>
      <c r="F452" s="192"/>
      <c r="G452" s="192"/>
      <c r="H452" s="192"/>
      <c r="I452" s="192"/>
      <c r="J452" s="192"/>
    </row>
    <row r="453">
      <c r="A453" s="192"/>
      <c r="B453" s="192"/>
      <c r="C453" s="192"/>
      <c r="D453" s="192"/>
      <c r="E453" s="192"/>
      <c r="F453" s="192"/>
      <c r="G453" s="192"/>
      <c r="H453" s="192"/>
      <c r="I453" s="192"/>
      <c r="J453" s="192"/>
    </row>
    <row r="454">
      <c r="A454" s="192"/>
      <c r="B454" s="192"/>
      <c r="C454" s="192"/>
      <c r="D454" s="192"/>
      <c r="E454" s="192"/>
      <c r="F454" s="192"/>
      <c r="G454" s="192"/>
      <c r="H454" s="192"/>
      <c r="I454" s="192"/>
      <c r="J454" s="192"/>
    </row>
    <row r="455">
      <c r="A455" s="192"/>
      <c r="B455" s="192"/>
      <c r="C455" s="192"/>
      <c r="D455" s="192"/>
      <c r="E455" s="192"/>
      <c r="F455" s="192"/>
      <c r="G455" s="192"/>
      <c r="H455" s="192"/>
      <c r="I455" s="192"/>
      <c r="J455" s="192"/>
    </row>
    <row r="456">
      <c r="A456" s="192"/>
      <c r="B456" s="192"/>
      <c r="C456" s="192"/>
      <c r="D456" s="192"/>
      <c r="E456" s="192"/>
      <c r="F456" s="192"/>
      <c r="G456" s="192"/>
      <c r="H456" s="192"/>
      <c r="I456" s="192"/>
      <c r="J456" s="192"/>
    </row>
    <row r="457">
      <c r="A457" s="192"/>
      <c r="B457" s="192"/>
      <c r="C457" s="192"/>
      <c r="D457" s="192"/>
      <c r="E457" s="192"/>
      <c r="F457" s="192"/>
      <c r="G457" s="192"/>
      <c r="H457" s="192"/>
      <c r="I457" s="192"/>
      <c r="J457" s="192"/>
    </row>
    <row r="458">
      <c r="A458" s="192"/>
      <c r="B458" s="192"/>
      <c r="C458" s="192"/>
      <c r="D458" s="192"/>
      <c r="E458" s="192"/>
      <c r="F458" s="192"/>
      <c r="G458" s="192"/>
      <c r="H458" s="192"/>
      <c r="I458" s="192"/>
      <c r="J458" s="192"/>
    </row>
    <row r="459">
      <c r="A459" s="192"/>
      <c r="B459" s="192"/>
      <c r="C459" s="192"/>
      <c r="D459" s="192"/>
      <c r="E459" s="192"/>
      <c r="F459" s="192"/>
      <c r="G459" s="192"/>
      <c r="H459" s="192"/>
      <c r="I459" s="192"/>
      <c r="J459" s="192"/>
    </row>
    <row r="460">
      <c r="A460" s="192"/>
      <c r="B460" s="192"/>
      <c r="C460" s="192"/>
      <c r="D460" s="192"/>
      <c r="E460" s="192"/>
      <c r="F460" s="192"/>
      <c r="G460" s="192"/>
      <c r="H460" s="192"/>
      <c r="I460" s="192"/>
      <c r="J460" s="192"/>
    </row>
    <row r="461">
      <c r="A461" s="192"/>
      <c r="B461" s="192"/>
      <c r="C461" s="192"/>
      <c r="D461" s="192"/>
      <c r="E461" s="192"/>
      <c r="F461" s="192"/>
      <c r="G461" s="192"/>
      <c r="H461" s="192"/>
      <c r="I461" s="192"/>
      <c r="J461" s="192"/>
    </row>
    <row r="462">
      <c r="A462" s="192"/>
      <c r="B462" s="192"/>
      <c r="C462" s="192"/>
      <c r="D462" s="192"/>
      <c r="E462" s="192"/>
      <c r="F462" s="192"/>
      <c r="G462" s="192"/>
      <c r="H462" s="192"/>
      <c r="I462" s="192"/>
      <c r="J462" s="192"/>
    </row>
    <row r="463">
      <c r="A463" s="192"/>
      <c r="B463" s="192"/>
      <c r="C463" s="192"/>
      <c r="D463" s="192"/>
      <c r="E463" s="192"/>
      <c r="F463" s="192"/>
      <c r="G463" s="192"/>
      <c r="H463" s="192"/>
      <c r="I463" s="192"/>
      <c r="J463" s="192"/>
    </row>
    <row r="464">
      <c r="A464" s="192"/>
      <c r="B464" s="192"/>
      <c r="C464" s="192"/>
      <c r="D464" s="192"/>
      <c r="E464" s="192"/>
      <c r="F464" s="192"/>
      <c r="G464" s="192"/>
      <c r="H464" s="192"/>
      <c r="I464" s="192"/>
      <c r="J464" s="192"/>
    </row>
    <row r="465">
      <c r="A465" s="192"/>
      <c r="B465" s="192"/>
      <c r="C465" s="192"/>
      <c r="D465" s="192"/>
      <c r="E465" s="192"/>
      <c r="F465" s="192"/>
      <c r="G465" s="192"/>
      <c r="H465" s="192"/>
      <c r="I465" s="192"/>
      <c r="J465" s="192"/>
    </row>
    <row r="466">
      <c r="A466" s="192"/>
      <c r="B466" s="192"/>
      <c r="C466" s="192"/>
      <c r="D466" s="192"/>
      <c r="E466" s="192"/>
      <c r="F466" s="192"/>
      <c r="G466" s="192"/>
      <c r="H466" s="192"/>
      <c r="I466" s="192"/>
      <c r="J466" s="192"/>
    </row>
    <row r="467">
      <c r="A467" s="192"/>
      <c r="B467" s="192"/>
      <c r="C467" s="192"/>
      <c r="D467" s="192"/>
      <c r="E467" s="192"/>
      <c r="F467" s="192"/>
      <c r="G467" s="192"/>
      <c r="H467" s="192"/>
      <c r="I467" s="192"/>
      <c r="J467" s="192"/>
    </row>
    <row r="468">
      <c r="A468" s="192"/>
      <c r="B468" s="192"/>
      <c r="C468" s="192"/>
      <c r="D468" s="192"/>
      <c r="E468" s="192"/>
      <c r="F468" s="192"/>
      <c r="G468" s="192"/>
      <c r="H468" s="192"/>
      <c r="I468" s="192"/>
      <c r="J468" s="192"/>
    </row>
    <row r="469">
      <c r="A469" s="192"/>
      <c r="B469" s="192"/>
      <c r="C469" s="192"/>
      <c r="D469" s="192"/>
      <c r="E469" s="192"/>
      <c r="F469" s="192"/>
      <c r="G469" s="192"/>
      <c r="H469" s="192"/>
      <c r="I469" s="192"/>
      <c r="J469" s="192"/>
    </row>
    <row r="470">
      <c r="A470" s="192"/>
      <c r="B470" s="192"/>
      <c r="C470" s="192"/>
      <c r="D470" s="192"/>
      <c r="E470" s="192"/>
      <c r="F470" s="192"/>
      <c r="G470" s="192"/>
      <c r="H470" s="192"/>
      <c r="I470" s="192"/>
      <c r="J470" s="192"/>
    </row>
    <row r="471">
      <c r="A471" s="192"/>
      <c r="B471" s="192"/>
      <c r="C471" s="192"/>
      <c r="D471" s="192"/>
      <c r="E471" s="192"/>
      <c r="F471" s="192"/>
      <c r="G471" s="192"/>
      <c r="H471" s="192"/>
      <c r="I471" s="192"/>
      <c r="J471" s="192"/>
    </row>
    <row r="472">
      <c r="A472" s="192"/>
      <c r="B472" s="192"/>
      <c r="C472" s="192"/>
      <c r="D472" s="192"/>
      <c r="E472" s="192"/>
      <c r="F472" s="192"/>
      <c r="G472" s="192"/>
      <c r="H472" s="192"/>
      <c r="I472" s="192"/>
      <c r="J472" s="192"/>
    </row>
    <row r="473">
      <c r="A473" s="192"/>
      <c r="B473" s="192"/>
      <c r="C473" s="192"/>
      <c r="D473" s="192"/>
      <c r="E473" s="192"/>
      <c r="F473" s="192"/>
      <c r="G473" s="192"/>
      <c r="H473" s="192"/>
      <c r="I473" s="192"/>
      <c r="J473" s="192"/>
    </row>
    <row r="474">
      <c r="A474" s="192"/>
      <c r="B474" s="192"/>
      <c r="C474" s="192"/>
      <c r="D474" s="192"/>
      <c r="E474" s="192"/>
      <c r="F474" s="192"/>
      <c r="G474" s="192"/>
      <c r="H474" s="192"/>
      <c r="I474" s="192"/>
      <c r="J474" s="192"/>
    </row>
    <row r="475">
      <c r="A475" s="192"/>
      <c r="B475" s="192"/>
      <c r="C475" s="192"/>
      <c r="D475" s="192"/>
      <c r="E475" s="192"/>
      <c r="F475" s="192"/>
      <c r="G475" s="192"/>
      <c r="H475" s="192"/>
      <c r="I475" s="192"/>
      <c r="J475" s="192"/>
    </row>
    <row r="476">
      <c r="A476" s="192"/>
      <c r="B476" s="192"/>
      <c r="C476" s="192"/>
      <c r="D476" s="192"/>
      <c r="E476" s="192"/>
      <c r="F476" s="192"/>
      <c r="G476" s="192"/>
      <c r="H476" s="192"/>
      <c r="I476" s="192"/>
      <c r="J476" s="192"/>
    </row>
    <row r="477">
      <c r="A477" s="192"/>
      <c r="B477" s="192"/>
      <c r="C477" s="192"/>
      <c r="D477" s="192"/>
      <c r="E477" s="192"/>
      <c r="F477" s="192"/>
      <c r="G477" s="192"/>
      <c r="H477" s="192"/>
      <c r="I477" s="192"/>
      <c r="J477" s="192"/>
    </row>
    <row r="478">
      <c r="A478" s="192"/>
      <c r="B478" s="192"/>
      <c r="C478" s="192"/>
      <c r="D478" s="192"/>
      <c r="E478" s="192"/>
      <c r="F478" s="192"/>
      <c r="G478" s="192"/>
      <c r="H478" s="192"/>
      <c r="I478" s="192"/>
      <c r="J478" s="192"/>
    </row>
    <row r="479">
      <c r="A479" s="192"/>
      <c r="B479" s="192"/>
      <c r="C479" s="192"/>
      <c r="D479" s="192"/>
      <c r="E479" s="192"/>
      <c r="F479" s="192"/>
      <c r="G479" s="192"/>
      <c r="H479" s="192"/>
      <c r="I479" s="192"/>
      <c r="J479" s="192"/>
    </row>
    <row r="480">
      <c r="A480" s="192"/>
      <c r="B480" s="192"/>
      <c r="C480" s="192"/>
      <c r="D480" s="192"/>
      <c r="E480" s="192"/>
      <c r="F480" s="192"/>
      <c r="G480" s="192"/>
      <c r="H480" s="192"/>
      <c r="I480" s="192"/>
      <c r="J480" s="192"/>
    </row>
    <row r="481">
      <c r="A481" s="192"/>
      <c r="B481" s="192"/>
      <c r="C481" s="192"/>
      <c r="D481" s="192"/>
      <c r="E481" s="192"/>
      <c r="F481" s="192"/>
      <c r="G481" s="192"/>
      <c r="H481" s="192"/>
      <c r="I481" s="192"/>
      <c r="J481" s="192"/>
    </row>
    <row r="482">
      <c r="A482" s="192"/>
      <c r="B482" s="192"/>
      <c r="C482" s="192"/>
      <c r="D482" s="192"/>
      <c r="E482" s="192"/>
      <c r="F482" s="192"/>
      <c r="G482" s="192"/>
      <c r="H482" s="192"/>
      <c r="I482" s="192"/>
      <c r="J482" s="192"/>
    </row>
    <row r="483">
      <c r="A483" s="192"/>
      <c r="B483" s="192"/>
      <c r="C483" s="192"/>
      <c r="D483" s="192"/>
      <c r="E483" s="192"/>
      <c r="F483" s="192"/>
      <c r="G483" s="192"/>
      <c r="H483" s="192"/>
      <c r="I483" s="192"/>
      <c r="J483" s="192"/>
    </row>
    <row r="484">
      <c r="A484" s="192"/>
      <c r="B484" s="192"/>
      <c r="C484" s="192"/>
      <c r="D484" s="192"/>
      <c r="E484" s="192"/>
      <c r="F484" s="192"/>
      <c r="G484" s="192"/>
      <c r="H484" s="192"/>
      <c r="I484" s="192"/>
      <c r="J484" s="192"/>
    </row>
    <row r="485">
      <c r="A485" s="192"/>
      <c r="B485" s="192"/>
      <c r="C485" s="192"/>
      <c r="D485" s="192"/>
      <c r="E485" s="192"/>
      <c r="F485" s="192"/>
      <c r="G485" s="192"/>
      <c r="H485" s="192"/>
      <c r="I485" s="192"/>
      <c r="J485" s="192"/>
    </row>
    <row r="486">
      <c r="A486" s="192"/>
      <c r="B486" s="192"/>
      <c r="C486" s="192"/>
      <c r="D486" s="192"/>
      <c r="E486" s="192"/>
      <c r="F486" s="192"/>
      <c r="G486" s="192"/>
      <c r="H486" s="192"/>
      <c r="I486" s="192"/>
      <c r="J486" s="192"/>
    </row>
    <row r="487">
      <c r="A487" s="192"/>
      <c r="B487" s="192"/>
      <c r="C487" s="192"/>
      <c r="D487" s="192"/>
      <c r="E487" s="192"/>
      <c r="F487" s="192"/>
      <c r="G487" s="192"/>
      <c r="H487" s="192"/>
      <c r="I487" s="192"/>
      <c r="J487" s="192"/>
    </row>
    <row r="488">
      <c r="A488" s="192"/>
      <c r="B488" s="192"/>
      <c r="C488" s="192"/>
      <c r="D488" s="192"/>
      <c r="E488" s="192"/>
      <c r="F488" s="192"/>
      <c r="G488" s="192"/>
      <c r="H488" s="192"/>
      <c r="I488" s="192"/>
      <c r="J488" s="192"/>
    </row>
    <row r="489">
      <c r="A489" s="192"/>
      <c r="B489" s="192"/>
      <c r="C489" s="192"/>
      <c r="D489" s="192"/>
      <c r="E489" s="192"/>
      <c r="F489" s="192"/>
      <c r="G489" s="192"/>
      <c r="H489" s="192"/>
      <c r="I489" s="192"/>
      <c r="J489" s="192"/>
    </row>
    <row r="490">
      <c r="A490" s="192"/>
      <c r="B490" s="192"/>
      <c r="C490" s="192"/>
      <c r="D490" s="192"/>
      <c r="E490" s="192"/>
      <c r="F490" s="192"/>
      <c r="G490" s="192"/>
      <c r="H490" s="192"/>
      <c r="I490" s="192"/>
      <c r="J490" s="192"/>
    </row>
    <row r="491">
      <c r="A491" s="192"/>
      <c r="B491" s="192"/>
      <c r="C491" s="192"/>
      <c r="D491" s="192"/>
      <c r="E491" s="192"/>
      <c r="F491" s="192"/>
      <c r="G491" s="192"/>
      <c r="H491" s="192"/>
      <c r="I491" s="192"/>
      <c r="J491" s="192"/>
    </row>
    <row r="492">
      <c r="A492" s="192"/>
      <c r="B492" s="192"/>
      <c r="C492" s="192"/>
      <c r="D492" s="192"/>
      <c r="E492" s="192"/>
      <c r="F492" s="192"/>
      <c r="G492" s="192"/>
      <c r="H492" s="192"/>
      <c r="I492" s="192"/>
      <c r="J492" s="192"/>
    </row>
    <row r="493">
      <c r="A493" s="192"/>
      <c r="B493" s="192"/>
      <c r="C493" s="192"/>
      <c r="D493" s="192"/>
      <c r="E493" s="192"/>
      <c r="F493" s="192"/>
      <c r="G493" s="192"/>
      <c r="H493" s="192"/>
      <c r="I493" s="192"/>
      <c r="J493" s="192"/>
    </row>
    <row r="494">
      <c r="A494" s="192"/>
      <c r="B494" s="192"/>
      <c r="C494" s="192"/>
      <c r="D494" s="192"/>
      <c r="E494" s="192"/>
      <c r="F494" s="192"/>
      <c r="G494" s="192"/>
      <c r="H494" s="192"/>
      <c r="I494" s="192"/>
      <c r="J494" s="192"/>
    </row>
    <row r="495">
      <c r="A495" s="192"/>
      <c r="B495" s="192"/>
      <c r="C495" s="192"/>
      <c r="D495" s="192"/>
      <c r="E495" s="192"/>
      <c r="F495" s="192"/>
      <c r="G495" s="192"/>
      <c r="H495" s="192"/>
      <c r="I495" s="192"/>
      <c r="J495" s="192"/>
    </row>
    <row r="496">
      <c r="A496" s="192"/>
      <c r="B496" s="192"/>
      <c r="C496" s="192"/>
      <c r="D496" s="192"/>
      <c r="E496" s="192"/>
      <c r="F496" s="192"/>
      <c r="G496" s="192"/>
      <c r="H496" s="192"/>
      <c r="I496" s="192"/>
      <c r="J496" s="192"/>
    </row>
    <row r="497">
      <c r="A497" s="192"/>
      <c r="B497" s="192"/>
      <c r="C497" s="192"/>
      <c r="D497" s="192"/>
      <c r="E497" s="192"/>
      <c r="F497" s="192"/>
      <c r="G497" s="192"/>
      <c r="H497" s="192"/>
      <c r="I497" s="192"/>
      <c r="J497" s="192"/>
    </row>
    <row r="498">
      <c r="A498" s="192"/>
      <c r="B498" s="192"/>
      <c r="C498" s="192"/>
      <c r="D498" s="192"/>
      <c r="E498" s="192"/>
      <c r="F498" s="192"/>
      <c r="G498" s="192"/>
      <c r="H498" s="192"/>
      <c r="I498" s="192"/>
      <c r="J498" s="192"/>
    </row>
    <row r="499">
      <c r="A499" s="192"/>
      <c r="B499" s="192"/>
      <c r="C499" s="192"/>
      <c r="D499" s="192"/>
      <c r="E499" s="192"/>
      <c r="F499" s="192"/>
      <c r="G499" s="192"/>
      <c r="H499" s="192"/>
      <c r="I499" s="192"/>
      <c r="J499" s="192"/>
    </row>
    <row r="500">
      <c r="A500" s="192"/>
      <c r="B500" s="192"/>
      <c r="C500" s="192"/>
      <c r="D500" s="192"/>
      <c r="E500" s="192"/>
      <c r="F500" s="192"/>
      <c r="G500" s="192"/>
      <c r="H500" s="192"/>
      <c r="I500" s="192"/>
      <c r="J500" s="192"/>
    </row>
    <row r="501">
      <c r="A501" s="192"/>
      <c r="B501" s="192"/>
      <c r="C501" s="192"/>
      <c r="D501" s="192"/>
      <c r="E501" s="192"/>
      <c r="F501" s="192"/>
      <c r="G501" s="192"/>
      <c r="H501" s="192"/>
      <c r="I501" s="192"/>
      <c r="J501" s="192"/>
    </row>
    <row r="502">
      <c r="A502" s="192"/>
      <c r="B502" s="192"/>
      <c r="C502" s="192"/>
      <c r="D502" s="192"/>
      <c r="E502" s="192"/>
      <c r="F502" s="192"/>
      <c r="G502" s="192"/>
      <c r="H502" s="192"/>
      <c r="I502" s="192"/>
      <c r="J502" s="192"/>
    </row>
    <row r="503">
      <c r="A503" s="192"/>
      <c r="B503" s="192"/>
      <c r="C503" s="192"/>
      <c r="D503" s="192"/>
      <c r="E503" s="192"/>
      <c r="F503" s="192"/>
      <c r="G503" s="192"/>
      <c r="H503" s="192"/>
      <c r="I503" s="192"/>
      <c r="J503" s="192"/>
    </row>
    <row r="504">
      <c r="A504" s="192"/>
      <c r="B504" s="192"/>
      <c r="C504" s="192"/>
      <c r="D504" s="192"/>
      <c r="E504" s="192"/>
      <c r="F504" s="192"/>
      <c r="G504" s="192"/>
      <c r="H504" s="192"/>
      <c r="I504" s="192"/>
      <c r="J504" s="192"/>
    </row>
    <row r="505">
      <c r="A505" s="192"/>
      <c r="B505" s="192"/>
      <c r="C505" s="192"/>
      <c r="D505" s="192"/>
      <c r="E505" s="192"/>
      <c r="F505" s="192"/>
      <c r="G505" s="192"/>
      <c r="H505" s="192"/>
      <c r="I505" s="192"/>
      <c r="J505" s="192"/>
    </row>
    <row r="506">
      <c r="A506" s="192"/>
      <c r="B506" s="192"/>
      <c r="C506" s="192"/>
      <c r="D506" s="192"/>
      <c r="E506" s="192"/>
      <c r="F506" s="192"/>
      <c r="G506" s="192"/>
      <c r="H506" s="192"/>
      <c r="I506" s="192"/>
      <c r="J506" s="192"/>
    </row>
    <row r="507">
      <c r="A507" s="192"/>
      <c r="B507" s="192"/>
      <c r="C507" s="192"/>
      <c r="D507" s="192"/>
      <c r="E507" s="192"/>
      <c r="F507" s="192"/>
      <c r="G507" s="192"/>
      <c r="H507" s="192"/>
      <c r="I507" s="192"/>
      <c r="J507" s="192"/>
    </row>
    <row r="508">
      <c r="A508" s="192"/>
      <c r="B508" s="192"/>
      <c r="C508" s="192"/>
      <c r="D508" s="192"/>
      <c r="E508" s="192"/>
      <c r="F508" s="192"/>
      <c r="G508" s="192"/>
      <c r="H508" s="192"/>
      <c r="I508" s="192"/>
      <c r="J508" s="192"/>
    </row>
    <row r="509">
      <c r="A509" s="192"/>
      <c r="B509" s="192"/>
      <c r="C509" s="192"/>
      <c r="D509" s="192"/>
      <c r="E509" s="192"/>
      <c r="F509" s="192"/>
      <c r="G509" s="192"/>
      <c r="H509" s="192"/>
      <c r="I509" s="192"/>
      <c r="J509" s="192"/>
    </row>
    <row r="510">
      <c r="A510" s="192"/>
      <c r="B510" s="192"/>
      <c r="C510" s="192"/>
      <c r="D510" s="192"/>
      <c r="E510" s="192"/>
      <c r="F510" s="192"/>
      <c r="G510" s="192"/>
      <c r="H510" s="192"/>
      <c r="I510" s="192"/>
      <c r="J510" s="192"/>
    </row>
    <row r="511">
      <c r="A511" s="192"/>
      <c r="B511" s="192"/>
      <c r="C511" s="192"/>
      <c r="D511" s="192"/>
      <c r="E511" s="192"/>
      <c r="F511" s="192"/>
      <c r="G511" s="192"/>
      <c r="H511" s="192"/>
      <c r="I511" s="192"/>
      <c r="J511" s="192"/>
    </row>
    <row r="512">
      <c r="A512" s="192"/>
      <c r="B512" s="192"/>
      <c r="C512" s="192"/>
      <c r="D512" s="192"/>
      <c r="E512" s="192"/>
      <c r="F512" s="192"/>
      <c r="G512" s="192"/>
      <c r="H512" s="192"/>
      <c r="I512" s="192"/>
      <c r="J512" s="192"/>
    </row>
    <row r="513">
      <c r="A513" s="192"/>
      <c r="B513" s="192"/>
      <c r="C513" s="192"/>
      <c r="D513" s="192"/>
      <c r="E513" s="192"/>
      <c r="F513" s="192"/>
      <c r="G513" s="192"/>
      <c r="H513" s="192"/>
      <c r="I513" s="192"/>
      <c r="J513" s="192"/>
    </row>
    <row r="514">
      <c r="A514" s="192"/>
      <c r="B514" s="192"/>
      <c r="C514" s="192"/>
      <c r="D514" s="192"/>
      <c r="E514" s="192"/>
      <c r="F514" s="192"/>
      <c r="G514" s="192"/>
      <c r="H514" s="192"/>
      <c r="I514" s="192"/>
      <c r="J514" s="192"/>
    </row>
    <row r="515">
      <c r="A515" s="192"/>
      <c r="B515" s="192"/>
      <c r="C515" s="192"/>
      <c r="D515" s="192"/>
      <c r="E515" s="192"/>
      <c r="F515" s="192"/>
      <c r="G515" s="192"/>
      <c r="H515" s="192"/>
      <c r="I515" s="192"/>
      <c r="J515" s="192"/>
    </row>
    <row r="516">
      <c r="A516" s="192"/>
      <c r="B516" s="192"/>
      <c r="C516" s="192"/>
      <c r="D516" s="192"/>
      <c r="E516" s="192"/>
      <c r="F516" s="192"/>
      <c r="G516" s="192"/>
      <c r="H516" s="192"/>
      <c r="I516" s="192"/>
      <c r="J516" s="192"/>
    </row>
    <row r="517">
      <c r="A517" s="192"/>
      <c r="B517" s="192"/>
      <c r="C517" s="192"/>
      <c r="D517" s="192"/>
      <c r="E517" s="192"/>
      <c r="F517" s="192"/>
      <c r="G517" s="192"/>
      <c r="H517" s="192"/>
      <c r="I517" s="192"/>
      <c r="J517" s="192"/>
    </row>
    <row r="518">
      <c r="A518" s="192"/>
      <c r="B518" s="192"/>
      <c r="C518" s="192"/>
      <c r="D518" s="192"/>
      <c r="E518" s="192"/>
      <c r="F518" s="192"/>
      <c r="G518" s="192"/>
      <c r="H518" s="192"/>
      <c r="I518" s="192"/>
      <c r="J518" s="192"/>
    </row>
    <row r="519">
      <c r="A519" s="192"/>
      <c r="B519" s="192"/>
      <c r="C519" s="192"/>
      <c r="D519" s="192"/>
      <c r="E519" s="192"/>
      <c r="F519" s="192"/>
      <c r="G519" s="192"/>
      <c r="H519" s="192"/>
      <c r="I519" s="192"/>
      <c r="J519" s="192"/>
    </row>
    <row r="520">
      <c r="A520" s="192"/>
      <c r="B520" s="192"/>
      <c r="C520" s="192"/>
      <c r="D520" s="192"/>
      <c r="E520" s="192"/>
      <c r="F520" s="192"/>
      <c r="G520" s="192"/>
      <c r="H520" s="192"/>
      <c r="I520" s="192"/>
      <c r="J520" s="192"/>
    </row>
    <row r="521">
      <c r="A521" s="192"/>
      <c r="B521" s="192"/>
      <c r="C521" s="192"/>
      <c r="D521" s="192"/>
      <c r="E521" s="192"/>
      <c r="F521" s="192"/>
      <c r="G521" s="192"/>
      <c r="H521" s="192"/>
      <c r="I521" s="192"/>
      <c r="J521" s="192"/>
    </row>
    <row r="522">
      <c r="A522" s="192"/>
      <c r="B522" s="192"/>
      <c r="C522" s="192"/>
      <c r="D522" s="192"/>
      <c r="E522" s="192"/>
      <c r="F522" s="192"/>
      <c r="G522" s="192"/>
      <c r="H522" s="192"/>
      <c r="I522" s="192"/>
      <c r="J522" s="192"/>
    </row>
    <row r="523">
      <c r="A523" s="192"/>
      <c r="B523" s="192"/>
      <c r="C523" s="192"/>
      <c r="D523" s="192"/>
      <c r="E523" s="192"/>
      <c r="F523" s="192"/>
      <c r="G523" s="192"/>
      <c r="H523" s="192"/>
      <c r="I523" s="192"/>
      <c r="J523" s="192"/>
    </row>
    <row r="524">
      <c r="A524" s="192"/>
      <c r="B524" s="192"/>
      <c r="C524" s="192"/>
      <c r="D524" s="192"/>
      <c r="E524" s="192"/>
      <c r="F524" s="192"/>
      <c r="G524" s="192"/>
      <c r="H524" s="192"/>
      <c r="I524" s="192"/>
      <c r="J524" s="192"/>
    </row>
    <row r="525">
      <c r="A525" s="192"/>
      <c r="B525" s="192"/>
      <c r="C525" s="192"/>
      <c r="D525" s="192"/>
      <c r="E525" s="192"/>
      <c r="F525" s="192"/>
      <c r="G525" s="192"/>
      <c r="H525" s="192"/>
      <c r="I525" s="192"/>
      <c r="J525" s="192"/>
    </row>
    <row r="526">
      <c r="A526" s="192"/>
      <c r="B526" s="192"/>
      <c r="C526" s="192"/>
      <c r="D526" s="192"/>
      <c r="E526" s="192"/>
      <c r="F526" s="192"/>
      <c r="G526" s="192"/>
      <c r="H526" s="192"/>
      <c r="I526" s="192"/>
      <c r="J526" s="192"/>
    </row>
    <row r="527">
      <c r="A527" s="192"/>
      <c r="B527" s="192"/>
      <c r="C527" s="192"/>
      <c r="D527" s="192"/>
      <c r="E527" s="192"/>
      <c r="F527" s="192"/>
      <c r="G527" s="192"/>
      <c r="H527" s="192"/>
      <c r="I527" s="192"/>
      <c r="J527" s="192"/>
    </row>
    <row r="528">
      <c r="A528" s="192"/>
      <c r="B528" s="192"/>
      <c r="C528" s="192"/>
      <c r="D528" s="192"/>
      <c r="E528" s="192"/>
      <c r="F528" s="192"/>
      <c r="G528" s="192"/>
      <c r="H528" s="192"/>
      <c r="I528" s="192"/>
      <c r="J528" s="192"/>
    </row>
    <row r="529">
      <c r="A529" s="192"/>
      <c r="B529" s="192"/>
      <c r="C529" s="192"/>
      <c r="D529" s="192"/>
      <c r="E529" s="192"/>
      <c r="F529" s="192"/>
      <c r="G529" s="192"/>
      <c r="H529" s="192"/>
      <c r="I529" s="192"/>
      <c r="J529" s="192"/>
    </row>
    <row r="530">
      <c r="A530" s="192"/>
      <c r="B530" s="192"/>
      <c r="C530" s="192"/>
      <c r="D530" s="192"/>
      <c r="E530" s="192"/>
      <c r="F530" s="192"/>
      <c r="G530" s="192"/>
      <c r="H530" s="192"/>
      <c r="I530" s="192"/>
      <c r="J530" s="192"/>
    </row>
    <row r="531">
      <c r="A531" s="192"/>
      <c r="B531" s="192"/>
      <c r="C531" s="192"/>
      <c r="D531" s="192"/>
      <c r="E531" s="192"/>
      <c r="F531" s="192"/>
      <c r="G531" s="192"/>
      <c r="H531" s="192"/>
      <c r="I531" s="192"/>
      <c r="J531" s="192"/>
    </row>
    <row r="532">
      <c r="A532" s="192"/>
      <c r="B532" s="192"/>
      <c r="C532" s="192"/>
      <c r="D532" s="192"/>
      <c r="E532" s="192"/>
      <c r="F532" s="192"/>
      <c r="G532" s="192"/>
      <c r="H532" s="192"/>
      <c r="I532" s="192"/>
      <c r="J532" s="192"/>
    </row>
    <row r="533">
      <c r="A533" s="192"/>
      <c r="B533" s="192"/>
      <c r="C533" s="192"/>
      <c r="D533" s="192"/>
      <c r="E533" s="192"/>
      <c r="F533" s="192"/>
      <c r="G533" s="192"/>
      <c r="H533" s="192"/>
      <c r="I533" s="192"/>
      <c r="J533" s="192"/>
    </row>
    <row r="534">
      <c r="A534" s="192"/>
      <c r="B534" s="192"/>
      <c r="C534" s="192"/>
      <c r="D534" s="192"/>
      <c r="E534" s="192"/>
      <c r="F534" s="192"/>
      <c r="G534" s="192"/>
      <c r="H534" s="192"/>
      <c r="I534" s="192"/>
      <c r="J534" s="192"/>
    </row>
    <row r="535">
      <c r="A535" s="192"/>
      <c r="B535" s="192"/>
      <c r="C535" s="192"/>
      <c r="D535" s="192"/>
      <c r="E535" s="192"/>
      <c r="F535" s="192"/>
      <c r="G535" s="192"/>
      <c r="H535" s="192"/>
      <c r="I535" s="192"/>
      <c r="J535" s="192"/>
    </row>
    <row r="536">
      <c r="A536" s="192"/>
      <c r="B536" s="192"/>
      <c r="C536" s="192"/>
      <c r="D536" s="192"/>
      <c r="E536" s="192"/>
      <c r="F536" s="192"/>
      <c r="G536" s="192"/>
      <c r="H536" s="192"/>
      <c r="I536" s="192"/>
      <c r="J536" s="192"/>
    </row>
    <row r="537">
      <c r="A537" s="192"/>
      <c r="B537" s="192"/>
      <c r="C537" s="192"/>
      <c r="D537" s="192"/>
      <c r="E537" s="192"/>
      <c r="F537" s="192"/>
      <c r="G537" s="192"/>
      <c r="H537" s="192"/>
      <c r="I537" s="192"/>
      <c r="J537" s="192"/>
    </row>
    <row r="538">
      <c r="A538" s="192"/>
      <c r="B538" s="192"/>
      <c r="C538" s="192"/>
      <c r="D538" s="192"/>
      <c r="E538" s="192"/>
      <c r="F538" s="192"/>
      <c r="G538" s="192"/>
      <c r="H538" s="192"/>
      <c r="I538" s="192"/>
      <c r="J538" s="192"/>
    </row>
    <row r="539">
      <c r="A539" s="192"/>
      <c r="B539" s="192"/>
      <c r="C539" s="192"/>
      <c r="D539" s="192"/>
      <c r="E539" s="192"/>
      <c r="F539" s="192"/>
      <c r="G539" s="192"/>
      <c r="H539" s="192"/>
      <c r="I539" s="192"/>
      <c r="J539" s="192"/>
    </row>
    <row r="540">
      <c r="A540" s="192"/>
      <c r="B540" s="192"/>
      <c r="C540" s="192"/>
      <c r="D540" s="192"/>
      <c r="E540" s="192"/>
      <c r="F540" s="192"/>
      <c r="G540" s="192"/>
      <c r="H540" s="192"/>
      <c r="I540" s="192"/>
      <c r="J540" s="192"/>
    </row>
    <row r="541">
      <c r="A541" s="192"/>
      <c r="B541" s="192"/>
      <c r="C541" s="192"/>
      <c r="D541" s="192"/>
      <c r="E541" s="192"/>
      <c r="F541" s="192"/>
      <c r="G541" s="192"/>
      <c r="H541" s="192"/>
      <c r="I541" s="192"/>
      <c r="J541" s="192"/>
    </row>
    <row r="542">
      <c r="A542" s="192"/>
      <c r="B542" s="192"/>
      <c r="C542" s="192"/>
      <c r="D542" s="192"/>
      <c r="E542" s="192"/>
      <c r="F542" s="192"/>
      <c r="G542" s="192"/>
      <c r="H542" s="192"/>
      <c r="I542" s="192"/>
      <c r="J542" s="192"/>
    </row>
    <row r="543">
      <c r="A543" s="192"/>
      <c r="B543" s="192"/>
      <c r="C543" s="192"/>
      <c r="D543" s="192"/>
      <c r="E543" s="192"/>
      <c r="F543" s="192"/>
      <c r="G543" s="192"/>
      <c r="H543" s="192"/>
      <c r="I543" s="192"/>
      <c r="J543" s="192"/>
    </row>
    <row r="544">
      <c r="A544" s="192"/>
      <c r="B544" s="192"/>
      <c r="C544" s="192"/>
      <c r="D544" s="192"/>
      <c r="E544" s="192"/>
      <c r="F544" s="192"/>
      <c r="G544" s="192"/>
      <c r="H544" s="192"/>
      <c r="I544" s="192"/>
      <c r="J544" s="192"/>
    </row>
    <row r="545">
      <c r="A545" s="192"/>
      <c r="B545" s="192"/>
      <c r="C545" s="192"/>
      <c r="D545" s="192"/>
      <c r="E545" s="192"/>
      <c r="F545" s="192"/>
      <c r="G545" s="192"/>
      <c r="H545" s="192"/>
      <c r="I545" s="192"/>
      <c r="J545" s="192"/>
    </row>
    <row r="546">
      <c r="A546" s="192"/>
      <c r="B546" s="192"/>
      <c r="C546" s="192"/>
      <c r="D546" s="192"/>
      <c r="E546" s="192"/>
      <c r="F546" s="192"/>
      <c r="G546" s="192"/>
      <c r="H546" s="192"/>
      <c r="I546" s="192"/>
      <c r="J546" s="192"/>
    </row>
    <row r="547">
      <c r="A547" s="192"/>
      <c r="B547" s="192"/>
      <c r="C547" s="192"/>
      <c r="D547" s="192"/>
      <c r="E547" s="192"/>
      <c r="F547" s="192"/>
      <c r="G547" s="192"/>
      <c r="H547" s="192"/>
      <c r="I547" s="192"/>
      <c r="J547" s="192"/>
    </row>
    <row r="548">
      <c r="A548" s="192"/>
      <c r="B548" s="192"/>
      <c r="C548" s="192"/>
      <c r="D548" s="192"/>
      <c r="E548" s="192"/>
      <c r="F548" s="192"/>
      <c r="G548" s="192"/>
      <c r="H548" s="192"/>
      <c r="I548" s="192"/>
      <c r="J548" s="192"/>
    </row>
    <row r="549">
      <c r="A549" s="192"/>
      <c r="B549" s="192"/>
      <c r="C549" s="192"/>
      <c r="D549" s="192"/>
      <c r="E549" s="192"/>
      <c r="F549" s="192"/>
      <c r="G549" s="192"/>
      <c r="H549" s="192"/>
      <c r="I549" s="192"/>
      <c r="J549" s="192"/>
    </row>
    <row r="550">
      <c r="A550" s="192"/>
      <c r="B550" s="192"/>
      <c r="C550" s="192"/>
      <c r="D550" s="192"/>
      <c r="E550" s="192"/>
      <c r="F550" s="192"/>
      <c r="G550" s="192"/>
      <c r="H550" s="192"/>
      <c r="I550" s="192"/>
      <c r="J550" s="192"/>
    </row>
    <row r="551">
      <c r="A551" s="192"/>
      <c r="B551" s="192"/>
      <c r="C551" s="192"/>
      <c r="D551" s="192"/>
      <c r="E551" s="192"/>
      <c r="F551" s="192"/>
      <c r="G551" s="192"/>
      <c r="H551" s="192"/>
      <c r="I551" s="192"/>
      <c r="J551" s="192"/>
    </row>
    <row r="552">
      <c r="A552" s="192"/>
      <c r="B552" s="192"/>
      <c r="C552" s="192"/>
      <c r="D552" s="192"/>
      <c r="E552" s="192"/>
      <c r="F552" s="192"/>
      <c r="G552" s="192"/>
      <c r="H552" s="192"/>
      <c r="I552" s="192"/>
      <c r="J552" s="192"/>
    </row>
    <row r="553">
      <c r="A553" s="192"/>
      <c r="B553" s="192"/>
      <c r="C553" s="192"/>
      <c r="D553" s="192"/>
      <c r="E553" s="192"/>
      <c r="F553" s="192"/>
      <c r="G553" s="192"/>
      <c r="H553" s="192"/>
      <c r="I553" s="192"/>
      <c r="J553" s="192"/>
    </row>
    <row r="554">
      <c r="A554" s="192"/>
      <c r="B554" s="192"/>
      <c r="C554" s="192"/>
      <c r="D554" s="192"/>
      <c r="E554" s="192"/>
      <c r="F554" s="192"/>
      <c r="G554" s="192"/>
      <c r="H554" s="192"/>
      <c r="I554" s="192"/>
      <c r="J554" s="192"/>
    </row>
    <row r="555">
      <c r="A555" s="192"/>
      <c r="B555" s="192"/>
      <c r="C555" s="192"/>
      <c r="D555" s="192"/>
      <c r="E555" s="192"/>
      <c r="F555" s="192"/>
      <c r="G555" s="192"/>
      <c r="H555" s="192"/>
      <c r="I555" s="192"/>
      <c r="J555" s="192"/>
    </row>
    <row r="556">
      <c r="A556" s="192"/>
      <c r="B556" s="192"/>
      <c r="C556" s="192"/>
      <c r="D556" s="192"/>
      <c r="E556" s="192"/>
      <c r="F556" s="192"/>
      <c r="G556" s="192"/>
      <c r="H556" s="192"/>
      <c r="I556" s="192"/>
      <c r="J556" s="192"/>
    </row>
    <row r="557">
      <c r="A557" s="192"/>
      <c r="B557" s="192"/>
      <c r="C557" s="192"/>
      <c r="D557" s="192"/>
      <c r="E557" s="192"/>
      <c r="F557" s="192"/>
      <c r="G557" s="192"/>
      <c r="H557" s="192"/>
      <c r="I557" s="192"/>
      <c r="J557" s="192"/>
    </row>
    <row r="558">
      <c r="A558" s="192"/>
      <c r="B558" s="192"/>
      <c r="C558" s="192"/>
      <c r="D558" s="192"/>
      <c r="E558" s="192"/>
      <c r="F558" s="192"/>
      <c r="G558" s="192"/>
      <c r="H558" s="192"/>
      <c r="I558" s="192"/>
      <c r="J558" s="192"/>
    </row>
    <row r="559">
      <c r="A559" s="192"/>
      <c r="B559" s="192"/>
      <c r="C559" s="192"/>
      <c r="D559" s="192"/>
      <c r="E559" s="192"/>
      <c r="F559" s="192"/>
      <c r="G559" s="192"/>
      <c r="H559" s="192"/>
      <c r="I559" s="192"/>
      <c r="J559" s="192"/>
    </row>
    <row r="560">
      <c r="A560" s="192"/>
      <c r="B560" s="192"/>
      <c r="C560" s="192"/>
      <c r="D560" s="192"/>
      <c r="E560" s="192"/>
      <c r="F560" s="192"/>
      <c r="G560" s="192"/>
      <c r="H560" s="192"/>
      <c r="I560" s="192"/>
      <c r="J560" s="192"/>
    </row>
    <row r="561">
      <c r="A561" s="192"/>
      <c r="B561" s="192"/>
      <c r="C561" s="192"/>
      <c r="D561" s="192"/>
      <c r="E561" s="192"/>
      <c r="F561" s="192"/>
      <c r="G561" s="192"/>
      <c r="H561" s="192"/>
      <c r="I561" s="192"/>
      <c r="J561" s="192"/>
    </row>
    <row r="562">
      <c r="A562" s="192"/>
      <c r="B562" s="192"/>
      <c r="C562" s="192"/>
      <c r="D562" s="192"/>
      <c r="E562" s="192"/>
      <c r="F562" s="192"/>
      <c r="G562" s="192"/>
      <c r="H562" s="192"/>
      <c r="I562" s="192"/>
      <c r="J562" s="192"/>
    </row>
    <row r="563">
      <c r="A563" s="192"/>
      <c r="B563" s="192"/>
      <c r="C563" s="192"/>
      <c r="D563" s="192"/>
      <c r="E563" s="192"/>
      <c r="F563" s="192"/>
      <c r="G563" s="192"/>
      <c r="H563" s="192"/>
      <c r="I563" s="192"/>
      <c r="J563" s="192"/>
    </row>
    <row r="564">
      <c r="A564" s="192"/>
      <c r="B564" s="192"/>
      <c r="C564" s="192"/>
      <c r="D564" s="192"/>
      <c r="E564" s="192"/>
      <c r="F564" s="192"/>
      <c r="G564" s="192"/>
      <c r="H564" s="192"/>
      <c r="I564" s="192"/>
      <c r="J564" s="192"/>
    </row>
    <row r="565">
      <c r="A565" s="192"/>
      <c r="B565" s="192"/>
      <c r="C565" s="192"/>
      <c r="D565" s="192"/>
      <c r="E565" s="192"/>
      <c r="F565" s="192"/>
      <c r="G565" s="192"/>
      <c r="H565" s="192"/>
      <c r="I565" s="192"/>
      <c r="J565" s="192"/>
    </row>
    <row r="566">
      <c r="A566" s="192"/>
      <c r="B566" s="192"/>
      <c r="C566" s="192"/>
      <c r="D566" s="192"/>
      <c r="E566" s="192"/>
      <c r="F566" s="192"/>
      <c r="G566" s="192"/>
      <c r="H566" s="192"/>
      <c r="I566" s="192"/>
      <c r="J566" s="192"/>
    </row>
    <row r="567">
      <c r="A567" s="192"/>
      <c r="B567" s="192"/>
      <c r="C567" s="192"/>
      <c r="D567" s="192"/>
      <c r="E567" s="192"/>
      <c r="F567" s="192"/>
      <c r="G567" s="192"/>
      <c r="H567" s="192"/>
      <c r="I567" s="192"/>
      <c r="J567" s="192"/>
    </row>
    <row r="568">
      <c r="A568" s="192"/>
      <c r="B568" s="192"/>
      <c r="C568" s="192"/>
      <c r="D568" s="192"/>
      <c r="E568" s="192"/>
      <c r="F568" s="192"/>
      <c r="G568" s="192"/>
      <c r="H568" s="192"/>
      <c r="I568" s="192"/>
      <c r="J568" s="192"/>
    </row>
    <row r="569">
      <c r="A569" s="192"/>
      <c r="B569" s="192"/>
      <c r="C569" s="192"/>
      <c r="D569" s="192"/>
      <c r="E569" s="192"/>
      <c r="F569" s="192"/>
      <c r="G569" s="192"/>
      <c r="H569" s="192"/>
      <c r="I569" s="192"/>
      <c r="J569" s="192"/>
    </row>
    <row r="570">
      <c r="A570" s="192"/>
      <c r="B570" s="192"/>
      <c r="C570" s="192"/>
      <c r="D570" s="192"/>
      <c r="E570" s="192"/>
      <c r="F570" s="192"/>
      <c r="G570" s="192"/>
      <c r="H570" s="192"/>
      <c r="I570" s="192"/>
      <c r="J570" s="192"/>
    </row>
    <row r="571">
      <c r="A571" s="192"/>
      <c r="B571" s="192"/>
      <c r="C571" s="192"/>
      <c r="D571" s="192"/>
      <c r="E571" s="192"/>
      <c r="F571" s="192"/>
      <c r="G571" s="192"/>
      <c r="H571" s="192"/>
      <c r="I571" s="192"/>
      <c r="J571" s="192"/>
    </row>
    <row r="572">
      <c r="A572" s="192"/>
      <c r="B572" s="192"/>
      <c r="C572" s="192"/>
      <c r="D572" s="192"/>
      <c r="E572" s="192"/>
      <c r="F572" s="192"/>
      <c r="G572" s="192"/>
      <c r="H572" s="192"/>
      <c r="I572" s="192"/>
      <c r="J572" s="192"/>
    </row>
    <row r="573">
      <c r="A573" s="192"/>
      <c r="B573" s="192"/>
      <c r="C573" s="192"/>
      <c r="D573" s="192"/>
      <c r="E573" s="192"/>
      <c r="F573" s="192"/>
      <c r="G573" s="192"/>
      <c r="H573" s="192"/>
      <c r="I573" s="192"/>
      <c r="J573" s="192"/>
    </row>
    <row r="574">
      <c r="A574" s="192"/>
      <c r="B574" s="192"/>
      <c r="C574" s="192"/>
      <c r="D574" s="192"/>
      <c r="E574" s="192"/>
      <c r="F574" s="192"/>
      <c r="G574" s="192"/>
      <c r="H574" s="192"/>
      <c r="I574" s="192"/>
      <c r="J574" s="192"/>
    </row>
    <row r="575">
      <c r="A575" s="192"/>
      <c r="B575" s="192"/>
      <c r="C575" s="192"/>
      <c r="D575" s="192"/>
      <c r="E575" s="192"/>
      <c r="F575" s="192"/>
      <c r="G575" s="192"/>
      <c r="H575" s="192"/>
      <c r="I575" s="192"/>
      <c r="J575" s="192"/>
    </row>
    <row r="576">
      <c r="A576" s="192"/>
      <c r="B576" s="192"/>
      <c r="C576" s="192"/>
      <c r="D576" s="192"/>
      <c r="E576" s="192"/>
      <c r="F576" s="192"/>
      <c r="G576" s="192"/>
      <c r="H576" s="192"/>
      <c r="I576" s="192"/>
      <c r="J576" s="192"/>
    </row>
    <row r="577">
      <c r="A577" s="192"/>
      <c r="B577" s="192"/>
      <c r="C577" s="192"/>
      <c r="D577" s="192"/>
      <c r="E577" s="192"/>
      <c r="F577" s="192"/>
      <c r="G577" s="192"/>
      <c r="H577" s="192"/>
      <c r="I577" s="192"/>
      <c r="J577" s="192"/>
    </row>
    <row r="578">
      <c r="A578" s="192"/>
      <c r="B578" s="192"/>
      <c r="C578" s="192"/>
      <c r="D578" s="192"/>
      <c r="E578" s="192"/>
      <c r="F578" s="192"/>
      <c r="G578" s="192"/>
      <c r="H578" s="192"/>
      <c r="I578" s="192"/>
      <c r="J578" s="192"/>
    </row>
    <row r="579">
      <c r="A579" s="192"/>
      <c r="B579" s="192"/>
      <c r="C579" s="192"/>
      <c r="D579" s="192"/>
      <c r="E579" s="192"/>
      <c r="F579" s="192"/>
      <c r="G579" s="192"/>
      <c r="H579" s="192"/>
      <c r="I579" s="192"/>
      <c r="J579" s="192"/>
    </row>
    <row r="580">
      <c r="A580" s="192"/>
      <c r="B580" s="192"/>
      <c r="C580" s="192"/>
      <c r="D580" s="192"/>
      <c r="E580" s="192"/>
      <c r="F580" s="192"/>
      <c r="G580" s="192"/>
      <c r="H580" s="192"/>
      <c r="I580" s="192"/>
      <c r="J580" s="192"/>
    </row>
    <row r="581">
      <c r="A581" s="192"/>
      <c r="B581" s="192"/>
      <c r="C581" s="192"/>
      <c r="D581" s="192"/>
      <c r="E581" s="192"/>
      <c r="F581" s="192"/>
      <c r="G581" s="192"/>
      <c r="H581" s="192"/>
      <c r="I581" s="192"/>
      <c r="J581" s="192"/>
    </row>
    <row r="582">
      <c r="A582" s="192"/>
      <c r="B582" s="192"/>
      <c r="C582" s="192"/>
      <c r="D582" s="192"/>
      <c r="E582" s="192"/>
      <c r="F582" s="192"/>
      <c r="G582" s="192"/>
      <c r="H582" s="192"/>
      <c r="I582" s="192"/>
      <c r="J582" s="192"/>
    </row>
    <row r="583">
      <c r="A583" s="192"/>
      <c r="B583" s="192"/>
      <c r="C583" s="192"/>
      <c r="D583" s="192"/>
      <c r="E583" s="192"/>
      <c r="F583" s="192"/>
      <c r="G583" s="192"/>
      <c r="H583" s="192"/>
      <c r="I583" s="192"/>
      <c r="J583" s="192"/>
    </row>
    <row r="584">
      <c r="A584" s="192"/>
      <c r="B584" s="192"/>
      <c r="C584" s="192"/>
      <c r="D584" s="192"/>
      <c r="E584" s="192"/>
      <c r="F584" s="192"/>
      <c r="G584" s="192"/>
      <c r="H584" s="192"/>
      <c r="I584" s="192"/>
      <c r="J584" s="192"/>
    </row>
    <row r="585">
      <c r="A585" s="192"/>
      <c r="B585" s="192"/>
      <c r="C585" s="192"/>
      <c r="D585" s="192"/>
      <c r="E585" s="192"/>
      <c r="F585" s="192"/>
      <c r="G585" s="192"/>
      <c r="H585" s="192"/>
      <c r="I585" s="192"/>
      <c r="J585" s="192"/>
    </row>
    <row r="586">
      <c r="A586" s="192"/>
      <c r="B586" s="192"/>
      <c r="C586" s="192"/>
      <c r="D586" s="192"/>
      <c r="E586" s="192"/>
      <c r="F586" s="192"/>
      <c r="G586" s="192"/>
      <c r="H586" s="192"/>
      <c r="I586" s="192"/>
      <c r="J586" s="192"/>
    </row>
    <row r="587">
      <c r="A587" s="192"/>
      <c r="B587" s="192"/>
      <c r="C587" s="192"/>
      <c r="D587" s="192"/>
      <c r="E587" s="192"/>
      <c r="F587" s="192"/>
      <c r="G587" s="192"/>
      <c r="H587" s="192"/>
      <c r="I587" s="192"/>
      <c r="J587" s="192"/>
    </row>
    <row r="588">
      <c r="A588" s="192"/>
      <c r="B588" s="192"/>
      <c r="C588" s="192"/>
      <c r="D588" s="192"/>
      <c r="E588" s="192"/>
      <c r="F588" s="192"/>
      <c r="G588" s="192"/>
      <c r="H588" s="192"/>
      <c r="I588" s="192"/>
      <c r="J588" s="192"/>
    </row>
    <row r="589">
      <c r="A589" s="192"/>
      <c r="B589" s="192"/>
      <c r="C589" s="192"/>
      <c r="D589" s="192"/>
      <c r="E589" s="192"/>
      <c r="F589" s="192"/>
      <c r="G589" s="192"/>
      <c r="H589" s="192"/>
      <c r="I589" s="192"/>
      <c r="J589" s="192"/>
    </row>
    <row r="590">
      <c r="A590" s="192"/>
      <c r="B590" s="192"/>
      <c r="C590" s="192"/>
      <c r="D590" s="192"/>
      <c r="E590" s="192"/>
      <c r="F590" s="192"/>
      <c r="G590" s="192"/>
      <c r="H590" s="192"/>
      <c r="I590" s="192"/>
      <c r="J590" s="192"/>
    </row>
    <row r="591">
      <c r="A591" s="192"/>
      <c r="B591" s="192"/>
      <c r="C591" s="192"/>
      <c r="D591" s="192"/>
      <c r="E591" s="192"/>
      <c r="F591" s="192"/>
      <c r="G591" s="192"/>
      <c r="H591" s="192"/>
      <c r="I591" s="192"/>
      <c r="J591" s="192"/>
    </row>
    <row r="592">
      <c r="A592" s="192"/>
      <c r="B592" s="192"/>
      <c r="C592" s="192"/>
      <c r="D592" s="192"/>
      <c r="E592" s="192"/>
      <c r="F592" s="192"/>
      <c r="G592" s="192"/>
      <c r="H592" s="192"/>
      <c r="I592" s="192"/>
      <c r="J592" s="192"/>
    </row>
    <row r="593">
      <c r="A593" s="192"/>
      <c r="B593" s="192"/>
      <c r="C593" s="192"/>
      <c r="D593" s="192"/>
      <c r="E593" s="192"/>
      <c r="F593" s="192"/>
      <c r="G593" s="192"/>
      <c r="H593" s="192"/>
      <c r="I593" s="192"/>
      <c r="J593" s="192"/>
    </row>
    <row r="594">
      <c r="A594" s="192"/>
      <c r="B594" s="192"/>
      <c r="C594" s="192"/>
      <c r="D594" s="192"/>
      <c r="E594" s="192"/>
      <c r="F594" s="192"/>
      <c r="G594" s="192"/>
      <c r="H594" s="192"/>
      <c r="I594" s="192"/>
      <c r="J594" s="192"/>
    </row>
    <row r="595">
      <c r="A595" s="192"/>
      <c r="B595" s="192"/>
      <c r="C595" s="192"/>
      <c r="D595" s="192"/>
      <c r="E595" s="192"/>
      <c r="F595" s="192"/>
      <c r="G595" s="192"/>
      <c r="H595" s="192"/>
      <c r="I595" s="192"/>
      <c r="J595" s="192"/>
    </row>
    <row r="596">
      <c r="A596" s="192"/>
      <c r="B596" s="192"/>
      <c r="C596" s="192"/>
      <c r="D596" s="192"/>
      <c r="E596" s="192"/>
      <c r="F596" s="192"/>
      <c r="G596" s="192"/>
      <c r="H596" s="192"/>
      <c r="I596" s="192"/>
      <c r="J596" s="192"/>
    </row>
    <row r="597">
      <c r="A597" s="192"/>
      <c r="B597" s="192"/>
      <c r="C597" s="192"/>
      <c r="D597" s="192"/>
      <c r="E597" s="192"/>
      <c r="F597" s="192"/>
      <c r="G597" s="192"/>
      <c r="H597" s="192"/>
      <c r="I597" s="192"/>
      <c r="J597" s="192"/>
    </row>
    <row r="598">
      <c r="A598" s="192"/>
      <c r="B598" s="192"/>
      <c r="C598" s="192"/>
      <c r="D598" s="192"/>
      <c r="E598" s="192"/>
      <c r="F598" s="192"/>
      <c r="G598" s="192"/>
      <c r="H598" s="192"/>
      <c r="I598" s="192"/>
      <c r="J598" s="192"/>
    </row>
    <row r="599">
      <c r="A599" s="192"/>
      <c r="B599" s="192"/>
      <c r="C599" s="192"/>
      <c r="D599" s="192"/>
      <c r="E599" s="192"/>
      <c r="F599" s="192"/>
      <c r="G599" s="192"/>
      <c r="H599" s="192"/>
      <c r="I599" s="192"/>
      <c r="J599" s="192"/>
    </row>
    <row r="600">
      <c r="A600" s="192"/>
      <c r="B600" s="192"/>
      <c r="C600" s="192"/>
      <c r="D600" s="192"/>
      <c r="E600" s="192"/>
      <c r="F600" s="192"/>
      <c r="G600" s="192"/>
      <c r="H600" s="192"/>
      <c r="I600" s="192"/>
      <c r="J600" s="192"/>
    </row>
    <row r="601">
      <c r="A601" s="192"/>
      <c r="B601" s="192"/>
      <c r="C601" s="192"/>
      <c r="D601" s="192"/>
      <c r="E601" s="192"/>
      <c r="F601" s="192"/>
      <c r="G601" s="192"/>
      <c r="H601" s="192"/>
      <c r="I601" s="192"/>
      <c r="J601" s="192"/>
    </row>
    <row r="602">
      <c r="A602" s="192"/>
      <c r="B602" s="192"/>
      <c r="C602" s="192"/>
      <c r="D602" s="192"/>
      <c r="E602" s="192"/>
      <c r="F602" s="192"/>
      <c r="G602" s="192"/>
      <c r="H602" s="192"/>
      <c r="I602" s="192"/>
      <c r="J602" s="192"/>
    </row>
    <row r="603">
      <c r="A603" s="192"/>
      <c r="B603" s="192"/>
      <c r="C603" s="192"/>
      <c r="D603" s="192"/>
      <c r="E603" s="192"/>
      <c r="F603" s="192"/>
      <c r="G603" s="192"/>
      <c r="H603" s="192"/>
      <c r="I603" s="192"/>
      <c r="J603" s="192"/>
    </row>
    <row r="604">
      <c r="A604" s="192"/>
      <c r="B604" s="192"/>
      <c r="C604" s="192"/>
      <c r="D604" s="192"/>
      <c r="E604" s="192"/>
      <c r="F604" s="192"/>
      <c r="G604" s="192"/>
      <c r="H604" s="192"/>
      <c r="I604" s="192"/>
      <c r="J604" s="192"/>
    </row>
    <row r="605">
      <c r="A605" s="192"/>
      <c r="B605" s="192"/>
      <c r="C605" s="192"/>
      <c r="D605" s="192"/>
      <c r="E605" s="192"/>
      <c r="F605" s="192"/>
      <c r="G605" s="192"/>
      <c r="H605" s="192"/>
      <c r="I605" s="192"/>
      <c r="J605" s="192"/>
    </row>
    <row r="606">
      <c r="A606" s="192"/>
      <c r="B606" s="192"/>
      <c r="C606" s="192"/>
      <c r="D606" s="192"/>
      <c r="E606" s="192"/>
      <c r="F606" s="192"/>
      <c r="G606" s="192"/>
      <c r="H606" s="192"/>
      <c r="I606" s="192"/>
      <c r="J606" s="192"/>
    </row>
    <row r="607">
      <c r="A607" s="192"/>
      <c r="B607" s="192"/>
      <c r="C607" s="192"/>
      <c r="D607" s="192"/>
      <c r="E607" s="192"/>
      <c r="F607" s="192"/>
      <c r="G607" s="192"/>
      <c r="H607" s="192"/>
      <c r="I607" s="192"/>
      <c r="J607" s="192"/>
    </row>
    <row r="608">
      <c r="A608" s="192"/>
      <c r="B608" s="192"/>
      <c r="C608" s="192"/>
      <c r="D608" s="192"/>
      <c r="E608" s="192"/>
      <c r="F608" s="192"/>
      <c r="G608" s="192"/>
      <c r="H608" s="192"/>
      <c r="I608" s="192"/>
      <c r="J608" s="192"/>
    </row>
    <row r="609">
      <c r="A609" s="192"/>
      <c r="B609" s="192"/>
      <c r="C609" s="192"/>
      <c r="D609" s="192"/>
      <c r="E609" s="192"/>
      <c r="F609" s="192"/>
      <c r="G609" s="192"/>
      <c r="H609" s="192"/>
      <c r="I609" s="192"/>
      <c r="J609" s="192"/>
    </row>
    <row r="610">
      <c r="A610" s="192"/>
      <c r="B610" s="192"/>
      <c r="C610" s="192"/>
      <c r="D610" s="192"/>
      <c r="E610" s="192"/>
      <c r="F610" s="192"/>
      <c r="G610" s="192"/>
      <c r="H610" s="192"/>
      <c r="I610" s="192"/>
      <c r="J610" s="192"/>
    </row>
    <row r="611">
      <c r="A611" s="192"/>
      <c r="B611" s="192"/>
      <c r="C611" s="192"/>
      <c r="D611" s="192"/>
      <c r="E611" s="192"/>
      <c r="F611" s="192"/>
      <c r="G611" s="192"/>
      <c r="H611" s="192"/>
      <c r="I611" s="192"/>
      <c r="J611" s="192"/>
    </row>
    <row r="612">
      <c r="A612" s="192"/>
      <c r="B612" s="192"/>
      <c r="C612" s="192"/>
      <c r="D612" s="192"/>
      <c r="E612" s="192"/>
      <c r="F612" s="192"/>
      <c r="G612" s="192"/>
      <c r="H612" s="192"/>
      <c r="I612" s="192"/>
      <c r="J612" s="192"/>
    </row>
    <row r="613">
      <c r="A613" s="192"/>
      <c r="B613" s="192"/>
      <c r="C613" s="192"/>
      <c r="D613" s="192"/>
      <c r="E613" s="192"/>
      <c r="F613" s="192"/>
      <c r="G613" s="192"/>
      <c r="H613" s="192"/>
      <c r="I613" s="192"/>
      <c r="J613" s="192"/>
    </row>
    <row r="614">
      <c r="A614" s="192"/>
      <c r="B614" s="192"/>
      <c r="C614" s="192"/>
      <c r="D614" s="192"/>
      <c r="E614" s="192"/>
      <c r="F614" s="192"/>
      <c r="G614" s="192"/>
      <c r="H614" s="192"/>
      <c r="I614" s="192"/>
      <c r="J614" s="192"/>
    </row>
    <row r="615">
      <c r="A615" s="192"/>
      <c r="B615" s="192"/>
      <c r="C615" s="192"/>
      <c r="D615" s="192"/>
      <c r="E615" s="192"/>
      <c r="F615" s="192"/>
      <c r="G615" s="192"/>
      <c r="H615" s="192"/>
      <c r="I615" s="192"/>
      <c r="J615" s="192"/>
    </row>
    <row r="616">
      <c r="A616" s="192"/>
      <c r="B616" s="192"/>
      <c r="C616" s="192"/>
      <c r="D616" s="192"/>
      <c r="E616" s="192"/>
      <c r="F616" s="192"/>
      <c r="G616" s="192"/>
      <c r="H616" s="192"/>
      <c r="I616" s="192"/>
      <c r="J616" s="192"/>
    </row>
    <row r="617">
      <c r="A617" s="192"/>
      <c r="B617" s="192"/>
      <c r="C617" s="192"/>
      <c r="D617" s="192"/>
      <c r="E617" s="192"/>
      <c r="F617" s="192"/>
      <c r="G617" s="192"/>
      <c r="H617" s="192"/>
      <c r="I617" s="192"/>
      <c r="J617" s="192"/>
    </row>
    <row r="618">
      <c r="A618" s="192"/>
      <c r="B618" s="192"/>
      <c r="C618" s="192"/>
      <c r="D618" s="192"/>
      <c r="E618" s="192"/>
      <c r="F618" s="192"/>
      <c r="G618" s="192"/>
      <c r="H618" s="192"/>
      <c r="I618" s="192"/>
      <c r="J618" s="192"/>
    </row>
    <row r="619">
      <c r="A619" s="192"/>
      <c r="B619" s="192"/>
      <c r="C619" s="192"/>
      <c r="D619" s="192"/>
      <c r="E619" s="192"/>
      <c r="F619" s="192"/>
      <c r="G619" s="192"/>
      <c r="H619" s="192"/>
      <c r="I619" s="192"/>
      <c r="J619" s="192"/>
    </row>
    <row r="620">
      <c r="A620" s="192"/>
      <c r="B620" s="192"/>
      <c r="C620" s="192"/>
      <c r="D620" s="192"/>
      <c r="E620" s="192"/>
      <c r="F620" s="192"/>
      <c r="G620" s="192"/>
      <c r="H620" s="192"/>
      <c r="I620" s="192"/>
      <c r="J620" s="192"/>
    </row>
    <row r="621">
      <c r="A621" s="192"/>
      <c r="B621" s="192"/>
      <c r="C621" s="192"/>
      <c r="D621" s="192"/>
      <c r="E621" s="192"/>
      <c r="F621" s="192"/>
      <c r="G621" s="192"/>
      <c r="H621" s="192"/>
      <c r="I621" s="192"/>
      <c r="J621" s="192"/>
    </row>
    <row r="622">
      <c r="A622" s="192"/>
      <c r="B622" s="192"/>
      <c r="C622" s="192"/>
      <c r="D622" s="192"/>
      <c r="E622" s="192"/>
      <c r="F622" s="192"/>
      <c r="G622" s="192"/>
      <c r="H622" s="192"/>
      <c r="I622" s="192"/>
      <c r="J622" s="192"/>
    </row>
    <row r="623">
      <c r="A623" s="192"/>
      <c r="B623" s="192"/>
      <c r="C623" s="192"/>
      <c r="D623" s="192"/>
      <c r="E623" s="192"/>
      <c r="F623" s="192"/>
      <c r="G623" s="192"/>
      <c r="H623" s="192"/>
      <c r="I623" s="192"/>
      <c r="J623" s="192"/>
    </row>
    <row r="624">
      <c r="A624" s="192"/>
      <c r="B624" s="192"/>
      <c r="C624" s="192"/>
      <c r="D624" s="192"/>
      <c r="E624" s="192"/>
      <c r="F624" s="192"/>
      <c r="G624" s="192"/>
      <c r="H624" s="192"/>
      <c r="I624" s="192"/>
      <c r="J624" s="192"/>
    </row>
    <row r="625">
      <c r="A625" s="192"/>
      <c r="B625" s="192"/>
      <c r="C625" s="192"/>
      <c r="D625" s="192"/>
      <c r="E625" s="192"/>
      <c r="F625" s="192"/>
      <c r="G625" s="192"/>
      <c r="H625" s="192"/>
      <c r="I625" s="192"/>
      <c r="J625" s="192"/>
    </row>
    <row r="626">
      <c r="A626" s="192"/>
      <c r="B626" s="192"/>
      <c r="C626" s="192"/>
      <c r="D626" s="192"/>
      <c r="E626" s="192"/>
      <c r="F626" s="192"/>
      <c r="G626" s="192"/>
      <c r="H626" s="192"/>
      <c r="I626" s="192"/>
      <c r="J626" s="192"/>
    </row>
    <row r="627">
      <c r="A627" s="192"/>
      <c r="B627" s="192"/>
      <c r="C627" s="192"/>
      <c r="D627" s="192"/>
      <c r="E627" s="192"/>
      <c r="F627" s="192"/>
      <c r="G627" s="192"/>
      <c r="H627" s="192"/>
      <c r="I627" s="192"/>
      <c r="J627" s="192"/>
    </row>
    <row r="628">
      <c r="A628" s="192"/>
      <c r="B628" s="192"/>
      <c r="C628" s="192"/>
      <c r="D628" s="192"/>
      <c r="E628" s="192"/>
      <c r="F628" s="192"/>
      <c r="G628" s="192"/>
      <c r="H628" s="192"/>
      <c r="I628" s="192"/>
      <c r="J628" s="192"/>
    </row>
    <row r="629">
      <c r="A629" s="192"/>
      <c r="B629" s="192"/>
      <c r="C629" s="192"/>
      <c r="D629" s="192"/>
      <c r="E629" s="192"/>
      <c r="F629" s="192"/>
      <c r="G629" s="192"/>
      <c r="H629" s="192"/>
      <c r="I629" s="192"/>
      <c r="J629" s="192"/>
    </row>
    <row r="630">
      <c r="A630" s="192"/>
      <c r="B630" s="192"/>
      <c r="C630" s="192"/>
      <c r="D630" s="192"/>
      <c r="E630" s="192"/>
      <c r="F630" s="192"/>
      <c r="G630" s="192"/>
      <c r="H630" s="192"/>
      <c r="I630" s="192"/>
      <c r="J630" s="192"/>
    </row>
    <row r="631">
      <c r="A631" s="192"/>
      <c r="B631" s="192"/>
      <c r="C631" s="192"/>
      <c r="D631" s="192"/>
      <c r="E631" s="192"/>
      <c r="F631" s="192"/>
      <c r="G631" s="192"/>
      <c r="H631" s="192"/>
      <c r="I631" s="192"/>
      <c r="J631" s="192"/>
    </row>
    <row r="632">
      <c r="A632" s="192"/>
      <c r="B632" s="192"/>
      <c r="C632" s="192"/>
      <c r="D632" s="192"/>
      <c r="E632" s="192"/>
      <c r="F632" s="192"/>
      <c r="G632" s="192"/>
      <c r="H632" s="192"/>
      <c r="I632" s="192"/>
      <c r="J632" s="192"/>
    </row>
    <row r="633">
      <c r="A633" s="192"/>
      <c r="B633" s="192"/>
      <c r="C633" s="192"/>
      <c r="D633" s="192"/>
      <c r="E633" s="192"/>
      <c r="F633" s="192"/>
      <c r="G633" s="192"/>
      <c r="H633" s="192"/>
      <c r="I633" s="192"/>
      <c r="J633" s="192"/>
    </row>
    <row r="634">
      <c r="A634" s="192"/>
      <c r="B634" s="192"/>
      <c r="C634" s="192"/>
      <c r="D634" s="192"/>
      <c r="E634" s="192"/>
      <c r="F634" s="192"/>
      <c r="G634" s="192"/>
      <c r="H634" s="192"/>
      <c r="I634" s="192"/>
      <c r="J634" s="192"/>
    </row>
    <row r="635">
      <c r="A635" s="192"/>
      <c r="B635" s="192"/>
      <c r="C635" s="192"/>
      <c r="D635" s="192"/>
      <c r="E635" s="192"/>
      <c r="F635" s="192"/>
      <c r="G635" s="192"/>
      <c r="H635" s="192"/>
      <c r="I635" s="192"/>
      <c r="J635" s="192"/>
    </row>
    <row r="636">
      <c r="A636" s="192"/>
      <c r="B636" s="192"/>
      <c r="C636" s="192"/>
      <c r="D636" s="192"/>
      <c r="E636" s="192"/>
      <c r="F636" s="192"/>
      <c r="G636" s="192"/>
      <c r="H636" s="192"/>
      <c r="I636" s="192"/>
      <c r="J636" s="192"/>
    </row>
    <row r="637">
      <c r="A637" s="192"/>
      <c r="B637" s="192"/>
      <c r="C637" s="192"/>
      <c r="D637" s="192"/>
      <c r="E637" s="192"/>
      <c r="F637" s="192"/>
      <c r="G637" s="192"/>
      <c r="H637" s="192"/>
      <c r="I637" s="192"/>
      <c r="J637" s="192"/>
    </row>
    <row r="638">
      <c r="A638" s="192"/>
      <c r="B638" s="192"/>
      <c r="C638" s="192"/>
      <c r="D638" s="192"/>
      <c r="E638" s="192"/>
      <c r="F638" s="192"/>
      <c r="G638" s="192"/>
      <c r="H638" s="192"/>
      <c r="I638" s="192"/>
      <c r="J638" s="192"/>
    </row>
    <row r="639">
      <c r="A639" s="192"/>
      <c r="B639" s="192"/>
      <c r="C639" s="192"/>
      <c r="D639" s="192"/>
      <c r="E639" s="192"/>
      <c r="F639" s="192"/>
      <c r="G639" s="192"/>
      <c r="H639" s="192"/>
      <c r="I639" s="192"/>
      <c r="J639" s="192"/>
    </row>
    <row r="640">
      <c r="A640" s="192"/>
      <c r="B640" s="192"/>
      <c r="C640" s="192"/>
      <c r="D640" s="192"/>
      <c r="E640" s="192"/>
      <c r="F640" s="192"/>
      <c r="G640" s="192"/>
      <c r="H640" s="192"/>
      <c r="I640" s="192"/>
      <c r="J640" s="192"/>
    </row>
    <row r="641">
      <c r="A641" s="192"/>
      <c r="B641" s="192"/>
      <c r="C641" s="192"/>
      <c r="D641" s="192"/>
      <c r="E641" s="192"/>
      <c r="F641" s="192"/>
      <c r="G641" s="192"/>
      <c r="H641" s="192"/>
      <c r="I641" s="192"/>
      <c r="J641" s="192"/>
    </row>
    <row r="642">
      <c r="A642" s="192"/>
      <c r="B642" s="192"/>
      <c r="C642" s="192"/>
      <c r="D642" s="192"/>
      <c r="E642" s="192"/>
      <c r="F642" s="192"/>
      <c r="G642" s="192"/>
      <c r="H642" s="192"/>
      <c r="I642" s="192"/>
      <c r="J642" s="192"/>
    </row>
    <row r="643">
      <c r="A643" s="192"/>
      <c r="B643" s="192"/>
      <c r="C643" s="192"/>
      <c r="D643" s="192"/>
      <c r="E643" s="192"/>
      <c r="F643" s="192"/>
      <c r="G643" s="192"/>
      <c r="H643" s="192"/>
      <c r="I643" s="192"/>
      <c r="J643" s="192"/>
    </row>
    <row r="644">
      <c r="A644" s="192"/>
      <c r="B644" s="192"/>
      <c r="C644" s="192"/>
      <c r="D644" s="192"/>
      <c r="E644" s="192"/>
      <c r="F644" s="192"/>
      <c r="G644" s="192"/>
      <c r="H644" s="192"/>
      <c r="I644" s="192"/>
      <c r="J644" s="192"/>
    </row>
    <row r="645">
      <c r="A645" s="192"/>
      <c r="B645" s="192"/>
      <c r="C645" s="192"/>
      <c r="D645" s="192"/>
      <c r="E645" s="192"/>
      <c r="F645" s="192"/>
      <c r="G645" s="192"/>
      <c r="H645" s="192"/>
      <c r="I645" s="192"/>
      <c r="J645" s="192"/>
    </row>
    <row r="646">
      <c r="A646" s="192"/>
      <c r="B646" s="192"/>
      <c r="C646" s="192"/>
      <c r="D646" s="192"/>
      <c r="E646" s="192"/>
      <c r="F646" s="192"/>
      <c r="G646" s="192"/>
      <c r="H646" s="192"/>
      <c r="I646" s="192"/>
      <c r="J646" s="192"/>
    </row>
    <row r="647">
      <c r="A647" s="192"/>
      <c r="B647" s="192"/>
      <c r="C647" s="192"/>
      <c r="D647" s="192"/>
      <c r="E647" s="192"/>
      <c r="F647" s="192"/>
      <c r="G647" s="192"/>
      <c r="H647" s="192"/>
      <c r="I647" s="192"/>
      <c r="J647" s="192"/>
    </row>
    <row r="648">
      <c r="A648" s="192"/>
      <c r="B648" s="192"/>
      <c r="C648" s="192"/>
      <c r="D648" s="192"/>
      <c r="E648" s="192"/>
      <c r="F648" s="192"/>
      <c r="G648" s="192"/>
      <c r="H648" s="192"/>
      <c r="I648" s="192"/>
      <c r="J648" s="192"/>
    </row>
    <row r="649">
      <c r="A649" s="192"/>
      <c r="B649" s="192"/>
      <c r="C649" s="192"/>
      <c r="D649" s="192"/>
      <c r="E649" s="192"/>
      <c r="F649" s="192"/>
      <c r="G649" s="192"/>
      <c r="H649" s="192"/>
      <c r="I649" s="192"/>
      <c r="J649" s="192"/>
    </row>
    <row r="650">
      <c r="A650" s="192"/>
      <c r="B650" s="192"/>
      <c r="C650" s="192"/>
      <c r="D650" s="192"/>
      <c r="E650" s="192"/>
      <c r="F650" s="192"/>
      <c r="G650" s="192"/>
      <c r="H650" s="192"/>
      <c r="I650" s="192"/>
      <c r="J650" s="192"/>
    </row>
    <row r="651">
      <c r="A651" s="192"/>
      <c r="B651" s="192"/>
      <c r="C651" s="192"/>
      <c r="D651" s="192"/>
      <c r="E651" s="192"/>
      <c r="F651" s="192"/>
      <c r="G651" s="192"/>
      <c r="H651" s="192"/>
      <c r="I651" s="192"/>
      <c r="J651" s="192"/>
    </row>
    <row r="652">
      <c r="A652" s="192"/>
      <c r="B652" s="192"/>
      <c r="C652" s="192"/>
      <c r="D652" s="192"/>
      <c r="E652" s="192"/>
      <c r="F652" s="192"/>
      <c r="G652" s="192"/>
      <c r="H652" s="192"/>
      <c r="I652" s="192"/>
      <c r="J652" s="192"/>
    </row>
    <row r="653">
      <c r="A653" s="192"/>
      <c r="B653" s="192"/>
      <c r="C653" s="192"/>
      <c r="D653" s="192"/>
      <c r="E653" s="192"/>
      <c r="F653" s="192"/>
      <c r="G653" s="192"/>
      <c r="H653" s="192"/>
      <c r="I653" s="192"/>
      <c r="J653" s="192"/>
    </row>
    <row r="654">
      <c r="A654" s="192"/>
      <c r="B654" s="192"/>
      <c r="C654" s="192"/>
      <c r="D654" s="192"/>
      <c r="E654" s="192"/>
      <c r="F654" s="192"/>
      <c r="G654" s="192"/>
      <c r="H654" s="192"/>
      <c r="I654" s="192"/>
      <c r="J654" s="192"/>
    </row>
    <row r="655">
      <c r="A655" s="192"/>
      <c r="B655" s="192"/>
      <c r="C655" s="192"/>
      <c r="D655" s="192"/>
      <c r="E655" s="192"/>
      <c r="F655" s="192"/>
      <c r="G655" s="192"/>
      <c r="H655" s="192"/>
      <c r="I655" s="192"/>
      <c r="J655" s="192"/>
    </row>
    <row r="656">
      <c r="A656" s="192"/>
      <c r="B656" s="192"/>
      <c r="C656" s="192"/>
      <c r="D656" s="192"/>
      <c r="E656" s="192"/>
      <c r="F656" s="192"/>
      <c r="G656" s="192"/>
      <c r="H656" s="192"/>
      <c r="I656" s="192"/>
      <c r="J656" s="192"/>
    </row>
    <row r="657">
      <c r="A657" s="192"/>
      <c r="B657" s="192"/>
      <c r="C657" s="192"/>
      <c r="D657" s="192"/>
      <c r="E657" s="192"/>
      <c r="F657" s="192"/>
      <c r="G657" s="192"/>
      <c r="H657" s="192"/>
      <c r="I657" s="192"/>
      <c r="J657" s="192"/>
    </row>
    <row r="658">
      <c r="A658" s="192"/>
      <c r="B658" s="192"/>
      <c r="C658" s="192"/>
      <c r="D658" s="192"/>
      <c r="E658" s="192"/>
      <c r="F658" s="192"/>
      <c r="G658" s="192"/>
      <c r="H658" s="192"/>
      <c r="I658" s="192"/>
      <c r="J658" s="192"/>
    </row>
    <row r="659">
      <c r="A659" s="192"/>
      <c r="B659" s="192"/>
      <c r="C659" s="192"/>
      <c r="D659" s="192"/>
      <c r="E659" s="192"/>
      <c r="F659" s="192"/>
      <c r="G659" s="192"/>
      <c r="H659" s="192"/>
      <c r="I659" s="192"/>
      <c r="J659" s="192"/>
    </row>
    <row r="660">
      <c r="A660" s="192"/>
      <c r="B660" s="192"/>
      <c r="C660" s="192"/>
      <c r="D660" s="192"/>
      <c r="E660" s="192"/>
      <c r="F660" s="192"/>
      <c r="G660" s="192"/>
      <c r="H660" s="192"/>
      <c r="I660" s="192"/>
      <c r="J660" s="192"/>
    </row>
    <row r="661">
      <c r="A661" s="192"/>
      <c r="B661" s="192"/>
      <c r="C661" s="192"/>
      <c r="D661" s="192"/>
      <c r="E661" s="192"/>
      <c r="F661" s="192"/>
      <c r="G661" s="192"/>
      <c r="H661" s="192"/>
      <c r="I661" s="192"/>
      <c r="J661" s="192"/>
    </row>
    <row r="662">
      <c r="A662" s="192"/>
      <c r="B662" s="192"/>
      <c r="C662" s="192"/>
      <c r="D662" s="192"/>
      <c r="E662" s="192"/>
      <c r="F662" s="192"/>
      <c r="G662" s="192"/>
      <c r="H662" s="192"/>
      <c r="I662" s="192"/>
      <c r="J662" s="192"/>
    </row>
    <row r="663">
      <c r="A663" s="192"/>
      <c r="B663" s="192"/>
      <c r="C663" s="192"/>
      <c r="D663" s="192"/>
      <c r="E663" s="192"/>
      <c r="F663" s="192"/>
      <c r="G663" s="192"/>
      <c r="H663" s="192"/>
      <c r="I663" s="192"/>
      <c r="J663" s="192"/>
    </row>
    <row r="664">
      <c r="A664" s="192"/>
      <c r="B664" s="192"/>
      <c r="C664" s="192"/>
      <c r="D664" s="192"/>
      <c r="E664" s="192"/>
      <c r="F664" s="192"/>
      <c r="G664" s="192"/>
      <c r="H664" s="192"/>
      <c r="I664" s="192"/>
      <c r="J664" s="192"/>
    </row>
    <row r="665">
      <c r="A665" s="192"/>
      <c r="B665" s="192"/>
      <c r="C665" s="192"/>
      <c r="D665" s="192"/>
      <c r="E665" s="192"/>
      <c r="F665" s="192"/>
      <c r="G665" s="192"/>
      <c r="H665" s="192"/>
      <c r="I665" s="192"/>
      <c r="J665" s="192"/>
    </row>
    <row r="666">
      <c r="A666" s="192"/>
      <c r="B666" s="192"/>
      <c r="C666" s="192"/>
      <c r="D666" s="192"/>
      <c r="E666" s="192"/>
      <c r="F666" s="192"/>
      <c r="G666" s="192"/>
      <c r="H666" s="192"/>
      <c r="I666" s="192"/>
      <c r="J666" s="192"/>
    </row>
    <row r="667">
      <c r="A667" s="192"/>
      <c r="B667" s="192"/>
      <c r="C667" s="192"/>
      <c r="D667" s="192"/>
      <c r="E667" s="192"/>
      <c r="F667" s="192"/>
      <c r="G667" s="192"/>
      <c r="H667" s="192"/>
      <c r="I667" s="192"/>
      <c r="J667" s="192"/>
    </row>
    <row r="668">
      <c r="A668" s="192"/>
      <c r="B668" s="192"/>
      <c r="C668" s="192"/>
      <c r="D668" s="192"/>
      <c r="E668" s="192"/>
      <c r="F668" s="192"/>
      <c r="G668" s="192"/>
      <c r="H668" s="192"/>
      <c r="I668" s="192"/>
      <c r="J668" s="192"/>
    </row>
    <row r="669">
      <c r="A669" s="192"/>
      <c r="B669" s="192"/>
      <c r="C669" s="192"/>
      <c r="D669" s="192"/>
      <c r="E669" s="192"/>
      <c r="F669" s="192"/>
      <c r="G669" s="192"/>
      <c r="H669" s="192"/>
      <c r="I669" s="192"/>
      <c r="J669" s="192"/>
    </row>
    <row r="670">
      <c r="A670" s="192"/>
      <c r="B670" s="192"/>
      <c r="C670" s="192"/>
      <c r="D670" s="192"/>
      <c r="E670" s="192"/>
      <c r="F670" s="192"/>
      <c r="G670" s="192"/>
      <c r="H670" s="192"/>
      <c r="I670" s="192"/>
      <c r="J670" s="192"/>
    </row>
    <row r="671">
      <c r="A671" s="192"/>
      <c r="B671" s="192"/>
      <c r="C671" s="192"/>
      <c r="D671" s="192"/>
      <c r="E671" s="192"/>
      <c r="F671" s="192"/>
      <c r="G671" s="192"/>
      <c r="H671" s="192"/>
      <c r="I671" s="192"/>
      <c r="J671" s="192"/>
    </row>
    <row r="672">
      <c r="A672" s="192"/>
      <c r="B672" s="192"/>
      <c r="C672" s="192"/>
      <c r="D672" s="192"/>
      <c r="E672" s="192"/>
      <c r="F672" s="192"/>
      <c r="G672" s="192"/>
      <c r="H672" s="192"/>
      <c r="I672" s="192"/>
      <c r="J672" s="192"/>
    </row>
    <row r="673">
      <c r="A673" s="192"/>
      <c r="B673" s="192"/>
      <c r="C673" s="192"/>
      <c r="D673" s="192"/>
      <c r="E673" s="192"/>
      <c r="F673" s="192"/>
      <c r="G673" s="192"/>
      <c r="H673" s="192"/>
      <c r="I673" s="192"/>
      <c r="J673" s="192"/>
    </row>
    <row r="674">
      <c r="A674" s="192"/>
      <c r="B674" s="192"/>
      <c r="C674" s="192"/>
      <c r="D674" s="192"/>
      <c r="E674" s="192"/>
      <c r="F674" s="192"/>
      <c r="G674" s="192"/>
      <c r="H674" s="192"/>
      <c r="I674" s="192"/>
      <c r="J674" s="192"/>
    </row>
    <row r="675">
      <c r="A675" s="192"/>
      <c r="B675" s="192"/>
      <c r="C675" s="192"/>
      <c r="D675" s="192"/>
      <c r="E675" s="192"/>
      <c r="F675" s="192"/>
      <c r="G675" s="192"/>
      <c r="H675" s="192"/>
      <c r="I675" s="192"/>
      <c r="J675" s="192"/>
    </row>
    <row r="676">
      <c r="A676" s="192"/>
      <c r="B676" s="192"/>
      <c r="C676" s="192"/>
      <c r="D676" s="192"/>
      <c r="E676" s="192"/>
      <c r="F676" s="192"/>
      <c r="G676" s="192"/>
      <c r="H676" s="192"/>
      <c r="I676" s="192"/>
      <c r="J676" s="192"/>
    </row>
    <row r="677">
      <c r="A677" s="192"/>
      <c r="B677" s="192"/>
      <c r="C677" s="192"/>
      <c r="D677" s="192"/>
      <c r="E677" s="192"/>
      <c r="F677" s="192"/>
      <c r="G677" s="192"/>
      <c r="H677" s="192"/>
      <c r="I677" s="192"/>
      <c r="J677" s="192"/>
    </row>
    <row r="678">
      <c r="A678" s="192"/>
      <c r="B678" s="192"/>
      <c r="C678" s="192"/>
      <c r="D678" s="192"/>
      <c r="E678" s="192"/>
      <c r="F678" s="192"/>
      <c r="G678" s="192"/>
      <c r="H678" s="192"/>
      <c r="I678" s="192"/>
      <c r="J678" s="192"/>
    </row>
    <row r="679">
      <c r="A679" s="192"/>
      <c r="B679" s="192"/>
      <c r="C679" s="192"/>
      <c r="D679" s="192"/>
      <c r="E679" s="192"/>
      <c r="F679" s="192"/>
      <c r="G679" s="192"/>
      <c r="H679" s="192"/>
      <c r="I679" s="192"/>
      <c r="J679" s="192"/>
    </row>
    <row r="680">
      <c r="A680" s="192"/>
      <c r="B680" s="192"/>
      <c r="C680" s="192"/>
      <c r="D680" s="192"/>
      <c r="E680" s="192"/>
      <c r="F680" s="192"/>
      <c r="G680" s="192"/>
      <c r="H680" s="192"/>
      <c r="I680" s="192"/>
      <c r="J680" s="192"/>
    </row>
    <row r="681">
      <c r="A681" s="192"/>
      <c r="B681" s="192"/>
      <c r="C681" s="192"/>
      <c r="D681" s="192"/>
      <c r="E681" s="192"/>
      <c r="F681" s="192"/>
      <c r="G681" s="192"/>
      <c r="H681" s="192"/>
      <c r="I681" s="192"/>
      <c r="J681" s="192"/>
    </row>
    <row r="682">
      <c r="A682" s="192"/>
      <c r="B682" s="192"/>
      <c r="C682" s="192"/>
      <c r="D682" s="192"/>
      <c r="E682" s="192"/>
      <c r="F682" s="192"/>
      <c r="G682" s="192"/>
      <c r="H682" s="192"/>
      <c r="I682" s="192"/>
      <c r="J682" s="192"/>
    </row>
    <row r="683">
      <c r="A683" s="192"/>
      <c r="B683" s="192"/>
      <c r="C683" s="192"/>
      <c r="D683" s="192"/>
      <c r="E683" s="192"/>
      <c r="F683" s="192"/>
      <c r="G683" s="192"/>
      <c r="H683" s="192"/>
      <c r="I683" s="192"/>
      <c r="J683" s="192"/>
    </row>
    <row r="684">
      <c r="A684" s="192"/>
      <c r="B684" s="192"/>
      <c r="C684" s="192"/>
      <c r="D684" s="192"/>
      <c r="E684" s="192"/>
      <c r="F684" s="192"/>
      <c r="G684" s="192"/>
      <c r="H684" s="192"/>
      <c r="I684" s="192"/>
      <c r="J684" s="192"/>
    </row>
    <row r="685">
      <c r="A685" s="192"/>
      <c r="B685" s="192"/>
      <c r="C685" s="192"/>
      <c r="D685" s="192"/>
      <c r="E685" s="192"/>
      <c r="F685" s="192"/>
      <c r="G685" s="192"/>
      <c r="H685" s="192"/>
      <c r="I685" s="192"/>
      <c r="J685" s="192"/>
    </row>
    <row r="686">
      <c r="A686" s="192"/>
      <c r="B686" s="192"/>
      <c r="C686" s="192"/>
      <c r="D686" s="192"/>
      <c r="E686" s="192"/>
      <c r="F686" s="192"/>
      <c r="G686" s="192"/>
      <c r="H686" s="192"/>
      <c r="I686" s="192"/>
      <c r="J686" s="192"/>
    </row>
    <row r="687">
      <c r="A687" s="192"/>
      <c r="B687" s="192"/>
      <c r="C687" s="192"/>
      <c r="D687" s="192"/>
      <c r="E687" s="192"/>
      <c r="F687" s="192"/>
      <c r="G687" s="192"/>
      <c r="H687" s="192"/>
      <c r="I687" s="192"/>
      <c r="J687" s="192"/>
    </row>
    <row r="688">
      <c r="A688" s="192"/>
      <c r="B688" s="192"/>
      <c r="C688" s="192"/>
      <c r="D688" s="192"/>
      <c r="E688" s="192"/>
      <c r="F688" s="192"/>
      <c r="G688" s="192"/>
      <c r="H688" s="192"/>
      <c r="I688" s="192"/>
      <c r="J688" s="192"/>
    </row>
    <row r="689">
      <c r="A689" s="192"/>
      <c r="B689" s="192"/>
      <c r="C689" s="192"/>
      <c r="D689" s="192"/>
      <c r="E689" s="192"/>
      <c r="F689" s="192"/>
      <c r="G689" s="192"/>
      <c r="H689" s="192"/>
      <c r="I689" s="192"/>
      <c r="J689" s="192"/>
    </row>
    <row r="690">
      <c r="A690" s="192"/>
      <c r="B690" s="192"/>
      <c r="C690" s="192"/>
      <c r="D690" s="192"/>
      <c r="E690" s="192"/>
      <c r="F690" s="192"/>
      <c r="G690" s="192"/>
      <c r="H690" s="192"/>
      <c r="I690" s="192"/>
      <c r="J690" s="192"/>
    </row>
    <row r="691">
      <c r="A691" s="192"/>
      <c r="B691" s="192"/>
      <c r="C691" s="192"/>
      <c r="D691" s="192"/>
      <c r="E691" s="192"/>
      <c r="F691" s="192"/>
      <c r="G691" s="192"/>
      <c r="H691" s="192"/>
      <c r="I691" s="192"/>
      <c r="J691" s="192"/>
    </row>
    <row r="692">
      <c r="A692" s="192"/>
      <c r="B692" s="192"/>
      <c r="C692" s="192"/>
      <c r="D692" s="192"/>
      <c r="E692" s="192"/>
      <c r="F692" s="192"/>
      <c r="G692" s="192"/>
      <c r="H692" s="192"/>
      <c r="I692" s="192"/>
      <c r="J692" s="192"/>
    </row>
    <row r="693">
      <c r="A693" s="192"/>
      <c r="B693" s="192"/>
      <c r="C693" s="192"/>
      <c r="D693" s="192"/>
      <c r="E693" s="192"/>
      <c r="F693" s="192"/>
      <c r="G693" s="192"/>
      <c r="H693" s="192"/>
      <c r="I693" s="192"/>
      <c r="J693" s="192"/>
    </row>
    <row r="694">
      <c r="A694" s="192"/>
      <c r="B694" s="192"/>
      <c r="C694" s="192"/>
      <c r="D694" s="192"/>
      <c r="E694" s="192"/>
      <c r="F694" s="192"/>
      <c r="G694" s="192"/>
      <c r="H694" s="192"/>
      <c r="I694" s="192"/>
      <c r="J694" s="192"/>
    </row>
    <row r="695">
      <c r="A695" s="192"/>
      <c r="B695" s="192"/>
      <c r="C695" s="192"/>
      <c r="D695" s="192"/>
      <c r="E695" s="192"/>
      <c r="F695" s="192"/>
      <c r="G695" s="192"/>
      <c r="H695" s="192"/>
      <c r="I695" s="192"/>
      <c r="J695" s="192"/>
    </row>
    <row r="696">
      <c r="A696" s="192"/>
      <c r="B696" s="192"/>
      <c r="C696" s="192"/>
      <c r="D696" s="192"/>
      <c r="E696" s="192"/>
      <c r="F696" s="192"/>
      <c r="G696" s="192"/>
      <c r="H696" s="192"/>
      <c r="I696" s="192"/>
      <c r="J696" s="192"/>
    </row>
    <row r="697">
      <c r="A697" s="192"/>
      <c r="B697" s="192"/>
      <c r="C697" s="192"/>
      <c r="D697" s="192"/>
      <c r="E697" s="192"/>
      <c r="F697" s="192"/>
      <c r="G697" s="192"/>
      <c r="H697" s="192"/>
      <c r="I697" s="192"/>
      <c r="J697" s="192"/>
    </row>
    <row r="698">
      <c r="A698" s="192"/>
      <c r="B698" s="192"/>
      <c r="C698" s="192"/>
      <c r="D698" s="192"/>
      <c r="E698" s="192"/>
      <c r="F698" s="192"/>
      <c r="G698" s="192"/>
      <c r="H698" s="192"/>
      <c r="I698" s="192"/>
      <c r="J698" s="192"/>
    </row>
    <row r="699">
      <c r="A699" s="192"/>
      <c r="B699" s="192"/>
      <c r="C699" s="192"/>
      <c r="D699" s="192"/>
      <c r="E699" s="192"/>
      <c r="F699" s="192"/>
      <c r="G699" s="192"/>
      <c r="H699" s="192"/>
      <c r="I699" s="192"/>
      <c r="J699" s="192"/>
    </row>
    <row r="700">
      <c r="A700" s="192"/>
      <c r="B700" s="192"/>
      <c r="C700" s="192"/>
      <c r="D700" s="192"/>
      <c r="E700" s="192"/>
      <c r="F700" s="192"/>
      <c r="G700" s="192"/>
      <c r="H700" s="192"/>
      <c r="I700" s="192"/>
      <c r="J700" s="192"/>
    </row>
    <row r="701">
      <c r="A701" s="192"/>
      <c r="B701" s="192"/>
      <c r="C701" s="192"/>
      <c r="D701" s="192"/>
      <c r="E701" s="192"/>
      <c r="F701" s="192"/>
      <c r="G701" s="192"/>
      <c r="H701" s="192"/>
      <c r="I701" s="192"/>
      <c r="J701" s="192"/>
    </row>
    <row r="702">
      <c r="A702" s="192"/>
      <c r="B702" s="192"/>
      <c r="C702" s="192"/>
      <c r="D702" s="192"/>
      <c r="E702" s="192"/>
      <c r="F702" s="192"/>
      <c r="G702" s="192"/>
      <c r="H702" s="192"/>
      <c r="I702" s="192"/>
      <c r="J702" s="192"/>
    </row>
    <row r="703">
      <c r="A703" s="192"/>
      <c r="B703" s="192"/>
      <c r="C703" s="192"/>
      <c r="D703" s="192"/>
      <c r="E703" s="192"/>
      <c r="F703" s="192"/>
      <c r="G703" s="192"/>
      <c r="H703" s="192"/>
      <c r="I703" s="192"/>
      <c r="J703" s="192"/>
    </row>
    <row r="704">
      <c r="A704" s="192"/>
      <c r="B704" s="192"/>
      <c r="C704" s="192"/>
      <c r="D704" s="192"/>
      <c r="E704" s="192"/>
      <c r="F704" s="192"/>
      <c r="G704" s="192"/>
      <c r="H704" s="192"/>
      <c r="I704" s="192"/>
      <c r="J704" s="192"/>
    </row>
    <row r="705">
      <c r="A705" s="192"/>
      <c r="B705" s="192"/>
      <c r="C705" s="192"/>
      <c r="D705" s="192"/>
      <c r="E705" s="192"/>
      <c r="F705" s="192"/>
      <c r="G705" s="192"/>
      <c r="H705" s="192"/>
      <c r="I705" s="192"/>
      <c r="J705" s="192"/>
    </row>
    <row r="706">
      <c r="A706" s="192"/>
      <c r="B706" s="192"/>
      <c r="C706" s="192"/>
      <c r="D706" s="192"/>
      <c r="E706" s="192"/>
      <c r="F706" s="192"/>
      <c r="G706" s="192"/>
      <c r="H706" s="192"/>
      <c r="I706" s="192"/>
      <c r="J706" s="192"/>
    </row>
    <row r="707">
      <c r="A707" s="192"/>
      <c r="B707" s="192"/>
      <c r="C707" s="192"/>
      <c r="D707" s="192"/>
      <c r="E707" s="192"/>
      <c r="F707" s="192"/>
      <c r="G707" s="192"/>
      <c r="H707" s="192"/>
      <c r="I707" s="192"/>
      <c r="J707" s="192"/>
    </row>
    <row r="708">
      <c r="A708" s="192"/>
      <c r="B708" s="192"/>
      <c r="C708" s="192"/>
      <c r="D708" s="192"/>
      <c r="E708" s="192"/>
      <c r="F708" s="192"/>
      <c r="G708" s="192"/>
      <c r="H708" s="192"/>
      <c r="I708" s="192"/>
      <c r="J708" s="192"/>
    </row>
    <row r="709">
      <c r="A709" s="192"/>
      <c r="B709" s="192"/>
      <c r="C709" s="192"/>
      <c r="D709" s="192"/>
      <c r="E709" s="192"/>
      <c r="F709" s="192"/>
      <c r="G709" s="192"/>
      <c r="H709" s="192"/>
      <c r="I709" s="192"/>
      <c r="J709" s="192"/>
    </row>
    <row r="710">
      <c r="A710" s="192"/>
      <c r="B710" s="192"/>
      <c r="C710" s="192"/>
      <c r="D710" s="192"/>
      <c r="E710" s="192"/>
      <c r="F710" s="192"/>
      <c r="G710" s="192"/>
      <c r="H710" s="192"/>
      <c r="I710" s="192"/>
      <c r="J710" s="192"/>
    </row>
    <row r="711">
      <c r="A711" s="192"/>
      <c r="B711" s="192"/>
      <c r="C711" s="192"/>
      <c r="D711" s="192"/>
      <c r="E711" s="192"/>
      <c r="F711" s="192"/>
      <c r="G711" s="192"/>
      <c r="H711" s="192"/>
      <c r="I711" s="192"/>
      <c r="J711" s="192"/>
    </row>
    <row r="712">
      <c r="A712" s="192"/>
      <c r="B712" s="192"/>
      <c r="C712" s="192"/>
      <c r="D712" s="192"/>
      <c r="E712" s="192"/>
      <c r="F712" s="192"/>
      <c r="G712" s="192"/>
      <c r="H712" s="192"/>
      <c r="I712" s="192"/>
      <c r="J712" s="192"/>
    </row>
    <row r="713">
      <c r="A713" s="192"/>
      <c r="B713" s="192"/>
      <c r="C713" s="192"/>
      <c r="D713" s="192"/>
      <c r="E713" s="192"/>
      <c r="F713" s="192"/>
      <c r="G713" s="192"/>
      <c r="H713" s="192"/>
      <c r="I713" s="192"/>
      <c r="J713" s="192"/>
    </row>
    <row r="714">
      <c r="A714" s="192"/>
      <c r="B714" s="192"/>
      <c r="C714" s="192"/>
      <c r="D714" s="192"/>
      <c r="E714" s="192"/>
      <c r="F714" s="192"/>
      <c r="G714" s="192"/>
      <c r="H714" s="192"/>
      <c r="I714" s="192"/>
      <c r="J714" s="192"/>
    </row>
    <row r="715">
      <c r="A715" s="192"/>
      <c r="B715" s="192"/>
      <c r="C715" s="192"/>
      <c r="D715" s="192"/>
      <c r="E715" s="192"/>
      <c r="F715" s="192"/>
      <c r="G715" s="192"/>
      <c r="H715" s="192"/>
      <c r="I715" s="192"/>
      <c r="J715" s="192"/>
    </row>
    <row r="716">
      <c r="A716" s="192"/>
      <c r="B716" s="192"/>
      <c r="C716" s="192"/>
      <c r="D716" s="192"/>
      <c r="E716" s="192"/>
      <c r="F716" s="192"/>
      <c r="G716" s="192"/>
      <c r="H716" s="192"/>
      <c r="I716" s="192"/>
      <c r="J716" s="192"/>
    </row>
    <row r="717">
      <c r="A717" s="192"/>
      <c r="B717" s="192"/>
      <c r="C717" s="192"/>
      <c r="D717" s="192"/>
      <c r="E717" s="192"/>
      <c r="F717" s="192"/>
      <c r="G717" s="192"/>
      <c r="H717" s="192"/>
      <c r="I717" s="192"/>
      <c r="J717" s="192"/>
    </row>
    <row r="718">
      <c r="A718" s="192"/>
      <c r="B718" s="192"/>
      <c r="C718" s="192"/>
      <c r="D718" s="192"/>
      <c r="E718" s="192"/>
      <c r="F718" s="192"/>
      <c r="G718" s="192"/>
      <c r="H718" s="192"/>
      <c r="I718" s="192"/>
      <c r="J718" s="192"/>
    </row>
    <row r="719">
      <c r="A719" s="192"/>
      <c r="B719" s="192"/>
      <c r="C719" s="192"/>
      <c r="D719" s="192"/>
      <c r="E719" s="192"/>
      <c r="F719" s="192"/>
      <c r="G719" s="192"/>
      <c r="H719" s="192"/>
      <c r="I719" s="192"/>
      <c r="J719" s="192"/>
    </row>
    <row r="720">
      <c r="A720" s="192"/>
      <c r="B720" s="192"/>
      <c r="C720" s="192"/>
      <c r="D720" s="192"/>
      <c r="E720" s="192"/>
      <c r="F720" s="192"/>
      <c r="G720" s="192"/>
      <c r="H720" s="192"/>
      <c r="I720" s="192"/>
      <c r="J720" s="192"/>
    </row>
    <row r="721">
      <c r="A721" s="192"/>
      <c r="B721" s="192"/>
      <c r="C721" s="192"/>
      <c r="D721" s="192"/>
      <c r="E721" s="192"/>
      <c r="F721" s="192"/>
      <c r="G721" s="192"/>
      <c r="H721" s="192"/>
      <c r="I721" s="192"/>
      <c r="J721" s="192"/>
    </row>
    <row r="722">
      <c r="A722" s="192"/>
      <c r="B722" s="192"/>
      <c r="C722" s="192"/>
      <c r="D722" s="192"/>
      <c r="E722" s="192"/>
      <c r="F722" s="192"/>
      <c r="G722" s="192"/>
      <c r="H722" s="192"/>
      <c r="I722" s="192"/>
      <c r="J722" s="192"/>
    </row>
    <row r="723">
      <c r="A723" s="192"/>
      <c r="B723" s="192"/>
      <c r="C723" s="192"/>
      <c r="D723" s="192"/>
      <c r="E723" s="192"/>
      <c r="F723" s="192"/>
      <c r="G723" s="192"/>
      <c r="H723" s="192"/>
      <c r="I723" s="192"/>
      <c r="J723" s="192"/>
    </row>
    <row r="724">
      <c r="A724" s="192"/>
      <c r="B724" s="192"/>
      <c r="C724" s="192"/>
      <c r="D724" s="192"/>
      <c r="E724" s="192"/>
      <c r="F724" s="192"/>
      <c r="G724" s="192"/>
      <c r="H724" s="192"/>
      <c r="I724" s="192"/>
      <c r="J724" s="192"/>
    </row>
    <row r="725">
      <c r="A725" s="192"/>
      <c r="B725" s="192"/>
      <c r="C725" s="192"/>
      <c r="D725" s="192"/>
      <c r="E725" s="192"/>
      <c r="F725" s="192"/>
      <c r="G725" s="192"/>
      <c r="H725" s="192"/>
      <c r="I725" s="192"/>
      <c r="J725" s="192"/>
    </row>
    <row r="726">
      <c r="A726" s="192"/>
      <c r="B726" s="192"/>
      <c r="C726" s="192"/>
      <c r="D726" s="192"/>
      <c r="E726" s="192"/>
      <c r="F726" s="192"/>
      <c r="G726" s="192"/>
      <c r="H726" s="192"/>
      <c r="I726" s="192"/>
      <c r="J726" s="192"/>
    </row>
    <row r="727">
      <c r="A727" s="192"/>
      <c r="B727" s="192"/>
      <c r="C727" s="192"/>
      <c r="D727" s="192"/>
      <c r="E727" s="192"/>
      <c r="F727" s="192"/>
      <c r="G727" s="192"/>
      <c r="H727" s="192"/>
      <c r="I727" s="192"/>
      <c r="J727" s="192"/>
    </row>
    <row r="728">
      <c r="A728" s="192"/>
      <c r="B728" s="192"/>
      <c r="C728" s="192"/>
      <c r="D728" s="192"/>
      <c r="E728" s="192"/>
      <c r="F728" s="192"/>
      <c r="G728" s="192"/>
      <c r="H728" s="192"/>
      <c r="I728" s="192"/>
      <c r="J728" s="192"/>
    </row>
    <row r="729">
      <c r="A729" s="192"/>
      <c r="B729" s="192"/>
      <c r="C729" s="192"/>
      <c r="D729" s="192"/>
      <c r="E729" s="192"/>
      <c r="F729" s="192"/>
      <c r="G729" s="192"/>
      <c r="H729" s="192"/>
      <c r="I729" s="192"/>
      <c r="J729" s="192"/>
    </row>
    <row r="730">
      <c r="A730" s="192"/>
      <c r="B730" s="192"/>
      <c r="C730" s="192"/>
      <c r="D730" s="192"/>
      <c r="E730" s="192"/>
      <c r="F730" s="192"/>
      <c r="G730" s="192"/>
      <c r="H730" s="192"/>
      <c r="I730" s="192"/>
      <c r="J730" s="192"/>
    </row>
    <row r="731">
      <c r="A731" s="192"/>
      <c r="B731" s="192"/>
      <c r="C731" s="192"/>
      <c r="D731" s="192"/>
      <c r="E731" s="192"/>
      <c r="F731" s="192"/>
      <c r="G731" s="192"/>
      <c r="H731" s="192"/>
      <c r="I731" s="192"/>
      <c r="J731" s="192"/>
    </row>
    <row r="732">
      <c r="A732" s="192"/>
      <c r="B732" s="192"/>
      <c r="C732" s="192"/>
      <c r="D732" s="192"/>
      <c r="E732" s="192"/>
      <c r="F732" s="192"/>
      <c r="G732" s="192"/>
      <c r="H732" s="192"/>
      <c r="I732" s="192"/>
      <c r="J732" s="192"/>
    </row>
    <row r="733">
      <c r="A733" s="192"/>
      <c r="B733" s="192"/>
      <c r="C733" s="192"/>
      <c r="D733" s="192"/>
      <c r="E733" s="192"/>
      <c r="F733" s="192"/>
      <c r="G733" s="192"/>
      <c r="H733" s="192"/>
      <c r="I733" s="192"/>
      <c r="J733" s="192"/>
    </row>
    <row r="734">
      <c r="A734" s="192"/>
      <c r="B734" s="192"/>
      <c r="C734" s="192"/>
      <c r="D734" s="192"/>
      <c r="E734" s="192"/>
      <c r="F734" s="192"/>
      <c r="G734" s="192"/>
      <c r="H734" s="192"/>
      <c r="I734" s="192"/>
      <c r="J734" s="192"/>
    </row>
    <row r="735">
      <c r="A735" s="192"/>
      <c r="B735" s="192"/>
      <c r="C735" s="192"/>
      <c r="D735" s="192"/>
      <c r="E735" s="192"/>
      <c r="F735" s="192"/>
      <c r="G735" s="192"/>
      <c r="H735" s="192"/>
      <c r="I735" s="192"/>
      <c r="J735" s="192"/>
    </row>
    <row r="736">
      <c r="A736" s="192"/>
      <c r="B736" s="192"/>
      <c r="C736" s="192"/>
      <c r="D736" s="192"/>
      <c r="E736" s="192"/>
      <c r="F736" s="192"/>
      <c r="G736" s="192"/>
      <c r="H736" s="192"/>
      <c r="I736" s="192"/>
      <c r="J736" s="192"/>
    </row>
    <row r="737">
      <c r="A737" s="192"/>
      <c r="B737" s="192"/>
      <c r="C737" s="192"/>
      <c r="D737" s="192"/>
      <c r="E737" s="192"/>
      <c r="F737" s="192"/>
      <c r="G737" s="192"/>
      <c r="H737" s="192"/>
      <c r="I737" s="192"/>
      <c r="J737" s="192"/>
    </row>
    <row r="738">
      <c r="A738" s="192"/>
      <c r="B738" s="192"/>
      <c r="C738" s="192"/>
      <c r="D738" s="192"/>
      <c r="E738" s="192"/>
      <c r="F738" s="192"/>
      <c r="G738" s="192"/>
      <c r="H738" s="192"/>
      <c r="I738" s="192"/>
      <c r="J738" s="192"/>
    </row>
    <row r="739">
      <c r="A739" s="192"/>
      <c r="B739" s="192"/>
      <c r="C739" s="192"/>
      <c r="D739" s="192"/>
      <c r="E739" s="192"/>
      <c r="F739" s="192"/>
      <c r="G739" s="192"/>
      <c r="H739" s="192"/>
      <c r="I739" s="192"/>
      <c r="J739" s="192"/>
    </row>
    <row r="740">
      <c r="A740" s="192"/>
      <c r="B740" s="192"/>
      <c r="C740" s="192"/>
      <c r="D740" s="192"/>
      <c r="E740" s="192"/>
      <c r="F740" s="192"/>
      <c r="G740" s="192"/>
      <c r="H740" s="192"/>
      <c r="I740" s="192"/>
      <c r="J740" s="192"/>
    </row>
    <row r="741">
      <c r="A741" s="192"/>
      <c r="B741" s="192"/>
      <c r="C741" s="192"/>
      <c r="D741" s="192"/>
      <c r="E741" s="192"/>
      <c r="F741" s="192"/>
      <c r="G741" s="192"/>
      <c r="H741" s="192"/>
      <c r="I741" s="192"/>
      <c r="J741" s="192"/>
    </row>
    <row r="742">
      <c r="A742" s="192"/>
      <c r="B742" s="192"/>
      <c r="C742" s="192"/>
      <c r="D742" s="192"/>
      <c r="E742" s="192"/>
      <c r="F742" s="192"/>
      <c r="G742" s="192"/>
      <c r="H742" s="192"/>
      <c r="I742" s="192"/>
      <c r="J742" s="192"/>
    </row>
    <row r="743">
      <c r="A743" s="192"/>
      <c r="B743" s="192"/>
      <c r="C743" s="192"/>
      <c r="D743" s="192"/>
      <c r="E743" s="192"/>
      <c r="F743" s="192"/>
      <c r="G743" s="192"/>
      <c r="H743" s="192"/>
      <c r="I743" s="192"/>
      <c r="J743" s="192"/>
    </row>
    <row r="744">
      <c r="A744" s="192"/>
      <c r="B744" s="192"/>
      <c r="C744" s="192"/>
      <c r="D744" s="192"/>
      <c r="E744" s="192"/>
      <c r="F744" s="192"/>
      <c r="G744" s="192"/>
      <c r="H744" s="192"/>
      <c r="I744" s="192"/>
      <c r="J744" s="192"/>
    </row>
    <row r="745">
      <c r="A745" s="192"/>
      <c r="B745" s="192"/>
      <c r="C745" s="192"/>
      <c r="D745" s="192"/>
      <c r="E745" s="192"/>
      <c r="F745" s="192"/>
      <c r="G745" s="192"/>
      <c r="H745" s="192"/>
      <c r="I745" s="192"/>
      <c r="J745" s="192"/>
    </row>
    <row r="746">
      <c r="A746" s="192"/>
      <c r="B746" s="192"/>
      <c r="C746" s="192"/>
      <c r="D746" s="192"/>
      <c r="E746" s="192"/>
      <c r="F746" s="192"/>
      <c r="G746" s="192"/>
      <c r="H746" s="192"/>
      <c r="I746" s="192"/>
      <c r="J746" s="192"/>
    </row>
    <row r="747">
      <c r="A747" s="192"/>
      <c r="B747" s="192"/>
      <c r="C747" s="192"/>
      <c r="D747" s="192"/>
      <c r="E747" s="192"/>
      <c r="F747" s="192"/>
      <c r="G747" s="192"/>
      <c r="H747" s="192"/>
      <c r="I747" s="192"/>
      <c r="J747" s="192"/>
    </row>
    <row r="748">
      <c r="A748" s="192"/>
      <c r="B748" s="192"/>
      <c r="C748" s="192"/>
      <c r="D748" s="192"/>
      <c r="E748" s="192"/>
      <c r="F748" s="192"/>
      <c r="G748" s="192"/>
      <c r="H748" s="192"/>
      <c r="I748" s="192"/>
      <c r="J748" s="192"/>
    </row>
    <row r="749">
      <c r="A749" s="192"/>
      <c r="B749" s="192"/>
      <c r="C749" s="192"/>
      <c r="D749" s="192"/>
      <c r="E749" s="192"/>
      <c r="F749" s="192"/>
      <c r="G749" s="192"/>
      <c r="H749" s="192"/>
      <c r="I749" s="192"/>
      <c r="J749" s="192"/>
    </row>
    <row r="750">
      <c r="A750" s="192"/>
      <c r="B750" s="192"/>
      <c r="C750" s="192"/>
      <c r="D750" s="192"/>
      <c r="E750" s="192"/>
      <c r="F750" s="192"/>
      <c r="G750" s="192"/>
      <c r="H750" s="192"/>
      <c r="I750" s="192"/>
      <c r="J750" s="192"/>
    </row>
    <row r="751">
      <c r="A751" s="192"/>
      <c r="B751" s="192"/>
      <c r="C751" s="192"/>
      <c r="D751" s="192"/>
      <c r="E751" s="192"/>
      <c r="F751" s="192"/>
      <c r="G751" s="192"/>
      <c r="H751" s="192"/>
      <c r="I751" s="192"/>
      <c r="J751" s="192"/>
    </row>
    <row r="752">
      <c r="A752" s="192"/>
      <c r="B752" s="192"/>
      <c r="C752" s="192"/>
      <c r="D752" s="192"/>
      <c r="E752" s="192"/>
      <c r="F752" s="192"/>
      <c r="G752" s="192"/>
      <c r="H752" s="192"/>
      <c r="I752" s="192"/>
      <c r="J752" s="192"/>
    </row>
    <row r="753">
      <c r="A753" s="192"/>
      <c r="B753" s="192"/>
      <c r="C753" s="192"/>
      <c r="D753" s="192"/>
      <c r="E753" s="192"/>
      <c r="F753" s="192"/>
      <c r="G753" s="192"/>
      <c r="H753" s="192"/>
      <c r="I753" s="192"/>
      <c r="J753" s="192"/>
    </row>
    <row r="754">
      <c r="A754" s="192"/>
      <c r="B754" s="192"/>
      <c r="C754" s="192"/>
      <c r="D754" s="192"/>
      <c r="E754" s="192"/>
      <c r="F754" s="192"/>
      <c r="G754" s="192"/>
      <c r="H754" s="192"/>
      <c r="I754" s="192"/>
      <c r="J754" s="192"/>
    </row>
    <row r="755">
      <c r="A755" s="192"/>
      <c r="B755" s="192"/>
      <c r="C755" s="192"/>
      <c r="D755" s="192"/>
      <c r="E755" s="192"/>
      <c r="F755" s="192"/>
      <c r="G755" s="192"/>
      <c r="H755" s="192"/>
      <c r="I755" s="192"/>
      <c r="J755" s="192"/>
    </row>
    <row r="756">
      <c r="A756" s="192"/>
      <c r="B756" s="192"/>
      <c r="C756" s="192"/>
      <c r="D756" s="192"/>
      <c r="E756" s="192"/>
      <c r="F756" s="192"/>
      <c r="G756" s="192"/>
      <c r="H756" s="192"/>
      <c r="I756" s="192"/>
      <c r="J756" s="192"/>
    </row>
    <row r="757">
      <c r="A757" s="192"/>
      <c r="B757" s="192"/>
      <c r="C757" s="192"/>
      <c r="D757" s="192"/>
      <c r="E757" s="192"/>
      <c r="F757" s="192"/>
      <c r="G757" s="192"/>
      <c r="H757" s="192"/>
      <c r="I757" s="192"/>
      <c r="J757" s="192"/>
    </row>
    <row r="758">
      <c r="A758" s="192"/>
      <c r="B758" s="192"/>
      <c r="C758" s="192"/>
      <c r="D758" s="192"/>
      <c r="E758" s="192"/>
      <c r="F758" s="192"/>
      <c r="G758" s="192"/>
      <c r="H758" s="192"/>
      <c r="I758" s="192"/>
      <c r="J758" s="192"/>
    </row>
    <row r="759">
      <c r="A759" s="192"/>
      <c r="B759" s="192"/>
      <c r="C759" s="192"/>
      <c r="D759" s="192"/>
      <c r="E759" s="192"/>
      <c r="F759" s="192"/>
      <c r="G759" s="192"/>
      <c r="H759" s="192"/>
      <c r="I759" s="192"/>
      <c r="J759" s="192"/>
    </row>
    <row r="760">
      <c r="A760" s="192"/>
      <c r="B760" s="192"/>
      <c r="C760" s="192"/>
      <c r="D760" s="192"/>
      <c r="E760" s="192"/>
      <c r="F760" s="192"/>
      <c r="G760" s="192"/>
      <c r="H760" s="192"/>
      <c r="I760" s="192"/>
      <c r="J760" s="192"/>
    </row>
    <row r="761">
      <c r="A761" s="192"/>
      <c r="B761" s="192"/>
      <c r="C761" s="192"/>
      <c r="D761" s="192"/>
      <c r="E761" s="192"/>
      <c r="F761" s="192"/>
      <c r="G761" s="192"/>
      <c r="H761" s="192"/>
      <c r="I761" s="192"/>
      <c r="J761" s="192"/>
    </row>
    <row r="762">
      <c r="A762" s="192"/>
      <c r="B762" s="192"/>
      <c r="C762" s="192"/>
      <c r="D762" s="192"/>
      <c r="E762" s="192"/>
      <c r="F762" s="192"/>
      <c r="G762" s="192"/>
      <c r="H762" s="192"/>
      <c r="I762" s="192"/>
      <c r="J762" s="192"/>
    </row>
    <row r="763">
      <c r="A763" s="192"/>
      <c r="B763" s="192"/>
      <c r="C763" s="192"/>
      <c r="D763" s="192"/>
      <c r="E763" s="192"/>
      <c r="F763" s="192"/>
      <c r="G763" s="192"/>
      <c r="H763" s="192"/>
      <c r="I763" s="192"/>
      <c r="J763" s="192"/>
    </row>
    <row r="764">
      <c r="A764" s="192"/>
      <c r="B764" s="192"/>
      <c r="C764" s="192"/>
      <c r="D764" s="192"/>
      <c r="E764" s="192"/>
      <c r="F764" s="192"/>
      <c r="G764" s="192"/>
      <c r="H764" s="192"/>
      <c r="I764" s="192"/>
      <c r="J764" s="192"/>
    </row>
    <row r="765">
      <c r="A765" s="192"/>
      <c r="B765" s="192"/>
      <c r="C765" s="192"/>
      <c r="D765" s="192"/>
      <c r="E765" s="192"/>
      <c r="F765" s="192"/>
      <c r="G765" s="192"/>
      <c r="H765" s="192"/>
      <c r="I765" s="192"/>
      <c r="J765" s="192"/>
    </row>
    <row r="766">
      <c r="A766" s="192"/>
      <c r="B766" s="192"/>
      <c r="C766" s="192"/>
      <c r="D766" s="192"/>
      <c r="E766" s="192"/>
      <c r="F766" s="192"/>
      <c r="G766" s="192"/>
      <c r="H766" s="192"/>
      <c r="I766" s="192"/>
      <c r="J766" s="192"/>
    </row>
    <row r="767">
      <c r="A767" s="192"/>
      <c r="B767" s="192"/>
      <c r="C767" s="192"/>
      <c r="D767" s="192"/>
      <c r="E767" s="192"/>
      <c r="F767" s="192"/>
      <c r="G767" s="192"/>
      <c r="H767" s="192"/>
      <c r="I767" s="192"/>
      <c r="J767" s="192"/>
    </row>
    <row r="768">
      <c r="A768" s="192"/>
      <c r="B768" s="192"/>
      <c r="C768" s="192"/>
      <c r="D768" s="192"/>
      <c r="E768" s="192"/>
      <c r="F768" s="192"/>
      <c r="G768" s="192"/>
      <c r="H768" s="192"/>
      <c r="I768" s="192"/>
      <c r="J768" s="192"/>
    </row>
    <row r="769">
      <c r="A769" s="192"/>
      <c r="B769" s="192"/>
      <c r="C769" s="192"/>
      <c r="D769" s="192"/>
      <c r="E769" s="192"/>
      <c r="F769" s="192"/>
      <c r="G769" s="192"/>
      <c r="H769" s="192"/>
      <c r="I769" s="192"/>
      <c r="J769" s="192"/>
    </row>
    <row r="770">
      <c r="A770" s="192"/>
      <c r="B770" s="192"/>
      <c r="C770" s="192"/>
      <c r="D770" s="192"/>
      <c r="E770" s="192"/>
      <c r="F770" s="192"/>
      <c r="G770" s="192"/>
      <c r="H770" s="192"/>
      <c r="I770" s="192"/>
      <c r="J770" s="192"/>
    </row>
    <row r="771">
      <c r="A771" s="192"/>
      <c r="B771" s="192"/>
      <c r="C771" s="192"/>
      <c r="D771" s="192"/>
      <c r="E771" s="192"/>
      <c r="F771" s="192"/>
      <c r="G771" s="192"/>
      <c r="H771" s="192"/>
      <c r="I771" s="192"/>
      <c r="J771" s="192"/>
    </row>
    <row r="772">
      <c r="A772" s="192"/>
      <c r="B772" s="192"/>
      <c r="C772" s="192"/>
      <c r="D772" s="192"/>
      <c r="E772" s="192"/>
      <c r="F772" s="192"/>
      <c r="G772" s="192"/>
      <c r="H772" s="192"/>
      <c r="I772" s="192"/>
      <c r="J772" s="192"/>
    </row>
    <row r="773">
      <c r="A773" s="192"/>
      <c r="B773" s="192"/>
      <c r="C773" s="192"/>
      <c r="D773" s="192"/>
      <c r="E773" s="192"/>
      <c r="F773" s="192"/>
      <c r="G773" s="192"/>
      <c r="H773" s="192"/>
      <c r="I773" s="192"/>
      <c r="J773" s="192"/>
    </row>
    <row r="774">
      <c r="A774" s="192"/>
      <c r="B774" s="192"/>
      <c r="C774" s="192"/>
      <c r="D774" s="192"/>
      <c r="E774" s="192"/>
      <c r="F774" s="192"/>
      <c r="G774" s="192"/>
      <c r="H774" s="192"/>
      <c r="I774" s="192"/>
      <c r="J774" s="192"/>
    </row>
    <row r="775">
      <c r="A775" s="192"/>
      <c r="B775" s="192"/>
      <c r="C775" s="192"/>
      <c r="D775" s="192"/>
      <c r="E775" s="192"/>
      <c r="F775" s="192"/>
      <c r="G775" s="192"/>
      <c r="H775" s="192"/>
      <c r="I775" s="192"/>
      <c r="J775" s="192"/>
    </row>
    <row r="776">
      <c r="A776" s="192"/>
      <c r="B776" s="192"/>
      <c r="C776" s="192"/>
      <c r="D776" s="192"/>
      <c r="E776" s="192"/>
      <c r="F776" s="192"/>
      <c r="G776" s="192"/>
      <c r="H776" s="192"/>
      <c r="I776" s="192"/>
      <c r="J776" s="192"/>
    </row>
    <row r="777">
      <c r="A777" s="192"/>
      <c r="B777" s="192"/>
      <c r="C777" s="192"/>
      <c r="D777" s="192"/>
      <c r="E777" s="192"/>
      <c r="F777" s="192"/>
      <c r="G777" s="192"/>
      <c r="H777" s="192"/>
      <c r="I777" s="192"/>
      <c r="J777" s="192"/>
    </row>
    <row r="778">
      <c r="A778" s="192"/>
      <c r="B778" s="192"/>
      <c r="C778" s="192"/>
      <c r="D778" s="192"/>
      <c r="E778" s="192"/>
      <c r="F778" s="192"/>
      <c r="G778" s="192"/>
      <c r="H778" s="192"/>
      <c r="I778" s="192"/>
      <c r="J778" s="192"/>
    </row>
    <row r="779">
      <c r="A779" s="192"/>
      <c r="B779" s="192"/>
      <c r="C779" s="192"/>
      <c r="D779" s="192"/>
      <c r="E779" s="192"/>
      <c r="F779" s="192"/>
      <c r="G779" s="192"/>
      <c r="H779" s="192"/>
      <c r="I779" s="192"/>
      <c r="J779" s="192"/>
    </row>
    <row r="780">
      <c r="A780" s="192"/>
      <c r="B780" s="192"/>
      <c r="C780" s="192"/>
      <c r="D780" s="192"/>
      <c r="E780" s="192"/>
      <c r="F780" s="192"/>
      <c r="G780" s="192"/>
      <c r="H780" s="192"/>
      <c r="I780" s="192"/>
      <c r="J780" s="192"/>
    </row>
    <row r="781">
      <c r="A781" s="192"/>
      <c r="B781" s="192"/>
      <c r="C781" s="192"/>
      <c r="D781" s="192"/>
      <c r="E781" s="192"/>
      <c r="F781" s="192"/>
      <c r="G781" s="192"/>
      <c r="H781" s="192"/>
      <c r="I781" s="192"/>
      <c r="J781" s="192"/>
    </row>
    <row r="782">
      <c r="A782" s="192"/>
      <c r="B782" s="192"/>
      <c r="C782" s="192"/>
      <c r="D782" s="192"/>
      <c r="E782" s="192"/>
      <c r="F782" s="192"/>
      <c r="G782" s="192"/>
      <c r="H782" s="192"/>
      <c r="I782" s="192"/>
      <c r="J782" s="192"/>
    </row>
    <row r="783">
      <c r="A783" s="192"/>
      <c r="B783" s="192"/>
      <c r="C783" s="192"/>
      <c r="D783" s="192"/>
      <c r="E783" s="192"/>
      <c r="F783" s="192"/>
      <c r="G783" s="192"/>
      <c r="H783" s="192"/>
      <c r="I783" s="192"/>
      <c r="J783" s="192"/>
    </row>
    <row r="784">
      <c r="A784" s="192"/>
      <c r="B784" s="192"/>
      <c r="C784" s="192"/>
      <c r="D784" s="192"/>
      <c r="E784" s="192"/>
      <c r="F784" s="192"/>
      <c r="G784" s="192"/>
      <c r="H784" s="192"/>
      <c r="I784" s="192"/>
      <c r="J784" s="192"/>
    </row>
    <row r="785">
      <c r="A785" s="192"/>
      <c r="B785" s="192"/>
      <c r="C785" s="192"/>
      <c r="D785" s="192"/>
      <c r="E785" s="192"/>
      <c r="F785" s="192"/>
      <c r="G785" s="192"/>
      <c r="H785" s="192"/>
      <c r="I785" s="192"/>
      <c r="J785" s="192"/>
    </row>
    <row r="786">
      <c r="A786" s="192"/>
      <c r="B786" s="192"/>
      <c r="C786" s="192"/>
      <c r="D786" s="192"/>
      <c r="E786" s="192"/>
      <c r="F786" s="192"/>
      <c r="G786" s="192"/>
      <c r="H786" s="192"/>
      <c r="I786" s="192"/>
      <c r="J786" s="192"/>
    </row>
    <row r="787">
      <c r="A787" s="192"/>
      <c r="B787" s="192"/>
      <c r="C787" s="192"/>
      <c r="D787" s="192"/>
      <c r="E787" s="192"/>
      <c r="F787" s="192"/>
      <c r="G787" s="192"/>
      <c r="H787" s="192"/>
      <c r="I787" s="192"/>
      <c r="J787" s="192"/>
    </row>
    <row r="788">
      <c r="A788" s="192"/>
      <c r="B788" s="192"/>
      <c r="C788" s="192"/>
      <c r="D788" s="192"/>
      <c r="E788" s="192"/>
      <c r="F788" s="192"/>
      <c r="G788" s="192"/>
      <c r="H788" s="192"/>
      <c r="I788" s="192"/>
      <c r="J788" s="192"/>
    </row>
    <row r="789">
      <c r="A789" s="192"/>
      <c r="B789" s="192"/>
      <c r="C789" s="192"/>
      <c r="D789" s="192"/>
      <c r="E789" s="192"/>
      <c r="F789" s="192"/>
      <c r="G789" s="192"/>
      <c r="H789" s="192"/>
      <c r="I789" s="192"/>
      <c r="J789" s="192"/>
    </row>
    <row r="790">
      <c r="A790" s="192"/>
      <c r="B790" s="192"/>
      <c r="C790" s="192"/>
      <c r="D790" s="192"/>
      <c r="E790" s="192"/>
      <c r="F790" s="192"/>
      <c r="G790" s="192"/>
      <c r="H790" s="192"/>
      <c r="I790" s="192"/>
      <c r="J790" s="192"/>
    </row>
    <row r="791">
      <c r="A791" s="192"/>
      <c r="B791" s="192"/>
      <c r="C791" s="192"/>
      <c r="D791" s="192"/>
      <c r="E791" s="192"/>
      <c r="F791" s="192"/>
      <c r="G791" s="192"/>
      <c r="H791" s="192"/>
      <c r="I791" s="192"/>
      <c r="J791" s="192"/>
    </row>
    <row r="792">
      <c r="A792" s="192"/>
      <c r="B792" s="192"/>
      <c r="C792" s="192"/>
      <c r="D792" s="192"/>
      <c r="E792" s="192"/>
      <c r="F792" s="192"/>
      <c r="G792" s="192"/>
      <c r="H792" s="192"/>
      <c r="I792" s="192"/>
      <c r="J792" s="192"/>
    </row>
    <row r="793">
      <c r="A793" s="192"/>
      <c r="B793" s="192"/>
      <c r="C793" s="192"/>
      <c r="D793" s="192"/>
      <c r="E793" s="192"/>
      <c r="F793" s="192"/>
      <c r="G793" s="192"/>
      <c r="H793" s="192"/>
      <c r="I793" s="192"/>
      <c r="J793" s="192"/>
    </row>
    <row r="794">
      <c r="A794" s="192"/>
      <c r="B794" s="192"/>
      <c r="C794" s="192"/>
      <c r="D794" s="192"/>
      <c r="E794" s="192"/>
      <c r="F794" s="192"/>
      <c r="G794" s="192"/>
      <c r="H794" s="192"/>
      <c r="I794" s="192"/>
      <c r="J794" s="192"/>
    </row>
    <row r="795">
      <c r="A795" s="192"/>
      <c r="B795" s="192"/>
      <c r="C795" s="192"/>
      <c r="D795" s="192"/>
      <c r="E795" s="192"/>
      <c r="F795" s="192"/>
      <c r="G795" s="192"/>
      <c r="H795" s="192"/>
      <c r="I795" s="192"/>
      <c r="J795" s="192"/>
    </row>
    <row r="796">
      <c r="A796" s="192"/>
      <c r="B796" s="192"/>
      <c r="C796" s="192"/>
      <c r="D796" s="192"/>
      <c r="E796" s="192"/>
      <c r="F796" s="192"/>
      <c r="G796" s="192"/>
      <c r="H796" s="192"/>
      <c r="I796" s="192"/>
      <c r="J796" s="192"/>
    </row>
    <row r="797">
      <c r="A797" s="192"/>
      <c r="B797" s="192"/>
      <c r="C797" s="192"/>
      <c r="D797" s="192"/>
      <c r="E797" s="192"/>
      <c r="F797" s="192"/>
      <c r="G797" s="192"/>
      <c r="H797" s="192"/>
      <c r="I797" s="192"/>
      <c r="J797" s="192"/>
    </row>
    <row r="798">
      <c r="A798" s="192"/>
      <c r="B798" s="192"/>
      <c r="C798" s="192"/>
      <c r="D798" s="192"/>
      <c r="E798" s="192"/>
      <c r="F798" s="192"/>
      <c r="G798" s="192"/>
      <c r="H798" s="192"/>
      <c r="I798" s="192"/>
      <c r="J798" s="192"/>
    </row>
    <row r="799">
      <c r="A799" s="192"/>
      <c r="B799" s="192"/>
      <c r="C799" s="192"/>
      <c r="D799" s="192"/>
      <c r="E799" s="192"/>
      <c r="F799" s="192"/>
      <c r="G799" s="192"/>
      <c r="H799" s="192"/>
      <c r="I799" s="192"/>
      <c r="J799" s="192"/>
    </row>
    <row r="800">
      <c r="A800" s="192"/>
      <c r="B800" s="192"/>
      <c r="C800" s="192"/>
      <c r="D800" s="192"/>
      <c r="E800" s="192"/>
      <c r="F800" s="192"/>
      <c r="G800" s="192"/>
      <c r="H800" s="192"/>
      <c r="I800" s="192"/>
      <c r="J800" s="192"/>
    </row>
    <row r="801">
      <c r="A801" s="192"/>
      <c r="B801" s="192"/>
      <c r="C801" s="192"/>
      <c r="D801" s="192"/>
      <c r="E801" s="192"/>
      <c r="F801" s="192"/>
      <c r="G801" s="192"/>
      <c r="H801" s="192"/>
      <c r="I801" s="192"/>
      <c r="J801" s="192"/>
    </row>
    <row r="802">
      <c r="A802" s="192"/>
      <c r="B802" s="192"/>
      <c r="C802" s="192"/>
      <c r="D802" s="192"/>
      <c r="E802" s="192"/>
      <c r="F802" s="192"/>
      <c r="G802" s="192"/>
      <c r="H802" s="192"/>
      <c r="I802" s="192"/>
      <c r="J802" s="192"/>
    </row>
    <row r="803">
      <c r="A803" s="192"/>
      <c r="B803" s="192"/>
      <c r="C803" s="192"/>
      <c r="D803" s="192"/>
      <c r="E803" s="192"/>
      <c r="F803" s="192"/>
      <c r="G803" s="192"/>
      <c r="H803" s="192"/>
      <c r="I803" s="192"/>
      <c r="J803" s="192"/>
    </row>
    <row r="804">
      <c r="A804" s="192"/>
      <c r="B804" s="192"/>
      <c r="C804" s="192"/>
      <c r="D804" s="192"/>
      <c r="E804" s="192"/>
      <c r="F804" s="192"/>
      <c r="G804" s="192"/>
      <c r="H804" s="192"/>
      <c r="I804" s="192"/>
      <c r="J804" s="192"/>
    </row>
    <row r="805">
      <c r="A805" s="192"/>
      <c r="B805" s="192"/>
      <c r="C805" s="192"/>
      <c r="D805" s="192"/>
      <c r="E805" s="192"/>
      <c r="F805" s="192"/>
      <c r="G805" s="192"/>
      <c r="H805" s="192"/>
      <c r="I805" s="192"/>
      <c r="J805" s="192"/>
    </row>
    <row r="806">
      <c r="A806" s="192"/>
      <c r="B806" s="192"/>
      <c r="C806" s="192"/>
      <c r="D806" s="192"/>
      <c r="E806" s="192"/>
      <c r="F806" s="192"/>
      <c r="G806" s="192"/>
      <c r="H806" s="192"/>
      <c r="I806" s="192"/>
      <c r="J806" s="192"/>
    </row>
    <row r="807">
      <c r="A807" s="192"/>
      <c r="B807" s="192"/>
      <c r="C807" s="192"/>
      <c r="D807" s="192"/>
      <c r="E807" s="192"/>
      <c r="F807" s="192"/>
      <c r="G807" s="192"/>
      <c r="H807" s="192"/>
      <c r="I807" s="192"/>
      <c r="J807" s="192"/>
    </row>
    <row r="808">
      <c r="A808" s="192"/>
      <c r="B808" s="192"/>
      <c r="C808" s="192"/>
      <c r="D808" s="192"/>
      <c r="E808" s="192"/>
      <c r="F808" s="192"/>
      <c r="G808" s="192"/>
      <c r="H808" s="192"/>
      <c r="I808" s="192"/>
      <c r="J808" s="192"/>
    </row>
    <row r="809">
      <c r="A809" s="192"/>
      <c r="B809" s="192"/>
      <c r="C809" s="192"/>
      <c r="D809" s="192"/>
      <c r="E809" s="192"/>
      <c r="F809" s="192"/>
      <c r="G809" s="192"/>
      <c r="H809" s="192"/>
      <c r="I809" s="192"/>
      <c r="J809" s="192"/>
    </row>
    <row r="810">
      <c r="A810" s="192"/>
      <c r="B810" s="192"/>
      <c r="C810" s="192"/>
      <c r="D810" s="192"/>
      <c r="E810" s="192"/>
      <c r="F810" s="192"/>
      <c r="G810" s="192"/>
      <c r="H810" s="192"/>
      <c r="I810" s="192"/>
      <c r="J810" s="192"/>
    </row>
    <row r="811">
      <c r="A811" s="192"/>
      <c r="B811" s="192"/>
      <c r="C811" s="192"/>
      <c r="D811" s="192"/>
      <c r="E811" s="192"/>
      <c r="F811" s="192"/>
      <c r="G811" s="192"/>
      <c r="H811" s="192"/>
      <c r="I811" s="192"/>
      <c r="J811" s="192"/>
    </row>
    <row r="812">
      <c r="A812" s="192"/>
      <c r="B812" s="192"/>
      <c r="C812" s="192"/>
      <c r="D812" s="192"/>
      <c r="E812" s="192"/>
      <c r="F812" s="192"/>
      <c r="G812" s="192"/>
      <c r="H812" s="192"/>
      <c r="I812" s="192"/>
      <c r="J812" s="192"/>
    </row>
    <row r="813">
      <c r="A813" s="192"/>
      <c r="B813" s="192"/>
      <c r="C813" s="192"/>
      <c r="D813" s="192"/>
      <c r="E813" s="192"/>
      <c r="F813" s="192"/>
      <c r="G813" s="192"/>
      <c r="H813" s="192"/>
      <c r="I813" s="192"/>
      <c r="J813" s="192"/>
    </row>
    <row r="814">
      <c r="A814" s="192"/>
      <c r="B814" s="192"/>
      <c r="C814" s="192"/>
      <c r="D814" s="192"/>
      <c r="E814" s="192"/>
      <c r="F814" s="192"/>
      <c r="G814" s="192"/>
      <c r="H814" s="192"/>
      <c r="I814" s="192"/>
      <c r="J814" s="192"/>
    </row>
    <row r="815">
      <c r="A815" s="192"/>
      <c r="B815" s="192"/>
      <c r="C815" s="192"/>
      <c r="D815" s="192"/>
      <c r="E815" s="192"/>
      <c r="F815" s="192"/>
      <c r="G815" s="192"/>
      <c r="H815" s="192"/>
      <c r="I815" s="192"/>
      <c r="J815" s="192"/>
    </row>
    <row r="816">
      <c r="A816" s="192"/>
      <c r="B816" s="192"/>
      <c r="C816" s="192"/>
      <c r="D816" s="192"/>
      <c r="E816" s="192"/>
      <c r="F816" s="192"/>
      <c r="G816" s="192"/>
      <c r="H816" s="192"/>
      <c r="I816" s="192"/>
      <c r="J816" s="192"/>
    </row>
    <row r="817">
      <c r="A817" s="192"/>
      <c r="B817" s="192"/>
      <c r="C817" s="192"/>
      <c r="D817" s="192"/>
      <c r="E817" s="192"/>
      <c r="F817" s="192"/>
      <c r="G817" s="192"/>
      <c r="H817" s="192"/>
      <c r="I817" s="192"/>
      <c r="J817" s="192"/>
    </row>
    <row r="818">
      <c r="A818" s="192"/>
      <c r="B818" s="192"/>
      <c r="C818" s="192"/>
      <c r="D818" s="192"/>
      <c r="E818" s="192"/>
      <c r="F818" s="192"/>
      <c r="G818" s="192"/>
      <c r="H818" s="192"/>
      <c r="I818" s="192"/>
      <c r="J818" s="192"/>
    </row>
    <row r="819">
      <c r="A819" s="192"/>
      <c r="B819" s="192"/>
      <c r="C819" s="192"/>
      <c r="D819" s="192"/>
      <c r="E819" s="192"/>
      <c r="F819" s="192"/>
      <c r="G819" s="192"/>
      <c r="H819" s="192"/>
      <c r="I819" s="192"/>
      <c r="J819" s="192"/>
    </row>
    <row r="820">
      <c r="A820" s="192"/>
      <c r="B820" s="192"/>
      <c r="C820" s="192"/>
      <c r="D820" s="192"/>
      <c r="E820" s="192"/>
      <c r="F820" s="192"/>
      <c r="G820" s="192"/>
      <c r="H820" s="192"/>
      <c r="I820" s="192"/>
      <c r="J820" s="192"/>
    </row>
    <row r="821">
      <c r="A821" s="192"/>
      <c r="B821" s="192"/>
      <c r="C821" s="192"/>
      <c r="D821" s="192"/>
      <c r="E821" s="192"/>
      <c r="F821" s="192"/>
      <c r="G821" s="192"/>
      <c r="H821" s="192"/>
      <c r="I821" s="192"/>
      <c r="J821" s="192"/>
    </row>
    <row r="822">
      <c r="A822" s="192"/>
      <c r="B822" s="192"/>
      <c r="C822" s="192"/>
      <c r="D822" s="192"/>
      <c r="E822" s="192"/>
      <c r="F822" s="192"/>
      <c r="G822" s="192"/>
      <c r="H822" s="192"/>
      <c r="I822" s="192"/>
      <c r="J822" s="192"/>
    </row>
    <row r="823">
      <c r="A823" s="192"/>
      <c r="B823" s="192"/>
      <c r="C823" s="192"/>
      <c r="D823" s="192"/>
      <c r="E823" s="192"/>
      <c r="F823" s="192"/>
      <c r="G823" s="192"/>
      <c r="H823" s="192"/>
      <c r="I823" s="192"/>
      <c r="J823" s="192"/>
    </row>
    <row r="824">
      <c r="A824" s="192"/>
      <c r="B824" s="192"/>
      <c r="C824" s="192"/>
      <c r="D824" s="192"/>
      <c r="E824" s="192"/>
      <c r="F824" s="192"/>
      <c r="G824" s="192"/>
      <c r="H824" s="192"/>
      <c r="I824" s="192"/>
      <c r="J824" s="192"/>
    </row>
    <row r="825">
      <c r="A825" s="192"/>
      <c r="B825" s="192"/>
      <c r="C825" s="192"/>
      <c r="D825" s="192"/>
      <c r="E825" s="192"/>
      <c r="F825" s="192"/>
      <c r="G825" s="192"/>
      <c r="H825" s="192"/>
      <c r="I825" s="192"/>
      <c r="J825" s="192"/>
    </row>
    <row r="826">
      <c r="A826" s="192"/>
      <c r="B826" s="192"/>
      <c r="C826" s="192"/>
      <c r="D826" s="192"/>
      <c r="E826" s="192"/>
      <c r="F826" s="192"/>
      <c r="G826" s="192"/>
      <c r="H826" s="192"/>
      <c r="I826" s="192"/>
      <c r="J826" s="192"/>
    </row>
    <row r="827">
      <c r="A827" s="192"/>
      <c r="B827" s="192"/>
      <c r="C827" s="192"/>
      <c r="D827" s="192"/>
      <c r="E827" s="192"/>
      <c r="F827" s="192"/>
      <c r="G827" s="192"/>
      <c r="H827" s="192"/>
      <c r="I827" s="192"/>
      <c r="J827" s="192"/>
    </row>
    <row r="828">
      <c r="A828" s="192"/>
      <c r="B828" s="192"/>
      <c r="C828" s="192"/>
      <c r="D828" s="192"/>
      <c r="E828" s="192"/>
      <c r="F828" s="192"/>
      <c r="G828" s="192"/>
      <c r="H828" s="192"/>
      <c r="I828" s="192"/>
      <c r="J828" s="192"/>
    </row>
    <row r="829">
      <c r="A829" s="192"/>
      <c r="B829" s="192"/>
      <c r="C829" s="192"/>
      <c r="D829" s="192"/>
      <c r="E829" s="192"/>
      <c r="F829" s="192"/>
      <c r="G829" s="192"/>
      <c r="H829" s="192"/>
      <c r="I829" s="192"/>
      <c r="J829" s="192"/>
    </row>
    <row r="830">
      <c r="A830" s="192"/>
      <c r="B830" s="192"/>
      <c r="C830" s="192"/>
      <c r="D830" s="192"/>
      <c r="E830" s="192"/>
      <c r="F830" s="192"/>
      <c r="G830" s="192"/>
      <c r="H830" s="192"/>
      <c r="I830" s="192"/>
      <c r="J830" s="192"/>
    </row>
    <row r="831">
      <c r="A831" s="192"/>
      <c r="B831" s="192"/>
      <c r="C831" s="192"/>
      <c r="D831" s="192"/>
      <c r="E831" s="192"/>
      <c r="F831" s="192"/>
      <c r="G831" s="192"/>
      <c r="H831" s="192"/>
      <c r="I831" s="192"/>
      <c r="J831" s="192"/>
    </row>
    <row r="832">
      <c r="A832" s="192"/>
      <c r="B832" s="192"/>
      <c r="C832" s="192"/>
      <c r="D832" s="192"/>
      <c r="E832" s="192"/>
      <c r="F832" s="192"/>
      <c r="G832" s="192"/>
      <c r="H832" s="192"/>
      <c r="I832" s="192"/>
      <c r="J832" s="192"/>
    </row>
    <row r="833">
      <c r="A833" s="192"/>
      <c r="B833" s="192"/>
      <c r="C833" s="192"/>
      <c r="D833" s="192"/>
      <c r="E833" s="192"/>
      <c r="F833" s="192"/>
      <c r="G833" s="192"/>
      <c r="H833" s="192"/>
      <c r="I833" s="192"/>
      <c r="J833" s="192"/>
    </row>
    <row r="834">
      <c r="A834" s="192"/>
      <c r="B834" s="192"/>
      <c r="C834" s="192"/>
      <c r="D834" s="192"/>
      <c r="E834" s="192"/>
      <c r="F834" s="192"/>
      <c r="G834" s="192"/>
      <c r="H834" s="192"/>
      <c r="I834" s="192"/>
      <c r="J834" s="192"/>
    </row>
    <row r="835">
      <c r="A835" s="192"/>
      <c r="B835" s="192"/>
      <c r="C835" s="192"/>
      <c r="D835" s="192"/>
      <c r="E835" s="192"/>
      <c r="F835" s="192"/>
      <c r="G835" s="192"/>
      <c r="H835" s="192"/>
      <c r="I835" s="192"/>
      <c r="J835" s="192"/>
    </row>
    <row r="836">
      <c r="A836" s="192"/>
      <c r="B836" s="192"/>
      <c r="C836" s="192"/>
      <c r="D836" s="192"/>
      <c r="E836" s="192"/>
      <c r="F836" s="192"/>
      <c r="G836" s="192"/>
      <c r="H836" s="192"/>
      <c r="I836" s="192"/>
      <c r="J836" s="192"/>
    </row>
    <row r="837">
      <c r="A837" s="192"/>
      <c r="B837" s="192"/>
      <c r="C837" s="192"/>
      <c r="D837" s="192"/>
      <c r="E837" s="192"/>
      <c r="F837" s="192"/>
      <c r="G837" s="192"/>
      <c r="H837" s="192"/>
      <c r="I837" s="192"/>
      <c r="J837" s="192"/>
    </row>
    <row r="838">
      <c r="A838" s="192"/>
      <c r="B838" s="192"/>
      <c r="C838" s="192"/>
      <c r="D838" s="192"/>
      <c r="E838" s="192"/>
      <c r="F838" s="192"/>
      <c r="G838" s="192"/>
      <c r="H838" s="192"/>
      <c r="I838" s="192"/>
      <c r="J838" s="192"/>
    </row>
    <row r="839">
      <c r="A839" s="192"/>
      <c r="B839" s="192"/>
      <c r="C839" s="192"/>
      <c r="D839" s="192"/>
      <c r="E839" s="192"/>
      <c r="F839" s="192"/>
      <c r="G839" s="192"/>
      <c r="H839" s="192"/>
      <c r="I839" s="192"/>
      <c r="J839" s="192"/>
    </row>
    <row r="840">
      <c r="A840" s="192"/>
      <c r="B840" s="192"/>
      <c r="C840" s="192"/>
      <c r="D840" s="192"/>
      <c r="E840" s="192"/>
      <c r="F840" s="192"/>
      <c r="G840" s="192"/>
      <c r="H840" s="192"/>
      <c r="I840" s="192"/>
      <c r="J840" s="192"/>
    </row>
    <row r="841">
      <c r="A841" s="192"/>
      <c r="B841" s="192"/>
      <c r="C841" s="192"/>
      <c r="D841" s="192"/>
      <c r="E841" s="192"/>
      <c r="F841" s="192"/>
      <c r="G841" s="192"/>
      <c r="H841" s="192"/>
      <c r="I841" s="192"/>
      <c r="J841" s="192"/>
    </row>
    <row r="842">
      <c r="A842" s="192"/>
      <c r="B842" s="192"/>
      <c r="C842" s="192"/>
      <c r="D842" s="192"/>
      <c r="E842" s="192"/>
      <c r="F842" s="192"/>
      <c r="G842" s="192"/>
      <c r="H842" s="192"/>
      <c r="I842" s="192"/>
      <c r="J842" s="192"/>
    </row>
    <row r="843">
      <c r="A843" s="192"/>
      <c r="B843" s="192"/>
      <c r="C843" s="192"/>
      <c r="D843" s="192"/>
      <c r="E843" s="192"/>
      <c r="F843" s="192"/>
      <c r="G843" s="192"/>
      <c r="H843" s="192"/>
      <c r="I843" s="192"/>
      <c r="J843" s="192"/>
    </row>
    <row r="844">
      <c r="A844" s="192"/>
      <c r="B844" s="192"/>
      <c r="C844" s="192"/>
      <c r="D844" s="192"/>
      <c r="E844" s="192"/>
      <c r="F844" s="192"/>
      <c r="G844" s="192"/>
      <c r="H844" s="192"/>
      <c r="I844" s="192"/>
      <c r="J844" s="192"/>
    </row>
    <row r="845">
      <c r="A845" s="192"/>
      <c r="B845" s="192"/>
      <c r="C845" s="192"/>
      <c r="D845" s="192"/>
      <c r="E845" s="192"/>
      <c r="F845" s="192"/>
      <c r="G845" s="192"/>
      <c r="H845" s="192"/>
      <c r="I845" s="192"/>
      <c r="J845" s="192"/>
    </row>
    <row r="846">
      <c r="A846" s="192"/>
      <c r="B846" s="192"/>
      <c r="C846" s="192"/>
      <c r="D846" s="192"/>
      <c r="E846" s="192"/>
      <c r="F846" s="192"/>
      <c r="G846" s="192"/>
      <c r="H846" s="192"/>
      <c r="I846" s="192"/>
      <c r="J846" s="192"/>
    </row>
    <row r="847">
      <c r="A847" s="192"/>
      <c r="B847" s="192"/>
      <c r="C847" s="192"/>
      <c r="D847" s="192"/>
      <c r="E847" s="192"/>
      <c r="F847" s="192"/>
      <c r="G847" s="192"/>
      <c r="H847" s="192"/>
      <c r="I847" s="192"/>
      <c r="J847" s="192"/>
    </row>
    <row r="848">
      <c r="A848" s="192"/>
      <c r="B848" s="192"/>
      <c r="C848" s="192"/>
      <c r="D848" s="192"/>
      <c r="E848" s="192"/>
      <c r="F848" s="192"/>
      <c r="G848" s="192"/>
      <c r="H848" s="192"/>
      <c r="I848" s="192"/>
      <c r="J848" s="192"/>
    </row>
    <row r="849">
      <c r="A849" s="192"/>
      <c r="B849" s="192"/>
      <c r="C849" s="192"/>
      <c r="D849" s="192"/>
      <c r="E849" s="192"/>
      <c r="F849" s="192"/>
      <c r="G849" s="192"/>
      <c r="H849" s="192"/>
      <c r="I849" s="192"/>
      <c r="J849" s="192"/>
    </row>
    <row r="850">
      <c r="A850" s="192"/>
      <c r="B850" s="192"/>
      <c r="C850" s="192"/>
      <c r="D850" s="192"/>
      <c r="E850" s="192"/>
      <c r="F850" s="192"/>
      <c r="G850" s="192"/>
      <c r="H850" s="192"/>
      <c r="I850" s="192"/>
      <c r="J850" s="192"/>
    </row>
    <row r="851">
      <c r="A851" s="192"/>
      <c r="B851" s="192"/>
      <c r="C851" s="192"/>
      <c r="D851" s="192"/>
      <c r="E851" s="192"/>
      <c r="F851" s="192"/>
      <c r="G851" s="192"/>
      <c r="H851" s="192"/>
      <c r="I851" s="192"/>
      <c r="J851" s="192"/>
    </row>
    <row r="852">
      <c r="A852" s="192"/>
      <c r="B852" s="192"/>
      <c r="C852" s="192"/>
      <c r="D852" s="192"/>
      <c r="E852" s="192"/>
      <c r="F852" s="192"/>
      <c r="G852" s="192"/>
      <c r="H852" s="192"/>
      <c r="I852" s="192"/>
      <c r="J852" s="192"/>
    </row>
    <row r="853">
      <c r="A853" s="192"/>
      <c r="B853" s="192"/>
      <c r="C853" s="192"/>
      <c r="D853" s="192"/>
      <c r="E853" s="192"/>
      <c r="F853" s="192"/>
      <c r="G853" s="192"/>
      <c r="H853" s="192"/>
      <c r="I853" s="192"/>
      <c r="J853" s="192"/>
    </row>
    <row r="854">
      <c r="A854" s="192"/>
      <c r="B854" s="192"/>
      <c r="C854" s="192"/>
      <c r="D854" s="192"/>
      <c r="E854" s="192"/>
      <c r="F854" s="192"/>
      <c r="G854" s="192"/>
      <c r="H854" s="192"/>
      <c r="I854" s="192"/>
      <c r="J854" s="192"/>
    </row>
    <row r="855">
      <c r="A855" s="192"/>
      <c r="B855" s="192"/>
      <c r="C855" s="192"/>
      <c r="D855" s="192"/>
      <c r="E855" s="192"/>
      <c r="F855" s="192"/>
      <c r="G855" s="192"/>
      <c r="H855" s="192"/>
      <c r="I855" s="192"/>
      <c r="J855" s="192"/>
    </row>
    <row r="856">
      <c r="A856" s="192"/>
      <c r="B856" s="192"/>
      <c r="C856" s="192"/>
      <c r="D856" s="192"/>
      <c r="E856" s="192"/>
      <c r="F856" s="192"/>
      <c r="G856" s="192"/>
      <c r="H856" s="192"/>
      <c r="I856" s="192"/>
      <c r="J856" s="192"/>
    </row>
    <row r="857">
      <c r="A857" s="192"/>
      <c r="B857" s="192"/>
      <c r="C857" s="192"/>
      <c r="D857" s="192"/>
      <c r="E857" s="192"/>
      <c r="F857" s="192"/>
      <c r="G857" s="192"/>
      <c r="H857" s="192"/>
      <c r="I857" s="192"/>
      <c r="J857" s="192"/>
    </row>
    <row r="858">
      <c r="A858" s="192"/>
      <c r="B858" s="192"/>
      <c r="C858" s="192"/>
      <c r="D858" s="192"/>
      <c r="E858" s="192"/>
      <c r="F858" s="192"/>
      <c r="G858" s="192"/>
      <c r="H858" s="192"/>
      <c r="I858" s="192"/>
      <c r="J858" s="192"/>
    </row>
    <row r="859">
      <c r="A859" s="192"/>
      <c r="B859" s="192"/>
      <c r="C859" s="192"/>
      <c r="D859" s="192"/>
      <c r="E859" s="192"/>
      <c r="F859" s="192"/>
      <c r="G859" s="192"/>
      <c r="H859" s="192"/>
      <c r="I859" s="192"/>
      <c r="J859" s="192"/>
    </row>
    <row r="860">
      <c r="A860" s="192"/>
      <c r="B860" s="192"/>
      <c r="C860" s="192"/>
      <c r="D860" s="192"/>
      <c r="E860" s="192"/>
      <c r="F860" s="192"/>
      <c r="G860" s="192"/>
      <c r="H860" s="192"/>
      <c r="I860" s="192"/>
      <c r="J860" s="192"/>
    </row>
    <row r="861">
      <c r="A861" s="192"/>
      <c r="B861" s="192"/>
      <c r="C861" s="192"/>
      <c r="D861" s="192"/>
      <c r="E861" s="192"/>
      <c r="F861" s="192"/>
      <c r="G861" s="192"/>
      <c r="H861" s="192"/>
      <c r="I861" s="192"/>
      <c r="J861" s="192"/>
    </row>
    <row r="862">
      <c r="A862" s="192"/>
      <c r="B862" s="192"/>
      <c r="C862" s="192"/>
      <c r="D862" s="192"/>
      <c r="E862" s="192"/>
      <c r="F862" s="192"/>
      <c r="G862" s="192"/>
      <c r="H862" s="192"/>
      <c r="I862" s="192"/>
      <c r="J862" s="192"/>
    </row>
    <row r="863">
      <c r="A863" s="192"/>
      <c r="B863" s="192"/>
      <c r="C863" s="192"/>
      <c r="D863" s="192"/>
      <c r="E863" s="192"/>
      <c r="F863" s="192"/>
      <c r="G863" s="192"/>
      <c r="H863" s="192"/>
      <c r="I863" s="192"/>
      <c r="J863" s="192"/>
    </row>
    <row r="864">
      <c r="A864" s="192"/>
      <c r="B864" s="192"/>
      <c r="C864" s="192"/>
      <c r="D864" s="192"/>
      <c r="E864" s="192"/>
      <c r="F864" s="192"/>
      <c r="G864" s="192"/>
      <c r="H864" s="192"/>
      <c r="I864" s="192"/>
      <c r="J864" s="192"/>
    </row>
    <row r="865">
      <c r="A865" s="192"/>
      <c r="B865" s="192"/>
      <c r="C865" s="192"/>
      <c r="D865" s="192"/>
      <c r="E865" s="192"/>
      <c r="F865" s="192"/>
      <c r="G865" s="192"/>
      <c r="H865" s="192"/>
      <c r="I865" s="192"/>
      <c r="J865" s="192"/>
    </row>
    <row r="866">
      <c r="A866" s="192"/>
      <c r="B866" s="192"/>
      <c r="C866" s="192"/>
      <c r="D866" s="192"/>
      <c r="E866" s="192"/>
      <c r="F866" s="192"/>
      <c r="G866" s="192"/>
      <c r="H866" s="192"/>
      <c r="I866" s="192"/>
      <c r="J866" s="192"/>
    </row>
    <row r="867">
      <c r="A867" s="192"/>
      <c r="B867" s="192"/>
      <c r="C867" s="192"/>
      <c r="D867" s="192"/>
      <c r="E867" s="192"/>
      <c r="F867" s="192"/>
      <c r="G867" s="192"/>
      <c r="H867" s="192"/>
      <c r="I867" s="192"/>
      <c r="J867" s="192"/>
    </row>
    <row r="868">
      <c r="A868" s="192"/>
      <c r="B868" s="192"/>
      <c r="C868" s="192"/>
      <c r="D868" s="192"/>
      <c r="E868" s="192"/>
      <c r="F868" s="192"/>
      <c r="G868" s="192"/>
      <c r="H868" s="192"/>
      <c r="I868" s="192"/>
      <c r="J868" s="192"/>
    </row>
    <row r="869">
      <c r="A869" s="192"/>
      <c r="B869" s="192"/>
      <c r="C869" s="192"/>
      <c r="D869" s="192"/>
      <c r="E869" s="192"/>
      <c r="F869" s="192"/>
      <c r="G869" s="192"/>
      <c r="H869" s="192"/>
      <c r="I869" s="192"/>
      <c r="J869" s="192"/>
    </row>
    <row r="870">
      <c r="A870" s="192"/>
      <c r="B870" s="192"/>
      <c r="C870" s="192"/>
      <c r="D870" s="192"/>
      <c r="E870" s="192"/>
      <c r="F870" s="192"/>
      <c r="G870" s="192"/>
      <c r="H870" s="192"/>
      <c r="I870" s="192"/>
      <c r="J870" s="192"/>
    </row>
    <row r="871">
      <c r="A871" s="192"/>
      <c r="B871" s="192"/>
      <c r="C871" s="192"/>
      <c r="D871" s="192"/>
      <c r="E871" s="192"/>
      <c r="F871" s="192"/>
      <c r="G871" s="192"/>
      <c r="H871" s="192"/>
      <c r="I871" s="192"/>
      <c r="J871" s="192"/>
    </row>
    <row r="872">
      <c r="A872" s="192"/>
      <c r="B872" s="192"/>
      <c r="C872" s="192"/>
      <c r="D872" s="192"/>
      <c r="E872" s="192"/>
      <c r="F872" s="192"/>
      <c r="G872" s="192"/>
      <c r="H872" s="192"/>
      <c r="I872" s="192"/>
      <c r="J872" s="192"/>
    </row>
    <row r="873">
      <c r="A873" s="192"/>
      <c r="B873" s="192"/>
      <c r="C873" s="192"/>
      <c r="D873" s="192"/>
      <c r="E873" s="192"/>
      <c r="F873" s="192"/>
      <c r="G873" s="192"/>
      <c r="H873" s="192"/>
      <c r="I873" s="192"/>
      <c r="J873" s="192"/>
    </row>
    <row r="874">
      <c r="A874" s="192"/>
      <c r="B874" s="192"/>
      <c r="C874" s="192"/>
      <c r="D874" s="192"/>
      <c r="E874" s="192"/>
      <c r="F874" s="192"/>
      <c r="G874" s="192"/>
      <c r="H874" s="192"/>
      <c r="I874" s="192"/>
      <c r="J874" s="192"/>
    </row>
    <row r="875">
      <c r="A875" s="192"/>
      <c r="B875" s="192"/>
      <c r="C875" s="192"/>
      <c r="D875" s="192"/>
      <c r="E875" s="192"/>
      <c r="F875" s="192"/>
      <c r="G875" s="192"/>
      <c r="H875" s="192"/>
      <c r="I875" s="192"/>
      <c r="J875" s="192"/>
    </row>
    <row r="876">
      <c r="A876" s="192"/>
      <c r="B876" s="192"/>
      <c r="C876" s="192"/>
      <c r="D876" s="192"/>
      <c r="E876" s="192"/>
      <c r="F876" s="192"/>
      <c r="G876" s="192"/>
      <c r="H876" s="192"/>
      <c r="I876" s="192"/>
      <c r="J876" s="192"/>
    </row>
    <row r="877">
      <c r="A877" s="192"/>
      <c r="B877" s="192"/>
      <c r="C877" s="192"/>
      <c r="D877" s="192"/>
      <c r="E877" s="192"/>
      <c r="F877" s="192"/>
      <c r="G877" s="192"/>
      <c r="H877" s="192"/>
      <c r="I877" s="192"/>
      <c r="J877" s="192"/>
    </row>
    <row r="878">
      <c r="A878" s="192"/>
      <c r="B878" s="192"/>
      <c r="C878" s="192"/>
      <c r="D878" s="192"/>
      <c r="E878" s="192"/>
      <c r="F878" s="192"/>
      <c r="G878" s="192"/>
      <c r="H878" s="192"/>
      <c r="I878" s="192"/>
      <c r="J878" s="192"/>
    </row>
    <row r="879">
      <c r="A879" s="192"/>
      <c r="B879" s="192"/>
      <c r="C879" s="192"/>
      <c r="D879" s="192"/>
      <c r="E879" s="192"/>
      <c r="F879" s="192"/>
      <c r="G879" s="192"/>
      <c r="H879" s="192"/>
      <c r="I879" s="192"/>
      <c r="J879" s="192"/>
    </row>
    <row r="880">
      <c r="A880" s="192"/>
      <c r="B880" s="192"/>
      <c r="C880" s="192"/>
      <c r="D880" s="192"/>
      <c r="E880" s="192"/>
      <c r="F880" s="192"/>
      <c r="G880" s="192"/>
      <c r="H880" s="192"/>
      <c r="I880" s="192"/>
      <c r="J880" s="192"/>
    </row>
    <row r="881">
      <c r="A881" s="192"/>
      <c r="B881" s="192"/>
      <c r="C881" s="192"/>
      <c r="D881" s="192"/>
      <c r="E881" s="192"/>
      <c r="F881" s="192"/>
      <c r="G881" s="192"/>
      <c r="H881" s="192"/>
      <c r="I881" s="192"/>
      <c r="J881" s="192"/>
    </row>
    <row r="882">
      <c r="A882" s="192"/>
      <c r="B882" s="192"/>
      <c r="C882" s="192"/>
      <c r="D882" s="192"/>
      <c r="E882" s="192"/>
      <c r="F882" s="192"/>
      <c r="G882" s="192"/>
      <c r="H882" s="192"/>
      <c r="I882" s="192"/>
      <c r="J882" s="192"/>
    </row>
    <row r="883">
      <c r="A883" s="192"/>
      <c r="B883" s="192"/>
      <c r="C883" s="192"/>
      <c r="D883" s="192"/>
      <c r="E883" s="192"/>
      <c r="F883" s="192"/>
      <c r="G883" s="192"/>
      <c r="H883" s="192"/>
      <c r="I883" s="192"/>
      <c r="J883" s="192"/>
    </row>
    <row r="884">
      <c r="A884" s="192"/>
      <c r="B884" s="192"/>
      <c r="C884" s="192"/>
      <c r="D884" s="192"/>
      <c r="E884" s="192"/>
      <c r="F884" s="192"/>
      <c r="G884" s="192"/>
      <c r="H884" s="192"/>
      <c r="I884" s="192"/>
      <c r="J884" s="192"/>
    </row>
    <row r="885">
      <c r="A885" s="192"/>
      <c r="B885" s="192"/>
      <c r="C885" s="192"/>
      <c r="D885" s="192"/>
      <c r="E885" s="192"/>
      <c r="F885" s="192"/>
      <c r="G885" s="192"/>
      <c r="H885" s="192"/>
      <c r="I885" s="192"/>
      <c r="J885" s="192"/>
    </row>
    <row r="886">
      <c r="A886" s="192"/>
      <c r="B886" s="192"/>
      <c r="C886" s="192"/>
      <c r="D886" s="192"/>
      <c r="E886" s="192"/>
      <c r="F886" s="192"/>
      <c r="G886" s="192"/>
      <c r="H886" s="192"/>
      <c r="I886" s="192"/>
      <c r="J886" s="192"/>
    </row>
    <row r="887">
      <c r="A887" s="192"/>
      <c r="B887" s="192"/>
      <c r="C887" s="192"/>
      <c r="D887" s="192"/>
      <c r="E887" s="192"/>
      <c r="F887" s="192"/>
      <c r="G887" s="192"/>
      <c r="H887" s="192"/>
      <c r="I887" s="192"/>
      <c r="J887" s="192"/>
    </row>
    <row r="888">
      <c r="A888" s="192"/>
      <c r="B888" s="192"/>
      <c r="C888" s="192"/>
      <c r="D888" s="192"/>
      <c r="E888" s="192"/>
      <c r="F888" s="192"/>
      <c r="G888" s="192"/>
      <c r="H888" s="192"/>
      <c r="I888" s="192"/>
      <c r="J888" s="192"/>
    </row>
    <row r="889">
      <c r="A889" s="192"/>
      <c r="B889" s="192"/>
      <c r="C889" s="192"/>
      <c r="D889" s="192"/>
      <c r="E889" s="192"/>
      <c r="F889" s="192"/>
      <c r="G889" s="192"/>
      <c r="H889" s="192"/>
      <c r="I889" s="192"/>
      <c r="J889" s="192"/>
    </row>
    <row r="890">
      <c r="A890" s="192"/>
      <c r="B890" s="192"/>
      <c r="C890" s="192"/>
      <c r="D890" s="192"/>
      <c r="E890" s="192"/>
      <c r="F890" s="192"/>
      <c r="G890" s="192"/>
      <c r="H890" s="192"/>
      <c r="I890" s="192"/>
      <c r="J890" s="192"/>
    </row>
    <row r="891">
      <c r="A891" s="192"/>
      <c r="B891" s="192"/>
      <c r="C891" s="192"/>
      <c r="D891" s="192"/>
      <c r="E891" s="192"/>
      <c r="F891" s="192"/>
      <c r="G891" s="192"/>
      <c r="H891" s="192"/>
      <c r="I891" s="192"/>
      <c r="J891" s="192"/>
    </row>
    <row r="892">
      <c r="A892" s="192"/>
      <c r="B892" s="192"/>
      <c r="C892" s="192"/>
      <c r="D892" s="192"/>
      <c r="E892" s="192"/>
      <c r="F892" s="192"/>
      <c r="G892" s="192"/>
      <c r="H892" s="192"/>
      <c r="I892" s="192"/>
      <c r="J892" s="192"/>
    </row>
    <row r="893">
      <c r="A893" s="192"/>
      <c r="B893" s="192"/>
      <c r="C893" s="192"/>
      <c r="D893" s="192"/>
      <c r="E893" s="192"/>
      <c r="F893" s="192"/>
      <c r="G893" s="192"/>
      <c r="H893" s="192"/>
      <c r="I893" s="192"/>
      <c r="J893" s="192"/>
    </row>
    <row r="894">
      <c r="A894" s="192"/>
      <c r="B894" s="192"/>
      <c r="C894" s="192"/>
      <c r="D894" s="192"/>
      <c r="E894" s="192"/>
      <c r="F894" s="192"/>
      <c r="G894" s="192"/>
      <c r="H894" s="192"/>
      <c r="I894" s="192"/>
      <c r="J894" s="192"/>
    </row>
    <row r="895">
      <c r="A895" s="192"/>
      <c r="B895" s="192"/>
      <c r="C895" s="192"/>
      <c r="D895" s="192"/>
      <c r="E895" s="192"/>
      <c r="F895" s="192"/>
      <c r="G895" s="192"/>
      <c r="H895" s="192"/>
      <c r="I895" s="192"/>
      <c r="J895" s="192"/>
    </row>
    <row r="896">
      <c r="A896" s="192"/>
      <c r="B896" s="192"/>
      <c r="C896" s="192"/>
      <c r="D896" s="192"/>
      <c r="E896" s="192"/>
      <c r="F896" s="192"/>
      <c r="G896" s="192"/>
      <c r="H896" s="192"/>
      <c r="I896" s="192"/>
      <c r="J896" s="192"/>
    </row>
    <row r="897">
      <c r="A897" s="192"/>
      <c r="B897" s="192"/>
      <c r="C897" s="192"/>
      <c r="D897" s="192"/>
      <c r="E897" s="192"/>
      <c r="F897" s="192"/>
      <c r="G897" s="192"/>
      <c r="H897" s="192"/>
      <c r="I897" s="192"/>
      <c r="J897" s="192"/>
    </row>
    <row r="898">
      <c r="A898" s="192"/>
      <c r="B898" s="192"/>
      <c r="C898" s="192"/>
      <c r="D898" s="192"/>
      <c r="E898" s="192"/>
      <c r="F898" s="192"/>
      <c r="G898" s="192"/>
      <c r="H898" s="192"/>
      <c r="I898" s="192"/>
      <c r="J898" s="192"/>
    </row>
    <row r="899">
      <c r="A899" s="192"/>
      <c r="B899" s="192"/>
      <c r="C899" s="192"/>
      <c r="D899" s="192"/>
      <c r="E899" s="192"/>
      <c r="F899" s="192"/>
      <c r="G899" s="192"/>
      <c r="H899" s="192"/>
      <c r="I899" s="192"/>
      <c r="J899" s="192"/>
    </row>
    <row r="900">
      <c r="A900" s="192"/>
      <c r="B900" s="192"/>
      <c r="C900" s="192"/>
      <c r="D900" s="192"/>
      <c r="E900" s="192"/>
      <c r="F900" s="192"/>
      <c r="G900" s="192"/>
      <c r="H900" s="192"/>
      <c r="I900" s="192"/>
      <c r="J900" s="192"/>
    </row>
    <row r="901">
      <c r="A901" s="192"/>
      <c r="B901" s="192"/>
      <c r="C901" s="192"/>
      <c r="D901" s="192"/>
      <c r="E901" s="192"/>
      <c r="F901" s="192"/>
      <c r="G901" s="192"/>
      <c r="H901" s="192"/>
      <c r="I901" s="192"/>
      <c r="J901" s="192"/>
    </row>
    <row r="902">
      <c r="A902" s="192"/>
      <c r="B902" s="192"/>
      <c r="C902" s="192"/>
      <c r="D902" s="192"/>
      <c r="E902" s="192"/>
      <c r="F902" s="192"/>
      <c r="G902" s="192"/>
      <c r="H902" s="192"/>
      <c r="I902" s="192"/>
      <c r="J902" s="192"/>
    </row>
    <row r="903">
      <c r="A903" s="192"/>
      <c r="B903" s="192"/>
      <c r="C903" s="192"/>
      <c r="D903" s="192"/>
      <c r="E903" s="192"/>
      <c r="F903" s="192"/>
      <c r="G903" s="192"/>
      <c r="H903" s="192"/>
      <c r="I903" s="192"/>
      <c r="J903" s="192"/>
    </row>
    <row r="904">
      <c r="A904" s="192"/>
      <c r="B904" s="192"/>
      <c r="C904" s="192"/>
      <c r="D904" s="192"/>
      <c r="E904" s="192"/>
      <c r="F904" s="192"/>
      <c r="G904" s="192"/>
      <c r="H904" s="192"/>
      <c r="I904" s="192"/>
      <c r="J904" s="192"/>
    </row>
    <row r="905">
      <c r="A905" s="192"/>
      <c r="B905" s="192"/>
      <c r="C905" s="192"/>
      <c r="D905" s="192"/>
      <c r="E905" s="192"/>
      <c r="F905" s="192"/>
      <c r="G905" s="192"/>
      <c r="H905" s="192"/>
      <c r="I905" s="192"/>
      <c r="J905" s="192"/>
    </row>
    <row r="906">
      <c r="A906" s="192"/>
      <c r="B906" s="192"/>
      <c r="C906" s="192"/>
      <c r="D906" s="192"/>
      <c r="E906" s="192"/>
      <c r="F906" s="192"/>
      <c r="G906" s="192"/>
      <c r="H906" s="192"/>
      <c r="I906" s="192"/>
      <c r="J906" s="192"/>
    </row>
    <row r="907">
      <c r="A907" s="192"/>
      <c r="B907" s="192"/>
      <c r="C907" s="192"/>
      <c r="D907" s="192"/>
      <c r="E907" s="192"/>
      <c r="F907" s="192"/>
      <c r="G907" s="192"/>
      <c r="H907" s="192"/>
      <c r="I907" s="192"/>
      <c r="J907" s="192"/>
    </row>
    <row r="908">
      <c r="A908" s="192"/>
      <c r="B908" s="192"/>
      <c r="C908" s="192"/>
      <c r="D908" s="192"/>
      <c r="E908" s="192"/>
      <c r="F908" s="192"/>
      <c r="G908" s="192"/>
      <c r="H908" s="192"/>
      <c r="I908" s="192"/>
      <c r="J908" s="192"/>
    </row>
    <row r="909">
      <c r="A909" s="192"/>
      <c r="B909" s="192"/>
      <c r="C909" s="192"/>
      <c r="D909" s="192"/>
      <c r="E909" s="192"/>
      <c r="F909" s="192"/>
      <c r="G909" s="192"/>
      <c r="H909" s="192"/>
      <c r="I909" s="192"/>
      <c r="J909" s="192"/>
    </row>
    <row r="910">
      <c r="A910" s="192"/>
      <c r="B910" s="192"/>
      <c r="C910" s="192"/>
      <c r="D910" s="192"/>
      <c r="E910" s="192"/>
      <c r="F910" s="192"/>
      <c r="G910" s="192"/>
      <c r="H910" s="192"/>
      <c r="I910" s="192"/>
      <c r="J910" s="192"/>
    </row>
    <row r="911">
      <c r="A911" s="192"/>
      <c r="B911" s="192"/>
      <c r="C911" s="192"/>
      <c r="D911" s="192"/>
      <c r="E911" s="192"/>
      <c r="F911" s="192"/>
      <c r="G911" s="192"/>
      <c r="H911" s="192"/>
      <c r="I911" s="192"/>
      <c r="J911" s="192"/>
    </row>
    <row r="912">
      <c r="A912" s="192"/>
      <c r="B912" s="192"/>
      <c r="C912" s="192"/>
      <c r="D912" s="192"/>
      <c r="E912" s="192"/>
      <c r="F912" s="192"/>
      <c r="G912" s="192"/>
      <c r="H912" s="192"/>
      <c r="I912" s="192"/>
      <c r="J912" s="192"/>
    </row>
    <row r="913">
      <c r="A913" s="192"/>
      <c r="B913" s="192"/>
      <c r="C913" s="192"/>
      <c r="D913" s="192"/>
      <c r="E913" s="192"/>
      <c r="F913" s="192"/>
      <c r="G913" s="192"/>
      <c r="H913" s="192"/>
      <c r="I913" s="192"/>
      <c r="J913" s="192"/>
    </row>
    <row r="914">
      <c r="A914" s="192"/>
      <c r="B914" s="192"/>
      <c r="C914" s="192"/>
      <c r="D914" s="192"/>
      <c r="E914" s="192"/>
      <c r="F914" s="192"/>
      <c r="G914" s="192"/>
      <c r="H914" s="192"/>
      <c r="I914" s="192"/>
      <c r="J914" s="192"/>
    </row>
    <row r="915">
      <c r="A915" s="192"/>
      <c r="B915" s="192"/>
      <c r="C915" s="192"/>
      <c r="D915" s="192"/>
      <c r="E915" s="192"/>
      <c r="F915" s="192"/>
      <c r="G915" s="192"/>
      <c r="H915" s="192"/>
      <c r="I915" s="192"/>
      <c r="J915" s="192"/>
    </row>
    <row r="916">
      <c r="A916" s="192"/>
      <c r="B916" s="192"/>
      <c r="C916" s="192"/>
      <c r="D916" s="192"/>
      <c r="E916" s="192"/>
      <c r="F916" s="192"/>
      <c r="G916" s="192"/>
      <c r="H916" s="192"/>
      <c r="I916" s="192"/>
      <c r="J916" s="192"/>
    </row>
    <row r="917">
      <c r="A917" s="192"/>
      <c r="B917" s="192"/>
      <c r="C917" s="192"/>
      <c r="D917" s="192"/>
      <c r="E917" s="192"/>
      <c r="F917" s="192"/>
      <c r="G917" s="192"/>
      <c r="H917" s="192"/>
      <c r="I917" s="192"/>
      <c r="J917" s="192"/>
    </row>
    <row r="918">
      <c r="A918" s="192"/>
      <c r="B918" s="192"/>
      <c r="C918" s="192"/>
      <c r="D918" s="192"/>
      <c r="E918" s="192"/>
      <c r="F918" s="192"/>
      <c r="G918" s="192"/>
      <c r="H918" s="192"/>
      <c r="I918" s="192"/>
      <c r="J918" s="192"/>
    </row>
    <row r="919">
      <c r="A919" s="192"/>
      <c r="B919" s="192"/>
      <c r="C919" s="192"/>
      <c r="D919" s="192"/>
      <c r="E919" s="192"/>
      <c r="F919" s="192"/>
      <c r="G919" s="192"/>
      <c r="H919" s="192"/>
      <c r="I919" s="192"/>
      <c r="J919" s="192"/>
    </row>
    <row r="920">
      <c r="A920" s="192"/>
      <c r="B920" s="192"/>
      <c r="C920" s="192"/>
      <c r="D920" s="192"/>
      <c r="E920" s="192"/>
      <c r="F920" s="192"/>
      <c r="G920" s="192"/>
      <c r="H920" s="192"/>
      <c r="I920" s="192"/>
      <c r="J920" s="192"/>
    </row>
    <row r="921">
      <c r="A921" s="192"/>
      <c r="B921" s="192"/>
      <c r="C921" s="192"/>
      <c r="D921" s="192"/>
      <c r="E921" s="192"/>
      <c r="F921" s="192"/>
      <c r="G921" s="192"/>
      <c r="H921" s="192"/>
      <c r="I921" s="192"/>
      <c r="J921" s="192"/>
    </row>
    <row r="922">
      <c r="A922" s="192"/>
      <c r="B922" s="192"/>
      <c r="C922" s="192"/>
      <c r="D922" s="192"/>
      <c r="E922" s="192"/>
      <c r="F922" s="192"/>
      <c r="G922" s="192"/>
      <c r="H922" s="192"/>
      <c r="I922" s="192"/>
      <c r="J922" s="192"/>
    </row>
    <row r="923">
      <c r="A923" s="192"/>
      <c r="B923" s="192"/>
      <c r="C923" s="192"/>
      <c r="D923" s="192"/>
      <c r="E923" s="192"/>
      <c r="F923" s="192"/>
      <c r="G923" s="192"/>
      <c r="H923" s="192"/>
      <c r="I923" s="192"/>
      <c r="J923" s="192"/>
    </row>
    <row r="924">
      <c r="A924" s="192"/>
      <c r="B924" s="192"/>
      <c r="C924" s="192"/>
      <c r="D924" s="192"/>
      <c r="E924" s="192"/>
      <c r="F924" s="192"/>
      <c r="G924" s="192"/>
      <c r="H924" s="192"/>
      <c r="I924" s="192"/>
      <c r="J924" s="192"/>
    </row>
    <row r="925">
      <c r="A925" s="192"/>
      <c r="B925" s="192"/>
      <c r="C925" s="192"/>
      <c r="D925" s="192"/>
      <c r="E925" s="192"/>
      <c r="F925" s="192"/>
      <c r="G925" s="192"/>
      <c r="H925" s="192"/>
      <c r="I925" s="192"/>
      <c r="J925" s="192"/>
    </row>
    <row r="926">
      <c r="A926" s="192"/>
      <c r="B926" s="192"/>
      <c r="C926" s="192"/>
      <c r="D926" s="192"/>
      <c r="E926" s="192"/>
      <c r="F926" s="192"/>
      <c r="G926" s="192"/>
      <c r="H926" s="192"/>
      <c r="I926" s="192"/>
      <c r="J926" s="192"/>
    </row>
    <row r="927">
      <c r="A927" s="192"/>
      <c r="B927" s="192"/>
      <c r="C927" s="192"/>
      <c r="D927" s="192"/>
      <c r="E927" s="192"/>
      <c r="F927" s="192"/>
      <c r="G927" s="192"/>
      <c r="H927" s="192"/>
      <c r="I927" s="192"/>
      <c r="J927" s="192"/>
    </row>
    <row r="928">
      <c r="A928" s="192"/>
      <c r="B928" s="192"/>
      <c r="C928" s="192"/>
      <c r="D928" s="192"/>
      <c r="E928" s="192"/>
      <c r="F928" s="192"/>
      <c r="G928" s="192"/>
      <c r="H928" s="192"/>
      <c r="I928" s="192"/>
      <c r="J928" s="192"/>
    </row>
    <row r="929">
      <c r="A929" s="192"/>
      <c r="B929" s="192"/>
      <c r="C929" s="192"/>
      <c r="D929" s="192"/>
      <c r="E929" s="192"/>
      <c r="F929" s="192"/>
      <c r="G929" s="192"/>
      <c r="H929" s="192"/>
      <c r="I929" s="192"/>
      <c r="J929" s="192"/>
    </row>
    <row r="930">
      <c r="A930" s="192"/>
      <c r="B930" s="192"/>
      <c r="C930" s="192"/>
      <c r="D930" s="192"/>
      <c r="E930" s="192"/>
      <c r="F930" s="192"/>
      <c r="G930" s="192"/>
      <c r="H930" s="192"/>
      <c r="I930" s="192"/>
      <c r="J930" s="192"/>
    </row>
    <row r="931">
      <c r="A931" s="192"/>
      <c r="B931" s="192"/>
      <c r="C931" s="192"/>
      <c r="D931" s="192"/>
      <c r="E931" s="192"/>
      <c r="F931" s="192"/>
      <c r="G931" s="192"/>
      <c r="H931" s="192"/>
      <c r="I931" s="192"/>
      <c r="J931" s="192"/>
    </row>
    <row r="932">
      <c r="A932" s="192"/>
      <c r="B932" s="192"/>
      <c r="C932" s="192"/>
      <c r="D932" s="192"/>
      <c r="E932" s="192"/>
      <c r="F932" s="192"/>
      <c r="G932" s="192"/>
      <c r="H932" s="192"/>
      <c r="I932" s="192"/>
      <c r="J932" s="192"/>
    </row>
    <row r="933">
      <c r="A933" s="192"/>
      <c r="B933" s="192"/>
      <c r="C933" s="192"/>
      <c r="D933" s="192"/>
      <c r="E933" s="192"/>
      <c r="F933" s="192"/>
      <c r="G933" s="192"/>
      <c r="H933" s="192"/>
      <c r="I933" s="192"/>
      <c r="J933" s="192"/>
    </row>
    <row r="934">
      <c r="A934" s="192"/>
      <c r="B934" s="192"/>
      <c r="C934" s="192"/>
      <c r="D934" s="192"/>
      <c r="E934" s="192"/>
      <c r="F934" s="192"/>
      <c r="G934" s="192"/>
      <c r="H934" s="192"/>
      <c r="I934" s="192"/>
      <c r="J934" s="192"/>
    </row>
    <row r="935">
      <c r="A935" s="192"/>
      <c r="B935" s="192"/>
      <c r="C935" s="192"/>
      <c r="D935" s="192"/>
      <c r="E935" s="192"/>
      <c r="F935" s="192"/>
      <c r="G935" s="192"/>
      <c r="H935" s="192"/>
      <c r="I935" s="192"/>
      <c r="J935" s="192"/>
    </row>
    <row r="936">
      <c r="A936" s="192"/>
      <c r="B936" s="192"/>
      <c r="C936" s="192"/>
      <c r="D936" s="192"/>
      <c r="E936" s="192"/>
      <c r="F936" s="192"/>
      <c r="G936" s="192"/>
      <c r="H936" s="192"/>
      <c r="I936" s="192"/>
      <c r="J936" s="192"/>
    </row>
    <row r="937">
      <c r="A937" s="192"/>
      <c r="B937" s="192"/>
      <c r="C937" s="192"/>
      <c r="D937" s="192"/>
      <c r="E937" s="192"/>
      <c r="F937" s="192"/>
      <c r="G937" s="192"/>
      <c r="H937" s="192"/>
      <c r="I937" s="192"/>
      <c r="J937" s="192"/>
    </row>
    <row r="938">
      <c r="A938" s="192"/>
      <c r="B938" s="192"/>
      <c r="C938" s="192"/>
      <c r="D938" s="192"/>
      <c r="E938" s="192"/>
      <c r="F938" s="192"/>
      <c r="G938" s="192"/>
      <c r="H938" s="192"/>
      <c r="I938" s="192"/>
      <c r="J938" s="192"/>
    </row>
    <row r="939">
      <c r="A939" s="192"/>
      <c r="B939" s="192"/>
      <c r="C939" s="192"/>
      <c r="D939" s="192"/>
      <c r="E939" s="192"/>
      <c r="F939" s="192"/>
      <c r="G939" s="192"/>
      <c r="H939" s="192"/>
      <c r="I939" s="192"/>
      <c r="J939" s="192"/>
    </row>
    <row r="940">
      <c r="A940" s="192"/>
      <c r="B940" s="192"/>
      <c r="C940" s="192"/>
      <c r="D940" s="192"/>
      <c r="E940" s="192"/>
      <c r="F940" s="192"/>
      <c r="G940" s="192"/>
      <c r="H940" s="192"/>
      <c r="I940" s="192"/>
      <c r="J940" s="192"/>
    </row>
    <row r="941">
      <c r="A941" s="192"/>
      <c r="B941" s="192"/>
      <c r="C941" s="192"/>
      <c r="D941" s="192"/>
      <c r="E941" s="192"/>
      <c r="F941" s="192"/>
      <c r="G941" s="192"/>
      <c r="H941" s="192"/>
      <c r="I941" s="192"/>
      <c r="J941" s="192"/>
    </row>
    <row r="942">
      <c r="A942" s="192"/>
      <c r="B942" s="192"/>
      <c r="C942" s="192"/>
      <c r="D942" s="192"/>
      <c r="E942" s="192"/>
      <c r="F942" s="192"/>
      <c r="G942" s="192"/>
      <c r="H942" s="192"/>
      <c r="I942" s="192"/>
      <c r="J942" s="192"/>
    </row>
    <row r="943">
      <c r="A943" s="192"/>
      <c r="B943" s="192"/>
      <c r="C943" s="192"/>
      <c r="D943" s="192"/>
      <c r="E943" s="192"/>
      <c r="F943" s="192"/>
      <c r="G943" s="192"/>
      <c r="H943" s="192"/>
      <c r="I943" s="192"/>
      <c r="J943" s="192"/>
    </row>
    <row r="944">
      <c r="A944" s="192"/>
      <c r="B944" s="192"/>
      <c r="C944" s="192"/>
      <c r="D944" s="192"/>
      <c r="E944" s="192"/>
      <c r="F944" s="192"/>
      <c r="G944" s="192"/>
      <c r="H944" s="192"/>
      <c r="I944" s="192"/>
      <c r="J944" s="192"/>
    </row>
    <row r="945">
      <c r="A945" s="192"/>
      <c r="B945" s="192"/>
      <c r="C945" s="192"/>
      <c r="D945" s="192"/>
      <c r="E945" s="192"/>
      <c r="F945" s="192"/>
      <c r="G945" s="192"/>
      <c r="H945" s="192"/>
      <c r="I945" s="192"/>
      <c r="J945" s="192"/>
    </row>
    <row r="946">
      <c r="A946" s="192"/>
      <c r="B946" s="192"/>
      <c r="C946" s="192"/>
      <c r="D946" s="192"/>
      <c r="E946" s="192"/>
      <c r="F946" s="192"/>
      <c r="G946" s="192"/>
      <c r="H946" s="192"/>
      <c r="I946" s="192"/>
      <c r="J946" s="192"/>
    </row>
    <row r="947">
      <c r="A947" s="192"/>
      <c r="B947" s="192"/>
      <c r="C947" s="192"/>
      <c r="D947" s="192"/>
      <c r="E947" s="192"/>
      <c r="F947" s="192"/>
      <c r="G947" s="192"/>
      <c r="H947" s="192"/>
      <c r="I947" s="192"/>
      <c r="J947" s="192"/>
    </row>
    <row r="948">
      <c r="A948" s="192"/>
      <c r="B948" s="192"/>
      <c r="C948" s="192"/>
      <c r="D948" s="192"/>
      <c r="E948" s="192"/>
      <c r="F948" s="192"/>
      <c r="G948" s="192"/>
      <c r="H948" s="192"/>
      <c r="I948" s="192"/>
      <c r="J948" s="192"/>
    </row>
    <row r="949">
      <c r="A949" s="192"/>
      <c r="B949" s="192"/>
      <c r="C949" s="192"/>
      <c r="D949" s="192"/>
      <c r="E949" s="192"/>
      <c r="F949" s="192"/>
      <c r="G949" s="192"/>
      <c r="H949" s="192"/>
      <c r="I949" s="192"/>
      <c r="J949" s="192"/>
    </row>
    <row r="950">
      <c r="A950" s="192"/>
      <c r="B950" s="192"/>
      <c r="C950" s="192"/>
      <c r="D950" s="192"/>
      <c r="E950" s="192"/>
      <c r="F950" s="192"/>
      <c r="G950" s="192"/>
      <c r="H950" s="192"/>
      <c r="I950" s="192"/>
      <c r="J950" s="192"/>
    </row>
    <row r="951">
      <c r="A951" s="192"/>
      <c r="B951" s="192"/>
      <c r="C951" s="192"/>
      <c r="D951" s="192"/>
      <c r="E951" s="192"/>
      <c r="F951" s="192"/>
      <c r="G951" s="192"/>
      <c r="H951" s="192"/>
      <c r="I951" s="192"/>
      <c r="J951" s="192"/>
    </row>
    <row r="952">
      <c r="A952" s="192"/>
      <c r="B952" s="192"/>
      <c r="C952" s="192"/>
      <c r="D952" s="192"/>
      <c r="E952" s="192"/>
      <c r="F952" s="192"/>
      <c r="G952" s="192"/>
      <c r="H952" s="192"/>
      <c r="I952" s="192"/>
      <c r="J952" s="192"/>
    </row>
    <row r="953">
      <c r="A953" s="192"/>
      <c r="B953" s="192"/>
      <c r="C953" s="192"/>
      <c r="D953" s="192"/>
      <c r="E953" s="192"/>
      <c r="F953" s="192"/>
      <c r="G953" s="192"/>
      <c r="H953" s="192"/>
      <c r="I953" s="192"/>
      <c r="J953" s="192"/>
    </row>
    <row r="954">
      <c r="A954" s="192"/>
      <c r="B954" s="192"/>
      <c r="C954" s="192"/>
      <c r="D954" s="192"/>
      <c r="E954" s="192"/>
      <c r="F954" s="192"/>
      <c r="G954" s="192"/>
      <c r="H954" s="192"/>
      <c r="I954" s="192"/>
      <c r="J954" s="192"/>
    </row>
    <row r="955">
      <c r="A955" s="192"/>
      <c r="B955" s="192"/>
      <c r="C955" s="192"/>
      <c r="D955" s="192"/>
      <c r="E955" s="192"/>
      <c r="F955" s="192"/>
      <c r="G955" s="192"/>
      <c r="H955" s="192"/>
      <c r="I955" s="192"/>
      <c r="J955" s="192"/>
    </row>
    <row r="956">
      <c r="A956" s="192"/>
      <c r="B956" s="192"/>
      <c r="C956" s="192"/>
      <c r="D956" s="192"/>
      <c r="E956" s="192"/>
      <c r="F956" s="192"/>
      <c r="G956" s="192"/>
      <c r="H956" s="192"/>
      <c r="I956" s="192"/>
      <c r="J956" s="192"/>
    </row>
    <row r="957">
      <c r="A957" s="192"/>
      <c r="B957" s="192"/>
      <c r="C957" s="192"/>
      <c r="D957" s="192"/>
      <c r="E957" s="192"/>
      <c r="F957" s="192"/>
      <c r="G957" s="192"/>
      <c r="H957" s="192"/>
      <c r="I957" s="192"/>
      <c r="J957" s="192"/>
    </row>
    <row r="958">
      <c r="A958" s="192"/>
      <c r="B958" s="192"/>
      <c r="C958" s="192"/>
      <c r="D958" s="192"/>
      <c r="E958" s="192"/>
      <c r="F958" s="192"/>
      <c r="G958" s="192"/>
      <c r="H958" s="192"/>
      <c r="I958" s="192"/>
      <c r="J958" s="192"/>
    </row>
    <row r="959">
      <c r="A959" s="192"/>
      <c r="B959" s="192"/>
      <c r="C959" s="192"/>
      <c r="D959" s="192"/>
      <c r="E959" s="192"/>
      <c r="F959" s="192"/>
      <c r="G959" s="192"/>
      <c r="H959" s="192"/>
      <c r="I959" s="192"/>
      <c r="J959" s="192"/>
    </row>
    <row r="960">
      <c r="A960" s="192"/>
      <c r="B960" s="192"/>
      <c r="C960" s="192"/>
      <c r="D960" s="192"/>
      <c r="E960" s="192"/>
      <c r="F960" s="192"/>
      <c r="G960" s="192"/>
      <c r="H960" s="192"/>
      <c r="I960" s="192"/>
      <c r="J960" s="192"/>
    </row>
    <row r="961">
      <c r="A961" s="192"/>
      <c r="B961" s="192"/>
      <c r="C961" s="192"/>
      <c r="D961" s="192"/>
      <c r="E961" s="192"/>
      <c r="F961" s="192"/>
      <c r="G961" s="192"/>
      <c r="H961" s="192"/>
      <c r="I961" s="192"/>
      <c r="J961" s="192"/>
    </row>
    <row r="962">
      <c r="A962" s="192"/>
      <c r="B962" s="192"/>
      <c r="C962" s="192"/>
      <c r="D962" s="192"/>
      <c r="E962" s="192"/>
      <c r="F962" s="192"/>
      <c r="G962" s="192"/>
      <c r="H962" s="192"/>
      <c r="I962" s="192"/>
      <c r="J962" s="192"/>
    </row>
    <row r="963">
      <c r="A963" s="192"/>
      <c r="B963" s="192"/>
      <c r="C963" s="192"/>
      <c r="D963" s="192"/>
      <c r="E963" s="192"/>
      <c r="F963" s="192"/>
      <c r="G963" s="192"/>
      <c r="H963" s="192"/>
      <c r="I963" s="192"/>
      <c r="J963" s="192"/>
    </row>
    <row r="964">
      <c r="A964" s="192"/>
      <c r="B964" s="192"/>
      <c r="C964" s="192"/>
      <c r="D964" s="192"/>
      <c r="E964" s="192"/>
      <c r="F964" s="192"/>
      <c r="G964" s="192"/>
      <c r="H964" s="192"/>
      <c r="I964" s="192"/>
      <c r="J964" s="192"/>
    </row>
    <row r="965">
      <c r="A965" s="192"/>
      <c r="B965" s="192"/>
      <c r="C965" s="192"/>
      <c r="D965" s="192"/>
      <c r="E965" s="192"/>
      <c r="F965" s="192"/>
      <c r="G965" s="192"/>
      <c r="H965" s="192"/>
      <c r="I965" s="192"/>
      <c r="J965" s="192"/>
    </row>
    <row r="966">
      <c r="A966" s="192"/>
      <c r="B966" s="192"/>
      <c r="C966" s="192"/>
      <c r="D966" s="192"/>
      <c r="E966" s="192"/>
      <c r="F966" s="192"/>
      <c r="G966" s="192"/>
      <c r="H966" s="192"/>
      <c r="I966" s="192"/>
      <c r="J966" s="192"/>
    </row>
    <row r="967">
      <c r="A967" s="192"/>
      <c r="B967" s="192"/>
      <c r="C967" s="192"/>
      <c r="D967" s="192"/>
      <c r="E967" s="192"/>
      <c r="F967" s="192"/>
      <c r="G967" s="192"/>
      <c r="H967" s="192"/>
      <c r="I967" s="192"/>
      <c r="J967" s="192"/>
    </row>
    <row r="968">
      <c r="A968" s="192"/>
      <c r="B968" s="192"/>
      <c r="C968" s="192"/>
      <c r="D968" s="192"/>
      <c r="E968" s="192"/>
      <c r="F968" s="192"/>
      <c r="G968" s="192"/>
      <c r="H968" s="192"/>
      <c r="I968" s="192"/>
      <c r="J968" s="192"/>
    </row>
    <row r="969">
      <c r="A969" s="192"/>
      <c r="B969" s="192"/>
      <c r="C969" s="192"/>
      <c r="D969" s="192"/>
      <c r="E969" s="192"/>
      <c r="F969" s="192"/>
      <c r="G969" s="192"/>
      <c r="H969" s="192"/>
      <c r="I969" s="192"/>
      <c r="J969" s="192"/>
    </row>
    <row r="970">
      <c r="A970" s="192"/>
      <c r="B970" s="192"/>
      <c r="C970" s="192"/>
      <c r="D970" s="192"/>
      <c r="E970" s="192"/>
      <c r="F970" s="192"/>
      <c r="G970" s="192"/>
      <c r="H970" s="192"/>
      <c r="I970" s="192"/>
      <c r="J970" s="192"/>
    </row>
    <row r="971">
      <c r="A971" s="192"/>
      <c r="B971" s="192"/>
      <c r="C971" s="192"/>
      <c r="D971" s="192"/>
      <c r="E971" s="192"/>
      <c r="F971" s="192"/>
      <c r="G971" s="192"/>
      <c r="H971" s="192"/>
      <c r="I971" s="192"/>
      <c r="J971" s="192"/>
    </row>
    <row r="972">
      <c r="A972" s="192"/>
      <c r="B972" s="192"/>
      <c r="C972" s="192"/>
      <c r="D972" s="192"/>
      <c r="E972" s="192"/>
      <c r="F972" s="192"/>
      <c r="G972" s="192"/>
      <c r="H972" s="192"/>
      <c r="I972" s="192"/>
      <c r="J972" s="192"/>
    </row>
    <row r="973">
      <c r="A973" s="192"/>
      <c r="B973" s="192"/>
      <c r="C973" s="192"/>
      <c r="D973" s="192"/>
      <c r="E973" s="192"/>
      <c r="F973" s="192"/>
      <c r="G973" s="192"/>
      <c r="H973" s="192"/>
      <c r="I973" s="192"/>
      <c r="J973" s="192"/>
    </row>
    <row r="974">
      <c r="A974" s="192"/>
      <c r="B974" s="192"/>
      <c r="C974" s="192"/>
      <c r="D974" s="192"/>
      <c r="E974" s="192"/>
      <c r="F974" s="192"/>
      <c r="G974" s="192"/>
      <c r="H974" s="192"/>
      <c r="I974" s="192"/>
      <c r="J974" s="192"/>
    </row>
    <row r="975">
      <c r="A975" s="192"/>
      <c r="B975" s="192"/>
      <c r="C975" s="192"/>
      <c r="D975" s="192"/>
      <c r="E975" s="192"/>
      <c r="F975" s="192"/>
      <c r="G975" s="192"/>
      <c r="H975" s="192"/>
      <c r="I975" s="192"/>
      <c r="J975" s="192"/>
    </row>
    <row r="976">
      <c r="A976" s="192"/>
      <c r="B976" s="192"/>
      <c r="C976" s="192"/>
      <c r="D976" s="192"/>
      <c r="E976" s="192"/>
      <c r="F976" s="192"/>
      <c r="G976" s="192"/>
      <c r="H976" s="192"/>
      <c r="I976" s="192"/>
      <c r="J976" s="192"/>
    </row>
    <row r="977">
      <c r="A977" s="192"/>
      <c r="B977" s="192"/>
      <c r="C977" s="192"/>
      <c r="D977" s="192"/>
      <c r="E977" s="192"/>
      <c r="F977" s="192"/>
      <c r="G977" s="192"/>
      <c r="H977" s="192"/>
      <c r="I977" s="192"/>
      <c r="J977" s="192"/>
    </row>
    <row r="978">
      <c r="A978" s="192"/>
      <c r="B978" s="192"/>
      <c r="C978" s="192"/>
      <c r="D978" s="192"/>
      <c r="E978" s="192"/>
      <c r="F978" s="192"/>
      <c r="G978" s="192"/>
      <c r="H978" s="192"/>
      <c r="I978" s="192"/>
      <c r="J978" s="192"/>
    </row>
    <row r="979">
      <c r="A979" s="192"/>
      <c r="B979" s="192"/>
      <c r="C979" s="192"/>
      <c r="D979" s="192"/>
      <c r="E979" s="192"/>
      <c r="F979" s="192"/>
      <c r="G979" s="192"/>
      <c r="H979" s="192"/>
      <c r="I979" s="192"/>
      <c r="J979" s="192"/>
    </row>
    <row r="980">
      <c r="A980" s="192"/>
      <c r="B980" s="192"/>
      <c r="C980" s="192"/>
      <c r="D980" s="192"/>
      <c r="E980" s="192"/>
      <c r="F980" s="192"/>
      <c r="G980" s="192"/>
      <c r="H980" s="192"/>
      <c r="I980" s="192"/>
      <c r="J980" s="192"/>
    </row>
    <row r="981">
      <c r="A981" s="192"/>
      <c r="B981" s="192"/>
      <c r="C981" s="192"/>
      <c r="D981" s="192"/>
      <c r="E981" s="192"/>
      <c r="F981" s="192"/>
      <c r="G981" s="192"/>
      <c r="H981" s="192"/>
      <c r="I981" s="192"/>
      <c r="J981" s="192"/>
    </row>
    <row r="982">
      <c r="A982" s="192"/>
      <c r="B982" s="192"/>
      <c r="C982" s="192"/>
      <c r="D982" s="192"/>
      <c r="E982" s="192"/>
      <c r="F982" s="192"/>
      <c r="G982" s="192"/>
      <c r="H982" s="192"/>
      <c r="I982" s="192"/>
      <c r="J982" s="192"/>
    </row>
    <row r="983">
      <c r="A983" s="192"/>
      <c r="B983" s="192"/>
      <c r="C983" s="192"/>
      <c r="D983" s="192"/>
      <c r="E983" s="192"/>
      <c r="F983" s="192"/>
      <c r="G983" s="192"/>
      <c r="H983" s="192"/>
      <c r="I983" s="192"/>
      <c r="J983" s="192"/>
    </row>
    <row r="984">
      <c r="A984" s="192"/>
      <c r="B984" s="192"/>
      <c r="C984" s="192"/>
      <c r="D984" s="192"/>
      <c r="E984" s="192"/>
      <c r="F984" s="192"/>
      <c r="G984" s="192"/>
      <c r="H984" s="192"/>
      <c r="I984" s="192"/>
      <c r="J984" s="192"/>
    </row>
    <row r="985">
      <c r="A985" s="192"/>
      <c r="B985" s="192"/>
      <c r="C985" s="192"/>
      <c r="D985" s="192"/>
      <c r="E985" s="192"/>
      <c r="F985" s="192"/>
      <c r="G985" s="192"/>
      <c r="H985" s="192"/>
      <c r="I985" s="192"/>
      <c r="J985" s="192"/>
    </row>
    <row r="986">
      <c r="A986" s="192"/>
      <c r="B986" s="192"/>
      <c r="C986" s="192"/>
      <c r="D986" s="192"/>
      <c r="E986" s="192"/>
      <c r="F986" s="192"/>
      <c r="G986" s="192"/>
      <c r="H986" s="192"/>
      <c r="I986" s="192"/>
      <c r="J986" s="192"/>
    </row>
    <row r="987">
      <c r="A987" s="192"/>
      <c r="B987" s="192"/>
      <c r="C987" s="192"/>
      <c r="D987" s="192"/>
      <c r="E987" s="192"/>
      <c r="F987" s="192"/>
      <c r="G987" s="192"/>
      <c r="H987" s="192"/>
      <c r="I987" s="192"/>
      <c r="J987" s="192"/>
    </row>
    <row r="988">
      <c r="A988" s="192"/>
      <c r="B988" s="192"/>
      <c r="C988" s="192"/>
      <c r="D988" s="192"/>
      <c r="E988" s="192"/>
      <c r="F988" s="192"/>
      <c r="G988" s="192"/>
      <c r="H988" s="192"/>
      <c r="I988" s="192"/>
      <c r="J988" s="192"/>
    </row>
    <row r="989">
      <c r="A989" s="192"/>
      <c r="B989" s="192"/>
      <c r="C989" s="192"/>
      <c r="D989" s="192"/>
      <c r="E989" s="192"/>
      <c r="F989" s="192"/>
      <c r="G989" s="192"/>
      <c r="H989" s="192"/>
      <c r="I989" s="192"/>
      <c r="J989" s="192"/>
    </row>
    <row r="990">
      <c r="A990" s="192"/>
      <c r="B990" s="192"/>
      <c r="C990" s="192"/>
      <c r="D990" s="192"/>
      <c r="E990" s="192"/>
      <c r="F990" s="192"/>
      <c r="G990" s="192"/>
      <c r="H990" s="192"/>
      <c r="I990" s="192"/>
      <c r="J990" s="192"/>
    </row>
    <row r="991">
      <c r="A991" s="192"/>
      <c r="B991" s="192"/>
      <c r="C991" s="192"/>
      <c r="D991" s="192"/>
      <c r="E991" s="192"/>
      <c r="F991" s="192"/>
      <c r="G991" s="192"/>
      <c r="H991" s="192"/>
      <c r="I991" s="192"/>
      <c r="J991" s="192"/>
    </row>
    <row r="992">
      <c r="A992" s="192"/>
      <c r="B992" s="192"/>
      <c r="C992" s="192"/>
      <c r="D992" s="192"/>
      <c r="E992" s="192"/>
      <c r="F992" s="192"/>
      <c r="G992" s="192"/>
      <c r="H992" s="192"/>
      <c r="I992" s="192"/>
      <c r="J992" s="192"/>
    </row>
    <row r="993">
      <c r="A993" s="192"/>
      <c r="B993" s="192"/>
      <c r="C993" s="192"/>
      <c r="D993" s="192"/>
      <c r="E993" s="192"/>
      <c r="F993" s="192"/>
      <c r="G993" s="192"/>
      <c r="H993" s="192"/>
      <c r="I993" s="192"/>
      <c r="J993" s="192"/>
    </row>
    <row r="994">
      <c r="A994" s="192"/>
      <c r="B994" s="192"/>
      <c r="C994" s="192"/>
      <c r="D994" s="192"/>
      <c r="E994" s="192"/>
      <c r="F994" s="192"/>
      <c r="G994" s="192"/>
      <c r="H994" s="192"/>
      <c r="I994" s="192"/>
      <c r="J994" s="192"/>
    </row>
    <row r="995">
      <c r="A995" s="192"/>
      <c r="B995" s="192"/>
      <c r="C995" s="192"/>
      <c r="D995" s="192"/>
      <c r="E995" s="192"/>
      <c r="F995" s="192"/>
      <c r="G995" s="192"/>
      <c r="H995" s="192"/>
      <c r="I995" s="192"/>
      <c r="J995" s="192"/>
    </row>
    <row r="996">
      <c r="A996" s="192"/>
      <c r="B996" s="192"/>
      <c r="C996" s="192"/>
      <c r="D996" s="192"/>
      <c r="E996" s="192"/>
      <c r="F996" s="192"/>
      <c r="G996" s="192"/>
      <c r="H996" s="192"/>
      <c r="I996" s="192"/>
      <c r="J996" s="192"/>
    </row>
    <row r="997">
      <c r="A997" s="192"/>
      <c r="B997" s="192"/>
      <c r="C997" s="192"/>
      <c r="D997" s="192"/>
      <c r="E997" s="192"/>
      <c r="F997" s="192"/>
      <c r="G997" s="192"/>
      <c r="H997" s="192"/>
      <c r="I997" s="192"/>
      <c r="J997" s="192"/>
    </row>
    <row r="998">
      <c r="A998" s="192"/>
      <c r="B998" s="192"/>
      <c r="C998" s="192"/>
      <c r="D998" s="192"/>
      <c r="E998" s="192"/>
      <c r="F998" s="192"/>
      <c r="G998" s="192"/>
      <c r="H998" s="192"/>
      <c r="I998" s="192"/>
      <c r="J998" s="192"/>
    </row>
    <row r="999">
      <c r="A999" s="192"/>
      <c r="B999" s="192"/>
      <c r="C999" s="192"/>
      <c r="D999" s="192"/>
      <c r="E999" s="192"/>
      <c r="F999" s="192"/>
      <c r="G999" s="192"/>
      <c r="H999" s="192"/>
      <c r="I999" s="192"/>
      <c r="J999" s="192"/>
    </row>
    <row r="1000">
      <c r="A1000" s="192"/>
      <c r="B1000" s="192"/>
      <c r="C1000" s="192"/>
      <c r="D1000" s="192"/>
      <c r="E1000" s="192"/>
      <c r="F1000" s="192"/>
      <c r="G1000" s="192"/>
      <c r="H1000" s="192"/>
      <c r="I1000" s="192"/>
      <c r="J1000" s="192"/>
    </row>
    <row r="1001">
      <c r="A1001" s="192"/>
      <c r="B1001" s="192"/>
      <c r="C1001" s="192"/>
      <c r="D1001" s="192"/>
      <c r="E1001" s="192"/>
      <c r="F1001" s="192"/>
      <c r="G1001" s="192"/>
      <c r="H1001" s="192"/>
      <c r="I1001" s="192"/>
      <c r="J1001" s="192"/>
    </row>
  </sheetData>
  <mergeCells count="1">
    <mergeCell ref="A1:J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4" max="4" width="9.5"/>
    <col customWidth="1" min="9" max="9" width="6.38"/>
    <col customWidth="1" min="12" max="19" width="9.5"/>
    <col customWidth="1" min="21" max="22" width="9.5"/>
    <col customWidth="1" min="27" max="27" width="6.38"/>
    <col customWidth="1" min="29" max="44" width="9.5"/>
    <col customWidth="1" min="51" max="68" width="9.5"/>
  </cols>
  <sheetData>
    <row r="1">
      <c r="A1" s="193" t="s">
        <v>1048</v>
      </c>
      <c r="B1" s="193" t="s">
        <v>1049</v>
      </c>
      <c r="AS1" s="193"/>
      <c r="AT1" s="190" t="s">
        <v>1050</v>
      </c>
      <c r="AY1" s="194" t="s">
        <v>12</v>
      </c>
      <c r="BC1" s="194" t="s">
        <v>9</v>
      </c>
      <c r="BG1" s="194" t="s">
        <v>10</v>
      </c>
      <c r="BL1" s="194" t="s">
        <v>13</v>
      </c>
      <c r="BQ1" s="190"/>
      <c r="BR1" s="190"/>
    </row>
    <row r="2">
      <c r="A2" s="195" t="s">
        <v>1051</v>
      </c>
      <c r="B2" s="196" t="s">
        <v>1052</v>
      </c>
      <c r="C2" s="196" t="s">
        <v>1053</v>
      </c>
      <c r="D2" s="196" t="s">
        <v>1054</v>
      </c>
      <c r="E2" s="197" t="s">
        <v>1055</v>
      </c>
      <c r="F2" s="197" t="s">
        <v>1056</v>
      </c>
      <c r="G2" s="197" t="s">
        <v>1057</v>
      </c>
      <c r="H2" s="196" t="s">
        <v>936</v>
      </c>
      <c r="I2" s="196" t="s">
        <v>937</v>
      </c>
      <c r="J2" s="196" t="s">
        <v>1058</v>
      </c>
      <c r="K2" s="196" t="s">
        <v>1059</v>
      </c>
      <c r="L2" s="198" t="s">
        <v>1060</v>
      </c>
      <c r="M2" s="198" t="s">
        <v>1061</v>
      </c>
      <c r="N2" s="198" t="s">
        <v>1062</v>
      </c>
      <c r="O2" s="199" t="s">
        <v>1063</v>
      </c>
      <c r="P2" s="199" t="s">
        <v>1064</v>
      </c>
      <c r="Q2" s="199" t="s">
        <v>1065</v>
      </c>
      <c r="R2" s="199" t="s">
        <v>1066</v>
      </c>
      <c r="S2" s="200" t="s">
        <v>1067</v>
      </c>
      <c r="T2" s="196" t="s">
        <v>1068</v>
      </c>
      <c r="U2" s="196" t="s">
        <v>1069</v>
      </c>
      <c r="V2" s="196" t="s">
        <v>1070</v>
      </c>
      <c r="W2" s="196" t="s">
        <v>1071</v>
      </c>
      <c r="X2" s="200" t="s">
        <v>1072</v>
      </c>
      <c r="Y2" s="196" t="s">
        <v>1073</v>
      </c>
      <c r="Z2" s="196" t="s">
        <v>1074</v>
      </c>
      <c r="AA2" s="196" t="s">
        <v>1075</v>
      </c>
      <c r="AB2" s="196" t="s">
        <v>1076</v>
      </c>
      <c r="AC2" s="196" t="s">
        <v>1077</v>
      </c>
      <c r="AD2" s="198" t="s">
        <v>1078</v>
      </c>
      <c r="AE2" s="196" t="s">
        <v>1079</v>
      </c>
      <c r="AF2" s="196" t="s">
        <v>1080</v>
      </c>
      <c r="AG2" s="196" t="s">
        <v>1081</v>
      </c>
      <c r="AH2" s="196" t="s">
        <v>1082</v>
      </c>
      <c r="AI2" s="196" t="s">
        <v>1083</v>
      </c>
      <c r="AJ2" s="196" t="s">
        <v>1084</v>
      </c>
      <c r="AK2" s="196" t="s">
        <v>1085</v>
      </c>
      <c r="AL2" s="196" t="s">
        <v>1086</v>
      </c>
      <c r="AM2" s="196" t="s">
        <v>1087</v>
      </c>
      <c r="AN2" s="196" t="s">
        <v>1088</v>
      </c>
      <c r="AO2" s="201" t="s">
        <v>1089</v>
      </c>
      <c r="AP2" s="201" t="s">
        <v>1090</v>
      </c>
      <c r="AQ2" s="201" t="s">
        <v>1091</v>
      </c>
      <c r="AR2" s="201" t="s">
        <v>1092</v>
      </c>
      <c r="AS2" s="196"/>
      <c r="AT2" s="202" t="s">
        <v>1093</v>
      </c>
      <c r="AU2" s="202" t="s">
        <v>1094</v>
      </c>
      <c r="AV2" s="202" t="s">
        <v>1095</v>
      </c>
      <c r="AW2" s="202" t="s">
        <v>1096</v>
      </c>
      <c r="AX2" s="202" t="s">
        <v>935</v>
      </c>
      <c r="AY2" s="203" t="s">
        <v>1097</v>
      </c>
      <c r="AZ2" s="204" t="s">
        <v>1098</v>
      </c>
      <c r="BA2" s="204" t="s">
        <v>1099</v>
      </c>
      <c r="BB2" s="204" t="s">
        <v>1100</v>
      </c>
      <c r="BC2" s="203" t="s">
        <v>1101</v>
      </c>
      <c r="BD2" s="204" t="s">
        <v>1102</v>
      </c>
      <c r="BE2" s="204" t="s">
        <v>1103</v>
      </c>
      <c r="BF2" s="204" t="s">
        <v>1104</v>
      </c>
      <c r="BG2" s="203" t="s">
        <v>1105</v>
      </c>
      <c r="BH2" s="204" t="s">
        <v>1106</v>
      </c>
      <c r="BI2" s="204" t="s">
        <v>1107</v>
      </c>
      <c r="BJ2" s="204" t="s">
        <v>1108</v>
      </c>
      <c r="BK2" s="204" t="s">
        <v>1109</v>
      </c>
      <c r="BL2" s="203" t="s">
        <v>1098</v>
      </c>
      <c r="BM2" s="204" t="s">
        <v>1099</v>
      </c>
      <c r="BN2" s="204" t="s">
        <v>1110</v>
      </c>
      <c r="BO2" s="204" t="s">
        <v>1111</v>
      </c>
      <c r="BP2" s="204" t="s">
        <v>1112</v>
      </c>
      <c r="BQ2" s="191"/>
      <c r="BR2" s="191"/>
    </row>
    <row r="3">
      <c r="A3" s="60">
        <f t="array" ref="A3:A1001">'_mapids'!K3:K1007</f>
        <v>3924030</v>
      </c>
      <c r="B3" s="205">
        <v>3924030.0</v>
      </c>
      <c r="C3" s="205">
        <v>1658910.0</v>
      </c>
      <c r="D3" s="206">
        <v>0.0</v>
      </c>
      <c r="E3" s="207">
        <v>44555.70202546296</v>
      </c>
      <c r="F3" s="207"/>
      <c r="G3" s="207">
        <v>45098.813368055555</v>
      </c>
      <c r="H3" s="63" t="s">
        <v>938</v>
      </c>
      <c r="I3" s="205">
        <v>196.0</v>
      </c>
      <c r="J3" s="63" t="s">
        <v>1113</v>
      </c>
      <c r="K3" s="205">
        <v>3552948.0</v>
      </c>
      <c r="L3" s="208">
        <v>5.04539</v>
      </c>
      <c r="M3" s="208">
        <v>2.42569</v>
      </c>
      <c r="N3" s="208">
        <v>2.40397</v>
      </c>
      <c r="O3" s="209">
        <v>3.5</v>
      </c>
      <c r="P3" s="209">
        <v>9.0</v>
      </c>
      <c r="Q3" s="209">
        <v>8.0</v>
      </c>
      <c r="R3" s="209">
        <v>5.0</v>
      </c>
      <c r="S3" s="210">
        <v>0.002534722221753327</v>
      </c>
      <c r="T3" s="63" t="s">
        <v>1114</v>
      </c>
      <c r="U3" s="205">
        <v>4.0</v>
      </c>
      <c r="V3" s="205">
        <v>3.0</v>
      </c>
      <c r="W3" s="63" t="s">
        <v>1115</v>
      </c>
      <c r="X3" s="210">
        <v>0.0027199074065720197</v>
      </c>
      <c r="Y3" s="63" t="s">
        <v>1116</v>
      </c>
      <c r="Z3" s="63" t="s">
        <v>1117</v>
      </c>
      <c r="AA3" s="205">
        <v>0.0</v>
      </c>
      <c r="AB3" s="63" t="s">
        <v>1118</v>
      </c>
      <c r="AC3" s="205">
        <v>77.0</v>
      </c>
      <c r="AD3" s="208">
        <v>0.0</v>
      </c>
      <c r="AE3" s="205">
        <v>79.0</v>
      </c>
      <c r="AF3" s="205">
        <v>31.0</v>
      </c>
      <c r="AG3" s="205">
        <v>510.0</v>
      </c>
      <c r="AH3" s="205">
        <v>404.0</v>
      </c>
      <c r="AI3" s="205">
        <v>4.0</v>
      </c>
      <c r="AJ3" s="205">
        <v>1325.0</v>
      </c>
      <c r="AK3" s="205">
        <v>0.0</v>
      </c>
      <c r="AL3" s="205">
        <v>0.0</v>
      </c>
      <c r="AM3" s="205">
        <v>0.0</v>
      </c>
      <c r="AN3" s="205">
        <v>0.0</v>
      </c>
      <c r="AO3" s="208">
        <v>4.67627</v>
      </c>
      <c r="AP3" s="208">
        <v>5.25285</v>
      </c>
      <c r="AQ3" s="208">
        <v>7.25351</v>
      </c>
      <c r="AR3" s="208">
        <v>4.01735</v>
      </c>
      <c r="AT3" s="192" t="str">
        <f t="array" ref="AT3:AW1007">IF(B3:B1007="",,{
H3:H1007&amp;" - "&amp;W3:W1007&amp;" ["&amp;Y3:Y1007&amp;"]",
"https://osu.ppy.sh/beatmapsets/"&amp;C3:C1007&amp;"#osu/"&amp;B3:B1007,
"https://assets.ppy.sh/beatmaps/"&amp;C3:C1007&amp;"/covers/cover.jpg",
"https://b.ppy.sh/thumb/"&amp;C3:C1007&amp;"l.jpg"
})</f>
        <v>nonoc - Relive [Insane]</v>
      </c>
      <c r="AU3" s="211" t="s">
        <v>61</v>
      </c>
      <c r="AV3" s="211" t="s">
        <v>1119</v>
      </c>
      <c r="AW3" s="211" t="s">
        <v>1120</v>
      </c>
      <c r="AX3" s="211" t="str">
        <f t="array" ref="AX3:AX1007">IF(AT3:AT1007="",,HYPERLINK(AU3:AU1007,AT3:AT1007))</f>
        <v>nonoc - Relive [Insane]</v>
      </c>
      <c r="AY3" s="212">
        <f t="array" ref="AY3:BB1007">IF(B3:B1007="",,O3:R1007/2)</f>
        <v>1.75</v>
      </c>
      <c r="AZ3" s="213">
        <v>4.5</v>
      </c>
      <c r="BA3" s="213">
        <v>4.0</v>
      </c>
      <c r="BB3" s="213">
        <v>2.5</v>
      </c>
      <c r="BC3" s="212">
        <f t="array" ref="BC3:BC1007">IF(B3:B1007="",,IF(O3:O1007*1.3&gt;10,10,O3:O1007*1.3))</f>
        <v>4.55</v>
      </c>
      <c r="BD3" s="213">
        <f t="array" ref="BD3:BF1007">IF(B3:B1007="",,IF(P3:R1007*1.4&gt;10,10,P3:R1007*1.4))</f>
        <v>10</v>
      </c>
      <c r="BE3" s="213">
        <v>10.0</v>
      </c>
      <c r="BF3" s="213">
        <v>7.0</v>
      </c>
      <c r="BG3" s="212">
        <f t="array" ref="BG3:BG1007">IF(B3:B1007="",,IF(P3:P1007&lt;=5,(1800-((1800-P3:P1007*120)*2/3))/120,((1200-((1200-(P3:P1007-5)*150)*2/3))/150)+5))</f>
        <v>10.33333333</v>
      </c>
      <c r="BH3" s="213">
        <f t="array" ref="BH3:BH1007">IF(B3:B1007="",,(79.5-((79.5-6*Q3:Q1007)*2/3))/6)</f>
        <v>9.75</v>
      </c>
      <c r="BI3" s="213">
        <f t="array" ref="BI3:BJ1007">IF(B3:B1007="",,{S3:S1007,X3:X1007}/1.5)</f>
        <v>0.001689814815</v>
      </c>
      <c r="BJ3" s="213">
        <v>0.0018132716043813464</v>
      </c>
      <c r="BK3" s="214">
        <f t="array" ref="BK3:BK1007">IF(B3:B1007="",,I3:I1007*1.5)</f>
        <v>294</v>
      </c>
      <c r="BL3" s="212">
        <f t="array" ref="BL3:BL1007">IF(B3:B1007="",,IF(P3:P1007&lt;=5,(1800-((1800-P3:P1007*120)*3/2))/120,((1200-((1200-(P3:P1007-5)*150)*3/2))/150)+5))</f>
        <v>7</v>
      </c>
      <c r="BM3" s="213">
        <f t="array" ref="BM3:BM1007">IF(B3:B1007="",,(79.5-((79.5-6*Q3:Q1007)*3/2))/6)</f>
        <v>5.375</v>
      </c>
      <c r="BN3" s="213">
        <f t="array" ref="BN3:BO1007">IF(B3:B1007="",,{S3:S1007,X3:X1007}/0.75)</f>
        <v>0.003379629629</v>
      </c>
      <c r="BO3" s="213">
        <v>0.0036265432087626928</v>
      </c>
      <c r="BP3" s="213">
        <f t="array" ref="BP3:BP1007">IF(B3:B1007="",,I3:I1007*0.75)</f>
        <v>147</v>
      </c>
      <c r="BQ3" s="192"/>
      <c r="BR3" s="192"/>
    </row>
    <row r="4">
      <c r="A4" s="60">
        <v>3207049.0</v>
      </c>
      <c r="B4" s="205">
        <v>306038.0</v>
      </c>
      <c r="C4" s="205">
        <v>111611.0</v>
      </c>
      <c r="D4" s="205">
        <v>1.0</v>
      </c>
      <c r="E4" s="207">
        <v>41503.362534722226</v>
      </c>
      <c r="F4" s="207">
        <v>41582.639178240745</v>
      </c>
      <c r="G4" s="207">
        <v>41580.35041666667</v>
      </c>
      <c r="H4" s="63" t="s">
        <v>1121</v>
      </c>
      <c r="I4" s="205">
        <v>164.0</v>
      </c>
      <c r="J4" s="63" t="s">
        <v>1122</v>
      </c>
      <c r="K4" s="205">
        <v>1514083.0</v>
      </c>
      <c r="L4" s="208">
        <v>4.9838</v>
      </c>
      <c r="M4" s="208">
        <v>2.30564</v>
      </c>
      <c r="N4" s="208">
        <v>2.45935</v>
      </c>
      <c r="O4" s="209">
        <v>4.0</v>
      </c>
      <c r="P4" s="209">
        <v>9.0</v>
      </c>
      <c r="Q4" s="209">
        <v>7.0</v>
      </c>
      <c r="R4" s="209">
        <v>6.0</v>
      </c>
      <c r="S4" s="210">
        <v>0.0022569444445252884</v>
      </c>
      <c r="T4" s="63" t="s">
        <v>1123</v>
      </c>
      <c r="U4" s="205">
        <v>2.0</v>
      </c>
      <c r="V4" s="205">
        <v>5.0</v>
      </c>
      <c r="W4" s="63" t="s">
        <v>1124</v>
      </c>
      <c r="X4" s="210">
        <v>0.00251157407546998</v>
      </c>
      <c r="Y4" s="63" t="s">
        <v>1125</v>
      </c>
      <c r="Z4" s="63" t="s">
        <v>1126</v>
      </c>
      <c r="AA4" s="205">
        <v>0.0</v>
      </c>
      <c r="AB4" s="63" t="s">
        <v>1127</v>
      </c>
      <c r="AC4" s="205">
        <v>1630.0</v>
      </c>
      <c r="AD4" s="208">
        <v>9.62903</v>
      </c>
      <c r="AE4" s="205">
        <v>850285.0</v>
      </c>
      <c r="AF4" s="205">
        <v>158570.0</v>
      </c>
      <c r="AG4" s="205">
        <v>556.0</v>
      </c>
      <c r="AH4" s="205">
        <v>288.0</v>
      </c>
      <c r="AI4" s="205">
        <v>2.0</v>
      </c>
      <c r="AJ4" s="205">
        <v>1269.0</v>
      </c>
      <c r="AK4" s="205">
        <v>0.0</v>
      </c>
      <c r="AL4" s="205">
        <v>0.0</v>
      </c>
      <c r="AM4" s="205">
        <v>0.0</v>
      </c>
      <c r="AN4" s="205">
        <v>0.0</v>
      </c>
      <c r="AO4" s="208">
        <v>4.58376</v>
      </c>
      <c r="AP4" s="208">
        <v>5.24778</v>
      </c>
      <c r="AQ4" s="208">
        <v>7.11657</v>
      </c>
      <c r="AR4" s="208">
        <v>3.90896</v>
      </c>
      <c r="AT4" s="192" t="s">
        <v>1128</v>
      </c>
      <c r="AU4" s="211" t="s">
        <v>203</v>
      </c>
      <c r="AV4" s="211" t="s">
        <v>1129</v>
      </c>
      <c r="AW4" s="211" t="s">
        <v>1130</v>
      </c>
      <c r="AX4" s="211" t="s">
        <v>1128</v>
      </c>
      <c r="AY4" s="212">
        <v>2.0</v>
      </c>
      <c r="AZ4" s="213">
        <v>4.5</v>
      </c>
      <c r="BA4" s="213">
        <v>3.5</v>
      </c>
      <c r="BB4" s="213">
        <v>3.0</v>
      </c>
      <c r="BC4" s="212">
        <v>5.2</v>
      </c>
      <c r="BD4" s="213">
        <v>10.0</v>
      </c>
      <c r="BE4" s="213">
        <v>9.799999999999999</v>
      </c>
      <c r="BF4" s="213">
        <v>8.399999999999999</v>
      </c>
      <c r="BG4" s="212">
        <v>10.333333333333332</v>
      </c>
      <c r="BH4" s="213">
        <v>9.083333333333334</v>
      </c>
      <c r="BI4" s="213">
        <v>0.0015046296296835255</v>
      </c>
      <c r="BJ4" s="213">
        <v>0.0016743827169799867</v>
      </c>
      <c r="BK4" s="213">
        <v>246.0</v>
      </c>
      <c r="BL4" s="212">
        <v>7.0</v>
      </c>
      <c r="BM4" s="213">
        <v>3.875</v>
      </c>
      <c r="BN4" s="213">
        <v>0.003009259259367051</v>
      </c>
      <c r="BO4" s="213">
        <v>0.0033487654339599735</v>
      </c>
      <c r="BP4" s="213">
        <v>123.0</v>
      </c>
      <c r="BQ4" s="192"/>
      <c r="BR4" s="192"/>
    </row>
    <row r="5">
      <c r="A5" s="60">
        <v>4113699.0</v>
      </c>
      <c r="B5" s="205">
        <v>3207049.0</v>
      </c>
      <c r="C5" s="205">
        <v>1570531.0</v>
      </c>
      <c r="D5" s="205">
        <v>1.0</v>
      </c>
      <c r="E5" s="207">
        <v>44445.738645833335</v>
      </c>
      <c r="F5" s="207">
        <v>44729.8094212963</v>
      </c>
      <c r="G5" s="207">
        <v>44724.85787037037</v>
      </c>
      <c r="H5" s="63" t="s">
        <v>1131</v>
      </c>
      <c r="I5" s="205">
        <v>198.0</v>
      </c>
      <c r="J5" s="63" t="s">
        <v>1132</v>
      </c>
      <c r="K5" s="205">
        <v>9655150.0</v>
      </c>
      <c r="L5" s="208">
        <v>5.15536</v>
      </c>
      <c r="M5" s="208">
        <v>2.25413</v>
      </c>
      <c r="N5" s="208">
        <v>2.64461</v>
      </c>
      <c r="O5" s="209">
        <v>4.0</v>
      </c>
      <c r="P5" s="209">
        <v>9.0</v>
      </c>
      <c r="Q5" s="209">
        <v>7.5</v>
      </c>
      <c r="R5" s="209">
        <v>5.4</v>
      </c>
      <c r="S5" s="210">
        <v>0.0010532407395658083</v>
      </c>
      <c r="U5" s="205">
        <v>10.0</v>
      </c>
      <c r="V5" s="205">
        <v>5.0</v>
      </c>
      <c r="W5" s="63" t="s">
        <v>1133</v>
      </c>
      <c r="X5" s="210">
        <v>0.0013425925935734995</v>
      </c>
      <c r="Y5" s="63" t="s">
        <v>1134</v>
      </c>
      <c r="Z5" s="63" t="s">
        <v>1135</v>
      </c>
      <c r="AA5" s="205">
        <v>0.0</v>
      </c>
      <c r="AB5" s="63" t="s">
        <v>1136</v>
      </c>
      <c r="AC5" s="205">
        <v>88.0</v>
      </c>
      <c r="AD5" s="208">
        <v>9.27612</v>
      </c>
      <c r="AE5" s="205">
        <v>27658.0</v>
      </c>
      <c r="AF5" s="205">
        <v>6314.0</v>
      </c>
      <c r="AG5" s="205">
        <v>270.0</v>
      </c>
      <c r="AH5" s="205">
        <v>170.0</v>
      </c>
      <c r="AI5" s="205">
        <v>0.0</v>
      </c>
      <c r="AJ5" s="205">
        <v>733.0</v>
      </c>
      <c r="AK5" s="205">
        <v>0.0</v>
      </c>
      <c r="AL5" s="205">
        <v>0.0</v>
      </c>
      <c r="AM5" s="205">
        <v>0.0</v>
      </c>
      <c r="AN5" s="205">
        <v>0.0</v>
      </c>
      <c r="AO5" s="208">
        <v>4.69709</v>
      </c>
      <c r="AP5" s="208">
        <v>5.40553</v>
      </c>
      <c r="AQ5" s="208">
        <v>7.74698</v>
      </c>
      <c r="AR5" s="208">
        <v>4.06395</v>
      </c>
      <c r="AT5" s="192" t="s">
        <v>63</v>
      </c>
      <c r="AU5" s="211" t="s">
        <v>62</v>
      </c>
      <c r="AV5" s="211" t="s">
        <v>1137</v>
      </c>
      <c r="AW5" s="211" t="s">
        <v>1138</v>
      </c>
      <c r="AX5" s="211" t="s">
        <v>63</v>
      </c>
      <c r="AY5" s="212">
        <v>2.0</v>
      </c>
      <c r="AZ5" s="213">
        <v>4.5</v>
      </c>
      <c r="BA5" s="213">
        <v>3.75</v>
      </c>
      <c r="BB5" s="213">
        <v>2.7</v>
      </c>
      <c r="BC5" s="212">
        <v>5.2</v>
      </c>
      <c r="BD5" s="213">
        <v>10.0</v>
      </c>
      <c r="BE5" s="213">
        <v>10.0</v>
      </c>
      <c r="BF5" s="213">
        <v>7.56</v>
      </c>
      <c r="BG5" s="212">
        <v>10.333333333333332</v>
      </c>
      <c r="BH5" s="213">
        <v>9.416666666666666</v>
      </c>
      <c r="BI5" s="213">
        <v>7.021604930438722E-4</v>
      </c>
      <c r="BJ5" s="213">
        <v>8.950617290489996E-4</v>
      </c>
      <c r="BK5" s="213">
        <v>297.0</v>
      </c>
      <c r="BL5" s="212">
        <v>7.0</v>
      </c>
      <c r="BM5" s="213">
        <v>4.625</v>
      </c>
      <c r="BN5" s="213">
        <v>0.0014043209860877444</v>
      </c>
      <c r="BO5" s="213">
        <v>0.0017901234580979992</v>
      </c>
      <c r="BP5" s="213">
        <v>148.5</v>
      </c>
      <c r="BQ5" s="192"/>
      <c r="BR5" s="192"/>
    </row>
    <row r="6">
      <c r="A6" s="60">
        <v>3737825.0</v>
      </c>
      <c r="B6" s="205">
        <v>3823691.0</v>
      </c>
      <c r="C6" s="205">
        <v>1859662.0</v>
      </c>
      <c r="D6" s="205">
        <v>1.0</v>
      </c>
      <c r="E6" s="207">
        <v>44837.07304398148</v>
      </c>
      <c r="F6" s="207">
        <v>44855.95934027778</v>
      </c>
      <c r="G6" s="207">
        <v>44846.894953703704</v>
      </c>
      <c r="H6" s="63" t="s">
        <v>176</v>
      </c>
      <c r="I6" s="205">
        <v>192.0</v>
      </c>
      <c r="J6" s="63" t="s">
        <v>1139</v>
      </c>
      <c r="K6" s="205">
        <v>3193504.0</v>
      </c>
      <c r="L6" s="208">
        <v>4.64353</v>
      </c>
      <c r="M6" s="208">
        <v>2.12282</v>
      </c>
      <c r="N6" s="208">
        <v>2.3127</v>
      </c>
      <c r="O6" s="209">
        <v>3.8</v>
      </c>
      <c r="P6" s="209">
        <v>9.0</v>
      </c>
      <c r="Q6" s="209">
        <v>7.8</v>
      </c>
      <c r="R6" s="209">
        <v>5.0</v>
      </c>
      <c r="S6" s="210">
        <v>0.0019560185173759237</v>
      </c>
      <c r="T6" s="63"/>
      <c r="U6" s="205">
        <v>5.0</v>
      </c>
      <c r="V6" s="205">
        <v>3.0</v>
      </c>
      <c r="W6" s="63" t="s">
        <v>1140</v>
      </c>
      <c r="X6" s="210">
        <v>0.0021527777789742686</v>
      </c>
      <c r="Y6" s="63" t="s">
        <v>1141</v>
      </c>
      <c r="Z6" s="63" t="s">
        <v>1142</v>
      </c>
      <c r="AA6" s="205">
        <v>0.0</v>
      </c>
      <c r="AB6" s="63" t="s">
        <v>1143</v>
      </c>
      <c r="AC6" s="205">
        <v>128.0</v>
      </c>
      <c r="AD6" s="208">
        <v>9.22449</v>
      </c>
      <c r="AE6" s="205">
        <v>19774.0</v>
      </c>
      <c r="AF6" s="205">
        <v>5612.0</v>
      </c>
      <c r="AG6" s="205">
        <v>310.0</v>
      </c>
      <c r="AH6" s="205">
        <v>309.0</v>
      </c>
      <c r="AI6" s="205">
        <v>2.0</v>
      </c>
      <c r="AJ6" s="205">
        <v>1028.0</v>
      </c>
      <c r="AK6" s="205">
        <v>0.0</v>
      </c>
      <c r="AL6" s="205">
        <v>0.0</v>
      </c>
      <c r="AM6" s="205">
        <v>0.0</v>
      </c>
      <c r="AN6" s="205">
        <v>0.0</v>
      </c>
      <c r="AO6" s="208">
        <v>4.22683</v>
      </c>
      <c r="AP6" s="208">
        <v>4.87091</v>
      </c>
      <c r="AQ6" s="208">
        <v>6.74392</v>
      </c>
      <c r="AR6" s="208">
        <v>3.68842</v>
      </c>
      <c r="AT6" s="192" t="s">
        <v>123</v>
      </c>
      <c r="AU6" s="211" t="s">
        <v>122</v>
      </c>
      <c r="AV6" s="211" t="s">
        <v>1144</v>
      </c>
      <c r="AW6" s="211" t="s">
        <v>1145</v>
      </c>
      <c r="AX6" s="211" t="s">
        <v>123</v>
      </c>
      <c r="AY6" s="212">
        <v>1.9</v>
      </c>
      <c r="AZ6" s="213">
        <v>4.5</v>
      </c>
      <c r="BA6" s="213">
        <v>3.9</v>
      </c>
      <c r="BB6" s="213">
        <v>2.5</v>
      </c>
      <c r="BC6" s="212">
        <v>4.9399999999999995</v>
      </c>
      <c r="BD6" s="213">
        <v>10.0</v>
      </c>
      <c r="BE6" s="213">
        <v>10.0</v>
      </c>
      <c r="BF6" s="213">
        <v>7.0</v>
      </c>
      <c r="BG6" s="212">
        <v>10.333333333333332</v>
      </c>
      <c r="BH6" s="213">
        <v>9.616666666666667</v>
      </c>
      <c r="BI6" s="213">
        <v>0.0013040123449172825</v>
      </c>
      <c r="BJ6" s="213">
        <v>0.0014351851859828457</v>
      </c>
      <c r="BK6" s="213">
        <v>288.0</v>
      </c>
      <c r="BL6" s="212">
        <v>7.0</v>
      </c>
      <c r="BM6" s="213">
        <v>5.074999999999999</v>
      </c>
      <c r="BN6" s="213">
        <v>0.002608024689834565</v>
      </c>
      <c r="BO6" s="213">
        <v>0.0028703703719656914</v>
      </c>
      <c r="BP6" s="213">
        <v>144.0</v>
      </c>
      <c r="BQ6" s="192"/>
      <c r="BR6" s="192"/>
    </row>
    <row r="7">
      <c r="A7" s="60">
        <v>2514122.0</v>
      </c>
      <c r="B7" s="205">
        <v>3563790.0</v>
      </c>
      <c r="C7" s="205">
        <v>1743257.0</v>
      </c>
      <c r="D7" s="205">
        <v>-2.0</v>
      </c>
      <c r="E7" s="207">
        <v>44666.98909722222</v>
      </c>
      <c r="F7" s="207"/>
      <c r="G7" s="207">
        <v>44666.989178240736</v>
      </c>
      <c r="H7" s="63" t="s">
        <v>1146</v>
      </c>
      <c r="I7" s="205">
        <v>130.0</v>
      </c>
      <c r="J7" s="63" t="s">
        <v>1147</v>
      </c>
      <c r="K7" s="205">
        <v>9416836.0</v>
      </c>
      <c r="L7" s="208">
        <v>4.74619</v>
      </c>
      <c r="M7" s="208">
        <v>2.25397</v>
      </c>
      <c r="N7" s="208">
        <v>2.28907</v>
      </c>
      <c r="O7" s="209">
        <v>4.0</v>
      </c>
      <c r="P7" s="209">
        <v>9.0</v>
      </c>
      <c r="Q7" s="209">
        <v>8.6</v>
      </c>
      <c r="R7" s="209">
        <v>6.0</v>
      </c>
      <c r="S7" s="210">
        <v>0.0014236111128411721</v>
      </c>
      <c r="T7" s="63"/>
      <c r="U7" s="205">
        <v>14.0</v>
      </c>
      <c r="V7" s="205">
        <v>5.0</v>
      </c>
      <c r="W7" s="63" t="s">
        <v>1148</v>
      </c>
      <c r="X7" s="210">
        <v>0.0014236111128411721</v>
      </c>
      <c r="Y7" s="63" t="s">
        <v>1149</v>
      </c>
      <c r="Z7" s="63" t="s">
        <v>1150</v>
      </c>
      <c r="AA7" s="205">
        <v>0.0</v>
      </c>
      <c r="AB7" s="63" t="s">
        <v>1151</v>
      </c>
      <c r="AC7" s="205">
        <v>1.0</v>
      </c>
      <c r="AD7" s="208">
        <v>0.0</v>
      </c>
      <c r="AE7" s="205">
        <v>89.0</v>
      </c>
      <c r="AF7" s="205">
        <v>22.0</v>
      </c>
      <c r="AG7" s="205">
        <v>384.0</v>
      </c>
      <c r="AH7" s="205">
        <v>157.0</v>
      </c>
      <c r="AI7" s="205">
        <v>2.0</v>
      </c>
      <c r="AJ7" s="205">
        <v>720.0</v>
      </c>
      <c r="AK7" s="205">
        <v>0.0</v>
      </c>
      <c r="AL7" s="205">
        <v>0.0</v>
      </c>
      <c r="AM7" s="205">
        <v>0.0</v>
      </c>
      <c r="AN7" s="205">
        <v>0.0</v>
      </c>
      <c r="AO7" s="208">
        <v>4.40166</v>
      </c>
      <c r="AP7" s="208">
        <v>5.0632</v>
      </c>
      <c r="AQ7" s="208">
        <v>6.57105</v>
      </c>
      <c r="AR7" s="208">
        <v>3.78293</v>
      </c>
      <c r="AT7" s="192" t="s">
        <v>206</v>
      </c>
      <c r="AU7" s="211" t="s">
        <v>205</v>
      </c>
      <c r="AV7" s="211" t="s">
        <v>1152</v>
      </c>
      <c r="AW7" s="211" t="s">
        <v>1153</v>
      </c>
      <c r="AX7" s="211" t="s">
        <v>206</v>
      </c>
      <c r="AY7" s="212">
        <v>2.0</v>
      </c>
      <c r="AZ7" s="213">
        <v>4.5</v>
      </c>
      <c r="BA7" s="213">
        <v>4.3</v>
      </c>
      <c r="BB7" s="213">
        <v>3.0</v>
      </c>
      <c r="BC7" s="212">
        <v>5.2</v>
      </c>
      <c r="BD7" s="213">
        <v>10.0</v>
      </c>
      <c r="BE7" s="213">
        <v>10.0</v>
      </c>
      <c r="BF7" s="213">
        <v>8.399999999999999</v>
      </c>
      <c r="BG7" s="212">
        <v>10.333333333333332</v>
      </c>
      <c r="BH7" s="213">
        <v>10.149999999999999</v>
      </c>
      <c r="BI7" s="213">
        <v>9.490740752274481E-4</v>
      </c>
      <c r="BJ7" s="213">
        <v>9.490740752274481E-4</v>
      </c>
      <c r="BK7" s="213">
        <v>195.0</v>
      </c>
      <c r="BL7" s="212">
        <v>7.0</v>
      </c>
      <c r="BM7" s="213">
        <v>6.274999999999999</v>
      </c>
      <c r="BN7" s="213">
        <v>0.0018981481504548963</v>
      </c>
      <c r="BO7" s="213">
        <v>0.0018981481504548963</v>
      </c>
      <c r="BP7" s="213">
        <v>97.5</v>
      </c>
      <c r="BQ7" s="192"/>
      <c r="BR7" s="192"/>
    </row>
    <row r="8">
      <c r="A8" s="60">
        <v>2619929.0</v>
      </c>
      <c r="B8" s="205">
        <v>4113699.0</v>
      </c>
      <c r="C8" s="205">
        <v>1975119.0</v>
      </c>
      <c r="D8" s="205">
        <v>-2.0</v>
      </c>
      <c r="E8" s="207">
        <v>45030.23199074074</v>
      </c>
      <c r="F8" s="63"/>
      <c r="G8" s="207">
        <v>45039.892164351855</v>
      </c>
      <c r="H8" s="63" t="s">
        <v>1154</v>
      </c>
      <c r="I8" s="205">
        <v>130.0</v>
      </c>
      <c r="J8" s="63" t="s">
        <v>1155</v>
      </c>
      <c r="K8" s="205">
        <v>1.0447058E7</v>
      </c>
      <c r="L8" s="208">
        <v>4.8831</v>
      </c>
      <c r="M8" s="208">
        <v>2.45185</v>
      </c>
      <c r="N8" s="208">
        <v>2.20755</v>
      </c>
      <c r="O8" s="209">
        <v>3.9</v>
      </c>
      <c r="P8" s="209">
        <v>9.3</v>
      </c>
      <c r="Q8" s="209">
        <v>8.0</v>
      </c>
      <c r="R8" s="209">
        <v>6.0</v>
      </c>
      <c r="S8" s="210">
        <v>0.002071759259706596</v>
      </c>
      <c r="T8" s="63"/>
      <c r="U8" s="205">
        <v>5.0</v>
      </c>
      <c r="V8" s="205">
        <v>3.0</v>
      </c>
      <c r="W8" s="63" t="s">
        <v>1156</v>
      </c>
      <c r="X8" s="210">
        <v>0.0020833333328482695</v>
      </c>
      <c r="Y8" s="63" t="s">
        <v>1157</v>
      </c>
      <c r="Z8" s="63" t="s">
        <v>1158</v>
      </c>
      <c r="AA8" s="205">
        <v>0.0</v>
      </c>
      <c r="AB8" s="63" t="s">
        <v>1159</v>
      </c>
      <c r="AC8" s="205">
        <v>10.0</v>
      </c>
      <c r="AD8" s="208">
        <v>0.0</v>
      </c>
      <c r="AE8" s="205">
        <v>1414.0</v>
      </c>
      <c r="AF8" s="205">
        <v>361.0</v>
      </c>
      <c r="AG8" s="205">
        <v>462.0</v>
      </c>
      <c r="AH8" s="205">
        <v>288.0</v>
      </c>
      <c r="AI8" s="205">
        <v>4.0</v>
      </c>
      <c r="AJ8" s="205">
        <v>1056.0</v>
      </c>
      <c r="AK8" s="205">
        <v>0.0</v>
      </c>
      <c r="AL8" s="205">
        <v>0.0</v>
      </c>
      <c r="AM8" s="205">
        <v>0.0</v>
      </c>
      <c r="AN8" s="205">
        <v>0.0</v>
      </c>
      <c r="AO8" s="208">
        <v>4.50714</v>
      </c>
      <c r="AP8" s="208">
        <v>5.19348</v>
      </c>
      <c r="AQ8" s="208">
        <v>6.90162</v>
      </c>
      <c r="AR8" s="208">
        <v>3.87245</v>
      </c>
      <c r="AT8" s="192" t="s">
        <v>67</v>
      </c>
      <c r="AU8" s="211" t="s">
        <v>66</v>
      </c>
      <c r="AV8" s="211" t="s">
        <v>1160</v>
      </c>
      <c r="AW8" s="211" t="s">
        <v>1161</v>
      </c>
      <c r="AX8" s="211" t="s">
        <v>67</v>
      </c>
      <c r="AY8" s="212">
        <v>1.95</v>
      </c>
      <c r="AZ8" s="213">
        <v>4.65</v>
      </c>
      <c r="BA8" s="213">
        <v>4.0</v>
      </c>
      <c r="BB8" s="213">
        <v>3.0</v>
      </c>
      <c r="BC8" s="212">
        <v>5.07</v>
      </c>
      <c r="BD8" s="213">
        <v>10.0</v>
      </c>
      <c r="BE8" s="213">
        <v>10.0</v>
      </c>
      <c r="BF8" s="213">
        <v>8.399999999999999</v>
      </c>
      <c r="BG8" s="212">
        <v>10.533333333333333</v>
      </c>
      <c r="BH8" s="213">
        <v>9.75</v>
      </c>
      <c r="BI8" s="213">
        <v>0.0013811728398043972</v>
      </c>
      <c r="BJ8" s="213">
        <v>0.001388888888565513</v>
      </c>
      <c r="BK8" s="213">
        <v>195.0</v>
      </c>
      <c r="BL8" s="212">
        <v>7.450000000000001</v>
      </c>
      <c r="BM8" s="213">
        <v>5.375</v>
      </c>
      <c r="BN8" s="213">
        <v>0.0027623456796087944</v>
      </c>
      <c r="BO8" s="213">
        <v>0.002777777777131026</v>
      </c>
      <c r="BP8" s="213">
        <v>97.5</v>
      </c>
      <c r="BQ8" s="192"/>
      <c r="BR8" s="192"/>
    </row>
    <row r="9">
      <c r="A9" s="60">
        <v>306038.0</v>
      </c>
      <c r="B9" s="205">
        <v>2995193.0</v>
      </c>
      <c r="C9" s="205">
        <v>1435157.0</v>
      </c>
      <c r="D9" s="205">
        <v>-2.0</v>
      </c>
      <c r="E9" s="207">
        <v>44303.689675925925</v>
      </c>
      <c r="F9" s="63"/>
      <c r="G9" s="207">
        <v>44335.149618055555</v>
      </c>
      <c r="H9" s="63" t="s">
        <v>1162</v>
      </c>
      <c r="I9" s="205">
        <v>175.0</v>
      </c>
      <c r="J9" s="63" t="s">
        <v>1163</v>
      </c>
      <c r="K9" s="205">
        <v>8536263.0</v>
      </c>
      <c r="L9" s="208">
        <v>4.80934</v>
      </c>
      <c r="M9" s="208">
        <v>2.24259</v>
      </c>
      <c r="N9" s="208">
        <v>2.35782</v>
      </c>
      <c r="O9" s="209">
        <v>4.0</v>
      </c>
      <c r="P9" s="209">
        <v>9.0</v>
      </c>
      <c r="Q9" s="209">
        <v>7.5</v>
      </c>
      <c r="R9" s="209">
        <v>5.0</v>
      </c>
      <c r="S9" s="210">
        <v>0.0013078703705105</v>
      </c>
      <c r="T9" s="63" t="s">
        <v>1164</v>
      </c>
      <c r="U9" s="205">
        <v>10.0</v>
      </c>
      <c r="V9" s="205">
        <v>5.0</v>
      </c>
      <c r="W9" s="63" t="s">
        <v>1165</v>
      </c>
      <c r="X9" s="210">
        <v>0.0013078703705105</v>
      </c>
      <c r="Y9" s="63" t="s">
        <v>1166</v>
      </c>
      <c r="Z9" s="63" t="s">
        <v>1167</v>
      </c>
      <c r="AA9" s="205">
        <v>0.0</v>
      </c>
      <c r="AB9" s="63" t="s">
        <v>1168</v>
      </c>
      <c r="AC9" s="205">
        <v>1.0</v>
      </c>
      <c r="AD9" s="208">
        <v>0.0</v>
      </c>
      <c r="AE9" s="205">
        <v>87.0</v>
      </c>
      <c r="AF9" s="205">
        <v>16.0</v>
      </c>
      <c r="AG9" s="205">
        <v>222.0</v>
      </c>
      <c r="AH9" s="205">
        <v>135.0</v>
      </c>
      <c r="AI9" s="205">
        <v>0.0</v>
      </c>
      <c r="AJ9" s="205">
        <v>593.0</v>
      </c>
      <c r="AK9" s="205">
        <v>0.0</v>
      </c>
      <c r="AL9" s="205">
        <v>0.0</v>
      </c>
      <c r="AM9" s="205">
        <v>0.0</v>
      </c>
      <c r="AN9" s="205">
        <v>0.0</v>
      </c>
      <c r="AO9" s="208">
        <v>4.37351</v>
      </c>
      <c r="AP9" s="208">
        <v>5.07207</v>
      </c>
      <c r="AQ9" s="208">
        <v>6.89446</v>
      </c>
      <c r="AR9" s="208">
        <v>3.814</v>
      </c>
      <c r="AT9" s="192" t="s">
        <v>129</v>
      </c>
      <c r="AU9" s="211" t="s">
        <v>128</v>
      </c>
      <c r="AV9" s="211" t="s">
        <v>1169</v>
      </c>
      <c r="AW9" s="211" t="s">
        <v>1170</v>
      </c>
      <c r="AX9" s="211" t="s">
        <v>129</v>
      </c>
      <c r="AY9" s="212">
        <v>2.0</v>
      </c>
      <c r="AZ9" s="213">
        <v>4.5</v>
      </c>
      <c r="BA9" s="213">
        <v>3.75</v>
      </c>
      <c r="BB9" s="213">
        <v>2.5</v>
      </c>
      <c r="BC9" s="212">
        <v>5.2</v>
      </c>
      <c r="BD9" s="213">
        <v>10.0</v>
      </c>
      <c r="BE9" s="213">
        <v>10.0</v>
      </c>
      <c r="BF9" s="213">
        <v>7.0</v>
      </c>
      <c r="BG9" s="212">
        <v>10.333333333333332</v>
      </c>
      <c r="BH9" s="213">
        <v>9.416666666666666</v>
      </c>
      <c r="BI9" s="213">
        <v>8.719135803403333E-4</v>
      </c>
      <c r="BJ9" s="213">
        <v>8.719135803403333E-4</v>
      </c>
      <c r="BK9" s="213">
        <v>262.5</v>
      </c>
      <c r="BL9" s="212">
        <v>7.0</v>
      </c>
      <c r="BM9" s="213">
        <v>4.625</v>
      </c>
      <c r="BN9" s="213">
        <v>0.0017438271606806666</v>
      </c>
      <c r="BO9" s="213">
        <v>0.0017438271606806666</v>
      </c>
      <c r="BP9" s="213">
        <v>131.25</v>
      </c>
      <c r="BQ9" s="192"/>
      <c r="BR9" s="192"/>
    </row>
    <row r="10">
      <c r="A10" s="60">
        <v>3298592.0</v>
      </c>
      <c r="B10" s="205">
        <v>3496410.0</v>
      </c>
      <c r="C10" s="205">
        <v>1528914.0</v>
      </c>
      <c r="D10" s="205">
        <v>1.0</v>
      </c>
      <c r="E10" s="207">
        <v>44401.38796296297</v>
      </c>
      <c r="F10" s="207">
        <v>44649.36555555556</v>
      </c>
      <c r="G10" s="207">
        <v>44640.82302083333</v>
      </c>
      <c r="H10" s="63" t="s">
        <v>1171</v>
      </c>
      <c r="I10" s="205">
        <v>186.0</v>
      </c>
      <c r="J10" s="63" t="s">
        <v>1172</v>
      </c>
      <c r="K10" s="205">
        <v>9088487.0</v>
      </c>
      <c r="L10" s="208">
        <v>5.17999</v>
      </c>
      <c r="M10" s="208">
        <v>2.62407</v>
      </c>
      <c r="N10" s="208">
        <v>2.31138</v>
      </c>
      <c r="O10" s="209">
        <v>4.2</v>
      </c>
      <c r="P10" s="209">
        <v>9.0</v>
      </c>
      <c r="Q10" s="209">
        <v>8.0</v>
      </c>
      <c r="R10" s="209">
        <v>5.0</v>
      </c>
      <c r="S10" s="210">
        <v>0.0031944444453984033</v>
      </c>
      <c r="T10" s="63"/>
      <c r="U10" s="205">
        <v>13.0</v>
      </c>
      <c r="V10" s="205">
        <v>3.0</v>
      </c>
      <c r="W10" s="63" t="s">
        <v>1173</v>
      </c>
      <c r="X10" s="210">
        <v>0.003379629630217096</v>
      </c>
      <c r="Y10" s="63" t="s">
        <v>1174</v>
      </c>
      <c r="Z10" s="63" t="s">
        <v>1175</v>
      </c>
      <c r="AA10" s="205">
        <v>0.0</v>
      </c>
      <c r="AB10" s="63" t="s">
        <v>1176</v>
      </c>
      <c r="AC10" s="205">
        <v>57.0</v>
      </c>
      <c r="AD10" s="208">
        <v>9.75</v>
      </c>
      <c r="AE10" s="205">
        <v>8425.0</v>
      </c>
      <c r="AF10" s="205">
        <v>1026.0</v>
      </c>
      <c r="AG10" s="205">
        <v>628.0</v>
      </c>
      <c r="AH10" s="205">
        <v>440.0</v>
      </c>
      <c r="AI10" s="205">
        <v>1.0</v>
      </c>
      <c r="AJ10" s="205">
        <v>1595.0</v>
      </c>
      <c r="AK10" s="205">
        <v>0.0</v>
      </c>
      <c r="AL10" s="205">
        <v>0.0</v>
      </c>
      <c r="AM10" s="205">
        <v>0.0</v>
      </c>
      <c r="AN10" s="205">
        <v>0.0</v>
      </c>
      <c r="AO10" s="208">
        <v>4.727</v>
      </c>
      <c r="AP10" s="208">
        <v>5.53064</v>
      </c>
      <c r="AQ10" s="208">
        <v>7.32173</v>
      </c>
      <c r="AR10" s="208">
        <v>4.11481</v>
      </c>
      <c r="AT10" s="192" t="s">
        <v>212</v>
      </c>
      <c r="AU10" s="211" t="s">
        <v>211</v>
      </c>
      <c r="AV10" s="211" t="s">
        <v>1177</v>
      </c>
      <c r="AW10" s="211" t="s">
        <v>1178</v>
      </c>
      <c r="AX10" s="211" t="s">
        <v>212</v>
      </c>
      <c r="AY10" s="212">
        <v>2.1</v>
      </c>
      <c r="AZ10" s="213">
        <v>4.5</v>
      </c>
      <c r="BA10" s="213">
        <v>4.0</v>
      </c>
      <c r="BB10" s="213">
        <v>2.5</v>
      </c>
      <c r="BC10" s="212">
        <v>5.460000000000001</v>
      </c>
      <c r="BD10" s="213">
        <v>10.0</v>
      </c>
      <c r="BE10" s="213">
        <v>10.0</v>
      </c>
      <c r="BF10" s="213">
        <v>7.0</v>
      </c>
      <c r="BG10" s="212">
        <v>10.333333333333332</v>
      </c>
      <c r="BH10" s="213">
        <v>9.75</v>
      </c>
      <c r="BI10" s="213">
        <v>0.0021296296302656024</v>
      </c>
      <c r="BJ10" s="213">
        <v>0.0022530864201447307</v>
      </c>
      <c r="BK10" s="213">
        <v>279.0</v>
      </c>
      <c r="BL10" s="212">
        <v>7.0</v>
      </c>
      <c r="BM10" s="213">
        <v>5.375</v>
      </c>
      <c r="BN10" s="213">
        <v>0.004259259260531205</v>
      </c>
      <c r="BO10" s="213">
        <v>0.004506172840289461</v>
      </c>
      <c r="BP10" s="213">
        <v>139.5</v>
      </c>
      <c r="BQ10" s="192"/>
      <c r="BR10" s="192"/>
    </row>
    <row r="11">
      <c r="A11" s="60">
        <v>1405094.0</v>
      </c>
      <c r="B11" s="205">
        <v>3737825.0</v>
      </c>
      <c r="C11" s="205">
        <v>1544866.0</v>
      </c>
      <c r="D11" s="205">
        <v>-2.0</v>
      </c>
      <c r="E11" s="207">
        <v>44418.1159375</v>
      </c>
      <c r="F11" s="63"/>
      <c r="G11" s="207">
        <v>44900.21398148148</v>
      </c>
      <c r="H11" s="63" t="s">
        <v>941</v>
      </c>
      <c r="I11" s="205">
        <v>180.0</v>
      </c>
      <c r="J11" s="63" t="s">
        <v>72</v>
      </c>
      <c r="K11" s="205">
        <v>3087506.0</v>
      </c>
      <c r="L11" s="208">
        <v>4.71109</v>
      </c>
      <c r="M11" s="208">
        <v>2.15506</v>
      </c>
      <c r="N11" s="208">
        <v>2.34525</v>
      </c>
      <c r="O11" s="209">
        <v>4.0</v>
      </c>
      <c r="P11" s="209">
        <v>9.0</v>
      </c>
      <c r="Q11" s="209">
        <v>8.0</v>
      </c>
      <c r="R11" s="209">
        <v>6.0</v>
      </c>
      <c r="S11" s="210">
        <v>0.002488425925548654</v>
      </c>
      <c r="T11" s="63"/>
      <c r="U11" s="205">
        <v>10.0</v>
      </c>
      <c r="V11" s="205">
        <v>5.0</v>
      </c>
      <c r="W11" s="63" t="s">
        <v>1179</v>
      </c>
      <c r="X11" s="210">
        <v>0.002592592591099674</v>
      </c>
      <c r="Y11" s="63" t="s">
        <v>1180</v>
      </c>
      <c r="Z11" s="63" t="s">
        <v>1181</v>
      </c>
      <c r="AA11" s="205">
        <v>0.0</v>
      </c>
      <c r="AB11" s="63" t="s">
        <v>1182</v>
      </c>
      <c r="AC11" s="205">
        <v>64.0</v>
      </c>
      <c r="AD11" s="208">
        <v>0.0</v>
      </c>
      <c r="AE11" s="205">
        <v>1639.0</v>
      </c>
      <c r="AF11" s="205">
        <v>734.0</v>
      </c>
      <c r="AG11" s="205">
        <v>330.0</v>
      </c>
      <c r="AH11" s="205">
        <v>434.0</v>
      </c>
      <c r="AI11" s="205">
        <v>8.0</v>
      </c>
      <c r="AJ11" s="205">
        <v>1333.0</v>
      </c>
      <c r="AK11" s="205">
        <v>0.0</v>
      </c>
      <c r="AL11" s="205">
        <v>0.0</v>
      </c>
      <c r="AM11" s="205">
        <v>0.0</v>
      </c>
      <c r="AN11" s="205">
        <v>0.0</v>
      </c>
      <c r="AO11" s="208">
        <v>4.35314</v>
      </c>
      <c r="AP11" s="208">
        <v>4.9217</v>
      </c>
      <c r="AQ11" s="208">
        <v>6.71858</v>
      </c>
      <c r="AR11" s="208">
        <v>3.75165</v>
      </c>
      <c r="AT11" s="192" t="s">
        <v>71</v>
      </c>
      <c r="AU11" s="211" t="s">
        <v>70</v>
      </c>
      <c r="AV11" s="211" t="s">
        <v>1183</v>
      </c>
      <c r="AW11" s="211" t="s">
        <v>1184</v>
      </c>
      <c r="AX11" s="211" t="s">
        <v>71</v>
      </c>
      <c r="AY11" s="212">
        <v>2.0</v>
      </c>
      <c r="AZ11" s="213">
        <v>4.5</v>
      </c>
      <c r="BA11" s="213">
        <v>4.0</v>
      </c>
      <c r="BB11" s="213">
        <v>3.0</v>
      </c>
      <c r="BC11" s="212">
        <v>5.2</v>
      </c>
      <c r="BD11" s="213">
        <v>10.0</v>
      </c>
      <c r="BE11" s="213">
        <v>10.0</v>
      </c>
      <c r="BF11" s="213">
        <v>8.399999999999999</v>
      </c>
      <c r="BG11" s="212">
        <v>10.333333333333332</v>
      </c>
      <c r="BH11" s="213">
        <v>9.75</v>
      </c>
      <c r="BI11" s="213">
        <v>0.001658950617032436</v>
      </c>
      <c r="BJ11" s="213">
        <v>0.001728395060733116</v>
      </c>
      <c r="BK11" s="213">
        <v>270.0</v>
      </c>
      <c r="BL11" s="212">
        <v>7.0</v>
      </c>
      <c r="BM11" s="213">
        <v>5.375</v>
      </c>
      <c r="BN11" s="213">
        <v>0.003317901234064872</v>
      </c>
      <c r="BO11" s="213">
        <v>0.003456790121466232</v>
      </c>
      <c r="BP11" s="213">
        <v>135.0</v>
      </c>
      <c r="BQ11" s="192"/>
      <c r="BR11" s="192"/>
    </row>
    <row r="12">
      <c r="A12" s="60">
        <v>646609.0</v>
      </c>
      <c r="B12" s="205">
        <v>3887774.0</v>
      </c>
      <c r="C12" s="205">
        <v>1758376.0</v>
      </c>
      <c r="D12" s="205">
        <v>1.0</v>
      </c>
      <c r="E12" s="207">
        <v>44687.72914351852</v>
      </c>
      <c r="F12" s="207">
        <v>44947.59916666667</v>
      </c>
      <c r="G12" s="207">
        <v>44940.29827546296</v>
      </c>
      <c r="H12" s="63" t="s">
        <v>1185</v>
      </c>
      <c r="I12" s="205">
        <v>197.0</v>
      </c>
      <c r="J12" s="63" t="s">
        <v>1186</v>
      </c>
      <c r="K12" s="205">
        <v>1.5959751E7</v>
      </c>
      <c r="L12" s="208">
        <v>4.84232</v>
      </c>
      <c r="M12" s="208">
        <v>2.4895</v>
      </c>
      <c r="N12" s="208">
        <v>2.10918</v>
      </c>
      <c r="O12" s="209">
        <v>4.0</v>
      </c>
      <c r="P12" s="209">
        <v>9.0</v>
      </c>
      <c r="Q12" s="209">
        <v>8.0</v>
      </c>
      <c r="R12" s="209">
        <v>6.0</v>
      </c>
      <c r="S12" s="210">
        <v>0.0022106481483206153</v>
      </c>
      <c r="T12" s="63"/>
      <c r="U12" s="205">
        <v>11.0</v>
      </c>
      <c r="V12" s="205">
        <v>5.0</v>
      </c>
      <c r="W12" s="63" t="s">
        <v>1187</v>
      </c>
      <c r="X12" s="210">
        <v>0.0022106481483206153</v>
      </c>
      <c r="Y12" s="63" t="s">
        <v>1188</v>
      </c>
      <c r="Z12" s="63" t="s">
        <v>1189</v>
      </c>
      <c r="AA12" s="205">
        <v>0.0</v>
      </c>
      <c r="AB12" s="63" t="s">
        <v>1190</v>
      </c>
      <c r="AC12" s="205">
        <v>131.0</v>
      </c>
      <c r="AD12" s="208">
        <v>9.4434</v>
      </c>
      <c r="AE12" s="205">
        <v>20539.0</v>
      </c>
      <c r="AF12" s="205">
        <v>3103.0</v>
      </c>
      <c r="AG12" s="205">
        <v>328.0</v>
      </c>
      <c r="AH12" s="205">
        <v>411.0</v>
      </c>
      <c r="AI12" s="205">
        <v>1.0</v>
      </c>
      <c r="AJ12" s="205">
        <v>1187.0</v>
      </c>
      <c r="AK12" s="205">
        <v>0.0</v>
      </c>
      <c r="AL12" s="205">
        <v>0.0</v>
      </c>
      <c r="AM12" s="205">
        <v>0.0</v>
      </c>
      <c r="AN12" s="205">
        <v>0.0</v>
      </c>
      <c r="AO12" s="208">
        <v>4.44689</v>
      </c>
      <c r="AP12" s="208">
        <v>5.12767</v>
      </c>
      <c r="AQ12" s="208">
        <v>6.79352</v>
      </c>
      <c r="AR12" s="208">
        <v>3.86378</v>
      </c>
      <c r="AT12" s="192" t="s">
        <v>217</v>
      </c>
      <c r="AU12" s="211" t="s">
        <v>216</v>
      </c>
      <c r="AV12" s="211" t="s">
        <v>1191</v>
      </c>
      <c r="AW12" s="211" t="s">
        <v>1192</v>
      </c>
      <c r="AX12" s="211" t="s">
        <v>217</v>
      </c>
      <c r="AY12" s="212">
        <v>2.0</v>
      </c>
      <c r="AZ12" s="213">
        <v>4.5</v>
      </c>
      <c r="BA12" s="213">
        <v>4.0</v>
      </c>
      <c r="BB12" s="213">
        <v>3.0</v>
      </c>
      <c r="BC12" s="212">
        <v>5.2</v>
      </c>
      <c r="BD12" s="213">
        <v>10.0</v>
      </c>
      <c r="BE12" s="213">
        <v>10.0</v>
      </c>
      <c r="BF12" s="213">
        <v>8.399999999999999</v>
      </c>
      <c r="BG12" s="212">
        <v>10.333333333333332</v>
      </c>
      <c r="BH12" s="213">
        <v>9.75</v>
      </c>
      <c r="BI12" s="213">
        <v>0.0014737654322137435</v>
      </c>
      <c r="BJ12" s="213">
        <v>0.0014737654322137435</v>
      </c>
      <c r="BK12" s="213">
        <v>295.5</v>
      </c>
      <c r="BL12" s="212">
        <v>7.0</v>
      </c>
      <c r="BM12" s="213">
        <v>5.375</v>
      </c>
      <c r="BN12" s="213">
        <v>0.002947530864427487</v>
      </c>
      <c r="BO12" s="213">
        <v>0.002947530864427487</v>
      </c>
      <c r="BP12" s="213">
        <v>147.75</v>
      </c>
      <c r="BQ12" s="192"/>
      <c r="BR12" s="192"/>
    </row>
    <row r="13">
      <c r="A13" s="60">
        <v>3958395.0</v>
      </c>
      <c r="B13" s="205">
        <v>2514122.0</v>
      </c>
      <c r="C13" s="205">
        <v>1207286.0</v>
      </c>
      <c r="D13" s="205">
        <v>1.0</v>
      </c>
      <c r="E13" s="207">
        <v>44017.33131944445</v>
      </c>
      <c r="F13" s="207">
        <v>44103.55703703704</v>
      </c>
      <c r="G13" s="207">
        <v>44101.02600694445</v>
      </c>
      <c r="H13" s="63" t="s">
        <v>1005</v>
      </c>
      <c r="I13" s="205">
        <v>200.0</v>
      </c>
      <c r="J13" s="63" t="s">
        <v>549</v>
      </c>
      <c r="K13" s="205">
        <v>2688103.0</v>
      </c>
      <c r="L13" s="208">
        <v>4.95233</v>
      </c>
      <c r="M13" s="208">
        <v>2.36544</v>
      </c>
      <c r="N13" s="208">
        <v>2.37523</v>
      </c>
      <c r="O13" s="209">
        <v>3.0</v>
      </c>
      <c r="P13" s="209">
        <v>9.0</v>
      </c>
      <c r="Q13" s="209">
        <v>8.0</v>
      </c>
      <c r="R13" s="209">
        <v>5.0</v>
      </c>
      <c r="S13" s="210">
        <v>0.0025810185179580003</v>
      </c>
      <c r="T13" s="63" t="s">
        <v>1193</v>
      </c>
      <c r="U13" s="205">
        <v>4.0</v>
      </c>
      <c r="V13" s="205">
        <v>3.0</v>
      </c>
      <c r="W13" s="63" t="s">
        <v>1194</v>
      </c>
      <c r="X13" s="210">
        <v>0.002662037037225673</v>
      </c>
      <c r="Y13" s="63" t="s">
        <v>1195</v>
      </c>
      <c r="Z13" s="63" t="s">
        <v>1196</v>
      </c>
      <c r="AA13" s="205">
        <v>0.0</v>
      </c>
      <c r="AB13" s="63" t="s">
        <v>1197</v>
      </c>
      <c r="AC13" s="205">
        <v>110.0</v>
      </c>
      <c r="AD13" s="208">
        <v>9.46486</v>
      </c>
      <c r="AE13" s="205">
        <v>24616.0</v>
      </c>
      <c r="AF13" s="205">
        <v>3312.0</v>
      </c>
      <c r="AG13" s="205">
        <v>551.0</v>
      </c>
      <c r="AH13" s="205">
        <v>427.0</v>
      </c>
      <c r="AI13" s="205">
        <v>1.0</v>
      </c>
      <c r="AJ13" s="205">
        <v>1469.0</v>
      </c>
      <c r="AK13" s="205">
        <v>0.0</v>
      </c>
      <c r="AL13" s="205">
        <v>0.0</v>
      </c>
      <c r="AM13" s="205">
        <v>0.0</v>
      </c>
      <c r="AN13" s="205">
        <v>0.0</v>
      </c>
      <c r="AO13" s="208">
        <v>4.67109</v>
      </c>
      <c r="AP13" s="208">
        <v>5.08079</v>
      </c>
      <c r="AQ13" s="208">
        <v>7.21848</v>
      </c>
      <c r="AR13" s="208">
        <v>3.98046</v>
      </c>
      <c r="AT13" s="192" t="s">
        <v>74</v>
      </c>
      <c r="AU13" s="211" t="s">
        <v>73</v>
      </c>
      <c r="AV13" s="211" t="s">
        <v>1198</v>
      </c>
      <c r="AW13" s="211" t="s">
        <v>1199</v>
      </c>
      <c r="AX13" s="211" t="s">
        <v>74</v>
      </c>
      <c r="AY13" s="212">
        <v>1.5</v>
      </c>
      <c r="AZ13" s="213">
        <v>4.5</v>
      </c>
      <c r="BA13" s="213">
        <v>4.0</v>
      </c>
      <c r="BB13" s="213">
        <v>2.5</v>
      </c>
      <c r="BC13" s="212">
        <v>3.9000000000000004</v>
      </c>
      <c r="BD13" s="213">
        <v>10.0</v>
      </c>
      <c r="BE13" s="213">
        <v>10.0</v>
      </c>
      <c r="BF13" s="213">
        <v>7.0</v>
      </c>
      <c r="BG13" s="212">
        <v>10.333333333333332</v>
      </c>
      <c r="BH13" s="213">
        <v>9.75</v>
      </c>
      <c r="BI13" s="213">
        <v>0.0017206790119720001</v>
      </c>
      <c r="BJ13" s="213">
        <v>0.0017746913581504487</v>
      </c>
      <c r="BK13" s="213">
        <v>300.0</v>
      </c>
      <c r="BL13" s="212">
        <v>7.0</v>
      </c>
      <c r="BM13" s="213">
        <v>5.375</v>
      </c>
      <c r="BN13" s="213">
        <v>0.0034413580239440003</v>
      </c>
      <c r="BO13" s="213">
        <v>0.0035493827163008973</v>
      </c>
      <c r="BP13" s="213">
        <v>150.0</v>
      </c>
      <c r="BQ13" s="192"/>
      <c r="BR13" s="192"/>
    </row>
    <row r="14">
      <c r="A14" s="60">
        <v>3823691.0</v>
      </c>
      <c r="B14" s="205">
        <v>2619929.0</v>
      </c>
      <c r="C14" s="205">
        <v>1238190.0</v>
      </c>
      <c r="D14" s="205">
        <v>1.0</v>
      </c>
      <c r="E14" s="207">
        <v>44060.583449074074</v>
      </c>
      <c r="F14" s="207">
        <v>44180.72284722222</v>
      </c>
      <c r="G14" s="207">
        <v>44173.57592592592</v>
      </c>
      <c r="H14" s="63" t="s">
        <v>943</v>
      </c>
      <c r="I14" s="205">
        <v>165.0</v>
      </c>
      <c r="J14" s="63" t="s">
        <v>80</v>
      </c>
      <c r="K14" s="205">
        <v>2688581.0</v>
      </c>
      <c r="L14" s="208">
        <v>4.61004</v>
      </c>
      <c r="M14" s="208">
        <v>2.21621</v>
      </c>
      <c r="N14" s="208">
        <v>2.19671</v>
      </c>
      <c r="O14" s="209">
        <v>5.0</v>
      </c>
      <c r="P14" s="209">
        <v>8.0</v>
      </c>
      <c r="Q14" s="209">
        <v>7.0</v>
      </c>
      <c r="R14" s="209">
        <v>5.0</v>
      </c>
      <c r="S14" s="210">
        <v>0.0016550925938645378</v>
      </c>
      <c r="T14" s="63" t="s">
        <v>1200</v>
      </c>
      <c r="U14" s="205">
        <v>10.0</v>
      </c>
      <c r="V14" s="205">
        <v>5.0</v>
      </c>
      <c r="W14" s="63" t="s">
        <v>1201</v>
      </c>
      <c r="X14" s="210">
        <v>0.0017939814824785572</v>
      </c>
      <c r="Y14" s="63" t="s">
        <v>1202</v>
      </c>
      <c r="Z14" s="63" t="s">
        <v>1203</v>
      </c>
      <c r="AA14" s="205">
        <v>0.0</v>
      </c>
      <c r="AB14" s="63" t="s">
        <v>1204</v>
      </c>
      <c r="AC14" s="205">
        <v>88.0</v>
      </c>
      <c r="AD14" s="208">
        <v>9.46933</v>
      </c>
      <c r="AE14" s="205">
        <v>35677.0</v>
      </c>
      <c r="AF14" s="205">
        <v>4249.0</v>
      </c>
      <c r="AG14" s="205">
        <v>250.0</v>
      </c>
      <c r="AH14" s="205">
        <v>302.0</v>
      </c>
      <c r="AI14" s="205">
        <v>0.0</v>
      </c>
      <c r="AJ14" s="205">
        <v>940.0</v>
      </c>
      <c r="AK14" s="205">
        <v>0.0</v>
      </c>
      <c r="AL14" s="205">
        <v>0.0</v>
      </c>
      <c r="AM14" s="205">
        <v>0.0</v>
      </c>
      <c r="AN14" s="205">
        <v>0.0</v>
      </c>
      <c r="AO14" s="208">
        <v>4.14613</v>
      </c>
      <c r="AP14" s="208">
        <v>5.14056</v>
      </c>
      <c r="AQ14" s="208">
        <v>6.48803</v>
      </c>
      <c r="AR14" s="208">
        <v>3.67392</v>
      </c>
      <c r="AT14" s="192" t="s">
        <v>78</v>
      </c>
      <c r="AU14" s="211" t="s">
        <v>77</v>
      </c>
      <c r="AV14" s="211" t="s">
        <v>1205</v>
      </c>
      <c r="AW14" s="211" t="s">
        <v>1206</v>
      </c>
      <c r="AX14" s="211" t="s">
        <v>78</v>
      </c>
      <c r="AY14" s="212">
        <v>2.5</v>
      </c>
      <c r="AZ14" s="213">
        <v>4.0</v>
      </c>
      <c r="BA14" s="213">
        <v>3.5</v>
      </c>
      <c r="BB14" s="213">
        <v>2.5</v>
      </c>
      <c r="BC14" s="212">
        <v>6.5</v>
      </c>
      <c r="BD14" s="213">
        <v>10.0</v>
      </c>
      <c r="BE14" s="213">
        <v>9.799999999999999</v>
      </c>
      <c r="BF14" s="213">
        <v>7.0</v>
      </c>
      <c r="BG14" s="212">
        <v>9.666666666666668</v>
      </c>
      <c r="BH14" s="213">
        <v>9.083333333333334</v>
      </c>
      <c r="BI14" s="213">
        <v>0.0011033950625763584</v>
      </c>
      <c r="BJ14" s="213">
        <v>0.0011959876549857047</v>
      </c>
      <c r="BK14" s="213">
        <v>247.5</v>
      </c>
      <c r="BL14" s="212">
        <v>5.5</v>
      </c>
      <c r="BM14" s="213">
        <v>3.875</v>
      </c>
      <c r="BN14" s="213">
        <v>0.002206790125152717</v>
      </c>
      <c r="BO14" s="213">
        <v>0.0023919753099714094</v>
      </c>
      <c r="BP14" s="213">
        <v>123.75</v>
      </c>
      <c r="BQ14" s="192"/>
      <c r="BR14" s="192"/>
    </row>
    <row r="15">
      <c r="A15" s="60">
        <v>3563790.0</v>
      </c>
      <c r="B15" s="205">
        <v>3958395.0</v>
      </c>
      <c r="C15" s="205">
        <v>1918243.0</v>
      </c>
      <c r="D15" s="205">
        <v>1.0</v>
      </c>
      <c r="E15" s="207">
        <v>44933.66502314815</v>
      </c>
      <c r="F15" s="207">
        <v>44977.54292824074</v>
      </c>
      <c r="G15" s="207">
        <v>44969.932800925926</v>
      </c>
      <c r="H15" s="63" t="s">
        <v>1207</v>
      </c>
      <c r="I15" s="205">
        <v>195.0</v>
      </c>
      <c r="J15" s="63" t="s">
        <v>92</v>
      </c>
      <c r="K15" s="205">
        <v>33599.0</v>
      </c>
      <c r="L15" s="208">
        <v>4.83085</v>
      </c>
      <c r="M15" s="208">
        <v>2.38745</v>
      </c>
      <c r="N15" s="208">
        <v>2.23069</v>
      </c>
      <c r="O15" s="209">
        <v>3.6</v>
      </c>
      <c r="P15" s="209">
        <v>9.0</v>
      </c>
      <c r="Q15" s="209">
        <v>8.0</v>
      </c>
      <c r="R15" s="209">
        <v>5.0</v>
      </c>
      <c r="S15" s="210">
        <v>0.002638888887304347</v>
      </c>
      <c r="T15" s="63" t="s">
        <v>1208</v>
      </c>
      <c r="U15" s="205">
        <v>4.0</v>
      </c>
      <c r="V15" s="205">
        <v>3.0</v>
      </c>
      <c r="W15" s="63" t="s">
        <v>1209</v>
      </c>
      <c r="X15" s="210">
        <v>0.0027893518526980188</v>
      </c>
      <c r="Y15" s="63" t="s">
        <v>1210</v>
      </c>
      <c r="Z15" s="63" t="s">
        <v>1211</v>
      </c>
      <c r="AA15" s="205">
        <v>0.0</v>
      </c>
      <c r="AB15" s="63" t="s">
        <v>1212</v>
      </c>
      <c r="AC15" s="205">
        <v>95.0</v>
      </c>
      <c r="AD15" s="208">
        <v>9.44628</v>
      </c>
      <c r="AE15" s="205">
        <v>13762.0</v>
      </c>
      <c r="AF15" s="205">
        <v>2547.0</v>
      </c>
      <c r="AG15" s="205">
        <v>452.0</v>
      </c>
      <c r="AH15" s="205">
        <v>408.0</v>
      </c>
      <c r="AI15" s="205">
        <v>0.0</v>
      </c>
      <c r="AJ15" s="205">
        <v>1303.0</v>
      </c>
      <c r="AK15" s="205">
        <v>0.0</v>
      </c>
      <c r="AL15" s="205">
        <v>0.0</v>
      </c>
      <c r="AM15" s="205">
        <v>0.0</v>
      </c>
      <c r="AN15" s="205">
        <v>0.0</v>
      </c>
      <c r="AO15" s="208">
        <v>4.48163</v>
      </c>
      <c r="AP15" s="208">
        <v>5.06865</v>
      </c>
      <c r="AQ15" s="208">
        <v>6.93955</v>
      </c>
      <c r="AR15" s="208">
        <v>3.82178</v>
      </c>
      <c r="AT15" s="192" t="s">
        <v>82</v>
      </c>
      <c r="AU15" s="211" t="s">
        <v>81</v>
      </c>
      <c r="AV15" s="211" t="s">
        <v>1213</v>
      </c>
      <c r="AW15" s="211" t="s">
        <v>1214</v>
      </c>
      <c r="AX15" s="211" t="s">
        <v>82</v>
      </c>
      <c r="AY15" s="212">
        <v>1.8</v>
      </c>
      <c r="AZ15" s="213">
        <v>4.5</v>
      </c>
      <c r="BA15" s="213">
        <v>4.0</v>
      </c>
      <c r="BB15" s="213">
        <v>2.5</v>
      </c>
      <c r="BC15" s="212">
        <v>4.680000000000001</v>
      </c>
      <c r="BD15" s="213">
        <v>10.0</v>
      </c>
      <c r="BE15" s="213">
        <v>10.0</v>
      </c>
      <c r="BF15" s="213">
        <v>7.0</v>
      </c>
      <c r="BG15" s="212">
        <v>10.333333333333332</v>
      </c>
      <c r="BH15" s="213">
        <v>9.75</v>
      </c>
      <c r="BI15" s="213">
        <v>0.001759259258202898</v>
      </c>
      <c r="BJ15" s="213">
        <v>0.0018595679017986793</v>
      </c>
      <c r="BK15" s="213">
        <v>292.5</v>
      </c>
      <c r="BL15" s="212">
        <v>7.0</v>
      </c>
      <c r="BM15" s="213">
        <v>5.375</v>
      </c>
      <c r="BN15" s="213">
        <v>0.003518518516405796</v>
      </c>
      <c r="BO15" s="213">
        <v>0.0037191358035973585</v>
      </c>
      <c r="BP15" s="213">
        <v>146.25</v>
      </c>
      <c r="BQ15" s="192"/>
      <c r="BR15" s="192"/>
    </row>
    <row r="16">
      <c r="A16" s="60">
        <v>63604.0</v>
      </c>
      <c r="B16" s="205">
        <v>1523138.0</v>
      </c>
      <c r="C16" s="205">
        <v>721320.0</v>
      </c>
      <c r="D16" s="205">
        <v>1.0</v>
      </c>
      <c r="E16" s="207">
        <v>43116.929861111115</v>
      </c>
      <c r="F16" s="207">
        <v>43258.097395833334</v>
      </c>
      <c r="G16" s="207">
        <v>43252.893958333334</v>
      </c>
      <c r="H16" s="63" t="s">
        <v>945</v>
      </c>
      <c r="I16" s="205">
        <v>155.42</v>
      </c>
      <c r="J16" s="63" t="s">
        <v>89</v>
      </c>
      <c r="K16" s="205">
        <v>2907231.0</v>
      </c>
      <c r="L16" s="208">
        <v>3.87614</v>
      </c>
      <c r="M16" s="208">
        <v>2.03268</v>
      </c>
      <c r="N16" s="208">
        <v>1.6248</v>
      </c>
      <c r="O16" s="209">
        <v>5.0</v>
      </c>
      <c r="P16" s="209">
        <v>8.3</v>
      </c>
      <c r="Q16" s="209">
        <v>7.7</v>
      </c>
      <c r="R16" s="209">
        <v>5.0</v>
      </c>
      <c r="S16" s="210">
        <v>0.001678240740147885</v>
      </c>
      <c r="T16" s="63" t="s">
        <v>1215</v>
      </c>
      <c r="U16" s="205">
        <v>3.0</v>
      </c>
      <c r="V16" s="205">
        <v>14.0</v>
      </c>
      <c r="W16" s="63" t="s">
        <v>1216</v>
      </c>
      <c r="X16" s="210">
        <v>0.0017129629632108845</v>
      </c>
      <c r="Y16" s="63" t="s">
        <v>1217</v>
      </c>
      <c r="Z16" s="63" t="s">
        <v>1218</v>
      </c>
      <c r="AA16" s="205">
        <v>0.0</v>
      </c>
      <c r="AB16" s="63" t="s">
        <v>1219</v>
      </c>
      <c r="AC16" s="205">
        <v>353.0</v>
      </c>
      <c r="AD16" s="208">
        <v>9.375</v>
      </c>
      <c r="AE16" s="205">
        <v>107370.0</v>
      </c>
      <c r="AF16" s="205">
        <v>24444.0</v>
      </c>
      <c r="AG16" s="205">
        <v>257.0</v>
      </c>
      <c r="AH16" s="205">
        <v>166.0</v>
      </c>
      <c r="AI16" s="205">
        <v>2.0</v>
      </c>
      <c r="AJ16" s="205">
        <v>611.0</v>
      </c>
      <c r="AK16" s="205">
        <v>0.0</v>
      </c>
      <c r="AL16" s="205">
        <v>0.0</v>
      </c>
      <c r="AM16" s="205">
        <v>0.0</v>
      </c>
      <c r="AN16" s="205">
        <v>0.0</v>
      </c>
      <c r="AO16" s="208">
        <v>3.42938</v>
      </c>
      <c r="AP16" s="208">
        <v>4.44079</v>
      </c>
      <c r="AQ16" s="208">
        <v>5.40138</v>
      </c>
      <c r="AR16" s="208">
        <v>3.10616</v>
      </c>
      <c r="AT16" s="192" t="s">
        <v>87</v>
      </c>
      <c r="AU16" s="211" t="s">
        <v>86</v>
      </c>
      <c r="AV16" s="211" t="s">
        <v>1220</v>
      </c>
      <c r="AW16" s="211" t="s">
        <v>1221</v>
      </c>
      <c r="AX16" s="211" t="s">
        <v>87</v>
      </c>
      <c r="AY16" s="212">
        <v>2.5</v>
      </c>
      <c r="AZ16" s="213">
        <v>4.15</v>
      </c>
      <c r="BA16" s="213">
        <v>3.85</v>
      </c>
      <c r="BB16" s="213">
        <v>2.5</v>
      </c>
      <c r="BC16" s="212">
        <v>6.5</v>
      </c>
      <c r="BD16" s="213">
        <v>10.0</v>
      </c>
      <c r="BE16" s="213">
        <v>10.0</v>
      </c>
      <c r="BF16" s="213">
        <v>7.0</v>
      </c>
      <c r="BG16" s="212">
        <v>9.866666666666667</v>
      </c>
      <c r="BH16" s="213">
        <v>9.549999999999999</v>
      </c>
      <c r="BI16" s="213">
        <v>0.00111882716009859</v>
      </c>
      <c r="BJ16" s="213">
        <v>0.0011419753088072564</v>
      </c>
      <c r="BK16" s="213">
        <v>233.13</v>
      </c>
      <c r="BL16" s="212">
        <v>5.950000000000001</v>
      </c>
      <c r="BM16" s="213">
        <v>4.925000000000001</v>
      </c>
      <c r="BN16" s="213">
        <v>0.00223765432019718</v>
      </c>
      <c r="BO16" s="213">
        <v>0.002283950617614513</v>
      </c>
      <c r="BP16" s="213">
        <v>116.565</v>
      </c>
      <c r="BQ16" s="192"/>
      <c r="BR16" s="192"/>
    </row>
    <row r="17">
      <c r="A17" s="60">
        <v>3841174.0</v>
      </c>
      <c r="B17" s="205">
        <v>4105349.0</v>
      </c>
      <c r="C17" s="205">
        <v>1977605.0</v>
      </c>
      <c r="D17" s="205">
        <v>1.0</v>
      </c>
      <c r="E17" s="207">
        <v>45033.97667824074</v>
      </c>
      <c r="F17" s="207">
        <v>45048.850023148145</v>
      </c>
      <c r="G17" s="207">
        <v>45040.81625</v>
      </c>
      <c r="H17" s="63" t="s">
        <v>946</v>
      </c>
      <c r="I17" s="205">
        <v>157.0</v>
      </c>
      <c r="J17" s="63" t="s">
        <v>92</v>
      </c>
      <c r="K17" s="205">
        <v>33599.0</v>
      </c>
      <c r="L17" s="208">
        <v>3.61361</v>
      </c>
      <c r="M17" s="208">
        <v>1.66524</v>
      </c>
      <c r="N17" s="208">
        <v>1.78871</v>
      </c>
      <c r="O17" s="209">
        <v>3.8</v>
      </c>
      <c r="P17" s="209">
        <v>8.0</v>
      </c>
      <c r="Q17" s="209">
        <v>6.0</v>
      </c>
      <c r="R17" s="209">
        <v>4.0</v>
      </c>
      <c r="S17" s="210">
        <v>0.002557870371674653</v>
      </c>
      <c r="T17" s="63" t="s">
        <v>1222</v>
      </c>
      <c r="U17" s="205">
        <v>5.0</v>
      </c>
      <c r="V17" s="205">
        <v>3.0</v>
      </c>
      <c r="W17" s="63" t="s">
        <v>1223</v>
      </c>
      <c r="X17" s="210">
        <v>0.0028703703719656914</v>
      </c>
      <c r="Y17" s="63" t="s">
        <v>1224</v>
      </c>
      <c r="Z17" s="63" t="s">
        <v>1225</v>
      </c>
      <c r="AA17" s="205">
        <v>0.0</v>
      </c>
      <c r="AB17" s="63" t="s">
        <v>1226</v>
      </c>
      <c r="AC17" s="205">
        <v>52.0</v>
      </c>
      <c r="AD17" s="208">
        <v>9.31429</v>
      </c>
      <c r="AE17" s="205">
        <v>1927.0</v>
      </c>
      <c r="AF17" s="205">
        <v>485.0</v>
      </c>
      <c r="AG17" s="205">
        <v>402.0</v>
      </c>
      <c r="AH17" s="205">
        <v>328.0</v>
      </c>
      <c r="AI17" s="205">
        <v>0.0</v>
      </c>
      <c r="AJ17" s="205">
        <v>1094.0</v>
      </c>
      <c r="AK17" s="205">
        <v>0.0</v>
      </c>
      <c r="AL17" s="205">
        <v>0.0</v>
      </c>
      <c r="AM17" s="205">
        <v>0.0</v>
      </c>
      <c r="AN17" s="205">
        <v>0.0</v>
      </c>
      <c r="AO17" s="208">
        <v>3.28003</v>
      </c>
      <c r="AP17" s="208">
        <v>3.75267</v>
      </c>
      <c r="AQ17" s="208">
        <v>5.08077</v>
      </c>
      <c r="AR17" s="208">
        <v>2.8875</v>
      </c>
      <c r="AT17" s="192" t="s">
        <v>91</v>
      </c>
      <c r="AU17" s="211" t="s">
        <v>90</v>
      </c>
      <c r="AV17" s="211" t="s">
        <v>1227</v>
      </c>
      <c r="AW17" s="211" t="s">
        <v>1228</v>
      </c>
      <c r="AX17" s="211" t="s">
        <v>91</v>
      </c>
      <c r="AY17" s="212">
        <v>1.9</v>
      </c>
      <c r="AZ17" s="213">
        <v>4.0</v>
      </c>
      <c r="BA17" s="213">
        <v>3.0</v>
      </c>
      <c r="BB17" s="213">
        <v>2.0</v>
      </c>
      <c r="BC17" s="212">
        <v>4.9399999999999995</v>
      </c>
      <c r="BD17" s="213">
        <v>10.0</v>
      </c>
      <c r="BE17" s="213">
        <v>8.399999999999999</v>
      </c>
      <c r="BF17" s="213">
        <v>5.6</v>
      </c>
      <c r="BG17" s="212">
        <v>9.666666666666668</v>
      </c>
      <c r="BH17" s="213">
        <v>8.416666666666666</v>
      </c>
      <c r="BI17" s="213">
        <v>0.0017052469144497688</v>
      </c>
      <c r="BJ17" s="213">
        <v>0.0019135802479771276</v>
      </c>
      <c r="BK17" s="213">
        <v>235.5</v>
      </c>
      <c r="BL17" s="212">
        <v>5.5</v>
      </c>
      <c r="BM17" s="213">
        <v>2.375</v>
      </c>
      <c r="BN17" s="213">
        <v>0.0034104938288995377</v>
      </c>
      <c r="BO17" s="213">
        <v>0.003827160495954255</v>
      </c>
      <c r="BP17" s="213">
        <v>117.75</v>
      </c>
      <c r="BQ17" s="192"/>
      <c r="BR17" s="192"/>
    </row>
    <row r="18">
      <c r="A18" s="60">
        <v>2751338.0</v>
      </c>
      <c r="B18" s="205">
        <v>3411549.0</v>
      </c>
      <c r="C18" s="205">
        <v>1670325.0</v>
      </c>
      <c r="D18" s="205">
        <v>0.0</v>
      </c>
      <c r="E18" s="207">
        <v>44570.44525462963</v>
      </c>
      <c r="F18" s="215"/>
      <c r="G18" s="207">
        <v>45118.548113425924</v>
      </c>
      <c r="H18" s="63" t="s">
        <v>1229</v>
      </c>
      <c r="I18" s="205">
        <v>170.0</v>
      </c>
      <c r="J18" s="63" t="s">
        <v>430</v>
      </c>
      <c r="K18" s="205">
        <v>1.1194087E7</v>
      </c>
      <c r="L18" s="208">
        <v>3.62419</v>
      </c>
      <c r="M18" s="208">
        <v>1.56318</v>
      </c>
      <c r="N18" s="208">
        <v>1.87327</v>
      </c>
      <c r="O18" s="209">
        <v>3.8</v>
      </c>
      <c r="P18" s="209">
        <v>8.0</v>
      </c>
      <c r="Q18" s="209">
        <v>6.5</v>
      </c>
      <c r="R18" s="209">
        <v>5.0</v>
      </c>
      <c r="S18" s="210">
        <v>0.002094907405989943</v>
      </c>
      <c r="U18" s="205">
        <v>10.0</v>
      </c>
      <c r="V18" s="205">
        <v>5.0</v>
      </c>
      <c r="W18" s="63" t="s">
        <v>1230</v>
      </c>
      <c r="X18" s="210">
        <v>0.0021064814827695955</v>
      </c>
      <c r="Y18" s="63" t="s">
        <v>1231</v>
      </c>
      <c r="Z18" s="63" t="s">
        <v>1232</v>
      </c>
      <c r="AA18" s="205">
        <v>0.0</v>
      </c>
      <c r="AB18" s="63" t="s">
        <v>1233</v>
      </c>
      <c r="AC18" s="205">
        <v>70.0</v>
      </c>
      <c r="AD18" s="208">
        <v>0.0</v>
      </c>
      <c r="AE18" s="205">
        <v>4.0</v>
      </c>
      <c r="AF18" s="205">
        <v>1.0</v>
      </c>
      <c r="AG18" s="205">
        <v>319.0</v>
      </c>
      <c r="AH18" s="205">
        <v>341.0</v>
      </c>
      <c r="AI18" s="205">
        <v>1.0</v>
      </c>
      <c r="AJ18" s="205">
        <v>1329.0</v>
      </c>
      <c r="AK18" s="205">
        <v>0.0</v>
      </c>
      <c r="AL18" s="205">
        <v>0.0</v>
      </c>
      <c r="AM18" s="205">
        <v>0.0</v>
      </c>
      <c r="AN18" s="205">
        <v>0.0</v>
      </c>
      <c r="AO18" s="208">
        <v>3.28624</v>
      </c>
      <c r="AP18" s="208">
        <v>3.76802</v>
      </c>
      <c r="AQ18" s="208">
        <v>5.10535</v>
      </c>
      <c r="AR18" s="208">
        <v>2.89678</v>
      </c>
      <c r="AT18" s="192" t="s">
        <v>94</v>
      </c>
      <c r="AU18" s="211" t="s">
        <v>93</v>
      </c>
      <c r="AV18" s="211" t="s">
        <v>1234</v>
      </c>
      <c r="AW18" s="211" t="s">
        <v>1235</v>
      </c>
      <c r="AX18" s="211" t="s">
        <v>94</v>
      </c>
      <c r="AY18" s="212">
        <v>1.9</v>
      </c>
      <c r="AZ18" s="213">
        <v>4.0</v>
      </c>
      <c r="BA18" s="213">
        <v>3.25</v>
      </c>
      <c r="BB18" s="213">
        <v>2.5</v>
      </c>
      <c r="BC18" s="212">
        <v>4.9399999999999995</v>
      </c>
      <c r="BD18" s="213">
        <v>10.0</v>
      </c>
      <c r="BE18" s="213">
        <v>9.1</v>
      </c>
      <c r="BF18" s="213">
        <v>7.0</v>
      </c>
      <c r="BG18" s="212">
        <v>9.666666666666668</v>
      </c>
      <c r="BH18" s="213">
        <v>8.75</v>
      </c>
      <c r="BI18" s="213">
        <v>0.0013966049373266287</v>
      </c>
      <c r="BJ18" s="213">
        <v>0.0014043209885130636</v>
      </c>
      <c r="BK18" s="213">
        <v>255.0</v>
      </c>
      <c r="BL18" s="212">
        <v>5.5</v>
      </c>
      <c r="BM18" s="213">
        <v>3.125</v>
      </c>
      <c r="BN18" s="213">
        <v>0.0027932098746532574</v>
      </c>
      <c r="BO18" s="213">
        <v>0.0028086419770261273</v>
      </c>
      <c r="BP18" s="213">
        <v>127.5</v>
      </c>
      <c r="BQ18" s="192"/>
      <c r="BR18" s="192"/>
    </row>
    <row r="19">
      <c r="A19" s="60">
        <v>3795759.0</v>
      </c>
      <c r="B19" s="205">
        <v>2395972.0</v>
      </c>
      <c r="C19" s="205">
        <v>1061614.0</v>
      </c>
      <c r="D19" s="205">
        <v>1.0</v>
      </c>
      <c r="E19" s="207">
        <v>43774.701157407406</v>
      </c>
      <c r="F19" s="207">
        <v>44019.84991898148</v>
      </c>
      <c r="G19" s="207">
        <v>44011.76186342593</v>
      </c>
      <c r="H19" s="63" t="s">
        <v>1236</v>
      </c>
      <c r="I19" s="205">
        <v>157.0</v>
      </c>
      <c r="J19" s="63" t="s">
        <v>1237</v>
      </c>
      <c r="K19" s="205">
        <v>7543834.0</v>
      </c>
      <c r="L19" s="208">
        <v>4.90014</v>
      </c>
      <c r="M19" s="208">
        <v>2.38707</v>
      </c>
      <c r="N19" s="208">
        <v>2.30184</v>
      </c>
      <c r="O19" s="209">
        <v>3.6</v>
      </c>
      <c r="P19" s="209">
        <v>9.0</v>
      </c>
      <c r="Q19" s="209">
        <v>8.0</v>
      </c>
      <c r="R19" s="209">
        <v>5.0</v>
      </c>
      <c r="S19" s="210">
        <v>0.0025694444448163267</v>
      </c>
      <c r="T19" s="63" t="s">
        <v>1238</v>
      </c>
      <c r="U19" s="205">
        <v>3.0</v>
      </c>
      <c r="V19" s="205">
        <v>3.0</v>
      </c>
      <c r="W19" s="63" t="s">
        <v>1239</v>
      </c>
      <c r="X19" s="210">
        <v>0.0026967592602886725</v>
      </c>
      <c r="Y19" s="63" t="s">
        <v>1116</v>
      </c>
      <c r="Z19" s="63" t="s">
        <v>1240</v>
      </c>
      <c r="AA19" s="205">
        <v>0.0</v>
      </c>
      <c r="AB19" s="63" t="s">
        <v>1241</v>
      </c>
      <c r="AC19" s="205">
        <v>339.0</v>
      </c>
      <c r="AD19" s="208">
        <v>9.54242</v>
      </c>
      <c r="AE19" s="205">
        <v>61605.0</v>
      </c>
      <c r="AF19" s="205">
        <v>8739.0</v>
      </c>
      <c r="AG19" s="205">
        <v>578.0</v>
      </c>
      <c r="AH19" s="205">
        <v>519.0</v>
      </c>
      <c r="AI19" s="205">
        <v>2.0</v>
      </c>
      <c r="AJ19" s="205">
        <v>1676.0</v>
      </c>
      <c r="AK19" s="205">
        <v>0.0</v>
      </c>
      <c r="AL19" s="205">
        <v>0.0</v>
      </c>
      <c r="AM19" s="205">
        <v>0.0</v>
      </c>
      <c r="AN19" s="205">
        <v>0.0</v>
      </c>
      <c r="AO19" s="208">
        <v>4.54892</v>
      </c>
      <c r="AP19" s="208">
        <v>5.13816</v>
      </c>
      <c r="AQ19" s="208">
        <v>6.97367</v>
      </c>
      <c r="AR19" s="208">
        <v>3.87443</v>
      </c>
      <c r="AT19" s="192" t="s">
        <v>98</v>
      </c>
      <c r="AU19" s="211" t="s">
        <v>97</v>
      </c>
      <c r="AV19" s="211" t="s">
        <v>1242</v>
      </c>
      <c r="AW19" s="211" t="s">
        <v>1243</v>
      </c>
      <c r="AX19" s="211" t="s">
        <v>98</v>
      </c>
      <c r="AY19" s="212">
        <v>1.8</v>
      </c>
      <c r="AZ19" s="213">
        <v>4.5</v>
      </c>
      <c r="BA19" s="213">
        <v>4.0</v>
      </c>
      <c r="BB19" s="213">
        <v>2.5</v>
      </c>
      <c r="BC19" s="212">
        <v>4.680000000000001</v>
      </c>
      <c r="BD19" s="213">
        <v>10.0</v>
      </c>
      <c r="BE19" s="213">
        <v>10.0</v>
      </c>
      <c r="BF19" s="213">
        <v>7.0</v>
      </c>
      <c r="BG19" s="212">
        <v>10.333333333333332</v>
      </c>
      <c r="BH19" s="213">
        <v>9.75</v>
      </c>
      <c r="BI19" s="213">
        <v>0.0017129629632108845</v>
      </c>
      <c r="BJ19" s="213">
        <v>0.001797839506859115</v>
      </c>
      <c r="BK19" s="213">
        <v>235.5</v>
      </c>
      <c r="BL19" s="212">
        <v>7.0</v>
      </c>
      <c r="BM19" s="213">
        <v>5.375</v>
      </c>
      <c r="BN19" s="213">
        <v>0.003425925926421769</v>
      </c>
      <c r="BO19" s="213">
        <v>0.00359567901371823</v>
      </c>
      <c r="BP19" s="213">
        <v>117.75</v>
      </c>
      <c r="BQ19" s="192"/>
      <c r="BR19" s="192"/>
    </row>
    <row r="20">
      <c r="A20" s="60">
        <v>1523138.0</v>
      </c>
      <c r="B20" s="205">
        <v>3720541.0</v>
      </c>
      <c r="C20" s="205">
        <v>1807986.0</v>
      </c>
      <c r="D20" s="205">
        <v>1.0</v>
      </c>
      <c r="E20" s="207">
        <v>44758.283321759256</v>
      </c>
      <c r="F20" s="207">
        <v>44814.599027777775</v>
      </c>
      <c r="G20" s="207">
        <v>44807.59207175926</v>
      </c>
      <c r="H20" s="63" t="s">
        <v>1244</v>
      </c>
      <c r="I20" s="205">
        <v>200.0</v>
      </c>
      <c r="J20" s="63" t="s">
        <v>1245</v>
      </c>
      <c r="K20" s="205">
        <v>6055351.0</v>
      </c>
      <c r="L20" s="208">
        <v>4.86357</v>
      </c>
      <c r="M20" s="208">
        <v>2.50052</v>
      </c>
      <c r="N20" s="208">
        <v>2.11829</v>
      </c>
      <c r="O20" s="209">
        <v>4.0</v>
      </c>
      <c r="P20" s="209">
        <v>9.0</v>
      </c>
      <c r="Q20" s="209">
        <v>8.0</v>
      </c>
      <c r="R20" s="209">
        <v>5.0</v>
      </c>
      <c r="S20" s="210">
        <v>0.0024768518524069805</v>
      </c>
      <c r="U20" s="205">
        <v>4.0</v>
      </c>
      <c r="V20" s="205">
        <v>3.0</v>
      </c>
      <c r="W20" s="63" t="s">
        <v>1246</v>
      </c>
      <c r="X20" s="210">
        <v>0.0026273148141626734</v>
      </c>
      <c r="Y20" s="63" t="s">
        <v>1247</v>
      </c>
      <c r="Z20" s="63" t="s">
        <v>1248</v>
      </c>
      <c r="AA20" s="205">
        <v>0.0</v>
      </c>
      <c r="AB20" s="63" t="s">
        <v>1249</v>
      </c>
      <c r="AC20" s="205">
        <v>189.0</v>
      </c>
      <c r="AD20" s="208">
        <v>9.208</v>
      </c>
      <c r="AE20" s="205">
        <v>24499.0</v>
      </c>
      <c r="AF20" s="205">
        <v>5094.0</v>
      </c>
      <c r="AG20" s="205">
        <v>304.0</v>
      </c>
      <c r="AH20" s="205">
        <v>451.0</v>
      </c>
      <c r="AI20" s="205">
        <v>0.0</v>
      </c>
      <c r="AJ20" s="205">
        <v>1326.0</v>
      </c>
      <c r="AK20" s="205">
        <v>0.0</v>
      </c>
      <c r="AL20" s="205">
        <v>0.0</v>
      </c>
      <c r="AM20" s="205">
        <v>0.0</v>
      </c>
      <c r="AN20" s="205">
        <v>0.0</v>
      </c>
      <c r="AO20" s="208">
        <v>4.4628</v>
      </c>
      <c r="AP20" s="208">
        <v>5.15653</v>
      </c>
      <c r="AQ20" s="208">
        <v>6.76205</v>
      </c>
      <c r="AR20" s="208">
        <v>3.86866</v>
      </c>
      <c r="AT20" s="192" t="s">
        <v>101</v>
      </c>
      <c r="AU20" s="211" t="s">
        <v>100</v>
      </c>
      <c r="AV20" s="211" t="s">
        <v>1250</v>
      </c>
      <c r="AW20" s="211" t="s">
        <v>1251</v>
      </c>
      <c r="AX20" s="211" t="s">
        <v>101</v>
      </c>
      <c r="AY20" s="212">
        <v>2.0</v>
      </c>
      <c r="AZ20" s="213">
        <v>4.5</v>
      </c>
      <c r="BA20" s="213">
        <v>4.0</v>
      </c>
      <c r="BB20" s="213">
        <v>2.5</v>
      </c>
      <c r="BC20" s="212">
        <v>5.2</v>
      </c>
      <c r="BD20" s="213">
        <v>10.0</v>
      </c>
      <c r="BE20" s="213">
        <v>10.0</v>
      </c>
      <c r="BF20" s="213">
        <v>7.0</v>
      </c>
      <c r="BG20" s="212">
        <v>10.333333333333332</v>
      </c>
      <c r="BH20" s="213">
        <v>9.75</v>
      </c>
      <c r="BI20" s="213">
        <v>0.0016512345682713203</v>
      </c>
      <c r="BJ20" s="213">
        <v>0.0017515432094417822</v>
      </c>
      <c r="BK20" s="213">
        <v>300.0</v>
      </c>
      <c r="BL20" s="212">
        <v>7.0</v>
      </c>
      <c r="BM20" s="213">
        <v>5.375</v>
      </c>
      <c r="BN20" s="213">
        <v>0.0033024691365426406</v>
      </c>
      <c r="BO20" s="213">
        <v>0.0035030864188835644</v>
      </c>
      <c r="BP20" s="213">
        <v>150.0</v>
      </c>
      <c r="BQ20" s="192"/>
      <c r="BR20" s="192"/>
    </row>
    <row r="21">
      <c r="A21" s="60">
        <v>2995193.0</v>
      </c>
      <c r="B21" s="205">
        <v>3081261.0</v>
      </c>
      <c r="C21" s="205">
        <v>1496416.0</v>
      </c>
      <c r="D21" s="205">
        <v>1.0</v>
      </c>
      <c r="E21" s="207">
        <v>44366.593506944446</v>
      </c>
      <c r="F21" s="207">
        <v>44392.44598379629</v>
      </c>
      <c r="G21" s="207">
        <v>44385.06334490741</v>
      </c>
      <c r="H21" s="63" t="s">
        <v>1252</v>
      </c>
      <c r="I21" s="205">
        <v>180.0</v>
      </c>
      <c r="J21" s="63" t="s">
        <v>1253</v>
      </c>
      <c r="K21" s="205">
        <v>1.0507407E7</v>
      </c>
      <c r="L21" s="208">
        <v>4.76305</v>
      </c>
      <c r="M21" s="208">
        <v>2.27419</v>
      </c>
      <c r="N21" s="208">
        <v>2.28528</v>
      </c>
      <c r="O21" s="209">
        <v>4.2</v>
      </c>
      <c r="P21" s="209">
        <v>9.0</v>
      </c>
      <c r="Q21" s="209">
        <v>8.0</v>
      </c>
      <c r="R21" s="209">
        <v>5.0</v>
      </c>
      <c r="S21" s="210">
        <v>0.0012268518512428273</v>
      </c>
      <c r="U21" s="205">
        <v>4.0</v>
      </c>
      <c r="V21" s="205">
        <v>3.0</v>
      </c>
      <c r="W21" s="63" t="s">
        <v>1254</v>
      </c>
      <c r="X21" s="210">
        <v>0.0014004629629198462</v>
      </c>
      <c r="Y21" s="63" t="s">
        <v>1255</v>
      </c>
      <c r="Z21" s="63" t="s">
        <v>1256</v>
      </c>
      <c r="AA21" s="205">
        <v>0.0</v>
      </c>
      <c r="AB21" s="63" t="s">
        <v>1257</v>
      </c>
      <c r="AC21" s="205">
        <v>208.0</v>
      </c>
      <c r="AD21" s="208">
        <v>8.84892</v>
      </c>
      <c r="AE21" s="205">
        <v>23914.0</v>
      </c>
      <c r="AF21" s="205">
        <v>4816.0</v>
      </c>
      <c r="AG21" s="205">
        <v>204.0</v>
      </c>
      <c r="AH21" s="205">
        <v>237.0</v>
      </c>
      <c r="AI21" s="205">
        <v>0.0</v>
      </c>
      <c r="AJ21" s="205">
        <v>708.0</v>
      </c>
      <c r="AK21" s="205">
        <v>0.0</v>
      </c>
      <c r="AL21" s="205">
        <v>0.0</v>
      </c>
      <c r="AM21" s="205">
        <v>0.0</v>
      </c>
      <c r="AN21" s="205">
        <v>0.0</v>
      </c>
      <c r="AO21" s="208">
        <v>4.28273</v>
      </c>
      <c r="AP21" s="208">
        <v>5.10728</v>
      </c>
      <c r="AQ21" s="208">
        <v>6.84338</v>
      </c>
      <c r="AR21" s="208">
        <v>3.80411</v>
      </c>
      <c r="AT21" s="192" t="s">
        <v>104</v>
      </c>
      <c r="AU21" s="211" t="s">
        <v>103</v>
      </c>
      <c r="AV21" s="211" t="s">
        <v>1258</v>
      </c>
      <c r="AW21" s="211" t="s">
        <v>1259</v>
      </c>
      <c r="AX21" s="211" t="s">
        <v>104</v>
      </c>
      <c r="AY21" s="212">
        <v>2.1</v>
      </c>
      <c r="AZ21" s="213">
        <v>4.5</v>
      </c>
      <c r="BA21" s="213">
        <v>4.0</v>
      </c>
      <c r="BB21" s="213">
        <v>2.5</v>
      </c>
      <c r="BC21" s="212">
        <v>5.460000000000001</v>
      </c>
      <c r="BD21" s="213">
        <v>10.0</v>
      </c>
      <c r="BE21" s="213">
        <v>10.0</v>
      </c>
      <c r="BF21" s="213">
        <v>7.0</v>
      </c>
      <c r="BG21" s="212">
        <v>10.333333333333332</v>
      </c>
      <c r="BH21" s="213">
        <v>9.75</v>
      </c>
      <c r="BI21" s="213">
        <v>8.179012341618849E-4</v>
      </c>
      <c r="BJ21" s="213">
        <v>9.336419752798975E-4</v>
      </c>
      <c r="BK21" s="213">
        <v>270.0</v>
      </c>
      <c r="BL21" s="212">
        <v>7.0</v>
      </c>
      <c r="BM21" s="213">
        <v>5.375</v>
      </c>
      <c r="BN21" s="213">
        <v>0.0016358024683237697</v>
      </c>
      <c r="BO21" s="213">
        <v>0.001867283950559795</v>
      </c>
      <c r="BP21" s="213">
        <v>135.0</v>
      </c>
      <c r="BQ21" s="192"/>
      <c r="BR21" s="192"/>
    </row>
    <row r="22">
      <c r="A22" s="60">
        <v>3496410.0</v>
      </c>
      <c r="B22" s="205">
        <v>3684386.0</v>
      </c>
      <c r="C22" s="205">
        <v>1712992.0</v>
      </c>
      <c r="D22" s="205">
        <v>1.0</v>
      </c>
      <c r="E22" s="207">
        <v>44625.78498842593</v>
      </c>
      <c r="F22" s="207">
        <v>44945.73881944444</v>
      </c>
      <c r="G22" s="207">
        <v>44936.85761574074</v>
      </c>
      <c r="H22" s="63" t="s">
        <v>1260</v>
      </c>
      <c r="I22" s="205">
        <v>175.0</v>
      </c>
      <c r="J22" s="63" t="s">
        <v>1261</v>
      </c>
      <c r="K22" s="205">
        <v>1.097417E7</v>
      </c>
      <c r="L22" s="208">
        <v>4.91691</v>
      </c>
      <c r="M22" s="208">
        <v>2.37273</v>
      </c>
      <c r="N22" s="208">
        <v>2.33367</v>
      </c>
      <c r="O22" s="209">
        <v>3.5</v>
      </c>
      <c r="P22" s="209">
        <v>9.0</v>
      </c>
      <c r="Q22" s="209">
        <v>8.0</v>
      </c>
      <c r="R22" s="209">
        <v>4.5</v>
      </c>
      <c r="S22" s="210">
        <v>0.0017708333325572312</v>
      </c>
      <c r="U22" s="205">
        <v>10.0</v>
      </c>
      <c r="V22" s="205">
        <v>2.0</v>
      </c>
      <c r="W22" s="63" t="s">
        <v>1262</v>
      </c>
      <c r="X22" s="210">
        <v>0.0020370370366435964</v>
      </c>
      <c r="Y22" s="63" t="s">
        <v>1116</v>
      </c>
      <c r="Z22" s="63" t="s">
        <v>1263</v>
      </c>
      <c r="AA22" s="205">
        <v>0.0</v>
      </c>
      <c r="AB22" s="63" t="s">
        <v>1264</v>
      </c>
      <c r="AC22" s="205">
        <v>547.0</v>
      </c>
      <c r="AD22" s="208">
        <v>9.32812</v>
      </c>
      <c r="AE22" s="205">
        <v>131014.0</v>
      </c>
      <c r="AF22" s="205">
        <v>34651.0</v>
      </c>
      <c r="AG22" s="205">
        <v>291.0</v>
      </c>
      <c r="AH22" s="205">
        <v>295.0</v>
      </c>
      <c r="AI22" s="205">
        <v>0.0</v>
      </c>
      <c r="AJ22" s="205">
        <v>931.0</v>
      </c>
      <c r="AK22" s="205">
        <v>0.0</v>
      </c>
      <c r="AL22" s="205">
        <v>0.0</v>
      </c>
      <c r="AM22" s="205">
        <v>0.0</v>
      </c>
      <c r="AN22" s="205">
        <v>0.0</v>
      </c>
      <c r="AO22" s="208">
        <v>4.48133</v>
      </c>
      <c r="AP22" s="208">
        <v>5.18784</v>
      </c>
      <c r="AQ22" s="208">
        <v>7.05193</v>
      </c>
      <c r="AR22" s="208">
        <v>3.90412</v>
      </c>
      <c r="AT22" s="192" t="s">
        <v>107</v>
      </c>
      <c r="AU22" s="211" t="s">
        <v>106</v>
      </c>
      <c r="AV22" s="211" t="s">
        <v>1265</v>
      </c>
      <c r="AW22" s="211" t="s">
        <v>1266</v>
      </c>
      <c r="AX22" s="211" t="s">
        <v>107</v>
      </c>
      <c r="AY22" s="212">
        <v>1.75</v>
      </c>
      <c r="AZ22" s="213">
        <v>4.5</v>
      </c>
      <c r="BA22" s="213">
        <v>4.0</v>
      </c>
      <c r="BB22" s="213">
        <v>2.25</v>
      </c>
      <c r="BC22" s="212">
        <v>4.55</v>
      </c>
      <c r="BD22" s="213">
        <v>10.0</v>
      </c>
      <c r="BE22" s="213">
        <v>10.0</v>
      </c>
      <c r="BF22" s="213">
        <v>6.3</v>
      </c>
      <c r="BG22" s="212">
        <v>10.333333333333332</v>
      </c>
      <c r="BH22" s="213">
        <v>9.75</v>
      </c>
      <c r="BI22" s="213">
        <v>0.0011805555550381541</v>
      </c>
      <c r="BJ22" s="213">
        <v>0.001358024691095731</v>
      </c>
      <c r="BK22" s="213">
        <v>262.5</v>
      </c>
      <c r="BL22" s="212">
        <v>7.0</v>
      </c>
      <c r="BM22" s="213">
        <v>5.375</v>
      </c>
      <c r="BN22" s="213">
        <v>0.0023611111100763083</v>
      </c>
      <c r="BO22" s="213">
        <v>0.002716049382191462</v>
      </c>
      <c r="BP22" s="213">
        <v>131.25</v>
      </c>
      <c r="BQ22" s="192"/>
      <c r="BR22" s="192"/>
    </row>
    <row r="23">
      <c r="A23" s="60">
        <v>2690081.0</v>
      </c>
      <c r="B23" s="205">
        <v>3783139.0</v>
      </c>
      <c r="C23" s="205">
        <v>1841846.0</v>
      </c>
      <c r="D23" s="205">
        <v>1.0</v>
      </c>
      <c r="E23" s="207">
        <v>44807.714317129634</v>
      </c>
      <c r="F23" s="207">
        <v>44853.16847222223</v>
      </c>
      <c r="G23" s="207">
        <v>44847.68748842593</v>
      </c>
      <c r="H23" s="63" t="s">
        <v>1267</v>
      </c>
      <c r="I23" s="205">
        <v>160.0</v>
      </c>
      <c r="J23" s="63" t="s">
        <v>1268</v>
      </c>
      <c r="K23" s="205">
        <v>7835664.0</v>
      </c>
      <c r="L23" s="208">
        <v>4.55384</v>
      </c>
      <c r="M23" s="208">
        <v>2.30921</v>
      </c>
      <c r="N23" s="208">
        <v>2.02875</v>
      </c>
      <c r="O23" s="209">
        <v>5.0</v>
      </c>
      <c r="P23" s="209">
        <v>8.0</v>
      </c>
      <c r="Q23" s="209">
        <v>8.0</v>
      </c>
      <c r="R23" s="209">
        <v>4.0</v>
      </c>
      <c r="S23" s="210">
        <v>0.0012268518512428273</v>
      </c>
      <c r="T23" s="63" t="s">
        <v>1269</v>
      </c>
      <c r="U23" s="205">
        <v>10.0</v>
      </c>
      <c r="V23" s="205">
        <v>5.0</v>
      </c>
      <c r="W23" s="63" t="s">
        <v>1270</v>
      </c>
      <c r="X23" s="210">
        <v>0.0014236111128411721</v>
      </c>
      <c r="Y23" s="63" t="s">
        <v>1271</v>
      </c>
      <c r="Z23" s="63" t="s">
        <v>1272</v>
      </c>
      <c r="AA23" s="205">
        <v>0.0</v>
      </c>
      <c r="AB23" s="63" t="s">
        <v>1273</v>
      </c>
      <c r="AC23" s="205">
        <v>108.0</v>
      </c>
      <c r="AD23" s="208">
        <v>8.69298</v>
      </c>
      <c r="AE23" s="205">
        <v>7759.0</v>
      </c>
      <c r="AF23" s="205">
        <v>837.0</v>
      </c>
      <c r="AG23" s="205">
        <v>207.0</v>
      </c>
      <c r="AH23" s="205">
        <v>186.0</v>
      </c>
      <c r="AI23" s="205">
        <v>0.0</v>
      </c>
      <c r="AJ23" s="205">
        <v>615.0</v>
      </c>
      <c r="AK23" s="205">
        <v>1.0</v>
      </c>
      <c r="AL23" s="205">
        <v>0.0</v>
      </c>
      <c r="AM23" s="205">
        <v>0.0</v>
      </c>
      <c r="AN23" s="205">
        <v>0.0</v>
      </c>
      <c r="AO23" s="208">
        <v>4.02814</v>
      </c>
      <c r="AP23" s="208">
        <v>5.20633</v>
      </c>
      <c r="AQ23" s="208">
        <v>6.3026</v>
      </c>
      <c r="AR23" s="208">
        <v>3.64497</v>
      </c>
      <c r="AT23" s="192" t="s">
        <v>109</v>
      </c>
      <c r="AU23" s="211" t="s">
        <v>108</v>
      </c>
      <c r="AV23" s="211" t="s">
        <v>1274</v>
      </c>
      <c r="AW23" s="211" t="s">
        <v>1275</v>
      </c>
      <c r="AX23" s="211" t="s">
        <v>109</v>
      </c>
      <c r="AY23" s="212">
        <v>2.5</v>
      </c>
      <c r="AZ23" s="213">
        <v>4.0</v>
      </c>
      <c r="BA23" s="213">
        <v>4.0</v>
      </c>
      <c r="BB23" s="213">
        <v>2.0</v>
      </c>
      <c r="BC23" s="212">
        <v>6.5</v>
      </c>
      <c r="BD23" s="213">
        <v>10.0</v>
      </c>
      <c r="BE23" s="213">
        <v>10.0</v>
      </c>
      <c r="BF23" s="213">
        <v>5.6</v>
      </c>
      <c r="BG23" s="212">
        <v>9.666666666666668</v>
      </c>
      <c r="BH23" s="213">
        <v>9.75</v>
      </c>
      <c r="BI23" s="213">
        <v>8.179012341618849E-4</v>
      </c>
      <c r="BJ23" s="213">
        <v>9.490740752274481E-4</v>
      </c>
      <c r="BK23" s="213">
        <v>240.0</v>
      </c>
      <c r="BL23" s="212">
        <v>5.5</v>
      </c>
      <c r="BM23" s="213">
        <v>5.375</v>
      </c>
      <c r="BN23" s="213">
        <v>0.0016358024683237697</v>
      </c>
      <c r="BO23" s="213">
        <v>0.0018981481504548963</v>
      </c>
      <c r="BP23" s="213">
        <v>120.0</v>
      </c>
      <c r="BQ23" s="192"/>
      <c r="BR23" s="192"/>
    </row>
    <row r="24">
      <c r="A24" s="60">
        <v>703042.0</v>
      </c>
      <c r="B24" s="205">
        <v>2027623.0</v>
      </c>
      <c r="C24" s="205">
        <v>932567.0</v>
      </c>
      <c r="D24" s="205">
        <v>1.0</v>
      </c>
      <c r="E24" s="207">
        <v>43523.8725462963</v>
      </c>
      <c r="F24" s="207">
        <v>43648.45835648148</v>
      </c>
      <c r="G24" s="207">
        <v>43640.76613425926</v>
      </c>
      <c r="H24" s="63" t="s">
        <v>944</v>
      </c>
      <c r="I24" s="205">
        <v>142.0</v>
      </c>
      <c r="J24" s="63" t="s">
        <v>85</v>
      </c>
      <c r="K24" s="205">
        <v>4966334.0</v>
      </c>
      <c r="L24" s="208">
        <v>4.75197</v>
      </c>
      <c r="M24" s="208">
        <v>2.28015</v>
      </c>
      <c r="N24" s="208">
        <v>2.26871</v>
      </c>
      <c r="O24" s="209">
        <v>3.8</v>
      </c>
      <c r="P24" s="209">
        <v>9.0</v>
      </c>
      <c r="Q24" s="209">
        <v>7.5</v>
      </c>
      <c r="R24" s="209">
        <v>5.0</v>
      </c>
      <c r="S24" s="210">
        <v>0.0029166666681703646</v>
      </c>
      <c r="T24" s="63" t="s">
        <v>1276</v>
      </c>
      <c r="U24" s="205">
        <v>3.0</v>
      </c>
      <c r="V24" s="205">
        <v>3.0</v>
      </c>
      <c r="W24" s="63" t="s">
        <v>1277</v>
      </c>
      <c r="X24" s="210">
        <v>0.0029166666681703646</v>
      </c>
      <c r="Y24" s="63" t="s">
        <v>1278</v>
      </c>
      <c r="Z24" s="63" t="s">
        <v>1279</v>
      </c>
      <c r="AA24" s="205">
        <v>0.0</v>
      </c>
      <c r="AB24" s="63" t="s">
        <v>1280</v>
      </c>
      <c r="AC24" s="205">
        <v>249.0</v>
      </c>
      <c r="AD24" s="208">
        <v>9.57028</v>
      </c>
      <c r="AE24" s="205">
        <v>109629.0</v>
      </c>
      <c r="AF24" s="205">
        <v>13806.0</v>
      </c>
      <c r="AG24" s="205">
        <v>862.0</v>
      </c>
      <c r="AH24" s="205">
        <v>321.0</v>
      </c>
      <c r="AI24" s="205">
        <v>1.0</v>
      </c>
      <c r="AJ24" s="205">
        <v>1523.0</v>
      </c>
      <c r="AK24" s="205">
        <v>0.0</v>
      </c>
      <c r="AL24" s="205">
        <v>0.0</v>
      </c>
      <c r="AM24" s="205">
        <v>0.0</v>
      </c>
      <c r="AN24" s="205">
        <v>0.0</v>
      </c>
      <c r="AO24" s="208">
        <v>4.4545</v>
      </c>
      <c r="AP24" s="208">
        <v>5.00382</v>
      </c>
      <c r="AQ24" s="208">
        <v>6.74635</v>
      </c>
      <c r="AR24" s="208">
        <v>3.7035</v>
      </c>
      <c r="AT24" s="192" t="s">
        <v>84</v>
      </c>
      <c r="AU24" s="211" t="s">
        <v>110</v>
      </c>
      <c r="AV24" s="211" t="s">
        <v>1281</v>
      </c>
      <c r="AW24" s="211" t="s">
        <v>1282</v>
      </c>
      <c r="AX24" s="211" t="s">
        <v>84</v>
      </c>
      <c r="AY24" s="212">
        <v>1.9</v>
      </c>
      <c r="AZ24" s="213">
        <v>4.5</v>
      </c>
      <c r="BA24" s="213">
        <v>3.75</v>
      </c>
      <c r="BB24" s="213">
        <v>2.5</v>
      </c>
      <c r="BC24" s="212">
        <v>4.9399999999999995</v>
      </c>
      <c r="BD24" s="213">
        <v>10.0</v>
      </c>
      <c r="BE24" s="213">
        <v>10.0</v>
      </c>
      <c r="BF24" s="213">
        <v>7.0</v>
      </c>
      <c r="BG24" s="212">
        <v>10.333333333333332</v>
      </c>
      <c r="BH24" s="213">
        <v>9.416666666666666</v>
      </c>
      <c r="BI24" s="213">
        <v>0.0019444444454469096</v>
      </c>
      <c r="BJ24" s="213">
        <v>0.0019444444454469096</v>
      </c>
      <c r="BK24" s="213">
        <v>213.0</v>
      </c>
      <c r="BL24" s="212">
        <v>7.0</v>
      </c>
      <c r="BM24" s="213">
        <v>4.625</v>
      </c>
      <c r="BN24" s="213">
        <v>0.0038888888908938193</v>
      </c>
      <c r="BO24" s="213">
        <v>0.0038888888908938193</v>
      </c>
      <c r="BP24" s="213">
        <v>106.5</v>
      </c>
      <c r="BQ24" s="192"/>
      <c r="BR24" s="192"/>
    </row>
    <row r="25">
      <c r="A25" s="60">
        <v>3182641.0</v>
      </c>
      <c r="B25" s="205">
        <v>2305346.0</v>
      </c>
      <c r="C25" s="205">
        <v>1089678.0</v>
      </c>
      <c r="D25" s="205">
        <v>4.0</v>
      </c>
      <c r="E25" s="207">
        <v>43835.839374999996</v>
      </c>
      <c r="F25" s="207">
        <v>45053.89878472222</v>
      </c>
      <c r="G25" s="207">
        <v>45052.56900462963</v>
      </c>
      <c r="H25" s="63" t="s">
        <v>1283</v>
      </c>
      <c r="I25" s="205">
        <v>210.0</v>
      </c>
      <c r="J25" s="63" t="s">
        <v>1284</v>
      </c>
      <c r="K25" s="205">
        <v>8352623.0</v>
      </c>
      <c r="L25" s="208">
        <v>4.79428</v>
      </c>
      <c r="M25" s="208">
        <v>2.27612</v>
      </c>
      <c r="N25" s="208">
        <v>2.31293</v>
      </c>
      <c r="O25" s="209">
        <v>4.0</v>
      </c>
      <c r="P25" s="209">
        <v>8.8</v>
      </c>
      <c r="Q25" s="209">
        <v>8.0</v>
      </c>
      <c r="R25" s="209">
        <v>5.0</v>
      </c>
      <c r="S25" s="210">
        <v>0.001354166666715173</v>
      </c>
      <c r="T25" s="63" t="s">
        <v>1285</v>
      </c>
      <c r="U25" s="205">
        <v>10.0</v>
      </c>
      <c r="V25" s="205">
        <v>5.0</v>
      </c>
      <c r="W25" s="63" t="s">
        <v>1286</v>
      </c>
      <c r="X25" s="210">
        <v>0.0014351851859828457</v>
      </c>
      <c r="Y25" s="63" t="s">
        <v>1287</v>
      </c>
      <c r="Z25" s="63" t="s">
        <v>1288</v>
      </c>
      <c r="AA25" s="205">
        <v>0.0</v>
      </c>
      <c r="AB25" s="63" t="s">
        <v>1289</v>
      </c>
      <c r="AC25" s="205">
        <v>351.0</v>
      </c>
      <c r="AD25" s="208">
        <v>9.54369</v>
      </c>
      <c r="AE25" s="205">
        <v>17641.0</v>
      </c>
      <c r="AF25" s="205">
        <v>4107.0</v>
      </c>
      <c r="AG25" s="205">
        <v>142.0</v>
      </c>
      <c r="AH25" s="205">
        <v>287.0</v>
      </c>
      <c r="AI25" s="205">
        <v>2.0</v>
      </c>
      <c r="AJ25" s="205">
        <v>851.0</v>
      </c>
      <c r="AK25" s="205">
        <v>0.0</v>
      </c>
      <c r="AL25" s="205">
        <v>1.0</v>
      </c>
      <c r="AM25" s="205">
        <v>0.0</v>
      </c>
      <c r="AN25" s="205">
        <v>0.0</v>
      </c>
      <c r="AO25" s="208">
        <v>4.35126</v>
      </c>
      <c r="AP25" s="208">
        <v>5.02113</v>
      </c>
      <c r="AQ25" s="208">
        <v>7.0222</v>
      </c>
      <c r="AR25" s="208">
        <v>3.80441</v>
      </c>
      <c r="AT25" s="192" t="s">
        <v>112</v>
      </c>
      <c r="AU25" s="211" t="s">
        <v>111</v>
      </c>
      <c r="AV25" s="211" t="s">
        <v>1290</v>
      </c>
      <c r="AW25" s="211" t="s">
        <v>1291</v>
      </c>
      <c r="AX25" s="211" t="s">
        <v>112</v>
      </c>
      <c r="AY25" s="212">
        <v>2.0</v>
      </c>
      <c r="AZ25" s="213">
        <v>4.4</v>
      </c>
      <c r="BA25" s="213">
        <v>4.0</v>
      </c>
      <c r="BB25" s="213">
        <v>2.5</v>
      </c>
      <c r="BC25" s="212">
        <v>5.2</v>
      </c>
      <c r="BD25" s="213">
        <v>10.0</v>
      </c>
      <c r="BE25" s="213">
        <v>10.0</v>
      </c>
      <c r="BF25" s="213">
        <v>7.0</v>
      </c>
      <c r="BG25" s="212">
        <v>10.2</v>
      </c>
      <c r="BH25" s="213">
        <v>9.75</v>
      </c>
      <c r="BI25" s="213">
        <v>9.027777778101154E-4</v>
      </c>
      <c r="BJ25" s="213">
        <v>9.567901239885638E-4</v>
      </c>
      <c r="BK25" s="213">
        <v>315.0</v>
      </c>
      <c r="BL25" s="212">
        <v>6.700000000000001</v>
      </c>
      <c r="BM25" s="213">
        <v>5.375</v>
      </c>
      <c r="BN25" s="213">
        <v>0.0018055555556202307</v>
      </c>
      <c r="BO25" s="213">
        <v>0.0019135802479771276</v>
      </c>
      <c r="BP25" s="213">
        <v>157.5</v>
      </c>
      <c r="BQ25" s="192"/>
      <c r="BR25" s="192"/>
    </row>
    <row r="26">
      <c r="A26" s="60">
        <v>1863870.0</v>
      </c>
      <c r="B26" s="205">
        <v>3310401.0</v>
      </c>
      <c r="C26" s="205">
        <v>1212359.0</v>
      </c>
      <c r="D26" s="205">
        <v>1.0</v>
      </c>
      <c r="E26" s="207">
        <v>44024.59797453704</v>
      </c>
      <c r="F26" s="207">
        <v>44680.181759259256</v>
      </c>
      <c r="G26" s="207">
        <v>44671.339583333334</v>
      </c>
      <c r="H26" s="63" t="s">
        <v>1292</v>
      </c>
      <c r="I26" s="205">
        <v>160.0</v>
      </c>
      <c r="J26" s="63" t="s">
        <v>1293</v>
      </c>
      <c r="K26" s="205">
        <v>1243669.0</v>
      </c>
      <c r="L26" s="208">
        <v>4.94141</v>
      </c>
      <c r="M26" s="208">
        <v>2.44971</v>
      </c>
      <c r="N26" s="208">
        <v>2.27273</v>
      </c>
      <c r="O26" s="209">
        <v>4.0</v>
      </c>
      <c r="P26" s="209">
        <v>9.2</v>
      </c>
      <c r="Q26" s="209">
        <v>7.0</v>
      </c>
      <c r="R26" s="209">
        <v>5.0</v>
      </c>
      <c r="S26" s="210">
        <v>0.0015509259246755391</v>
      </c>
      <c r="T26" s="63" t="s">
        <v>1294</v>
      </c>
      <c r="U26" s="205">
        <v>10.0</v>
      </c>
      <c r="V26" s="205">
        <v>14.0</v>
      </c>
      <c r="W26" s="63" t="s">
        <v>1295</v>
      </c>
      <c r="X26" s="210">
        <v>0.0017129629632108845</v>
      </c>
      <c r="Y26" s="63" t="s">
        <v>1296</v>
      </c>
      <c r="Z26" s="63" t="s">
        <v>1297</v>
      </c>
      <c r="AA26" s="205">
        <v>0.0</v>
      </c>
      <c r="AB26" s="63" t="s">
        <v>1298</v>
      </c>
      <c r="AC26" s="205">
        <v>328.0</v>
      </c>
      <c r="AD26" s="208">
        <v>9.31849</v>
      </c>
      <c r="AE26" s="205">
        <v>38323.0</v>
      </c>
      <c r="AF26" s="205">
        <v>8272.0</v>
      </c>
      <c r="AG26" s="205">
        <v>347.0</v>
      </c>
      <c r="AH26" s="205">
        <v>224.0</v>
      </c>
      <c r="AI26" s="205">
        <v>1.0</v>
      </c>
      <c r="AJ26" s="205">
        <v>872.0</v>
      </c>
      <c r="AK26" s="205">
        <v>1.0</v>
      </c>
      <c r="AL26" s="205">
        <v>1.0</v>
      </c>
      <c r="AM26" s="205">
        <v>0.0</v>
      </c>
      <c r="AN26" s="205">
        <v>0.0</v>
      </c>
      <c r="AO26" s="208">
        <v>4.52646</v>
      </c>
      <c r="AP26" s="208">
        <v>5.24798</v>
      </c>
      <c r="AQ26" s="208">
        <v>6.97444</v>
      </c>
      <c r="AR26" s="208">
        <v>3.9312</v>
      </c>
      <c r="AT26" s="192" t="s">
        <v>114</v>
      </c>
      <c r="AU26" s="211" t="s">
        <v>113</v>
      </c>
      <c r="AV26" s="211" t="s">
        <v>1299</v>
      </c>
      <c r="AW26" s="211" t="s">
        <v>1300</v>
      </c>
      <c r="AX26" s="211" t="s">
        <v>114</v>
      </c>
      <c r="AY26" s="212">
        <v>2.0</v>
      </c>
      <c r="AZ26" s="213">
        <v>4.6</v>
      </c>
      <c r="BA26" s="213">
        <v>3.5</v>
      </c>
      <c r="BB26" s="213">
        <v>2.5</v>
      </c>
      <c r="BC26" s="212">
        <v>5.2</v>
      </c>
      <c r="BD26" s="213">
        <v>10.0</v>
      </c>
      <c r="BE26" s="213">
        <v>9.799999999999999</v>
      </c>
      <c r="BF26" s="213">
        <v>7.0</v>
      </c>
      <c r="BG26" s="212">
        <v>10.466666666666667</v>
      </c>
      <c r="BH26" s="213">
        <v>9.083333333333334</v>
      </c>
      <c r="BI26" s="213">
        <v>0.0010339506164503594</v>
      </c>
      <c r="BJ26" s="213">
        <v>0.0011419753088072564</v>
      </c>
      <c r="BK26" s="213">
        <v>240.0</v>
      </c>
      <c r="BL26" s="212">
        <v>7.299999999999999</v>
      </c>
      <c r="BM26" s="213">
        <v>3.875</v>
      </c>
      <c r="BN26" s="213">
        <v>0.0020679012329007187</v>
      </c>
      <c r="BO26" s="213">
        <v>0.002283950617614513</v>
      </c>
      <c r="BP26" s="213">
        <v>120.0</v>
      </c>
      <c r="BQ26" s="192"/>
      <c r="BR26" s="192"/>
    </row>
    <row r="27">
      <c r="A27" s="60">
        <v>4105349.0</v>
      </c>
      <c r="B27" s="205">
        <v>4121042.0</v>
      </c>
      <c r="C27" s="205">
        <v>1909726.0</v>
      </c>
      <c r="D27" s="205">
        <v>1.0</v>
      </c>
      <c r="E27" s="207">
        <v>44920.197499999995</v>
      </c>
      <c r="F27" s="207">
        <v>45101.61384259259</v>
      </c>
      <c r="G27" s="207">
        <v>45091.84390046296</v>
      </c>
      <c r="H27" s="63" t="s">
        <v>1301</v>
      </c>
      <c r="I27" s="205">
        <v>158.0</v>
      </c>
      <c r="J27" s="63" t="s">
        <v>1302</v>
      </c>
      <c r="K27" s="205">
        <v>1.3471105E7</v>
      </c>
      <c r="L27" s="208">
        <v>3.65468</v>
      </c>
      <c r="M27" s="208">
        <v>1.67357</v>
      </c>
      <c r="N27" s="208">
        <v>1.81786</v>
      </c>
      <c r="O27" s="209">
        <v>3.6</v>
      </c>
      <c r="P27" s="209">
        <v>8.5</v>
      </c>
      <c r="Q27" s="209">
        <v>6.5</v>
      </c>
      <c r="R27" s="209">
        <v>4.0</v>
      </c>
      <c r="S27" s="210">
        <v>0.0023495370369346347</v>
      </c>
      <c r="U27" s="205">
        <v>11.0</v>
      </c>
      <c r="V27" s="205">
        <v>2.0</v>
      </c>
      <c r="W27" s="63" t="s">
        <v>1303</v>
      </c>
      <c r="X27" s="210">
        <v>0.0025462962948950008</v>
      </c>
      <c r="Y27" s="63" t="s">
        <v>1304</v>
      </c>
      <c r="Z27" s="63" t="s">
        <v>1305</v>
      </c>
      <c r="AA27" s="205">
        <v>0.0</v>
      </c>
      <c r="AB27" s="63" t="s">
        <v>1306</v>
      </c>
      <c r="AC27" s="205">
        <v>69.0</v>
      </c>
      <c r="AD27" s="208">
        <v>8.58182</v>
      </c>
      <c r="AE27" s="205">
        <v>2359.0</v>
      </c>
      <c r="AF27" s="205">
        <v>765.0</v>
      </c>
      <c r="AG27" s="205">
        <v>215.0</v>
      </c>
      <c r="AH27" s="205">
        <v>286.0</v>
      </c>
      <c r="AI27" s="205">
        <v>4.0</v>
      </c>
      <c r="AJ27" s="205">
        <v>1067.0</v>
      </c>
      <c r="AK27" s="205">
        <v>0.0</v>
      </c>
      <c r="AL27" s="205">
        <v>0.0</v>
      </c>
      <c r="AM27" s="205">
        <v>0.0</v>
      </c>
      <c r="AN27" s="205">
        <v>0.0</v>
      </c>
      <c r="AO27" s="208">
        <v>3.3133</v>
      </c>
      <c r="AP27" s="208">
        <v>3.79194</v>
      </c>
      <c r="AQ27" s="208">
        <v>5.05493</v>
      </c>
      <c r="AR27" s="208">
        <v>2.91472</v>
      </c>
      <c r="AT27" s="192" t="s">
        <v>116</v>
      </c>
      <c r="AU27" s="211" t="s">
        <v>1307</v>
      </c>
      <c r="AV27" s="211" t="s">
        <v>1308</v>
      </c>
      <c r="AW27" s="211" t="s">
        <v>1309</v>
      </c>
      <c r="AX27" s="211" t="s">
        <v>116</v>
      </c>
      <c r="AY27" s="212">
        <v>1.8</v>
      </c>
      <c r="AZ27" s="213">
        <v>4.25</v>
      </c>
      <c r="BA27" s="213">
        <v>3.25</v>
      </c>
      <c r="BB27" s="213">
        <v>2.0</v>
      </c>
      <c r="BC27" s="212">
        <v>4.680000000000001</v>
      </c>
      <c r="BD27" s="213">
        <v>10.0</v>
      </c>
      <c r="BE27" s="213">
        <v>9.1</v>
      </c>
      <c r="BF27" s="213">
        <v>5.6</v>
      </c>
      <c r="BG27" s="212">
        <v>10.0</v>
      </c>
      <c r="BH27" s="213">
        <v>8.75</v>
      </c>
      <c r="BI27" s="213">
        <v>0.0015663580246230897</v>
      </c>
      <c r="BJ27" s="213">
        <v>0.001697530863263334</v>
      </c>
      <c r="BK27" s="213">
        <v>237.0</v>
      </c>
      <c r="BL27" s="212">
        <v>6.25</v>
      </c>
      <c r="BM27" s="213">
        <v>3.125</v>
      </c>
      <c r="BN27" s="213">
        <v>0.0031327160492461794</v>
      </c>
      <c r="BO27" s="213">
        <v>0.003395061726526668</v>
      </c>
      <c r="BP27" s="213">
        <v>118.5</v>
      </c>
      <c r="BQ27" s="192"/>
      <c r="BR27" s="192"/>
    </row>
    <row r="28">
      <c r="A28" s="60">
        <v>2016938.0</v>
      </c>
      <c r="B28" s="205">
        <v>908887.0</v>
      </c>
      <c r="C28" s="205">
        <v>357800.0</v>
      </c>
      <c r="D28" s="205">
        <v>-2.0</v>
      </c>
      <c r="E28" s="207">
        <v>42267.14633101852</v>
      </c>
      <c r="F28" s="215"/>
      <c r="G28" s="207">
        <v>42881.930625</v>
      </c>
      <c r="H28" s="63" t="s">
        <v>939</v>
      </c>
      <c r="I28" s="205">
        <v>170.0</v>
      </c>
      <c r="J28" s="63" t="s">
        <v>65</v>
      </c>
      <c r="K28" s="205">
        <v>139493.0</v>
      </c>
      <c r="L28" s="208">
        <v>5.06513</v>
      </c>
      <c r="M28" s="208">
        <v>2.03293</v>
      </c>
      <c r="N28" s="208">
        <v>2.70613</v>
      </c>
      <c r="O28" s="209">
        <v>4.0</v>
      </c>
      <c r="P28" s="209">
        <v>9.0</v>
      </c>
      <c r="Q28" s="209">
        <v>8.0</v>
      </c>
      <c r="R28" s="209">
        <v>7.0</v>
      </c>
      <c r="S28" s="210">
        <v>0.0013194444436521735</v>
      </c>
      <c r="U28" s="205">
        <v>1.0</v>
      </c>
      <c r="V28" s="205">
        <v>1.0</v>
      </c>
      <c r="W28" s="63" t="s">
        <v>1310</v>
      </c>
      <c r="X28" s="210">
        <v>0.001331018516793847</v>
      </c>
      <c r="Y28" s="63" t="s">
        <v>1116</v>
      </c>
      <c r="Z28" s="63" t="s">
        <v>1311</v>
      </c>
      <c r="AA28" s="205">
        <v>0.0</v>
      </c>
      <c r="AC28" s="205">
        <v>6.0</v>
      </c>
      <c r="AD28" s="208">
        <v>0.0</v>
      </c>
      <c r="AE28" s="205">
        <v>838.0</v>
      </c>
      <c r="AF28" s="205">
        <v>229.0</v>
      </c>
      <c r="AG28" s="205">
        <v>449.0</v>
      </c>
      <c r="AH28" s="205">
        <v>162.0</v>
      </c>
      <c r="AI28" s="205">
        <v>2.0</v>
      </c>
      <c r="AJ28" s="205">
        <v>817.0</v>
      </c>
      <c r="AK28" s="205">
        <v>0.0</v>
      </c>
      <c r="AL28" s="205">
        <v>0.0</v>
      </c>
      <c r="AM28" s="205">
        <v>0.0</v>
      </c>
      <c r="AN28" s="205">
        <v>0.0</v>
      </c>
      <c r="AO28" s="208">
        <v>4.78099</v>
      </c>
      <c r="AP28" s="208">
        <v>5.19994</v>
      </c>
      <c r="AQ28" s="208">
        <v>7.46437</v>
      </c>
      <c r="AR28" s="208">
        <v>3.97247</v>
      </c>
      <c r="AT28" s="192" t="s">
        <v>64</v>
      </c>
      <c r="AU28" s="211" t="s">
        <v>117</v>
      </c>
      <c r="AV28" s="211" t="s">
        <v>1312</v>
      </c>
      <c r="AW28" s="211" t="s">
        <v>1313</v>
      </c>
      <c r="AX28" s="211" t="s">
        <v>64</v>
      </c>
      <c r="AY28" s="212">
        <v>2.0</v>
      </c>
      <c r="AZ28" s="213">
        <v>4.5</v>
      </c>
      <c r="BA28" s="213">
        <v>4.0</v>
      </c>
      <c r="BB28" s="213">
        <v>3.5</v>
      </c>
      <c r="BC28" s="212">
        <v>5.2</v>
      </c>
      <c r="BD28" s="213">
        <v>10.0</v>
      </c>
      <c r="BE28" s="213">
        <v>10.0</v>
      </c>
      <c r="BF28" s="213">
        <v>9.799999999999999</v>
      </c>
      <c r="BG28" s="212">
        <v>10.333333333333332</v>
      </c>
      <c r="BH28" s="213">
        <v>9.75</v>
      </c>
      <c r="BI28" s="213">
        <v>8.79629629101449E-4</v>
      </c>
      <c r="BJ28" s="213">
        <v>8.873456778625647E-4</v>
      </c>
      <c r="BK28" s="213">
        <v>255.0</v>
      </c>
      <c r="BL28" s="212">
        <v>7.0</v>
      </c>
      <c r="BM28" s="213">
        <v>5.375</v>
      </c>
      <c r="BN28" s="213">
        <v>0.001759259258202898</v>
      </c>
      <c r="BO28" s="213">
        <v>0.0017746913557251294</v>
      </c>
      <c r="BP28" s="213">
        <v>127.5</v>
      </c>
      <c r="BQ28" s="192"/>
      <c r="BR28" s="192"/>
    </row>
    <row r="29">
      <c r="A29" s="60">
        <v>3887774.0</v>
      </c>
      <c r="B29" s="205">
        <v>3533589.0</v>
      </c>
      <c r="C29" s="205">
        <v>1724615.0</v>
      </c>
      <c r="D29" s="205">
        <v>1.0</v>
      </c>
      <c r="E29" s="207">
        <v>44641.75901620371</v>
      </c>
      <c r="F29" s="207">
        <v>44688.406689814816</v>
      </c>
      <c r="G29" s="207">
        <v>44680.846932870365</v>
      </c>
      <c r="H29" s="63" t="s">
        <v>947</v>
      </c>
      <c r="I29" s="205">
        <v>156.0</v>
      </c>
      <c r="J29" s="63" t="s">
        <v>96</v>
      </c>
      <c r="K29" s="205">
        <v>9321674.0</v>
      </c>
      <c r="L29" s="208">
        <v>3.46488</v>
      </c>
      <c r="M29" s="208">
        <v>1.48495</v>
      </c>
      <c r="N29" s="208">
        <v>1.797</v>
      </c>
      <c r="O29" s="209">
        <v>3.6</v>
      </c>
      <c r="P29" s="209">
        <v>7.0</v>
      </c>
      <c r="Q29" s="209">
        <v>6.4</v>
      </c>
      <c r="R29" s="209">
        <v>4.4</v>
      </c>
      <c r="S29" s="210">
        <v>0.0024768518524069805</v>
      </c>
      <c r="T29" s="63" t="s">
        <v>1314</v>
      </c>
      <c r="U29" s="205">
        <v>10.0</v>
      </c>
      <c r="V29" s="205">
        <v>5.0</v>
      </c>
      <c r="W29" s="63" t="s">
        <v>1315</v>
      </c>
      <c r="X29" s="210">
        <v>0.002488425925548654</v>
      </c>
      <c r="Y29" s="63" t="s">
        <v>1316</v>
      </c>
      <c r="Z29" s="63" t="s">
        <v>1317</v>
      </c>
      <c r="AA29" s="205">
        <v>0.0</v>
      </c>
      <c r="AB29" s="63" t="s">
        <v>1318</v>
      </c>
      <c r="AC29" s="205">
        <v>251.0</v>
      </c>
      <c r="AD29" s="208">
        <v>9.44974</v>
      </c>
      <c r="AE29" s="205">
        <v>48214.0</v>
      </c>
      <c r="AF29" s="205">
        <v>11859.0</v>
      </c>
      <c r="AG29" s="205">
        <v>272.0</v>
      </c>
      <c r="AH29" s="205">
        <v>327.0</v>
      </c>
      <c r="AI29" s="205">
        <v>0.0</v>
      </c>
      <c r="AJ29" s="205">
        <v>1067.0</v>
      </c>
      <c r="AK29" s="205">
        <v>0.0</v>
      </c>
      <c r="AL29" s="205">
        <v>0.0</v>
      </c>
      <c r="AM29" s="205">
        <v>0.0</v>
      </c>
      <c r="AN29" s="205">
        <v>0.0</v>
      </c>
      <c r="AO29" s="208">
        <v>3.13851</v>
      </c>
      <c r="AP29" s="208">
        <v>3.5676</v>
      </c>
      <c r="AQ29" s="208">
        <v>4.78925</v>
      </c>
      <c r="AR29" s="208">
        <v>2.80927</v>
      </c>
      <c r="AT29" s="192" t="s">
        <v>95</v>
      </c>
      <c r="AU29" s="211" t="s">
        <v>118</v>
      </c>
      <c r="AV29" s="211" t="s">
        <v>1319</v>
      </c>
      <c r="AW29" s="211" t="s">
        <v>1320</v>
      </c>
      <c r="AX29" s="211" t="s">
        <v>95</v>
      </c>
      <c r="AY29" s="212">
        <v>1.8</v>
      </c>
      <c r="AZ29" s="213">
        <v>3.5</v>
      </c>
      <c r="BA29" s="213">
        <v>3.2</v>
      </c>
      <c r="BB29" s="213">
        <v>2.2</v>
      </c>
      <c r="BC29" s="212">
        <v>4.680000000000001</v>
      </c>
      <c r="BD29" s="213">
        <v>9.799999999999999</v>
      </c>
      <c r="BE29" s="213">
        <v>8.959999999999999</v>
      </c>
      <c r="BF29" s="213">
        <v>6.16</v>
      </c>
      <c r="BG29" s="212">
        <v>9.0</v>
      </c>
      <c r="BH29" s="213">
        <v>8.683333333333335</v>
      </c>
      <c r="BI29" s="213">
        <v>0.0016512345682713203</v>
      </c>
      <c r="BJ29" s="213">
        <v>0.001658950617032436</v>
      </c>
      <c r="BK29" s="213">
        <v>234.0</v>
      </c>
      <c r="BL29" s="212">
        <v>4.0</v>
      </c>
      <c r="BM29" s="213">
        <v>2.9750000000000014</v>
      </c>
      <c r="BN29" s="213">
        <v>0.0033024691365426406</v>
      </c>
      <c r="BO29" s="213">
        <v>0.003317901234064872</v>
      </c>
      <c r="BP29" s="213">
        <v>117.0</v>
      </c>
      <c r="BQ29" s="192"/>
      <c r="BR29" s="192"/>
    </row>
    <row r="30">
      <c r="A30" s="60">
        <v>1965654.0</v>
      </c>
      <c r="B30" s="205">
        <v>2094462.0</v>
      </c>
      <c r="C30" s="205">
        <v>998415.0</v>
      </c>
      <c r="D30" s="205">
        <v>1.0</v>
      </c>
      <c r="E30" s="207">
        <v>43651.790810185186</v>
      </c>
      <c r="F30" s="207">
        <v>43707.97224537037</v>
      </c>
      <c r="G30" s="207">
        <v>43697.45510416667</v>
      </c>
      <c r="H30" s="63" t="s">
        <v>942</v>
      </c>
      <c r="I30" s="205">
        <v>170.0</v>
      </c>
      <c r="J30" s="63" t="s">
        <v>76</v>
      </c>
      <c r="K30" s="205">
        <v>4174940.0</v>
      </c>
      <c r="L30" s="208">
        <v>5.05371</v>
      </c>
      <c r="M30" s="208">
        <v>2.34043</v>
      </c>
      <c r="N30" s="208">
        <v>2.49174</v>
      </c>
      <c r="O30" s="209">
        <v>4.5</v>
      </c>
      <c r="P30" s="209">
        <v>9.0</v>
      </c>
      <c r="Q30" s="209">
        <v>8.0</v>
      </c>
      <c r="R30" s="209">
        <v>4.0</v>
      </c>
      <c r="S30" s="210">
        <v>0.002002314813580597</v>
      </c>
      <c r="T30" s="63" t="s">
        <v>1321</v>
      </c>
      <c r="U30" s="205">
        <v>2.0</v>
      </c>
      <c r="V30" s="205">
        <v>3.0</v>
      </c>
      <c r="W30" s="63" t="s">
        <v>1322</v>
      </c>
      <c r="X30" s="210">
        <v>0.0021990740751789417</v>
      </c>
      <c r="Y30" s="63" t="s">
        <v>1116</v>
      </c>
      <c r="Z30" s="63" t="s">
        <v>1323</v>
      </c>
      <c r="AA30" s="205">
        <v>0.0</v>
      </c>
      <c r="AB30" s="63" t="s">
        <v>1324</v>
      </c>
      <c r="AC30" s="205">
        <v>296.0</v>
      </c>
      <c r="AD30" s="208">
        <v>9.56899</v>
      </c>
      <c r="AE30" s="205">
        <v>77256.0</v>
      </c>
      <c r="AF30" s="205">
        <v>17973.0</v>
      </c>
      <c r="AG30" s="205">
        <v>403.0</v>
      </c>
      <c r="AH30" s="205">
        <v>244.0</v>
      </c>
      <c r="AI30" s="205">
        <v>2.0</v>
      </c>
      <c r="AJ30" s="205">
        <v>918.0</v>
      </c>
      <c r="AK30" s="205">
        <v>0.0</v>
      </c>
      <c r="AL30" s="205">
        <v>0.0</v>
      </c>
      <c r="AM30" s="205">
        <v>0.0</v>
      </c>
      <c r="AN30" s="205">
        <v>0.0</v>
      </c>
      <c r="AO30" s="208">
        <v>4.66272</v>
      </c>
      <c r="AP30" s="208">
        <v>5.41795</v>
      </c>
      <c r="AQ30" s="208">
        <v>7.16482</v>
      </c>
      <c r="AR30" s="208">
        <v>3.99482</v>
      </c>
      <c r="AT30" s="192" t="s">
        <v>75</v>
      </c>
      <c r="AU30" s="211" t="s">
        <v>119</v>
      </c>
      <c r="AV30" s="211" t="s">
        <v>1325</v>
      </c>
      <c r="AW30" s="211" t="s">
        <v>1326</v>
      </c>
      <c r="AX30" s="211" t="s">
        <v>75</v>
      </c>
      <c r="AY30" s="212">
        <v>2.25</v>
      </c>
      <c r="AZ30" s="213">
        <v>4.5</v>
      </c>
      <c r="BA30" s="213">
        <v>4.0</v>
      </c>
      <c r="BB30" s="213">
        <v>2.0</v>
      </c>
      <c r="BC30" s="212">
        <v>5.8500000000000005</v>
      </c>
      <c r="BD30" s="213">
        <v>10.0</v>
      </c>
      <c r="BE30" s="213">
        <v>10.0</v>
      </c>
      <c r="BF30" s="213">
        <v>5.6</v>
      </c>
      <c r="BG30" s="212">
        <v>10.333333333333332</v>
      </c>
      <c r="BH30" s="213">
        <v>9.75</v>
      </c>
      <c r="BI30" s="213">
        <v>0.0013348765423870645</v>
      </c>
      <c r="BJ30" s="213">
        <v>0.0014660493834526278</v>
      </c>
      <c r="BK30" s="213">
        <v>255.0</v>
      </c>
      <c r="BL30" s="212">
        <v>7.0</v>
      </c>
      <c r="BM30" s="213">
        <v>5.375</v>
      </c>
      <c r="BN30" s="213">
        <v>0.002669753084774129</v>
      </c>
      <c r="BO30" s="213">
        <v>0.0029320987669052556</v>
      </c>
      <c r="BP30" s="213">
        <v>127.5</v>
      </c>
      <c r="BQ30" s="192"/>
      <c r="BR30" s="192"/>
    </row>
    <row r="31">
      <c r="A31" s="60">
        <v>2514122.0</v>
      </c>
      <c r="B31" s="205">
        <v>2094462.0</v>
      </c>
      <c r="C31" s="205">
        <v>998415.0</v>
      </c>
      <c r="D31" s="205">
        <v>1.0</v>
      </c>
      <c r="E31" s="207">
        <v>43651.790810185186</v>
      </c>
      <c r="F31" s="207">
        <v>43707.97224537037</v>
      </c>
      <c r="G31" s="207">
        <v>43697.45510416667</v>
      </c>
      <c r="H31" s="63" t="s">
        <v>942</v>
      </c>
      <c r="I31" s="205">
        <v>170.0</v>
      </c>
      <c r="J31" s="63" t="s">
        <v>76</v>
      </c>
      <c r="K31" s="205">
        <v>4174940.0</v>
      </c>
      <c r="L31" s="208">
        <v>5.05371</v>
      </c>
      <c r="M31" s="208">
        <v>2.34043</v>
      </c>
      <c r="N31" s="208">
        <v>2.49174</v>
      </c>
      <c r="O31" s="209">
        <v>4.5</v>
      </c>
      <c r="P31" s="209">
        <v>9.0</v>
      </c>
      <c r="Q31" s="209">
        <v>8.0</v>
      </c>
      <c r="R31" s="209">
        <v>4.0</v>
      </c>
      <c r="S31" s="210">
        <v>0.002002314813580597</v>
      </c>
      <c r="T31" s="63" t="s">
        <v>1321</v>
      </c>
      <c r="U31" s="205">
        <v>2.0</v>
      </c>
      <c r="V31" s="205">
        <v>3.0</v>
      </c>
      <c r="W31" s="63" t="s">
        <v>1322</v>
      </c>
      <c r="X31" s="210">
        <v>0.0021990740751789417</v>
      </c>
      <c r="Y31" s="63" t="s">
        <v>1116</v>
      </c>
      <c r="Z31" s="63" t="s">
        <v>1323</v>
      </c>
      <c r="AA31" s="205">
        <v>0.0</v>
      </c>
      <c r="AB31" s="63" t="s">
        <v>1324</v>
      </c>
      <c r="AC31" s="205">
        <v>296.0</v>
      </c>
      <c r="AD31" s="208">
        <v>9.56899</v>
      </c>
      <c r="AE31" s="205">
        <v>77256.0</v>
      </c>
      <c r="AF31" s="205">
        <v>17973.0</v>
      </c>
      <c r="AG31" s="205">
        <v>403.0</v>
      </c>
      <c r="AH31" s="205">
        <v>244.0</v>
      </c>
      <c r="AI31" s="205">
        <v>2.0</v>
      </c>
      <c r="AJ31" s="205">
        <v>918.0</v>
      </c>
      <c r="AK31" s="205">
        <v>0.0</v>
      </c>
      <c r="AL31" s="205">
        <v>0.0</v>
      </c>
      <c r="AM31" s="205">
        <v>0.0</v>
      </c>
      <c r="AN31" s="205">
        <v>0.0</v>
      </c>
      <c r="AO31" s="208">
        <v>4.66272</v>
      </c>
      <c r="AP31" s="208">
        <v>5.41795</v>
      </c>
      <c r="AQ31" s="208">
        <v>7.16482</v>
      </c>
      <c r="AR31" s="208">
        <v>3.99482</v>
      </c>
      <c r="AT31" s="192" t="s">
        <v>75</v>
      </c>
      <c r="AU31" s="211" t="s">
        <v>119</v>
      </c>
      <c r="AV31" s="211" t="s">
        <v>1325</v>
      </c>
      <c r="AW31" s="211" t="s">
        <v>1326</v>
      </c>
      <c r="AX31" s="211" t="s">
        <v>75</v>
      </c>
      <c r="AY31" s="212">
        <v>2.25</v>
      </c>
      <c r="AZ31" s="213">
        <v>4.5</v>
      </c>
      <c r="BA31" s="213">
        <v>4.0</v>
      </c>
      <c r="BB31" s="213">
        <v>2.0</v>
      </c>
      <c r="BC31" s="212">
        <v>5.8500000000000005</v>
      </c>
      <c r="BD31" s="213">
        <v>10.0</v>
      </c>
      <c r="BE31" s="213">
        <v>10.0</v>
      </c>
      <c r="BF31" s="213">
        <v>5.6</v>
      </c>
      <c r="BG31" s="212">
        <v>10.333333333333332</v>
      </c>
      <c r="BH31" s="213">
        <v>9.75</v>
      </c>
      <c r="BI31" s="213">
        <v>0.0013348765423870645</v>
      </c>
      <c r="BJ31" s="213">
        <v>0.0014660493834526278</v>
      </c>
      <c r="BK31" s="213">
        <v>255.0</v>
      </c>
      <c r="BL31" s="212">
        <v>7.0</v>
      </c>
      <c r="BM31" s="213">
        <v>5.375</v>
      </c>
      <c r="BN31" s="213">
        <v>0.002669753084774129</v>
      </c>
      <c r="BO31" s="213">
        <v>0.0029320987669052556</v>
      </c>
      <c r="BP31" s="213">
        <v>127.5</v>
      </c>
      <c r="BQ31" s="192"/>
      <c r="BR31" s="192"/>
    </row>
    <row r="32">
      <c r="A32" s="60">
        <v>1782851.0</v>
      </c>
      <c r="B32" s="205">
        <v>3035501.0</v>
      </c>
      <c r="C32" s="205">
        <v>1478828.0</v>
      </c>
      <c r="D32" s="205">
        <v>1.0</v>
      </c>
      <c r="E32" s="207">
        <v>44347.22681712963</v>
      </c>
      <c r="F32" s="207">
        <v>44383.76603009259</v>
      </c>
      <c r="G32" s="207">
        <v>44376.32527777778</v>
      </c>
      <c r="H32" s="63" t="s">
        <v>940</v>
      </c>
      <c r="I32" s="205">
        <v>135.0</v>
      </c>
      <c r="J32" s="63" t="s">
        <v>69</v>
      </c>
      <c r="K32" s="205">
        <v>7354700.0</v>
      </c>
      <c r="L32" s="208">
        <v>4.88183</v>
      </c>
      <c r="M32" s="208">
        <v>2.4561</v>
      </c>
      <c r="N32" s="208">
        <v>2.20067</v>
      </c>
      <c r="O32" s="209">
        <v>4.0</v>
      </c>
      <c r="P32" s="209">
        <v>9.0</v>
      </c>
      <c r="Q32" s="209">
        <v>8.0</v>
      </c>
      <c r="R32" s="209">
        <v>5.0</v>
      </c>
      <c r="S32" s="210">
        <v>0.002442129629343981</v>
      </c>
      <c r="U32" s="205">
        <v>5.0</v>
      </c>
      <c r="V32" s="205">
        <v>3.0</v>
      </c>
      <c r="W32" s="63" t="s">
        <v>1327</v>
      </c>
      <c r="X32" s="210">
        <v>0.0025810185179580003</v>
      </c>
      <c r="Y32" s="63" t="s">
        <v>1116</v>
      </c>
      <c r="Z32" s="63" t="s">
        <v>1328</v>
      </c>
      <c r="AA32" s="205">
        <v>0.0</v>
      </c>
      <c r="AB32" s="63" t="s">
        <v>1329</v>
      </c>
      <c r="AC32" s="205">
        <v>243.0</v>
      </c>
      <c r="AD32" s="208">
        <v>9.1027</v>
      </c>
      <c r="AE32" s="205">
        <v>48133.0</v>
      </c>
      <c r="AF32" s="205">
        <v>6759.0</v>
      </c>
      <c r="AG32" s="205">
        <v>453.0</v>
      </c>
      <c r="AH32" s="205">
        <v>397.0</v>
      </c>
      <c r="AI32" s="205">
        <v>0.0</v>
      </c>
      <c r="AJ32" s="205">
        <v>1288.0</v>
      </c>
      <c r="AK32" s="205">
        <v>0.0</v>
      </c>
      <c r="AL32" s="205">
        <v>0.0</v>
      </c>
      <c r="AM32" s="205">
        <v>0.0</v>
      </c>
      <c r="AN32" s="205">
        <v>0.0</v>
      </c>
      <c r="AO32" s="208">
        <v>4.49775</v>
      </c>
      <c r="AP32" s="208">
        <v>5.24467</v>
      </c>
      <c r="AQ32" s="208">
        <v>6.78589</v>
      </c>
      <c r="AR32" s="208">
        <v>3.88117</v>
      </c>
      <c r="AT32" s="192" t="s">
        <v>68</v>
      </c>
      <c r="AU32" s="211" t="s">
        <v>120</v>
      </c>
      <c r="AV32" s="211" t="s">
        <v>1330</v>
      </c>
      <c r="AW32" s="211" t="s">
        <v>1331</v>
      </c>
      <c r="AX32" s="211" t="s">
        <v>68</v>
      </c>
      <c r="AY32" s="212">
        <v>2.0</v>
      </c>
      <c r="AZ32" s="213">
        <v>4.5</v>
      </c>
      <c r="BA32" s="213">
        <v>4.0</v>
      </c>
      <c r="BB32" s="213">
        <v>2.5</v>
      </c>
      <c r="BC32" s="212">
        <v>5.2</v>
      </c>
      <c r="BD32" s="213">
        <v>10.0</v>
      </c>
      <c r="BE32" s="213">
        <v>10.0</v>
      </c>
      <c r="BF32" s="213">
        <v>7.0</v>
      </c>
      <c r="BG32" s="212">
        <v>10.333333333333332</v>
      </c>
      <c r="BH32" s="213">
        <v>9.75</v>
      </c>
      <c r="BI32" s="213">
        <v>0.0016280864195626539</v>
      </c>
      <c r="BJ32" s="213">
        <v>0.0017206790119720001</v>
      </c>
      <c r="BK32" s="213">
        <v>202.5</v>
      </c>
      <c r="BL32" s="212">
        <v>7.0</v>
      </c>
      <c r="BM32" s="213">
        <v>5.375</v>
      </c>
      <c r="BN32" s="213">
        <v>0.0032561728391253078</v>
      </c>
      <c r="BO32" s="213">
        <v>0.0034413580239440003</v>
      </c>
      <c r="BP32" s="213">
        <v>101.25</v>
      </c>
      <c r="BQ32" s="192"/>
      <c r="BR32" s="192"/>
    </row>
    <row r="33">
      <c r="A33" s="60">
        <v>1456307.0</v>
      </c>
      <c r="B33" s="205">
        <v>3035501.0</v>
      </c>
      <c r="C33" s="205">
        <v>1478828.0</v>
      </c>
      <c r="D33" s="205">
        <v>1.0</v>
      </c>
      <c r="E33" s="207">
        <v>44347.22681712963</v>
      </c>
      <c r="F33" s="207">
        <v>44383.76603009259</v>
      </c>
      <c r="G33" s="207">
        <v>44376.32527777778</v>
      </c>
      <c r="H33" s="63" t="s">
        <v>940</v>
      </c>
      <c r="I33" s="205">
        <v>135.0</v>
      </c>
      <c r="J33" s="63" t="s">
        <v>69</v>
      </c>
      <c r="K33" s="205">
        <v>7354700.0</v>
      </c>
      <c r="L33" s="208">
        <v>4.88183</v>
      </c>
      <c r="M33" s="208">
        <v>2.4561</v>
      </c>
      <c r="N33" s="208">
        <v>2.20067</v>
      </c>
      <c r="O33" s="209">
        <v>4.0</v>
      </c>
      <c r="P33" s="209">
        <v>9.0</v>
      </c>
      <c r="Q33" s="209">
        <v>8.0</v>
      </c>
      <c r="R33" s="209">
        <v>5.0</v>
      </c>
      <c r="S33" s="210">
        <v>0.002442129629343981</v>
      </c>
      <c r="U33" s="205">
        <v>5.0</v>
      </c>
      <c r="V33" s="205">
        <v>3.0</v>
      </c>
      <c r="W33" s="63" t="s">
        <v>1327</v>
      </c>
      <c r="X33" s="210">
        <v>0.0025810185179580003</v>
      </c>
      <c r="Y33" s="63" t="s">
        <v>1116</v>
      </c>
      <c r="Z33" s="63" t="s">
        <v>1328</v>
      </c>
      <c r="AA33" s="205">
        <v>0.0</v>
      </c>
      <c r="AB33" s="63" t="s">
        <v>1329</v>
      </c>
      <c r="AC33" s="205">
        <v>243.0</v>
      </c>
      <c r="AD33" s="208">
        <v>9.1027</v>
      </c>
      <c r="AE33" s="205">
        <v>48133.0</v>
      </c>
      <c r="AF33" s="205">
        <v>6759.0</v>
      </c>
      <c r="AG33" s="205">
        <v>453.0</v>
      </c>
      <c r="AH33" s="205">
        <v>397.0</v>
      </c>
      <c r="AI33" s="205">
        <v>0.0</v>
      </c>
      <c r="AJ33" s="205">
        <v>1288.0</v>
      </c>
      <c r="AK33" s="205">
        <v>0.0</v>
      </c>
      <c r="AL33" s="205">
        <v>0.0</v>
      </c>
      <c r="AM33" s="205">
        <v>0.0</v>
      </c>
      <c r="AN33" s="205">
        <v>0.0</v>
      </c>
      <c r="AO33" s="208">
        <v>4.49775</v>
      </c>
      <c r="AP33" s="208">
        <v>5.24467</v>
      </c>
      <c r="AQ33" s="208">
        <v>6.78589</v>
      </c>
      <c r="AR33" s="208">
        <v>3.88117</v>
      </c>
      <c r="AT33" s="192" t="s">
        <v>68</v>
      </c>
      <c r="AU33" s="211" t="s">
        <v>120</v>
      </c>
      <c r="AV33" s="211" t="s">
        <v>1330</v>
      </c>
      <c r="AW33" s="211" t="s">
        <v>1331</v>
      </c>
      <c r="AX33" s="211" t="s">
        <v>68</v>
      </c>
      <c r="AY33" s="212">
        <v>2.0</v>
      </c>
      <c r="AZ33" s="213">
        <v>4.5</v>
      </c>
      <c r="BA33" s="213">
        <v>4.0</v>
      </c>
      <c r="BB33" s="213">
        <v>2.5</v>
      </c>
      <c r="BC33" s="212">
        <v>5.2</v>
      </c>
      <c r="BD33" s="213">
        <v>10.0</v>
      </c>
      <c r="BE33" s="213">
        <v>10.0</v>
      </c>
      <c r="BF33" s="213">
        <v>7.0</v>
      </c>
      <c r="BG33" s="212">
        <v>10.333333333333332</v>
      </c>
      <c r="BH33" s="213">
        <v>9.75</v>
      </c>
      <c r="BI33" s="213">
        <v>0.0016280864195626539</v>
      </c>
      <c r="BJ33" s="213">
        <v>0.0017206790119720001</v>
      </c>
      <c r="BK33" s="213">
        <v>202.5</v>
      </c>
      <c r="BL33" s="212">
        <v>7.0</v>
      </c>
      <c r="BM33" s="213">
        <v>5.375</v>
      </c>
      <c r="BN33" s="213">
        <v>0.0032561728391253078</v>
      </c>
      <c r="BO33" s="213">
        <v>0.0034413580239440003</v>
      </c>
      <c r="BP33" s="213">
        <v>101.25</v>
      </c>
      <c r="BQ33" s="192"/>
      <c r="BR33" s="192"/>
    </row>
    <row r="34">
      <c r="A34" s="60">
        <v>3411549.0</v>
      </c>
      <c r="B34" s="205">
        <v>3035501.0</v>
      </c>
      <c r="C34" s="205">
        <v>1478828.0</v>
      </c>
      <c r="D34" s="205">
        <v>1.0</v>
      </c>
      <c r="E34" s="207">
        <v>44347.22681712963</v>
      </c>
      <c r="F34" s="207">
        <v>44383.76603009259</v>
      </c>
      <c r="G34" s="207">
        <v>44376.32527777778</v>
      </c>
      <c r="H34" s="63" t="s">
        <v>940</v>
      </c>
      <c r="I34" s="205">
        <v>135.0</v>
      </c>
      <c r="J34" s="63" t="s">
        <v>69</v>
      </c>
      <c r="K34" s="205">
        <v>7354700.0</v>
      </c>
      <c r="L34" s="208">
        <v>4.88183</v>
      </c>
      <c r="M34" s="208">
        <v>2.4561</v>
      </c>
      <c r="N34" s="208">
        <v>2.20067</v>
      </c>
      <c r="O34" s="209">
        <v>4.0</v>
      </c>
      <c r="P34" s="209">
        <v>9.0</v>
      </c>
      <c r="Q34" s="209">
        <v>8.0</v>
      </c>
      <c r="R34" s="209">
        <v>5.0</v>
      </c>
      <c r="S34" s="210">
        <v>0.002442129629343981</v>
      </c>
      <c r="U34" s="205">
        <v>5.0</v>
      </c>
      <c r="V34" s="205">
        <v>3.0</v>
      </c>
      <c r="W34" s="63" t="s">
        <v>1327</v>
      </c>
      <c r="X34" s="210">
        <v>0.0025810185179580003</v>
      </c>
      <c r="Y34" s="63" t="s">
        <v>1116</v>
      </c>
      <c r="Z34" s="63" t="s">
        <v>1328</v>
      </c>
      <c r="AA34" s="205">
        <v>0.0</v>
      </c>
      <c r="AB34" s="63" t="s">
        <v>1329</v>
      </c>
      <c r="AC34" s="205">
        <v>243.0</v>
      </c>
      <c r="AD34" s="208">
        <v>9.1027</v>
      </c>
      <c r="AE34" s="205">
        <v>48133.0</v>
      </c>
      <c r="AF34" s="205">
        <v>6759.0</v>
      </c>
      <c r="AG34" s="205">
        <v>453.0</v>
      </c>
      <c r="AH34" s="205">
        <v>397.0</v>
      </c>
      <c r="AI34" s="205">
        <v>0.0</v>
      </c>
      <c r="AJ34" s="205">
        <v>1288.0</v>
      </c>
      <c r="AK34" s="205">
        <v>0.0</v>
      </c>
      <c r="AL34" s="205">
        <v>0.0</v>
      </c>
      <c r="AM34" s="205">
        <v>0.0</v>
      </c>
      <c r="AN34" s="205">
        <v>0.0</v>
      </c>
      <c r="AO34" s="208">
        <v>4.49775</v>
      </c>
      <c r="AP34" s="208">
        <v>5.24467</v>
      </c>
      <c r="AQ34" s="208">
        <v>6.78589</v>
      </c>
      <c r="AR34" s="208">
        <v>3.88117</v>
      </c>
      <c r="AT34" s="192" t="s">
        <v>68</v>
      </c>
      <c r="AU34" s="211" t="s">
        <v>120</v>
      </c>
      <c r="AV34" s="211" t="s">
        <v>1330</v>
      </c>
      <c r="AW34" s="211" t="s">
        <v>1331</v>
      </c>
      <c r="AX34" s="211" t="s">
        <v>68</v>
      </c>
      <c r="AY34" s="212">
        <v>2.0</v>
      </c>
      <c r="AZ34" s="213">
        <v>4.5</v>
      </c>
      <c r="BA34" s="213">
        <v>4.0</v>
      </c>
      <c r="BB34" s="213">
        <v>2.5</v>
      </c>
      <c r="BC34" s="212">
        <v>5.2</v>
      </c>
      <c r="BD34" s="213">
        <v>10.0</v>
      </c>
      <c r="BE34" s="213">
        <v>10.0</v>
      </c>
      <c r="BF34" s="213">
        <v>7.0</v>
      </c>
      <c r="BG34" s="212">
        <v>10.333333333333332</v>
      </c>
      <c r="BH34" s="213">
        <v>9.75</v>
      </c>
      <c r="BI34" s="213">
        <v>0.0016280864195626539</v>
      </c>
      <c r="BJ34" s="213">
        <v>0.0017206790119720001</v>
      </c>
      <c r="BK34" s="213">
        <v>202.5</v>
      </c>
      <c r="BL34" s="212">
        <v>7.0</v>
      </c>
      <c r="BM34" s="213">
        <v>5.375</v>
      </c>
      <c r="BN34" s="213">
        <v>0.0032561728391253078</v>
      </c>
      <c r="BO34" s="213">
        <v>0.0034413580239440003</v>
      </c>
      <c r="BP34" s="213">
        <v>101.25</v>
      </c>
      <c r="BQ34" s="192"/>
      <c r="BR34" s="192"/>
    </row>
    <row r="35">
      <c r="A35" s="60">
        <v>2340750.0</v>
      </c>
      <c r="B35" s="205">
        <v>3992297.0</v>
      </c>
      <c r="C35" s="205">
        <v>1919942.0</v>
      </c>
      <c r="D35" s="205">
        <v>1.0</v>
      </c>
      <c r="E35" s="207">
        <v>44936.28667824074</v>
      </c>
      <c r="F35" s="207">
        <v>45123.75409722222</v>
      </c>
      <c r="G35" s="207">
        <v>45112.967824074076</v>
      </c>
      <c r="H35" s="63" t="s">
        <v>985</v>
      </c>
      <c r="I35" s="205">
        <v>190.0</v>
      </c>
      <c r="J35" s="63" t="s">
        <v>1332</v>
      </c>
      <c r="K35" s="205">
        <v>7326908.0</v>
      </c>
      <c r="L35" s="208">
        <v>5.38918</v>
      </c>
      <c r="M35" s="208">
        <v>2.72676</v>
      </c>
      <c r="N35" s="208">
        <v>2.40914</v>
      </c>
      <c r="O35" s="209">
        <v>4.0</v>
      </c>
      <c r="P35" s="209">
        <v>9.2</v>
      </c>
      <c r="Q35" s="209">
        <v>8.4</v>
      </c>
      <c r="R35" s="209">
        <v>5.0</v>
      </c>
      <c r="S35" s="210">
        <v>0.0022337962946039625</v>
      </c>
      <c r="T35" s="63" t="s">
        <v>1333</v>
      </c>
      <c r="U35" s="205">
        <v>4.0</v>
      </c>
      <c r="V35" s="205">
        <v>3.0</v>
      </c>
      <c r="W35" s="63" t="s">
        <v>1334</v>
      </c>
      <c r="X35" s="210">
        <v>0.002291666667588288</v>
      </c>
      <c r="Y35" s="63" t="s">
        <v>1335</v>
      </c>
      <c r="Z35" s="63" t="s">
        <v>1336</v>
      </c>
      <c r="AA35" s="205">
        <v>0.0</v>
      </c>
      <c r="AB35" s="63" t="s">
        <v>1337</v>
      </c>
      <c r="AC35" s="205">
        <v>114.0</v>
      </c>
      <c r="AD35" s="208">
        <v>8.93878</v>
      </c>
      <c r="AE35" s="205">
        <v>663.0</v>
      </c>
      <c r="AF35" s="205">
        <v>123.0</v>
      </c>
      <c r="AG35" s="205">
        <v>560.0</v>
      </c>
      <c r="AH35" s="205">
        <v>346.0</v>
      </c>
      <c r="AI35" s="205">
        <v>0.0</v>
      </c>
      <c r="AJ35" s="205">
        <v>1258.0</v>
      </c>
      <c r="AK35" s="205">
        <v>0.0</v>
      </c>
      <c r="AL35" s="205">
        <v>0.0</v>
      </c>
      <c r="AM35" s="205">
        <v>0.0</v>
      </c>
      <c r="AN35" s="205">
        <v>0.0</v>
      </c>
      <c r="AO35" s="208">
        <v>4.95807</v>
      </c>
      <c r="AP35" s="208">
        <v>5.69958</v>
      </c>
      <c r="AQ35" s="208">
        <v>7.73078</v>
      </c>
      <c r="AR35" s="208">
        <v>4.27883</v>
      </c>
      <c r="AT35" s="192" t="s">
        <v>1338</v>
      </c>
      <c r="AU35" s="211" t="s">
        <v>1339</v>
      </c>
      <c r="AV35" s="211" t="s">
        <v>1340</v>
      </c>
      <c r="AW35" s="211" t="s">
        <v>1341</v>
      </c>
      <c r="AX35" s="211" t="s">
        <v>1338</v>
      </c>
      <c r="AY35" s="212">
        <v>2.0</v>
      </c>
      <c r="AZ35" s="213">
        <v>4.6</v>
      </c>
      <c r="BA35" s="213">
        <v>4.2</v>
      </c>
      <c r="BB35" s="213">
        <v>2.5</v>
      </c>
      <c r="BC35" s="212">
        <v>5.2</v>
      </c>
      <c r="BD35" s="213">
        <v>10.0</v>
      </c>
      <c r="BE35" s="213">
        <v>10.0</v>
      </c>
      <c r="BF35" s="213">
        <v>7.0</v>
      </c>
      <c r="BG35" s="212">
        <v>10.466666666666667</v>
      </c>
      <c r="BH35" s="213">
        <v>10.016666666666667</v>
      </c>
      <c r="BI35" s="213">
        <v>0.001489197529735975</v>
      </c>
      <c r="BJ35" s="213">
        <v>0.001527777778392192</v>
      </c>
      <c r="BK35" s="213">
        <v>285.0</v>
      </c>
      <c r="BL35" s="212">
        <v>7.299999999999999</v>
      </c>
      <c r="BM35" s="213">
        <v>5.975000000000001</v>
      </c>
      <c r="BN35" s="213">
        <v>0.00297839505947195</v>
      </c>
      <c r="BO35" s="213">
        <v>0.003055555556784384</v>
      </c>
      <c r="BP35" s="213">
        <v>142.5</v>
      </c>
      <c r="BQ35" s="192"/>
      <c r="BR35" s="192"/>
    </row>
    <row r="36">
      <c r="A36" s="60">
        <v>2827293.0</v>
      </c>
      <c r="B36" s="205">
        <v>3795759.0</v>
      </c>
      <c r="C36" s="205">
        <v>1793226.0</v>
      </c>
      <c r="D36" s="205">
        <v>1.0</v>
      </c>
      <c r="E36" s="207">
        <v>44737.556597222225</v>
      </c>
      <c r="F36" s="207">
        <v>44917.97795138889</v>
      </c>
      <c r="G36" s="207">
        <v>44909.67831018519</v>
      </c>
      <c r="H36" s="63" t="s">
        <v>1342</v>
      </c>
      <c r="I36" s="205">
        <v>195.0</v>
      </c>
      <c r="J36" s="63" t="s">
        <v>1343</v>
      </c>
      <c r="K36" s="205">
        <v>4879380.0</v>
      </c>
      <c r="L36" s="208">
        <v>5.68139</v>
      </c>
      <c r="M36" s="208">
        <v>2.67748</v>
      </c>
      <c r="N36" s="208">
        <v>2.75965</v>
      </c>
      <c r="O36" s="209">
        <v>5.0</v>
      </c>
      <c r="P36" s="209">
        <v>9.0</v>
      </c>
      <c r="Q36" s="209">
        <v>8.0</v>
      </c>
      <c r="R36" s="209">
        <v>5.0</v>
      </c>
      <c r="S36" s="210">
        <v>0.001354166666715173</v>
      </c>
      <c r="T36" s="63" t="s">
        <v>1344</v>
      </c>
      <c r="U36" s="205">
        <v>10.0</v>
      </c>
      <c r="V36" s="205">
        <v>5.0</v>
      </c>
      <c r="W36" s="63" t="s">
        <v>1345</v>
      </c>
      <c r="X36" s="210">
        <v>0.0014583333322661929</v>
      </c>
      <c r="Y36" s="63" t="s">
        <v>1346</v>
      </c>
      <c r="Z36" s="63" t="s">
        <v>1347</v>
      </c>
      <c r="AA36" s="205">
        <v>0.0</v>
      </c>
      <c r="AB36" s="63" t="s">
        <v>1348</v>
      </c>
      <c r="AC36" s="205">
        <v>68.0</v>
      </c>
      <c r="AD36" s="208">
        <v>9.36601</v>
      </c>
      <c r="AE36" s="205">
        <v>8956.0</v>
      </c>
      <c r="AF36" s="205">
        <v>624.0</v>
      </c>
      <c r="AG36" s="205">
        <v>389.0</v>
      </c>
      <c r="AH36" s="205">
        <v>189.0</v>
      </c>
      <c r="AI36" s="205">
        <v>0.0</v>
      </c>
      <c r="AJ36" s="205">
        <v>810.0</v>
      </c>
      <c r="AK36" s="205">
        <v>0.0</v>
      </c>
      <c r="AL36" s="205">
        <v>0.0</v>
      </c>
      <c r="AM36" s="205">
        <v>0.0</v>
      </c>
      <c r="AN36" s="205">
        <v>0.0</v>
      </c>
      <c r="AO36" s="208">
        <v>5.16241</v>
      </c>
      <c r="AP36" s="208">
        <v>6.28429</v>
      </c>
      <c r="AQ36" s="208">
        <v>8.32224</v>
      </c>
      <c r="AR36" s="208">
        <v>4.5181</v>
      </c>
      <c r="AT36" s="192" t="s">
        <v>756</v>
      </c>
      <c r="AU36" s="211" t="s">
        <v>754</v>
      </c>
      <c r="AV36" s="211" t="s">
        <v>1349</v>
      </c>
      <c r="AW36" s="211" t="s">
        <v>1350</v>
      </c>
      <c r="AX36" s="211" t="s">
        <v>756</v>
      </c>
      <c r="AY36" s="212">
        <v>2.5</v>
      </c>
      <c r="AZ36" s="213">
        <v>4.5</v>
      </c>
      <c r="BA36" s="213">
        <v>4.0</v>
      </c>
      <c r="BB36" s="213">
        <v>2.5</v>
      </c>
      <c r="BC36" s="212">
        <v>6.5</v>
      </c>
      <c r="BD36" s="213">
        <v>10.0</v>
      </c>
      <c r="BE36" s="213">
        <v>10.0</v>
      </c>
      <c r="BF36" s="213">
        <v>7.0</v>
      </c>
      <c r="BG36" s="212">
        <v>10.333333333333332</v>
      </c>
      <c r="BH36" s="213">
        <v>9.75</v>
      </c>
      <c r="BI36" s="213">
        <v>9.027777778101154E-4</v>
      </c>
      <c r="BJ36" s="213">
        <v>9.722222215107953E-4</v>
      </c>
      <c r="BK36" s="213">
        <v>292.5</v>
      </c>
      <c r="BL36" s="212">
        <v>7.0</v>
      </c>
      <c r="BM36" s="213">
        <v>5.375</v>
      </c>
      <c r="BN36" s="213">
        <v>0.0018055555556202307</v>
      </c>
      <c r="BO36" s="213">
        <v>0.0019444444430215906</v>
      </c>
      <c r="BP36" s="213">
        <v>146.25</v>
      </c>
      <c r="BQ36" s="192"/>
      <c r="BR36" s="192"/>
    </row>
    <row r="37">
      <c r="A37" s="60">
        <v>3118794.0</v>
      </c>
      <c r="B37" s="205">
        <v>2016938.0</v>
      </c>
      <c r="C37" s="205">
        <v>932654.0</v>
      </c>
      <c r="D37" s="205">
        <v>1.0</v>
      </c>
      <c r="E37" s="207">
        <v>43524.08570601852</v>
      </c>
      <c r="F37" s="207">
        <v>43695.54170138889</v>
      </c>
      <c r="G37" s="207">
        <v>43687.61561342592</v>
      </c>
      <c r="H37" s="63" t="s">
        <v>952</v>
      </c>
      <c r="I37" s="205">
        <v>127.0</v>
      </c>
      <c r="J37" s="63" t="s">
        <v>144</v>
      </c>
      <c r="K37" s="205">
        <v>53378.0</v>
      </c>
      <c r="L37" s="208">
        <v>3.28505</v>
      </c>
      <c r="M37" s="208">
        <v>1.37402</v>
      </c>
      <c r="N37" s="208">
        <v>1.72427</v>
      </c>
      <c r="O37" s="209">
        <v>4.0</v>
      </c>
      <c r="P37" s="209">
        <v>8.0</v>
      </c>
      <c r="Q37" s="209">
        <v>6.0</v>
      </c>
      <c r="R37" s="209">
        <v>4.0</v>
      </c>
      <c r="S37" s="210">
        <v>0.0015393518515338656</v>
      </c>
      <c r="T37" s="63" t="s">
        <v>1351</v>
      </c>
      <c r="U37" s="205">
        <v>2.0</v>
      </c>
      <c r="V37" s="205">
        <v>3.0</v>
      </c>
      <c r="W37" s="63" t="s">
        <v>1352</v>
      </c>
      <c r="X37" s="210">
        <v>0.0015393518515338656</v>
      </c>
      <c r="Y37" s="63" t="s">
        <v>1353</v>
      </c>
      <c r="Z37" s="63" t="s">
        <v>1354</v>
      </c>
      <c r="AA37" s="205">
        <v>0.0</v>
      </c>
      <c r="AB37" s="63" t="s">
        <v>1355</v>
      </c>
      <c r="AC37" s="205">
        <v>540.0</v>
      </c>
      <c r="AD37" s="208">
        <v>8.82759</v>
      </c>
      <c r="AE37" s="205">
        <v>87435.0</v>
      </c>
      <c r="AF37" s="205">
        <v>35676.0</v>
      </c>
      <c r="AG37" s="205">
        <v>234.0</v>
      </c>
      <c r="AH37" s="205">
        <v>187.0</v>
      </c>
      <c r="AI37" s="205">
        <v>4.0</v>
      </c>
      <c r="AJ37" s="205">
        <v>737.0</v>
      </c>
      <c r="AK37" s="205">
        <v>0.0</v>
      </c>
      <c r="AL37" s="205">
        <v>0.0</v>
      </c>
      <c r="AM37" s="205">
        <v>0.0</v>
      </c>
      <c r="AN37" s="205">
        <v>0.0</v>
      </c>
      <c r="AO37" s="208">
        <v>3.10957</v>
      </c>
      <c r="AP37" s="208">
        <v>3.40284</v>
      </c>
      <c r="AQ37" s="208">
        <v>4.55102</v>
      </c>
      <c r="AR37" s="208">
        <v>2.63285</v>
      </c>
      <c r="AT37" s="192" t="s">
        <v>135</v>
      </c>
      <c r="AU37" s="211" t="s">
        <v>134</v>
      </c>
      <c r="AV37" s="211" t="s">
        <v>1356</v>
      </c>
      <c r="AW37" s="211" t="s">
        <v>1357</v>
      </c>
      <c r="AX37" s="211" t="s">
        <v>135</v>
      </c>
      <c r="AY37" s="212">
        <v>2.0</v>
      </c>
      <c r="AZ37" s="213">
        <v>4.0</v>
      </c>
      <c r="BA37" s="213">
        <v>3.0</v>
      </c>
      <c r="BB37" s="213">
        <v>2.0</v>
      </c>
      <c r="BC37" s="212">
        <v>5.2</v>
      </c>
      <c r="BD37" s="213">
        <v>10.0</v>
      </c>
      <c r="BE37" s="213">
        <v>8.399999999999999</v>
      </c>
      <c r="BF37" s="213">
        <v>5.6</v>
      </c>
      <c r="BG37" s="212">
        <v>9.666666666666668</v>
      </c>
      <c r="BH37" s="213">
        <v>8.416666666666666</v>
      </c>
      <c r="BI37" s="213">
        <v>0.0010262345676892437</v>
      </c>
      <c r="BJ37" s="213">
        <v>0.0010262345676892437</v>
      </c>
      <c r="BK37" s="213">
        <v>190.5</v>
      </c>
      <c r="BL37" s="212">
        <v>5.5</v>
      </c>
      <c r="BM37" s="213">
        <v>2.375</v>
      </c>
      <c r="BN37" s="213">
        <v>0.0020524691353784874</v>
      </c>
      <c r="BO37" s="213">
        <v>0.0020524691353784874</v>
      </c>
      <c r="BP37" s="213">
        <v>95.25</v>
      </c>
      <c r="BQ37" s="192"/>
      <c r="BR37" s="192"/>
    </row>
    <row r="38">
      <c r="A38" s="60">
        <v>3399446.0</v>
      </c>
      <c r="B38" s="205">
        <v>2016938.0</v>
      </c>
      <c r="C38" s="205">
        <v>932654.0</v>
      </c>
      <c r="D38" s="205">
        <v>1.0</v>
      </c>
      <c r="E38" s="207">
        <v>43524.08570601852</v>
      </c>
      <c r="F38" s="207">
        <v>43695.54170138889</v>
      </c>
      <c r="G38" s="207">
        <v>43687.61561342592</v>
      </c>
      <c r="H38" s="63" t="s">
        <v>952</v>
      </c>
      <c r="I38" s="205">
        <v>127.0</v>
      </c>
      <c r="J38" s="63" t="s">
        <v>144</v>
      </c>
      <c r="K38" s="205">
        <v>53378.0</v>
      </c>
      <c r="L38" s="208">
        <v>3.28505</v>
      </c>
      <c r="M38" s="208">
        <v>1.37402</v>
      </c>
      <c r="N38" s="208">
        <v>1.72427</v>
      </c>
      <c r="O38" s="209">
        <v>4.0</v>
      </c>
      <c r="P38" s="209">
        <v>8.0</v>
      </c>
      <c r="Q38" s="209">
        <v>6.0</v>
      </c>
      <c r="R38" s="209">
        <v>4.0</v>
      </c>
      <c r="S38" s="210">
        <v>0.0015393518515338656</v>
      </c>
      <c r="T38" s="63" t="s">
        <v>1351</v>
      </c>
      <c r="U38" s="205">
        <v>2.0</v>
      </c>
      <c r="V38" s="205">
        <v>3.0</v>
      </c>
      <c r="W38" s="63" t="s">
        <v>1352</v>
      </c>
      <c r="X38" s="210">
        <v>0.0015393518515338656</v>
      </c>
      <c r="Y38" s="63" t="s">
        <v>1353</v>
      </c>
      <c r="Z38" s="63" t="s">
        <v>1354</v>
      </c>
      <c r="AA38" s="205">
        <v>0.0</v>
      </c>
      <c r="AB38" s="63" t="s">
        <v>1355</v>
      </c>
      <c r="AC38" s="205">
        <v>540.0</v>
      </c>
      <c r="AD38" s="208">
        <v>8.82759</v>
      </c>
      <c r="AE38" s="205">
        <v>87435.0</v>
      </c>
      <c r="AF38" s="205">
        <v>35676.0</v>
      </c>
      <c r="AG38" s="205">
        <v>234.0</v>
      </c>
      <c r="AH38" s="205">
        <v>187.0</v>
      </c>
      <c r="AI38" s="205">
        <v>4.0</v>
      </c>
      <c r="AJ38" s="205">
        <v>737.0</v>
      </c>
      <c r="AK38" s="205">
        <v>0.0</v>
      </c>
      <c r="AL38" s="205">
        <v>0.0</v>
      </c>
      <c r="AM38" s="205">
        <v>0.0</v>
      </c>
      <c r="AN38" s="205">
        <v>0.0</v>
      </c>
      <c r="AO38" s="208">
        <v>3.10957</v>
      </c>
      <c r="AP38" s="208">
        <v>3.40284</v>
      </c>
      <c r="AQ38" s="208">
        <v>4.55102</v>
      </c>
      <c r="AR38" s="208">
        <v>2.63285</v>
      </c>
      <c r="AT38" s="192" t="s">
        <v>135</v>
      </c>
      <c r="AU38" s="211" t="s">
        <v>134</v>
      </c>
      <c r="AV38" s="211" t="s">
        <v>1356</v>
      </c>
      <c r="AW38" s="211" t="s">
        <v>1357</v>
      </c>
      <c r="AX38" s="211" t="s">
        <v>135</v>
      </c>
      <c r="AY38" s="212">
        <v>2.0</v>
      </c>
      <c r="AZ38" s="213">
        <v>4.0</v>
      </c>
      <c r="BA38" s="213">
        <v>3.0</v>
      </c>
      <c r="BB38" s="213">
        <v>2.0</v>
      </c>
      <c r="BC38" s="212">
        <v>5.2</v>
      </c>
      <c r="BD38" s="213">
        <v>10.0</v>
      </c>
      <c r="BE38" s="213">
        <v>8.399999999999999</v>
      </c>
      <c r="BF38" s="213">
        <v>5.6</v>
      </c>
      <c r="BG38" s="212">
        <v>9.666666666666668</v>
      </c>
      <c r="BH38" s="213">
        <v>8.416666666666666</v>
      </c>
      <c r="BI38" s="213">
        <v>0.0010262345676892437</v>
      </c>
      <c r="BJ38" s="213">
        <v>0.0010262345676892437</v>
      </c>
      <c r="BK38" s="213">
        <v>190.5</v>
      </c>
      <c r="BL38" s="212">
        <v>5.5</v>
      </c>
      <c r="BM38" s="213">
        <v>2.375</v>
      </c>
      <c r="BN38" s="213">
        <v>0.0020524691353784874</v>
      </c>
      <c r="BO38" s="213">
        <v>0.0020524691353784874</v>
      </c>
      <c r="BP38" s="213">
        <v>95.25</v>
      </c>
      <c r="BQ38" s="192"/>
      <c r="BR38" s="192"/>
    </row>
    <row r="39">
      <c r="A39" s="60">
        <v>1896582.0</v>
      </c>
      <c r="B39" s="205">
        <v>3298592.0</v>
      </c>
      <c r="C39" s="205">
        <v>1615650.0</v>
      </c>
      <c r="D39" s="205">
        <v>1.0</v>
      </c>
      <c r="E39" s="207">
        <v>44500.5003587963</v>
      </c>
      <c r="F39" s="207">
        <v>44516.75263888889</v>
      </c>
      <c r="G39" s="207">
        <v>44509.00466435185</v>
      </c>
      <c r="H39" s="63" t="s">
        <v>1358</v>
      </c>
      <c r="I39" s="205">
        <v>179.0</v>
      </c>
      <c r="J39" s="63" t="s">
        <v>1359</v>
      </c>
      <c r="K39" s="205">
        <v>3181083.0</v>
      </c>
      <c r="L39" s="208">
        <v>4.5917</v>
      </c>
      <c r="M39" s="208">
        <v>2.11545</v>
      </c>
      <c r="N39" s="208">
        <v>2.27334</v>
      </c>
      <c r="O39" s="209">
        <v>4.0</v>
      </c>
      <c r="P39" s="209">
        <v>8.0</v>
      </c>
      <c r="Q39" s="209">
        <v>8.0</v>
      </c>
      <c r="R39" s="209">
        <v>5.0</v>
      </c>
      <c r="S39" s="210">
        <v>0.0010532407395658083</v>
      </c>
      <c r="T39" s="63" t="s">
        <v>1360</v>
      </c>
      <c r="U39" s="205">
        <v>10.0</v>
      </c>
      <c r="V39" s="205">
        <v>5.0</v>
      </c>
      <c r="W39" s="63" t="s">
        <v>1361</v>
      </c>
      <c r="X39" s="210">
        <v>0.0012615740743058268</v>
      </c>
      <c r="Y39" s="63" t="s">
        <v>1362</v>
      </c>
      <c r="Z39" s="63" t="s">
        <v>1363</v>
      </c>
      <c r="AA39" s="205">
        <v>0.0</v>
      </c>
      <c r="AB39" s="63" t="s">
        <v>1364</v>
      </c>
      <c r="AC39" s="205">
        <v>99.0</v>
      </c>
      <c r="AD39" s="208">
        <v>9.07362</v>
      </c>
      <c r="AE39" s="205">
        <v>19297.0</v>
      </c>
      <c r="AF39" s="205">
        <v>3334.0</v>
      </c>
      <c r="AG39" s="205">
        <v>255.0</v>
      </c>
      <c r="AH39" s="205">
        <v>98.0</v>
      </c>
      <c r="AI39" s="205">
        <v>6.0</v>
      </c>
      <c r="AJ39" s="205">
        <v>476.0</v>
      </c>
      <c r="AK39" s="205">
        <v>0.0</v>
      </c>
      <c r="AL39" s="205">
        <v>0.0</v>
      </c>
      <c r="AM39" s="205">
        <v>0.0</v>
      </c>
      <c r="AN39" s="205">
        <v>0.0</v>
      </c>
      <c r="AO39" s="208">
        <v>4.25944</v>
      </c>
      <c r="AP39" s="208">
        <v>4.79448</v>
      </c>
      <c r="AQ39" s="208">
        <v>6.58294</v>
      </c>
      <c r="AR39" s="208">
        <v>3.65228</v>
      </c>
      <c r="AT39" s="192" t="s">
        <v>1365</v>
      </c>
      <c r="AU39" s="211" t="s">
        <v>341</v>
      </c>
      <c r="AV39" s="211" t="s">
        <v>1366</v>
      </c>
      <c r="AW39" s="211" t="s">
        <v>1367</v>
      </c>
      <c r="AX39" s="211" t="s">
        <v>1365</v>
      </c>
      <c r="AY39" s="212">
        <v>2.0</v>
      </c>
      <c r="AZ39" s="213">
        <v>4.0</v>
      </c>
      <c r="BA39" s="213">
        <v>4.0</v>
      </c>
      <c r="BB39" s="213">
        <v>2.5</v>
      </c>
      <c r="BC39" s="212">
        <v>5.2</v>
      </c>
      <c r="BD39" s="213">
        <v>10.0</v>
      </c>
      <c r="BE39" s="213">
        <v>10.0</v>
      </c>
      <c r="BF39" s="213">
        <v>7.0</v>
      </c>
      <c r="BG39" s="212">
        <v>9.666666666666668</v>
      </c>
      <c r="BH39" s="213">
        <v>9.75</v>
      </c>
      <c r="BI39" s="213">
        <v>7.021604930438722E-4</v>
      </c>
      <c r="BJ39" s="213">
        <v>8.410493828705512E-4</v>
      </c>
      <c r="BK39" s="213">
        <v>268.5</v>
      </c>
      <c r="BL39" s="212">
        <v>5.5</v>
      </c>
      <c r="BM39" s="213">
        <v>5.375</v>
      </c>
      <c r="BN39" s="213">
        <v>0.0014043209860877444</v>
      </c>
      <c r="BO39" s="213">
        <v>0.0016820987657411024</v>
      </c>
      <c r="BP39" s="213">
        <v>134.25</v>
      </c>
      <c r="BQ39" s="192"/>
      <c r="BR39" s="192"/>
    </row>
    <row r="40">
      <c r="A40" s="60">
        <v>4134134.0</v>
      </c>
      <c r="B40" s="205">
        <v>3298592.0</v>
      </c>
      <c r="C40" s="205">
        <v>1615650.0</v>
      </c>
      <c r="D40" s="205">
        <v>1.0</v>
      </c>
      <c r="E40" s="207">
        <v>44500.5003587963</v>
      </c>
      <c r="F40" s="207">
        <v>44516.75263888889</v>
      </c>
      <c r="G40" s="207">
        <v>44509.00466435185</v>
      </c>
      <c r="H40" s="63" t="s">
        <v>1358</v>
      </c>
      <c r="I40" s="205">
        <v>179.0</v>
      </c>
      <c r="J40" s="63" t="s">
        <v>1359</v>
      </c>
      <c r="K40" s="205">
        <v>3181083.0</v>
      </c>
      <c r="L40" s="208">
        <v>4.5917</v>
      </c>
      <c r="M40" s="208">
        <v>2.11545</v>
      </c>
      <c r="N40" s="208">
        <v>2.27334</v>
      </c>
      <c r="O40" s="209">
        <v>4.0</v>
      </c>
      <c r="P40" s="209">
        <v>8.0</v>
      </c>
      <c r="Q40" s="209">
        <v>8.0</v>
      </c>
      <c r="R40" s="209">
        <v>5.0</v>
      </c>
      <c r="S40" s="210">
        <v>0.0010532407395658083</v>
      </c>
      <c r="T40" s="63" t="s">
        <v>1360</v>
      </c>
      <c r="U40" s="205">
        <v>10.0</v>
      </c>
      <c r="V40" s="205">
        <v>5.0</v>
      </c>
      <c r="W40" s="63" t="s">
        <v>1361</v>
      </c>
      <c r="X40" s="210">
        <v>0.0012615740743058268</v>
      </c>
      <c r="Y40" s="63" t="s">
        <v>1362</v>
      </c>
      <c r="Z40" s="63" t="s">
        <v>1363</v>
      </c>
      <c r="AA40" s="205">
        <v>0.0</v>
      </c>
      <c r="AB40" s="63" t="s">
        <v>1364</v>
      </c>
      <c r="AC40" s="205">
        <v>99.0</v>
      </c>
      <c r="AD40" s="208">
        <v>9.07362</v>
      </c>
      <c r="AE40" s="205">
        <v>19297.0</v>
      </c>
      <c r="AF40" s="205">
        <v>3334.0</v>
      </c>
      <c r="AG40" s="205">
        <v>255.0</v>
      </c>
      <c r="AH40" s="205">
        <v>98.0</v>
      </c>
      <c r="AI40" s="205">
        <v>6.0</v>
      </c>
      <c r="AJ40" s="205">
        <v>476.0</v>
      </c>
      <c r="AK40" s="205">
        <v>0.0</v>
      </c>
      <c r="AL40" s="205">
        <v>0.0</v>
      </c>
      <c r="AM40" s="205">
        <v>0.0</v>
      </c>
      <c r="AN40" s="205">
        <v>0.0</v>
      </c>
      <c r="AO40" s="208">
        <v>4.25944</v>
      </c>
      <c r="AP40" s="208">
        <v>4.79448</v>
      </c>
      <c r="AQ40" s="208">
        <v>6.58294</v>
      </c>
      <c r="AR40" s="208">
        <v>3.65228</v>
      </c>
      <c r="AT40" s="192" t="s">
        <v>1365</v>
      </c>
      <c r="AU40" s="211" t="s">
        <v>341</v>
      </c>
      <c r="AV40" s="211" t="s">
        <v>1366</v>
      </c>
      <c r="AW40" s="211" t="s">
        <v>1367</v>
      </c>
      <c r="AX40" s="211" t="s">
        <v>1365</v>
      </c>
      <c r="AY40" s="212">
        <v>2.0</v>
      </c>
      <c r="AZ40" s="213">
        <v>4.0</v>
      </c>
      <c r="BA40" s="213">
        <v>4.0</v>
      </c>
      <c r="BB40" s="213">
        <v>2.5</v>
      </c>
      <c r="BC40" s="212">
        <v>5.2</v>
      </c>
      <c r="BD40" s="213">
        <v>10.0</v>
      </c>
      <c r="BE40" s="213">
        <v>10.0</v>
      </c>
      <c r="BF40" s="213">
        <v>7.0</v>
      </c>
      <c r="BG40" s="212">
        <v>9.666666666666668</v>
      </c>
      <c r="BH40" s="213">
        <v>9.75</v>
      </c>
      <c r="BI40" s="213">
        <v>7.021604930438722E-4</v>
      </c>
      <c r="BJ40" s="213">
        <v>8.410493828705512E-4</v>
      </c>
      <c r="BK40" s="213">
        <v>268.5</v>
      </c>
      <c r="BL40" s="212">
        <v>5.5</v>
      </c>
      <c r="BM40" s="213">
        <v>5.375</v>
      </c>
      <c r="BN40" s="213">
        <v>0.0014043209860877444</v>
      </c>
      <c r="BO40" s="213">
        <v>0.0016820987657411024</v>
      </c>
      <c r="BP40" s="213">
        <v>134.25</v>
      </c>
      <c r="BQ40" s="192"/>
      <c r="BR40" s="192"/>
    </row>
    <row r="41">
      <c r="A41" s="60">
        <v>2395972.0</v>
      </c>
      <c r="B41" s="205">
        <v>1863870.0</v>
      </c>
      <c r="C41" s="205">
        <v>891581.0</v>
      </c>
      <c r="D41" s="205">
        <v>1.0</v>
      </c>
      <c r="E41" s="207">
        <v>43444.50850694445</v>
      </c>
      <c r="F41" s="207">
        <v>43493.87503472222</v>
      </c>
      <c r="G41" s="207">
        <v>43491.285520833335</v>
      </c>
      <c r="H41" s="63" t="s">
        <v>1368</v>
      </c>
      <c r="I41" s="205">
        <v>160.0</v>
      </c>
      <c r="J41" s="63" t="s">
        <v>1369</v>
      </c>
      <c r="K41" s="205">
        <v>5377178.0</v>
      </c>
      <c r="L41" s="208">
        <v>5.63558</v>
      </c>
      <c r="M41" s="208">
        <v>2.75272</v>
      </c>
      <c r="N41" s="208">
        <v>2.63921</v>
      </c>
      <c r="O41" s="209">
        <v>4.2</v>
      </c>
      <c r="P41" s="209">
        <v>9.0</v>
      </c>
      <c r="Q41" s="209">
        <v>8.5</v>
      </c>
      <c r="R41" s="209">
        <v>5.5</v>
      </c>
      <c r="S41" s="210">
        <v>0.0014699074090458453</v>
      </c>
      <c r="U41" s="205">
        <v>10.0</v>
      </c>
      <c r="V41" s="205">
        <v>5.0</v>
      </c>
      <c r="W41" s="63" t="s">
        <v>1370</v>
      </c>
      <c r="X41" s="210">
        <v>0.001527777778392192</v>
      </c>
      <c r="Y41" s="63" t="s">
        <v>1371</v>
      </c>
      <c r="Z41" s="63" t="s">
        <v>1372</v>
      </c>
      <c r="AA41" s="205">
        <v>0.0</v>
      </c>
      <c r="AB41" s="63" t="s">
        <v>1373</v>
      </c>
      <c r="AC41" s="205">
        <v>191.0</v>
      </c>
      <c r="AD41" s="208">
        <v>9.17857</v>
      </c>
      <c r="AE41" s="205">
        <v>40554.0</v>
      </c>
      <c r="AF41" s="205">
        <v>2358.0</v>
      </c>
      <c r="AG41" s="205">
        <v>387.0</v>
      </c>
      <c r="AH41" s="205">
        <v>215.0</v>
      </c>
      <c r="AI41" s="205">
        <v>0.0</v>
      </c>
      <c r="AJ41" s="205">
        <v>840.0</v>
      </c>
      <c r="AK41" s="205">
        <v>0.0</v>
      </c>
      <c r="AL41" s="205">
        <v>0.0</v>
      </c>
      <c r="AM41" s="205">
        <v>0.0</v>
      </c>
      <c r="AN41" s="205">
        <v>0.0</v>
      </c>
      <c r="AO41" s="208">
        <v>5.0535</v>
      </c>
      <c r="AP41" s="208">
        <v>6.12715</v>
      </c>
      <c r="AQ41" s="208">
        <v>8.00089</v>
      </c>
      <c r="AR41" s="208">
        <v>4.4369</v>
      </c>
      <c r="AT41" s="192" t="s">
        <v>762</v>
      </c>
      <c r="AU41" s="211" t="s">
        <v>761</v>
      </c>
      <c r="AV41" s="211" t="s">
        <v>1374</v>
      </c>
      <c r="AW41" s="211" t="s">
        <v>1375</v>
      </c>
      <c r="AX41" s="211" t="s">
        <v>762</v>
      </c>
      <c r="AY41" s="212">
        <v>2.1</v>
      </c>
      <c r="AZ41" s="213">
        <v>4.5</v>
      </c>
      <c r="BA41" s="213">
        <v>4.25</v>
      </c>
      <c r="BB41" s="213">
        <v>2.75</v>
      </c>
      <c r="BC41" s="212">
        <v>5.460000000000001</v>
      </c>
      <c r="BD41" s="213">
        <v>10.0</v>
      </c>
      <c r="BE41" s="213">
        <v>10.0</v>
      </c>
      <c r="BF41" s="213">
        <v>7.699999999999999</v>
      </c>
      <c r="BG41" s="212">
        <v>10.333333333333332</v>
      </c>
      <c r="BH41" s="213">
        <v>10.083333333333334</v>
      </c>
      <c r="BI41" s="213">
        <v>9.7993827269723E-4</v>
      </c>
      <c r="BJ41" s="213">
        <v>0.001018518518928128</v>
      </c>
      <c r="BK41" s="213">
        <v>240.0</v>
      </c>
      <c r="BL41" s="212">
        <v>7.0</v>
      </c>
      <c r="BM41" s="213">
        <v>6.125</v>
      </c>
      <c r="BN41" s="213">
        <v>0.00195987654539446</v>
      </c>
      <c r="BO41" s="213">
        <v>0.002037037037856256</v>
      </c>
      <c r="BP41" s="213">
        <v>120.0</v>
      </c>
      <c r="BQ41" s="192"/>
      <c r="BR41" s="192"/>
    </row>
    <row r="42">
      <c r="A42" s="60">
        <v>3297107.0</v>
      </c>
      <c r="B42" s="205">
        <v>1863870.0</v>
      </c>
      <c r="C42" s="205">
        <v>891581.0</v>
      </c>
      <c r="D42" s="205">
        <v>1.0</v>
      </c>
      <c r="E42" s="207">
        <v>43444.50850694445</v>
      </c>
      <c r="F42" s="207">
        <v>43493.87503472222</v>
      </c>
      <c r="G42" s="207">
        <v>43491.285520833335</v>
      </c>
      <c r="H42" s="63" t="s">
        <v>1368</v>
      </c>
      <c r="I42" s="205">
        <v>160.0</v>
      </c>
      <c r="J42" s="63" t="s">
        <v>1369</v>
      </c>
      <c r="K42" s="205">
        <v>5377178.0</v>
      </c>
      <c r="L42" s="208">
        <v>5.63558</v>
      </c>
      <c r="M42" s="208">
        <v>2.75272</v>
      </c>
      <c r="N42" s="208">
        <v>2.63921</v>
      </c>
      <c r="O42" s="209">
        <v>4.2</v>
      </c>
      <c r="P42" s="209">
        <v>9.0</v>
      </c>
      <c r="Q42" s="209">
        <v>8.5</v>
      </c>
      <c r="R42" s="209">
        <v>5.5</v>
      </c>
      <c r="S42" s="210">
        <v>0.0014699074090458453</v>
      </c>
      <c r="U42" s="205">
        <v>10.0</v>
      </c>
      <c r="V42" s="205">
        <v>5.0</v>
      </c>
      <c r="W42" s="63" t="s">
        <v>1370</v>
      </c>
      <c r="X42" s="210">
        <v>0.001527777778392192</v>
      </c>
      <c r="Y42" s="63" t="s">
        <v>1371</v>
      </c>
      <c r="Z42" s="63" t="s">
        <v>1372</v>
      </c>
      <c r="AA42" s="205">
        <v>0.0</v>
      </c>
      <c r="AB42" s="63" t="s">
        <v>1373</v>
      </c>
      <c r="AC42" s="205">
        <v>191.0</v>
      </c>
      <c r="AD42" s="208">
        <v>9.17857</v>
      </c>
      <c r="AE42" s="205">
        <v>40554.0</v>
      </c>
      <c r="AF42" s="205">
        <v>2358.0</v>
      </c>
      <c r="AG42" s="205">
        <v>387.0</v>
      </c>
      <c r="AH42" s="205">
        <v>215.0</v>
      </c>
      <c r="AI42" s="205">
        <v>0.0</v>
      </c>
      <c r="AJ42" s="205">
        <v>840.0</v>
      </c>
      <c r="AK42" s="205">
        <v>0.0</v>
      </c>
      <c r="AL42" s="205">
        <v>0.0</v>
      </c>
      <c r="AM42" s="205">
        <v>0.0</v>
      </c>
      <c r="AN42" s="205">
        <v>0.0</v>
      </c>
      <c r="AO42" s="208">
        <v>5.0535</v>
      </c>
      <c r="AP42" s="208">
        <v>6.12715</v>
      </c>
      <c r="AQ42" s="208">
        <v>8.00089</v>
      </c>
      <c r="AR42" s="208">
        <v>4.4369</v>
      </c>
      <c r="AT42" s="192" t="s">
        <v>762</v>
      </c>
      <c r="AU42" s="211" t="s">
        <v>761</v>
      </c>
      <c r="AV42" s="211" t="s">
        <v>1374</v>
      </c>
      <c r="AW42" s="211" t="s">
        <v>1375</v>
      </c>
      <c r="AX42" s="211" t="s">
        <v>762</v>
      </c>
      <c r="AY42" s="212">
        <v>2.1</v>
      </c>
      <c r="AZ42" s="213">
        <v>4.5</v>
      </c>
      <c r="BA42" s="213">
        <v>4.25</v>
      </c>
      <c r="BB42" s="213">
        <v>2.75</v>
      </c>
      <c r="BC42" s="212">
        <v>5.460000000000001</v>
      </c>
      <c r="BD42" s="213">
        <v>10.0</v>
      </c>
      <c r="BE42" s="213">
        <v>10.0</v>
      </c>
      <c r="BF42" s="213">
        <v>7.699999999999999</v>
      </c>
      <c r="BG42" s="212">
        <v>10.333333333333332</v>
      </c>
      <c r="BH42" s="213">
        <v>10.083333333333334</v>
      </c>
      <c r="BI42" s="213">
        <v>9.7993827269723E-4</v>
      </c>
      <c r="BJ42" s="213">
        <v>0.001018518518928128</v>
      </c>
      <c r="BK42" s="213">
        <v>240.0</v>
      </c>
      <c r="BL42" s="212">
        <v>7.0</v>
      </c>
      <c r="BM42" s="213">
        <v>6.125</v>
      </c>
      <c r="BN42" s="213">
        <v>0.00195987654539446</v>
      </c>
      <c r="BO42" s="213">
        <v>0.002037037037856256</v>
      </c>
      <c r="BP42" s="213">
        <v>120.0</v>
      </c>
      <c r="BQ42" s="192"/>
      <c r="BR42" s="192"/>
    </row>
    <row r="43">
      <c r="A43" s="60">
        <v>2004679.0</v>
      </c>
      <c r="B43" s="205">
        <v>1456307.0</v>
      </c>
      <c r="C43" s="205">
        <v>688128.0</v>
      </c>
      <c r="D43" s="205">
        <v>1.0</v>
      </c>
      <c r="E43" s="207">
        <v>43038.45202546296</v>
      </c>
      <c r="F43" s="207">
        <v>43090.86141203703</v>
      </c>
      <c r="G43" s="207">
        <v>43083.63172453704</v>
      </c>
      <c r="H43" s="63" t="s">
        <v>1019</v>
      </c>
      <c r="I43" s="205">
        <v>175.0</v>
      </c>
      <c r="J43" s="63" t="s">
        <v>1376</v>
      </c>
      <c r="K43" s="205">
        <v>4858573.0</v>
      </c>
      <c r="L43" s="208">
        <v>5.30328</v>
      </c>
      <c r="M43" s="208">
        <v>2.48766</v>
      </c>
      <c r="N43" s="208">
        <v>2.58671</v>
      </c>
      <c r="O43" s="209">
        <v>3.5</v>
      </c>
      <c r="P43" s="209">
        <v>9.0</v>
      </c>
      <c r="Q43" s="209">
        <v>8.0</v>
      </c>
      <c r="R43" s="209">
        <v>6.0</v>
      </c>
      <c r="S43" s="210">
        <v>0.0014004629629198462</v>
      </c>
      <c r="T43" s="63" t="s">
        <v>1377</v>
      </c>
      <c r="U43" s="205">
        <v>10.0</v>
      </c>
      <c r="V43" s="205">
        <v>5.0</v>
      </c>
      <c r="W43" s="63" t="s">
        <v>1378</v>
      </c>
      <c r="X43" s="210">
        <v>0.0014699074090458453</v>
      </c>
      <c r="Y43" s="63" t="s">
        <v>1379</v>
      </c>
      <c r="Z43" s="63" t="s">
        <v>1380</v>
      </c>
      <c r="AA43" s="205">
        <v>0.0</v>
      </c>
      <c r="AB43" s="63" t="s">
        <v>1381</v>
      </c>
      <c r="AC43" s="205">
        <v>216.0</v>
      </c>
      <c r="AD43" s="208">
        <v>9.31573</v>
      </c>
      <c r="AE43" s="205">
        <v>85383.0</v>
      </c>
      <c r="AF43" s="205">
        <v>12546.0</v>
      </c>
      <c r="AG43" s="205">
        <v>456.0</v>
      </c>
      <c r="AH43" s="205">
        <v>88.0</v>
      </c>
      <c r="AI43" s="205">
        <v>0.0</v>
      </c>
      <c r="AJ43" s="205">
        <v>665.0</v>
      </c>
      <c r="AK43" s="205">
        <v>0.0</v>
      </c>
      <c r="AL43" s="205">
        <v>0.0</v>
      </c>
      <c r="AM43" s="205">
        <v>0.0</v>
      </c>
      <c r="AN43" s="205">
        <v>0.0</v>
      </c>
      <c r="AO43" s="208">
        <v>4.92613</v>
      </c>
      <c r="AP43" s="208">
        <v>5.54786</v>
      </c>
      <c r="AQ43" s="208">
        <v>7.56017</v>
      </c>
      <c r="AR43" s="208">
        <v>4.19906</v>
      </c>
      <c r="AT43" s="192" t="s">
        <v>767</v>
      </c>
      <c r="AU43" s="211" t="s">
        <v>766</v>
      </c>
      <c r="AV43" s="211" t="s">
        <v>1382</v>
      </c>
      <c r="AW43" s="211" t="s">
        <v>1383</v>
      </c>
      <c r="AX43" s="211" t="s">
        <v>767</v>
      </c>
      <c r="AY43" s="212">
        <v>1.75</v>
      </c>
      <c r="AZ43" s="213">
        <v>4.5</v>
      </c>
      <c r="BA43" s="213">
        <v>4.0</v>
      </c>
      <c r="BB43" s="213">
        <v>3.0</v>
      </c>
      <c r="BC43" s="212">
        <v>4.55</v>
      </c>
      <c r="BD43" s="213">
        <v>10.0</v>
      </c>
      <c r="BE43" s="213">
        <v>10.0</v>
      </c>
      <c r="BF43" s="213">
        <v>8.399999999999999</v>
      </c>
      <c r="BG43" s="212">
        <v>10.333333333333332</v>
      </c>
      <c r="BH43" s="213">
        <v>9.75</v>
      </c>
      <c r="BI43" s="213">
        <v>9.336419752798975E-4</v>
      </c>
      <c r="BJ43" s="213">
        <v>9.7993827269723E-4</v>
      </c>
      <c r="BK43" s="213">
        <v>262.5</v>
      </c>
      <c r="BL43" s="212">
        <v>7.0</v>
      </c>
      <c r="BM43" s="213">
        <v>5.375</v>
      </c>
      <c r="BN43" s="213">
        <v>0.001867283950559795</v>
      </c>
      <c r="BO43" s="213">
        <v>0.00195987654539446</v>
      </c>
      <c r="BP43" s="213">
        <v>131.25</v>
      </c>
      <c r="BQ43" s="192"/>
      <c r="BR43" s="192"/>
    </row>
    <row r="44">
      <c r="A44" s="60">
        <v>3248255.0</v>
      </c>
      <c r="B44" s="205">
        <v>2340750.0</v>
      </c>
      <c r="C44" s="205">
        <v>1119169.0</v>
      </c>
      <c r="D44" s="205">
        <v>1.0</v>
      </c>
      <c r="E44" s="207">
        <v>43893.90981481482</v>
      </c>
      <c r="F44" s="207">
        <v>44526.528807870374</v>
      </c>
      <c r="G44" s="207">
        <v>44518.7869212963</v>
      </c>
      <c r="H44" s="63" t="s">
        <v>962</v>
      </c>
      <c r="I44" s="205">
        <v>180.0</v>
      </c>
      <c r="J44" s="63" t="s">
        <v>1384</v>
      </c>
      <c r="K44" s="205">
        <v>4026817.0</v>
      </c>
      <c r="L44" s="208">
        <v>4.72652</v>
      </c>
      <c r="M44" s="208">
        <v>2.44608</v>
      </c>
      <c r="N44" s="208">
        <v>2.03437</v>
      </c>
      <c r="O44" s="209">
        <v>4.0</v>
      </c>
      <c r="P44" s="209">
        <v>9.0</v>
      </c>
      <c r="Q44" s="209">
        <v>8.0</v>
      </c>
      <c r="R44" s="209">
        <v>5.0</v>
      </c>
      <c r="S44" s="210">
        <v>0.0024537037024856545</v>
      </c>
      <c r="U44" s="205">
        <v>5.0</v>
      </c>
      <c r="V44" s="205">
        <v>3.0</v>
      </c>
      <c r="W44" s="63" t="s">
        <v>1385</v>
      </c>
      <c r="X44" s="210">
        <v>0.002766203702776693</v>
      </c>
      <c r="Y44" s="63" t="s">
        <v>1116</v>
      </c>
      <c r="Z44" s="63" t="s">
        <v>1386</v>
      </c>
      <c r="AA44" s="205">
        <v>0.0</v>
      </c>
      <c r="AB44" s="63" t="s">
        <v>1387</v>
      </c>
      <c r="AC44" s="205">
        <v>432.0</v>
      </c>
      <c r="AD44" s="208">
        <v>9.63274</v>
      </c>
      <c r="AE44" s="205">
        <v>124966.0</v>
      </c>
      <c r="AF44" s="205">
        <v>19352.0</v>
      </c>
      <c r="AG44" s="205">
        <v>418.0</v>
      </c>
      <c r="AH44" s="205">
        <v>316.0</v>
      </c>
      <c r="AI44" s="205">
        <v>0.0</v>
      </c>
      <c r="AJ44" s="205">
        <v>1095.0</v>
      </c>
      <c r="AK44" s="205">
        <v>0.0</v>
      </c>
      <c r="AL44" s="205">
        <v>1.0</v>
      </c>
      <c r="AM44" s="205">
        <v>0.0</v>
      </c>
      <c r="AN44" s="205">
        <v>0.0</v>
      </c>
      <c r="AO44" s="208">
        <v>4.33694</v>
      </c>
      <c r="AP44" s="208">
        <v>5.0356</v>
      </c>
      <c r="AQ44" s="208">
        <v>6.71958</v>
      </c>
      <c r="AR44" s="208">
        <v>3.73745</v>
      </c>
      <c r="AT44" s="192" t="s">
        <v>140</v>
      </c>
      <c r="AU44" s="211" t="s">
        <v>1388</v>
      </c>
      <c r="AV44" s="211" t="s">
        <v>1389</v>
      </c>
      <c r="AW44" s="211" t="s">
        <v>1390</v>
      </c>
      <c r="AX44" s="211" t="s">
        <v>140</v>
      </c>
      <c r="AY44" s="212">
        <v>2.0</v>
      </c>
      <c r="AZ44" s="213">
        <v>4.5</v>
      </c>
      <c r="BA44" s="213">
        <v>4.0</v>
      </c>
      <c r="BB44" s="213">
        <v>2.5</v>
      </c>
      <c r="BC44" s="212">
        <v>5.2</v>
      </c>
      <c r="BD44" s="213">
        <v>10.0</v>
      </c>
      <c r="BE44" s="213">
        <v>10.0</v>
      </c>
      <c r="BF44" s="213">
        <v>7.0</v>
      </c>
      <c r="BG44" s="212">
        <v>10.333333333333332</v>
      </c>
      <c r="BH44" s="213">
        <v>9.75</v>
      </c>
      <c r="BI44" s="213">
        <v>0.0016358024683237697</v>
      </c>
      <c r="BJ44" s="213">
        <v>0.0018441358018511285</v>
      </c>
      <c r="BK44" s="213">
        <v>270.0</v>
      </c>
      <c r="BL44" s="212">
        <v>7.0</v>
      </c>
      <c r="BM44" s="213">
        <v>5.375</v>
      </c>
      <c r="BN44" s="213">
        <v>0.0032716049366475395</v>
      </c>
      <c r="BO44" s="213">
        <v>0.003688271603702257</v>
      </c>
      <c r="BP44" s="213">
        <v>135.0</v>
      </c>
      <c r="BQ44" s="192"/>
      <c r="BR44" s="192"/>
    </row>
    <row r="45">
      <c r="A45" s="60">
        <v>2383229.0</v>
      </c>
      <c r="B45" s="205">
        <v>2340750.0</v>
      </c>
      <c r="C45" s="205">
        <v>1119169.0</v>
      </c>
      <c r="D45" s="205">
        <v>1.0</v>
      </c>
      <c r="E45" s="207">
        <v>43893.90981481482</v>
      </c>
      <c r="F45" s="207">
        <v>44526.528807870374</v>
      </c>
      <c r="G45" s="207">
        <v>44518.7869212963</v>
      </c>
      <c r="H45" s="63" t="s">
        <v>962</v>
      </c>
      <c r="I45" s="205">
        <v>180.0</v>
      </c>
      <c r="J45" s="63" t="s">
        <v>1384</v>
      </c>
      <c r="K45" s="205">
        <v>4026817.0</v>
      </c>
      <c r="L45" s="208">
        <v>4.72652</v>
      </c>
      <c r="M45" s="208">
        <v>2.44608</v>
      </c>
      <c r="N45" s="208">
        <v>2.03437</v>
      </c>
      <c r="O45" s="209">
        <v>4.0</v>
      </c>
      <c r="P45" s="209">
        <v>9.0</v>
      </c>
      <c r="Q45" s="209">
        <v>8.0</v>
      </c>
      <c r="R45" s="209">
        <v>5.0</v>
      </c>
      <c r="S45" s="210">
        <v>0.0024537037024856545</v>
      </c>
      <c r="U45" s="205">
        <v>5.0</v>
      </c>
      <c r="V45" s="205">
        <v>3.0</v>
      </c>
      <c r="W45" s="63" t="s">
        <v>1385</v>
      </c>
      <c r="X45" s="210">
        <v>0.002766203702776693</v>
      </c>
      <c r="Y45" s="63" t="s">
        <v>1116</v>
      </c>
      <c r="Z45" s="63" t="s">
        <v>1386</v>
      </c>
      <c r="AA45" s="205">
        <v>0.0</v>
      </c>
      <c r="AB45" s="63" t="s">
        <v>1387</v>
      </c>
      <c r="AC45" s="205">
        <v>432.0</v>
      </c>
      <c r="AD45" s="208">
        <v>9.63274</v>
      </c>
      <c r="AE45" s="205">
        <v>124966.0</v>
      </c>
      <c r="AF45" s="205">
        <v>19352.0</v>
      </c>
      <c r="AG45" s="205">
        <v>418.0</v>
      </c>
      <c r="AH45" s="205">
        <v>316.0</v>
      </c>
      <c r="AI45" s="205">
        <v>0.0</v>
      </c>
      <c r="AJ45" s="205">
        <v>1095.0</v>
      </c>
      <c r="AK45" s="205">
        <v>0.0</v>
      </c>
      <c r="AL45" s="205">
        <v>1.0</v>
      </c>
      <c r="AM45" s="205">
        <v>0.0</v>
      </c>
      <c r="AN45" s="205">
        <v>0.0</v>
      </c>
      <c r="AO45" s="208">
        <v>4.33694</v>
      </c>
      <c r="AP45" s="208">
        <v>5.0356</v>
      </c>
      <c r="AQ45" s="208">
        <v>6.71958</v>
      </c>
      <c r="AR45" s="208">
        <v>3.73745</v>
      </c>
      <c r="AT45" s="192" t="s">
        <v>140</v>
      </c>
      <c r="AU45" s="211" t="s">
        <v>1388</v>
      </c>
      <c r="AV45" s="211" t="s">
        <v>1389</v>
      </c>
      <c r="AW45" s="211" t="s">
        <v>1390</v>
      </c>
      <c r="AX45" s="211" t="s">
        <v>140</v>
      </c>
      <c r="AY45" s="212">
        <v>2.0</v>
      </c>
      <c r="AZ45" s="213">
        <v>4.5</v>
      </c>
      <c r="BA45" s="213">
        <v>4.0</v>
      </c>
      <c r="BB45" s="213">
        <v>2.5</v>
      </c>
      <c r="BC45" s="212">
        <v>5.2</v>
      </c>
      <c r="BD45" s="213">
        <v>10.0</v>
      </c>
      <c r="BE45" s="213">
        <v>10.0</v>
      </c>
      <c r="BF45" s="213">
        <v>7.0</v>
      </c>
      <c r="BG45" s="212">
        <v>10.333333333333332</v>
      </c>
      <c r="BH45" s="213">
        <v>9.75</v>
      </c>
      <c r="BI45" s="213">
        <v>0.0016358024683237697</v>
      </c>
      <c r="BJ45" s="213">
        <v>0.0018441358018511285</v>
      </c>
      <c r="BK45" s="213">
        <v>270.0</v>
      </c>
      <c r="BL45" s="212">
        <v>7.0</v>
      </c>
      <c r="BM45" s="213">
        <v>5.375</v>
      </c>
      <c r="BN45" s="213">
        <v>0.0032716049366475395</v>
      </c>
      <c r="BO45" s="213">
        <v>0.003688271603702257</v>
      </c>
      <c r="BP45" s="213">
        <v>135.0</v>
      </c>
      <c r="BQ45" s="192"/>
      <c r="BR45" s="192"/>
    </row>
    <row r="46">
      <c r="A46" s="60">
        <v>3256307.0</v>
      </c>
      <c r="B46" s="205">
        <v>2340750.0</v>
      </c>
      <c r="C46" s="205">
        <v>1119169.0</v>
      </c>
      <c r="D46" s="205">
        <v>1.0</v>
      </c>
      <c r="E46" s="207">
        <v>43893.90981481482</v>
      </c>
      <c r="F46" s="207">
        <v>44526.528807870374</v>
      </c>
      <c r="G46" s="207">
        <v>44518.7869212963</v>
      </c>
      <c r="H46" s="63" t="s">
        <v>962</v>
      </c>
      <c r="I46" s="205">
        <v>180.0</v>
      </c>
      <c r="J46" s="63" t="s">
        <v>1384</v>
      </c>
      <c r="K46" s="205">
        <v>4026817.0</v>
      </c>
      <c r="L46" s="208">
        <v>4.72652</v>
      </c>
      <c r="M46" s="208">
        <v>2.44608</v>
      </c>
      <c r="N46" s="208">
        <v>2.03437</v>
      </c>
      <c r="O46" s="209">
        <v>4.0</v>
      </c>
      <c r="P46" s="209">
        <v>9.0</v>
      </c>
      <c r="Q46" s="209">
        <v>8.0</v>
      </c>
      <c r="R46" s="209">
        <v>5.0</v>
      </c>
      <c r="S46" s="210">
        <v>0.0024537037024856545</v>
      </c>
      <c r="U46" s="205">
        <v>5.0</v>
      </c>
      <c r="V46" s="205">
        <v>3.0</v>
      </c>
      <c r="W46" s="63" t="s">
        <v>1385</v>
      </c>
      <c r="X46" s="210">
        <v>0.002766203702776693</v>
      </c>
      <c r="Y46" s="63" t="s">
        <v>1116</v>
      </c>
      <c r="Z46" s="63" t="s">
        <v>1386</v>
      </c>
      <c r="AA46" s="205">
        <v>0.0</v>
      </c>
      <c r="AB46" s="63" t="s">
        <v>1387</v>
      </c>
      <c r="AC46" s="205">
        <v>432.0</v>
      </c>
      <c r="AD46" s="208">
        <v>9.63274</v>
      </c>
      <c r="AE46" s="205">
        <v>124966.0</v>
      </c>
      <c r="AF46" s="205">
        <v>19352.0</v>
      </c>
      <c r="AG46" s="205">
        <v>418.0</v>
      </c>
      <c r="AH46" s="205">
        <v>316.0</v>
      </c>
      <c r="AI46" s="205">
        <v>0.0</v>
      </c>
      <c r="AJ46" s="205">
        <v>1095.0</v>
      </c>
      <c r="AK46" s="205">
        <v>0.0</v>
      </c>
      <c r="AL46" s="205">
        <v>1.0</v>
      </c>
      <c r="AM46" s="205">
        <v>0.0</v>
      </c>
      <c r="AN46" s="205">
        <v>0.0</v>
      </c>
      <c r="AO46" s="208">
        <v>4.33694</v>
      </c>
      <c r="AP46" s="208">
        <v>5.0356</v>
      </c>
      <c r="AQ46" s="208">
        <v>6.71958</v>
      </c>
      <c r="AR46" s="208">
        <v>3.73745</v>
      </c>
      <c r="AT46" s="192" t="s">
        <v>140</v>
      </c>
      <c r="AU46" s="211" t="s">
        <v>1388</v>
      </c>
      <c r="AV46" s="211" t="s">
        <v>1389</v>
      </c>
      <c r="AW46" s="211" t="s">
        <v>1390</v>
      </c>
      <c r="AX46" s="211" t="s">
        <v>140</v>
      </c>
      <c r="AY46" s="212">
        <v>2.0</v>
      </c>
      <c r="AZ46" s="213">
        <v>4.5</v>
      </c>
      <c r="BA46" s="213">
        <v>4.0</v>
      </c>
      <c r="BB46" s="213">
        <v>2.5</v>
      </c>
      <c r="BC46" s="212">
        <v>5.2</v>
      </c>
      <c r="BD46" s="213">
        <v>10.0</v>
      </c>
      <c r="BE46" s="213">
        <v>10.0</v>
      </c>
      <c r="BF46" s="213">
        <v>7.0</v>
      </c>
      <c r="BG46" s="212">
        <v>10.333333333333332</v>
      </c>
      <c r="BH46" s="213">
        <v>9.75</v>
      </c>
      <c r="BI46" s="213">
        <v>0.0016358024683237697</v>
      </c>
      <c r="BJ46" s="213">
        <v>0.0018441358018511285</v>
      </c>
      <c r="BK46" s="213">
        <v>270.0</v>
      </c>
      <c r="BL46" s="212">
        <v>7.0</v>
      </c>
      <c r="BM46" s="213">
        <v>5.375</v>
      </c>
      <c r="BN46" s="213">
        <v>0.0032716049366475395</v>
      </c>
      <c r="BO46" s="213">
        <v>0.003688271603702257</v>
      </c>
      <c r="BP46" s="213">
        <v>135.0</v>
      </c>
      <c r="BQ46" s="192"/>
      <c r="BR46" s="192"/>
    </row>
    <row r="47">
      <c r="A47" s="60">
        <v>34211.0</v>
      </c>
      <c r="B47" s="205">
        <v>3297107.0</v>
      </c>
      <c r="C47" s="205">
        <v>1614904.0</v>
      </c>
      <c r="D47" s="205">
        <v>-2.0</v>
      </c>
      <c r="E47" s="207">
        <v>44499.776354166665</v>
      </c>
      <c r="F47" s="215"/>
      <c r="G47" s="207">
        <v>44499.77641203704</v>
      </c>
      <c r="H47" s="63" t="s">
        <v>949</v>
      </c>
      <c r="I47" s="205">
        <v>181.0</v>
      </c>
      <c r="J47" s="63" t="s">
        <v>127</v>
      </c>
      <c r="K47" s="205">
        <v>6535093.0</v>
      </c>
      <c r="L47" s="208">
        <v>4.74275</v>
      </c>
      <c r="M47" s="208">
        <v>1.80855</v>
      </c>
      <c r="N47" s="208">
        <v>2.57845</v>
      </c>
      <c r="O47" s="209">
        <v>4.0</v>
      </c>
      <c r="P47" s="209">
        <v>9.0</v>
      </c>
      <c r="Q47" s="209">
        <v>7.6</v>
      </c>
      <c r="R47" s="209">
        <v>4.0</v>
      </c>
      <c r="S47" s="210">
        <v>0.0014120370360615198</v>
      </c>
      <c r="U47" s="205">
        <v>1.0</v>
      </c>
      <c r="V47" s="205">
        <v>1.0</v>
      </c>
      <c r="W47" s="63" t="s">
        <v>1391</v>
      </c>
      <c r="X47" s="210">
        <v>0.0014930555553291924</v>
      </c>
      <c r="Y47" s="63" t="s">
        <v>1392</v>
      </c>
      <c r="Z47" s="63" t="s">
        <v>1393</v>
      </c>
      <c r="AA47" s="205">
        <v>0.0</v>
      </c>
      <c r="AC47" s="205">
        <v>1.0</v>
      </c>
      <c r="AD47" s="208">
        <v>0.0</v>
      </c>
      <c r="AE47" s="205">
        <v>1378.0</v>
      </c>
      <c r="AF47" s="205">
        <v>684.0</v>
      </c>
      <c r="AG47" s="205">
        <v>278.0</v>
      </c>
      <c r="AH47" s="205">
        <v>171.0</v>
      </c>
      <c r="AI47" s="205">
        <v>2.0</v>
      </c>
      <c r="AJ47" s="205">
        <v>788.0</v>
      </c>
      <c r="AK47" s="205">
        <v>0.0</v>
      </c>
      <c r="AL47" s="205">
        <v>0.0</v>
      </c>
      <c r="AM47" s="205">
        <v>0.0</v>
      </c>
      <c r="AN47" s="205">
        <v>0.0</v>
      </c>
      <c r="AO47" s="208">
        <v>4.39666</v>
      </c>
      <c r="AP47" s="208">
        <v>4.88275</v>
      </c>
      <c r="AQ47" s="208">
        <v>7.07313</v>
      </c>
      <c r="AR47" s="208">
        <v>3.74079</v>
      </c>
      <c r="AT47" s="192" t="s">
        <v>126</v>
      </c>
      <c r="AU47" s="211" t="s">
        <v>1394</v>
      </c>
      <c r="AV47" s="211" t="s">
        <v>1395</v>
      </c>
      <c r="AW47" s="211" t="s">
        <v>1396</v>
      </c>
      <c r="AX47" s="211" t="s">
        <v>126</v>
      </c>
      <c r="AY47" s="212">
        <v>2.0</v>
      </c>
      <c r="AZ47" s="213">
        <v>4.5</v>
      </c>
      <c r="BA47" s="213">
        <v>3.8</v>
      </c>
      <c r="BB47" s="213">
        <v>2.0</v>
      </c>
      <c r="BC47" s="212">
        <v>5.2</v>
      </c>
      <c r="BD47" s="213">
        <v>10.0</v>
      </c>
      <c r="BE47" s="213">
        <v>10.0</v>
      </c>
      <c r="BF47" s="213">
        <v>5.6</v>
      </c>
      <c r="BG47" s="212">
        <v>10.333333333333332</v>
      </c>
      <c r="BH47" s="213">
        <v>9.483333333333333</v>
      </c>
      <c r="BI47" s="213">
        <v>9.413580240410132E-4</v>
      </c>
      <c r="BJ47" s="213">
        <v>9.953703702194616E-4</v>
      </c>
      <c r="BK47" s="213">
        <v>271.5</v>
      </c>
      <c r="BL47" s="212">
        <v>7.0</v>
      </c>
      <c r="BM47" s="213">
        <v>4.774999999999999</v>
      </c>
      <c r="BN47" s="213">
        <v>0.0018827160480820264</v>
      </c>
      <c r="BO47" s="213">
        <v>0.0019907407404389232</v>
      </c>
      <c r="BP47" s="213">
        <v>135.75</v>
      </c>
      <c r="BQ47" s="192"/>
      <c r="BR47" s="192"/>
    </row>
    <row r="48">
      <c r="A48" s="60">
        <v>3720541.0</v>
      </c>
      <c r="B48" s="205">
        <v>3297107.0</v>
      </c>
      <c r="C48" s="205">
        <v>1614904.0</v>
      </c>
      <c r="D48" s="205">
        <v>-2.0</v>
      </c>
      <c r="E48" s="207">
        <v>44499.776354166665</v>
      </c>
      <c r="F48" s="215"/>
      <c r="G48" s="207">
        <v>44499.77641203704</v>
      </c>
      <c r="H48" s="63" t="s">
        <v>949</v>
      </c>
      <c r="I48" s="205">
        <v>181.0</v>
      </c>
      <c r="J48" s="63" t="s">
        <v>127</v>
      </c>
      <c r="K48" s="205">
        <v>6535093.0</v>
      </c>
      <c r="L48" s="208">
        <v>4.74275</v>
      </c>
      <c r="M48" s="208">
        <v>1.80855</v>
      </c>
      <c r="N48" s="208">
        <v>2.57845</v>
      </c>
      <c r="O48" s="209">
        <v>4.0</v>
      </c>
      <c r="P48" s="209">
        <v>9.0</v>
      </c>
      <c r="Q48" s="209">
        <v>7.6</v>
      </c>
      <c r="R48" s="209">
        <v>4.0</v>
      </c>
      <c r="S48" s="210">
        <v>0.0014120370360615198</v>
      </c>
      <c r="U48" s="205">
        <v>1.0</v>
      </c>
      <c r="V48" s="205">
        <v>1.0</v>
      </c>
      <c r="W48" s="63" t="s">
        <v>1391</v>
      </c>
      <c r="X48" s="210">
        <v>0.0014930555553291924</v>
      </c>
      <c r="Y48" s="63" t="s">
        <v>1392</v>
      </c>
      <c r="Z48" s="63" t="s">
        <v>1393</v>
      </c>
      <c r="AA48" s="205">
        <v>0.0</v>
      </c>
      <c r="AC48" s="205">
        <v>1.0</v>
      </c>
      <c r="AD48" s="208">
        <v>0.0</v>
      </c>
      <c r="AE48" s="205">
        <v>1378.0</v>
      </c>
      <c r="AF48" s="205">
        <v>684.0</v>
      </c>
      <c r="AG48" s="205">
        <v>278.0</v>
      </c>
      <c r="AH48" s="205">
        <v>171.0</v>
      </c>
      <c r="AI48" s="205">
        <v>2.0</v>
      </c>
      <c r="AJ48" s="205">
        <v>788.0</v>
      </c>
      <c r="AK48" s="205">
        <v>0.0</v>
      </c>
      <c r="AL48" s="205">
        <v>0.0</v>
      </c>
      <c r="AM48" s="205">
        <v>0.0</v>
      </c>
      <c r="AN48" s="205">
        <v>0.0</v>
      </c>
      <c r="AO48" s="208">
        <v>4.39666</v>
      </c>
      <c r="AP48" s="208">
        <v>4.88275</v>
      </c>
      <c r="AQ48" s="208">
        <v>7.07313</v>
      </c>
      <c r="AR48" s="208">
        <v>3.74079</v>
      </c>
      <c r="AT48" s="192" t="s">
        <v>126</v>
      </c>
      <c r="AU48" s="211" t="s">
        <v>1394</v>
      </c>
      <c r="AV48" s="211" t="s">
        <v>1395</v>
      </c>
      <c r="AW48" s="211" t="s">
        <v>1396</v>
      </c>
      <c r="AX48" s="211" t="s">
        <v>126</v>
      </c>
      <c r="AY48" s="212">
        <v>2.0</v>
      </c>
      <c r="AZ48" s="213">
        <v>4.5</v>
      </c>
      <c r="BA48" s="213">
        <v>3.8</v>
      </c>
      <c r="BB48" s="213">
        <v>2.0</v>
      </c>
      <c r="BC48" s="212">
        <v>5.2</v>
      </c>
      <c r="BD48" s="213">
        <v>10.0</v>
      </c>
      <c r="BE48" s="213">
        <v>10.0</v>
      </c>
      <c r="BF48" s="213">
        <v>5.6</v>
      </c>
      <c r="BG48" s="212">
        <v>10.333333333333332</v>
      </c>
      <c r="BH48" s="213">
        <v>9.483333333333333</v>
      </c>
      <c r="BI48" s="213">
        <v>9.413580240410132E-4</v>
      </c>
      <c r="BJ48" s="213">
        <v>9.953703702194616E-4</v>
      </c>
      <c r="BK48" s="213">
        <v>271.5</v>
      </c>
      <c r="BL48" s="212">
        <v>7.0</v>
      </c>
      <c r="BM48" s="213">
        <v>4.774999999999999</v>
      </c>
      <c r="BN48" s="213">
        <v>0.0018827160480820264</v>
      </c>
      <c r="BO48" s="213">
        <v>0.0019907407404389232</v>
      </c>
      <c r="BP48" s="213">
        <v>135.75</v>
      </c>
      <c r="BQ48" s="192"/>
      <c r="BR48" s="192"/>
    </row>
    <row r="49">
      <c r="A49" s="60">
        <v>2440455.0</v>
      </c>
      <c r="B49" s="205">
        <v>3297107.0</v>
      </c>
      <c r="C49" s="205">
        <v>1614904.0</v>
      </c>
      <c r="D49" s="205">
        <v>-2.0</v>
      </c>
      <c r="E49" s="207">
        <v>44499.776354166665</v>
      </c>
      <c r="F49" s="215"/>
      <c r="G49" s="207">
        <v>44499.77641203704</v>
      </c>
      <c r="H49" s="63" t="s">
        <v>949</v>
      </c>
      <c r="I49" s="205">
        <v>181.0</v>
      </c>
      <c r="J49" s="63" t="s">
        <v>127</v>
      </c>
      <c r="K49" s="205">
        <v>6535093.0</v>
      </c>
      <c r="L49" s="208">
        <v>4.74275</v>
      </c>
      <c r="M49" s="208">
        <v>1.80855</v>
      </c>
      <c r="N49" s="208">
        <v>2.57845</v>
      </c>
      <c r="O49" s="209">
        <v>4.0</v>
      </c>
      <c r="P49" s="209">
        <v>9.0</v>
      </c>
      <c r="Q49" s="209">
        <v>7.6</v>
      </c>
      <c r="R49" s="209">
        <v>4.0</v>
      </c>
      <c r="S49" s="210">
        <v>0.0014120370360615198</v>
      </c>
      <c r="U49" s="205">
        <v>1.0</v>
      </c>
      <c r="V49" s="205">
        <v>1.0</v>
      </c>
      <c r="W49" s="63" t="s">
        <v>1391</v>
      </c>
      <c r="X49" s="210">
        <v>0.0014930555553291924</v>
      </c>
      <c r="Y49" s="63" t="s">
        <v>1392</v>
      </c>
      <c r="Z49" s="63" t="s">
        <v>1393</v>
      </c>
      <c r="AA49" s="205">
        <v>0.0</v>
      </c>
      <c r="AC49" s="205">
        <v>1.0</v>
      </c>
      <c r="AD49" s="208">
        <v>0.0</v>
      </c>
      <c r="AE49" s="205">
        <v>1378.0</v>
      </c>
      <c r="AF49" s="205">
        <v>684.0</v>
      </c>
      <c r="AG49" s="205">
        <v>278.0</v>
      </c>
      <c r="AH49" s="205">
        <v>171.0</v>
      </c>
      <c r="AI49" s="205">
        <v>2.0</v>
      </c>
      <c r="AJ49" s="205">
        <v>788.0</v>
      </c>
      <c r="AK49" s="205">
        <v>0.0</v>
      </c>
      <c r="AL49" s="205">
        <v>0.0</v>
      </c>
      <c r="AM49" s="205">
        <v>0.0</v>
      </c>
      <c r="AN49" s="205">
        <v>0.0</v>
      </c>
      <c r="AO49" s="208">
        <v>4.39666</v>
      </c>
      <c r="AP49" s="208">
        <v>4.88275</v>
      </c>
      <c r="AQ49" s="208">
        <v>7.07313</v>
      </c>
      <c r="AR49" s="208">
        <v>3.74079</v>
      </c>
      <c r="AT49" s="192" t="s">
        <v>126</v>
      </c>
      <c r="AU49" s="211" t="s">
        <v>1394</v>
      </c>
      <c r="AV49" s="211" t="s">
        <v>1395</v>
      </c>
      <c r="AW49" s="211" t="s">
        <v>1396</v>
      </c>
      <c r="AX49" s="211" t="s">
        <v>126</v>
      </c>
      <c r="AY49" s="212">
        <v>2.0</v>
      </c>
      <c r="AZ49" s="213">
        <v>4.5</v>
      </c>
      <c r="BA49" s="213">
        <v>3.8</v>
      </c>
      <c r="BB49" s="213">
        <v>2.0</v>
      </c>
      <c r="BC49" s="212">
        <v>5.2</v>
      </c>
      <c r="BD49" s="213">
        <v>10.0</v>
      </c>
      <c r="BE49" s="213">
        <v>10.0</v>
      </c>
      <c r="BF49" s="213">
        <v>5.6</v>
      </c>
      <c r="BG49" s="212">
        <v>10.333333333333332</v>
      </c>
      <c r="BH49" s="213">
        <v>9.483333333333333</v>
      </c>
      <c r="BI49" s="213">
        <v>9.413580240410132E-4</v>
      </c>
      <c r="BJ49" s="213">
        <v>9.953703702194616E-4</v>
      </c>
      <c r="BK49" s="213">
        <v>271.5</v>
      </c>
      <c r="BL49" s="212">
        <v>7.0</v>
      </c>
      <c r="BM49" s="213">
        <v>4.774999999999999</v>
      </c>
      <c r="BN49" s="213">
        <v>0.0018827160480820264</v>
      </c>
      <c r="BO49" s="213">
        <v>0.0019907407404389232</v>
      </c>
      <c r="BP49" s="213">
        <v>135.75</v>
      </c>
      <c r="BQ49" s="192"/>
      <c r="BR49" s="192"/>
    </row>
    <row r="50">
      <c r="A50" s="60">
        <v>3117101.0</v>
      </c>
      <c r="B50" s="205">
        <v>2440455.0</v>
      </c>
      <c r="C50" s="205">
        <v>1169856.0</v>
      </c>
      <c r="D50" s="205">
        <v>1.0</v>
      </c>
      <c r="E50" s="207">
        <v>43964.18636574074</v>
      </c>
      <c r="F50" s="207">
        <v>44006.0171412037</v>
      </c>
      <c r="G50" s="207">
        <v>43996.84606481482</v>
      </c>
      <c r="H50" s="63" t="s">
        <v>950</v>
      </c>
      <c r="I50" s="205">
        <v>252.0</v>
      </c>
      <c r="J50" s="63" t="s">
        <v>133</v>
      </c>
      <c r="K50" s="205">
        <v>8157492.0</v>
      </c>
      <c r="L50" s="208">
        <v>4.59244</v>
      </c>
      <c r="M50" s="208">
        <v>2.29064</v>
      </c>
      <c r="N50" s="208">
        <v>2.0953</v>
      </c>
      <c r="O50" s="209">
        <v>4.0</v>
      </c>
      <c r="P50" s="209">
        <v>9.0</v>
      </c>
      <c r="Q50" s="209">
        <v>7.7</v>
      </c>
      <c r="R50" s="209">
        <v>4.0</v>
      </c>
      <c r="S50" s="210">
        <v>0.0019328703710925765</v>
      </c>
      <c r="U50" s="205">
        <v>4.0</v>
      </c>
      <c r="V50" s="205">
        <v>2.0</v>
      </c>
      <c r="W50" s="63" t="s">
        <v>1397</v>
      </c>
      <c r="X50" s="210">
        <v>0.0021759259252576157</v>
      </c>
      <c r="Y50" s="63" t="s">
        <v>1116</v>
      </c>
      <c r="Z50" s="63" t="s">
        <v>1398</v>
      </c>
      <c r="AA50" s="205">
        <v>0.0</v>
      </c>
      <c r="AB50" s="63" t="s">
        <v>1399</v>
      </c>
      <c r="AC50" s="205">
        <v>242.0</v>
      </c>
      <c r="AD50" s="208">
        <v>9.49536</v>
      </c>
      <c r="AE50" s="205">
        <v>28872.0</v>
      </c>
      <c r="AF50" s="205">
        <v>6066.0</v>
      </c>
      <c r="AG50" s="205">
        <v>421.0</v>
      </c>
      <c r="AH50" s="205">
        <v>308.0</v>
      </c>
      <c r="AI50" s="205">
        <v>1.0</v>
      </c>
      <c r="AJ50" s="205">
        <v>1060.0</v>
      </c>
      <c r="AK50" s="205">
        <v>0.0</v>
      </c>
      <c r="AL50" s="205">
        <v>0.0</v>
      </c>
      <c r="AM50" s="205">
        <v>0.0</v>
      </c>
      <c r="AN50" s="205">
        <v>0.0</v>
      </c>
      <c r="AO50" s="208">
        <v>4.15122</v>
      </c>
      <c r="AP50" s="208">
        <v>4.97933</v>
      </c>
      <c r="AQ50" s="208">
        <v>6.43299</v>
      </c>
      <c r="AR50" s="208">
        <v>3.61597</v>
      </c>
      <c r="AT50" s="192" t="s">
        <v>132</v>
      </c>
      <c r="AU50" s="211" t="s">
        <v>1400</v>
      </c>
      <c r="AV50" s="211" t="s">
        <v>1401</v>
      </c>
      <c r="AW50" s="211" t="s">
        <v>1402</v>
      </c>
      <c r="AX50" s="211" t="s">
        <v>132</v>
      </c>
      <c r="AY50" s="212">
        <v>2.0</v>
      </c>
      <c r="AZ50" s="213">
        <v>4.5</v>
      </c>
      <c r="BA50" s="213">
        <v>3.85</v>
      </c>
      <c r="BB50" s="213">
        <v>2.0</v>
      </c>
      <c r="BC50" s="212">
        <v>5.2</v>
      </c>
      <c r="BD50" s="213">
        <v>10.0</v>
      </c>
      <c r="BE50" s="213">
        <v>10.0</v>
      </c>
      <c r="BF50" s="213">
        <v>5.6</v>
      </c>
      <c r="BG50" s="212">
        <v>10.333333333333332</v>
      </c>
      <c r="BH50" s="213">
        <v>9.549999999999999</v>
      </c>
      <c r="BI50" s="213">
        <v>0.001288580247395051</v>
      </c>
      <c r="BJ50" s="213">
        <v>0.0014506172835050772</v>
      </c>
      <c r="BK50" s="213">
        <v>378.0</v>
      </c>
      <c r="BL50" s="212">
        <v>7.0</v>
      </c>
      <c r="BM50" s="213">
        <v>4.925000000000001</v>
      </c>
      <c r="BN50" s="213">
        <v>0.002577160494790102</v>
      </c>
      <c r="BO50" s="213">
        <v>0.0029012345670101545</v>
      </c>
      <c r="BP50" s="213">
        <v>189.0</v>
      </c>
      <c r="BQ50" s="192"/>
      <c r="BR50" s="192"/>
    </row>
    <row r="51">
      <c r="A51" s="60">
        <v>1635864.0</v>
      </c>
      <c r="B51" s="205">
        <v>2440455.0</v>
      </c>
      <c r="C51" s="205">
        <v>1169856.0</v>
      </c>
      <c r="D51" s="205">
        <v>1.0</v>
      </c>
      <c r="E51" s="207">
        <v>43964.18636574074</v>
      </c>
      <c r="F51" s="207">
        <v>44006.0171412037</v>
      </c>
      <c r="G51" s="207">
        <v>43996.84606481482</v>
      </c>
      <c r="H51" s="63" t="s">
        <v>950</v>
      </c>
      <c r="I51" s="205">
        <v>252.0</v>
      </c>
      <c r="J51" s="63" t="s">
        <v>133</v>
      </c>
      <c r="K51" s="205">
        <v>8157492.0</v>
      </c>
      <c r="L51" s="208">
        <v>4.59244</v>
      </c>
      <c r="M51" s="208">
        <v>2.29064</v>
      </c>
      <c r="N51" s="208">
        <v>2.0953</v>
      </c>
      <c r="O51" s="209">
        <v>4.0</v>
      </c>
      <c r="P51" s="209">
        <v>9.0</v>
      </c>
      <c r="Q51" s="209">
        <v>7.7</v>
      </c>
      <c r="R51" s="209">
        <v>4.0</v>
      </c>
      <c r="S51" s="210">
        <v>0.0019328703710925765</v>
      </c>
      <c r="U51" s="205">
        <v>4.0</v>
      </c>
      <c r="V51" s="205">
        <v>2.0</v>
      </c>
      <c r="W51" s="63" t="s">
        <v>1397</v>
      </c>
      <c r="X51" s="210">
        <v>0.0021759259252576157</v>
      </c>
      <c r="Y51" s="63" t="s">
        <v>1116</v>
      </c>
      <c r="Z51" s="63" t="s">
        <v>1398</v>
      </c>
      <c r="AA51" s="205">
        <v>0.0</v>
      </c>
      <c r="AB51" s="63" t="s">
        <v>1399</v>
      </c>
      <c r="AC51" s="205">
        <v>242.0</v>
      </c>
      <c r="AD51" s="208">
        <v>9.49536</v>
      </c>
      <c r="AE51" s="205">
        <v>28872.0</v>
      </c>
      <c r="AF51" s="205">
        <v>6066.0</v>
      </c>
      <c r="AG51" s="205">
        <v>421.0</v>
      </c>
      <c r="AH51" s="205">
        <v>308.0</v>
      </c>
      <c r="AI51" s="205">
        <v>1.0</v>
      </c>
      <c r="AJ51" s="205">
        <v>1060.0</v>
      </c>
      <c r="AK51" s="205">
        <v>0.0</v>
      </c>
      <c r="AL51" s="205">
        <v>0.0</v>
      </c>
      <c r="AM51" s="205">
        <v>0.0</v>
      </c>
      <c r="AN51" s="205">
        <v>0.0</v>
      </c>
      <c r="AO51" s="208">
        <v>4.15122</v>
      </c>
      <c r="AP51" s="208">
        <v>4.97933</v>
      </c>
      <c r="AQ51" s="208">
        <v>6.43299</v>
      </c>
      <c r="AR51" s="208">
        <v>3.61597</v>
      </c>
      <c r="AT51" s="192" t="s">
        <v>132</v>
      </c>
      <c r="AU51" s="211" t="s">
        <v>1400</v>
      </c>
      <c r="AV51" s="211" t="s">
        <v>1401</v>
      </c>
      <c r="AW51" s="211" t="s">
        <v>1402</v>
      </c>
      <c r="AX51" s="211" t="s">
        <v>132</v>
      </c>
      <c r="AY51" s="212">
        <v>2.0</v>
      </c>
      <c r="AZ51" s="213">
        <v>4.5</v>
      </c>
      <c r="BA51" s="213">
        <v>3.85</v>
      </c>
      <c r="BB51" s="213">
        <v>2.0</v>
      </c>
      <c r="BC51" s="212">
        <v>5.2</v>
      </c>
      <c r="BD51" s="213">
        <v>10.0</v>
      </c>
      <c r="BE51" s="213">
        <v>10.0</v>
      </c>
      <c r="BF51" s="213">
        <v>5.6</v>
      </c>
      <c r="BG51" s="212">
        <v>10.333333333333332</v>
      </c>
      <c r="BH51" s="213">
        <v>9.549999999999999</v>
      </c>
      <c r="BI51" s="213">
        <v>0.001288580247395051</v>
      </c>
      <c r="BJ51" s="213">
        <v>0.0014506172835050772</v>
      </c>
      <c r="BK51" s="213">
        <v>378.0</v>
      </c>
      <c r="BL51" s="212">
        <v>7.0</v>
      </c>
      <c r="BM51" s="213">
        <v>4.925000000000001</v>
      </c>
      <c r="BN51" s="213">
        <v>0.002577160494790102</v>
      </c>
      <c r="BO51" s="213">
        <v>0.0029012345670101545</v>
      </c>
      <c r="BP51" s="213">
        <v>189.0</v>
      </c>
      <c r="BQ51" s="192"/>
      <c r="BR51" s="192"/>
    </row>
    <row r="52">
      <c r="A52" s="60">
        <v>1972425.0</v>
      </c>
      <c r="B52" s="205">
        <v>3248876.0</v>
      </c>
      <c r="C52" s="205">
        <v>1381824.0</v>
      </c>
      <c r="D52" s="205">
        <v>1.0</v>
      </c>
      <c r="E52" s="207">
        <v>44249.012708333335</v>
      </c>
      <c r="F52" s="207">
        <v>44478.80930555555</v>
      </c>
      <c r="G52" s="207">
        <v>44471.52663194445</v>
      </c>
      <c r="H52" s="63" t="s">
        <v>951</v>
      </c>
      <c r="I52" s="205">
        <v>200.0</v>
      </c>
      <c r="J52" s="63" t="s">
        <v>139</v>
      </c>
      <c r="K52" s="205">
        <v>918297.0</v>
      </c>
      <c r="L52" s="208">
        <v>4.42076</v>
      </c>
      <c r="M52" s="208">
        <v>2.06489</v>
      </c>
      <c r="N52" s="208">
        <v>2.16419</v>
      </c>
      <c r="O52" s="209">
        <v>4.0</v>
      </c>
      <c r="P52" s="209">
        <v>9.0</v>
      </c>
      <c r="Q52" s="209">
        <v>8.0</v>
      </c>
      <c r="R52" s="209">
        <v>5.0</v>
      </c>
      <c r="S52" s="210">
        <v>0.0014120370360615198</v>
      </c>
      <c r="U52" s="205">
        <v>10.0</v>
      </c>
      <c r="V52" s="205">
        <v>5.0</v>
      </c>
      <c r="W52" s="63" t="s">
        <v>1403</v>
      </c>
      <c r="X52" s="210">
        <v>0.0015393518515338656</v>
      </c>
      <c r="Y52" s="63" t="s">
        <v>1404</v>
      </c>
      <c r="Z52" s="63" t="s">
        <v>1405</v>
      </c>
      <c r="AA52" s="205">
        <v>0.0</v>
      </c>
      <c r="AB52" s="63" t="s">
        <v>1406</v>
      </c>
      <c r="AC52" s="205">
        <v>311.0</v>
      </c>
      <c r="AD52" s="208">
        <v>8.91545</v>
      </c>
      <c r="AE52" s="205">
        <v>58636.0</v>
      </c>
      <c r="AF52" s="205">
        <v>15893.0</v>
      </c>
      <c r="AG52" s="205">
        <v>144.0</v>
      </c>
      <c r="AH52" s="205">
        <v>285.0</v>
      </c>
      <c r="AI52" s="205">
        <v>2.0</v>
      </c>
      <c r="AJ52" s="205">
        <v>870.0</v>
      </c>
      <c r="AK52" s="205">
        <v>0.0</v>
      </c>
      <c r="AL52" s="205">
        <v>0.0</v>
      </c>
      <c r="AM52" s="205">
        <v>0.0</v>
      </c>
      <c r="AN52" s="205">
        <v>0.0</v>
      </c>
      <c r="AO52" s="208">
        <v>3.98062</v>
      </c>
      <c r="AP52" s="208">
        <v>4.69154</v>
      </c>
      <c r="AQ52" s="208">
        <v>6.44503</v>
      </c>
      <c r="AR52" s="208">
        <v>3.5012</v>
      </c>
      <c r="AT52" s="192" t="s">
        <v>138</v>
      </c>
      <c r="AU52" s="211" t="s">
        <v>1407</v>
      </c>
      <c r="AV52" s="211" t="s">
        <v>1408</v>
      </c>
      <c r="AW52" s="211" t="s">
        <v>1409</v>
      </c>
      <c r="AX52" s="211" t="s">
        <v>138</v>
      </c>
      <c r="AY52" s="212">
        <v>2.0</v>
      </c>
      <c r="AZ52" s="213">
        <v>4.5</v>
      </c>
      <c r="BA52" s="213">
        <v>4.0</v>
      </c>
      <c r="BB52" s="213">
        <v>2.5</v>
      </c>
      <c r="BC52" s="212">
        <v>5.2</v>
      </c>
      <c r="BD52" s="213">
        <v>10.0</v>
      </c>
      <c r="BE52" s="213">
        <v>10.0</v>
      </c>
      <c r="BF52" s="213">
        <v>7.0</v>
      </c>
      <c r="BG52" s="212">
        <v>10.333333333333332</v>
      </c>
      <c r="BH52" s="213">
        <v>9.75</v>
      </c>
      <c r="BI52" s="213">
        <v>9.413580240410132E-4</v>
      </c>
      <c r="BJ52" s="213">
        <v>0.0010262345676892437</v>
      </c>
      <c r="BK52" s="213">
        <v>300.0</v>
      </c>
      <c r="BL52" s="212">
        <v>7.0</v>
      </c>
      <c r="BM52" s="213">
        <v>5.375</v>
      </c>
      <c r="BN52" s="213">
        <v>0.0018827160480820264</v>
      </c>
      <c r="BO52" s="213">
        <v>0.0020524691353784874</v>
      </c>
      <c r="BP52" s="213">
        <v>150.0</v>
      </c>
      <c r="BQ52" s="192"/>
      <c r="BR52" s="192"/>
    </row>
    <row r="53">
      <c r="A53" s="60">
        <v>3444608.0</v>
      </c>
      <c r="B53" s="205">
        <v>3248876.0</v>
      </c>
      <c r="C53" s="205">
        <v>1381824.0</v>
      </c>
      <c r="D53" s="205">
        <v>1.0</v>
      </c>
      <c r="E53" s="207">
        <v>44249.012708333335</v>
      </c>
      <c r="F53" s="207">
        <v>44478.80930555555</v>
      </c>
      <c r="G53" s="207">
        <v>44471.52663194445</v>
      </c>
      <c r="H53" s="63" t="s">
        <v>951</v>
      </c>
      <c r="I53" s="205">
        <v>200.0</v>
      </c>
      <c r="J53" s="63" t="s">
        <v>139</v>
      </c>
      <c r="K53" s="205">
        <v>918297.0</v>
      </c>
      <c r="L53" s="208">
        <v>4.42076</v>
      </c>
      <c r="M53" s="208">
        <v>2.06489</v>
      </c>
      <c r="N53" s="208">
        <v>2.16419</v>
      </c>
      <c r="O53" s="209">
        <v>4.0</v>
      </c>
      <c r="P53" s="209">
        <v>9.0</v>
      </c>
      <c r="Q53" s="209">
        <v>8.0</v>
      </c>
      <c r="R53" s="209">
        <v>5.0</v>
      </c>
      <c r="S53" s="210">
        <v>0.0014120370360615198</v>
      </c>
      <c r="U53" s="205">
        <v>10.0</v>
      </c>
      <c r="V53" s="205">
        <v>5.0</v>
      </c>
      <c r="W53" s="63" t="s">
        <v>1403</v>
      </c>
      <c r="X53" s="210">
        <v>0.0015393518515338656</v>
      </c>
      <c r="Y53" s="63" t="s">
        <v>1404</v>
      </c>
      <c r="Z53" s="63" t="s">
        <v>1405</v>
      </c>
      <c r="AA53" s="205">
        <v>0.0</v>
      </c>
      <c r="AB53" s="63" t="s">
        <v>1406</v>
      </c>
      <c r="AC53" s="205">
        <v>311.0</v>
      </c>
      <c r="AD53" s="208">
        <v>8.91545</v>
      </c>
      <c r="AE53" s="205">
        <v>58636.0</v>
      </c>
      <c r="AF53" s="205">
        <v>15893.0</v>
      </c>
      <c r="AG53" s="205">
        <v>144.0</v>
      </c>
      <c r="AH53" s="205">
        <v>285.0</v>
      </c>
      <c r="AI53" s="205">
        <v>2.0</v>
      </c>
      <c r="AJ53" s="205">
        <v>870.0</v>
      </c>
      <c r="AK53" s="205">
        <v>0.0</v>
      </c>
      <c r="AL53" s="205">
        <v>0.0</v>
      </c>
      <c r="AM53" s="205">
        <v>0.0</v>
      </c>
      <c r="AN53" s="205">
        <v>0.0</v>
      </c>
      <c r="AO53" s="208">
        <v>3.98062</v>
      </c>
      <c r="AP53" s="208">
        <v>4.69154</v>
      </c>
      <c r="AQ53" s="208">
        <v>6.44503</v>
      </c>
      <c r="AR53" s="208">
        <v>3.5012</v>
      </c>
      <c r="AT53" s="192" t="s">
        <v>138</v>
      </c>
      <c r="AU53" s="211" t="s">
        <v>1407</v>
      </c>
      <c r="AV53" s="211" t="s">
        <v>1408</v>
      </c>
      <c r="AW53" s="211" t="s">
        <v>1409</v>
      </c>
      <c r="AX53" s="211" t="s">
        <v>138</v>
      </c>
      <c r="AY53" s="212">
        <v>2.0</v>
      </c>
      <c r="AZ53" s="213">
        <v>4.5</v>
      </c>
      <c r="BA53" s="213">
        <v>4.0</v>
      </c>
      <c r="BB53" s="213">
        <v>2.5</v>
      </c>
      <c r="BC53" s="212">
        <v>5.2</v>
      </c>
      <c r="BD53" s="213">
        <v>10.0</v>
      </c>
      <c r="BE53" s="213">
        <v>10.0</v>
      </c>
      <c r="BF53" s="213">
        <v>7.0</v>
      </c>
      <c r="BG53" s="212">
        <v>10.333333333333332</v>
      </c>
      <c r="BH53" s="213">
        <v>9.75</v>
      </c>
      <c r="BI53" s="213">
        <v>9.413580240410132E-4</v>
      </c>
      <c r="BJ53" s="213">
        <v>0.0010262345676892437</v>
      </c>
      <c r="BK53" s="213">
        <v>300.0</v>
      </c>
      <c r="BL53" s="212">
        <v>7.0</v>
      </c>
      <c r="BM53" s="213">
        <v>5.375</v>
      </c>
      <c r="BN53" s="213">
        <v>0.0018827160480820264</v>
      </c>
      <c r="BO53" s="213">
        <v>0.0020524691353784874</v>
      </c>
      <c r="BP53" s="213">
        <v>150.0</v>
      </c>
      <c r="BQ53" s="192"/>
      <c r="BR53" s="192"/>
    </row>
    <row r="54">
      <c r="A54" s="60">
        <v>1567978.0</v>
      </c>
      <c r="B54" s="205">
        <v>1989991.0</v>
      </c>
      <c r="C54" s="205">
        <v>932654.0</v>
      </c>
      <c r="D54" s="205">
        <v>1.0</v>
      </c>
      <c r="E54" s="207">
        <v>43524.08570601852</v>
      </c>
      <c r="F54" s="207">
        <v>43695.54170138889</v>
      </c>
      <c r="G54" s="207">
        <v>43687.61561342592</v>
      </c>
      <c r="H54" s="63" t="s">
        <v>952</v>
      </c>
      <c r="I54" s="205">
        <v>127.0</v>
      </c>
      <c r="J54" s="63" t="s">
        <v>144</v>
      </c>
      <c r="K54" s="205">
        <v>53378.0</v>
      </c>
      <c r="L54" s="208">
        <v>4.58083</v>
      </c>
      <c r="M54" s="208">
        <v>1.91613</v>
      </c>
      <c r="N54" s="208">
        <v>2.40484</v>
      </c>
      <c r="O54" s="209">
        <v>4.0</v>
      </c>
      <c r="P54" s="209">
        <v>8.3</v>
      </c>
      <c r="Q54" s="209">
        <v>7.0</v>
      </c>
      <c r="R54" s="209">
        <v>5.0</v>
      </c>
      <c r="S54" s="210">
        <v>0.0015393518515338656</v>
      </c>
      <c r="T54" s="63" t="s">
        <v>1351</v>
      </c>
      <c r="U54" s="205">
        <v>2.0</v>
      </c>
      <c r="V54" s="205">
        <v>3.0</v>
      </c>
      <c r="W54" s="63" t="s">
        <v>1352</v>
      </c>
      <c r="X54" s="210">
        <v>0.0015393518515338656</v>
      </c>
      <c r="Y54" s="63" t="s">
        <v>1116</v>
      </c>
      <c r="Z54" s="63" t="s">
        <v>1410</v>
      </c>
      <c r="AA54" s="205">
        <v>0.0</v>
      </c>
      <c r="AB54" s="63" t="s">
        <v>1355</v>
      </c>
      <c r="AC54" s="205">
        <v>540.0</v>
      </c>
      <c r="AD54" s="208">
        <v>8.8292</v>
      </c>
      <c r="AE54" s="205">
        <v>108216.0</v>
      </c>
      <c r="AF54" s="205">
        <v>18333.0</v>
      </c>
      <c r="AG54" s="205">
        <v>433.0</v>
      </c>
      <c r="AH54" s="205">
        <v>231.0</v>
      </c>
      <c r="AI54" s="205">
        <v>1.0</v>
      </c>
      <c r="AJ54" s="205">
        <v>996.0</v>
      </c>
      <c r="AK54" s="205">
        <v>0.0</v>
      </c>
      <c r="AL54" s="205">
        <v>0.0</v>
      </c>
      <c r="AM54" s="205">
        <v>0.0</v>
      </c>
      <c r="AN54" s="205">
        <v>0.0</v>
      </c>
      <c r="AO54" s="208">
        <v>4.18329</v>
      </c>
      <c r="AP54" s="208">
        <v>4.7234</v>
      </c>
      <c r="AQ54" s="208">
        <v>6.84315</v>
      </c>
      <c r="AR54" s="208">
        <v>3.60878</v>
      </c>
      <c r="AT54" s="192" t="s">
        <v>143</v>
      </c>
      <c r="AU54" s="211" t="s">
        <v>1411</v>
      </c>
      <c r="AV54" s="211" t="s">
        <v>1356</v>
      </c>
      <c r="AW54" s="211" t="s">
        <v>1357</v>
      </c>
      <c r="AX54" s="211" t="s">
        <v>143</v>
      </c>
      <c r="AY54" s="212">
        <v>2.0</v>
      </c>
      <c r="AZ54" s="213">
        <v>4.15</v>
      </c>
      <c r="BA54" s="213">
        <v>3.5</v>
      </c>
      <c r="BB54" s="213">
        <v>2.5</v>
      </c>
      <c r="BC54" s="212">
        <v>5.2</v>
      </c>
      <c r="BD54" s="213">
        <v>10.0</v>
      </c>
      <c r="BE54" s="213">
        <v>9.799999999999999</v>
      </c>
      <c r="BF54" s="213">
        <v>7.0</v>
      </c>
      <c r="BG54" s="212">
        <v>9.866666666666667</v>
      </c>
      <c r="BH54" s="213">
        <v>9.083333333333334</v>
      </c>
      <c r="BI54" s="213">
        <v>0.0010262345676892437</v>
      </c>
      <c r="BJ54" s="213">
        <v>0.0010262345676892437</v>
      </c>
      <c r="BK54" s="213">
        <v>190.5</v>
      </c>
      <c r="BL54" s="212">
        <v>5.950000000000001</v>
      </c>
      <c r="BM54" s="213">
        <v>3.875</v>
      </c>
      <c r="BN54" s="213">
        <v>0.0020524691353784874</v>
      </c>
      <c r="BO54" s="213">
        <v>0.0020524691353784874</v>
      </c>
      <c r="BP54" s="213">
        <v>95.25</v>
      </c>
      <c r="BQ54" s="192"/>
      <c r="BR54" s="192"/>
    </row>
    <row r="55">
      <c r="A55" s="60">
        <v>3081261.0</v>
      </c>
      <c r="B55" s="205">
        <v>1989991.0</v>
      </c>
      <c r="C55" s="205">
        <v>932654.0</v>
      </c>
      <c r="D55" s="205">
        <v>1.0</v>
      </c>
      <c r="E55" s="207">
        <v>43524.08570601852</v>
      </c>
      <c r="F55" s="207">
        <v>43695.54170138889</v>
      </c>
      <c r="G55" s="207">
        <v>43687.61561342592</v>
      </c>
      <c r="H55" s="63" t="s">
        <v>952</v>
      </c>
      <c r="I55" s="205">
        <v>127.0</v>
      </c>
      <c r="J55" s="63" t="s">
        <v>144</v>
      </c>
      <c r="K55" s="205">
        <v>53378.0</v>
      </c>
      <c r="L55" s="208">
        <v>4.58083</v>
      </c>
      <c r="M55" s="208">
        <v>1.91613</v>
      </c>
      <c r="N55" s="208">
        <v>2.40484</v>
      </c>
      <c r="O55" s="209">
        <v>4.0</v>
      </c>
      <c r="P55" s="209">
        <v>8.3</v>
      </c>
      <c r="Q55" s="209">
        <v>7.0</v>
      </c>
      <c r="R55" s="209">
        <v>5.0</v>
      </c>
      <c r="S55" s="210">
        <v>0.0015393518515338656</v>
      </c>
      <c r="T55" s="63" t="s">
        <v>1351</v>
      </c>
      <c r="U55" s="205">
        <v>2.0</v>
      </c>
      <c r="V55" s="205">
        <v>3.0</v>
      </c>
      <c r="W55" s="63" t="s">
        <v>1352</v>
      </c>
      <c r="X55" s="210">
        <v>0.0015393518515338656</v>
      </c>
      <c r="Y55" s="63" t="s">
        <v>1116</v>
      </c>
      <c r="Z55" s="63" t="s">
        <v>1410</v>
      </c>
      <c r="AA55" s="205">
        <v>0.0</v>
      </c>
      <c r="AB55" s="63" t="s">
        <v>1355</v>
      </c>
      <c r="AC55" s="205">
        <v>540.0</v>
      </c>
      <c r="AD55" s="208">
        <v>8.8292</v>
      </c>
      <c r="AE55" s="205">
        <v>108216.0</v>
      </c>
      <c r="AF55" s="205">
        <v>18333.0</v>
      </c>
      <c r="AG55" s="205">
        <v>433.0</v>
      </c>
      <c r="AH55" s="205">
        <v>231.0</v>
      </c>
      <c r="AI55" s="205">
        <v>1.0</v>
      </c>
      <c r="AJ55" s="205">
        <v>996.0</v>
      </c>
      <c r="AK55" s="205">
        <v>0.0</v>
      </c>
      <c r="AL55" s="205">
        <v>0.0</v>
      </c>
      <c r="AM55" s="205">
        <v>0.0</v>
      </c>
      <c r="AN55" s="205">
        <v>0.0</v>
      </c>
      <c r="AO55" s="208">
        <v>4.18329</v>
      </c>
      <c r="AP55" s="208">
        <v>4.7234</v>
      </c>
      <c r="AQ55" s="208">
        <v>6.84315</v>
      </c>
      <c r="AR55" s="208">
        <v>3.60878</v>
      </c>
      <c r="AT55" s="192" t="s">
        <v>143</v>
      </c>
      <c r="AU55" s="211" t="s">
        <v>1411</v>
      </c>
      <c r="AV55" s="211" t="s">
        <v>1356</v>
      </c>
      <c r="AW55" s="211" t="s">
        <v>1357</v>
      </c>
      <c r="AX55" s="211" t="s">
        <v>143</v>
      </c>
      <c r="AY55" s="212">
        <v>2.0</v>
      </c>
      <c r="AZ55" s="213">
        <v>4.15</v>
      </c>
      <c r="BA55" s="213">
        <v>3.5</v>
      </c>
      <c r="BB55" s="213">
        <v>2.5</v>
      </c>
      <c r="BC55" s="212">
        <v>5.2</v>
      </c>
      <c r="BD55" s="213">
        <v>10.0</v>
      </c>
      <c r="BE55" s="213">
        <v>9.799999999999999</v>
      </c>
      <c r="BF55" s="213">
        <v>7.0</v>
      </c>
      <c r="BG55" s="212">
        <v>9.866666666666667</v>
      </c>
      <c r="BH55" s="213">
        <v>9.083333333333334</v>
      </c>
      <c r="BI55" s="213">
        <v>0.0010262345676892437</v>
      </c>
      <c r="BJ55" s="213">
        <v>0.0010262345676892437</v>
      </c>
      <c r="BK55" s="213">
        <v>190.5</v>
      </c>
      <c r="BL55" s="212">
        <v>5.950000000000001</v>
      </c>
      <c r="BM55" s="213">
        <v>3.875</v>
      </c>
      <c r="BN55" s="213">
        <v>0.0020524691353784874</v>
      </c>
      <c r="BO55" s="213">
        <v>0.0020524691353784874</v>
      </c>
      <c r="BP55" s="213">
        <v>95.25</v>
      </c>
      <c r="BQ55" s="192"/>
      <c r="BR55" s="192"/>
    </row>
    <row r="56">
      <c r="A56" s="60">
        <v>3248876.0</v>
      </c>
      <c r="B56" s="205">
        <v>1989991.0</v>
      </c>
      <c r="C56" s="205">
        <v>932654.0</v>
      </c>
      <c r="D56" s="205">
        <v>1.0</v>
      </c>
      <c r="E56" s="207">
        <v>43524.08570601852</v>
      </c>
      <c r="F56" s="207">
        <v>43695.54170138889</v>
      </c>
      <c r="G56" s="207">
        <v>43687.61561342592</v>
      </c>
      <c r="H56" s="63" t="s">
        <v>952</v>
      </c>
      <c r="I56" s="205">
        <v>127.0</v>
      </c>
      <c r="J56" s="63" t="s">
        <v>144</v>
      </c>
      <c r="K56" s="205">
        <v>53378.0</v>
      </c>
      <c r="L56" s="208">
        <v>4.58083</v>
      </c>
      <c r="M56" s="208">
        <v>1.91613</v>
      </c>
      <c r="N56" s="208">
        <v>2.40484</v>
      </c>
      <c r="O56" s="209">
        <v>4.0</v>
      </c>
      <c r="P56" s="209">
        <v>8.3</v>
      </c>
      <c r="Q56" s="209">
        <v>7.0</v>
      </c>
      <c r="R56" s="209">
        <v>5.0</v>
      </c>
      <c r="S56" s="210">
        <v>0.0015393518515338656</v>
      </c>
      <c r="T56" s="63" t="s">
        <v>1351</v>
      </c>
      <c r="U56" s="205">
        <v>2.0</v>
      </c>
      <c r="V56" s="205">
        <v>3.0</v>
      </c>
      <c r="W56" s="63" t="s">
        <v>1352</v>
      </c>
      <c r="X56" s="210">
        <v>0.0015393518515338656</v>
      </c>
      <c r="Y56" s="63" t="s">
        <v>1116</v>
      </c>
      <c r="Z56" s="63" t="s">
        <v>1410</v>
      </c>
      <c r="AA56" s="205">
        <v>0.0</v>
      </c>
      <c r="AB56" s="63" t="s">
        <v>1355</v>
      </c>
      <c r="AC56" s="205">
        <v>540.0</v>
      </c>
      <c r="AD56" s="208">
        <v>8.8292</v>
      </c>
      <c r="AE56" s="205">
        <v>108216.0</v>
      </c>
      <c r="AF56" s="205">
        <v>18333.0</v>
      </c>
      <c r="AG56" s="205">
        <v>433.0</v>
      </c>
      <c r="AH56" s="205">
        <v>231.0</v>
      </c>
      <c r="AI56" s="205">
        <v>1.0</v>
      </c>
      <c r="AJ56" s="205">
        <v>996.0</v>
      </c>
      <c r="AK56" s="205">
        <v>0.0</v>
      </c>
      <c r="AL56" s="205">
        <v>0.0</v>
      </c>
      <c r="AM56" s="205">
        <v>0.0</v>
      </c>
      <c r="AN56" s="205">
        <v>0.0</v>
      </c>
      <c r="AO56" s="208">
        <v>4.18329</v>
      </c>
      <c r="AP56" s="208">
        <v>4.7234</v>
      </c>
      <c r="AQ56" s="208">
        <v>6.84315</v>
      </c>
      <c r="AR56" s="208">
        <v>3.60878</v>
      </c>
      <c r="AT56" s="192" t="s">
        <v>143</v>
      </c>
      <c r="AU56" s="211" t="s">
        <v>1411</v>
      </c>
      <c r="AV56" s="211" t="s">
        <v>1356</v>
      </c>
      <c r="AW56" s="211" t="s">
        <v>1357</v>
      </c>
      <c r="AX56" s="211" t="s">
        <v>143</v>
      </c>
      <c r="AY56" s="212">
        <v>2.0</v>
      </c>
      <c r="AZ56" s="213">
        <v>4.15</v>
      </c>
      <c r="BA56" s="213">
        <v>3.5</v>
      </c>
      <c r="BB56" s="213">
        <v>2.5</v>
      </c>
      <c r="BC56" s="212">
        <v>5.2</v>
      </c>
      <c r="BD56" s="213">
        <v>10.0</v>
      </c>
      <c r="BE56" s="213">
        <v>9.799999999999999</v>
      </c>
      <c r="BF56" s="213">
        <v>7.0</v>
      </c>
      <c r="BG56" s="212">
        <v>9.866666666666667</v>
      </c>
      <c r="BH56" s="213">
        <v>9.083333333333334</v>
      </c>
      <c r="BI56" s="213">
        <v>0.0010262345676892437</v>
      </c>
      <c r="BJ56" s="213">
        <v>0.0010262345676892437</v>
      </c>
      <c r="BK56" s="213">
        <v>190.5</v>
      </c>
      <c r="BL56" s="212">
        <v>5.950000000000001</v>
      </c>
      <c r="BM56" s="213">
        <v>3.875</v>
      </c>
      <c r="BN56" s="213">
        <v>0.0020524691353784874</v>
      </c>
      <c r="BO56" s="213">
        <v>0.0020524691353784874</v>
      </c>
      <c r="BP56" s="213">
        <v>95.25</v>
      </c>
      <c r="BQ56" s="192"/>
      <c r="BR56" s="192"/>
    </row>
    <row r="57">
      <c r="A57" s="60">
        <v>1489274.0</v>
      </c>
      <c r="B57" s="205">
        <v>3280686.0</v>
      </c>
      <c r="C57" s="205">
        <v>1533832.0</v>
      </c>
      <c r="D57" s="205">
        <v>1.0</v>
      </c>
      <c r="E57" s="207">
        <v>44406.65576388889</v>
      </c>
      <c r="F57" s="207">
        <v>44566.03103009259</v>
      </c>
      <c r="G57" s="207">
        <v>44557.37741898149</v>
      </c>
      <c r="H57" s="63" t="s">
        <v>953</v>
      </c>
      <c r="I57" s="205">
        <v>170.0</v>
      </c>
      <c r="J57" s="63" t="s">
        <v>148</v>
      </c>
      <c r="K57" s="205">
        <v>7777875.0</v>
      </c>
      <c r="L57" s="208">
        <v>4.75975</v>
      </c>
      <c r="M57" s="208">
        <v>2.40044</v>
      </c>
      <c r="N57" s="208">
        <v>2.13812</v>
      </c>
      <c r="O57" s="209">
        <v>3.3</v>
      </c>
      <c r="P57" s="209">
        <v>9.0</v>
      </c>
      <c r="Q57" s="209">
        <v>8.0</v>
      </c>
      <c r="R57" s="209">
        <v>6.0</v>
      </c>
      <c r="S57" s="210">
        <v>0.002013888890360249</v>
      </c>
      <c r="U57" s="205">
        <v>5.0</v>
      </c>
      <c r="V57" s="205">
        <v>3.0</v>
      </c>
      <c r="W57" s="63" t="s">
        <v>1412</v>
      </c>
      <c r="X57" s="210">
        <v>0.002164351852115942</v>
      </c>
      <c r="Y57" s="63" t="s">
        <v>1413</v>
      </c>
      <c r="Z57" s="63" t="s">
        <v>1414</v>
      </c>
      <c r="AA57" s="205">
        <v>0.0</v>
      </c>
      <c r="AB57" s="63" t="s">
        <v>1415</v>
      </c>
      <c r="AC57" s="205">
        <v>1466.0</v>
      </c>
      <c r="AD57" s="208">
        <v>9.12763</v>
      </c>
      <c r="AE57" s="205">
        <v>207802.0</v>
      </c>
      <c r="AF57" s="205">
        <v>17831.0</v>
      </c>
      <c r="AG57" s="205">
        <v>372.0</v>
      </c>
      <c r="AH57" s="205">
        <v>281.0</v>
      </c>
      <c r="AI57" s="205">
        <v>0.0</v>
      </c>
      <c r="AJ57" s="205">
        <v>973.0</v>
      </c>
      <c r="AK57" s="205">
        <v>0.0</v>
      </c>
      <c r="AL57" s="205">
        <v>0.0</v>
      </c>
      <c r="AM57" s="205">
        <v>0.0</v>
      </c>
      <c r="AN57" s="205">
        <v>0.0</v>
      </c>
      <c r="AO57" s="208">
        <v>4.44081</v>
      </c>
      <c r="AP57" s="208">
        <v>4.94913</v>
      </c>
      <c r="AQ57" s="208">
        <v>6.6603</v>
      </c>
      <c r="AR57" s="208">
        <v>3.79826</v>
      </c>
      <c r="AT57" s="192" t="s">
        <v>147</v>
      </c>
      <c r="AU57" s="211" t="s">
        <v>1416</v>
      </c>
      <c r="AV57" s="211" t="s">
        <v>1417</v>
      </c>
      <c r="AW57" s="211" t="s">
        <v>1418</v>
      </c>
      <c r="AX57" s="211" t="s">
        <v>147</v>
      </c>
      <c r="AY57" s="212">
        <v>1.65</v>
      </c>
      <c r="AZ57" s="213">
        <v>4.5</v>
      </c>
      <c r="BA57" s="213">
        <v>4.0</v>
      </c>
      <c r="BB57" s="213">
        <v>3.0</v>
      </c>
      <c r="BC57" s="212">
        <v>4.29</v>
      </c>
      <c r="BD57" s="213">
        <v>10.0</v>
      </c>
      <c r="BE57" s="213">
        <v>10.0</v>
      </c>
      <c r="BF57" s="213">
        <v>8.399999999999999</v>
      </c>
      <c r="BG57" s="212">
        <v>10.333333333333332</v>
      </c>
      <c r="BH57" s="213">
        <v>9.75</v>
      </c>
      <c r="BI57" s="213">
        <v>0.0013425925935734995</v>
      </c>
      <c r="BJ57" s="213">
        <v>0.0014429012347439614</v>
      </c>
      <c r="BK57" s="213">
        <v>255.0</v>
      </c>
      <c r="BL57" s="212">
        <v>7.0</v>
      </c>
      <c r="BM57" s="213">
        <v>5.375</v>
      </c>
      <c r="BN57" s="213">
        <v>0.002685185187146999</v>
      </c>
      <c r="BO57" s="213">
        <v>0.0028858024694879227</v>
      </c>
      <c r="BP57" s="213">
        <v>127.5</v>
      </c>
      <c r="BQ57" s="192"/>
      <c r="BR57" s="192"/>
    </row>
    <row r="58">
      <c r="A58" s="60">
        <v>1404975.0</v>
      </c>
      <c r="B58" s="205">
        <v>3280686.0</v>
      </c>
      <c r="C58" s="205">
        <v>1533832.0</v>
      </c>
      <c r="D58" s="205">
        <v>1.0</v>
      </c>
      <c r="E58" s="207">
        <v>44406.65576388889</v>
      </c>
      <c r="F58" s="207">
        <v>44566.03103009259</v>
      </c>
      <c r="G58" s="207">
        <v>44557.37741898149</v>
      </c>
      <c r="H58" s="63" t="s">
        <v>953</v>
      </c>
      <c r="I58" s="205">
        <v>170.0</v>
      </c>
      <c r="J58" s="63" t="s">
        <v>148</v>
      </c>
      <c r="K58" s="205">
        <v>7777875.0</v>
      </c>
      <c r="L58" s="208">
        <v>4.75975</v>
      </c>
      <c r="M58" s="208">
        <v>2.40044</v>
      </c>
      <c r="N58" s="208">
        <v>2.13812</v>
      </c>
      <c r="O58" s="209">
        <v>3.3</v>
      </c>
      <c r="P58" s="209">
        <v>9.0</v>
      </c>
      <c r="Q58" s="209">
        <v>8.0</v>
      </c>
      <c r="R58" s="209">
        <v>6.0</v>
      </c>
      <c r="S58" s="210">
        <v>0.002013888890360249</v>
      </c>
      <c r="U58" s="205">
        <v>5.0</v>
      </c>
      <c r="V58" s="205">
        <v>3.0</v>
      </c>
      <c r="W58" s="63" t="s">
        <v>1412</v>
      </c>
      <c r="X58" s="210">
        <v>0.002164351852115942</v>
      </c>
      <c r="Y58" s="63" t="s">
        <v>1413</v>
      </c>
      <c r="Z58" s="63" t="s">
        <v>1414</v>
      </c>
      <c r="AA58" s="205">
        <v>0.0</v>
      </c>
      <c r="AB58" s="63" t="s">
        <v>1415</v>
      </c>
      <c r="AC58" s="205">
        <v>1466.0</v>
      </c>
      <c r="AD58" s="208">
        <v>9.12763</v>
      </c>
      <c r="AE58" s="205">
        <v>207802.0</v>
      </c>
      <c r="AF58" s="205">
        <v>17831.0</v>
      </c>
      <c r="AG58" s="205">
        <v>372.0</v>
      </c>
      <c r="AH58" s="205">
        <v>281.0</v>
      </c>
      <c r="AI58" s="205">
        <v>0.0</v>
      </c>
      <c r="AJ58" s="205">
        <v>973.0</v>
      </c>
      <c r="AK58" s="205">
        <v>0.0</v>
      </c>
      <c r="AL58" s="205">
        <v>0.0</v>
      </c>
      <c r="AM58" s="205">
        <v>0.0</v>
      </c>
      <c r="AN58" s="205">
        <v>0.0</v>
      </c>
      <c r="AO58" s="208">
        <v>4.44081</v>
      </c>
      <c r="AP58" s="208">
        <v>4.94913</v>
      </c>
      <c r="AQ58" s="208">
        <v>6.6603</v>
      </c>
      <c r="AR58" s="208">
        <v>3.79826</v>
      </c>
      <c r="AT58" s="192" t="s">
        <v>147</v>
      </c>
      <c r="AU58" s="211" t="s">
        <v>1416</v>
      </c>
      <c r="AV58" s="211" t="s">
        <v>1417</v>
      </c>
      <c r="AW58" s="211" t="s">
        <v>1418</v>
      </c>
      <c r="AX58" s="211" t="s">
        <v>147</v>
      </c>
      <c r="AY58" s="212">
        <v>1.65</v>
      </c>
      <c r="AZ58" s="213">
        <v>4.5</v>
      </c>
      <c r="BA58" s="213">
        <v>4.0</v>
      </c>
      <c r="BB58" s="213">
        <v>3.0</v>
      </c>
      <c r="BC58" s="212">
        <v>4.29</v>
      </c>
      <c r="BD58" s="213">
        <v>10.0</v>
      </c>
      <c r="BE58" s="213">
        <v>10.0</v>
      </c>
      <c r="BF58" s="213">
        <v>8.399999999999999</v>
      </c>
      <c r="BG58" s="212">
        <v>10.333333333333332</v>
      </c>
      <c r="BH58" s="213">
        <v>9.75</v>
      </c>
      <c r="BI58" s="213">
        <v>0.0013425925935734995</v>
      </c>
      <c r="BJ58" s="213">
        <v>0.0014429012347439614</v>
      </c>
      <c r="BK58" s="213">
        <v>255.0</v>
      </c>
      <c r="BL58" s="212">
        <v>7.0</v>
      </c>
      <c r="BM58" s="213">
        <v>5.375</v>
      </c>
      <c r="BN58" s="213">
        <v>0.002685185187146999</v>
      </c>
      <c r="BO58" s="213">
        <v>0.0028858024694879227</v>
      </c>
      <c r="BP58" s="213">
        <v>127.5</v>
      </c>
      <c r="BQ58" s="192"/>
      <c r="BR58" s="192"/>
    </row>
    <row r="59">
      <c r="A59" s="60">
        <v>3291796.0</v>
      </c>
      <c r="B59" s="205">
        <v>3280686.0</v>
      </c>
      <c r="C59" s="205">
        <v>1533832.0</v>
      </c>
      <c r="D59" s="205">
        <v>1.0</v>
      </c>
      <c r="E59" s="207">
        <v>44406.65576388889</v>
      </c>
      <c r="F59" s="207">
        <v>44566.03103009259</v>
      </c>
      <c r="G59" s="207">
        <v>44557.37741898149</v>
      </c>
      <c r="H59" s="63" t="s">
        <v>953</v>
      </c>
      <c r="I59" s="205">
        <v>170.0</v>
      </c>
      <c r="J59" s="63" t="s">
        <v>148</v>
      </c>
      <c r="K59" s="205">
        <v>7777875.0</v>
      </c>
      <c r="L59" s="208">
        <v>4.75975</v>
      </c>
      <c r="M59" s="208">
        <v>2.40044</v>
      </c>
      <c r="N59" s="208">
        <v>2.13812</v>
      </c>
      <c r="O59" s="209">
        <v>3.3</v>
      </c>
      <c r="P59" s="209">
        <v>9.0</v>
      </c>
      <c r="Q59" s="209">
        <v>8.0</v>
      </c>
      <c r="R59" s="209">
        <v>6.0</v>
      </c>
      <c r="S59" s="210">
        <v>0.002013888890360249</v>
      </c>
      <c r="U59" s="205">
        <v>5.0</v>
      </c>
      <c r="V59" s="205">
        <v>3.0</v>
      </c>
      <c r="W59" s="63" t="s">
        <v>1412</v>
      </c>
      <c r="X59" s="210">
        <v>0.002164351852115942</v>
      </c>
      <c r="Y59" s="63" t="s">
        <v>1413</v>
      </c>
      <c r="Z59" s="63" t="s">
        <v>1414</v>
      </c>
      <c r="AA59" s="205">
        <v>0.0</v>
      </c>
      <c r="AB59" s="63" t="s">
        <v>1415</v>
      </c>
      <c r="AC59" s="205">
        <v>1466.0</v>
      </c>
      <c r="AD59" s="208">
        <v>9.12763</v>
      </c>
      <c r="AE59" s="205">
        <v>207802.0</v>
      </c>
      <c r="AF59" s="205">
        <v>17831.0</v>
      </c>
      <c r="AG59" s="205">
        <v>372.0</v>
      </c>
      <c r="AH59" s="205">
        <v>281.0</v>
      </c>
      <c r="AI59" s="205">
        <v>0.0</v>
      </c>
      <c r="AJ59" s="205">
        <v>973.0</v>
      </c>
      <c r="AK59" s="205">
        <v>0.0</v>
      </c>
      <c r="AL59" s="205">
        <v>0.0</v>
      </c>
      <c r="AM59" s="205">
        <v>0.0</v>
      </c>
      <c r="AN59" s="205">
        <v>0.0</v>
      </c>
      <c r="AO59" s="208">
        <v>4.44081</v>
      </c>
      <c r="AP59" s="208">
        <v>4.94913</v>
      </c>
      <c r="AQ59" s="208">
        <v>6.6603</v>
      </c>
      <c r="AR59" s="208">
        <v>3.79826</v>
      </c>
      <c r="AT59" s="192" t="s">
        <v>147</v>
      </c>
      <c r="AU59" s="211" t="s">
        <v>1416</v>
      </c>
      <c r="AV59" s="211" t="s">
        <v>1417</v>
      </c>
      <c r="AW59" s="211" t="s">
        <v>1418</v>
      </c>
      <c r="AX59" s="211" t="s">
        <v>147</v>
      </c>
      <c r="AY59" s="212">
        <v>1.65</v>
      </c>
      <c r="AZ59" s="213">
        <v>4.5</v>
      </c>
      <c r="BA59" s="213">
        <v>4.0</v>
      </c>
      <c r="BB59" s="213">
        <v>3.0</v>
      </c>
      <c r="BC59" s="212">
        <v>4.29</v>
      </c>
      <c r="BD59" s="213">
        <v>10.0</v>
      </c>
      <c r="BE59" s="213">
        <v>10.0</v>
      </c>
      <c r="BF59" s="213">
        <v>8.399999999999999</v>
      </c>
      <c r="BG59" s="212">
        <v>10.333333333333332</v>
      </c>
      <c r="BH59" s="213">
        <v>9.75</v>
      </c>
      <c r="BI59" s="213">
        <v>0.0013425925935734995</v>
      </c>
      <c r="BJ59" s="213">
        <v>0.0014429012347439614</v>
      </c>
      <c r="BK59" s="213">
        <v>255.0</v>
      </c>
      <c r="BL59" s="212">
        <v>7.0</v>
      </c>
      <c r="BM59" s="213">
        <v>5.375</v>
      </c>
      <c r="BN59" s="213">
        <v>0.002685185187146999</v>
      </c>
      <c r="BO59" s="213">
        <v>0.0028858024694879227</v>
      </c>
      <c r="BP59" s="213">
        <v>127.5</v>
      </c>
      <c r="BQ59" s="192"/>
      <c r="BR59" s="192"/>
    </row>
    <row r="60">
      <c r="A60" s="60">
        <v>192181.0</v>
      </c>
      <c r="B60" s="205">
        <v>4024821.0</v>
      </c>
      <c r="C60" s="205">
        <v>1932625.0</v>
      </c>
      <c r="D60" s="205">
        <v>1.0</v>
      </c>
      <c r="E60" s="207">
        <v>44957.719456018516</v>
      </c>
      <c r="F60" s="207">
        <v>45001.767372685186</v>
      </c>
      <c r="G60" s="207">
        <v>44994.75263888889</v>
      </c>
      <c r="H60" s="63" t="s">
        <v>1419</v>
      </c>
      <c r="I60" s="205">
        <v>192.0</v>
      </c>
      <c r="J60" s="63" t="s">
        <v>1420</v>
      </c>
      <c r="K60" s="205">
        <v>6591339.0</v>
      </c>
      <c r="L60" s="208">
        <v>4.3039</v>
      </c>
      <c r="M60" s="208">
        <v>2.17532</v>
      </c>
      <c r="N60" s="208">
        <v>1.92698</v>
      </c>
      <c r="O60" s="209">
        <v>4.0</v>
      </c>
      <c r="P60" s="209">
        <v>8.0</v>
      </c>
      <c r="Q60" s="209">
        <v>8.0</v>
      </c>
      <c r="R60" s="209">
        <v>5.0</v>
      </c>
      <c r="S60" s="210">
        <v>0.0018055555556202307</v>
      </c>
      <c r="U60" s="205">
        <v>4.0</v>
      </c>
      <c r="V60" s="205">
        <v>12.0</v>
      </c>
      <c r="W60" s="63" t="s">
        <v>1421</v>
      </c>
      <c r="X60" s="210">
        <v>0.0018865740748879034</v>
      </c>
      <c r="Y60" s="63" t="s">
        <v>1422</v>
      </c>
      <c r="Z60" s="63" t="s">
        <v>1423</v>
      </c>
      <c r="AA60" s="205">
        <v>0.0</v>
      </c>
      <c r="AB60" s="63" t="s">
        <v>1424</v>
      </c>
      <c r="AC60" s="205">
        <v>225.0</v>
      </c>
      <c r="AD60" s="208">
        <v>9.12174</v>
      </c>
      <c r="AE60" s="205">
        <v>16678.0</v>
      </c>
      <c r="AF60" s="205">
        <v>1713.0</v>
      </c>
      <c r="AG60" s="205">
        <v>345.0</v>
      </c>
      <c r="AH60" s="205">
        <v>201.0</v>
      </c>
      <c r="AI60" s="205">
        <v>1.0</v>
      </c>
      <c r="AJ60" s="205">
        <v>765.0</v>
      </c>
      <c r="AK60" s="205">
        <v>0.0</v>
      </c>
      <c r="AL60" s="205">
        <v>0.0</v>
      </c>
      <c r="AM60" s="205">
        <v>0.0</v>
      </c>
      <c r="AN60" s="205">
        <v>0.0</v>
      </c>
      <c r="AO60" s="208">
        <v>3.96199</v>
      </c>
      <c r="AP60" s="208">
        <v>4.55149</v>
      </c>
      <c r="AQ60" s="208">
        <v>6.0685</v>
      </c>
      <c r="AR60" s="208">
        <v>3.42921</v>
      </c>
      <c r="AT60" s="192" t="s">
        <v>255</v>
      </c>
      <c r="AU60" s="211" t="s">
        <v>254</v>
      </c>
      <c r="AV60" s="211" t="s">
        <v>1425</v>
      </c>
      <c r="AW60" s="211" t="s">
        <v>1426</v>
      </c>
      <c r="AX60" s="211" t="s">
        <v>255</v>
      </c>
      <c r="AY60" s="212">
        <v>2.0</v>
      </c>
      <c r="AZ60" s="213">
        <v>4.0</v>
      </c>
      <c r="BA60" s="213">
        <v>4.0</v>
      </c>
      <c r="BB60" s="213">
        <v>2.5</v>
      </c>
      <c r="BC60" s="212">
        <v>5.2</v>
      </c>
      <c r="BD60" s="213">
        <v>10.0</v>
      </c>
      <c r="BE60" s="213">
        <v>10.0</v>
      </c>
      <c r="BF60" s="213">
        <v>7.0</v>
      </c>
      <c r="BG60" s="212">
        <v>9.666666666666668</v>
      </c>
      <c r="BH60" s="213">
        <v>9.75</v>
      </c>
      <c r="BI60" s="213">
        <v>0.0012037037037468206</v>
      </c>
      <c r="BJ60" s="213">
        <v>0.0012577160499252689</v>
      </c>
      <c r="BK60" s="213">
        <v>288.0</v>
      </c>
      <c r="BL60" s="212">
        <v>5.5</v>
      </c>
      <c r="BM60" s="213">
        <v>5.375</v>
      </c>
      <c r="BN60" s="213">
        <v>0.002407407407493641</v>
      </c>
      <c r="BO60" s="213">
        <v>0.0025154320998505377</v>
      </c>
      <c r="BP60" s="213">
        <v>144.0</v>
      </c>
      <c r="BQ60" s="192"/>
      <c r="BR60" s="192"/>
    </row>
    <row r="61">
      <c r="A61" s="60">
        <v>1045757.0</v>
      </c>
      <c r="B61" s="205">
        <v>3396305.0</v>
      </c>
      <c r="C61" s="205">
        <v>1663184.0</v>
      </c>
      <c r="D61" s="205">
        <v>1.0</v>
      </c>
      <c r="E61" s="207">
        <v>44561.007939814815</v>
      </c>
      <c r="F61" s="207">
        <v>44640.02930555555</v>
      </c>
      <c r="G61" s="207">
        <v>44632.84122685185</v>
      </c>
      <c r="H61" s="63" t="s">
        <v>959</v>
      </c>
      <c r="I61" s="205">
        <v>156.0</v>
      </c>
      <c r="J61" s="63" t="s">
        <v>85</v>
      </c>
      <c r="K61" s="205">
        <v>4966334.0</v>
      </c>
      <c r="L61" s="208">
        <v>3.30202</v>
      </c>
      <c r="M61" s="208">
        <v>1.5175</v>
      </c>
      <c r="N61" s="208">
        <v>1.63794</v>
      </c>
      <c r="O61" s="209">
        <v>3.8</v>
      </c>
      <c r="P61" s="209">
        <v>8.0</v>
      </c>
      <c r="Q61" s="209">
        <v>7.0</v>
      </c>
      <c r="R61" s="209">
        <v>4.0</v>
      </c>
      <c r="S61" s="210">
        <v>0.0015856481477385387</v>
      </c>
      <c r="T61" s="63" t="s">
        <v>1427</v>
      </c>
      <c r="U61" s="205">
        <v>14.0</v>
      </c>
      <c r="V61" s="205">
        <v>5.0</v>
      </c>
      <c r="W61" s="63" t="s">
        <v>1428</v>
      </c>
      <c r="X61" s="210">
        <v>0.0016087962976598646</v>
      </c>
      <c r="Y61" s="63" t="s">
        <v>1429</v>
      </c>
      <c r="Z61" s="63" t="s">
        <v>1430</v>
      </c>
      <c r="AA61" s="205">
        <v>0.0</v>
      </c>
      <c r="AB61" s="63" t="s">
        <v>1431</v>
      </c>
      <c r="AC61" s="205">
        <v>184.0</v>
      </c>
      <c r="AD61" s="208">
        <v>8.83962</v>
      </c>
      <c r="AE61" s="205">
        <v>15292.0</v>
      </c>
      <c r="AF61" s="205">
        <v>2605.0</v>
      </c>
      <c r="AG61" s="205">
        <v>187.0</v>
      </c>
      <c r="AH61" s="205">
        <v>255.0</v>
      </c>
      <c r="AI61" s="205">
        <v>1.0</v>
      </c>
      <c r="AJ61" s="205">
        <v>855.0</v>
      </c>
      <c r="AK61" s="205">
        <v>0.0</v>
      </c>
      <c r="AL61" s="205">
        <v>0.0</v>
      </c>
      <c r="AM61" s="205">
        <v>0.0</v>
      </c>
      <c r="AN61" s="205">
        <v>0.0</v>
      </c>
      <c r="AO61" s="208">
        <v>2.98206</v>
      </c>
      <c r="AP61" s="208">
        <v>3.5218</v>
      </c>
      <c r="AQ61" s="208">
        <v>4.66036</v>
      </c>
      <c r="AR61" s="208">
        <v>2.64637</v>
      </c>
      <c r="AT61" s="192" t="s">
        <v>165</v>
      </c>
      <c r="AU61" s="211" t="s">
        <v>1432</v>
      </c>
      <c r="AV61" s="211" t="s">
        <v>1433</v>
      </c>
      <c r="AW61" s="211" t="s">
        <v>1434</v>
      </c>
      <c r="AX61" s="211" t="s">
        <v>165</v>
      </c>
      <c r="AY61" s="212">
        <v>1.9</v>
      </c>
      <c r="AZ61" s="213">
        <v>4.0</v>
      </c>
      <c r="BA61" s="213">
        <v>3.5</v>
      </c>
      <c r="BB61" s="213">
        <v>2.0</v>
      </c>
      <c r="BC61" s="212">
        <v>4.9399999999999995</v>
      </c>
      <c r="BD61" s="213">
        <v>10.0</v>
      </c>
      <c r="BE61" s="213">
        <v>9.799999999999999</v>
      </c>
      <c r="BF61" s="213">
        <v>5.6</v>
      </c>
      <c r="BG61" s="212">
        <v>9.666666666666668</v>
      </c>
      <c r="BH61" s="213">
        <v>9.083333333333334</v>
      </c>
      <c r="BI61" s="213">
        <v>0.0010570987651590258</v>
      </c>
      <c r="BJ61" s="213">
        <v>0.0010725308651065764</v>
      </c>
      <c r="BK61" s="213">
        <v>234.0</v>
      </c>
      <c r="BL61" s="212">
        <v>5.5</v>
      </c>
      <c r="BM61" s="213">
        <v>3.875</v>
      </c>
      <c r="BN61" s="213">
        <v>0.0021141975303180516</v>
      </c>
      <c r="BO61" s="213">
        <v>0.0021450617302131527</v>
      </c>
      <c r="BP61" s="213">
        <v>117.0</v>
      </c>
      <c r="BQ61" s="192"/>
      <c r="BR61" s="192"/>
    </row>
    <row r="62">
      <c r="A62" s="60">
        <v>3684386.0</v>
      </c>
      <c r="B62" s="205">
        <v>3396305.0</v>
      </c>
      <c r="C62" s="205">
        <v>1663184.0</v>
      </c>
      <c r="D62" s="205">
        <v>1.0</v>
      </c>
      <c r="E62" s="207">
        <v>44561.007939814815</v>
      </c>
      <c r="F62" s="207">
        <v>44640.02930555555</v>
      </c>
      <c r="G62" s="207">
        <v>44632.84122685185</v>
      </c>
      <c r="H62" s="63" t="s">
        <v>959</v>
      </c>
      <c r="I62" s="205">
        <v>156.0</v>
      </c>
      <c r="J62" s="63" t="s">
        <v>85</v>
      </c>
      <c r="K62" s="205">
        <v>4966334.0</v>
      </c>
      <c r="L62" s="208">
        <v>3.30202</v>
      </c>
      <c r="M62" s="208">
        <v>1.5175</v>
      </c>
      <c r="N62" s="208">
        <v>1.63794</v>
      </c>
      <c r="O62" s="209">
        <v>3.8</v>
      </c>
      <c r="P62" s="209">
        <v>8.0</v>
      </c>
      <c r="Q62" s="209">
        <v>7.0</v>
      </c>
      <c r="R62" s="209">
        <v>4.0</v>
      </c>
      <c r="S62" s="210">
        <v>0.0015856481477385387</v>
      </c>
      <c r="T62" s="63" t="s">
        <v>1427</v>
      </c>
      <c r="U62" s="205">
        <v>14.0</v>
      </c>
      <c r="V62" s="205">
        <v>5.0</v>
      </c>
      <c r="W62" s="63" t="s">
        <v>1428</v>
      </c>
      <c r="X62" s="210">
        <v>0.0016087962976598646</v>
      </c>
      <c r="Y62" s="63" t="s">
        <v>1429</v>
      </c>
      <c r="Z62" s="63" t="s">
        <v>1430</v>
      </c>
      <c r="AA62" s="205">
        <v>0.0</v>
      </c>
      <c r="AB62" s="63" t="s">
        <v>1431</v>
      </c>
      <c r="AC62" s="205">
        <v>184.0</v>
      </c>
      <c r="AD62" s="208">
        <v>8.83962</v>
      </c>
      <c r="AE62" s="205">
        <v>15292.0</v>
      </c>
      <c r="AF62" s="205">
        <v>2605.0</v>
      </c>
      <c r="AG62" s="205">
        <v>187.0</v>
      </c>
      <c r="AH62" s="205">
        <v>255.0</v>
      </c>
      <c r="AI62" s="205">
        <v>1.0</v>
      </c>
      <c r="AJ62" s="205">
        <v>855.0</v>
      </c>
      <c r="AK62" s="205">
        <v>0.0</v>
      </c>
      <c r="AL62" s="205">
        <v>0.0</v>
      </c>
      <c r="AM62" s="205">
        <v>0.0</v>
      </c>
      <c r="AN62" s="205">
        <v>0.0</v>
      </c>
      <c r="AO62" s="208">
        <v>2.98206</v>
      </c>
      <c r="AP62" s="208">
        <v>3.5218</v>
      </c>
      <c r="AQ62" s="208">
        <v>4.66036</v>
      </c>
      <c r="AR62" s="208">
        <v>2.64637</v>
      </c>
      <c r="AT62" s="192" t="s">
        <v>165</v>
      </c>
      <c r="AU62" s="211" t="s">
        <v>1432</v>
      </c>
      <c r="AV62" s="211" t="s">
        <v>1433</v>
      </c>
      <c r="AW62" s="211" t="s">
        <v>1434</v>
      </c>
      <c r="AX62" s="211" t="s">
        <v>165</v>
      </c>
      <c r="AY62" s="212">
        <v>1.9</v>
      </c>
      <c r="AZ62" s="213">
        <v>4.0</v>
      </c>
      <c r="BA62" s="213">
        <v>3.5</v>
      </c>
      <c r="BB62" s="213">
        <v>2.0</v>
      </c>
      <c r="BC62" s="212">
        <v>4.9399999999999995</v>
      </c>
      <c r="BD62" s="213">
        <v>10.0</v>
      </c>
      <c r="BE62" s="213">
        <v>9.799999999999999</v>
      </c>
      <c r="BF62" s="213">
        <v>5.6</v>
      </c>
      <c r="BG62" s="212">
        <v>9.666666666666668</v>
      </c>
      <c r="BH62" s="213">
        <v>9.083333333333334</v>
      </c>
      <c r="BI62" s="213">
        <v>0.0010570987651590258</v>
      </c>
      <c r="BJ62" s="213">
        <v>0.0010725308651065764</v>
      </c>
      <c r="BK62" s="213">
        <v>234.0</v>
      </c>
      <c r="BL62" s="212">
        <v>5.5</v>
      </c>
      <c r="BM62" s="213">
        <v>3.875</v>
      </c>
      <c r="BN62" s="213">
        <v>0.0021141975303180516</v>
      </c>
      <c r="BO62" s="213">
        <v>0.0021450617302131527</v>
      </c>
      <c r="BP62" s="213">
        <v>117.0</v>
      </c>
      <c r="BQ62" s="192"/>
      <c r="BR62" s="192"/>
    </row>
    <row r="63">
      <c r="A63" s="60">
        <v>1989991.0</v>
      </c>
      <c r="B63" s="205">
        <v>3446761.0</v>
      </c>
      <c r="C63" s="205">
        <v>1686408.0</v>
      </c>
      <c r="D63" s="205">
        <v>-2.0</v>
      </c>
      <c r="E63" s="207">
        <v>44590.77318287037</v>
      </c>
      <c r="F63" s="215"/>
      <c r="G63" s="207">
        <v>44590.77329861111</v>
      </c>
      <c r="H63" s="63" t="s">
        <v>961</v>
      </c>
      <c r="I63" s="205">
        <v>190.0</v>
      </c>
      <c r="J63" s="63" t="s">
        <v>185</v>
      </c>
      <c r="K63" s="205">
        <v>1.2079964E7</v>
      </c>
      <c r="L63" s="208">
        <v>5.07342</v>
      </c>
      <c r="M63" s="208">
        <v>2.34915</v>
      </c>
      <c r="N63" s="208">
        <v>2.50181</v>
      </c>
      <c r="O63" s="209">
        <v>4.0</v>
      </c>
      <c r="P63" s="209">
        <v>9.2</v>
      </c>
      <c r="Q63" s="209">
        <v>8.6</v>
      </c>
      <c r="R63" s="209">
        <v>4.5</v>
      </c>
      <c r="S63" s="210">
        <v>0.003518518518831115</v>
      </c>
      <c r="U63" s="205">
        <v>10.0</v>
      </c>
      <c r="V63" s="205">
        <v>5.0</v>
      </c>
      <c r="W63" s="63" t="s">
        <v>1435</v>
      </c>
      <c r="X63" s="210">
        <v>0.003749999999854481</v>
      </c>
      <c r="Y63" s="63" t="s">
        <v>1436</v>
      </c>
      <c r="Z63" s="63" t="s">
        <v>1437</v>
      </c>
      <c r="AA63" s="205">
        <v>0.0</v>
      </c>
      <c r="AB63" s="63" t="s">
        <v>1438</v>
      </c>
      <c r="AC63" s="205">
        <v>3.0</v>
      </c>
      <c r="AD63" s="208">
        <v>0.0</v>
      </c>
      <c r="AE63" s="205">
        <v>5383.0</v>
      </c>
      <c r="AF63" s="205">
        <v>1985.0</v>
      </c>
      <c r="AG63" s="205">
        <v>702.0</v>
      </c>
      <c r="AH63" s="205">
        <v>570.0</v>
      </c>
      <c r="AI63" s="205">
        <v>4.0</v>
      </c>
      <c r="AJ63" s="205">
        <v>2143.0</v>
      </c>
      <c r="AK63" s="205">
        <v>0.0</v>
      </c>
      <c r="AL63" s="205">
        <v>0.0</v>
      </c>
      <c r="AM63" s="205">
        <v>0.0</v>
      </c>
      <c r="AN63" s="205">
        <v>0.0</v>
      </c>
      <c r="AO63" s="208">
        <v>4.59667</v>
      </c>
      <c r="AP63" s="208">
        <v>5.40658</v>
      </c>
      <c r="AQ63" s="208">
        <v>7.43035</v>
      </c>
      <c r="AR63" s="208">
        <v>4.00992</v>
      </c>
      <c r="AT63" s="192" t="s">
        <v>170</v>
      </c>
      <c r="AU63" s="211" t="s">
        <v>1439</v>
      </c>
      <c r="AV63" s="211" t="s">
        <v>1440</v>
      </c>
      <c r="AW63" s="211" t="s">
        <v>1441</v>
      </c>
      <c r="AX63" s="211" t="s">
        <v>170</v>
      </c>
      <c r="AY63" s="212">
        <v>2.0</v>
      </c>
      <c r="AZ63" s="213">
        <v>4.6</v>
      </c>
      <c r="BA63" s="213">
        <v>4.3</v>
      </c>
      <c r="BB63" s="213">
        <v>2.25</v>
      </c>
      <c r="BC63" s="212">
        <v>5.2</v>
      </c>
      <c r="BD63" s="213">
        <v>10.0</v>
      </c>
      <c r="BE63" s="213">
        <v>10.0</v>
      </c>
      <c r="BF63" s="213">
        <v>6.3</v>
      </c>
      <c r="BG63" s="212">
        <v>10.466666666666667</v>
      </c>
      <c r="BH63" s="213">
        <v>10.149999999999999</v>
      </c>
      <c r="BI63" s="213">
        <v>0.002345679012554077</v>
      </c>
      <c r="BJ63" s="213">
        <v>0.0024999999999029874</v>
      </c>
      <c r="BK63" s="213">
        <v>285.0</v>
      </c>
      <c r="BL63" s="212">
        <v>7.299999999999999</v>
      </c>
      <c r="BM63" s="213">
        <v>6.274999999999999</v>
      </c>
      <c r="BN63" s="213">
        <v>0.004691358025108154</v>
      </c>
      <c r="BO63" s="213">
        <v>0.004999999999805975</v>
      </c>
      <c r="BP63" s="213">
        <v>142.5</v>
      </c>
      <c r="BQ63" s="192"/>
      <c r="BR63" s="192"/>
    </row>
    <row r="64">
      <c r="A64" s="60">
        <v>4082310.0</v>
      </c>
      <c r="B64" s="205">
        <v>3446761.0</v>
      </c>
      <c r="C64" s="205">
        <v>1686408.0</v>
      </c>
      <c r="D64" s="205">
        <v>-2.0</v>
      </c>
      <c r="E64" s="207">
        <v>44590.77318287037</v>
      </c>
      <c r="F64" s="215"/>
      <c r="G64" s="207">
        <v>44590.77329861111</v>
      </c>
      <c r="H64" s="63" t="s">
        <v>961</v>
      </c>
      <c r="I64" s="205">
        <v>190.0</v>
      </c>
      <c r="J64" s="63" t="s">
        <v>185</v>
      </c>
      <c r="K64" s="205">
        <v>1.2079964E7</v>
      </c>
      <c r="L64" s="208">
        <v>5.07342</v>
      </c>
      <c r="M64" s="208">
        <v>2.34915</v>
      </c>
      <c r="N64" s="208">
        <v>2.50181</v>
      </c>
      <c r="O64" s="209">
        <v>4.0</v>
      </c>
      <c r="P64" s="209">
        <v>9.2</v>
      </c>
      <c r="Q64" s="209">
        <v>8.6</v>
      </c>
      <c r="R64" s="209">
        <v>4.5</v>
      </c>
      <c r="S64" s="210">
        <v>0.003518518518831115</v>
      </c>
      <c r="U64" s="205">
        <v>10.0</v>
      </c>
      <c r="V64" s="205">
        <v>5.0</v>
      </c>
      <c r="W64" s="63" t="s">
        <v>1435</v>
      </c>
      <c r="X64" s="210">
        <v>0.003749999999854481</v>
      </c>
      <c r="Y64" s="63" t="s">
        <v>1436</v>
      </c>
      <c r="Z64" s="63" t="s">
        <v>1437</v>
      </c>
      <c r="AA64" s="205">
        <v>0.0</v>
      </c>
      <c r="AB64" s="63" t="s">
        <v>1438</v>
      </c>
      <c r="AC64" s="205">
        <v>3.0</v>
      </c>
      <c r="AD64" s="208">
        <v>0.0</v>
      </c>
      <c r="AE64" s="205">
        <v>5383.0</v>
      </c>
      <c r="AF64" s="205">
        <v>1985.0</v>
      </c>
      <c r="AG64" s="205">
        <v>702.0</v>
      </c>
      <c r="AH64" s="205">
        <v>570.0</v>
      </c>
      <c r="AI64" s="205">
        <v>4.0</v>
      </c>
      <c r="AJ64" s="205">
        <v>2143.0</v>
      </c>
      <c r="AK64" s="205">
        <v>0.0</v>
      </c>
      <c r="AL64" s="205">
        <v>0.0</v>
      </c>
      <c r="AM64" s="205">
        <v>0.0</v>
      </c>
      <c r="AN64" s="205">
        <v>0.0</v>
      </c>
      <c r="AO64" s="208">
        <v>4.59667</v>
      </c>
      <c r="AP64" s="208">
        <v>5.40658</v>
      </c>
      <c r="AQ64" s="208">
        <v>7.43035</v>
      </c>
      <c r="AR64" s="208">
        <v>4.00992</v>
      </c>
      <c r="AT64" s="192" t="s">
        <v>170</v>
      </c>
      <c r="AU64" s="211" t="s">
        <v>1439</v>
      </c>
      <c r="AV64" s="211" t="s">
        <v>1440</v>
      </c>
      <c r="AW64" s="211" t="s">
        <v>1441</v>
      </c>
      <c r="AX64" s="211" t="s">
        <v>170</v>
      </c>
      <c r="AY64" s="212">
        <v>2.0</v>
      </c>
      <c r="AZ64" s="213">
        <v>4.6</v>
      </c>
      <c r="BA64" s="213">
        <v>4.3</v>
      </c>
      <c r="BB64" s="213">
        <v>2.25</v>
      </c>
      <c r="BC64" s="212">
        <v>5.2</v>
      </c>
      <c r="BD64" s="213">
        <v>10.0</v>
      </c>
      <c r="BE64" s="213">
        <v>10.0</v>
      </c>
      <c r="BF64" s="213">
        <v>6.3</v>
      </c>
      <c r="BG64" s="212">
        <v>10.466666666666667</v>
      </c>
      <c r="BH64" s="213">
        <v>10.149999999999999</v>
      </c>
      <c r="BI64" s="213">
        <v>0.002345679012554077</v>
      </c>
      <c r="BJ64" s="213">
        <v>0.0024999999999029874</v>
      </c>
      <c r="BK64" s="213">
        <v>285.0</v>
      </c>
      <c r="BL64" s="212">
        <v>7.299999999999999</v>
      </c>
      <c r="BM64" s="213">
        <v>6.274999999999999</v>
      </c>
      <c r="BN64" s="213">
        <v>0.004691358025108154</v>
      </c>
      <c r="BO64" s="213">
        <v>0.004999999999805975</v>
      </c>
      <c r="BP64" s="213">
        <v>142.5</v>
      </c>
      <c r="BQ64" s="192"/>
      <c r="BR64" s="192"/>
    </row>
    <row r="65">
      <c r="A65" s="60">
        <v>1687599.0</v>
      </c>
      <c r="B65" s="205">
        <v>3446761.0</v>
      </c>
      <c r="C65" s="205">
        <v>1686408.0</v>
      </c>
      <c r="D65" s="205">
        <v>-2.0</v>
      </c>
      <c r="E65" s="207">
        <v>44590.77318287037</v>
      </c>
      <c r="F65" s="215"/>
      <c r="G65" s="207">
        <v>44590.77329861111</v>
      </c>
      <c r="H65" s="63" t="s">
        <v>961</v>
      </c>
      <c r="I65" s="205">
        <v>190.0</v>
      </c>
      <c r="J65" s="63" t="s">
        <v>185</v>
      </c>
      <c r="K65" s="205">
        <v>1.2079964E7</v>
      </c>
      <c r="L65" s="208">
        <v>5.07342</v>
      </c>
      <c r="M65" s="208">
        <v>2.34915</v>
      </c>
      <c r="N65" s="208">
        <v>2.50181</v>
      </c>
      <c r="O65" s="209">
        <v>4.0</v>
      </c>
      <c r="P65" s="209">
        <v>9.2</v>
      </c>
      <c r="Q65" s="209">
        <v>8.6</v>
      </c>
      <c r="R65" s="209">
        <v>4.5</v>
      </c>
      <c r="S65" s="210">
        <v>0.003518518518831115</v>
      </c>
      <c r="U65" s="205">
        <v>10.0</v>
      </c>
      <c r="V65" s="205">
        <v>5.0</v>
      </c>
      <c r="W65" s="63" t="s">
        <v>1435</v>
      </c>
      <c r="X65" s="210">
        <v>0.003749999999854481</v>
      </c>
      <c r="Y65" s="63" t="s">
        <v>1436</v>
      </c>
      <c r="Z65" s="63" t="s">
        <v>1437</v>
      </c>
      <c r="AA65" s="205">
        <v>0.0</v>
      </c>
      <c r="AB65" s="63" t="s">
        <v>1438</v>
      </c>
      <c r="AC65" s="205">
        <v>3.0</v>
      </c>
      <c r="AD65" s="208">
        <v>0.0</v>
      </c>
      <c r="AE65" s="205">
        <v>5383.0</v>
      </c>
      <c r="AF65" s="205">
        <v>1985.0</v>
      </c>
      <c r="AG65" s="205">
        <v>702.0</v>
      </c>
      <c r="AH65" s="205">
        <v>570.0</v>
      </c>
      <c r="AI65" s="205">
        <v>4.0</v>
      </c>
      <c r="AJ65" s="205">
        <v>2143.0</v>
      </c>
      <c r="AK65" s="205">
        <v>0.0</v>
      </c>
      <c r="AL65" s="205">
        <v>0.0</v>
      </c>
      <c r="AM65" s="205">
        <v>0.0</v>
      </c>
      <c r="AN65" s="205">
        <v>0.0</v>
      </c>
      <c r="AO65" s="208">
        <v>4.59667</v>
      </c>
      <c r="AP65" s="208">
        <v>5.40658</v>
      </c>
      <c r="AQ65" s="208">
        <v>7.43035</v>
      </c>
      <c r="AR65" s="208">
        <v>4.00992</v>
      </c>
      <c r="AT65" s="192" t="s">
        <v>170</v>
      </c>
      <c r="AU65" s="211" t="s">
        <v>1439</v>
      </c>
      <c r="AV65" s="211" t="s">
        <v>1440</v>
      </c>
      <c r="AW65" s="211" t="s">
        <v>1441</v>
      </c>
      <c r="AX65" s="211" t="s">
        <v>170</v>
      </c>
      <c r="AY65" s="212">
        <v>2.0</v>
      </c>
      <c r="AZ65" s="213">
        <v>4.6</v>
      </c>
      <c r="BA65" s="213">
        <v>4.3</v>
      </c>
      <c r="BB65" s="213">
        <v>2.25</v>
      </c>
      <c r="BC65" s="212">
        <v>5.2</v>
      </c>
      <c r="BD65" s="213">
        <v>10.0</v>
      </c>
      <c r="BE65" s="213">
        <v>10.0</v>
      </c>
      <c r="BF65" s="213">
        <v>6.3</v>
      </c>
      <c r="BG65" s="212">
        <v>10.466666666666667</v>
      </c>
      <c r="BH65" s="213">
        <v>10.149999999999999</v>
      </c>
      <c r="BI65" s="213">
        <v>0.002345679012554077</v>
      </c>
      <c r="BJ65" s="213">
        <v>0.0024999999999029874</v>
      </c>
      <c r="BK65" s="213">
        <v>285.0</v>
      </c>
      <c r="BL65" s="212">
        <v>7.299999999999999</v>
      </c>
      <c r="BM65" s="213">
        <v>6.274999999999999</v>
      </c>
      <c r="BN65" s="213">
        <v>0.004691358025108154</v>
      </c>
      <c r="BO65" s="213">
        <v>0.004999999999805975</v>
      </c>
      <c r="BP65" s="213">
        <v>142.5</v>
      </c>
      <c r="BQ65" s="192"/>
      <c r="BR65" s="192"/>
    </row>
    <row r="66">
      <c r="A66" s="60">
        <v>3656173.0</v>
      </c>
      <c r="B66" s="205">
        <v>2044893.0</v>
      </c>
      <c r="C66" s="205">
        <v>956595.0</v>
      </c>
      <c r="D66" s="205">
        <v>1.0</v>
      </c>
      <c r="E66" s="207">
        <v>43570.736180555556</v>
      </c>
      <c r="F66" s="207">
        <v>43959.848541666666</v>
      </c>
      <c r="G66" s="207">
        <v>43953.883680555555</v>
      </c>
      <c r="H66" s="63" t="s">
        <v>957</v>
      </c>
      <c r="I66" s="205">
        <v>156.0</v>
      </c>
      <c r="J66" s="63" t="s">
        <v>164</v>
      </c>
      <c r="K66" s="205">
        <v>5248582.0</v>
      </c>
      <c r="L66" s="208">
        <v>3.42364</v>
      </c>
      <c r="M66" s="208">
        <v>1.7175</v>
      </c>
      <c r="N66" s="208">
        <v>1.54961</v>
      </c>
      <c r="O66" s="209">
        <v>4.0</v>
      </c>
      <c r="P66" s="209">
        <v>8.0</v>
      </c>
      <c r="Q66" s="209">
        <v>6.0</v>
      </c>
      <c r="R66" s="209">
        <v>5.0</v>
      </c>
      <c r="S66" s="210">
        <v>0.0023611111100763083</v>
      </c>
      <c r="U66" s="205">
        <v>4.0</v>
      </c>
      <c r="V66" s="205">
        <v>3.0</v>
      </c>
      <c r="W66" s="63" t="s">
        <v>1442</v>
      </c>
      <c r="X66" s="210">
        <v>0.0026041666678793263</v>
      </c>
      <c r="Y66" s="63" t="s">
        <v>1443</v>
      </c>
      <c r="Z66" s="63" t="s">
        <v>1444</v>
      </c>
      <c r="AA66" s="205">
        <v>0.0</v>
      </c>
      <c r="AB66" s="63" t="s">
        <v>1445</v>
      </c>
      <c r="AC66" s="205">
        <v>1131.0</v>
      </c>
      <c r="AD66" s="208">
        <v>9.50051</v>
      </c>
      <c r="AE66" s="205">
        <v>379764.0</v>
      </c>
      <c r="AF66" s="205">
        <v>79551.0</v>
      </c>
      <c r="AG66" s="205">
        <v>271.0</v>
      </c>
      <c r="AH66" s="205">
        <v>306.0</v>
      </c>
      <c r="AI66" s="205">
        <v>1.0</v>
      </c>
      <c r="AJ66" s="205">
        <v>950.0</v>
      </c>
      <c r="AK66" s="205">
        <v>0.0</v>
      </c>
      <c r="AL66" s="205">
        <v>0.0</v>
      </c>
      <c r="AM66" s="205">
        <v>0.0</v>
      </c>
      <c r="AN66" s="205">
        <v>0.0</v>
      </c>
      <c r="AO66" s="208">
        <v>3.1016</v>
      </c>
      <c r="AP66" s="208">
        <v>3.67739</v>
      </c>
      <c r="AQ66" s="208">
        <v>4.67429</v>
      </c>
      <c r="AR66" s="208">
        <v>2.77686</v>
      </c>
      <c r="AT66" s="192" t="s">
        <v>163</v>
      </c>
      <c r="AU66" s="211" t="s">
        <v>1446</v>
      </c>
      <c r="AV66" s="211" t="s">
        <v>1447</v>
      </c>
      <c r="AW66" s="211" t="s">
        <v>1448</v>
      </c>
      <c r="AX66" s="211" t="s">
        <v>163</v>
      </c>
      <c r="AY66" s="212">
        <v>2.0</v>
      </c>
      <c r="AZ66" s="213">
        <v>4.0</v>
      </c>
      <c r="BA66" s="213">
        <v>3.0</v>
      </c>
      <c r="BB66" s="213">
        <v>2.5</v>
      </c>
      <c r="BC66" s="212">
        <v>5.2</v>
      </c>
      <c r="BD66" s="213">
        <v>10.0</v>
      </c>
      <c r="BE66" s="213">
        <v>8.399999999999999</v>
      </c>
      <c r="BF66" s="213">
        <v>7.0</v>
      </c>
      <c r="BG66" s="212">
        <v>9.666666666666668</v>
      </c>
      <c r="BH66" s="213">
        <v>8.416666666666666</v>
      </c>
      <c r="BI66" s="213">
        <v>0.0015740740733842056</v>
      </c>
      <c r="BJ66" s="213">
        <v>0.001736111111919551</v>
      </c>
      <c r="BK66" s="213">
        <v>234.0</v>
      </c>
      <c r="BL66" s="212">
        <v>5.5</v>
      </c>
      <c r="BM66" s="213">
        <v>2.375</v>
      </c>
      <c r="BN66" s="213">
        <v>0.003148148146768411</v>
      </c>
      <c r="BO66" s="213">
        <v>0.003472222223839102</v>
      </c>
      <c r="BP66" s="213">
        <v>117.0</v>
      </c>
      <c r="BQ66" s="192"/>
      <c r="BR66" s="192"/>
    </row>
    <row r="67">
      <c r="A67" s="60">
        <v>1485947.0</v>
      </c>
      <c r="B67" s="205">
        <v>2044893.0</v>
      </c>
      <c r="C67" s="205">
        <v>956595.0</v>
      </c>
      <c r="D67" s="205">
        <v>1.0</v>
      </c>
      <c r="E67" s="207">
        <v>43570.736180555556</v>
      </c>
      <c r="F67" s="207">
        <v>43959.848541666666</v>
      </c>
      <c r="G67" s="207">
        <v>43953.883680555555</v>
      </c>
      <c r="H67" s="63" t="s">
        <v>957</v>
      </c>
      <c r="I67" s="205">
        <v>156.0</v>
      </c>
      <c r="J67" s="63" t="s">
        <v>164</v>
      </c>
      <c r="K67" s="205">
        <v>5248582.0</v>
      </c>
      <c r="L67" s="208">
        <v>3.42364</v>
      </c>
      <c r="M67" s="208">
        <v>1.7175</v>
      </c>
      <c r="N67" s="208">
        <v>1.54961</v>
      </c>
      <c r="O67" s="209">
        <v>4.0</v>
      </c>
      <c r="P67" s="209">
        <v>8.0</v>
      </c>
      <c r="Q67" s="209">
        <v>6.0</v>
      </c>
      <c r="R67" s="209">
        <v>5.0</v>
      </c>
      <c r="S67" s="210">
        <v>0.0023611111100763083</v>
      </c>
      <c r="U67" s="205">
        <v>4.0</v>
      </c>
      <c r="V67" s="205">
        <v>3.0</v>
      </c>
      <c r="W67" s="63" t="s">
        <v>1442</v>
      </c>
      <c r="X67" s="210">
        <v>0.0026041666678793263</v>
      </c>
      <c r="Y67" s="63" t="s">
        <v>1443</v>
      </c>
      <c r="Z67" s="63" t="s">
        <v>1444</v>
      </c>
      <c r="AA67" s="205">
        <v>0.0</v>
      </c>
      <c r="AB67" s="63" t="s">
        <v>1445</v>
      </c>
      <c r="AC67" s="205">
        <v>1131.0</v>
      </c>
      <c r="AD67" s="208">
        <v>9.50051</v>
      </c>
      <c r="AE67" s="205">
        <v>379764.0</v>
      </c>
      <c r="AF67" s="205">
        <v>79551.0</v>
      </c>
      <c r="AG67" s="205">
        <v>271.0</v>
      </c>
      <c r="AH67" s="205">
        <v>306.0</v>
      </c>
      <c r="AI67" s="205">
        <v>1.0</v>
      </c>
      <c r="AJ67" s="205">
        <v>950.0</v>
      </c>
      <c r="AK67" s="205">
        <v>0.0</v>
      </c>
      <c r="AL67" s="205">
        <v>0.0</v>
      </c>
      <c r="AM67" s="205">
        <v>0.0</v>
      </c>
      <c r="AN67" s="205">
        <v>0.0</v>
      </c>
      <c r="AO67" s="208">
        <v>3.1016</v>
      </c>
      <c r="AP67" s="208">
        <v>3.67739</v>
      </c>
      <c r="AQ67" s="208">
        <v>4.67429</v>
      </c>
      <c r="AR67" s="208">
        <v>2.77686</v>
      </c>
      <c r="AT67" s="192" t="s">
        <v>163</v>
      </c>
      <c r="AU67" s="211" t="s">
        <v>1446</v>
      </c>
      <c r="AV67" s="211" t="s">
        <v>1447</v>
      </c>
      <c r="AW67" s="211" t="s">
        <v>1448</v>
      </c>
      <c r="AX67" s="211" t="s">
        <v>163</v>
      </c>
      <c r="AY67" s="212">
        <v>2.0</v>
      </c>
      <c r="AZ67" s="213">
        <v>4.0</v>
      </c>
      <c r="BA67" s="213">
        <v>3.0</v>
      </c>
      <c r="BB67" s="213">
        <v>2.5</v>
      </c>
      <c r="BC67" s="212">
        <v>5.2</v>
      </c>
      <c r="BD67" s="213">
        <v>10.0</v>
      </c>
      <c r="BE67" s="213">
        <v>8.399999999999999</v>
      </c>
      <c r="BF67" s="213">
        <v>7.0</v>
      </c>
      <c r="BG67" s="212">
        <v>9.666666666666668</v>
      </c>
      <c r="BH67" s="213">
        <v>8.416666666666666</v>
      </c>
      <c r="BI67" s="213">
        <v>0.0015740740733842056</v>
      </c>
      <c r="BJ67" s="213">
        <v>0.001736111111919551</v>
      </c>
      <c r="BK67" s="213">
        <v>234.0</v>
      </c>
      <c r="BL67" s="212">
        <v>5.5</v>
      </c>
      <c r="BM67" s="213">
        <v>2.375</v>
      </c>
      <c r="BN67" s="213">
        <v>0.003148148146768411</v>
      </c>
      <c r="BO67" s="213">
        <v>0.003472222223839102</v>
      </c>
      <c r="BP67" s="213">
        <v>117.0</v>
      </c>
      <c r="BQ67" s="192"/>
      <c r="BR67" s="192"/>
    </row>
    <row r="68">
      <c r="A68" s="60">
        <v>3412490.0</v>
      </c>
      <c r="B68" s="205">
        <v>3044231.0</v>
      </c>
      <c r="C68" s="205">
        <v>1484383.0</v>
      </c>
      <c r="D68" s="205">
        <v>1.0</v>
      </c>
      <c r="E68" s="207">
        <v>44353.16318287037</v>
      </c>
      <c r="F68" s="207">
        <v>44395.6274074074</v>
      </c>
      <c r="G68" s="207">
        <v>44386.854363425926</v>
      </c>
      <c r="H68" s="63" t="s">
        <v>1027</v>
      </c>
      <c r="I68" s="205">
        <v>202.0</v>
      </c>
      <c r="J68" s="63" t="s">
        <v>1449</v>
      </c>
      <c r="K68" s="205">
        <v>6400861.0</v>
      </c>
      <c r="L68" s="208">
        <v>4.55664</v>
      </c>
      <c r="M68" s="208">
        <v>2.1575</v>
      </c>
      <c r="N68" s="208">
        <v>2.20383</v>
      </c>
      <c r="O68" s="209">
        <v>3.8</v>
      </c>
      <c r="P68" s="209">
        <v>9.0</v>
      </c>
      <c r="Q68" s="209">
        <v>8.0</v>
      </c>
      <c r="R68" s="209">
        <v>5.0</v>
      </c>
      <c r="S68" s="210">
        <v>0.0012384259243845008</v>
      </c>
      <c r="U68" s="205">
        <v>10.0</v>
      </c>
      <c r="V68" s="205">
        <v>5.0</v>
      </c>
      <c r="W68" s="63" t="s">
        <v>1450</v>
      </c>
      <c r="X68" s="210">
        <v>0.001574074074596865</v>
      </c>
      <c r="Y68" s="63" t="s">
        <v>1116</v>
      </c>
      <c r="Z68" s="63" t="s">
        <v>1451</v>
      </c>
      <c r="AA68" s="205">
        <v>0.0</v>
      </c>
      <c r="AB68" s="63" t="s">
        <v>1452</v>
      </c>
      <c r="AC68" s="205">
        <v>149.0</v>
      </c>
      <c r="AD68" s="208">
        <v>9.2</v>
      </c>
      <c r="AE68" s="205">
        <v>58213.0</v>
      </c>
      <c r="AF68" s="205">
        <v>15616.0</v>
      </c>
      <c r="AG68" s="205">
        <v>228.0</v>
      </c>
      <c r="AH68" s="205">
        <v>197.0</v>
      </c>
      <c r="AI68" s="205">
        <v>3.0</v>
      </c>
      <c r="AJ68" s="205">
        <v>676.0</v>
      </c>
      <c r="AK68" s="205">
        <v>0.0</v>
      </c>
      <c r="AL68" s="205">
        <v>0.0</v>
      </c>
      <c r="AM68" s="205">
        <v>0.0</v>
      </c>
      <c r="AN68" s="205">
        <v>0.0</v>
      </c>
      <c r="AO68" s="208">
        <v>4.1176</v>
      </c>
      <c r="AP68" s="208">
        <v>4.78377</v>
      </c>
      <c r="AQ68" s="208">
        <v>6.65268</v>
      </c>
      <c r="AR68" s="208">
        <v>3.62476</v>
      </c>
      <c r="AT68" s="192" t="s">
        <v>177</v>
      </c>
      <c r="AU68" s="211" t="s">
        <v>1453</v>
      </c>
      <c r="AV68" s="211" t="s">
        <v>1454</v>
      </c>
      <c r="AW68" s="211" t="s">
        <v>1455</v>
      </c>
      <c r="AX68" s="211" t="s">
        <v>177</v>
      </c>
      <c r="AY68" s="212">
        <v>1.9</v>
      </c>
      <c r="AZ68" s="213">
        <v>4.5</v>
      </c>
      <c r="BA68" s="213">
        <v>4.0</v>
      </c>
      <c r="BB68" s="213">
        <v>2.5</v>
      </c>
      <c r="BC68" s="212">
        <v>4.9399999999999995</v>
      </c>
      <c r="BD68" s="213">
        <v>10.0</v>
      </c>
      <c r="BE68" s="213">
        <v>10.0</v>
      </c>
      <c r="BF68" s="213">
        <v>7.0</v>
      </c>
      <c r="BG68" s="212">
        <v>10.333333333333332</v>
      </c>
      <c r="BH68" s="213">
        <v>9.75</v>
      </c>
      <c r="BI68" s="213">
        <v>8.256172829230005E-4</v>
      </c>
      <c r="BJ68" s="213">
        <v>0.0010493827163979101</v>
      </c>
      <c r="BK68" s="213">
        <v>303.0</v>
      </c>
      <c r="BL68" s="212">
        <v>7.0</v>
      </c>
      <c r="BM68" s="213">
        <v>5.375</v>
      </c>
      <c r="BN68" s="213">
        <v>0.001651234565846001</v>
      </c>
      <c r="BO68" s="213">
        <v>0.0020987654327958203</v>
      </c>
      <c r="BP68" s="213">
        <v>151.5</v>
      </c>
      <c r="BQ68" s="192"/>
      <c r="BR68" s="192"/>
    </row>
    <row r="69">
      <c r="A69" s="60">
        <v>3783139.0</v>
      </c>
      <c r="B69" s="205">
        <v>57384.0</v>
      </c>
      <c r="C69" s="205">
        <v>13975.0</v>
      </c>
      <c r="D69" s="205">
        <v>1.0</v>
      </c>
      <c r="E69" s="207">
        <v>40253.06275462963</v>
      </c>
      <c r="F69" s="207">
        <v>40339.93402777778</v>
      </c>
      <c r="G69" s="207">
        <v>40339.920960648145</v>
      </c>
      <c r="H69" s="63" t="s">
        <v>1456</v>
      </c>
      <c r="I69" s="205">
        <v>152.0</v>
      </c>
      <c r="J69" s="63" t="s">
        <v>1457</v>
      </c>
      <c r="K69" s="205">
        <v>237733.0</v>
      </c>
      <c r="L69" s="208">
        <v>3.91244</v>
      </c>
      <c r="M69" s="208">
        <v>2.04428</v>
      </c>
      <c r="N69" s="208">
        <v>1.65251</v>
      </c>
      <c r="O69" s="209">
        <v>5.0</v>
      </c>
      <c r="P69" s="209">
        <v>8.0</v>
      </c>
      <c r="Q69" s="209">
        <v>8.0</v>
      </c>
      <c r="R69" s="209">
        <v>7.0</v>
      </c>
      <c r="S69" s="210">
        <v>0.00204861110978527</v>
      </c>
      <c r="T69" s="63" t="s">
        <v>1458</v>
      </c>
      <c r="U69" s="205">
        <v>6.0</v>
      </c>
      <c r="V69" s="205">
        <v>2.0</v>
      </c>
      <c r="W69" s="63" t="s">
        <v>1459</v>
      </c>
      <c r="X69" s="210">
        <v>0.0024537037024856545</v>
      </c>
      <c r="Y69" s="63" t="s">
        <v>1460</v>
      </c>
      <c r="Z69" s="63" t="s">
        <v>1461</v>
      </c>
      <c r="AA69" s="205">
        <v>0.0</v>
      </c>
      <c r="AB69" s="63" t="s">
        <v>1462</v>
      </c>
      <c r="AC69" s="205">
        <v>224.0</v>
      </c>
      <c r="AD69" s="208">
        <v>8.96796</v>
      </c>
      <c r="AE69" s="205">
        <v>45297.0</v>
      </c>
      <c r="AF69" s="205">
        <v>4523.0</v>
      </c>
      <c r="AG69" s="205">
        <v>256.0</v>
      </c>
      <c r="AH69" s="205">
        <v>179.0</v>
      </c>
      <c r="AI69" s="205">
        <v>8.0</v>
      </c>
      <c r="AJ69" s="205">
        <v>664.0</v>
      </c>
      <c r="AK69" s="205">
        <v>1.0</v>
      </c>
      <c r="AL69" s="205">
        <v>0.0</v>
      </c>
      <c r="AM69" s="205">
        <v>0.0</v>
      </c>
      <c r="AN69" s="205">
        <v>0.0</v>
      </c>
      <c r="AO69" s="208">
        <v>3.42891</v>
      </c>
      <c r="AP69" s="208">
        <v>4.40292</v>
      </c>
      <c r="AQ69" s="208">
        <v>5.40673</v>
      </c>
      <c r="AR69" s="208">
        <v>3.12819</v>
      </c>
      <c r="AT69" s="192" t="s">
        <v>182</v>
      </c>
      <c r="AU69" s="211" t="s">
        <v>1463</v>
      </c>
      <c r="AV69" s="211" t="s">
        <v>1464</v>
      </c>
      <c r="AW69" s="211" t="s">
        <v>1465</v>
      </c>
      <c r="AX69" s="211" t="s">
        <v>182</v>
      </c>
      <c r="AY69" s="212">
        <v>2.5</v>
      </c>
      <c r="AZ69" s="213">
        <v>4.0</v>
      </c>
      <c r="BA69" s="213">
        <v>4.0</v>
      </c>
      <c r="BB69" s="213">
        <v>3.5</v>
      </c>
      <c r="BC69" s="212">
        <v>6.5</v>
      </c>
      <c r="BD69" s="213">
        <v>10.0</v>
      </c>
      <c r="BE69" s="213">
        <v>10.0</v>
      </c>
      <c r="BF69" s="213">
        <v>9.799999999999999</v>
      </c>
      <c r="BG69" s="212">
        <v>9.666666666666668</v>
      </c>
      <c r="BH69" s="213">
        <v>9.75</v>
      </c>
      <c r="BI69" s="213">
        <v>0.0013657407398568466</v>
      </c>
      <c r="BJ69" s="213">
        <v>0.0016358024683237697</v>
      </c>
      <c r="BK69" s="213">
        <v>228.0</v>
      </c>
      <c r="BL69" s="212">
        <v>5.5</v>
      </c>
      <c r="BM69" s="213">
        <v>5.375</v>
      </c>
      <c r="BN69" s="213">
        <v>0.0027314814797136933</v>
      </c>
      <c r="BO69" s="213">
        <v>0.0032716049366475395</v>
      </c>
      <c r="BP69" s="213">
        <v>114.0</v>
      </c>
      <c r="BQ69" s="192"/>
      <c r="BR69" s="192"/>
    </row>
    <row r="70">
      <c r="A70" s="60">
        <v>3280686.0</v>
      </c>
      <c r="B70" s="205">
        <v>57384.0</v>
      </c>
      <c r="C70" s="205">
        <v>13975.0</v>
      </c>
      <c r="D70" s="205">
        <v>1.0</v>
      </c>
      <c r="E70" s="207">
        <v>40253.06275462963</v>
      </c>
      <c r="F70" s="207">
        <v>40339.93402777778</v>
      </c>
      <c r="G70" s="207">
        <v>40339.920960648145</v>
      </c>
      <c r="H70" s="63" t="s">
        <v>1456</v>
      </c>
      <c r="I70" s="205">
        <v>152.0</v>
      </c>
      <c r="J70" s="63" t="s">
        <v>1457</v>
      </c>
      <c r="K70" s="205">
        <v>237733.0</v>
      </c>
      <c r="L70" s="208">
        <v>3.91244</v>
      </c>
      <c r="M70" s="208">
        <v>2.04428</v>
      </c>
      <c r="N70" s="208">
        <v>1.65251</v>
      </c>
      <c r="O70" s="209">
        <v>5.0</v>
      </c>
      <c r="P70" s="209">
        <v>8.0</v>
      </c>
      <c r="Q70" s="209">
        <v>8.0</v>
      </c>
      <c r="R70" s="209">
        <v>7.0</v>
      </c>
      <c r="S70" s="210">
        <v>0.00204861110978527</v>
      </c>
      <c r="T70" s="63" t="s">
        <v>1458</v>
      </c>
      <c r="U70" s="205">
        <v>6.0</v>
      </c>
      <c r="V70" s="205">
        <v>2.0</v>
      </c>
      <c r="W70" s="63" t="s">
        <v>1459</v>
      </c>
      <c r="X70" s="210">
        <v>0.0024537037024856545</v>
      </c>
      <c r="Y70" s="63" t="s">
        <v>1460</v>
      </c>
      <c r="Z70" s="63" t="s">
        <v>1461</v>
      </c>
      <c r="AA70" s="205">
        <v>0.0</v>
      </c>
      <c r="AB70" s="63" t="s">
        <v>1462</v>
      </c>
      <c r="AC70" s="205">
        <v>224.0</v>
      </c>
      <c r="AD70" s="208">
        <v>8.96796</v>
      </c>
      <c r="AE70" s="205">
        <v>45297.0</v>
      </c>
      <c r="AF70" s="205">
        <v>4523.0</v>
      </c>
      <c r="AG70" s="205">
        <v>256.0</v>
      </c>
      <c r="AH70" s="205">
        <v>179.0</v>
      </c>
      <c r="AI70" s="205">
        <v>8.0</v>
      </c>
      <c r="AJ70" s="205">
        <v>664.0</v>
      </c>
      <c r="AK70" s="205">
        <v>1.0</v>
      </c>
      <c r="AL70" s="205">
        <v>0.0</v>
      </c>
      <c r="AM70" s="205">
        <v>0.0</v>
      </c>
      <c r="AN70" s="205">
        <v>0.0</v>
      </c>
      <c r="AO70" s="208">
        <v>3.42891</v>
      </c>
      <c r="AP70" s="208">
        <v>4.40292</v>
      </c>
      <c r="AQ70" s="208">
        <v>5.40673</v>
      </c>
      <c r="AR70" s="208">
        <v>3.12819</v>
      </c>
      <c r="AT70" s="192" t="s">
        <v>182</v>
      </c>
      <c r="AU70" s="211" t="s">
        <v>1463</v>
      </c>
      <c r="AV70" s="211" t="s">
        <v>1464</v>
      </c>
      <c r="AW70" s="211" t="s">
        <v>1465</v>
      </c>
      <c r="AX70" s="211" t="s">
        <v>182</v>
      </c>
      <c r="AY70" s="212">
        <v>2.5</v>
      </c>
      <c r="AZ70" s="213">
        <v>4.0</v>
      </c>
      <c r="BA70" s="213">
        <v>4.0</v>
      </c>
      <c r="BB70" s="213">
        <v>3.5</v>
      </c>
      <c r="BC70" s="212">
        <v>6.5</v>
      </c>
      <c r="BD70" s="213">
        <v>10.0</v>
      </c>
      <c r="BE70" s="213">
        <v>10.0</v>
      </c>
      <c r="BF70" s="213">
        <v>9.799999999999999</v>
      </c>
      <c r="BG70" s="212">
        <v>9.666666666666668</v>
      </c>
      <c r="BH70" s="213">
        <v>9.75</v>
      </c>
      <c r="BI70" s="213">
        <v>0.0013657407398568466</v>
      </c>
      <c r="BJ70" s="213">
        <v>0.0016358024683237697</v>
      </c>
      <c r="BK70" s="213">
        <v>228.0</v>
      </c>
      <c r="BL70" s="212">
        <v>5.5</v>
      </c>
      <c r="BM70" s="213">
        <v>5.375</v>
      </c>
      <c r="BN70" s="213">
        <v>0.0027314814797136933</v>
      </c>
      <c r="BO70" s="213">
        <v>0.0032716049366475395</v>
      </c>
      <c r="BP70" s="213">
        <v>114.0</v>
      </c>
      <c r="BQ70" s="192"/>
      <c r="BR70" s="192"/>
    </row>
    <row r="71">
      <c r="A71" s="60">
        <v>155064.0</v>
      </c>
      <c r="B71" s="205">
        <v>57384.0</v>
      </c>
      <c r="C71" s="205">
        <v>13975.0</v>
      </c>
      <c r="D71" s="205">
        <v>1.0</v>
      </c>
      <c r="E71" s="207">
        <v>40253.06275462963</v>
      </c>
      <c r="F71" s="207">
        <v>40339.93402777778</v>
      </c>
      <c r="G71" s="207">
        <v>40339.920960648145</v>
      </c>
      <c r="H71" s="63" t="s">
        <v>1456</v>
      </c>
      <c r="I71" s="205">
        <v>152.0</v>
      </c>
      <c r="J71" s="63" t="s">
        <v>1457</v>
      </c>
      <c r="K71" s="205">
        <v>237733.0</v>
      </c>
      <c r="L71" s="208">
        <v>3.91244</v>
      </c>
      <c r="M71" s="208">
        <v>2.04428</v>
      </c>
      <c r="N71" s="208">
        <v>1.65251</v>
      </c>
      <c r="O71" s="209">
        <v>5.0</v>
      </c>
      <c r="P71" s="209">
        <v>8.0</v>
      </c>
      <c r="Q71" s="209">
        <v>8.0</v>
      </c>
      <c r="R71" s="209">
        <v>7.0</v>
      </c>
      <c r="S71" s="210">
        <v>0.00204861110978527</v>
      </c>
      <c r="T71" s="63" t="s">
        <v>1458</v>
      </c>
      <c r="U71" s="205">
        <v>6.0</v>
      </c>
      <c r="V71" s="205">
        <v>2.0</v>
      </c>
      <c r="W71" s="63" t="s">
        <v>1459</v>
      </c>
      <c r="X71" s="210">
        <v>0.0024537037024856545</v>
      </c>
      <c r="Y71" s="63" t="s">
        <v>1460</v>
      </c>
      <c r="Z71" s="63" t="s">
        <v>1461</v>
      </c>
      <c r="AA71" s="205">
        <v>0.0</v>
      </c>
      <c r="AB71" s="63" t="s">
        <v>1462</v>
      </c>
      <c r="AC71" s="205">
        <v>224.0</v>
      </c>
      <c r="AD71" s="208">
        <v>8.96796</v>
      </c>
      <c r="AE71" s="205">
        <v>45297.0</v>
      </c>
      <c r="AF71" s="205">
        <v>4523.0</v>
      </c>
      <c r="AG71" s="205">
        <v>256.0</v>
      </c>
      <c r="AH71" s="205">
        <v>179.0</v>
      </c>
      <c r="AI71" s="205">
        <v>8.0</v>
      </c>
      <c r="AJ71" s="205">
        <v>664.0</v>
      </c>
      <c r="AK71" s="205">
        <v>1.0</v>
      </c>
      <c r="AL71" s="205">
        <v>0.0</v>
      </c>
      <c r="AM71" s="205">
        <v>0.0</v>
      </c>
      <c r="AN71" s="205">
        <v>0.0</v>
      </c>
      <c r="AO71" s="208">
        <v>3.42891</v>
      </c>
      <c r="AP71" s="208">
        <v>4.40292</v>
      </c>
      <c r="AQ71" s="208">
        <v>5.40673</v>
      </c>
      <c r="AR71" s="208">
        <v>3.12819</v>
      </c>
      <c r="AT71" s="192" t="s">
        <v>182</v>
      </c>
      <c r="AU71" s="211" t="s">
        <v>1463</v>
      </c>
      <c r="AV71" s="211" t="s">
        <v>1464</v>
      </c>
      <c r="AW71" s="211" t="s">
        <v>1465</v>
      </c>
      <c r="AX71" s="211" t="s">
        <v>182</v>
      </c>
      <c r="AY71" s="212">
        <v>2.5</v>
      </c>
      <c r="AZ71" s="213">
        <v>4.0</v>
      </c>
      <c r="BA71" s="213">
        <v>4.0</v>
      </c>
      <c r="BB71" s="213">
        <v>3.5</v>
      </c>
      <c r="BC71" s="212">
        <v>6.5</v>
      </c>
      <c r="BD71" s="213">
        <v>10.0</v>
      </c>
      <c r="BE71" s="213">
        <v>10.0</v>
      </c>
      <c r="BF71" s="213">
        <v>9.799999999999999</v>
      </c>
      <c r="BG71" s="212">
        <v>9.666666666666668</v>
      </c>
      <c r="BH71" s="213">
        <v>9.75</v>
      </c>
      <c r="BI71" s="213">
        <v>0.0013657407398568466</v>
      </c>
      <c r="BJ71" s="213">
        <v>0.0016358024683237697</v>
      </c>
      <c r="BK71" s="213">
        <v>228.0</v>
      </c>
      <c r="BL71" s="212">
        <v>5.5</v>
      </c>
      <c r="BM71" s="213">
        <v>5.375</v>
      </c>
      <c r="BN71" s="213">
        <v>0.0027314814797136933</v>
      </c>
      <c r="BO71" s="213">
        <v>0.0032716049366475395</v>
      </c>
      <c r="BP71" s="213">
        <v>114.0</v>
      </c>
      <c r="BQ71" s="192"/>
      <c r="BR71" s="192"/>
    </row>
    <row r="72">
      <c r="A72" s="60">
        <v>2072245.0</v>
      </c>
      <c r="B72" s="205">
        <v>2110801.0</v>
      </c>
      <c r="C72" s="205">
        <v>917159.0</v>
      </c>
      <c r="D72" s="205">
        <v>1.0</v>
      </c>
      <c r="E72" s="207">
        <v>43492.28957175926</v>
      </c>
      <c r="F72" s="207">
        <v>44107.378703703704</v>
      </c>
      <c r="G72" s="207">
        <v>44098.579988425925</v>
      </c>
      <c r="H72" s="63" t="s">
        <v>956</v>
      </c>
      <c r="I72" s="205">
        <v>100.0</v>
      </c>
      <c r="J72" s="63" t="s">
        <v>160</v>
      </c>
      <c r="K72" s="205">
        <v>1557955.0</v>
      </c>
      <c r="L72" s="208">
        <v>3.7234</v>
      </c>
      <c r="M72" s="208">
        <v>1.91356</v>
      </c>
      <c r="N72" s="208">
        <v>1.62257</v>
      </c>
      <c r="O72" s="209">
        <v>5.0</v>
      </c>
      <c r="P72" s="209">
        <v>8.0</v>
      </c>
      <c r="Q72" s="209">
        <v>7.0</v>
      </c>
      <c r="R72" s="209">
        <v>6.0</v>
      </c>
      <c r="S72" s="210">
        <v>0.0016666666670062114</v>
      </c>
      <c r="U72" s="205">
        <v>10.0</v>
      </c>
      <c r="V72" s="205">
        <v>5.0</v>
      </c>
      <c r="W72" s="63" t="s">
        <v>1466</v>
      </c>
      <c r="X72" s="210">
        <v>0.001678240740147885</v>
      </c>
      <c r="Y72" s="63" t="s">
        <v>1467</v>
      </c>
      <c r="Z72" s="63" t="s">
        <v>1468</v>
      </c>
      <c r="AA72" s="205">
        <v>0.0</v>
      </c>
      <c r="AB72" s="63" t="s">
        <v>1469</v>
      </c>
      <c r="AC72" s="205">
        <v>426.0</v>
      </c>
      <c r="AD72" s="208">
        <v>9.02373</v>
      </c>
      <c r="AE72" s="205">
        <v>38188.0</v>
      </c>
      <c r="AF72" s="205">
        <v>4298.0</v>
      </c>
      <c r="AG72" s="205">
        <v>261.0</v>
      </c>
      <c r="AH72" s="205">
        <v>146.0</v>
      </c>
      <c r="AI72" s="205">
        <v>0.0</v>
      </c>
      <c r="AJ72" s="205">
        <v>610.0</v>
      </c>
      <c r="AK72" s="205">
        <v>1.0</v>
      </c>
      <c r="AL72" s="205">
        <v>1.0</v>
      </c>
      <c r="AM72" s="205">
        <v>0.0</v>
      </c>
      <c r="AN72" s="205">
        <v>0.0</v>
      </c>
      <c r="AO72" s="208">
        <v>3.28618</v>
      </c>
      <c r="AP72" s="208">
        <v>4.26034</v>
      </c>
      <c r="AQ72" s="208">
        <v>5.17408</v>
      </c>
      <c r="AR72" s="208">
        <v>2.9682</v>
      </c>
      <c r="AT72" s="192" t="s">
        <v>159</v>
      </c>
      <c r="AU72" s="211" t="s">
        <v>1470</v>
      </c>
      <c r="AV72" s="211" t="s">
        <v>1471</v>
      </c>
      <c r="AW72" s="211" t="s">
        <v>1472</v>
      </c>
      <c r="AX72" s="211" t="s">
        <v>159</v>
      </c>
      <c r="AY72" s="212">
        <v>2.5</v>
      </c>
      <c r="AZ72" s="213">
        <v>4.0</v>
      </c>
      <c r="BA72" s="213">
        <v>3.5</v>
      </c>
      <c r="BB72" s="213">
        <v>3.0</v>
      </c>
      <c r="BC72" s="212">
        <v>6.5</v>
      </c>
      <c r="BD72" s="213">
        <v>10.0</v>
      </c>
      <c r="BE72" s="213">
        <v>9.799999999999999</v>
      </c>
      <c r="BF72" s="213">
        <v>8.399999999999999</v>
      </c>
      <c r="BG72" s="212">
        <v>9.666666666666668</v>
      </c>
      <c r="BH72" s="213">
        <v>9.083333333333334</v>
      </c>
      <c r="BI72" s="213">
        <v>0.0011111111113374743</v>
      </c>
      <c r="BJ72" s="213">
        <v>0.00111882716009859</v>
      </c>
      <c r="BK72" s="213">
        <v>150.0</v>
      </c>
      <c r="BL72" s="212">
        <v>5.5</v>
      </c>
      <c r="BM72" s="213">
        <v>3.875</v>
      </c>
      <c r="BN72" s="213">
        <v>0.0022222222226749486</v>
      </c>
      <c r="BO72" s="213">
        <v>0.00223765432019718</v>
      </c>
      <c r="BP72" s="213">
        <v>75.0</v>
      </c>
      <c r="BQ72" s="192"/>
      <c r="BR72" s="192"/>
    </row>
    <row r="73">
      <c r="A73" s="60">
        <v>2992124.0</v>
      </c>
      <c r="B73" s="205">
        <v>2110801.0</v>
      </c>
      <c r="C73" s="205">
        <v>917159.0</v>
      </c>
      <c r="D73" s="205">
        <v>1.0</v>
      </c>
      <c r="E73" s="207">
        <v>43492.28957175926</v>
      </c>
      <c r="F73" s="207">
        <v>44107.378703703704</v>
      </c>
      <c r="G73" s="207">
        <v>44098.579988425925</v>
      </c>
      <c r="H73" s="63" t="s">
        <v>956</v>
      </c>
      <c r="I73" s="205">
        <v>100.0</v>
      </c>
      <c r="J73" s="63" t="s">
        <v>160</v>
      </c>
      <c r="K73" s="205">
        <v>1557955.0</v>
      </c>
      <c r="L73" s="208">
        <v>3.7234</v>
      </c>
      <c r="M73" s="208">
        <v>1.91356</v>
      </c>
      <c r="N73" s="208">
        <v>1.62257</v>
      </c>
      <c r="O73" s="209">
        <v>5.0</v>
      </c>
      <c r="P73" s="209">
        <v>8.0</v>
      </c>
      <c r="Q73" s="209">
        <v>7.0</v>
      </c>
      <c r="R73" s="209">
        <v>6.0</v>
      </c>
      <c r="S73" s="210">
        <v>0.0016666666670062114</v>
      </c>
      <c r="U73" s="205">
        <v>10.0</v>
      </c>
      <c r="V73" s="205">
        <v>5.0</v>
      </c>
      <c r="W73" s="63" t="s">
        <v>1466</v>
      </c>
      <c r="X73" s="210">
        <v>0.001678240740147885</v>
      </c>
      <c r="Y73" s="63" t="s">
        <v>1467</v>
      </c>
      <c r="Z73" s="63" t="s">
        <v>1468</v>
      </c>
      <c r="AA73" s="205">
        <v>0.0</v>
      </c>
      <c r="AB73" s="63" t="s">
        <v>1469</v>
      </c>
      <c r="AC73" s="205">
        <v>426.0</v>
      </c>
      <c r="AD73" s="208">
        <v>9.02373</v>
      </c>
      <c r="AE73" s="205">
        <v>38188.0</v>
      </c>
      <c r="AF73" s="205">
        <v>4298.0</v>
      </c>
      <c r="AG73" s="205">
        <v>261.0</v>
      </c>
      <c r="AH73" s="205">
        <v>146.0</v>
      </c>
      <c r="AI73" s="205">
        <v>0.0</v>
      </c>
      <c r="AJ73" s="205">
        <v>610.0</v>
      </c>
      <c r="AK73" s="205">
        <v>1.0</v>
      </c>
      <c r="AL73" s="205">
        <v>1.0</v>
      </c>
      <c r="AM73" s="205">
        <v>0.0</v>
      </c>
      <c r="AN73" s="205">
        <v>0.0</v>
      </c>
      <c r="AO73" s="208">
        <v>3.28618</v>
      </c>
      <c r="AP73" s="208">
        <v>4.26034</v>
      </c>
      <c r="AQ73" s="208">
        <v>5.17408</v>
      </c>
      <c r="AR73" s="208">
        <v>2.9682</v>
      </c>
      <c r="AT73" s="192" t="s">
        <v>159</v>
      </c>
      <c r="AU73" s="211" t="s">
        <v>1470</v>
      </c>
      <c r="AV73" s="211" t="s">
        <v>1471</v>
      </c>
      <c r="AW73" s="211" t="s">
        <v>1472</v>
      </c>
      <c r="AX73" s="211" t="s">
        <v>159</v>
      </c>
      <c r="AY73" s="212">
        <v>2.5</v>
      </c>
      <c r="AZ73" s="213">
        <v>4.0</v>
      </c>
      <c r="BA73" s="213">
        <v>3.5</v>
      </c>
      <c r="BB73" s="213">
        <v>3.0</v>
      </c>
      <c r="BC73" s="212">
        <v>6.5</v>
      </c>
      <c r="BD73" s="213">
        <v>10.0</v>
      </c>
      <c r="BE73" s="213">
        <v>9.799999999999999</v>
      </c>
      <c r="BF73" s="213">
        <v>8.399999999999999</v>
      </c>
      <c r="BG73" s="212">
        <v>9.666666666666668</v>
      </c>
      <c r="BH73" s="213">
        <v>9.083333333333334</v>
      </c>
      <c r="BI73" s="213">
        <v>0.0011111111113374743</v>
      </c>
      <c r="BJ73" s="213">
        <v>0.00111882716009859</v>
      </c>
      <c r="BK73" s="213">
        <v>150.0</v>
      </c>
      <c r="BL73" s="212">
        <v>5.5</v>
      </c>
      <c r="BM73" s="213">
        <v>3.875</v>
      </c>
      <c r="BN73" s="213">
        <v>0.0022222222226749486</v>
      </c>
      <c r="BO73" s="213">
        <v>0.00223765432019718</v>
      </c>
      <c r="BP73" s="213">
        <v>75.0</v>
      </c>
      <c r="BQ73" s="192"/>
      <c r="BR73" s="192"/>
    </row>
    <row r="74">
      <c r="A74" s="60">
        <v>2239337.0</v>
      </c>
      <c r="B74" s="205">
        <v>2366848.0</v>
      </c>
      <c r="C74" s="205">
        <v>1131726.0</v>
      </c>
      <c r="D74" s="205">
        <v>1.0</v>
      </c>
      <c r="E74" s="207">
        <v>43914.75681712963</v>
      </c>
      <c r="F74" s="207">
        <v>44016.099641203706</v>
      </c>
      <c r="G74" s="207">
        <v>44001.62572916667</v>
      </c>
      <c r="H74" s="63" t="s">
        <v>958</v>
      </c>
      <c r="I74" s="205">
        <v>150.0</v>
      </c>
      <c r="J74" s="63" t="s">
        <v>169</v>
      </c>
      <c r="K74" s="205">
        <v>197805.0</v>
      </c>
      <c r="L74" s="208">
        <v>3.37646</v>
      </c>
      <c r="M74" s="208">
        <v>1.52692</v>
      </c>
      <c r="N74" s="208">
        <v>1.69486</v>
      </c>
      <c r="O74" s="209">
        <v>3.5</v>
      </c>
      <c r="P74" s="209">
        <v>8.0</v>
      </c>
      <c r="Q74" s="209">
        <v>6.0</v>
      </c>
      <c r="R74" s="209">
        <v>5.0</v>
      </c>
      <c r="S74" s="210">
        <v>0.001701388890069211</v>
      </c>
      <c r="T74" s="63" t="s">
        <v>1473</v>
      </c>
      <c r="U74" s="205">
        <v>2.0</v>
      </c>
      <c r="V74" s="205">
        <v>5.0</v>
      </c>
      <c r="W74" s="63" t="s">
        <v>1474</v>
      </c>
      <c r="X74" s="210">
        <v>0.001828703701903578</v>
      </c>
      <c r="Y74" s="63" t="s">
        <v>1443</v>
      </c>
      <c r="Z74" s="63" t="s">
        <v>1475</v>
      </c>
      <c r="AA74" s="205">
        <v>0.0</v>
      </c>
      <c r="AB74" s="63" t="s">
        <v>1476</v>
      </c>
      <c r="AC74" s="205">
        <v>124.0</v>
      </c>
      <c r="AD74" s="208">
        <v>9.01543</v>
      </c>
      <c r="AE74" s="205">
        <v>31221.0</v>
      </c>
      <c r="AF74" s="205">
        <v>10611.0</v>
      </c>
      <c r="AG74" s="205">
        <v>113.0</v>
      </c>
      <c r="AH74" s="205">
        <v>301.0</v>
      </c>
      <c r="AI74" s="205">
        <v>2.0</v>
      </c>
      <c r="AJ74" s="205">
        <v>773.0</v>
      </c>
      <c r="AK74" s="205">
        <v>0.0</v>
      </c>
      <c r="AL74" s="205">
        <v>0.0</v>
      </c>
      <c r="AM74" s="205">
        <v>0.0</v>
      </c>
      <c r="AN74" s="205">
        <v>0.0</v>
      </c>
      <c r="AO74" s="208">
        <v>3.10043</v>
      </c>
      <c r="AP74" s="208">
        <v>3.50914</v>
      </c>
      <c r="AQ74" s="208">
        <v>4.72202</v>
      </c>
      <c r="AR74" s="208">
        <v>2.74577</v>
      </c>
      <c r="AT74" s="192" t="s">
        <v>168</v>
      </c>
      <c r="AU74" s="211" t="s">
        <v>1477</v>
      </c>
      <c r="AV74" s="211" t="s">
        <v>1478</v>
      </c>
      <c r="AW74" s="211" t="s">
        <v>1479</v>
      </c>
      <c r="AX74" s="211" t="s">
        <v>168</v>
      </c>
      <c r="AY74" s="212">
        <v>1.75</v>
      </c>
      <c r="AZ74" s="213">
        <v>4.0</v>
      </c>
      <c r="BA74" s="213">
        <v>3.0</v>
      </c>
      <c r="BB74" s="213">
        <v>2.5</v>
      </c>
      <c r="BC74" s="212">
        <v>4.55</v>
      </c>
      <c r="BD74" s="213">
        <v>10.0</v>
      </c>
      <c r="BE74" s="213">
        <v>8.399999999999999</v>
      </c>
      <c r="BF74" s="213">
        <v>7.0</v>
      </c>
      <c r="BG74" s="212">
        <v>9.666666666666668</v>
      </c>
      <c r="BH74" s="213">
        <v>8.416666666666666</v>
      </c>
      <c r="BI74" s="213">
        <v>0.0011342592600461405</v>
      </c>
      <c r="BJ74" s="213">
        <v>0.0012191358012690519</v>
      </c>
      <c r="BK74" s="213">
        <v>225.0</v>
      </c>
      <c r="BL74" s="212">
        <v>5.5</v>
      </c>
      <c r="BM74" s="213">
        <v>2.375</v>
      </c>
      <c r="BN74" s="213">
        <v>0.002268518520092281</v>
      </c>
      <c r="BO74" s="213">
        <v>0.0024382716025381037</v>
      </c>
      <c r="BP74" s="213">
        <v>112.5</v>
      </c>
      <c r="BQ74" s="192"/>
      <c r="BR74" s="192"/>
    </row>
    <row r="75">
      <c r="A75" s="60">
        <v>2015481.0</v>
      </c>
      <c r="B75" s="205">
        <v>2366848.0</v>
      </c>
      <c r="C75" s="205">
        <v>1131726.0</v>
      </c>
      <c r="D75" s="205">
        <v>1.0</v>
      </c>
      <c r="E75" s="207">
        <v>43914.75681712963</v>
      </c>
      <c r="F75" s="207">
        <v>44016.099641203706</v>
      </c>
      <c r="G75" s="207">
        <v>44001.62572916667</v>
      </c>
      <c r="H75" s="63" t="s">
        <v>958</v>
      </c>
      <c r="I75" s="205">
        <v>150.0</v>
      </c>
      <c r="J75" s="63" t="s">
        <v>169</v>
      </c>
      <c r="K75" s="205">
        <v>197805.0</v>
      </c>
      <c r="L75" s="208">
        <v>3.37646</v>
      </c>
      <c r="M75" s="208">
        <v>1.52692</v>
      </c>
      <c r="N75" s="208">
        <v>1.69486</v>
      </c>
      <c r="O75" s="209">
        <v>3.5</v>
      </c>
      <c r="P75" s="209">
        <v>8.0</v>
      </c>
      <c r="Q75" s="209">
        <v>6.0</v>
      </c>
      <c r="R75" s="209">
        <v>5.0</v>
      </c>
      <c r="S75" s="210">
        <v>0.001701388890069211</v>
      </c>
      <c r="T75" s="63" t="s">
        <v>1473</v>
      </c>
      <c r="U75" s="205">
        <v>2.0</v>
      </c>
      <c r="V75" s="205">
        <v>5.0</v>
      </c>
      <c r="W75" s="63" t="s">
        <v>1474</v>
      </c>
      <c r="X75" s="210">
        <v>0.001828703701903578</v>
      </c>
      <c r="Y75" s="63" t="s">
        <v>1443</v>
      </c>
      <c r="Z75" s="63" t="s">
        <v>1475</v>
      </c>
      <c r="AA75" s="205">
        <v>0.0</v>
      </c>
      <c r="AB75" s="63" t="s">
        <v>1476</v>
      </c>
      <c r="AC75" s="205">
        <v>124.0</v>
      </c>
      <c r="AD75" s="208">
        <v>9.01543</v>
      </c>
      <c r="AE75" s="205">
        <v>31221.0</v>
      </c>
      <c r="AF75" s="205">
        <v>10611.0</v>
      </c>
      <c r="AG75" s="205">
        <v>113.0</v>
      </c>
      <c r="AH75" s="205">
        <v>301.0</v>
      </c>
      <c r="AI75" s="205">
        <v>2.0</v>
      </c>
      <c r="AJ75" s="205">
        <v>773.0</v>
      </c>
      <c r="AK75" s="205">
        <v>0.0</v>
      </c>
      <c r="AL75" s="205">
        <v>0.0</v>
      </c>
      <c r="AM75" s="205">
        <v>0.0</v>
      </c>
      <c r="AN75" s="205">
        <v>0.0</v>
      </c>
      <c r="AO75" s="208">
        <v>3.10043</v>
      </c>
      <c r="AP75" s="208">
        <v>3.50914</v>
      </c>
      <c r="AQ75" s="208">
        <v>4.72202</v>
      </c>
      <c r="AR75" s="208">
        <v>2.74577</v>
      </c>
      <c r="AT75" s="192" t="s">
        <v>168</v>
      </c>
      <c r="AU75" s="211" t="s">
        <v>1477</v>
      </c>
      <c r="AV75" s="211" t="s">
        <v>1478</v>
      </c>
      <c r="AW75" s="211" t="s">
        <v>1479</v>
      </c>
      <c r="AX75" s="211" t="s">
        <v>168</v>
      </c>
      <c r="AY75" s="212">
        <v>1.75</v>
      </c>
      <c r="AZ75" s="213">
        <v>4.0</v>
      </c>
      <c r="BA75" s="213">
        <v>3.0</v>
      </c>
      <c r="BB75" s="213">
        <v>2.5</v>
      </c>
      <c r="BC75" s="212">
        <v>4.55</v>
      </c>
      <c r="BD75" s="213">
        <v>10.0</v>
      </c>
      <c r="BE75" s="213">
        <v>8.399999999999999</v>
      </c>
      <c r="BF75" s="213">
        <v>7.0</v>
      </c>
      <c r="BG75" s="212">
        <v>9.666666666666668</v>
      </c>
      <c r="BH75" s="213">
        <v>8.416666666666666</v>
      </c>
      <c r="BI75" s="213">
        <v>0.0011342592600461405</v>
      </c>
      <c r="BJ75" s="213">
        <v>0.0012191358012690519</v>
      </c>
      <c r="BK75" s="213">
        <v>225.0</v>
      </c>
      <c r="BL75" s="212">
        <v>5.5</v>
      </c>
      <c r="BM75" s="213">
        <v>2.375</v>
      </c>
      <c r="BN75" s="213">
        <v>0.002268518520092281</v>
      </c>
      <c r="BO75" s="213">
        <v>0.0024382716025381037</v>
      </c>
      <c r="BP75" s="213">
        <v>112.5</v>
      </c>
      <c r="BQ75" s="192"/>
      <c r="BR75" s="192"/>
    </row>
    <row r="76">
      <c r="A76" s="60">
        <v>2027623.0</v>
      </c>
      <c r="B76" s="205">
        <v>2694599.0</v>
      </c>
      <c r="C76" s="205">
        <v>1299190.0</v>
      </c>
      <c r="D76" s="205">
        <v>1.0</v>
      </c>
      <c r="E76" s="207">
        <v>44147.94375</v>
      </c>
      <c r="F76" s="207">
        <v>44203.9194675926</v>
      </c>
      <c r="G76" s="207">
        <v>44194.23850694444</v>
      </c>
      <c r="H76" s="63" t="s">
        <v>1480</v>
      </c>
      <c r="I76" s="205">
        <v>145.0</v>
      </c>
      <c r="J76" s="63" t="s">
        <v>502</v>
      </c>
      <c r="K76" s="205">
        <v>3533958.0</v>
      </c>
      <c r="L76" s="208">
        <v>4.46105</v>
      </c>
      <c r="M76" s="208">
        <v>1.9802</v>
      </c>
      <c r="N76" s="208">
        <v>2.26742</v>
      </c>
      <c r="O76" s="209">
        <v>4.0</v>
      </c>
      <c r="P76" s="209">
        <v>8.0</v>
      </c>
      <c r="Q76" s="209">
        <v>7.5</v>
      </c>
      <c r="R76" s="209">
        <v>5.0</v>
      </c>
      <c r="S76" s="210">
        <v>0.0013657407398568466</v>
      </c>
      <c r="U76" s="205">
        <v>10.0</v>
      </c>
      <c r="V76" s="205">
        <v>5.0</v>
      </c>
      <c r="W76" s="63" t="s">
        <v>1481</v>
      </c>
      <c r="X76" s="210">
        <v>0.0014236111128411721</v>
      </c>
      <c r="Y76" s="63" t="s">
        <v>1482</v>
      </c>
      <c r="Z76" s="63" t="s">
        <v>1483</v>
      </c>
      <c r="AA76" s="205">
        <v>0.0</v>
      </c>
      <c r="AB76" s="63" t="s">
        <v>1484</v>
      </c>
      <c r="AC76" s="205">
        <v>78.0</v>
      </c>
      <c r="AD76" s="208">
        <v>8.97276</v>
      </c>
      <c r="AE76" s="205">
        <v>57907.0</v>
      </c>
      <c r="AF76" s="205">
        <v>9502.0</v>
      </c>
      <c r="AG76" s="205">
        <v>395.0</v>
      </c>
      <c r="AH76" s="205">
        <v>115.0</v>
      </c>
      <c r="AI76" s="205">
        <v>0.0</v>
      </c>
      <c r="AJ76" s="205">
        <v>649.0</v>
      </c>
      <c r="AK76" s="205">
        <v>0.0</v>
      </c>
      <c r="AL76" s="205">
        <v>0.0</v>
      </c>
      <c r="AM76" s="205">
        <v>0.0</v>
      </c>
      <c r="AN76" s="205">
        <v>0.0</v>
      </c>
      <c r="AO76" s="208">
        <v>4.25332</v>
      </c>
      <c r="AP76" s="208">
        <v>4.60629</v>
      </c>
      <c r="AQ76" s="208">
        <v>6.32967</v>
      </c>
      <c r="AR76" s="208">
        <v>3.46802</v>
      </c>
      <c r="AT76" s="192" t="s">
        <v>188</v>
      </c>
      <c r="AU76" s="211" t="s">
        <v>1485</v>
      </c>
      <c r="AV76" s="211" t="s">
        <v>1486</v>
      </c>
      <c r="AW76" s="211" t="s">
        <v>1487</v>
      </c>
      <c r="AX76" s="211" t="s">
        <v>188</v>
      </c>
      <c r="AY76" s="212">
        <v>2.0</v>
      </c>
      <c r="AZ76" s="213">
        <v>4.0</v>
      </c>
      <c r="BA76" s="213">
        <v>3.75</v>
      </c>
      <c r="BB76" s="213">
        <v>2.5</v>
      </c>
      <c r="BC76" s="212">
        <v>5.2</v>
      </c>
      <c r="BD76" s="213">
        <v>10.0</v>
      </c>
      <c r="BE76" s="213">
        <v>10.0</v>
      </c>
      <c r="BF76" s="213">
        <v>7.0</v>
      </c>
      <c r="BG76" s="212">
        <v>9.666666666666668</v>
      </c>
      <c r="BH76" s="213">
        <v>9.416666666666666</v>
      </c>
      <c r="BI76" s="213">
        <v>9.104938265712311E-4</v>
      </c>
      <c r="BJ76" s="213">
        <v>9.490740752274481E-4</v>
      </c>
      <c r="BK76" s="213">
        <v>217.5</v>
      </c>
      <c r="BL76" s="212">
        <v>5.5</v>
      </c>
      <c r="BM76" s="213">
        <v>4.625</v>
      </c>
      <c r="BN76" s="213">
        <v>0.0018209876531424622</v>
      </c>
      <c r="BO76" s="213">
        <v>0.0018981481504548963</v>
      </c>
      <c r="BP76" s="213">
        <v>108.75</v>
      </c>
      <c r="BQ76" s="192"/>
      <c r="BR76" s="192"/>
    </row>
    <row r="77">
      <c r="A77" s="60">
        <v>3396305.0</v>
      </c>
      <c r="B77" s="205">
        <v>2694599.0</v>
      </c>
      <c r="C77" s="205">
        <v>1299190.0</v>
      </c>
      <c r="D77" s="205">
        <v>1.0</v>
      </c>
      <c r="E77" s="207">
        <v>44147.94375</v>
      </c>
      <c r="F77" s="207">
        <v>44203.9194675926</v>
      </c>
      <c r="G77" s="207">
        <v>44194.23850694444</v>
      </c>
      <c r="H77" s="63" t="s">
        <v>1480</v>
      </c>
      <c r="I77" s="205">
        <v>145.0</v>
      </c>
      <c r="J77" s="63" t="s">
        <v>502</v>
      </c>
      <c r="K77" s="205">
        <v>3533958.0</v>
      </c>
      <c r="L77" s="208">
        <v>4.46105</v>
      </c>
      <c r="M77" s="208">
        <v>1.9802</v>
      </c>
      <c r="N77" s="208">
        <v>2.26742</v>
      </c>
      <c r="O77" s="209">
        <v>4.0</v>
      </c>
      <c r="P77" s="209">
        <v>8.0</v>
      </c>
      <c r="Q77" s="209">
        <v>7.5</v>
      </c>
      <c r="R77" s="209">
        <v>5.0</v>
      </c>
      <c r="S77" s="210">
        <v>0.0013657407398568466</v>
      </c>
      <c r="U77" s="205">
        <v>10.0</v>
      </c>
      <c r="V77" s="205">
        <v>5.0</v>
      </c>
      <c r="W77" s="63" t="s">
        <v>1481</v>
      </c>
      <c r="X77" s="210">
        <v>0.0014236111128411721</v>
      </c>
      <c r="Y77" s="63" t="s">
        <v>1482</v>
      </c>
      <c r="Z77" s="63" t="s">
        <v>1483</v>
      </c>
      <c r="AA77" s="205">
        <v>0.0</v>
      </c>
      <c r="AB77" s="63" t="s">
        <v>1484</v>
      </c>
      <c r="AC77" s="205">
        <v>78.0</v>
      </c>
      <c r="AD77" s="208">
        <v>8.97276</v>
      </c>
      <c r="AE77" s="205">
        <v>57907.0</v>
      </c>
      <c r="AF77" s="205">
        <v>9502.0</v>
      </c>
      <c r="AG77" s="205">
        <v>395.0</v>
      </c>
      <c r="AH77" s="205">
        <v>115.0</v>
      </c>
      <c r="AI77" s="205">
        <v>0.0</v>
      </c>
      <c r="AJ77" s="205">
        <v>649.0</v>
      </c>
      <c r="AK77" s="205">
        <v>0.0</v>
      </c>
      <c r="AL77" s="205">
        <v>0.0</v>
      </c>
      <c r="AM77" s="205">
        <v>0.0</v>
      </c>
      <c r="AN77" s="205">
        <v>0.0</v>
      </c>
      <c r="AO77" s="208">
        <v>4.25332</v>
      </c>
      <c r="AP77" s="208">
        <v>4.60629</v>
      </c>
      <c r="AQ77" s="208">
        <v>6.32967</v>
      </c>
      <c r="AR77" s="208">
        <v>3.46802</v>
      </c>
      <c r="AT77" s="192" t="s">
        <v>188</v>
      </c>
      <c r="AU77" s="211" t="s">
        <v>1485</v>
      </c>
      <c r="AV77" s="211" t="s">
        <v>1486</v>
      </c>
      <c r="AW77" s="211" t="s">
        <v>1487</v>
      </c>
      <c r="AX77" s="211" t="s">
        <v>188</v>
      </c>
      <c r="AY77" s="212">
        <v>2.0</v>
      </c>
      <c r="AZ77" s="213">
        <v>4.0</v>
      </c>
      <c r="BA77" s="213">
        <v>3.75</v>
      </c>
      <c r="BB77" s="213">
        <v>2.5</v>
      </c>
      <c r="BC77" s="212">
        <v>5.2</v>
      </c>
      <c r="BD77" s="213">
        <v>10.0</v>
      </c>
      <c r="BE77" s="213">
        <v>10.0</v>
      </c>
      <c r="BF77" s="213">
        <v>7.0</v>
      </c>
      <c r="BG77" s="212">
        <v>9.666666666666668</v>
      </c>
      <c r="BH77" s="213">
        <v>9.416666666666666</v>
      </c>
      <c r="BI77" s="213">
        <v>9.104938265712311E-4</v>
      </c>
      <c r="BJ77" s="213">
        <v>9.490740752274481E-4</v>
      </c>
      <c r="BK77" s="213">
        <v>217.5</v>
      </c>
      <c r="BL77" s="212">
        <v>5.5</v>
      </c>
      <c r="BM77" s="213">
        <v>4.625</v>
      </c>
      <c r="BN77" s="213">
        <v>0.0018209876531424622</v>
      </c>
      <c r="BO77" s="213">
        <v>0.0018981481504548963</v>
      </c>
      <c r="BP77" s="213">
        <v>108.75</v>
      </c>
      <c r="BQ77" s="192"/>
      <c r="BR77" s="192"/>
    </row>
    <row r="78">
      <c r="A78" s="60">
        <v>4024821.0</v>
      </c>
      <c r="B78" s="205">
        <v>134141.0</v>
      </c>
      <c r="C78" s="205">
        <v>42527.0</v>
      </c>
      <c r="D78" s="205">
        <v>1.0</v>
      </c>
      <c r="E78" s="207">
        <v>40913.375497685185</v>
      </c>
      <c r="F78" s="207">
        <v>41070.289456018516</v>
      </c>
      <c r="G78" s="207">
        <v>41070.224398148144</v>
      </c>
      <c r="H78" s="63" t="s">
        <v>954</v>
      </c>
      <c r="I78" s="205">
        <v>175.0</v>
      </c>
      <c r="J78" s="63" t="s">
        <v>152</v>
      </c>
      <c r="K78" s="205">
        <v>232942.0</v>
      </c>
      <c r="L78" s="208">
        <v>4.33398</v>
      </c>
      <c r="M78" s="208">
        <v>2.00241</v>
      </c>
      <c r="N78" s="208">
        <v>2.14089</v>
      </c>
      <c r="O78" s="209">
        <v>4.0</v>
      </c>
      <c r="P78" s="209">
        <v>8.0</v>
      </c>
      <c r="Q78" s="209">
        <v>6.0</v>
      </c>
      <c r="R78" s="209">
        <v>5.0</v>
      </c>
      <c r="S78" s="210">
        <v>0.0012268518512428273</v>
      </c>
      <c r="T78" s="63" t="s">
        <v>1488</v>
      </c>
      <c r="U78" s="205">
        <v>2.0</v>
      </c>
      <c r="V78" s="205">
        <v>5.0</v>
      </c>
      <c r="W78" s="63" t="s">
        <v>1489</v>
      </c>
      <c r="X78" s="210">
        <v>0.0012962962973688263</v>
      </c>
      <c r="Y78" s="63" t="s">
        <v>1490</v>
      </c>
      <c r="Z78" s="63" t="s">
        <v>1491</v>
      </c>
      <c r="AA78" s="205">
        <v>0.0</v>
      </c>
      <c r="AB78" s="63" t="s">
        <v>1492</v>
      </c>
      <c r="AC78" s="205">
        <v>440.0</v>
      </c>
      <c r="AD78" s="208">
        <v>9.3861</v>
      </c>
      <c r="AE78" s="205">
        <v>366970.0</v>
      </c>
      <c r="AF78" s="205">
        <v>114299.0</v>
      </c>
      <c r="AG78" s="205">
        <v>211.0</v>
      </c>
      <c r="AH78" s="205">
        <v>130.0</v>
      </c>
      <c r="AI78" s="205">
        <v>2.0</v>
      </c>
      <c r="AJ78" s="205">
        <v>620.0</v>
      </c>
      <c r="AK78" s="205">
        <v>0.0</v>
      </c>
      <c r="AL78" s="205">
        <v>1.0</v>
      </c>
      <c r="AM78" s="205">
        <v>0.0</v>
      </c>
      <c r="AN78" s="205">
        <v>0.0</v>
      </c>
      <c r="AO78" s="208">
        <v>3.92422</v>
      </c>
      <c r="AP78" s="208">
        <v>4.57504</v>
      </c>
      <c r="AQ78" s="208">
        <v>6.09349</v>
      </c>
      <c r="AR78" s="208">
        <v>3.48502</v>
      </c>
      <c r="AT78" s="192" t="s">
        <v>151</v>
      </c>
      <c r="AU78" s="211" t="s">
        <v>190</v>
      </c>
      <c r="AV78" s="211" t="s">
        <v>1493</v>
      </c>
      <c r="AW78" s="211" t="s">
        <v>1494</v>
      </c>
      <c r="AX78" s="211" t="s">
        <v>151</v>
      </c>
      <c r="AY78" s="212">
        <v>2.0</v>
      </c>
      <c r="AZ78" s="213">
        <v>4.0</v>
      </c>
      <c r="BA78" s="213">
        <v>3.0</v>
      </c>
      <c r="BB78" s="213">
        <v>2.5</v>
      </c>
      <c r="BC78" s="212">
        <v>5.2</v>
      </c>
      <c r="BD78" s="213">
        <v>10.0</v>
      </c>
      <c r="BE78" s="213">
        <v>8.399999999999999</v>
      </c>
      <c r="BF78" s="213">
        <v>7.0</v>
      </c>
      <c r="BG78" s="212">
        <v>9.666666666666668</v>
      </c>
      <c r="BH78" s="213">
        <v>8.416666666666666</v>
      </c>
      <c r="BI78" s="213">
        <v>8.179012341618849E-4</v>
      </c>
      <c r="BJ78" s="213">
        <v>8.641975315792175E-4</v>
      </c>
      <c r="BK78" s="213">
        <v>262.5</v>
      </c>
      <c r="BL78" s="212">
        <v>5.5</v>
      </c>
      <c r="BM78" s="213">
        <v>2.375</v>
      </c>
      <c r="BN78" s="213">
        <v>0.0016358024683237697</v>
      </c>
      <c r="BO78" s="213">
        <v>0.001728395063158435</v>
      </c>
      <c r="BP78" s="213">
        <v>131.25</v>
      </c>
      <c r="BQ78" s="192"/>
      <c r="BR78" s="192"/>
    </row>
    <row r="79">
      <c r="A79" s="60">
        <v>1596086.0</v>
      </c>
      <c r="B79" s="205">
        <v>134141.0</v>
      </c>
      <c r="C79" s="205">
        <v>42527.0</v>
      </c>
      <c r="D79" s="205">
        <v>1.0</v>
      </c>
      <c r="E79" s="207">
        <v>40913.375497685185</v>
      </c>
      <c r="F79" s="207">
        <v>41070.289456018516</v>
      </c>
      <c r="G79" s="207">
        <v>41070.224398148144</v>
      </c>
      <c r="H79" s="63" t="s">
        <v>954</v>
      </c>
      <c r="I79" s="205">
        <v>175.0</v>
      </c>
      <c r="J79" s="63" t="s">
        <v>152</v>
      </c>
      <c r="K79" s="205">
        <v>232942.0</v>
      </c>
      <c r="L79" s="208">
        <v>4.33398</v>
      </c>
      <c r="M79" s="208">
        <v>2.00241</v>
      </c>
      <c r="N79" s="208">
        <v>2.14089</v>
      </c>
      <c r="O79" s="209">
        <v>4.0</v>
      </c>
      <c r="P79" s="209">
        <v>8.0</v>
      </c>
      <c r="Q79" s="209">
        <v>6.0</v>
      </c>
      <c r="R79" s="209">
        <v>5.0</v>
      </c>
      <c r="S79" s="210">
        <v>0.0012268518512428273</v>
      </c>
      <c r="T79" s="63" t="s">
        <v>1488</v>
      </c>
      <c r="U79" s="205">
        <v>2.0</v>
      </c>
      <c r="V79" s="205">
        <v>5.0</v>
      </c>
      <c r="W79" s="63" t="s">
        <v>1489</v>
      </c>
      <c r="X79" s="210">
        <v>0.0012962962973688263</v>
      </c>
      <c r="Y79" s="63" t="s">
        <v>1490</v>
      </c>
      <c r="Z79" s="63" t="s">
        <v>1491</v>
      </c>
      <c r="AA79" s="205">
        <v>0.0</v>
      </c>
      <c r="AB79" s="63" t="s">
        <v>1492</v>
      </c>
      <c r="AC79" s="205">
        <v>440.0</v>
      </c>
      <c r="AD79" s="208">
        <v>9.3861</v>
      </c>
      <c r="AE79" s="205">
        <v>366970.0</v>
      </c>
      <c r="AF79" s="205">
        <v>114299.0</v>
      </c>
      <c r="AG79" s="205">
        <v>211.0</v>
      </c>
      <c r="AH79" s="205">
        <v>130.0</v>
      </c>
      <c r="AI79" s="205">
        <v>2.0</v>
      </c>
      <c r="AJ79" s="205">
        <v>620.0</v>
      </c>
      <c r="AK79" s="205">
        <v>0.0</v>
      </c>
      <c r="AL79" s="205">
        <v>1.0</v>
      </c>
      <c r="AM79" s="205">
        <v>0.0</v>
      </c>
      <c r="AN79" s="205">
        <v>0.0</v>
      </c>
      <c r="AO79" s="208">
        <v>3.92422</v>
      </c>
      <c r="AP79" s="208">
        <v>4.57504</v>
      </c>
      <c r="AQ79" s="208">
        <v>6.09349</v>
      </c>
      <c r="AR79" s="208">
        <v>3.48502</v>
      </c>
      <c r="AT79" s="192" t="s">
        <v>151</v>
      </c>
      <c r="AU79" s="211" t="s">
        <v>190</v>
      </c>
      <c r="AV79" s="211" t="s">
        <v>1493</v>
      </c>
      <c r="AW79" s="211" t="s">
        <v>1494</v>
      </c>
      <c r="AX79" s="211" t="s">
        <v>151</v>
      </c>
      <c r="AY79" s="212">
        <v>2.0</v>
      </c>
      <c r="AZ79" s="213">
        <v>4.0</v>
      </c>
      <c r="BA79" s="213">
        <v>3.0</v>
      </c>
      <c r="BB79" s="213">
        <v>2.5</v>
      </c>
      <c r="BC79" s="212">
        <v>5.2</v>
      </c>
      <c r="BD79" s="213">
        <v>10.0</v>
      </c>
      <c r="BE79" s="213">
        <v>8.399999999999999</v>
      </c>
      <c r="BF79" s="213">
        <v>7.0</v>
      </c>
      <c r="BG79" s="212">
        <v>9.666666666666668</v>
      </c>
      <c r="BH79" s="213">
        <v>8.416666666666666</v>
      </c>
      <c r="BI79" s="213">
        <v>8.179012341618849E-4</v>
      </c>
      <c r="BJ79" s="213">
        <v>8.641975315792175E-4</v>
      </c>
      <c r="BK79" s="213">
        <v>262.5</v>
      </c>
      <c r="BL79" s="212">
        <v>5.5</v>
      </c>
      <c r="BM79" s="213">
        <v>2.375</v>
      </c>
      <c r="BN79" s="213">
        <v>0.0016358024683237697</v>
      </c>
      <c r="BO79" s="213">
        <v>0.001728395063158435</v>
      </c>
      <c r="BP79" s="213">
        <v>131.25</v>
      </c>
      <c r="BQ79" s="192"/>
      <c r="BR79" s="192"/>
    </row>
    <row r="80">
      <c r="A80" s="60">
        <v>3986899.0</v>
      </c>
      <c r="B80" s="205">
        <v>250577.0</v>
      </c>
      <c r="C80" s="205">
        <v>80214.0</v>
      </c>
      <c r="D80" s="205">
        <v>1.0</v>
      </c>
      <c r="E80" s="207">
        <v>41327.9344212963</v>
      </c>
      <c r="F80" s="207">
        <v>41471.60438657407</v>
      </c>
      <c r="G80" s="207">
        <v>41471.588229166664</v>
      </c>
      <c r="H80" s="63" t="s">
        <v>1495</v>
      </c>
      <c r="I80" s="205">
        <v>190.0</v>
      </c>
      <c r="J80" s="63" t="s">
        <v>1496</v>
      </c>
      <c r="K80" s="205">
        <v>389236.0</v>
      </c>
      <c r="L80" s="208">
        <v>4.3096</v>
      </c>
      <c r="M80" s="208">
        <v>2.05093</v>
      </c>
      <c r="N80" s="208">
        <v>2.07434</v>
      </c>
      <c r="O80" s="209">
        <v>4.0</v>
      </c>
      <c r="P80" s="209">
        <v>8.0</v>
      </c>
      <c r="Q80" s="209">
        <v>6.0</v>
      </c>
      <c r="R80" s="209">
        <v>6.0</v>
      </c>
      <c r="S80" s="210">
        <v>0.001701388890069211</v>
      </c>
      <c r="T80" s="63" t="s">
        <v>1497</v>
      </c>
      <c r="U80" s="205">
        <v>5.0</v>
      </c>
      <c r="V80" s="205">
        <v>3.0</v>
      </c>
      <c r="W80" s="63" t="s">
        <v>1498</v>
      </c>
      <c r="X80" s="210">
        <v>0.0020370370366435964</v>
      </c>
      <c r="Y80" s="63" t="s">
        <v>1443</v>
      </c>
      <c r="Z80" s="63" t="s">
        <v>1499</v>
      </c>
      <c r="AA80" s="205">
        <v>0.0</v>
      </c>
      <c r="AB80" s="63" t="s">
        <v>1500</v>
      </c>
      <c r="AC80" s="205">
        <v>5478.0</v>
      </c>
      <c r="AD80" s="208">
        <v>9.42529</v>
      </c>
      <c r="AE80" s="205">
        <v>2785182.0</v>
      </c>
      <c r="AF80" s="205">
        <v>306996.0</v>
      </c>
      <c r="AG80" s="205">
        <v>260.0</v>
      </c>
      <c r="AH80" s="205">
        <v>243.0</v>
      </c>
      <c r="AI80" s="205">
        <v>0.0</v>
      </c>
      <c r="AJ80" s="205">
        <v>816.0</v>
      </c>
      <c r="AK80" s="205">
        <v>0.0</v>
      </c>
      <c r="AL80" s="205">
        <v>0.0</v>
      </c>
      <c r="AM80" s="205">
        <v>0.0</v>
      </c>
      <c r="AN80" s="205">
        <v>0.0</v>
      </c>
      <c r="AO80" s="208">
        <v>3.92661</v>
      </c>
      <c r="AP80" s="208">
        <v>4.59534</v>
      </c>
      <c r="AQ80" s="208">
        <v>6.08659</v>
      </c>
      <c r="AR80" s="208">
        <v>3.46071</v>
      </c>
      <c r="AT80" s="192" t="s">
        <v>193</v>
      </c>
      <c r="AU80" s="211" t="s">
        <v>192</v>
      </c>
      <c r="AV80" s="211" t="s">
        <v>1501</v>
      </c>
      <c r="AW80" s="211" t="s">
        <v>1502</v>
      </c>
      <c r="AX80" s="211" t="s">
        <v>193</v>
      </c>
      <c r="AY80" s="212">
        <v>2.0</v>
      </c>
      <c r="AZ80" s="213">
        <v>4.0</v>
      </c>
      <c r="BA80" s="213">
        <v>3.0</v>
      </c>
      <c r="BB80" s="213">
        <v>3.0</v>
      </c>
      <c r="BC80" s="212">
        <v>5.2</v>
      </c>
      <c r="BD80" s="213">
        <v>10.0</v>
      </c>
      <c r="BE80" s="213">
        <v>8.399999999999999</v>
      </c>
      <c r="BF80" s="213">
        <v>8.399999999999999</v>
      </c>
      <c r="BG80" s="212">
        <v>9.666666666666668</v>
      </c>
      <c r="BH80" s="213">
        <v>8.416666666666666</v>
      </c>
      <c r="BI80" s="213">
        <v>0.0011342592600461405</v>
      </c>
      <c r="BJ80" s="213">
        <v>0.001358024691095731</v>
      </c>
      <c r="BK80" s="213">
        <v>285.0</v>
      </c>
      <c r="BL80" s="212">
        <v>5.5</v>
      </c>
      <c r="BM80" s="213">
        <v>2.375</v>
      </c>
      <c r="BN80" s="213">
        <v>0.002268518520092281</v>
      </c>
      <c r="BO80" s="213">
        <v>0.002716049382191462</v>
      </c>
      <c r="BP80" s="213">
        <v>142.5</v>
      </c>
      <c r="BQ80" s="192"/>
      <c r="BR80" s="192"/>
    </row>
    <row r="81">
      <c r="A81" s="60">
        <v>2198934.0</v>
      </c>
      <c r="B81" s="205">
        <v>2161153.0</v>
      </c>
      <c r="C81" s="205">
        <v>996628.0</v>
      </c>
      <c r="D81" s="205">
        <v>1.0</v>
      </c>
      <c r="E81" s="207">
        <v>43648.0054050926</v>
      </c>
      <c r="F81" s="207">
        <v>43735.990324074075</v>
      </c>
      <c r="G81" s="207">
        <v>43728.73881944444</v>
      </c>
      <c r="H81" s="63" t="s">
        <v>974</v>
      </c>
      <c r="I81" s="205">
        <v>210.0</v>
      </c>
      <c r="J81" s="63" t="s">
        <v>270</v>
      </c>
      <c r="K81" s="205">
        <v>4668230.0</v>
      </c>
      <c r="L81" s="208">
        <v>3.21329</v>
      </c>
      <c r="M81" s="208">
        <v>1.63266</v>
      </c>
      <c r="N81" s="208">
        <v>1.42691</v>
      </c>
      <c r="O81" s="209">
        <v>4.0</v>
      </c>
      <c r="P81" s="209">
        <v>7.5</v>
      </c>
      <c r="Q81" s="209">
        <v>6.0</v>
      </c>
      <c r="R81" s="209">
        <v>4.0</v>
      </c>
      <c r="S81" s="210">
        <v>0.0016666666670062114</v>
      </c>
      <c r="U81" s="205">
        <v>10.0</v>
      </c>
      <c r="V81" s="205">
        <v>5.0</v>
      </c>
      <c r="W81" s="63" t="s">
        <v>1503</v>
      </c>
      <c r="X81" s="210">
        <v>0.0019560185173759237</v>
      </c>
      <c r="Y81" s="63" t="s">
        <v>1231</v>
      </c>
      <c r="Z81" s="63" t="s">
        <v>1504</v>
      </c>
      <c r="AA81" s="205">
        <v>0.0</v>
      </c>
      <c r="AB81" s="63" t="s">
        <v>1505</v>
      </c>
      <c r="AC81" s="205">
        <v>1610.0</v>
      </c>
      <c r="AD81" s="208">
        <v>8.87113</v>
      </c>
      <c r="AE81" s="205">
        <v>513081.0</v>
      </c>
      <c r="AF81" s="205">
        <v>48816.0</v>
      </c>
      <c r="AG81" s="205">
        <v>108.0</v>
      </c>
      <c r="AH81" s="205">
        <v>295.0</v>
      </c>
      <c r="AI81" s="205">
        <v>0.0</v>
      </c>
      <c r="AJ81" s="205">
        <v>944.0</v>
      </c>
      <c r="AK81" s="205">
        <v>0.0</v>
      </c>
      <c r="AL81" s="205">
        <v>0.0</v>
      </c>
      <c r="AM81" s="205">
        <v>0.0</v>
      </c>
      <c r="AN81" s="205">
        <v>0.0</v>
      </c>
      <c r="AO81" s="208">
        <v>2.91414</v>
      </c>
      <c r="AP81" s="208">
        <v>3.44976</v>
      </c>
      <c r="AQ81" s="208">
        <v>4.44119</v>
      </c>
      <c r="AR81" s="208">
        <v>2.59187</v>
      </c>
      <c r="AT81" s="192" t="s">
        <v>195</v>
      </c>
      <c r="AU81" s="211" t="s">
        <v>1506</v>
      </c>
      <c r="AV81" s="211" t="s">
        <v>1507</v>
      </c>
      <c r="AW81" s="211" t="s">
        <v>1508</v>
      </c>
      <c r="AX81" s="211" t="s">
        <v>195</v>
      </c>
      <c r="AY81" s="212">
        <v>2.0</v>
      </c>
      <c r="AZ81" s="213">
        <v>3.75</v>
      </c>
      <c r="BA81" s="213">
        <v>3.0</v>
      </c>
      <c r="BB81" s="213">
        <v>2.0</v>
      </c>
      <c r="BC81" s="212">
        <v>5.2</v>
      </c>
      <c r="BD81" s="213">
        <v>10.0</v>
      </c>
      <c r="BE81" s="213">
        <v>8.399999999999999</v>
      </c>
      <c r="BF81" s="213">
        <v>5.6</v>
      </c>
      <c r="BG81" s="212">
        <v>9.333333333333332</v>
      </c>
      <c r="BH81" s="213">
        <v>8.416666666666666</v>
      </c>
      <c r="BI81" s="213">
        <v>0.0011111111113374743</v>
      </c>
      <c r="BJ81" s="213">
        <v>0.0013040123449172825</v>
      </c>
      <c r="BK81" s="213">
        <v>315.0</v>
      </c>
      <c r="BL81" s="212">
        <v>4.75</v>
      </c>
      <c r="BM81" s="213">
        <v>2.375</v>
      </c>
      <c r="BN81" s="213">
        <v>0.0022222222226749486</v>
      </c>
      <c r="BO81" s="213">
        <v>0.002608024689834565</v>
      </c>
      <c r="BP81" s="213">
        <v>157.5</v>
      </c>
      <c r="BQ81" s="192"/>
      <c r="BR81" s="192"/>
    </row>
    <row r="82">
      <c r="A82" s="60">
        <v>1258993.0</v>
      </c>
      <c r="B82" s="205">
        <v>2795818.0</v>
      </c>
      <c r="C82" s="205">
        <v>1313297.0</v>
      </c>
      <c r="D82" s="205">
        <v>-2.0</v>
      </c>
      <c r="E82" s="207">
        <v>44166.294224537036</v>
      </c>
      <c r="F82" s="215"/>
      <c r="G82" s="207">
        <v>44220.25069444445</v>
      </c>
      <c r="H82" s="63" t="s">
        <v>1509</v>
      </c>
      <c r="I82" s="205">
        <v>184.0</v>
      </c>
      <c r="J82" s="63" t="s">
        <v>1510</v>
      </c>
      <c r="K82" s="205">
        <v>1.1055678E7</v>
      </c>
      <c r="L82" s="208">
        <v>4.78564</v>
      </c>
      <c r="M82" s="208">
        <v>2.48925</v>
      </c>
      <c r="N82" s="208">
        <v>2.04007</v>
      </c>
      <c r="O82" s="209">
        <v>3.8</v>
      </c>
      <c r="P82" s="209">
        <v>9.0</v>
      </c>
      <c r="Q82" s="209">
        <v>8.0</v>
      </c>
      <c r="R82" s="209">
        <v>5.0</v>
      </c>
      <c r="S82" s="210">
        <v>0.0024189814830606338</v>
      </c>
      <c r="U82" s="205">
        <v>4.0</v>
      </c>
      <c r="V82" s="205">
        <v>3.0</v>
      </c>
      <c r="W82" s="63" t="s">
        <v>1511</v>
      </c>
      <c r="X82" s="210">
        <v>0.0024189814830606338</v>
      </c>
      <c r="Y82" s="63" t="s">
        <v>1116</v>
      </c>
      <c r="Z82" s="63" t="s">
        <v>1512</v>
      </c>
      <c r="AA82" s="205">
        <v>0.0</v>
      </c>
      <c r="AB82" s="63" t="s">
        <v>1513</v>
      </c>
      <c r="AC82" s="205">
        <v>11.0</v>
      </c>
      <c r="AD82" s="208">
        <v>0.0</v>
      </c>
      <c r="AE82" s="205">
        <v>840.0</v>
      </c>
      <c r="AF82" s="205">
        <v>217.0</v>
      </c>
      <c r="AG82" s="205">
        <v>347.0</v>
      </c>
      <c r="AH82" s="205">
        <v>299.0</v>
      </c>
      <c r="AI82" s="205">
        <v>5.0</v>
      </c>
      <c r="AJ82" s="205">
        <v>1017.0</v>
      </c>
      <c r="AK82" s="205">
        <v>0.0</v>
      </c>
      <c r="AL82" s="205">
        <v>0.0</v>
      </c>
      <c r="AM82" s="205">
        <v>0.0</v>
      </c>
      <c r="AN82" s="205">
        <v>0.0</v>
      </c>
      <c r="AO82" s="208">
        <v>4.42512</v>
      </c>
      <c r="AP82" s="208">
        <v>5.05495</v>
      </c>
      <c r="AQ82" s="208">
        <v>6.73122</v>
      </c>
      <c r="AR82" s="208">
        <v>3.78936</v>
      </c>
      <c r="AT82" s="192" t="s">
        <v>197</v>
      </c>
      <c r="AU82" s="211" t="s">
        <v>1514</v>
      </c>
      <c r="AV82" s="211" t="s">
        <v>1515</v>
      </c>
      <c r="AW82" s="211" t="s">
        <v>1516</v>
      </c>
      <c r="AX82" s="211" t="s">
        <v>197</v>
      </c>
      <c r="AY82" s="212">
        <v>1.9</v>
      </c>
      <c r="AZ82" s="213">
        <v>4.5</v>
      </c>
      <c r="BA82" s="213">
        <v>4.0</v>
      </c>
      <c r="BB82" s="213">
        <v>2.5</v>
      </c>
      <c r="BC82" s="212">
        <v>4.9399999999999995</v>
      </c>
      <c r="BD82" s="213">
        <v>10.0</v>
      </c>
      <c r="BE82" s="213">
        <v>10.0</v>
      </c>
      <c r="BF82" s="213">
        <v>7.0</v>
      </c>
      <c r="BG82" s="212">
        <v>10.333333333333332</v>
      </c>
      <c r="BH82" s="213">
        <v>9.75</v>
      </c>
      <c r="BI82" s="213">
        <v>0.0016126543220404226</v>
      </c>
      <c r="BJ82" s="213">
        <v>0.0016126543220404226</v>
      </c>
      <c r="BK82" s="213">
        <v>276.0</v>
      </c>
      <c r="BL82" s="212">
        <v>7.0</v>
      </c>
      <c r="BM82" s="213">
        <v>5.375</v>
      </c>
      <c r="BN82" s="213">
        <v>0.003225308644080845</v>
      </c>
      <c r="BO82" s="213">
        <v>0.003225308644080845</v>
      </c>
      <c r="BP82" s="213">
        <v>138.0</v>
      </c>
      <c r="BQ82" s="192"/>
      <c r="BR82" s="192"/>
    </row>
    <row r="83">
      <c r="A83" s="60">
        <v>2305346.0</v>
      </c>
      <c r="B83" s="205">
        <v>2795818.0</v>
      </c>
      <c r="C83" s="205">
        <v>1313297.0</v>
      </c>
      <c r="D83" s="205">
        <v>-2.0</v>
      </c>
      <c r="E83" s="207">
        <v>44166.294224537036</v>
      </c>
      <c r="F83" s="215"/>
      <c r="G83" s="207">
        <v>44220.25069444445</v>
      </c>
      <c r="H83" s="63" t="s">
        <v>1509</v>
      </c>
      <c r="I83" s="205">
        <v>184.0</v>
      </c>
      <c r="J83" s="63" t="s">
        <v>1510</v>
      </c>
      <c r="K83" s="205">
        <v>1.1055678E7</v>
      </c>
      <c r="L83" s="208">
        <v>4.78564</v>
      </c>
      <c r="M83" s="208">
        <v>2.48925</v>
      </c>
      <c r="N83" s="208">
        <v>2.04007</v>
      </c>
      <c r="O83" s="209">
        <v>3.8</v>
      </c>
      <c r="P83" s="209">
        <v>9.0</v>
      </c>
      <c r="Q83" s="209">
        <v>8.0</v>
      </c>
      <c r="R83" s="209">
        <v>5.0</v>
      </c>
      <c r="S83" s="210">
        <v>0.0024189814830606338</v>
      </c>
      <c r="U83" s="205">
        <v>4.0</v>
      </c>
      <c r="V83" s="205">
        <v>3.0</v>
      </c>
      <c r="W83" s="63" t="s">
        <v>1511</v>
      </c>
      <c r="X83" s="210">
        <v>0.0024189814830606338</v>
      </c>
      <c r="Y83" s="63" t="s">
        <v>1116</v>
      </c>
      <c r="Z83" s="63" t="s">
        <v>1512</v>
      </c>
      <c r="AA83" s="205">
        <v>0.0</v>
      </c>
      <c r="AB83" s="63" t="s">
        <v>1513</v>
      </c>
      <c r="AC83" s="205">
        <v>11.0</v>
      </c>
      <c r="AD83" s="208">
        <v>0.0</v>
      </c>
      <c r="AE83" s="205">
        <v>840.0</v>
      </c>
      <c r="AF83" s="205">
        <v>217.0</v>
      </c>
      <c r="AG83" s="205">
        <v>347.0</v>
      </c>
      <c r="AH83" s="205">
        <v>299.0</v>
      </c>
      <c r="AI83" s="205">
        <v>5.0</v>
      </c>
      <c r="AJ83" s="205">
        <v>1017.0</v>
      </c>
      <c r="AK83" s="205">
        <v>0.0</v>
      </c>
      <c r="AL83" s="205">
        <v>0.0</v>
      </c>
      <c r="AM83" s="205">
        <v>0.0</v>
      </c>
      <c r="AN83" s="205">
        <v>0.0</v>
      </c>
      <c r="AO83" s="208">
        <v>4.42512</v>
      </c>
      <c r="AP83" s="208">
        <v>5.05495</v>
      </c>
      <c r="AQ83" s="208">
        <v>6.73122</v>
      </c>
      <c r="AR83" s="208">
        <v>3.78936</v>
      </c>
      <c r="AT83" s="192" t="s">
        <v>197</v>
      </c>
      <c r="AU83" s="211" t="s">
        <v>1514</v>
      </c>
      <c r="AV83" s="211" t="s">
        <v>1515</v>
      </c>
      <c r="AW83" s="211" t="s">
        <v>1516</v>
      </c>
      <c r="AX83" s="211" t="s">
        <v>197</v>
      </c>
      <c r="AY83" s="212">
        <v>1.9</v>
      </c>
      <c r="AZ83" s="213">
        <v>4.5</v>
      </c>
      <c r="BA83" s="213">
        <v>4.0</v>
      </c>
      <c r="BB83" s="213">
        <v>2.5</v>
      </c>
      <c r="BC83" s="212">
        <v>4.9399999999999995</v>
      </c>
      <c r="BD83" s="213">
        <v>10.0</v>
      </c>
      <c r="BE83" s="213">
        <v>10.0</v>
      </c>
      <c r="BF83" s="213">
        <v>7.0</v>
      </c>
      <c r="BG83" s="212">
        <v>10.333333333333332</v>
      </c>
      <c r="BH83" s="213">
        <v>9.75</v>
      </c>
      <c r="BI83" s="213">
        <v>0.0016126543220404226</v>
      </c>
      <c r="BJ83" s="213">
        <v>0.0016126543220404226</v>
      </c>
      <c r="BK83" s="213">
        <v>276.0</v>
      </c>
      <c r="BL83" s="212">
        <v>7.0</v>
      </c>
      <c r="BM83" s="213">
        <v>5.375</v>
      </c>
      <c r="BN83" s="213">
        <v>0.003225308644080845</v>
      </c>
      <c r="BO83" s="213">
        <v>0.003225308644080845</v>
      </c>
      <c r="BP83" s="213">
        <v>138.0</v>
      </c>
      <c r="BQ83" s="192"/>
      <c r="BR83" s="192"/>
    </row>
    <row r="84">
      <c r="A84" s="60">
        <v>3446761.0</v>
      </c>
      <c r="B84" s="205">
        <v>3941210.0</v>
      </c>
      <c r="C84" s="205">
        <v>1909434.0</v>
      </c>
      <c r="D84" s="205">
        <v>1.0</v>
      </c>
      <c r="E84" s="207">
        <v>44919.817500000005</v>
      </c>
      <c r="F84" s="207">
        <v>45124.44790509259</v>
      </c>
      <c r="G84" s="207">
        <v>45105.2121875</v>
      </c>
      <c r="H84" s="63" t="s">
        <v>985</v>
      </c>
      <c r="I84" s="205">
        <v>184.0</v>
      </c>
      <c r="J84" s="63" t="s">
        <v>1332</v>
      </c>
      <c r="K84" s="205">
        <v>7326908.0</v>
      </c>
      <c r="L84" s="208">
        <v>4.84981</v>
      </c>
      <c r="M84" s="208">
        <v>2.34681</v>
      </c>
      <c r="N84" s="208">
        <v>2.29505</v>
      </c>
      <c r="O84" s="209">
        <v>3.8</v>
      </c>
      <c r="P84" s="209">
        <v>9.0</v>
      </c>
      <c r="Q84" s="209">
        <v>8.0</v>
      </c>
      <c r="R84" s="209">
        <v>4.6</v>
      </c>
      <c r="S84" s="210">
        <v>0.0023611111100763083</v>
      </c>
      <c r="T84" s="63" t="s">
        <v>1333</v>
      </c>
      <c r="U84" s="205">
        <v>4.0</v>
      </c>
      <c r="V84" s="205">
        <v>3.0</v>
      </c>
      <c r="W84" s="63" t="s">
        <v>1517</v>
      </c>
      <c r="X84" s="210">
        <v>0.0024768518524069805</v>
      </c>
      <c r="Y84" s="63" t="s">
        <v>1518</v>
      </c>
      <c r="Z84" s="63" t="s">
        <v>1519</v>
      </c>
      <c r="AA84" s="205">
        <v>0.0</v>
      </c>
      <c r="AB84" s="63" t="s">
        <v>1520</v>
      </c>
      <c r="AC84" s="205">
        <v>193.0</v>
      </c>
      <c r="AD84" s="208">
        <v>9.42623</v>
      </c>
      <c r="AE84" s="205">
        <v>3034.0</v>
      </c>
      <c r="AF84" s="205">
        <v>789.0</v>
      </c>
      <c r="AG84" s="205">
        <v>454.0</v>
      </c>
      <c r="AH84" s="205">
        <v>390.0</v>
      </c>
      <c r="AI84" s="205">
        <v>3.0</v>
      </c>
      <c r="AJ84" s="205">
        <v>1314.0</v>
      </c>
      <c r="AK84" s="205">
        <v>0.0</v>
      </c>
      <c r="AL84" s="205">
        <v>1.0</v>
      </c>
      <c r="AM84" s="205">
        <v>0.0</v>
      </c>
      <c r="AN84" s="205">
        <v>0.0</v>
      </c>
      <c r="AO84" s="208">
        <v>4.49027</v>
      </c>
      <c r="AP84" s="208">
        <v>5.09104</v>
      </c>
      <c r="AQ84" s="208">
        <v>6.94531</v>
      </c>
      <c r="AR84" s="208">
        <v>3.86835</v>
      </c>
      <c r="AT84" s="192" t="s">
        <v>198</v>
      </c>
      <c r="AU84" s="211" t="s">
        <v>1521</v>
      </c>
      <c r="AV84" s="211" t="s">
        <v>1522</v>
      </c>
      <c r="AW84" s="211" t="s">
        <v>1523</v>
      </c>
      <c r="AX84" s="211" t="s">
        <v>198</v>
      </c>
      <c r="AY84" s="212">
        <v>1.9</v>
      </c>
      <c r="AZ84" s="213">
        <v>4.5</v>
      </c>
      <c r="BA84" s="213">
        <v>4.0</v>
      </c>
      <c r="BB84" s="213">
        <v>2.3</v>
      </c>
      <c r="BC84" s="212">
        <v>4.9399999999999995</v>
      </c>
      <c r="BD84" s="213">
        <v>10.0</v>
      </c>
      <c r="BE84" s="213">
        <v>10.0</v>
      </c>
      <c r="BF84" s="213">
        <v>6.4399999999999995</v>
      </c>
      <c r="BG84" s="212">
        <v>10.333333333333332</v>
      </c>
      <c r="BH84" s="213">
        <v>9.75</v>
      </c>
      <c r="BI84" s="213">
        <v>0.0015740740733842056</v>
      </c>
      <c r="BJ84" s="213">
        <v>0.0016512345682713203</v>
      </c>
      <c r="BK84" s="213">
        <v>276.0</v>
      </c>
      <c r="BL84" s="212">
        <v>7.0</v>
      </c>
      <c r="BM84" s="213">
        <v>5.375</v>
      </c>
      <c r="BN84" s="213">
        <v>0.003148148146768411</v>
      </c>
      <c r="BO84" s="213">
        <v>0.0033024691365426406</v>
      </c>
      <c r="BP84" s="213">
        <v>138.0</v>
      </c>
      <c r="BQ84" s="192"/>
      <c r="BR84" s="192"/>
    </row>
    <row r="85">
      <c r="A85" s="60">
        <v>2729314.0</v>
      </c>
      <c r="B85" s="205">
        <v>3941210.0</v>
      </c>
      <c r="C85" s="205">
        <v>1909434.0</v>
      </c>
      <c r="D85" s="205">
        <v>1.0</v>
      </c>
      <c r="E85" s="207">
        <v>44919.817500000005</v>
      </c>
      <c r="F85" s="207">
        <v>45124.44790509259</v>
      </c>
      <c r="G85" s="207">
        <v>45105.2121875</v>
      </c>
      <c r="H85" s="63" t="s">
        <v>985</v>
      </c>
      <c r="I85" s="205">
        <v>184.0</v>
      </c>
      <c r="J85" s="63" t="s">
        <v>1332</v>
      </c>
      <c r="K85" s="205">
        <v>7326908.0</v>
      </c>
      <c r="L85" s="208">
        <v>4.84981</v>
      </c>
      <c r="M85" s="208">
        <v>2.34681</v>
      </c>
      <c r="N85" s="208">
        <v>2.29505</v>
      </c>
      <c r="O85" s="209">
        <v>3.8</v>
      </c>
      <c r="P85" s="209">
        <v>9.0</v>
      </c>
      <c r="Q85" s="209">
        <v>8.0</v>
      </c>
      <c r="R85" s="209">
        <v>4.6</v>
      </c>
      <c r="S85" s="210">
        <v>0.0023611111100763083</v>
      </c>
      <c r="T85" s="63" t="s">
        <v>1333</v>
      </c>
      <c r="U85" s="205">
        <v>4.0</v>
      </c>
      <c r="V85" s="205">
        <v>3.0</v>
      </c>
      <c r="W85" s="63" t="s">
        <v>1517</v>
      </c>
      <c r="X85" s="210">
        <v>0.0024768518524069805</v>
      </c>
      <c r="Y85" s="63" t="s">
        <v>1518</v>
      </c>
      <c r="Z85" s="63" t="s">
        <v>1519</v>
      </c>
      <c r="AA85" s="205">
        <v>0.0</v>
      </c>
      <c r="AB85" s="63" t="s">
        <v>1520</v>
      </c>
      <c r="AC85" s="205">
        <v>193.0</v>
      </c>
      <c r="AD85" s="208">
        <v>9.42623</v>
      </c>
      <c r="AE85" s="205">
        <v>3034.0</v>
      </c>
      <c r="AF85" s="205">
        <v>789.0</v>
      </c>
      <c r="AG85" s="205">
        <v>454.0</v>
      </c>
      <c r="AH85" s="205">
        <v>390.0</v>
      </c>
      <c r="AI85" s="205">
        <v>3.0</v>
      </c>
      <c r="AJ85" s="205">
        <v>1314.0</v>
      </c>
      <c r="AK85" s="205">
        <v>0.0</v>
      </c>
      <c r="AL85" s="205">
        <v>1.0</v>
      </c>
      <c r="AM85" s="205">
        <v>0.0</v>
      </c>
      <c r="AN85" s="205">
        <v>0.0</v>
      </c>
      <c r="AO85" s="208">
        <v>4.49027</v>
      </c>
      <c r="AP85" s="208">
        <v>5.09104</v>
      </c>
      <c r="AQ85" s="208">
        <v>6.94531</v>
      </c>
      <c r="AR85" s="208">
        <v>3.86835</v>
      </c>
      <c r="AT85" s="192" t="s">
        <v>198</v>
      </c>
      <c r="AU85" s="211" t="s">
        <v>1521</v>
      </c>
      <c r="AV85" s="211" t="s">
        <v>1522</v>
      </c>
      <c r="AW85" s="211" t="s">
        <v>1523</v>
      </c>
      <c r="AX85" s="211" t="s">
        <v>198</v>
      </c>
      <c r="AY85" s="212">
        <v>1.9</v>
      </c>
      <c r="AZ85" s="213">
        <v>4.5</v>
      </c>
      <c r="BA85" s="213">
        <v>4.0</v>
      </c>
      <c r="BB85" s="213">
        <v>2.3</v>
      </c>
      <c r="BC85" s="212">
        <v>4.9399999999999995</v>
      </c>
      <c r="BD85" s="213">
        <v>10.0</v>
      </c>
      <c r="BE85" s="213">
        <v>10.0</v>
      </c>
      <c r="BF85" s="213">
        <v>6.4399999999999995</v>
      </c>
      <c r="BG85" s="212">
        <v>10.333333333333332</v>
      </c>
      <c r="BH85" s="213">
        <v>9.75</v>
      </c>
      <c r="BI85" s="213">
        <v>0.0015740740733842056</v>
      </c>
      <c r="BJ85" s="213">
        <v>0.0016512345682713203</v>
      </c>
      <c r="BK85" s="213">
        <v>276.0</v>
      </c>
      <c r="BL85" s="212">
        <v>7.0</v>
      </c>
      <c r="BM85" s="213">
        <v>5.375</v>
      </c>
      <c r="BN85" s="213">
        <v>0.003148148146768411</v>
      </c>
      <c r="BO85" s="213">
        <v>0.0033024691365426406</v>
      </c>
      <c r="BP85" s="213">
        <v>138.0</v>
      </c>
      <c r="BQ85" s="192"/>
      <c r="BR85" s="192"/>
    </row>
    <row r="86">
      <c r="A86" s="60">
        <v>1251955.0</v>
      </c>
      <c r="B86" s="205">
        <v>3941210.0</v>
      </c>
      <c r="C86" s="205">
        <v>1909434.0</v>
      </c>
      <c r="D86" s="205">
        <v>1.0</v>
      </c>
      <c r="E86" s="207">
        <v>44919.817500000005</v>
      </c>
      <c r="F86" s="207">
        <v>45124.44790509259</v>
      </c>
      <c r="G86" s="207">
        <v>45105.2121875</v>
      </c>
      <c r="H86" s="63" t="s">
        <v>985</v>
      </c>
      <c r="I86" s="205">
        <v>184.0</v>
      </c>
      <c r="J86" s="63" t="s">
        <v>1332</v>
      </c>
      <c r="K86" s="205">
        <v>7326908.0</v>
      </c>
      <c r="L86" s="208">
        <v>4.84981</v>
      </c>
      <c r="M86" s="208">
        <v>2.34681</v>
      </c>
      <c r="N86" s="208">
        <v>2.29505</v>
      </c>
      <c r="O86" s="209">
        <v>3.8</v>
      </c>
      <c r="P86" s="209">
        <v>9.0</v>
      </c>
      <c r="Q86" s="209">
        <v>8.0</v>
      </c>
      <c r="R86" s="209">
        <v>4.6</v>
      </c>
      <c r="S86" s="210">
        <v>0.0023611111100763083</v>
      </c>
      <c r="T86" s="63" t="s">
        <v>1333</v>
      </c>
      <c r="U86" s="205">
        <v>4.0</v>
      </c>
      <c r="V86" s="205">
        <v>3.0</v>
      </c>
      <c r="W86" s="63" t="s">
        <v>1517</v>
      </c>
      <c r="X86" s="210">
        <v>0.0024768518524069805</v>
      </c>
      <c r="Y86" s="63" t="s">
        <v>1518</v>
      </c>
      <c r="Z86" s="63" t="s">
        <v>1519</v>
      </c>
      <c r="AA86" s="205">
        <v>0.0</v>
      </c>
      <c r="AB86" s="63" t="s">
        <v>1520</v>
      </c>
      <c r="AC86" s="205">
        <v>193.0</v>
      </c>
      <c r="AD86" s="208">
        <v>9.42623</v>
      </c>
      <c r="AE86" s="205">
        <v>3034.0</v>
      </c>
      <c r="AF86" s="205">
        <v>789.0</v>
      </c>
      <c r="AG86" s="205">
        <v>454.0</v>
      </c>
      <c r="AH86" s="205">
        <v>390.0</v>
      </c>
      <c r="AI86" s="205">
        <v>3.0</v>
      </c>
      <c r="AJ86" s="205">
        <v>1314.0</v>
      </c>
      <c r="AK86" s="205">
        <v>0.0</v>
      </c>
      <c r="AL86" s="205">
        <v>1.0</v>
      </c>
      <c r="AM86" s="205">
        <v>0.0</v>
      </c>
      <c r="AN86" s="205">
        <v>0.0</v>
      </c>
      <c r="AO86" s="208">
        <v>4.49027</v>
      </c>
      <c r="AP86" s="208">
        <v>5.09104</v>
      </c>
      <c r="AQ86" s="208">
        <v>6.94531</v>
      </c>
      <c r="AR86" s="208">
        <v>3.86835</v>
      </c>
      <c r="AT86" s="192" t="s">
        <v>198</v>
      </c>
      <c r="AU86" s="211" t="s">
        <v>1521</v>
      </c>
      <c r="AV86" s="211" t="s">
        <v>1522</v>
      </c>
      <c r="AW86" s="211" t="s">
        <v>1523</v>
      </c>
      <c r="AX86" s="211" t="s">
        <v>198</v>
      </c>
      <c r="AY86" s="212">
        <v>1.9</v>
      </c>
      <c r="AZ86" s="213">
        <v>4.5</v>
      </c>
      <c r="BA86" s="213">
        <v>4.0</v>
      </c>
      <c r="BB86" s="213">
        <v>2.3</v>
      </c>
      <c r="BC86" s="212">
        <v>4.9399999999999995</v>
      </c>
      <c r="BD86" s="213">
        <v>10.0</v>
      </c>
      <c r="BE86" s="213">
        <v>10.0</v>
      </c>
      <c r="BF86" s="213">
        <v>6.4399999999999995</v>
      </c>
      <c r="BG86" s="212">
        <v>10.333333333333332</v>
      </c>
      <c r="BH86" s="213">
        <v>9.75</v>
      </c>
      <c r="BI86" s="213">
        <v>0.0015740740733842056</v>
      </c>
      <c r="BJ86" s="213">
        <v>0.0016512345682713203</v>
      </c>
      <c r="BK86" s="213">
        <v>276.0</v>
      </c>
      <c r="BL86" s="212">
        <v>7.0</v>
      </c>
      <c r="BM86" s="213">
        <v>5.375</v>
      </c>
      <c r="BN86" s="213">
        <v>0.003148148146768411</v>
      </c>
      <c r="BO86" s="213">
        <v>0.0033024691365426406</v>
      </c>
      <c r="BP86" s="213">
        <v>138.0</v>
      </c>
      <c r="BQ86" s="192"/>
      <c r="BR86" s="192"/>
    </row>
    <row r="87">
      <c r="A87" s="60">
        <v>2200110.0</v>
      </c>
      <c r="B87" s="205">
        <v>3742030.0</v>
      </c>
      <c r="C87" s="205">
        <v>1688873.0</v>
      </c>
      <c r="D87" s="205">
        <v>1.0</v>
      </c>
      <c r="E87" s="207">
        <v>44593.749074074076</v>
      </c>
      <c r="F87" s="207">
        <v>44790.94825231482</v>
      </c>
      <c r="G87" s="207">
        <v>44783.64178240741</v>
      </c>
      <c r="H87" s="63" t="s">
        <v>1524</v>
      </c>
      <c r="I87" s="205">
        <v>210.0</v>
      </c>
      <c r="J87" s="63" t="s">
        <v>1525</v>
      </c>
      <c r="K87" s="205">
        <v>4338923.0</v>
      </c>
      <c r="L87" s="208">
        <v>3.61957</v>
      </c>
      <c r="M87" s="208">
        <v>1.82538</v>
      </c>
      <c r="N87" s="208">
        <v>1.62588</v>
      </c>
      <c r="O87" s="209">
        <v>5.0</v>
      </c>
      <c r="P87" s="209">
        <v>8.0</v>
      </c>
      <c r="Q87" s="209">
        <v>6.5</v>
      </c>
      <c r="R87" s="209">
        <v>4.0</v>
      </c>
      <c r="S87" s="210">
        <v>0.0019907407404389232</v>
      </c>
      <c r="U87" s="205">
        <v>5.0</v>
      </c>
      <c r="V87" s="205">
        <v>3.0</v>
      </c>
      <c r="W87" s="63" t="s">
        <v>1526</v>
      </c>
      <c r="X87" s="210">
        <v>0.0022800925908086356</v>
      </c>
      <c r="Y87" s="63" t="s">
        <v>1527</v>
      </c>
      <c r="Z87" s="63" t="s">
        <v>1528</v>
      </c>
      <c r="AA87" s="205">
        <v>0.0</v>
      </c>
      <c r="AB87" s="63" t="s">
        <v>1529</v>
      </c>
      <c r="AC87" s="205">
        <v>179.0</v>
      </c>
      <c r="AD87" s="208">
        <v>9.30303</v>
      </c>
      <c r="AE87" s="205">
        <v>14959.0</v>
      </c>
      <c r="AF87" s="205">
        <v>3784.0</v>
      </c>
      <c r="AG87" s="205">
        <v>261.0</v>
      </c>
      <c r="AH87" s="205">
        <v>178.0</v>
      </c>
      <c r="AI87" s="205">
        <v>1.0</v>
      </c>
      <c r="AJ87" s="205">
        <v>802.0</v>
      </c>
      <c r="AK87" s="205">
        <v>0.0</v>
      </c>
      <c r="AL87" s="205">
        <v>0.0</v>
      </c>
      <c r="AM87" s="205">
        <v>0.0</v>
      </c>
      <c r="AN87" s="205">
        <v>0.0</v>
      </c>
      <c r="AO87" s="208">
        <v>3.2889</v>
      </c>
      <c r="AP87" s="208">
        <v>4.14593</v>
      </c>
      <c r="AQ87" s="208">
        <v>5.05149</v>
      </c>
      <c r="AR87" s="208">
        <v>2.87556</v>
      </c>
      <c r="AT87" s="192" t="s">
        <v>200</v>
      </c>
      <c r="AU87" s="211" t="s">
        <v>1530</v>
      </c>
      <c r="AV87" s="211" t="s">
        <v>1531</v>
      </c>
      <c r="AW87" s="211" t="s">
        <v>1532</v>
      </c>
      <c r="AX87" s="211" t="s">
        <v>200</v>
      </c>
      <c r="AY87" s="212">
        <v>2.5</v>
      </c>
      <c r="AZ87" s="213">
        <v>4.0</v>
      </c>
      <c r="BA87" s="213">
        <v>3.25</v>
      </c>
      <c r="BB87" s="213">
        <v>2.0</v>
      </c>
      <c r="BC87" s="212">
        <v>6.5</v>
      </c>
      <c r="BD87" s="213">
        <v>10.0</v>
      </c>
      <c r="BE87" s="213">
        <v>9.1</v>
      </c>
      <c r="BF87" s="213">
        <v>5.6</v>
      </c>
      <c r="BG87" s="212">
        <v>9.666666666666668</v>
      </c>
      <c r="BH87" s="213">
        <v>8.75</v>
      </c>
      <c r="BI87" s="213">
        <v>0.001327160493625949</v>
      </c>
      <c r="BJ87" s="213">
        <v>0.001520061727205757</v>
      </c>
      <c r="BK87" s="213">
        <v>315.0</v>
      </c>
      <c r="BL87" s="212">
        <v>5.5</v>
      </c>
      <c r="BM87" s="213">
        <v>3.125</v>
      </c>
      <c r="BN87" s="213">
        <v>0.002654320987251898</v>
      </c>
      <c r="BO87" s="213">
        <v>0.003040123454411514</v>
      </c>
      <c r="BP87" s="213">
        <v>157.5</v>
      </c>
      <c r="BQ87" s="192"/>
      <c r="BR87" s="192"/>
    </row>
    <row r="88">
      <c r="A88" s="60">
        <v>1387177.0</v>
      </c>
      <c r="B88" s="205">
        <v>3822652.0</v>
      </c>
      <c r="C88" s="205">
        <v>1859605.0</v>
      </c>
      <c r="D88" s="205">
        <v>1.0</v>
      </c>
      <c r="E88" s="207">
        <v>44836.97849537037</v>
      </c>
      <c r="F88" s="207">
        <v>44856.96020833333</v>
      </c>
      <c r="G88" s="207">
        <v>44849.944143518514</v>
      </c>
      <c r="H88" s="63" t="s">
        <v>1533</v>
      </c>
      <c r="I88" s="205">
        <v>180.5</v>
      </c>
      <c r="J88" s="63" t="s">
        <v>1534</v>
      </c>
      <c r="K88" s="205">
        <v>5404892.0</v>
      </c>
      <c r="L88" s="208">
        <v>4.94437</v>
      </c>
      <c r="M88" s="208">
        <v>2.19652</v>
      </c>
      <c r="N88" s="208">
        <v>2.51184</v>
      </c>
      <c r="O88" s="209">
        <v>4.0</v>
      </c>
      <c r="P88" s="209">
        <v>8.0</v>
      </c>
      <c r="Q88" s="209">
        <v>7.0</v>
      </c>
      <c r="R88" s="209">
        <v>6.0</v>
      </c>
      <c r="S88" s="210">
        <v>0.001967592594155576</v>
      </c>
      <c r="T88" s="63" t="s">
        <v>1535</v>
      </c>
      <c r="U88" s="205">
        <v>4.0</v>
      </c>
      <c r="V88" s="205">
        <v>3.0</v>
      </c>
      <c r="W88" s="63" t="s">
        <v>1536</v>
      </c>
      <c r="X88" s="210">
        <v>0.002025462963501923</v>
      </c>
      <c r="Y88" s="63" t="s">
        <v>1537</v>
      </c>
      <c r="Z88" s="63" t="s">
        <v>1538</v>
      </c>
      <c r="AA88" s="205">
        <v>0.0</v>
      </c>
      <c r="AB88" s="63" t="s">
        <v>1539</v>
      </c>
      <c r="AC88" s="205">
        <v>35.0</v>
      </c>
      <c r="AD88" s="208">
        <v>9.57895</v>
      </c>
      <c r="AE88" s="205">
        <v>2998.0</v>
      </c>
      <c r="AF88" s="205">
        <v>741.0</v>
      </c>
      <c r="AG88" s="205">
        <v>310.0</v>
      </c>
      <c r="AH88" s="205">
        <v>264.0</v>
      </c>
      <c r="AI88" s="205">
        <v>1.0</v>
      </c>
      <c r="AJ88" s="205">
        <v>881.0</v>
      </c>
      <c r="AK88" s="205">
        <v>0.0</v>
      </c>
      <c r="AL88" s="205">
        <v>0.0</v>
      </c>
      <c r="AM88" s="205">
        <v>0.0</v>
      </c>
      <c r="AN88" s="205">
        <v>0.0</v>
      </c>
      <c r="AO88" s="208">
        <v>4.52115</v>
      </c>
      <c r="AP88" s="208">
        <v>5.15214</v>
      </c>
      <c r="AQ88" s="208">
        <v>7.10008</v>
      </c>
      <c r="AR88" s="208">
        <v>3.92206</v>
      </c>
      <c r="AT88" s="192" t="s">
        <v>1540</v>
      </c>
      <c r="AU88" s="211" t="s">
        <v>1541</v>
      </c>
      <c r="AV88" s="211" t="s">
        <v>1542</v>
      </c>
      <c r="AW88" s="211" t="s">
        <v>1543</v>
      </c>
      <c r="AX88" s="211" t="s">
        <v>1540</v>
      </c>
      <c r="AY88" s="212">
        <v>2.0</v>
      </c>
      <c r="AZ88" s="213">
        <v>4.0</v>
      </c>
      <c r="BA88" s="213">
        <v>3.5</v>
      </c>
      <c r="BB88" s="213">
        <v>3.0</v>
      </c>
      <c r="BC88" s="212">
        <v>5.2</v>
      </c>
      <c r="BD88" s="213">
        <v>10.0</v>
      </c>
      <c r="BE88" s="213">
        <v>9.799999999999999</v>
      </c>
      <c r="BF88" s="213">
        <v>8.399999999999999</v>
      </c>
      <c r="BG88" s="212">
        <v>9.666666666666668</v>
      </c>
      <c r="BH88" s="213">
        <v>9.083333333333334</v>
      </c>
      <c r="BI88" s="213">
        <v>0.0013117283961037174</v>
      </c>
      <c r="BJ88" s="213">
        <v>0.0013503086423346151</v>
      </c>
      <c r="BK88" s="213">
        <v>270.75</v>
      </c>
      <c r="BL88" s="212">
        <v>5.5</v>
      </c>
      <c r="BM88" s="213">
        <v>3.875</v>
      </c>
      <c r="BN88" s="213">
        <v>0.0026234567922074348</v>
      </c>
      <c r="BO88" s="213">
        <v>0.0027006172846692302</v>
      </c>
      <c r="BP88" s="213">
        <v>135.375</v>
      </c>
      <c r="BQ88" s="192"/>
      <c r="BR88" s="192"/>
    </row>
    <row r="89">
      <c r="A89" s="60">
        <v>2442178.0</v>
      </c>
      <c r="B89" s="205">
        <v>846261.0</v>
      </c>
      <c r="C89" s="205">
        <v>387784.0</v>
      </c>
      <c r="D89" s="205">
        <v>1.0</v>
      </c>
      <c r="E89" s="207">
        <v>42346.42736111111</v>
      </c>
      <c r="F89" s="207">
        <v>42389.2091550926</v>
      </c>
      <c r="G89" s="207">
        <v>42381.24653935185</v>
      </c>
      <c r="H89" s="63" t="s">
        <v>960</v>
      </c>
      <c r="I89" s="205">
        <v>168.0</v>
      </c>
      <c r="J89" s="63" t="s">
        <v>176</v>
      </c>
      <c r="K89" s="205">
        <v>1686145.0</v>
      </c>
      <c r="L89" s="208">
        <v>4.40919</v>
      </c>
      <c r="M89" s="208">
        <v>2.23114</v>
      </c>
      <c r="N89" s="208">
        <v>1.97065</v>
      </c>
      <c r="O89" s="209">
        <v>4.0</v>
      </c>
      <c r="P89" s="209">
        <v>9.0</v>
      </c>
      <c r="Q89" s="209">
        <v>7.5</v>
      </c>
      <c r="R89" s="209">
        <v>6.0</v>
      </c>
      <c r="S89" s="210">
        <v>0.0017129629632108845</v>
      </c>
      <c r="U89" s="205">
        <v>10.0</v>
      </c>
      <c r="V89" s="205">
        <v>5.0</v>
      </c>
      <c r="W89" s="63" t="s">
        <v>1544</v>
      </c>
      <c r="X89" s="210">
        <v>0.0018518518518249039</v>
      </c>
      <c r="Y89" s="63" t="s">
        <v>1545</v>
      </c>
      <c r="Z89" s="63" t="s">
        <v>1546</v>
      </c>
      <c r="AA89" s="205">
        <v>0.0</v>
      </c>
      <c r="AB89" s="63" t="s">
        <v>1547</v>
      </c>
      <c r="AC89" s="205">
        <v>6746.0</v>
      </c>
      <c r="AD89" s="208">
        <v>9.37687</v>
      </c>
      <c r="AE89" s="205">
        <v>4573376.0</v>
      </c>
      <c r="AF89" s="205">
        <v>838201.0</v>
      </c>
      <c r="AG89" s="205">
        <v>310.0</v>
      </c>
      <c r="AH89" s="205">
        <v>207.0</v>
      </c>
      <c r="AI89" s="205">
        <v>1.0</v>
      </c>
      <c r="AJ89" s="205">
        <v>752.0</v>
      </c>
      <c r="AK89" s="205">
        <v>1.0</v>
      </c>
      <c r="AL89" s="205">
        <v>0.0</v>
      </c>
      <c r="AM89" s="205">
        <v>0.0</v>
      </c>
      <c r="AN89" s="205">
        <v>0.0</v>
      </c>
      <c r="AO89" s="208">
        <v>4.07466</v>
      </c>
      <c r="AP89" s="208">
        <v>4.65792</v>
      </c>
      <c r="AQ89" s="208">
        <v>6.15536</v>
      </c>
      <c r="AR89" s="208">
        <v>3.49326</v>
      </c>
      <c r="AT89" s="192" t="s">
        <v>175</v>
      </c>
      <c r="AU89" s="211" t="s">
        <v>1548</v>
      </c>
      <c r="AV89" s="211" t="s">
        <v>1549</v>
      </c>
      <c r="AW89" s="211" t="s">
        <v>1550</v>
      </c>
      <c r="AX89" s="211" t="s">
        <v>175</v>
      </c>
      <c r="AY89" s="212">
        <v>2.0</v>
      </c>
      <c r="AZ89" s="213">
        <v>4.5</v>
      </c>
      <c r="BA89" s="213">
        <v>3.75</v>
      </c>
      <c r="BB89" s="213">
        <v>3.0</v>
      </c>
      <c r="BC89" s="212">
        <v>5.2</v>
      </c>
      <c r="BD89" s="213">
        <v>10.0</v>
      </c>
      <c r="BE89" s="213">
        <v>10.0</v>
      </c>
      <c r="BF89" s="213">
        <v>8.399999999999999</v>
      </c>
      <c r="BG89" s="212">
        <v>10.333333333333332</v>
      </c>
      <c r="BH89" s="213">
        <v>9.416666666666666</v>
      </c>
      <c r="BI89" s="213">
        <v>0.0011419753088072564</v>
      </c>
      <c r="BJ89" s="213">
        <v>0.0012345679012166026</v>
      </c>
      <c r="BK89" s="213">
        <v>252.0</v>
      </c>
      <c r="BL89" s="212">
        <v>7.0</v>
      </c>
      <c r="BM89" s="213">
        <v>4.625</v>
      </c>
      <c r="BN89" s="213">
        <v>0.002283950617614513</v>
      </c>
      <c r="BO89" s="213">
        <v>0.0024691358024332053</v>
      </c>
      <c r="BP89" s="213">
        <v>126.0</v>
      </c>
      <c r="BQ89" s="192"/>
      <c r="BR89" s="192"/>
    </row>
    <row r="90">
      <c r="A90" s="60">
        <v>3310401.0</v>
      </c>
      <c r="B90" s="205">
        <v>846261.0</v>
      </c>
      <c r="C90" s="205">
        <v>387784.0</v>
      </c>
      <c r="D90" s="205">
        <v>1.0</v>
      </c>
      <c r="E90" s="207">
        <v>42346.42736111111</v>
      </c>
      <c r="F90" s="207">
        <v>42389.2091550926</v>
      </c>
      <c r="G90" s="207">
        <v>42381.24653935185</v>
      </c>
      <c r="H90" s="63" t="s">
        <v>960</v>
      </c>
      <c r="I90" s="205">
        <v>168.0</v>
      </c>
      <c r="J90" s="63" t="s">
        <v>176</v>
      </c>
      <c r="K90" s="205">
        <v>1686145.0</v>
      </c>
      <c r="L90" s="208">
        <v>4.40919</v>
      </c>
      <c r="M90" s="208">
        <v>2.23114</v>
      </c>
      <c r="N90" s="208">
        <v>1.97065</v>
      </c>
      <c r="O90" s="209">
        <v>4.0</v>
      </c>
      <c r="P90" s="209">
        <v>9.0</v>
      </c>
      <c r="Q90" s="209">
        <v>7.5</v>
      </c>
      <c r="R90" s="209">
        <v>6.0</v>
      </c>
      <c r="S90" s="210">
        <v>0.0017129629632108845</v>
      </c>
      <c r="U90" s="205">
        <v>10.0</v>
      </c>
      <c r="V90" s="205">
        <v>5.0</v>
      </c>
      <c r="W90" s="63" t="s">
        <v>1544</v>
      </c>
      <c r="X90" s="210">
        <v>0.0018518518518249039</v>
      </c>
      <c r="Y90" s="63" t="s">
        <v>1545</v>
      </c>
      <c r="Z90" s="63" t="s">
        <v>1546</v>
      </c>
      <c r="AA90" s="205">
        <v>0.0</v>
      </c>
      <c r="AB90" s="63" t="s">
        <v>1547</v>
      </c>
      <c r="AC90" s="205">
        <v>6746.0</v>
      </c>
      <c r="AD90" s="208">
        <v>9.37687</v>
      </c>
      <c r="AE90" s="205">
        <v>4573376.0</v>
      </c>
      <c r="AF90" s="205">
        <v>838201.0</v>
      </c>
      <c r="AG90" s="205">
        <v>310.0</v>
      </c>
      <c r="AH90" s="205">
        <v>207.0</v>
      </c>
      <c r="AI90" s="205">
        <v>1.0</v>
      </c>
      <c r="AJ90" s="205">
        <v>752.0</v>
      </c>
      <c r="AK90" s="205">
        <v>1.0</v>
      </c>
      <c r="AL90" s="205">
        <v>0.0</v>
      </c>
      <c r="AM90" s="205">
        <v>0.0</v>
      </c>
      <c r="AN90" s="205">
        <v>0.0</v>
      </c>
      <c r="AO90" s="208">
        <v>4.07466</v>
      </c>
      <c r="AP90" s="208">
        <v>4.65792</v>
      </c>
      <c r="AQ90" s="208">
        <v>6.15536</v>
      </c>
      <c r="AR90" s="208">
        <v>3.49326</v>
      </c>
      <c r="AT90" s="192" t="s">
        <v>175</v>
      </c>
      <c r="AU90" s="211" t="s">
        <v>1548</v>
      </c>
      <c r="AV90" s="211" t="s">
        <v>1549</v>
      </c>
      <c r="AW90" s="211" t="s">
        <v>1550</v>
      </c>
      <c r="AX90" s="211" t="s">
        <v>175</v>
      </c>
      <c r="AY90" s="212">
        <v>2.0</v>
      </c>
      <c r="AZ90" s="213">
        <v>4.5</v>
      </c>
      <c r="BA90" s="213">
        <v>3.75</v>
      </c>
      <c r="BB90" s="213">
        <v>3.0</v>
      </c>
      <c r="BC90" s="212">
        <v>5.2</v>
      </c>
      <c r="BD90" s="213">
        <v>10.0</v>
      </c>
      <c r="BE90" s="213">
        <v>10.0</v>
      </c>
      <c r="BF90" s="213">
        <v>8.399999999999999</v>
      </c>
      <c r="BG90" s="212">
        <v>10.333333333333332</v>
      </c>
      <c r="BH90" s="213">
        <v>9.416666666666666</v>
      </c>
      <c r="BI90" s="213">
        <v>0.0011419753088072564</v>
      </c>
      <c r="BJ90" s="213">
        <v>0.0012345679012166026</v>
      </c>
      <c r="BK90" s="213">
        <v>252.0</v>
      </c>
      <c r="BL90" s="212">
        <v>7.0</v>
      </c>
      <c r="BM90" s="213">
        <v>4.625</v>
      </c>
      <c r="BN90" s="213">
        <v>0.002283950617614513</v>
      </c>
      <c r="BO90" s="213">
        <v>0.0024691358024332053</v>
      </c>
      <c r="BP90" s="213">
        <v>126.0</v>
      </c>
      <c r="BQ90" s="192"/>
      <c r="BR90" s="192"/>
    </row>
    <row r="91">
      <c r="A91" s="60">
        <v>2044893.0</v>
      </c>
      <c r="B91" s="205">
        <v>2659337.0</v>
      </c>
      <c r="C91" s="205">
        <v>1274098.0</v>
      </c>
      <c r="D91" s="205">
        <v>1.0</v>
      </c>
      <c r="E91" s="207">
        <v>44112.56863425926</v>
      </c>
      <c r="F91" s="207">
        <v>44344.16799768519</v>
      </c>
      <c r="G91" s="207">
        <v>44340.87908564815</v>
      </c>
      <c r="H91" s="63" t="s">
        <v>955</v>
      </c>
      <c r="I91" s="205">
        <v>185.0</v>
      </c>
      <c r="J91" s="63" t="s">
        <v>156</v>
      </c>
      <c r="K91" s="205">
        <v>5504231.0</v>
      </c>
      <c r="L91" s="208">
        <v>4.34352</v>
      </c>
      <c r="M91" s="208">
        <v>2.23827</v>
      </c>
      <c r="N91" s="208">
        <v>1.88403</v>
      </c>
      <c r="O91" s="209">
        <v>4.0</v>
      </c>
      <c r="P91" s="209">
        <v>8.3</v>
      </c>
      <c r="Q91" s="209">
        <v>7.0</v>
      </c>
      <c r="R91" s="209">
        <v>5.0</v>
      </c>
      <c r="S91" s="210">
        <v>0.0019907407404389232</v>
      </c>
      <c r="U91" s="205">
        <v>4.0</v>
      </c>
      <c r="V91" s="205">
        <v>3.0</v>
      </c>
      <c r="W91" s="63" t="s">
        <v>1551</v>
      </c>
      <c r="X91" s="210">
        <v>0.002141203702194616</v>
      </c>
      <c r="Y91" s="63" t="s">
        <v>1552</v>
      </c>
      <c r="Z91" s="63" t="s">
        <v>1553</v>
      </c>
      <c r="AA91" s="205">
        <v>0.0</v>
      </c>
      <c r="AB91" s="63" t="s">
        <v>1554</v>
      </c>
      <c r="AC91" s="205">
        <v>997.0</v>
      </c>
      <c r="AD91" s="208">
        <v>9.29439</v>
      </c>
      <c r="AE91" s="205">
        <v>224596.0</v>
      </c>
      <c r="AF91" s="205">
        <v>45700.0</v>
      </c>
      <c r="AG91" s="205">
        <v>273.0</v>
      </c>
      <c r="AH91" s="205">
        <v>306.0</v>
      </c>
      <c r="AI91" s="205">
        <v>2.0</v>
      </c>
      <c r="AJ91" s="205">
        <v>1043.0</v>
      </c>
      <c r="AK91" s="205">
        <v>1.0</v>
      </c>
      <c r="AL91" s="205">
        <v>0.0</v>
      </c>
      <c r="AM91" s="205">
        <v>0.0</v>
      </c>
      <c r="AN91" s="205">
        <v>0.0</v>
      </c>
      <c r="AO91" s="208">
        <v>4.01473</v>
      </c>
      <c r="AP91" s="208">
        <v>4.597</v>
      </c>
      <c r="AQ91" s="208">
        <v>6.05237</v>
      </c>
      <c r="AR91" s="208">
        <v>3.48789</v>
      </c>
      <c r="AT91" s="192" t="s">
        <v>155</v>
      </c>
      <c r="AU91" s="211" t="s">
        <v>1555</v>
      </c>
      <c r="AV91" s="211" t="s">
        <v>1556</v>
      </c>
      <c r="AW91" s="211" t="s">
        <v>1557</v>
      </c>
      <c r="AX91" s="211" t="s">
        <v>155</v>
      </c>
      <c r="AY91" s="212">
        <v>2.0</v>
      </c>
      <c r="AZ91" s="213">
        <v>4.15</v>
      </c>
      <c r="BA91" s="213">
        <v>3.5</v>
      </c>
      <c r="BB91" s="213">
        <v>2.5</v>
      </c>
      <c r="BC91" s="212">
        <v>5.2</v>
      </c>
      <c r="BD91" s="213">
        <v>10.0</v>
      </c>
      <c r="BE91" s="213">
        <v>9.799999999999999</v>
      </c>
      <c r="BF91" s="213">
        <v>7.0</v>
      </c>
      <c r="BG91" s="212">
        <v>9.866666666666667</v>
      </c>
      <c r="BH91" s="213">
        <v>9.083333333333334</v>
      </c>
      <c r="BI91" s="213">
        <v>0.001327160493625949</v>
      </c>
      <c r="BJ91" s="213">
        <v>0.0014274691347964108</v>
      </c>
      <c r="BK91" s="213">
        <v>277.5</v>
      </c>
      <c r="BL91" s="212">
        <v>5.950000000000001</v>
      </c>
      <c r="BM91" s="213">
        <v>3.875</v>
      </c>
      <c r="BN91" s="213">
        <v>0.002654320987251898</v>
      </c>
      <c r="BO91" s="213">
        <v>0.0028549382695928216</v>
      </c>
      <c r="BP91" s="213">
        <v>138.75</v>
      </c>
      <c r="BQ91" s="192"/>
      <c r="BR91" s="192"/>
    </row>
    <row r="92">
      <c r="A92" s="60">
        <v>87319.0</v>
      </c>
      <c r="B92" s="205">
        <v>2277989.0</v>
      </c>
      <c r="C92" s="205">
        <v>1079281.0</v>
      </c>
      <c r="D92" s="205">
        <v>1.0</v>
      </c>
      <c r="E92" s="207">
        <v>43814.7472337963</v>
      </c>
      <c r="F92" s="207">
        <v>43874.80755787037</v>
      </c>
      <c r="G92" s="207">
        <v>43867.14475694444</v>
      </c>
      <c r="H92" s="63" t="s">
        <v>948</v>
      </c>
      <c r="I92" s="205">
        <v>190.0</v>
      </c>
      <c r="J92" s="63" t="s">
        <v>1558</v>
      </c>
      <c r="K92" s="205">
        <v>4754771.0</v>
      </c>
      <c r="L92" s="208">
        <v>4.71288</v>
      </c>
      <c r="M92" s="208">
        <v>2.23723</v>
      </c>
      <c r="N92" s="208">
        <v>2.27389</v>
      </c>
      <c r="O92" s="209">
        <v>3.8</v>
      </c>
      <c r="P92" s="209">
        <v>9.0</v>
      </c>
      <c r="Q92" s="209">
        <v>7.5</v>
      </c>
      <c r="R92" s="209">
        <v>6.0</v>
      </c>
      <c r="S92" s="210">
        <v>0.0027430555564933456</v>
      </c>
      <c r="T92" s="63" t="s">
        <v>1559</v>
      </c>
      <c r="U92" s="205">
        <v>2.0</v>
      </c>
      <c r="V92" s="205">
        <v>3.0</v>
      </c>
      <c r="W92" s="63" t="s">
        <v>1560</v>
      </c>
      <c r="X92" s="210">
        <v>0.0028472222220443655</v>
      </c>
      <c r="Y92" s="63" t="s">
        <v>1116</v>
      </c>
      <c r="Z92" s="63" t="s">
        <v>1561</v>
      </c>
      <c r="AA92" s="205">
        <v>0.0</v>
      </c>
      <c r="AB92" s="63" t="s">
        <v>1562</v>
      </c>
      <c r="AC92" s="205">
        <v>197.0</v>
      </c>
      <c r="AD92" s="208">
        <v>9.61831</v>
      </c>
      <c r="AE92" s="205">
        <v>85563.0</v>
      </c>
      <c r="AF92" s="205">
        <v>18495.0</v>
      </c>
      <c r="AG92" s="205">
        <v>508.0</v>
      </c>
      <c r="AH92" s="205">
        <v>438.0</v>
      </c>
      <c r="AI92" s="205">
        <v>1.0</v>
      </c>
      <c r="AJ92" s="205">
        <v>1551.0</v>
      </c>
      <c r="AK92" s="205">
        <v>0.0</v>
      </c>
      <c r="AL92" s="205">
        <v>0.0</v>
      </c>
      <c r="AM92" s="205">
        <v>0.0</v>
      </c>
      <c r="AN92" s="205">
        <v>0.0</v>
      </c>
      <c r="AO92" s="208">
        <v>4.35647</v>
      </c>
      <c r="AP92" s="208">
        <v>4.92979</v>
      </c>
      <c r="AQ92" s="208">
        <v>6.74687</v>
      </c>
      <c r="AR92" s="208">
        <v>3.78233</v>
      </c>
      <c r="AT92" s="192" t="s">
        <v>201</v>
      </c>
      <c r="AU92" s="211" t="s">
        <v>1563</v>
      </c>
      <c r="AV92" s="211" t="s">
        <v>1564</v>
      </c>
      <c r="AW92" s="211" t="s">
        <v>1565</v>
      </c>
      <c r="AX92" s="211" t="s">
        <v>201</v>
      </c>
      <c r="AY92" s="212">
        <v>1.9</v>
      </c>
      <c r="AZ92" s="213">
        <v>4.5</v>
      </c>
      <c r="BA92" s="213">
        <v>3.75</v>
      </c>
      <c r="BB92" s="213">
        <v>3.0</v>
      </c>
      <c r="BC92" s="212">
        <v>4.9399999999999995</v>
      </c>
      <c r="BD92" s="213">
        <v>10.0</v>
      </c>
      <c r="BE92" s="213">
        <v>10.0</v>
      </c>
      <c r="BF92" s="213">
        <v>8.399999999999999</v>
      </c>
      <c r="BG92" s="212">
        <v>10.333333333333332</v>
      </c>
      <c r="BH92" s="213">
        <v>9.416666666666666</v>
      </c>
      <c r="BI92" s="213">
        <v>0.0018287037043288972</v>
      </c>
      <c r="BJ92" s="213">
        <v>0.001898148148029577</v>
      </c>
      <c r="BK92" s="213">
        <v>285.0</v>
      </c>
      <c r="BL92" s="212">
        <v>7.0</v>
      </c>
      <c r="BM92" s="213">
        <v>4.625</v>
      </c>
      <c r="BN92" s="213">
        <v>0.0036574074086577943</v>
      </c>
      <c r="BO92" s="213">
        <v>0.003796296296059154</v>
      </c>
      <c r="BP92" s="213">
        <v>142.5</v>
      </c>
      <c r="BQ92" s="192"/>
      <c r="BR92" s="192"/>
    </row>
    <row r="93">
      <c r="A93" s="60">
        <v>2472143.0</v>
      </c>
      <c r="B93" s="205">
        <v>2277989.0</v>
      </c>
      <c r="C93" s="205">
        <v>1079281.0</v>
      </c>
      <c r="D93" s="205">
        <v>1.0</v>
      </c>
      <c r="E93" s="207">
        <v>43814.7472337963</v>
      </c>
      <c r="F93" s="207">
        <v>43874.80755787037</v>
      </c>
      <c r="G93" s="207">
        <v>43867.14475694444</v>
      </c>
      <c r="H93" s="63" t="s">
        <v>948</v>
      </c>
      <c r="I93" s="205">
        <v>190.0</v>
      </c>
      <c r="J93" s="63" t="s">
        <v>1558</v>
      </c>
      <c r="K93" s="205">
        <v>4754771.0</v>
      </c>
      <c r="L93" s="208">
        <v>4.71288</v>
      </c>
      <c r="M93" s="208">
        <v>2.23723</v>
      </c>
      <c r="N93" s="208">
        <v>2.27389</v>
      </c>
      <c r="O93" s="209">
        <v>3.8</v>
      </c>
      <c r="P93" s="209">
        <v>9.0</v>
      </c>
      <c r="Q93" s="209">
        <v>7.5</v>
      </c>
      <c r="R93" s="209">
        <v>6.0</v>
      </c>
      <c r="S93" s="210">
        <v>0.0027430555564933456</v>
      </c>
      <c r="T93" s="63" t="s">
        <v>1559</v>
      </c>
      <c r="U93" s="205">
        <v>2.0</v>
      </c>
      <c r="V93" s="205">
        <v>3.0</v>
      </c>
      <c r="W93" s="63" t="s">
        <v>1560</v>
      </c>
      <c r="X93" s="210">
        <v>0.0028472222220443655</v>
      </c>
      <c r="Y93" s="63" t="s">
        <v>1116</v>
      </c>
      <c r="Z93" s="63" t="s">
        <v>1561</v>
      </c>
      <c r="AA93" s="205">
        <v>0.0</v>
      </c>
      <c r="AB93" s="63" t="s">
        <v>1562</v>
      </c>
      <c r="AC93" s="205">
        <v>197.0</v>
      </c>
      <c r="AD93" s="208">
        <v>9.61831</v>
      </c>
      <c r="AE93" s="205">
        <v>85563.0</v>
      </c>
      <c r="AF93" s="205">
        <v>18495.0</v>
      </c>
      <c r="AG93" s="205">
        <v>508.0</v>
      </c>
      <c r="AH93" s="205">
        <v>438.0</v>
      </c>
      <c r="AI93" s="205">
        <v>1.0</v>
      </c>
      <c r="AJ93" s="205">
        <v>1551.0</v>
      </c>
      <c r="AK93" s="205">
        <v>0.0</v>
      </c>
      <c r="AL93" s="205">
        <v>0.0</v>
      </c>
      <c r="AM93" s="205">
        <v>0.0</v>
      </c>
      <c r="AN93" s="205">
        <v>0.0</v>
      </c>
      <c r="AO93" s="208">
        <v>4.35647</v>
      </c>
      <c r="AP93" s="208">
        <v>4.92979</v>
      </c>
      <c r="AQ93" s="208">
        <v>6.74687</v>
      </c>
      <c r="AR93" s="208">
        <v>3.78233</v>
      </c>
      <c r="AT93" s="192" t="s">
        <v>201</v>
      </c>
      <c r="AU93" s="211" t="s">
        <v>1563</v>
      </c>
      <c r="AV93" s="211" t="s">
        <v>1564</v>
      </c>
      <c r="AW93" s="211" t="s">
        <v>1565</v>
      </c>
      <c r="AX93" s="211" t="s">
        <v>201</v>
      </c>
      <c r="AY93" s="212">
        <v>1.9</v>
      </c>
      <c r="AZ93" s="213">
        <v>4.5</v>
      </c>
      <c r="BA93" s="213">
        <v>3.75</v>
      </c>
      <c r="BB93" s="213">
        <v>3.0</v>
      </c>
      <c r="BC93" s="212">
        <v>4.9399999999999995</v>
      </c>
      <c r="BD93" s="213">
        <v>10.0</v>
      </c>
      <c r="BE93" s="213">
        <v>10.0</v>
      </c>
      <c r="BF93" s="213">
        <v>8.399999999999999</v>
      </c>
      <c r="BG93" s="212">
        <v>10.333333333333332</v>
      </c>
      <c r="BH93" s="213">
        <v>9.416666666666666</v>
      </c>
      <c r="BI93" s="213">
        <v>0.0018287037043288972</v>
      </c>
      <c r="BJ93" s="213">
        <v>0.001898148148029577</v>
      </c>
      <c r="BK93" s="213">
        <v>285.0</v>
      </c>
      <c r="BL93" s="212">
        <v>7.0</v>
      </c>
      <c r="BM93" s="213">
        <v>4.625</v>
      </c>
      <c r="BN93" s="213">
        <v>0.0036574074086577943</v>
      </c>
      <c r="BO93" s="213">
        <v>0.003796296296059154</v>
      </c>
      <c r="BP93" s="213">
        <v>142.5</v>
      </c>
      <c r="BQ93" s="192"/>
      <c r="BR93" s="192"/>
    </row>
    <row r="94">
      <c r="A94" s="60">
        <v>3990086.0</v>
      </c>
      <c r="B94" s="205">
        <v>2827293.0</v>
      </c>
      <c r="C94" s="205">
        <v>1358622.0</v>
      </c>
      <c r="D94" s="205">
        <v>1.0</v>
      </c>
      <c r="E94" s="207">
        <v>44223.37967592593</v>
      </c>
      <c r="F94" s="207">
        <v>44388.72361111111</v>
      </c>
      <c r="G94" s="207">
        <v>44381.49668981481</v>
      </c>
      <c r="H94" s="63" t="s">
        <v>962</v>
      </c>
      <c r="I94" s="205">
        <v>200.0</v>
      </c>
      <c r="J94" s="63" t="s">
        <v>1566</v>
      </c>
      <c r="K94" s="205">
        <v>1872496.0</v>
      </c>
      <c r="L94" s="208">
        <v>4.88906</v>
      </c>
      <c r="M94" s="208">
        <v>2.33495</v>
      </c>
      <c r="N94" s="208">
        <v>2.34515</v>
      </c>
      <c r="O94" s="209">
        <v>3.8</v>
      </c>
      <c r="P94" s="209">
        <v>9.0</v>
      </c>
      <c r="Q94" s="209">
        <v>7.8</v>
      </c>
      <c r="R94" s="209">
        <v>5.0</v>
      </c>
      <c r="S94" s="210">
        <v>0.00268518518350902</v>
      </c>
      <c r="U94" s="205">
        <v>4.0</v>
      </c>
      <c r="V94" s="205">
        <v>3.0</v>
      </c>
      <c r="W94" s="63" t="s">
        <v>1567</v>
      </c>
      <c r="X94" s="210">
        <v>0.0028935185182490386</v>
      </c>
      <c r="Y94" s="63" t="s">
        <v>1568</v>
      </c>
      <c r="Z94" s="63" t="s">
        <v>1569</v>
      </c>
      <c r="AA94" s="205">
        <v>0.0</v>
      </c>
      <c r="AB94" s="63" t="s">
        <v>1570</v>
      </c>
      <c r="AC94" s="205">
        <v>456.0</v>
      </c>
      <c r="AD94" s="208">
        <v>9.68278</v>
      </c>
      <c r="AE94" s="205">
        <v>119467.0</v>
      </c>
      <c r="AF94" s="205">
        <v>23204.0</v>
      </c>
      <c r="AG94" s="205">
        <v>485.0</v>
      </c>
      <c r="AH94" s="205">
        <v>449.0</v>
      </c>
      <c r="AI94" s="205">
        <v>1.0</v>
      </c>
      <c r="AJ94" s="205">
        <v>1419.0</v>
      </c>
      <c r="AK94" s="205">
        <v>0.0</v>
      </c>
      <c r="AL94" s="205">
        <v>0.0</v>
      </c>
      <c r="AM94" s="205">
        <v>0.0</v>
      </c>
      <c r="AN94" s="205">
        <v>0.0</v>
      </c>
      <c r="AO94" s="208">
        <v>4.53245</v>
      </c>
      <c r="AP94" s="208">
        <v>5.09899</v>
      </c>
      <c r="AQ94" s="208">
        <v>7.02216</v>
      </c>
      <c r="AR94" s="208">
        <v>3.87245</v>
      </c>
      <c r="AT94" s="192" t="s">
        <v>222</v>
      </c>
      <c r="AU94" s="211" t="s">
        <v>221</v>
      </c>
      <c r="AV94" s="211" t="s">
        <v>1571</v>
      </c>
      <c r="AW94" s="211" t="s">
        <v>1572</v>
      </c>
      <c r="AX94" s="211" t="s">
        <v>222</v>
      </c>
      <c r="AY94" s="212">
        <v>1.9</v>
      </c>
      <c r="AZ94" s="213">
        <v>4.5</v>
      </c>
      <c r="BA94" s="213">
        <v>3.9</v>
      </c>
      <c r="BB94" s="213">
        <v>2.5</v>
      </c>
      <c r="BC94" s="212">
        <v>4.9399999999999995</v>
      </c>
      <c r="BD94" s="213">
        <v>10.0</v>
      </c>
      <c r="BE94" s="213">
        <v>10.0</v>
      </c>
      <c r="BF94" s="213">
        <v>7.0</v>
      </c>
      <c r="BG94" s="212">
        <v>10.333333333333332</v>
      </c>
      <c r="BH94" s="213">
        <v>9.616666666666667</v>
      </c>
      <c r="BI94" s="213">
        <v>0.0017901234556726802</v>
      </c>
      <c r="BJ94" s="213">
        <v>0.001929012345499359</v>
      </c>
      <c r="BK94" s="213">
        <v>300.0</v>
      </c>
      <c r="BL94" s="212">
        <v>7.0</v>
      </c>
      <c r="BM94" s="213">
        <v>5.074999999999999</v>
      </c>
      <c r="BN94" s="213">
        <v>0.0035802469113453603</v>
      </c>
      <c r="BO94" s="213">
        <v>0.003858024690998718</v>
      </c>
      <c r="BP94" s="213">
        <v>150.0</v>
      </c>
      <c r="BQ94" s="192"/>
      <c r="BR94" s="192"/>
    </row>
    <row r="95">
      <c r="A95" s="60">
        <v>2775823.0</v>
      </c>
      <c r="B95" s="205">
        <v>2827293.0</v>
      </c>
      <c r="C95" s="205">
        <v>1358622.0</v>
      </c>
      <c r="D95" s="205">
        <v>1.0</v>
      </c>
      <c r="E95" s="207">
        <v>44223.37967592593</v>
      </c>
      <c r="F95" s="207">
        <v>44388.72361111111</v>
      </c>
      <c r="G95" s="207">
        <v>44381.49668981481</v>
      </c>
      <c r="H95" s="63" t="s">
        <v>962</v>
      </c>
      <c r="I95" s="205">
        <v>200.0</v>
      </c>
      <c r="J95" s="63" t="s">
        <v>1566</v>
      </c>
      <c r="K95" s="205">
        <v>1872496.0</v>
      </c>
      <c r="L95" s="208">
        <v>4.88906</v>
      </c>
      <c r="M95" s="208">
        <v>2.33495</v>
      </c>
      <c r="N95" s="208">
        <v>2.34515</v>
      </c>
      <c r="O95" s="209">
        <v>3.8</v>
      </c>
      <c r="P95" s="209">
        <v>9.0</v>
      </c>
      <c r="Q95" s="209">
        <v>7.8</v>
      </c>
      <c r="R95" s="209">
        <v>5.0</v>
      </c>
      <c r="S95" s="210">
        <v>0.00268518518350902</v>
      </c>
      <c r="U95" s="205">
        <v>4.0</v>
      </c>
      <c r="V95" s="205">
        <v>3.0</v>
      </c>
      <c r="W95" s="63" t="s">
        <v>1567</v>
      </c>
      <c r="X95" s="210">
        <v>0.0028935185182490386</v>
      </c>
      <c r="Y95" s="63" t="s">
        <v>1568</v>
      </c>
      <c r="Z95" s="63" t="s">
        <v>1569</v>
      </c>
      <c r="AA95" s="205">
        <v>0.0</v>
      </c>
      <c r="AB95" s="63" t="s">
        <v>1570</v>
      </c>
      <c r="AC95" s="205">
        <v>456.0</v>
      </c>
      <c r="AD95" s="208">
        <v>9.68278</v>
      </c>
      <c r="AE95" s="205">
        <v>119467.0</v>
      </c>
      <c r="AF95" s="205">
        <v>23204.0</v>
      </c>
      <c r="AG95" s="205">
        <v>485.0</v>
      </c>
      <c r="AH95" s="205">
        <v>449.0</v>
      </c>
      <c r="AI95" s="205">
        <v>1.0</v>
      </c>
      <c r="AJ95" s="205">
        <v>1419.0</v>
      </c>
      <c r="AK95" s="205">
        <v>0.0</v>
      </c>
      <c r="AL95" s="205">
        <v>0.0</v>
      </c>
      <c r="AM95" s="205">
        <v>0.0</v>
      </c>
      <c r="AN95" s="205">
        <v>0.0</v>
      </c>
      <c r="AO95" s="208">
        <v>4.53245</v>
      </c>
      <c r="AP95" s="208">
        <v>5.09899</v>
      </c>
      <c r="AQ95" s="208">
        <v>7.02216</v>
      </c>
      <c r="AR95" s="208">
        <v>3.87245</v>
      </c>
      <c r="AT95" s="192" t="s">
        <v>222</v>
      </c>
      <c r="AU95" s="211" t="s">
        <v>221</v>
      </c>
      <c r="AV95" s="211" t="s">
        <v>1571</v>
      </c>
      <c r="AW95" s="211" t="s">
        <v>1572</v>
      </c>
      <c r="AX95" s="211" t="s">
        <v>222</v>
      </c>
      <c r="AY95" s="212">
        <v>1.9</v>
      </c>
      <c r="AZ95" s="213">
        <v>4.5</v>
      </c>
      <c r="BA95" s="213">
        <v>3.9</v>
      </c>
      <c r="BB95" s="213">
        <v>2.5</v>
      </c>
      <c r="BC95" s="212">
        <v>4.9399999999999995</v>
      </c>
      <c r="BD95" s="213">
        <v>10.0</v>
      </c>
      <c r="BE95" s="213">
        <v>10.0</v>
      </c>
      <c r="BF95" s="213">
        <v>7.0</v>
      </c>
      <c r="BG95" s="212">
        <v>10.333333333333332</v>
      </c>
      <c r="BH95" s="213">
        <v>9.616666666666667</v>
      </c>
      <c r="BI95" s="213">
        <v>0.0017901234556726802</v>
      </c>
      <c r="BJ95" s="213">
        <v>0.001929012345499359</v>
      </c>
      <c r="BK95" s="213">
        <v>300.0</v>
      </c>
      <c r="BL95" s="212">
        <v>7.0</v>
      </c>
      <c r="BM95" s="213">
        <v>5.074999999999999</v>
      </c>
      <c r="BN95" s="213">
        <v>0.0035802469113453603</v>
      </c>
      <c r="BO95" s="213">
        <v>0.003858024690998718</v>
      </c>
      <c r="BP95" s="213">
        <v>150.0</v>
      </c>
      <c r="BQ95" s="192"/>
      <c r="BR95" s="192"/>
    </row>
    <row r="96">
      <c r="A96" s="60">
        <v>1290855.0</v>
      </c>
      <c r="B96" s="205">
        <v>2004679.0</v>
      </c>
      <c r="C96" s="205">
        <v>956716.0</v>
      </c>
      <c r="D96" s="205">
        <v>1.0</v>
      </c>
      <c r="E96" s="207">
        <v>43570.91636574074</v>
      </c>
      <c r="F96" s="207">
        <v>43584.77788194444</v>
      </c>
      <c r="G96" s="207">
        <v>43573.89355324074</v>
      </c>
      <c r="H96" s="63" t="s">
        <v>963</v>
      </c>
      <c r="I96" s="205">
        <v>195.0</v>
      </c>
      <c r="J96" s="63" t="s">
        <v>210</v>
      </c>
      <c r="K96" s="205">
        <v>896613.0</v>
      </c>
      <c r="L96" s="208">
        <v>4.90416</v>
      </c>
      <c r="M96" s="208">
        <v>1.9653</v>
      </c>
      <c r="N96" s="208">
        <v>2.62161</v>
      </c>
      <c r="O96" s="209">
        <v>4.5</v>
      </c>
      <c r="P96" s="209">
        <v>9.0</v>
      </c>
      <c r="Q96" s="209">
        <v>8.0</v>
      </c>
      <c r="R96" s="209">
        <v>6.0</v>
      </c>
      <c r="S96" s="210">
        <v>0.0014351851859828457</v>
      </c>
      <c r="U96" s="205">
        <v>10.0</v>
      </c>
      <c r="V96" s="205">
        <v>5.0</v>
      </c>
      <c r="W96" s="63" t="s">
        <v>1573</v>
      </c>
      <c r="X96" s="210">
        <v>0.0015972222208802123</v>
      </c>
      <c r="Y96" s="63" t="s">
        <v>1490</v>
      </c>
      <c r="Z96" s="63" t="s">
        <v>1574</v>
      </c>
      <c r="AA96" s="205">
        <v>0.0</v>
      </c>
      <c r="AB96" s="63" t="s">
        <v>1575</v>
      </c>
      <c r="AC96" s="205">
        <v>175.0</v>
      </c>
      <c r="AD96" s="208">
        <v>9.40236</v>
      </c>
      <c r="AE96" s="205">
        <v>104994.0</v>
      </c>
      <c r="AF96" s="205">
        <v>28350.0</v>
      </c>
      <c r="AG96" s="205">
        <v>400.0</v>
      </c>
      <c r="AH96" s="205">
        <v>197.0</v>
      </c>
      <c r="AI96" s="205">
        <v>1.0</v>
      </c>
      <c r="AJ96" s="205">
        <v>928.0</v>
      </c>
      <c r="AK96" s="205">
        <v>0.0</v>
      </c>
      <c r="AL96" s="205">
        <v>0.0</v>
      </c>
      <c r="AM96" s="205">
        <v>0.0</v>
      </c>
      <c r="AN96" s="205">
        <v>0.0</v>
      </c>
      <c r="AO96" s="208">
        <v>4.4626</v>
      </c>
      <c r="AP96" s="208">
        <v>5.13053</v>
      </c>
      <c r="AQ96" s="208">
        <v>7.40189</v>
      </c>
      <c r="AR96" s="208">
        <v>3.88201</v>
      </c>
      <c r="AT96" s="192" t="s">
        <v>209</v>
      </c>
      <c r="AU96" s="211" t="s">
        <v>227</v>
      </c>
      <c r="AV96" s="211" t="s">
        <v>1576</v>
      </c>
      <c r="AW96" s="211" t="s">
        <v>1577</v>
      </c>
      <c r="AX96" s="211" t="s">
        <v>209</v>
      </c>
      <c r="AY96" s="212">
        <v>2.25</v>
      </c>
      <c r="AZ96" s="213">
        <v>4.5</v>
      </c>
      <c r="BA96" s="213">
        <v>4.0</v>
      </c>
      <c r="BB96" s="213">
        <v>3.0</v>
      </c>
      <c r="BC96" s="212">
        <v>5.8500000000000005</v>
      </c>
      <c r="BD96" s="213">
        <v>10.0</v>
      </c>
      <c r="BE96" s="213">
        <v>10.0</v>
      </c>
      <c r="BF96" s="213">
        <v>8.399999999999999</v>
      </c>
      <c r="BG96" s="212">
        <v>10.333333333333332</v>
      </c>
      <c r="BH96" s="213">
        <v>9.75</v>
      </c>
      <c r="BI96" s="213">
        <v>9.567901239885638E-4</v>
      </c>
      <c r="BJ96" s="213">
        <v>0.0010648148139201414</v>
      </c>
      <c r="BK96" s="213">
        <v>292.5</v>
      </c>
      <c r="BL96" s="212">
        <v>7.0</v>
      </c>
      <c r="BM96" s="213">
        <v>5.375</v>
      </c>
      <c r="BN96" s="213">
        <v>0.0019135802479771276</v>
      </c>
      <c r="BO96" s="213">
        <v>0.002129629627840283</v>
      </c>
      <c r="BP96" s="213">
        <v>146.25</v>
      </c>
      <c r="BQ96" s="192"/>
      <c r="BR96" s="192"/>
    </row>
    <row r="97">
      <c r="A97" s="60">
        <v>4121042.0</v>
      </c>
      <c r="B97" s="205">
        <v>2004679.0</v>
      </c>
      <c r="C97" s="205">
        <v>956716.0</v>
      </c>
      <c r="D97" s="205">
        <v>1.0</v>
      </c>
      <c r="E97" s="207">
        <v>43570.91636574074</v>
      </c>
      <c r="F97" s="207">
        <v>43584.77788194444</v>
      </c>
      <c r="G97" s="207">
        <v>43573.89355324074</v>
      </c>
      <c r="H97" s="63" t="s">
        <v>963</v>
      </c>
      <c r="I97" s="205">
        <v>195.0</v>
      </c>
      <c r="J97" s="63" t="s">
        <v>210</v>
      </c>
      <c r="K97" s="205">
        <v>896613.0</v>
      </c>
      <c r="L97" s="208">
        <v>4.90416</v>
      </c>
      <c r="M97" s="208">
        <v>1.9653</v>
      </c>
      <c r="N97" s="208">
        <v>2.62161</v>
      </c>
      <c r="O97" s="209">
        <v>4.5</v>
      </c>
      <c r="P97" s="209">
        <v>9.0</v>
      </c>
      <c r="Q97" s="209">
        <v>8.0</v>
      </c>
      <c r="R97" s="209">
        <v>6.0</v>
      </c>
      <c r="S97" s="210">
        <v>0.0014351851859828457</v>
      </c>
      <c r="U97" s="205">
        <v>10.0</v>
      </c>
      <c r="V97" s="205">
        <v>5.0</v>
      </c>
      <c r="W97" s="63" t="s">
        <v>1573</v>
      </c>
      <c r="X97" s="210">
        <v>0.0015972222208802123</v>
      </c>
      <c r="Y97" s="63" t="s">
        <v>1490</v>
      </c>
      <c r="Z97" s="63" t="s">
        <v>1574</v>
      </c>
      <c r="AA97" s="205">
        <v>0.0</v>
      </c>
      <c r="AB97" s="63" t="s">
        <v>1575</v>
      </c>
      <c r="AC97" s="205">
        <v>175.0</v>
      </c>
      <c r="AD97" s="208">
        <v>9.40236</v>
      </c>
      <c r="AE97" s="205">
        <v>104994.0</v>
      </c>
      <c r="AF97" s="205">
        <v>28350.0</v>
      </c>
      <c r="AG97" s="205">
        <v>400.0</v>
      </c>
      <c r="AH97" s="205">
        <v>197.0</v>
      </c>
      <c r="AI97" s="205">
        <v>1.0</v>
      </c>
      <c r="AJ97" s="205">
        <v>928.0</v>
      </c>
      <c r="AK97" s="205">
        <v>0.0</v>
      </c>
      <c r="AL97" s="205">
        <v>0.0</v>
      </c>
      <c r="AM97" s="205">
        <v>0.0</v>
      </c>
      <c r="AN97" s="205">
        <v>0.0</v>
      </c>
      <c r="AO97" s="208">
        <v>4.4626</v>
      </c>
      <c r="AP97" s="208">
        <v>5.13053</v>
      </c>
      <c r="AQ97" s="208">
        <v>7.40189</v>
      </c>
      <c r="AR97" s="208">
        <v>3.88201</v>
      </c>
      <c r="AT97" s="192" t="s">
        <v>209</v>
      </c>
      <c r="AU97" s="211" t="s">
        <v>227</v>
      </c>
      <c r="AV97" s="211" t="s">
        <v>1576</v>
      </c>
      <c r="AW97" s="211" t="s">
        <v>1577</v>
      </c>
      <c r="AX97" s="211" t="s">
        <v>209</v>
      </c>
      <c r="AY97" s="212">
        <v>2.25</v>
      </c>
      <c r="AZ97" s="213">
        <v>4.5</v>
      </c>
      <c r="BA97" s="213">
        <v>4.0</v>
      </c>
      <c r="BB97" s="213">
        <v>3.0</v>
      </c>
      <c r="BC97" s="212">
        <v>5.8500000000000005</v>
      </c>
      <c r="BD97" s="213">
        <v>10.0</v>
      </c>
      <c r="BE97" s="213">
        <v>10.0</v>
      </c>
      <c r="BF97" s="213">
        <v>8.399999999999999</v>
      </c>
      <c r="BG97" s="212">
        <v>10.333333333333332</v>
      </c>
      <c r="BH97" s="213">
        <v>9.75</v>
      </c>
      <c r="BI97" s="213">
        <v>9.567901239885638E-4</v>
      </c>
      <c r="BJ97" s="213">
        <v>0.0010648148139201414</v>
      </c>
      <c r="BK97" s="213">
        <v>292.5</v>
      </c>
      <c r="BL97" s="212">
        <v>7.0</v>
      </c>
      <c r="BM97" s="213">
        <v>5.375</v>
      </c>
      <c r="BN97" s="213">
        <v>0.0019135802479771276</v>
      </c>
      <c r="BO97" s="213">
        <v>0.002129629627840283</v>
      </c>
      <c r="BP97" s="213">
        <v>146.25</v>
      </c>
      <c r="BQ97" s="192"/>
      <c r="BR97" s="192"/>
    </row>
    <row r="98">
      <c r="A98" s="60">
        <v>3044231.0</v>
      </c>
      <c r="B98" s="205">
        <v>3117101.0</v>
      </c>
      <c r="C98" s="205">
        <v>1508883.0</v>
      </c>
      <c r="D98" s="205">
        <v>1.0</v>
      </c>
      <c r="E98" s="207">
        <v>44380.0516550926</v>
      </c>
      <c r="F98" s="207">
        <v>44469.10010416667</v>
      </c>
      <c r="G98" s="207">
        <v>44461.4321412037</v>
      </c>
      <c r="H98" s="63" t="s">
        <v>962</v>
      </c>
      <c r="I98" s="205">
        <v>125.0</v>
      </c>
      <c r="J98" s="63" t="s">
        <v>1578</v>
      </c>
      <c r="K98" s="205">
        <v>3045895.0</v>
      </c>
      <c r="L98" s="208">
        <v>4.54977</v>
      </c>
      <c r="M98" s="208">
        <v>2.25322</v>
      </c>
      <c r="N98" s="208">
        <v>2.09537</v>
      </c>
      <c r="O98" s="209">
        <v>4.0</v>
      </c>
      <c r="P98" s="209">
        <v>9.0</v>
      </c>
      <c r="Q98" s="209">
        <v>8.0</v>
      </c>
      <c r="R98" s="209">
        <v>6.0</v>
      </c>
      <c r="S98" s="210">
        <v>0.002638888887304347</v>
      </c>
      <c r="U98" s="205">
        <v>5.0</v>
      </c>
      <c r="V98" s="205">
        <v>3.0</v>
      </c>
      <c r="W98" s="63" t="s">
        <v>1579</v>
      </c>
      <c r="X98" s="210">
        <v>0.002812499998981366</v>
      </c>
      <c r="Y98" s="63" t="s">
        <v>1580</v>
      </c>
      <c r="Z98" s="63" t="s">
        <v>1581</v>
      </c>
      <c r="AA98" s="205">
        <v>0.0</v>
      </c>
      <c r="AB98" s="63" t="s">
        <v>1582</v>
      </c>
      <c r="AC98" s="205">
        <v>575.0</v>
      </c>
      <c r="AD98" s="208">
        <v>9.29225</v>
      </c>
      <c r="AE98" s="205">
        <v>104500.0</v>
      </c>
      <c r="AF98" s="205">
        <v>13157.0</v>
      </c>
      <c r="AG98" s="205">
        <v>465.0</v>
      </c>
      <c r="AH98" s="205">
        <v>387.0</v>
      </c>
      <c r="AI98" s="205">
        <v>1.0</v>
      </c>
      <c r="AJ98" s="205">
        <v>1280.0</v>
      </c>
      <c r="AK98" s="205">
        <v>0.0</v>
      </c>
      <c r="AL98" s="205">
        <v>0.0</v>
      </c>
      <c r="AM98" s="205">
        <v>0.0</v>
      </c>
      <c r="AN98" s="205">
        <v>0.0</v>
      </c>
      <c r="AO98" s="208">
        <v>4.18847</v>
      </c>
      <c r="AP98" s="208">
        <v>4.8777</v>
      </c>
      <c r="AQ98" s="208">
        <v>6.52232</v>
      </c>
      <c r="AR98" s="208">
        <v>3.62369</v>
      </c>
      <c r="AT98" s="192" t="s">
        <v>232</v>
      </c>
      <c r="AU98" s="211" t="s">
        <v>231</v>
      </c>
      <c r="AV98" s="211" t="s">
        <v>1583</v>
      </c>
      <c r="AW98" s="211" t="s">
        <v>1584</v>
      </c>
      <c r="AX98" s="211" t="s">
        <v>232</v>
      </c>
      <c r="AY98" s="212">
        <v>2.0</v>
      </c>
      <c r="AZ98" s="213">
        <v>4.5</v>
      </c>
      <c r="BA98" s="213">
        <v>4.0</v>
      </c>
      <c r="BB98" s="213">
        <v>3.0</v>
      </c>
      <c r="BC98" s="212">
        <v>5.2</v>
      </c>
      <c r="BD98" s="213">
        <v>10.0</v>
      </c>
      <c r="BE98" s="213">
        <v>10.0</v>
      </c>
      <c r="BF98" s="213">
        <v>8.399999999999999</v>
      </c>
      <c r="BG98" s="212">
        <v>10.333333333333332</v>
      </c>
      <c r="BH98" s="213">
        <v>9.75</v>
      </c>
      <c r="BI98" s="213">
        <v>0.001759259258202898</v>
      </c>
      <c r="BJ98" s="213">
        <v>0.0018749999993209106</v>
      </c>
      <c r="BK98" s="213">
        <v>187.5</v>
      </c>
      <c r="BL98" s="212">
        <v>7.0</v>
      </c>
      <c r="BM98" s="213">
        <v>5.375</v>
      </c>
      <c r="BN98" s="213">
        <v>0.003518518516405796</v>
      </c>
      <c r="BO98" s="213">
        <v>0.003749999998641821</v>
      </c>
      <c r="BP98" s="213">
        <v>93.75</v>
      </c>
      <c r="BQ98" s="192"/>
      <c r="BR98" s="192"/>
    </row>
    <row r="99">
      <c r="A99" s="60">
        <v>1913099.0</v>
      </c>
      <c r="B99" s="205">
        <v>3117101.0</v>
      </c>
      <c r="C99" s="205">
        <v>1508883.0</v>
      </c>
      <c r="D99" s="205">
        <v>1.0</v>
      </c>
      <c r="E99" s="207">
        <v>44380.0516550926</v>
      </c>
      <c r="F99" s="207">
        <v>44469.10010416667</v>
      </c>
      <c r="G99" s="207">
        <v>44461.4321412037</v>
      </c>
      <c r="H99" s="63" t="s">
        <v>962</v>
      </c>
      <c r="I99" s="205">
        <v>125.0</v>
      </c>
      <c r="J99" s="63" t="s">
        <v>1578</v>
      </c>
      <c r="K99" s="205">
        <v>3045895.0</v>
      </c>
      <c r="L99" s="208">
        <v>4.54977</v>
      </c>
      <c r="M99" s="208">
        <v>2.25322</v>
      </c>
      <c r="N99" s="208">
        <v>2.09537</v>
      </c>
      <c r="O99" s="209">
        <v>4.0</v>
      </c>
      <c r="P99" s="209">
        <v>9.0</v>
      </c>
      <c r="Q99" s="209">
        <v>8.0</v>
      </c>
      <c r="R99" s="209">
        <v>6.0</v>
      </c>
      <c r="S99" s="210">
        <v>0.002638888887304347</v>
      </c>
      <c r="U99" s="205">
        <v>5.0</v>
      </c>
      <c r="V99" s="205">
        <v>3.0</v>
      </c>
      <c r="W99" s="63" t="s">
        <v>1579</v>
      </c>
      <c r="X99" s="210">
        <v>0.002812499998981366</v>
      </c>
      <c r="Y99" s="63" t="s">
        <v>1580</v>
      </c>
      <c r="Z99" s="63" t="s">
        <v>1581</v>
      </c>
      <c r="AA99" s="205">
        <v>0.0</v>
      </c>
      <c r="AB99" s="63" t="s">
        <v>1582</v>
      </c>
      <c r="AC99" s="205">
        <v>575.0</v>
      </c>
      <c r="AD99" s="208">
        <v>9.29225</v>
      </c>
      <c r="AE99" s="205">
        <v>104500.0</v>
      </c>
      <c r="AF99" s="205">
        <v>13157.0</v>
      </c>
      <c r="AG99" s="205">
        <v>465.0</v>
      </c>
      <c r="AH99" s="205">
        <v>387.0</v>
      </c>
      <c r="AI99" s="205">
        <v>1.0</v>
      </c>
      <c r="AJ99" s="205">
        <v>1280.0</v>
      </c>
      <c r="AK99" s="205">
        <v>0.0</v>
      </c>
      <c r="AL99" s="205">
        <v>0.0</v>
      </c>
      <c r="AM99" s="205">
        <v>0.0</v>
      </c>
      <c r="AN99" s="205">
        <v>0.0</v>
      </c>
      <c r="AO99" s="208">
        <v>4.18847</v>
      </c>
      <c r="AP99" s="208">
        <v>4.8777</v>
      </c>
      <c r="AQ99" s="208">
        <v>6.52232</v>
      </c>
      <c r="AR99" s="208">
        <v>3.62369</v>
      </c>
      <c r="AT99" s="192" t="s">
        <v>232</v>
      </c>
      <c r="AU99" s="211" t="s">
        <v>231</v>
      </c>
      <c r="AV99" s="211" t="s">
        <v>1583</v>
      </c>
      <c r="AW99" s="211" t="s">
        <v>1584</v>
      </c>
      <c r="AX99" s="211" t="s">
        <v>232</v>
      </c>
      <c r="AY99" s="212">
        <v>2.0</v>
      </c>
      <c r="AZ99" s="213">
        <v>4.5</v>
      </c>
      <c r="BA99" s="213">
        <v>4.0</v>
      </c>
      <c r="BB99" s="213">
        <v>3.0</v>
      </c>
      <c r="BC99" s="212">
        <v>5.2</v>
      </c>
      <c r="BD99" s="213">
        <v>10.0</v>
      </c>
      <c r="BE99" s="213">
        <v>10.0</v>
      </c>
      <c r="BF99" s="213">
        <v>8.399999999999999</v>
      </c>
      <c r="BG99" s="212">
        <v>10.333333333333332</v>
      </c>
      <c r="BH99" s="213">
        <v>9.75</v>
      </c>
      <c r="BI99" s="213">
        <v>0.001759259258202898</v>
      </c>
      <c r="BJ99" s="213">
        <v>0.0018749999993209106</v>
      </c>
      <c r="BK99" s="213">
        <v>187.5</v>
      </c>
      <c r="BL99" s="212">
        <v>7.0</v>
      </c>
      <c r="BM99" s="213">
        <v>5.375</v>
      </c>
      <c r="BN99" s="213">
        <v>0.003518518516405796</v>
      </c>
      <c r="BO99" s="213">
        <v>0.003749999998641821</v>
      </c>
      <c r="BP99" s="213">
        <v>93.75</v>
      </c>
      <c r="BQ99" s="192"/>
      <c r="BR99" s="192"/>
    </row>
    <row r="100">
      <c r="A100" s="60">
        <v>3221246.0</v>
      </c>
      <c r="B100" s="205">
        <v>1489274.0</v>
      </c>
      <c r="C100" s="205">
        <v>564329.0</v>
      </c>
      <c r="D100" s="205">
        <v>1.0</v>
      </c>
      <c r="E100" s="207">
        <v>42763.21832175926</v>
      </c>
      <c r="F100" s="207">
        <v>43102.0421875</v>
      </c>
      <c r="G100" s="207">
        <v>43093.92444444445</v>
      </c>
      <c r="H100" s="63" t="s">
        <v>972</v>
      </c>
      <c r="I100" s="205">
        <v>110.0</v>
      </c>
      <c r="J100" s="63" t="s">
        <v>259</v>
      </c>
      <c r="K100" s="205">
        <v>4785223.0</v>
      </c>
      <c r="L100" s="208">
        <v>4.58554</v>
      </c>
      <c r="M100" s="208">
        <v>2.24709</v>
      </c>
      <c r="N100" s="208">
        <v>2.13936</v>
      </c>
      <c r="O100" s="209">
        <v>4.0</v>
      </c>
      <c r="P100" s="209">
        <v>9.0</v>
      </c>
      <c r="Q100" s="209">
        <v>8.0</v>
      </c>
      <c r="R100" s="209">
        <v>5.0</v>
      </c>
      <c r="S100" s="210">
        <v>0.002002314813580597</v>
      </c>
      <c r="U100" s="205">
        <v>5.0</v>
      </c>
      <c r="V100" s="205">
        <v>3.0</v>
      </c>
      <c r="W100" s="63" t="s">
        <v>1585</v>
      </c>
      <c r="X100" s="210">
        <v>0.0023032407407299615</v>
      </c>
      <c r="Y100" s="63" t="s">
        <v>1586</v>
      </c>
      <c r="Z100" s="63" t="s">
        <v>1587</v>
      </c>
      <c r="AA100" s="205">
        <v>0.0</v>
      </c>
      <c r="AB100" s="63" t="s">
        <v>1588</v>
      </c>
      <c r="AC100" s="205">
        <v>970.0</v>
      </c>
      <c r="AD100" s="208">
        <v>9.35043</v>
      </c>
      <c r="AE100" s="205">
        <v>208647.0</v>
      </c>
      <c r="AF100" s="205">
        <v>55476.0</v>
      </c>
      <c r="AG100" s="205">
        <v>261.0</v>
      </c>
      <c r="AH100" s="205">
        <v>407.0</v>
      </c>
      <c r="AI100" s="205">
        <v>4.0</v>
      </c>
      <c r="AJ100" s="205">
        <v>1255.0</v>
      </c>
      <c r="AK100" s="205">
        <v>0.0</v>
      </c>
      <c r="AL100" s="205">
        <v>0.0</v>
      </c>
      <c r="AM100" s="205">
        <v>0.0</v>
      </c>
      <c r="AN100" s="205">
        <v>0.0</v>
      </c>
      <c r="AO100" s="208">
        <v>4.16856</v>
      </c>
      <c r="AP100" s="208">
        <v>4.89399</v>
      </c>
      <c r="AQ100" s="208">
        <v>6.52722</v>
      </c>
      <c r="AR100" s="208">
        <v>3.66062</v>
      </c>
      <c r="AT100" s="192" t="s">
        <v>237</v>
      </c>
      <c r="AU100" s="211" t="s">
        <v>236</v>
      </c>
      <c r="AV100" s="211" t="s">
        <v>1589</v>
      </c>
      <c r="AW100" s="211" t="s">
        <v>1590</v>
      </c>
      <c r="AX100" s="211" t="s">
        <v>237</v>
      </c>
      <c r="AY100" s="212">
        <v>2.0</v>
      </c>
      <c r="AZ100" s="213">
        <v>4.5</v>
      </c>
      <c r="BA100" s="213">
        <v>4.0</v>
      </c>
      <c r="BB100" s="213">
        <v>2.5</v>
      </c>
      <c r="BC100" s="212">
        <v>5.2</v>
      </c>
      <c r="BD100" s="213">
        <v>10.0</v>
      </c>
      <c r="BE100" s="213">
        <v>10.0</v>
      </c>
      <c r="BF100" s="213">
        <v>7.0</v>
      </c>
      <c r="BG100" s="212">
        <v>10.333333333333332</v>
      </c>
      <c r="BH100" s="213">
        <v>9.75</v>
      </c>
      <c r="BI100" s="213">
        <v>0.0013348765423870645</v>
      </c>
      <c r="BJ100" s="213">
        <v>0.0015354938271533076</v>
      </c>
      <c r="BK100" s="213">
        <v>165.0</v>
      </c>
      <c r="BL100" s="212">
        <v>7.0</v>
      </c>
      <c r="BM100" s="213">
        <v>5.375</v>
      </c>
      <c r="BN100" s="213">
        <v>0.002669753084774129</v>
      </c>
      <c r="BO100" s="213">
        <v>0.0030709876543066152</v>
      </c>
      <c r="BP100" s="213">
        <v>82.5</v>
      </c>
      <c r="BQ100" s="192"/>
      <c r="BR100" s="192"/>
    </row>
    <row r="101">
      <c r="A101" s="60">
        <v>2666261.0</v>
      </c>
      <c r="B101" s="205">
        <v>417898.0</v>
      </c>
      <c r="C101" s="205">
        <v>172900.0</v>
      </c>
      <c r="D101" s="205">
        <v>1.0</v>
      </c>
      <c r="E101" s="207">
        <v>41765.697604166664</v>
      </c>
      <c r="F101" s="207">
        <v>41855.91824074074</v>
      </c>
      <c r="G101" s="207">
        <v>41844.48672453704</v>
      </c>
      <c r="H101" s="63" t="s">
        <v>975</v>
      </c>
      <c r="I101" s="205">
        <v>150.0</v>
      </c>
      <c r="J101" s="63" t="s">
        <v>276</v>
      </c>
      <c r="K101" s="205">
        <v>1458069.0</v>
      </c>
      <c r="L101" s="208">
        <v>4.3997</v>
      </c>
      <c r="M101" s="208">
        <v>1.99324</v>
      </c>
      <c r="N101" s="208">
        <v>2.20577</v>
      </c>
      <c r="O101" s="209">
        <v>5.0</v>
      </c>
      <c r="P101" s="209">
        <v>8.0</v>
      </c>
      <c r="Q101" s="209">
        <v>7.0</v>
      </c>
      <c r="R101" s="209">
        <v>7.0</v>
      </c>
      <c r="S101" s="210">
        <v>0.0015856481477385387</v>
      </c>
      <c r="U101" s="205">
        <v>10.0</v>
      </c>
      <c r="V101" s="205">
        <v>3.0</v>
      </c>
      <c r="W101" s="63" t="s">
        <v>1591</v>
      </c>
      <c r="X101" s="210">
        <v>0.0019444444442342501</v>
      </c>
      <c r="Y101" s="63" t="s">
        <v>1592</v>
      </c>
      <c r="Z101" s="63" t="s">
        <v>1593</v>
      </c>
      <c r="AA101" s="205">
        <v>0.0</v>
      </c>
      <c r="AB101" s="63" t="s">
        <v>1594</v>
      </c>
      <c r="AC101" s="205">
        <v>3825.0</v>
      </c>
      <c r="AD101" s="208">
        <v>9.32689</v>
      </c>
      <c r="AE101" s="205">
        <v>783621.0</v>
      </c>
      <c r="AF101" s="205">
        <v>79128.0</v>
      </c>
      <c r="AG101" s="205">
        <v>361.0</v>
      </c>
      <c r="AH101" s="205">
        <v>163.0</v>
      </c>
      <c r="AI101" s="205">
        <v>4.0</v>
      </c>
      <c r="AJ101" s="205">
        <v>716.0</v>
      </c>
      <c r="AK101" s="205">
        <v>0.0</v>
      </c>
      <c r="AL101" s="205">
        <v>1.0</v>
      </c>
      <c r="AM101" s="205">
        <v>0.0</v>
      </c>
      <c r="AN101" s="205">
        <v>0.0</v>
      </c>
      <c r="AO101" s="208">
        <v>3.99097</v>
      </c>
      <c r="AP101" s="208">
        <v>4.8267</v>
      </c>
      <c r="AQ101" s="208">
        <v>6.13584</v>
      </c>
      <c r="AR101" s="208">
        <v>3.51027</v>
      </c>
      <c r="AT101" s="192" t="s">
        <v>275</v>
      </c>
      <c r="AU101" s="211" t="s">
        <v>288</v>
      </c>
      <c r="AV101" s="211" t="s">
        <v>1595</v>
      </c>
      <c r="AW101" s="211" t="s">
        <v>1596</v>
      </c>
      <c r="AX101" s="211" t="s">
        <v>275</v>
      </c>
      <c r="AY101" s="212">
        <v>2.5</v>
      </c>
      <c r="AZ101" s="213">
        <v>4.0</v>
      </c>
      <c r="BA101" s="213">
        <v>3.5</v>
      </c>
      <c r="BB101" s="213">
        <v>3.5</v>
      </c>
      <c r="BC101" s="212">
        <v>6.5</v>
      </c>
      <c r="BD101" s="213">
        <v>10.0</v>
      </c>
      <c r="BE101" s="213">
        <v>9.799999999999999</v>
      </c>
      <c r="BF101" s="213">
        <v>9.799999999999999</v>
      </c>
      <c r="BG101" s="212">
        <v>9.666666666666668</v>
      </c>
      <c r="BH101" s="213">
        <v>9.083333333333334</v>
      </c>
      <c r="BI101" s="213">
        <v>0.0010570987651590258</v>
      </c>
      <c r="BJ101" s="213">
        <v>0.0012962962961561668</v>
      </c>
      <c r="BK101" s="213">
        <v>225.0</v>
      </c>
      <c r="BL101" s="212">
        <v>5.5</v>
      </c>
      <c r="BM101" s="213">
        <v>3.875</v>
      </c>
      <c r="BN101" s="213">
        <v>0.0021141975303180516</v>
      </c>
      <c r="BO101" s="213">
        <v>0.0025925925923123336</v>
      </c>
      <c r="BP101" s="213">
        <v>112.5</v>
      </c>
      <c r="BQ101" s="192"/>
      <c r="BR101" s="192"/>
    </row>
    <row r="102">
      <c r="A102" s="60">
        <v>3206318.0</v>
      </c>
      <c r="B102" s="205">
        <v>417898.0</v>
      </c>
      <c r="C102" s="205">
        <v>172900.0</v>
      </c>
      <c r="D102" s="205">
        <v>1.0</v>
      </c>
      <c r="E102" s="207">
        <v>41765.697604166664</v>
      </c>
      <c r="F102" s="207">
        <v>41855.91824074074</v>
      </c>
      <c r="G102" s="207">
        <v>41844.48672453704</v>
      </c>
      <c r="H102" s="63" t="s">
        <v>975</v>
      </c>
      <c r="I102" s="205">
        <v>150.0</v>
      </c>
      <c r="J102" s="63" t="s">
        <v>276</v>
      </c>
      <c r="K102" s="205">
        <v>1458069.0</v>
      </c>
      <c r="L102" s="208">
        <v>4.3997</v>
      </c>
      <c r="M102" s="208">
        <v>1.99324</v>
      </c>
      <c r="N102" s="208">
        <v>2.20577</v>
      </c>
      <c r="O102" s="209">
        <v>5.0</v>
      </c>
      <c r="P102" s="209">
        <v>8.0</v>
      </c>
      <c r="Q102" s="209">
        <v>7.0</v>
      </c>
      <c r="R102" s="209">
        <v>7.0</v>
      </c>
      <c r="S102" s="210">
        <v>0.0015856481477385387</v>
      </c>
      <c r="U102" s="205">
        <v>10.0</v>
      </c>
      <c r="V102" s="205">
        <v>3.0</v>
      </c>
      <c r="W102" s="63" t="s">
        <v>1591</v>
      </c>
      <c r="X102" s="210">
        <v>0.0019444444442342501</v>
      </c>
      <c r="Y102" s="63" t="s">
        <v>1592</v>
      </c>
      <c r="Z102" s="63" t="s">
        <v>1593</v>
      </c>
      <c r="AA102" s="205">
        <v>0.0</v>
      </c>
      <c r="AB102" s="63" t="s">
        <v>1594</v>
      </c>
      <c r="AC102" s="205">
        <v>3825.0</v>
      </c>
      <c r="AD102" s="208">
        <v>9.32689</v>
      </c>
      <c r="AE102" s="205">
        <v>783621.0</v>
      </c>
      <c r="AF102" s="205">
        <v>79128.0</v>
      </c>
      <c r="AG102" s="205">
        <v>361.0</v>
      </c>
      <c r="AH102" s="205">
        <v>163.0</v>
      </c>
      <c r="AI102" s="205">
        <v>4.0</v>
      </c>
      <c r="AJ102" s="205">
        <v>716.0</v>
      </c>
      <c r="AK102" s="205">
        <v>0.0</v>
      </c>
      <c r="AL102" s="205">
        <v>1.0</v>
      </c>
      <c r="AM102" s="205">
        <v>0.0</v>
      </c>
      <c r="AN102" s="205">
        <v>0.0</v>
      </c>
      <c r="AO102" s="208">
        <v>3.99097</v>
      </c>
      <c r="AP102" s="208">
        <v>4.8267</v>
      </c>
      <c r="AQ102" s="208">
        <v>6.13584</v>
      </c>
      <c r="AR102" s="208">
        <v>3.51027</v>
      </c>
      <c r="AT102" s="192" t="s">
        <v>275</v>
      </c>
      <c r="AU102" s="211" t="s">
        <v>288</v>
      </c>
      <c r="AV102" s="211" t="s">
        <v>1595</v>
      </c>
      <c r="AW102" s="211" t="s">
        <v>1596</v>
      </c>
      <c r="AX102" s="211" t="s">
        <v>275</v>
      </c>
      <c r="AY102" s="212">
        <v>2.5</v>
      </c>
      <c r="AZ102" s="213">
        <v>4.0</v>
      </c>
      <c r="BA102" s="213">
        <v>3.5</v>
      </c>
      <c r="BB102" s="213">
        <v>3.5</v>
      </c>
      <c r="BC102" s="212">
        <v>6.5</v>
      </c>
      <c r="BD102" s="213">
        <v>10.0</v>
      </c>
      <c r="BE102" s="213">
        <v>9.799999999999999</v>
      </c>
      <c r="BF102" s="213">
        <v>9.799999999999999</v>
      </c>
      <c r="BG102" s="212">
        <v>9.666666666666668</v>
      </c>
      <c r="BH102" s="213">
        <v>9.083333333333334</v>
      </c>
      <c r="BI102" s="213">
        <v>0.0010570987651590258</v>
      </c>
      <c r="BJ102" s="213">
        <v>0.0012962962961561668</v>
      </c>
      <c r="BK102" s="213">
        <v>225.0</v>
      </c>
      <c r="BL102" s="212">
        <v>5.5</v>
      </c>
      <c r="BM102" s="213">
        <v>3.875</v>
      </c>
      <c r="BN102" s="213">
        <v>0.0021141975303180516</v>
      </c>
      <c r="BO102" s="213">
        <v>0.0025925925923123336</v>
      </c>
      <c r="BP102" s="213">
        <v>112.5</v>
      </c>
      <c r="BQ102" s="192"/>
      <c r="BR102" s="192"/>
    </row>
    <row r="103">
      <c r="A103" s="60">
        <v>908887.0</v>
      </c>
      <c r="B103" s="205">
        <v>417898.0</v>
      </c>
      <c r="C103" s="205">
        <v>172900.0</v>
      </c>
      <c r="D103" s="205">
        <v>1.0</v>
      </c>
      <c r="E103" s="207">
        <v>41765.697604166664</v>
      </c>
      <c r="F103" s="207">
        <v>41855.91824074074</v>
      </c>
      <c r="G103" s="207">
        <v>41844.48672453704</v>
      </c>
      <c r="H103" s="63" t="s">
        <v>975</v>
      </c>
      <c r="I103" s="205">
        <v>150.0</v>
      </c>
      <c r="J103" s="63" t="s">
        <v>276</v>
      </c>
      <c r="K103" s="205">
        <v>1458069.0</v>
      </c>
      <c r="L103" s="208">
        <v>4.3997</v>
      </c>
      <c r="M103" s="208">
        <v>1.99324</v>
      </c>
      <c r="N103" s="208">
        <v>2.20577</v>
      </c>
      <c r="O103" s="209">
        <v>5.0</v>
      </c>
      <c r="P103" s="209">
        <v>8.0</v>
      </c>
      <c r="Q103" s="209">
        <v>7.0</v>
      </c>
      <c r="R103" s="209">
        <v>7.0</v>
      </c>
      <c r="S103" s="210">
        <v>0.0015856481477385387</v>
      </c>
      <c r="U103" s="205">
        <v>10.0</v>
      </c>
      <c r="V103" s="205">
        <v>3.0</v>
      </c>
      <c r="W103" s="63" t="s">
        <v>1591</v>
      </c>
      <c r="X103" s="210">
        <v>0.0019444444442342501</v>
      </c>
      <c r="Y103" s="63" t="s">
        <v>1592</v>
      </c>
      <c r="Z103" s="63" t="s">
        <v>1593</v>
      </c>
      <c r="AA103" s="205">
        <v>0.0</v>
      </c>
      <c r="AB103" s="63" t="s">
        <v>1594</v>
      </c>
      <c r="AC103" s="205">
        <v>3825.0</v>
      </c>
      <c r="AD103" s="208">
        <v>9.32689</v>
      </c>
      <c r="AE103" s="205">
        <v>783621.0</v>
      </c>
      <c r="AF103" s="205">
        <v>79128.0</v>
      </c>
      <c r="AG103" s="205">
        <v>361.0</v>
      </c>
      <c r="AH103" s="205">
        <v>163.0</v>
      </c>
      <c r="AI103" s="205">
        <v>4.0</v>
      </c>
      <c r="AJ103" s="205">
        <v>716.0</v>
      </c>
      <c r="AK103" s="205">
        <v>0.0</v>
      </c>
      <c r="AL103" s="205">
        <v>1.0</v>
      </c>
      <c r="AM103" s="205">
        <v>0.0</v>
      </c>
      <c r="AN103" s="205">
        <v>0.0</v>
      </c>
      <c r="AO103" s="208">
        <v>3.99097</v>
      </c>
      <c r="AP103" s="208">
        <v>4.8267</v>
      </c>
      <c r="AQ103" s="208">
        <v>6.13584</v>
      </c>
      <c r="AR103" s="208">
        <v>3.51027</v>
      </c>
      <c r="AT103" s="192" t="s">
        <v>275</v>
      </c>
      <c r="AU103" s="211" t="s">
        <v>288</v>
      </c>
      <c r="AV103" s="211" t="s">
        <v>1595</v>
      </c>
      <c r="AW103" s="211" t="s">
        <v>1596</v>
      </c>
      <c r="AX103" s="211" t="s">
        <v>275</v>
      </c>
      <c r="AY103" s="212">
        <v>2.5</v>
      </c>
      <c r="AZ103" s="213">
        <v>4.0</v>
      </c>
      <c r="BA103" s="213">
        <v>3.5</v>
      </c>
      <c r="BB103" s="213">
        <v>3.5</v>
      </c>
      <c r="BC103" s="212">
        <v>6.5</v>
      </c>
      <c r="BD103" s="213">
        <v>10.0</v>
      </c>
      <c r="BE103" s="213">
        <v>9.799999999999999</v>
      </c>
      <c r="BF103" s="213">
        <v>9.799999999999999</v>
      </c>
      <c r="BG103" s="212">
        <v>9.666666666666668</v>
      </c>
      <c r="BH103" s="213">
        <v>9.083333333333334</v>
      </c>
      <c r="BI103" s="213">
        <v>0.0010570987651590258</v>
      </c>
      <c r="BJ103" s="213">
        <v>0.0012962962961561668</v>
      </c>
      <c r="BK103" s="213">
        <v>225.0</v>
      </c>
      <c r="BL103" s="212">
        <v>5.5</v>
      </c>
      <c r="BM103" s="213">
        <v>3.875</v>
      </c>
      <c r="BN103" s="213">
        <v>0.0021141975303180516</v>
      </c>
      <c r="BO103" s="213">
        <v>0.0025925925923123336</v>
      </c>
      <c r="BP103" s="213">
        <v>112.5</v>
      </c>
      <c r="BQ103" s="192"/>
      <c r="BR103" s="192"/>
    </row>
    <row r="104">
      <c r="A104" s="60">
        <v>57384.0</v>
      </c>
      <c r="B104" s="205">
        <v>4082310.0</v>
      </c>
      <c r="C104" s="205">
        <v>1968201.0</v>
      </c>
      <c r="D104" s="205">
        <v>-2.0</v>
      </c>
      <c r="E104" s="207">
        <v>45019.14748842592</v>
      </c>
      <c r="F104" s="215"/>
      <c r="G104" s="207">
        <v>45019.147569444445</v>
      </c>
      <c r="H104" s="63" t="s">
        <v>1597</v>
      </c>
      <c r="I104" s="205">
        <v>186.0</v>
      </c>
      <c r="J104" s="63" t="s">
        <v>1598</v>
      </c>
      <c r="K104" s="205">
        <v>4420014.0</v>
      </c>
      <c r="L104" s="208">
        <v>4.7711</v>
      </c>
      <c r="M104" s="208">
        <v>2.11243</v>
      </c>
      <c r="N104" s="208">
        <v>2.42896</v>
      </c>
      <c r="O104" s="209">
        <v>3.7</v>
      </c>
      <c r="P104" s="209">
        <v>8.3</v>
      </c>
      <c r="Q104" s="209">
        <v>8.0</v>
      </c>
      <c r="R104" s="209">
        <v>5.0</v>
      </c>
      <c r="S104" s="210">
        <v>0.0021296296290529426</v>
      </c>
      <c r="T104" s="63" t="s">
        <v>1599</v>
      </c>
      <c r="U104" s="205">
        <v>3.0</v>
      </c>
      <c r="V104" s="205">
        <v>3.0</v>
      </c>
      <c r="W104" s="63" t="s">
        <v>1600</v>
      </c>
      <c r="X104" s="210">
        <v>0.002268518517666962</v>
      </c>
      <c r="Y104" s="63" t="s">
        <v>1601</v>
      </c>
      <c r="Z104" s="63" t="s">
        <v>1602</v>
      </c>
      <c r="AA104" s="205">
        <v>0.0</v>
      </c>
      <c r="AB104" s="63" t="s">
        <v>1603</v>
      </c>
      <c r="AC104" s="205">
        <v>1.0</v>
      </c>
      <c r="AD104" s="208">
        <v>0.0</v>
      </c>
      <c r="AE104" s="205">
        <v>2026.0</v>
      </c>
      <c r="AF104" s="205">
        <v>819.0</v>
      </c>
      <c r="AG104" s="205">
        <v>503.0</v>
      </c>
      <c r="AH104" s="205">
        <v>294.0</v>
      </c>
      <c r="AI104" s="205">
        <v>0.0</v>
      </c>
      <c r="AJ104" s="205">
        <v>1125.0</v>
      </c>
      <c r="AK104" s="205">
        <v>0.0</v>
      </c>
      <c r="AL104" s="205">
        <v>0.0</v>
      </c>
      <c r="AM104" s="205">
        <v>0.0</v>
      </c>
      <c r="AN104" s="205">
        <v>0.0</v>
      </c>
      <c r="AO104" s="208">
        <v>4.41566</v>
      </c>
      <c r="AP104" s="208">
        <v>4.94564</v>
      </c>
      <c r="AQ104" s="208">
        <v>6.96204</v>
      </c>
      <c r="AR104" s="208">
        <v>3.75458</v>
      </c>
      <c r="AT104" s="192" t="s">
        <v>243</v>
      </c>
      <c r="AU104" s="211" t="s">
        <v>242</v>
      </c>
      <c r="AV104" s="211" t="s">
        <v>1604</v>
      </c>
      <c r="AW104" s="211" t="s">
        <v>1605</v>
      </c>
      <c r="AX104" s="211" t="s">
        <v>243</v>
      </c>
      <c r="AY104" s="212">
        <v>1.85</v>
      </c>
      <c r="AZ104" s="213">
        <v>4.15</v>
      </c>
      <c r="BA104" s="213">
        <v>4.0</v>
      </c>
      <c r="BB104" s="213">
        <v>2.5</v>
      </c>
      <c r="BC104" s="212">
        <v>4.8100000000000005</v>
      </c>
      <c r="BD104" s="213">
        <v>10.0</v>
      </c>
      <c r="BE104" s="213">
        <v>10.0</v>
      </c>
      <c r="BF104" s="213">
        <v>7.0</v>
      </c>
      <c r="BG104" s="212">
        <v>9.866666666666667</v>
      </c>
      <c r="BH104" s="213">
        <v>9.75</v>
      </c>
      <c r="BI104" s="213">
        <v>0.0014197530860352952</v>
      </c>
      <c r="BJ104" s="213">
        <v>0.0015123456784446414</v>
      </c>
      <c r="BK104" s="213">
        <v>279.0</v>
      </c>
      <c r="BL104" s="212">
        <v>5.950000000000001</v>
      </c>
      <c r="BM104" s="213">
        <v>5.375</v>
      </c>
      <c r="BN104" s="213">
        <v>0.0028395061720705903</v>
      </c>
      <c r="BO104" s="213">
        <v>0.003024691356889283</v>
      </c>
      <c r="BP104" s="213">
        <v>139.5</v>
      </c>
      <c r="BQ104" s="192"/>
      <c r="BR104" s="192"/>
    </row>
    <row r="105">
      <c r="A105" s="60">
        <v>1521209.0</v>
      </c>
      <c r="B105" s="205">
        <v>1498150.0</v>
      </c>
      <c r="C105" s="205">
        <v>701330.0</v>
      </c>
      <c r="D105" s="205">
        <v>1.0</v>
      </c>
      <c r="E105" s="207">
        <v>43072.08982638889</v>
      </c>
      <c r="F105" s="207">
        <v>43101.02855324074</v>
      </c>
      <c r="G105" s="207">
        <v>43093.65142361111</v>
      </c>
      <c r="H105" s="63" t="s">
        <v>1606</v>
      </c>
      <c r="I105" s="205">
        <v>174.0</v>
      </c>
      <c r="J105" s="63" t="s">
        <v>1607</v>
      </c>
      <c r="K105" s="205">
        <v>4452992.0</v>
      </c>
      <c r="L105" s="208">
        <v>4.39793</v>
      </c>
      <c r="M105" s="208">
        <v>2.3048</v>
      </c>
      <c r="N105" s="208">
        <v>1.84637</v>
      </c>
      <c r="O105" s="209">
        <v>4.0</v>
      </c>
      <c r="P105" s="209">
        <v>9.0</v>
      </c>
      <c r="Q105" s="209">
        <v>8.0</v>
      </c>
      <c r="R105" s="209">
        <v>5.8</v>
      </c>
      <c r="S105" s="210">
        <v>0.0011805555550381541</v>
      </c>
      <c r="U105" s="205">
        <v>10.0</v>
      </c>
      <c r="V105" s="205">
        <v>2.0</v>
      </c>
      <c r="W105" s="63" t="s">
        <v>1608</v>
      </c>
      <c r="X105" s="210">
        <v>0.0014814814821875188</v>
      </c>
      <c r="Y105" s="63" t="s">
        <v>1116</v>
      </c>
      <c r="Z105" s="63" t="s">
        <v>1609</v>
      </c>
      <c r="AA105" s="205">
        <v>0.0</v>
      </c>
      <c r="AB105" s="63" t="s">
        <v>1610</v>
      </c>
      <c r="AC105" s="205">
        <v>3871.0</v>
      </c>
      <c r="AD105" s="208">
        <v>9.12328</v>
      </c>
      <c r="AE105" s="205">
        <v>3343743.0</v>
      </c>
      <c r="AF105" s="205">
        <v>540612.0</v>
      </c>
      <c r="AG105" s="205">
        <v>180.0</v>
      </c>
      <c r="AH105" s="205">
        <v>157.0</v>
      </c>
      <c r="AI105" s="205">
        <v>0.0</v>
      </c>
      <c r="AJ105" s="205">
        <v>534.0</v>
      </c>
      <c r="AK105" s="205">
        <v>0.0</v>
      </c>
      <c r="AL105" s="205">
        <v>0.0</v>
      </c>
      <c r="AM105" s="205">
        <v>0.0</v>
      </c>
      <c r="AN105" s="205">
        <v>0.0</v>
      </c>
      <c r="AO105" s="208">
        <v>4.05256</v>
      </c>
      <c r="AP105" s="208">
        <v>4.69086</v>
      </c>
      <c r="AQ105" s="208">
        <v>6.21346</v>
      </c>
      <c r="AR105" s="208">
        <v>3.47396</v>
      </c>
      <c r="AT105" s="192" t="s">
        <v>286</v>
      </c>
      <c r="AU105" s="211" t="s">
        <v>285</v>
      </c>
      <c r="AV105" s="211" t="s">
        <v>1611</v>
      </c>
      <c r="AW105" s="211" t="s">
        <v>1612</v>
      </c>
      <c r="AX105" s="211" t="s">
        <v>286</v>
      </c>
      <c r="AY105" s="212">
        <v>2.0</v>
      </c>
      <c r="AZ105" s="213">
        <v>4.5</v>
      </c>
      <c r="BA105" s="213">
        <v>4.0</v>
      </c>
      <c r="BB105" s="213">
        <v>2.9</v>
      </c>
      <c r="BC105" s="212">
        <v>5.2</v>
      </c>
      <c r="BD105" s="213">
        <v>10.0</v>
      </c>
      <c r="BE105" s="213">
        <v>10.0</v>
      </c>
      <c r="BF105" s="213">
        <v>8.12</v>
      </c>
      <c r="BG105" s="212">
        <v>10.333333333333332</v>
      </c>
      <c r="BH105" s="213">
        <v>9.75</v>
      </c>
      <c r="BI105" s="213">
        <v>7.870370366921028E-4</v>
      </c>
      <c r="BJ105" s="213">
        <v>9.87654321458346E-4</v>
      </c>
      <c r="BK105" s="213">
        <v>261.0</v>
      </c>
      <c r="BL105" s="212">
        <v>7.0</v>
      </c>
      <c r="BM105" s="213">
        <v>5.375</v>
      </c>
      <c r="BN105" s="213">
        <v>0.0015740740733842056</v>
      </c>
      <c r="BO105" s="213">
        <v>0.001975308642916692</v>
      </c>
      <c r="BP105" s="213">
        <v>130.5</v>
      </c>
      <c r="BQ105" s="192"/>
      <c r="BR105" s="192"/>
    </row>
    <row r="106">
      <c r="A106" s="60">
        <v>3822120.0</v>
      </c>
      <c r="B106" s="205">
        <v>1521209.0</v>
      </c>
      <c r="C106" s="205">
        <v>546820.0</v>
      </c>
      <c r="D106" s="205">
        <v>1.0</v>
      </c>
      <c r="E106" s="207">
        <v>42722.08459490741</v>
      </c>
      <c r="F106" s="207">
        <v>43136.584143518514</v>
      </c>
      <c r="G106" s="207">
        <v>43128.87831018519</v>
      </c>
      <c r="H106" s="63" t="s">
        <v>972</v>
      </c>
      <c r="I106" s="205">
        <v>180.0</v>
      </c>
      <c r="J106" s="63" t="s">
        <v>259</v>
      </c>
      <c r="K106" s="205">
        <v>4785223.0</v>
      </c>
      <c r="L106" s="208">
        <v>3.33508</v>
      </c>
      <c r="M106" s="208">
        <v>1.55247</v>
      </c>
      <c r="N106" s="208">
        <v>1.6374</v>
      </c>
      <c r="O106" s="209">
        <v>3.5</v>
      </c>
      <c r="P106" s="209">
        <v>8.0</v>
      </c>
      <c r="Q106" s="209">
        <v>6.0</v>
      </c>
      <c r="R106" s="209">
        <v>5.0</v>
      </c>
      <c r="S106" s="210">
        <v>0.002002314813580597</v>
      </c>
      <c r="U106" s="205">
        <v>10.0</v>
      </c>
      <c r="V106" s="205">
        <v>3.0</v>
      </c>
      <c r="W106" s="63" t="s">
        <v>1613</v>
      </c>
      <c r="X106" s="210">
        <v>0.002812499998981366</v>
      </c>
      <c r="Y106" s="63" t="s">
        <v>1443</v>
      </c>
      <c r="Z106" s="63" t="s">
        <v>1614</v>
      </c>
      <c r="AA106" s="205">
        <v>0.0</v>
      </c>
      <c r="AB106" s="63" t="s">
        <v>1615</v>
      </c>
      <c r="AC106" s="205">
        <v>4156.0</v>
      </c>
      <c r="AD106" s="208">
        <v>9.42238</v>
      </c>
      <c r="AE106" s="205">
        <v>1049526.0</v>
      </c>
      <c r="AF106" s="205">
        <v>304740.0</v>
      </c>
      <c r="AG106" s="205">
        <v>205.0</v>
      </c>
      <c r="AH106" s="205">
        <v>288.0</v>
      </c>
      <c r="AI106" s="205">
        <v>5.0</v>
      </c>
      <c r="AJ106" s="205">
        <v>953.0</v>
      </c>
      <c r="AK106" s="205">
        <v>1.0</v>
      </c>
      <c r="AL106" s="205">
        <v>0.0</v>
      </c>
      <c r="AM106" s="205">
        <v>0.0</v>
      </c>
      <c r="AN106" s="205">
        <v>0.0</v>
      </c>
      <c r="AO106" s="208">
        <v>3.02155</v>
      </c>
      <c r="AP106" s="208">
        <v>3.51485</v>
      </c>
      <c r="AQ106" s="208">
        <v>4.76186</v>
      </c>
      <c r="AR106" s="208">
        <v>2.68419</v>
      </c>
      <c r="AT106" s="192" t="s">
        <v>258</v>
      </c>
      <c r="AU106" s="211" t="s">
        <v>277</v>
      </c>
      <c r="AV106" s="211" t="s">
        <v>1616</v>
      </c>
      <c r="AW106" s="211" t="s">
        <v>1617</v>
      </c>
      <c r="AX106" s="211" t="s">
        <v>258</v>
      </c>
      <c r="AY106" s="212">
        <v>1.75</v>
      </c>
      <c r="AZ106" s="213">
        <v>4.0</v>
      </c>
      <c r="BA106" s="213">
        <v>3.0</v>
      </c>
      <c r="BB106" s="213">
        <v>2.5</v>
      </c>
      <c r="BC106" s="212">
        <v>4.55</v>
      </c>
      <c r="BD106" s="213">
        <v>10.0</v>
      </c>
      <c r="BE106" s="213">
        <v>8.399999999999999</v>
      </c>
      <c r="BF106" s="213">
        <v>7.0</v>
      </c>
      <c r="BG106" s="212">
        <v>9.666666666666668</v>
      </c>
      <c r="BH106" s="213">
        <v>8.416666666666666</v>
      </c>
      <c r="BI106" s="213">
        <v>0.0013348765423870645</v>
      </c>
      <c r="BJ106" s="213">
        <v>0.0018749999993209106</v>
      </c>
      <c r="BK106" s="213">
        <v>270.0</v>
      </c>
      <c r="BL106" s="212">
        <v>5.5</v>
      </c>
      <c r="BM106" s="213">
        <v>2.375</v>
      </c>
      <c r="BN106" s="213">
        <v>0.002669753084774129</v>
      </c>
      <c r="BO106" s="213">
        <v>0.003749999998641821</v>
      </c>
      <c r="BP106" s="213">
        <v>135.0</v>
      </c>
      <c r="BQ106" s="192"/>
      <c r="BR106" s="192"/>
    </row>
    <row r="107">
      <c r="A107" s="60">
        <v>87369.0</v>
      </c>
      <c r="B107" s="205">
        <v>2967720.0</v>
      </c>
      <c r="C107" s="205">
        <v>1285447.0</v>
      </c>
      <c r="D107" s="205">
        <v>1.0</v>
      </c>
      <c r="E107" s="207">
        <v>44128.84208333334</v>
      </c>
      <c r="F107" s="207">
        <v>44335.723391203705</v>
      </c>
      <c r="G107" s="207">
        <v>44312.11194444445</v>
      </c>
      <c r="H107" s="63" t="s">
        <v>1618</v>
      </c>
      <c r="I107" s="205">
        <v>128.0</v>
      </c>
      <c r="J107" s="63" t="s">
        <v>1332</v>
      </c>
      <c r="K107" s="205">
        <v>7326908.0</v>
      </c>
      <c r="L107" s="208">
        <v>3.3585</v>
      </c>
      <c r="M107" s="208">
        <v>1.77272</v>
      </c>
      <c r="N107" s="208">
        <v>1.38743</v>
      </c>
      <c r="O107" s="209">
        <v>3.6</v>
      </c>
      <c r="P107" s="209">
        <v>8.0</v>
      </c>
      <c r="Q107" s="209">
        <v>6.5</v>
      </c>
      <c r="R107" s="209">
        <v>4.0</v>
      </c>
      <c r="S107" s="210">
        <v>0.002442129629343981</v>
      </c>
      <c r="U107" s="205">
        <v>5.0</v>
      </c>
      <c r="V107" s="205">
        <v>3.0</v>
      </c>
      <c r="W107" s="63" t="s">
        <v>1619</v>
      </c>
      <c r="X107" s="210">
        <v>0.0025462962948950008</v>
      </c>
      <c r="Y107" s="63" t="s">
        <v>1620</v>
      </c>
      <c r="Z107" s="63" t="s">
        <v>1621</v>
      </c>
      <c r="AA107" s="205">
        <v>0.0</v>
      </c>
      <c r="AB107" s="63" t="s">
        <v>1622</v>
      </c>
      <c r="AC107" s="205">
        <v>994.0</v>
      </c>
      <c r="AD107" s="208">
        <v>9.15764</v>
      </c>
      <c r="AE107" s="205">
        <v>204499.0</v>
      </c>
      <c r="AF107" s="205">
        <v>55984.0</v>
      </c>
      <c r="AG107" s="205">
        <v>244.0</v>
      </c>
      <c r="AH107" s="205">
        <v>355.0</v>
      </c>
      <c r="AI107" s="205">
        <v>2.0</v>
      </c>
      <c r="AJ107" s="205">
        <v>990.0</v>
      </c>
      <c r="AK107" s="205">
        <v>0.0</v>
      </c>
      <c r="AL107" s="205">
        <v>0.0</v>
      </c>
      <c r="AM107" s="205">
        <v>0.0</v>
      </c>
      <c r="AN107" s="205">
        <v>0.0</v>
      </c>
      <c r="AO107" s="208">
        <v>3.13994</v>
      </c>
      <c r="AP107" s="208">
        <v>3.53972</v>
      </c>
      <c r="AQ107" s="208">
        <v>4.6658</v>
      </c>
      <c r="AR107" s="208">
        <v>2.67071</v>
      </c>
      <c r="AT107" s="192" t="s">
        <v>283</v>
      </c>
      <c r="AU107" s="211" t="s">
        <v>282</v>
      </c>
      <c r="AV107" s="211" t="s">
        <v>1623</v>
      </c>
      <c r="AW107" s="211" t="s">
        <v>1624</v>
      </c>
      <c r="AX107" s="211" t="s">
        <v>283</v>
      </c>
      <c r="AY107" s="212">
        <v>1.8</v>
      </c>
      <c r="AZ107" s="213">
        <v>4.0</v>
      </c>
      <c r="BA107" s="213">
        <v>3.25</v>
      </c>
      <c r="BB107" s="213">
        <v>2.0</v>
      </c>
      <c r="BC107" s="212">
        <v>4.680000000000001</v>
      </c>
      <c r="BD107" s="213">
        <v>10.0</v>
      </c>
      <c r="BE107" s="213">
        <v>9.1</v>
      </c>
      <c r="BF107" s="213">
        <v>5.6</v>
      </c>
      <c r="BG107" s="212">
        <v>9.666666666666668</v>
      </c>
      <c r="BH107" s="213">
        <v>8.75</v>
      </c>
      <c r="BI107" s="213">
        <v>0.0016280864195626539</v>
      </c>
      <c r="BJ107" s="213">
        <v>0.001697530863263334</v>
      </c>
      <c r="BK107" s="213">
        <v>192.0</v>
      </c>
      <c r="BL107" s="212">
        <v>5.5</v>
      </c>
      <c r="BM107" s="213">
        <v>3.125</v>
      </c>
      <c r="BN107" s="213">
        <v>0.0032561728391253078</v>
      </c>
      <c r="BO107" s="213">
        <v>0.003395061726526668</v>
      </c>
      <c r="BP107" s="213">
        <v>96.0</v>
      </c>
      <c r="BQ107" s="192"/>
      <c r="BR107" s="192"/>
    </row>
    <row r="108">
      <c r="A108" s="60">
        <v>1484886.0</v>
      </c>
      <c r="B108" s="205">
        <v>1498150.0</v>
      </c>
      <c r="C108" s="205">
        <v>701330.0</v>
      </c>
      <c r="D108" s="205">
        <v>1.0</v>
      </c>
      <c r="E108" s="207">
        <v>43072.08982638889</v>
      </c>
      <c r="F108" s="207">
        <v>43101.02855324074</v>
      </c>
      <c r="G108" s="207">
        <v>43093.65142361111</v>
      </c>
      <c r="H108" s="63" t="s">
        <v>1606</v>
      </c>
      <c r="I108" s="205">
        <v>174.0</v>
      </c>
      <c r="J108" s="63" t="s">
        <v>1607</v>
      </c>
      <c r="K108" s="205">
        <v>4452992.0</v>
      </c>
      <c r="L108" s="208">
        <v>4.39793</v>
      </c>
      <c r="M108" s="208">
        <v>2.3048</v>
      </c>
      <c r="N108" s="208">
        <v>1.84637</v>
      </c>
      <c r="O108" s="209">
        <v>4.0</v>
      </c>
      <c r="P108" s="209">
        <v>9.0</v>
      </c>
      <c r="Q108" s="209">
        <v>8.0</v>
      </c>
      <c r="R108" s="209">
        <v>5.8</v>
      </c>
      <c r="S108" s="210">
        <v>0.0011805555550381541</v>
      </c>
      <c r="U108" s="205">
        <v>10.0</v>
      </c>
      <c r="V108" s="205">
        <v>2.0</v>
      </c>
      <c r="W108" s="63" t="s">
        <v>1608</v>
      </c>
      <c r="X108" s="210">
        <v>0.0014814814821875188</v>
      </c>
      <c r="Y108" s="63" t="s">
        <v>1116</v>
      </c>
      <c r="Z108" s="63" t="s">
        <v>1609</v>
      </c>
      <c r="AA108" s="205">
        <v>0.0</v>
      </c>
      <c r="AB108" s="63" t="s">
        <v>1610</v>
      </c>
      <c r="AC108" s="205">
        <v>3871.0</v>
      </c>
      <c r="AD108" s="208">
        <v>9.12328</v>
      </c>
      <c r="AE108" s="205">
        <v>3343743.0</v>
      </c>
      <c r="AF108" s="205">
        <v>540612.0</v>
      </c>
      <c r="AG108" s="205">
        <v>180.0</v>
      </c>
      <c r="AH108" s="205">
        <v>157.0</v>
      </c>
      <c r="AI108" s="205">
        <v>0.0</v>
      </c>
      <c r="AJ108" s="205">
        <v>534.0</v>
      </c>
      <c r="AK108" s="205">
        <v>0.0</v>
      </c>
      <c r="AL108" s="205">
        <v>0.0</v>
      </c>
      <c r="AM108" s="205">
        <v>0.0</v>
      </c>
      <c r="AN108" s="205">
        <v>0.0</v>
      </c>
      <c r="AO108" s="208">
        <v>4.05256</v>
      </c>
      <c r="AP108" s="208">
        <v>4.69086</v>
      </c>
      <c r="AQ108" s="208">
        <v>6.21346</v>
      </c>
      <c r="AR108" s="208">
        <v>3.47396</v>
      </c>
      <c r="AT108" s="192" t="s">
        <v>286</v>
      </c>
      <c r="AU108" s="211" t="s">
        <v>285</v>
      </c>
      <c r="AV108" s="211" t="s">
        <v>1611</v>
      </c>
      <c r="AW108" s="211" t="s">
        <v>1612</v>
      </c>
      <c r="AX108" s="211" t="s">
        <v>286</v>
      </c>
      <c r="AY108" s="212">
        <v>2.0</v>
      </c>
      <c r="AZ108" s="213">
        <v>4.5</v>
      </c>
      <c r="BA108" s="213">
        <v>4.0</v>
      </c>
      <c r="BB108" s="213">
        <v>2.9</v>
      </c>
      <c r="BC108" s="212">
        <v>5.2</v>
      </c>
      <c r="BD108" s="213">
        <v>10.0</v>
      </c>
      <c r="BE108" s="213">
        <v>10.0</v>
      </c>
      <c r="BF108" s="213">
        <v>8.12</v>
      </c>
      <c r="BG108" s="212">
        <v>10.333333333333332</v>
      </c>
      <c r="BH108" s="213">
        <v>9.75</v>
      </c>
      <c r="BI108" s="213">
        <v>7.870370366921028E-4</v>
      </c>
      <c r="BJ108" s="213">
        <v>9.87654321458346E-4</v>
      </c>
      <c r="BK108" s="213">
        <v>261.0</v>
      </c>
      <c r="BL108" s="212">
        <v>7.0</v>
      </c>
      <c r="BM108" s="213">
        <v>5.375</v>
      </c>
      <c r="BN108" s="213">
        <v>0.0015740740733842056</v>
      </c>
      <c r="BO108" s="213">
        <v>0.001975308642916692</v>
      </c>
      <c r="BP108" s="213">
        <v>130.5</v>
      </c>
      <c r="BQ108" s="192"/>
      <c r="BR108" s="192"/>
    </row>
    <row r="109">
      <c r="A109" s="60">
        <v>3333734.0</v>
      </c>
      <c r="B109" s="205">
        <v>1913099.0</v>
      </c>
      <c r="C109" s="205">
        <v>914691.0</v>
      </c>
      <c r="D109" s="205">
        <v>1.0</v>
      </c>
      <c r="E109" s="207">
        <v>43486.82712962963</v>
      </c>
      <c r="F109" s="207">
        <v>44059.86368055556</v>
      </c>
      <c r="G109" s="207">
        <v>44052.78060185185</v>
      </c>
      <c r="H109" s="63" t="s">
        <v>1625</v>
      </c>
      <c r="I109" s="205">
        <v>175.0</v>
      </c>
      <c r="J109" s="63" t="s">
        <v>1626</v>
      </c>
      <c r="K109" s="205">
        <v>3906405.0</v>
      </c>
      <c r="L109" s="208">
        <v>3.47554</v>
      </c>
      <c r="M109" s="208">
        <v>1.65205</v>
      </c>
      <c r="N109" s="208">
        <v>1.67478</v>
      </c>
      <c r="O109" s="209">
        <v>3.7</v>
      </c>
      <c r="P109" s="209">
        <v>8.0</v>
      </c>
      <c r="Q109" s="209">
        <v>7.0</v>
      </c>
      <c r="R109" s="209">
        <v>4.0</v>
      </c>
      <c r="S109" s="210">
        <v>0.0019560185173759237</v>
      </c>
      <c r="U109" s="205">
        <v>10.0</v>
      </c>
      <c r="V109" s="205">
        <v>2.0</v>
      </c>
      <c r="W109" s="63" t="s">
        <v>1627</v>
      </c>
      <c r="X109" s="210">
        <v>0.0021296296290529426</v>
      </c>
      <c r="Y109" s="63" t="s">
        <v>1443</v>
      </c>
      <c r="Z109" s="63" t="s">
        <v>1628</v>
      </c>
      <c r="AA109" s="205">
        <v>0.0</v>
      </c>
      <c r="AB109" s="63" t="s">
        <v>1629</v>
      </c>
      <c r="AC109" s="205">
        <v>1209.0</v>
      </c>
      <c r="AD109" s="208">
        <v>9.4494</v>
      </c>
      <c r="AE109" s="205">
        <v>340444.0</v>
      </c>
      <c r="AF109" s="205">
        <v>96170.0</v>
      </c>
      <c r="AG109" s="205">
        <v>177.0</v>
      </c>
      <c r="AH109" s="205">
        <v>299.0</v>
      </c>
      <c r="AI109" s="205">
        <v>0.0</v>
      </c>
      <c r="AJ109" s="205">
        <v>871.0</v>
      </c>
      <c r="AK109" s="205">
        <v>0.0</v>
      </c>
      <c r="AL109" s="205">
        <v>0.0</v>
      </c>
      <c r="AM109" s="205">
        <v>0.0</v>
      </c>
      <c r="AN109" s="205">
        <v>0.0</v>
      </c>
      <c r="AO109" s="208">
        <v>3.22215</v>
      </c>
      <c r="AP109" s="208">
        <v>3.61365</v>
      </c>
      <c r="AQ109" s="208">
        <v>4.89883</v>
      </c>
      <c r="AR109" s="208">
        <v>2.80087</v>
      </c>
      <c r="AT109" s="192" t="s">
        <v>272</v>
      </c>
      <c r="AU109" s="211" t="s">
        <v>271</v>
      </c>
      <c r="AV109" s="211" t="s">
        <v>1630</v>
      </c>
      <c r="AW109" s="211" t="s">
        <v>1631</v>
      </c>
      <c r="AX109" s="211" t="s">
        <v>272</v>
      </c>
      <c r="AY109" s="212">
        <v>1.85</v>
      </c>
      <c r="AZ109" s="213">
        <v>4.0</v>
      </c>
      <c r="BA109" s="213">
        <v>3.5</v>
      </c>
      <c r="BB109" s="213">
        <v>2.0</v>
      </c>
      <c r="BC109" s="212">
        <v>4.8100000000000005</v>
      </c>
      <c r="BD109" s="213">
        <v>10.0</v>
      </c>
      <c r="BE109" s="213">
        <v>9.799999999999999</v>
      </c>
      <c r="BF109" s="213">
        <v>5.6</v>
      </c>
      <c r="BG109" s="212">
        <v>9.666666666666668</v>
      </c>
      <c r="BH109" s="213">
        <v>9.083333333333334</v>
      </c>
      <c r="BI109" s="213">
        <v>0.0013040123449172825</v>
      </c>
      <c r="BJ109" s="213">
        <v>0.0014197530860352952</v>
      </c>
      <c r="BK109" s="213">
        <v>262.5</v>
      </c>
      <c r="BL109" s="212">
        <v>5.5</v>
      </c>
      <c r="BM109" s="213">
        <v>3.875</v>
      </c>
      <c r="BN109" s="213">
        <v>0.002608024689834565</v>
      </c>
      <c r="BO109" s="213">
        <v>0.0028395061720705903</v>
      </c>
      <c r="BP109" s="213">
        <v>131.25</v>
      </c>
      <c r="BQ109" s="192"/>
      <c r="BR109" s="192"/>
    </row>
    <row r="110">
      <c r="A110" s="60">
        <v>3533589.0</v>
      </c>
      <c r="B110" s="205">
        <v>1521209.0</v>
      </c>
      <c r="C110" s="205">
        <v>546820.0</v>
      </c>
      <c r="D110" s="205">
        <v>1.0</v>
      </c>
      <c r="E110" s="207">
        <v>42722.08459490741</v>
      </c>
      <c r="F110" s="207">
        <v>43136.584143518514</v>
      </c>
      <c r="G110" s="207">
        <v>43128.87831018519</v>
      </c>
      <c r="H110" s="63" t="s">
        <v>972</v>
      </c>
      <c r="I110" s="205">
        <v>180.0</v>
      </c>
      <c r="J110" s="63" t="s">
        <v>259</v>
      </c>
      <c r="K110" s="205">
        <v>4785223.0</v>
      </c>
      <c r="L110" s="208">
        <v>3.33508</v>
      </c>
      <c r="M110" s="208">
        <v>1.55247</v>
      </c>
      <c r="N110" s="208">
        <v>1.6374</v>
      </c>
      <c r="O110" s="209">
        <v>3.5</v>
      </c>
      <c r="P110" s="209">
        <v>8.0</v>
      </c>
      <c r="Q110" s="209">
        <v>6.0</v>
      </c>
      <c r="R110" s="209">
        <v>5.0</v>
      </c>
      <c r="S110" s="210">
        <v>0.002002314813580597</v>
      </c>
      <c r="U110" s="205">
        <v>10.0</v>
      </c>
      <c r="V110" s="205">
        <v>3.0</v>
      </c>
      <c r="W110" s="63" t="s">
        <v>1613</v>
      </c>
      <c r="X110" s="210">
        <v>0.002812499998981366</v>
      </c>
      <c r="Y110" s="63" t="s">
        <v>1443</v>
      </c>
      <c r="Z110" s="63" t="s">
        <v>1614</v>
      </c>
      <c r="AA110" s="205">
        <v>0.0</v>
      </c>
      <c r="AB110" s="63" t="s">
        <v>1615</v>
      </c>
      <c r="AC110" s="205">
        <v>4156.0</v>
      </c>
      <c r="AD110" s="208">
        <v>9.42238</v>
      </c>
      <c r="AE110" s="205">
        <v>1049526.0</v>
      </c>
      <c r="AF110" s="205">
        <v>304740.0</v>
      </c>
      <c r="AG110" s="205">
        <v>205.0</v>
      </c>
      <c r="AH110" s="205">
        <v>288.0</v>
      </c>
      <c r="AI110" s="205">
        <v>5.0</v>
      </c>
      <c r="AJ110" s="205">
        <v>953.0</v>
      </c>
      <c r="AK110" s="205">
        <v>1.0</v>
      </c>
      <c r="AL110" s="205">
        <v>0.0</v>
      </c>
      <c r="AM110" s="205">
        <v>0.0</v>
      </c>
      <c r="AN110" s="205">
        <v>0.0</v>
      </c>
      <c r="AO110" s="208">
        <v>3.02155</v>
      </c>
      <c r="AP110" s="208">
        <v>3.51485</v>
      </c>
      <c r="AQ110" s="208">
        <v>4.76186</v>
      </c>
      <c r="AR110" s="208">
        <v>2.68419</v>
      </c>
      <c r="AT110" s="192" t="s">
        <v>258</v>
      </c>
      <c r="AU110" s="211" t="s">
        <v>277</v>
      </c>
      <c r="AV110" s="211" t="s">
        <v>1616</v>
      </c>
      <c r="AW110" s="211" t="s">
        <v>1617</v>
      </c>
      <c r="AX110" s="211" t="s">
        <v>258</v>
      </c>
      <c r="AY110" s="212">
        <v>1.75</v>
      </c>
      <c r="AZ110" s="213">
        <v>4.0</v>
      </c>
      <c r="BA110" s="213">
        <v>3.0</v>
      </c>
      <c r="BB110" s="213">
        <v>2.5</v>
      </c>
      <c r="BC110" s="212">
        <v>4.55</v>
      </c>
      <c r="BD110" s="213">
        <v>10.0</v>
      </c>
      <c r="BE110" s="213">
        <v>8.399999999999999</v>
      </c>
      <c r="BF110" s="213">
        <v>7.0</v>
      </c>
      <c r="BG110" s="212">
        <v>9.666666666666668</v>
      </c>
      <c r="BH110" s="213">
        <v>8.416666666666666</v>
      </c>
      <c r="BI110" s="213">
        <v>0.0013348765423870645</v>
      </c>
      <c r="BJ110" s="213">
        <v>0.0018749999993209106</v>
      </c>
      <c r="BK110" s="213">
        <v>270.0</v>
      </c>
      <c r="BL110" s="212">
        <v>5.5</v>
      </c>
      <c r="BM110" s="213">
        <v>2.375</v>
      </c>
      <c r="BN110" s="213">
        <v>0.002669753084774129</v>
      </c>
      <c r="BO110" s="213">
        <v>0.003749999998641821</v>
      </c>
      <c r="BP110" s="213">
        <v>135.0</v>
      </c>
      <c r="BQ110" s="192"/>
      <c r="BR110" s="192"/>
    </row>
    <row r="111">
      <c r="A111" s="60">
        <v>2110801.0</v>
      </c>
      <c r="B111" s="205">
        <v>2967720.0</v>
      </c>
      <c r="C111" s="205">
        <v>1285447.0</v>
      </c>
      <c r="D111" s="205">
        <v>1.0</v>
      </c>
      <c r="E111" s="207">
        <v>44128.84208333334</v>
      </c>
      <c r="F111" s="207">
        <v>44335.723391203705</v>
      </c>
      <c r="G111" s="207">
        <v>44312.11194444445</v>
      </c>
      <c r="H111" s="63" t="s">
        <v>1618</v>
      </c>
      <c r="I111" s="205">
        <v>128.0</v>
      </c>
      <c r="J111" s="63" t="s">
        <v>1332</v>
      </c>
      <c r="K111" s="205">
        <v>7326908.0</v>
      </c>
      <c r="L111" s="208">
        <v>3.3585</v>
      </c>
      <c r="M111" s="208">
        <v>1.77272</v>
      </c>
      <c r="N111" s="208">
        <v>1.38743</v>
      </c>
      <c r="O111" s="209">
        <v>3.6</v>
      </c>
      <c r="P111" s="209">
        <v>8.0</v>
      </c>
      <c r="Q111" s="209">
        <v>6.5</v>
      </c>
      <c r="R111" s="209">
        <v>4.0</v>
      </c>
      <c r="S111" s="210">
        <v>0.002442129629343981</v>
      </c>
      <c r="U111" s="205">
        <v>5.0</v>
      </c>
      <c r="V111" s="205">
        <v>3.0</v>
      </c>
      <c r="W111" s="63" t="s">
        <v>1619</v>
      </c>
      <c r="X111" s="210">
        <v>0.0025462962948950008</v>
      </c>
      <c r="Y111" s="63" t="s">
        <v>1620</v>
      </c>
      <c r="Z111" s="63" t="s">
        <v>1621</v>
      </c>
      <c r="AA111" s="205">
        <v>0.0</v>
      </c>
      <c r="AB111" s="63" t="s">
        <v>1622</v>
      </c>
      <c r="AC111" s="205">
        <v>994.0</v>
      </c>
      <c r="AD111" s="208">
        <v>9.15764</v>
      </c>
      <c r="AE111" s="205">
        <v>204499.0</v>
      </c>
      <c r="AF111" s="205">
        <v>55984.0</v>
      </c>
      <c r="AG111" s="205">
        <v>244.0</v>
      </c>
      <c r="AH111" s="205">
        <v>355.0</v>
      </c>
      <c r="AI111" s="205">
        <v>2.0</v>
      </c>
      <c r="AJ111" s="205">
        <v>990.0</v>
      </c>
      <c r="AK111" s="205">
        <v>0.0</v>
      </c>
      <c r="AL111" s="205">
        <v>0.0</v>
      </c>
      <c r="AM111" s="205">
        <v>0.0</v>
      </c>
      <c r="AN111" s="205">
        <v>0.0</v>
      </c>
      <c r="AO111" s="208">
        <v>3.13994</v>
      </c>
      <c r="AP111" s="208">
        <v>3.53972</v>
      </c>
      <c r="AQ111" s="208">
        <v>4.6658</v>
      </c>
      <c r="AR111" s="208">
        <v>2.67071</v>
      </c>
      <c r="AT111" s="192" t="s">
        <v>283</v>
      </c>
      <c r="AU111" s="211" t="s">
        <v>282</v>
      </c>
      <c r="AV111" s="211" t="s">
        <v>1623</v>
      </c>
      <c r="AW111" s="211" t="s">
        <v>1624</v>
      </c>
      <c r="AX111" s="211" t="s">
        <v>283</v>
      </c>
      <c r="AY111" s="212">
        <v>1.8</v>
      </c>
      <c r="AZ111" s="213">
        <v>4.0</v>
      </c>
      <c r="BA111" s="213">
        <v>3.25</v>
      </c>
      <c r="BB111" s="213">
        <v>2.0</v>
      </c>
      <c r="BC111" s="212">
        <v>4.680000000000001</v>
      </c>
      <c r="BD111" s="213">
        <v>10.0</v>
      </c>
      <c r="BE111" s="213">
        <v>9.1</v>
      </c>
      <c r="BF111" s="213">
        <v>5.6</v>
      </c>
      <c r="BG111" s="212">
        <v>9.666666666666668</v>
      </c>
      <c r="BH111" s="213">
        <v>8.75</v>
      </c>
      <c r="BI111" s="213">
        <v>0.0016280864195626539</v>
      </c>
      <c r="BJ111" s="213">
        <v>0.001697530863263334</v>
      </c>
      <c r="BK111" s="213">
        <v>192.0</v>
      </c>
      <c r="BL111" s="212">
        <v>5.5</v>
      </c>
      <c r="BM111" s="213">
        <v>3.125</v>
      </c>
      <c r="BN111" s="213">
        <v>0.0032561728391253078</v>
      </c>
      <c r="BO111" s="213">
        <v>0.003395061726526668</v>
      </c>
      <c r="BP111" s="213">
        <v>96.0</v>
      </c>
      <c r="BQ111" s="192"/>
      <c r="BR111" s="192"/>
    </row>
    <row r="112">
      <c r="A112" s="60">
        <v>2967720.0</v>
      </c>
      <c r="B112" s="205">
        <v>87319.0</v>
      </c>
      <c r="C112" s="205">
        <v>25580.0</v>
      </c>
      <c r="D112" s="205">
        <v>1.0</v>
      </c>
      <c r="E112" s="207">
        <v>40575.225949074076</v>
      </c>
      <c r="F112" s="207">
        <v>40612.78192129629</v>
      </c>
      <c r="G112" s="207">
        <v>40612.385775462964</v>
      </c>
      <c r="H112" s="63" t="s">
        <v>1632</v>
      </c>
      <c r="I112" s="205">
        <v>151.0</v>
      </c>
      <c r="J112" s="63" t="s">
        <v>1633</v>
      </c>
      <c r="K112" s="205">
        <v>298471.0</v>
      </c>
      <c r="L112" s="208">
        <v>4.09764</v>
      </c>
      <c r="M112" s="208">
        <v>1.98452</v>
      </c>
      <c r="N112" s="208">
        <v>1.93733</v>
      </c>
      <c r="O112" s="209">
        <v>5.0</v>
      </c>
      <c r="P112" s="209">
        <v>8.0</v>
      </c>
      <c r="Q112" s="209">
        <v>7.0</v>
      </c>
      <c r="R112" s="209">
        <v>8.0</v>
      </c>
      <c r="S112" s="210">
        <v>0.0019444444442342501</v>
      </c>
      <c r="T112" s="63" t="s">
        <v>1123</v>
      </c>
      <c r="U112" s="205">
        <v>2.0</v>
      </c>
      <c r="V112" s="205">
        <v>3.0</v>
      </c>
      <c r="W112" s="63" t="s">
        <v>1634</v>
      </c>
      <c r="X112" s="210">
        <v>0.002094907405989943</v>
      </c>
      <c r="Y112" s="63" t="s">
        <v>1116</v>
      </c>
      <c r="Z112" s="63" t="s">
        <v>1635</v>
      </c>
      <c r="AA112" s="205">
        <v>0.0</v>
      </c>
      <c r="AB112" s="63" t="s">
        <v>1636</v>
      </c>
      <c r="AC112" s="205">
        <v>86.0</v>
      </c>
      <c r="AD112" s="208">
        <v>9.4902</v>
      </c>
      <c r="AE112" s="205">
        <v>139423.0</v>
      </c>
      <c r="AF112" s="205">
        <v>24854.0</v>
      </c>
      <c r="AG112" s="205">
        <v>239.0</v>
      </c>
      <c r="AH112" s="205">
        <v>246.0</v>
      </c>
      <c r="AI112" s="205">
        <v>2.0</v>
      </c>
      <c r="AJ112" s="205">
        <v>841.0</v>
      </c>
      <c r="AK112" s="205">
        <v>0.0</v>
      </c>
      <c r="AL112" s="205">
        <v>0.0</v>
      </c>
      <c r="AM112" s="205">
        <v>0.0</v>
      </c>
      <c r="AN112" s="205">
        <v>0.0</v>
      </c>
      <c r="AO112" s="208">
        <v>3.72062</v>
      </c>
      <c r="AP112" s="208">
        <v>4.56175</v>
      </c>
      <c r="AQ112" s="208">
        <v>5.62771</v>
      </c>
      <c r="AR112" s="208">
        <v>3.31293</v>
      </c>
      <c r="AT112" s="192" t="s">
        <v>266</v>
      </c>
      <c r="AU112" s="211" t="s">
        <v>265</v>
      </c>
      <c r="AV112" s="211" t="s">
        <v>1637</v>
      </c>
      <c r="AW112" s="211" t="s">
        <v>1638</v>
      </c>
      <c r="AX112" s="211" t="s">
        <v>266</v>
      </c>
      <c r="AY112" s="212">
        <v>2.5</v>
      </c>
      <c r="AZ112" s="213">
        <v>4.0</v>
      </c>
      <c r="BA112" s="213">
        <v>3.5</v>
      </c>
      <c r="BB112" s="213">
        <v>4.0</v>
      </c>
      <c r="BC112" s="212">
        <v>6.5</v>
      </c>
      <c r="BD112" s="213">
        <v>10.0</v>
      </c>
      <c r="BE112" s="213">
        <v>9.799999999999999</v>
      </c>
      <c r="BF112" s="213">
        <v>10.0</v>
      </c>
      <c r="BG112" s="212">
        <v>9.666666666666668</v>
      </c>
      <c r="BH112" s="213">
        <v>9.083333333333334</v>
      </c>
      <c r="BI112" s="213">
        <v>0.0012962962961561668</v>
      </c>
      <c r="BJ112" s="213">
        <v>0.0013966049373266287</v>
      </c>
      <c r="BK112" s="213">
        <v>226.5</v>
      </c>
      <c r="BL112" s="212">
        <v>5.5</v>
      </c>
      <c r="BM112" s="213">
        <v>3.875</v>
      </c>
      <c r="BN112" s="213">
        <v>0.0025925925923123336</v>
      </c>
      <c r="BO112" s="213">
        <v>0.0027932098746532574</v>
      </c>
      <c r="BP112" s="213">
        <v>113.25</v>
      </c>
      <c r="BQ112" s="192"/>
      <c r="BR112" s="192"/>
    </row>
    <row r="113">
      <c r="A113" s="60">
        <v>48215.0</v>
      </c>
      <c r="B113" s="205">
        <v>1913099.0</v>
      </c>
      <c r="C113" s="205">
        <v>914691.0</v>
      </c>
      <c r="D113" s="205">
        <v>1.0</v>
      </c>
      <c r="E113" s="207">
        <v>43486.82712962963</v>
      </c>
      <c r="F113" s="207">
        <v>44059.86368055556</v>
      </c>
      <c r="G113" s="207">
        <v>44052.78060185185</v>
      </c>
      <c r="H113" s="63" t="s">
        <v>1625</v>
      </c>
      <c r="I113" s="205">
        <v>175.0</v>
      </c>
      <c r="J113" s="63" t="s">
        <v>1626</v>
      </c>
      <c r="K113" s="205">
        <v>3906405.0</v>
      </c>
      <c r="L113" s="208">
        <v>3.47554</v>
      </c>
      <c r="M113" s="208">
        <v>1.65205</v>
      </c>
      <c r="N113" s="208">
        <v>1.67478</v>
      </c>
      <c r="O113" s="209">
        <v>3.7</v>
      </c>
      <c r="P113" s="209">
        <v>8.0</v>
      </c>
      <c r="Q113" s="209">
        <v>7.0</v>
      </c>
      <c r="R113" s="209">
        <v>4.0</v>
      </c>
      <c r="S113" s="210">
        <v>0.0019560185173759237</v>
      </c>
      <c r="U113" s="205">
        <v>10.0</v>
      </c>
      <c r="V113" s="205">
        <v>2.0</v>
      </c>
      <c r="W113" s="63" t="s">
        <v>1627</v>
      </c>
      <c r="X113" s="210">
        <v>0.0021296296290529426</v>
      </c>
      <c r="Y113" s="63" t="s">
        <v>1443</v>
      </c>
      <c r="Z113" s="63" t="s">
        <v>1628</v>
      </c>
      <c r="AA113" s="205">
        <v>0.0</v>
      </c>
      <c r="AB113" s="63" t="s">
        <v>1629</v>
      </c>
      <c r="AC113" s="205">
        <v>1209.0</v>
      </c>
      <c r="AD113" s="208">
        <v>9.4494</v>
      </c>
      <c r="AE113" s="205">
        <v>340444.0</v>
      </c>
      <c r="AF113" s="205">
        <v>96170.0</v>
      </c>
      <c r="AG113" s="205">
        <v>177.0</v>
      </c>
      <c r="AH113" s="205">
        <v>299.0</v>
      </c>
      <c r="AI113" s="205">
        <v>0.0</v>
      </c>
      <c r="AJ113" s="205">
        <v>871.0</v>
      </c>
      <c r="AK113" s="205">
        <v>0.0</v>
      </c>
      <c r="AL113" s="205">
        <v>0.0</v>
      </c>
      <c r="AM113" s="205">
        <v>0.0</v>
      </c>
      <c r="AN113" s="205">
        <v>0.0</v>
      </c>
      <c r="AO113" s="208">
        <v>3.22215</v>
      </c>
      <c r="AP113" s="208">
        <v>3.61365</v>
      </c>
      <c r="AQ113" s="208">
        <v>4.89883</v>
      </c>
      <c r="AR113" s="208">
        <v>2.80087</v>
      </c>
      <c r="AT113" s="192" t="s">
        <v>272</v>
      </c>
      <c r="AU113" s="211" t="s">
        <v>271</v>
      </c>
      <c r="AV113" s="211" t="s">
        <v>1630</v>
      </c>
      <c r="AW113" s="211" t="s">
        <v>1631</v>
      </c>
      <c r="AX113" s="211" t="s">
        <v>272</v>
      </c>
      <c r="AY113" s="212">
        <v>1.85</v>
      </c>
      <c r="AZ113" s="213">
        <v>4.0</v>
      </c>
      <c r="BA113" s="213">
        <v>3.5</v>
      </c>
      <c r="BB113" s="213">
        <v>2.0</v>
      </c>
      <c r="BC113" s="212">
        <v>4.8100000000000005</v>
      </c>
      <c r="BD113" s="213">
        <v>10.0</v>
      </c>
      <c r="BE113" s="213">
        <v>9.799999999999999</v>
      </c>
      <c r="BF113" s="213">
        <v>5.6</v>
      </c>
      <c r="BG113" s="212">
        <v>9.666666666666668</v>
      </c>
      <c r="BH113" s="213">
        <v>9.083333333333334</v>
      </c>
      <c r="BI113" s="213">
        <v>0.0013040123449172825</v>
      </c>
      <c r="BJ113" s="213">
        <v>0.0014197530860352952</v>
      </c>
      <c r="BK113" s="213">
        <v>262.5</v>
      </c>
      <c r="BL113" s="212">
        <v>5.5</v>
      </c>
      <c r="BM113" s="213">
        <v>3.875</v>
      </c>
      <c r="BN113" s="213">
        <v>0.002608024689834565</v>
      </c>
      <c r="BO113" s="213">
        <v>0.0028395061720705903</v>
      </c>
      <c r="BP113" s="213">
        <v>131.25</v>
      </c>
      <c r="BQ113" s="192"/>
      <c r="BR113" s="192"/>
    </row>
    <row r="114">
      <c r="A114" s="60">
        <v>667685.0</v>
      </c>
      <c r="B114" s="205">
        <v>155064.0</v>
      </c>
      <c r="C114" s="205">
        <v>50462.0</v>
      </c>
      <c r="D114" s="205">
        <v>1.0</v>
      </c>
      <c r="E114" s="207">
        <v>41041.24364583333</v>
      </c>
      <c r="F114" s="207">
        <v>41330.81545138889</v>
      </c>
      <c r="G114" s="207">
        <v>43164.19952546296</v>
      </c>
      <c r="H114" s="63" t="s">
        <v>1639</v>
      </c>
      <c r="I114" s="205">
        <v>216.0</v>
      </c>
      <c r="J114" s="63" t="s">
        <v>1640</v>
      </c>
      <c r="K114" s="205">
        <v>550523.0</v>
      </c>
      <c r="L114" s="208">
        <v>4.82044</v>
      </c>
      <c r="M114" s="208">
        <v>2.25147</v>
      </c>
      <c r="N114" s="208">
        <v>2.35997</v>
      </c>
      <c r="O114" s="209">
        <v>4.0</v>
      </c>
      <c r="P114" s="209">
        <v>9.0</v>
      </c>
      <c r="Q114" s="209">
        <v>7.0</v>
      </c>
      <c r="R114" s="209">
        <v>7.0</v>
      </c>
      <c r="S114" s="210">
        <v>0.0018865740748879034</v>
      </c>
      <c r="U114" s="205">
        <v>5.0</v>
      </c>
      <c r="V114" s="205">
        <v>3.0</v>
      </c>
      <c r="W114" s="63" t="s">
        <v>1641</v>
      </c>
      <c r="X114" s="210">
        <v>0.002141203702194616</v>
      </c>
      <c r="Y114" s="63" t="s">
        <v>1116</v>
      </c>
      <c r="Z114" s="63" t="s">
        <v>1642</v>
      </c>
      <c r="AA114" s="205">
        <v>0.0</v>
      </c>
      <c r="AB114" s="63" t="s">
        <v>1643</v>
      </c>
      <c r="AC114" s="205">
        <v>595.0</v>
      </c>
      <c r="AD114" s="208">
        <v>9.56944</v>
      </c>
      <c r="AE114" s="205">
        <v>160245.0</v>
      </c>
      <c r="AF114" s="205">
        <v>23085.0</v>
      </c>
      <c r="AG114" s="205">
        <v>317.0</v>
      </c>
      <c r="AH114" s="205">
        <v>236.0</v>
      </c>
      <c r="AI114" s="205">
        <v>6.0</v>
      </c>
      <c r="AJ114" s="205">
        <v>824.0</v>
      </c>
      <c r="AK114" s="205">
        <v>1.0</v>
      </c>
      <c r="AL114" s="205">
        <v>0.0</v>
      </c>
      <c r="AM114" s="205">
        <v>0.0</v>
      </c>
      <c r="AN114" s="205">
        <v>0.0</v>
      </c>
      <c r="AO114" s="208">
        <v>4.42581</v>
      </c>
      <c r="AP114" s="208">
        <v>5.11018</v>
      </c>
      <c r="AQ114" s="208">
        <v>6.98605</v>
      </c>
      <c r="AR114" s="208">
        <v>3.87124</v>
      </c>
      <c r="AT114" s="192" t="s">
        <v>249</v>
      </c>
      <c r="AU114" s="211" t="s">
        <v>248</v>
      </c>
      <c r="AV114" s="211" t="s">
        <v>1644</v>
      </c>
      <c r="AW114" s="211" t="s">
        <v>1645</v>
      </c>
      <c r="AX114" s="211" t="s">
        <v>249</v>
      </c>
      <c r="AY114" s="212">
        <v>2.0</v>
      </c>
      <c r="AZ114" s="213">
        <v>4.5</v>
      </c>
      <c r="BA114" s="213">
        <v>3.5</v>
      </c>
      <c r="BB114" s="213">
        <v>3.5</v>
      </c>
      <c r="BC114" s="212">
        <v>5.2</v>
      </c>
      <c r="BD114" s="213">
        <v>10.0</v>
      </c>
      <c r="BE114" s="213">
        <v>9.799999999999999</v>
      </c>
      <c r="BF114" s="213">
        <v>9.799999999999999</v>
      </c>
      <c r="BG114" s="212">
        <v>10.333333333333332</v>
      </c>
      <c r="BH114" s="213">
        <v>9.083333333333334</v>
      </c>
      <c r="BI114" s="213">
        <v>0.0012577160499252689</v>
      </c>
      <c r="BJ114" s="213">
        <v>0.0014274691347964108</v>
      </c>
      <c r="BK114" s="213">
        <v>324.0</v>
      </c>
      <c r="BL114" s="212">
        <v>7.0</v>
      </c>
      <c r="BM114" s="213">
        <v>3.875</v>
      </c>
      <c r="BN114" s="213">
        <v>0.0025154320998505377</v>
      </c>
      <c r="BO114" s="213">
        <v>0.0028549382695928216</v>
      </c>
      <c r="BP114" s="213">
        <v>162.0</v>
      </c>
      <c r="BQ114" s="192"/>
      <c r="BR114" s="192"/>
    </row>
    <row r="115">
      <c r="A115" s="60">
        <v>3774971.0</v>
      </c>
      <c r="B115" s="205">
        <v>2729314.0</v>
      </c>
      <c r="C115" s="205">
        <v>1316097.0</v>
      </c>
      <c r="D115" s="205">
        <v>1.0</v>
      </c>
      <c r="E115" s="207">
        <v>44170.19498842592</v>
      </c>
      <c r="F115" s="207">
        <v>44275.83693287037</v>
      </c>
      <c r="G115" s="207">
        <v>44265.809062500004</v>
      </c>
      <c r="H115" s="63" t="s">
        <v>1646</v>
      </c>
      <c r="I115" s="205">
        <v>240.0</v>
      </c>
      <c r="J115" s="63" t="s">
        <v>1647</v>
      </c>
      <c r="K115" s="205">
        <v>1843224.0</v>
      </c>
      <c r="L115" s="208">
        <v>4.44279</v>
      </c>
      <c r="M115" s="208">
        <v>2.28819</v>
      </c>
      <c r="N115" s="208">
        <v>1.92898</v>
      </c>
      <c r="O115" s="209">
        <v>4.0</v>
      </c>
      <c r="P115" s="209">
        <v>9.1</v>
      </c>
      <c r="Q115" s="209">
        <v>7.5</v>
      </c>
      <c r="R115" s="209">
        <v>5.3</v>
      </c>
      <c r="S115" s="210">
        <v>0.0024768518524069805</v>
      </c>
      <c r="U115" s="205">
        <v>4.0</v>
      </c>
      <c r="V115" s="205">
        <v>3.0</v>
      </c>
      <c r="W115" s="63" t="s">
        <v>1648</v>
      </c>
      <c r="X115" s="210">
        <v>0.0028009259258396924</v>
      </c>
      <c r="Y115" s="63" t="s">
        <v>1116</v>
      </c>
      <c r="Z115" s="63" t="s">
        <v>1649</v>
      </c>
      <c r="AA115" s="205">
        <v>0.0</v>
      </c>
      <c r="AB115" s="63" t="s">
        <v>1650</v>
      </c>
      <c r="AC115" s="205">
        <v>1137.0</v>
      </c>
      <c r="AD115" s="208">
        <v>9.55988</v>
      </c>
      <c r="AE115" s="205">
        <v>273439.0</v>
      </c>
      <c r="AF115" s="205">
        <v>63295.0</v>
      </c>
      <c r="AG115" s="205">
        <v>330.0</v>
      </c>
      <c r="AH115" s="205">
        <v>469.0</v>
      </c>
      <c r="AI115" s="205">
        <v>2.0</v>
      </c>
      <c r="AJ115" s="205">
        <v>1370.0</v>
      </c>
      <c r="AK115" s="205">
        <v>0.0</v>
      </c>
      <c r="AL115" s="205">
        <v>0.0</v>
      </c>
      <c r="AM115" s="205">
        <v>0.0</v>
      </c>
      <c r="AN115" s="205">
        <v>0.0</v>
      </c>
      <c r="AO115" s="208">
        <v>3.98432</v>
      </c>
      <c r="AP115" s="208">
        <v>4.87842</v>
      </c>
      <c r="AQ115" s="208">
        <v>6.06315</v>
      </c>
      <c r="AR115" s="208">
        <v>3.54188</v>
      </c>
      <c r="AT115" s="192" t="s">
        <v>261</v>
      </c>
      <c r="AU115" s="211" t="s">
        <v>260</v>
      </c>
      <c r="AV115" s="211" t="s">
        <v>1651</v>
      </c>
      <c r="AW115" s="211" t="s">
        <v>1652</v>
      </c>
      <c r="AX115" s="211" t="s">
        <v>261</v>
      </c>
      <c r="AY115" s="212">
        <v>2.0</v>
      </c>
      <c r="AZ115" s="213">
        <v>4.55</v>
      </c>
      <c r="BA115" s="213">
        <v>3.75</v>
      </c>
      <c r="BB115" s="213">
        <v>2.65</v>
      </c>
      <c r="BC115" s="212">
        <v>5.2</v>
      </c>
      <c r="BD115" s="213">
        <v>10.0</v>
      </c>
      <c r="BE115" s="213">
        <v>10.0</v>
      </c>
      <c r="BF115" s="213">
        <v>7.419999999999999</v>
      </c>
      <c r="BG115" s="212">
        <v>10.4</v>
      </c>
      <c r="BH115" s="213">
        <v>9.416666666666666</v>
      </c>
      <c r="BI115" s="213">
        <v>0.0016512345682713203</v>
      </c>
      <c r="BJ115" s="213">
        <v>0.001867283950559795</v>
      </c>
      <c r="BK115" s="213">
        <v>360.0</v>
      </c>
      <c r="BL115" s="212">
        <v>7.15</v>
      </c>
      <c r="BM115" s="213">
        <v>4.625</v>
      </c>
      <c r="BN115" s="213">
        <v>0.0033024691365426406</v>
      </c>
      <c r="BO115" s="213">
        <v>0.00373456790111959</v>
      </c>
      <c r="BP115" s="213">
        <v>180.0</v>
      </c>
      <c r="BQ115" s="192"/>
      <c r="BR115" s="192"/>
    </row>
    <row r="116">
      <c r="A116" s="60">
        <v>2775823.0</v>
      </c>
      <c r="B116" s="205">
        <v>87319.0</v>
      </c>
      <c r="C116" s="205">
        <v>25580.0</v>
      </c>
      <c r="D116" s="205">
        <v>1.0</v>
      </c>
      <c r="E116" s="207">
        <v>40575.225949074076</v>
      </c>
      <c r="F116" s="207">
        <v>40612.78192129629</v>
      </c>
      <c r="G116" s="207">
        <v>40612.385775462964</v>
      </c>
      <c r="H116" s="63" t="s">
        <v>1632</v>
      </c>
      <c r="I116" s="205">
        <v>151.0</v>
      </c>
      <c r="J116" s="63" t="s">
        <v>1633</v>
      </c>
      <c r="K116" s="205">
        <v>298471.0</v>
      </c>
      <c r="L116" s="208">
        <v>4.09764</v>
      </c>
      <c r="M116" s="208">
        <v>1.98452</v>
      </c>
      <c r="N116" s="208">
        <v>1.93733</v>
      </c>
      <c r="O116" s="209">
        <v>5.0</v>
      </c>
      <c r="P116" s="209">
        <v>8.0</v>
      </c>
      <c r="Q116" s="209">
        <v>7.0</v>
      </c>
      <c r="R116" s="209">
        <v>8.0</v>
      </c>
      <c r="S116" s="210">
        <v>0.0019444444442342501</v>
      </c>
      <c r="T116" s="63" t="s">
        <v>1123</v>
      </c>
      <c r="U116" s="205">
        <v>2.0</v>
      </c>
      <c r="V116" s="205">
        <v>3.0</v>
      </c>
      <c r="W116" s="63" t="s">
        <v>1634</v>
      </c>
      <c r="X116" s="210">
        <v>0.002094907405989943</v>
      </c>
      <c r="Y116" s="63" t="s">
        <v>1116</v>
      </c>
      <c r="Z116" s="63" t="s">
        <v>1635</v>
      </c>
      <c r="AA116" s="205">
        <v>0.0</v>
      </c>
      <c r="AB116" s="63" t="s">
        <v>1636</v>
      </c>
      <c r="AC116" s="205">
        <v>86.0</v>
      </c>
      <c r="AD116" s="208">
        <v>9.4902</v>
      </c>
      <c r="AE116" s="205">
        <v>139423.0</v>
      </c>
      <c r="AF116" s="205">
        <v>24854.0</v>
      </c>
      <c r="AG116" s="205">
        <v>239.0</v>
      </c>
      <c r="AH116" s="205">
        <v>246.0</v>
      </c>
      <c r="AI116" s="205">
        <v>2.0</v>
      </c>
      <c r="AJ116" s="205">
        <v>841.0</v>
      </c>
      <c r="AK116" s="205">
        <v>0.0</v>
      </c>
      <c r="AL116" s="205">
        <v>0.0</v>
      </c>
      <c r="AM116" s="205">
        <v>0.0</v>
      </c>
      <c r="AN116" s="205">
        <v>0.0</v>
      </c>
      <c r="AO116" s="208">
        <v>3.72062</v>
      </c>
      <c r="AP116" s="208">
        <v>4.56175</v>
      </c>
      <c r="AQ116" s="208">
        <v>5.62771</v>
      </c>
      <c r="AR116" s="208">
        <v>3.31293</v>
      </c>
      <c r="AT116" s="192" t="s">
        <v>266</v>
      </c>
      <c r="AU116" s="211" t="s">
        <v>265</v>
      </c>
      <c r="AV116" s="211" t="s">
        <v>1637</v>
      </c>
      <c r="AW116" s="211" t="s">
        <v>1638</v>
      </c>
      <c r="AX116" s="211" t="s">
        <v>266</v>
      </c>
      <c r="AY116" s="212">
        <v>2.5</v>
      </c>
      <c r="AZ116" s="213">
        <v>4.0</v>
      </c>
      <c r="BA116" s="213">
        <v>3.5</v>
      </c>
      <c r="BB116" s="213">
        <v>4.0</v>
      </c>
      <c r="BC116" s="212">
        <v>6.5</v>
      </c>
      <c r="BD116" s="213">
        <v>10.0</v>
      </c>
      <c r="BE116" s="213">
        <v>9.799999999999999</v>
      </c>
      <c r="BF116" s="213">
        <v>10.0</v>
      </c>
      <c r="BG116" s="212">
        <v>9.666666666666668</v>
      </c>
      <c r="BH116" s="213">
        <v>9.083333333333334</v>
      </c>
      <c r="BI116" s="213">
        <v>0.0012962962961561668</v>
      </c>
      <c r="BJ116" s="213">
        <v>0.0013966049373266287</v>
      </c>
      <c r="BK116" s="213">
        <v>226.5</v>
      </c>
      <c r="BL116" s="212">
        <v>5.5</v>
      </c>
      <c r="BM116" s="213">
        <v>3.875</v>
      </c>
      <c r="BN116" s="213">
        <v>0.0025925925923123336</v>
      </c>
      <c r="BO116" s="213">
        <v>0.0027932098746532574</v>
      </c>
      <c r="BP116" s="213">
        <v>113.25</v>
      </c>
      <c r="BQ116" s="192"/>
      <c r="BR116" s="192"/>
    </row>
    <row r="117">
      <c r="A117" s="60">
        <v>2094462.0</v>
      </c>
      <c r="B117" s="205">
        <v>155064.0</v>
      </c>
      <c r="C117" s="205">
        <v>50462.0</v>
      </c>
      <c r="D117" s="205">
        <v>1.0</v>
      </c>
      <c r="E117" s="207">
        <v>41041.24364583333</v>
      </c>
      <c r="F117" s="207">
        <v>41330.81545138889</v>
      </c>
      <c r="G117" s="207">
        <v>43164.19952546296</v>
      </c>
      <c r="H117" s="63" t="s">
        <v>1639</v>
      </c>
      <c r="I117" s="205">
        <v>216.0</v>
      </c>
      <c r="J117" s="63" t="s">
        <v>1640</v>
      </c>
      <c r="K117" s="205">
        <v>550523.0</v>
      </c>
      <c r="L117" s="208">
        <v>4.82044</v>
      </c>
      <c r="M117" s="208">
        <v>2.25147</v>
      </c>
      <c r="N117" s="208">
        <v>2.35997</v>
      </c>
      <c r="O117" s="209">
        <v>4.0</v>
      </c>
      <c r="P117" s="209">
        <v>9.0</v>
      </c>
      <c r="Q117" s="209">
        <v>7.0</v>
      </c>
      <c r="R117" s="209">
        <v>7.0</v>
      </c>
      <c r="S117" s="210">
        <v>0.0018865740748879034</v>
      </c>
      <c r="U117" s="205">
        <v>5.0</v>
      </c>
      <c r="V117" s="205">
        <v>3.0</v>
      </c>
      <c r="W117" s="63" t="s">
        <v>1641</v>
      </c>
      <c r="X117" s="210">
        <v>0.002141203702194616</v>
      </c>
      <c r="Y117" s="63" t="s">
        <v>1116</v>
      </c>
      <c r="Z117" s="63" t="s">
        <v>1642</v>
      </c>
      <c r="AA117" s="205">
        <v>0.0</v>
      </c>
      <c r="AB117" s="63" t="s">
        <v>1643</v>
      </c>
      <c r="AC117" s="205">
        <v>595.0</v>
      </c>
      <c r="AD117" s="208">
        <v>9.56944</v>
      </c>
      <c r="AE117" s="205">
        <v>160245.0</v>
      </c>
      <c r="AF117" s="205">
        <v>23085.0</v>
      </c>
      <c r="AG117" s="205">
        <v>317.0</v>
      </c>
      <c r="AH117" s="205">
        <v>236.0</v>
      </c>
      <c r="AI117" s="205">
        <v>6.0</v>
      </c>
      <c r="AJ117" s="205">
        <v>824.0</v>
      </c>
      <c r="AK117" s="205">
        <v>1.0</v>
      </c>
      <c r="AL117" s="205">
        <v>0.0</v>
      </c>
      <c r="AM117" s="205">
        <v>0.0</v>
      </c>
      <c r="AN117" s="205">
        <v>0.0</v>
      </c>
      <c r="AO117" s="208">
        <v>4.42581</v>
      </c>
      <c r="AP117" s="208">
        <v>5.11018</v>
      </c>
      <c r="AQ117" s="208">
        <v>6.98605</v>
      </c>
      <c r="AR117" s="208">
        <v>3.87124</v>
      </c>
      <c r="AT117" s="192" t="s">
        <v>249</v>
      </c>
      <c r="AU117" s="211" t="s">
        <v>248</v>
      </c>
      <c r="AV117" s="211" t="s">
        <v>1644</v>
      </c>
      <c r="AW117" s="211" t="s">
        <v>1645</v>
      </c>
      <c r="AX117" s="211" t="s">
        <v>249</v>
      </c>
      <c r="AY117" s="212">
        <v>2.0</v>
      </c>
      <c r="AZ117" s="213">
        <v>4.5</v>
      </c>
      <c r="BA117" s="213">
        <v>3.5</v>
      </c>
      <c r="BB117" s="213">
        <v>3.5</v>
      </c>
      <c r="BC117" s="212">
        <v>5.2</v>
      </c>
      <c r="BD117" s="213">
        <v>10.0</v>
      </c>
      <c r="BE117" s="213">
        <v>9.799999999999999</v>
      </c>
      <c r="BF117" s="213">
        <v>9.799999999999999</v>
      </c>
      <c r="BG117" s="212">
        <v>10.333333333333332</v>
      </c>
      <c r="BH117" s="213">
        <v>9.083333333333334</v>
      </c>
      <c r="BI117" s="213">
        <v>0.0012577160499252689</v>
      </c>
      <c r="BJ117" s="213">
        <v>0.0014274691347964108</v>
      </c>
      <c r="BK117" s="213">
        <v>324.0</v>
      </c>
      <c r="BL117" s="212">
        <v>7.0</v>
      </c>
      <c r="BM117" s="213">
        <v>3.875</v>
      </c>
      <c r="BN117" s="213">
        <v>0.0025154320998505377</v>
      </c>
      <c r="BO117" s="213">
        <v>0.0028549382695928216</v>
      </c>
      <c r="BP117" s="213">
        <v>162.0</v>
      </c>
      <c r="BQ117" s="192"/>
      <c r="BR117" s="192"/>
    </row>
    <row r="118">
      <c r="A118" s="60">
        <v>2366848.0</v>
      </c>
      <c r="B118" s="205">
        <v>2729314.0</v>
      </c>
      <c r="C118" s="205">
        <v>1316097.0</v>
      </c>
      <c r="D118" s="205">
        <v>1.0</v>
      </c>
      <c r="E118" s="207">
        <v>44170.19498842592</v>
      </c>
      <c r="F118" s="207">
        <v>44275.83693287037</v>
      </c>
      <c r="G118" s="207">
        <v>44265.809062500004</v>
      </c>
      <c r="H118" s="63" t="s">
        <v>1646</v>
      </c>
      <c r="I118" s="205">
        <v>240.0</v>
      </c>
      <c r="J118" s="63" t="s">
        <v>1647</v>
      </c>
      <c r="K118" s="205">
        <v>1843224.0</v>
      </c>
      <c r="L118" s="208">
        <v>4.44279</v>
      </c>
      <c r="M118" s="208">
        <v>2.28819</v>
      </c>
      <c r="N118" s="208">
        <v>1.92898</v>
      </c>
      <c r="O118" s="209">
        <v>4.0</v>
      </c>
      <c r="P118" s="209">
        <v>9.1</v>
      </c>
      <c r="Q118" s="209">
        <v>7.5</v>
      </c>
      <c r="R118" s="209">
        <v>5.3</v>
      </c>
      <c r="S118" s="210">
        <v>0.0024768518524069805</v>
      </c>
      <c r="U118" s="205">
        <v>4.0</v>
      </c>
      <c r="V118" s="205">
        <v>3.0</v>
      </c>
      <c r="W118" s="63" t="s">
        <v>1648</v>
      </c>
      <c r="X118" s="210">
        <v>0.0028009259258396924</v>
      </c>
      <c r="Y118" s="63" t="s">
        <v>1116</v>
      </c>
      <c r="Z118" s="63" t="s">
        <v>1649</v>
      </c>
      <c r="AA118" s="205">
        <v>0.0</v>
      </c>
      <c r="AB118" s="63" t="s">
        <v>1650</v>
      </c>
      <c r="AC118" s="205">
        <v>1137.0</v>
      </c>
      <c r="AD118" s="208">
        <v>9.55988</v>
      </c>
      <c r="AE118" s="205">
        <v>273439.0</v>
      </c>
      <c r="AF118" s="205">
        <v>63295.0</v>
      </c>
      <c r="AG118" s="205">
        <v>330.0</v>
      </c>
      <c r="AH118" s="205">
        <v>469.0</v>
      </c>
      <c r="AI118" s="205">
        <v>2.0</v>
      </c>
      <c r="AJ118" s="205">
        <v>1370.0</v>
      </c>
      <c r="AK118" s="205">
        <v>0.0</v>
      </c>
      <c r="AL118" s="205">
        <v>0.0</v>
      </c>
      <c r="AM118" s="205">
        <v>0.0</v>
      </c>
      <c r="AN118" s="205">
        <v>0.0</v>
      </c>
      <c r="AO118" s="208">
        <v>3.98432</v>
      </c>
      <c r="AP118" s="208">
        <v>4.87842</v>
      </c>
      <c r="AQ118" s="208">
        <v>6.06315</v>
      </c>
      <c r="AR118" s="208">
        <v>3.54188</v>
      </c>
      <c r="AT118" s="192" t="s">
        <v>261</v>
      </c>
      <c r="AU118" s="211" t="s">
        <v>260</v>
      </c>
      <c r="AV118" s="211" t="s">
        <v>1651</v>
      </c>
      <c r="AW118" s="211" t="s">
        <v>1652</v>
      </c>
      <c r="AX118" s="211" t="s">
        <v>261</v>
      </c>
      <c r="AY118" s="212">
        <v>2.0</v>
      </c>
      <c r="AZ118" s="213">
        <v>4.55</v>
      </c>
      <c r="BA118" s="213">
        <v>3.75</v>
      </c>
      <c r="BB118" s="213">
        <v>2.65</v>
      </c>
      <c r="BC118" s="212">
        <v>5.2</v>
      </c>
      <c r="BD118" s="213">
        <v>10.0</v>
      </c>
      <c r="BE118" s="213">
        <v>10.0</v>
      </c>
      <c r="BF118" s="213">
        <v>7.419999999999999</v>
      </c>
      <c r="BG118" s="212">
        <v>10.4</v>
      </c>
      <c r="BH118" s="213">
        <v>9.416666666666666</v>
      </c>
      <c r="BI118" s="213">
        <v>0.0016512345682713203</v>
      </c>
      <c r="BJ118" s="213">
        <v>0.001867283950559795</v>
      </c>
      <c r="BK118" s="213">
        <v>360.0</v>
      </c>
      <c r="BL118" s="212">
        <v>7.15</v>
      </c>
      <c r="BM118" s="213">
        <v>4.625</v>
      </c>
      <c r="BN118" s="213">
        <v>0.0033024691365426406</v>
      </c>
      <c r="BO118" s="213">
        <v>0.00373456790111959</v>
      </c>
      <c r="BP118" s="213">
        <v>180.0</v>
      </c>
      <c r="BQ118" s="192"/>
      <c r="BR118" s="192"/>
    </row>
    <row r="119">
      <c r="A119" s="60">
        <v>1498150.0</v>
      </c>
      <c r="B119" s="205">
        <v>87369.0</v>
      </c>
      <c r="C119" s="205">
        <v>25802.0</v>
      </c>
      <c r="D119" s="205">
        <v>1.0</v>
      </c>
      <c r="E119" s="207">
        <v>40580.092002314814</v>
      </c>
      <c r="F119" s="207">
        <v>40632.212847222225</v>
      </c>
      <c r="G119" s="207">
        <v>40632.17527777778</v>
      </c>
      <c r="H119" s="63" t="s">
        <v>1653</v>
      </c>
      <c r="I119" s="205">
        <v>175.0</v>
      </c>
      <c r="J119" s="63" t="s">
        <v>1654</v>
      </c>
      <c r="K119" s="205">
        <v>177045.0</v>
      </c>
      <c r="L119" s="208">
        <v>4.77803</v>
      </c>
      <c r="M119" s="208">
        <v>2.11699</v>
      </c>
      <c r="N119" s="208">
        <v>2.43141</v>
      </c>
      <c r="O119" s="209">
        <v>4.0</v>
      </c>
      <c r="P119" s="209">
        <v>8.0</v>
      </c>
      <c r="Q119" s="209">
        <v>7.0</v>
      </c>
      <c r="R119" s="209">
        <v>5.0</v>
      </c>
      <c r="S119" s="210">
        <v>0.0019907407404389232</v>
      </c>
      <c r="T119" s="63" t="s">
        <v>1655</v>
      </c>
      <c r="U119" s="205">
        <v>10.0</v>
      </c>
      <c r="V119" s="205">
        <v>3.0</v>
      </c>
      <c r="W119" s="63" t="s">
        <v>1656</v>
      </c>
      <c r="X119" s="210">
        <v>0.002488425925548654</v>
      </c>
      <c r="Y119" s="63" t="s">
        <v>1116</v>
      </c>
      <c r="Z119" s="63" t="s">
        <v>1657</v>
      </c>
      <c r="AA119" s="205">
        <v>0.0</v>
      </c>
      <c r="AB119" s="63" t="s">
        <v>1658</v>
      </c>
      <c r="AC119" s="205">
        <v>1323.0</v>
      </c>
      <c r="AD119" s="208">
        <v>9.36901</v>
      </c>
      <c r="AE119" s="205">
        <v>1255640.0</v>
      </c>
      <c r="AF119" s="205">
        <v>259107.0</v>
      </c>
      <c r="AG119" s="205">
        <v>411.0</v>
      </c>
      <c r="AH119" s="205">
        <v>230.0</v>
      </c>
      <c r="AI119" s="205">
        <v>6.0</v>
      </c>
      <c r="AJ119" s="205">
        <v>948.0</v>
      </c>
      <c r="AK119" s="205">
        <v>0.0</v>
      </c>
      <c r="AL119" s="205">
        <v>0.0</v>
      </c>
      <c r="AM119" s="205">
        <v>0.0</v>
      </c>
      <c r="AN119" s="205">
        <v>0.0</v>
      </c>
      <c r="AO119" s="208">
        <v>4.46486</v>
      </c>
      <c r="AP119" s="208">
        <v>4.94263</v>
      </c>
      <c r="AQ119" s="208">
        <v>6.79607</v>
      </c>
      <c r="AR119" s="208">
        <v>3.81325</v>
      </c>
      <c r="AT119" s="192" t="s">
        <v>291</v>
      </c>
      <c r="AU119" s="211" t="s">
        <v>290</v>
      </c>
      <c r="AV119" s="211" t="s">
        <v>1659</v>
      </c>
      <c r="AW119" s="211" t="s">
        <v>1660</v>
      </c>
      <c r="AX119" s="211" t="s">
        <v>291</v>
      </c>
      <c r="AY119" s="212">
        <v>2.0</v>
      </c>
      <c r="AZ119" s="213">
        <v>4.0</v>
      </c>
      <c r="BA119" s="213">
        <v>3.5</v>
      </c>
      <c r="BB119" s="213">
        <v>2.5</v>
      </c>
      <c r="BC119" s="212">
        <v>5.2</v>
      </c>
      <c r="BD119" s="213">
        <v>10.0</v>
      </c>
      <c r="BE119" s="213">
        <v>9.799999999999999</v>
      </c>
      <c r="BF119" s="213">
        <v>7.0</v>
      </c>
      <c r="BG119" s="212">
        <v>9.666666666666668</v>
      </c>
      <c r="BH119" s="213">
        <v>9.083333333333334</v>
      </c>
      <c r="BI119" s="213">
        <v>0.001327160493625949</v>
      </c>
      <c r="BJ119" s="213">
        <v>0.001658950617032436</v>
      </c>
      <c r="BK119" s="213">
        <v>262.5</v>
      </c>
      <c r="BL119" s="212">
        <v>5.5</v>
      </c>
      <c r="BM119" s="213">
        <v>3.875</v>
      </c>
      <c r="BN119" s="213">
        <v>0.002654320987251898</v>
      </c>
      <c r="BO119" s="213">
        <v>0.003317901234064872</v>
      </c>
      <c r="BP119" s="213">
        <v>131.25</v>
      </c>
      <c r="BQ119" s="192"/>
      <c r="BR119" s="192"/>
    </row>
    <row r="120">
      <c r="A120" s="60">
        <v>3616425.0</v>
      </c>
      <c r="B120" s="205">
        <v>87369.0</v>
      </c>
      <c r="C120" s="205">
        <v>25802.0</v>
      </c>
      <c r="D120" s="205">
        <v>1.0</v>
      </c>
      <c r="E120" s="207">
        <v>40580.092002314814</v>
      </c>
      <c r="F120" s="207">
        <v>40632.212847222225</v>
      </c>
      <c r="G120" s="207">
        <v>40632.17527777778</v>
      </c>
      <c r="H120" s="63" t="s">
        <v>1653</v>
      </c>
      <c r="I120" s="205">
        <v>175.0</v>
      </c>
      <c r="J120" s="63" t="s">
        <v>1654</v>
      </c>
      <c r="K120" s="205">
        <v>177045.0</v>
      </c>
      <c r="L120" s="208">
        <v>4.77803</v>
      </c>
      <c r="M120" s="208">
        <v>2.11699</v>
      </c>
      <c r="N120" s="208">
        <v>2.43141</v>
      </c>
      <c r="O120" s="209">
        <v>4.0</v>
      </c>
      <c r="P120" s="209">
        <v>8.0</v>
      </c>
      <c r="Q120" s="209">
        <v>7.0</v>
      </c>
      <c r="R120" s="209">
        <v>5.0</v>
      </c>
      <c r="S120" s="210">
        <v>0.0019907407404389232</v>
      </c>
      <c r="T120" s="63" t="s">
        <v>1655</v>
      </c>
      <c r="U120" s="205">
        <v>10.0</v>
      </c>
      <c r="V120" s="205">
        <v>3.0</v>
      </c>
      <c r="W120" s="63" t="s">
        <v>1656</v>
      </c>
      <c r="X120" s="210">
        <v>0.002488425925548654</v>
      </c>
      <c r="Y120" s="63" t="s">
        <v>1116</v>
      </c>
      <c r="Z120" s="63" t="s">
        <v>1657</v>
      </c>
      <c r="AA120" s="205">
        <v>0.0</v>
      </c>
      <c r="AB120" s="63" t="s">
        <v>1658</v>
      </c>
      <c r="AC120" s="205">
        <v>1323.0</v>
      </c>
      <c r="AD120" s="208">
        <v>9.36901</v>
      </c>
      <c r="AE120" s="205">
        <v>1255640.0</v>
      </c>
      <c r="AF120" s="205">
        <v>259107.0</v>
      </c>
      <c r="AG120" s="205">
        <v>411.0</v>
      </c>
      <c r="AH120" s="205">
        <v>230.0</v>
      </c>
      <c r="AI120" s="205">
        <v>6.0</v>
      </c>
      <c r="AJ120" s="205">
        <v>948.0</v>
      </c>
      <c r="AK120" s="205">
        <v>0.0</v>
      </c>
      <c r="AL120" s="205">
        <v>0.0</v>
      </c>
      <c r="AM120" s="205">
        <v>0.0</v>
      </c>
      <c r="AN120" s="205">
        <v>0.0</v>
      </c>
      <c r="AO120" s="208">
        <v>4.46486</v>
      </c>
      <c r="AP120" s="208">
        <v>4.94263</v>
      </c>
      <c r="AQ120" s="208">
        <v>6.79607</v>
      </c>
      <c r="AR120" s="208">
        <v>3.81325</v>
      </c>
      <c r="AT120" s="192" t="s">
        <v>291</v>
      </c>
      <c r="AU120" s="211" t="s">
        <v>290</v>
      </c>
      <c r="AV120" s="211" t="s">
        <v>1659</v>
      </c>
      <c r="AW120" s="211" t="s">
        <v>1660</v>
      </c>
      <c r="AX120" s="211" t="s">
        <v>291</v>
      </c>
      <c r="AY120" s="212">
        <v>2.0</v>
      </c>
      <c r="AZ120" s="213">
        <v>4.0</v>
      </c>
      <c r="BA120" s="213">
        <v>3.5</v>
      </c>
      <c r="BB120" s="213">
        <v>2.5</v>
      </c>
      <c r="BC120" s="212">
        <v>5.2</v>
      </c>
      <c r="BD120" s="213">
        <v>10.0</v>
      </c>
      <c r="BE120" s="213">
        <v>9.799999999999999</v>
      </c>
      <c r="BF120" s="213">
        <v>7.0</v>
      </c>
      <c r="BG120" s="212">
        <v>9.666666666666668</v>
      </c>
      <c r="BH120" s="213">
        <v>9.083333333333334</v>
      </c>
      <c r="BI120" s="213">
        <v>0.001327160493625949</v>
      </c>
      <c r="BJ120" s="213">
        <v>0.001658950617032436</v>
      </c>
      <c r="BK120" s="213">
        <v>262.5</v>
      </c>
      <c r="BL120" s="212">
        <v>5.5</v>
      </c>
      <c r="BM120" s="213">
        <v>3.875</v>
      </c>
      <c r="BN120" s="213">
        <v>0.002654320987251898</v>
      </c>
      <c r="BO120" s="213">
        <v>0.003317901234064872</v>
      </c>
      <c r="BP120" s="213">
        <v>131.25</v>
      </c>
      <c r="BQ120" s="192"/>
      <c r="BR120" s="192"/>
    </row>
    <row r="121">
      <c r="A121" s="60">
        <v>1782851.0</v>
      </c>
      <c r="B121" s="205">
        <v>87369.0</v>
      </c>
      <c r="C121" s="205">
        <v>25802.0</v>
      </c>
      <c r="D121" s="205">
        <v>1.0</v>
      </c>
      <c r="E121" s="207">
        <v>40580.092002314814</v>
      </c>
      <c r="F121" s="207">
        <v>40632.212847222225</v>
      </c>
      <c r="G121" s="207">
        <v>40632.17527777778</v>
      </c>
      <c r="H121" s="63" t="s">
        <v>1653</v>
      </c>
      <c r="I121" s="205">
        <v>175.0</v>
      </c>
      <c r="J121" s="63" t="s">
        <v>1654</v>
      </c>
      <c r="K121" s="205">
        <v>177045.0</v>
      </c>
      <c r="L121" s="208">
        <v>4.77803</v>
      </c>
      <c r="M121" s="208">
        <v>2.11699</v>
      </c>
      <c r="N121" s="208">
        <v>2.43141</v>
      </c>
      <c r="O121" s="209">
        <v>4.0</v>
      </c>
      <c r="P121" s="209">
        <v>8.0</v>
      </c>
      <c r="Q121" s="209">
        <v>7.0</v>
      </c>
      <c r="R121" s="209">
        <v>5.0</v>
      </c>
      <c r="S121" s="210">
        <v>0.0019907407404389232</v>
      </c>
      <c r="T121" s="63" t="s">
        <v>1655</v>
      </c>
      <c r="U121" s="205">
        <v>10.0</v>
      </c>
      <c r="V121" s="205">
        <v>3.0</v>
      </c>
      <c r="W121" s="63" t="s">
        <v>1656</v>
      </c>
      <c r="X121" s="210">
        <v>0.002488425925548654</v>
      </c>
      <c r="Y121" s="63" t="s">
        <v>1116</v>
      </c>
      <c r="Z121" s="63" t="s">
        <v>1657</v>
      </c>
      <c r="AA121" s="205">
        <v>0.0</v>
      </c>
      <c r="AB121" s="63" t="s">
        <v>1658</v>
      </c>
      <c r="AC121" s="205">
        <v>1323.0</v>
      </c>
      <c r="AD121" s="208">
        <v>9.36901</v>
      </c>
      <c r="AE121" s="205">
        <v>1255640.0</v>
      </c>
      <c r="AF121" s="205">
        <v>259107.0</v>
      </c>
      <c r="AG121" s="205">
        <v>411.0</v>
      </c>
      <c r="AH121" s="205">
        <v>230.0</v>
      </c>
      <c r="AI121" s="205">
        <v>6.0</v>
      </c>
      <c r="AJ121" s="205">
        <v>948.0</v>
      </c>
      <c r="AK121" s="205">
        <v>0.0</v>
      </c>
      <c r="AL121" s="205">
        <v>0.0</v>
      </c>
      <c r="AM121" s="205">
        <v>0.0</v>
      </c>
      <c r="AN121" s="205">
        <v>0.0</v>
      </c>
      <c r="AO121" s="208">
        <v>4.46486</v>
      </c>
      <c r="AP121" s="208">
        <v>4.94263</v>
      </c>
      <c r="AQ121" s="208">
        <v>6.79607</v>
      </c>
      <c r="AR121" s="208">
        <v>3.81325</v>
      </c>
      <c r="AT121" s="192" t="s">
        <v>291</v>
      </c>
      <c r="AU121" s="211" t="s">
        <v>290</v>
      </c>
      <c r="AV121" s="211" t="s">
        <v>1659</v>
      </c>
      <c r="AW121" s="211" t="s">
        <v>1660</v>
      </c>
      <c r="AX121" s="211" t="s">
        <v>291</v>
      </c>
      <c r="AY121" s="212">
        <v>2.0</v>
      </c>
      <c r="AZ121" s="213">
        <v>4.0</v>
      </c>
      <c r="BA121" s="213">
        <v>3.5</v>
      </c>
      <c r="BB121" s="213">
        <v>2.5</v>
      </c>
      <c r="BC121" s="212">
        <v>5.2</v>
      </c>
      <c r="BD121" s="213">
        <v>10.0</v>
      </c>
      <c r="BE121" s="213">
        <v>9.799999999999999</v>
      </c>
      <c r="BF121" s="213">
        <v>7.0</v>
      </c>
      <c r="BG121" s="212">
        <v>9.666666666666668</v>
      </c>
      <c r="BH121" s="213">
        <v>9.083333333333334</v>
      </c>
      <c r="BI121" s="213">
        <v>0.001327160493625949</v>
      </c>
      <c r="BJ121" s="213">
        <v>0.001658950617032436</v>
      </c>
      <c r="BK121" s="213">
        <v>262.5</v>
      </c>
      <c r="BL121" s="212">
        <v>5.5</v>
      </c>
      <c r="BM121" s="213">
        <v>3.875</v>
      </c>
      <c r="BN121" s="213">
        <v>0.002654320987251898</v>
      </c>
      <c r="BO121" s="213">
        <v>0.003317901234064872</v>
      </c>
      <c r="BP121" s="213">
        <v>131.25</v>
      </c>
      <c r="BQ121" s="192"/>
      <c r="BR121" s="192"/>
    </row>
    <row r="122">
      <c r="A122" s="60">
        <v>2835868.0</v>
      </c>
      <c r="B122" s="205">
        <v>2530278.0</v>
      </c>
      <c r="C122" s="205">
        <v>1157572.0</v>
      </c>
      <c r="D122" s="205">
        <v>1.0</v>
      </c>
      <c r="E122" s="207">
        <v>43948.14493055556</v>
      </c>
      <c r="F122" s="207">
        <v>44234.79298611111</v>
      </c>
      <c r="G122" s="207">
        <v>44220.75746527778</v>
      </c>
      <c r="H122" s="63" t="s">
        <v>1661</v>
      </c>
      <c r="I122" s="205">
        <v>175.0</v>
      </c>
      <c r="J122" s="63" t="s">
        <v>1662</v>
      </c>
      <c r="K122" s="205">
        <v>689997.0</v>
      </c>
      <c r="L122" s="208">
        <v>4.65944</v>
      </c>
      <c r="M122" s="208">
        <v>2.28575</v>
      </c>
      <c r="N122" s="208">
        <v>2.1711</v>
      </c>
      <c r="O122" s="209">
        <v>4.0</v>
      </c>
      <c r="P122" s="209">
        <v>9.0</v>
      </c>
      <c r="Q122" s="209">
        <v>7.5</v>
      </c>
      <c r="R122" s="209">
        <v>5.0</v>
      </c>
      <c r="S122" s="210">
        <v>0.0018750000017462298</v>
      </c>
      <c r="T122" s="63" t="s">
        <v>1663</v>
      </c>
      <c r="U122" s="205">
        <v>10.0</v>
      </c>
      <c r="V122" s="205">
        <v>2.0</v>
      </c>
      <c r="W122" s="63" t="s">
        <v>1664</v>
      </c>
      <c r="X122" s="210">
        <v>0.0019328703710925765</v>
      </c>
      <c r="Y122" s="63" t="s">
        <v>1116</v>
      </c>
      <c r="Z122" s="63" t="s">
        <v>1665</v>
      </c>
      <c r="AA122" s="205">
        <v>0.0</v>
      </c>
      <c r="AB122" s="63" t="s">
        <v>1666</v>
      </c>
      <c r="AC122" s="205">
        <v>554.0</v>
      </c>
      <c r="AD122" s="208">
        <v>9.48266</v>
      </c>
      <c r="AE122" s="205">
        <v>211501.0</v>
      </c>
      <c r="AF122" s="205">
        <v>53152.0</v>
      </c>
      <c r="AG122" s="205">
        <v>345.0</v>
      </c>
      <c r="AH122" s="205">
        <v>290.0</v>
      </c>
      <c r="AI122" s="205">
        <v>2.0</v>
      </c>
      <c r="AJ122" s="205">
        <v>986.0</v>
      </c>
      <c r="AK122" s="205">
        <v>0.0</v>
      </c>
      <c r="AL122" s="205">
        <v>0.0</v>
      </c>
      <c r="AM122" s="205">
        <v>0.0</v>
      </c>
      <c r="AN122" s="205">
        <v>0.0</v>
      </c>
      <c r="AO122" s="208">
        <v>4.25498</v>
      </c>
      <c r="AP122" s="208">
        <v>4.90068</v>
      </c>
      <c r="AQ122" s="208">
        <v>6.58062</v>
      </c>
      <c r="AR122" s="208">
        <v>3.7186</v>
      </c>
      <c r="AT122" s="192" t="s">
        <v>294</v>
      </c>
      <c r="AU122" s="211" t="s">
        <v>293</v>
      </c>
      <c r="AV122" s="211" t="s">
        <v>1667</v>
      </c>
      <c r="AW122" s="211" t="s">
        <v>1668</v>
      </c>
      <c r="AX122" s="211" t="s">
        <v>294</v>
      </c>
      <c r="AY122" s="212">
        <v>2.0</v>
      </c>
      <c r="AZ122" s="213">
        <v>4.5</v>
      </c>
      <c r="BA122" s="213">
        <v>3.75</v>
      </c>
      <c r="BB122" s="213">
        <v>2.5</v>
      </c>
      <c r="BC122" s="212">
        <v>5.2</v>
      </c>
      <c r="BD122" s="213">
        <v>10.0</v>
      </c>
      <c r="BE122" s="213">
        <v>10.0</v>
      </c>
      <c r="BF122" s="213">
        <v>7.0</v>
      </c>
      <c r="BG122" s="212">
        <v>10.333333333333332</v>
      </c>
      <c r="BH122" s="213">
        <v>9.416666666666666</v>
      </c>
      <c r="BI122" s="213">
        <v>0.0012500000011641532</v>
      </c>
      <c r="BJ122" s="213">
        <v>0.001288580247395051</v>
      </c>
      <c r="BK122" s="213">
        <v>262.5</v>
      </c>
      <c r="BL122" s="212">
        <v>7.0</v>
      </c>
      <c r="BM122" s="213">
        <v>4.625</v>
      </c>
      <c r="BN122" s="213">
        <v>0.0025000000023283064</v>
      </c>
      <c r="BO122" s="213">
        <v>0.002577160494790102</v>
      </c>
      <c r="BP122" s="213">
        <v>131.25</v>
      </c>
      <c r="BQ122" s="192"/>
      <c r="BR122" s="192"/>
    </row>
    <row r="123">
      <c r="A123" s="60">
        <v>2405667.0</v>
      </c>
      <c r="B123" s="205">
        <v>2530278.0</v>
      </c>
      <c r="C123" s="205">
        <v>1157572.0</v>
      </c>
      <c r="D123" s="205">
        <v>1.0</v>
      </c>
      <c r="E123" s="207">
        <v>43948.14493055556</v>
      </c>
      <c r="F123" s="207">
        <v>44234.79298611111</v>
      </c>
      <c r="G123" s="207">
        <v>44220.75746527778</v>
      </c>
      <c r="H123" s="63" t="s">
        <v>1661</v>
      </c>
      <c r="I123" s="205">
        <v>175.0</v>
      </c>
      <c r="J123" s="63" t="s">
        <v>1662</v>
      </c>
      <c r="K123" s="205">
        <v>689997.0</v>
      </c>
      <c r="L123" s="208">
        <v>4.65944</v>
      </c>
      <c r="M123" s="208">
        <v>2.28575</v>
      </c>
      <c r="N123" s="208">
        <v>2.1711</v>
      </c>
      <c r="O123" s="209">
        <v>4.0</v>
      </c>
      <c r="P123" s="209">
        <v>9.0</v>
      </c>
      <c r="Q123" s="209">
        <v>7.5</v>
      </c>
      <c r="R123" s="209">
        <v>5.0</v>
      </c>
      <c r="S123" s="210">
        <v>0.0018750000017462298</v>
      </c>
      <c r="T123" s="63" t="s">
        <v>1663</v>
      </c>
      <c r="U123" s="205">
        <v>10.0</v>
      </c>
      <c r="V123" s="205">
        <v>2.0</v>
      </c>
      <c r="W123" s="63" t="s">
        <v>1664</v>
      </c>
      <c r="X123" s="210">
        <v>0.0019328703710925765</v>
      </c>
      <c r="Y123" s="63" t="s">
        <v>1116</v>
      </c>
      <c r="Z123" s="63" t="s">
        <v>1665</v>
      </c>
      <c r="AA123" s="205">
        <v>0.0</v>
      </c>
      <c r="AB123" s="63" t="s">
        <v>1666</v>
      </c>
      <c r="AC123" s="205">
        <v>554.0</v>
      </c>
      <c r="AD123" s="208">
        <v>9.48266</v>
      </c>
      <c r="AE123" s="205">
        <v>211501.0</v>
      </c>
      <c r="AF123" s="205">
        <v>53152.0</v>
      </c>
      <c r="AG123" s="205">
        <v>345.0</v>
      </c>
      <c r="AH123" s="205">
        <v>290.0</v>
      </c>
      <c r="AI123" s="205">
        <v>2.0</v>
      </c>
      <c r="AJ123" s="205">
        <v>986.0</v>
      </c>
      <c r="AK123" s="205">
        <v>0.0</v>
      </c>
      <c r="AL123" s="205">
        <v>0.0</v>
      </c>
      <c r="AM123" s="205">
        <v>0.0</v>
      </c>
      <c r="AN123" s="205">
        <v>0.0</v>
      </c>
      <c r="AO123" s="208">
        <v>4.25498</v>
      </c>
      <c r="AP123" s="208">
        <v>4.90068</v>
      </c>
      <c r="AQ123" s="208">
        <v>6.58062</v>
      </c>
      <c r="AR123" s="208">
        <v>3.7186</v>
      </c>
      <c r="AT123" s="192" t="s">
        <v>294</v>
      </c>
      <c r="AU123" s="211" t="s">
        <v>293</v>
      </c>
      <c r="AV123" s="211" t="s">
        <v>1667</v>
      </c>
      <c r="AW123" s="211" t="s">
        <v>1668</v>
      </c>
      <c r="AX123" s="211" t="s">
        <v>294</v>
      </c>
      <c r="AY123" s="212">
        <v>2.0</v>
      </c>
      <c r="AZ123" s="213">
        <v>4.5</v>
      </c>
      <c r="BA123" s="213">
        <v>3.75</v>
      </c>
      <c r="BB123" s="213">
        <v>2.5</v>
      </c>
      <c r="BC123" s="212">
        <v>5.2</v>
      </c>
      <c r="BD123" s="213">
        <v>10.0</v>
      </c>
      <c r="BE123" s="213">
        <v>10.0</v>
      </c>
      <c r="BF123" s="213">
        <v>7.0</v>
      </c>
      <c r="BG123" s="212">
        <v>10.333333333333332</v>
      </c>
      <c r="BH123" s="213">
        <v>9.416666666666666</v>
      </c>
      <c r="BI123" s="213">
        <v>0.0012500000011641532</v>
      </c>
      <c r="BJ123" s="213">
        <v>0.001288580247395051</v>
      </c>
      <c r="BK123" s="213">
        <v>262.5</v>
      </c>
      <c r="BL123" s="212">
        <v>7.0</v>
      </c>
      <c r="BM123" s="213">
        <v>4.625</v>
      </c>
      <c r="BN123" s="213">
        <v>0.0025000000023283064</v>
      </c>
      <c r="BO123" s="213">
        <v>0.002577160494790102</v>
      </c>
      <c r="BP123" s="213">
        <v>131.25</v>
      </c>
      <c r="BQ123" s="192"/>
      <c r="BR123" s="192"/>
    </row>
    <row r="124">
      <c r="A124" s="60">
        <v>3035501.0</v>
      </c>
      <c r="B124" s="205">
        <v>892543.0</v>
      </c>
      <c r="C124" s="205">
        <v>409898.0</v>
      </c>
      <c r="D124" s="205">
        <v>1.0</v>
      </c>
      <c r="E124" s="207">
        <v>42396.65402777778</v>
      </c>
      <c r="F124" s="207">
        <v>42460.903460648144</v>
      </c>
      <c r="G124" s="207">
        <v>42453.866643518515</v>
      </c>
      <c r="H124" s="63" t="s">
        <v>1669</v>
      </c>
      <c r="I124" s="205">
        <v>185.0</v>
      </c>
      <c r="J124" s="63" t="s">
        <v>1670</v>
      </c>
      <c r="K124" s="205">
        <v>1623405.0</v>
      </c>
      <c r="L124" s="208">
        <v>4.51852</v>
      </c>
      <c r="M124" s="208">
        <v>2.35799</v>
      </c>
      <c r="N124" s="208">
        <v>1.91369</v>
      </c>
      <c r="O124" s="209">
        <v>4.0</v>
      </c>
      <c r="P124" s="209">
        <v>8.7</v>
      </c>
      <c r="Q124" s="209">
        <v>7.0</v>
      </c>
      <c r="R124" s="209">
        <v>6.5</v>
      </c>
      <c r="S124" s="210">
        <v>0.002534722221753327</v>
      </c>
      <c r="T124" s="63" t="s">
        <v>1671</v>
      </c>
      <c r="U124" s="205">
        <v>2.0</v>
      </c>
      <c r="V124" s="205">
        <v>3.0</v>
      </c>
      <c r="W124" s="63" t="s">
        <v>1672</v>
      </c>
      <c r="X124" s="210">
        <v>0.002615740741021</v>
      </c>
      <c r="Y124" s="63" t="s">
        <v>1673</v>
      </c>
      <c r="Z124" s="63" t="s">
        <v>1674</v>
      </c>
      <c r="AA124" s="205">
        <v>0.0</v>
      </c>
      <c r="AB124" s="63" t="s">
        <v>1675</v>
      </c>
      <c r="AC124" s="205">
        <v>3721.0</v>
      </c>
      <c r="AD124" s="208">
        <v>9.42655</v>
      </c>
      <c r="AE124" s="205">
        <v>1578300.0</v>
      </c>
      <c r="AF124" s="205">
        <v>207403.0</v>
      </c>
      <c r="AG124" s="205">
        <v>315.0</v>
      </c>
      <c r="AH124" s="205">
        <v>384.0</v>
      </c>
      <c r="AI124" s="205">
        <v>0.0</v>
      </c>
      <c r="AJ124" s="205">
        <v>1098.0</v>
      </c>
      <c r="AK124" s="205">
        <v>0.0</v>
      </c>
      <c r="AL124" s="205">
        <v>0.0</v>
      </c>
      <c r="AM124" s="205">
        <v>0.0</v>
      </c>
      <c r="AN124" s="205">
        <v>0.0</v>
      </c>
      <c r="AO124" s="208">
        <v>4.09826</v>
      </c>
      <c r="AP124" s="208">
        <v>4.83014</v>
      </c>
      <c r="AQ124" s="208">
        <v>6.26113</v>
      </c>
      <c r="AR124" s="208">
        <v>3.65395</v>
      </c>
      <c r="AT124" s="192" t="s">
        <v>297</v>
      </c>
      <c r="AU124" s="211" t="s">
        <v>296</v>
      </c>
      <c r="AV124" s="211" t="s">
        <v>1676</v>
      </c>
      <c r="AW124" s="211" t="s">
        <v>1677</v>
      </c>
      <c r="AX124" s="211" t="s">
        <v>297</v>
      </c>
      <c r="AY124" s="212">
        <v>2.0</v>
      </c>
      <c r="AZ124" s="213">
        <v>4.35</v>
      </c>
      <c r="BA124" s="213">
        <v>3.5</v>
      </c>
      <c r="BB124" s="213">
        <v>3.25</v>
      </c>
      <c r="BC124" s="212">
        <v>5.2</v>
      </c>
      <c r="BD124" s="213">
        <v>10.0</v>
      </c>
      <c r="BE124" s="213">
        <v>9.799999999999999</v>
      </c>
      <c r="BF124" s="213">
        <v>9.1</v>
      </c>
      <c r="BG124" s="212">
        <v>10.133333333333333</v>
      </c>
      <c r="BH124" s="213">
        <v>9.083333333333334</v>
      </c>
      <c r="BI124" s="213">
        <v>0.001689814814502218</v>
      </c>
      <c r="BJ124" s="213">
        <v>0.0017438271606806666</v>
      </c>
      <c r="BK124" s="213">
        <v>277.5</v>
      </c>
      <c r="BL124" s="212">
        <v>6.549999999999999</v>
      </c>
      <c r="BM124" s="213">
        <v>3.875</v>
      </c>
      <c r="BN124" s="213">
        <v>0.003379629629004436</v>
      </c>
      <c r="BO124" s="213">
        <v>0.003487654321361333</v>
      </c>
      <c r="BP124" s="213">
        <v>138.75</v>
      </c>
      <c r="BQ124" s="192"/>
      <c r="BR124" s="192"/>
    </row>
    <row r="125">
      <c r="A125" s="60">
        <v>2694599.0</v>
      </c>
      <c r="B125" s="205">
        <v>892543.0</v>
      </c>
      <c r="C125" s="205">
        <v>409898.0</v>
      </c>
      <c r="D125" s="205">
        <v>1.0</v>
      </c>
      <c r="E125" s="207">
        <v>42396.65402777778</v>
      </c>
      <c r="F125" s="207">
        <v>42460.903460648144</v>
      </c>
      <c r="G125" s="207">
        <v>42453.866643518515</v>
      </c>
      <c r="H125" s="63" t="s">
        <v>1669</v>
      </c>
      <c r="I125" s="205">
        <v>185.0</v>
      </c>
      <c r="J125" s="63" t="s">
        <v>1670</v>
      </c>
      <c r="K125" s="205">
        <v>1623405.0</v>
      </c>
      <c r="L125" s="208">
        <v>4.51852</v>
      </c>
      <c r="M125" s="208">
        <v>2.35799</v>
      </c>
      <c r="N125" s="208">
        <v>1.91369</v>
      </c>
      <c r="O125" s="209">
        <v>4.0</v>
      </c>
      <c r="P125" s="209">
        <v>8.7</v>
      </c>
      <c r="Q125" s="209">
        <v>7.0</v>
      </c>
      <c r="R125" s="209">
        <v>6.5</v>
      </c>
      <c r="S125" s="210">
        <v>0.002534722221753327</v>
      </c>
      <c r="T125" s="63" t="s">
        <v>1671</v>
      </c>
      <c r="U125" s="205">
        <v>2.0</v>
      </c>
      <c r="V125" s="205">
        <v>3.0</v>
      </c>
      <c r="W125" s="63" t="s">
        <v>1672</v>
      </c>
      <c r="X125" s="210">
        <v>0.002615740741021</v>
      </c>
      <c r="Y125" s="63" t="s">
        <v>1673</v>
      </c>
      <c r="Z125" s="63" t="s">
        <v>1674</v>
      </c>
      <c r="AA125" s="205">
        <v>0.0</v>
      </c>
      <c r="AB125" s="63" t="s">
        <v>1675</v>
      </c>
      <c r="AC125" s="205">
        <v>3721.0</v>
      </c>
      <c r="AD125" s="208">
        <v>9.42655</v>
      </c>
      <c r="AE125" s="205">
        <v>1578300.0</v>
      </c>
      <c r="AF125" s="205">
        <v>207403.0</v>
      </c>
      <c r="AG125" s="205">
        <v>315.0</v>
      </c>
      <c r="AH125" s="205">
        <v>384.0</v>
      </c>
      <c r="AI125" s="205">
        <v>0.0</v>
      </c>
      <c r="AJ125" s="205">
        <v>1098.0</v>
      </c>
      <c r="AK125" s="205">
        <v>0.0</v>
      </c>
      <c r="AL125" s="205">
        <v>0.0</v>
      </c>
      <c r="AM125" s="205">
        <v>0.0</v>
      </c>
      <c r="AN125" s="205">
        <v>0.0</v>
      </c>
      <c r="AO125" s="208">
        <v>4.09826</v>
      </c>
      <c r="AP125" s="208">
        <v>4.83014</v>
      </c>
      <c r="AQ125" s="208">
        <v>6.26113</v>
      </c>
      <c r="AR125" s="208">
        <v>3.65395</v>
      </c>
      <c r="AT125" s="192" t="s">
        <v>297</v>
      </c>
      <c r="AU125" s="211" t="s">
        <v>296</v>
      </c>
      <c r="AV125" s="211" t="s">
        <v>1676</v>
      </c>
      <c r="AW125" s="211" t="s">
        <v>1677</v>
      </c>
      <c r="AX125" s="211" t="s">
        <v>297</v>
      </c>
      <c r="AY125" s="212">
        <v>2.0</v>
      </c>
      <c r="AZ125" s="213">
        <v>4.35</v>
      </c>
      <c r="BA125" s="213">
        <v>3.5</v>
      </c>
      <c r="BB125" s="213">
        <v>3.25</v>
      </c>
      <c r="BC125" s="212">
        <v>5.2</v>
      </c>
      <c r="BD125" s="213">
        <v>10.0</v>
      </c>
      <c r="BE125" s="213">
        <v>9.799999999999999</v>
      </c>
      <c r="BF125" s="213">
        <v>9.1</v>
      </c>
      <c r="BG125" s="212">
        <v>10.133333333333333</v>
      </c>
      <c r="BH125" s="213">
        <v>9.083333333333334</v>
      </c>
      <c r="BI125" s="213">
        <v>0.001689814814502218</v>
      </c>
      <c r="BJ125" s="213">
        <v>0.0017438271606806666</v>
      </c>
      <c r="BK125" s="213">
        <v>277.5</v>
      </c>
      <c r="BL125" s="212">
        <v>6.549999999999999</v>
      </c>
      <c r="BM125" s="213">
        <v>3.875</v>
      </c>
      <c r="BN125" s="213">
        <v>0.003379629629004436</v>
      </c>
      <c r="BO125" s="213">
        <v>0.003487654321361333</v>
      </c>
      <c r="BP125" s="213">
        <v>138.75</v>
      </c>
      <c r="BQ125" s="192"/>
      <c r="BR125" s="192"/>
    </row>
    <row r="126">
      <c r="A126" s="60">
        <v>417898.0</v>
      </c>
      <c r="B126" s="205">
        <v>63604.0</v>
      </c>
      <c r="C126" s="205">
        <v>4404.0</v>
      </c>
      <c r="D126" s="205">
        <v>1.0</v>
      </c>
      <c r="E126" s="207">
        <v>39803.98734953704</v>
      </c>
      <c r="F126" s="207">
        <v>40589.61748842592</v>
      </c>
      <c r="G126" s="207">
        <v>40589.349699074075</v>
      </c>
      <c r="H126" s="63" t="s">
        <v>1678</v>
      </c>
      <c r="I126" s="205">
        <v>115.0</v>
      </c>
      <c r="J126" s="63" t="s">
        <v>1679</v>
      </c>
      <c r="K126" s="205">
        <v>13996.0</v>
      </c>
      <c r="L126" s="208">
        <v>4.30599</v>
      </c>
      <c r="M126" s="208">
        <v>2.11198</v>
      </c>
      <c r="N126" s="208">
        <v>2.00682</v>
      </c>
      <c r="O126" s="209">
        <v>4.0</v>
      </c>
      <c r="P126" s="209">
        <v>8.0</v>
      </c>
      <c r="Q126" s="209">
        <v>8.0</v>
      </c>
      <c r="R126" s="209">
        <v>6.0</v>
      </c>
      <c r="S126" s="210">
        <v>0.0023032407407299615</v>
      </c>
      <c r="U126" s="205">
        <v>14.0</v>
      </c>
      <c r="V126" s="205">
        <v>3.0</v>
      </c>
      <c r="W126" s="63" t="s">
        <v>1680</v>
      </c>
      <c r="X126" s="210">
        <v>0.0025810185179580003</v>
      </c>
      <c r="Y126" s="63" t="s">
        <v>1116</v>
      </c>
      <c r="Z126" s="63" t="s">
        <v>1681</v>
      </c>
      <c r="AA126" s="205">
        <v>0.0</v>
      </c>
      <c r="AB126" s="63" t="s">
        <v>1682</v>
      </c>
      <c r="AC126" s="205">
        <v>403.0</v>
      </c>
      <c r="AD126" s="208">
        <v>9.37675</v>
      </c>
      <c r="AE126" s="205">
        <v>213655.0</v>
      </c>
      <c r="AF126" s="205">
        <v>30047.0</v>
      </c>
      <c r="AG126" s="205">
        <v>412.0</v>
      </c>
      <c r="AH126" s="205">
        <v>211.0</v>
      </c>
      <c r="AI126" s="205">
        <v>4.0</v>
      </c>
      <c r="AJ126" s="205">
        <v>875.0</v>
      </c>
      <c r="AK126" s="205">
        <v>1.0</v>
      </c>
      <c r="AL126" s="205">
        <v>0.0</v>
      </c>
      <c r="AM126" s="205">
        <v>0.0</v>
      </c>
      <c r="AN126" s="205">
        <v>0.0</v>
      </c>
      <c r="AO126" s="208">
        <v>3.90118</v>
      </c>
      <c r="AP126" s="208">
        <v>4.68043</v>
      </c>
      <c r="AQ126" s="208">
        <v>6.09683</v>
      </c>
      <c r="AR126" s="208">
        <v>3.42814</v>
      </c>
      <c r="AT126" s="192" t="s">
        <v>344</v>
      </c>
      <c r="AU126" s="211" t="s">
        <v>343</v>
      </c>
      <c r="AV126" s="211" t="s">
        <v>1683</v>
      </c>
      <c r="AW126" s="211" t="s">
        <v>1684</v>
      </c>
      <c r="AX126" s="211" t="s">
        <v>344</v>
      </c>
      <c r="AY126" s="212">
        <v>2.0</v>
      </c>
      <c r="AZ126" s="213">
        <v>4.0</v>
      </c>
      <c r="BA126" s="213">
        <v>4.0</v>
      </c>
      <c r="BB126" s="213">
        <v>3.0</v>
      </c>
      <c r="BC126" s="212">
        <v>5.2</v>
      </c>
      <c r="BD126" s="213">
        <v>10.0</v>
      </c>
      <c r="BE126" s="213">
        <v>10.0</v>
      </c>
      <c r="BF126" s="213">
        <v>8.399999999999999</v>
      </c>
      <c r="BG126" s="212">
        <v>9.666666666666668</v>
      </c>
      <c r="BH126" s="213">
        <v>9.75</v>
      </c>
      <c r="BI126" s="213">
        <v>0.0015354938271533076</v>
      </c>
      <c r="BJ126" s="213">
        <v>0.0017206790119720001</v>
      </c>
      <c r="BK126" s="213">
        <v>172.5</v>
      </c>
      <c r="BL126" s="212">
        <v>5.5</v>
      </c>
      <c r="BM126" s="213">
        <v>5.375</v>
      </c>
      <c r="BN126" s="213">
        <v>0.0030709876543066152</v>
      </c>
      <c r="BO126" s="213">
        <v>0.0034413580239440003</v>
      </c>
      <c r="BP126" s="213">
        <v>86.25</v>
      </c>
      <c r="BQ126" s="192"/>
      <c r="BR126" s="192"/>
    </row>
    <row r="127">
      <c r="A127" s="60">
        <v>2532230.0</v>
      </c>
      <c r="B127" s="205">
        <v>63604.0</v>
      </c>
      <c r="C127" s="205">
        <v>4404.0</v>
      </c>
      <c r="D127" s="205">
        <v>1.0</v>
      </c>
      <c r="E127" s="207">
        <v>39803.98734953704</v>
      </c>
      <c r="F127" s="207">
        <v>40589.61748842592</v>
      </c>
      <c r="G127" s="207">
        <v>40589.349699074075</v>
      </c>
      <c r="H127" s="63" t="s">
        <v>1678</v>
      </c>
      <c r="I127" s="205">
        <v>115.0</v>
      </c>
      <c r="J127" s="63" t="s">
        <v>1679</v>
      </c>
      <c r="K127" s="205">
        <v>13996.0</v>
      </c>
      <c r="L127" s="208">
        <v>4.30599</v>
      </c>
      <c r="M127" s="208">
        <v>2.11198</v>
      </c>
      <c r="N127" s="208">
        <v>2.00682</v>
      </c>
      <c r="O127" s="209">
        <v>4.0</v>
      </c>
      <c r="P127" s="209">
        <v>8.0</v>
      </c>
      <c r="Q127" s="209">
        <v>8.0</v>
      </c>
      <c r="R127" s="209">
        <v>6.0</v>
      </c>
      <c r="S127" s="210">
        <v>0.0023032407407299615</v>
      </c>
      <c r="U127" s="205">
        <v>14.0</v>
      </c>
      <c r="V127" s="205">
        <v>3.0</v>
      </c>
      <c r="W127" s="63" t="s">
        <v>1680</v>
      </c>
      <c r="X127" s="210">
        <v>0.0025810185179580003</v>
      </c>
      <c r="Y127" s="63" t="s">
        <v>1116</v>
      </c>
      <c r="Z127" s="63" t="s">
        <v>1681</v>
      </c>
      <c r="AA127" s="205">
        <v>0.0</v>
      </c>
      <c r="AB127" s="63" t="s">
        <v>1682</v>
      </c>
      <c r="AC127" s="205">
        <v>403.0</v>
      </c>
      <c r="AD127" s="208">
        <v>9.37675</v>
      </c>
      <c r="AE127" s="205">
        <v>213655.0</v>
      </c>
      <c r="AF127" s="205">
        <v>30047.0</v>
      </c>
      <c r="AG127" s="205">
        <v>412.0</v>
      </c>
      <c r="AH127" s="205">
        <v>211.0</v>
      </c>
      <c r="AI127" s="205">
        <v>4.0</v>
      </c>
      <c r="AJ127" s="205">
        <v>875.0</v>
      </c>
      <c r="AK127" s="205">
        <v>1.0</v>
      </c>
      <c r="AL127" s="205">
        <v>0.0</v>
      </c>
      <c r="AM127" s="205">
        <v>0.0</v>
      </c>
      <c r="AN127" s="205">
        <v>0.0</v>
      </c>
      <c r="AO127" s="208">
        <v>3.90118</v>
      </c>
      <c r="AP127" s="208">
        <v>4.68043</v>
      </c>
      <c r="AQ127" s="208">
        <v>6.09683</v>
      </c>
      <c r="AR127" s="208">
        <v>3.42814</v>
      </c>
      <c r="AT127" s="192" t="s">
        <v>344</v>
      </c>
      <c r="AU127" s="211" t="s">
        <v>343</v>
      </c>
      <c r="AV127" s="211" t="s">
        <v>1683</v>
      </c>
      <c r="AW127" s="211" t="s">
        <v>1684</v>
      </c>
      <c r="AX127" s="211" t="s">
        <v>344</v>
      </c>
      <c r="AY127" s="212">
        <v>2.0</v>
      </c>
      <c r="AZ127" s="213">
        <v>4.0</v>
      </c>
      <c r="BA127" s="213">
        <v>4.0</v>
      </c>
      <c r="BB127" s="213">
        <v>3.0</v>
      </c>
      <c r="BC127" s="212">
        <v>5.2</v>
      </c>
      <c r="BD127" s="213">
        <v>10.0</v>
      </c>
      <c r="BE127" s="213">
        <v>10.0</v>
      </c>
      <c r="BF127" s="213">
        <v>8.399999999999999</v>
      </c>
      <c r="BG127" s="212">
        <v>9.666666666666668</v>
      </c>
      <c r="BH127" s="213">
        <v>9.75</v>
      </c>
      <c r="BI127" s="213">
        <v>0.0015354938271533076</v>
      </c>
      <c r="BJ127" s="213">
        <v>0.0017206790119720001</v>
      </c>
      <c r="BK127" s="213">
        <v>172.5</v>
      </c>
      <c r="BL127" s="212">
        <v>5.5</v>
      </c>
      <c r="BM127" s="213">
        <v>5.375</v>
      </c>
      <c r="BN127" s="213">
        <v>0.0030709876543066152</v>
      </c>
      <c r="BO127" s="213">
        <v>0.0034413580239440003</v>
      </c>
      <c r="BP127" s="213">
        <v>86.25</v>
      </c>
      <c r="BQ127" s="192"/>
      <c r="BR127" s="192"/>
    </row>
    <row r="128">
      <c r="A128" s="60">
        <v>1592512.0</v>
      </c>
      <c r="B128" s="205">
        <v>3707336.0</v>
      </c>
      <c r="C128" s="205">
        <v>1807695.0</v>
      </c>
      <c r="D128" s="205">
        <v>1.0</v>
      </c>
      <c r="E128" s="207">
        <v>44757.79179398148</v>
      </c>
      <c r="F128" s="207">
        <v>44831.19664351852</v>
      </c>
      <c r="G128" s="207">
        <v>44823.83960648148</v>
      </c>
      <c r="H128" s="63" t="s">
        <v>1685</v>
      </c>
      <c r="I128" s="205">
        <v>177.0</v>
      </c>
      <c r="J128" s="63" t="s">
        <v>148</v>
      </c>
      <c r="K128" s="205">
        <v>7777875.0</v>
      </c>
      <c r="L128" s="208">
        <v>6.11031</v>
      </c>
      <c r="M128" s="208">
        <v>3.15049</v>
      </c>
      <c r="N128" s="208">
        <v>2.6482</v>
      </c>
      <c r="O128" s="209">
        <v>4.2</v>
      </c>
      <c r="P128" s="209">
        <v>9.2</v>
      </c>
      <c r="Q128" s="209">
        <v>9.2</v>
      </c>
      <c r="R128" s="209">
        <v>5.4</v>
      </c>
      <c r="S128" s="210">
        <v>0.002777777779556345</v>
      </c>
      <c r="U128" s="205">
        <v>4.0</v>
      </c>
      <c r="V128" s="205">
        <v>3.0</v>
      </c>
      <c r="W128" s="63" t="s">
        <v>1686</v>
      </c>
      <c r="X128" s="210">
        <v>0.002777777779556345</v>
      </c>
      <c r="Y128" s="63" t="s">
        <v>1687</v>
      </c>
      <c r="Z128" s="63" t="s">
        <v>1688</v>
      </c>
      <c r="AA128" s="205">
        <v>0.0</v>
      </c>
      <c r="AB128" s="63" t="s">
        <v>1689</v>
      </c>
      <c r="AC128" s="205">
        <v>78.0</v>
      </c>
      <c r="AD128" s="208">
        <v>8.85185</v>
      </c>
      <c r="AE128" s="205">
        <v>32833.0</v>
      </c>
      <c r="AF128" s="205">
        <v>2428.0</v>
      </c>
      <c r="AG128" s="205">
        <v>969.0</v>
      </c>
      <c r="AH128" s="205">
        <v>293.0</v>
      </c>
      <c r="AI128" s="205">
        <v>0.0</v>
      </c>
      <c r="AJ128" s="205">
        <v>1573.0</v>
      </c>
      <c r="AK128" s="205">
        <v>0.0</v>
      </c>
      <c r="AL128" s="205">
        <v>1.0</v>
      </c>
      <c r="AM128" s="205">
        <v>0.0</v>
      </c>
      <c r="AN128" s="205">
        <v>0.0</v>
      </c>
      <c r="AO128" s="208">
        <v>5.64213</v>
      </c>
      <c r="AP128" s="208">
        <v>6.46722</v>
      </c>
      <c r="AQ128" s="208">
        <v>8.74861</v>
      </c>
      <c r="AR128" s="208">
        <v>4.79176</v>
      </c>
      <c r="AT128" s="192" t="s">
        <v>1690</v>
      </c>
      <c r="AU128" s="211" t="s">
        <v>1691</v>
      </c>
      <c r="AV128" s="211" t="s">
        <v>1692</v>
      </c>
      <c r="AW128" s="211" t="s">
        <v>1693</v>
      </c>
      <c r="AX128" s="211" t="s">
        <v>1690</v>
      </c>
      <c r="AY128" s="212">
        <v>2.1</v>
      </c>
      <c r="AZ128" s="213">
        <v>4.6</v>
      </c>
      <c r="BA128" s="213">
        <v>4.6</v>
      </c>
      <c r="BB128" s="213">
        <v>2.7</v>
      </c>
      <c r="BC128" s="212">
        <v>5.460000000000001</v>
      </c>
      <c r="BD128" s="213">
        <v>10.0</v>
      </c>
      <c r="BE128" s="213">
        <v>10.0</v>
      </c>
      <c r="BF128" s="213">
        <v>7.56</v>
      </c>
      <c r="BG128" s="212">
        <v>10.466666666666667</v>
      </c>
      <c r="BH128" s="213">
        <v>10.549999999999999</v>
      </c>
      <c r="BI128" s="213">
        <v>0.0018518518530375634</v>
      </c>
      <c r="BJ128" s="213">
        <v>0.0018518518530375634</v>
      </c>
      <c r="BK128" s="213">
        <v>265.5</v>
      </c>
      <c r="BL128" s="212">
        <v>7.299999999999999</v>
      </c>
      <c r="BM128" s="213">
        <v>7.175</v>
      </c>
      <c r="BN128" s="213">
        <v>0.0037037037060751268</v>
      </c>
      <c r="BO128" s="213">
        <v>0.0037037037060751268</v>
      </c>
      <c r="BP128" s="213">
        <v>132.75</v>
      </c>
      <c r="BQ128" s="192"/>
      <c r="BR128" s="192"/>
    </row>
    <row r="129">
      <c r="A129" s="60">
        <v>4075902.0</v>
      </c>
      <c r="B129" s="205">
        <v>1733441.0</v>
      </c>
      <c r="C129" s="205">
        <v>824959.0</v>
      </c>
      <c r="D129" s="205">
        <v>1.0</v>
      </c>
      <c r="E129" s="207">
        <v>43314.31475694444</v>
      </c>
      <c r="F129" s="207">
        <v>43366.56967592593</v>
      </c>
      <c r="G129" s="207">
        <v>43356.0728125</v>
      </c>
      <c r="H129" s="63" t="s">
        <v>967</v>
      </c>
      <c r="I129" s="205">
        <v>170.0</v>
      </c>
      <c r="J129" s="63" t="s">
        <v>230</v>
      </c>
      <c r="K129" s="205">
        <v>4236057.0</v>
      </c>
      <c r="L129" s="208">
        <v>4.95838</v>
      </c>
      <c r="M129" s="208">
        <v>2.39408</v>
      </c>
      <c r="N129" s="208">
        <v>2.35196</v>
      </c>
      <c r="O129" s="209">
        <v>4.0</v>
      </c>
      <c r="P129" s="209">
        <v>9.0</v>
      </c>
      <c r="Q129" s="209">
        <v>8.0</v>
      </c>
      <c r="R129" s="209">
        <v>6.0</v>
      </c>
      <c r="S129" s="210">
        <v>0.001724537036352558</v>
      </c>
      <c r="T129" s="63" t="s">
        <v>1694</v>
      </c>
      <c r="U129" s="205">
        <v>2.0</v>
      </c>
      <c r="V129" s="205">
        <v>3.0</v>
      </c>
      <c r="W129" s="63" t="s">
        <v>1695</v>
      </c>
      <c r="X129" s="210">
        <v>0.001921296297950903</v>
      </c>
      <c r="Y129" s="63" t="s">
        <v>1696</v>
      </c>
      <c r="Z129" s="63" t="s">
        <v>1697</v>
      </c>
      <c r="AA129" s="205">
        <v>0.0</v>
      </c>
      <c r="AB129" s="63" t="s">
        <v>1698</v>
      </c>
      <c r="AC129" s="205">
        <v>693.0</v>
      </c>
      <c r="AD129" s="208">
        <v>9.4787</v>
      </c>
      <c r="AE129" s="205">
        <v>325584.0</v>
      </c>
      <c r="AF129" s="205">
        <v>23562.0</v>
      </c>
      <c r="AG129" s="205">
        <v>357.0</v>
      </c>
      <c r="AH129" s="205">
        <v>274.0</v>
      </c>
      <c r="AI129" s="205">
        <v>3.0</v>
      </c>
      <c r="AJ129" s="205">
        <v>921.0</v>
      </c>
      <c r="AK129" s="205">
        <v>0.0</v>
      </c>
      <c r="AL129" s="205">
        <v>0.0</v>
      </c>
      <c r="AM129" s="205">
        <v>0.0</v>
      </c>
      <c r="AN129" s="205">
        <v>0.0</v>
      </c>
      <c r="AO129" s="208">
        <v>4.56234</v>
      </c>
      <c r="AP129" s="208">
        <v>5.24381</v>
      </c>
      <c r="AQ129" s="208">
        <v>7.08253</v>
      </c>
      <c r="AR129" s="208">
        <v>3.91346</v>
      </c>
      <c r="AT129" s="192" t="s">
        <v>229</v>
      </c>
      <c r="AU129" s="211" t="s">
        <v>302</v>
      </c>
      <c r="AV129" s="211" t="s">
        <v>1699</v>
      </c>
      <c r="AW129" s="211" t="s">
        <v>1700</v>
      </c>
      <c r="AX129" s="211" t="s">
        <v>229</v>
      </c>
      <c r="AY129" s="212">
        <v>2.0</v>
      </c>
      <c r="AZ129" s="213">
        <v>4.5</v>
      </c>
      <c r="BA129" s="213">
        <v>4.0</v>
      </c>
      <c r="BB129" s="213">
        <v>3.0</v>
      </c>
      <c r="BC129" s="212">
        <v>5.2</v>
      </c>
      <c r="BD129" s="213">
        <v>10.0</v>
      </c>
      <c r="BE129" s="213">
        <v>10.0</v>
      </c>
      <c r="BF129" s="213">
        <v>8.399999999999999</v>
      </c>
      <c r="BG129" s="212">
        <v>10.333333333333332</v>
      </c>
      <c r="BH129" s="213">
        <v>9.75</v>
      </c>
      <c r="BI129" s="213">
        <v>0.001149691357568372</v>
      </c>
      <c r="BJ129" s="213">
        <v>0.0012808641986339353</v>
      </c>
      <c r="BK129" s="213">
        <v>255.0</v>
      </c>
      <c r="BL129" s="212">
        <v>7.0</v>
      </c>
      <c r="BM129" s="213">
        <v>5.375</v>
      </c>
      <c r="BN129" s="213">
        <v>0.002299382715136744</v>
      </c>
      <c r="BO129" s="213">
        <v>0.0025617283972678706</v>
      </c>
      <c r="BP129" s="213">
        <v>127.5</v>
      </c>
      <c r="BQ129" s="192"/>
      <c r="BR129" s="192"/>
    </row>
    <row r="130">
      <c r="A130" s="60">
        <v>3711739.0</v>
      </c>
      <c r="B130" s="205">
        <v>1733441.0</v>
      </c>
      <c r="C130" s="205">
        <v>824959.0</v>
      </c>
      <c r="D130" s="205">
        <v>1.0</v>
      </c>
      <c r="E130" s="207">
        <v>43314.31475694444</v>
      </c>
      <c r="F130" s="207">
        <v>43366.56967592593</v>
      </c>
      <c r="G130" s="207">
        <v>43356.0728125</v>
      </c>
      <c r="H130" s="63" t="s">
        <v>967</v>
      </c>
      <c r="I130" s="205">
        <v>170.0</v>
      </c>
      <c r="J130" s="63" t="s">
        <v>230</v>
      </c>
      <c r="K130" s="205">
        <v>4236057.0</v>
      </c>
      <c r="L130" s="208">
        <v>4.95838</v>
      </c>
      <c r="M130" s="208">
        <v>2.39408</v>
      </c>
      <c r="N130" s="208">
        <v>2.35196</v>
      </c>
      <c r="O130" s="209">
        <v>4.0</v>
      </c>
      <c r="P130" s="209">
        <v>9.0</v>
      </c>
      <c r="Q130" s="209">
        <v>8.0</v>
      </c>
      <c r="R130" s="209">
        <v>6.0</v>
      </c>
      <c r="S130" s="210">
        <v>0.001724537036352558</v>
      </c>
      <c r="T130" s="63" t="s">
        <v>1694</v>
      </c>
      <c r="U130" s="205">
        <v>2.0</v>
      </c>
      <c r="V130" s="205">
        <v>3.0</v>
      </c>
      <c r="W130" s="63" t="s">
        <v>1695</v>
      </c>
      <c r="X130" s="210">
        <v>0.001921296297950903</v>
      </c>
      <c r="Y130" s="63" t="s">
        <v>1696</v>
      </c>
      <c r="Z130" s="63" t="s">
        <v>1697</v>
      </c>
      <c r="AA130" s="205">
        <v>0.0</v>
      </c>
      <c r="AB130" s="63" t="s">
        <v>1698</v>
      </c>
      <c r="AC130" s="205">
        <v>693.0</v>
      </c>
      <c r="AD130" s="208">
        <v>9.4787</v>
      </c>
      <c r="AE130" s="205">
        <v>325584.0</v>
      </c>
      <c r="AF130" s="205">
        <v>23562.0</v>
      </c>
      <c r="AG130" s="205">
        <v>357.0</v>
      </c>
      <c r="AH130" s="205">
        <v>274.0</v>
      </c>
      <c r="AI130" s="205">
        <v>3.0</v>
      </c>
      <c r="AJ130" s="205">
        <v>921.0</v>
      </c>
      <c r="AK130" s="205">
        <v>0.0</v>
      </c>
      <c r="AL130" s="205">
        <v>0.0</v>
      </c>
      <c r="AM130" s="205">
        <v>0.0</v>
      </c>
      <c r="AN130" s="205">
        <v>0.0</v>
      </c>
      <c r="AO130" s="208">
        <v>4.56234</v>
      </c>
      <c r="AP130" s="208">
        <v>5.24381</v>
      </c>
      <c r="AQ130" s="208">
        <v>7.08253</v>
      </c>
      <c r="AR130" s="208">
        <v>3.91346</v>
      </c>
      <c r="AT130" s="192" t="s">
        <v>229</v>
      </c>
      <c r="AU130" s="211" t="s">
        <v>302</v>
      </c>
      <c r="AV130" s="211" t="s">
        <v>1699</v>
      </c>
      <c r="AW130" s="211" t="s">
        <v>1700</v>
      </c>
      <c r="AX130" s="211" t="s">
        <v>229</v>
      </c>
      <c r="AY130" s="212">
        <v>2.0</v>
      </c>
      <c r="AZ130" s="213">
        <v>4.5</v>
      </c>
      <c r="BA130" s="213">
        <v>4.0</v>
      </c>
      <c r="BB130" s="213">
        <v>3.0</v>
      </c>
      <c r="BC130" s="212">
        <v>5.2</v>
      </c>
      <c r="BD130" s="213">
        <v>10.0</v>
      </c>
      <c r="BE130" s="213">
        <v>10.0</v>
      </c>
      <c r="BF130" s="213">
        <v>8.399999999999999</v>
      </c>
      <c r="BG130" s="212">
        <v>10.333333333333332</v>
      </c>
      <c r="BH130" s="213">
        <v>9.75</v>
      </c>
      <c r="BI130" s="213">
        <v>0.001149691357568372</v>
      </c>
      <c r="BJ130" s="213">
        <v>0.0012808641986339353</v>
      </c>
      <c r="BK130" s="213">
        <v>255.0</v>
      </c>
      <c r="BL130" s="212">
        <v>7.0</v>
      </c>
      <c r="BM130" s="213">
        <v>5.375</v>
      </c>
      <c r="BN130" s="213">
        <v>0.002299382715136744</v>
      </c>
      <c r="BO130" s="213">
        <v>0.0025617283972678706</v>
      </c>
      <c r="BP130" s="213">
        <v>127.5</v>
      </c>
      <c r="BQ130" s="192"/>
      <c r="BR130" s="192"/>
    </row>
    <row r="131">
      <c r="A131" s="60">
        <v>134141.0</v>
      </c>
      <c r="B131" s="205">
        <v>3601684.0</v>
      </c>
      <c r="C131" s="205">
        <v>1759764.0</v>
      </c>
      <c r="D131" s="205">
        <v>1.0</v>
      </c>
      <c r="E131" s="207">
        <v>44689.54002314815</v>
      </c>
      <c r="F131" s="207">
        <v>44770.530173611114</v>
      </c>
      <c r="G131" s="207">
        <v>44763.302037037036</v>
      </c>
      <c r="H131" s="63" t="s">
        <v>966</v>
      </c>
      <c r="I131" s="205">
        <v>142.0</v>
      </c>
      <c r="J131" s="63" t="s">
        <v>1701</v>
      </c>
      <c r="K131" s="205">
        <v>1.0562853E7</v>
      </c>
      <c r="L131" s="208">
        <v>4.7603</v>
      </c>
      <c r="M131" s="208">
        <v>2.40191</v>
      </c>
      <c r="N131" s="208">
        <v>2.13679</v>
      </c>
      <c r="O131" s="209">
        <v>4.0</v>
      </c>
      <c r="P131" s="209">
        <v>9.0</v>
      </c>
      <c r="Q131" s="209">
        <v>8.0</v>
      </c>
      <c r="R131" s="209">
        <v>5.0</v>
      </c>
      <c r="S131" s="210">
        <v>0.0022569444445252884</v>
      </c>
      <c r="U131" s="205">
        <v>5.0</v>
      </c>
      <c r="V131" s="205">
        <v>3.0</v>
      </c>
      <c r="W131" s="63" t="s">
        <v>1702</v>
      </c>
      <c r="X131" s="210">
        <v>0.002337962963792961</v>
      </c>
      <c r="Y131" s="63" t="s">
        <v>1703</v>
      </c>
      <c r="Z131" s="63" t="s">
        <v>1704</v>
      </c>
      <c r="AA131" s="205">
        <v>0.0</v>
      </c>
      <c r="AB131" s="63" t="s">
        <v>1705</v>
      </c>
      <c r="AC131" s="205">
        <v>860.0</v>
      </c>
      <c r="AD131" s="208">
        <v>9.55298</v>
      </c>
      <c r="AE131" s="205">
        <v>94546.0</v>
      </c>
      <c r="AF131" s="205">
        <v>19073.0</v>
      </c>
      <c r="AG131" s="205">
        <v>360.0</v>
      </c>
      <c r="AH131" s="205">
        <v>422.0</v>
      </c>
      <c r="AI131" s="205">
        <v>2.0</v>
      </c>
      <c r="AJ131" s="205">
        <v>1301.0</v>
      </c>
      <c r="AK131" s="205">
        <v>0.0</v>
      </c>
      <c r="AL131" s="205">
        <v>0.0</v>
      </c>
      <c r="AM131" s="205">
        <v>0.0</v>
      </c>
      <c r="AN131" s="205">
        <v>0.0</v>
      </c>
      <c r="AO131" s="208">
        <v>4.37043</v>
      </c>
      <c r="AP131" s="208">
        <v>5.09292</v>
      </c>
      <c r="AQ131" s="208">
        <v>6.7143</v>
      </c>
      <c r="AR131" s="208">
        <v>3.75193</v>
      </c>
      <c r="AT131" s="192" t="s">
        <v>305</v>
      </c>
      <c r="AU131" s="211" t="s">
        <v>304</v>
      </c>
      <c r="AV131" s="211" t="s">
        <v>1706</v>
      </c>
      <c r="AW131" s="211" t="s">
        <v>1707</v>
      </c>
      <c r="AX131" s="211" t="s">
        <v>305</v>
      </c>
      <c r="AY131" s="212">
        <v>2.0</v>
      </c>
      <c r="AZ131" s="213">
        <v>4.5</v>
      </c>
      <c r="BA131" s="213">
        <v>4.0</v>
      </c>
      <c r="BB131" s="213">
        <v>2.5</v>
      </c>
      <c r="BC131" s="212">
        <v>5.2</v>
      </c>
      <c r="BD131" s="213">
        <v>10.0</v>
      </c>
      <c r="BE131" s="213">
        <v>10.0</v>
      </c>
      <c r="BF131" s="213">
        <v>7.0</v>
      </c>
      <c r="BG131" s="212">
        <v>10.333333333333332</v>
      </c>
      <c r="BH131" s="213">
        <v>9.75</v>
      </c>
      <c r="BI131" s="213">
        <v>0.0015046296296835255</v>
      </c>
      <c r="BJ131" s="213">
        <v>0.001558641975861974</v>
      </c>
      <c r="BK131" s="213">
        <v>213.0</v>
      </c>
      <c r="BL131" s="212">
        <v>7.0</v>
      </c>
      <c r="BM131" s="213">
        <v>5.375</v>
      </c>
      <c r="BN131" s="213">
        <v>0.003009259259367051</v>
      </c>
      <c r="BO131" s="213">
        <v>0.003117283951723948</v>
      </c>
      <c r="BP131" s="213">
        <v>106.5</v>
      </c>
      <c r="BQ131" s="192"/>
      <c r="BR131" s="192"/>
    </row>
    <row r="132">
      <c r="A132" s="60">
        <v>87369.0</v>
      </c>
      <c r="B132" s="205">
        <v>3601684.0</v>
      </c>
      <c r="C132" s="205">
        <v>1759764.0</v>
      </c>
      <c r="D132" s="205">
        <v>1.0</v>
      </c>
      <c r="E132" s="207">
        <v>44689.54002314815</v>
      </c>
      <c r="F132" s="207">
        <v>44770.530173611114</v>
      </c>
      <c r="G132" s="207">
        <v>44763.302037037036</v>
      </c>
      <c r="H132" s="63" t="s">
        <v>966</v>
      </c>
      <c r="I132" s="205">
        <v>142.0</v>
      </c>
      <c r="J132" s="63" t="s">
        <v>1701</v>
      </c>
      <c r="K132" s="205">
        <v>1.0562853E7</v>
      </c>
      <c r="L132" s="208">
        <v>4.7603</v>
      </c>
      <c r="M132" s="208">
        <v>2.40191</v>
      </c>
      <c r="N132" s="208">
        <v>2.13679</v>
      </c>
      <c r="O132" s="209">
        <v>4.0</v>
      </c>
      <c r="P132" s="209">
        <v>9.0</v>
      </c>
      <c r="Q132" s="209">
        <v>8.0</v>
      </c>
      <c r="R132" s="209">
        <v>5.0</v>
      </c>
      <c r="S132" s="210">
        <v>0.0022569444445252884</v>
      </c>
      <c r="U132" s="205">
        <v>5.0</v>
      </c>
      <c r="V132" s="205">
        <v>3.0</v>
      </c>
      <c r="W132" s="63" t="s">
        <v>1702</v>
      </c>
      <c r="X132" s="210">
        <v>0.002337962963792961</v>
      </c>
      <c r="Y132" s="63" t="s">
        <v>1703</v>
      </c>
      <c r="Z132" s="63" t="s">
        <v>1704</v>
      </c>
      <c r="AA132" s="205">
        <v>0.0</v>
      </c>
      <c r="AB132" s="63" t="s">
        <v>1705</v>
      </c>
      <c r="AC132" s="205">
        <v>860.0</v>
      </c>
      <c r="AD132" s="208">
        <v>9.55298</v>
      </c>
      <c r="AE132" s="205">
        <v>94546.0</v>
      </c>
      <c r="AF132" s="205">
        <v>19073.0</v>
      </c>
      <c r="AG132" s="205">
        <v>360.0</v>
      </c>
      <c r="AH132" s="205">
        <v>422.0</v>
      </c>
      <c r="AI132" s="205">
        <v>2.0</v>
      </c>
      <c r="AJ132" s="205">
        <v>1301.0</v>
      </c>
      <c r="AK132" s="205">
        <v>0.0</v>
      </c>
      <c r="AL132" s="205">
        <v>0.0</v>
      </c>
      <c r="AM132" s="205">
        <v>0.0</v>
      </c>
      <c r="AN132" s="205">
        <v>0.0</v>
      </c>
      <c r="AO132" s="208">
        <v>4.37043</v>
      </c>
      <c r="AP132" s="208">
        <v>5.09292</v>
      </c>
      <c r="AQ132" s="208">
        <v>6.7143</v>
      </c>
      <c r="AR132" s="208">
        <v>3.75193</v>
      </c>
      <c r="AT132" s="192" t="s">
        <v>305</v>
      </c>
      <c r="AU132" s="211" t="s">
        <v>304</v>
      </c>
      <c r="AV132" s="211" t="s">
        <v>1706</v>
      </c>
      <c r="AW132" s="211" t="s">
        <v>1707</v>
      </c>
      <c r="AX132" s="211" t="s">
        <v>305</v>
      </c>
      <c r="AY132" s="212">
        <v>2.0</v>
      </c>
      <c r="AZ132" s="213">
        <v>4.5</v>
      </c>
      <c r="BA132" s="213">
        <v>4.0</v>
      </c>
      <c r="BB132" s="213">
        <v>2.5</v>
      </c>
      <c r="BC132" s="212">
        <v>5.2</v>
      </c>
      <c r="BD132" s="213">
        <v>10.0</v>
      </c>
      <c r="BE132" s="213">
        <v>10.0</v>
      </c>
      <c r="BF132" s="213">
        <v>7.0</v>
      </c>
      <c r="BG132" s="212">
        <v>10.333333333333332</v>
      </c>
      <c r="BH132" s="213">
        <v>9.75</v>
      </c>
      <c r="BI132" s="213">
        <v>0.0015046296296835255</v>
      </c>
      <c r="BJ132" s="213">
        <v>0.001558641975861974</v>
      </c>
      <c r="BK132" s="213">
        <v>213.0</v>
      </c>
      <c r="BL132" s="212">
        <v>7.0</v>
      </c>
      <c r="BM132" s="213">
        <v>5.375</v>
      </c>
      <c r="BN132" s="213">
        <v>0.003009259259367051</v>
      </c>
      <c r="BO132" s="213">
        <v>0.003117283951723948</v>
      </c>
      <c r="BP132" s="213">
        <v>106.5</v>
      </c>
      <c r="BQ132" s="192"/>
      <c r="BR132" s="192"/>
    </row>
    <row r="133">
      <c r="A133" s="60">
        <v>2986144.0</v>
      </c>
      <c r="B133" s="205">
        <v>315101.0</v>
      </c>
      <c r="C133" s="205">
        <v>123354.0</v>
      </c>
      <c r="D133" s="205">
        <v>1.0</v>
      </c>
      <c r="E133" s="207">
        <v>41566.71619212963</v>
      </c>
      <c r="F133" s="207">
        <v>41734.154444444444</v>
      </c>
      <c r="G133" s="207">
        <v>41724.660462962966</v>
      </c>
      <c r="H133" s="63" t="s">
        <v>1708</v>
      </c>
      <c r="I133" s="205">
        <v>137.0</v>
      </c>
      <c r="J133" s="63" t="s">
        <v>1709</v>
      </c>
      <c r="K133" s="205">
        <v>1617206.0</v>
      </c>
      <c r="L133" s="208">
        <v>3.58041</v>
      </c>
      <c r="M133" s="208">
        <v>1.82356</v>
      </c>
      <c r="N133" s="208">
        <v>1.58396</v>
      </c>
      <c r="O133" s="209">
        <v>4.0</v>
      </c>
      <c r="P133" s="209">
        <v>8.0</v>
      </c>
      <c r="Q133" s="209">
        <v>7.0</v>
      </c>
      <c r="R133" s="209">
        <v>6.0</v>
      </c>
      <c r="S133" s="210">
        <v>0.0026041666678793263</v>
      </c>
      <c r="U133" s="205">
        <v>4.0</v>
      </c>
      <c r="V133" s="205">
        <v>3.0</v>
      </c>
      <c r="W133" s="63" t="s">
        <v>1710</v>
      </c>
      <c r="X133" s="210">
        <v>0.002905092591390712</v>
      </c>
      <c r="Y133" s="63" t="s">
        <v>1116</v>
      </c>
      <c r="Z133" s="63" t="s">
        <v>1711</v>
      </c>
      <c r="AA133" s="205">
        <v>0.0</v>
      </c>
      <c r="AB133" s="63" t="s">
        <v>1712</v>
      </c>
      <c r="AC133" s="205">
        <v>533.0</v>
      </c>
      <c r="AD133" s="208">
        <v>9.55651</v>
      </c>
      <c r="AE133" s="205">
        <v>256331.0</v>
      </c>
      <c r="AF133" s="205">
        <v>66517.0</v>
      </c>
      <c r="AG133" s="205">
        <v>254.0</v>
      </c>
      <c r="AH133" s="205">
        <v>286.0</v>
      </c>
      <c r="AI133" s="205">
        <v>4.0</v>
      </c>
      <c r="AJ133" s="205">
        <v>879.0</v>
      </c>
      <c r="AK133" s="205">
        <v>1.0</v>
      </c>
      <c r="AL133" s="205">
        <v>1.0</v>
      </c>
      <c r="AM133" s="205">
        <v>0.0</v>
      </c>
      <c r="AN133" s="205">
        <v>0.0</v>
      </c>
      <c r="AO133" s="208">
        <v>3.31122</v>
      </c>
      <c r="AP133" s="208">
        <v>3.79435</v>
      </c>
      <c r="AQ133" s="208">
        <v>4.91155</v>
      </c>
      <c r="AR133" s="208">
        <v>2.87332</v>
      </c>
      <c r="AT133" s="192" t="s">
        <v>308</v>
      </c>
      <c r="AU133" s="211" t="s">
        <v>307</v>
      </c>
      <c r="AV133" s="211" t="s">
        <v>1713</v>
      </c>
      <c r="AW133" s="211" t="s">
        <v>1714</v>
      </c>
      <c r="AX133" s="211" t="s">
        <v>308</v>
      </c>
      <c r="AY133" s="212">
        <v>2.0</v>
      </c>
      <c r="AZ133" s="213">
        <v>4.0</v>
      </c>
      <c r="BA133" s="213">
        <v>3.5</v>
      </c>
      <c r="BB133" s="213">
        <v>3.0</v>
      </c>
      <c r="BC133" s="212">
        <v>5.2</v>
      </c>
      <c r="BD133" s="213">
        <v>10.0</v>
      </c>
      <c r="BE133" s="213">
        <v>9.799999999999999</v>
      </c>
      <c r="BF133" s="213">
        <v>8.399999999999999</v>
      </c>
      <c r="BG133" s="212">
        <v>9.666666666666668</v>
      </c>
      <c r="BH133" s="213">
        <v>9.083333333333334</v>
      </c>
      <c r="BI133" s="213">
        <v>0.001736111111919551</v>
      </c>
      <c r="BJ133" s="213">
        <v>0.0019367283942604747</v>
      </c>
      <c r="BK133" s="213">
        <v>205.5</v>
      </c>
      <c r="BL133" s="212">
        <v>5.5</v>
      </c>
      <c r="BM133" s="213">
        <v>3.875</v>
      </c>
      <c r="BN133" s="213">
        <v>0.003472222223839102</v>
      </c>
      <c r="BO133" s="213">
        <v>0.0038734567885209494</v>
      </c>
      <c r="BP133" s="213">
        <v>102.75</v>
      </c>
      <c r="BQ133" s="192"/>
      <c r="BR133" s="192"/>
    </row>
    <row r="134">
      <c r="A134" s="60">
        <v>3819183.0</v>
      </c>
      <c r="B134" s="205">
        <v>315101.0</v>
      </c>
      <c r="C134" s="205">
        <v>123354.0</v>
      </c>
      <c r="D134" s="205">
        <v>1.0</v>
      </c>
      <c r="E134" s="207">
        <v>41566.71619212963</v>
      </c>
      <c r="F134" s="207">
        <v>41734.154444444444</v>
      </c>
      <c r="G134" s="207">
        <v>41724.660462962966</v>
      </c>
      <c r="H134" s="63" t="s">
        <v>1708</v>
      </c>
      <c r="I134" s="205">
        <v>137.0</v>
      </c>
      <c r="J134" s="63" t="s">
        <v>1709</v>
      </c>
      <c r="K134" s="205">
        <v>1617206.0</v>
      </c>
      <c r="L134" s="208">
        <v>3.58041</v>
      </c>
      <c r="M134" s="208">
        <v>1.82356</v>
      </c>
      <c r="N134" s="208">
        <v>1.58396</v>
      </c>
      <c r="O134" s="209">
        <v>4.0</v>
      </c>
      <c r="P134" s="209">
        <v>8.0</v>
      </c>
      <c r="Q134" s="209">
        <v>7.0</v>
      </c>
      <c r="R134" s="209">
        <v>6.0</v>
      </c>
      <c r="S134" s="210">
        <v>0.0026041666678793263</v>
      </c>
      <c r="U134" s="205">
        <v>4.0</v>
      </c>
      <c r="V134" s="205">
        <v>3.0</v>
      </c>
      <c r="W134" s="63" t="s">
        <v>1710</v>
      </c>
      <c r="X134" s="210">
        <v>0.002905092591390712</v>
      </c>
      <c r="Y134" s="63" t="s">
        <v>1116</v>
      </c>
      <c r="Z134" s="63" t="s">
        <v>1711</v>
      </c>
      <c r="AA134" s="205">
        <v>0.0</v>
      </c>
      <c r="AB134" s="63" t="s">
        <v>1712</v>
      </c>
      <c r="AC134" s="205">
        <v>533.0</v>
      </c>
      <c r="AD134" s="208">
        <v>9.55651</v>
      </c>
      <c r="AE134" s="205">
        <v>256331.0</v>
      </c>
      <c r="AF134" s="205">
        <v>66517.0</v>
      </c>
      <c r="AG134" s="205">
        <v>254.0</v>
      </c>
      <c r="AH134" s="205">
        <v>286.0</v>
      </c>
      <c r="AI134" s="205">
        <v>4.0</v>
      </c>
      <c r="AJ134" s="205">
        <v>879.0</v>
      </c>
      <c r="AK134" s="205">
        <v>1.0</v>
      </c>
      <c r="AL134" s="205">
        <v>1.0</v>
      </c>
      <c r="AM134" s="205">
        <v>0.0</v>
      </c>
      <c r="AN134" s="205">
        <v>0.0</v>
      </c>
      <c r="AO134" s="208">
        <v>3.31122</v>
      </c>
      <c r="AP134" s="208">
        <v>3.79435</v>
      </c>
      <c r="AQ134" s="208">
        <v>4.91155</v>
      </c>
      <c r="AR134" s="208">
        <v>2.87332</v>
      </c>
      <c r="AT134" s="192" t="s">
        <v>308</v>
      </c>
      <c r="AU134" s="211" t="s">
        <v>307</v>
      </c>
      <c r="AV134" s="211" t="s">
        <v>1713</v>
      </c>
      <c r="AW134" s="211" t="s">
        <v>1714</v>
      </c>
      <c r="AX134" s="211" t="s">
        <v>308</v>
      </c>
      <c r="AY134" s="212">
        <v>2.0</v>
      </c>
      <c r="AZ134" s="213">
        <v>4.0</v>
      </c>
      <c r="BA134" s="213">
        <v>3.5</v>
      </c>
      <c r="BB134" s="213">
        <v>3.0</v>
      </c>
      <c r="BC134" s="212">
        <v>5.2</v>
      </c>
      <c r="BD134" s="213">
        <v>10.0</v>
      </c>
      <c r="BE134" s="213">
        <v>9.799999999999999</v>
      </c>
      <c r="BF134" s="213">
        <v>8.399999999999999</v>
      </c>
      <c r="BG134" s="212">
        <v>9.666666666666668</v>
      </c>
      <c r="BH134" s="213">
        <v>9.083333333333334</v>
      </c>
      <c r="BI134" s="213">
        <v>0.001736111111919551</v>
      </c>
      <c r="BJ134" s="213">
        <v>0.0019367283942604747</v>
      </c>
      <c r="BK134" s="213">
        <v>205.5</v>
      </c>
      <c r="BL134" s="212">
        <v>5.5</v>
      </c>
      <c r="BM134" s="213">
        <v>3.875</v>
      </c>
      <c r="BN134" s="213">
        <v>0.003472222223839102</v>
      </c>
      <c r="BO134" s="213">
        <v>0.0038734567885209494</v>
      </c>
      <c r="BP134" s="213">
        <v>102.75</v>
      </c>
      <c r="BQ134" s="192"/>
      <c r="BR134" s="192"/>
    </row>
    <row r="135">
      <c r="A135" s="60">
        <v>3870932.0</v>
      </c>
      <c r="B135" s="205">
        <v>1761258.0</v>
      </c>
      <c r="C135" s="205">
        <v>841634.0</v>
      </c>
      <c r="D135" s="205">
        <v>1.0</v>
      </c>
      <c r="E135" s="207">
        <v>43343.50125</v>
      </c>
      <c r="F135" s="207">
        <v>43392.91679398148</v>
      </c>
      <c r="G135" s="207">
        <v>43390.46826388889</v>
      </c>
      <c r="H135" s="63" t="s">
        <v>1715</v>
      </c>
      <c r="I135" s="205">
        <v>190.0</v>
      </c>
      <c r="J135" s="63" t="s">
        <v>1716</v>
      </c>
      <c r="K135" s="205">
        <v>119404.0</v>
      </c>
      <c r="L135" s="208">
        <v>4.73057</v>
      </c>
      <c r="M135" s="208">
        <v>2.16329</v>
      </c>
      <c r="N135" s="208">
        <v>2.35551</v>
      </c>
      <c r="O135" s="209">
        <v>4.0</v>
      </c>
      <c r="P135" s="209">
        <v>8.5</v>
      </c>
      <c r="Q135" s="209">
        <v>7.0</v>
      </c>
      <c r="R135" s="209">
        <v>5.0</v>
      </c>
      <c r="S135" s="210">
        <v>0.002442129629343981</v>
      </c>
      <c r="U135" s="205">
        <v>5.0</v>
      </c>
      <c r="V135" s="205">
        <v>3.0</v>
      </c>
      <c r="W135" s="63" t="s">
        <v>1717</v>
      </c>
      <c r="X135" s="210">
        <v>0.0027314814797136933</v>
      </c>
      <c r="Y135" s="63" t="s">
        <v>1116</v>
      </c>
      <c r="Z135" s="63" t="s">
        <v>1718</v>
      </c>
      <c r="AA135" s="205">
        <v>0.0</v>
      </c>
      <c r="AB135" s="63" t="s">
        <v>1719</v>
      </c>
      <c r="AC135" s="205">
        <v>1752.0</v>
      </c>
      <c r="AD135" s="208">
        <v>9.27835</v>
      </c>
      <c r="AE135" s="205">
        <v>348444.0</v>
      </c>
      <c r="AF135" s="205">
        <v>53991.0</v>
      </c>
      <c r="AG135" s="205">
        <v>384.0</v>
      </c>
      <c r="AH135" s="205">
        <v>392.0</v>
      </c>
      <c r="AI135" s="205">
        <v>1.0</v>
      </c>
      <c r="AJ135" s="205">
        <v>1259.0</v>
      </c>
      <c r="AK135" s="205">
        <v>0.0</v>
      </c>
      <c r="AL135" s="205">
        <v>0.0</v>
      </c>
      <c r="AM135" s="205">
        <v>0.0</v>
      </c>
      <c r="AN135" s="205">
        <v>0.0</v>
      </c>
      <c r="AO135" s="208">
        <v>4.34785</v>
      </c>
      <c r="AP135" s="208">
        <v>4.9027</v>
      </c>
      <c r="AQ135" s="208">
        <v>6.84728</v>
      </c>
      <c r="AR135" s="208">
        <v>3.69548</v>
      </c>
      <c r="AT135" s="192" t="s">
        <v>311</v>
      </c>
      <c r="AU135" s="211" t="s">
        <v>310</v>
      </c>
      <c r="AV135" s="211" t="s">
        <v>1720</v>
      </c>
      <c r="AW135" s="211" t="s">
        <v>1721</v>
      </c>
      <c r="AX135" s="211" t="s">
        <v>311</v>
      </c>
      <c r="AY135" s="212">
        <v>2.0</v>
      </c>
      <c r="AZ135" s="213">
        <v>4.25</v>
      </c>
      <c r="BA135" s="213">
        <v>3.5</v>
      </c>
      <c r="BB135" s="213">
        <v>2.5</v>
      </c>
      <c r="BC135" s="212">
        <v>5.2</v>
      </c>
      <c r="BD135" s="213">
        <v>10.0</v>
      </c>
      <c r="BE135" s="213">
        <v>9.799999999999999</v>
      </c>
      <c r="BF135" s="213">
        <v>7.0</v>
      </c>
      <c r="BG135" s="212">
        <v>10.0</v>
      </c>
      <c r="BH135" s="213">
        <v>9.083333333333334</v>
      </c>
      <c r="BI135" s="213">
        <v>0.0016280864195626539</v>
      </c>
      <c r="BJ135" s="213">
        <v>0.0018209876531424622</v>
      </c>
      <c r="BK135" s="213">
        <v>285.0</v>
      </c>
      <c r="BL135" s="212">
        <v>6.25</v>
      </c>
      <c r="BM135" s="213">
        <v>3.875</v>
      </c>
      <c r="BN135" s="213">
        <v>0.0032561728391253078</v>
      </c>
      <c r="BO135" s="213">
        <v>0.0036419753062849245</v>
      </c>
      <c r="BP135" s="213">
        <v>142.5</v>
      </c>
      <c r="BQ135" s="192"/>
      <c r="BR135" s="192"/>
    </row>
    <row r="136">
      <c r="A136" s="60">
        <v>2134906.0</v>
      </c>
      <c r="B136" s="205">
        <v>2200330.0</v>
      </c>
      <c r="C136" s="205">
        <v>1046876.0</v>
      </c>
      <c r="D136" s="205">
        <v>1.0</v>
      </c>
      <c r="E136" s="207">
        <v>43743.2686574074</v>
      </c>
      <c r="F136" s="207">
        <v>44092.793854166666</v>
      </c>
      <c r="G136" s="207">
        <v>44083.23303240741</v>
      </c>
      <c r="H136" s="63" t="s">
        <v>1722</v>
      </c>
      <c r="I136" s="205">
        <v>178.0</v>
      </c>
      <c r="J136" s="63" t="s">
        <v>1723</v>
      </c>
      <c r="K136" s="205">
        <v>3718151.0</v>
      </c>
      <c r="L136" s="208">
        <v>4.41502</v>
      </c>
      <c r="M136" s="208">
        <v>2.21809</v>
      </c>
      <c r="N136" s="208">
        <v>1.99427</v>
      </c>
      <c r="O136" s="209">
        <v>4.2</v>
      </c>
      <c r="P136" s="209">
        <v>8.0</v>
      </c>
      <c r="Q136" s="209">
        <v>7.0</v>
      </c>
      <c r="R136" s="209">
        <v>6.0</v>
      </c>
      <c r="S136" s="210">
        <v>0.0020370370366435964</v>
      </c>
      <c r="U136" s="205">
        <v>10.0</v>
      </c>
      <c r="V136" s="205">
        <v>3.0</v>
      </c>
      <c r="W136" s="63" t="s">
        <v>1724</v>
      </c>
      <c r="X136" s="210">
        <v>0.0023842592599976342</v>
      </c>
      <c r="Y136" s="63" t="s">
        <v>1116</v>
      </c>
      <c r="Z136" s="63" t="s">
        <v>1725</v>
      </c>
      <c r="AA136" s="205">
        <v>0.0</v>
      </c>
      <c r="AB136" s="63" t="s">
        <v>1726</v>
      </c>
      <c r="AC136" s="205">
        <v>310.0</v>
      </c>
      <c r="AD136" s="208">
        <v>9.31648</v>
      </c>
      <c r="AE136" s="205">
        <v>134812.0</v>
      </c>
      <c r="AF136" s="205">
        <v>14066.0</v>
      </c>
      <c r="AG136" s="205">
        <v>288.0</v>
      </c>
      <c r="AH136" s="205">
        <v>239.0</v>
      </c>
      <c r="AI136" s="205">
        <v>1.0</v>
      </c>
      <c r="AJ136" s="205">
        <v>830.0</v>
      </c>
      <c r="AK136" s="205">
        <v>0.0</v>
      </c>
      <c r="AL136" s="205">
        <v>0.0</v>
      </c>
      <c r="AM136" s="205">
        <v>0.0</v>
      </c>
      <c r="AN136" s="205">
        <v>0.0</v>
      </c>
      <c r="AO136" s="208">
        <v>4.04519</v>
      </c>
      <c r="AP136" s="208">
        <v>4.67007</v>
      </c>
      <c r="AQ136" s="208">
        <v>6.1265</v>
      </c>
      <c r="AR136" s="208">
        <v>3.56369</v>
      </c>
      <c r="AT136" s="192" t="s">
        <v>301</v>
      </c>
      <c r="AU136" s="211" t="s">
        <v>300</v>
      </c>
      <c r="AV136" s="211" t="s">
        <v>1727</v>
      </c>
      <c r="AW136" s="211" t="s">
        <v>1728</v>
      </c>
      <c r="AX136" s="211" t="s">
        <v>301</v>
      </c>
      <c r="AY136" s="212">
        <v>2.1</v>
      </c>
      <c r="AZ136" s="213">
        <v>4.0</v>
      </c>
      <c r="BA136" s="213">
        <v>3.5</v>
      </c>
      <c r="BB136" s="213">
        <v>3.0</v>
      </c>
      <c r="BC136" s="212">
        <v>5.460000000000001</v>
      </c>
      <c r="BD136" s="213">
        <v>10.0</v>
      </c>
      <c r="BE136" s="213">
        <v>9.799999999999999</v>
      </c>
      <c r="BF136" s="213">
        <v>8.399999999999999</v>
      </c>
      <c r="BG136" s="212">
        <v>9.666666666666668</v>
      </c>
      <c r="BH136" s="213">
        <v>9.083333333333334</v>
      </c>
      <c r="BI136" s="213">
        <v>0.001358024691095731</v>
      </c>
      <c r="BJ136" s="213">
        <v>0.0015895061733317561</v>
      </c>
      <c r="BK136" s="213">
        <v>267.0</v>
      </c>
      <c r="BL136" s="212">
        <v>5.5</v>
      </c>
      <c r="BM136" s="213">
        <v>3.875</v>
      </c>
      <c r="BN136" s="213">
        <v>0.002716049382191462</v>
      </c>
      <c r="BO136" s="213">
        <v>0.0031790123466635123</v>
      </c>
      <c r="BP136" s="213">
        <v>133.5</v>
      </c>
      <c r="BQ136" s="192"/>
      <c r="BR136" s="192"/>
    </row>
    <row r="137">
      <c r="A137" s="60">
        <v>250577.0</v>
      </c>
      <c r="B137" s="205">
        <v>2200330.0</v>
      </c>
      <c r="C137" s="205">
        <v>1046876.0</v>
      </c>
      <c r="D137" s="205">
        <v>1.0</v>
      </c>
      <c r="E137" s="207">
        <v>43743.2686574074</v>
      </c>
      <c r="F137" s="207">
        <v>44092.793854166666</v>
      </c>
      <c r="G137" s="207">
        <v>44083.23303240741</v>
      </c>
      <c r="H137" s="63" t="s">
        <v>1722</v>
      </c>
      <c r="I137" s="205">
        <v>178.0</v>
      </c>
      <c r="J137" s="63" t="s">
        <v>1723</v>
      </c>
      <c r="K137" s="205">
        <v>3718151.0</v>
      </c>
      <c r="L137" s="208">
        <v>4.41502</v>
      </c>
      <c r="M137" s="208">
        <v>2.21809</v>
      </c>
      <c r="N137" s="208">
        <v>1.99427</v>
      </c>
      <c r="O137" s="209">
        <v>4.2</v>
      </c>
      <c r="P137" s="209">
        <v>8.0</v>
      </c>
      <c r="Q137" s="209">
        <v>7.0</v>
      </c>
      <c r="R137" s="209">
        <v>6.0</v>
      </c>
      <c r="S137" s="210">
        <v>0.0020370370366435964</v>
      </c>
      <c r="U137" s="205">
        <v>10.0</v>
      </c>
      <c r="V137" s="205">
        <v>3.0</v>
      </c>
      <c r="W137" s="63" t="s">
        <v>1724</v>
      </c>
      <c r="X137" s="210">
        <v>0.0023842592599976342</v>
      </c>
      <c r="Y137" s="63" t="s">
        <v>1116</v>
      </c>
      <c r="Z137" s="63" t="s">
        <v>1725</v>
      </c>
      <c r="AA137" s="205">
        <v>0.0</v>
      </c>
      <c r="AB137" s="63" t="s">
        <v>1726</v>
      </c>
      <c r="AC137" s="205">
        <v>310.0</v>
      </c>
      <c r="AD137" s="208">
        <v>9.31648</v>
      </c>
      <c r="AE137" s="205">
        <v>134812.0</v>
      </c>
      <c r="AF137" s="205">
        <v>14066.0</v>
      </c>
      <c r="AG137" s="205">
        <v>288.0</v>
      </c>
      <c r="AH137" s="205">
        <v>239.0</v>
      </c>
      <c r="AI137" s="205">
        <v>1.0</v>
      </c>
      <c r="AJ137" s="205">
        <v>830.0</v>
      </c>
      <c r="AK137" s="205">
        <v>0.0</v>
      </c>
      <c r="AL137" s="205">
        <v>0.0</v>
      </c>
      <c r="AM137" s="205">
        <v>0.0</v>
      </c>
      <c r="AN137" s="205">
        <v>0.0</v>
      </c>
      <c r="AO137" s="208">
        <v>4.04519</v>
      </c>
      <c r="AP137" s="208">
        <v>4.67007</v>
      </c>
      <c r="AQ137" s="208">
        <v>6.1265</v>
      </c>
      <c r="AR137" s="208">
        <v>3.56369</v>
      </c>
      <c r="AT137" s="192" t="s">
        <v>301</v>
      </c>
      <c r="AU137" s="211" t="s">
        <v>300</v>
      </c>
      <c r="AV137" s="211" t="s">
        <v>1727</v>
      </c>
      <c r="AW137" s="211" t="s">
        <v>1728</v>
      </c>
      <c r="AX137" s="211" t="s">
        <v>301</v>
      </c>
      <c r="AY137" s="212">
        <v>2.1</v>
      </c>
      <c r="AZ137" s="213">
        <v>4.0</v>
      </c>
      <c r="BA137" s="213">
        <v>3.5</v>
      </c>
      <c r="BB137" s="213">
        <v>3.0</v>
      </c>
      <c r="BC137" s="212">
        <v>5.460000000000001</v>
      </c>
      <c r="BD137" s="213">
        <v>10.0</v>
      </c>
      <c r="BE137" s="213">
        <v>9.799999999999999</v>
      </c>
      <c r="BF137" s="213">
        <v>8.399999999999999</v>
      </c>
      <c r="BG137" s="212">
        <v>9.666666666666668</v>
      </c>
      <c r="BH137" s="213">
        <v>9.083333333333334</v>
      </c>
      <c r="BI137" s="213">
        <v>0.001358024691095731</v>
      </c>
      <c r="BJ137" s="213">
        <v>0.0015895061733317561</v>
      </c>
      <c r="BK137" s="213">
        <v>267.0</v>
      </c>
      <c r="BL137" s="212">
        <v>5.5</v>
      </c>
      <c r="BM137" s="213">
        <v>3.875</v>
      </c>
      <c r="BN137" s="213">
        <v>0.002716049382191462</v>
      </c>
      <c r="BO137" s="213">
        <v>0.0031790123466635123</v>
      </c>
      <c r="BP137" s="213">
        <v>133.5</v>
      </c>
      <c r="BQ137" s="192"/>
      <c r="BR137" s="192"/>
    </row>
    <row r="138">
      <c r="A138" s="60">
        <v>2530278.0</v>
      </c>
      <c r="B138" s="205">
        <v>3714964.0</v>
      </c>
      <c r="C138" s="205">
        <v>1807695.0</v>
      </c>
      <c r="D138" s="205">
        <v>1.0</v>
      </c>
      <c r="E138" s="207">
        <v>44757.79179398148</v>
      </c>
      <c r="F138" s="207">
        <v>44831.19664351852</v>
      </c>
      <c r="G138" s="207">
        <v>44823.83960648148</v>
      </c>
      <c r="H138" s="63" t="s">
        <v>1685</v>
      </c>
      <c r="I138" s="205">
        <v>177.0</v>
      </c>
      <c r="J138" s="63" t="s">
        <v>148</v>
      </c>
      <c r="K138" s="205">
        <v>7777875.0</v>
      </c>
      <c r="L138" s="208">
        <v>4.58168</v>
      </c>
      <c r="M138" s="208">
        <v>2.25774</v>
      </c>
      <c r="N138" s="208">
        <v>2.12328</v>
      </c>
      <c r="O138" s="209">
        <v>4.0</v>
      </c>
      <c r="P138" s="209">
        <v>9.0</v>
      </c>
      <c r="Q138" s="209">
        <v>8.0</v>
      </c>
      <c r="R138" s="209">
        <v>5.0</v>
      </c>
      <c r="S138" s="210">
        <v>0.0027199074065720197</v>
      </c>
      <c r="U138" s="205">
        <v>4.0</v>
      </c>
      <c r="V138" s="205">
        <v>3.0</v>
      </c>
      <c r="W138" s="63" t="s">
        <v>1686</v>
      </c>
      <c r="X138" s="210">
        <v>0.002777777779556345</v>
      </c>
      <c r="Y138" s="63" t="s">
        <v>1729</v>
      </c>
      <c r="Z138" s="63" t="s">
        <v>1730</v>
      </c>
      <c r="AA138" s="205">
        <v>0.0</v>
      </c>
      <c r="AB138" s="63" t="s">
        <v>1689</v>
      </c>
      <c r="AC138" s="205">
        <v>78.0</v>
      </c>
      <c r="AD138" s="208">
        <v>8.85185</v>
      </c>
      <c r="AE138" s="205">
        <v>10225.0</v>
      </c>
      <c r="AF138" s="205">
        <v>2627.0</v>
      </c>
      <c r="AG138" s="205">
        <v>415.0</v>
      </c>
      <c r="AH138" s="205">
        <v>397.0</v>
      </c>
      <c r="AI138" s="205">
        <v>0.0</v>
      </c>
      <c r="AJ138" s="205">
        <v>1283.0</v>
      </c>
      <c r="AK138" s="205">
        <v>0.0</v>
      </c>
      <c r="AL138" s="205">
        <v>1.0</v>
      </c>
      <c r="AM138" s="205">
        <v>0.0</v>
      </c>
      <c r="AN138" s="205">
        <v>0.0</v>
      </c>
      <c r="AO138" s="208">
        <v>4.17695</v>
      </c>
      <c r="AP138" s="208">
        <v>4.85085</v>
      </c>
      <c r="AQ138" s="208">
        <v>6.4711</v>
      </c>
      <c r="AR138" s="208">
        <v>3.65701</v>
      </c>
      <c r="AT138" s="192" t="s">
        <v>299</v>
      </c>
      <c r="AU138" s="211" t="s">
        <v>1731</v>
      </c>
      <c r="AV138" s="211" t="s">
        <v>1692</v>
      </c>
      <c r="AW138" s="211" t="s">
        <v>1693</v>
      </c>
      <c r="AX138" s="211" t="s">
        <v>299</v>
      </c>
      <c r="AY138" s="212">
        <v>2.0</v>
      </c>
      <c r="AZ138" s="213">
        <v>4.5</v>
      </c>
      <c r="BA138" s="213">
        <v>4.0</v>
      </c>
      <c r="BB138" s="213">
        <v>2.5</v>
      </c>
      <c r="BC138" s="212">
        <v>5.2</v>
      </c>
      <c r="BD138" s="213">
        <v>10.0</v>
      </c>
      <c r="BE138" s="213">
        <v>10.0</v>
      </c>
      <c r="BF138" s="213">
        <v>7.0</v>
      </c>
      <c r="BG138" s="212">
        <v>10.333333333333332</v>
      </c>
      <c r="BH138" s="213">
        <v>9.75</v>
      </c>
      <c r="BI138" s="213">
        <v>0.0018132716043813464</v>
      </c>
      <c r="BJ138" s="213">
        <v>0.0018518518530375634</v>
      </c>
      <c r="BK138" s="213">
        <v>265.5</v>
      </c>
      <c r="BL138" s="212">
        <v>7.0</v>
      </c>
      <c r="BM138" s="213">
        <v>5.375</v>
      </c>
      <c r="BN138" s="213">
        <v>0.0036265432087626928</v>
      </c>
      <c r="BO138" s="213">
        <v>0.0037037037060751268</v>
      </c>
      <c r="BP138" s="213">
        <v>132.75</v>
      </c>
      <c r="BQ138" s="192"/>
      <c r="BR138" s="192"/>
    </row>
    <row r="139">
      <c r="A139" s="60">
        <v>1975970.0</v>
      </c>
      <c r="B139" s="205">
        <v>3714964.0</v>
      </c>
      <c r="C139" s="205">
        <v>1807695.0</v>
      </c>
      <c r="D139" s="205">
        <v>1.0</v>
      </c>
      <c r="E139" s="207">
        <v>44757.79179398148</v>
      </c>
      <c r="F139" s="207">
        <v>44831.19664351852</v>
      </c>
      <c r="G139" s="207">
        <v>44823.83960648148</v>
      </c>
      <c r="H139" s="63" t="s">
        <v>1685</v>
      </c>
      <c r="I139" s="205">
        <v>177.0</v>
      </c>
      <c r="J139" s="63" t="s">
        <v>148</v>
      </c>
      <c r="K139" s="205">
        <v>7777875.0</v>
      </c>
      <c r="L139" s="208">
        <v>4.58168</v>
      </c>
      <c r="M139" s="208">
        <v>2.25774</v>
      </c>
      <c r="N139" s="208">
        <v>2.12328</v>
      </c>
      <c r="O139" s="209">
        <v>4.0</v>
      </c>
      <c r="P139" s="209">
        <v>9.0</v>
      </c>
      <c r="Q139" s="209">
        <v>8.0</v>
      </c>
      <c r="R139" s="209">
        <v>5.0</v>
      </c>
      <c r="S139" s="210">
        <v>0.0027199074065720197</v>
      </c>
      <c r="U139" s="205">
        <v>4.0</v>
      </c>
      <c r="V139" s="205">
        <v>3.0</v>
      </c>
      <c r="W139" s="63" t="s">
        <v>1686</v>
      </c>
      <c r="X139" s="210">
        <v>0.002777777779556345</v>
      </c>
      <c r="Y139" s="63" t="s">
        <v>1729</v>
      </c>
      <c r="Z139" s="63" t="s">
        <v>1730</v>
      </c>
      <c r="AA139" s="205">
        <v>0.0</v>
      </c>
      <c r="AB139" s="63" t="s">
        <v>1689</v>
      </c>
      <c r="AC139" s="205">
        <v>78.0</v>
      </c>
      <c r="AD139" s="208">
        <v>8.85185</v>
      </c>
      <c r="AE139" s="205">
        <v>10225.0</v>
      </c>
      <c r="AF139" s="205">
        <v>2627.0</v>
      </c>
      <c r="AG139" s="205">
        <v>415.0</v>
      </c>
      <c r="AH139" s="205">
        <v>397.0</v>
      </c>
      <c r="AI139" s="205">
        <v>0.0</v>
      </c>
      <c r="AJ139" s="205">
        <v>1283.0</v>
      </c>
      <c r="AK139" s="205">
        <v>0.0</v>
      </c>
      <c r="AL139" s="205">
        <v>1.0</v>
      </c>
      <c r="AM139" s="205">
        <v>0.0</v>
      </c>
      <c r="AN139" s="205">
        <v>0.0</v>
      </c>
      <c r="AO139" s="208">
        <v>4.17695</v>
      </c>
      <c r="AP139" s="208">
        <v>4.85085</v>
      </c>
      <c r="AQ139" s="208">
        <v>6.4711</v>
      </c>
      <c r="AR139" s="208">
        <v>3.65701</v>
      </c>
      <c r="AT139" s="192" t="s">
        <v>299</v>
      </c>
      <c r="AU139" s="211" t="s">
        <v>1731</v>
      </c>
      <c r="AV139" s="211" t="s">
        <v>1692</v>
      </c>
      <c r="AW139" s="211" t="s">
        <v>1693</v>
      </c>
      <c r="AX139" s="211" t="s">
        <v>299</v>
      </c>
      <c r="AY139" s="212">
        <v>2.0</v>
      </c>
      <c r="AZ139" s="213">
        <v>4.5</v>
      </c>
      <c r="BA139" s="213">
        <v>4.0</v>
      </c>
      <c r="BB139" s="213">
        <v>2.5</v>
      </c>
      <c r="BC139" s="212">
        <v>5.2</v>
      </c>
      <c r="BD139" s="213">
        <v>10.0</v>
      </c>
      <c r="BE139" s="213">
        <v>10.0</v>
      </c>
      <c r="BF139" s="213">
        <v>7.0</v>
      </c>
      <c r="BG139" s="212">
        <v>10.333333333333332</v>
      </c>
      <c r="BH139" s="213">
        <v>9.75</v>
      </c>
      <c r="BI139" s="213">
        <v>0.0018132716043813464</v>
      </c>
      <c r="BJ139" s="213">
        <v>0.0018518518530375634</v>
      </c>
      <c r="BK139" s="213">
        <v>265.5</v>
      </c>
      <c r="BL139" s="212">
        <v>7.0</v>
      </c>
      <c r="BM139" s="213">
        <v>5.375</v>
      </c>
      <c r="BN139" s="213">
        <v>0.0036265432087626928</v>
      </c>
      <c r="BO139" s="213">
        <v>0.0037037037060751268</v>
      </c>
      <c r="BP139" s="213">
        <v>132.75</v>
      </c>
      <c r="BQ139" s="192"/>
      <c r="BR139" s="192"/>
    </row>
    <row r="140">
      <c r="A140" s="60">
        <v>2643263.0</v>
      </c>
      <c r="B140" s="205">
        <v>2690081.0</v>
      </c>
      <c r="C140" s="205">
        <v>1270156.0</v>
      </c>
      <c r="D140" s="205">
        <v>1.0</v>
      </c>
      <c r="E140" s="207">
        <v>44106.510254629626</v>
      </c>
      <c r="F140" s="207">
        <v>44293.823958333334</v>
      </c>
      <c r="G140" s="207">
        <v>44285.32976851852</v>
      </c>
      <c r="H140" s="63" t="s">
        <v>1732</v>
      </c>
      <c r="I140" s="205">
        <v>153.0</v>
      </c>
      <c r="J140" s="63" t="s">
        <v>1733</v>
      </c>
      <c r="K140" s="205">
        <v>4284198.0</v>
      </c>
      <c r="L140" s="208">
        <v>4.8463</v>
      </c>
      <c r="M140" s="208">
        <v>2.33142</v>
      </c>
      <c r="N140" s="208">
        <v>2.30763</v>
      </c>
      <c r="O140" s="209">
        <v>4.0</v>
      </c>
      <c r="P140" s="209">
        <v>9.0</v>
      </c>
      <c r="Q140" s="209">
        <v>7.5</v>
      </c>
      <c r="R140" s="209">
        <v>5.0</v>
      </c>
      <c r="S140" s="210">
        <v>0.0021874999983992893</v>
      </c>
      <c r="U140" s="205">
        <v>4.0</v>
      </c>
      <c r="V140" s="205">
        <v>3.0</v>
      </c>
      <c r="W140" s="63" t="s">
        <v>1734</v>
      </c>
      <c r="X140" s="210">
        <v>0.002337962963792961</v>
      </c>
      <c r="Y140" s="63" t="s">
        <v>1735</v>
      </c>
      <c r="Z140" s="63" t="s">
        <v>1736</v>
      </c>
      <c r="AA140" s="205">
        <v>0.0</v>
      </c>
      <c r="AB140" s="63" t="s">
        <v>1737</v>
      </c>
      <c r="AC140" s="205">
        <v>852.0</v>
      </c>
      <c r="AD140" s="208">
        <v>9.11991</v>
      </c>
      <c r="AE140" s="205">
        <v>160606.0</v>
      </c>
      <c r="AF140" s="205">
        <v>22743.0</v>
      </c>
      <c r="AG140" s="205">
        <v>563.0</v>
      </c>
      <c r="AH140" s="205">
        <v>326.0</v>
      </c>
      <c r="AI140" s="205">
        <v>0.0</v>
      </c>
      <c r="AJ140" s="205">
        <v>1246.0</v>
      </c>
      <c r="AK140" s="205">
        <v>0.0</v>
      </c>
      <c r="AL140" s="205">
        <v>0.0</v>
      </c>
      <c r="AM140" s="205">
        <v>0.0</v>
      </c>
      <c r="AN140" s="205">
        <v>0.0</v>
      </c>
      <c r="AO140" s="208">
        <v>4.48522</v>
      </c>
      <c r="AP140" s="208">
        <v>5.07999</v>
      </c>
      <c r="AQ140" s="208">
        <v>6.8512</v>
      </c>
      <c r="AR140" s="208">
        <v>3.83161</v>
      </c>
      <c r="AT140" s="192" t="s">
        <v>349</v>
      </c>
      <c r="AU140" s="211" t="s">
        <v>348</v>
      </c>
      <c r="AV140" s="211" t="s">
        <v>1738</v>
      </c>
      <c r="AW140" s="211" t="s">
        <v>1739</v>
      </c>
      <c r="AX140" s="211" t="s">
        <v>349</v>
      </c>
      <c r="AY140" s="212">
        <v>2.0</v>
      </c>
      <c r="AZ140" s="213">
        <v>4.5</v>
      </c>
      <c r="BA140" s="213">
        <v>3.75</v>
      </c>
      <c r="BB140" s="213">
        <v>2.5</v>
      </c>
      <c r="BC140" s="212">
        <v>5.2</v>
      </c>
      <c r="BD140" s="213">
        <v>10.0</v>
      </c>
      <c r="BE140" s="213">
        <v>10.0</v>
      </c>
      <c r="BF140" s="213">
        <v>7.0</v>
      </c>
      <c r="BG140" s="212">
        <v>10.333333333333332</v>
      </c>
      <c r="BH140" s="213">
        <v>9.416666666666666</v>
      </c>
      <c r="BI140" s="213">
        <v>0.0014583333322661929</v>
      </c>
      <c r="BJ140" s="213">
        <v>0.001558641975861974</v>
      </c>
      <c r="BK140" s="213">
        <v>229.5</v>
      </c>
      <c r="BL140" s="212">
        <v>7.0</v>
      </c>
      <c r="BM140" s="213">
        <v>4.625</v>
      </c>
      <c r="BN140" s="213">
        <v>0.0029166666645323858</v>
      </c>
      <c r="BO140" s="213">
        <v>0.003117283951723948</v>
      </c>
      <c r="BP140" s="213">
        <v>114.75</v>
      </c>
      <c r="BQ140" s="192"/>
      <c r="BR140" s="192"/>
    </row>
    <row r="141">
      <c r="A141" s="60">
        <v>261729.0</v>
      </c>
      <c r="B141" s="205">
        <v>2690081.0</v>
      </c>
      <c r="C141" s="205">
        <v>1270156.0</v>
      </c>
      <c r="D141" s="205">
        <v>1.0</v>
      </c>
      <c r="E141" s="207">
        <v>44106.510254629626</v>
      </c>
      <c r="F141" s="207">
        <v>44293.823958333334</v>
      </c>
      <c r="G141" s="207">
        <v>44285.32976851852</v>
      </c>
      <c r="H141" s="63" t="s">
        <v>1732</v>
      </c>
      <c r="I141" s="205">
        <v>153.0</v>
      </c>
      <c r="J141" s="63" t="s">
        <v>1733</v>
      </c>
      <c r="K141" s="205">
        <v>4284198.0</v>
      </c>
      <c r="L141" s="208">
        <v>4.8463</v>
      </c>
      <c r="M141" s="208">
        <v>2.33142</v>
      </c>
      <c r="N141" s="208">
        <v>2.30763</v>
      </c>
      <c r="O141" s="209">
        <v>4.0</v>
      </c>
      <c r="P141" s="209">
        <v>9.0</v>
      </c>
      <c r="Q141" s="209">
        <v>7.5</v>
      </c>
      <c r="R141" s="209">
        <v>5.0</v>
      </c>
      <c r="S141" s="210">
        <v>0.0021874999983992893</v>
      </c>
      <c r="U141" s="205">
        <v>4.0</v>
      </c>
      <c r="V141" s="205">
        <v>3.0</v>
      </c>
      <c r="W141" s="63" t="s">
        <v>1734</v>
      </c>
      <c r="X141" s="210">
        <v>0.002337962963792961</v>
      </c>
      <c r="Y141" s="63" t="s">
        <v>1735</v>
      </c>
      <c r="Z141" s="63" t="s">
        <v>1736</v>
      </c>
      <c r="AA141" s="205">
        <v>0.0</v>
      </c>
      <c r="AB141" s="63" t="s">
        <v>1737</v>
      </c>
      <c r="AC141" s="205">
        <v>852.0</v>
      </c>
      <c r="AD141" s="208">
        <v>9.11991</v>
      </c>
      <c r="AE141" s="205">
        <v>160606.0</v>
      </c>
      <c r="AF141" s="205">
        <v>22743.0</v>
      </c>
      <c r="AG141" s="205">
        <v>563.0</v>
      </c>
      <c r="AH141" s="205">
        <v>326.0</v>
      </c>
      <c r="AI141" s="205">
        <v>0.0</v>
      </c>
      <c r="AJ141" s="205">
        <v>1246.0</v>
      </c>
      <c r="AK141" s="205">
        <v>0.0</v>
      </c>
      <c r="AL141" s="205">
        <v>0.0</v>
      </c>
      <c r="AM141" s="205">
        <v>0.0</v>
      </c>
      <c r="AN141" s="205">
        <v>0.0</v>
      </c>
      <c r="AO141" s="208">
        <v>4.48522</v>
      </c>
      <c r="AP141" s="208">
        <v>5.07999</v>
      </c>
      <c r="AQ141" s="208">
        <v>6.8512</v>
      </c>
      <c r="AR141" s="208">
        <v>3.83161</v>
      </c>
      <c r="AT141" s="192" t="s">
        <v>349</v>
      </c>
      <c r="AU141" s="211" t="s">
        <v>348</v>
      </c>
      <c r="AV141" s="211" t="s">
        <v>1738</v>
      </c>
      <c r="AW141" s="211" t="s">
        <v>1739</v>
      </c>
      <c r="AX141" s="211" t="s">
        <v>349</v>
      </c>
      <c r="AY141" s="212">
        <v>2.0</v>
      </c>
      <c r="AZ141" s="213">
        <v>4.5</v>
      </c>
      <c r="BA141" s="213">
        <v>3.75</v>
      </c>
      <c r="BB141" s="213">
        <v>2.5</v>
      </c>
      <c r="BC141" s="212">
        <v>5.2</v>
      </c>
      <c r="BD141" s="213">
        <v>10.0</v>
      </c>
      <c r="BE141" s="213">
        <v>10.0</v>
      </c>
      <c r="BF141" s="213">
        <v>7.0</v>
      </c>
      <c r="BG141" s="212">
        <v>10.333333333333332</v>
      </c>
      <c r="BH141" s="213">
        <v>9.416666666666666</v>
      </c>
      <c r="BI141" s="213">
        <v>0.0014583333322661929</v>
      </c>
      <c r="BJ141" s="213">
        <v>0.001558641975861974</v>
      </c>
      <c r="BK141" s="213">
        <v>229.5</v>
      </c>
      <c r="BL141" s="212">
        <v>7.0</v>
      </c>
      <c r="BM141" s="213">
        <v>4.625</v>
      </c>
      <c r="BN141" s="213">
        <v>0.0029166666645323858</v>
      </c>
      <c r="BO141" s="213">
        <v>0.003117283951723948</v>
      </c>
      <c r="BP141" s="213">
        <v>114.75</v>
      </c>
      <c r="BQ141" s="192"/>
      <c r="BR141" s="192"/>
    </row>
    <row r="142">
      <c r="A142" s="60">
        <v>3326410.0</v>
      </c>
      <c r="B142" s="205">
        <v>2701775.0</v>
      </c>
      <c r="C142" s="205">
        <v>1203052.0</v>
      </c>
      <c r="D142" s="205">
        <v>1.0</v>
      </c>
      <c r="E142" s="207">
        <v>44010.863379629634</v>
      </c>
      <c r="F142" s="207">
        <v>44184.86386574074</v>
      </c>
      <c r="G142" s="207">
        <v>44172.244305555556</v>
      </c>
      <c r="H142" s="63" t="s">
        <v>1740</v>
      </c>
      <c r="I142" s="205">
        <v>150.0</v>
      </c>
      <c r="J142" s="63" t="s">
        <v>1741</v>
      </c>
      <c r="K142" s="205">
        <v>1371514.0</v>
      </c>
      <c r="L142" s="208">
        <v>4.7537</v>
      </c>
      <c r="M142" s="208">
        <v>2.3162</v>
      </c>
      <c r="N142" s="208">
        <v>2.23254</v>
      </c>
      <c r="O142" s="209">
        <v>3.8</v>
      </c>
      <c r="P142" s="209">
        <v>8.7</v>
      </c>
      <c r="Q142" s="209">
        <v>7.6</v>
      </c>
      <c r="R142" s="209">
        <v>5.0</v>
      </c>
      <c r="S142" s="210">
        <v>0.0017824074056989048</v>
      </c>
      <c r="U142" s="205">
        <v>10.0</v>
      </c>
      <c r="V142" s="205">
        <v>3.0</v>
      </c>
      <c r="W142" s="63" t="s">
        <v>1742</v>
      </c>
      <c r="X142" s="210">
        <v>0.002002314813580597</v>
      </c>
      <c r="Y142" s="63" t="s">
        <v>1116</v>
      </c>
      <c r="Z142" s="63" t="s">
        <v>1743</v>
      </c>
      <c r="AA142" s="205">
        <v>0.0</v>
      </c>
      <c r="AB142" s="63" t="s">
        <v>1744</v>
      </c>
      <c r="AC142" s="205">
        <v>611.0</v>
      </c>
      <c r="AD142" s="208">
        <v>9.42262</v>
      </c>
      <c r="AE142" s="205">
        <v>116794.0</v>
      </c>
      <c r="AF142" s="205">
        <v>12678.0</v>
      </c>
      <c r="AG142" s="205">
        <v>436.0</v>
      </c>
      <c r="AH142" s="205">
        <v>263.0</v>
      </c>
      <c r="AI142" s="205">
        <v>2.0</v>
      </c>
      <c r="AJ142" s="205">
        <v>1054.0</v>
      </c>
      <c r="AK142" s="205">
        <v>0.0</v>
      </c>
      <c r="AL142" s="205">
        <v>1.0</v>
      </c>
      <c r="AM142" s="205">
        <v>0.0</v>
      </c>
      <c r="AN142" s="205">
        <v>0.0</v>
      </c>
      <c r="AO142" s="208">
        <v>4.41395</v>
      </c>
      <c r="AP142" s="208">
        <v>4.98133</v>
      </c>
      <c r="AQ142" s="208">
        <v>6.57856</v>
      </c>
      <c r="AR142" s="208">
        <v>3.69623</v>
      </c>
      <c r="AT142" s="192" t="s">
        <v>314</v>
      </c>
      <c r="AU142" s="211" t="s">
        <v>313</v>
      </c>
      <c r="AV142" s="211" t="s">
        <v>1745</v>
      </c>
      <c r="AW142" s="211" t="s">
        <v>1746</v>
      </c>
      <c r="AX142" s="211" t="s">
        <v>314</v>
      </c>
      <c r="AY142" s="212">
        <v>1.9</v>
      </c>
      <c r="AZ142" s="213">
        <v>4.35</v>
      </c>
      <c r="BA142" s="213">
        <v>3.8</v>
      </c>
      <c r="BB142" s="213">
        <v>2.5</v>
      </c>
      <c r="BC142" s="212">
        <v>4.9399999999999995</v>
      </c>
      <c r="BD142" s="213">
        <v>10.0</v>
      </c>
      <c r="BE142" s="213">
        <v>10.0</v>
      </c>
      <c r="BF142" s="213">
        <v>7.0</v>
      </c>
      <c r="BG142" s="212">
        <v>10.133333333333333</v>
      </c>
      <c r="BH142" s="213">
        <v>9.483333333333333</v>
      </c>
      <c r="BI142" s="213">
        <v>0.0011882716037992698</v>
      </c>
      <c r="BJ142" s="213">
        <v>0.0013348765423870645</v>
      </c>
      <c r="BK142" s="213">
        <v>225.0</v>
      </c>
      <c r="BL142" s="212">
        <v>6.549999999999999</v>
      </c>
      <c r="BM142" s="213">
        <v>4.774999999999999</v>
      </c>
      <c r="BN142" s="213">
        <v>0.0023765432075985395</v>
      </c>
      <c r="BO142" s="213">
        <v>0.002669753084774129</v>
      </c>
      <c r="BP142" s="213">
        <v>112.5</v>
      </c>
      <c r="BQ142" s="192"/>
      <c r="BR142" s="192"/>
    </row>
    <row r="143">
      <c r="A143" s="60">
        <v>2161153.0</v>
      </c>
      <c r="B143" s="205">
        <v>2701775.0</v>
      </c>
      <c r="C143" s="205">
        <v>1203052.0</v>
      </c>
      <c r="D143" s="205">
        <v>1.0</v>
      </c>
      <c r="E143" s="207">
        <v>44010.863379629634</v>
      </c>
      <c r="F143" s="207">
        <v>44184.86386574074</v>
      </c>
      <c r="G143" s="207">
        <v>44172.244305555556</v>
      </c>
      <c r="H143" s="63" t="s">
        <v>1740</v>
      </c>
      <c r="I143" s="205">
        <v>150.0</v>
      </c>
      <c r="J143" s="63" t="s">
        <v>1741</v>
      </c>
      <c r="K143" s="205">
        <v>1371514.0</v>
      </c>
      <c r="L143" s="208">
        <v>4.7537</v>
      </c>
      <c r="M143" s="208">
        <v>2.3162</v>
      </c>
      <c r="N143" s="208">
        <v>2.23254</v>
      </c>
      <c r="O143" s="209">
        <v>3.8</v>
      </c>
      <c r="P143" s="209">
        <v>8.7</v>
      </c>
      <c r="Q143" s="209">
        <v>7.6</v>
      </c>
      <c r="R143" s="209">
        <v>5.0</v>
      </c>
      <c r="S143" s="210">
        <v>0.0017824074056989048</v>
      </c>
      <c r="U143" s="205">
        <v>10.0</v>
      </c>
      <c r="V143" s="205">
        <v>3.0</v>
      </c>
      <c r="W143" s="63" t="s">
        <v>1742</v>
      </c>
      <c r="X143" s="210">
        <v>0.002002314813580597</v>
      </c>
      <c r="Y143" s="63" t="s">
        <v>1116</v>
      </c>
      <c r="Z143" s="63" t="s">
        <v>1743</v>
      </c>
      <c r="AA143" s="205">
        <v>0.0</v>
      </c>
      <c r="AB143" s="63" t="s">
        <v>1744</v>
      </c>
      <c r="AC143" s="205">
        <v>611.0</v>
      </c>
      <c r="AD143" s="208">
        <v>9.42262</v>
      </c>
      <c r="AE143" s="205">
        <v>116794.0</v>
      </c>
      <c r="AF143" s="205">
        <v>12678.0</v>
      </c>
      <c r="AG143" s="205">
        <v>436.0</v>
      </c>
      <c r="AH143" s="205">
        <v>263.0</v>
      </c>
      <c r="AI143" s="205">
        <v>2.0</v>
      </c>
      <c r="AJ143" s="205">
        <v>1054.0</v>
      </c>
      <c r="AK143" s="205">
        <v>0.0</v>
      </c>
      <c r="AL143" s="205">
        <v>1.0</v>
      </c>
      <c r="AM143" s="205">
        <v>0.0</v>
      </c>
      <c r="AN143" s="205">
        <v>0.0</v>
      </c>
      <c r="AO143" s="208">
        <v>4.41395</v>
      </c>
      <c r="AP143" s="208">
        <v>4.98133</v>
      </c>
      <c r="AQ143" s="208">
        <v>6.57856</v>
      </c>
      <c r="AR143" s="208">
        <v>3.69623</v>
      </c>
      <c r="AT143" s="192" t="s">
        <v>314</v>
      </c>
      <c r="AU143" s="211" t="s">
        <v>313</v>
      </c>
      <c r="AV143" s="211" t="s">
        <v>1745</v>
      </c>
      <c r="AW143" s="211" t="s">
        <v>1746</v>
      </c>
      <c r="AX143" s="211" t="s">
        <v>314</v>
      </c>
      <c r="AY143" s="212">
        <v>1.9</v>
      </c>
      <c r="AZ143" s="213">
        <v>4.35</v>
      </c>
      <c r="BA143" s="213">
        <v>3.8</v>
      </c>
      <c r="BB143" s="213">
        <v>2.5</v>
      </c>
      <c r="BC143" s="212">
        <v>4.9399999999999995</v>
      </c>
      <c r="BD143" s="213">
        <v>10.0</v>
      </c>
      <c r="BE143" s="213">
        <v>10.0</v>
      </c>
      <c r="BF143" s="213">
        <v>7.0</v>
      </c>
      <c r="BG143" s="212">
        <v>10.133333333333333</v>
      </c>
      <c r="BH143" s="213">
        <v>9.483333333333333</v>
      </c>
      <c r="BI143" s="213">
        <v>0.0011882716037992698</v>
      </c>
      <c r="BJ143" s="213">
        <v>0.0013348765423870645</v>
      </c>
      <c r="BK143" s="213">
        <v>225.0</v>
      </c>
      <c r="BL143" s="212">
        <v>6.549999999999999</v>
      </c>
      <c r="BM143" s="213">
        <v>4.774999999999999</v>
      </c>
      <c r="BN143" s="213">
        <v>0.0023765432075985395</v>
      </c>
      <c r="BO143" s="213">
        <v>0.002669753084774129</v>
      </c>
      <c r="BP143" s="213">
        <v>112.5</v>
      </c>
      <c r="BQ143" s="192"/>
      <c r="BR143" s="192"/>
    </row>
    <row r="144">
      <c r="A144" s="60">
        <v>892543.0</v>
      </c>
      <c r="B144" s="205">
        <v>3460069.0</v>
      </c>
      <c r="C144" s="205">
        <v>1693295.0</v>
      </c>
      <c r="D144" s="205">
        <v>-2.0</v>
      </c>
      <c r="E144" s="207">
        <v>44599.10469907407</v>
      </c>
      <c r="F144" s="215"/>
      <c r="G144" s="207">
        <v>44628.40440972222</v>
      </c>
      <c r="H144" s="63" t="s">
        <v>968</v>
      </c>
      <c r="I144" s="205">
        <v>174.0</v>
      </c>
      <c r="J144" s="63" t="s">
        <v>185</v>
      </c>
      <c r="K144" s="205">
        <v>1.2079964E7</v>
      </c>
      <c r="L144" s="208">
        <v>4.42032</v>
      </c>
      <c r="M144" s="208">
        <v>1.97553</v>
      </c>
      <c r="N144" s="208">
        <v>2.23685</v>
      </c>
      <c r="O144" s="209">
        <v>4.0</v>
      </c>
      <c r="P144" s="209">
        <v>8.0</v>
      </c>
      <c r="Q144" s="209">
        <v>7.0</v>
      </c>
      <c r="R144" s="209">
        <v>5.0</v>
      </c>
      <c r="S144" s="210">
        <v>0.0012731481474475004</v>
      </c>
      <c r="U144" s="205">
        <v>2.0</v>
      </c>
      <c r="V144" s="205">
        <v>3.0</v>
      </c>
      <c r="W144" s="63" t="s">
        <v>1747</v>
      </c>
      <c r="X144" s="210">
        <v>0.0012962962973688263</v>
      </c>
      <c r="Y144" s="63" t="s">
        <v>1748</v>
      </c>
      <c r="Z144" s="63" t="s">
        <v>1749</v>
      </c>
      <c r="AA144" s="205">
        <v>0.0</v>
      </c>
      <c r="AC144" s="205">
        <v>0.0</v>
      </c>
      <c r="AD144" s="208">
        <v>0.0</v>
      </c>
      <c r="AE144" s="205">
        <v>328.0</v>
      </c>
      <c r="AF144" s="205">
        <v>133.0</v>
      </c>
      <c r="AG144" s="205">
        <v>288.0</v>
      </c>
      <c r="AH144" s="205">
        <v>106.0</v>
      </c>
      <c r="AI144" s="205">
        <v>0.0</v>
      </c>
      <c r="AJ144" s="205">
        <v>525.0</v>
      </c>
      <c r="AK144" s="205">
        <v>0.0</v>
      </c>
      <c r="AL144" s="205">
        <v>0.0</v>
      </c>
      <c r="AM144" s="205">
        <v>0.0</v>
      </c>
      <c r="AN144" s="205">
        <v>0.0</v>
      </c>
      <c r="AO144" s="208">
        <v>4.08887</v>
      </c>
      <c r="AP144" s="208">
        <v>4.60377</v>
      </c>
      <c r="AQ144" s="208">
        <v>6.35565</v>
      </c>
      <c r="AR144" s="208">
        <v>3.54444</v>
      </c>
      <c r="AT144" s="192" t="s">
        <v>235</v>
      </c>
      <c r="AU144" s="211" t="s">
        <v>316</v>
      </c>
      <c r="AV144" s="211" t="s">
        <v>1750</v>
      </c>
      <c r="AW144" s="211" t="s">
        <v>1751</v>
      </c>
      <c r="AX144" s="211" t="s">
        <v>235</v>
      </c>
      <c r="AY144" s="212">
        <v>2.0</v>
      </c>
      <c r="AZ144" s="213">
        <v>4.0</v>
      </c>
      <c r="BA144" s="213">
        <v>3.5</v>
      </c>
      <c r="BB144" s="213">
        <v>2.5</v>
      </c>
      <c r="BC144" s="212">
        <v>5.2</v>
      </c>
      <c r="BD144" s="213">
        <v>10.0</v>
      </c>
      <c r="BE144" s="213">
        <v>9.799999999999999</v>
      </c>
      <c r="BF144" s="213">
        <v>7.0</v>
      </c>
      <c r="BG144" s="212">
        <v>9.666666666666668</v>
      </c>
      <c r="BH144" s="213">
        <v>9.083333333333334</v>
      </c>
      <c r="BI144" s="213">
        <v>8.48765431631667E-4</v>
      </c>
      <c r="BJ144" s="213">
        <v>8.641975315792175E-4</v>
      </c>
      <c r="BK144" s="213">
        <v>261.0</v>
      </c>
      <c r="BL144" s="212">
        <v>5.5</v>
      </c>
      <c r="BM144" s="213">
        <v>3.875</v>
      </c>
      <c r="BN144" s="213">
        <v>0.001697530863263334</v>
      </c>
      <c r="BO144" s="213">
        <v>0.001728395063158435</v>
      </c>
      <c r="BP144" s="213">
        <v>130.5</v>
      </c>
      <c r="BQ144" s="192"/>
      <c r="BR144" s="192"/>
    </row>
    <row r="145">
      <c r="A145" s="60">
        <v>3912466.0</v>
      </c>
      <c r="B145" s="205">
        <v>3460069.0</v>
      </c>
      <c r="C145" s="205">
        <v>1693295.0</v>
      </c>
      <c r="D145" s="205">
        <v>-2.0</v>
      </c>
      <c r="E145" s="207">
        <v>44599.10469907407</v>
      </c>
      <c r="F145" s="215"/>
      <c r="G145" s="207">
        <v>44628.40440972222</v>
      </c>
      <c r="H145" s="63" t="s">
        <v>968</v>
      </c>
      <c r="I145" s="205">
        <v>174.0</v>
      </c>
      <c r="J145" s="63" t="s">
        <v>185</v>
      </c>
      <c r="K145" s="205">
        <v>1.2079964E7</v>
      </c>
      <c r="L145" s="208">
        <v>4.42032</v>
      </c>
      <c r="M145" s="208">
        <v>1.97553</v>
      </c>
      <c r="N145" s="208">
        <v>2.23685</v>
      </c>
      <c r="O145" s="209">
        <v>4.0</v>
      </c>
      <c r="P145" s="209">
        <v>8.0</v>
      </c>
      <c r="Q145" s="209">
        <v>7.0</v>
      </c>
      <c r="R145" s="209">
        <v>5.0</v>
      </c>
      <c r="S145" s="210">
        <v>0.0012731481474475004</v>
      </c>
      <c r="U145" s="205">
        <v>2.0</v>
      </c>
      <c r="V145" s="205">
        <v>3.0</v>
      </c>
      <c r="W145" s="63" t="s">
        <v>1747</v>
      </c>
      <c r="X145" s="210">
        <v>0.0012962962973688263</v>
      </c>
      <c r="Y145" s="63" t="s">
        <v>1748</v>
      </c>
      <c r="Z145" s="63" t="s">
        <v>1749</v>
      </c>
      <c r="AA145" s="205">
        <v>0.0</v>
      </c>
      <c r="AC145" s="205">
        <v>0.0</v>
      </c>
      <c r="AD145" s="208">
        <v>0.0</v>
      </c>
      <c r="AE145" s="205">
        <v>328.0</v>
      </c>
      <c r="AF145" s="205">
        <v>133.0</v>
      </c>
      <c r="AG145" s="205">
        <v>288.0</v>
      </c>
      <c r="AH145" s="205">
        <v>106.0</v>
      </c>
      <c r="AI145" s="205">
        <v>0.0</v>
      </c>
      <c r="AJ145" s="205">
        <v>525.0</v>
      </c>
      <c r="AK145" s="205">
        <v>0.0</v>
      </c>
      <c r="AL145" s="205">
        <v>0.0</v>
      </c>
      <c r="AM145" s="205">
        <v>0.0</v>
      </c>
      <c r="AN145" s="205">
        <v>0.0</v>
      </c>
      <c r="AO145" s="208">
        <v>4.08887</v>
      </c>
      <c r="AP145" s="208">
        <v>4.60377</v>
      </c>
      <c r="AQ145" s="208">
        <v>6.35565</v>
      </c>
      <c r="AR145" s="208">
        <v>3.54444</v>
      </c>
      <c r="AT145" s="192" t="s">
        <v>235</v>
      </c>
      <c r="AU145" s="211" t="s">
        <v>316</v>
      </c>
      <c r="AV145" s="211" t="s">
        <v>1750</v>
      </c>
      <c r="AW145" s="211" t="s">
        <v>1751</v>
      </c>
      <c r="AX145" s="211" t="s">
        <v>235</v>
      </c>
      <c r="AY145" s="212">
        <v>2.0</v>
      </c>
      <c r="AZ145" s="213">
        <v>4.0</v>
      </c>
      <c r="BA145" s="213">
        <v>3.5</v>
      </c>
      <c r="BB145" s="213">
        <v>2.5</v>
      </c>
      <c r="BC145" s="212">
        <v>5.2</v>
      </c>
      <c r="BD145" s="213">
        <v>10.0</v>
      </c>
      <c r="BE145" s="213">
        <v>9.799999999999999</v>
      </c>
      <c r="BF145" s="213">
        <v>7.0</v>
      </c>
      <c r="BG145" s="212">
        <v>9.666666666666668</v>
      </c>
      <c r="BH145" s="213">
        <v>9.083333333333334</v>
      </c>
      <c r="BI145" s="213">
        <v>8.48765431631667E-4</v>
      </c>
      <c r="BJ145" s="213">
        <v>8.641975315792175E-4</v>
      </c>
      <c r="BK145" s="213">
        <v>261.0</v>
      </c>
      <c r="BL145" s="212">
        <v>5.5</v>
      </c>
      <c r="BM145" s="213">
        <v>3.875</v>
      </c>
      <c r="BN145" s="213">
        <v>0.001697530863263334</v>
      </c>
      <c r="BO145" s="213">
        <v>0.001728395063158435</v>
      </c>
      <c r="BP145" s="213">
        <v>130.5</v>
      </c>
      <c r="BQ145" s="192"/>
      <c r="BR145" s="192"/>
    </row>
    <row r="146">
      <c r="A146" s="60">
        <v>1403845.0</v>
      </c>
      <c r="B146" s="205">
        <v>3053637.0</v>
      </c>
      <c r="C146" s="205">
        <v>1488532.0</v>
      </c>
      <c r="D146" s="205">
        <v>1.0</v>
      </c>
      <c r="E146" s="207">
        <v>44357.774409722224</v>
      </c>
      <c r="F146" s="207">
        <v>44442.5996875</v>
      </c>
      <c r="G146" s="207">
        <v>44435.21231481481</v>
      </c>
      <c r="H146" s="63" t="s">
        <v>1752</v>
      </c>
      <c r="I146" s="205">
        <v>160.0</v>
      </c>
      <c r="J146" s="63" t="s">
        <v>1753</v>
      </c>
      <c r="K146" s="205">
        <v>7742067.0</v>
      </c>
      <c r="L146" s="208">
        <v>3.52069</v>
      </c>
      <c r="M146" s="208">
        <v>1.64814</v>
      </c>
      <c r="N146" s="208">
        <v>1.72025</v>
      </c>
      <c r="O146" s="209">
        <v>3.6</v>
      </c>
      <c r="P146" s="209">
        <v>8.0</v>
      </c>
      <c r="Q146" s="209">
        <v>7.0</v>
      </c>
      <c r="R146" s="209">
        <v>5.0</v>
      </c>
      <c r="S146" s="210">
        <v>0.0025694444448163267</v>
      </c>
      <c r="U146" s="205">
        <v>5.0</v>
      </c>
      <c r="V146" s="205">
        <v>3.0</v>
      </c>
      <c r="W146" s="63" t="s">
        <v>1754</v>
      </c>
      <c r="X146" s="210">
        <v>0.0026273148141626734</v>
      </c>
      <c r="Y146" s="63" t="s">
        <v>1443</v>
      </c>
      <c r="Z146" s="63" t="s">
        <v>1755</v>
      </c>
      <c r="AA146" s="205">
        <v>0.0</v>
      </c>
      <c r="AB146" s="63" t="s">
        <v>1756</v>
      </c>
      <c r="AC146" s="205">
        <v>40.0</v>
      </c>
      <c r="AD146" s="208">
        <v>8.73077</v>
      </c>
      <c r="AE146" s="205">
        <v>12007.0</v>
      </c>
      <c r="AF146" s="205">
        <v>3096.0</v>
      </c>
      <c r="AG146" s="205">
        <v>298.0</v>
      </c>
      <c r="AH146" s="205">
        <v>348.0</v>
      </c>
      <c r="AI146" s="205">
        <v>1.0</v>
      </c>
      <c r="AJ146" s="205">
        <v>1077.0</v>
      </c>
      <c r="AK146" s="205">
        <v>0.0</v>
      </c>
      <c r="AL146" s="205">
        <v>0.0</v>
      </c>
      <c r="AM146" s="205">
        <v>0.0</v>
      </c>
      <c r="AN146" s="205">
        <v>0.0</v>
      </c>
      <c r="AO146" s="208">
        <v>3.21129</v>
      </c>
      <c r="AP146" s="208">
        <v>3.64632</v>
      </c>
      <c r="AQ146" s="208">
        <v>4.88998</v>
      </c>
      <c r="AR146" s="208">
        <v>2.90145</v>
      </c>
      <c r="AT146" s="192" t="s">
        <v>318</v>
      </c>
      <c r="AU146" s="211" t="s">
        <v>317</v>
      </c>
      <c r="AV146" s="211" t="s">
        <v>1757</v>
      </c>
      <c r="AW146" s="211" t="s">
        <v>1758</v>
      </c>
      <c r="AX146" s="211" t="s">
        <v>318</v>
      </c>
      <c r="AY146" s="212">
        <v>1.8</v>
      </c>
      <c r="AZ146" s="213">
        <v>4.0</v>
      </c>
      <c r="BA146" s="213">
        <v>3.5</v>
      </c>
      <c r="BB146" s="213">
        <v>2.5</v>
      </c>
      <c r="BC146" s="212">
        <v>4.680000000000001</v>
      </c>
      <c r="BD146" s="213">
        <v>10.0</v>
      </c>
      <c r="BE146" s="213">
        <v>9.799999999999999</v>
      </c>
      <c r="BF146" s="213">
        <v>7.0</v>
      </c>
      <c r="BG146" s="212">
        <v>9.666666666666668</v>
      </c>
      <c r="BH146" s="213">
        <v>9.083333333333334</v>
      </c>
      <c r="BI146" s="213">
        <v>0.0017129629632108845</v>
      </c>
      <c r="BJ146" s="213">
        <v>0.0017515432094417822</v>
      </c>
      <c r="BK146" s="213">
        <v>240.0</v>
      </c>
      <c r="BL146" s="212">
        <v>5.5</v>
      </c>
      <c r="BM146" s="213">
        <v>3.875</v>
      </c>
      <c r="BN146" s="213">
        <v>0.003425925926421769</v>
      </c>
      <c r="BO146" s="213">
        <v>0.0035030864188835644</v>
      </c>
      <c r="BP146" s="213">
        <v>120.0</v>
      </c>
      <c r="BQ146" s="192"/>
      <c r="BR146" s="192"/>
    </row>
    <row r="147">
      <c r="A147" s="60">
        <v>1290855.0</v>
      </c>
      <c r="B147" s="205">
        <v>3053637.0</v>
      </c>
      <c r="C147" s="205">
        <v>1488532.0</v>
      </c>
      <c r="D147" s="205">
        <v>1.0</v>
      </c>
      <c r="E147" s="207">
        <v>44357.774409722224</v>
      </c>
      <c r="F147" s="207">
        <v>44442.5996875</v>
      </c>
      <c r="G147" s="207">
        <v>44435.21231481481</v>
      </c>
      <c r="H147" s="63" t="s">
        <v>1752</v>
      </c>
      <c r="I147" s="205">
        <v>160.0</v>
      </c>
      <c r="J147" s="63" t="s">
        <v>1753</v>
      </c>
      <c r="K147" s="205">
        <v>7742067.0</v>
      </c>
      <c r="L147" s="208">
        <v>3.52069</v>
      </c>
      <c r="M147" s="208">
        <v>1.64814</v>
      </c>
      <c r="N147" s="208">
        <v>1.72025</v>
      </c>
      <c r="O147" s="209">
        <v>3.6</v>
      </c>
      <c r="P147" s="209">
        <v>8.0</v>
      </c>
      <c r="Q147" s="209">
        <v>7.0</v>
      </c>
      <c r="R147" s="209">
        <v>5.0</v>
      </c>
      <c r="S147" s="210">
        <v>0.0025694444448163267</v>
      </c>
      <c r="U147" s="205">
        <v>5.0</v>
      </c>
      <c r="V147" s="205">
        <v>3.0</v>
      </c>
      <c r="W147" s="63" t="s">
        <v>1754</v>
      </c>
      <c r="X147" s="210">
        <v>0.0026273148141626734</v>
      </c>
      <c r="Y147" s="63" t="s">
        <v>1443</v>
      </c>
      <c r="Z147" s="63" t="s">
        <v>1755</v>
      </c>
      <c r="AA147" s="205">
        <v>0.0</v>
      </c>
      <c r="AB147" s="63" t="s">
        <v>1756</v>
      </c>
      <c r="AC147" s="205">
        <v>40.0</v>
      </c>
      <c r="AD147" s="208">
        <v>8.73077</v>
      </c>
      <c r="AE147" s="205">
        <v>12007.0</v>
      </c>
      <c r="AF147" s="205">
        <v>3096.0</v>
      </c>
      <c r="AG147" s="205">
        <v>298.0</v>
      </c>
      <c r="AH147" s="205">
        <v>348.0</v>
      </c>
      <c r="AI147" s="205">
        <v>1.0</v>
      </c>
      <c r="AJ147" s="205">
        <v>1077.0</v>
      </c>
      <c r="AK147" s="205">
        <v>0.0</v>
      </c>
      <c r="AL147" s="205">
        <v>0.0</v>
      </c>
      <c r="AM147" s="205">
        <v>0.0</v>
      </c>
      <c r="AN147" s="205">
        <v>0.0</v>
      </c>
      <c r="AO147" s="208">
        <v>3.21129</v>
      </c>
      <c r="AP147" s="208">
        <v>3.64632</v>
      </c>
      <c r="AQ147" s="208">
        <v>4.88998</v>
      </c>
      <c r="AR147" s="208">
        <v>2.90145</v>
      </c>
      <c r="AT147" s="192" t="s">
        <v>318</v>
      </c>
      <c r="AU147" s="211" t="s">
        <v>317</v>
      </c>
      <c r="AV147" s="211" t="s">
        <v>1757</v>
      </c>
      <c r="AW147" s="211" t="s">
        <v>1758</v>
      </c>
      <c r="AX147" s="211" t="s">
        <v>318</v>
      </c>
      <c r="AY147" s="212">
        <v>1.8</v>
      </c>
      <c r="AZ147" s="213">
        <v>4.0</v>
      </c>
      <c r="BA147" s="213">
        <v>3.5</v>
      </c>
      <c r="BB147" s="213">
        <v>2.5</v>
      </c>
      <c r="BC147" s="212">
        <v>4.680000000000001</v>
      </c>
      <c r="BD147" s="213">
        <v>10.0</v>
      </c>
      <c r="BE147" s="213">
        <v>9.799999999999999</v>
      </c>
      <c r="BF147" s="213">
        <v>7.0</v>
      </c>
      <c r="BG147" s="212">
        <v>9.666666666666668</v>
      </c>
      <c r="BH147" s="213">
        <v>9.083333333333334</v>
      </c>
      <c r="BI147" s="213">
        <v>0.0017129629632108845</v>
      </c>
      <c r="BJ147" s="213">
        <v>0.0017515432094417822</v>
      </c>
      <c r="BK147" s="213">
        <v>240.0</v>
      </c>
      <c r="BL147" s="212">
        <v>5.5</v>
      </c>
      <c r="BM147" s="213">
        <v>3.875</v>
      </c>
      <c r="BN147" s="213">
        <v>0.003425925926421769</v>
      </c>
      <c r="BO147" s="213">
        <v>0.0035030864188835644</v>
      </c>
      <c r="BP147" s="213">
        <v>120.0</v>
      </c>
      <c r="BQ147" s="192"/>
      <c r="BR147" s="192"/>
    </row>
    <row r="148">
      <c r="A148" s="60">
        <v>2348578.0</v>
      </c>
      <c r="B148" s="205">
        <v>3332932.0</v>
      </c>
      <c r="C148" s="205">
        <v>1632817.0</v>
      </c>
      <c r="D148" s="205">
        <v>1.0</v>
      </c>
      <c r="E148" s="207">
        <v>44521.49996527778</v>
      </c>
      <c r="F148" s="207">
        <v>44567.98987268518</v>
      </c>
      <c r="G148" s="207">
        <v>44558.12760416667</v>
      </c>
      <c r="H148" s="63" t="s">
        <v>1759</v>
      </c>
      <c r="I148" s="205">
        <v>176.0</v>
      </c>
      <c r="J148" s="63" t="s">
        <v>1760</v>
      </c>
      <c r="K148" s="205">
        <v>6300910.0</v>
      </c>
      <c r="L148" s="208">
        <v>4.49584</v>
      </c>
      <c r="M148" s="208">
        <v>2.37118</v>
      </c>
      <c r="N148" s="208">
        <v>1.86148</v>
      </c>
      <c r="O148" s="209">
        <v>4.0</v>
      </c>
      <c r="P148" s="209">
        <v>8.5</v>
      </c>
      <c r="Q148" s="209">
        <v>7.0</v>
      </c>
      <c r="R148" s="209">
        <v>4.5</v>
      </c>
      <c r="S148" s="210">
        <v>0.0015162037052505184</v>
      </c>
      <c r="U148" s="205">
        <v>5.0</v>
      </c>
      <c r="V148" s="205">
        <v>2.0</v>
      </c>
      <c r="W148" s="63" t="s">
        <v>1761</v>
      </c>
      <c r="X148" s="210">
        <v>0.0016435185170848854</v>
      </c>
      <c r="Y148" s="63" t="s">
        <v>1762</v>
      </c>
      <c r="Z148" s="63" t="s">
        <v>1763</v>
      </c>
      <c r="AA148" s="205">
        <v>0.0</v>
      </c>
      <c r="AB148" s="63" t="s">
        <v>1764</v>
      </c>
      <c r="AC148" s="205">
        <v>890.0</v>
      </c>
      <c r="AD148" s="208">
        <v>9.0898</v>
      </c>
      <c r="AE148" s="205">
        <v>139807.0</v>
      </c>
      <c r="AF148" s="205">
        <v>12742.0</v>
      </c>
      <c r="AG148" s="205">
        <v>242.0</v>
      </c>
      <c r="AH148" s="205">
        <v>215.0</v>
      </c>
      <c r="AI148" s="205">
        <v>1.0</v>
      </c>
      <c r="AJ148" s="205">
        <v>678.0</v>
      </c>
      <c r="AK148" s="205">
        <v>0.0</v>
      </c>
      <c r="AL148" s="205">
        <v>0.0</v>
      </c>
      <c r="AM148" s="205">
        <v>0.0</v>
      </c>
      <c r="AN148" s="205">
        <v>0.0</v>
      </c>
      <c r="AO148" s="208">
        <v>4.11597</v>
      </c>
      <c r="AP148" s="208">
        <v>4.83484</v>
      </c>
      <c r="AQ148" s="208">
        <v>6.31789</v>
      </c>
      <c r="AR148" s="208">
        <v>3.59776</v>
      </c>
      <c r="AT148" s="192" t="s">
        <v>320</v>
      </c>
      <c r="AU148" s="211" t="s">
        <v>319</v>
      </c>
      <c r="AV148" s="211" t="s">
        <v>1765</v>
      </c>
      <c r="AW148" s="211" t="s">
        <v>1766</v>
      </c>
      <c r="AX148" s="211" t="s">
        <v>320</v>
      </c>
      <c r="AY148" s="212">
        <v>2.0</v>
      </c>
      <c r="AZ148" s="213">
        <v>4.25</v>
      </c>
      <c r="BA148" s="213">
        <v>3.5</v>
      </c>
      <c r="BB148" s="213">
        <v>2.25</v>
      </c>
      <c r="BC148" s="212">
        <v>5.2</v>
      </c>
      <c r="BD148" s="213">
        <v>10.0</v>
      </c>
      <c r="BE148" s="213">
        <v>9.799999999999999</v>
      </c>
      <c r="BF148" s="213">
        <v>6.3</v>
      </c>
      <c r="BG148" s="212">
        <v>10.0</v>
      </c>
      <c r="BH148" s="213">
        <v>9.083333333333334</v>
      </c>
      <c r="BI148" s="213">
        <v>0.0010108024701670122</v>
      </c>
      <c r="BJ148" s="213">
        <v>0.0010956790113899235</v>
      </c>
      <c r="BK148" s="213">
        <v>264.0</v>
      </c>
      <c r="BL148" s="212">
        <v>6.25</v>
      </c>
      <c r="BM148" s="213">
        <v>3.875</v>
      </c>
      <c r="BN148" s="213">
        <v>0.0020216049403340244</v>
      </c>
      <c r="BO148" s="213">
        <v>0.002191358022779847</v>
      </c>
      <c r="BP148" s="213">
        <v>132.0</v>
      </c>
      <c r="BQ148" s="192"/>
      <c r="BR148" s="192"/>
    </row>
    <row r="149">
      <c r="A149" s="60">
        <v>2795818.0</v>
      </c>
      <c r="B149" s="205">
        <v>3332932.0</v>
      </c>
      <c r="C149" s="205">
        <v>1632817.0</v>
      </c>
      <c r="D149" s="205">
        <v>1.0</v>
      </c>
      <c r="E149" s="207">
        <v>44521.49996527778</v>
      </c>
      <c r="F149" s="207">
        <v>44567.98987268518</v>
      </c>
      <c r="G149" s="207">
        <v>44558.12760416667</v>
      </c>
      <c r="H149" s="63" t="s">
        <v>1759</v>
      </c>
      <c r="I149" s="205">
        <v>176.0</v>
      </c>
      <c r="J149" s="63" t="s">
        <v>1760</v>
      </c>
      <c r="K149" s="205">
        <v>6300910.0</v>
      </c>
      <c r="L149" s="208">
        <v>4.49584</v>
      </c>
      <c r="M149" s="208">
        <v>2.37118</v>
      </c>
      <c r="N149" s="208">
        <v>1.86148</v>
      </c>
      <c r="O149" s="209">
        <v>4.0</v>
      </c>
      <c r="P149" s="209">
        <v>8.5</v>
      </c>
      <c r="Q149" s="209">
        <v>7.0</v>
      </c>
      <c r="R149" s="209">
        <v>4.5</v>
      </c>
      <c r="S149" s="210">
        <v>0.0015162037052505184</v>
      </c>
      <c r="U149" s="205">
        <v>5.0</v>
      </c>
      <c r="V149" s="205">
        <v>2.0</v>
      </c>
      <c r="W149" s="63" t="s">
        <v>1761</v>
      </c>
      <c r="X149" s="210">
        <v>0.0016435185170848854</v>
      </c>
      <c r="Y149" s="63" t="s">
        <v>1762</v>
      </c>
      <c r="Z149" s="63" t="s">
        <v>1763</v>
      </c>
      <c r="AA149" s="205">
        <v>0.0</v>
      </c>
      <c r="AB149" s="63" t="s">
        <v>1764</v>
      </c>
      <c r="AC149" s="205">
        <v>890.0</v>
      </c>
      <c r="AD149" s="208">
        <v>9.0898</v>
      </c>
      <c r="AE149" s="205">
        <v>139807.0</v>
      </c>
      <c r="AF149" s="205">
        <v>12742.0</v>
      </c>
      <c r="AG149" s="205">
        <v>242.0</v>
      </c>
      <c r="AH149" s="205">
        <v>215.0</v>
      </c>
      <c r="AI149" s="205">
        <v>1.0</v>
      </c>
      <c r="AJ149" s="205">
        <v>678.0</v>
      </c>
      <c r="AK149" s="205">
        <v>0.0</v>
      </c>
      <c r="AL149" s="205">
        <v>0.0</v>
      </c>
      <c r="AM149" s="205">
        <v>0.0</v>
      </c>
      <c r="AN149" s="205">
        <v>0.0</v>
      </c>
      <c r="AO149" s="208">
        <v>4.11597</v>
      </c>
      <c r="AP149" s="208">
        <v>4.83484</v>
      </c>
      <c r="AQ149" s="208">
        <v>6.31789</v>
      </c>
      <c r="AR149" s="208">
        <v>3.59776</v>
      </c>
      <c r="AT149" s="192" t="s">
        <v>320</v>
      </c>
      <c r="AU149" s="211" t="s">
        <v>319</v>
      </c>
      <c r="AV149" s="211" t="s">
        <v>1765</v>
      </c>
      <c r="AW149" s="211" t="s">
        <v>1766</v>
      </c>
      <c r="AX149" s="211" t="s">
        <v>320</v>
      </c>
      <c r="AY149" s="212">
        <v>2.0</v>
      </c>
      <c r="AZ149" s="213">
        <v>4.25</v>
      </c>
      <c r="BA149" s="213">
        <v>3.5</v>
      </c>
      <c r="BB149" s="213">
        <v>2.25</v>
      </c>
      <c r="BC149" s="212">
        <v>5.2</v>
      </c>
      <c r="BD149" s="213">
        <v>10.0</v>
      </c>
      <c r="BE149" s="213">
        <v>9.799999999999999</v>
      </c>
      <c r="BF149" s="213">
        <v>6.3</v>
      </c>
      <c r="BG149" s="212">
        <v>10.0</v>
      </c>
      <c r="BH149" s="213">
        <v>9.083333333333334</v>
      </c>
      <c r="BI149" s="213">
        <v>0.0010108024701670122</v>
      </c>
      <c r="BJ149" s="213">
        <v>0.0010956790113899235</v>
      </c>
      <c r="BK149" s="213">
        <v>264.0</v>
      </c>
      <c r="BL149" s="212">
        <v>6.25</v>
      </c>
      <c r="BM149" s="213">
        <v>3.875</v>
      </c>
      <c r="BN149" s="213">
        <v>0.0020216049403340244</v>
      </c>
      <c r="BO149" s="213">
        <v>0.002191358022779847</v>
      </c>
      <c r="BP149" s="213">
        <v>132.0</v>
      </c>
      <c r="BQ149" s="192"/>
      <c r="BR149" s="192"/>
    </row>
    <row r="150">
      <c r="A150" s="60">
        <v>3714964.0</v>
      </c>
      <c r="B150" s="205">
        <v>2151207.0</v>
      </c>
      <c r="C150" s="205">
        <v>996628.0</v>
      </c>
      <c r="D150" s="205">
        <v>1.0</v>
      </c>
      <c r="E150" s="207">
        <v>43648.0054050926</v>
      </c>
      <c r="F150" s="207">
        <v>43735.990324074075</v>
      </c>
      <c r="G150" s="207">
        <v>43728.73881944444</v>
      </c>
      <c r="H150" s="63" t="s">
        <v>974</v>
      </c>
      <c r="I150" s="205">
        <v>210.0</v>
      </c>
      <c r="J150" s="63" t="s">
        <v>270</v>
      </c>
      <c r="K150" s="205">
        <v>4668230.0</v>
      </c>
      <c r="L150" s="208">
        <v>4.63282</v>
      </c>
      <c r="M150" s="208">
        <v>2.14438</v>
      </c>
      <c r="N150" s="208">
        <v>2.28518</v>
      </c>
      <c r="O150" s="209">
        <v>3.0</v>
      </c>
      <c r="P150" s="209">
        <v>9.0</v>
      </c>
      <c r="Q150" s="209">
        <v>8.0</v>
      </c>
      <c r="R150" s="209">
        <v>5.0</v>
      </c>
      <c r="S150" s="210">
        <v>0.0017592592594155576</v>
      </c>
      <c r="U150" s="205">
        <v>10.0</v>
      </c>
      <c r="V150" s="205">
        <v>5.0</v>
      </c>
      <c r="W150" s="63" t="s">
        <v>1503</v>
      </c>
      <c r="X150" s="210">
        <v>0.0019560185173759237</v>
      </c>
      <c r="Y150" s="63" t="s">
        <v>1767</v>
      </c>
      <c r="Z150" s="63" t="s">
        <v>1768</v>
      </c>
      <c r="AA150" s="205">
        <v>0.0</v>
      </c>
      <c r="AB150" s="63" t="s">
        <v>1505</v>
      </c>
      <c r="AC150" s="205">
        <v>1612.0</v>
      </c>
      <c r="AD150" s="208">
        <v>8.86964</v>
      </c>
      <c r="AE150" s="205">
        <v>410409.0</v>
      </c>
      <c r="AF150" s="205">
        <v>76014.0</v>
      </c>
      <c r="AG150" s="205">
        <v>212.0</v>
      </c>
      <c r="AH150" s="205">
        <v>309.0</v>
      </c>
      <c r="AI150" s="205">
        <v>0.0</v>
      </c>
      <c r="AJ150" s="205">
        <v>1064.0</v>
      </c>
      <c r="AK150" s="205">
        <v>0.0</v>
      </c>
      <c r="AL150" s="205">
        <v>0.0</v>
      </c>
      <c r="AM150" s="205">
        <v>0.0</v>
      </c>
      <c r="AN150" s="205">
        <v>0.0</v>
      </c>
      <c r="AO150" s="208">
        <v>4.38486</v>
      </c>
      <c r="AP150" s="208">
        <v>4.76451</v>
      </c>
      <c r="AQ150" s="208">
        <v>6.61685</v>
      </c>
      <c r="AR150" s="208">
        <v>3.72627</v>
      </c>
      <c r="AT150" s="192" t="s">
        <v>269</v>
      </c>
      <c r="AU150" s="211" t="s">
        <v>321</v>
      </c>
      <c r="AV150" s="211" t="s">
        <v>1507</v>
      </c>
      <c r="AW150" s="211" t="s">
        <v>1508</v>
      </c>
      <c r="AX150" s="211" t="s">
        <v>269</v>
      </c>
      <c r="AY150" s="212">
        <v>1.5</v>
      </c>
      <c r="AZ150" s="213">
        <v>4.5</v>
      </c>
      <c r="BA150" s="213">
        <v>4.0</v>
      </c>
      <c r="BB150" s="213">
        <v>2.5</v>
      </c>
      <c r="BC150" s="212">
        <v>3.9000000000000004</v>
      </c>
      <c r="BD150" s="213">
        <v>10.0</v>
      </c>
      <c r="BE150" s="213">
        <v>10.0</v>
      </c>
      <c r="BF150" s="213">
        <v>7.0</v>
      </c>
      <c r="BG150" s="212">
        <v>10.333333333333332</v>
      </c>
      <c r="BH150" s="213">
        <v>9.75</v>
      </c>
      <c r="BI150" s="213">
        <v>0.0011728395062770385</v>
      </c>
      <c r="BJ150" s="213">
        <v>0.0013040123449172825</v>
      </c>
      <c r="BK150" s="213">
        <v>315.0</v>
      </c>
      <c r="BL150" s="212">
        <v>7.0</v>
      </c>
      <c r="BM150" s="213">
        <v>5.375</v>
      </c>
      <c r="BN150" s="213">
        <v>0.002345679012554077</v>
      </c>
      <c r="BO150" s="213">
        <v>0.002608024689834565</v>
      </c>
      <c r="BP150" s="213">
        <v>157.5</v>
      </c>
      <c r="BQ150" s="192"/>
      <c r="BR150" s="192"/>
    </row>
    <row r="151">
      <c r="A151" s="60">
        <v>1600995.0</v>
      </c>
      <c r="B151" s="205">
        <v>2151207.0</v>
      </c>
      <c r="C151" s="205">
        <v>996628.0</v>
      </c>
      <c r="D151" s="205">
        <v>1.0</v>
      </c>
      <c r="E151" s="207">
        <v>43648.0054050926</v>
      </c>
      <c r="F151" s="207">
        <v>43735.990324074075</v>
      </c>
      <c r="G151" s="207">
        <v>43728.73881944444</v>
      </c>
      <c r="H151" s="63" t="s">
        <v>974</v>
      </c>
      <c r="I151" s="205">
        <v>210.0</v>
      </c>
      <c r="J151" s="63" t="s">
        <v>270</v>
      </c>
      <c r="K151" s="205">
        <v>4668230.0</v>
      </c>
      <c r="L151" s="208">
        <v>4.63282</v>
      </c>
      <c r="M151" s="208">
        <v>2.14438</v>
      </c>
      <c r="N151" s="208">
        <v>2.28518</v>
      </c>
      <c r="O151" s="209">
        <v>3.0</v>
      </c>
      <c r="P151" s="209">
        <v>9.0</v>
      </c>
      <c r="Q151" s="209">
        <v>8.0</v>
      </c>
      <c r="R151" s="209">
        <v>5.0</v>
      </c>
      <c r="S151" s="210">
        <v>0.0017592592594155576</v>
      </c>
      <c r="U151" s="205">
        <v>10.0</v>
      </c>
      <c r="V151" s="205">
        <v>5.0</v>
      </c>
      <c r="W151" s="63" t="s">
        <v>1503</v>
      </c>
      <c r="X151" s="210">
        <v>0.0019560185173759237</v>
      </c>
      <c r="Y151" s="63" t="s">
        <v>1767</v>
      </c>
      <c r="Z151" s="63" t="s">
        <v>1768</v>
      </c>
      <c r="AA151" s="205">
        <v>0.0</v>
      </c>
      <c r="AB151" s="63" t="s">
        <v>1505</v>
      </c>
      <c r="AC151" s="205">
        <v>1612.0</v>
      </c>
      <c r="AD151" s="208">
        <v>8.86964</v>
      </c>
      <c r="AE151" s="205">
        <v>410409.0</v>
      </c>
      <c r="AF151" s="205">
        <v>76014.0</v>
      </c>
      <c r="AG151" s="205">
        <v>212.0</v>
      </c>
      <c r="AH151" s="205">
        <v>309.0</v>
      </c>
      <c r="AI151" s="205">
        <v>0.0</v>
      </c>
      <c r="AJ151" s="205">
        <v>1064.0</v>
      </c>
      <c r="AK151" s="205">
        <v>0.0</v>
      </c>
      <c r="AL151" s="205">
        <v>0.0</v>
      </c>
      <c r="AM151" s="205">
        <v>0.0</v>
      </c>
      <c r="AN151" s="205">
        <v>0.0</v>
      </c>
      <c r="AO151" s="208">
        <v>4.38486</v>
      </c>
      <c r="AP151" s="208">
        <v>4.76451</v>
      </c>
      <c r="AQ151" s="208">
        <v>6.61685</v>
      </c>
      <c r="AR151" s="208">
        <v>3.72627</v>
      </c>
      <c r="AT151" s="192" t="s">
        <v>269</v>
      </c>
      <c r="AU151" s="211" t="s">
        <v>321</v>
      </c>
      <c r="AV151" s="211" t="s">
        <v>1507</v>
      </c>
      <c r="AW151" s="211" t="s">
        <v>1508</v>
      </c>
      <c r="AX151" s="211" t="s">
        <v>269</v>
      </c>
      <c r="AY151" s="212">
        <v>1.5</v>
      </c>
      <c r="AZ151" s="213">
        <v>4.5</v>
      </c>
      <c r="BA151" s="213">
        <v>4.0</v>
      </c>
      <c r="BB151" s="213">
        <v>2.5</v>
      </c>
      <c r="BC151" s="212">
        <v>3.9000000000000004</v>
      </c>
      <c r="BD151" s="213">
        <v>10.0</v>
      </c>
      <c r="BE151" s="213">
        <v>10.0</v>
      </c>
      <c r="BF151" s="213">
        <v>7.0</v>
      </c>
      <c r="BG151" s="212">
        <v>10.333333333333332</v>
      </c>
      <c r="BH151" s="213">
        <v>9.75</v>
      </c>
      <c r="BI151" s="213">
        <v>0.0011728395062770385</v>
      </c>
      <c r="BJ151" s="213">
        <v>0.0013040123449172825</v>
      </c>
      <c r="BK151" s="213">
        <v>315.0</v>
      </c>
      <c r="BL151" s="212">
        <v>7.0</v>
      </c>
      <c r="BM151" s="213">
        <v>5.375</v>
      </c>
      <c r="BN151" s="213">
        <v>0.002345679012554077</v>
      </c>
      <c r="BO151" s="213">
        <v>0.002608024689834565</v>
      </c>
      <c r="BP151" s="213">
        <v>157.5</v>
      </c>
      <c r="BQ151" s="192"/>
      <c r="BR151" s="192"/>
    </row>
    <row r="152">
      <c r="A152" s="60">
        <v>2872861.0</v>
      </c>
      <c r="B152" s="205">
        <v>3169863.0</v>
      </c>
      <c r="C152" s="205">
        <v>1494548.0</v>
      </c>
      <c r="D152" s="205">
        <v>1.0</v>
      </c>
      <c r="E152" s="207">
        <v>44364.603796296295</v>
      </c>
      <c r="F152" s="207">
        <v>44578.19707175926</v>
      </c>
      <c r="G152" s="207">
        <v>44567.451932870375</v>
      </c>
      <c r="H152" s="63" t="s">
        <v>1769</v>
      </c>
      <c r="I152" s="205">
        <v>153.0</v>
      </c>
      <c r="J152" s="63" t="s">
        <v>609</v>
      </c>
      <c r="K152" s="205">
        <v>1.0914582E7</v>
      </c>
      <c r="L152" s="208">
        <v>4.44365</v>
      </c>
      <c r="M152" s="208">
        <v>2.18873</v>
      </c>
      <c r="N152" s="208">
        <v>2.06045</v>
      </c>
      <c r="O152" s="209">
        <v>3.3</v>
      </c>
      <c r="P152" s="209">
        <v>8.9</v>
      </c>
      <c r="Q152" s="209">
        <v>8.0</v>
      </c>
      <c r="R152" s="209">
        <v>5.0</v>
      </c>
      <c r="S152" s="210">
        <v>0.0013425925935734995</v>
      </c>
      <c r="T152" s="63" t="s">
        <v>1770</v>
      </c>
      <c r="U152" s="205">
        <v>10.0</v>
      </c>
      <c r="V152" s="205">
        <v>5.0</v>
      </c>
      <c r="W152" s="63" t="s">
        <v>1771</v>
      </c>
      <c r="X152" s="210">
        <v>0.001354166666715173</v>
      </c>
      <c r="Y152" s="63" t="s">
        <v>1772</v>
      </c>
      <c r="Z152" s="63" t="s">
        <v>1773</v>
      </c>
      <c r="AA152" s="205">
        <v>0.0</v>
      </c>
      <c r="AB152" s="63" t="s">
        <v>1774</v>
      </c>
      <c r="AC152" s="205">
        <v>163.0</v>
      </c>
      <c r="AD152" s="208">
        <v>9.05556</v>
      </c>
      <c r="AE152" s="205">
        <v>18991.0</v>
      </c>
      <c r="AF152" s="205">
        <v>3197.0</v>
      </c>
      <c r="AG152" s="205">
        <v>229.0</v>
      </c>
      <c r="AH152" s="205">
        <v>246.0</v>
      </c>
      <c r="AI152" s="205">
        <v>0.0</v>
      </c>
      <c r="AJ152" s="205">
        <v>777.0</v>
      </c>
      <c r="AK152" s="205">
        <v>0.0</v>
      </c>
      <c r="AL152" s="205">
        <v>1.0</v>
      </c>
      <c r="AM152" s="205">
        <v>0.0</v>
      </c>
      <c r="AN152" s="205">
        <v>0.0</v>
      </c>
      <c r="AO152" s="208">
        <v>4.14725</v>
      </c>
      <c r="AP152" s="208">
        <v>4.64168</v>
      </c>
      <c r="AQ152" s="208">
        <v>6.24676</v>
      </c>
      <c r="AR152" s="208">
        <v>3.5426</v>
      </c>
      <c r="AT152" s="192" t="s">
        <v>323</v>
      </c>
      <c r="AU152" s="211" t="s">
        <v>322</v>
      </c>
      <c r="AV152" s="211" t="s">
        <v>1775</v>
      </c>
      <c r="AW152" s="211" t="s">
        <v>1776</v>
      </c>
      <c r="AX152" s="211" t="s">
        <v>323</v>
      </c>
      <c r="AY152" s="212">
        <v>1.65</v>
      </c>
      <c r="AZ152" s="213">
        <v>4.45</v>
      </c>
      <c r="BA152" s="213">
        <v>4.0</v>
      </c>
      <c r="BB152" s="213">
        <v>2.5</v>
      </c>
      <c r="BC152" s="212">
        <v>4.29</v>
      </c>
      <c r="BD152" s="213">
        <v>10.0</v>
      </c>
      <c r="BE152" s="213">
        <v>10.0</v>
      </c>
      <c r="BF152" s="213">
        <v>7.0</v>
      </c>
      <c r="BG152" s="212">
        <v>10.266666666666666</v>
      </c>
      <c r="BH152" s="213">
        <v>9.75</v>
      </c>
      <c r="BI152" s="213">
        <v>8.950617290489996E-4</v>
      </c>
      <c r="BJ152" s="213">
        <v>9.027777778101154E-4</v>
      </c>
      <c r="BK152" s="213">
        <v>229.5</v>
      </c>
      <c r="BL152" s="212">
        <v>6.85</v>
      </c>
      <c r="BM152" s="213">
        <v>5.375</v>
      </c>
      <c r="BN152" s="213">
        <v>0.0017901234580979992</v>
      </c>
      <c r="BO152" s="213">
        <v>0.0018055555556202307</v>
      </c>
      <c r="BP152" s="213">
        <v>114.75</v>
      </c>
      <c r="BQ152" s="192"/>
      <c r="BR152" s="192"/>
    </row>
    <row r="153">
      <c r="A153" s="60">
        <v>2442178.0</v>
      </c>
      <c r="B153" s="205">
        <v>2891411.0</v>
      </c>
      <c r="C153" s="205">
        <v>1401651.0</v>
      </c>
      <c r="D153" s="205">
        <v>1.0</v>
      </c>
      <c r="E153" s="207">
        <v>44269.18481481481</v>
      </c>
      <c r="F153" s="207">
        <v>44304.114004629635</v>
      </c>
      <c r="G153" s="207">
        <v>44297.086493055554</v>
      </c>
      <c r="H153" s="63" t="s">
        <v>1777</v>
      </c>
      <c r="I153" s="205">
        <v>150.0</v>
      </c>
      <c r="J153" s="63" t="s">
        <v>1778</v>
      </c>
      <c r="K153" s="205">
        <v>1244312.0</v>
      </c>
      <c r="L153" s="208">
        <v>4.49103</v>
      </c>
      <c r="M153" s="208">
        <v>1.9638</v>
      </c>
      <c r="N153" s="208">
        <v>2.30364</v>
      </c>
      <c r="O153" s="209">
        <v>5.0</v>
      </c>
      <c r="P153" s="209">
        <v>8.0</v>
      </c>
      <c r="Q153" s="209">
        <v>7.0</v>
      </c>
      <c r="R153" s="209">
        <v>6.0</v>
      </c>
      <c r="S153" s="210">
        <v>0.0027199074065720197</v>
      </c>
      <c r="U153" s="205">
        <v>10.0</v>
      </c>
      <c r="V153" s="205">
        <v>5.0</v>
      </c>
      <c r="W153" s="63" t="s">
        <v>1779</v>
      </c>
      <c r="X153" s="210">
        <v>0.002881944445107365</v>
      </c>
      <c r="Y153" s="63" t="s">
        <v>1780</v>
      </c>
      <c r="Z153" s="63" t="s">
        <v>1781</v>
      </c>
      <c r="AA153" s="205">
        <v>0.0</v>
      </c>
      <c r="AB153" s="63" t="s">
        <v>1782</v>
      </c>
      <c r="AC153" s="205">
        <v>146.0</v>
      </c>
      <c r="AD153" s="208">
        <v>9.67421</v>
      </c>
      <c r="AE153" s="205">
        <v>42895.0</v>
      </c>
      <c r="AF153" s="205">
        <v>6871.0</v>
      </c>
      <c r="AG153" s="205">
        <v>747.0</v>
      </c>
      <c r="AH153" s="205">
        <v>289.0</v>
      </c>
      <c r="AI153" s="205">
        <v>0.0</v>
      </c>
      <c r="AJ153" s="205">
        <v>1418.0</v>
      </c>
      <c r="AK153" s="205">
        <v>0.0</v>
      </c>
      <c r="AL153" s="205">
        <v>0.0</v>
      </c>
      <c r="AM153" s="205">
        <v>0.0</v>
      </c>
      <c r="AN153" s="205">
        <v>0.0</v>
      </c>
      <c r="AO153" s="208">
        <v>4.10509</v>
      </c>
      <c r="AP153" s="208">
        <v>4.84711</v>
      </c>
      <c r="AQ153" s="208">
        <v>6.32725</v>
      </c>
      <c r="AR153" s="208">
        <v>3.53221</v>
      </c>
      <c r="AT153" s="192" t="s">
        <v>325</v>
      </c>
      <c r="AU153" s="211" t="s">
        <v>324</v>
      </c>
      <c r="AV153" s="211" t="s">
        <v>1783</v>
      </c>
      <c r="AW153" s="211" t="s">
        <v>1784</v>
      </c>
      <c r="AX153" s="211" t="s">
        <v>325</v>
      </c>
      <c r="AY153" s="212">
        <v>2.5</v>
      </c>
      <c r="AZ153" s="213">
        <v>4.0</v>
      </c>
      <c r="BA153" s="213">
        <v>3.5</v>
      </c>
      <c r="BB153" s="213">
        <v>3.0</v>
      </c>
      <c r="BC153" s="212">
        <v>6.5</v>
      </c>
      <c r="BD153" s="213">
        <v>10.0</v>
      </c>
      <c r="BE153" s="213">
        <v>9.799999999999999</v>
      </c>
      <c r="BF153" s="213">
        <v>8.399999999999999</v>
      </c>
      <c r="BG153" s="212">
        <v>9.666666666666668</v>
      </c>
      <c r="BH153" s="213">
        <v>9.083333333333334</v>
      </c>
      <c r="BI153" s="213">
        <v>0.0018132716043813464</v>
      </c>
      <c r="BJ153" s="213">
        <v>0.0019212962967382434</v>
      </c>
      <c r="BK153" s="213">
        <v>225.0</v>
      </c>
      <c r="BL153" s="212">
        <v>5.5</v>
      </c>
      <c r="BM153" s="213">
        <v>3.875</v>
      </c>
      <c r="BN153" s="213">
        <v>0.0036265432087626928</v>
      </c>
      <c r="BO153" s="213">
        <v>0.003842592593476487</v>
      </c>
      <c r="BP153" s="213">
        <v>112.5</v>
      </c>
      <c r="BQ153" s="192"/>
      <c r="BR153" s="192"/>
    </row>
    <row r="154">
      <c r="A154" s="60">
        <v>929118.0</v>
      </c>
      <c r="B154" s="205">
        <v>2891411.0</v>
      </c>
      <c r="C154" s="205">
        <v>1401651.0</v>
      </c>
      <c r="D154" s="205">
        <v>1.0</v>
      </c>
      <c r="E154" s="207">
        <v>44269.18481481481</v>
      </c>
      <c r="F154" s="207">
        <v>44304.114004629635</v>
      </c>
      <c r="G154" s="207">
        <v>44297.086493055554</v>
      </c>
      <c r="H154" s="63" t="s">
        <v>1777</v>
      </c>
      <c r="I154" s="205">
        <v>150.0</v>
      </c>
      <c r="J154" s="63" t="s">
        <v>1778</v>
      </c>
      <c r="K154" s="205">
        <v>1244312.0</v>
      </c>
      <c r="L154" s="208">
        <v>4.49103</v>
      </c>
      <c r="M154" s="208">
        <v>1.9638</v>
      </c>
      <c r="N154" s="208">
        <v>2.30364</v>
      </c>
      <c r="O154" s="209">
        <v>5.0</v>
      </c>
      <c r="P154" s="209">
        <v>8.0</v>
      </c>
      <c r="Q154" s="209">
        <v>7.0</v>
      </c>
      <c r="R154" s="209">
        <v>6.0</v>
      </c>
      <c r="S154" s="210">
        <v>0.0027199074065720197</v>
      </c>
      <c r="U154" s="205">
        <v>10.0</v>
      </c>
      <c r="V154" s="205">
        <v>5.0</v>
      </c>
      <c r="W154" s="63" t="s">
        <v>1779</v>
      </c>
      <c r="X154" s="210">
        <v>0.002881944445107365</v>
      </c>
      <c r="Y154" s="63" t="s">
        <v>1780</v>
      </c>
      <c r="Z154" s="63" t="s">
        <v>1781</v>
      </c>
      <c r="AA154" s="205">
        <v>0.0</v>
      </c>
      <c r="AB154" s="63" t="s">
        <v>1782</v>
      </c>
      <c r="AC154" s="205">
        <v>146.0</v>
      </c>
      <c r="AD154" s="208">
        <v>9.67421</v>
      </c>
      <c r="AE154" s="205">
        <v>42895.0</v>
      </c>
      <c r="AF154" s="205">
        <v>6871.0</v>
      </c>
      <c r="AG154" s="205">
        <v>747.0</v>
      </c>
      <c r="AH154" s="205">
        <v>289.0</v>
      </c>
      <c r="AI154" s="205">
        <v>0.0</v>
      </c>
      <c r="AJ154" s="205">
        <v>1418.0</v>
      </c>
      <c r="AK154" s="205">
        <v>0.0</v>
      </c>
      <c r="AL154" s="205">
        <v>0.0</v>
      </c>
      <c r="AM154" s="205">
        <v>0.0</v>
      </c>
      <c r="AN154" s="205">
        <v>0.0</v>
      </c>
      <c r="AO154" s="208">
        <v>4.10509</v>
      </c>
      <c r="AP154" s="208">
        <v>4.84711</v>
      </c>
      <c r="AQ154" s="208">
        <v>6.32725</v>
      </c>
      <c r="AR154" s="208">
        <v>3.53221</v>
      </c>
      <c r="AT154" s="192" t="s">
        <v>325</v>
      </c>
      <c r="AU154" s="211" t="s">
        <v>324</v>
      </c>
      <c r="AV154" s="211" t="s">
        <v>1783</v>
      </c>
      <c r="AW154" s="211" t="s">
        <v>1784</v>
      </c>
      <c r="AX154" s="211" t="s">
        <v>325</v>
      </c>
      <c r="AY154" s="212">
        <v>2.5</v>
      </c>
      <c r="AZ154" s="213">
        <v>4.0</v>
      </c>
      <c r="BA154" s="213">
        <v>3.5</v>
      </c>
      <c r="BB154" s="213">
        <v>3.0</v>
      </c>
      <c r="BC154" s="212">
        <v>6.5</v>
      </c>
      <c r="BD154" s="213">
        <v>10.0</v>
      </c>
      <c r="BE154" s="213">
        <v>9.799999999999999</v>
      </c>
      <c r="BF154" s="213">
        <v>8.399999999999999</v>
      </c>
      <c r="BG154" s="212">
        <v>9.666666666666668</v>
      </c>
      <c r="BH154" s="213">
        <v>9.083333333333334</v>
      </c>
      <c r="BI154" s="213">
        <v>0.0018132716043813464</v>
      </c>
      <c r="BJ154" s="213">
        <v>0.0019212962967382434</v>
      </c>
      <c r="BK154" s="213">
        <v>225.0</v>
      </c>
      <c r="BL154" s="212">
        <v>5.5</v>
      </c>
      <c r="BM154" s="213">
        <v>3.875</v>
      </c>
      <c r="BN154" s="213">
        <v>0.0036265432087626928</v>
      </c>
      <c r="BO154" s="213">
        <v>0.003842592593476487</v>
      </c>
      <c r="BP154" s="213">
        <v>112.5</v>
      </c>
      <c r="BQ154" s="192"/>
      <c r="BR154" s="192"/>
    </row>
    <row r="155">
      <c r="A155" s="60">
        <v>3941210.0</v>
      </c>
      <c r="B155" s="205">
        <v>2794904.0</v>
      </c>
      <c r="C155" s="205">
        <v>1329045.0</v>
      </c>
      <c r="D155" s="205">
        <v>1.0</v>
      </c>
      <c r="E155" s="207">
        <v>44186.81722222222</v>
      </c>
      <c r="F155" s="207">
        <v>44424.1421412037</v>
      </c>
      <c r="G155" s="207">
        <v>44420.10416666667</v>
      </c>
      <c r="H155" s="63" t="s">
        <v>965</v>
      </c>
      <c r="I155" s="205">
        <v>170.0</v>
      </c>
      <c r="J155" s="63" t="s">
        <v>220</v>
      </c>
      <c r="K155" s="205">
        <v>8972308.0</v>
      </c>
      <c r="L155" s="208">
        <v>4.57912</v>
      </c>
      <c r="M155" s="208">
        <v>2.36969</v>
      </c>
      <c r="N155" s="208">
        <v>1.97105</v>
      </c>
      <c r="O155" s="209">
        <v>4.0</v>
      </c>
      <c r="P155" s="209">
        <v>9.0</v>
      </c>
      <c r="Q155" s="209">
        <v>7.5</v>
      </c>
      <c r="R155" s="209">
        <v>5.0</v>
      </c>
      <c r="S155" s="210">
        <v>0.0016435185170848854</v>
      </c>
      <c r="U155" s="205">
        <v>10.0</v>
      </c>
      <c r="V155" s="205">
        <v>5.0</v>
      </c>
      <c r="W155" s="63" t="s">
        <v>1785</v>
      </c>
      <c r="X155" s="210">
        <v>0.001828703701903578</v>
      </c>
      <c r="Y155" s="63" t="s">
        <v>1786</v>
      </c>
      <c r="Z155" s="63" t="s">
        <v>1787</v>
      </c>
      <c r="AA155" s="205">
        <v>0.0</v>
      </c>
      <c r="AB155" s="63" t="s">
        <v>1788</v>
      </c>
      <c r="AC155" s="205">
        <v>530.0</v>
      </c>
      <c r="AD155" s="208">
        <v>9.1589</v>
      </c>
      <c r="AE155" s="205">
        <v>34516.0</v>
      </c>
      <c r="AF155" s="205">
        <v>9925.0</v>
      </c>
      <c r="AG155" s="205">
        <v>148.0</v>
      </c>
      <c r="AH155" s="205">
        <v>314.0</v>
      </c>
      <c r="AI155" s="205">
        <v>2.0</v>
      </c>
      <c r="AJ155" s="205">
        <v>853.0</v>
      </c>
      <c r="AK155" s="205">
        <v>1.0</v>
      </c>
      <c r="AL155" s="205">
        <v>0.0</v>
      </c>
      <c r="AM155" s="205">
        <v>0.0</v>
      </c>
      <c r="AN155" s="205">
        <v>0.0</v>
      </c>
      <c r="AO155" s="208">
        <v>4.13737</v>
      </c>
      <c r="AP155" s="208">
        <v>4.88634</v>
      </c>
      <c r="AQ155" s="208">
        <v>6.39014</v>
      </c>
      <c r="AR155" s="208">
        <v>3.68632</v>
      </c>
      <c r="AT155" s="192" t="s">
        <v>219</v>
      </c>
      <c r="AU155" s="211" t="s">
        <v>326</v>
      </c>
      <c r="AV155" s="211" t="s">
        <v>1789</v>
      </c>
      <c r="AW155" s="211" t="s">
        <v>1790</v>
      </c>
      <c r="AX155" s="211" t="s">
        <v>219</v>
      </c>
      <c r="AY155" s="212">
        <v>2.0</v>
      </c>
      <c r="AZ155" s="213">
        <v>4.5</v>
      </c>
      <c r="BA155" s="213">
        <v>3.75</v>
      </c>
      <c r="BB155" s="213">
        <v>2.5</v>
      </c>
      <c r="BC155" s="212">
        <v>5.2</v>
      </c>
      <c r="BD155" s="213">
        <v>10.0</v>
      </c>
      <c r="BE155" s="213">
        <v>10.0</v>
      </c>
      <c r="BF155" s="213">
        <v>7.0</v>
      </c>
      <c r="BG155" s="212">
        <v>10.333333333333332</v>
      </c>
      <c r="BH155" s="213">
        <v>9.416666666666666</v>
      </c>
      <c r="BI155" s="213">
        <v>0.0010956790113899235</v>
      </c>
      <c r="BJ155" s="213">
        <v>0.0012191358012690519</v>
      </c>
      <c r="BK155" s="213">
        <v>255.0</v>
      </c>
      <c r="BL155" s="212">
        <v>7.0</v>
      </c>
      <c r="BM155" s="213">
        <v>4.625</v>
      </c>
      <c r="BN155" s="213">
        <v>0.002191358022779847</v>
      </c>
      <c r="BO155" s="213">
        <v>0.0024382716025381037</v>
      </c>
      <c r="BP155" s="213">
        <v>127.5</v>
      </c>
      <c r="BQ155" s="192"/>
      <c r="BR155" s="192"/>
    </row>
    <row r="156">
      <c r="A156" s="60">
        <v>2200330.0</v>
      </c>
      <c r="B156" s="205">
        <v>2794904.0</v>
      </c>
      <c r="C156" s="205">
        <v>1329045.0</v>
      </c>
      <c r="D156" s="205">
        <v>1.0</v>
      </c>
      <c r="E156" s="207">
        <v>44186.81722222222</v>
      </c>
      <c r="F156" s="207">
        <v>44424.1421412037</v>
      </c>
      <c r="G156" s="207">
        <v>44420.10416666667</v>
      </c>
      <c r="H156" s="63" t="s">
        <v>965</v>
      </c>
      <c r="I156" s="205">
        <v>170.0</v>
      </c>
      <c r="J156" s="63" t="s">
        <v>220</v>
      </c>
      <c r="K156" s="205">
        <v>8972308.0</v>
      </c>
      <c r="L156" s="208">
        <v>4.57912</v>
      </c>
      <c r="M156" s="208">
        <v>2.36969</v>
      </c>
      <c r="N156" s="208">
        <v>1.97105</v>
      </c>
      <c r="O156" s="209">
        <v>4.0</v>
      </c>
      <c r="P156" s="209">
        <v>9.0</v>
      </c>
      <c r="Q156" s="209">
        <v>7.5</v>
      </c>
      <c r="R156" s="209">
        <v>5.0</v>
      </c>
      <c r="S156" s="210">
        <v>0.0016435185170848854</v>
      </c>
      <c r="U156" s="205">
        <v>10.0</v>
      </c>
      <c r="V156" s="205">
        <v>5.0</v>
      </c>
      <c r="W156" s="63" t="s">
        <v>1785</v>
      </c>
      <c r="X156" s="210">
        <v>0.001828703701903578</v>
      </c>
      <c r="Y156" s="63" t="s">
        <v>1786</v>
      </c>
      <c r="Z156" s="63" t="s">
        <v>1787</v>
      </c>
      <c r="AA156" s="205">
        <v>0.0</v>
      </c>
      <c r="AB156" s="63" t="s">
        <v>1788</v>
      </c>
      <c r="AC156" s="205">
        <v>530.0</v>
      </c>
      <c r="AD156" s="208">
        <v>9.1589</v>
      </c>
      <c r="AE156" s="205">
        <v>34516.0</v>
      </c>
      <c r="AF156" s="205">
        <v>9925.0</v>
      </c>
      <c r="AG156" s="205">
        <v>148.0</v>
      </c>
      <c r="AH156" s="205">
        <v>314.0</v>
      </c>
      <c r="AI156" s="205">
        <v>2.0</v>
      </c>
      <c r="AJ156" s="205">
        <v>853.0</v>
      </c>
      <c r="AK156" s="205">
        <v>1.0</v>
      </c>
      <c r="AL156" s="205">
        <v>0.0</v>
      </c>
      <c r="AM156" s="205">
        <v>0.0</v>
      </c>
      <c r="AN156" s="205">
        <v>0.0</v>
      </c>
      <c r="AO156" s="208">
        <v>4.13737</v>
      </c>
      <c r="AP156" s="208">
        <v>4.88634</v>
      </c>
      <c r="AQ156" s="208">
        <v>6.39014</v>
      </c>
      <c r="AR156" s="208">
        <v>3.68632</v>
      </c>
      <c r="AT156" s="192" t="s">
        <v>219</v>
      </c>
      <c r="AU156" s="211" t="s">
        <v>326</v>
      </c>
      <c r="AV156" s="211" t="s">
        <v>1789</v>
      </c>
      <c r="AW156" s="211" t="s">
        <v>1790</v>
      </c>
      <c r="AX156" s="211" t="s">
        <v>219</v>
      </c>
      <c r="AY156" s="212">
        <v>2.0</v>
      </c>
      <c r="AZ156" s="213">
        <v>4.5</v>
      </c>
      <c r="BA156" s="213">
        <v>3.75</v>
      </c>
      <c r="BB156" s="213">
        <v>2.5</v>
      </c>
      <c r="BC156" s="212">
        <v>5.2</v>
      </c>
      <c r="BD156" s="213">
        <v>10.0</v>
      </c>
      <c r="BE156" s="213">
        <v>10.0</v>
      </c>
      <c r="BF156" s="213">
        <v>7.0</v>
      </c>
      <c r="BG156" s="212">
        <v>10.333333333333332</v>
      </c>
      <c r="BH156" s="213">
        <v>9.416666666666666</v>
      </c>
      <c r="BI156" s="213">
        <v>0.0010956790113899235</v>
      </c>
      <c r="BJ156" s="213">
        <v>0.0012191358012690519</v>
      </c>
      <c r="BK156" s="213">
        <v>255.0</v>
      </c>
      <c r="BL156" s="212">
        <v>7.0</v>
      </c>
      <c r="BM156" s="213">
        <v>4.625</v>
      </c>
      <c r="BN156" s="213">
        <v>0.002191358022779847</v>
      </c>
      <c r="BO156" s="213">
        <v>0.0024382716025381037</v>
      </c>
      <c r="BP156" s="213">
        <v>127.5</v>
      </c>
      <c r="BQ156" s="192"/>
      <c r="BR156" s="192"/>
    </row>
    <row r="157">
      <c r="A157" s="60">
        <v>2800663.0</v>
      </c>
      <c r="B157" s="205">
        <v>295650.0</v>
      </c>
      <c r="C157" s="205">
        <v>106568.0</v>
      </c>
      <c r="D157" s="205">
        <v>1.0</v>
      </c>
      <c r="E157" s="207">
        <v>41479.51111111111</v>
      </c>
      <c r="F157" s="207">
        <v>41565.35292824074</v>
      </c>
      <c r="G157" s="207">
        <v>41564.898263888885</v>
      </c>
      <c r="H157" s="63" t="s">
        <v>970</v>
      </c>
      <c r="I157" s="205">
        <v>135.0</v>
      </c>
      <c r="J157" s="63" t="s">
        <v>247</v>
      </c>
      <c r="K157" s="205">
        <v>398760.0</v>
      </c>
      <c r="L157" s="208">
        <v>4.17408</v>
      </c>
      <c r="M157" s="208">
        <v>2.07007</v>
      </c>
      <c r="N157" s="208">
        <v>1.91886</v>
      </c>
      <c r="O157" s="209">
        <v>5.0</v>
      </c>
      <c r="P157" s="209">
        <v>8.0</v>
      </c>
      <c r="Q157" s="209">
        <v>7.0</v>
      </c>
      <c r="R157" s="209">
        <v>7.0</v>
      </c>
      <c r="S157" s="210">
        <v>0.002245370371383615</v>
      </c>
      <c r="U157" s="205">
        <v>5.0</v>
      </c>
      <c r="V157" s="205">
        <v>3.0</v>
      </c>
      <c r="W157" s="63" t="s">
        <v>1791</v>
      </c>
      <c r="X157" s="210">
        <v>0.002395833333139308</v>
      </c>
      <c r="Y157" s="63" t="s">
        <v>1792</v>
      </c>
      <c r="Z157" s="63" t="s">
        <v>1793</v>
      </c>
      <c r="AA157" s="205">
        <v>0.0</v>
      </c>
      <c r="AB157" s="63" t="s">
        <v>1794</v>
      </c>
      <c r="AC157" s="205">
        <v>379.0</v>
      </c>
      <c r="AD157" s="208">
        <v>9.47165</v>
      </c>
      <c r="AE157" s="205">
        <v>87913.0</v>
      </c>
      <c r="AF157" s="205">
        <v>9976.0</v>
      </c>
      <c r="AG157" s="205">
        <v>497.0</v>
      </c>
      <c r="AH157" s="205">
        <v>195.0</v>
      </c>
      <c r="AI157" s="205">
        <v>0.0</v>
      </c>
      <c r="AJ157" s="205">
        <v>975.0</v>
      </c>
      <c r="AK157" s="205">
        <v>1.0</v>
      </c>
      <c r="AL157" s="205">
        <v>0.0</v>
      </c>
      <c r="AM157" s="205">
        <v>0.0</v>
      </c>
      <c r="AN157" s="205">
        <v>0.0</v>
      </c>
      <c r="AO157" s="208">
        <v>3.79764</v>
      </c>
      <c r="AP157" s="208">
        <v>4.62781</v>
      </c>
      <c r="AQ157" s="208">
        <v>5.90053</v>
      </c>
      <c r="AR157" s="208">
        <v>3.32062</v>
      </c>
      <c r="AT157" s="192" t="s">
        <v>246</v>
      </c>
      <c r="AU157" s="211" t="s">
        <v>327</v>
      </c>
      <c r="AV157" s="211" t="s">
        <v>1795</v>
      </c>
      <c r="AW157" s="211" t="s">
        <v>1796</v>
      </c>
      <c r="AX157" s="211" t="s">
        <v>246</v>
      </c>
      <c r="AY157" s="212">
        <v>2.5</v>
      </c>
      <c r="AZ157" s="213">
        <v>4.0</v>
      </c>
      <c r="BA157" s="213">
        <v>3.5</v>
      </c>
      <c r="BB157" s="213">
        <v>3.5</v>
      </c>
      <c r="BC157" s="212">
        <v>6.5</v>
      </c>
      <c r="BD157" s="213">
        <v>10.0</v>
      </c>
      <c r="BE157" s="213">
        <v>9.799999999999999</v>
      </c>
      <c r="BF157" s="213">
        <v>9.799999999999999</v>
      </c>
      <c r="BG157" s="212">
        <v>9.666666666666668</v>
      </c>
      <c r="BH157" s="213">
        <v>9.083333333333334</v>
      </c>
      <c r="BI157" s="213">
        <v>0.00149691358092241</v>
      </c>
      <c r="BJ157" s="213">
        <v>0.0015972222220928718</v>
      </c>
      <c r="BK157" s="213">
        <v>202.5</v>
      </c>
      <c r="BL157" s="212">
        <v>5.5</v>
      </c>
      <c r="BM157" s="213">
        <v>3.875</v>
      </c>
      <c r="BN157" s="213">
        <v>0.00299382716184482</v>
      </c>
      <c r="BO157" s="213">
        <v>0.0031944444441857436</v>
      </c>
      <c r="BP157" s="213">
        <v>101.25</v>
      </c>
      <c r="BQ157" s="192"/>
      <c r="BR157" s="192"/>
    </row>
    <row r="158">
      <c r="A158" s="60">
        <v>2917786.0</v>
      </c>
      <c r="B158" s="205">
        <v>295650.0</v>
      </c>
      <c r="C158" s="205">
        <v>106568.0</v>
      </c>
      <c r="D158" s="205">
        <v>1.0</v>
      </c>
      <c r="E158" s="207">
        <v>41479.51111111111</v>
      </c>
      <c r="F158" s="207">
        <v>41565.35292824074</v>
      </c>
      <c r="G158" s="207">
        <v>41564.898263888885</v>
      </c>
      <c r="H158" s="63" t="s">
        <v>970</v>
      </c>
      <c r="I158" s="205">
        <v>135.0</v>
      </c>
      <c r="J158" s="63" t="s">
        <v>247</v>
      </c>
      <c r="K158" s="205">
        <v>398760.0</v>
      </c>
      <c r="L158" s="208">
        <v>4.17408</v>
      </c>
      <c r="M158" s="208">
        <v>2.07007</v>
      </c>
      <c r="N158" s="208">
        <v>1.91886</v>
      </c>
      <c r="O158" s="209">
        <v>5.0</v>
      </c>
      <c r="P158" s="209">
        <v>8.0</v>
      </c>
      <c r="Q158" s="209">
        <v>7.0</v>
      </c>
      <c r="R158" s="209">
        <v>7.0</v>
      </c>
      <c r="S158" s="210">
        <v>0.002245370371383615</v>
      </c>
      <c r="U158" s="205">
        <v>5.0</v>
      </c>
      <c r="V158" s="205">
        <v>3.0</v>
      </c>
      <c r="W158" s="63" t="s">
        <v>1791</v>
      </c>
      <c r="X158" s="210">
        <v>0.002395833333139308</v>
      </c>
      <c r="Y158" s="63" t="s">
        <v>1792</v>
      </c>
      <c r="Z158" s="63" t="s">
        <v>1793</v>
      </c>
      <c r="AA158" s="205">
        <v>0.0</v>
      </c>
      <c r="AB158" s="63" t="s">
        <v>1794</v>
      </c>
      <c r="AC158" s="205">
        <v>379.0</v>
      </c>
      <c r="AD158" s="208">
        <v>9.47165</v>
      </c>
      <c r="AE158" s="205">
        <v>87913.0</v>
      </c>
      <c r="AF158" s="205">
        <v>9976.0</v>
      </c>
      <c r="AG158" s="205">
        <v>497.0</v>
      </c>
      <c r="AH158" s="205">
        <v>195.0</v>
      </c>
      <c r="AI158" s="205">
        <v>0.0</v>
      </c>
      <c r="AJ158" s="205">
        <v>975.0</v>
      </c>
      <c r="AK158" s="205">
        <v>1.0</v>
      </c>
      <c r="AL158" s="205">
        <v>0.0</v>
      </c>
      <c r="AM158" s="205">
        <v>0.0</v>
      </c>
      <c r="AN158" s="205">
        <v>0.0</v>
      </c>
      <c r="AO158" s="208">
        <v>3.79764</v>
      </c>
      <c r="AP158" s="208">
        <v>4.62781</v>
      </c>
      <c r="AQ158" s="208">
        <v>5.90053</v>
      </c>
      <c r="AR158" s="208">
        <v>3.32062</v>
      </c>
      <c r="AT158" s="192" t="s">
        <v>246</v>
      </c>
      <c r="AU158" s="211" t="s">
        <v>327</v>
      </c>
      <c r="AV158" s="211" t="s">
        <v>1795</v>
      </c>
      <c r="AW158" s="211" t="s">
        <v>1796</v>
      </c>
      <c r="AX158" s="211" t="s">
        <v>246</v>
      </c>
      <c r="AY158" s="212">
        <v>2.5</v>
      </c>
      <c r="AZ158" s="213">
        <v>4.0</v>
      </c>
      <c r="BA158" s="213">
        <v>3.5</v>
      </c>
      <c r="BB158" s="213">
        <v>3.5</v>
      </c>
      <c r="BC158" s="212">
        <v>6.5</v>
      </c>
      <c r="BD158" s="213">
        <v>10.0</v>
      </c>
      <c r="BE158" s="213">
        <v>9.799999999999999</v>
      </c>
      <c r="BF158" s="213">
        <v>9.799999999999999</v>
      </c>
      <c r="BG158" s="212">
        <v>9.666666666666668</v>
      </c>
      <c r="BH158" s="213">
        <v>9.083333333333334</v>
      </c>
      <c r="BI158" s="213">
        <v>0.00149691358092241</v>
      </c>
      <c r="BJ158" s="213">
        <v>0.0015972222220928718</v>
      </c>
      <c r="BK158" s="213">
        <v>202.5</v>
      </c>
      <c r="BL158" s="212">
        <v>5.5</v>
      </c>
      <c r="BM158" s="213">
        <v>3.875</v>
      </c>
      <c r="BN158" s="213">
        <v>0.00299382716184482</v>
      </c>
      <c r="BO158" s="213">
        <v>0.0031944444441857436</v>
      </c>
      <c r="BP158" s="213">
        <v>101.25</v>
      </c>
      <c r="BQ158" s="192"/>
      <c r="BR158" s="192"/>
    </row>
    <row r="159">
      <c r="A159" s="60">
        <v>1863289.0</v>
      </c>
      <c r="B159" s="205">
        <v>1956568.0</v>
      </c>
      <c r="C159" s="205">
        <v>924701.0</v>
      </c>
      <c r="D159" s="205">
        <v>-2.0</v>
      </c>
      <c r="E159" s="207">
        <v>43507.038402777776</v>
      </c>
      <c r="F159" s="215"/>
      <c r="G159" s="207">
        <v>43569.976111111115</v>
      </c>
      <c r="H159" s="63" t="s">
        <v>969</v>
      </c>
      <c r="I159" s="205">
        <v>160.0</v>
      </c>
      <c r="J159" s="63" t="s">
        <v>241</v>
      </c>
      <c r="K159" s="205">
        <v>3102720.0</v>
      </c>
      <c r="L159" s="208">
        <v>4.62488</v>
      </c>
      <c r="M159" s="208">
        <v>2.25368</v>
      </c>
      <c r="N159" s="208">
        <v>2.17176</v>
      </c>
      <c r="O159" s="209">
        <v>3.8</v>
      </c>
      <c r="P159" s="209">
        <v>8.9</v>
      </c>
      <c r="Q159" s="209">
        <v>7.8</v>
      </c>
      <c r="R159" s="209">
        <v>5.6</v>
      </c>
      <c r="S159" s="210">
        <v>0.0024999999986903276</v>
      </c>
      <c r="U159" s="205">
        <v>1.0</v>
      </c>
      <c r="V159" s="205">
        <v>1.0</v>
      </c>
      <c r="W159" s="63" t="s">
        <v>1797</v>
      </c>
      <c r="X159" s="210">
        <v>0.0025231481486116536</v>
      </c>
      <c r="Y159" s="63" t="s">
        <v>1116</v>
      </c>
      <c r="Z159" s="63" t="s">
        <v>1798</v>
      </c>
      <c r="AA159" s="205">
        <v>0.0</v>
      </c>
      <c r="AB159" s="63" t="s">
        <v>1799</v>
      </c>
      <c r="AC159" s="205">
        <v>10.0</v>
      </c>
      <c r="AD159" s="208">
        <v>0.0</v>
      </c>
      <c r="AE159" s="205">
        <v>2899.0</v>
      </c>
      <c r="AF159" s="205">
        <v>976.0</v>
      </c>
      <c r="AG159" s="205">
        <v>431.0</v>
      </c>
      <c r="AH159" s="205">
        <v>287.0</v>
      </c>
      <c r="AI159" s="205">
        <v>3.0</v>
      </c>
      <c r="AJ159" s="205">
        <v>1065.0</v>
      </c>
      <c r="AK159" s="205">
        <v>0.0</v>
      </c>
      <c r="AL159" s="205">
        <v>0.0</v>
      </c>
      <c r="AM159" s="205">
        <v>0.0</v>
      </c>
      <c r="AN159" s="205">
        <v>0.0</v>
      </c>
      <c r="AO159" s="208">
        <v>4.25278</v>
      </c>
      <c r="AP159" s="208">
        <v>4.85394</v>
      </c>
      <c r="AQ159" s="208">
        <v>6.50053</v>
      </c>
      <c r="AR159" s="208">
        <v>3.63545</v>
      </c>
      <c r="AT159" s="192" t="s">
        <v>240</v>
      </c>
      <c r="AU159" s="211" t="s">
        <v>328</v>
      </c>
      <c r="AV159" s="211" t="s">
        <v>1800</v>
      </c>
      <c r="AW159" s="211" t="s">
        <v>1801</v>
      </c>
      <c r="AX159" s="211" t="s">
        <v>240</v>
      </c>
      <c r="AY159" s="212">
        <v>1.9</v>
      </c>
      <c r="AZ159" s="213">
        <v>4.45</v>
      </c>
      <c r="BA159" s="213">
        <v>3.9</v>
      </c>
      <c r="BB159" s="213">
        <v>2.8</v>
      </c>
      <c r="BC159" s="212">
        <v>4.9399999999999995</v>
      </c>
      <c r="BD159" s="213">
        <v>10.0</v>
      </c>
      <c r="BE159" s="213">
        <v>10.0</v>
      </c>
      <c r="BF159" s="213">
        <v>7.839999999999999</v>
      </c>
      <c r="BG159" s="212">
        <v>10.266666666666666</v>
      </c>
      <c r="BH159" s="213">
        <v>9.616666666666667</v>
      </c>
      <c r="BI159" s="213">
        <v>0.0016666666657935518</v>
      </c>
      <c r="BJ159" s="213">
        <v>0.0016820987657411024</v>
      </c>
      <c r="BK159" s="213">
        <v>240.0</v>
      </c>
      <c r="BL159" s="212">
        <v>6.85</v>
      </c>
      <c r="BM159" s="213">
        <v>5.074999999999999</v>
      </c>
      <c r="BN159" s="213">
        <v>0.0033333333315871037</v>
      </c>
      <c r="BO159" s="213">
        <v>0.003364197531482205</v>
      </c>
      <c r="BP159" s="213">
        <v>120.0</v>
      </c>
      <c r="BQ159" s="192"/>
      <c r="BR159" s="192"/>
    </row>
    <row r="160">
      <c r="A160" s="60">
        <v>2718270.0</v>
      </c>
      <c r="B160" s="205">
        <v>1956568.0</v>
      </c>
      <c r="C160" s="205">
        <v>924701.0</v>
      </c>
      <c r="D160" s="205">
        <v>-2.0</v>
      </c>
      <c r="E160" s="207">
        <v>43507.038402777776</v>
      </c>
      <c r="F160" s="215"/>
      <c r="G160" s="207">
        <v>43569.976111111115</v>
      </c>
      <c r="H160" s="63" t="s">
        <v>969</v>
      </c>
      <c r="I160" s="205">
        <v>160.0</v>
      </c>
      <c r="J160" s="63" t="s">
        <v>241</v>
      </c>
      <c r="K160" s="205">
        <v>3102720.0</v>
      </c>
      <c r="L160" s="208">
        <v>4.62488</v>
      </c>
      <c r="M160" s="208">
        <v>2.25368</v>
      </c>
      <c r="N160" s="208">
        <v>2.17176</v>
      </c>
      <c r="O160" s="209">
        <v>3.8</v>
      </c>
      <c r="P160" s="209">
        <v>8.9</v>
      </c>
      <c r="Q160" s="209">
        <v>7.8</v>
      </c>
      <c r="R160" s="209">
        <v>5.6</v>
      </c>
      <c r="S160" s="210">
        <v>0.0024999999986903276</v>
      </c>
      <c r="U160" s="205">
        <v>1.0</v>
      </c>
      <c r="V160" s="205">
        <v>1.0</v>
      </c>
      <c r="W160" s="63" t="s">
        <v>1797</v>
      </c>
      <c r="X160" s="210">
        <v>0.0025231481486116536</v>
      </c>
      <c r="Y160" s="63" t="s">
        <v>1116</v>
      </c>
      <c r="Z160" s="63" t="s">
        <v>1798</v>
      </c>
      <c r="AA160" s="205">
        <v>0.0</v>
      </c>
      <c r="AB160" s="63" t="s">
        <v>1799</v>
      </c>
      <c r="AC160" s="205">
        <v>10.0</v>
      </c>
      <c r="AD160" s="208">
        <v>0.0</v>
      </c>
      <c r="AE160" s="205">
        <v>2899.0</v>
      </c>
      <c r="AF160" s="205">
        <v>976.0</v>
      </c>
      <c r="AG160" s="205">
        <v>431.0</v>
      </c>
      <c r="AH160" s="205">
        <v>287.0</v>
      </c>
      <c r="AI160" s="205">
        <v>3.0</v>
      </c>
      <c r="AJ160" s="205">
        <v>1065.0</v>
      </c>
      <c r="AK160" s="205">
        <v>0.0</v>
      </c>
      <c r="AL160" s="205">
        <v>0.0</v>
      </c>
      <c r="AM160" s="205">
        <v>0.0</v>
      </c>
      <c r="AN160" s="205">
        <v>0.0</v>
      </c>
      <c r="AO160" s="208">
        <v>4.25278</v>
      </c>
      <c r="AP160" s="208">
        <v>4.85394</v>
      </c>
      <c r="AQ160" s="208">
        <v>6.50053</v>
      </c>
      <c r="AR160" s="208">
        <v>3.63545</v>
      </c>
      <c r="AT160" s="192" t="s">
        <v>240</v>
      </c>
      <c r="AU160" s="211" t="s">
        <v>328</v>
      </c>
      <c r="AV160" s="211" t="s">
        <v>1800</v>
      </c>
      <c r="AW160" s="211" t="s">
        <v>1801</v>
      </c>
      <c r="AX160" s="211" t="s">
        <v>240</v>
      </c>
      <c r="AY160" s="212">
        <v>1.9</v>
      </c>
      <c r="AZ160" s="213">
        <v>4.45</v>
      </c>
      <c r="BA160" s="213">
        <v>3.9</v>
      </c>
      <c r="BB160" s="213">
        <v>2.8</v>
      </c>
      <c r="BC160" s="212">
        <v>4.9399999999999995</v>
      </c>
      <c r="BD160" s="213">
        <v>10.0</v>
      </c>
      <c r="BE160" s="213">
        <v>10.0</v>
      </c>
      <c r="BF160" s="213">
        <v>7.839999999999999</v>
      </c>
      <c r="BG160" s="212">
        <v>10.266666666666666</v>
      </c>
      <c r="BH160" s="213">
        <v>9.616666666666667</v>
      </c>
      <c r="BI160" s="213">
        <v>0.0016666666657935518</v>
      </c>
      <c r="BJ160" s="213">
        <v>0.0016820987657411024</v>
      </c>
      <c r="BK160" s="213">
        <v>240.0</v>
      </c>
      <c r="BL160" s="212">
        <v>6.85</v>
      </c>
      <c r="BM160" s="213">
        <v>5.074999999999999</v>
      </c>
      <c r="BN160" s="213">
        <v>0.0033333333315871037</v>
      </c>
      <c r="BO160" s="213">
        <v>0.003364197531482205</v>
      </c>
      <c r="BP160" s="213">
        <v>120.0</v>
      </c>
      <c r="BQ160" s="192"/>
      <c r="BR160" s="192"/>
    </row>
    <row r="161">
      <c r="A161" s="60">
        <v>3742030.0</v>
      </c>
      <c r="B161" s="205">
        <v>2535944.0</v>
      </c>
      <c r="C161" s="205">
        <v>658424.0</v>
      </c>
      <c r="D161" s="205">
        <v>-2.0</v>
      </c>
      <c r="E161" s="207">
        <v>42970.46670138889</v>
      </c>
      <c r="F161" s="215"/>
      <c r="G161" s="207">
        <v>44033.64231481482</v>
      </c>
      <c r="H161" s="63" t="s">
        <v>1802</v>
      </c>
      <c r="I161" s="205">
        <v>175.0</v>
      </c>
      <c r="J161" s="63" t="s">
        <v>1803</v>
      </c>
      <c r="K161" s="205">
        <v>3170678.0</v>
      </c>
      <c r="L161" s="208">
        <v>5.54001</v>
      </c>
      <c r="M161" s="208">
        <v>2.88589</v>
      </c>
      <c r="N161" s="208">
        <v>2.3551</v>
      </c>
      <c r="O161" s="209">
        <v>4.0</v>
      </c>
      <c r="P161" s="209">
        <v>9.5</v>
      </c>
      <c r="Q161" s="209">
        <v>8.0</v>
      </c>
      <c r="R161" s="209">
        <v>6.0</v>
      </c>
      <c r="S161" s="210">
        <v>0.0013425925935734995</v>
      </c>
      <c r="T161" s="63" t="s">
        <v>1804</v>
      </c>
      <c r="U161" s="205">
        <v>1.0</v>
      </c>
      <c r="V161" s="205">
        <v>1.0</v>
      </c>
      <c r="W161" s="63" t="s">
        <v>1805</v>
      </c>
      <c r="X161" s="210">
        <v>0.001354166666715173</v>
      </c>
      <c r="Y161" s="63" t="s">
        <v>1806</v>
      </c>
      <c r="Z161" s="63" t="s">
        <v>1807</v>
      </c>
      <c r="AA161" s="205">
        <v>0.0</v>
      </c>
      <c r="AB161" s="63" t="s">
        <v>1808</v>
      </c>
      <c r="AC161" s="205">
        <v>1.0</v>
      </c>
      <c r="AD161" s="208">
        <v>0.0</v>
      </c>
      <c r="AE161" s="205">
        <v>50.0</v>
      </c>
      <c r="AF161" s="205">
        <v>10.0</v>
      </c>
      <c r="AG161" s="205">
        <v>196.0</v>
      </c>
      <c r="AH161" s="205">
        <v>307.0</v>
      </c>
      <c r="AI161" s="205">
        <v>1.0</v>
      </c>
      <c r="AJ161" s="205">
        <v>825.0</v>
      </c>
      <c r="AK161" s="205">
        <v>0.0</v>
      </c>
      <c r="AL161" s="205">
        <v>0.0</v>
      </c>
      <c r="AM161" s="205">
        <v>0.0</v>
      </c>
      <c r="AN161" s="205">
        <v>0.0</v>
      </c>
      <c r="AO161" s="208">
        <v>5.04506</v>
      </c>
      <c r="AP161" s="208">
        <v>5.90669</v>
      </c>
      <c r="AQ161" s="208">
        <v>7.82162</v>
      </c>
      <c r="AR161" s="208">
        <v>4.35529</v>
      </c>
      <c r="AT161" s="192" t="s">
        <v>1809</v>
      </c>
      <c r="AU161" s="211" t="s">
        <v>1810</v>
      </c>
      <c r="AV161" s="211" t="s">
        <v>1811</v>
      </c>
      <c r="AW161" s="211" t="s">
        <v>1812</v>
      </c>
      <c r="AX161" s="211" t="s">
        <v>1809</v>
      </c>
      <c r="AY161" s="212">
        <v>2.0</v>
      </c>
      <c r="AZ161" s="213">
        <v>4.75</v>
      </c>
      <c r="BA161" s="213">
        <v>4.0</v>
      </c>
      <c r="BB161" s="213">
        <v>3.0</v>
      </c>
      <c r="BC161" s="212">
        <v>5.2</v>
      </c>
      <c r="BD161" s="213">
        <v>10.0</v>
      </c>
      <c r="BE161" s="213">
        <v>10.0</v>
      </c>
      <c r="BF161" s="213">
        <v>8.399999999999999</v>
      </c>
      <c r="BG161" s="212">
        <v>10.666666666666668</v>
      </c>
      <c r="BH161" s="213">
        <v>9.75</v>
      </c>
      <c r="BI161" s="213">
        <v>8.950617290489996E-4</v>
      </c>
      <c r="BJ161" s="213">
        <v>9.027777778101154E-4</v>
      </c>
      <c r="BK161" s="213">
        <v>262.5</v>
      </c>
      <c r="BL161" s="212">
        <v>7.75</v>
      </c>
      <c r="BM161" s="213">
        <v>5.375</v>
      </c>
      <c r="BN161" s="213">
        <v>0.0017901234580979992</v>
      </c>
      <c r="BO161" s="213">
        <v>0.0018055555556202307</v>
      </c>
      <c r="BP161" s="213">
        <v>131.25</v>
      </c>
      <c r="BQ161" s="192"/>
      <c r="BR161" s="192"/>
    </row>
    <row r="162">
      <c r="A162" s="60">
        <v>1733441.0</v>
      </c>
      <c r="B162" s="205">
        <v>2535944.0</v>
      </c>
      <c r="C162" s="205">
        <v>658424.0</v>
      </c>
      <c r="D162" s="205">
        <v>-2.0</v>
      </c>
      <c r="E162" s="207">
        <v>42970.46670138889</v>
      </c>
      <c r="F162" s="215"/>
      <c r="G162" s="207">
        <v>44033.64231481482</v>
      </c>
      <c r="H162" s="63" t="s">
        <v>1802</v>
      </c>
      <c r="I162" s="205">
        <v>175.0</v>
      </c>
      <c r="J162" s="63" t="s">
        <v>1803</v>
      </c>
      <c r="K162" s="205">
        <v>3170678.0</v>
      </c>
      <c r="L162" s="208">
        <v>5.54001</v>
      </c>
      <c r="M162" s="208">
        <v>2.88589</v>
      </c>
      <c r="N162" s="208">
        <v>2.3551</v>
      </c>
      <c r="O162" s="209">
        <v>4.0</v>
      </c>
      <c r="P162" s="209">
        <v>9.5</v>
      </c>
      <c r="Q162" s="209">
        <v>8.0</v>
      </c>
      <c r="R162" s="209">
        <v>6.0</v>
      </c>
      <c r="S162" s="210">
        <v>0.0013425925935734995</v>
      </c>
      <c r="T162" s="63" t="s">
        <v>1804</v>
      </c>
      <c r="U162" s="205">
        <v>1.0</v>
      </c>
      <c r="V162" s="205">
        <v>1.0</v>
      </c>
      <c r="W162" s="63" t="s">
        <v>1805</v>
      </c>
      <c r="X162" s="210">
        <v>0.001354166666715173</v>
      </c>
      <c r="Y162" s="63" t="s">
        <v>1806</v>
      </c>
      <c r="Z162" s="63" t="s">
        <v>1807</v>
      </c>
      <c r="AA162" s="205">
        <v>0.0</v>
      </c>
      <c r="AB162" s="63" t="s">
        <v>1808</v>
      </c>
      <c r="AC162" s="205">
        <v>1.0</v>
      </c>
      <c r="AD162" s="208">
        <v>0.0</v>
      </c>
      <c r="AE162" s="205">
        <v>50.0</v>
      </c>
      <c r="AF162" s="205">
        <v>10.0</v>
      </c>
      <c r="AG162" s="205">
        <v>196.0</v>
      </c>
      <c r="AH162" s="205">
        <v>307.0</v>
      </c>
      <c r="AI162" s="205">
        <v>1.0</v>
      </c>
      <c r="AJ162" s="205">
        <v>825.0</v>
      </c>
      <c r="AK162" s="205">
        <v>0.0</v>
      </c>
      <c r="AL162" s="205">
        <v>0.0</v>
      </c>
      <c r="AM162" s="205">
        <v>0.0</v>
      </c>
      <c r="AN162" s="205">
        <v>0.0</v>
      </c>
      <c r="AO162" s="208">
        <v>5.04506</v>
      </c>
      <c r="AP162" s="208">
        <v>5.90669</v>
      </c>
      <c r="AQ162" s="208">
        <v>7.82162</v>
      </c>
      <c r="AR162" s="208">
        <v>4.35529</v>
      </c>
      <c r="AT162" s="192" t="s">
        <v>1809</v>
      </c>
      <c r="AU162" s="211" t="s">
        <v>1810</v>
      </c>
      <c r="AV162" s="211" t="s">
        <v>1811</v>
      </c>
      <c r="AW162" s="211" t="s">
        <v>1812</v>
      </c>
      <c r="AX162" s="211" t="s">
        <v>1809</v>
      </c>
      <c r="AY162" s="212">
        <v>2.0</v>
      </c>
      <c r="AZ162" s="213">
        <v>4.75</v>
      </c>
      <c r="BA162" s="213">
        <v>4.0</v>
      </c>
      <c r="BB162" s="213">
        <v>3.0</v>
      </c>
      <c r="BC162" s="212">
        <v>5.2</v>
      </c>
      <c r="BD162" s="213">
        <v>10.0</v>
      </c>
      <c r="BE162" s="213">
        <v>10.0</v>
      </c>
      <c r="BF162" s="213">
        <v>8.399999999999999</v>
      </c>
      <c r="BG162" s="212">
        <v>10.666666666666668</v>
      </c>
      <c r="BH162" s="213">
        <v>9.75</v>
      </c>
      <c r="BI162" s="213">
        <v>8.950617290489996E-4</v>
      </c>
      <c r="BJ162" s="213">
        <v>9.027777778101154E-4</v>
      </c>
      <c r="BK162" s="213">
        <v>262.5</v>
      </c>
      <c r="BL162" s="212">
        <v>7.75</v>
      </c>
      <c r="BM162" s="213">
        <v>5.375</v>
      </c>
      <c r="BN162" s="213">
        <v>0.0017901234580979992</v>
      </c>
      <c r="BO162" s="213">
        <v>0.0018055555556202307</v>
      </c>
      <c r="BP162" s="213">
        <v>131.25</v>
      </c>
      <c r="BQ162" s="192"/>
      <c r="BR162" s="192"/>
    </row>
    <row r="163">
      <c r="A163" s="60">
        <v>103476.0</v>
      </c>
      <c r="B163" s="205">
        <v>3239199.0</v>
      </c>
      <c r="C163" s="205">
        <v>1544600.0</v>
      </c>
      <c r="D163" s="205">
        <v>1.0</v>
      </c>
      <c r="E163" s="207">
        <v>44417.83267361111</v>
      </c>
      <c r="F163" s="207">
        <v>44753.99020833333</v>
      </c>
      <c r="G163" s="207">
        <v>44746.86395833333</v>
      </c>
      <c r="H163" s="63" t="s">
        <v>964</v>
      </c>
      <c r="I163" s="205">
        <v>143.0</v>
      </c>
      <c r="J163" s="63" t="s">
        <v>215</v>
      </c>
      <c r="K163" s="205">
        <v>1.2656971E7</v>
      </c>
      <c r="L163" s="208">
        <v>4.71336</v>
      </c>
      <c r="M163" s="208">
        <v>2.2931</v>
      </c>
      <c r="N163" s="208">
        <v>2.21733</v>
      </c>
      <c r="O163" s="209">
        <v>4.0</v>
      </c>
      <c r="P163" s="209">
        <v>9.0</v>
      </c>
      <c r="Q163" s="209">
        <v>8.0</v>
      </c>
      <c r="R163" s="209">
        <v>5.0</v>
      </c>
      <c r="S163" s="210">
        <v>0.0026273148141626734</v>
      </c>
      <c r="U163" s="205">
        <v>4.0</v>
      </c>
      <c r="V163" s="205">
        <v>3.0</v>
      </c>
      <c r="W163" s="63" t="s">
        <v>1813</v>
      </c>
      <c r="X163" s="210">
        <v>0.002638888887304347</v>
      </c>
      <c r="Y163" s="63" t="s">
        <v>1814</v>
      </c>
      <c r="Z163" s="63" t="s">
        <v>1815</v>
      </c>
      <c r="AA163" s="205">
        <v>0.0</v>
      </c>
      <c r="AB163" s="63" t="s">
        <v>1816</v>
      </c>
      <c r="AC163" s="205">
        <v>293.0</v>
      </c>
      <c r="AD163" s="208">
        <v>9.51531</v>
      </c>
      <c r="AE163" s="205">
        <v>40033.0</v>
      </c>
      <c r="AF163" s="205">
        <v>8332.0</v>
      </c>
      <c r="AG163" s="205">
        <v>521.0</v>
      </c>
      <c r="AH163" s="205">
        <v>456.0</v>
      </c>
      <c r="AI163" s="205">
        <v>0.0</v>
      </c>
      <c r="AJ163" s="205">
        <v>1467.0</v>
      </c>
      <c r="AK163" s="205">
        <v>0.0</v>
      </c>
      <c r="AL163" s="205">
        <v>0.0</v>
      </c>
      <c r="AM163" s="205">
        <v>0.0</v>
      </c>
      <c r="AN163" s="205">
        <v>0.0</v>
      </c>
      <c r="AO163" s="208">
        <v>4.39387</v>
      </c>
      <c r="AP163" s="208">
        <v>4.9804</v>
      </c>
      <c r="AQ163" s="208">
        <v>6.6729</v>
      </c>
      <c r="AR163" s="208">
        <v>3.72678</v>
      </c>
      <c r="AT163" s="192" t="s">
        <v>214</v>
      </c>
      <c r="AU163" s="211" t="s">
        <v>329</v>
      </c>
      <c r="AV163" s="211" t="s">
        <v>1817</v>
      </c>
      <c r="AW163" s="211" t="s">
        <v>1818</v>
      </c>
      <c r="AX163" s="211" t="s">
        <v>214</v>
      </c>
      <c r="AY163" s="212">
        <v>2.0</v>
      </c>
      <c r="AZ163" s="213">
        <v>4.5</v>
      </c>
      <c r="BA163" s="213">
        <v>4.0</v>
      </c>
      <c r="BB163" s="213">
        <v>2.5</v>
      </c>
      <c r="BC163" s="212">
        <v>5.2</v>
      </c>
      <c r="BD163" s="213">
        <v>10.0</v>
      </c>
      <c r="BE163" s="213">
        <v>10.0</v>
      </c>
      <c r="BF163" s="213">
        <v>7.0</v>
      </c>
      <c r="BG163" s="212">
        <v>10.333333333333332</v>
      </c>
      <c r="BH163" s="213">
        <v>9.75</v>
      </c>
      <c r="BI163" s="213">
        <v>0.0017515432094417822</v>
      </c>
      <c r="BJ163" s="213">
        <v>0.001759259258202898</v>
      </c>
      <c r="BK163" s="213">
        <v>214.5</v>
      </c>
      <c r="BL163" s="212">
        <v>7.0</v>
      </c>
      <c r="BM163" s="213">
        <v>5.375</v>
      </c>
      <c r="BN163" s="213">
        <v>0.0035030864188835644</v>
      </c>
      <c r="BO163" s="213">
        <v>0.003518518516405796</v>
      </c>
      <c r="BP163" s="213">
        <v>107.25</v>
      </c>
      <c r="BQ163" s="192"/>
      <c r="BR163" s="192"/>
    </row>
    <row r="164">
      <c r="A164" s="60">
        <v>2715749.0</v>
      </c>
      <c r="B164" s="205">
        <v>3239199.0</v>
      </c>
      <c r="C164" s="205">
        <v>1544600.0</v>
      </c>
      <c r="D164" s="205">
        <v>1.0</v>
      </c>
      <c r="E164" s="207">
        <v>44417.83267361111</v>
      </c>
      <c r="F164" s="207">
        <v>44753.99020833333</v>
      </c>
      <c r="G164" s="207">
        <v>44746.86395833333</v>
      </c>
      <c r="H164" s="63" t="s">
        <v>964</v>
      </c>
      <c r="I164" s="205">
        <v>143.0</v>
      </c>
      <c r="J164" s="63" t="s">
        <v>215</v>
      </c>
      <c r="K164" s="205">
        <v>1.2656971E7</v>
      </c>
      <c r="L164" s="208">
        <v>4.71336</v>
      </c>
      <c r="M164" s="208">
        <v>2.2931</v>
      </c>
      <c r="N164" s="208">
        <v>2.21733</v>
      </c>
      <c r="O164" s="209">
        <v>4.0</v>
      </c>
      <c r="P164" s="209">
        <v>9.0</v>
      </c>
      <c r="Q164" s="209">
        <v>8.0</v>
      </c>
      <c r="R164" s="209">
        <v>5.0</v>
      </c>
      <c r="S164" s="210">
        <v>0.0026273148141626734</v>
      </c>
      <c r="U164" s="205">
        <v>4.0</v>
      </c>
      <c r="V164" s="205">
        <v>3.0</v>
      </c>
      <c r="W164" s="63" t="s">
        <v>1813</v>
      </c>
      <c r="X164" s="210">
        <v>0.002638888887304347</v>
      </c>
      <c r="Y164" s="63" t="s">
        <v>1814</v>
      </c>
      <c r="Z164" s="63" t="s">
        <v>1815</v>
      </c>
      <c r="AA164" s="205">
        <v>0.0</v>
      </c>
      <c r="AB164" s="63" t="s">
        <v>1816</v>
      </c>
      <c r="AC164" s="205">
        <v>293.0</v>
      </c>
      <c r="AD164" s="208">
        <v>9.51531</v>
      </c>
      <c r="AE164" s="205">
        <v>40033.0</v>
      </c>
      <c r="AF164" s="205">
        <v>8332.0</v>
      </c>
      <c r="AG164" s="205">
        <v>521.0</v>
      </c>
      <c r="AH164" s="205">
        <v>456.0</v>
      </c>
      <c r="AI164" s="205">
        <v>0.0</v>
      </c>
      <c r="AJ164" s="205">
        <v>1467.0</v>
      </c>
      <c r="AK164" s="205">
        <v>0.0</v>
      </c>
      <c r="AL164" s="205">
        <v>0.0</v>
      </c>
      <c r="AM164" s="205">
        <v>0.0</v>
      </c>
      <c r="AN164" s="205">
        <v>0.0</v>
      </c>
      <c r="AO164" s="208">
        <v>4.39387</v>
      </c>
      <c r="AP164" s="208">
        <v>4.9804</v>
      </c>
      <c r="AQ164" s="208">
        <v>6.6729</v>
      </c>
      <c r="AR164" s="208">
        <v>3.72678</v>
      </c>
      <c r="AT164" s="192" t="s">
        <v>214</v>
      </c>
      <c r="AU164" s="211" t="s">
        <v>329</v>
      </c>
      <c r="AV164" s="211" t="s">
        <v>1817</v>
      </c>
      <c r="AW164" s="211" t="s">
        <v>1818</v>
      </c>
      <c r="AX164" s="211" t="s">
        <v>214</v>
      </c>
      <c r="AY164" s="212">
        <v>2.0</v>
      </c>
      <c r="AZ164" s="213">
        <v>4.5</v>
      </c>
      <c r="BA164" s="213">
        <v>4.0</v>
      </c>
      <c r="BB164" s="213">
        <v>2.5</v>
      </c>
      <c r="BC164" s="212">
        <v>5.2</v>
      </c>
      <c r="BD164" s="213">
        <v>10.0</v>
      </c>
      <c r="BE164" s="213">
        <v>10.0</v>
      </c>
      <c r="BF164" s="213">
        <v>7.0</v>
      </c>
      <c r="BG164" s="212">
        <v>10.333333333333332</v>
      </c>
      <c r="BH164" s="213">
        <v>9.75</v>
      </c>
      <c r="BI164" s="213">
        <v>0.0017515432094417822</v>
      </c>
      <c r="BJ164" s="213">
        <v>0.001759259258202898</v>
      </c>
      <c r="BK164" s="213">
        <v>214.5</v>
      </c>
      <c r="BL164" s="212">
        <v>7.0</v>
      </c>
      <c r="BM164" s="213">
        <v>5.375</v>
      </c>
      <c r="BN164" s="213">
        <v>0.0035030864188835644</v>
      </c>
      <c r="BO164" s="213">
        <v>0.003518518516405796</v>
      </c>
      <c r="BP164" s="213">
        <v>107.25</v>
      </c>
      <c r="BQ164" s="192"/>
      <c r="BR164" s="192"/>
    </row>
    <row r="165">
      <c r="A165" s="60">
        <v>757386.0</v>
      </c>
      <c r="B165" s="205">
        <v>3446883.0</v>
      </c>
      <c r="C165" s="205">
        <v>1581327.0</v>
      </c>
      <c r="D165" s="205">
        <v>1.0</v>
      </c>
      <c r="E165" s="207">
        <v>44458.79539351852</v>
      </c>
      <c r="F165" s="207">
        <v>44661.84856481482</v>
      </c>
      <c r="G165" s="207">
        <v>44654.82361111111</v>
      </c>
      <c r="H165" s="63" t="s">
        <v>971</v>
      </c>
      <c r="I165" s="205">
        <v>129.0</v>
      </c>
      <c r="J165" s="63" t="s">
        <v>253</v>
      </c>
      <c r="K165" s="205">
        <v>3124248.0</v>
      </c>
      <c r="L165" s="208">
        <v>3.55833</v>
      </c>
      <c r="M165" s="208">
        <v>1.77776</v>
      </c>
      <c r="N165" s="208">
        <v>1.61981</v>
      </c>
      <c r="O165" s="209">
        <v>3.8</v>
      </c>
      <c r="P165" s="209">
        <v>8.0</v>
      </c>
      <c r="Q165" s="209">
        <v>7.0</v>
      </c>
      <c r="R165" s="209">
        <v>5.0</v>
      </c>
      <c r="S165" s="210">
        <v>0.0025231481486116536</v>
      </c>
      <c r="T165" s="63" t="s">
        <v>1819</v>
      </c>
      <c r="U165" s="205">
        <v>5.0</v>
      </c>
      <c r="V165" s="205">
        <v>3.0</v>
      </c>
      <c r="W165" s="63" t="s">
        <v>1820</v>
      </c>
      <c r="X165" s="210">
        <v>0.002835648148902692</v>
      </c>
      <c r="Y165" s="63" t="s">
        <v>1821</v>
      </c>
      <c r="Z165" s="63" t="s">
        <v>1822</v>
      </c>
      <c r="AA165" s="205">
        <v>0.0</v>
      </c>
      <c r="AB165" s="63" t="s">
        <v>1823</v>
      </c>
      <c r="AC165" s="205">
        <v>69.0</v>
      </c>
      <c r="AD165" s="208">
        <v>9.09091</v>
      </c>
      <c r="AE165" s="205">
        <v>9343.0</v>
      </c>
      <c r="AF165" s="205">
        <v>2089.0</v>
      </c>
      <c r="AG165" s="205">
        <v>369.0</v>
      </c>
      <c r="AH165" s="205">
        <v>355.0</v>
      </c>
      <c r="AI165" s="205">
        <v>3.0</v>
      </c>
      <c r="AJ165" s="205">
        <v>1158.0</v>
      </c>
      <c r="AK165" s="205">
        <v>0.0</v>
      </c>
      <c r="AL165" s="205">
        <v>0.0</v>
      </c>
      <c r="AM165" s="205">
        <v>0.0</v>
      </c>
      <c r="AN165" s="205">
        <v>0.0</v>
      </c>
      <c r="AO165" s="208">
        <v>3.35575</v>
      </c>
      <c r="AP165" s="208">
        <v>3.71287</v>
      </c>
      <c r="AQ165" s="208">
        <v>4.94646</v>
      </c>
      <c r="AR165" s="208">
        <v>2.84936</v>
      </c>
      <c r="AT165" s="192" t="s">
        <v>252</v>
      </c>
      <c r="AU165" s="211" t="s">
        <v>330</v>
      </c>
      <c r="AV165" s="211" t="s">
        <v>1824</v>
      </c>
      <c r="AW165" s="211" t="s">
        <v>1825</v>
      </c>
      <c r="AX165" s="211" t="s">
        <v>252</v>
      </c>
      <c r="AY165" s="212">
        <v>1.9</v>
      </c>
      <c r="AZ165" s="213">
        <v>4.0</v>
      </c>
      <c r="BA165" s="213">
        <v>3.5</v>
      </c>
      <c r="BB165" s="213">
        <v>2.5</v>
      </c>
      <c r="BC165" s="212">
        <v>4.9399999999999995</v>
      </c>
      <c r="BD165" s="213">
        <v>10.0</v>
      </c>
      <c r="BE165" s="213">
        <v>9.799999999999999</v>
      </c>
      <c r="BF165" s="213">
        <v>7.0</v>
      </c>
      <c r="BG165" s="212">
        <v>9.666666666666668</v>
      </c>
      <c r="BH165" s="213">
        <v>9.083333333333334</v>
      </c>
      <c r="BI165" s="213">
        <v>0.0016820987657411024</v>
      </c>
      <c r="BJ165" s="213">
        <v>0.0018904320992684613</v>
      </c>
      <c r="BK165" s="213">
        <v>193.5</v>
      </c>
      <c r="BL165" s="212">
        <v>5.5</v>
      </c>
      <c r="BM165" s="213">
        <v>3.875</v>
      </c>
      <c r="BN165" s="213">
        <v>0.003364197531482205</v>
      </c>
      <c r="BO165" s="213">
        <v>0.0037808641985369227</v>
      </c>
      <c r="BP165" s="213">
        <v>96.75</v>
      </c>
      <c r="BQ165" s="192"/>
      <c r="BR165" s="192"/>
    </row>
    <row r="166">
      <c r="A166" s="60">
        <v>1744385.0</v>
      </c>
      <c r="B166" s="205">
        <v>3446883.0</v>
      </c>
      <c r="C166" s="205">
        <v>1581327.0</v>
      </c>
      <c r="D166" s="205">
        <v>1.0</v>
      </c>
      <c r="E166" s="207">
        <v>44458.79539351852</v>
      </c>
      <c r="F166" s="207">
        <v>44661.84856481482</v>
      </c>
      <c r="G166" s="207">
        <v>44654.82361111111</v>
      </c>
      <c r="H166" s="63" t="s">
        <v>971</v>
      </c>
      <c r="I166" s="205">
        <v>129.0</v>
      </c>
      <c r="J166" s="63" t="s">
        <v>253</v>
      </c>
      <c r="K166" s="205">
        <v>3124248.0</v>
      </c>
      <c r="L166" s="208">
        <v>3.55833</v>
      </c>
      <c r="M166" s="208">
        <v>1.77776</v>
      </c>
      <c r="N166" s="208">
        <v>1.61981</v>
      </c>
      <c r="O166" s="209">
        <v>3.8</v>
      </c>
      <c r="P166" s="209">
        <v>8.0</v>
      </c>
      <c r="Q166" s="209">
        <v>7.0</v>
      </c>
      <c r="R166" s="209">
        <v>5.0</v>
      </c>
      <c r="S166" s="210">
        <v>0.0025231481486116536</v>
      </c>
      <c r="T166" s="63" t="s">
        <v>1819</v>
      </c>
      <c r="U166" s="205">
        <v>5.0</v>
      </c>
      <c r="V166" s="205">
        <v>3.0</v>
      </c>
      <c r="W166" s="63" t="s">
        <v>1820</v>
      </c>
      <c r="X166" s="210">
        <v>0.002835648148902692</v>
      </c>
      <c r="Y166" s="63" t="s">
        <v>1821</v>
      </c>
      <c r="Z166" s="63" t="s">
        <v>1822</v>
      </c>
      <c r="AA166" s="205">
        <v>0.0</v>
      </c>
      <c r="AB166" s="63" t="s">
        <v>1823</v>
      </c>
      <c r="AC166" s="205">
        <v>69.0</v>
      </c>
      <c r="AD166" s="208">
        <v>9.09091</v>
      </c>
      <c r="AE166" s="205">
        <v>9343.0</v>
      </c>
      <c r="AF166" s="205">
        <v>2089.0</v>
      </c>
      <c r="AG166" s="205">
        <v>369.0</v>
      </c>
      <c r="AH166" s="205">
        <v>355.0</v>
      </c>
      <c r="AI166" s="205">
        <v>3.0</v>
      </c>
      <c r="AJ166" s="205">
        <v>1158.0</v>
      </c>
      <c r="AK166" s="205">
        <v>0.0</v>
      </c>
      <c r="AL166" s="205">
        <v>0.0</v>
      </c>
      <c r="AM166" s="205">
        <v>0.0</v>
      </c>
      <c r="AN166" s="205">
        <v>0.0</v>
      </c>
      <c r="AO166" s="208">
        <v>3.35575</v>
      </c>
      <c r="AP166" s="208">
        <v>3.71287</v>
      </c>
      <c r="AQ166" s="208">
        <v>4.94646</v>
      </c>
      <c r="AR166" s="208">
        <v>2.84936</v>
      </c>
      <c r="AT166" s="192" t="s">
        <v>252</v>
      </c>
      <c r="AU166" s="211" t="s">
        <v>330</v>
      </c>
      <c r="AV166" s="211" t="s">
        <v>1824</v>
      </c>
      <c r="AW166" s="211" t="s">
        <v>1825</v>
      </c>
      <c r="AX166" s="211" t="s">
        <v>252</v>
      </c>
      <c r="AY166" s="212">
        <v>1.9</v>
      </c>
      <c r="AZ166" s="213">
        <v>4.0</v>
      </c>
      <c r="BA166" s="213">
        <v>3.5</v>
      </c>
      <c r="BB166" s="213">
        <v>2.5</v>
      </c>
      <c r="BC166" s="212">
        <v>4.9399999999999995</v>
      </c>
      <c r="BD166" s="213">
        <v>10.0</v>
      </c>
      <c r="BE166" s="213">
        <v>9.799999999999999</v>
      </c>
      <c r="BF166" s="213">
        <v>7.0</v>
      </c>
      <c r="BG166" s="212">
        <v>9.666666666666668</v>
      </c>
      <c r="BH166" s="213">
        <v>9.083333333333334</v>
      </c>
      <c r="BI166" s="213">
        <v>0.0016820987657411024</v>
      </c>
      <c r="BJ166" s="213">
        <v>0.0018904320992684613</v>
      </c>
      <c r="BK166" s="213">
        <v>193.5</v>
      </c>
      <c r="BL166" s="212">
        <v>5.5</v>
      </c>
      <c r="BM166" s="213">
        <v>3.875</v>
      </c>
      <c r="BN166" s="213">
        <v>0.003364197531482205</v>
      </c>
      <c r="BO166" s="213">
        <v>0.0037808641985369227</v>
      </c>
      <c r="BP166" s="213">
        <v>96.75</v>
      </c>
      <c r="BQ166" s="192"/>
      <c r="BR166" s="192"/>
    </row>
    <row r="167">
      <c r="A167" s="60">
        <v>846261.0</v>
      </c>
      <c r="B167" s="205">
        <v>3616100.0</v>
      </c>
      <c r="C167" s="205">
        <v>1765453.0</v>
      </c>
      <c r="D167" s="205">
        <v>1.0</v>
      </c>
      <c r="E167" s="207">
        <v>44697.90256944444</v>
      </c>
      <c r="F167" s="207">
        <v>44809.68498842593</v>
      </c>
      <c r="G167" s="207">
        <v>44802.52329861111</v>
      </c>
      <c r="H167" s="63" t="s">
        <v>973</v>
      </c>
      <c r="I167" s="205">
        <v>126.0</v>
      </c>
      <c r="J167" s="63" t="s">
        <v>85</v>
      </c>
      <c r="K167" s="205">
        <v>4966334.0</v>
      </c>
      <c r="L167" s="208">
        <v>3.37818</v>
      </c>
      <c r="M167" s="208">
        <v>1.62529</v>
      </c>
      <c r="N167" s="208">
        <v>1.60842</v>
      </c>
      <c r="O167" s="209">
        <v>3.6</v>
      </c>
      <c r="P167" s="209">
        <v>8.0</v>
      </c>
      <c r="Q167" s="209">
        <v>6.5</v>
      </c>
      <c r="R167" s="209">
        <v>3.4</v>
      </c>
      <c r="S167" s="210">
        <v>0.0014120370360615198</v>
      </c>
      <c r="T167" s="63" t="s">
        <v>1826</v>
      </c>
      <c r="U167" s="205">
        <v>10.0</v>
      </c>
      <c r="V167" s="205">
        <v>5.0</v>
      </c>
      <c r="W167" s="63" t="s">
        <v>1827</v>
      </c>
      <c r="X167" s="210">
        <v>0.0016087962976598646</v>
      </c>
      <c r="Y167" s="63" t="s">
        <v>1828</v>
      </c>
      <c r="Z167" s="63" t="s">
        <v>1829</v>
      </c>
      <c r="AA167" s="205">
        <v>0.0</v>
      </c>
      <c r="AB167" s="63" t="s">
        <v>1830</v>
      </c>
      <c r="AC167" s="205">
        <v>149.0</v>
      </c>
      <c r="AD167" s="208">
        <v>8.75723</v>
      </c>
      <c r="AE167" s="205">
        <v>5581.0</v>
      </c>
      <c r="AF167" s="205">
        <v>1700.0</v>
      </c>
      <c r="AG167" s="205">
        <v>198.0</v>
      </c>
      <c r="AH167" s="205">
        <v>200.0</v>
      </c>
      <c r="AI167" s="205">
        <v>2.0</v>
      </c>
      <c r="AJ167" s="205">
        <v>775.0</v>
      </c>
      <c r="AK167" s="205">
        <v>0.0</v>
      </c>
      <c r="AL167" s="205">
        <v>0.0</v>
      </c>
      <c r="AM167" s="205">
        <v>0.0</v>
      </c>
      <c r="AN167" s="205">
        <v>0.0</v>
      </c>
      <c r="AO167" s="208">
        <v>3.1613</v>
      </c>
      <c r="AP167" s="208">
        <v>3.55742</v>
      </c>
      <c r="AQ167" s="208">
        <v>4.72433</v>
      </c>
      <c r="AR167" s="208">
        <v>2.70271</v>
      </c>
      <c r="AT167" s="192" t="s">
        <v>264</v>
      </c>
      <c r="AU167" s="211" t="s">
        <v>331</v>
      </c>
      <c r="AV167" s="211" t="s">
        <v>1831</v>
      </c>
      <c r="AW167" s="211" t="s">
        <v>1832</v>
      </c>
      <c r="AX167" s="211" t="s">
        <v>264</v>
      </c>
      <c r="AY167" s="212">
        <v>1.8</v>
      </c>
      <c r="AZ167" s="213">
        <v>4.0</v>
      </c>
      <c r="BA167" s="213">
        <v>3.25</v>
      </c>
      <c r="BB167" s="213">
        <v>1.7</v>
      </c>
      <c r="BC167" s="212">
        <v>4.680000000000001</v>
      </c>
      <c r="BD167" s="213">
        <v>10.0</v>
      </c>
      <c r="BE167" s="213">
        <v>9.1</v>
      </c>
      <c r="BF167" s="213">
        <v>4.76</v>
      </c>
      <c r="BG167" s="212">
        <v>9.666666666666668</v>
      </c>
      <c r="BH167" s="213">
        <v>8.75</v>
      </c>
      <c r="BI167" s="213">
        <v>9.413580240410132E-4</v>
      </c>
      <c r="BJ167" s="213">
        <v>0.0010725308651065764</v>
      </c>
      <c r="BK167" s="213">
        <v>189.0</v>
      </c>
      <c r="BL167" s="212">
        <v>5.5</v>
      </c>
      <c r="BM167" s="213">
        <v>3.125</v>
      </c>
      <c r="BN167" s="213">
        <v>0.0018827160480820264</v>
      </c>
      <c r="BO167" s="213">
        <v>0.0021450617302131527</v>
      </c>
      <c r="BP167" s="213">
        <v>94.5</v>
      </c>
      <c r="BQ167" s="192"/>
      <c r="BR167" s="192"/>
    </row>
    <row r="168">
      <c r="A168" s="60">
        <v>3601684.0</v>
      </c>
      <c r="B168" s="205">
        <v>3616100.0</v>
      </c>
      <c r="C168" s="205">
        <v>1765453.0</v>
      </c>
      <c r="D168" s="205">
        <v>1.0</v>
      </c>
      <c r="E168" s="207">
        <v>44697.90256944444</v>
      </c>
      <c r="F168" s="207">
        <v>44809.68498842593</v>
      </c>
      <c r="G168" s="207">
        <v>44802.52329861111</v>
      </c>
      <c r="H168" s="63" t="s">
        <v>973</v>
      </c>
      <c r="I168" s="205">
        <v>126.0</v>
      </c>
      <c r="J168" s="63" t="s">
        <v>85</v>
      </c>
      <c r="K168" s="205">
        <v>4966334.0</v>
      </c>
      <c r="L168" s="208">
        <v>3.37818</v>
      </c>
      <c r="M168" s="208">
        <v>1.62529</v>
      </c>
      <c r="N168" s="208">
        <v>1.60842</v>
      </c>
      <c r="O168" s="209">
        <v>3.6</v>
      </c>
      <c r="P168" s="209">
        <v>8.0</v>
      </c>
      <c r="Q168" s="209">
        <v>6.5</v>
      </c>
      <c r="R168" s="209">
        <v>3.4</v>
      </c>
      <c r="S168" s="210">
        <v>0.0014120370360615198</v>
      </c>
      <c r="T168" s="63" t="s">
        <v>1826</v>
      </c>
      <c r="U168" s="205">
        <v>10.0</v>
      </c>
      <c r="V168" s="205">
        <v>5.0</v>
      </c>
      <c r="W168" s="63" t="s">
        <v>1827</v>
      </c>
      <c r="X168" s="210">
        <v>0.0016087962976598646</v>
      </c>
      <c r="Y168" s="63" t="s">
        <v>1828</v>
      </c>
      <c r="Z168" s="63" t="s">
        <v>1829</v>
      </c>
      <c r="AA168" s="205">
        <v>0.0</v>
      </c>
      <c r="AB168" s="63" t="s">
        <v>1830</v>
      </c>
      <c r="AC168" s="205">
        <v>149.0</v>
      </c>
      <c r="AD168" s="208">
        <v>8.75723</v>
      </c>
      <c r="AE168" s="205">
        <v>5581.0</v>
      </c>
      <c r="AF168" s="205">
        <v>1700.0</v>
      </c>
      <c r="AG168" s="205">
        <v>198.0</v>
      </c>
      <c r="AH168" s="205">
        <v>200.0</v>
      </c>
      <c r="AI168" s="205">
        <v>2.0</v>
      </c>
      <c r="AJ168" s="205">
        <v>775.0</v>
      </c>
      <c r="AK168" s="205">
        <v>0.0</v>
      </c>
      <c r="AL168" s="205">
        <v>0.0</v>
      </c>
      <c r="AM168" s="205">
        <v>0.0</v>
      </c>
      <c r="AN168" s="205">
        <v>0.0</v>
      </c>
      <c r="AO168" s="208">
        <v>3.1613</v>
      </c>
      <c r="AP168" s="208">
        <v>3.55742</v>
      </c>
      <c r="AQ168" s="208">
        <v>4.72433</v>
      </c>
      <c r="AR168" s="208">
        <v>2.70271</v>
      </c>
      <c r="AT168" s="192" t="s">
        <v>264</v>
      </c>
      <c r="AU168" s="211" t="s">
        <v>331</v>
      </c>
      <c r="AV168" s="211" t="s">
        <v>1831</v>
      </c>
      <c r="AW168" s="211" t="s">
        <v>1832</v>
      </c>
      <c r="AX168" s="211" t="s">
        <v>264</v>
      </c>
      <c r="AY168" s="212">
        <v>1.8</v>
      </c>
      <c r="AZ168" s="213">
        <v>4.0</v>
      </c>
      <c r="BA168" s="213">
        <v>3.25</v>
      </c>
      <c r="BB168" s="213">
        <v>1.7</v>
      </c>
      <c r="BC168" s="212">
        <v>4.680000000000001</v>
      </c>
      <c r="BD168" s="213">
        <v>10.0</v>
      </c>
      <c r="BE168" s="213">
        <v>9.1</v>
      </c>
      <c r="BF168" s="213">
        <v>4.76</v>
      </c>
      <c r="BG168" s="212">
        <v>9.666666666666668</v>
      </c>
      <c r="BH168" s="213">
        <v>8.75</v>
      </c>
      <c r="BI168" s="213">
        <v>9.413580240410132E-4</v>
      </c>
      <c r="BJ168" s="213">
        <v>0.0010725308651065764</v>
      </c>
      <c r="BK168" s="213">
        <v>189.0</v>
      </c>
      <c r="BL168" s="212">
        <v>5.5</v>
      </c>
      <c r="BM168" s="213">
        <v>3.125</v>
      </c>
      <c r="BN168" s="213">
        <v>0.0018827160480820264</v>
      </c>
      <c r="BO168" s="213">
        <v>0.0021450617302131527</v>
      </c>
      <c r="BP168" s="213">
        <v>94.5</v>
      </c>
      <c r="BQ168" s="192"/>
      <c r="BR168" s="192"/>
    </row>
    <row r="169">
      <c r="A169" s="60">
        <v>3870932.0</v>
      </c>
      <c r="B169" s="205">
        <v>2853477.0</v>
      </c>
      <c r="C169" s="205">
        <v>1176431.0</v>
      </c>
      <c r="D169" s="205">
        <v>1.0</v>
      </c>
      <c r="E169" s="207">
        <v>43973.49096064815</v>
      </c>
      <c r="F169" s="207">
        <v>44314.43371527777</v>
      </c>
      <c r="G169" s="207">
        <v>44306.488287037035</v>
      </c>
      <c r="H169" s="63" t="s">
        <v>966</v>
      </c>
      <c r="I169" s="205">
        <v>140.0</v>
      </c>
      <c r="J169" s="63" t="s">
        <v>226</v>
      </c>
      <c r="K169" s="205">
        <v>3161834.0</v>
      </c>
      <c r="L169" s="208">
        <v>4.6484</v>
      </c>
      <c r="M169" s="208">
        <v>2.38132</v>
      </c>
      <c r="N169" s="208">
        <v>2.03706</v>
      </c>
      <c r="O169" s="209">
        <v>4.4</v>
      </c>
      <c r="P169" s="209">
        <v>8.3</v>
      </c>
      <c r="Q169" s="209">
        <v>7.0</v>
      </c>
      <c r="R169" s="209">
        <v>6.0</v>
      </c>
      <c r="S169" s="210">
        <v>0.002071759259706596</v>
      </c>
      <c r="U169" s="205">
        <v>5.0</v>
      </c>
      <c r="V169" s="205">
        <v>3.0</v>
      </c>
      <c r="W169" s="63" t="s">
        <v>1833</v>
      </c>
      <c r="X169" s="210">
        <v>0.002291666667588288</v>
      </c>
      <c r="Y169" s="63" t="s">
        <v>1834</v>
      </c>
      <c r="Z169" s="63" t="s">
        <v>1835</v>
      </c>
      <c r="AA169" s="205">
        <v>0.0</v>
      </c>
      <c r="AB169" s="63" t="s">
        <v>1836</v>
      </c>
      <c r="AC169" s="205">
        <v>280.0</v>
      </c>
      <c r="AD169" s="208">
        <v>9.50224</v>
      </c>
      <c r="AE169" s="205">
        <v>42733.0</v>
      </c>
      <c r="AF169" s="205">
        <v>4868.0</v>
      </c>
      <c r="AG169" s="205">
        <v>398.0</v>
      </c>
      <c r="AH169" s="205">
        <v>287.0</v>
      </c>
      <c r="AI169" s="205">
        <v>1.0</v>
      </c>
      <c r="AJ169" s="205">
        <v>1001.0</v>
      </c>
      <c r="AK169" s="205">
        <v>0.0</v>
      </c>
      <c r="AL169" s="205">
        <v>0.0</v>
      </c>
      <c r="AM169" s="205">
        <v>0.0</v>
      </c>
      <c r="AN169" s="205">
        <v>0.0</v>
      </c>
      <c r="AO169" s="208">
        <v>4.21108</v>
      </c>
      <c r="AP169" s="208">
        <v>5.12137</v>
      </c>
      <c r="AQ169" s="208">
        <v>6.52957</v>
      </c>
      <c r="AR169" s="208">
        <v>3.67735</v>
      </c>
      <c r="AT169" s="192" t="s">
        <v>225</v>
      </c>
      <c r="AU169" s="211" t="s">
        <v>332</v>
      </c>
      <c r="AV169" s="211" t="s">
        <v>1837</v>
      </c>
      <c r="AW169" s="211" t="s">
        <v>1838</v>
      </c>
      <c r="AX169" s="211" t="s">
        <v>225</v>
      </c>
      <c r="AY169" s="212">
        <v>2.2</v>
      </c>
      <c r="AZ169" s="213">
        <v>4.15</v>
      </c>
      <c r="BA169" s="213">
        <v>3.5</v>
      </c>
      <c r="BB169" s="213">
        <v>3.0</v>
      </c>
      <c r="BC169" s="212">
        <v>5.720000000000001</v>
      </c>
      <c r="BD169" s="213">
        <v>10.0</v>
      </c>
      <c r="BE169" s="213">
        <v>9.799999999999999</v>
      </c>
      <c r="BF169" s="213">
        <v>8.399999999999999</v>
      </c>
      <c r="BG169" s="212">
        <v>9.866666666666667</v>
      </c>
      <c r="BH169" s="213">
        <v>9.083333333333334</v>
      </c>
      <c r="BI169" s="213">
        <v>0.0013811728398043972</v>
      </c>
      <c r="BJ169" s="213">
        <v>0.001527777778392192</v>
      </c>
      <c r="BK169" s="213">
        <v>210.0</v>
      </c>
      <c r="BL169" s="212">
        <v>5.950000000000001</v>
      </c>
      <c r="BM169" s="213">
        <v>3.875</v>
      </c>
      <c r="BN169" s="213">
        <v>0.0027623456796087944</v>
      </c>
      <c r="BO169" s="213">
        <v>0.003055555556784384</v>
      </c>
      <c r="BP169" s="213">
        <v>105.0</v>
      </c>
      <c r="BQ169" s="192"/>
      <c r="BR169" s="192"/>
    </row>
    <row r="170">
      <c r="A170" s="60">
        <v>2044890.0</v>
      </c>
      <c r="B170" s="205">
        <v>577517.0</v>
      </c>
      <c r="C170" s="205">
        <v>251437.0</v>
      </c>
      <c r="D170" s="205">
        <v>1.0</v>
      </c>
      <c r="E170" s="207">
        <v>42004.6421412037</v>
      </c>
      <c r="F170" s="207">
        <v>42189.80571759259</v>
      </c>
      <c r="G170" s="207">
        <v>42182.27701388889</v>
      </c>
      <c r="H170" s="63" t="s">
        <v>991</v>
      </c>
      <c r="I170" s="205">
        <v>173.0</v>
      </c>
      <c r="J170" s="63" t="s">
        <v>435</v>
      </c>
      <c r="K170" s="205">
        <v>1587999.0</v>
      </c>
      <c r="L170" s="208">
        <v>5.38366</v>
      </c>
      <c r="M170" s="208">
        <v>2.76686</v>
      </c>
      <c r="N170" s="208">
        <v>2.34648</v>
      </c>
      <c r="O170" s="209">
        <v>4.0</v>
      </c>
      <c r="P170" s="209">
        <v>9.2</v>
      </c>
      <c r="Q170" s="209">
        <v>8.0</v>
      </c>
      <c r="R170" s="209">
        <v>6.0</v>
      </c>
      <c r="S170" s="210">
        <v>0.003472222222626442</v>
      </c>
      <c r="T170" s="63" t="s">
        <v>1839</v>
      </c>
      <c r="U170" s="205">
        <v>2.0</v>
      </c>
      <c r="V170" s="205">
        <v>3.0</v>
      </c>
      <c r="W170" s="63" t="s">
        <v>1840</v>
      </c>
      <c r="X170" s="210">
        <v>0.0034953703689097892</v>
      </c>
      <c r="Y170" s="63" t="s">
        <v>1841</v>
      </c>
      <c r="Z170" s="63" t="s">
        <v>1842</v>
      </c>
      <c r="AA170" s="205">
        <v>0.0</v>
      </c>
      <c r="AB170" s="63" t="s">
        <v>1843</v>
      </c>
      <c r="AC170" s="205">
        <v>1597.0</v>
      </c>
      <c r="AD170" s="208">
        <v>9.70718</v>
      </c>
      <c r="AE170" s="205">
        <v>2832489.0</v>
      </c>
      <c r="AF170" s="205">
        <v>312521.0</v>
      </c>
      <c r="AG170" s="205">
        <v>706.0</v>
      </c>
      <c r="AH170" s="205">
        <v>455.0</v>
      </c>
      <c r="AI170" s="205">
        <v>2.0</v>
      </c>
      <c r="AJ170" s="205">
        <v>1715.0</v>
      </c>
      <c r="AK170" s="205">
        <v>1.0</v>
      </c>
      <c r="AL170" s="205">
        <v>0.0</v>
      </c>
      <c r="AM170" s="205">
        <v>0.0</v>
      </c>
      <c r="AN170" s="205">
        <v>0.0</v>
      </c>
      <c r="AO170" s="208">
        <v>4.99413</v>
      </c>
      <c r="AP170" s="208">
        <v>5.68866</v>
      </c>
      <c r="AQ170" s="208">
        <v>7.69902</v>
      </c>
      <c r="AR170" s="208">
        <v>4.23323</v>
      </c>
      <c r="AT170" s="192" t="s">
        <v>334</v>
      </c>
      <c r="AU170" s="211" t="s">
        <v>333</v>
      </c>
      <c r="AV170" s="211" t="s">
        <v>1844</v>
      </c>
      <c r="AW170" s="211" t="s">
        <v>1845</v>
      </c>
      <c r="AX170" s="211" t="s">
        <v>334</v>
      </c>
      <c r="AY170" s="212">
        <v>2.0</v>
      </c>
      <c r="AZ170" s="213">
        <v>4.6</v>
      </c>
      <c r="BA170" s="213">
        <v>4.0</v>
      </c>
      <c r="BB170" s="213">
        <v>3.0</v>
      </c>
      <c r="BC170" s="212">
        <v>5.2</v>
      </c>
      <c r="BD170" s="213">
        <v>10.0</v>
      </c>
      <c r="BE170" s="213">
        <v>10.0</v>
      </c>
      <c r="BF170" s="213">
        <v>8.399999999999999</v>
      </c>
      <c r="BG170" s="212">
        <v>10.466666666666667</v>
      </c>
      <c r="BH170" s="213">
        <v>9.75</v>
      </c>
      <c r="BI170" s="213">
        <v>0.002314814815084295</v>
      </c>
      <c r="BJ170" s="213">
        <v>0.002330246912606526</v>
      </c>
      <c r="BK170" s="213">
        <v>259.5</v>
      </c>
      <c r="BL170" s="212">
        <v>7.299999999999999</v>
      </c>
      <c r="BM170" s="213">
        <v>5.375</v>
      </c>
      <c r="BN170" s="213">
        <v>0.00462962963016859</v>
      </c>
      <c r="BO170" s="213">
        <v>0.004660493825213052</v>
      </c>
      <c r="BP170" s="213">
        <v>129.75</v>
      </c>
      <c r="BQ170" s="192"/>
      <c r="BR170" s="192"/>
    </row>
    <row r="171">
      <c r="A171" s="60">
        <v>3010348.0</v>
      </c>
      <c r="B171" s="205">
        <v>577517.0</v>
      </c>
      <c r="C171" s="205">
        <v>251437.0</v>
      </c>
      <c r="D171" s="205">
        <v>1.0</v>
      </c>
      <c r="E171" s="207">
        <v>42004.6421412037</v>
      </c>
      <c r="F171" s="207">
        <v>42189.80571759259</v>
      </c>
      <c r="G171" s="207">
        <v>42182.27701388889</v>
      </c>
      <c r="H171" s="63" t="s">
        <v>991</v>
      </c>
      <c r="I171" s="205">
        <v>173.0</v>
      </c>
      <c r="J171" s="63" t="s">
        <v>435</v>
      </c>
      <c r="K171" s="205">
        <v>1587999.0</v>
      </c>
      <c r="L171" s="208">
        <v>5.38366</v>
      </c>
      <c r="M171" s="208">
        <v>2.76686</v>
      </c>
      <c r="N171" s="208">
        <v>2.34648</v>
      </c>
      <c r="O171" s="209">
        <v>4.0</v>
      </c>
      <c r="P171" s="209">
        <v>9.2</v>
      </c>
      <c r="Q171" s="209">
        <v>8.0</v>
      </c>
      <c r="R171" s="209">
        <v>6.0</v>
      </c>
      <c r="S171" s="210">
        <v>0.003472222222626442</v>
      </c>
      <c r="T171" s="63" t="s">
        <v>1839</v>
      </c>
      <c r="U171" s="205">
        <v>2.0</v>
      </c>
      <c r="V171" s="205">
        <v>3.0</v>
      </c>
      <c r="W171" s="63" t="s">
        <v>1840</v>
      </c>
      <c r="X171" s="210">
        <v>0.0034953703689097892</v>
      </c>
      <c r="Y171" s="63" t="s">
        <v>1841</v>
      </c>
      <c r="Z171" s="63" t="s">
        <v>1842</v>
      </c>
      <c r="AA171" s="205">
        <v>0.0</v>
      </c>
      <c r="AB171" s="63" t="s">
        <v>1843</v>
      </c>
      <c r="AC171" s="205">
        <v>1597.0</v>
      </c>
      <c r="AD171" s="208">
        <v>9.70718</v>
      </c>
      <c r="AE171" s="205">
        <v>2832489.0</v>
      </c>
      <c r="AF171" s="205">
        <v>312521.0</v>
      </c>
      <c r="AG171" s="205">
        <v>706.0</v>
      </c>
      <c r="AH171" s="205">
        <v>455.0</v>
      </c>
      <c r="AI171" s="205">
        <v>2.0</v>
      </c>
      <c r="AJ171" s="205">
        <v>1715.0</v>
      </c>
      <c r="AK171" s="205">
        <v>1.0</v>
      </c>
      <c r="AL171" s="205">
        <v>0.0</v>
      </c>
      <c r="AM171" s="205">
        <v>0.0</v>
      </c>
      <c r="AN171" s="205">
        <v>0.0</v>
      </c>
      <c r="AO171" s="208">
        <v>4.99413</v>
      </c>
      <c r="AP171" s="208">
        <v>5.68866</v>
      </c>
      <c r="AQ171" s="208">
        <v>7.69902</v>
      </c>
      <c r="AR171" s="208">
        <v>4.23323</v>
      </c>
      <c r="AT171" s="192" t="s">
        <v>334</v>
      </c>
      <c r="AU171" s="211" t="s">
        <v>333</v>
      </c>
      <c r="AV171" s="211" t="s">
        <v>1844</v>
      </c>
      <c r="AW171" s="211" t="s">
        <v>1845</v>
      </c>
      <c r="AX171" s="211" t="s">
        <v>334</v>
      </c>
      <c r="AY171" s="212">
        <v>2.0</v>
      </c>
      <c r="AZ171" s="213">
        <v>4.6</v>
      </c>
      <c r="BA171" s="213">
        <v>4.0</v>
      </c>
      <c r="BB171" s="213">
        <v>3.0</v>
      </c>
      <c r="BC171" s="212">
        <v>5.2</v>
      </c>
      <c r="BD171" s="213">
        <v>10.0</v>
      </c>
      <c r="BE171" s="213">
        <v>10.0</v>
      </c>
      <c r="BF171" s="213">
        <v>8.399999999999999</v>
      </c>
      <c r="BG171" s="212">
        <v>10.466666666666667</v>
      </c>
      <c r="BH171" s="213">
        <v>9.75</v>
      </c>
      <c r="BI171" s="213">
        <v>0.002314814815084295</v>
      </c>
      <c r="BJ171" s="213">
        <v>0.002330246912606526</v>
      </c>
      <c r="BK171" s="213">
        <v>259.5</v>
      </c>
      <c r="BL171" s="212">
        <v>7.299999999999999</v>
      </c>
      <c r="BM171" s="213">
        <v>5.375</v>
      </c>
      <c r="BN171" s="213">
        <v>0.00462962963016859</v>
      </c>
      <c r="BO171" s="213">
        <v>0.004660493825213052</v>
      </c>
      <c r="BP171" s="213">
        <v>129.75</v>
      </c>
      <c r="BQ171" s="192"/>
      <c r="BR171" s="192"/>
    </row>
    <row r="172">
      <c r="A172" s="60">
        <v>3186407.0</v>
      </c>
      <c r="B172" s="205">
        <v>3990086.0</v>
      </c>
      <c r="C172" s="205">
        <v>1901819.0</v>
      </c>
      <c r="D172" s="205">
        <v>-2.0</v>
      </c>
      <c r="E172" s="207">
        <v>44907.252337962964</v>
      </c>
      <c r="F172" s="215"/>
      <c r="G172" s="207">
        <v>44955.653391203705</v>
      </c>
      <c r="H172" s="63" t="s">
        <v>997</v>
      </c>
      <c r="I172" s="205">
        <v>174.0</v>
      </c>
      <c r="J172" s="63" t="s">
        <v>511</v>
      </c>
      <c r="K172" s="205">
        <v>5286213.0</v>
      </c>
      <c r="L172" s="208">
        <v>4.56568</v>
      </c>
      <c r="M172" s="208">
        <v>2.15558</v>
      </c>
      <c r="N172" s="208">
        <v>2.21406</v>
      </c>
      <c r="O172" s="209">
        <v>3.8</v>
      </c>
      <c r="P172" s="209">
        <v>7.0</v>
      </c>
      <c r="Q172" s="209">
        <v>7.0</v>
      </c>
      <c r="R172" s="209">
        <v>5.0</v>
      </c>
      <c r="S172" s="210">
        <v>0.0013657407398568466</v>
      </c>
      <c r="U172" s="205">
        <v>5.0</v>
      </c>
      <c r="V172" s="205">
        <v>3.0</v>
      </c>
      <c r="W172" s="63" t="s">
        <v>1846</v>
      </c>
      <c r="X172" s="210">
        <v>0.0014120370360615198</v>
      </c>
      <c r="Y172" s="63" t="s">
        <v>1847</v>
      </c>
      <c r="Z172" s="63" t="s">
        <v>1848</v>
      </c>
      <c r="AA172" s="205">
        <v>0.0</v>
      </c>
      <c r="AB172" s="63" t="s">
        <v>1849</v>
      </c>
      <c r="AC172" s="205">
        <v>2.0</v>
      </c>
      <c r="AD172" s="208">
        <v>0.0</v>
      </c>
      <c r="AE172" s="205">
        <v>402.0</v>
      </c>
      <c r="AF172" s="205">
        <v>203.0</v>
      </c>
      <c r="AG172" s="205">
        <v>301.0</v>
      </c>
      <c r="AH172" s="205">
        <v>129.0</v>
      </c>
      <c r="AI172" s="205">
        <v>1.0</v>
      </c>
      <c r="AJ172" s="205">
        <v>624.0</v>
      </c>
      <c r="AK172" s="205">
        <v>0.0</v>
      </c>
      <c r="AL172" s="205">
        <v>0.0</v>
      </c>
      <c r="AM172" s="205">
        <v>0.0</v>
      </c>
      <c r="AN172" s="205">
        <v>0.0</v>
      </c>
      <c r="AO172" s="208">
        <v>4.2082</v>
      </c>
      <c r="AP172" s="208">
        <v>4.76896</v>
      </c>
      <c r="AQ172" s="208">
        <v>6.49259</v>
      </c>
      <c r="AR172" s="208">
        <v>3.65825</v>
      </c>
      <c r="AT172" s="192" t="s">
        <v>336</v>
      </c>
      <c r="AU172" s="211" t="s">
        <v>335</v>
      </c>
      <c r="AV172" s="211" t="s">
        <v>1850</v>
      </c>
      <c r="AW172" s="211" t="s">
        <v>1851</v>
      </c>
      <c r="AX172" s="211" t="s">
        <v>336</v>
      </c>
      <c r="AY172" s="212">
        <v>1.9</v>
      </c>
      <c r="AZ172" s="213">
        <v>3.5</v>
      </c>
      <c r="BA172" s="213">
        <v>3.5</v>
      </c>
      <c r="BB172" s="213">
        <v>2.5</v>
      </c>
      <c r="BC172" s="212">
        <v>4.9399999999999995</v>
      </c>
      <c r="BD172" s="213">
        <v>9.799999999999999</v>
      </c>
      <c r="BE172" s="213">
        <v>9.799999999999999</v>
      </c>
      <c r="BF172" s="213">
        <v>7.0</v>
      </c>
      <c r="BG172" s="212">
        <v>9.0</v>
      </c>
      <c r="BH172" s="213">
        <v>9.083333333333334</v>
      </c>
      <c r="BI172" s="213">
        <v>9.104938265712311E-4</v>
      </c>
      <c r="BJ172" s="213">
        <v>9.413580240410132E-4</v>
      </c>
      <c r="BK172" s="213">
        <v>261.0</v>
      </c>
      <c r="BL172" s="212">
        <v>4.0</v>
      </c>
      <c r="BM172" s="213">
        <v>3.875</v>
      </c>
      <c r="BN172" s="213">
        <v>0.0018209876531424622</v>
      </c>
      <c r="BO172" s="213">
        <v>0.0018827160480820264</v>
      </c>
      <c r="BP172" s="213">
        <v>130.5</v>
      </c>
      <c r="BQ172" s="192"/>
      <c r="BR172" s="192"/>
    </row>
    <row r="173">
      <c r="A173" s="60">
        <v>2659337.0</v>
      </c>
      <c r="B173" s="205">
        <v>1857415.0</v>
      </c>
      <c r="C173" s="205">
        <v>790382.0</v>
      </c>
      <c r="D173" s="205">
        <v>1.0</v>
      </c>
      <c r="E173" s="207">
        <v>43251.798414351855</v>
      </c>
      <c r="F173" s="207">
        <v>43530.305601851855</v>
      </c>
      <c r="G173" s="207">
        <v>43528.99290509259</v>
      </c>
      <c r="H173" s="63" t="s">
        <v>976</v>
      </c>
      <c r="I173" s="205">
        <v>170.0</v>
      </c>
      <c r="J173" s="63" t="s">
        <v>281</v>
      </c>
      <c r="K173" s="205">
        <v>5428909.0</v>
      </c>
      <c r="L173" s="208">
        <v>5.08792</v>
      </c>
      <c r="M173" s="208">
        <v>2.60273</v>
      </c>
      <c r="N173" s="208">
        <v>2.23516</v>
      </c>
      <c r="O173" s="209">
        <v>4.0</v>
      </c>
      <c r="P173" s="209">
        <v>9.0</v>
      </c>
      <c r="Q173" s="209">
        <v>8.0</v>
      </c>
      <c r="R173" s="209">
        <v>5.0</v>
      </c>
      <c r="S173" s="210">
        <v>0.003402777776500443</v>
      </c>
      <c r="U173" s="205">
        <v>10.0</v>
      </c>
      <c r="V173" s="205">
        <v>5.0</v>
      </c>
      <c r="W173" s="63" t="s">
        <v>1852</v>
      </c>
      <c r="X173" s="210">
        <v>0.003402777776500443</v>
      </c>
      <c r="Y173" s="63" t="s">
        <v>1853</v>
      </c>
      <c r="Z173" s="63" t="s">
        <v>1854</v>
      </c>
      <c r="AA173" s="205">
        <v>0.0</v>
      </c>
      <c r="AB173" s="63" t="s">
        <v>1855</v>
      </c>
      <c r="AC173" s="205">
        <v>72.0</v>
      </c>
      <c r="AD173" s="208">
        <v>9.09559</v>
      </c>
      <c r="AE173" s="205">
        <v>49923.0</v>
      </c>
      <c r="AF173" s="205">
        <v>6174.0</v>
      </c>
      <c r="AG173" s="205">
        <v>392.0</v>
      </c>
      <c r="AH173" s="205">
        <v>486.0</v>
      </c>
      <c r="AI173" s="205">
        <v>3.0</v>
      </c>
      <c r="AJ173" s="205">
        <v>1521.0</v>
      </c>
      <c r="AK173" s="205">
        <v>0.0</v>
      </c>
      <c r="AL173" s="205">
        <v>0.0</v>
      </c>
      <c r="AM173" s="205">
        <v>0.0</v>
      </c>
      <c r="AN173" s="205">
        <v>0.0</v>
      </c>
      <c r="AO173" s="208">
        <v>4.61591</v>
      </c>
      <c r="AP173" s="208">
        <v>5.43909</v>
      </c>
      <c r="AQ173" s="208">
        <v>7.1512</v>
      </c>
      <c r="AR173" s="208">
        <v>4.03579</v>
      </c>
      <c r="AT173" s="192" t="s">
        <v>280</v>
      </c>
      <c r="AU173" s="211" t="s">
        <v>337</v>
      </c>
      <c r="AV173" s="211" t="s">
        <v>1856</v>
      </c>
      <c r="AW173" s="211" t="s">
        <v>1857</v>
      </c>
      <c r="AX173" s="211" t="s">
        <v>280</v>
      </c>
      <c r="AY173" s="212">
        <v>2.0</v>
      </c>
      <c r="AZ173" s="213">
        <v>4.5</v>
      </c>
      <c r="BA173" s="213">
        <v>4.0</v>
      </c>
      <c r="BB173" s="213">
        <v>2.5</v>
      </c>
      <c r="BC173" s="212">
        <v>5.2</v>
      </c>
      <c r="BD173" s="213">
        <v>10.0</v>
      </c>
      <c r="BE173" s="213">
        <v>10.0</v>
      </c>
      <c r="BF173" s="213">
        <v>7.0</v>
      </c>
      <c r="BG173" s="212">
        <v>10.333333333333332</v>
      </c>
      <c r="BH173" s="213">
        <v>9.75</v>
      </c>
      <c r="BI173" s="213">
        <v>0.002268518517666962</v>
      </c>
      <c r="BJ173" s="213">
        <v>0.002268518517666962</v>
      </c>
      <c r="BK173" s="213">
        <v>255.0</v>
      </c>
      <c r="BL173" s="212">
        <v>7.0</v>
      </c>
      <c r="BM173" s="213">
        <v>5.375</v>
      </c>
      <c r="BN173" s="213">
        <v>0.004537037035333924</v>
      </c>
      <c r="BO173" s="213">
        <v>0.004537037035333924</v>
      </c>
      <c r="BP173" s="213">
        <v>127.5</v>
      </c>
      <c r="BQ173" s="192"/>
      <c r="BR173" s="192"/>
    </row>
    <row r="174">
      <c r="A174" s="60">
        <v>315101.0</v>
      </c>
      <c r="B174" s="205">
        <v>1857415.0</v>
      </c>
      <c r="C174" s="205">
        <v>790382.0</v>
      </c>
      <c r="D174" s="205">
        <v>1.0</v>
      </c>
      <c r="E174" s="207">
        <v>43251.798414351855</v>
      </c>
      <c r="F174" s="207">
        <v>43530.305601851855</v>
      </c>
      <c r="G174" s="207">
        <v>43528.99290509259</v>
      </c>
      <c r="H174" s="63" t="s">
        <v>976</v>
      </c>
      <c r="I174" s="205">
        <v>170.0</v>
      </c>
      <c r="J174" s="63" t="s">
        <v>281</v>
      </c>
      <c r="K174" s="205">
        <v>5428909.0</v>
      </c>
      <c r="L174" s="208">
        <v>5.08792</v>
      </c>
      <c r="M174" s="208">
        <v>2.60273</v>
      </c>
      <c r="N174" s="208">
        <v>2.23516</v>
      </c>
      <c r="O174" s="209">
        <v>4.0</v>
      </c>
      <c r="P174" s="209">
        <v>9.0</v>
      </c>
      <c r="Q174" s="209">
        <v>8.0</v>
      </c>
      <c r="R174" s="209">
        <v>5.0</v>
      </c>
      <c r="S174" s="210">
        <v>0.003402777776500443</v>
      </c>
      <c r="U174" s="205">
        <v>10.0</v>
      </c>
      <c r="V174" s="205">
        <v>5.0</v>
      </c>
      <c r="W174" s="63" t="s">
        <v>1852</v>
      </c>
      <c r="X174" s="210">
        <v>0.003402777776500443</v>
      </c>
      <c r="Y174" s="63" t="s">
        <v>1853</v>
      </c>
      <c r="Z174" s="63" t="s">
        <v>1854</v>
      </c>
      <c r="AA174" s="205">
        <v>0.0</v>
      </c>
      <c r="AB174" s="63" t="s">
        <v>1855</v>
      </c>
      <c r="AC174" s="205">
        <v>72.0</v>
      </c>
      <c r="AD174" s="208">
        <v>9.09559</v>
      </c>
      <c r="AE174" s="205">
        <v>49923.0</v>
      </c>
      <c r="AF174" s="205">
        <v>6174.0</v>
      </c>
      <c r="AG174" s="205">
        <v>392.0</v>
      </c>
      <c r="AH174" s="205">
        <v>486.0</v>
      </c>
      <c r="AI174" s="205">
        <v>3.0</v>
      </c>
      <c r="AJ174" s="205">
        <v>1521.0</v>
      </c>
      <c r="AK174" s="205">
        <v>0.0</v>
      </c>
      <c r="AL174" s="205">
        <v>0.0</v>
      </c>
      <c r="AM174" s="205">
        <v>0.0</v>
      </c>
      <c r="AN174" s="205">
        <v>0.0</v>
      </c>
      <c r="AO174" s="208">
        <v>4.61591</v>
      </c>
      <c r="AP174" s="208">
        <v>5.43909</v>
      </c>
      <c r="AQ174" s="208">
        <v>7.1512</v>
      </c>
      <c r="AR174" s="208">
        <v>4.03579</v>
      </c>
      <c r="AT174" s="192" t="s">
        <v>280</v>
      </c>
      <c r="AU174" s="211" t="s">
        <v>337</v>
      </c>
      <c r="AV174" s="211" t="s">
        <v>1856</v>
      </c>
      <c r="AW174" s="211" t="s">
        <v>1857</v>
      </c>
      <c r="AX174" s="211" t="s">
        <v>280</v>
      </c>
      <c r="AY174" s="212">
        <v>2.0</v>
      </c>
      <c r="AZ174" s="213">
        <v>4.5</v>
      </c>
      <c r="BA174" s="213">
        <v>4.0</v>
      </c>
      <c r="BB174" s="213">
        <v>2.5</v>
      </c>
      <c r="BC174" s="212">
        <v>5.2</v>
      </c>
      <c r="BD174" s="213">
        <v>10.0</v>
      </c>
      <c r="BE174" s="213">
        <v>10.0</v>
      </c>
      <c r="BF174" s="213">
        <v>7.0</v>
      </c>
      <c r="BG174" s="212">
        <v>10.333333333333332</v>
      </c>
      <c r="BH174" s="213">
        <v>9.75</v>
      </c>
      <c r="BI174" s="213">
        <v>0.002268518517666962</v>
      </c>
      <c r="BJ174" s="213">
        <v>0.002268518517666962</v>
      </c>
      <c r="BK174" s="213">
        <v>255.0</v>
      </c>
      <c r="BL174" s="212">
        <v>7.0</v>
      </c>
      <c r="BM174" s="213">
        <v>5.375</v>
      </c>
      <c r="BN174" s="213">
        <v>0.004537037035333924</v>
      </c>
      <c r="BO174" s="213">
        <v>0.004537037035333924</v>
      </c>
      <c r="BP174" s="213">
        <v>127.5</v>
      </c>
      <c r="BQ174" s="192"/>
      <c r="BR174" s="192"/>
    </row>
    <row r="175">
      <c r="A175" s="60">
        <v>3454421.0</v>
      </c>
      <c r="B175" s="205">
        <v>2536100.0</v>
      </c>
      <c r="C175" s="205">
        <v>1185294.0</v>
      </c>
      <c r="D175" s="205">
        <v>1.0</v>
      </c>
      <c r="E175" s="207">
        <v>43986.25619212963</v>
      </c>
      <c r="F175" s="207">
        <v>44093.80894675926</v>
      </c>
      <c r="G175" s="207">
        <v>44085.21690972222</v>
      </c>
      <c r="H175" s="63" t="s">
        <v>1026</v>
      </c>
      <c r="I175" s="205">
        <v>173.0</v>
      </c>
      <c r="J175" s="63" t="s">
        <v>1858</v>
      </c>
      <c r="K175" s="205">
        <v>1.2381096E7</v>
      </c>
      <c r="L175" s="208">
        <v>5.0317</v>
      </c>
      <c r="M175" s="208">
        <v>2.50187</v>
      </c>
      <c r="N175" s="208">
        <v>2.30536</v>
      </c>
      <c r="O175" s="209">
        <v>3.8</v>
      </c>
      <c r="P175" s="209">
        <v>9.0</v>
      </c>
      <c r="Q175" s="209">
        <v>7.5</v>
      </c>
      <c r="R175" s="209">
        <v>5.0</v>
      </c>
      <c r="S175" s="210">
        <v>0.0029976851838000584</v>
      </c>
      <c r="T175" s="63" t="s">
        <v>1200</v>
      </c>
      <c r="U175" s="205">
        <v>10.0</v>
      </c>
      <c r="V175" s="205">
        <v>3.0</v>
      </c>
      <c r="W175" s="63" t="s">
        <v>1859</v>
      </c>
      <c r="X175" s="210">
        <v>0.0033680555570754223</v>
      </c>
      <c r="Y175" s="63" t="s">
        <v>1860</v>
      </c>
      <c r="Z175" s="63" t="s">
        <v>1861</v>
      </c>
      <c r="AA175" s="205">
        <v>0.0</v>
      </c>
      <c r="AB175" s="63" t="s">
        <v>1862</v>
      </c>
      <c r="AC175" s="205">
        <v>56.0</v>
      </c>
      <c r="AD175" s="208">
        <v>9.40385</v>
      </c>
      <c r="AE175" s="205">
        <v>21646.0</v>
      </c>
      <c r="AF175" s="205">
        <v>4294.0</v>
      </c>
      <c r="AG175" s="205">
        <v>640.0</v>
      </c>
      <c r="AH175" s="205">
        <v>315.0</v>
      </c>
      <c r="AI175" s="205">
        <v>3.0</v>
      </c>
      <c r="AJ175" s="205">
        <v>1384.0</v>
      </c>
      <c r="AK175" s="205">
        <v>0.0</v>
      </c>
      <c r="AL175" s="205">
        <v>0.0</v>
      </c>
      <c r="AM175" s="205">
        <v>0.0</v>
      </c>
      <c r="AN175" s="205">
        <v>0.0</v>
      </c>
      <c r="AO175" s="208">
        <v>4.62619</v>
      </c>
      <c r="AP175" s="208">
        <v>5.29293</v>
      </c>
      <c r="AQ175" s="208">
        <v>7.17799</v>
      </c>
      <c r="AR175" s="208">
        <v>3.99575</v>
      </c>
      <c r="AT175" s="192" t="s">
        <v>339</v>
      </c>
      <c r="AU175" s="211" t="s">
        <v>338</v>
      </c>
      <c r="AV175" s="211" t="s">
        <v>1863</v>
      </c>
      <c r="AW175" s="211" t="s">
        <v>1864</v>
      </c>
      <c r="AX175" s="211" t="s">
        <v>339</v>
      </c>
      <c r="AY175" s="212">
        <v>1.9</v>
      </c>
      <c r="AZ175" s="213">
        <v>4.5</v>
      </c>
      <c r="BA175" s="213">
        <v>3.75</v>
      </c>
      <c r="BB175" s="213">
        <v>2.5</v>
      </c>
      <c r="BC175" s="212">
        <v>4.9399999999999995</v>
      </c>
      <c r="BD175" s="213">
        <v>10.0</v>
      </c>
      <c r="BE175" s="213">
        <v>10.0</v>
      </c>
      <c r="BF175" s="213">
        <v>7.0</v>
      </c>
      <c r="BG175" s="212">
        <v>10.333333333333332</v>
      </c>
      <c r="BH175" s="213">
        <v>9.416666666666666</v>
      </c>
      <c r="BI175" s="213">
        <v>0.001998456789200039</v>
      </c>
      <c r="BJ175" s="213">
        <v>0.002245370371383615</v>
      </c>
      <c r="BK175" s="213">
        <v>259.5</v>
      </c>
      <c r="BL175" s="212">
        <v>7.0</v>
      </c>
      <c r="BM175" s="213">
        <v>4.625</v>
      </c>
      <c r="BN175" s="213">
        <v>0.003996913578400078</v>
      </c>
      <c r="BO175" s="213">
        <v>0.00449074074276723</v>
      </c>
      <c r="BP175" s="213">
        <v>129.75</v>
      </c>
      <c r="BQ175" s="192"/>
      <c r="BR175" s="192"/>
    </row>
    <row r="176">
      <c r="A176" s="60">
        <v>2906707.0</v>
      </c>
      <c r="B176" s="205">
        <v>2536100.0</v>
      </c>
      <c r="C176" s="205">
        <v>1185294.0</v>
      </c>
      <c r="D176" s="205">
        <v>1.0</v>
      </c>
      <c r="E176" s="207">
        <v>43986.25619212963</v>
      </c>
      <c r="F176" s="207">
        <v>44093.80894675926</v>
      </c>
      <c r="G176" s="207">
        <v>44085.21690972222</v>
      </c>
      <c r="H176" s="63" t="s">
        <v>1026</v>
      </c>
      <c r="I176" s="205">
        <v>173.0</v>
      </c>
      <c r="J176" s="63" t="s">
        <v>1858</v>
      </c>
      <c r="K176" s="205">
        <v>1.2381096E7</v>
      </c>
      <c r="L176" s="208">
        <v>5.0317</v>
      </c>
      <c r="M176" s="208">
        <v>2.50187</v>
      </c>
      <c r="N176" s="208">
        <v>2.30536</v>
      </c>
      <c r="O176" s="209">
        <v>3.8</v>
      </c>
      <c r="P176" s="209">
        <v>9.0</v>
      </c>
      <c r="Q176" s="209">
        <v>7.5</v>
      </c>
      <c r="R176" s="209">
        <v>5.0</v>
      </c>
      <c r="S176" s="210">
        <v>0.0029976851838000584</v>
      </c>
      <c r="T176" s="63" t="s">
        <v>1200</v>
      </c>
      <c r="U176" s="205">
        <v>10.0</v>
      </c>
      <c r="V176" s="205">
        <v>3.0</v>
      </c>
      <c r="W176" s="63" t="s">
        <v>1859</v>
      </c>
      <c r="X176" s="210">
        <v>0.0033680555570754223</v>
      </c>
      <c r="Y176" s="63" t="s">
        <v>1860</v>
      </c>
      <c r="Z176" s="63" t="s">
        <v>1861</v>
      </c>
      <c r="AA176" s="205">
        <v>0.0</v>
      </c>
      <c r="AB176" s="63" t="s">
        <v>1862</v>
      </c>
      <c r="AC176" s="205">
        <v>56.0</v>
      </c>
      <c r="AD176" s="208">
        <v>9.40385</v>
      </c>
      <c r="AE176" s="205">
        <v>21646.0</v>
      </c>
      <c r="AF176" s="205">
        <v>4294.0</v>
      </c>
      <c r="AG176" s="205">
        <v>640.0</v>
      </c>
      <c r="AH176" s="205">
        <v>315.0</v>
      </c>
      <c r="AI176" s="205">
        <v>3.0</v>
      </c>
      <c r="AJ176" s="205">
        <v>1384.0</v>
      </c>
      <c r="AK176" s="205">
        <v>0.0</v>
      </c>
      <c r="AL176" s="205">
        <v>0.0</v>
      </c>
      <c r="AM176" s="205">
        <v>0.0</v>
      </c>
      <c r="AN176" s="205">
        <v>0.0</v>
      </c>
      <c r="AO176" s="208">
        <v>4.62619</v>
      </c>
      <c r="AP176" s="208">
        <v>5.29293</v>
      </c>
      <c r="AQ176" s="208">
        <v>7.17799</v>
      </c>
      <c r="AR176" s="208">
        <v>3.99575</v>
      </c>
      <c r="AT176" s="192" t="s">
        <v>339</v>
      </c>
      <c r="AU176" s="211" t="s">
        <v>338</v>
      </c>
      <c r="AV176" s="211" t="s">
        <v>1863</v>
      </c>
      <c r="AW176" s="211" t="s">
        <v>1864</v>
      </c>
      <c r="AX176" s="211" t="s">
        <v>339</v>
      </c>
      <c r="AY176" s="212">
        <v>1.9</v>
      </c>
      <c r="AZ176" s="213">
        <v>4.5</v>
      </c>
      <c r="BA176" s="213">
        <v>3.75</v>
      </c>
      <c r="BB176" s="213">
        <v>2.5</v>
      </c>
      <c r="BC176" s="212">
        <v>4.9399999999999995</v>
      </c>
      <c r="BD176" s="213">
        <v>10.0</v>
      </c>
      <c r="BE176" s="213">
        <v>10.0</v>
      </c>
      <c r="BF176" s="213">
        <v>7.0</v>
      </c>
      <c r="BG176" s="212">
        <v>10.333333333333332</v>
      </c>
      <c r="BH176" s="213">
        <v>9.416666666666666</v>
      </c>
      <c r="BI176" s="213">
        <v>0.001998456789200039</v>
      </c>
      <c r="BJ176" s="213">
        <v>0.002245370371383615</v>
      </c>
      <c r="BK176" s="213">
        <v>259.5</v>
      </c>
      <c r="BL176" s="212">
        <v>7.0</v>
      </c>
      <c r="BM176" s="213">
        <v>4.625</v>
      </c>
      <c r="BN176" s="213">
        <v>0.003996913578400078</v>
      </c>
      <c r="BO176" s="213">
        <v>0.00449074074276723</v>
      </c>
      <c r="BP176" s="213">
        <v>129.75</v>
      </c>
      <c r="BQ176" s="192"/>
      <c r="BR176" s="192"/>
    </row>
    <row r="177">
      <c r="A177" s="60">
        <v>243487.0</v>
      </c>
      <c r="B177" s="205">
        <v>3743202.0</v>
      </c>
      <c r="C177" s="205">
        <v>1782707.0</v>
      </c>
      <c r="D177" s="205">
        <v>1.0</v>
      </c>
      <c r="E177" s="207">
        <v>44722.62961805555</v>
      </c>
      <c r="F177" s="207">
        <v>44813.3790625</v>
      </c>
      <c r="G177" s="207">
        <v>44812.21625</v>
      </c>
      <c r="H177" s="63">
        <v>-45.0</v>
      </c>
      <c r="I177" s="205">
        <v>120.0</v>
      </c>
      <c r="J177" s="63" t="s">
        <v>181</v>
      </c>
      <c r="K177" s="205">
        <v>5052899.0</v>
      </c>
      <c r="L177" s="208">
        <v>3.73927</v>
      </c>
      <c r="M177" s="208">
        <v>1.81433</v>
      </c>
      <c r="N177" s="208">
        <v>1.76431</v>
      </c>
      <c r="O177" s="209">
        <v>5.0</v>
      </c>
      <c r="P177" s="209">
        <v>8.0</v>
      </c>
      <c r="Q177" s="209">
        <v>6.0</v>
      </c>
      <c r="R177" s="209">
        <v>5.0</v>
      </c>
      <c r="S177" s="210">
        <v>0.001527777778392192</v>
      </c>
      <c r="T177" s="63" t="s">
        <v>1865</v>
      </c>
      <c r="U177" s="205">
        <v>10.0</v>
      </c>
      <c r="V177" s="205">
        <v>5.0</v>
      </c>
      <c r="W177" s="63" t="s">
        <v>1866</v>
      </c>
      <c r="X177" s="210">
        <v>0.0015393518515338656</v>
      </c>
      <c r="Y177" s="63" t="s">
        <v>1443</v>
      </c>
      <c r="Z177" s="63" t="s">
        <v>1867</v>
      </c>
      <c r="AA177" s="205">
        <v>0.0</v>
      </c>
      <c r="AB177" s="63" t="s">
        <v>1868</v>
      </c>
      <c r="AC177" s="205">
        <v>346.0</v>
      </c>
      <c r="AD177" s="208">
        <v>9.14027</v>
      </c>
      <c r="AE177" s="205">
        <v>34399.0</v>
      </c>
      <c r="AF177" s="205">
        <v>9164.0</v>
      </c>
      <c r="AG177" s="205">
        <v>273.0</v>
      </c>
      <c r="AH177" s="205">
        <v>125.0</v>
      </c>
      <c r="AI177" s="205">
        <v>0.0</v>
      </c>
      <c r="AJ177" s="205">
        <v>578.0</v>
      </c>
      <c r="AK177" s="205">
        <v>0.0</v>
      </c>
      <c r="AL177" s="205">
        <v>1.0</v>
      </c>
      <c r="AM177" s="205">
        <v>0.0</v>
      </c>
      <c r="AN177" s="205">
        <v>0.0</v>
      </c>
      <c r="AO177" s="208">
        <v>3.39905</v>
      </c>
      <c r="AP177" s="208">
        <v>4.2756</v>
      </c>
      <c r="AQ177" s="208">
        <v>5.22429</v>
      </c>
      <c r="AR177" s="208">
        <v>2.96336</v>
      </c>
      <c r="AT177" s="192" t="s">
        <v>180</v>
      </c>
      <c r="AU177" s="211" t="s">
        <v>202</v>
      </c>
      <c r="AV177" s="211" t="s">
        <v>1869</v>
      </c>
      <c r="AW177" s="211" t="s">
        <v>1870</v>
      </c>
      <c r="AX177" s="211" t="s">
        <v>180</v>
      </c>
      <c r="AY177" s="212">
        <v>2.5</v>
      </c>
      <c r="AZ177" s="213">
        <v>4.0</v>
      </c>
      <c r="BA177" s="213">
        <v>3.0</v>
      </c>
      <c r="BB177" s="213">
        <v>2.5</v>
      </c>
      <c r="BC177" s="212">
        <v>6.5</v>
      </c>
      <c r="BD177" s="213">
        <v>10.0</v>
      </c>
      <c r="BE177" s="213">
        <v>8.399999999999999</v>
      </c>
      <c r="BF177" s="213">
        <v>7.0</v>
      </c>
      <c r="BG177" s="212">
        <v>9.666666666666668</v>
      </c>
      <c r="BH177" s="213">
        <v>8.416666666666666</v>
      </c>
      <c r="BI177" s="213">
        <v>0.001018518518928128</v>
      </c>
      <c r="BJ177" s="213">
        <v>0.0010262345676892437</v>
      </c>
      <c r="BK177" s="213">
        <v>180.0</v>
      </c>
      <c r="BL177" s="212">
        <v>5.5</v>
      </c>
      <c r="BM177" s="213">
        <v>2.375</v>
      </c>
      <c r="BN177" s="213">
        <v>0.002037037037856256</v>
      </c>
      <c r="BO177" s="213">
        <v>0.0020524691353784874</v>
      </c>
      <c r="BP177" s="213">
        <v>90.0</v>
      </c>
      <c r="BQ177" s="192"/>
      <c r="BR177" s="192"/>
    </row>
    <row r="178">
      <c r="A178" s="60">
        <v>2277989.0</v>
      </c>
      <c r="B178" s="205">
        <v>3743202.0</v>
      </c>
      <c r="C178" s="205">
        <v>1782707.0</v>
      </c>
      <c r="D178" s="205">
        <v>1.0</v>
      </c>
      <c r="E178" s="207">
        <v>44722.62961805555</v>
      </c>
      <c r="F178" s="207">
        <v>44813.3790625</v>
      </c>
      <c r="G178" s="207">
        <v>44812.21625</v>
      </c>
      <c r="H178" s="63">
        <v>-45.0</v>
      </c>
      <c r="I178" s="205">
        <v>120.0</v>
      </c>
      <c r="J178" s="63" t="s">
        <v>181</v>
      </c>
      <c r="K178" s="205">
        <v>5052899.0</v>
      </c>
      <c r="L178" s="208">
        <v>3.73927</v>
      </c>
      <c r="M178" s="208">
        <v>1.81433</v>
      </c>
      <c r="N178" s="208">
        <v>1.76431</v>
      </c>
      <c r="O178" s="209">
        <v>5.0</v>
      </c>
      <c r="P178" s="209">
        <v>8.0</v>
      </c>
      <c r="Q178" s="209">
        <v>6.0</v>
      </c>
      <c r="R178" s="209">
        <v>5.0</v>
      </c>
      <c r="S178" s="210">
        <v>0.001527777778392192</v>
      </c>
      <c r="T178" s="63" t="s">
        <v>1865</v>
      </c>
      <c r="U178" s="205">
        <v>10.0</v>
      </c>
      <c r="V178" s="205">
        <v>5.0</v>
      </c>
      <c r="W178" s="63" t="s">
        <v>1866</v>
      </c>
      <c r="X178" s="210">
        <v>0.0015393518515338656</v>
      </c>
      <c r="Y178" s="63" t="s">
        <v>1443</v>
      </c>
      <c r="Z178" s="63" t="s">
        <v>1867</v>
      </c>
      <c r="AA178" s="205">
        <v>0.0</v>
      </c>
      <c r="AB178" s="63" t="s">
        <v>1868</v>
      </c>
      <c r="AC178" s="205">
        <v>346.0</v>
      </c>
      <c r="AD178" s="208">
        <v>9.14027</v>
      </c>
      <c r="AE178" s="205">
        <v>34399.0</v>
      </c>
      <c r="AF178" s="205">
        <v>9164.0</v>
      </c>
      <c r="AG178" s="205">
        <v>273.0</v>
      </c>
      <c r="AH178" s="205">
        <v>125.0</v>
      </c>
      <c r="AI178" s="205">
        <v>0.0</v>
      </c>
      <c r="AJ178" s="205">
        <v>578.0</v>
      </c>
      <c r="AK178" s="205">
        <v>0.0</v>
      </c>
      <c r="AL178" s="205">
        <v>1.0</v>
      </c>
      <c r="AM178" s="205">
        <v>0.0</v>
      </c>
      <c r="AN178" s="205">
        <v>0.0</v>
      </c>
      <c r="AO178" s="208">
        <v>3.39905</v>
      </c>
      <c r="AP178" s="208">
        <v>4.2756</v>
      </c>
      <c r="AQ178" s="208">
        <v>5.22429</v>
      </c>
      <c r="AR178" s="208">
        <v>2.96336</v>
      </c>
      <c r="AT178" s="192" t="s">
        <v>180</v>
      </c>
      <c r="AU178" s="211" t="s">
        <v>202</v>
      </c>
      <c r="AV178" s="211" t="s">
        <v>1869</v>
      </c>
      <c r="AW178" s="211" t="s">
        <v>1870</v>
      </c>
      <c r="AX178" s="211" t="s">
        <v>180</v>
      </c>
      <c r="AY178" s="212">
        <v>2.5</v>
      </c>
      <c r="AZ178" s="213">
        <v>4.0</v>
      </c>
      <c r="BA178" s="213">
        <v>3.0</v>
      </c>
      <c r="BB178" s="213">
        <v>2.5</v>
      </c>
      <c r="BC178" s="212">
        <v>6.5</v>
      </c>
      <c r="BD178" s="213">
        <v>10.0</v>
      </c>
      <c r="BE178" s="213">
        <v>8.399999999999999</v>
      </c>
      <c r="BF178" s="213">
        <v>7.0</v>
      </c>
      <c r="BG178" s="212">
        <v>9.666666666666668</v>
      </c>
      <c r="BH178" s="213">
        <v>8.416666666666666</v>
      </c>
      <c r="BI178" s="213">
        <v>0.001018518518928128</v>
      </c>
      <c r="BJ178" s="213">
        <v>0.0010262345676892437</v>
      </c>
      <c r="BK178" s="213">
        <v>180.0</v>
      </c>
      <c r="BL178" s="212">
        <v>5.5</v>
      </c>
      <c r="BM178" s="213">
        <v>2.375</v>
      </c>
      <c r="BN178" s="213">
        <v>0.002037037037856256</v>
      </c>
      <c r="BO178" s="213">
        <v>0.0020524691353784874</v>
      </c>
      <c r="BP178" s="213">
        <v>90.0</v>
      </c>
      <c r="BQ178" s="192"/>
      <c r="BR178" s="192"/>
    </row>
    <row r="179">
      <c r="A179" s="60">
        <v>1761258.0</v>
      </c>
      <c r="B179" s="205">
        <v>1965654.0</v>
      </c>
      <c r="C179" s="205">
        <v>941246.0</v>
      </c>
      <c r="D179" s="205">
        <v>1.0</v>
      </c>
      <c r="E179" s="207">
        <v>43540.817395833335</v>
      </c>
      <c r="F179" s="207">
        <v>43717.0759837963</v>
      </c>
      <c r="G179" s="207">
        <v>43704.64440972223</v>
      </c>
      <c r="H179" s="63" t="s">
        <v>940</v>
      </c>
      <c r="I179" s="205">
        <v>191.0</v>
      </c>
      <c r="J179" s="63" t="s">
        <v>1871</v>
      </c>
      <c r="K179" s="205">
        <v>1686709.0</v>
      </c>
      <c r="L179" s="208">
        <v>5.08315</v>
      </c>
      <c r="M179" s="208">
        <v>2.46424</v>
      </c>
      <c r="N179" s="208">
        <v>2.40071</v>
      </c>
      <c r="O179" s="209">
        <v>4.0</v>
      </c>
      <c r="P179" s="209">
        <v>9.0</v>
      </c>
      <c r="Q179" s="209">
        <v>7.0</v>
      </c>
      <c r="R179" s="209">
        <v>5.0</v>
      </c>
      <c r="S179" s="210">
        <v>0.0028703703719656914</v>
      </c>
      <c r="T179" s="63" t="s">
        <v>1872</v>
      </c>
      <c r="U179" s="205">
        <v>3.0</v>
      </c>
      <c r="V179" s="205">
        <v>3.0</v>
      </c>
      <c r="W179" s="63" t="s">
        <v>1873</v>
      </c>
      <c r="X179" s="210">
        <v>0.0030671296299260575</v>
      </c>
      <c r="Y179" s="63" t="s">
        <v>1116</v>
      </c>
      <c r="Z179" s="63" t="s">
        <v>1874</v>
      </c>
      <c r="AA179" s="205">
        <v>0.0</v>
      </c>
      <c r="AB179" s="63" t="s">
        <v>1875</v>
      </c>
      <c r="AC179" s="205">
        <v>908.0</v>
      </c>
      <c r="AD179" s="208">
        <v>9.41108</v>
      </c>
      <c r="AE179" s="205">
        <v>289332.0</v>
      </c>
      <c r="AF179" s="205">
        <v>46980.0</v>
      </c>
      <c r="AG179" s="205">
        <v>508.0</v>
      </c>
      <c r="AH179" s="205">
        <v>428.0</v>
      </c>
      <c r="AI179" s="205">
        <v>3.0</v>
      </c>
      <c r="AJ179" s="205">
        <v>1459.0</v>
      </c>
      <c r="AK179" s="205">
        <v>0.0</v>
      </c>
      <c r="AL179" s="205">
        <v>0.0</v>
      </c>
      <c r="AM179" s="205">
        <v>0.0</v>
      </c>
      <c r="AN179" s="205">
        <v>0.0</v>
      </c>
      <c r="AO179" s="208">
        <v>4.64422</v>
      </c>
      <c r="AP179" s="208">
        <v>5.34892</v>
      </c>
      <c r="AQ179" s="208">
        <v>7.25109</v>
      </c>
      <c r="AR179" s="208">
        <v>4.08367</v>
      </c>
      <c r="AT179" s="192" t="s">
        <v>355</v>
      </c>
      <c r="AU179" s="211" t="s">
        <v>354</v>
      </c>
      <c r="AV179" s="211" t="s">
        <v>1876</v>
      </c>
      <c r="AW179" s="211" t="s">
        <v>1877</v>
      </c>
      <c r="AX179" s="211" t="s">
        <v>355</v>
      </c>
      <c r="AY179" s="212">
        <v>2.0</v>
      </c>
      <c r="AZ179" s="213">
        <v>4.5</v>
      </c>
      <c r="BA179" s="213">
        <v>3.5</v>
      </c>
      <c r="BB179" s="213">
        <v>2.5</v>
      </c>
      <c r="BC179" s="212">
        <v>5.2</v>
      </c>
      <c r="BD179" s="213">
        <v>10.0</v>
      </c>
      <c r="BE179" s="213">
        <v>9.799999999999999</v>
      </c>
      <c r="BF179" s="213">
        <v>7.0</v>
      </c>
      <c r="BG179" s="212">
        <v>10.333333333333332</v>
      </c>
      <c r="BH179" s="213">
        <v>9.083333333333334</v>
      </c>
      <c r="BI179" s="213">
        <v>0.0019135802479771276</v>
      </c>
      <c r="BJ179" s="213">
        <v>0.0020447530866173715</v>
      </c>
      <c r="BK179" s="213">
        <v>286.5</v>
      </c>
      <c r="BL179" s="212">
        <v>7.0</v>
      </c>
      <c r="BM179" s="213">
        <v>3.875</v>
      </c>
      <c r="BN179" s="213">
        <v>0.003827160495954255</v>
      </c>
      <c r="BO179" s="213">
        <v>0.004089506173234743</v>
      </c>
      <c r="BP179" s="213">
        <v>143.25</v>
      </c>
      <c r="BQ179" s="192"/>
      <c r="BR179" s="192"/>
    </row>
    <row r="180">
      <c r="A180" s="60">
        <v>3913591.0</v>
      </c>
      <c r="B180" s="205">
        <v>1965654.0</v>
      </c>
      <c r="C180" s="205">
        <v>941246.0</v>
      </c>
      <c r="D180" s="205">
        <v>1.0</v>
      </c>
      <c r="E180" s="207">
        <v>43540.817395833335</v>
      </c>
      <c r="F180" s="207">
        <v>43717.0759837963</v>
      </c>
      <c r="G180" s="207">
        <v>43704.64440972223</v>
      </c>
      <c r="H180" s="63" t="s">
        <v>940</v>
      </c>
      <c r="I180" s="205">
        <v>191.0</v>
      </c>
      <c r="J180" s="63" t="s">
        <v>1871</v>
      </c>
      <c r="K180" s="205">
        <v>1686709.0</v>
      </c>
      <c r="L180" s="208">
        <v>5.08315</v>
      </c>
      <c r="M180" s="208">
        <v>2.46424</v>
      </c>
      <c r="N180" s="208">
        <v>2.40071</v>
      </c>
      <c r="O180" s="209">
        <v>4.0</v>
      </c>
      <c r="P180" s="209">
        <v>9.0</v>
      </c>
      <c r="Q180" s="209">
        <v>7.0</v>
      </c>
      <c r="R180" s="209">
        <v>5.0</v>
      </c>
      <c r="S180" s="210">
        <v>0.0028703703719656914</v>
      </c>
      <c r="T180" s="63" t="s">
        <v>1872</v>
      </c>
      <c r="U180" s="205">
        <v>3.0</v>
      </c>
      <c r="V180" s="205">
        <v>3.0</v>
      </c>
      <c r="W180" s="63" t="s">
        <v>1873</v>
      </c>
      <c r="X180" s="210">
        <v>0.0030671296299260575</v>
      </c>
      <c r="Y180" s="63" t="s">
        <v>1116</v>
      </c>
      <c r="Z180" s="63" t="s">
        <v>1874</v>
      </c>
      <c r="AA180" s="205">
        <v>0.0</v>
      </c>
      <c r="AB180" s="63" t="s">
        <v>1875</v>
      </c>
      <c r="AC180" s="205">
        <v>908.0</v>
      </c>
      <c r="AD180" s="208">
        <v>9.41108</v>
      </c>
      <c r="AE180" s="205">
        <v>289332.0</v>
      </c>
      <c r="AF180" s="205">
        <v>46980.0</v>
      </c>
      <c r="AG180" s="205">
        <v>508.0</v>
      </c>
      <c r="AH180" s="205">
        <v>428.0</v>
      </c>
      <c r="AI180" s="205">
        <v>3.0</v>
      </c>
      <c r="AJ180" s="205">
        <v>1459.0</v>
      </c>
      <c r="AK180" s="205">
        <v>0.0</v>
      </c>
      <c r="AL180" s="205">
        <v>0.0</v>
      </c>
      <c r="AM180" s="205">
        <v>0.0</v>
      </c>
      <c r="AN180" s="205">
        <v>0.0</v>
      </c>
      <c r="AO180" s="208">
        <v>4.64422</v>
      </c>
      <c r="AP180" s="208">
        <v>5.34892</v>
      </c>
      <c r="AQ180" s="208">
        <v>7.25109</v>
      </c>
      <c r="AR180" s="208">
        <v>4.08367</v>
      </c>
      <c r="AT180" s="192" t="s">
        <v>355</v>
      </c>
      <c r="AU180" s="211" t="s">
        <v>354</v>
      </c>
      <c r="AV180" s="211" t="s">
        <v>1876</v>
      </c>
      <c r="AW180" s="211" t="s">
        <v>1877</v>
      </c>
      <c r="AX180" s="211" t="s">
        <v>355</v>
      </c>
      <c r="AY180" s="212">
        <v>2.0</v>
      </c>
      <c r="AZ180" s="213">
        <v>4.5</v>
      </c>
      <c r="BA180" s="213">
        <v>3.5</v>
      </c>
      <c r="BB180" s="213">
        <v>2.5</v>
      </c>
      <c r="BC180" s="212">
        <v>5.2</v>
      </c>
      <c r="BD180" s="213">
        <v>10.0</v>
      </c>
      <c r="BE180" s="213">
        <v>9.799999999999999</v>
      </c>
      <c r="BF180" s="213">
        <v>7.0</v>
      </c>
      <c r="BG180" s="212">
        <v>10.333333333333332</v>
      </c>
      <c r="BH180" s="213">
        <v>9.083333333333334</v>
      </c>
      <c r="BI180" s="213">
        <v>0.0019135802479771276</v>
      </c>
      <c r="BJ180" s="213">
        <v>0.0020447530866173715</v>
      </c>
      <c r="BK180" s="213">
        <v>286.5</v>
      </c>
      <c r="BL180" s="212">
        <v>7.0</v>
      </c>
      <c r="BM180" s="213">
        <v>3.875</v>
      </c>
      <c r="BN180" s="213">
        <v>0.003827160495954255</v>
      </c>
      <c r="BO180" s="213">
        <v>0.004089506173234743</v>
      </c>
      <c r="BP180" s="213">
        <v>143.25</v>
      </c>
      <c r="BQ180" s="192"/>
      <c r="BR180" s="192"/>
    </row>
    <row r="181">
      <c r="A181" s="60">
        <v>152180.0</v>
      </c>
      <c r="B181" s="205">
        <v>3602794.0</v>
      </c>
      <c r="C181" s="205">
        <v>1752046.0</v>
      </c>
      <c r="D181" s="205">
        <v>1.0</v>
      </c>
      <c r="E181" s="207">
        <v>44678.83143518519</v>
      </c>
      <c r="F181" s="207">
        <v>44874.281168981484</v>
      </c>
      <c r="G181" s="207">
        <v>44866.54796296296</v>
      </c>
      <c r="H181" s="63" t="s">
        <v>1878</v>
      </c>
      <c r="I181" s="205">
        <v>195.0</v>
      </c>
      <c r="J181" s="63" t="s">
        <v>1879</v>
      </c>
      <c r="K181" s="205">
        <v>9502522.0</v>
      </c>
      <c r="L181" s="208">
        <v>5.02314</v>
      </c>
      <c r="M181" s="208">
        <v>2.31299</v>
      </c>
      <c r="N181" s="208">
        <v>2.48798</v>
      </c>
      <c r="O181" s="209">
        <v>4.0</v>
      </c>
      <c r="P181" s="209">
        <v>9.0</v>
      </c>
      <c r="Q181" s="209">
        <v>8.0</v>
      </c>
      <c r="R181" s="209">
        <v>5.0</v>
      </c>
      <c r="S181" s="210">
        <v>0.0012384259243845008</v>
      </c>
      <c r="T181" s="63" t="s">
        <v>1880</v>
      </c>
      <c r="U181" s="205">
        <v>2.0</v>
      </c>
      <c r="V181" s="205">
        <v>5.0</v>
      </c>
      <c r="W181" s="63" t="s">
        <v>1881</v>
      </c>
      <c r="X181" s="210">
        <v>0.001354166666715173</v>
      </c>
      <c r="Y181" s="63" t="s">
        <v>1882</v>
      </c>
      <c r="Z181" s="63" t="s">
        <v>1883</v>
      </c>
      <c r="AA181" s="205">
        <v>0.0</v>
      </c>
      <c r="AB181" s="63" t="s">
        <v>1884</v>
      </c>
      <c r="AC181" s="205">
        <v>273.0</v>
      </c>
      <c r="AD181" s="208">
        <v>9.46996</v>
      </c>
      <c r="AE181" s="205">
        <v>49150.0</v>
      </c>
      <c r="AF181" s="205">
        <v>12364.0</v>
      </c>
      <c r="AG181" s="205">
        <v>312.0</v>
      </c>
      <c r="AH181" s="205">
        <v>192.0</v>
      </c>
      <c r="AI181" s="205">
        <v>2.0</v>
      </c>
      <c r="AJ181" s="205">
        <v>888.0</v>
      </c>
      <c r="AK181" s="205">
        <v>0.0</v>
      </c>
      <c r="AL181" s="205">
        <v>0.0</v>
      </c>
      <c r="AM181" s="205">
        <v>0.0</v>
      </c>
      <c r="AN181" s="205">
        <v>0.0</v>
      </c>
      <c r="AO181" s="208">
        <v>4.62201</v>
      </c>
      <c r="AP181" s="208">
        <v>5.24585</v>
      </c>
      <c r="AQ181" s="208">
        <v>7.45494</v>
      </c>
      <c r="AR181" s="208">
        <v>3.95852</v>
      </c>
      <c r="AT181" s="192" t="s">
        <v>1885</v>
      </c>
      <c r="AU181" s="211" t="s">
        <v>1886</v>
      </c>
      <c r="AV181" s="211" t="s">
        <v>1887</v>
      </c>
      <c r="AW181" s="211" t="s">
        <v>1888</v>
      </c>
      <c r="AX181" s="211" t="s">
        <v>1885</v>
      </c>
      <c r="AY181" s="212">
        <v>2.0</v>
      </c>
      <c r="AZ181" s="213">
        <v>4.5</v>
      </c>
      <c r="BA181" s="213">
        <v>4.0</v>
      </c>
      <c r="BB181" s="213">
        <v>2.5</v>
      </c>
      <c r="BC181" s="212">
        <v>5.2</v>
      </c>
      <c r="BD181" s="213">
        <v>10.0</v>
      </c>
      <c r="BE181" s="213">
        <v>10.0</v>
      </c>
      <c r="BF181" s="213">
        <v>7.0</v>
      </c>
      <c r="BG181" s="212">
        <v>10.333333333333332</v>
      </c>
      <c r="BH181" s="213">
        <v>9.75</v>
      </c>
      <c r="BI181" s="213">
        <v>8.256172829230005E-4</v>
      </c>
      <c r="BJ181" s="213">
        <v>9.027777778101154E-4</v>
      </c>
      <c r="BK181" s="213">
        <v>292.5</v>
      </c>
      <c r="BL181" s="212">
        <v>7.0</v>
      </c>
      <c r="BM181" s="213">
        <v>5.375</v>
      </c>
      <c r="BN181" s="213">
        <v>0.001651234565846001</v>
      </c>
      <c r="BO181" s="213">
        <v>0.0018055555556202307</v>
      </c>
      <c r="BP181" s="213">
        <v>146.25</v>
      </c>
      <c r="BQ181" s="192"/>
      <c r="BR181" s="192"/>
    </row>
    <row r="182">
      <c r="A182" s="60">
        <v>2842836.0</v>
      </c>
      <c r="B182" s="205">
        <v>3602794.0</v>
      </c>
      <c r="C182" s="205">
        <v>1752046.0</v>
      </c>
      <c r="D182" s="205">
        <v>1.0</v>
      </c>
      <c r="E182" s="207">
        <v>44678.83143518519</v>
      </c>
      <c r="F182" s="207">
        <v>44874.281168981484</v>
      </c>
      <c r="G182" s="207">
        <v>44866.54796296296</v>
      </c>
      <c r="H182" s="63" t="s">
        <v>1878</v>
      </c>
      <c r="I182" s="205">
        <v>195.0</v>
      </c>
      <c r="J182" s="63" t="s">
        <v>1879</v>
      </c>
      <c r="K182" s="205">
        <v>9502522.0</v>
      </c>
      <c r="L182" s="208">
        <v>5.02314</v>
      </c>
      <c r="M182" s="208">
        <v>2.31299</v>
      </c>
      <c r="N182" s="208">
        <v>2.48798</v>
      </c>
      <c r="O182" s="209">
        <v>4.0</v>
      </c>
      <c r="P182" s="209">
        <v>9.0</v>
      </c>
      <c r="Q182" s="209">
        <v>8.0</v>
      </c>
      <c r="R182" s="209">
        <v>5.0</v>
      </c>
      <c r="S182" s="210">
        <v>0.0012384259243845008</v>
      </c>
      <c r="T182" s="63" t="s">
        <v>1880</v>
      </c>
      <c r="U182" s="205">
        <v>2.0</v>
      </c>
      <c r="V182" s="205">
        <v>5.0</v>
      </c>
      <c r="W182" s="63" t="s">
        <v>1881</v>
      </c>
      <c r="X182" s="210">
        <v>0.001354166666715173</v>
      </c>
      <c r="Y182" s="63" t="s">
        <v>1882</v>
      </c>
      <c r="Z182" s="63" t="s">
        <v>1883</v>
      </c>
      <c r="AA182" s="205">
        <v>0.0</v>
      </c>
      <c r="AB182" s="63" t="s">
        <v>1884</v>
      </c>
      <c r="AC182" s="205">
        <v>273.0</v>
      </c>
      <c r="AD182" s="208">
        <v>9.46996</v>
      </c>
      <c r="AE182" s="205">
        <v>49150.0</v>
      </c>
      <c r="AF182" s="205">
        <v>12364.0</v>
      </c>
      <c r="AG182" s="205">
        <v>312.0</v>
      </c>
      <c r="AH182" s="205">
        <v>192.0</v>
      </c>
      <c r="AI182" s="205">
        <v>2.0</v>
      </c>
      <c r="AJ182" s="205">
        <v>888.0</v>
      </c>
      <c r="AK182" s="205">
        <v>0.0</v>
      </c>
      <c r="AL182" s="205">
        <v>0.0</v>
      </c>
      <c r="AM182" s="205">
        <v>0.0</v>
      </c>
      <c r="AN182" s="205">
        <v>0.0</v>
      </c>
      <c r="AO182" s="208">
        <v>4.62201</v>
      </c>
      <c r="AP182" s="208">
        <v>5.24585</v>
      </c>
      <c r="AQ182" s="208">
        <v>7.45494</v>
      </c>
      <c r="AR182" s="208">
        <v>3.95852</v>
      </c>
      <c r="AT182" s="192" t="s">
        <v>1885</v>
      </c>
      <c r="AU182" s="211" t="s">
        <v>1886</v>
      </c>
      <c r="AV182" s="211" t="s">
        <v>1887</v>
      </c>
      <c r="AW182" s="211" t="s">
        <v>1888</v>
      </c>
      <c r="AX182" s="211" t="s">
        <v>1885</v>
      </c>
      <c r="AY182" s="212">
        <v>2.0</v>
      </c>
      <c r="AZ182" s="213">
        <v>4.5</v>
      </c>
      <c r="BA182" s="213">
        <v>4.0</v>
      </c>
      <c r="BB182" s="213">
        <v>2.5</v>
      </c>
      <c r="BC182" s="212">
        <v>5.2</v>
      </c>
      <c r="BD182" s="213">
        <v>10.0</v>
      </c>
      <c r="BE182" s="213">
        <v>10.0</v>
      </c>
      <c r="BF182" s="213">
        <v>7.0</v>
      </c>
      <c r="BG182" s="212">
        <v>10.333333333333332</v>
      </c>
      <c r="BH182" s="213">
        <v>9.75</v>
      </c>
      <c r="BI182" s="213">
        <v>8.256172829230005E-4</v>
      </c>
      <c r="BJ182" s="213">
        <v>9.027777778101154E-4</v>
      </c>
      <c r="BK182" s="213">
        <v>292.5</v>
      </c>
      <c r="BL182" s="212">
        <v>7.0</v>
      </c>
      <c r="BM182" s="213">
        <v>5.375</v>
      </c>
      <c r="BN182" s="213">
        <v>0.001651234565846001</v>
      </c>
      <c r="BO182" s="213">
        <v>0.0018055555556202307</v>
      </c>
      <c r="BP182" s="213">
        <v>146.25</v>
      </c>
      <c r="BQ182" s="192"/>
      <c r="BR182" s="192"/>
    </row>
    <row r="183">
      <c r="A183" s="60">
        <v>3614024.0</v>
      </c>
      <c r="B183" s="205">
        <v>2161977.0</v>
      </c>
      <c r="C183" s="205">
        <v>1001507.0</v>
      </c>
      <c r="D183" s="205">
        <v>1.0</v>
      </c>
      <c r="E183" s="207">
        <v>43657.44155092593</v>
      </c>
      <c r="F183" s="207">
        <v>43758.2406712963</v>
      </c>
      <c r="G183" s="207">
        <v>43749.80280092593</v>
      </c>
      <c r="H183" s="63" t="s">
        <v>1889</v>
      </c>
      <c r="I183" s="205">
        <v>150.0</v>
      </c>
      <c r="J183" s="63" t="s">
        <v>259</v>
      </c>
      <c r="K183" s="205">
        <v>4785223.0</v>
      </c>
      <c r="L183" s="208">
        <v>4.80347</v>
      </c>
      <c r="M183" s="208">
        <v>2.3616</v>
      </c>
      <c r="N183" s="208">
        <v>2.2323</v>
      </c>
      <c r="O183" s="209">
        <v>3.8</v>
      </c>
      <c r="P183" s="209">
        <v>9.2</v>
      </c>
      <c r="Q183" s="209">
        <v>8.0</v>
      </c>
      <c r="R183" s="209">
        <v>5.0</v>
      </c>
      <c r="S183" s="210">
        <v>0.002615740741021</v>
      </c>
      <c r="U183" s="205">
        <v>5.0</v>
      </c>
      <c r="V183" s="205">
        <v>3.0</v>
      </c>
      <c r="W183" s="63" t="s">
        <v>1890</v>
      </c>
      <c r="X183" s="210">
        <v>0.0026967592602886725</v>
      </c>
      <c r="Y183" s="63" t="s">
        <v>1116</v>
      </c>
      <c r="Z183" s="63" t="s">
        <v>1891</v>
      </c>
      <c r="AA183" s="205">
        <v>0.0</v>
      </c>
      <c r="AB183" s="63" t="s">
        <v>1892</v>
      </c>
      <c r="AC183" s="205">
        <v>9124.0</v>
      </c>
      <c r="AD183" s="208">
        <v>9.44485</v>
      </c>
      <c r="AE183" s="205">
        <v>2605140.0</v>
      </c>
      <c r="AF183" s="205">
        <v>420183.0</v>
      </c>
      <c r="AG183" s="205">
        <v>445.0</v>
      </c>
      <c r="AH183" s="205">
        <v>589.0</v>
      </c>
      <c r="AI183" s="205">
        <v>1.0</v>
      </c>
      <c r="AJ183" s="205">
        <v>1690.0</v>
      </c>
      <c r="AK183" s="205">
        <v>0.0</v>
      </c>
      <c r="AL183" s="205">
        <v>0.0</v>
      </c>
      <c r="AM183" s="205">
        <v>0.0</v>
      </c>
      <c r="AN183" s="205">
        <v>0.0</v>
      </c>
      <c r="AO183" s="208">
        <v>4.47286</v>
      </c>
      <c r="AP183" s="208">
        <v>5.05771</v>
      </c>
      <c r="AQ183" s="208">
        <v>6.80389</v>
      </c>
      <c r="AR183" s="208">
        <v>3.77046</v>
      </c>
      <c r="AT183" s="192" t="s">
        <v>1893</v>
      </c>
      <c r="AU183" s="211" t="s">
        <v>1894</v>
      </c>
      <c r="AV183" s="211" t="s">
        <v>1895</v>
      </c>
      <c r="AW183" s="211" t="s">
        <v>1896</v>
      </c>
      <c r="AX183" s="211" t="s">
        <v>1893</v>
      </c>
      <c r="AY183" s="212">
        <v>1.9</v>
      </c>
      <c r="AZ183" s="213">
        <v>4.6</v>
      </c>
      <c r="BA183" s="213">
        <v>4.0</v>
      </c>
      <c r="BB183" s="213">
        <v>2.5</v>
      </c>
      <c r="BC183" s="212">
        <v>4.9399999999999995</v>
      </c>
      <c r="BD183" s="213">
        <v>10.0</v>
      </c>
      <c r="BE183" s="213">
        <v>10.0</v>
      </c>
      <c r="BF183" s="213">
        <v>7.0</v>
      </c>
      <c r="BG183" s="212">
        <v>10.466666666666667</v>
      </c>
      <c r="BH183" s="213">
        <v>9.75</v>
      </c>
      <c r="BI183" s="213">
        <v>0.0017438271606806666</v>
      </c>
      <c r="BJ183" s="213">
        <v>0.001797839506859115</v>
      </c>
      <c r="BK183" s="213">
        <v>225.0</v>
      </c>
      <c r="BL183" s="212">
        <v>7.299999999999999</v>
      </c>
      <c r="BM183" s="213">
        <v>5.375</v>
      </c>
      <c r="BN183" s="213">
        <v>0.003487654321361333</v>
      </c>
      <c r="BO183" s="213">
        <v>0.00359567901371823</v>
      </c>
      <c r="BP183" s="213">
        <v>112.5</v>
      </c>
      <c r="BQ183" s="192"/>
      <c r="BR183" s="192"/>
    </row>
    <row r="184">
      <c r="A184" s="60">
        <v>3743202.0</v>
      </c>
      <c r="B184" s="205">
        <v>2161977.0</v>
      </c>
      <c r="C184" s="205">
        <v>1001507.0</v>
      </c>
      <c r="D184" s="205">
        <v>1.0</v>
      </c>
      <c r="E184" s="207">
        <v>43657.44155092593</v>
      </c>
      <c r="F184" s="207">
        <v>43758.2406712963</v>
      </c>
      <c r="G184" s="207">
        <v>43749.80280092593</v>
      </c>
      <c r="H184" s="63" t="s">
        <v>1889</v>
      </c>
      <c r="I184" s="205">
        <v>150.0</v>
      </c>
      <c r="J184" s="63" t="s">
        <v>259</v>
      </c>
      <c r="K184" s="205">
        <v>4785223.0</v>
      </c>
      <c r="L184" s="208">
        <v>4.80347</v>
      </c>
      <c r="M184" s="208">
        <v>2.3616</v>
      </c>
      <c r="N184" s="208">
        <v>2.2323</v>
      </c>
      <c r="O184" s="209">
        <v>3.8</v>
      </c>
      <c r="P184" s="209">
        <v>9.2</v>
      </c>
      <c r="Q184" s="209">
        <v>8.0</v>
      </c>
      <c r="R184" s="209">
        <v>5.0</v>
      </c>
      <c r="S184" s="210">
        <v>0.002615740741021</v>
      </c>
      <c r="U184" s="205">
        <v>5.0</v>
      </c>
      <c r="V184" s="205">
        <v>3.0</v>
      </c>
      <c r="W184" s="63" t="s">
        <v>1890</v>
      </c>
      <c r="X184" s="210">
        <v>0.0026967592602886725</v>
      </c>
      <c r="Y184" s="63" t="s">
        <v>1116</v>
      </c>
      <c r="Z184" s="63" t="s">
        <v>1891</v>
      </c>
      <c r="AA184" s="205">
        <v>0.0</v>
      </c>
      <c r="AB184" s="63" t="s">
        <v>1892</v>
      </c>
      <c r="AC184" s="205">
        <v>9124.0</v>
      </c>
      <c r="AD184" s="208">
        <v>9.44485</v>
      </c>
      <c r="AE184" s="205">
        <v>2605140.0</v>
      </c>
      <c r="AF184" s="205">
        <v>420183.0</v>
      </c>
      <c r="AG184" s="205">
        <v>445.0</v>
      </c>
      <c r="AH184" s="205">
        <v>589.0</v>
      </c>
      <c r="AI184" s="205">
        <v>1.0</v>
      </c>
      <c r="AJ184" s="205">
        <v>1690.0</v>
      </c>
      <c r="AK184" s="205">
        <v>0.0</v>
      </c>
      <c r="AL184" s="205">
        <v>0.0</v>
      </c>
      <c r="AM184" s="205">
        <v>0.0</v>
      </c>
      <c r="AN184" s="205">
        <v>0.0</v>
      </c>
      <c r="AO184" s="208">
        <v>4.47286</v>
      </c>
      <c r="AP184" s="208">
        <v>5.05771</v>
      </c>
      <c r="AQ184" s="208">
        <v>6.80389</v>
      </c>
      <c r="AR184" s="208">
        <v>3.77046</v>
      </c>
      <c r="AT184" s="192" t="s">
        <v>1893</v>
      </c>
      <c r="AU184" s="211" t="s">
        <v>1894</v>
      </c>
      <c r="AV184" s="211" t="s">
        <v>1895</v>
      </c>
      <c r="AW184" s="211" t="s">
        <v>1896</v>
      </c>
      <c r="AX184" s="211" t="s">
        <v>1893</v>
      </c>
      <c r="AY184" s="212">
        <v>1.9</v>
      </c>
      <c r="AZ184" s="213">
        <v>4.6</v>
      </c>
      <c r="BA184" s="213">
        <v>4.0</v>
      </c>
      <c r="BB184" s="213">
        <v>2.5</v>
      </c>
      <c r="BC184" s="212">
        <v>4.9399999999999995</v>
      </c>
      <c r="BD184" s="213">
        <v>10.0</v>
      </c>
      <c r="BE184" s="213">
        <v>10.0</v>
      </c>
      <c r="BF184" s="213">
        <v>7.0</v>
      </c>
      <c r="BG184" s="212">
        <v>10.466666666666667</v>
      </c>
      <c r="BH184" s="213">
        <v>9.75</v>
      </c>
      <c r="BI184" s="213">
        <v>0.0017438271606806666</v>
      </c>
      <c r="BJ184" s="213">
        <v>0.001797839506859115</v>
      </c>
      <c r="BK184" s="213">
        <v>225.0</v>
      </c>
      <c r="BL184" s="212">
        <v>7.299999999999999</v>
      </c>
      <c r="BM184" s="213">
        <v>5.375</v>
      </c>
      <c r="BN184" s="213">
        <v>0.003487654321361333</v>
      </c>
      <c r="BO184" s="213">
        <v>0.00359567901371823</v>
      </c>
      <c r="BP184" s="213">
        <v>112.5</v>
      </c>
      <c r="BQ184" s="192"/>
      <c r="BR184" s="192"/>
    </row>
    <row r="185">
      <c r="A185" s="60">
        <v>2701775.0</v>
      </c>
      <c r="B185" s="205">
        <v>3118794.0</v>
      </c>
      <c r="C185" s="205">
        <v>1507979.0</v>
      </c>
      <c r="D185" s="205">
        <v>1.0</v>
      </c>
      <c r="E185" s="207">
        <v>44379.063125</v>
      </c>
      <c r="F185" s="207">
        <v>44528.75255787037</v>
      </c>
      <c r="G185" s="207">
        <v>44523.34984953704</v>
      </c>
      <c r="H185" s="63" t="s">
        <v>1897</v>
      </c>
      <c r="I185" s="205">
        <v>138.0</v>
      </c>
      <c r="J185" s="63" t="s">
        <v>1332</v>
      </c>
      <c r="K185" s="205">
        <v>7326908.0</v>
      </c>
      <c r="L185" s="208">
        <v>4.80378</v>
      </c>
      <c r="M185" s="208">
        <v>2.47056</v>
      </c>
      <c r="N185" s="208">
        <v>2.0911</v>
      </c>
      <c r="O185" s="209">
        <v>3.5</v>
      </c>
      <c r="P185" s="209">
        <v>9.2</v>
      </c>
      <c r="Q185" s="209">
        <v>8.0</v>
      </c>
      <c r="R185" s="209">
        <v>6.0</v>
      </c>
      <c r="S185" s="210">
        <v>0.0024074074062809814</v>
      </c>
      <c r="T185" s="63" t="s">
        <v>1898</v>
      </c>
      <c r="U185" s="205">
        <v>5.0</v>
      </c>
      <c r="V185" s="205">
        <v>3.0</v>
      </c>
      <c r="W185" s="63" t="s">
        <v>1899</v>
      </c>
      <c r="X185" s="210">
        <v>0.002488425925548654</v>
      </c>
      <c r="Y185" s="63" t="s">
        <v>1900</v>
      </c>
      <c r="Z185" s="63" t="s">
        <v>1901</v>
      </c>
      <c r="AA185" s="205">
        <v>0.0</v>
      </c>
      <c r="AB185" s="63" t="s">
        <v>1902</v>
      </c>
      <c r="AC185" s="205">
        <v>581.0</v>
      </c>
      <c r="AD185" s="208">
        <v>9.25991</v>
      </c>
      <c r="AE185" s="205">
        <v>50320.0</v>
      </c>
      <c r="AF185" s="205">
        <v>5718.0</v>
      </c>
      <c r="AG185" s="205">
        <v>377.0</v>
      </c>
      <c r="AH185" s="205">
        <v>567.0</v>
      </c>
      <c r="AI185" s="205">
        <v>1.0</v>
      </c>
      <c r="AJ185" s="205">
        <v>1543.0</v>
      </c>
      <c r="AK185" s="205">
        <v>0.0</v>
      </c>
      <c r="AL185" s="205">
        <v>0.0</v>
      </c>
      <c r="AM185" s="205">
        <v>0.0</v>
      </c>
      <c r="AN185" s="205">
        <v>0.0</v>
      </c>
      <c r="AO185" s="208">
        <v>4.38142</v>
      </c>
      <c r="AP185" s="208">
        <v>5.16867</v>
      </c>
      <c r="AQ185" s="208">
        <v>6.75249</v>
      </c>
      <c r="AR185" s="208">
        <v>3.82237</v>
      </c>
      <c r="AT185" s="192" t="s">
        <v>361</v>
      </c>
      <c r="AU185" s="211" t="s">
        <v>360</v>
      </c>
      <c r="AV185" s="211" t="s">
        <v>1903</v>
      </c>
      <c r="AW185" s="211" t="s">
        <v>1904</v>
      </c>
      <c r="AX185" s="211" t="s">
        <v>361</v>
      </c>
      <c r="AY185" s="212">
        <v>1.75</v>
      </c>
      <c r="AZ185" s="213">
        <v>4.6</v>
      </c>
      <c r="BA185" s="213">
        <v>4.0</v>
      </c>
      <c r="BB185" s="213">
        <v>3.0</v>
      </c>
      <c r="BC185" s="212">
        <v>4.55</v>
      </c>
      <c r="BD185" s="213">
        <v>10.0</v>
      </c>
      <c r="BE185" s="213">
        <v>10.0</v>
      </c>
      <c r="BF185" s="213">
        <v>8.399999999999999</v>
      </c>
      <c r="BG185" s="212">
        <v>10.466666666666667</v>
      </c>
      <c r="BH185" s="213">
        <v>9.75</v>
      </c>
      <c r="BI185" s="213">
        <v>0.0016049382708539877</v>
      </c>
      <c r="BJ185" s="213">
        <v>0.001658950617032436</v>
      </c>
      <c r="BK185" s="213">
        <v>207.0</v>
      </c>
      <c r="BL185" s="212">
        <v>7.299999999999999</v>
      </c>
      <c r="BM185" s="213">
        <v>5.375</v>
      </c>
      <c r="BN185" s="213">
        <v>0.0032098765417079753</v>
      </c>
      <c r="BO185" s="213">
        <v>0.003317901234064872</v>
      </c>
      <c r="BP185" s="213">
        <v>103.5</v>
      </c>
      <c r="BQ185" s="192"/>
      <c r="BR185" s="192"/>
    </row>
    <row r="186">
      <c r="A186" s="60">
        <v>674080.0</v>
      </c>
      <c r="B186" s="205">
        <v>1405094.0</v>
      </c>
      <c r="C186" s="205">
        <v>663255.0</v>
      </c>
      <c r="D186" s="205">
        <v>1.0</v>
      </c>
      <c r="E186" s="207">
        <v>42979.83054398149</v>
      </c>
      <c r="F186" s="207">
        <v>43117.94491898148</v>
      </c>
      <c r="G186" s="207">
        <v>43110.93881944445</v>
      </c>
      <c r="H186" s="63" t="s">
        <v>996</v>
      </c>
      <c r="I186" s="205">
        <v>144.0</v>
      </c>
      <c r="J186" s="63" t="s">
        <v>535</v>
      </c>
      <c r="K186" s="205">
        <v>8688812.0</v>
      </c>
      <c r="L186" s="208">
        <v>4.81468</v>
      </c>
      <c r="M186" s="208">
        <v>2.37816</v>
      </c>
      <c r="N186" s="208">
        <v>2.22474</v>
      </c>
      <c r="O186" s="209">
        <v>3.5</v>
      </c>
      <c r="P186" s="209">
        <v>9.0</v>
      </c>
      <c r="Q186" s="209">
        <v>7.5</v>
      </c>
      <c r="R186" s="209">
        <v>6.0</v>
      </c>
      <c r="S186" s="210">
        <v>0.0012731481474475004</v>
      </c>
      <c r="T186" s="63" t="s">
        <v>1905</v>
      </c>
      <c r="U186" s="205">
        <v>2.0</v>
      </c>
      <c r="V186" s="205">
        <v>5.0</v>
      </c>
      <c r="W186" s="63" t="s">
        <v>1906</v>
      </c>
      <c r="X186" s="210">
        <v>0.0013194444436521735</v>
      </c>
      <c r="Y186" s="63" t="s">
        <v>1907</v>
      </c>
      <c r="Z186" s="63" t="s">
        <v>1908</v>
      </c>
      <c r="AA186" s="205">
        <v>0.0</v>
      </c>
      <c r="AB186" s="63" t="s">
        <v>1909</v>
      </c>
      <c r="AC186" s="205">
        <v>468.0</v>
      </c>
      <c r="AD186" s="208">
        <v>9.29179</v>
      </c>
      <c r="AE186" s="205">
        <v>197712.0</v>
      </c>
      <c r="AF186" s="205">
        <v>29925.0</v>
      </c>
      <c r="AG186" s="205">
        <v>225.0</v>
      </c>
      <c r="AH186" s="205">
        <v>273.0</v>
      </c>
      <c r="AI186" s="205">
        <v>4.0</v>
      </c>
      <c r="AJ186" s="205">
        <v>849.0</v>
      </c>
      <c r="AK186" s="205">
        <v>0.0</v>
      </c>
      <c r="AL186" s="205">
        <v>0.0</v>
      </c>
      <c r="AM186" s="205">
        <v>0.0</v>
      </c>
      <c r="AN186" s="205">
        <v>0.0</v>
      </c>
      <c r="AO186" s="208">
        <v>4.45993</v>
      </c>
      <c r="AP186" s="208">
        <v>5.0835</v>
      </c>
      <c r="AQ186" s="208">
        <v>6.83437</v>
      </c>
      <c r="AR186" s="208">
        <v>3.75403</v>
      </c>
      <c r="AT186" s="192" t="s">
        <v>534</v>
      </c>
      <c r="AU186" s="211" t="s">
        <v>491</v>
      </c>
      <c r="AV186" s="211" t="s">
        <v>1910</v>
      </c>
      <c r="AW186" s="211" t="s">
        <v>1911</v>
      </c>
      <c r="AX186" s="211" t="s">
        <v>534</v>
      </c>
      <c r="AY186" s="212">
        <v>1.75</v>
      </c>
      <c r="AZ186" s="213">
        <v>4.5</v>
      </c>
      <c r="BA186" s="213">
        <v>3.75</v>
      </c>
      <c r="BB186" s="213">
        <v>3.0</v>
      </c>
      <c r="BC186" s="212">
        <v>4.55</v>
      </c>
      <c r="BD186" s="213">
        <v>10.0</v>
      </c>
      <c r="BE186" s="213">
        <v>10.0</v>
      </c>
      <c r="BF186" s="213">
        <v>8.399999999999999</v>
      </c>
      <c r="BG186" s="212">
        <v>10.333333333333332</v>
      </c>
      <c r="BH186" s="213">
        <v>9.416666666666666</v>
      </c>
      <c r="BI186" s="213">
        <v>8.48765431631667E-4</v>
      </c>
      <c r="BJ186" s="213">
        <v>8.79629629101449E-4</v>
      </c>
      <c r="BK186" s="213">
        <v>216.0</v>
      </c>
      <c r="BL186" s="212">
        <v>7.0</v>
      </c>
      <c r="BM186" s="213">
        <v>4.625</v>
      </c>
      <c r="BN186" s="213">
        <v>0.001697530863263334</v>
      </c>
      <c r="BO186" s="213">
        <v>0.001759259258202898</v>
      </c>
      <c r="BP186" s="213">
        <v>108.0</v>
      </c>
      <c r="BQ186" s="192"/>
      <c r="BR186" s="192"/>
    </row>
    <row r="187">
      <c r="A187" s="60">
        <v>2446833.0</v>
      </c>
      <c r="B187" s="205">
        <v>1405094.0</v>
      </c>
      <c r="C187" s="205">
        <v>663255.0</v>
      </c>
      <c r="D187" s="205">
        <v>1.0</v>
      </c>
      <c r="E187" s="207">
        <v>42979.83054398149</v>
      </c>
      <c r="F187" s="207">
        <v>43117.94491898148</v>
      </c>
      <c r="G187" s="207">
        <v>43110.93881944445</v>
      </c>
      <c r="H187" s="63" t="s">
        <v>996</v>
      </c>
      <c r="I187" s="205">
        <v>144.0</v>
      </c>
      <c r="J187" s="63" t="s">
        <v>535</v>
      </c>
      <c r="K187" s="205">
        <v>8688812.0</v>
      </c>
      <c r="L187" s="208">
        <v>4.81468</v>
      </c>
      <c r="M187" s="208">
        <v>2.37816</v>
      </c>
      <c r="N187" s="208">
        <v>2.22474</v>
      </c>
      <c r="O187" s="209">
        <v>3.5</v>
      </c>
      <c r="P187" s="209">
        <v>9.0</v>
      </c>
      <c r="Q187" s="209">
        <v>7.5</v>
      </c>
      <c r="R187" s="209">
        <v>6.0</v>
      </c>
      <c r="S187" s="210">
        <v>0.0012731481474475004</v>
      </c>
      <c r="T187" s="63" t="s">
        <v>1905</v>
      </c>
      <c r="U187" s="205">
        <v>2.0</v>
      </c>
      <c r="V187" s="205">
        <v>5.0</v>
      </c>
      <c r="W187" s="63" t="s">
        <v>1906</v>
      </c>
      <c r="X187" s="210">
        <v>0.0013194444436521735</v>
      </c>
      <c r="Y187" s="63" t="s">
        <v>1907</v>
      </c>
      <c r="Z187" s="63" t="s">
        <v>1908</v>
      </c>
      <c r="AA187" s="205">
        <v>0.0</v>
      </c>
      <c r="AB187" s="63" t="s">
        <v>1909</v>
      </c>
      <c r="AC187" s="205">
        <v>468.0</v>
      </c>
      <c r="AD187" s="208">
        <v>9.29179</v>
      </c>
      <c r="AE187" s="205">
        <v>197712.0</v>
      </c>
      <c r="AF187" s="205">
        <v>29925.0</v>
      </c>
      <c r="AG187" s="205">
        <v>225.0</v>
      </c>
      <c r="AH187" s="205">
        <v>273.0</v>
      </c>
      <c r="AI187" s="205">
        <v>4.0</v>
      </c>
      <c r="AJ187" s="205">
        <v>849.0</v>
      </c>
      <c r="AK187" s="205">
        <v>0.0</v>
      </c>
      <c r="AL187" s="205">
        <v>0.0</v>
      </c>
      <c r="AM187" s="205">
        <v>0.0</v>
      </c>
      <c r="AN187" s="205">
        <v>0.0</v>
      </c>
      <c r="AO187" s="208">
        <v>4.45993</v>
      </c>
      <c r="AP187" s="208">
        <v>5.0835</v>
      </c>
      <c r="AQ187" s="208">
        <v>6.83437</v>
      </c>
      <c r="AR187" s="208">
        <v>3.75403</v>
      </c>
      <c r="AT187" s="192" t="s">
        <v>534</v>
      </c>
      <c r="AU187" s="211" t="s">
        <v>491</v>
      </c>
      <c r="AV187" s="211" t="s">
        <v>1910</v>
      </c>
      <c r="AW187" s="211" t="s">
        <v>1911</v>
      </c>
      <c r="AX187" s="211" t="s">
        <v>534</v>
      </c>
      <c r="AY187" s="212">
        <v>1.75</v>
      </c>
      <c r="AZ187" s="213">
        <v>4.5</v>
      </c>
      <c r="BA187" s="213">
        <v>3.75</v>
      </c>
      <c r="BB187" s="213">
        <v>3.0</v>
      </c>
      <c r="BC187" s="212">
        <v>4.55</v>
      </c>
      <c r="BD187" s="213">
        <v>10.0</v>
      </c>
      <c r="BE187" s="213">
        <v>10.0</v>
      </c>
      <c r="BF187" s="213">
        <v>8.399999999999999</v>
      </c>
      <c r="BG187" s="212">
        <v>10.333333333333332</v>
      </c>
      <c r="BH187" s="213">
        <v>9.416666666666666</v>
      </c>
      <c r="BI187" s="213">
        <v>8.48765431631667E-4</v>
      </c>
      <c r="BJ187" s="213">
        <v>8.79629629101449E-4</v>
      </c>
      <c r="BK187" s="213">
        <v>216.0</v>
      </c>
      <c r="BL187" s="212">
        <v>7.0</v>
      </c>
      <c r="BM187" s="213">
        <v>4.625</v>
      </c>
      <c r="BN187" s="213">
        <v>0.001697530863263334</v>
      </c>
      <c r="BO187" s="213">
        <v>0.001759259258202898</v>
      </c>
      <c r="BP187" s="213">
        <v>108.0</v>
      </c>
      <c r="BQ187" s="192"/>
      <c r="BR187" s="192"/>
    </row>
    <row r="188">
      <c r="A188" s="60">
        <v>3851000.0</v>
      </c>
      <c r="B188" s="205">
        <v>3841174.0</v>
      </c>
      <c r="C188" s="205">
        <v>1763440.0</v>
      </c>
      <c r="D188" s="205">
        <v>1.0</v>
      </c>
      <c r="E188" s="207">
        <v>44695.321111111116</v>
      </c>
      <c r="F188" s="207">
        <v>44930.14178240741</v>
      </c>
      <c r="G188" s="207">
        <v>44923.077685185184</v>
      </c>
      <c r="H188" s="63" t="s">
        <v>1912</v>
      </c>
      <c r="I188" s="205">
        <v>176.0</v>
      </c>
      <c r="J188" s="63" t="s">
        <v>1913</v>
      </c>
      <c r="K188" s="205">
        <v>2495509.0</v>
      </c>
      <c r="L188" s="208">
        <v>5.00782</v>
      </c>
      <c r="M188" s="208">
        <v>2.46635</v>
      </c>
      <c r="N188" s="208">
        <v>2.32237</v>
      </c>
      <c r="O188" s="209">
        <v>3.4</v>
      </c>
      <c r="P188" s="209">
        <v>9.0</v>
      </c>
      <c r="Q188" s="209">
        <v>7.5</v>
      </c>
      <c r="R188" s="209">
        <v>5.0</v>
      </c>
      <c r="S188" s="210">
        <v>0.002118055555911269</v>
      </c>
      <c r="U188" s="205">
        <v>5.0</v>
      </c>
      <c r="V188" s="205">
        <v>3.0</v>
      </c>
      <c r="W188" s="63" t="s">
        <v>1914</v>
      </c>
      <c r="X188" s="210">
        <v>0.0021759259252576157</v>
      </c>
      <c r="Y188" s="63" t="s">
        <v>1915</v>
      </c>
      <c r="Z188" s="63" t="s">
        <v>1916</v>
      </c>
      <c r="AA188" s="205">
        <v>0.0</v>
      </c>
      <c r="AB188" s="63" t="s">
        <v>1917</v>
      </c>
      <c r="AC188" s="205">
        <v>349.0</v>
      </c>
      <c r="AD188" s="208">
        <v>9.21364</v>
      </c>
      <c r="AE188" s="205">
        <v>24751.0</v>
      </c>
      <c r="AF188" s="205">
        <v>7332.0</v>
      </c>
      <c r="AG188" s="205">
        <v>432.0</v>
      </c>
      <c r="AH188" s="205">
        <v>305.0</v>
      </c>
      <c r="AI188" s="205">
        <v>4.0</v>
      </c>
      <c r="AJ188" s="205">
        <v>1057.0</v>
      </c>
      <c r="AK188" s="205">
        <v>0.0</v>
      </c>
      <c r="AL188" s="205">
        <v>1.0</v>
      </c>
      <c r="AM188" s="205">
        <v>0.0</v>
      </c>
      <c r="AN188" s="205">
        <v>0.0</v>
      </c>
      <c r="AO188" s="208">
        <v>4.6854</v>
      </c>
      <c r="AP188" s="208">
        <v>5.19516</v>
      </c>
      <c r="AQ188" s="208">
        <v>7.15121</v>
      </c>
      <c r="AR188" s="208">
        <v>3.95369</v>
      </c>
      <c r="AT188" s="192" t="s">
        <v>494</v>
      </c>
      <c r="AU188" s="211" t="s">
        <v>493</v>
      </c>
      <c r="AV188" s="211" t="s">
        <v>1918</v>
      </c>
      <c r="AW188" s="211" t="s">
        <v>1919</v>
      </c>
      <c r="AX188" s="211" t="s">
        <v>494</v>
      </c>
      <c r="AY188" s="212">
        <v>1.7</v>
      </c>
      <c r="AZ188" s="213">
        <v>4.5</v>
      </c>
      <c r="BA188" s="213">
        <v>3.75</v>
      </c>
      <c r="BB188" s="213">
        <v>2.5</v>
      </c>
      <c r="BC188" s="212">
        <v>4.42</v>
      </c>
      <c r="BD188" s="213">
        <v>10.0</v>
      </c>
      <c r="BE188" s="213">
        <v>10.0</v>
      </c>
      <c r="BF188" s="213">
        <v>7.0</v>
      </c>
      <c r="BG188" s="212">
        <v>10.333333333333332</v>
      </c>
      <c r="BH188" s="213">
        <v>9.416666666666666</v>
      </c>
      <c r="BI188" s="213">
        <v>0.0014120370372741793</v>
      </c>
      <c r="BJ188" s="213">
        <v>0.0014506172835050772</v>
      </c>
      <c r="BK188" s="213">
        <v>264.0</v>
      </c>
      <c r="BL188" s="212">
        <v>7.0</v>
      </c>
      <c r="BM188" s="213">
        <v>4.625</v>
      </c>
      <c r="BN188" s="213">
        <v>0.0028240740745483586</v>
      </c>
      <c r="BO188" s="213">
        <v>0.0029012345670101545</v>
      </c>
      <c r="BP188" s="213">
        <v>132.0</v>
      </c>
      <c r="BQ188" s="192"/>
      <c r="BR188" s="192"/>
    </row>
    <row r="189">
      <c r="A189" s="60">
        <v>3257641.0</v>
      </c>
      <c r="B189" s="205">
        <v>3841174.0</v>
      </c>
      <c r="C189" s="205">
        <v>1763440.0</v>
      </c>
      <c r="D189" s="205">
        <v>1.0</v>
      </c>
      <c r="E189" s="207">
        <v>44695.321111111116</v>
      </c>
      <c r="F189" s="207">
        <v>44930.14178240741</v>
      </c>
      <c r="G189" s="207">
        <v>44923.077685185184</v>
      </c>
      <c r="H189" s="63" t="s">
        <v>1912</v>
      </c>
      <c r="I189" s="205">
        <v>176.0</v>
      </c>
      <c r="J189" s="63" t="s">
        <v>1913</v>
      </c>
      <c r="K189" s="205">
        <v>2495509.0</v>
      </c>
      <c r="L189" s="208">
        <v>5.00782</v>
      </c>
      <c r="M189" s="208">
        <v>2.46635</v>
      </c>
      <c r="N189" s="208">
        <v>2.32237</v>
      </c>
      <c r="O189" s="209">
        <v>3.4</v>
      </c>
      <c r="P189" s="209">
        <v>9.0</v>
      </c>
      <c r="Q189" s="209">
        <v>7.5</v>
      </c>
      <c r="R189" s="209">
        <v>5.0</v>
      </c>
      <c r="S189" s="210">
        <v>0.002118055555911269</v>
      </c>
      <c r="U189" s="205">
        <v>5.0</v>
      </c>
      <c r="V189" s="205">
        <v>3.0</v>
      </c>
      <c r="W189" s="63" t="s">
        <v>1914</v>
      </c>
      <c r="X189" s="210">
        <v>0.0021759259252576157</v>
      </c>
      <c r="Y189" s="63" t="s">
        <v>1915</v>
      </c>
      <c r="Z189" s="63" t="s">
        <v>1916</v>
      </c>
      <c r="AA189" s="205">
        <v>0.0</v>
      </c>
      <c r="AB189" s="63" t="s">
        <v>1917</v>
      </c>
      <c r="AC189" s="205">
        <v>349.0</v>
      </c>
      <c r="AD189" s="208">
        <v>9.21364</v>
      </c>
      <c r="AE189" s="205">
        <v>24751.0</v>
      </c>
      <c r="AF189" s="205">
        <v>7332.0</v>
      </c>
      <c r="AG189" s="205">
        <v>432.0</v>
      </c>
      <c r="AH189" s="205">
        <v>305.0</v>
      </c>
      <c r="AI189" s="205">
        <v>4.0</v>
      </c>
      <c r="AJ189" s="205">
        <v>1057.0</v>
      </c>
      <c r="AK189" s="205">
        <v>0.0</v>
      </c>
      <c r="AL189" s="205">
        <v>1.0</v>
      </c>
      <c r="AM189" s="205">
        <v>0.0</v>
      </c>
      <c r="AN189" s="205">
        <v>0.0</v>
      </c>
      <c r="AO189" s="208">
        <v>4.6854</v>
      </c>
      <c r="AP189" s="208">
        <v>5.19516</v>
      </c>
      <c r="AQ189" s="208">
        <v>7.15121</v>
      </c>
      <c r="AR189" s="208">
        <v>3.95369</v>
      </c>
      <c r="AT189" s="192" t="s">
        <v>494</v>
      </c>
      <c r="AU189" s="211" t="s">
        <v>493</v>
      </c>
      <c r="AV189" s="211" t="s">
        <v>1918</v>
      </c>
      <c r="AW189" s="211" t="s">
        <v>1919</v>
      </c>
      <c r="AX189" s="211" t="s">
        <v>494</v>
      </c>
      <c r="AY189" s="212">
        <v>1.7</v>
      </c>
      <c r="AZ189" s="213">
        <v>4.5</v>
      </c>
      <c r="BA189" s="213">
        <v>3.75</v>
      </c>
      <c r="BB189" s="213">
        <v>2.5</v>
      </c>
      <c r="BC189" s="212">
        <v>4.42</v>
      </c>
      <c r="BD189" s="213">
        <v>10.0</v>
      </c>
      <c r="BE189" s="213">
        <v>10.0</v>
      </c>
      <c r="BF189" s="213">
        <v>7.0</v>
      </c>
      <c r="BG189" s="212">
        <v>10.333333333333332</v>
      </c>
      <c r="BH189" s="213">
        <v>9.416666666666666</v>
      </c>
      <c r="BI189" s="213">
        <v>0.0014120370372741793</v>
      </c>
      <c r="BJ189" s="213">
        <v>0.0014506172835050772</v>
      </c>
      <c r="BK189" s="213">
        <v>264.0</v>
      </c>
      <c r="BL189" s="212">
        <v>7.0</v>
      </c>
      <c r="BM189" s="213">
        <v>4.625</v>
      </c>
      <c r="BN189" s="213">
        <v>0.0028240740745483586</v>
      </c>
      <c r="BO189" s="213">
        <v>0.0029012345670101545</v>
      </c>
      <c r="BP189" s="213">
        <v>132.0</v>
      </c>
      <c r="BQ189" s="192"/>
      <c r="BR189" s="192"/>
    </row>
    <row r="190">
      <c r="A190" s="60">
        <v>3460069.0</v>
      </c>
      <c r="B190" s="205">
        <v>3248255.0</v>
      </c>
      <c r="C190" s="205">
        <v>1586738.0</v>
      </c>
      <c r="D190" s="205">
        <v>1.0</v>
      </c>
      <c r="E190" s="207">
        <v>44465.168125</v>
      </c>
      <c r="F190" s="207">
        <v>44535.712372685186</v>
      </c>
      <c r="G190" s="207">
        <v>44528.30491898148</v>
      </c>
      <c r="H190" s="63" t="s">
        <v>987</v>
      </c>
      <c r="I190" s="205">
        <v>140.0</v>
      </c>
      <c r="J190" s="63" t="s">
        <v>402</v>
      </c>
      <c r="K190" s="205">
        <v>8402897.0</v>
      </c>
      <c r="L190" s="208">
        <v>4.60761</v>
      </c>
      <c r="M190" s="208">
        <v>2.29394</v>
      </c>
      <c r="N190" s="208">
        <v>2.10748</v>
      </c>
      <c r="O190" s="209">
        <v>4.0</v>
      </c>
      <c r="P190" s="209">
        <v>8.8</v>
      </c>
      <c r="Q190" s="209">
        <v>7.7</v>
      </c>
      <c r="R190" s="209">
        <v>5.0</v>
      </c>
      <c r="S190" s="210">
        <v>0.0014236111128411721</v>
      </c>
      <c r="T190" s="63" t="s">
        <v>1920</v>
      </c>
      <c r="U190" s="205">
        <v>10.0</v>
      </c>
      <c r="V190" s="205">
        <v>5.0</v>
      </c>
      <c r="W190" s="63" t="s">
        <v>1921</v>
      </c>
      <c r="X190" s="210">
        <v>0.0014467592591245193</v>
      </c>
      <c r="Y190" s="63" t="s">
        <v>1922</v>
      </c>
      <c r="Z190" s="63" t="s">
        <v>1923</v>
      </c>
      <c r="AA190" s="205">
        <v>0.0</v>
      </c>
      <c r="AB190" s="63" t="s">
        <v>1924</v>
      </c>
      <c r="AC190" s="205">
        <v>134.0</v>
      </c>
      <c r="AD190" s="208">
        <v>9.26429</v>
      </c>
      <c r="AE190" s="205">
        <v>17515.0</v>
      </c>
      <c r="AF190" s="205">
        <v>3423.0</v>
      </c>
      <c r="AG190" s="205">
        <v>320.0</v>
      </c>
      <c r="AH190" s="205">
        <v>215.0</v>
      </c>
      <c r="AI190" s="205">
        <v>0.0</v>
      </c>
      <c r="AJ190" s="205">
        <v>774.0</v>
      </c>
      <c r="AK190" s="205">
        <v>0.0</v>
      </c>
      <c r="AL190" s="205">
        <v>0.0</v>
      </c>
      <c r="AM190" s="205">
        <v>0.0</v>
      </c>
      <c r="AN190" s="205">
        <v>0.0</v>
      </c>
      <c r="AO190" s="208">
        <v>4.30139</v>
      </c>
      <c r="AP190" s="208">
        <v>4.87767</v>
      </c>
      <c r="AQ190" s="208">
        <v>6.41355</v>
      </c>
      <c r="AR190" s="208">
        <v>3.66315</v>
      </c>
      <c r="AT190" s="192" t="s">
        <v>366</v>
      </c>
      <c r="AU190" s="211" t="s">
        <v>365</v>
      </c>
      <c r="AV190" s="211" t="s">
        <v>1925</v>
      </c>
      <c r="AW190" s="211" t="s">
        <v>1926</v>
      </c>
      <c r="AX190" s="211" t="s">
        <v>366</v>
      </c>
      <c r="AY190" s="212">
        <v>2.0</v>
      </c>
      <c r="AZ190" s="213">
        <v>4.4</v>
      </c>
      <c r="BA190" s="213">
        <v>3.85</v>
      </c>
      <c r="BB190" s="213">
        <v>2.5</v>
      </c>
      <c r="BC190" s="212">
        <v>5.2</v>
      </c>
      <c r="BD190" s="213">
        <v>10.0</v>
      </c>
      <c r="BE190" s="213">
        <v>10.0</v>
      </c>
      <c r="BF190" s="213">
        <v>7.0</v>
      </c>
      <c r="BG190" s="212">
        <v>10.2</v>
      </c>
      <c r="BH190" s="213">
        <v>9.549999999999999</v>
      </c>
      <c r="BI190" s="213">
        <v>9.490740752274481E-4</v>
      </c>
      <c r="BJ190" s="213">
        <v>9.645061727496795E-4</v>
      </c>
      <c r="BK190" s="213">
        <v>210.0</v>
      </c>
      <c r="BL190" s="212">
        <v>6.700000000000001</v>
      </c>
      <c r="BM190" s="213">
        <v>4.925000000000001</v>
      </c>
      <c r="BN190" s="213">
        <v>0.0018981481504548963</v>
      </c>
      <c r="BO190" s="213">
        <v>0.001929012345499359</v>
      </c>
      <c r="BP190" s="213">
        <v>105.0</v>
      </c>
      <c r="BQ190" s="192"/>
      <c r="BR190" s="192"/>
    </row>
    <row r="191">
      <c r="A191" s="60">
        <v>2514122.0</v>
      </c>
      <c r="B191" s="205">
        <v>3248255.0</v>
      </c>
      <c r="C191" s="205">
        <v>1586738.0</v>
      </c>
      <c r="D191" s="205">
        <v>1.0</v>
      </c>
      <c r="E191" s="207">
        <v>44465.168125</v>
      </c>
      <c r="F191" s="207">
        <v>44535.712372685186</v>
      </c>
      <c r="G191" s="207">
        <v>44528.30491898148</v>
      </c>
      <c r="H191" s="63" t="s">
        <v>987</v>
      </c>
      <c r="I191" s="205">
        <v>140.0</v>
      </c>
      <c r="J191" s="63" t="s">
        <v>402</v>
      </c>
      <c r="K191" s="205">
        <v>8402897.0</v>
      </c>
      <c r="L191" s="208">
        <v>4.60761</v>
      </c>
      <c r="M191" s="208">
        <v>2.29394</v>
      </c>
      <c r="N191" s="208">
        <v>2.10748</v>
      </c>
      <c r="O191" s="209">
        <v>4.0</v>
      </c>
      <c r="P191" s="209">
        <v>8.8</v>
      </c>
      <c r="Q191" s="209">
        <v>7.7</v>
      </c>
      <c r="R191" s="209">
        <v>5.0</v>
      </c>
      <c r="S191" s="210">
        <v>0.0014236111128411721</v>
      </c>
      <c r="T191" s="63" t="s">
        <v>1920</v>
      </c>
      <c r="U191" s="205">
        <v>10.0</v>
      </c>
      <c r="V191" s="205">
        <v>5.0</v>
      </c>
      <c r="W191" s="63" t="s">
        <v>1921</v>
      </c>
      <c r="X191" s="210">
        <v>0.0014467592591245193</v>
      </c>
      <c r="Y191" s="63" t="s">
        <v>1922</v>
      </c>
      <c r="Z191" s="63" t="s">
        <v>1923</v>
      </c>
      <c r="AA191" s="205">
        <v>0.0</v>
      </c>
      <c r="AB191" s="63" t="s">
        <v>1924</v>
      </c>
      <c r="AC191" s="205">
        <v>134.0</v>
      </c>
      <c r="AD191" s="208">
        <v>9.26429</v>
      </c>
      <c r="AE191" s="205">
        <v>17515.0</v>
      </c>
      <c r="AF191" s="205">
        <v>3423.0</v>
      </c>
      <c r="AG191" s="205">
        <v>320.0</v>
      </c>
      <c r="AH191" s="205">
        <v>215.0</v>
      </c>
      <c r="AI191" s="205">
        <v>0.0</v>
      </c>
      <c r="AJ191" s="205">
        <v>774.0</v>
      </c>
      <c r="AK191" s="205">
        <v>0.0</v>
      </c>
      <c r="AL191" s="205">
        <v>0.0</v>
      </c>
      <c r="AM191" s="205">
        <v>0.0</v>
      </c>
      <c r="AN191" s="205">
        <v>0.0</v>
      </c>
      <c r="AO191" s="208">
        <v>4.30139</v>
      </c>
      <c r="AP191" s="208">
        <v>4.87767</v>
      </c>
      <c r="AQ191" s="208">
        <v>6.41355</v>
      </c>
      <c r="AR191" s="208">
        <v>3.66315</v>
      </c>
      <c r="AT191" s="192" t="s">
        <v>366</v>
      </c>
      <c r="AU191" s="211" t="s">
        <v>365</v>
      </c>
      <c r="AV191" s="211" t="s">
        <v>1925</v>
      </c>
      <c r="AW191" s="211" t="s">
        <v>1926</v>
      </c>
      <c r="AX191" s="211" t="s">
        <v>366</v>
      </c>
      <c r="AY191" s="212">
        <v>2.0</v>
      </c>
      <c r="AZ191" s="213">
        <v>4.4</v>
      </c>
      <c r="BA191" s="213">
        <v>3.85</v>
      </c>
      <c r="BB191" s="213">
        <v>2.5</v>
      </c>
      <c r="BC191" s="212">
        <v>5.2</v>
      </c>
      <c r="BD191" s="213">
        <v>10.0</v>
      </c>
      <c r="BE191" s="213">
        <v>10.0</v>
      </c>
      <c r="BF191" s="213">
        <v>7.0</v>
      </c>
      <c r="BG191" s="212">
        <v>10.2</v>
      </c>
      <c r="BH191" s="213">
        <v>9.549999999999999</v>
      </c>
      <c r="BI191" s="213">
        <v>9.490740752274481E-4</v>
      </c>
      <c r="BJ191" s="213">
        <v>9.645061727496795E-4</v>
      </c>
      <c r="BK191" s="213">
        <v>210.0</v>
      </c>
      <c r="BL191" s="212">
        <v>6.700000000000001</v>
      </c>
      <c r="BM191" s="213">
        <v>4.925000000000001</v>
      </c>
      <c r="BN191" s="213">
        <v>0.0018981481504548963</v>
      </c>
      <c r="BO191" s="213">
        <v>0.001929012345499359</v>
      </c>
      <c r="BP191" s="213">
        <v>105.0</v>
      </c>
      <c r="BQ191" s="192"/>
      <c r="BR191" s="192"/>
    </row>
    <row r="192">
      <c r="A192" s="60">
        <v>2942900.0</v>
      </c>
      <c r="B192" s="205">
        <v>1635864.0</v>
      </c>
      <c r="C192" s="205">
        <v>776928.0</v>
      </c>
      <c r="D192" s="205">
        <v>1.0</v>
      </c>
      <c r="E192" s="207">
        <v>43226.67792824074</v>
      </c>
      <c r="F192" s="207">
        <v>43260.222557870366</v>
      </c>
      <c r="G192" s="207">
        <v>43255.79792824074</v>
      </c>
      <c r="H192" s="63" t="s">
        <v>1927</v>
      </c>
      <c r="I192" s="205">
        <v>143.35</v>
      </c>
      <c r="J192" s="63" t="s">
        <v>1928</v>
      </c>
      <c r="K192" s="205">
        <v>2959560.0</v>
      </c>
      <c r="L192" s="208">
        <v>4.96525</v>
      </c>
      <c r="M192" s="208">
        <v>2.56697</v>
      </c>
      <c r="N192" s="208">
        <v>2.14127</v>
      </c>
      <c r="O192" s="209">
        <v>4.3</v>
      </c>
      <c r="P192" s="209">
        <v>9.0</v>
      </c>
      <c r="Q192" s="209">
        <v>7.5</v>
      </c>
      <c r="R192" s="209">
        <v>6.0</v>
      </c>
      <c r="S192" s="210">
        <v>0.0014467592591245193</v>
      </c>
      <c r="U192" s="205">
        <v>10.0</v>
      </c>
      <c r="V192" s="205">
        <v>5.0</v>
      </c>
      <c r="W192" s="63" t="s">
        <v>1929</v>
      </c>
      <c r="X192" s="210">
        <v>0.0017708333325572312</v>
      </c>
      <c r="Y192" s="63" t="s">
        <v>1930</v>
      </c>
      <c r="Z192" s="63" t="s">
        <v>1931</v>
      </c>
      <c r="AA192" s="205">
        <v>0.0</v>
      </c>
      <c r="AB192" s="63" t="s">
        <v>1932</v>
      </c>
      <c r="AC192" s="205">
        <v>549.0</v>
      </c>
      <c r="AD192" s="208">
        <v>9.10752</v>
      </c>
      <c r="AE192" s="205">
        <v>270189.0</v>
      </c>
      <c r="AF192" s="205">
        <v>16560.0</v>
      </c>
      <c r="AG192" s="205">
        <v>334.0</v>
      </c>
      <c r="AH192" s="205">
        <v>277.0</v>
      </c>
      <c r="AI192" s="205">
        <v>1.0</v>
      </c>
      <c r="AJ192" s="205">
        <v>933.0</v>
      </c>
      <c r="AK192" s="205">
        <v>0.0</v>
      </c>
      <c r="AL192" s="205">
        <v>0.0</v>
      </c>
      <c r="AM192" s="205">
        <v>0.0</v>
      </c>
      <c r="AN192" s="205">
        <v>0.0</v>
      </c>
      <c r="AO192" s="208">
        <v>4.53337</v>
      </c>
      <c r="AP192" s="208">
        <v>5.35405</v>
      </c>
      <c r="AQ192" s="208">
        <v>7.02706</v>
      </c>
      <c r="AR192" s="208">
        <v>3.89746</v>
      </c>
      <c r="AT192" s="192" t="s">
        <v>372</v>
      </c>
      <c r="AU192" s="211" t="s">
        <v>371</v>
      </c>
      <c r="AV192" s="211" t="s">
        <v>1933</v>
      </c>
      <c r="AW192" s="211" t="s">
        <v>1934</v>
      </c>
      <c r="AX192" s="211" t="s">
        <v>372</v>
      </c>
      <c r="AY192" s="212">
        <v>2.15</v>
      </c>
      <c r="AZ192" s="213">
        <v>4.5</v>
      </c>
      <c r="BA192" s="213">
        <v>3.75</v>
      </c>
      <c r="BB192" s="213">
        <v>3.0</v>
      </c>
      <c r="BC192" s="212">
        <v>5.59</v>
      </c>
      <c r="BD192" s="213">
        <v>10.0</v>
      </c>
      <c r="BE192" s="213">
        <v>10.0</v>
      </c>
      <c r="BF192" s="213">
        <v>8.399999999999999</v>
      </c>
      <c r="BG192" s="212">
        <v>10.333333333333332</v>
      </c>
      <c r="BH192" s="213">
        <v>9.416666666666666</v>
      </c>
      <c r="BI192" s="213">
        <v>9.645061727496795E-4</v>
      </c>
      <c r="BJ192" s="213">
        <v>0.0011805555550381541</v>
      </c>
      <c r="BK192" s="213">
        <v>215.02499999999998</v>
      </c>
      <c r="BL192" s="212">
        <v>7.0</v>
      </c>
      <c r="BM192" s="213">
        <v>4.625</v>
      </c>
      <c r="BN192" s="213">
        <v>0.001929012345499359</v>
      </c>
      <c r="BO192" s="213">
        <v>0.0023611111100763083</v>
      </c>
      <c r="BP192" s="213">
        <v>107.51249999999999</v>
      </c>
      <c r="BQ192" s="192"/>
      <c r="BR192" s="192"/>
    </row>
    <row r="193">
      <c r="A193" s="60">
        <v>2058908.0</v>
      </c>
      <c r="B193" s="205">
        <v>1635864.0</v>
      </c>
      <c r="C193" s="205">
        <v>776928.0</v>
      </c>
      <c r="D193" s="205">
        <v>1.0</v>
      </c>
      <c r="E193" s="207">
        <v>43226.67792824074</v>
      </c>
      <c r="F193" s="207">
        <v>43260.222557870366</v>
      </c>
      <c r="G193" s="207">
        <v>43255.79792824074</v>
      </c>
      <c r="H193" s="63" t="s">
        <v>1927</v>
      </c>
      <c r="I193" s="205">
        <v>143.35</v>
      </c>
      <c r="J193" s="63" t="s">
        <v>1928</v>
      </c>
      <c r="K193" s="205">
        <v>2959560.0</v>
      </c>
      <c r="L193" s="208">
        <v>4.96525</v>
      </c>
      <c r="M193" s="208">
        <v>2.56697</v>
      </c>
      <c r="N193" s="208">
        <v>2.14127</v>
      </c>
      <c r="O193" s="209">
        <v>4.3</v>
      </c>
      <c r="P193" s="209">
        <v>9.0</v>
      </c>
      <c r="Q193" s="209">
        <v>7.5</v>
      </c>
      <c r="R193" s="209">
        <v>6.0</v>
      </c>
      <c r="S193" s="210">
        <v>0.0014467592591245193</v>
      </c>
      <c r="U193" s="205">
        <v>10.0</v>
      </c>
      <c r="V193" s="205">
        <v>5.0</v>
      </c>
      <c r="W193" s="63" t="s">
        <v>1929</v>
      </c>
      <c r="X193" s="210">
        <v>0.0017708333325572312</v>
      </c>
      <c r="Y193" s="63" t="s">
        <v>1930</v>
      </c>
      <c r="Z193" s="63" t="s">
        <v>1931</v>
      </c>
      <c r="AA193" s="205">
        <v>0.0</v>
      </c>
      <c r="AB193" s="63" t="s">
        <v>1932</v>
      </c>
      <c r="AC193" s="205">
        <v>549.0</v>
      </c>
      <c r="AD193" s="208">
        <v>9.10752</v>
      </c>
      <c r="AE193" s="205">
        <v>270189.0</v>
      </c>
      <c r="AF193" s="205">
        <v>16560.0</v>
      </c>
      <c r="AG193" s="205">
        <v>334.0</v>
      </c>
      <c r="AH193" s="205">
        <v>277.0</v>
      </c>
      <c r="AI193" s="205">
        <v>1.0</v>
      </c>
      <c r="AJ193" s="205">
        <v>933.0</v>
      </c>
      <c r="AK193" s="205">
        <v>0.0</v>
      </c>
      <c r="AL193" s="205">
        <v>0.0</v>
      </c>
      <c r="AM193" s="205">
        <v>0.0</v>
      </c>
      <c r="AN193" s="205">
        <v>0.0</v>
      </c>
      <c r="AO193" s="208">
        <v>4.53337</v>
      </c>
      <c r="AP193" s="208">
        <v>5.35405</v>
      </c>
      <c r="AQ193" s="208">
        <v>7.02706</v>
      </c>
      <c r="AR193" s="208">
        <v>3.89746</v>
      </c>
      <c r="AT193" s="192" t="s">
        <v>372</v>
      </c>
      <c r="AU193" s="211" t="s">
        <v>371</v>
      </c>
      <c r="AV193" s="211" t="s">
        <v>1933</v>
      </c>
      <c r="AW193" s="211" t="s">
        <v>1934</v>
      </c>
      <c r="AX193" s="211" t="s">
        <v>372</v>
      </c>
      <c r="AY193" s="212">
        <v>2.15</v>
      </c>
      <c r="AZ193" s="213">
        <v>4.5</v>
      </c>
      <c r="BA193" s="213">
        <v>3.75</v>
      </c>
      <c r="BB193" s="213">
        <v>3.0</v>
      </c>
      <c r="BC193" s="212">
        <v>5.59</v>
      </c>
      <c r="BD193" s="213">
        <v>10.0</v>
      </c>
      <c r="BE193" s="213">
        <v>10.0</v>
      </c>
      <c r="BF193" s="213">
        <v>8.399999999999999</v>
      </c>
      <c r="BG193" s="212">
        <v>10.333333333333332</v>
      </c>
      <c r="BH193" s="213">
        <v>9.416666666666666</v>
      </c>
      <c r="BI193" s="213">
        <v>9.645061727496795E-4</v>
      </c>
      <c r="BJ193" s="213">
        <v>0.0011805555550381541</v>
      </c>
      <c r="BK193" s="213">
        <v>215.02499999999998</v>
      </c>
      <c r="BL193" s="212">
        <v>7.0</v>
      </c>
      <c r="BM193" s="213">
        <v>4.625</v>
      </c>
      <c r="BN193" s="213">
        <v>0.001929012345499359</v>
      </c>
      <c r="BO193" s="213">
        <v>0.0023611111100763083</v>
      </c>
      <c r="BP193" s="213">
        <v>107.51249999999999</v>
      </c>
      <c r="BQ193" s="192"/>
      <c r="BR193" s="192"/>
    </row>
    <row r="194">
      <c r="A194" s="60">
        <v>3182052.0</v>
      </c>
      <c r="B194" s="205">
        <v>1404975.0</v>
      </c>
      <c r="C194" s="205">
        <v>660630.0</v>
      </c>
      <c r="D194" s="205">
        <v>1.0</v>
      </c>
      <c r="E194" s="207">
        <v>42974.60479166667</v>
      </c>
      <c r="F194" s="207">
        <v>43155.01453703704</v>
      </c>
      <c r="G194" s="207">
        <v>43145.98887731481</v>
      </c>
      <c r="H194" s="63" t="s">
        <v>1935</v>
      </c>
      <c r="I194" s="205">
        <v>177.0</v>
      </c>
      <c r="J194" s="63" t="s">
        <v>1936</v>
      </c>
      <c r="K194" s="205">
        <v>416662.0</v>
      </c>
      <c r="L194" s="208">
        <v>5.08652</v>
      </c>
      <c r="M194" s="208">
        <v>2.56327</v>
      </c>
      <c r="N194" s="208">
        <v>2.28751</v>
      </c>
      <c r="O194" s="209">
        <v>3.0</v>
      </c>
      <c r="P194" s="209">
        <v>9.2</v>
      </c>
      <c r="Q194" s="209">
        <v>8.0</v>
      </c>
      <c r="R194" s="209">
        <v>6.0</v>
      </c>
      <c r="S194" s="210">
        <v>0.0018171296287619043</v>
      </c>
      <c r="U194" s="205">
        <v>10.0</v>
      </c>
      <c r="V194" s="205">
        <v>5.0</v>
      </c>
      <c r="W194" s="63" t="s">
        <v>1937</v>
      </c>
      <c r="X194" s="210">
        <v>0.002291666667588288</v>
      </c>
      <c r="Y194" s="63" t="s">
        <v>1938</v>
      </c>
      <c r="Z194" s="63" t="s">
        <v>1939</v>
      </c>
      <c r="AA194" s="205">
        <v>0.0</v>
      </c>
      <c r="AB194" s="63" t="s">
        <v>1940</v>
      </c>
      <c r="AC194" s="205">
        <v>637.0</v>
      </c>
      <c r="AD194" s="208">
        <v>8.92283</v>
      </c>
      <c r="AE194" s="205">
        <v>87561.0</v>
      </c>
      <c r="AF194" s="205">
        <v>11925.0</v>
      </c>
      <c r="AG194" s="205">
        <v>286.0</v>
      </c>
      <c r="AH194" s="205">
        <v>357.0</v>
      </c>
      <c r="AI194" s="205">
        <v>2.0</v>
      </c>
      <c r="AJ194" s="205">
        <v>1079.0</v>
      </c>
      <c r="AK194" s="205">
        <v>1.0</v>
      </c>
      <c r="AL194" s="205">
        <v>0.0</v>
      </c>
      <c r="AM194" s="205">
        <v>0.0</v>
      </c>
      <c r="AN194" s="205">
        <v>0.0</v>
      </c>
      <c r="AO194" s="208">
        <v>4.70729</v>
      </c>
      <c r="AP194" s="208">
        <v>5.32485</v>
      </c>
      <c r="AQ194" s="208">
        <v>7.20306</v>
      </c>
      <c r="AR194" s="208">
        <v>4.06742</v>
      </c>
      <c r="AT194" s="192" t="s">
        <v>377</v>
      </c>
      <c r="AU194" s="211" t="s">
        <v>376</v>
      </c>
      <c r="AV194" s="211" t="s">
        <v>1941</v>
      </c>
      <c r="AW194" s="211" t="s">
        <v>1942</v>
      </c>
      <c r="AX194" s="211" t="s">
        <v>377</v>
      </c>
      <c r="AY194" s="212">
        <v>1.5</v>
      </c>
      <c r="AZ194" s="213">
        <v>4.6</v>
      </c>
      <c r="BA194" s="213">
        <v>4.0</v>
      </c>
      <c r="BB194" s="213">
        <v>3.0</v>
      </c>
      <c r="BC194" s="212">
        <v>3.9000000000000004</v>
      </c>
      <c r="BD194" s="213">
        <v>10.0</v>
      </c>
      <c r="BE194" s="213">
        <v>10.0</v>
      </c>
      <c r="BF194" s="213">
        <v>8.399999999999999</v>
      </c>
      <c r="BG194" s="212">
        <v>10.466666666666667</v>
      </c>
      <c r="BH194" s="213">
        <v>9.75</v>
      </c>
      <c r="BI194" s="213">
        <v>0.0012114197525079362</v>
      </c>
      <c r="BJ194" s="213">
        <v>0.001527777778392192</v>
      </c>
      <c r="BK194" s="213">
        <v>265.5</v>
      </c>
      <c r="BL194" s="212">
        <v>7.299999999999999</v>
      </c>
      <c r="BM194" s="213">
        <v>5.375</v>
      </c>
      <c r="BN194" s="213">
        <v>0.0024228395050158724</v>
      </c>
      <c r="BO194" s="213">
        <v>0.003055555556784384</v>
      </c>
      <c r="BP194" s="213">
        <v>132.75</v>
      </c>
      <c r="BQ194" s="192"/>
      <c r="BR194" s="192"/>
    </row>
    <row r="195">
      <c r="A195" s="60">
        <v>3053637.0</v>
      </c>
      <c r="B195" s="205">
        <v>1404975.0</v>
      </c>
      <c r="C195" s="205">
        <v>660630.0</v>
      </c>
      <c r="D195" s="205">
        <v>1.0</v>
      </c>
      <c r="E195" s="207">
        <v>42974.60479166667</v>
      </c>
      <c r="F195" s="207">
        <v>43155.01453703704</v>
      </c>
      <c r="G195" s="207">
        <v>43145.98887731481</v>
      </c>
      <c r="H195" s="63" t="s">
        <v>1935</v>
      </c>
      <c r="I195" s="205">
        <v>177.0</v>
      </c>
      <c r="J195" s="63" t="s">
        <v>1936</v>
      </c>
      <c r="K195" s="205">
        <v>416662.0</v>
      </c>
      <c r="L195" s="208">
        <v>5.08652</v>
      </c>
      <c r="M195" s="208">
        <v>2.56327</v>
      </c>
      <c r="N195" s="208">
        <v>2.28751</v>
      </c>
      <c r="O195" s="209">
        <v>3.0</v>
      </c>
      <c r="P195" s="209">
        <v>9.2</v>
      </c>
      <c r="Q195" s="209">
        <v>8.0</v>
      </c>
      <c r="R195" s="209">
        <v>6.0</v>
      </c>
      <c r="S195" s="210">
        <v>0.0018171296287619043</v>
      </c>
      <c r="U195" s="205">
        <v>10.0</v>
      </c>
      <c r="V195" s="205">
        <v>5.0</v>
      </c>
      <c r="W195" s="63" t="s">
        <v>1937</v>
      </c>
      <c r="X195" s="210">
        <v>0.002291666667588288</v>
      </c>
      <c r="Y195" s="63" t="s">
        <v>1938</v>
      </c>
      <c r="Z195" s="63" t="s">
        <v>1939</v>
      </c>
      <c r="AA195" s="205">
        <v>0.0</v>
      </c>
      <c r="AB195" s="63" t="s">
        <v>1940</v>
      </c>
      <c r="AC195" s="205">
        <v>637.0</v>
      </c>
      <c r="AD195" s="208">
        <v>8.92283</v>
      </c>
      <c r="AE195" s="205">
        <v>87561.0</v>
      </c>
      <c r="AF195" s="205">
        <v>11925.0</v>
      </c>
      <c r="AG195" s="205">
        <v>286.0</v>
      </c>
      <c r="AH195" s="205">
        <v>357.0</v>
      </c>
      <c r="AI195" s="205">
        <v>2.0</v>
      </c>
      <c r="AJ195" s="205">
        <v>1079.0</v>
      </c>
      <c r="AK195" s="205">
        <v>1.0</v>
      </c>
      <c r="AL195" s="205">
        <v>0.0</v>
      </c>
      <c r="AM195" s="205">
        <v>0.0</v>
      </c>
      <c r="AN195" s="205">
        <v>0.0</v>
      </c>
      <c r="AO195" s="208">
        <v>4.70729</v>
      </c>
      <c r="AP195" s="208">
        <v>5.32485</v>
      </c>
      <c r="AQ195" s="208">
        <v>7.20306</v>
      </c>
      <c r="AR195" s="208">
        <v>4.06742</v>
      </c>
      <c r="AT195" s="192" t="s">
        <v>377</v>
      </c>
      <c r="AU195" s="211" t="s">
        <v>376</v>
      </c>
      <c r="AV195" s="211" t="s">
        <v>1941</v>
      </c>
      <c r="AW195" s="211" t="s">
        <v>1942</v>
      </c>
      <c r="AX195" s="211" t="s">
        <v>377</v>
      </c>
      <c r="AY195" s="212">
        <v>1.5</v>
      </c>
      <c r="AZ195" s="213">
        <v>4.6</v>
      </c>
      <c r="BA195" s="213">
        <v>4.0</v>
      </c>
      <c r="BB195" s="213">
        <v>3.0</v>
      </c>
      <c r="BC195" s="212">
        <v>3.9000000000000004</v>
      </c>
      <c r="BD195" s="213">
        <v>10.0</v>
      </c>
      <c r="BE195" s="213">
        <v>10.0</v>
      </c>
      <c r="BF195" s="213">
        <v>8.399999999999999</v>
      </c>
      <c r="BG195" s="212">
        <v>10.466666666666667</v>
      </c>
      <c r="BH195" s="213">
        <v>9.75</v>
      </c>
      <c r="BI195" s="213">
        <v>0.0012114197525079362</v>
      </c>
      <c r="BJ195" s="213">
        <v>0.001527777778392192</v>
      </c>
      <c r="BK195" s="213">
        <v>265.5</v>
      </c>
      <c r="BL195" s="212">
        <v>7.299999999999999</v>
      </c>
      <c r="BM195" s="213">
        <v>5.375</v>
      </c>
      <c r="BN195" s="213">
        <v>0.0024228395050158724</v>
      </c>
      <c r="BO195" s="213">
        <v>0.003055555556784384</v>
      </c>
      <c r="BP195" s="213">
        <v>132.75</v>
      </c>
      <c r="BQ195" s="192"/>
      <c r="BR195" s="192"/>
    </row>
    <row r="196">
      <c r="A196" s="60">
        <v>3407970.0</v>
      </c>
      <c r="B196" s="205">
        <v>1687599.0</v>
      </c>
      <c r="C196" s="205">
        <v>737728.0</v>
      </c>
      <c r="D196" s="205">
        <v>1.0</v>
      </c>
      <c r="E196" s="207">
        <v>43151.03164351852</v>
      </c>
      <c r="F196" s="207">
        <v>44827.807337962964</v>
      </c>
      <c r="G196" s="207">
        <v>44816.32555555555</v>
      </c>
      <c r="H196" s="63" t="s">
        <v>996</v>
      </c>
      <c r="I196" s="205">
        <v>240.0</v>
      </c>
      <c r="J196" s="63" t="s">
        <v>148</v>
      </c>
      <c r="K196" s="205">
        <v>7777875.0</v>
      </c>
      <c r="L196" s="208">
        <v>4.77029</v>
      </c>
      <c r="M196" s="208">
        <v>2.43417</v>
      </c>
      <c r="N196" s="208">
        <v>2.10419</v>
      </c>
      <c r="O196" s="209">
        <v>4.0</v>
      </c>
      <c r="P196" s="209">
        <v>9.0</v>
      </c>
      <c r="Q196" s="209">
        <v>7.0</v>
      </c>
      <c r="R196" s="209">
        <v>5.0</v>
      </c>
      <c r="S196" s="210">
        <v>0.0012500000011641532</v>
      </c>
      <c r="T196" s="63" t="s">
        <v>1943</v>
      </c>
      <c r="U196" s="205">
        <v>10.0</v>
      </c>
      <c r="V196" s="205">
        <v>5.0</v>
      </c>
      <c r="W196" s="63" t="s">
        <v>1944</v>
      </c>
      <c r="X196" s="210">
        <v>0.0013194444436521735</v>
      </c>
      <c r="Y196" s="63" t="s">
        <v>1945</v>
      </c>
      <c r="Z196" s="63" t="s">
        <v>1946</v>
      </c>
      <c r="AA196" s="205">
        <v>0.0</v>
      </c>
      <c r="AB196" s="63" t="s">
        <v>1947</v>
      </c>
      <c r="AC196" s="205">
        <v>156.0</v>
      </c>
      <c r="AD196" s="208">
        <v>8.80282</v>
      </c>
      <c r="AE196" s="205">
        <v>26587.0</v>
      </c>
      <c r="AF196" s="205">
        <v>4891.0</v>
      </c>
      <c r="AG196" s="205">
        <v>172.0</v>
      </c>
      <c r="AH196" s="205">
        <v>246.0</v>
      </c>
      <c r="AI196" s="205">
        <v>2.0</v>
      </c>
      <c r="AJ196" s="205">
        <v>751.0</v>
      </c>
      <c r="AK196" s="205">
        <v>0.0</v>
      </c>
      <c r="AL196" s="205">
        <v>0.0</v>
      </c>
      <c r="AM196" s="205">
        <v>0.0</v>
      </c>
      <c r="AN196" s="205">
        <v>0.0</v>
      </c>
      <c r="AO196" s="208">
        <v>4.32739</v>
      </c>
      <c r="AP196" s="208">
        <v>5.07181</v>
      </c>
      <c r="AQ196" s="208">
        <v>6.76901</v>
      </c>
      <c r="AR196" s="208">
        <v>3.80488</v>
      </c>
      <c r="AT196" s="192" t="s">
        <v>383</v>
      </c>
      <c r="AU196" s="211" t="s">
        <v>382</v>
      </c>
      <c r="AV196" s="211" t="s">
        <v>1948</v>
      </c>
      <c r="AW196" s="211" t="s">
        <v>1949</v>
      </c>
      <c r="AX196" s="211" t="s">
        <v>383</v>
      </c>
      <c r="AY196" s="212">
        <v>2.0</v>
      </c>
      <c r="AZ196" s="213">
        <v>4.5</v>
      </c>
      <c r="BA196" s="213">
        <v>3.5</v>
      </c>
      <c r="BB196" s="213">
        <v>2.5</v>
      </c>
      <c r="BC196" s="212">
        <v>5.2</v>
      </c>
      <c r="BD196" s="213">
        <v>10.0</v>
      </c>
      <c r="BE196" s="213">
        <v>9.799999999999999</v>
      </c>
      <c r="BF196" s="213">
        <v>7.0</v>
      </c>
      <c r="BG196" s="212">
        <v>10.333333333333332</v>
      </c>
      <c r="BH196" s="213">
        <v>9.083333333333334</v>
      </c>
      <c r="BI196" s="213">
        <v>8.333333341094354E-4</v>
      </c>
      <c r="BJ196" s="213">
        <v>8.79629629101449E-4</v>
      </c>
      <c r="BK196" s="213">
        <v>360.0</v>
      </c>
      <c r="BL196" s="212">
        <v>7.0</v>
      </c>
      <c r="BM196" s="213">
        <v>3.875</v>
      </c>
      <c r="BN196" s="213">
        <v>0.0016666666682188709</v>
      </c>
      <c r="BO196" s="213">
        <v>0.001759259258202898</v>
      </c>
      <c r="BP196" s="213">
        <v>180.0</v>
      </c>
      <c r="BQ196" s="192"/>
      <c r="BR196" s="192"/>
    </row>
    <row r="197">
      <c r="A197" s="60">
        <v>4133990.0</v>
      </c>
      <c r="B197" s="205">
        <v>1687599.0</v>
      </c>
      <c r="C197" s="205">
        <v>737728.0</v>
      </c>
      <c r="D197" s="205">
        <v>1.0</v>
      </c>
      <c r="E197" s="207">
        <v>43151.03164351852</v>
      </c>
      <c r="F197" s="207">
        <v>44827.807337962964</v>
      </c>
      <c r="G197" s="207">
        <v>44816.32555555555</v>
      </c>
      <c r="H197" s="63" t="s">
        <v>996</v>
      </c>
      <c r="I197" s="205">
        <v>240.0</v>
      </c>
      <c r="J197" s="63" t="s">
        <v>148</v>
      </c>
      <c r="K197" s="205">
        <v>7777875.0</v>
      </c>
      <c r="L197" s="208">
        <v>4.77029</v>
      </c>
      <c r="M197" s="208">
        <v>2.43417</v>
      </c>
      <c r="N197" s="208">
        <v>2.10419</v>
      </c>
      <c r="O197" s="209">
        <v>4.0</v>
      </c>
      <c r="P197" s="209">
        <v>9.0</v>
      </c>
      <c r="Q197" s="209">
        <v>7.0</v>
      </c>
      <c r="R197" s="209">
        <v>5.0</v>
      </c>
      <c r="S197" s="210">
        <v>0.0012500000011641532</v>
      </c>
      <c r="T197" s="63" t="s">
        <v>1943</v>
      </c>
      <c r="U197" s="205">
        <v>10.0</v>
      </c>
      <c r="V197" s="205">
        <v>5.0</v>
      </c>
      <c r="W197" s="63" t="s">
        <v>1944</v>
      </c>
      <c r="X197" s="210">
        <v>0.0013194444436521735</v>
      </c>
      <c r="Y197" s="63" t="s">
        <v>1945</v>
      </c>
      <c r="Z197" s="63" t="s">
        <v>1946</v>
      </c>
      <c r="AA197" s="205">
        <v>0.0</v>
      </c>
      <c r="AB197" s="63" t="s">
        <v>1947</v>
      </c>
      <c r="AC197" s="205">
        <v>156.0</v>
      </c>
      <c r="AD197" s="208">
        <v>8.80282</v>
      </c>
      <c r="AE197" s="205">
        <v>26587.0</v>
      </c>
      <c r="AF197" s="205">
        <v>4891.0</v>
      </c>
      <c r="AG197" s="205">
        <v>172.0</v>
      </c>
      <c r="AH197" s="205">
        <v>246.0</v>
      </c>
      <c r="AI197" s="205">
        <v>2.0</v>
      </c>
      <c r="AJ197" s="205">
        <v>751.0</v>
      </c>
      <c r="AK197" s="205">
        <v>0.0</v>
      </c>
      <c r="AL197" s="205">
        <v>0.0</v>
      </c>
      <c r="AM197" s="205">
        <v>0.0</v>
      </c>
      <c r="AN197" s="205">
        <v>0.0</v>
      </c>
      <c r="AO197" s="208">
        <v>4.32739</v>
      </c>
      <c r="AP197" s="208">
        <v>5.07181</v>
      </c>
      <c r="AQ197" s="208">
        <v>6.76901</v>
      </c>
      <c r="AR197" s="208">
        <v>3.80488</v>
      </c>
      <c r="AT197" s="192" t="s">
        <v>383</v>
      </c>
      <c r="AU197" s="211" t="s">
        <v>382</v>
      </c>
      <c r="AV197" s="211" t="s">
        <v>1948</v>
      </c>
      <c r="AW197" s="211" t="s">
        <v>1949</v>
      </c>
      <c r="AX197" s="211" t="s">
        <v>383</v>
      </c>
      <c r="AY197" s="212">
        <v>2.0</v>
      </c>
      <c r="AZ197" s="213">
        <v>4.5</v>
      </c>
      <c r="BA197" s="213">
        <v>3.5</v>
      </c>
      <c r="BB197" s="213">
        <v>2.5</v>
      </c>
      <c r="BC197" s="212">
        <v>5.2</v>
      </c>
      <c r="BD197" s="213">
        <v>10.0</v>
      </c>
      <c r="BE197" s="213">
        <v>9.799999999999999</v>
      </c>
      <c r="BF197" s="213">
        <v>7.0</v>
      </c>
      <c r="BG197" s="212">
        <v>10.333333333333332</v>
      </c>
      <c r="BH197" s="213">
        <v>9.083333333333334</v>
      </c>
      <c r="BI197" s="213">
        <v>8.333333341094354E-4</v>
      </c>
      <c r="BJ197" s="213">
        <v>8.79629629101449E-4</v>
      </c>
      <c r="BK197" s="213">
        <v>360.0</v>
      </c>
      <c r="BL197" s="212">
        <v>7.0</v>
      </c>
      <c r="BM197" s="213">
        <v>3.875</v>
      </c>
      <c r="BN197" s="213">
        <v>0.0016666666682188709</v>
      </c>
      <c r="BO197" s="213">
        <v>0.001759259258202898</v>
      </c>
      <c r="BP197" s="213">
        <v>180.0</v>
      </c>
      <c r="BQ197" s="192"/>
      <c r="BR197" s="192"/>
    </row>
    <row r="198">
      <c r="A198" s="60">
        <v>804959.0</v>
      </c>
      <c r="B198" s="205">
        <v>2072245.0</v>
      </c>
      <c r="C198" s="205">
        <v>974935.0</v>
      </c>
      <c r="D198" s="205">
        <v>-2.0</v>
      </c>
      <c r="E198" s="207">
        <v>43605.85540509259</v>
      </c>
      <c r="F198" s="215"/>
      <c r="G198" s="207">
        <v>43892.96476851852</v>
      </c>
      <c r="H198" s="63" t="s">
        <v>963</v>
      </c>
      <c r="I198" s="205">
        <v>195.0</v>
      </c>
      <c r="J198" s="63" t="s">
        <v>1950</v>
      </c>
      <c r="K198" s="205">
        <v>7157133.0</v>
      </c>
      <c r="L198" s="208">
        <v>5.08429</v>
      </c>
      <c r="M198" s="208">
        <v>2.05349</v>
      </c>
      <c r="N198" s="208">
        <v>2.70974</v>
      </c>
      <c r="O198" s="209">
        <v>4.0</v>
      </c>
      <c r="P198" s="209">
        <v>9.0</v>
      </c>
      <c r="Q198" s="209">
        <v>7.5</v>
      </c>
      <c r="R198" s="209">
        <v>5.0</v>
      </c>
      <c r="S198" s="210">
        <v>0.001574074074596865</v>
      </c>
      <c r="U198" s="205">
        <v>10.0</v>
      </c>
      <c r="V198" s="205">
        <v>5.0</v>
      </c>
      <c r="W198" s="63" t="s">
        <v>1573</v>
      </c>
      <c r="X198" s="210">
        <v>0.0015972222208802123</v>
      </c>
      <c r="Y198" s="63" t="s">
        <v>1116</v>
      </c>
      <c r="Z198" s="63" t="s">
        <v>1951</v>
      </c>
      <c r="AA198" s="205">
        <v>0.0</v>
      </c>
      <c r="AB198" s="63" t="s">
        <v>1952</v>
      </c>
      <c r="AC198" s="205">
        <v>2.0</v>
      </c>
      <c r="AD198" s="208">
        <v>0.0</v>
      </c>
      <c r="AE198" s="205">
        <v>239.0</v>
      </c>
      <c r="AF198" s="205">
        <v>122.0</v>
      </c>
      <c r="AG198" s="205">
        <v>423.0</v>
      </c>
      <c r="AH198" s="205">
        <v>187.0</v>
      </c>
      <c r="AI198" s="205">
        <v>2.0</v>
      </c>
      <c r="AJ198" s="205">
        <v>952.0</v>
      </c>
      <c r="AK198" s="205">
        <v>0.0</v>
      </c>
      <c r="AL198" s="205">
        <v>0.0</v>
      </c>
      <c r="AM198" s="205">
        <v>0.0</v>
      </c>
      <c r="AN198" s="205">
        <v>0.0</v>
      </c>
      <c r="AO198" s="208">
        <v>4.64567</v>
      </c>
      <c r="AP198" s="208">
        <v>5.26627</v>
      </c>
      <c r="AQ198" s="208">
        <v>7.68456</v>
      </c>
      <c r="AR198" s="208">
        <v>4.01805</v>
      </c>
      <c r="AT198" s="192" t="s">
        <v>388</v>
      </c>
      <c r="AU198" s="211" t="s">
        <v>1953</v>
      </c>
      <c r="AV198" s="211" t="s">
        <v>1954</v>
      </c>
      <c r="AW198" s="211" t="s">
        <v>1955</v>
      </c>
      <c r="AX198" s="211" t="s">
        <v>388</v>
      </c>
      <c r="AY198" s="212">
        <v>2.0</v>
      </c>
      <c r="AZ198" s="213">
        <v>4.5</v>
      </c>
      <c r="BA198" s="213">
        <v>3.75</v>
      </c>
      <c r="BB198" s="213">
        <v>2.5</v>
      </c>
      <c r="BC198" s="212">
        <v>5.2</v>
      </c>
      <c r="BD198" s="213">
        <v>10.0</v>
      </c>
      <c r="BE198" s="213">
        <v>10.0</v>
      </c>
      <c r="BF198" s="213">
        <v>7.0</v>
      </c>
      <c r="BG198" s="212">
        <v>10.333333333333332</v>
      </c>
      <c r="BH198" s="213">
        <v>9.416666666666666</v>
      </c>
      <c r="BI198" s="213">
        <v>0.0010493827163979101</v>
      </c>
      <c r="BJ198" s="213">
        <v>0.0010648148139201414</v>
      </c>
      <c r="BK198" s="213">
        <v>292.5</v>
      </c>
      <c r="BL198" s="212">
        <v>7.0</v>
      </c>
      <c r="BM198" s="213">
        <v>4.625</v>
      </c>
      <c r="BN198" s="213">
        <v>0.0020987654327958203</v>
      </c>
      <c r="BO198" s="213">
        <v>0.002129629627840283</v>
      </c>
      <c r="BP198" s="213">
        <v>146.25</v>
      </c>
      <c r="BQ198" s="192"/>
      <c r="BR198" s="192"/>
    </row>
    <row r="199">
      <c r="A199" s="60">
        <v>3071429.0</v>
      </c>
      <c r="B199" s="205">
        <v>2072245.0</v>
      </c>
      <c r="C199" s="205">
        <v>974935.0</v>
      </c>
      <c r="D199" s="205">
        <v>-2.0</v>
      </c>
      <c r="E199" s="207">
        <v>43605.85540509259</v>
      </c>
      <c r="F199" s="215"/>
      <c r="G199" s="207">
        <v>43892.96476851852</v>
      </c>
      <c r="H199" s="63" t="s">
        <v>963</v>
      </c>
      <c r="I199" s="205">
        <v>195.0</v>
      </c>
      <c r="J199" s="63" t="s">
        <v>1950</v>
      </c>
      <c r="K199" s="205">
        <v>7157133.0</v>
      </c>
      <c r="L199" s="208">
        <v>5.08429</v>
      </c>
      <c r="M199" s="208">
        <v>2.05349</v>
      </c>
      <c r="N199" s="208">
        <v>2.70974</v>
      </c>
      <c r="O199" s="209">
        <v>4.0</v>
      </c>
      <c r="P199" s="209">
        <v>9.0</v>
      </c>
      <c r="Q199" s="209">
        <v>7.5</v>
      </c>
      <c r="R199" s="209">
        <v>5.0</v>
      </c>
      <c r="S199" s="210">
        <v>0.001574074074596865</v>
      </c>
      <c r="U199" s="205">
        <v>10.0</v>
      </c>
      <c r="V199" s="205">
        <v>5.0</v>
      </c>
      <c r="W199" s="63" t="s">
        <v>1573</v>
      </c>
      <c r="X199" s="210">
        <v>0.0015972222208802123</v>
      </c>
      <c r="Y199" s="63" t="s">
        <v>1116</v>
      </c>
      <c r="Z199" s="63" t="s">
        <v>1951</v>
      </c>
      <c r="AA199" s="205">
        <v>0.0</v>
      </c>
      <c r="AB199" s="63" t="s">
        <v>1952</v>
      </c>
      <c r="AC199" s="205">
        <v>2.0</v>
      </c>
      <c r="AD199" s="208">
        <v>0.0</v>
      </c>
      <c r="AE199" s="205">
        <v>239.0</v>
      </c>
      <c r="AF199" s="205">
        <v>122.0</v>
      </c>
      <c r="AG199" s="205">
        <v>423.0</v>
      </c>
      <c r="AH199" s="205">
        <v>187.0</v>
      </c>
      <c r="AI199" s="205">
        <v>2.0</v>
      </c>
      <c r="AJ199" s="205">
        <v>952.0</v>
      </c>
      <c r="AK199" s="205">
        <v>0.0</v>
      </c>
      <c r="AL199" s="205">
        <v>0.0</v>
      </c>
      <c r="AM199" s="205">
        <v>0.0</v>
      </c>
      <c r="AN199" s="205">
        <v>0.0</v>
      </c>
      <c r="AO199" s="208">
        <v>4.64567</v>
      </c>
      <c r="AP199" s="208">
        <v>5.26627</v>
      </c>
      <c r="AQ199" s="208">
        <v>7.68456</v>
      </c>
      <c r="AR199" s="208">
        <v>4.01805</v>
      </c>
      <c r="AT199" s="192" t="s">
        <v>388</v>
      </c>
      <c r="AU199" s="211" t="s">
        <v>1953</v>
      </c>
      <c r="AV199" s="211" t="s">
        <v>1954</v>
      </c>
      <c r="AW199" s="211" t="s">
        <v>1955</v>
      </c>
      <c r="AX199" s="211" t="s">
        <v>388</v>
      </c>
      <c r="AY199" s="212">
        <v>2.0</v>
      </c>
      <c r="AZ199" s="213">
        <v>4.5</v>
      </c>
      <c r="BA199" s="213">
        <v>3.75</v>
      </c>
      <c r="BB199" s="213">
        <v>2.5</v>
      </c>
      <c r="BC199" s="212">
        <v>5.2</v>
      </c>
      <c r="BD199" s="213">
        <v>10.0</v>
      </c>
      <c r="BE199" s="213">
        <v>10.0</v>
      </c>
      <c r="BF199" s="213">
        <v>7.0</v>
      </c>
      <c r="BG199" s="212">
        <v>10.333333333333332</v>
      </c>
      <c r="BH199" s="213">
        <v>9.416666666666666</v>
      </c>
      <c r="BI199" s="213">
        <v>0.0010493827163979101</v>
      </c>
      <c r="BJ199" s="213">
        <v>0.0010648148139201414</v>
      </c>
      <c r="BK199" s="213">
        <v>292.5</v>
      </c>
      <c r="BL199" s="212">
        <v>7.0</v>
      </c>
      <c r="BM199" s="213">
        <v>4.625</v>
      </c>
      <c r="BN199" s="213">
        <v>0.0020987654327958203</v>
      </c>
      <c r="BO199" s="213">
        <v>0.002129629627840283</v>
      </c>
      <c r="BP199" s="213">
        <v>146.25</v>
      </c>
      <c r="BQ199" s="192"/>
      <c r="BR199" s="192"/>
    </row>
    <row r="200">
      <c r="A200" s="60">
        <v>3332932.0</v>
      </c>
      <c r="B200" s="205">
        <v>703042.0</v>
      </c>
      <c r="C200" s="205">
        <v>315299.0</v>
      </c>
      <c r="D200" s="205">
        <v>1.0</v>
      </c>
      <c r="E200" s="207">
        <v>42145.58993055555</v>
      </c>
      <c r="F200" s="207">
        <v>42197.72238425926</v>
      </c>
      <c r="G200" s="207">
        <v>42190.410729166666</v>
      </c>
      <c r="H200" s="63" t="s">
        <v>1956</v>
      </c>
      <c r="I200" s="205">
        <v>175.0</v>
      </c>
      <c r="J200" s="63" t="s">
        <v>1957</v>
      </c>
      <c r="K200" s="205">
        <v>873961.0</v>
      </c>
      <c r="L200" s="208">
        <v>5.07494</v>
      </c>
      <c r="M200" s="208">
        <v>2.43416</v>
      </c>
      <c r="N200" s="208">
        <v>2.42387</v>
      </c>
      <c r="O200" s="209">
        <v>4.0</v>
      </c>
      <c r="P200" s="209">
        <v>9.0</v>
      </c>
      <c r="Q200" s="209">
        <v>8.0</v>
      </c>
      <c r="R200" s="209">
        <v>7.0</v>
      </c>
      <c r="S200" s="210">
        <v>0.0022106481483206153</v>
      </c>
      <c r="U200" s="205">
        <v>10.0</v>
      </c>
      <c r="V200" s="205">
        <v>3.0</v>
      </c>
      <c r="W200" s="63" t="s">
        <v>1958</v>
      </c>
      <c r="X200" s="210">
        <v>0.002835648148902692</v>
      </c>
      <c r="Y200" s="63" t="s">
        <v>1959</v>
      </c>
      <c r="Z200" s="63" t="s">
        <v>1960</v>
      </c>
      <c r="AA200" s="205">
        <v>0.0</v>
      </c>
      <c r="AB200" s="63" t="s">
        <v>1961</v>
      </c>
      <c r="AC200" s="205">
        <v>983.0</v>
      </c>
      <c r="AD200" s="208">
        <v>9.50628</v>
      </c>
      <c r="AE200" s="205">
        <v>611115.0</v>
      </c>
      <c r="AF200" s="205">
        <v>77904.0</v>
      </c>
      <c r="AG200" s="205">
        <v>368.0</v>
      </c>
      <c r="AH200" s="205">
        <v>276.0</v>
      </c>
      <c r="AI200" s="205">
        <v>4.0</v>
      </c>
      <c r="AJ200" s="205">
        <v>942.0</v>
      </c>
      <c r="AK200" s="205">
        <v>0.0</v>
      </c>
      <c r="AL200" s="205">
        <v>0.0</v>
      </c>
      <c r="AM200" s="205">
        <v>0.0</v>
      </c>
      <c r="AN200" s="205">
        <v>0.0</v>
      </c>
      <c r="AO200" s="208">
        <v>4.70181</v>
      </c>
      <c r="AP200" s="208">
        <v>5.31941</v>
      </c>
      <c r="AQ200" s="208">
        <v>7.25755</v>
      </c>
      <c r="AR200" s="208">
        <v>4.05303</v>
      </c>
      <c r="AT200" s="192" t="s">
        <v>498</v>
      </c>
      <c r="AU200" s="211" t="s">
        <v>497</v>
      </c>
      <c r="AV200" s="211" t="s">
        <v>1962</v>
      </c>
      <c r="AW200" s="211" t="s">
        <v>1963</v>
      </c>
      <c r="AX200" s="211" t="s">
        <v>498</v>
      </c>
      <c r="AY200" s="212">
        <v>2.0</v>
      </c>
      <c r="AZ200" s="213">
        <v>4.5</v>
      </c>
      <c r="BA200" s="213">
        <v>4.0</v>
      </c>
      <c r="BB200" s="213">
        <v>3.5</v>
      </c>
      <c r="BC200" s="212">
        <v>5.2</v>
      </c>
      <c r="BD200" s="213">
        <v>10.0</v>
      </c>
      <c r="BE200" s="213">
        <v>10.0</v>
      </c>
      <c r="BF200" s="213">
        <v>9.799999999999999</v>
      </c>
      <c r="BG200" s="212">
        <v>10.333333333333332</v>
      </c>
      <c r="BH200" s="213">
        <v>9.75</v>
      </c>
      <c r="BI200" s="213">
        <v>0.0014737654322137435</v>
      </c>
      <c r="BJ200" s="213">
        <v>0.0018904320992684613</v>
      </c>
      <c r="BK200" s="213">
        <v>262.5</v>
      </c>
      <c r="BL200" s="212">
        <v>7.0</v>
      </c>
      <c r="BM200" s="213">
        <v>5.375</v>
      </c>
      <c r="BN200" s="213">
        <v>0.002947530864427487</v>
      </c>
      <c r="BO200" s="213">
        <v>0.0037808641985369227</v>
      </c>
      <c r="BP200" s="213">
        <v>131.25</v>
      </c>
      <c r="BQ200" s="192"/>
      <c r="BR200" s="192"/>
    </row>
    <row r="201">
      <c r="A201" s="60">
        <v>2917786.0</v>
      </c>
      <c r="B201" s="205">
        <v>703042.0</v>
      </c>
      <c r="C201" s="205">
        <v>315299.0</v>
      </c>
      <c r="D201" s="205">
        <v>1.0</v>
      </c>
      <c r="E201" s="207">
        <v>42145.58993055555</v>
      </c>
      <c r="F201" s="207">
        <v>42197.72238425926</v>
      </c>
      <c r="G201" s="207">
        <v>42190.410729166666</v>
      </c>
      <c r="H201" s="63" t="s">
        <v>1956</v>
      </c>
      <c r="I201" s="205">
        <v>175.0</v>
      </c>
      <c r="J201" s="63" t="s">
        <v>1957</v>
      </c>
      <c r="K201" s="205">
        <v>873961.0</v>
      </c>
      <c r="L201" s="208">
        <v>5.07494</v>
      </c>
      <c r="M201" s="208">
        <v>2.43416</v>
      </c>
      <c r="N201" s="208">
        <v>2.42387</v>
      </c>
      <c r="O201" s="209">
        <v>4.0</v>
      </c>
      <c r="P201" s="209">
        <v>9.0</v>
      </c>
      <c r="Q201" s="209">
        <v>8.0</v>
      </c>
      <c r="R201" s="209">
        <v>7.0</v>
      </c>
      <c r="S201" s="210">
        <v>0.0022106481483206153</v>
      </c>
      <c r="U201" s="205">
        <v>10.0</v>
      </c>
      <c r="V201" s="205">
        <v>3.0</v>
      </c>
      <c r="W201" s="63" t="s">
        <v>1958</v>
      </c>
      <c r="X201" s="210">
        <v>0.002835648148902692</v>
      </c>
      <c r="Y201" s="63" t="s">
        <v>1959</v>
      </c>
      <c r="Z201" s="63" t="s">
        <v>1960</v>
      </c>
      <c r="AA201" s="205">
        <v>0.0</v>
      </c>
      <c r="AB201" s="63" t="s">
        <v>1961</v>
      </c>
      <c r="AC201" s="205">
        <v>983.0</v>
      </c>
      <c r="AD201" s="208">
        <v>9.50628</v>
      </c>
      <c r="AE201" s="205">
        <v>611115.0</v>
      </c>
      <c r="AF201" s="205">
        <v>77904.0</v>
      </c>
      <c r="AG201" s="205">
        <v>368.0</v>
      </c>
      <c r="AH201" s="205">
        <v>276.0</v>
      </c>
      <c r="AI201" s="205">
        <v>4.0</v>
      </c>
      <c r="AJ201" s="205">
        <v>942.0</v>
      </c>
      <c r="AK201" s="205">
        <v>0.0</v>
      </c>
      <c r="AL201" s="205">
        <v>0.0</v>
      </c>
      <c r="AM201" s="205">
        <v>0.0</v>
      </c>
      <c r="AN201" s="205">
        <v>0.0</v>
      </c>
      <c r="AO201" s="208">
        <v>4.70181</v>
      </c>
      <c r="AP201" s="208">
        <v>5.31941</v>
      </c>
      <c r="AQ201" s="208">
        <v>7.25755</v>
      </c>
      <c r="AR201" s="208">
        <v>4.05303</v>
      </c>
      <c r="AT201" s="192" t="s">
        <v>498</v>
      </c>
      <c r="AU201" s="211" t="s">
        <v>497</v>
      </c>
      <c r="AV201" s="211" t="s">
        <v>1962</v>
      </c>
      <c r="AW201" s="211" t="s">
        <v>1963</v>
      </c>
      <c r="AX201" s="211" t="s">
        <v>498</v>
      </c>
      <c r="AY201" s="212">
        <v>2.0</v>
      </c>
      <c r="AZ201" s="213">
        <v>4.5</v>
      </c>
      <c r="BA201" s="213">
        <v>4.0</v>
      </c>
      <c r="BB201" s="213">
        <v>3.5</v>
      </c>
      <c r="BC201" s="212">
        <v>5.2</v>
      </c>
      <c r="BD201" s="213">
        <v>10.0</v>
      </c>
      <c r="BE201" s="213">
        <v>10.0</v>
      </c>
      <c r="BF201" s="213">
        <v>9.799999999999999</v>
      </c>
      <c r="BG201" s="212">
        <v>10.333333333333332</v>
      </c>
      <c r="BH201" s="213">
        <v>9.75</v>
      </c>
      <c r="BI201" s="213">
        <v>0.0014737654322137435</v>
      </c>
      <c r="BJ201" s="213">
        <v>0.0018904320992684613</v>
      </c>
      <c r="BK201" s="213">
        <v>262.5</v>
      </c>
      <c r="BL201" s="212">
        <v>7.0</v>
      </c>
      <c r="BM201" s="213">
        <v>5.375</v>
      </c>
      <c r="BN201" s="213">
        <v>0.002947530864427487</v>
      </c>
      <c r="BO201" s="213">
        <v>0.0037808641985369227</v>
      </c>
      <c r="BP201" s="213">
        <v>131.25</v>
      </c>
      <c r="BQ201" s="192"/>
      <c r="BR201" s="192"/>
    </row>
    <row r="202">
      <c r="A202" s="60">
        <v>2758832.0</v>
      </c>
      <c r="B202" s="205">
        <v>3231091.0</v>
      </c>
      <c r="C202" s="205">
        <v>1569807.0</v>
      </c>
      <c r="D202" s="205">
        <v>1.0</v>
      </c>
      <c r="E202" s="207">
        <v>44444.91366898148</v>
      </c>
      <c r="F202" s="207">
        <v>44507.86359953704</v>
      </c>
      <c r="G202" s="207">
        <v>44500.77111111111</v>
      </c>
      <c r="H202" s="63" t="s">
        <v>1964</v>
      </c>
      <c r="I202" s="205">
        <v>190.0</v>
      </c>
      <c r="J202" s="63" t="s">
        <v>1965</v>
      </c>
      <c r="K202" s="205">
        <v>7265097.0</v>
      </c>
      <c r="L202" s="208">
        <v>5.08815</v>
      </c>
      <c r="M202" s="208">
        <v>2.51633</v>
      </c>
      <c r="N202" s="208">
        <v>2.34749</v>
      </c>
      <c r="O202" s="209">
        <v>4.0</v>
      </c>
      <c r="P202" s="209">
        <v>9.0</v>
      </c>
      <c r="Q202" s="209">
        <v>8.0</v>
      </c>
      <c r="R202" s="209">
        <v>6.0</v>
      </c>
      <c r="S202" s="210">
        <v>0.0023726851868559606</v>
      </c>
      <c r="T202" s="63" t="s">
        <v>1966</v>
      </c>
      <c r="U202" s="205">
        <v>4.0</v>
      </c>
      <c r="V202" s="205">
        <v>3.0</v>
      </c>
      <c r="W202" s="63" t="s">
        <v>1967</v>
      </c>
      <c r="X202" s="210">
        <v>0.002488425925548654</v>
      </c>
      <c r="Y202" s="63" t="s">
        <v>1968</v>
      </c>
      <c r="Z202" s="63" t="s">
        <v>1969</v>
      </c>
      <c r="AA202" s="205">
        <v>0.0</v>
      </c>
      <c r="AB202" s="63" t="s">
        <v>1970</v>
      </c>
      <c r="AC202" s="205">
        <v>903.0</v>
      </c>
      <c r="AD202" s="208">
        <v>9.27237</v>
      </c>
      <c r="AE202" s="205">
        <v>129070.0</v>
      </c>
      <c r="AF202" s="205">
        <v>14642.0</v>
      </c>
      <c r="AG202" s="205">
        <v>496.0</v>
      </c>
      <c r="AH202" s="205">
        <v>329.0</v>
      </c>
      <c r="AI202" s="205">
        <v>3.0</v>
      </c>
      <c r="AJ202" s="205">
        <v>1215.0</v>
      </c>
      <c r="AK202" s="205">
        <v>0.0</v>
      </c>
      <c r="AL202" s="205">
        <v>0.0</v>
      </c>
      <c r="AM202" s="205">
        <v>0.0</v>
      </c>
      <c r="AN202" s="205">
        <v>0.0</v>
      </c>
      <c r="AO202" s="208">
        <v>4.67953</v>
      </c>
      <c r="AP202" s="208">
        <v>5.34506</v>
      </c>
      <c r="AQ202" s="208">
        <v>7.26358</v>
      </c>
      <c r="AR202" s="208">
        <v>4.03121</v>
      </c>
      <c r="AT202" s="192" t="s">
        <v>1971</v>
      </c>
      <c r="AU202" s="211" t="s">
        <v>1972</v>
      </c>
      <c r="AV202" s="211" t="s">
        <v>1973</v>
      </c>
      <c r="AW202" s="211" t="s">
        <v>1974</v>
      </c>
      <c r="AX202" s="211" t="s">
        <v>1971</v>
      </c>
      <c r="AY202" s="212">
        <v>2.0</v>
      </c>
      <c r="AZ202" s="213">
        <v>4.5</v>
      </c>
      <c r="BA202" s="213">
        <v>4.0</v>
      </c>
      <c r="BB202" s="213">
        <v>3.0</v>
      </c>
      <c r="BC202" s="212">
        <v>5.2</v>
      </c>
      <c r="BD202" s="213">
        <v>10.0</v>
      </c>
      <c r="BE202" s="213">
        <v>10.0</v>
      </c>
      <c r="BF202" s="213">
        <v>8.399999999999999</v>
      </c>
      <c r="BG202" s="212">
        <v>10.333333333333332</v>
      </c>
      <c r="BH202" s="213">
        <v>9.75</v>
      </c>
      <c r="BI202" s="213">
        <v>0.0015817901245706405</v>
      </c>
      <c r="BJ202" s="213">
        <v>0.001658950617032436</v>
      </c>
      <c r="BK202" s="213">
        <v>285.0</v>
      </c>
      <c r="BL202" s="212">
        <v>7.0</v>
      </c>
      <c r="BM202" s="213">
        <v>5.375</v>
      </c>
      <c r="BN202" s="213">
        <v>0.003163580249141281</v>
      </c>
      <c r="BO202" s="213">
        <v>0.003317901234064872</v>
      </c>
      <c r="BP202" s="213">
        <v>142.5</v>
      </c>
      <c r="BQ202" s="192"/>
      <c r="BR202" s="192"/>
    </row>
    <row r="203">
      <c r="A203" s="60">
        <v>2856139.0</v>
      </c>
      <c r="B203" s="205">
        <v>1251955.0</v>
      </c>
      <c r="C203" s="205">
        <v>591635.0</v>
      </c>
      <c r="D203" s="205">
        <v>1.0</v>
      </c>
      <c r="E203" s="207">
        <v>42821.790185185186</v>
      </c>
      <c r="F203" s="207">
        <v>42877.6812037037</v>
      </c>
      <c r="G203" s="207">
        <v>42870.66229166667</v>
      </c>
      <c r="H203" s="63" t="s">
        <v>1368</v>
      </c>
      <c r="I203" s="205">
        <v>140.0</v>
      </c>
      <c r="J203" s="63" t="s">
        <v>1975</v>
      </c>
      <c r="K203" s="205">
        <v>5297447.0</v>
      </c>
      <c r="L203" s="208">
        <v>4.64183</v>
      </c>
      <c r="M203" s="208">
        <v>2.11249</v>
      </c>
      <c r="N203" s="208">
        <v>2.31959</v>
      </c>
      <c r="O203" s="209">
        <v>5.2</v>
      </c>
      <c r="P203" s="209">
        <v>9.0</v>
      </c>
      <c r="Q203" s="209">
        <v>7.2</v>
      </c>
      <c r="R203" s="209">
        <v>5.2</v>
      </c>
      <c r="S203" s="210">
        <v>0.001134259258833481</v>
      </c>
      <c r="T203" s="63" t="s">
        <v>1976</v>
      </c>
      <c r="U203" s="205">
        <v>2.0</v>
      </c>
      <c r="V203" s="205">
        <v>5.0</v>
      </c>
      <c r="W203" s="63" t="s">
        <v>1977</v>
      </c>
      <c r="X203" s="210">
        <v>0.0011805555550381541</v>
      </c>
      <c r="Y203" s="63" t="s">
        <v>1978</v>
      </c>
      <c r="Z203" s="63" t="s">
        <v>1979</v>
      </c>
      <c r="AA203" s="205">
        <v>0.0</v>
      </c>
      <c r="AB203" s="63" t="s">
        <v>1980</v>
      </c>
      <c r="AC203" s="205">
        <v>698.0</v>
      </c>
      <c r="AD203" s="208">
        <v>9.41329</v>
      </c>
      <c r="AE203" s="205">
        <v>765852.0</v>
      </c>
      <c r="AF203" s="205">
        <v>168065.0</v>
      </c>
      <c r="AG203" s="205">
        <v>347.0</v>
      </c>
      <c r="AH203" s="205">
        <v>116.0</v>
      </c>
      <c r="AI203" s="205">
        <v>1.0</v>
      </c>
      <c r="AJ203" s="205">
        <v>599.0</v>
      </c>
      <c r="AK203" s="205">
        <v>0.0</v>
      </c>
      <c r="AL203" s="205">
        <v>0.0</v>
      </c>
      <c r="AM203" s="205">
        <v>0.0</v>
      </c>
      <c r="AN203" s="205">
        <v>0.0</v>
      </c>
      <c r="AO203" s="208">
        <v>4.32743</v>
      </c>
      <c r="AP203" s="208">
        <v>5.12875</v>
      </c>
      <c r="AQ203" s="208">
        <v>6.59747</v>
      </c>
      <c r="AR203" s="208">
        <v>3.60013</v>
      </c>
      <c r="AT203" s="192" t="s">
        <v>399</v>
      </c>
      <c r="AU203" s="211" t="s">
        <v>398</v>
      </c>
      <c r="AV203" s="211" t="s">
        <v>1981</v>
      </c>
      <c r="AW203" s="211" t="s">
        <v>1982</v>
      </c>
      <c r="AX203" s="211" t="s">
        <v>399</v>
      </c>
      <c r="AY203" s="212">
        <v>2.6</v>
      </c>
      <c r="AZ203" s="213">
        <v>4.5</v>
      </c>
      <c r="BA203" s="213">
        <v>3.6</v>
      </c>
      <c r="BB203" s="213">
        <v>2.6</v>
      </c>
      <c r="BC203" s="212">
        <v>6.760000000000001</v>
      </c>
      <c r="BD203" s="213">
        <v>10.0</v>
      </c>
      <c r="BE203" s="213">
        <v>10.0</v>
      </c>
      <c r="BF203" s="213">
        <v>7.279999999999999</v>
      </c>
      <c r="BG203" s="212">
        <v>10.333333333333332</v>
      </c>
      <c r="BH203" s="213">
        <v>9.216666666666667</v>
      </c>
      <c r="BI203" s="213">
        <v>7.561728392223207E-4</v>
      </c>
      <c r="BJ203" s="213">
        <v>7.870370366921028E-4</v>
      </c>
      <c r="BK203" s="213">
        <v>210.0</v>
      </c>
      <c r="BL203" s="212">
        <v>7.0</v>
      </c>
      <c r="BM203" s="213">
        <v>4.175000000000001</v>
      </c>
      <c r="BN203" s="213">
        <v>0.0015123456784446414</v>
      </c>
      <c r="BO203" s="213">
        <v>0.0015740740733842056</v>
      </c>
      <c r="BP203" s="213">
        <v>105.0</v>
      </c>
      <c r="BQ203" s="192"/>
      <c r="BR203" s="192"/>
    </row>
    <row r="204">
      <c r="A204" s="60">
        <v>1653270.0</v>
      </c>
      <c r="B204" s="205">
        <v>1251955.0</v>
      </c>
      <c r="C204" s="205">
        <v>591635.0</v>
      </c>
      <c r="D204" s="205">
        <v>1.0</v>
      </c>
      <c r="E204" s="207">
        <v>42821.790185185186</v>
      </c>
      <c r="F204" s="207">
        <v>42877.6812037037</v>
      </c>
      <c r="G204" s="207">
        <v>42870.66229166667</v>
      </c>
      <c r="H204" s="63" t="s">
        <v>1368</v>
      </c>
      <c r="I204" s="205">
        <v>140.0</v>
      </c>
      <c r="J204" s="63" t="s">
        <v>1975</v>
      </c>
      <c r="K204" s="205">
        <v>5297447.0</v>
      </c>
      <c r="L204" s="208">
        <v>4.64183</v>
      </c>
      <c r="M204" s="208">
        <v>2.11249</v>
      </c>
      <c r="N204" s="208">
        <v>2.31959</v>
      </c>
      <c r="O204" s="209">
        <v>5.2</v>
      </c>
      <c r="P204" s="209">
        <v>9.0</v>
      </c>
      <c r="Q204" s="209">
        <v>7.2</v>
      </c>
      <c r="R204" s="209">
        <v>5.2</v>
      </c>
      <c r="S204" s="210">
        <v>0.001134259258833481</v>
      </c>
      <c r="T204" s="63" t="s">
        <v>1976</v>
      </c>
      <c r="U204" s="205">
        <v>2.0</v>
      </c>
      <c r="V204" s="205">
        <v>5.0</v>
      </c>
      <c r="W204" s="63" t="s">
        <v>1977</v>
      </c>
      <c r="X204" s="210">
        <v>0.0011805555550381541</v>
      </c>
      <c r="Y204" s="63" t="s">
        <v>1978</v>
      </c>
      <c r="Z204" s="63" t="s">
        <v>1979</v>
      </c>
      <c r="AA204" s="205">
        <v>0.0</v>
      </c>
      <c r="AB204" s="63" t="s">
        <v>1980</v>
      </c>
      <c r="AC204" s="205">
        <v>698.0</v>
      </c>
      <c r="AD204" s="208">
        <v>9.41329</v>
      </c>
      <c r="AE204" s="205">
        <v>765852.0</v>
      </c>
      <c r="AF204" s="205">
        <v>168065.0</v>
      </c>
      <c r="AG204" s="205">
        <v>347.0</v>
      </c>
      <c r="AH204" s="205">
        <v>116.0</v>
      </c>
      <c r="AI204" s="205">
        <v>1.0</v>
      </c>
      <c r="AJ204" s="205">
        <v>599.0</v>
      </c>
      <c r="AK204" s="205">
        <v>0.0</v>
      </c>
      <c r="AL204" s="205">
        <v>0.0</v>
      </c>
      <c r="AM204" s="205">
        <v>0.0</v>
      </c>
      <c r="AN204" s="205">
        <v>0.0</v>
      </c>
      <c r="AO204" s="208">
        <v>4.32743</v>
      </c>
      <c r="AP204" s="208">
        <v>5.12875</v>
      </c>
      <c r="AQ204" s="208">
        <v>6.59747</v>
      </c>
      <c r="AR204" s="208">
        <v>3.60013</v>
      </c>
      <c r="AT204" s="192" t="s">
        <v>399</v>
      </c>
      <c r="AU204" s="211" t="s">
        <v>398</v>
      </c>
      <c r="AV204" s="211" t="s">
        <v>1981</v>
      </c>
      <c r="AW204" s="211" t="s">
        <v>1982</v>
      </c>
      <c r="AX204" s="211" t="s">
        <v>399</v>
      </c>
      <c r="AY204" s="212">
        <v>2.6</v>
      </c>
      <c r="AZ204" s="213">
        <v>4.5</v>
      </c>
      <c r="BA204" s="213">
        <v>3.6</v>
      </c>
      <c r="BB204" s="213">
        <v>2.6</v>
      </c>
      <c r="BC204" s="212">
        <v>6.760000000000001</v>
      </c>
      <c r="BD204" s="213">
        <v>10.0</v>
      </c>
      <c r="BE204" s="213">
        <v>10.0</v>
      </c>
      <c r="BF204" s="213">
        <v>7.279999999999999</v>
      </c>
      <c r="BG204" s="212">
        <v>10.333333333333332</v>
      </c>
      <c r="BH204" s="213">
        <v>9.216666666666667</v>
      </c>
      <c r="BI204" s="213">
        <v>7.561728392223207E-4</v>
      </c>
      <c r="BJ204" s="213">
        <v>7.870370366921028E-4</v>
      </c>
      <c r="BK204" s="213">
        <v>210.0</v>
      </c>
      <c r="BL204" s="212">
        <v>7.0</v>
      </c>
      <c r="BM204" s="213">
        <v>4.175000000000001</v>
      </c>
      <c r="BN204" s="213">
        <v>0.0015123456784446414</v>
      </c>
      <c r="BO204" s="213">
        <v>0.0015740740733842056</v>
      </c>
      <c r="BP204" s="213">
        <v>105.0</v>
      </c>
      <c r="BQ204" s="192"/>
      <c r="BR204" s="192"/>
    </row>
    <row r="205">
      <c r="A205" s="60">
        <v>2151207.0</v>
      </c>
      <c r="B205" s="205">
        <v>2472143.0</v>
      </c>
      <c r="C205" s="205">
        <v>1186066.0</v>
      </c>
      <c r="D205" s="205">
        <v>1.0</v>
      </c>
      <c r="E205" s="207">
        <v>43987.205358796295</v>
      </c>
      <c r="F205" s="207">
        <v>44046.920810185184</v>
      </c>
      <c r="G205" s="207">
        <v>44018.83857638889</v>
      </c>
      <c r="H205" s="63" t="s">
        <v>1983</v>
      </c>
      <c r="I205" s="205">
        <v>105.0</v>
      </c>
      <c r="J205" s="63" t="s">
        <v>1984</v>
      </c>
      <c r="K205" s="205">
        <v>1.072663E7</v>
      </c>
      <c r="L205" s="208">
        <v>4.76833</v>
      </c>
      <c r="M205" s="208">
        <v>2.47075</v>
      </c>
      <c r="N205" s="208">
        <v>2.04768</v>
      </c>
      <c r="O205" s="209">
        <v>3.8</v>
      </c>
      <c r="P205" s="209">
        <v>9.0</v>
      </c>
      <c r="Q205" s="209">
        <v>8.2</v>
      </c>
      <c r="R205" s="209">
        <v>5.6</v>
      </c>
      <c r="S205" s="210">
        <v>0.0024999999986903276</v>
      </c>
      <c r="U205" s="205">
        <v>4.0</v>
      </c>
      <c r="V205" s="205">
        <v>2.0</v>
      </c>
      <c r="W205" s="63" t="s">
        <v>1985</v>
      </c>
      <c r="X205" s="210">
        <v>0.0025462962948950008</v>
      </c>
      <c r="Y205" s="63" t="s">
        <v>1116</v>
      </c>
      <c r="Z205" s="63" t="s">
        <v>1986</v>
      </c>
      <c r="AA205" s="205">
        <v>0.0</v>
      </c>
      <c r="AB205" s="63" t="s">
        <v>1987</v>
      </c>
      <c r="AC205" s="205">
        <v>129.0</v>
      </c>
      <c r="AD205" s="208">
        <v>9.26519</v>
      </c>
      <c r="AE205" s="205">
        <v>49456.0</v>
      </c>
      <c r="AF205" s="205">
        <v>4706.0</v>
      </c>
      <c r="AG205" s="205">
        <v>369.0</v>
      </c>
      <c r="AH205" s="205">
        <v>387.0</v>
      </c>
      <c r="AI205" s="205">
        <v>2.0</v>
      </c>
      <c r="AJ205" s="205">
        <v>1160.0</v>
      </c>
      <c r="AK205" s="205">
        <v>0.0</v>
      </c>
      <c r="AL205" s="205">
        <v>0.0</v>
      </c>
      <c r="AM205" s="205">
        <v>0.0</v>
      </c>
      <c r="AN205" s="205">
        <v>0.0</v>
      </c>
      <c r="AO205" s="208">
        <v>4.39299</v>
      </c>
      <c r="AP205" s="208">
        <v>5.02802</v>
      </c>
      <c r="AQ205" s="208">
        <v>6.60904</v>
      </c>
      <c r="AR205" s="208">
        <v>3.82101</v>
      </c>
      <c r="AT205" s="192" t="s">
        <v>404</v>
      </c>
      <c r="AU205" s="211" t="s">
        <v>403</v>
      </c>
      <c r="AV205" s="211" t="s">
        <v>1988</v>
      </c>
      <c r="AW205" s="211" t="s">
        <v>1989</v>
      </c>
      <c r="AX205" s="211" t="s">
        <v>404</v>
      </c>
      <c r="AY205" s="212">
        <v>1.9</v>
      </c>
      <c r="AZ205" s="213">
        <v>4.5</v>
      </c>
      <c r="BA205" s="213">
        <v>4.1</v>
      </c>
      <c r="BB205" s="213">
        <v>2.8</v>
      </c>
      <c r="BC205" s="212">
        <v>4.9399999999999995</v>
      </c>
      <c r="BD205" s="213">
        <v>10.0</v>
      </c>
      <c r="BE205" s="213">
        <v>10.0</v>
      </c>
      <c r="BF205" s="213">
        <v>7.839999999999999</v>
      </c>
      <c r="BG205" s="212">
        <v>10.333333333333332</v>
      </c>
      <c r="BH205" s="213">
        <v>9.883333333333333</v>
      </c>
      <c r="BI205" s="213">
        <v>0.0016666666657935518</v>
      </c>
      <c r="BJ205" s="213">
        <v>0.001697530863263334</v>
      </c>
      <c r="BK205" s="213">
        <v>157.5</v>
      </c>
      <c r="BL205" s="212">
        <v>7.0</v>
      </c>
      <c r="BM205" s="213">
        <v>5.675</v>
      </c>
      <c r="BN205" s="213">
        <v>0.0033333333315871037</v>
      </c>
      <c r="BO205" s="213">
        <v>0.003395061726526668</v>
      </c>
      <c r="BP205" s="213">
        <v>78.75</v>
      </c>
      <c r="BQ205" s="192"/>
      <c r="BR205" s="192"/>
    </row>
    <row r="206">
      <c r="A206" s="60">
        <v>2671048.0</v>
      </c>
      <c r="B206" s="205">
        <v>2472143.0</v>
      </c>
      <c r="C206" s="205">
        <v>1186066.0</v>
      </c>
      <c r="D206" s="205">
        <v>1.0</v>
      </c>
      <c r="E206" s="207">
        <v>43987.205358796295</v>
      </c>
      <c r="F206" s="207">
        <v>44046.920810185184</v>
      </c>
      <c r="G206" s="207">
        <v>44018.83857638889</v>
      </c>
      <c r="H206" s="63" t="s">
        <v>1983</v>
      </c>
      <c r="I206" s="205">
        <v>105.0</v>
      </c>
      <c r="J206" s="63" t="s">
        <v>1984</v>
      </c>
      <c r="K206" s="205">
        <v>1.072663E7</v>
      </c>
      <c r="L206" s="208">
        <v>4.76833</v>
      </c>
      <c r="M206" s="208">
        <v>2.47075</v>
      </c>
      <c r="N206" s="208">
        <v>2.04768</v>
      </c>
      <c r="O206" s="209">
        <v>3.8</v>
      </c>
      <c r="P206" s="209">
        <v>9.0</v>
      </c>
      <c r="Q206" s="209">
        <v>8.2</v>
      </c>
      <c r="R206" s="209">
        <v>5.6</v>
      </c>
      <c r="S206" s="210">
        <v>0.0024999999986903276</v>
      </c>
      <c r="U206" s="205">
        <v>4.0</v>
      </c>
      <c r="V206" s="205">
        <v>2.0</v>
      </c>
      <c r="W206" s="63" t="s">
        <v>1985</v>
      </c>
      <c r="X206" s="210">
        <v>0.0025462962948950008</v>
      </c>
      <c r="Y206" s="63" t="s">
        <v>1116</v>
      </c>
      <c r="Z206" s="63" t="s">
        <v>1986</v>
      </c>
      <c r="AA206" s="205">
        <v>0.0</v>
      </c>
      <c r="AB206" s="63" t="s">
        <v>1987</v>
      </c>
      <c r="AC206" s="205">
        <v>129.0</v>
      </c>
      <c r="AD206" s="208">
        <v>9.26519</v>
      </c>
      <c r="AE206" s="205">
        <v>49456.0</v>
      </c>
      <c r="AF206" s="205">
        <v>4706.0</v>
      </c>
      <c r="AG206" s="205">
        <v>369.0</v>
      </c>
      <c r="AH206" s="205">
        <v>387.0</v>
      </c>
      <c r="AI206" s="205">
        <v>2.0</v>
      </c>
      <c r="AJ206" s="205">
        <v>1160.0</v>
      </c>
      <c r="AK206" s="205">
        <v>0.0</v>
      </c>
      <c r="AL206" s="205">
        <v>0.0</v>
      </c>
      <c r="AM206" s="205">
        <v>0.0</v>
      </c>
      <c r="AN206" s="205">
        <v>0.0</v>
      </c>
      <c r="AO206" s="208">
        <v>4.39299</v>
      </c>
      <c r="AP206" s="208">
        <v>5.02802</v>
      </c>
      <c r="AQ206" s="208">
        <v>6.60904</v>
      </c>
      <c r="AR206" s="208">
        <v>3.82101</v>
      </c>
      <c r="AT206" s="192" t="s">
        <v>404</v>
      </c>
      <c r="AU206" s="211" t="s">
        <v>403</v>
      </c>
      <c r="AV206" s="211" t="s">
        <v>1988</v>
      </c>
      <c r="AW206" s="211" t="s">
        <v>1989</v>
      </c>
      <c r="AX206" s="211" t="s">
        <v>404</v>
      </c>
      <c r="AY206" s="212">
        <v>1.9</v>
      </c>
      <c r="AZ206" s="213">
        <v>4.5</v>
      </c>
      <c r="BA206" s="213">
        <v>4.1</v>
      </c>
      <c r="BB206" s="213">
        <v>2.8</v>
      </c>
      <c r="BC206" s="212">
        <v>4.9399999999999995</v>
      </c>
      <c r="BD206" s="213">
        <v>10.0</v>
      </c>
      <c r="BE206" s="213">
        <v>10.0</v>
      </c>
      <c r="BF206" s="213">
        <v>7.839999999999999</v>
      </c>
      <c r="BG206" s="212">
        <v>10.333333333333332</v>
      </c>
      <c r="BH206" s="213">
        <v>9.883333333333333</v>
      </c>
      <c r="BI206" s="213">
        <v>0.0016666666657935518</v>
      </c>
      <c r="BJ206" s="213">
        <v>0.001697530863263334</v>
      </c>
      <c r="BK206" s="213">
        <v>157.5</v>
      </c>
      <c r="BL206" s="212">
        <v>7.0</v>
      </c>
      <c r="BM206" s="213">
        <v>5.675</v>
      </c>
      <c r="BN206" s="213">
        <v>0.0033333333315871037</v>
      </c>
      <c r="BO206" s="213">
        <v>0.003395061726526668</v>
      </c>
      <c r="BP206" s="213">
        <v>78.75</v>
      </c>
      <c r="BQ206" s="192"/>
      <c r="BR206" s="192"/>
    </row>
    <row r="207">
      <c r="A207" s="60">
        <v>1738876.0</v>
      </c>
      <c r="B207" s="205">
        <v>3221246.0</v>
      </c>
      <c r="C207" s="205">
        <v>1496234.0</v>
      </c>
      <c r="D207" s="205">
        <v>1.0</v>
      </c>
      <c r="E207" s="207">
        <v>44366.362337962964</v>
      </c>
      <c r="F207" s="207">
        <v>44472.19672453703</v>
      </c>
      <c r="G207" s="207">
        <v>44465.13775462963</v>
      </c>
      <c r="H207" s="63" t="s">
        <v>1990</v>
      </c>
      <c r="I207" s="205">
        <v>176.0</v>
      </c>
      <c r="J207" s="63" t="s">
        <v>1991</v>
      </c>
      <c r="K207" s="205">
        <v>9487458.0</v>
      </c>
      <c r="L207" s="208">
        <v>4.90669</v>
      </c>
      <c r="M207" s="208">
        <v>2.62395</v>
      </c>
      <c r="N207" s="208">
        <v>1.96437</v>
      </c>
      <c r="O207" s="209">
        <v>4.4</v>
      </c>
      <c r="P207" s="209">
        <v>9.3</v>
      </c>
      <c r="Q207" s="209">
        <v>8.4</v>
      </c>
      <c r="R207" s="209">
        <v>6.0</v>
      </c>
      <c r="S207" s="210">
        <v>0.002025462963501923</v>
      </c>
      <c r="U207" s="205">
        <v>10.0</v>
      </c>
      <c r="V207" s="205">
        <v>3.0</v>
      </c>
      <c r="W207" s="63" t="s">
        <v>1992</v>
      </c>
      <c r="X207" s="210">
        <v>0.00204861110978527</v>
      </c>
      <c r="Y207" s="63" t="s">
        <v>1993</v>
      </c>
      <c r="Z207" s="63" t="s">
        <v>1994</v>
      </c>
      <c r="AA207" s="205">
        <v>0.0</v>
      </c>
      <c r="AB207" s="63" t="s">
        <v>1995</v>
      </c>
      <c r="AC207" s="205">
        <v>438.0</v>
      </c>
      <c r="AD207" s="208">
        <v>9.30363</v>
      </c>
      <c r="AE207" s="205">
        <v>36586.0</v>
      </c>
      <c r="AF207" s="205">
        <v>4927.0</v>
      </c>
      <c r="AG207" s="205">
        <v>266.0</v>
      </c>
      <c r="AH207" s="205">
        <v>348.0</v>
      </c>
      <c r="AI207" s="205">
        <v>2.0</v>
      </c>
      <c r="AJ207" s="205">
        <v>988.0</v>
      </c>
      <c r="AK207" s="205">
        <v>0.0</v>
      </c>
      <c r="AL207" s="205">
        <v>0.0</v>
      </c>
      <c r="AM207" s="205">
        <v>0.0</v>
      </c>
      <c r="AN207" s="205">
        <v>0.0</v>
      </c>
      <c r="AO207" s="208">
        <v>4.36284</v>
      </c>
      <c r="AP207" s="208">
        <v>5.39977</v>
      </c>
      <c r="AQ207" s="208">
        <v>6.98271</v>
      </c>
      <c r="AR207" s="208">
        <v>3.90083</v>
      </c>
      <c r="AT207" s="192" t="s">
        <v>410</v>
      </c>
      <c r="AU207" s="211" t="s">
        <v>409</v>
      </c>
      <c r="AV207" s="211" t="s">
        <v>1996</v>
      </c>
      <c r="AW207" s="211" t="s">
        <v>1997</v>
      </c>
      <c r="AX207" s="211" t="s">
        <v>410</v>
      </c>
      <c r="AY207" s="212">
        <v>2.2</v>
      </c>
      <c r="AZ207" s="213">
        <v>4.65</v>
      </c>
      <c r="BA207" s="213">
        <v>4.2</v>
      </c>
      <c r="BB207" s="213">
        <v>3.0</v>
      </c>
      <c r="BC207" s="212">
        <v>5.720000000000001</v>
      </c>
      <c r="BD207" s="213">
        <v>10.0</v>
      </c>
      <c r="BE207" s="213">
        <v>10.0</v>
      </c>
      <c r="BF207" s="213">
        <v>8.399999999999999</v>
      </c>
      <c r="BG207" s="212">
        <v>10.533333333333333</v>
      </c>
      <c r="BH207" s="213">
        <v>10.016666666666667</v>
      </c>
      <c r="BI207" s="213">
        <v>0.0013503086423346151</v>
      </c>
      <c r="BJ207" s="213">
        <v>0.0013657407398568466</v>
      </c>
      <c r="BK207" s="213">
        <v>264.0</v>
      </c>
      <c r="BL207" s="212">
        <v>7.450000000000001</v>
      </c>
      <c r="BM207" s="213">
        <v>5.975000000000001</v>
      </c>
      <c r="BN207" s="213">
        <v>0.0027006172846692302</v>
      </c>
      <c r="BO207" s="213">
        <v>0.0027314814797136933</v>
      </c>
      <c r="BP207" s="213">
        <v>132.0</v>
      </c>
      <c r="BQ207" s="192"/>
      <c r="BR207" s="192"/>
    </row>
    <row r="208">
      <c r="A208" s="60">
        <v>117424.0</v>
      </c>
      <c r="B208" s="205">
        <v>3221246.0</v>
      </c>
      <c r="C208" s="205">
        <v>1496234.0</v>
      </c>
      <c r="D208" s="205">
        <v>1.0</v>
      </c>
      <c r="E208" s="207">
        <v>44366.362337962964</v>
      </c>
      <c r="F208" s="207">
        <v>44472.19672453703</v>
      </c>
      <c r="G208" s="207">
        <v>44465.13775462963</v>
      </c>
      <c r="H208" s="63" t="s">
        <v>1990</v>
      </c>
      <c r="I208" s="205">
        <v>176.0</v>
      </c>
      <c r="J208" s="63" t="s">
        <v>1991</v>
      </c>
      <c r="K208" s="205">
        <v>9487458.0</v>
      </c>
      <c r="L208" s="208">
        <v>4.90669</v>
      </c>
      <c r="M208" s="208">
        <v>2.62395</v>
      </c>
      <c r="N208" s="208">
        <v>1.96437</v>
      </c>
      <c r="O208" s="209">
        <v>4.4</v>
      </c>
      <c r="P208" s="209">
        <v>9.3</v>
      </c>
      <c r="Q208" s="209">
        <v>8.4</v>
      </c>
      <c r="R208" s="209">
        <v>6.0</v>
      </c>
      <c r="S208" s="210">
        <v>0.002025462963501923</v>
      </c>
      <c r="U208" s="205">
        <v>10.0</v>
      </c>
      <c r="V208" s="205">
        <v>3.0</v>
      </c>
      <c r="W208" s="63" t="s">
        <v>1992</v>
      </c>
      <c r="X208" s="210">
        <v>0.00204861110978527</v>
      </c>
      <c r="Y208" s="63" t="s">
        <v>1993</v>
      </c>
      <c r="Z208" s="63" t="s">
        <v>1994</v>
      </c>
      <c r="AA208" s="205">
        <v>0.0</v>
      </c>
      <c r="AB208" s="63" t="s">
        <v>1995</v>
      </c>
      <c r="AC208" s="205">
        <v>438.0</v>
      </c>
      <c r="AD208" s="208">
        <v>9.30363</v>
      </c>
      <c r="AE208" s="205">
        <v>36586.0</v>
      </c>
      <c r="AF208" s="205">
        <v>4927.0</v>
      </c>
      <c r="AG208" s="205">
        <v>266.0</v>
      </c>
      <c r="AH208" s="205">
        <v>348.0</v>
      </c>
      <c r="AI208" s="205">
        <v>2.0</v>
      </c>
      <c r="AJ208" s="205">
        <v>988.0</v>
      </c>
      <c r="AK208" s="205">
        <v>0.0</v>
      </c>
      <c r="AL208" s="205">
        <v>0.0</v>
      </c>
      <c r="AM208" s="205">
        <v>0.0</v>
      </c>
      <c r="AN208" s="205">
        <v>0.0</v>
      </c>
      <c r="AO208" s="208">
        <v>4.36284</v>
      </c>
      <c r="AP208" s="208">
        <v>5.39977</v>
      </c>
      <c r="AQ208" s="208">
        <v>6.98271</v>
      </c>
      <c r="AR208" s="208">
        <v>3.90083</v>
      </c>
      <c r="AT208" s="192" t="s">
        <v>410</v>
      </c>
      <c r="AU208" s="211" t="s">
        <v>409</v>
      </c>
      <c r="AV208" s="211" t="s">
        <v>1996</v>
      </c>
      <c r="AW208" s="211" t="s">
        <v>1997</v>
      </c>
      <c r="AX208" s="211" t="s">
        <v>410</v>
      </c>
      <c r="AY208" s="212">
        <v>2.2</v>
      </c>
      <c r="AZ208" s="213">
        <v>4.65</v>
      </c>
      <c r="BA208" s="213">
        <v>4.2</v>
      </c>
      <c r="BB208" s="213">
        <v>3.0</v>
      </c>
      <c r="BC208" s="212">
        <v>5.720000000000001</v>
      </c>
      <c r="BD208" s="213">
        <v>10.0</v>
      </c>
      <c r="BE208" s="213">
        <v>10.0</v>
      </c>
      <c r="BF208" s="213">
        <v>8.399999999999999</v>
      </c>
      <c r="BG208" s="212">
        <v>10.533333333333333</v>
      </c>
      <c r="BH208" s="213">
        <v>10.016666666666667</v>
      </c>
      <c r="BI208" s="213">
        <v>0.0013503086423346151</v>
      </c>
      <c r="BJ208" s="213">
        <v>0.0013657407398568466</v>
      </c>
      <c r="BK208" s="213">
        <v>264.0</v>
      </c>
      <c r="BL208" s="212">
        <v>7.450000000000001</v>
      </c>
      <c r="BM208" s="213">
        <v>5.975000000000001</v>
      </c>
      <c r="BN208" s="213">
        <v>0.0027006172846692302</v>
      </c>
      <c r="BO208" s="213">
        <v>0.0027314814797136933</v>
      </c>
      <c r="BP208" s="213">
        <v>132.0</v>
      </c>
      <c r="BQ208" s="192"/>
      <c r="BR208" s="192"/>
    </row>
    <row r="209">
      <c r="A209" s="60">
        <v>3169863.0</v>
      </c>
      <c r="B209" s="205">
        <v>3822120.0</v>
      </c>
      <c r="C209" s="205">
        <v>1855321.0</v>
      </c>
      <c r="D209" s="205">
        <v>1.0</v>
      </c>
      <c r="E209" s="207">
        <v>44829.67935185185</v>
      </c>
      <c r="F209" s="207">
        <v>44897.41954861111</v>
      </c>
      <c r="G209" s="207">
        <v>44889.15231481481</v>
      </c>
      <c r="H209" s="63" t="s">
        <v>1998</v>
      </c>
      <c r="I209" s="205">
        <v>200.0</v>
      </c>
      <c r="J209" s="63" t="s">
        <v>1999</v>
      </c>
      <c r="K209" s="205">
        <v>4378277.0</v>
      </c>
      <c r="L209" s="208">
        <v>4.84487</v>
      </c>
      <c r="M209" s="208">
        <v>2.36152</v>
      </c>
      <c r="N209" s="208">
        <v>2.27437</v>
      </c>
      <c r="O209" s="209">
        <v>3.8</v>
      </c>
      <c r="P209" s="209">
        <v>9.0</v>
      </c>
      <c r="Q209" s="209">
        <v>8.0</v>
      </c>
      <c r="R209" s="209">
        <v>4.5</v>
      </c>
      <c r="S209" s="210">
        <v>0.0025462962948950008</v>
      </c>
      <c r="U209" s="205">
        <v>4.0</v>
      </c>
      <c r="V209" s="205">
        <v>3.0</v>
      </c>
      <c r="W209" s="63" t="s">
        <v>2000</v>
      </c>
      <c r="X209" s="210">
        <v>0.002708333333430346</v>
      </c>
      <c r="Y209" s="63" t="s">
        <v>2001</v>
      </c>
      <c r="Z209" s="63" t="s">
        <v>2002</v>
      </c>
      <c r="AA209" s="205">
        <v>0.0</v>
      </c>
      <c r="AB209" s="63" t="s">
        <v>2003</v>
      </c>
      <c r="AC209" s="205">
        <v>460.0</v>
      </c>
      <c r="AD209" s="208">
        <v>9.47337</v>
      </c>
      <c r="AE209" s="205">
        <v>68104.0</v>
      </c>
      <c r="AF209" s="205">
        <v>16938.0</v>
      </c>
      <c r="AG209" s="205">
        <v>382.0</v>
      </c>
      <c r="AH209" s="205">
        <v>439.0</v>
      </c>
      <c r="AI209" s="205">
        <v>3.0</v>
      </c>
      <c r="AJ209" s="205">
        <v>1388.0</v>
      </c>
      <c r="AK209" s="205">
        <v>0.0</v>
      </c>
      <c r="AL209" s="205">
        <v>0.0</v>
      </c>
      <c r="AM209" s="205">
        <v>0.0</v>
      </c>
      <c r="AN209" s="205">
        <v>0.0</v>
      </c>
      <c r="AO209" s="208">
        <v>4.43999</v>
      </c>
      <c r="AP209" s="208">
        <v>5.10464</v>
      </c>
      <c r="AQ209" s="208">
        <v>6.95895</v>
      </c>
      <c r="AR209" s="208">
        <v>3.85888</v>
      </c>
      <c r="AT209" s="192" t="s">
        <v>414</v>
      </c>
      <c r="AU209" s="211" t="s">
        <v>413</v>
      </c>
      <c r="AV209" s="211" t="s">
        <v>2004</v>
      </c>
      <c r="AW209" s="211" t="s">
        <v>2005</v>
      </c>
      <c r="AX209" s="211" t="s">
        <v>414</v>
      </c>
      <c r="AY209" s="212">
        <v>1.9</v>
      </c>
      <c r="AZ209" s="213">
        <v>4.5</v>
      </c>
      <c r="BA209" s="213">
        <v>4.0</v>
      </c>
      <c r="BB209" s="213">
        <v>2.25</v>
      </c>
      <c r="BC209" s="212">
        <v>4.9399999999999995</v>
      </c>
      <c r="BD209" s="213">
        <v>10.0</v>
      </c>
      <c r="BE209" s="213">
        <v>10.0</v>
      </c>
      <c r="BF209" s="213">
        <v>6.3</v>
      </c>
      <c r="BG209" s="212">
        <v>10.333333333333332</v>
      </c>
      <c r="BH209" s="213">
        <v>9.75</v>
      </c>
      <c r="BI209" s="213">
        <v>0.001697530863263334</v>
      </c>
      <c r="BJ209" s="213">
        <v>0.0018055555556202307</v>
      </c>
      <c r="BK209" s="213">
        <v>300.0</v>
      </c>
      <c r="BL209" s="212">
        <v>7.0</v>
      </c>
      <c r="BM209" s="213">
        <v>5.375</v>
      </c>
      <c r="BN209" s="213">
        <v>0.003395061726526668</v>
      </c>
      <c r="BO209" s="213">
        <v>0.0036111111112404615</v>
      </c>
      <c r="BP209" s="213">
        <v>150.0</v>
      </c>
      <c r="BQ209" s="192"/>
      <c r="BR209" s="192"/>
    </row>
    <row r="210">
      <c r="A210" s="60">
        <v>74778.0</v>
      </c>
      <c r="B210" s="205">
        <v>3822120.0</v>
      </c>
      <c r="C210" s="205">
        <v>1855321.0</v>
      </c>
      <c r="D210" s="205">
        <v>1.0</v>
      </c>
      <c r="E210" s="207">
        <v>44829.67935185185</v>
      </c>
      <c r="F210" s="207">
        <v>44897.41954861111</v>
      </c>
      <c r="G210" s="207">
        <v>44889.15231481481</v>
      </c>
      <c r="H210" s="63" t="s">
        <v>1998</v>
      </c>
      <c r="I210" s="205">
        <v>200.0</v>
      </c>
      <c r="J210" s="63" t="s">
        <v>1999</v>
      </c>
      <c r="K210" s="205">
        <v>4378277.0</v>
      </c>
      <c r="L210" s="208">
        <v>4.84487</v>
      </c>
      <c r="M210" s="208">
        <v>2.36152</v>
      </c>
      <c r="N210" s="208">
        <v>2.27437</v>
      </c>
      <c r="O210" s="209">
        <v>3.8</v>
      </c>
      <c r="P210" s="209">
        <v>9.0</v>
      </c>
      <c r="Q210" s="209">
        <v>8.0</v>
      </c>
      <c r="R210" s="209">
        <v>4.5</v>
      </c>
      <c r="S210" s="210">
        <v>0.0025462962948950008</v>
      </c>
      <c r="U210" s="205">
        <v>4.0</v>
      </c>
      <c r="V210" s="205">
        <v>3.0</v>
      </c>
      <c r="W210" s="63" t="s">
        <v>2000</v>
      </c>
      <c r="X210" s="210">
        <v>0.002708333333430346</v>
      </c>
      <c r="Y210" s="63" t="s">
        <v>2001</v>
      </c>
      <c r="Z210" s="63" t="s">
        <v>2002</v>
      </c>
      <c r="AA210" s="205">
        <v>0.0</v>
      </c>
      <c r="AB210" s="63" t="s">
        <v>2003</v>
      </c>
      <c r="AC210" s="205">
        <v>460.0</v>
      </c>
      <c r="AD210" s="208">
        <v>9.47337</v>
      </c>
      <c r="AE210" s="205">
        <v>68104.0</v>
      </c>
      <c r="AF210" s="205">
        <v>16938.0</v>
      </c>
      <c r="AG210" s="205">
        <v>382.0</v>
      </c>
      <c r="AH210" s="205">
        <v>439.0</v>
      </c>
      <c r="AI210" s="205">
        <v>3.0</v>
      </c>
      <c r="AJ210" s="205">
        <v>1388.0</v>
      </c>
      <c r="AK210" s="205">
        <v>0.0</v>
      </c>
      <c r="AL210" s="205">
        <v>0.0</v>
      </c>
      <c r="AM210" s="205">
        <v>0.0</v>
      </c>
      <c r="AN210" s="205">
        <v>0.0</v>
      </c>
      <c r="AO210" s="208">
        <v>4.43999</v>
      </c>
      <c r="AP210" s="208">
        <v>5.10464</v>
      </c>
      <c r="AQ210" s="208">
        <v>6.95895</v>
      </c>
      <c r="AR210" s="208">
        <v>3.85888</v>
      </c>
      <c r="AT210" s="192" t="s">
        <v>414</v>
      </c>
      <c r="AU210" s="211" t="s">
        <v>413</v>
      </c>
      <c r="AV210" s="211" t="s">
        <v>2004</v>
      </c>
      <c r="AW210" s="211" t="s">
        <v>2005</v>
      </c>
      <c r="AX210" s="211" t="s">
        <v>414</v>
      </c>
      <c r="AY210" s="212">
        <v>1.9</v>
      </c>
      <c r="AZ210" s="213">
        <v>4.5</v>
      </c>
      <c r="BA210" s="213">
        <v>4.0</v>
      </c>
      <c r="BB210" s="213">
        <v>2.25</v>
      </c>
      <c r="BC210" s="212">
        <v>4.9399999999999995</v>
      </c>
      <c r="BD210" s="213">
        <v>10.0</v>
      </c>
      <c r="BE210" s="213">
        <v>10.0</v>
      </c>
      <c r="BF210" s="213">
        <v>6.3</v>
      </c>
      <c r="BG210" s="212">
        <v>10.333333333333332</v>
      </c>
      <c r="BH210" s="213">
        <v>9.75</v>
      </c>
      <c r="BI210" s="213">
        <v>0.001697530863263334</v>
      </c>
      <c r="BJ210" s="213">
        <v>0.0018055555556202307</v>
      </c>
      <c r="BK210" s="213">
        <v>300.0</v>
      </c>
      <c r="BL210" s="212">
        <v>7.0</v>
      </c>
      <c r="BM210" s="213">
        <v>5.375</v>
      </c>
      <c r="BN210" s="213">
        <v>0.003395061726526668</v>
      </c>
      <c r="BO210" s="213">
        <v>0.0036111111112404615</v>
      </c>
      <c r="BP210" s="213">
        <v>150.0</v>
      </c>
      <c r="BQ210" s="192"/>
      <c r="BR210" s="192"/>
    </row>
    <row r="211">
      <c r="A211" s="60">
        <v>28366.0</v>
      </c>
      <c r="B211" s="205">
        <v>48215.0</v>
      </c>
      <c r="C211" s="205">
        <v>12469.0</v>
      </c>
      <c r="D211" s="205">
        <v>1.0</v>
      </c>
      <c r="E211" s="207">
        <v>40202.44231481481</v>
      </c>
      <c r="F211" s="207">
        <v>40227.324108796296</v>
      </c>
      <c r="G211" s="207">
        <v>40226.327523148146</v>
      </c>
      <c r="H211" s="63" t="s">
        <v>2006</v>
      </c>
      <c r="I211" s="205">
        <v>180.0</v>
      </c>
      <c r="J211" s="63" t="s">
        <v>2007</v>
      </c>
      <c r="K211" s="205">
        <v>106767.0</v>
      </c>
      <c r="L211" s="208">
        <v>4.27847</v>
      </c>
      <c r="M211" s="208">
        <v>2.07941</v>
      </c>
      <c r="N211" s="208">
        <v>2.01502</v>
      </c>
      <c r="O211" s="209">
        <v>5.0</v>
      </c>
      <c r="P211" s="209">
        <v>8.0</v>
      </c>
      <c r="Q211" s="209">
        <v>8.0</v>
      </c>
      <c r="R211" s="209">
        <v>6.0</v>
      </c>
      <c r="S211" s="210">
        <v>0.0012268518512428273</v>
      </c>
      <c r="U211" s="205">
        <v>10.0</v>
      </c>
      <c r="V211" s="205">
        <v>5.0</v>
      </c>
      <c r="W211" s="63" t="s">
        <v>2008</v>
      </c>
      <c r="X211" s="210">
        <v>0.0012384259243845008</v>
      </c>
      <c r="Y211" s="63" t="s">
        <v>1125</v>
      </c>
      <c r="Z211" s="63" t="s">
        <v>2009</v>
      </c>
      <c r="AA211" s="205">
        <v>0.0</v>
      </c>
      <c r="AB211" s="63" t="s">
        <v>2010</v>
      </c>
      <c r="AC211" s="205">
        <v>46.0</v>
      </c>
      <c r="AD211" s="208">
        <v>9.23411</v>
      </c>
      <c r="AE211" s="205">
        <v>28505.0</v>
      </c>
      <c r="AF211" s="205">
        <v>5005.0</v>
      </c>
      <c r="AG211" s="205">
        <v>290.0</v>
      </c>
      <c r="AH211" s="205">
        <v>125.0</v>
      </c>
      <c r="AI211" s="205">
        <v>0.0</v>
      </c>
      <c r="AJ211" s="205">
        <v>605.0</v>
      </c>
      <c r="AK211" s="205">
        <v>0.0</v>
      </c>
      <c r="AL211" s="205">
        <v>1.0</v>
      </c>
      <c r="AM211" s="205">
        <v>0.0</v>
      </c>
      <c r="AN211" s="205">
        <v>0.0</v>
      </c>
      <c r="AO211" s="208">
        <v>3.73734</v>
      </c>
      <c r="AP211" s="208">
        <v>4.8664</v>
      </c>
      <c r="AQ211" s="208">
        <v>6.03348</v>
      </c>
      <c r="AR211" s="208">
        <v>3.38499</v>
      </c>
      <c r="AT211" s="192" t="s">
        <v>420</v>
      </c>
      <c r="AU211" s="211" t="s">
        <v>419</v>
      </c>
      <c r="AV211" s="211" t="s">
        <v>2011</v>
      </c>
      <c r="AW211" s="211" t="s">
        <v>2012</v>
      </c>
      <c r="AX211" s="211" t="s">
        <v>420</v>
      </c>
      <c r="AY211" s="212">
        <v>2.5</v>
      </c>
      <c r="AZ211" s="213">
        <v>4.0</v>
      </c>
      <c r="BA211" s="213">
        <v>4.0</v>
      </c>
      <c r="BB211" s="213">
        <v>3.0</v>
      </c>
      <c r="BC211" s="212">
        <v>6.5</v>
      </c>
      <c r="BD211" s="213">
        <v>10.0</v>
      </c>
      <c r="BE211" s="213">
        <v>10.0</v>
      </c>
      <c r="BF211" s="213">
        <v>8.399999999999999</v>
      </c>
      <c r="BG211" s="212">
        <v>9.666666666666668</v>
      </c>
      <c r="BH211" s="213">
        <v>9.75</v>
      </c>
      <c r="BI211" s="213">
        <v>8.179012341618849E-4</v>
      </c>
      <c r="BJ211" s="213">
        <v>8.256172829230005E-4</v>
      </c>
      <c r="BK211" s="213">
        <v>270.0</v>
      </c>
      <c r="BL211" s="212">
        <v>5.5</v>
      </c>
      <c r="BM211" s="213">
        <v>5.375</v>
      </c>
      <c r="BN211" s="213">
        <v>0.0016358024683237697</v>
      </c>
      <c r="BO211" s="213">
        <v>0.001651234565846001</v>
      </c>
      <c r="BP211" s="213">
        <v>135.0</v>
      </c>
      <c r="BQ211" s="192"/>
      <c r="BR211" s="192"/>
    </row>
    <row r="212">
      <c r="A212" s="60">
        <v>3499229.0</v>
      </c>
      <c r="B212" s="205">
        <v>3616425.0</v>
      </c>
      <c r="C212" s="205">
        <v>1695872.0</v>
      </c>
      <c r="D212" s="205">
        <v>1.0</v>
      </c>
      <c r="E212" s="207">
        <v>44602.80997685185</v>
      </c>
      <c r="F212" s="207">
        <v>45145.04361111111</v>
      </c>
      <c r="G212" s="207">
        <v>45137.9678587963</v>
      </c>
      <c r="H212" s="63" t="s">
        <v>2013</v>
      </c>
      <c r="I212" s="205">
        <v>200.0</v>
      </c>
      <c r="J212" s="63" t="s">
        <v>2014</v>
      </c>
      <c r="K212" s="205">
        <v>6381153.0</v>
      </c>
      <c r="L212" s="208">
        <v>5.29078</v>
      </c>
      <c r="M212" s="208">
        <v>2.36879</v>
      </c>
      <c r="N212" s="208">
        <v>2.67425</v>
      </c>
      <c r="O212" s="209">
        <v>4.0</v>
      </c>
      <c r="P212" s="209">
        <v>9.2</v>
      </c>
      <c r="Q212" s="209">
        <v>8.8</v>
      </c>
      <c r="R212" s="209">
        <v>4.0</v>
      </c>
      <c r="S212" s="210">
        <v>0.0030671296299260575</v>
      </c>
      <c r="U212" s="205">
        <v>11.0</v>
      </c>
      <c r="V212" s="205">
        <v>3.0</v>
      </c>
      <c r="W212" s="63" t="s">
        <v>2015</v>
      </c>
      <c r="X212" s="210">
        <v>0.003518518518831115</v>
      </c>
      <c r="Y212" s="63" t="s">
        <v>2016</v>
      </c>
      <c r="Z212" s="63" t="s">
        <v>2017</v>
      </c>
      <c r="AA212" s="205">
        <v>0.0</v>
      </c>
      <c r="AB212" s="63" t="s">
        <v>2018</v>
      </c>
      <c r="AC212" s="205">
        <v>304.0</v>
      </c>
      <c r="AD212" s="208">
        <v>9.16327</v>
      </c>
      <c r="AE212" s="205">
        <v>8236.0</v>
      </c>
      <c r="AF212" s="205">
        <v>1429.0</v>
      </c>
      <c r="AG212" s="205">
        <v>831.0</v>
      </c>
      <c r="AH212" s="205">
        <v>557.0</v>
      </c>
      <c r="AI212" s="205">
        <v>1.0</v>
      </c>
      <c r="AJ212" s="205">
        <v>2442.0</v>
      </c>
      <c r="AK212" s="205">
        <v>1.0</v>
      </c>
      <c r="AL212" s="205">
        <v>0.0</v>
      </c>
      <c r="AM212" s="205">
        <v>0.0</v>
      </c>
      <c r="AN212" s="205">
        <v>0.0</v>
      </c>
      <c r="AO212" s="208">
        <v>4.86759</v>
      </c>
      <c r="AP212" s="208">
        <v>5.52113</v>
      </c>
      <c r="AQ212" s="208">
        <v>7.9922</v>
      </c>
      <c r="AR212" s="208">
        <v>4.20365</v>
      </c>
      <c r="AT212" s="192" t="s">
        <v>426</v>
      </c>
      <c r="AU212" s="211" t="s">
        <v>425</v>
      </c>
      <c r="AV212" s="211" t="s">
        <v>2019</v>
      </c>
      <c r="AW212" s="211" t="s">
        <v>2020</v>
      </c>
      <c r="AX212" s="211" t="s">
        <v>426</v>
      </c>
      <c r="AY212" s="212">
        <v>2.0</v>
      </c>
      <c r="AZ212" s="213">
        <v>4.6</v>
      </c>
      <c r="BA212" s="213">
        <v>4.4</v>
      </c>
      <c r="BB212" s="213">
        <v>2.0</v>
      </c>
      <c r="BC212" s="212">
        <v>5.2</v>
      </c>
      <c r="BD212" s="213">
        <v>10.0</v>
      </c>
      <c r="BE212" s="213">
        <v>10.0</v>
      </c>
      <c r="BF212" s="213">
        <v>5.6</v>
      </c>
      <c r="BG212" s="212">
        <v>10.466666666666667</v>
      </c>
      <c r="BH212" s="213">
        <v>10.283333333333333</v>
      </c>
      <c r="BI212" s="213">
        <v>0.0020447530866173715</v>
      </c>
      <c r="BJ212" s="213">
        <v>0.002345679012554077</v>
      </c>
      <c r="BK212" s="213">
        <v>300.0</v>
      </c>
      <c r="BL212" s="212">
        <v>7.299999999999999</v>
      </c>
      <c r="BM212" s="213">
        <v>6.575</v>
      </c>
      <c r="BN212" s="213">
        <v>0.004089506173234743</v>
      </c>
      <c r="BO212" s="213">
        <v>0.004691358025108154</v>
      </c>
      <c r="BP212" s="213">
        <v>150.0</v>
      </c>
      <c r="BQ212" s="192"/>
      <c r="BR212" s="192"/>
    </row>
    <row r="213">
      <c r="A213" s="60">
        <v>2855311.0</v>
      </c>
      <c r="B213" s="205">
        <v>3616425.0</v>
      </c>
      <c r="C213" s="205">
        <v>1695872.0</v>
      </c>
      <c r="D213" s="205">
        <v>1.0</v>
      </c>
      <c r="E213" s="207">
        <v>44602.80997685185</v>
      </c>
      <c r="F213" s="207">
        <v>45145.04361111111</v>
      </c>
      <c r="G213" s="207">
        <v>45137.9678587963</v>
      </c>
      <c r="H213" s="63" t="s">
        <v>2013</v>
      </c>
      <c r="I213" s="205">
        <v>200.0</v>
      </c>
      <c r="J213" s="63" t="s">
        <v>2014</v>
      </c>
      <c r="K213" s="205">
        <v>6381153.0</v>
      </c>
      <c r="L213" s="208">
        <v>5.29078</v>
      </c>
      <c r="M213" s="208">
        <v>2.36879</v>
      </c>
      <c r="N213" s="208">
        <v>2.67425</v>
      </c>
      <c r="O213" s="209">
        <v>4.0</v>
      </c>
      <c r="P213" s="209">
        <v>9.2</v>
      </c>
      <c r="Q213" s="209">
        <v>8.8</v>
      </c>
      <c r="R213" s="209">
        <v>4.0</v>
      </c>
      <c r="S213" s="210">
        <v>0.0030671296299260575</v>
      </c>
      <c r="U213" s="205">
        <v>11.0</v>
      </c>
      <c r="V213" s="205">
        <v>3.0</v>
      </c>
      <c r="W213" s="63" t="s">
        <v>2015</v>
      </c>
      <c r="X213" s="210">
        <v>0.003518518518831115</v>
      </c>
      <c r="Y213" s="63" t="s">
        <v>2016</v>
      </c>
      <c r="Z213" s="63" t="s">
        <v>2017</v>
      </c>
      <c r="AA213" s="205">
        <v>0.0</v>
      </c>
      <c r="AB213" s="63" t="s">
        <v>2018</v>
      </c>
      <c r="AC213" s="205">
        <v>304.0</v>
      </c>
      <c r="AD213" s="208">
        <v>9.16327</v>
      </c>
      <c r="AE213" s="205">
        <v>8236.0</v>
      </c>
      <c r="AF213" s="205">
        <v>1429.0</v>
      </c>
      <c r="AG213" s="205">
        <v>831.0</v>
      </c>
      <c r="AH213" s="205">
        <v>557.0</v>
      </c>
      <c r="AI213" s="205">
        <v>1.0</v>
      </c>
      <c r="AJ213" s="205">
        <v>2442.0</v>
      </c>
      <c r="AK213" s="205">
        <v>1.0</v>
      </c>
      <c r="AL213" s="205">
        <v>0.0</v>
      </c>
      <c r="AM213" s="205">
        <v>0.0</v>
      </c>
      <c r="AN213" s="205">
        <v>0.0</v>
      </c>
      <c r="AO213" s="208">
        <v>4.86759</v>
      </c>
      <c r="AP213" s="208">
        <v>5.52113</v>
      </c>
      <c r="AQ213" s="208">
        <v>7.9922</v>
      </c>
      <c r="AR213" s="208">
        <v>4.20365</v>
      </c>
      <c r="AT213" s="192" t="s">
        <v>426</v>
      </c>
      <c r="AU213" s="211" t="s">
        <v>425</v>
      </c>
      <c r="AV213" s="211" t="s">
        <v>2019</v>
      </c>
      <c r="AW213" s="211" t="s">
        <v>2020</v>
      </c>
      <c r="AX213" s="211" t="s">
        <v>426</v>
      </c>
      <c r="AY213" s="212">
        <v>2.0</v>
      </c>
      <c r="AZ213" s="213">
        <v>4.6</v>
      </c>
      <c r="BA213" s="213">
        <v>4.4</v>
      </c>
      <c r="BB213" s="213">
        <v>2.0</v>
      </c>
      <c r="BC213" s="212">
        <v>5.2</v>
      </c>
      <c r="BD213" s="213">
        <v>10.0</v>
      </c>
      <c r="BE213" s="213">
        <v>10.0</v>
      </c>
      <c r="BF213" s="213">
        <v>5.6</v>
      </c>
      <c r="BG213" s="212">
        <v>10.466666666666667</v>
      </c>
      <c r="BH213" s="213">
        <v>10.283333333333333</v>
      </c>
      <c r="BI213" s="213">
        <v>0.0020447530866173715</v>
      </c>
      <c r="BJ213" s="213">
        <v>0.002345679012554077</v>
      </c>
      <c r="BK213" s="213">
        <v>300.0</v>
      </c>
      <c r="BL213" s="212">
        <v>7.299999999999999</v>
      </c>
      <c r="BM213" s="213">
        <v>6.575</v>
      </c>
      <c r="BN213" s="213">
        <v>0.004089506173234743</v>
      </c>
      <c r="BO213" s="213">
        <v>0.004691358025108154</v>
      </c>
      <c r="BP213" s="213">
        <v>150.0</v>
      </c>
      <c r="BQ213" s="192"/>
      <c r="BR213" s="192"/>
    </row>
    <row r="214">
      <c r="A214" s="60">
        <v>2891411.0</v>
      </c>
      <c r="B214" s="205">
        <v>2532230.0</v>
      </c>
      <c r="C214" s="205">
        <v>1215814.0</v>
      </c>
      <c r="D214" s="205">
        <v>-2.0</v>
      </c>
      <c r="E214" s="207">
        <v>44029.386087962965</v>
      </c>
      <c r="F214" s="215"/>
      <c r="G214" s="207">
        <v>44765.88868055555</v>
      </c>
      <c r="H214" s="63" t="s">
        <v>2021</v>
      </c>
      <c r="I214" s="205">
        <v>230.0</v>
      </c>
      <c r="J214" s="63" t="s">
        <v>133</v>
      </c>
      <c r="K214" s="205">
        <v>8157492.0</v>
      </c>
      <c r="L214" s="208">
        <v>5.06922</v>
      </c>
      <c r="M214" s="208">
        <v>2.29918</v>
      </c>
      <c r="N214" s="208">
        <v>2.53942</v>
      </c>
      <c r="O214" s="209">
        <v>3.5</v>
      </c>
      <c r="P214" s="209">
        <v>9.0</v>
      </c>
      <c r="Q214" s="209">
        <v>8.0</v>
      </c>
      <c r="R214" s="209">
        <v>3.0</v>
      </c>
      <c r="S214" s="210">
        <v>0.0019560185173759237</v>
      </c>
      <c r="T214" s="63" t="s">
        <v>2022</v>
      </c>
      <c r="U214" s="205">
        <v>11.0</v>
      </c>
      <c r="V214" s="205">
        <v>5.0</v>
      </c>
      <c r="W214" s="63" t="s">
        <v>2023</v>
      </c>
      <c r="X214" s="210">
        <v>0.002071759259706596</v>
      </c>
      <c r="Y214" s="63" t="s">
        <v>1116</v>
      </c>
      <c r="Z214" s="63" t="s">
        <v>2024</v>
      </c>
      <c r="AA214" s="205">
        <v>0.0</v>
      </c>
      <c r="AB214" s="63" t="s">
        <v>2025</v>
      </c>
      <c r="AC214" s="205">
        <v>50.0</v>
      </c>
      <c r="AD214" s="208">
        <v>0.0</v>
      </c>
      <c r="AE214" s="205">
        <v>1207.0</v>
      </c>
      <c r="AF214" s="205">
        <v>412.0</v>
      </c>
      <c r="AG214" s="205">
        <v>368.0</v>
      </c>
      <c r="AH214" s="205">
        <v>341.0</v>
      </c>
      <c r="AI214" s="205">
        <v>1.0</v>
      </c>
      <c r="AJ214" s="205">
        <v>1289.0</v>
      </c>
      <c r="AK214" s="205">
        <v>0.0</v>
      </c>
      <c r="AL214" s="205">
        <v>0.0</v>
      </c>
      <c r="AM214" s="205">
        <v>0.0</v>
      </c>
      <c r="AN214" s="205">
        <v>0.0</v>
      </c>
      <c r="AO214" s="208">
        <v>4.56511</v>
      </c>
      <c r="AP214" s="208">
        <v>5.22368</v>
      </c>
      <c r="AQ214" s="208">
        <v>7.67648</v>
      </c>
      <c r="AR214" s="208">
        <v>4.00496</v>
      </c>
      <c r="AT214" s="192" t="s">
        <v>432</v>
      </c>
      <c r="AU214" s="211" t="s">
        <v>431</v>
      </c>
      <c r="AV214" s="211" t="s">
        <v>2026</v>
      </c>
      <c r="AW214" s="211" t="s">
        <v>2027</v>
      </c>
      <c r="AX214" s="211" t="s">
        <v>432</v>
      </c>
      <c r="AY214" s="212">
        <v>1.75</v>
      </c>
      <c r="AZ214" s="213">
        <v>4.5</v>
      </c>
      <c r="BA214" s="213">
        <v>4.0</v>
      </c>
      <c r="BB214" s="213">
        <v>1.5</v>
      </c>
      <c r="BC214" s="212">
        <v>4.55</v>
      </c>
      <c r="BD214" s="213">
        <v>10.0</v>
      </c>
      <c r="BE214" s="213">
        <v>10.0</v>
      </c>
      <c r="BF214" s="213">
        <v>4.199999999999999</v>
      </c>
      <c r="BG214" s="212">
        <v>10.333333333333332</v>
      </c>
      <c r="BH214" s="213">
        <v>9.75</v>
      </c>
      <c r="BI214" s="213">
        <v>0.0013040123449172825</v>
      </c>
      <c r="BJ214" s="213">
        <v>0.0013811728398043972</v>
      </c>
      <c r="BK214" s="213">
        <v>345.0</v>
      </c>
      <c r="BL214" s="212">
        <v>7.0</v>
      </c>
      <c r="BM214" s="213">
        <v>5.375</v>
      </c>
      <c r="BN214" s="213">
        <v>0.002608024689834565</v>
      </c>
      <c r="BO214" s="213">
        <v>0.0027623456796087944</v>
      </c>
      <c r="BP214" s="213">
        <v>172.5</v>
      </c>
      <c r="BQ214" s="192"/>
      <c r="BR214" s="192"/>
    </row>
    <row r="215">
      <c r="A215" s="60">
        <v>3530469.0</v>
      </c>
      <c r="B215" s="205">
        <v>2532230.0</v>
      </c>
      <c r="C215" s="205">
        <v>1215814.0</v>
      </c>
      <c r="D215" s="205">
        <v>-2.0</v>
      </c>
      <c r="E215" s="207">
        <v>44029.386087962965</v>
      </c>
      <c r="F215" s="215"/>
      <c r="G215" s="207">
        <v>44765.88868055555</v>
      </c>
      <c r="H215" s="63" t="s">
        <v>2021</v>
      </c>
      <c r="I215" s="205">
        <v>230.0</v>
      </c>
      <c r="J215" s="63" t="s">
        <v>133</v>
      </c>
      <c r="K215" s="205">
        <v>8157492.0</v>
      </c>
      <c r="L215" s="208">
        <v>5.06922</v>
      </c>
      <c r="M215" s="208">
        <v>2.29918</v>
      </c>
      <c r="N215" s="208">
        <v>2.53942</v>
      </c>
      <c r="O215" s="209">
        <v>3.5</v>
      </c>
      <c r="P215" s="209">
        <v>9.0</v>
      </c>
      <c r="Q215" s="209">
        <v>8.0</v>
      </c>
      <c r="R215" s="209">
        <v>3.0</v>
      </c>
      <c r="S215" s="210">
        <v>0.0019560185173759237</v>
      </c>
      <c r="T215" s="63" t="s">
        <v>2022</v>
      </c>
      <c r="U215" s="205">
        <v>11.0</v>
      </c>
      <c r="V215" s="205">
        <v>5.0</v>
      </c>
      <c r="W215" s="63" t="s">
        <v>2023</v>
      </c>
      <c r="X215" s="210">
        <v>0.002071759259706596</v>
      </c>
      <c r="Y215" s="63" t="s">
        <v>1116</v>
      </c>
      <c r="Z215" s="63" t="s">
        <v>2024</v>
      </c>
      <c r="AA215" s="205">
        <v>0.0</v>
      </c>
      <c r="AB215" s="63" t="s">
        <v>2025</v>
      </c>
      <c r="AC215" s="205">
        <v>50.0</v>
      </c>
      <c r="AD215" s="208">
        <v>0.0</v>
      </c>
      <c r="AE215" s="205">
        <v>1207.0</v>
      </c>
      <c r="AF215" s="205">
        <v>412.0</v>
      </c>
      <c r="AG215" s="205">
        <v>368.0</v>
      </c>
      <c r="AH215" s="205">
        <v>341.0</v>
      </c>
      <c r="AI215" s="205">
        <v>1.0</v>
      </c>
      <c r="AJ215" s="205">
        <v>1289.0</v>
      </c>
      <c r="AK215" s="205">
        <v>0.0</v>
      </c>
      <c r="AL215" s="205">
        <v>0.0</v>
      </c>
      <c r="AM215" s="205">
        <v>0.0</v>
      </c>
      <c r="AN215" s="205">
        <v>0.0</v>
      </c>
      <c r="AO215" s="208">
        <v>4.56511</v>
      </c>
      <c r="AP215" s="208">
        <v>5.22368</v>
      </c>
      <c r="AQ215" s="208">
        <v>7.67648</v>
      </c>
      <c r="AR215" s="208">
        <v>4.00496</v>
      </c>
      <c r="AT215" s="192" t="s">
        <v>432</v>
      </c>
      <c r="AU215" s="211" t="s">
        <v>431</v>
      </c>
      <c r="AV215" s="211" t="s">
        <v>2026</v>
      </c>
      <c r="AW215" s="211" t="s">
        <v>2027</v>
      </c>
      <c r="AX215" s="211" t="s">
        <v>432</v>
      </c>
      <c r="AY215" s="212">
        <v>1.75</v>
      </c>
      <c r="AZ215" s="213">
        <v>4.5</v>
      </c>
      <c r="BA215" s="213">
        <v>4.0</v>
      </c>
      <c r="BB215" s="213">
        <v>1.5</v>
      </c>
      <c r="BC215" s="212">
        <v>4.55</v>
      </c>
      <c r="BD215" s="213">
        <v>10.0</v>
      </c>
      <c r="BE215" s="213">
        <v>10.0</v>
      </c>
      <c r="BF215" s="213">
        <v>4.199999999999999</v>
      </c>
      <c r="BG215" s="212">
        <v>10.333333333333332</v>
      </c>
      <c r="BH215" s="213">
        <v>9.75</v>
      </c>
      <c r="BI215" s="213">
        <v>0.0013040123449172825</v>
      </c>
      <c r="BJ215" s="213">
        <v>0.0013811728398043972</v>
      </c>
      <c r="BK215" s="213">
        <v>345.0</v>
      </c>
      <c r="BL215" s="212">
        <v>7.0</v>
      </c>
      <c r="BM215" s="213">
        <v>5.375</v>
      </c>
      <c r="BN215" s="213">
        <v>0.002608024689834565</v>
      </c>
      <c r="BO215" s="213">
        <v>0.0027623456796087944</v>
      </c>
      <c r="BP215" s="213">
        <v>172.5</v>
      </c>
      <c r="BQ215" s="192"/>
      <c r="BR215" s="192"/>
    </row>
    <row r="216">
      <c r="A216" s="60">
        <v>3350322.0</v>
      </c>
      <c r="B216" s="205">
        <v>2986144.0</v>
      </c>
      <c r="C216" s="205">
        <v>1413965.0</v>
      </c>
      <c r="D216" s="205">
        <v>1.0</v>
      </c>
      <c r="E216" s="207">
        <v>44282.070231481484</v>
      </c>
      <c r="F216" s="207">
        <v>44561.98788194444</v>
      </c>
      <c r="G216" s="207">
        <v>44552.74454861111</v>
      </c>
      <c r="H216" s="63" t="s">
        <v>2028</v>
      </c>
      <c r="I216" s="205">
        <v>190.0</v>
      </c>
      <c r="J216" s="63" t="s">
        <v>2029</v>
      </c>
      <c r="K216" s="205">
        <v>7451883.0</v>
      </c>
      <c r="L216" s="208">
        <v>5.08087</v>
      </c>
      <c r="M216" s="208">
        <v>2.4155</v>
      </c>
      <c r="N216" s="208">
        <v>2.44797</v>
      </c>
      <c r="O216" s="209">
        <v>4.0</v>
      </c>
      <c r="P216" s="209">
        <v>9.0</v>
      </c>
      <c r="Q216" s="209">
        <v>8.0</v>
      </c>
      <c r="R216" s="209">
        <v>5.4</v>
      </c>
      <c r="S216" s="210">
        <v>0.0024189814830606338</v>
      </c>
      <c r="T216" s="63" t="s">
        <v>2030</v>
      </c>
      <c r="U216" s="205">
        <v>4.0</v>
      </c>
      <c r="V216" s="205">
        <v>3.0</v>
      </c>
      <c r="W216" s="63" t="s">
        <v>2031</v>
      </c>
      <c r="X216" s="210">
        <v>0.002592592591099674</v>
      </c>
      <c r="Y216" s="63" t="s">
        <v>2032</v>
      </c>
      <c r="Z216" s="63" t="s">
        <v>2033</v>
      </c>
      <c r="AA216" s="205">
        <v>0.0</v>
      </c>
      <c r="AB216" s="63" t="s">
        <v>2034</v>
      </c>
      <c r="AC216" s="205">
        <v>163.0</v>
      </c>
      <c r="AD216" s="208">
        <v>9.3</v>
      </c>
      <c r="AE216" s="205">
        <v>17794.0</v>
      </c>
      <c r="AF216" s="205">
        <v>3009.0</v>
      </c>
      <c r="AG216" s="205">
        <v>547.0</v>
      </c>
      <c r="AH216" s="205">
        <v>370.0</v>
      </c>
      <c r="AI216" s="205">
        <v>0.0</v>
      </c>
      <c r="AJ216" s="205">
        <v>1333.0</v>
      </c>
      <c r="AK216" s="205">
        <v>0.0</v>
      </c>
      <c r="AL216" s="205">
        <v>0.0</v>
      </c>
      <c r="AM216" s="205">
        <v>0.0</v>
      </c>
      <c r="AN216" s="205">
        <v>0.0</v>
      </c>
      <c r="AO216" s="208">
        <v>4.67325</v>
      </c>
      <c r="AP216" s="208">
        <v>5.33708</v>
      </c>
      <c r="AQ216" s="208">
        <v>7.33948</v>
      </c>
      <c r="AR216" s="208">
        <v>4.02053</v>
      </c>
      <c r="AT216" s="192" t="s">
        <v>437</v>
      </c>
      <c r="AU216" s="211" t="s">
        <v>436</v>
      </c>
      <c r="AV216" s="211" t="s">
        <v>2035</v>
      </c>
      <c r="AW216" s="211" t="s">
        <v>2036</v>
      </c>
      <c r="AX216" s="211" t="s">
        <v>437</v>
      </c>
      <c r="AY216" s="212">
        <v>2.0</v>
      </c>
      <c r="AZ216" s="213">
        <v>4.5</v>
      </c>
      <c r="BA216" s="213">
        <v>4.0</v>
      </c>
      <c r="BB216" s="213">
        <v>2.7</v>
      </c>
      <c r="BC216" s="212">
        <v>5.2</v>
      </c>
      <c r="BD216" s="213">
        <v>10.0</v>
      </c>
      <c r="BE216" s="213">
        <v>10.0</v>
      </c>
      <c r="BF216" s="213">
        <v>7.56</v>
      </c>
      <c r="BG216" s="212">
        <v>10.333333333333332</v>
      </c>
      <c r="BH216" s="213">
        <v>9.75</v>
      </c>
      <c r="BI216" s="213">
        <v>0.0016126543220404226</v>
      </c>
      <c r="BJ216" s="213">
        <v>0.001728395060733116</v>
      </c>
      <c r="BK216" s="213">
        <v>285.0</v>
      </c>
      <c r="BL216" s="212">
        <v>7.0</v>
      </c>
      <c r="BM216" s="213">
        <v>5.375</v>
      </c>
      <c r="BN216" s="213">
        <v>0.003225308644080845</v>
      </c>
      <c r="BO216" s="213">
        <v>0.003456790121466232</v>
      </c>
      <c r="BP216" s="213">
        <v>142.5</v>
      </c>
      <c r="BQ216" s="192"/>
      <c r="BR216" s="192"/>
    </row>
    <row r="217">
      <c r="A217" s="60">
        <v>4197268.0</v>
      </c>
      <c r="B217" s="205">
        <v>2986144.0</v>
      </c>
      <c r="C217" s="205">
        <v>1413965.0</v>
      </c>
      <c r="D217" s="205">
        <v>1.0</v>
      </c>
      <c r="E217" s="207">
        <v>44282.070231481484</v>
      </c>
      <c r="F217" s="207">
        <v>44561.98788194444</v>
      </c>
      <c r="G217" s="207">
        <v>44552.74454861111</v>
      </c>
      <c r="H217" s="63" t="s">
        <v>2028</v>
      </c>
      <c r="I217" s="205">
        <v>190.0</v>
      </c>
      <c r="J217" s="63" t="s">
        <v>2029</v>
      </c>
      <c r="K217" s="205">
        <v>7451883.0</v>
      </c>
      <c r="L217" s="208">
        <v>5.08087</v>
      </c>
      <c r="M217" s="208">
        <v>2.4155</v>
      </c>
      <c r="N217" s="208">
        <v>2.44797</v>
      </c>
      <c r="O217" s="209">
        <v>4.0</v>
      </c>
      <c r="P217" s="209">
        <v>9.0</v>
      </c>
      <c r="Q217" s="209">
        <v>8.0</v>
      </c>
      <c r="R217" s="209">
        <v>5.4</v>
      </c>
      <c r="S217" s="210">
        <v>0.0024189814830606338</v>
      </c>
      <c r="T217" s="63" t="s">
        <v>2030</v>
      </c>
      <c r="U217" s="205">
        <v>4.0</v>
      </c>
      <c r="V217" s="205">
        <v>3.0</v>
      </c>
      <c r="W217" s="63" t="s">
        <v>2031</v>
      </c>
      <c r="X217" s="210">
        <v>0.002592592591099674</v>
      </c>
      <c r="Y217" s="63" t="s">
        <v>2032</v>
      </c>
      <c r="Z217" s="63" t="s">
        <v>2033</v>
      </c>
      <c r="AA217" s="205">
        <v>0.0</v>
      </c>
      <c r="AB217" s="63" t="s">
        <v>2034</v>
      </c>
      <c r="AC217" s="205">
        <v>163.0</v>
      </c>
      <c r="AD217" s="208">
        <v>9.3</v>
      </c>
      <c r="AE217" s="205">
        <v>17794.0</v>
      </c>
      <c r="AF217" s="205">
        <v>3009.0</v>
      </c>
      <c r="AG217" s="205">
        <v>547.0</v>
      </c>
      <c r="AH217" s="205">
        <v>370.0</v>
      </c>
      <c r="AI217" s="205">
        <v>0.0</v>
      </c>
      <c r="AJ217" s="205">
        <v>1333.0</v>
      </c>
      <c r="AK217" s="205">
        <v>0.0</v>
      </c>
      <c r="AL217" s="205">
        <v>0.0</v>
      </c>
      <c r="AM217" s="205">
        <v>0.0</v>
      </c>
      <c r="AN217" s="205">
        <v>0.0</v>
      </c>
      <c r="AO217" s="208">
        <v>4.67325</v>
      </c>
      <c r="AP217" s="208">
        <v>5.33708</v>
      </c>
      <c r="AQ217" s="208">
        <v>7.33948</v>
      </c>
      <c r="AR217" s="208">
        <v>4.02053</v>
      </c>
      <c r="AT217" s="192" t="s">
        <v>437</v>
      </c>
      <c r="AU217" s="211" t="s">
        <v>436</v>
      </c>
      <c r="AV217" s="211" t="s">
        <v>2035</v>
      </c>
      <c r="AW217" s="211" t="s">
        <v>2036</v>
      </c>
      <c r="AX217" s="211" t="s">
        <v>437</v>
      </c>
      <c r="AY217" s="212">
        <v>2.0</v>
      </c>
      <c r="AZ217" s="213">
        <v>4.5</v>
      </c>
      <c r="BA217" s="213">
        <v>4.0</v>
      </c>
      <c r="BB217" s="213">
        <v>2.7</v>
      </c>
      <c r="BC217" s="212">
        <v>5.2</v>
      </c>
      <c r="BD217" s="213">
        <v>10.0</v>
      </c>
      <c r="BE217" s="213">
        <v>10.0</v>
      </c>
      <c r="BF217" s="213">
        <v>7.56</v>
      </c>
      <c r="BG217" s="212">
        <v>10.333333333333332</v>
      </c>
      <c r="BH217" s="213">
        <v>9.75</v>
      </c>
      <c r="BI217" s="213">
        <v>0.0016126543220404226</v>
      </c>
      <c r="BJ217" s="213">
        <v>0.001728395060733116</v>
      </c>
      <c r="BK217" s="213">
        <v>285.0</v>
      </c>
      <c r="BL217" s="212">
        <v>7.0</v>
      </c>
      <c r="BM217" s="213">
        <v>5.375</v>
      </c>
      <c r="BN217" s="213">
        <v>0.003225308644080845</v>
      </c>
      <c r="BO217" s="213">
        <v>0.003456790121466232</v>
      </c>
      <c r="BP217" s="213">
        <v>142.5</v>
      </c>
      <c r="BQ217" s="192"/>
      <c r="BR217" s="192"/>
    </row>
    <row r="218">
      <c r="A218" s="60">
        <v>3883278.0</v>
      </c>
      <c r="B218" s="205">
        <v>1596086.0</v>
      </c>
      <c r="C218" s="205">
        <v>749096.0</v>
      </c>
      <c r="D218" s="205">
        <v>1.0</v>
      </c>
      <c r="E218" s="207">
        <v>43174.128912037035</v>
      </c>
      <c r="F218" s="207">
        <v>44131.16726851852</v>
      </c>
      <c r="G218" s="207">
        <v>44123.66452546296</v>
      </c>
      <c r="H218" s="63" t="s">
        <v>2037</v>
      </c>
      <c r="I218" s="205">
        <v>175.0</v>
      </c>
      <c r="J218" s="63" t="s">
        <v>2038</v>
      </c>
      <c r="K218" s="205">
        <v>2286528.0</v>
      </c>
      <c r="L218" s="208">
        <v>5.02596</v>
      </c>
      <c r="M218" s="208">
        <v>2.36738</v>
      </c>
      <c r="N218" s="208">
        <v>2.44241</v>
      </c>
      <c r="O218" s="209">
        <v>3.6</v>
      </c>
      <c r="P218" s="209">
        <v>9.0</v>
      </c>
      <c r="Q218" s="209">
        <v>8.0</v>
      </c>
      <c r="R218" s="209">
        <v>6.0</v>
      </c>
      <c r="S218" s="210">
        <v>0.0026504629640839994</v>
      </c>
      <c r="T218" s="63" t="s">
        <v>2039</v>
      </c>
      <c r="U218" s="205">
        <v>10.0</v>
      </c>
      <c r="V218" s="205">
        <v>3.0</v>
      </c>
      <c r="W218" s="63" t="s">
        <v>2040</v>
      </c>
      <c r="X218" s="210">
        <v>0.002766203702776693</v>
      </c>
      <c r="Y218" s="63" t="s">
        <v>2041</v>
      </c>
      <c r="Z218" s="63" t="s">
        <v>2042</v>
      </c>
      <c r="AA218" s="205">
        <v>0.0</v>
      </c>
      <c r="AB218" s="63" t="s">
        <v>2043</v>
      </c>
      <c r="AC218" s="205">
        <v>1098.0</v>
      </c>
      <c r="AD218" s="208">
        <v>9.55634</v>
      </c>
      <c r="AE218" s="205">
        <v>228736.0</v>
      </c>
      <c r="AF218" s="205">
        <v>37944.0</v>
      </c>
      <c r="AG218" s="205">
        <v>563.0</v>
      </c>
      <c r="AH218" s="205">
        <v>354.0</v>
      </c>
      <c r="AI218" s="205">
        <v>1.0</v>
      </c>
      <c r="AJ218" s="205">
        <v>1369.0</v>
      </c>
      <c r="AK218" s="205">
        <v>0.0</v>
      </c>
      <c r="AL218" s="205">
        <v>0.0</v>
      </c>
      <c r="AM218" s="205">
        <v>0.0</v>
      </c>
      <c r="AN218" s="205">
        <v>0.0</v>
      </c>
      <c r="AO218" s="208">
        <v>4.67932</v>
      </c>
      <c r="AP218" s="208">
        <v>5.22537</v>
      </c>
      <c r="AQ218" s="208">
        <v>7.12427</v>
      </c>
      <c r="AR218" s="208">
        <v>3.98676</v>
      </c>
      <c r="AT218" s="192" t="s">
        <v>394</v>
      </c>
      <c r="AU218" s="211" t="s">
        <v>393</v>
      </c>
      <c r="AV218" s="211" t="s">
        <v>2044</v>
      </c>
      <c r="AW218" s="211" t="s">
        <v>2045</v>
      </c>
      <c r="AX218" s="211" t="s">
        <v>394</v>
      </c>
      <c r="AY218" s="212">
        <v>1.8</v>
      </c>
      <c r="AZ218" s="213">
        <v>4.5</v>
      </c>
      <c r="BA218" s="213">
        <v>4.0</v>
      </c>
      <c r="BB218" s="213">
        <v>3.0</v>
      </c>
      <c r="BC218" s="212">
        <v>4.680000000000001</v>
      </c>
      <c r="BD218" s="213">
        <v>10.0</v>
      </c>
      <c r="BE218" s="213">
        <v>10.0</v>
      </c>
      <c r="BF218" s="213">
        <v>8.399999999999999</v>
      </c>
      <c r="BG218" s="212">
        <v>10.333333333333332</v>
      </c>
      <c r="BH218" s="213">
        <v>9.75</v>
      </c>
      <c r="BI218" s="213">
        <v>0.001766975309389333</v>
      </c>
      <c r="BJ218" s="213">
        <v>0.0018441358018511285</v>
      </c>
      <c r="BK218" s="213">
        <v>262.5</v>
      </c>
      <c r="BL218" s="212">
        <v>7.0</v>
      </c>
      <c r="BM218" s="213">
        <v>5.375</v>
      </c>
      <c r="BN218" s="213">
        <v>0.003533950618778666</v>
      </c>
      <c r="BO218" s="213">
        <v>0.003688271603702257</v>
      </c>
      <c r="BP218" s="213">
        <v>131.25</v>
      </c>
      <c r="BQ218" s="192"/>
      <c r="BR218" s="192"/>
    </row>
    <row r="219">
      <c r="A219" s="60">
        <v>2794904.0</v>
      </c>
      <c r="B219" s="205">
        <v>1975970.0</v>
      </c>
      <c r="C219" s="205">
        <v>932901.0</v>
      </c>
      <c r="D219" s="205">
        <v>1.0</v>
      </c>
      <c r="E219" s="207">
        <v>43524.74488425926</v>
      </c>
      <c r="F219" s="207">
        <v>43585.70846064815</v>
      </c>
      <c r="G219" s="207">
        <v>43578.6984375</v>
      </c>
      <c r="H219" s="63" t="s">
        <v>2046</v>
      </c>
      <c r="I219" s="205">
        <v>166.0</v>
      </c>
      <c r="J219" s="63" t="s">
        <v>2047</v>
      </c>
      <c r="K219" s="205">
        <v>5410645.0</v>
      </c>
      <c r="L219" s="208">
        <v>4.90602</v>
      </c>
      <c r="M219" s="208">
        <v>2.247</v>
      </c>
      <c r="N219" s="208">
        <v>2.44002</v>
      </c>
      <c r="O219" s="209">
        <v>4.4</v>
      </c>
      <c r="P219" s="209">
        <v>8.9</v>
      </c>
      <c r="Q219" s="209">
        <v>7.6</v>
      </c>
      <c r="R219" s="209">
        <v>5.6</v>
      </c>
      <c r="S219" s="210">
        <v>0.0024999999986903276</v>
      </c>
      <c r="U219" s="205">
        <v>2.0</v>
      </c>
      <c r="V219" s="205">
        <v>2.0</v>
      </c>
      <c r="W219" s="63" t="s">
        <v>2048</v>
      </c>
      <c r="X219" s="210">
        <v>0.0024999999986903276</v>
      </c>
      <c r="Y219" s="63" t="s">
        <v>2049</v>
      </c>
      <c r="Z219" s="63" t="s">
        <v>2050</v>
      </c>
      <c r="AA219" s="205">
        <v>0.0</v>
      </c>
      <c r="AB219" s="63" t="s">
        <v>2051</v>
      </c>
      <c r="AC219" s="205">
        <v>607.0</v>
      </c>
      <c r="AD219" s="208">
        <v>9.39451</v>
      </c>
      <c r="AE219" s="205">
        <v>135054.0</v>
      </c>
      <c r="AF219" s="205">
        <v>15858.0</v>
      </c>
      <c r="AG219" s="205">
        <v>533.0</v>
      </c>
      <c r="AH219" s="205">
        <v>308.0</v>
      </c>
      <c r="AI219" s="205">
        <v>0.0</v>
      </c>
      <c r="AJ219" s="205">
        <v>1311.0</v>
      </c>
      <c r="AK219" s="205">
        <v>0.0</v>
      </c>
      <c r="AL219" s="205">
        <v>0.0</v>
      </c>
      <c r="AM219" s="205">
        <v>0.0</v>
      </c>
      <c r="AN219" s="205">
        <v>0.0</v>
      </c>
      <c r="AO219" s="208">
        <v>4.50298</v>
      </c>
      <c r="AP219" s="208">
        <v>5.21798</v>
      </c>
      <c r="AQ219" s="208">
        <v>7.05694</v>
      </c>
      <c r="AR219" s="208">
        <v>3.86675</v>
      </c>
      <c r="AT219" s="192" t="s">
        <v>440</v>
      </c>
      <c r="AU219" s="211" t="s">
        <v>439</v>
      </c>
      <c r="AV219" s="211" t="s">
        <v>2052</v>
      </c>
      <c r="AW219" s="211" t="s">
        <v>2053</v>
      </c>
      <c r="AX219" s="211" t="s">
        <v>440</v>
      </c>
      <c r="AY219" s="212">
        <v>2.2</v>
      </c>
      <c r="AZ219" s="213">
        <v>4.45</v>
      </c>
      <c r="BA219" s="213">
        <v>3.8</v>
      </c>
      <c r="BB219" s="213">
        <v>2.8</v>
      </c>
      <c r="BC219" s="212">
        <v>5.720000000000001</v>
      </c>
      <c r="BD219" s="213">
        <v>10.0</v>
      </c>
      <c r="BE219" s="213">
        <v>10.0</v>
      </c>
      <c r="BF219" s="213">
        <v>7.839999999999999</v>
      </c>
      <c r="BG219" s="212">
        <v>10.266666666666666</v>
      </c>
      <c r="BH219" s="213">
        <v>9.483333333333333</v>
      </c>
      <c r="BI219" s="213">
        <v>0.0016666666657935518</v>
      </c>
      <c r="BJ219" s="213">
        <v>0.0016666666657935518</v>
      </c>
      <c r="BK219" s="213">
        <v>249.0</v>
      </c>
      <c r="BL219" s="212">
        <v>6.85</v>
      </c>
      <c r="BM219" s="213">
        <v>4.774999999999999</v>
      </c>
      <c r="BN219" s="213">
        <v>0.0033333333315871037</v>
      </c>
      <c r="BO219" s="213">
        <v>0.0033333333315871037</v>
      </c>
      <c r="BP219" s="213">
        <v>124.5</v>
      </c>
      <c r="BQ219" s="192"/>
      <c r="BR219" s="192"/>
    </row>
    <row r="220">
      <c r="A220" s="60">
        <v>1491793.0</v>
      </c>
      <c r="B220" s="205">
        <v>3912466.0</v>
      </c>
      <c r="C220" s="205">
        <v>1847288.0</v>
      </c>
      <c r="D220" s="205">
        <v>1.0</v>
      </c>
      <c r="E220" s="207">
        <v>44816.6259837963</v>
      </c>
      <c r="F220" s="207">
        <v>44941.00503472222</v>
      </c>
      <c r="G220" s="207">
        <v>44933.91401620371</v>
      </c>
      <c r="H220" s="63" t="s">
        <v>2054</v>
      </c>
      <c r="I220" s="205">
        <v>124.0</v>
      </c>
      <c r="J220" s="63" t="s">
        <v>635</v>
      </c>
      <c r="K220" s="205">
        <v>9327302.0</v>
      </c>
      <c r="L220" s="208">
        <v>4.9446</v>
      </c>
      <c r="M220" s="208">
        <v>2.5945</v>
      </c>
      <c r="N220" s="208">
        <v>2.07069</v>
      </c>
      <c r="O220" s="209">
        <v>4.0</v>
      </c>
      <c r="P220" s="209">
        <v>9.0</v>
      </c>
      <c r="Q220" s="209">
        <v>7.7</v>
      </c>
      <c r="R220" s="209">
        <v>4.5</v>
      </c>
      <c r="S220" s="210">
        <v>0.001921296297950903</v>
      </c>
      <c r="U220" s="205">
        <v>5.0</v>
      </c>
      <c r="V220" s="205">
        <v>2.0</v>
      </c>
      <c r="W220" s="63" t="s">
        <v>2055</v>
      </c>
      <c r="X220" s="210">
        <v>0.0020833333328482695</v>
      </c>
      <c r="Y220" s="63" t="s">
        <v>2056</v>
      </c>
      <c r="Z220" s="63" t="s">
        <v>2057</v>
      </c>
      <c r="AA220" s="205">
        <v>0.0</v>
      </c>
      <c r="AB220" s="63" t="s">
        <v>2058</v>
      </c>
      <c r="AC220" s="205">
        <v>132.0</v>
      </c>
      <c r="AD220" s="208">
        <v>8.88776</v>
      </c>
      <c r="AE220" s="205">
        <v>15301.0</v>
      </c>
      <c r="AF220" s="205">
        <v>2194.0</v>
      </c>
      <c r="AG220" s="205">
        <v>277.0</v>
      </c>
      <c r="AH220" s="205">
        <v>383.0</v>
      </c>
      <c r="AI220" s="205">
        <v>0.0</v>
      </c>
      <c r="AJ220" s="205">
        <v>1094.0</v>
      </c>
      <c r="AK220" s="205">
        <v>0.0</v>
      </c>
      <c r="AL220" s="205">
        <v>1.0</v>
      </c>
      <c r="AM220" s="205">
        <v>0.0</v>
      </c>
      <c r="AN220" s="205">
        <v>0.0</v>
      </c>
      <c r="AO220" s="208">
        <v>4.38903</v>
      </c>
      <c r="AP220" s="208">
        <v>5.42356</v>
      </c>
      <c r="AQ220" s="208">
        <v>6.94788</v>
      </c>
      <c r="AR220" s="208">
        <v>3.94792</v>
      </c>
      <c r="AT220" s="192" t="s">
        <v>443</v>
      </c>
      <c r="AU220" s="211" t="s">
        <v>442</v>
      </c>
      <c r="AV220" s="211" t="s">
        <v>2059</v>
      </c>
      <c r="AW220" s="211" t="s">
        <v>2060</v>
      </c>
      <c r="AX220" s="211" t="s">
        <v>443</v>
      </c>
      <c r="AY220" s="212">
        <v>2.0</v>
      </c>
      <c r="AZ220" s="213">
        <v>4.5</v>
      </c>
      <c r="BA220" s="213">
        <v>3.85</v>
      </c>
      <c r="BB220" s="213">
        <v>2.25</v>
      </c>
      <c r="BC220" s="212">
        <v>5.2</v>
      </c>
      <c r="BD220" s="213">
        <v>10.0</v>
      </c>
      <c r="BE220" s="213">
        <v>10.0</v>
      </c>
      <c r="BF220" s="213">
        <v>6.3</v>
      </c>
      <c r="BG220" s="212">
        <v>10.333333333333332</v>
      </c>
      <c r="BH220" s="213">
        <v>9.549999999999999</v>
      </c>
      <c r="BI220" s="213">
        <v>0.0012808641986339353</v>
      </c>
      <c r="BJ220" s="213">
        <v>0.001388888888565513</v>
      </c>
      <c r="BK220" s="213">
        <v>186.0</v>
      </c>
      <c r="BL220" s="212">
        <v>7.0</v>
      </c>
      <c r="BM220" s="213">
        <v>4.925000000000001</v>
      </c>
      <c r="BN220" s="213">
        <v>0.0025617283972678706</v>
      </c>
      <c r="BO220" s="213">
        <v>0.002777777777131026</v>
      </c>
      <c r="BP220" s="213">
        <v>93.0</v>
      </c>
      <c r="BQ220" s="192"/>
      <c r="BR220" s="192"/>
    </row>
    <row r="221">
      <c r="A221" s="60">
        <v>3309941.0</v>
      </c>
      <c r="B221" s="205">
        <v>1600995.0</v>
      </c>
      <c r="C221" s="205">
        <v>756815.0</v>
      </c>
      <c r="D221" s="205">
        <v>1.0</v>
      </c>
      <c r="E221" s="207">
        <v>43189.31246527778</v>
      </c>
      <c r="F221" s="207">
        <v>44096.836643518516</v>
      </c>
      <c r="G221" s="207">
        <v>44088.08341435185</v>
      </c>
      <c r="H221" s="63" t="s">
        <v>950</v>
      </c>
      <c r="I221" s="205">
        <v>296.0</v>
      </c>
      <c r="J221" s="63" t="s">
        <v>133</v>
      </c>
      <c r="K221" s="205">
        <v>8157492.0</v>
      </c>
      <c r="L221" s="208">
        <v>4.80232</v>
      </c>
      <c r="M221" s="208">
        <v>2.46681</v>
      </c>
      <c r="N221" s="208">
        <v>2.09489</v>
      </c>
      <c r="O221" s="209">
        <v>4.0</v>
      </c>
      <c r="P221" s="209">
        <v>9.2</v>
      </c>
      <c r="Q221" s="209">
        <v>8.0</v>
      </c>
      <c r="R221" s="209">
        <v>5.0</v>
      </c>
      <c r="S221" s="210">
        <v>0.0015625000014551915</v>
      </c>
      <c r="U221" s="205">
        <v>4.0</v>
      </c>
      <c r="V221" s="205">
        <v>2.0</v>
      </c>
      <c r="W221" s="63" t="s">
        <v>2061</v>
      </c>
      <c r="X221" s="210">
        <v>0.0015625000014551915</v>
      </c>
      <c r="Y221" s="63" t="s">
        <v>2062</v>
      </c>
      <c r="Z221" s="63" t="s">
        <v>2063</v>
      </c>
      <c r="AA221" s="205">
        <v>0.0</v>
      </c>
      <c r="AB221" s="63" t="s">
        <v>2064</v>
      </c>
      <c r="AC221" s="205">
        <v>442.0</v>
      </c>
      <c r="AD221" s="208">
        <v>9.22877</v>
      </c>
      <c r="AE221" s="205">
        <v>65152.0</v>
      </c>
      <c r="AF221" s="205">
        <v>11894.0</v>
      </c>
      <c r="AG221" s="205">
        <v>193.0</v>
      </c>
      <c r="AH221" s="205">
        <v>437.0</v>
      </c>
      <c r="AI221" s="205">
        <v>1.0</v>
      </c>
      <c r="AJ221" s="205">
        <v>1086.0</v>
      </c>
      <c r="AK221" s="205">
        <v>0.0</v>
      </c>
      <c r="AL221" s="205">
        <v>0.0</v>
      </c>
      <c r="AM221" s="205">
        <v>0.0</v>
      </c>
      <c r="AN221" s="205">
        <v>0.0</v>
      </c>
      <c r="AO221" s="208">
        <v>4.39673</v>
      </c>
      <c r="AP221" s="208">
        <v>5.14555</v>
      </c>
      <c r="AQ221" s="208">
        <v>6.76264</v>
      </c>
      <c r="AR221" s="208">
        <v>3.7889</v>
      </c>
      <c r="AT221" s="192" t="s">
        <v>446</v>
      </c>
      <c r="AU221" s="211" t="s">
        <v>445</v>
      </c>
      <c r="AV221" s="211" t="s">
        <v>2065</v>
      </c>
      <c r="AW221" s="211" t="s">
        <v>2066</v>
      </c>
      <c r="AX221" s="211" t="s">
        <v>446</v>
      </c>
      <c r="AY221" s="212">
        <v>2.0</v>
      </c>
      <c r="AZ221" s="213">
        <v>4.6</v>
      </c>
      <c r="BA221" s="213">
        <v>4.0</v>
      </c>
      <c r="BB221" s="213">
        <v>2.5</v>
      </c>
      <c r="BC221" s="212">
        <v>5.2</v>
      </c>
      <c r="BD221" s="213">
        <v>10.0</v>
      </c>
      <c r="BE221" s="213">
        <v>10.0</v>
      </c>
      <c r="BF221" s="213">
        <v>7.0</v>
      </c>
      <c r="BG221" s="212">
        <v>10.466666666666667</v>
      </c>
      <c r="BH221" s="213">
        <v>9.75</v>
      </c>
      <c r="BI221" s="213">
        <v>0.0010416666676367943</v>
      </c>
      <c r="BJ221" s="213">
        <v>0.0010416666676367943</v>
      </c>
      <c r="BK221" s="213">
        <v>444.0</v>
      </c>
      <c r="BL221" s="212">
        <v>7.299999999999999</v>
      </c>
      <c r="BM221" s="213">
        <v>5.375</v>
      </c>
      <c r="BN221" s="213">
        <v>0.0020833333352735886</v>
      </c>
      <c r="BO221" s="213">
        <v>0.0020833333352735886</v>
      </c>
      <c r="BP221" s="213">
        <v>222.0</v>
      </c>
      <c r="BQ221" s="192"/>
      <c r="BR221" s="192"/>
    </row>
    <row r="222">
      <c r="A222" s="60">
        <v>86079.0</v>
      </c>
      <c r="B222" s="205">
        <v>2800663.0</v>
      </c>
      <c r="C222" s="205">
        <v>1351876.0</v>
      </c>
      <c r="D222" s="205">
        <v>1.0</v>
      </c>
      <c r="E222" s="207">
        <v>44215.31354166666</v>
      </c>
      <c r="F222" s="207">
        <v>44284.44850694445</v>
      </c>
      <c r="G222" s="207">
        <v>44277.42072916667</v>
      </c>
      <c r="H222" s="63" t="s">
        <v>2067</v>
      </c>
      <c r="I222" s="205">
        <v>170.0</v>
      </c>
      <c r="J222" s="63" t="s">
        <v>800</v>
      </c>
      <c r="K222" s="205">
        <v>5875419.0</v>
      </c>
      <c r="L222" s="208">
        <v>4.27369</v>
      </c>
      <c r="M222" s="208">
        <v>2.19872</v>
      </c>
      <c r="N222" s="208">
        <v>1.85906</v>
      </c>
      <c r="O222" s="209">
        <v>4.0</v>
      </c>
      <c r="P222" s="209">
        <v>7.0</v>
      </c>
      <c r="Q222" s="209">
        <v>7.0</v>
      </c>
      <c r="R222" s="209">
        <v>5.0</v>
      </c>
      <c r="S222" s="210">
        <v>0.002812499998981366</v>
      </c>
      <c r="U222" s="205">
        <v>5.0</v>
      </c>
      <c r="V222" s="205">
        <v>3.0</v>
      </c>
      <c r="W222" s="63" t="s">
        <v>2068</v>
      </c>
      <c r="X222" s="210">
        <v>0.002928240741312038</v>
      </c>
      <c r="Y222" s="63" t="s">
        <v>2069</v>
      </c>
      <c r="Z222" s="63" t="s">
        <v>2070</v>
      </c>
      <c r="AA222" s="205">
        <v>0.0</v>
      </c>
      <c r="AB222" s="63" t="s">
        <v>2071</v>
      </c>
      <c r="AC222" s="205">
        <v>405.0</v>
      </c>
      <c r="AD222" s="208">
        <v>9.26229</v>
      </c>
      <c r="AE222" s="205">
        <v>74494.0</v>
      </c>
      <c r="AF222" s="205">
        <v>7754.0</v>
      </c>
      <c r="AG222" s="205">
        <v>587.0</v>
      </c>
      <c r="AH222" s="205">
        <v>303.0</v>
      </c>
      <c r="AI222" s="205">
        <v>0.0</v>
      </c>
      <c r="AJ222" s="205">
        <v>1220.0</v>
      </c>
      <c r="AK222" s="205">
        <v>0.0</v>
      </c>
      <c r="AL222" s="205">
        <v>0.0</v>
      </c>
      <c r="AM222" s="205">
        <v>0.0</v>
      </c>
      <c r="AN222" s="205">
        <v>0.0</v>
      </c>
      <c r="AO222" s="208">
        <v>3.89239</v>
      </c>
      <c r="AP222" s="208">
        <v>4.51763</v>
      </c>
      <c r="AQ222" s="208">
        <v>5.95617</v>
      </c>
      <c r="AR222" s="208">
        <v>3.45389</v>
      </c>
      <c r="AT222" s="192" t="s">
        <v>448</v>
      </c>
      <c r="AU222" s="211" t="s">
        <v>2072</v>
      </c>
      <c r="AV222" s="211" t="s">
        <v>2073</v>
      </c>
      <c r="AW222" s="211" t="s">
        <v>2074</v>
      </c>
      <c r="AX222" s="211" t="s">
        <v>448</v>
      </c>
      <c r="AY222" s="212">
        <v>2.0</v>
      </c>
      <c r="AZ222" s="213">
        <v>3.5</v>
      </c>
      <c r="BA222" s="213">
        <v>3.5</v>
      </c>
      <c r="BB222" s="213">
        <v>2.5</v>
      </c>
      <c r="BC222" s="212">
        <v>5.2</v>
      </c>
      <c r="BD222" s="213">
        <v>9.799999999999999</v>
      </c>
      <c r="BE222" s="213">
        <v>9.799999999999999</v>
      </c>
      <c r="BF222" s="213">
        <v>7.0</v>
      </c>
      <c r="BG222" s="212">
        <v>9.0</v>
      </c>
      <c r="BH222" s="213">
        <v>9.083333333333334</v>
      </c>
      <c r="BI222" s="213">
        <v>0.0018749999993209106</v>
      </c>
      <c r="BJ222" s="213">
        <v>0.0019521604942080255</v>
      </c>
      <c r="BK222" s="213">
        <v>255.0</v>
      </c>
      <c r="BL222" s="212">
        <v>4.0</v>
      </c>
      <c r="BM222" s="213">
        <v>3.875</v>
      </c>
      <c r="BN222" s="213">
        <v>0.003749999998641821</v>
      </c>
      <c r="BO222" s="213">
        <v>0.003904320988416051</v>
      </c>
      <c r="BP222" s="213">
        <v>127.5</v>
      </c>
      <c r="BQ222" s="192"/>
      <c r="BR222" s="192"/>
    </row>
    <row r="223">
      <c r="A223" s="60">
        <v>1592403.0</v>
      </c>
      <c r="B223" s="205">
        <v>2800663.0</v>
      </c>
      <c r="C223" s="205">
        <v>1351876.0</v>
      </c>
      <c r="D223" s="205">
        <v>1.0</v>
      </c>
      <c r="E223" s="207">
        <v>44215.31354166666</v>
      </c>
      <c r="F223" s="207">
        <v>44284.44850694445</v>
      </c>
      <c r="G223" s="207">
        <v>44277.42072916667</v>
      </c>
      <c r="H223" s="63" t="s">
        <v>2067</v>
      </c>
      <c r="I223" s="205">
        <v>170.0</v>
      </c>
      <c r="J223" s="63" t="s">
        <v>800</v>
      </c>
      <c r="K223" s="205">
        <v>5875419.0</v>
      </c>
      <c r="L223" s="208">
        <v>4.27369</v>
      </c>
      <c r="M223" s="208">
        <v>2.19872</v>
      </c>
      <c r="N223" s="208">
        <v>1.85906</v>
      </c>
      <c r="O223" s="209">
        <v>4.0</v>
      </c>
      <c r="P223" s="209">
        <v>7.0</v>
      </c>
      <c r="Q223" s="209">
        <v>7.0</v>
      </c>
      <c r="R223" s="209">
        <v>5.0</v>
      </c>
      <c r="S223" s="210">
        <v>0.002812499998981366</v>
      </c>
      <c r="U223" s="205">
        <v>5.0</v>
      </c>
      <c r="V223" s="205">
        <v>3.0</v>
      </c>
      <c r="W223" s="63" t="s">
        <v>2068</v>
      </c>
      <c r="X223" s="210">
        <v>0.002928240741312038</v>
      </c>
      <c r="Y223" s="63" t="s">
        <v>2069</v>
      </c>
      <c r="Z223" s="63" t="s">
        <v>2070</v>
      </c>
      <c r="AA223" s="205">
        <v>0.0</v>
      </c>
      <c r="AB223" s="63" t="s">
        <v>2071</v>
      </c>
      <c r="AC223" s="205">
        <v>405.0</v>
      </c>
      <c r="AD223" s="208">
        <v>9.26229</v>
      </c>
      <c r="AE223" s="205">
        <v>74494.0</v>
      </c>
      <c r="AF223" s="205">
        <v>7754.0</v>
      </c>
      <c r="AG223" s="205">
        <v>587.0</v>
      </c>
      <c r="AH223" s="205">
        <v>303.0</v>
      </c>
      <c r="AI223" s="205">
        <v>0.0</v>
      </c>
      <c r="AJ223" s="205">
        <v>1220.0</v>
      </c>
      <c r="AK223" s="205">
        <v>0.0</v>
      </c>
      <c r="AL223" s="205">
        <v>0.0</v>
      </c>
      <c r="AM223" s="205">
        <v>0.0</v>
      </c>
      <c r="AN223" s="205">
        <v>0.0</v>
      </c>
      <c r="AO223" s="208">
        <v>3.89239</v>
      </c>
      <c r="AP223" s="208">
        <v>4.51763</v>
      </c>
      <c r="AQ223" s="208">
        <v>5.95617</v>
      </c>
      <c r="AR223" s="208">
        <v>3.45389</v>
      </c>
      <c r="AT223" s="192" t="s">
        <v>448</v>
      </c>
      <c r="AU223" s="211" t="s">
        <v>2072</v>
      </c>
      <c r="AV223" s="211" t="s">
        <v>2073</v>
      </c>
      <c r="AW223" s="211" t="s">
        <v>2074</v>
      </c>
      <c r="AX223" s="211" t="s">
        <v>448</v>
      </c>
      <c r="AY223" s="212">
        <v>2.0</v>
      </c>
      <c r="AZ223" s="213">
        <v>3.5</v>
      </c>
      <c r="BA223" s="213">
        <v>3.5</v>
      </c>
      <c r="BB223" s="213">
        <v>2.5</v>
      </c>
      <c r="BC223" s="212">
        <v>5.2</v>
      </c>
      <c r="BD223" s="213">
        <v>9.799999999999999</v>
      </c>
      <c r="BE223" s="213">
        <v>9.799999999999999</v>
      </c>
      <c r="BF223" s="213">
        <v>7.0</v>
      </c>
      <c r="BG223" s="212">
        <v>9.0</v>
      </c>
      <c r="BH223" s="213">
        <v>9.083333333333334</v>
      </c>
      <c r="BI223" s="213">
        <v>0.0018749999993209106</v>
      </c>
      <c r="BJ223" s="213">
        <v>0.0019521604942080255</v>
      </c>
      <c r="BK223" s="213">
        <v>255.0</v>
      </c>
      <c r="BL223" s="212">
        <v>4.0</v>
      </c>
      <c r="BM223" s="213">
        <v>3.875</v>
      </c>
      <c r="BN223" s="213">
        <v>0.003749999998641821</v>
      </c>
      <c r="BO223" s="213">
        <v>0.003904320988416051</v>
      </c>
      <c r="BP223" s="213">
        <v>127.5</v>
      </c>
      <c r="BQ223" s="192"/>
      <c r="BR223" s="192"/>
    </row>
    <row r="224">
      <c r="A224" s="60">
        <v>295650.0</v>
      </c>
      <c r="B224" s="205">
        <v>103476.0</v>
      </c>
      <c r="C224" s="205">
        <v>31480.0</v>
      </c>
      <c r="D224" s="205">
        <v>-2.0</v>
      </c>
      <c r="E224" s="207">
        <v>40702.31810185185</v>
      </c>
      <c r="F224" s="215"/>
      <c r="G224" s="207">
        <v>40748.37252314815</v>
      </c>
      <c r="H224" s="63" t="s">
        <v>2075</v>
      </c>
      <c r="I224" s="205">
        <v>155.0</v>
      </c>
      <c r="J224" s="63" t="s">
        <v>1679</v>
      </c>
      <c r="K224" s="205">
        <v>13996.0</v>
      </c>
      <c r="L224" s="208">
        <v>4.56741</v>
      </c>
      <c r="M224" s="208">
        <v>2.31715</v>
      </c>
      <c r="N224" s="208">
        <v>2.03335</v>
      </c>
      <c r="O224" s="209">
        <v>4.0</v>
      </c>
      <c r="P224" s="209">
        <v>8.0</v>
      </c>
      <c r="Q224" s="209">
        <v>8.0</v>
      </c>
      <c r="R224" s="209">
        <v>6.0</v>
      </c>
      <c r="S224" s="210">
        <v>0.001828703701903578</v>
      </c>
      <c r="T224" s="63" t="s">
        <v>1123</v>
      </c>
      <c r="U224" s="205">
        <v>1.0</v>
      </c>
      <c r="V224" s="205">
        <v>1.0</v>
      </c>
      <c r="W224" s="63" t="s">
        <v>2076</v>
      </c>
      <c r="X224" s="210">
        <v>0.0019907407404389232</v>
      </c>
      <c r="Y224" s="63" t="s">
        <v>1116</v>
      </c>
      <c r="Z224" s="63" t="s">
        <v>2077</v>
      </c>
      <c r="AA224" s="205">
        <v>0.0</v>
      </c>
      <c r="AB224" s="63" t="s">
        <v>2078</v>
      </c>
      <c r="AC224" s="205">
        <v>5.0</v>
      </c>
      <c r="AD224" s="208">
        <v>0.0</v>
      </c>
      <c r="AE224" s="205">
        <v>298.0</v>
      </c>
      <c r="AF224" s="205">
        <v>127.0</v>
      </c>
      <c r="AG224" s="205">
        <v>420.0</v>
      </c>
      <c r="AH224" s="205">
        <v>79.0</v>
      </c>
      <c r="AI224" s="205">
        <v>3.0</v>
      </c>
      <c r="AJ224" s="205">
        <v>596.0</v>
      </c>
      <c r="AK224" s="205">
        <v>1.0</v>
      </c>
      <c r="AL224" s="205">
        <v>0.0</v>
      </c>
      <c r="AM224" s="205">
        <v>0.0</v>
      </c>
      <c r="AN224" s="205">
        <v>0.0</v>
      </c>
      <c r="AO224" s="208">
        <v>4.20777</v>
      </c>
      <c r="AP224" s="208">
        <v>4.78552</v>
      </c>
      <c r="AQ224" s="208">
        <v>6.45176</v>
      </c>
      <c r="AR224" s="208">
        <v>3.6162</v>
      </c>
      <c r="AT224" s="192" t="s">
        <v>451</v>
      </c>
      <c r="AU224" s="211" t="s">
        <v>450</v>
      </c>
      <c r="AV224" s="211" t="s">
        <v>2079</v>
      </c>
      <c r="AW224" s="211" t="s">
        <v>2080</v>
      </c>
      <c r="AX224" s="211" t="s">
        <v>451</v>
      </c>
      <c r="AY224" s="212">
        <v>2.0</v>
      </c>
      <c r="AZ224" s="213">
        <v>4.0</v>
      </c>
      <c r="BA224" s="213">
        <v>4.0</v>
      </c>
      <c r="BB224" s="213">
        <v>3.0</v>
      </c>
      <c r="BC224" s="212">
        <v>5.2</v>
      </c>
      <c r="BD224" s="213">
        <v>10.0</v>
      </c>
      <c r="BE224" s="213">
        <v>10.0</v>
      </c>
      <c r="BF224" s="213">
        <v>8.399999999999999</v>
      </c>
      <c r="BG224" s="212">
        <v>9.666666666666668</v>
      </c>
      <c r="BH224" s="213">
        <v>9.75</v>
      </c>
      <c r="BI224" s="213">
        <v>0.0012191358012690519</v>
      </c>
      <c r="BJ224" s="213">
        <v>0.001327160493625949</v>
      </c>
      <c r="BK224" s="213">
        <v>232.5</v>
      </c>
      <c r="BL224" s="212">
        <v>5.5</v>
      </c>
      <c r="BM224" s="213">
        <v>5.375</v>
      </c>
      <c r="BN224" s="213">
        <v>0.0024382716025381037</v>
      </c>
      <c r="BO224" s="213">
        <v>0.002654320987251898</v>
      </c>
      <c r="BP224" s="213">
        <v>116.25</v>
      </c>
      <c r="BQ224" s="192"/>
      <c r="BR224" s="192"/>
    </row>
    <row r="225">
      <c r="A225" s="60">
        <v>3291796.0</v>
      </c>
      <c r="B225" s="205">
        <v>3870932.0</v>
      </c>
      <c r="C225" s="205">
        <v>1880072.0</v>
      </c>
      <c r="D225" s="205">
        <v>1.0</v>
      </c>
      <c r="E225" s="207">
        <v>44871.10649305556</v>
      </c>
      <c r="F225" s="207">
        <v>45006.67050925926</v>
      </c>
      <c r="G225" s="207">
        <v>44994.893541666665</v>
      </c>
      <c r="H225" s="63" t="s">
        <v>1011</v>
      </c>
      <c r="I225" s="205">
        <v>160.0</v>
      </c>
      <c r="J225" s="63" t="s">
        <v>620</v>
      </c>
      <c r="K225" s="205">
        <v>8257675.0</v>
      </c>
      <c r="L225" s="208">
        <v>4.62529</v>
      </c>
      <c r="M225" s="208">
        <v>2.45915</v>
      </c>
      <c r="N225" s="208">
        <v>1.87916</v>
      </c>
      <c r="O225" s="209">
        <v>5.0</v>
      </c>
      <c r="P225" s="209">
        <v>7.0</v>
      </c>
      <c r="Q225" s="209">
        <v>7.0</v>
      </c>
      <c r="R225" s="209">
        <v>6.0</v>
      </c>
      <c r="S225" s="210">
        <v>0.0014583333322661929</v>
      </c>
      <c r="U225" s="205">
        <v>13.0</v>
      </c>
      <c r="V225" s="205">
        <v>5.0</v>
      </c>
      <c r="W225" s="63" t="s">
        <v>2081</v>
      </c>
      <c r="X225" s="210">
        <v>0.0014699074090458453</v>
      </c>
      <c r="Y225" s="63" t="s">
        <v>1116</v>
      </c>
      <c r="Z225" s="63" t="s">
        <v>2082</v>
      </c>
      <c r="AA225" s="205">
        <v>0.0</v>
      </c>
      <c r="AB225" s="63" t="s">
        <v>2083</v>
      </c>
      <c r="AC225" s="205">
        <v>245.0</v>
      </c>
      <c r="AD225" s="208">
        <v>9.04167</v>
      </c>
      <c r="AE225" s="205">
        <v>9208.0</v>
      </c>
      <c r="AF225" s="205">
        <v>747.0</v>
      </c>
      <c r="AG225" s="205">
        <v>356.0</v>
      </c>
      <c r="AH225" s="205">
        <v>101.0</v>
      </c>
      <c r="AI225" s="205">
        <v>0.0</v>
      </c>
      <c r="AJ225" s="205">
        <v>594.0</v>
      </c>
      <c r="AK225" s="205">
        <v>0.0</v>
      </c>
      <c r="AL225" s="205">
        <v>0.0</v>
      </c>
      <c r="AM225" s="205">
        <v>0.0</v>
      </c>
      <c r="AN225" s="205">
        <v>0.0</v>
      </c>
      <c r="AO225" s="208">
        <v>4.14345</v>
      </c>
      <c r="AP225" s="208">
        <v>5.26711</v>
      </c>
      <c r="AQ225" s="208">
        <v>6.43367</v>
      </c>
      <c r="AR225" s="208">
        <v>3.74499</v>
      </c>
      <c r="AT225" s="192" t="s">
        <v>454</v>
      </c>
      <c r="AU225" s="211" t="s">
        <v>453</v>
      </c>
      <c r="AV225" s="211" t="s">
        <v>2084</v>
      </c>
      <c r="AW225" s="211" t="s">
        <v>2085</v>
      </c>
      <c r="AX225" s="211" t="s">
        <v>454</v>
      </c>
      <c r="AY225" s="212">
        <v>2.5</v>
      </c>
      <c r="AZ225" s="213">
        <v>3.5</v>
      </c>
      <c r="BA225" s="213">
        <v>3.5</v>
      </c>
      <c r="BB225" s="213">
        <v>3.0</v>
      </c>
      <c r="BC225" s="212">
        <v>6.5</v>
      </c>
      <c r="BD225" s="213">
        <v>9.799999999999999</v>
      </c>
      <c r="BE225" s="213">
        <v>9.799999999999999</v>
      </c>
      <c r="BF225" s="213">
        <v>8.399999999999999</v>
      </c>
      <c r="BG225" s="212">
        <v>9.0</v>
      </c>
      <c r="BH225" s="213">
        <v>9.083333333333334</v>
      </c>
      <c r="BI225" s="213">
        <v>9.722222215107953E-4</v>
      </c>
      <c r="BJ225" s="213">
        <v>9.7993827269723E-4</v>
      </c>
      <c r="BK225" s="213">
        <v>240.0</v>
      </c>
      <c r="BL225" s="212">
        <v>4.0</v>
      </c>
      <c r="BM225" s="213">
        <v>3.875</v>
      </c>
      <c r="BN225" s="213">
        <v>0.0019444444430215906</v>
      </c>
      <c r="BO225" s="213">
        <v>0.00195987654539446</v>
      </c>
      <c r="BP225" s="213">
        <v>120.0</v>
      </c>
      <c r="BQ225" s="192"/>
      <c r="BR225" s="192"/>
    </row>
    <row r="226">
      <c r="A226" s="60">
        <v>2388648.0</v>
      </c>
      <c r="B226" s="205">
        <v>3821597.0</v>
      </c>
      <c r="C226" s="205">
        <v>1857926.0</v>
      </c>
      <c r="D226" s="205">
        <v>1.0</v>
      </c>
      <c r="E226" s="207">
        <v>44834.72677083334</v>
      </c>
      <c r="F226" s="207">
        <v>44864.626435185186</v>
      </c>
      <c r="G226" s="207">
        <v>44857.61033564815</v>
      </c>
      <c r="H226" s="63" t="s">
        <v>981</v>
      </c>
      <c r="I226" s="205">
        <v>146.5</v>
      </c>
      <c r="J226" s="63" t="s">
        <v>370</v>
      </c>
      <c r="K226" s="205">
        <v>1.6063282E7</v>
      </c>
      <c r="L226" s="208">
        <v>4.11281</v>
      </c>
      <c r="M226" s="208">
        <v>2.15665</v>
      </c>
      <c r="N226" s="208">
        <v>1.72438</v>
      </c>
      <c r="O226" s="209">
        <v>5.0</v>
      </c>
      <c r="P226" s="209">
        <v>6.9</v>
      </c>
      <c r="Q226" s="209">
        <v>6.9</v>
      </c>
      <c r="R226" s="209">
        <v>4.5</v>
      </c>
      <c r="S226" s="210">
        <v>9.606481471564621E-4</v>
      </c>
      <c r="T226" s="63" t="s">
        <v>2086</v>
      </c>
      <c r="U226" s="205">
        <v>4.0</v>
      </c>
      <c r="V226" s="205">
        <v>2.0</v>
      </c>
      <c r="W226" s="63" t="s">
        <v>2087</v>
      </c>
      <c r="X226" s="210">
        <v>9.606481471564621E-4</v>
      </c>
      <c r="Y226" s="63" t="s">
        <v>2088</v>
      </c>
      <c r="Z226" s="63" t="s">
        <v>2089</v>
      </c>
      <c r="AA226" s="205">
        <v>0.0</v>
      </c>
      <c r="AB226" s="63" t="s">
        <v>2090</v>
      </c>
      <c r="AC226" s="205">
        <v>556.0</v>
      </c>
      <c r="AD226" s="208">
        <v>8.22878</v>
      </c>
      <c r="AE226" s="205">
        <v>8299.0</v>
      </c>
      <c r="AF226" s="205">
        <v>1237.0</v>
      </c>
      <c r="AG226" s="205">
        <v>91.0</v>
      </c>
      <c r="AH226" s="205">
        <v>184.0</v>
      </c>
      <c r="AI226" s="205">
        <v>0.0</v>
      </c>
      <c r="AJ226" s="205">
        <v>492.0</v>
      </c>
      <c r="AK226" s="205">
        <v>0.0</v>
      </c>
      <c r="AL226" s="205">
        <v>0.0</v>
      </c>
      <c r="AM226" s="205">
        <v>0.0</v>
      </c>
      <c r="AN226" s="205">
        <v>0.0</v>
      </c>
      <c r="AO226" s="208">
        <v>3.57941</v>
      </c>
      <c r="AP226" s="208">
        <v>4.79733</v>
      </c>
      <c r="AQ226" s="208">
        <v>5.73091</v>
      </c>
      <c r="AR226" s="208">
        <v>3.25996</v>
      </c>
      <c r="AT226" s="192" t="s">
        <v>369</v>
      </c>
      <c r="AU226" s="211" t="s">
        <v>490</v>
      </c>
      <c r="AV226" s="211" t="s">
        <v>2091</v>
      </c>
      <c r="AW226" s="211" t="s">
        <v>2092</v>
      </c>
      <c r="AX226" s="211" t="s">
        <v>369</v>
      </c>
      <c r="AY226" s="212">
        <v>2.5</v>
      </c>
      <c r="AZ226" s="213">
        <v>3.45</v>
      </c>
      <c r="BA226" s="213">
        <v>3.45</v>
      </c>
      <c r="BB226" s="213">
        <v>2.25</v>
      </c>
      <c r="BC226" s="212">
        <v>6.5</v>
      </c>
      <c r="BD226" s="213">
        <v>9.66</v>
      </c>
      <c r="BE226" s="213">
        <v>9.66</v>
      </c>
      <c r="BF226" s="213">
        <v>6.3</v>
      </c>
      <c r="BG226" s="212">
        <v>8.933333333333334</v>
      </c>
      <c r="BH226" s="213">
        <v>9.016666666666667</v>
      </c>
      <c r="BI226" s="213">
        <v>6.40432098104308E-4</v>
      </c>
      <c r="BJ226" s="213">
        <v>6.40432098104308E-4</v>
      </c>
      <c r="BK226" s="213">
        <v>219.75</v>
      </c>
      <c r="BL226" s="212">
        <v>3.85</v>
      </c>
      <c r="BM226" s="213">
        <v>3.7250000000000014</v>
      </c>
      <c r="BN226" s="213">
        <v>0.001280864196208616</v>
      </c>
      <c r="BO226" s="213">
        <v>0.001280864196208616</v>
      </c>
      <c r="BP226" s="213">
        <v>109.875</v>
      </c>
      <c r="BQ226" s="192"/>
      <c r="BR226" s="192"/>
    </row>
    <row r="227">
      <c r="A227" s="60">
        <v>2849167.0</v>
      </c>
      <c r="B227" s="205">
        <v>3821597.0</v>
      </c>
      <c r="C227" s="205">
        <v>1857926.0</v>
      </c>
      <c r="D227" s="205">
        <v>1.0</v>
      </c>
      <c r="E227" s="207">
        <v>44834.72677083334</v>
      </c>
      <c r="F227" s="207">
        <v>44864.626435185186</v>
      </c>
      <c r="G227" s="207">
        <v>44857.61033564815</v>
      </c>
      <c r="H227" s="63" t="s">
        <v>981</v>
      </c>
      <c r="I227" s="205">
        <v>146.5</v>
      </c>
      <c r="J227" s="63" t="s">
        <v>370</v>
      </c>
      <c r="K227" s="205">
        <v>1.6063282E7</v>
      </c>
      <c r="L227" s="208">
        <v>4.11281</v>
      </c>
      <c r="M227" s="208">
        <v>2.15665</v>
      </c>
      <c r="N227" s="208">
        <v>1.72438</v>
      </c>
      <c r="O227" s="209">
        <v>5.0</v>
      </c>
      <c r="P227" s="209">
        <v>6.9</v>
      </c>
      <c r="Q227" s="209">
        <v>6.9</v>
      </c>
      <c r="R227" s="209">
        <v>4.5</v>
      </c>
      <c r="S227" s="210">
        <v>9.606481471564621E-4</v>
      </c>
      <c r="T227" s="63" t="s">
        <v>2086</v>
      </c>
      <c r="U227" s="205">
        <v>4.0</v>
      </c>
      <c r="V227" s="205">
        <v>2.0</v>
      </c>
      <c r="W227" s="63" t="s">
        <v>2087</v>
      </c>
      <c r="X227" s="210">
        <v>9.606481471564621E-4</v>
      </c>
      <c r="Y227" s="63" t="s">
        <v>2088</v>
      </c>
      <c r="Z227" s="63" t="s">
        <v>2089</v>
      </c>
      <c r="AA227" s="205">
        <v>0.0</v>
      </c>
      <c r="AB227" s="63" t="s">
        <v>2090</v>
      </c>
      <c r="AC227" s="205">
        <v>556.0</v>
      </c>
      <c r="AD227" s="208">
        <v>8.22878</v>
      </c>
      <c r="AE227" s="205">
        <v>8299.0</v>
      </c>
      <c r="AF227" s="205">
        <v>1237.0</v>
      </c>
      <c r="AG227" s="205">
        <v>91.0</v>
      </c>
      <c r="AH227" s="205">
        <v>184.0</v>
      </c>
      <c r="AI227" s="205">
        <v>0.0</v>
      </c>
      <c r="AJ227" s="205">
        <v>492.0</v>
      </c>
      <c r="AK227" s="205">
        <v>0.0</v>
      </c>
      <c r="AL227" s="205">
        <v>0.0</v>
      </c>
      <c r="AM227" s="205">
        <v>0.0</v>
      </c>
      <c r="AN227" s="205">
        <v>0.0</v>
      </c>
      <c r="AO227" s="208">
        <v>3.57941</v>
      </c>
      <c r="AP227" s="208">
        <v>4.79733</v>
      </c>
      <c r="AQ227" s="208">
        <v>5.73091</v>
      </c>
      <c r="AR227" s="208">
        <v>3.25996</v>
      </c>
      <c r="AT227" s="192" t="s">
        <v>369</v>
      </c>
      <c r="AU227" s="211" t="s">
        <v>490</v>
      </c>
      <c r="AV227" s="211" t="s">
        <v>2091</v>
      </c>
      <c r="AW227" s="211" t="s">
        <v>2092</v>
      </c>
      <c r="AX227" s="211" t="s">
        <v>369</v>
      </c>
      <c r="AY227" s="212">
        <v>2.5</v>
      </c>
      <c r="AZ227" s="213">
        <v>3.45</v>
      </c>
      <c r="BA227" s="213">
        <v>3.45</v>
      </c>
      <c r="BB227" s="213">
        <v>2.25</v>
      </c>
      <c r="BC227" s="212">
        <v>6.5</v>
      </c>
      <c r="BD227" s="213">
        <v>9.66</v>
      </c>
      <c r="BE227" s="213">
        <v>9.66</v>
      </c>
      <c r="BF227" s="213">
        <v>6.3</v>
      </c>
      <c r="BG227" s="212">
        <v>8.933333333333334</v>
      </c>
      <c r="BH227" s="213">
        <v>9.016666666666667</v>
      </c>
      <c r="BI227" s="213">
        <v>6.40432098104308E-4</v>
      </c>
      <c r="BJ227" s="213">
        <v>6.40432098104308E-4</v>
      </c>
      <c r="BK227" s="213">
        <v>219.75</v>
      </c>
      <c r="BL227" s="212">
        <v>3.85</v>
      </c>
      <c r="BM227" s="213">
        <v>3.7250000000000014</v>
      </c>
      <c r="BN227" s="213">
        <v>0.001280864196208616</v>
      </c>
      <c r="BO227" s="213">
        <v>0.001280864196208616</v>
      </c>
      <c r="BP227" s="213">
        <v>109.875</v>
      </c>
      <c r="BQ227" s="192"/>
      <c r="BR227" s="192"/>
    </row>
    <row r="228">
      <c r="A228" s="60">
        <v>26436.0</v>
      </c>
      <c r="B228" s="205">
        <v>3913591.0</v>
      </c>
      <c r="C228" s="205">
        <v>1888886.0</v>
      </c>
      <c r="D228" s="205">
        <v>1.0</v>
      </c>
      <c r="E228" s="207">
        <v>44885.62637731481</v>
      </c>
      <c r="F228" s="207">
        <v>44913.58844907407</v>
      </c>
      <c r="G228" s="207">
        <v>44906.56699074074</v>
      </c>
      <c r="H228" s="63" t="s">
        <v>985</v>
      </c>
      <c r="I228" s="205">
        <v>193.0</v>
      </c>
      <c r="J228" s="63" t="s">
        <v>392</v>
      </c>
      <c r="K228" s="205">
        <v>3807986.0</v>
      </c>
      <c r="L228" s="208">
        <v>4.80564</v>
      </c>
      <c r="M228" s="208">
        <v>2.19847</v>
      </c>
      <c r="N228" s="208">
        <v>2.39219</v>
      </c>
      <c r="O228" s="209">
        <v>4.0</v>
      </c>
      <c r="P228" s="209">
        <v>8.8</v>
      </c>
      <c r="Q228" s="209">
        <v>8.0</v>
      </c>
      <c r="R228" s="209">
        <v>5.0</v>
      </c>
      <c r="S228" s="210">
        <v>0.0024305555562023073</v>
      </c>
      <c r="T228" s="63" t="s">
        <v>1333</v>
      </c>
      <c r="U228" s="205">
        <v>4.0</v>
      </c>
      <c r="V228" s="205">
        <v>3.0</v>
      </c>
      <c r="W228" s="63" t="s">
        <v>2093</v>
      </c>
      <c r="X228" s="210">
        <v>0.002557870371674653</v>
      </c>
      <c r="Y228" s="63" t="s">
        <v>2094</v>
      </c>
      <c r="Z228" s="63" t="s">
        <v>2095</v>
      </c>
      <c r="AA228" s="205">
        <v>0.0</v>
      </c>
      <c r="AB228" s="63" t="s">
        <v>2096</v>
      </c>
      <c r="AC228" s="205">
        <v>677.0</v>
      </c>
      <c r="AD228" s="208">
        <v>9.44893</v>
      </c>
      <c r="AE228" s="205">
        <v>94663.0</v>
      </c>
      <c r="AF228" s="205">
        <v>24754.0</v>
      </c>
      <c r="AG228" s="205">
        <v>380.0</v>
      </c>
      <c r="AH228" s="205">
        <v>366.0</v>
      </c>
      <c r="AI228" s="205">
        <v>1.0</v>
      </c>
      <c r="AJ228" s="205">
        <v>1191.0</v>
      </c>
      <c r="AK228" s="205">
        <v>0.0</v>
      </c>
      <c r="AL228" s="205">
        <v>0.0</v>
      </c>
      <c r="AM228" s="205">
        <v>0.0</v>
      </c>
      <c r="AN228" s="205">
        <v>0.0</v>
      </c>
      <c r="AO228" s="208">
        <v>4.3712</v>
      </c>
      <c r="AP228" s="208">
        <v>5.01388</v>
      </c>
      <c r="AQ228" s="208">
        <v>7.03405</v>
      </c>
      <c r="AR228" s="208">
        <v>3.81741</v>
      </c>
      <c r="AT228" s="192" t="s">
        <v>391</v>
      </c>
      <c r="AU228" s="211" t="s">
        <v>456</v>
      </c>
      <c r="AV228" s="211" t="s">
        <v>2097</v>
      </c>
      <c r="AW228" s="211" t="s">
        <v>2098</v>
      </c>
      <c r="AX228" s="211" t="s">
        <v>391</v>
      </c>
      <c r="AY228" s="212">
        <v>2.0</v>
      </c>
      <c r="AZ228" s="213">
        <v>4.4</v>
      </c>
      <c r="BA228" s="213">
        <v>4.0</v>
      </c>
      <c r="BB228" s="213">
        <v>2.5</v>
      </c>
      <c r="BC228" s="212">
        <v>5.2</v>
      </c>
      <c r="BD228" s="213">
        <v>10.0</v>
      </c>
      <c r="BE228" s="213">
        <v>10.0</v>
      </c>
      <c r="BF228" s="213">
        <v>7.0</v>
      </c>
      <c r="BG228" s="212">
        <v>10.2</v>
      </c>
      <c r="BH228" s="213">
        <v>9.75</v>
      </c>
      <c r="BI228" s="213">
        <v>0.0016203703708015382</v>
      </c>
      <c r="BJ228" s="213">
        <v>0.0017052469144497688</v>
      </c>
      <c r="BK228" s="213">
        <v>289.5</v>
      </c>
      <c r="BL228" s="212">
        <v>6.700000000000001</v>
      </c>
      <c r="BM228" s="213">
        <v>5.375</v>
      </c>
      <c r="BN228" s="213">
        <v>0.0032407407416030765</v>
      </c>
      <c r="BO228" s="213">
        <v>0.0034104938288995377</v>
      </c>
      <c r="BP228" s="213">
        <v>144.75</v>
      </c>
      <c r="BQ228" s="192"/>
      <c r="BR228" s="192"/>
    </row>
    <row r="229">
      <c r="A229" s="60">
        <v>1956568.0</v>
      </c>
      <c r="B229" s="205">
        <v>3913591.0</v>
      </c>
      <c r="C229" s="205">
        <v>1888886.0</v>
      </c>
      <c r="D229" s="205">
        <v>1.0</v>
      </c>
      <c r="E229" s="207">
        <v>44885.62637731481</v>
      </c>
      <c r="F229" s="207">
        <v>44913.58844907407</v>
      </c>
      <c r="G229" s="207">
        <v>44906.56699074074</v>
      </c>
      <c r="H229" s="63" t="s">
        <v>985</v>
      </c>
      <c r="I229" s="205">
        <v>193.0</v>
      </c>
      <c r="J229" s="63" t="s">
        <v>392</v>
      </c>
      <c r="K229" s="205">
        <v>3807986.0</v>
      </c>
      <c r="L229" s="208">
        <v>4.80564</v>
      </c>
      <c r="M229" s="208">
        <v>2.19847</v>
      </c>
      <c r="N229" s="208">
        <v>2.39219</v>
      </c>
      <c r="O229" s="209">
        <v>4.0</v>
      </c>
      <c r="P229" s="209">
        <v>8.8</v>
      </c>
      <c r="Q229" s="209">
        <v>8.0</v>
      </c>
      <c r="R229" s="209">
        <v>5.0</v>
      </c>
      <c r="S229" s="210">
        <v>0.0024305555562023073</v>
      </c>
      <c r="T229" s="63" t="s">
        <v>1333</v>
      </c>
      <c r="U229" s="205">
        <v>4.0</v>
      </c>
      <c r="V229" s="205">
        <v>3.0</v>
      </c>
      <c r="W229" s="63" t="s">
        <v>2093</v>
      </c>
      <c r="X229" s="210">
        <v>0.002557870371674653</v>
      </c>
      <c r="Y229" s="63" t="s">
        <v>2094</v>
      </c>
      <c r="Z229" s="63" t="s">
        <v>2095</v>
      </c>
      <c r="AA229" s="205">
        <v>0.0</v>
      </c>
      <c r="AB229" s="63" t="s">
        <v>2096</v>
      </c>
      <c r="AC229" s="205">
        <v>677.0</v>
      </c>
      <c r="AD229" s="208">
        <v>9.44893</v>
      </c>
      <c r="AE229" s="205">
        <v>94663.0</v>
      </c>
      <c r="AF229" s="205">
        <v>24754.0</v>
      </c>
      <c r="AG229" s="205">
        <v>380.0</v>
      </c>
      <c r="AH229" s="205">
        <v>366.0</v>
      </c>
      <c r="AI229" s="205">
        <v>1.0</v>
      </c>
      <c r="AJ229" s="205">
        <v>1191.0</v>
      </c>
      <c r="AK229" s="205">
        <v>0.0</v>
      </c>
      <c r="AL229" s="205">
        <v>0.0</v>
      </c>
      <c r="AM229" s="205">
        <v>0.0</v>
      </c>
      <c r="AN229" s="205">
        <v>0.0</v>
      </c>
      <c r="AO229" s="208">
        <v>4.3712</v>
      </c>
      <c r="AP229" s="208">
        <v>5.01388</v>
      </c>
      <c r="AQ229" s="208">
        <v>7.03405</v>
      </c>
      <c r="AR229" s="208">
        <v>3.81741</v>
      </c>
      <c r="AT229" s="192" t="s">
        <v>391</v>
      </c>
      <c r="AU229" s="211" t="s">
        <v>456</v>
      </c>
      <c r="AV229" s="211" t="s">
        <v>2097</v>
      </c>
      <c r="AW229" s="211" t="s">
        <v>2098</v>
      </c>
      <c r="AX229" s="211" t="s">
        <v>391</v>
      </c>
      <c r="AY229" s="212">
        <v>2.0</v>
      </c>
      <c r="AZ229" s="213">
        <v>4.4</v>
      </c>
      <c r="BA229" s="213">
        <v>4.0</v>
      </c>
      <c r="BB229" s="213">
        <v>2.5</v>
      </c>
      <c r="BC229" s="212">
        <v>5.2</v>
      </c>
      <c r="BD229" s="213">
        <v>10.0</v>
      </c>
      <c r="BE229" s="213">
        <v>10.0</v>
      </c>
      <c r="BF229" s="213">
        <v>7.0</v>
      </c>
      <c r="BG229" s="212">
        <v>10.2</v>
      </c>
      <c r="BH229" s="213">
        <v>9.75</v>
      </c>
      <c r="BI229" s="213">
        <v>0.0016203703708015382</v>
      </c>
      <c r="BJ229" s="213">
        <v>0.0017052469144497688</v>
      </c>
      <c r="BK229" s="213">
        <v>289.5</v>
      </c>
      <c r="BL229" s="212">
        <v>6.700000000000001</v>
      </c>
      <c r="BM229" s="213">
        <v>5.375</v>
      </c>
      <c r="BN229" s="213">
        <v>0.0032407407416030765</v>
      </c>
      <c r="BO229" s="213">
        <v>0.0034104938288995377</v>
      </c>
      <c r="BP229" s="213">
        <v>144.75</v>
      </c>
      <c r="BQ229" s="192"/>
      <c r="BR229" s="192"/>
    </row>
    <row r="230">
      <c r="A230" s="60">
        <v>3299370.0</v>
      </c>
      <c r="B230" s="205">
        <v>674080.0</v>
      </c>
      <c r="C230" s="205">
        <v>292077.0</v>
      </c>
      <c r="D230" s="205">
        <v>1.0</v>
      </c>
      <c r="E230" s="207">
        <v>42071.86347222222</v>
      </c>
      <c r="F230" s="207">
        <v>42286.02887731481</v>
      </c>
      <c r="G230" s="207">
        <v>42276.08226851852</v>
      </c>
      <c r="H230" s="63" t="s">
        <v>988</v>
      </c>
      <c r="I230" s="205">
        <v>184.0</v>
      </c>
      <c r="J230" s="63" t="s">
        <v>408</v>
      </c>
      <c r="K230" s="205">
        <v>2683648.0</v>
      </c>
      <c r="L230" s="208">
        <v>3.5963</v>
      </c>
      <c r="M230" s="208">
        <v>1.7501</v>
      </c>
      <c r="N230" s="208">
        <v>1.69131</v>
      </c>
      <c r="O230" s="209">
        <v>4.0</v>
      </c>
      <c r="P230" s="209">
        <v>8.0</v>
      </c>
      <c r="Q230" s="209">
        <v>6.0</v>
      </c>
      <c r="R230" s="209">
        <v>5.0</v>
      </c>
      <c r="S230" s="210">
        <v>0.0028703703719656914</v>
      </c>
      <c r="U230" s="205">
        <v>10.0</v>
      </c>
      <c r="V230" s="205">
        <v>3.0</v>
      </c>
      <c r="W230" s="63" t="s">
        <v>2099</v>
      </c>
      <c r="X230" s="210">
        <v>0.002905092591390712</v>
      </c>
      <c r="Y230" s="63" t="s">
        <v>2100</v>
      </c>
      <c r="Z230" s="63" t="s">
        <v>2101</v>
      </c>
      <c r="AA230" s="205">
        <v>0.0</v>
      </c>
      <c r="AB230" s="63" t="s">
        <v>2102</v>
      </c>
      <c r="AC230" s="205">
        <v>6985.0</v>
      </c>
      <c r="AD230" s="208">
        <v>9.49117</v>
      </c>
      <c r="AE230" s="205">
        <v>1771675.0</v>
      </c>
      <c r="AF230" s="205">
        <v>518308.0</v>
      </c>
      <c r="AG230" s="205">
        <v>237.0</v>
      </c>
      <c r="AH230" s="205">
        <v>449.0</v>
      </c>
      <c r="AI230" s="205">
        <v>1.0</v>
      </c>
      <c r="AJ230" s="205">
        <v>1366.0</v>
      </c>
      <c r="AK230" s="205">
        <v>0.0</v>
      </c>
      <c r="AL230" s="205">
        <v>0.0</v>
      </c>
      <c r="AM230" s="205">
        <v>0.0</v>
      </c>
      <c r="AN230" s="205">
        <v>0.0</v>
      </c>
      <c r="AO230" s="208">
        <v>3.2686</v>
      </c>
      <c r="AP230" s="208">
        <v>3.81084</v>
      </c>
      <c r="AQ230" s="208">
        <v>5.0485</v>
      </c>
      <c r="AR230" s="208">
        <v>2.88667</v>
      </c>
      <c r="AT230" s="192" t="s">
        <v>407</v>
      </c>
      <c r="AU230" s="211" t="s">
        <v>457</v>
      </c>
      <c r="AV230" s="211" t="s">
        <v>2103</v>
      </c>
      <c r="AW230" s="211" t="s">
        <v>2104</v>
      </c>
      <c r="AX230" s="211" t="s">
        <v>407</v>
      </c>
      <c r="AY230" s="212">
        <v>2.0</v>
      </c>
      <c r="AZ230" s="213">
        <v>4.0</v>
      </c>
      <c r="BA230" s="213">
        <v>3.0</v>
      </c>
      <c r="BB230" s="213">
        <v>2.5</v>
      </c>
      <c r="BC230" s="212">
        <v>5.2</v>
      </c>
      <c r="BD230" s="213">
        <v>10.0</v>
      </c>
      <c r="BE230" s="213">
        <v>8.399999999999999</v>
      </c>
      <c r="BF230" s="213">
        <v>7.0</v>
      </c>
      <c r="BG230" s="212">
        <v>9.666666666666668</v>
      </c>
      <c r="BH230" s="213">
        <v>8.416666666666666</v>
      </c>
      <c r="BI230" s="213">
        <v>0.0019135802479771276</v>
      </c>
      <c r="BJ230" s="213">
        <v>0.0019367283942604747</v>
      </c>
      <c r="BK230" s="213">
        <v>276.0</v>
      </c>
      <c r="BL230" s="212">
        <v>5.5</v>
      </c>
      <c r="BM230" s="213">
        <v>2.375</v>
      </c>
      <c r="BN230" s="213">
        <v>0.003827160495954255</v>
      </c>
      <c r="BO230" s="213">
        <v>0.0038734567885209494</v>
      </c>
      <c r="BP230" s="213">
        <v>138.0</v>
      </c>
      <c r="BQ230" s="192"/>
      <c r="BR230" s="192"/>
    </row>
    <row r="231">
      <c r="A231" s="60">
        <v>722224.0</v>
      </c>
      <c r="B231" s="205">
        <v>674080.0</v>
      </c>
      <c r="C231" s="205">
        <v>292077.0</v>
      </c>
      <c r="D231" s="205">
        <v>1.0</v>
      </c>
      <c r="E231" s="207">
        <v>42071.86347222222</v>
      </c>
      <c r="F231" s="207">
        <v>42286.02887731481</v>
      </c>
      <c r="G231" s="207">
        <v>42276.08226851852</v>
      </c>
      <c r="H231" s="63" t="s">
        <v>988</v>
      </c>
      <c r="I231" s="205">
        <v>184.0</v>
      </c>
      <c r="J231" s="63" t="s">
        <v>408</v>
      </c>
      <c r="K231" s="205">
        <v>2683648.0</v>
      </c>
      <c r="L231" s="208">
        <v>3.5963</v>
      </c>
      <c r="M231" s="208">
        <v>1.7501</v>
      </c>
      <c r="N231" s="208">
        <v>1.69131</v>
      </c>
      <c r="O231" s="209">
        <v>4.0</v>
      </c>
      <c r="P231" s="209">
        <v>8.0</v>
      </c>
      <c r="Q231" s="209">
        <v>6.0</v>
      </c>
      <c r="R231" s="209">
        <v>5.0</v>
      </c>
      <c r="S231" s="210">
        <v>0.0028703703719656914</v>
      </c>
      <c r="U231" s="205">
        <v>10.0</v>
      </c>
      <c r="V231" s="205">
        <v>3.0</v>
      </c>
      <c r="W231" s="63" t="s">
        <v>2099</v>
      </c>
      <c r="X231" s="210">
        <v>0.002905092591390712</v>
      </c>
      <c r="Y231" s="63" t="s">
        <v>2100</v>
      </c>
      <c r="Z231" s="63" t="s">
        <v>2101</v>
      </c>
      <c r="AA231" s="205">
        <v>0.0</v>
      </c>
      <c r="AB231" s="63" t="s">
        <v>2102</v>
      </c>
      <c r="AC231" s="205">
        <v>6985.0</v>
      </c>
      <c r="AD231" s="208">
        <v>9.49117</v>
      </c>
      <c r="AE231" s="205">
        <v>1771675.0</v>
      </c>
      <c r="AF231" s="205">
        <v>518308.0</v>
      </c>
      <c r="AG231" s="205">
        <v>237.0</v>
      </c>
      <c r="AH231" s="205">
        <v>449.0</v>
      </c>
      <c r="AI231" s="205">
        <v>1.0</v>
      </c>
      <c r="AJ231" s="205">
        <v>1366.0</v>
      </c>
      <c r="AK231" s="205">
        <v>0.0</v>
      </c>
      <c r="AL231" s="205">
        <v>0.0</v>
      </c>
      <c r="AM231" s="205">
        <v>0.0</v>
      </c>
      <c r="AN231" s="205">
        <v>0.0</v>
      </c>
      <c r="AO231" s="208">
        <v>3.2686</v>
      </c>
      <c r="AP231" s="208">
        <v>3.81084</v>
      </c>
      <c r="AQ231" s="208">
        <v>5.0485</v>
      </c>
      <c r="AR231" s="208">
        <v>2.88667</v>
      </c>
      <c r="AT231" s="192" t="s">
        <v>407</v>
      </c>
      <c r="AU231" s="211" t="s">
        <v>457</v>
      </c>
      <c r="AV231" s="211" t="s">
        <v>2103</v>
      </c>
      <c r="AW231" s="211" t="s">
        <v>2104</v>
      </c>
      <c r="AX231" s="211" t="s">
        <v>407</v>
      </c>
      <c r="AY231" s="212">
        <v>2.0</v>
      </c>
      <c r="AZ231" s="213">
        <v>4.0</v>
      </c>
      <c r="BA231" s="213">
        <v>3.0</v>
      </c>
      <c r="BB231" s="213">
        <v>2.5</v>
      </c>
      <c r="BC231" s="212">
        <v>5.2</v>
      </c>
      <c r="BD231" s="213">
        <v>10.0</v>
      </c>
      <c r="BE231" s="213">
        <v>8.399999999999999</v>
      </c>
      <c r="BF231" s="213">
        <v>7.0</v>
      </c>
      <c r="BG231" s="212">
        <v>9.666666666666668</v>
      </c>
      <c r="BH231" s="213">
        <v>8.416666666666666</v>
      </c>
      <c r="BI231" s="213">
        <v>0.0019135802479771276</v>
      </c>
      <c r="BJ231" s="213">
        <v>0.0019367283942604747</v>
      </c>
      <c r="BK231" s="213">
        <v>276.0</v>
      </c>
      <c r="BL231" s="212">
        <v>5.5</v>
      </c>
      <c r="BM231" s="213">
        <v>2.375</v>
      </c>
      <c r="BN231" s="213">
        <v>0.003827160495954255</v>
      </c>
      <c r="BO231" s="213">
        <v>0.0038734567885209494</v>
      </c>
      <c r="BP231" s="213">
        <v>138.0</v>
      </c>
      <c r="BQ231" s="192"/>
      <c r="BR231" s="192"/>
    </row>
    <row r="232">
      <c r="A232" s="60">
        <v>4150885.0</v>
      </c>
      <c r="B232" s="205">
        <v>3407970.0</v>
      </c>
      <c r="C232" s="205">
        <v>1668789.0</v>
      </c>
      <c r="D232" s="205">
        <v>1.0</v>
      </c>
      <c r="E232" s="207">
        <v>44568.5093287037</v>
      </c>
      <c r="F232" s="207">
        <v>44614.86199074074</v>
      </c>
      <c r="G232" s="207">
        <v>44607.12559027778</v>
      </c>
      <c r="H232" s="63" t="s">
        <v>2105</v>
      </c>
      <c r="I232" s="205">
        <v>86.0</v>
      </c>
      <c r="J232" s="63" t="s">
        <v>2106</v>
      </c>
      <c r="K232" s="205">
        <v>1249323.0</v>
      </c>
      <c r="L232" s="208">
        <v>4.0742</v>
      </c>
      <c r="M232" s="208">
        <v>2.13134</v>
      </c>
      <c r="N232" s="208">
        <v>1.71669</v>
      </c>
      <c r="O232" s="209">
        <v>5.0</v>
      </c>
      <c r="P232" s="209">
        <v>8.0</v>
      </c>
      <c r="Q232" s="209">
        <v>7.0</v>
      </c>
      <c r="R232" s="209">
        <v>5.0</v>
      </c>
      <c r="S232" s="210">
        <v>0.0016319444439432118</v>
      </c>
      <c r="U232" s="205">
        <v>9.0</v>
      </c>
      <c r="V232" s="205">
        <v>2.0</v>
      </c>
      <c r="W232" s="63" t="s">
        <v>2107</v>
      </c>
      <c r="X232" s="210">
        <v>0.0018518518518249039</v>
      </c>
      <c r="Y232" s="63" t="s">
        <v>2108</v>
      </c>
      <c r="Z232" s="63" t="s">
        <v>2109</v>
      </c>
      <c r="AA232" s="205">
        <v>0.0</v>
      </c>
      <c r="AB232" s="63" t="s">
        <v>2110</v>
      </c>
      <c r="AC232" s="205">
        <v>279.0</v>
      </c>
      <c r="AD232" s="208">
        <v>9.00654</v>
      </c>
      <c r="AE232" s="205">
        <v>22807.0</v>
      </c>
      <c r="AF232" s="205">
        <v>4213.0</v>
      </c>
      <c r="AG232" s="205">
        <v>163.0</v>
      </c>
      <c r="AH232" s="205">
        <v>203.0</v>
      </c>
      <c r="AI232" s="205">
        <v>1.0</v>
      </c>
      <c r="AJ232" s="205">
        <v>585.0</v>
      </c>
      <c r="AK232" s="205">
        <v>0.0</v>
      </c>
      <c r="AL232" s="205">
        <v>0.0</v>
      </c>
      <c r="AM232" s="205">
        <v>0.0</v>
      </c>
      <c r="AN232" s="205">
        <v>0.0</v>
      </c>
      <c r="AO232" s="208">
        <v>3.62735</v>
      </c>
      <c r="AP232" s="208">
        <v>4.61128</v>
      </c>
      <c r="AQ232" s="208">
        <v>5.5855</v>
      </c>
      <c r="AR232" s="208">
        <v>3.28731</v>
      </c>
      <c r="AT232" s="192" t="s">
        <v>459</v>
      </c>
      <c r="AU232" s="211" t="s">
        <v>458</v>
      </c>
      <c r="AV232" s="211" t="s">
        <v>2111</v>
      </c>
      <c r="AW232" s="211" t="s">
        <v>2112</v>
      </c>
      <c r="AX232" s="211" t="s">
        <v>459</v>
      </c>
      <c r="AY232" s="212">
        <v>2.5</v>
      </c>
      <c r="AZ232" s="213">
        <v>4.0</v>
      </c>
      <c r="BA232" s="213">
        <v>3.5</v>
      </c>
      <c r="BB232" s="213">
        <v>2.5</v>
      </c>
      <c r="BC232" s="212">
        <v>6.5</v>
      </c>
      <c r="BD232" s="213">
        <v>10.0</v>
      </c>
      <c r="BE232" s="213">
        <v>9.799999999999999</v>
      </c>
      <c r="BF232" s="213">
        <v>7.0</v>
      </c>
      <c r="BG232" s="212">
        <v>9.666666666666668</v>
      </c>
      <c r="BH232" s="213">
        <v>9.083333333333334</v>
      </c>
      <c r="BI232" s="213">
        <v>0.0010879629626288079</v>
      </c>
      <c r="BJ232" s="213">
        <v>0.0012345679012166026</v>
      </c>
      <c r="BK232" s="213">
        <v>129.0</v>
      </c>
      <c r="BL232" s="212">
        <v>5.5</v>
      </c>
      <c r="BM232" s="213">
        <v>3.875</v>
      </c>
      <c r="BN232" s="213">
        <v>0.0021759259252576157</v>
      </c>
      <c r="BO232" s="213">
        <v>0.0024691358024332053</v>
      </c>
      <c r="BP232" s="213">
        <v>64.5</v>
      </c>
      <c r="BQ232" s="192"/>
      <c r="BR232" s="192"/>
    </row>
    <row r="233">
      <c r="A233" s="60">
        <v>2111658.0</v>
      </c>
      <c r="B233" s="205">
        <v>3407970.0</v>
      </c>
      <c r="C233" s="205">
        <v>1668789.0</v>
      </c>
      <c r="D233" s="205">
        <v>1.0</v>
      </c>
      <c r="E233" s="207">
        <v>44568.5093287037</v>
      </c>
      <c r="F233" s="207">
        <v>44614.86199074074</v>
      </c>
      <c r="G233" s="207">
        <v>44607.12559027778</v>
      </c>
      <c r="H233" s="63" t="s">
        <v>2105</v>
      </c>
      <c r="I233" s="205">
        <v>86.0</v>
      </c>
      <c r="J233" s="63" t="s">
        <v>2106</v>
      </c>
      <c r="K233" s="205">
        <v>1249323.0</v>
      </c>
      <c r="L233" s="208">
        <v>4.0742</v>
      </c>
      <c r="M233" s="208">
        <v>2.13134</v>
      </c>
      <c r="N233" s="208">
        <v>1.71669</v>
      </c>
      <c r="O233" s="209">
        <v>5.0</v>
      </c>
      <c r="P233" s="209">
        <v>8.0</v>
      </c>
      <c r="Q233" s="209">
        <v>7.0</v>
      </c>
      <c r="R233" s="209">
        <v>5.0</v>
      </c>
      <c r="S233" s="210">
        <v>0.0016319444439432118</v>
      </c>
      <c r="U233" s="205">
        <v>9.0</v>
      </c>
      <c r="V233" s="205">
        <v>2.0</v>
      </c>
      <c r="W233" s="63" t="s">
        <v>2107</v>
      </c>
      <c r="X233" s="210">
        <v>0.0018518518518249039</v>
      </c>
      <c r="Y233" s="63" t="s">
        <v>2108</v>
      </c>
      <c r="Z233" s="63" t="s">
        <v>2109</v>
      </c>
      <c r="AA233" s="205">
        <v>0.0</v>
      </c>
      <c r="AB233" s="63" t="s">
        <v>2110</v>
      </c>
      <c r="AC233" s="205">
        <v>279.0</v>
      </c>
      <c r="AD233" s="208">
        <v>9.00654</v>
      </c>
      <c r="AE233" s="205">
        <v>22807.0</v>
      </c>
      <c r="AF233" s="205">
        <v>4213.0</v>
      </c>
      <c r="AG233" s="205">
        <v>163.0</v>
      </c>
      <c r="AH233" s="205">
        <v>203.0</v>
      </c>
      <c r="AI233" s="205">
        <v>1.0</v>
      </c>
      <c r="AJ233" s="205">
        <v>585.0</v>
      </c>
      <c r="AK233" s="205">
        <v>0.0</v>
      </c>
      <c r="AL233" s="205">
        <v>0.0</v>
      </c>
      <c r="AM233" s="205">
        <v>0.0</v>
      </c>
      <c r="AN233" s="205">
        <v>0.0</v>
      </c>
      <c r="AO233" s="208">
        <v>3.62735</v>
      </c>
      <c r="AP233" s="208">
        <v>4.61128</v>
      </c>
      <c r="AQ233" s="208">
        <v>5.5855</v>
      </c>
      <c r="AR233" s="208">
        <v>3.28731</v>
      </c>
      <c r="AT233" s="192" t="s">
        <v>459</v>
      </c>
      <c r="AU233" s="211" t="s">
        <v>458</v>
      </c>
      <c r="AV233" s="211" t="s">
        <v>2111</v>
      </c>
      <c r="AW233" s="211" t="s">
        <v>2112</v>
      </c>
      <c r="AX233" s="211" t="s">
        <v>459</v>
      </c>
      <c r="AY233" s="212">
        <v>2.5</v>
      </c>
      <c r="AZ233" s="213">
        <v>4.0</v>
      </c>
      <c r="BA233" s="213">
        <v>3.5</v>
      </c>
      <c r="BB233" s="213">
        <v>2.5</v>
      </c>
      <c r="BC233" s="212">
        <v>6.5</v>
      </c>
      <c r="BD233" s="213">
        <v>10.0</v>
      </c>
      <c r="BE233" s="213">
        <v>9.799999999999999</v>
      </c>
      <c r="BF233" s="213">
        <v>7.0</v>
      </c>
      <c r="BG233" s="212">
        <v>9.666666666666668</v>
      </c>
      <c r="BH233" s="213">
        <v>9.083333333333334</v>
      </c>
      <c r="BI233" s="213">
        <v>0.0010879629626288079</v>
      </c>
      <c r="BJ233" s="213">
        <v>0.0012345679012166026</v>
      </c>
      <c r="BK233" s="213">
        <v>129.0</v>
      </c>
      <c r="BL233" s="212">
        <v>5.5</v>
      </c>
      <c r="BM233" s="213">
        <v>3.875</v>
      </c>
      <c r="BN233" s="213">
        <v>0.0021759259252576157</v>
      </c>
      <c r="BO233" s="213">
        <v>0.0024691358024332053</v>
      </c>
      <c r="BP233" s="213">
        <v>64.5</v>
      </c>
      <c r="BQ233" s="192"/>
      <c r="BR233" s="192"/>
    </row>
    <row r="234">
      <c r="A234" s="60">
        <v>3239199.0</v>
      </c>
      <c r="B234" s="205">
        <v>2917786.0</v>
      </c>
      <c r="C234" s="205">
        <v>1415788.0</v>
      </c>
      <c r="D234" s="205">
        <v>1.0</v>
      </c>
      <c r="E234" s="207">
        <v>44283.76155092593</v>
      </c>
      <c r="F234" s="207">
        <v>44358.959872685184</v>
      </c>
      <c r="G234" s="207">
        <v>44351.923622685186</v>
      </c>
      <c r="H234" s="63" t="s">
        <v>1001</v>
      </c>
      <c r="I234" s="205">
        <v>130.0</v>
      </c>
      <c r="J234" s="63" t="s">
        <v>530</v>
      </c>
      <c r="K234" s="205">
        <v>1.3646997E7</v>
      </c>
      <c r="L234" s="208">
        <v>4.08512</v>
      </c>
      <c r="M234" s="208">
        <v>2.1921</v>
      </c>
      <c r="N234" s="208">
        <v>1.61967</v>
      </c>
      <c r="O234" s="209">
        <v>5.0</v>
      </c>
      <c r="P234" s="209">
        <v>9.0</v>
      </c>
      <c r="Q234" s="209">
        <v>8.0</v>
      </c>
      <c r="R234" s="209">
        <v>5.0</v>
      </c>
      <c r="S234" s="210">
        <v>0.0019791666672972497</v>
      </c>
      <c r="U234" s="205">
        <v>9.0</v>
      </c>
      <c r="V234" s="205">
        <v>8.0</v>
      </c>
      <c r="W234" s="63" t="s">
        <v>2113</v>
      </c>
      <c r="X234" s="210">
        <v>0.0020833333328482695</v>
      </c>
      <c r="Y234" s="63" t="s">
        <v>2114</v>
      </c>
      <c r="Z234" s="63" t="s">
        <v>2115</v>
      </c>
      <c r="AA234" s="205">
        <v>0.0</v>
      </c>
      <c r="AB234" s="63" t="s">
        <v>2116</v>
      </c>
      <c r="AC234" s="205">
        <v>331.0</v>
      </c>
      <c r="AD234" s="208">
        <v>8.58291</v>
      </c>
      <c r="AE234" s="205">
        <v>50428.0</v>
      </c>
      <c r="AF234" s="205">
        <v>12995.0</v>
      </c>
      <c r="AG234" s="205">
        <v>196.0</v>
      </c>
      <c r="AH234" s="205">
        <v>308.0</v>
      </c>
      <c r="AI234" s="205">
        <v>3.0</v>
      </c>
      <c r="AJ234" s="205">
        <v>818.0</v>
      </c>
      <c r="AK234" s="205">
        <v>0.0</v>
      </c>
      <c r="AL234" s="205">
        <v>0.0</v>
      </c>
      <c r="AM234" s="205">
        <v>0.0</v>
      </c>
      <c r="AN234" s="205">
        <v>0.0</v>
      </c>
      <c r="AO234" s="208">
        <v>3.50295</v>
      </c>
      <c r="AP234" s="208">
        <v>4.85907</v>
      </c>
      <c r="AQ234" s="208">
        <v>5.53429</v>
      </c>
      <c r="AR234" s="208">
        <v>3.31216</v>
      </c>
      <c r="AT234" s="192" t="s">
        <v>461</v>
      </c>
      <c r="AU234" s="211" t="s">
        <v>460</v>
      </c>
      <c r="AV234" s="211" t="s">
        <v>2117</v>
      </c>
      <c r="AW234" s="211" t="s">
        <v>2118</v>
      </c>
      <c r="AX234" s="211" t="s">
        <v>461</v>
      </c>
      <c r="AY234" s="212">
        <v>2.5</v>
      </c>
      <c r="AZ234" s="213">
        <v>4.5</v>
      </c>
      <c r="BA234" s="213">
        <v>4.0</v>
      </c>
      <c r="BB234" s="213">
        <v>2.5</v>
      </c>
      <c r="BC234" s="212">
        <v>6.5</v>
      </c>
      <c r="BD234" s="213">
        <v>10.0</v>
      </c>
      <c r="BE234" s="213">
        <v>10.0</v>
      </c>
      <c r="BF234" s="213">
        <v>7.0</v>
      </c>
      <c r="BG234" s="212">
        <v>10.333333333333332</v>
      </c>
      <c r="BH234" s="213">
        <v>9.75</v>
      </c>
      <c r="BI234" s="213">
        <v>0.001319444444864833</v>
      </c>
      <c r="BJ234" s="213">
        <v>0.001388888888565513</v>
      </c>
      <c r="BK234" s="213">
        <v>195.0</v>
      </c>
      <c r="BL234" s="212">
        <v>7.0</v>
      </c>
      <c r="BM234" s="213">
        <v>5.375</v>
      </c>
      <c r="BN234" s="213">
        <v>0.002638888889729666</v>
      </c>
      <c r="BO234" s="213">
        <v>0.002777777777131026</v>
      </c>
      <c r="BP234" s="213">
        <v>97.5</v>
      </c>
      <c r="BQ234" s="192"/>
      <c r="BR234" s="192"/>
    </row>
    <row r="235">
      <c r="A235" s="60">
        <v>3822599.0</v>
      </c>
      <c r="B235" s="205">
        <v>2917786.0</v>
      </c>
      <c r="C235" s="205">
        <v>1415788.0</v>
      </c>
      <c r="D235" s="205">
        <v>1.0</v>
      </c>
      <c r="E235" s="207">
        <v>44283.76155092593</v>
      </c>
      <c r="F235" s="207">
        <v>44358.959872685184</v>
      </c>
      <c r="G235" s="207">
        <v>44351.923622685186</v>
      </c>
      <c r="H235" s="63" t="s">
        <v>1001</v>
      </c>
      <c r="I235" s="205">
        <v>130.0</v>
      </c>
      <c r="J235" s="63" t="s">
        <v>530</v>
      </c>
      <c r="K235" s="205">
        <v>1.3646997E7</v>
      </c>
      <c r="L235" s="208">
        <v>4.08512</v>
      </c>
      <c r="M235" s="208">
        <v>2.1921</v>
      </c>
      <c r="N235" s="208">
        <v>1.61967</v>
      </c>
      <c r="O235" s="209">
        <v>5.0</v>
      </c>
      <c r="P235" s="209">
        <v>9.0</v>
      </c>
      <c r="Q235" s="209">
        <v>8.0</v>
      </c>
      <c r="R235" s="209">
        <v>5.0</v>
      </c>
      <c r="S235" s="210">
        <v>0.0019791666672972497</v>
      </c>
      <c r="U235" s="205">
        <v>9.0</v>
      </c>
      <c r="V235" s="205">
        <v>8.0</v>
      </c>
      <c r="W235" s="63" t="s">
        <v>2113</v>
      </c>
      <c r="X235" s="210">
        <v>0.0020833333328482695</v>
      </c>
      <c r="Y235" s="63" t="s">
        <v>2114</v>
      </c>
      <c r="Z235" s="63" t="s">
        <v>2115</v>
      </c>
      <c r="AA235" s="205">
        <v>0.0</v>
      </c>
      <c r="AB235" s="63" t="s">
        <v>2116</v>
      </c>
      <c r="AC235" s="205">
        <v>331.0</v>
      </c>
      <c r="AD235" s="208">
        <v>8.58291</v>
      </c>
      <c r="AE235" s="205">
        <v>50428.0</v>
      </c>
      <c r="AF235" s="205">
        <v>12995.0</v>
      </c>
      <c r="AG235" s="205">
        <v>196.0</v>
      </c>
      <c r="AH235" s="205">
        <v>308.0</v>
      </c>
      <c r="AI235" s="205">
        <v>3.0</v>
      </c>
      <c r="AJ235" s="205">
        <v>818.0</v>
      </c>
      <c r="AK235" s="205">
        <v>0.0</v>
      </c>
      <c r="AL235" s="205">
        <v>0.0</v>
      </c>
      <c r="AM235" s="205">
        <v>0.0</v>
      </c>
      <c r="AN235" s="205">
        <v>0.0</v>
      </c>
      <c r="AO235" s="208">
        <v>3.50295</v>
      </c>
      <c r="AP235" s="208">
        <v>4.85907</v>
      </c>
      <c r="AQ235" s="208">
        <v>5.53429</v>
      </c>
      <c r="AR235" s="208">
        <v>3.31216</v>
      </c>
      <c r="AT235" s="192" t="s">
        <v>461</v>
      </c>
      <c r="AU235" s="211" t="s">
        <v>460</v>
      </c>
      <c r="AV235" s="211" t="s">
        <v>2117</v>
      </c>
      <c r="AW235" s="211" t="s">
        <v>2118</v>
      </c>
      <c r="AX235" s="211" t="s">
        <v>461</v>
      </c>
      <c r="AY235" s="212">
        <v>2.5</v>
      </c>
      <c r="AZ235" s="213">
        <v>4.5</v>
      </c>
      <c r="BA235" s="213">
        <v>4.0</v>
      </c>
      <c r="BB235" s="213">
        <v>2.5</v>
      </c>
      <c r="BC235" s="212">
        <v>6.5</v>
      </c>
      <c r="BD235" s="213">
        <v>10.0</v>
      </c>
      <c r="BE235" s="213">
        <v>10.0</v>
      </c>
      <c r="BF235" s="213">
        <v>7.0</v>
      </c>
      <c r="BG235" s="212">
        <v>10.333333333333332</v>
      </c>
      <c r="BH235" s="213">
        <v>9.75</v>
      </c>
      <c r="BI235" s="213">
        <v>0.001319444444864833</v>
      </c>
      <c r="BJ235" s="213">
        <v>0.001388888888565513</v>
      </c>
      <c r="BK235" s="213">
        <v>195.0</v>
      </c>
      <c r="BL235" s="212">
        <v>7.0</v>
      </c>
      <c r="BM235" s="213">
        <v>5.375</v>
      </c>
      <c r="BN235" s="213">
        <v>0.002638888889729666</v>
      </c>
      <c r="BO235" s="213">
        <v>0.002777777777131026</v>
      </c>
      <c r="BP235" s="213">
        <v>97.5</v>
      </c>
      <c r="BQ235" s="192"/>
      <c r="BR235" s="192"/>
    </row>
    <row r="236">
      <c r="A236" s="60">
        <v>3187491.0</v>
      </c>
      <c r="B236" s="205">
        <v>2671048.0</v>
      </c>
      <c r="C236" s="205">
        <v>1181343.0</v>
      </c>
      <c r="D236" s="205">
        <v>1.0</v>
      </c>
      <c r="E236" s="207">
        <v>43980.60383101852</v>
      </c>
      <c r="F236" s="207">
        <v>44140.67248842593</v>
      </c>
      <c r="G236" s="207">
        <v>44131.18958333333</v>
      </c>
      <c r="H236" s="63" t="s">
        <v>982</v>
      </c>
      <c r="I236" s="205">
        <v>170.0</v>
      </c>
      <c r="J236" s="63" t="s">
        <v>226</v>
      </c>
      <c r="K236" s="205">
        <v>3161834.0</v>
      </c>
      <c r="L236" s="208">
        <v>5.08091</v>
      </c>
      <c r="M236" s="208">
        <v>2.47</v>
      </c>
      <c r="N236" s="208">
        <v>2.39231</v>
      </c>
      <c r="O236" s="209">
        <v>4.5</v>
      </c>
      <c r="P236" s="209">
        <v>9.0</v>
      </c>
      <c r="Q236" s="209">
        <v>8.5</v>
      </c>
      <c r="R236" s="209">
        <v>5.0</v>
      </c>
      <c r="S236" s="210">
        <v>0.002395833333139308</v>
      </c>
      <c r="U236" s="205">
        <v>5.0</v>
      </c>
      <c r="V236" s="205">
        <v>3.0</v>
      </c>
      <c r="W236" s="63" t="s">
        <v>2119</v>
      </c>
      <c r="X236" s="210">
        <v>0.002395833333139308</v>
      </c>
      <c r="Y236" s="63" t="s">
        <v>2120</v>
      </c>
      <c r="Z236" s="63" t="s">
        <v>2121</v>
      </c>
      <c r="AA236" s="205">
        <v>0.0</v>
      </c>
      <c r="AB236" s="63" t="s">
        <v>2122</v>
      </c>
      <c r="AC236" s="205">
        <v>2662.0</v>
      </c>
      <c r="AD236" s="208">
        <v>9.46991</v>
      </c>
      <c r="AE236" s="205">
        <v>333793.0</v>
      </c>
      <c r="AF236" s="205">
        <v>52685.0</v>
      </c>
      <c r="AG236" s="205">
        <v>541.0</v>
      </c>
      <c r="AH236" s="205">
        <v>324.0</v>
      </c>
      <c r="AI236" s="205">
        <v>0.0</v>
      </c>
      <c r="AJ236" s="205">
        <v>1206.0</v>
      </c>
      <c r="AK236" s="205">
        <v>0.0</v>
      </c>
      <c r="AL236" s="205">
        <v>0.0</v>
      </c>
      <c r="AM236" s="205">
        <v>0.0</v>
      </c>
      <c r="AN236" s="205">
        <v>0.0</v>
      </c>
      <c r="AO236" s="208">
        <v>4.67522</v>
      </c>
      <c r="AP236" s="208">
        <v>5.43262</v>
      </c>
      <c r="AQ236" s="208">
        <v>7.1849</v>
      </c>
      <c r="AR236" s="208">
        <v>4.00575</v>
      </c>
      <c r="AT236" s="192" t="s">
        <v>375</v>
      </c>
      <c r="AU236" s="211" t="s">
        <v>462</v>
      </c>
      <c r="AV236" s="211" t="s">
        <v>2123</v>
      </c>
      <c r="AW236" s="211" t="s">
        <v>2124</v>
      </c>
      <c r="AX236" s="211" t="s">
        <v>375</v>
      </c>
      <c r="AY236" s="212">
        <v>2.25</v>
      </c>
      <c r="AZ236" s="213">
        <v>4.5</v>
      </c>
      <c r="BA236" s="213">
        <v>4.25</v>
      </c>
      <c r="BB236" s="213">
        <v>2.5</v>
      </c>
      <c r="BC236" s="212">
        <v>5.8500000000000005</v>
      </c>
      <c r="BD236" s="213">
        <v>10.0</v>
      </c>
      <c r="BE236" s="213">
        <v>10.0</v>
      </c>
      <c r="BF236" s="213">
        <v>7.0</v>
      </c>
      <c r="BG236" s="212">
        <v>10.333333333333332</v>
      </c>
      <c r="BH236" s="213">
        <v>10.083333333333334</v>
      </c>
      <c r="BI236" s="213">
        <v>0.0015972222220928718</v>
      </c>
      <c r="BJ236" s="213">
        <v>0.0015972222220928718</v>
      </c>
      <c r="BK236" s="213">
        <v>255.0</v>
      </c>
      <c r="BL236" s="212">
        <v>7.0</v>
      </c>
      <c r="BM236" s="213">
        <v>6.125</v>
      </c>
      <c r="BN236" s="213">
        <v>0.0031944444441857436</v>
      </c>
      <c r="BO236" s="213">
        <v>0.0031944444441857436</v>
      </c>
      <c r="BP236" s="213">
        <v>127.5</v>
      </c>
      <c r="BQ236" s="192"/>
      <c r="BR236" s="192"/>
    </row>
    <row r="237">
      <c r="A237" s="60">
        <v>3798371.0</v>
      </c>
      <c r="B237" s="205">
        <v>2671048.0</v>
      </c>
      <c r="C237" s="205">
        <v>1181343.0</v>
      </c>
      <c r="D237" s="205">
        <v>1.0</v>
      </c>
      <c r="E237" s="207">
        <v>43980.60383101852</v>
      </c>
      <c r="F237" s="207">
        <v>44140.67248842593</v>
      </c>
      <c r="G237" s="207">
        <v>44131.18958333333</v>
      </c>
      <c r="H237" s="63" t="s">
        <v>982</v>
      </c>
      <c r="I237" s="205">
        <v>170.0</v>
      </c>
      <c r="J237" s="63" t="s">
        <v>226</v>
      </c>
      <c r="K237" s="205">
        <v>3161834.0</v>
      </c>
      <c r="L237" s="208">
        <v>5.08091</v>
      </c>
      <c r="M237" s="208">
        <v>2.47</v>
      </c>
      <c r="N237" s="208">
        <v>2.39231</v>
      </c>
      <c r="O237" s="209">
        <v>4.5</v>
      </c>
      <c r="P237" s="209">
        <v>9.0</v>
      </c>
      <c r="Q237" s="209">
        <v>8.5</v>
      </c>
      <c r="R237" s="209">
        <v>5.0</v>
      </c>
      <c r="S237" s="210">
        <v>0.002395833333139308</v>
      </c>
      <c r="U237" s="205">
        <v>5.0</v>
      </c>
      <c r="V237" s="205">
        <v>3.0</v>
      </c>
      <c r="W237" s="63" t="s">
        <v>2119</v>
      </c>
      <c r="X237" s="210">
        <v>0.002395833333139308</v>
      </c>
      <c r="Y237" s="63" t="s">
        <v>2120</v>
      </c>
      <c r="Z237" s="63" t="s">
        <v>2121</v>
      </c>
      <c r="AA237" s="205">
        <v>0.0</v>
      </c>
      <c r="AB237" s="63" t="s">
        <v>2122</v>
      </c>
      <c r="AC237" s="205">
        <v>2662.0</v>
      </c>
      <c r="AD237" s="208">
        <v>9.46991</v>
      </c>
      <c r="AE237" s="205">
        <v>333793.0</v>
      </c>
      <c r="AF237" s="205">
        <v>52685.0</v>
      </c>
      <c r="AG237" s="205">
        <v>541.0</v>
      </c>
      <c r="AH237" s="205">
        <v>324.0</v>
      </c>
      <c r="AI237" s="205">
        <v>0.0</v>
      </c>
      <c r="AJ237" s="205">
        <v>1206.0</v>
      </c>
      <c r="AK237" s="205">
        <v>0.0</v>
      </c>
      <c r="AL237" s="205">
        <v>0.0</v>
      </c>
      <c r="AM237" s="205">
        <v>0.0</v>
      </c>
      <c r="AN237" s="205">
        <v>0.0</v>
      </c>
      <c r="AO237" s="208">
        <v>4.67522</v>
      </c>
      <c r="AP237" s="208">
        <v>5.43262</v>
      </c>
      <c r="AQ237" s="208">
        <v>7.1849</v>
      </c>
      <c r="AR237" s="208">
        <v>4.00575</v>
      </c>
      <c r="AT237" s="192" t="s">
        <v>375</v>
      </c>
      <c r="AU237" s="211" t="s">
        <v>462</v>
      </c>
      <c r="AV237" s="211" t="s">
        <v>2123</v>
      </c>
      <c r="AW237" s="211" t="s">
        <v>2124</v>
      </c>
      <c r="AX237" s="211" t="s">
        <v>375</v>
      </c>
      <c r="AY237" s="212">
        <v>2.25</v>
      </c>
      <c r="AZ237" s="213">
        <v>4.5</v>
      </c>
      <c r="BA237" s="213">
        <v>4.25</v>
      </c>
      <c r="BB237" s="213">
        <v>2.5</v>
      </c>
      <c r="BC237" s="212">
        <v>5.8500000000000005</v>
      </c>
      <c r="BD237" s="213">
        <v>10.0</v>
      </c>
      <c r="BE237" s="213">
        <v>10.0</v>
      </c>
      <c r="BF237" s="213">
        <v>7.0</v>
      </c>
      <c r="BG237" s="212">
        <v>10.333333333333332</v>
      </c>
      <c r="BH237" s="213">
        <v>10.083333333333334</v>
      </c>
      <c r="BI237" s="213">
        <v>0.0015972222220928718</v>
      </c>
      <c r="BJ237" s="213">
        <v>0.0015972222220928718</v>
      </c>
      <c r="BK237" s="213">
        <v>255.0</v>
      </c>
      <c r="BL237" s="212">
        <v>7.0</v>
      </c>
      <c r="BM237" s="213">
        <v>6.125</v>
      </c>
      <c r="BN237" s="213">
        <v>0.0031944444441857436</v>
      </c>
      <c r="BO237" s="213">
        <v>0.0031944444441857436</v>
      </c>
      <c r="BP237" s="213">
        <v>127.5</v>
      </c>
      <c r="BQ237" s="192"/>
      <c r="BR237" s="192"/>
    </row>
    <row r="238">
      <c r="A238" s="60">
        <v>424554.0</v>
      </c>
      <c r="B238" s="205">
        <v>74778.0</v>
      </c>
      <c r="C238" s="205">
        <v>20817.0</v>
      </c>
      <c r="D238" s="205">
        <v>1.0</v>
      </c>
      <c r="E238" s="207">
        <v>40448.636030092595</v>
      </c>
      <c r="F238" s="207">
        <v>40471.59152777778</v>
      </c>
      <c r="G238" s="207">
        <v>40471.58694444445</v>
      </c>
      <c r="H238" s="63" t="s">
        <v>2125</v>
      </c>
      <c r="I238" s="205">
        <v>145.0</v>
      </c>
      <c r="J238" s="63" t="s">
        <v>2126</v>
      </c>
      <c r="K238" s="205">
        <v>151679.0</v>
      </c>
      <c r="L238" s="208">
        <v>4.49228</v>
      </c>
      <c r="M238" s="208">
        <v>2.15778</v>
      </c>
      <c r="N238" s="208">
        <v>2.14246</v>
      </c>
      <c r="O238" s="209">
        <v>5.0</v>
      </c>
      <c r="P238" s="209">
        <v>8.0</v>
      </c>
      <c r="Q238" s="209">
        <v>7.0</v>
      </c>
      <c r="R238" s="209">
        <v>7.0</v>
      </c>
      <c r="S238" s="210">
        <v>0.0015162037052505184</v>
      </c>
      <c r="T238" s="63" t="s">
        <v>1708</v>
      </c>
      <c r="U238" s="205">
        <v>4.0</v>
      </c>
      <c r="V238" s="205">
        <v>3.0</v>
      </c>
      <c r="W238" s="63" t="s">
        <v>2127</v>
      </c>
      <c r="X238" s="210">
        <v>0.001921296297950903</v>
      </c>
      <c r="Y238" s="63" t="s">
        <v>2128</v>
      </c>
      <c r="Z238" s="63" t="s">
        <v>2129</v>
      </c>
      <c r="AA238" s="205">
        <v>0.0</v>
      </c>
      <c r="AB238" s="63" t="s">
        <v>2130</v>
      </c>
      <c r="AC238" s="205">
        <v>727.0</v>
      </c>
      <c r="AD238" s="208">
        <v>9.24349</v>
      </c>
      <c r="AE238" s="205">
        <v>136704.0</v>
      </c>
      <c r="AF238" s="205">
        <v>18087.0</v>
      </c>
      <c r="AG238" s="205">
        <v>329.0</v>
      </c>
      <c r="AH238" s="205">
        <v>141.0</v>
      </c>
      <c r="AI238" s="205">
        <v>2.0</v>
      </c>
      <c r="AJ238" s="205">
        <v>630.0</v>
      </c>
      <c r="AK238" s="205">
        <v>0.0</v>
      </c>
      <c r="AL238" s="205">
        <v>1.0</v>
      </c>
      <c r="AM238" s="205">
        <v>0.0</v>
      </c>
      <c r="AN238" s="205">
        <v>0.0</v>
      </c>
      <c r="AO238" s="208">
        <v>4.0622</v>
      </c>
      <c r="AP238" s="208">
        <v>5.05347</v>
      </c>
      <c r="AQ238" s="208">
        <v>6.29746</v>
      </c>
      <c r="AR238" s="208">
        <v>3.5265</v>
      </c>
      <c r="AT238" s="192" t="s">
        <v>464</v>
      </c>
      <c r="AU238" s="211" t="s">
        <v>463</v>
      </c>
      <c r="AV238" s="211" t="s">
        <v>2131</v>
      </c>
      <c r="AW238" s="211" t="s">
        <v>2132</v>
      </c>
      <c r="AX238" s="211" t="s">
        <v>464</v>
      </c>
      <c r="AY238" s="212">
        <v>2.5</v>
      </c>
      <c r="AZ238" s="213">
        <v>4.0</v>
      </c>
      <c r="BA238" s="213">
        <v>3.5</v>
      </c>
      <c r="BB238" s="213">
        <v>3.5</v>
      </c>
      <c r="BC238" s="212">
        <v>6.5</v>
      </c>
      <c r="BD238" s="213">
        <v>10.0</v>
      </c>
      <c r="BE238" s="213">
        <v>9.799999999999999</v>
      </c>
      <c r="BF238" s="213">
        <v>9.799999999999999</v>
      </c>
      <c r="BG238" s="212">
        <v>9.666666666666668</v>
      </c>
      <c r="BH238" s="213">
        <v>9.083333333333334</v>
      </c>
      <c r="BI238" s="213">
        <v>0.0010108024701670122</v>
      </c>
      <c r="BJ238" s="213">
        <v>0.0012808641986339353</v>
      </c>
      <c r="BK238" s="213">
        <v>217.5</v>
      </c>
      <c r="BL238" s="212">
        <v>5.5</v>
      </c>
      <c r="BM238" s="213">
        <v>3.875</v>
      </c>
      <c r="BN238" s="213">
        <v>0.0020216049403340244</v>
      </c>
      <c r="BO238" s="213">
        <v>0.0025617283972678706</v>
      </c>
      <c r="BP238" s="213">
        <v>108.75</v>
      </c>
      <c r="BQ238" s="192"/>
      <c r="BR238" s="192"/>
    </row>
    <row r="239">
      <c r="A239" s="60">
        <v>3446883.0</v>
      </c>
      <c r="B239" s="205">
        <v>74778.0</v>
      </c>
      <c r="C239" s="205">
        <v>20817.0</v>
      </c>
      <c r="D239" s="205">
        <v>1.0</v>
      </c>
      <c r="E239" s="207">
        <v>40448.636030092595</v>
      </c>
      <c r="F239" s="207">
        <v>40471.59152777778</v>
      </c>
      <c r="G239" s="207">
        <v>40471.58694444445</v>
      </c>
      <c r="H239" s="63" t="s">
        <v>2125</v>
      </c>
      <c r="I239" s="205">
        <v>145.0</v>
      </c>
      <c r="J239" s="63" t="s">
        <v>2126</v>
      </c>
      <c r="K239" s="205">
        <v>151679.0</v>
      </c>
      <c r="L239" s="208">
        <v>4.49228</v>
      </c>
      <c r="M239" s="208">
        <v>2.15778</v>
      </c>
      <c r="N239" s="208">
        <v>2.14246</v>
      </c>
      <c r="O239" s="209">
        <v>5.0</v>
      </c>
      <c r="P239" s="209">
        <v>8.0</v>
      </c>
      <c r="Q239" s="209">
        <v>7.0</v>
      </c>
      <c r="R239" s="209">
        <v>7.0</v>
      </c>
      <c r="S239" s="210">
        <v>0.0015162037052505184</v>
      </c>
      <c r="T239" s="63" t="s">
        <v>1708</v>
      </c>
      <c r="U239" s="205">
        <v>4.0</v>
      </c>
      <c r="V239" s="205">
        <v>3.0</v>
      </c>
      <c r="W239" s="63" t="s">
        <v>2127</v>
      </c>
      <c r="X239" s="210">
        <v>0.001921296297950903</v>
      </c>
      <c r="Y239" s="63" t="s">
        <v>2128</v>
      </c>
      <c r="Z239" s="63" t="s">
        <v>2129</v>
      </c>
      <c r="AA239" s="205">
        <v>0.0</v>
      </c>
      <c r="AB239" s="63" t="s">
        <v>2130</v>
      </c>
      <c r="AC239" s="205">
        <v>727.0</v>
      </c>
      <c r="AD239" s="208">
        <v>9.24349</v>
      </c>
      <c r="AE239" s="205">
        <v>136704.0</v>
      </c>
      <c r="AF239" s="205">
        <v>18087.0</v>
      </c>
      <c r="AG239" s="205">
        <v>329.0</v>
      </c>
      <c r="AH239" s="205">
        <v>141.0</v>
      </c>
      <c r="AI239" s="205">
        <v>2.0</v>
      </c>
      <c r="AJ239" s="205">
        <v>630.0</v>
      </c>
      <c r="AK239" s="205">
        <v>0.0</v>
      </c>
      <c r="AL239" s="205">
        <v>1.0</v>
      </c>
      <c r="AM239" s="205">
        <v>0.0</v>
      </c>
      <c r="AN239" s="205">
        <v>0.0</v>
      </c>
      <c r="AO239" s="208">
        <v>4.0622</v>
      </c>
      <c r="AP239" s="208">
        <v>5.05347</v>
      </c>
      <c r="AQ239" s="208">
        <v>6.29746</v>
      </c>
      <c r="AR239" s="208">
        <v>3.5265</v>
      </c>
      <c r="AT239" s="192" t="s">
        <v>464</v>
      </c>
      <c r="AU239" s="211" t="s">
        <v>463</v>
      </c>
      <c r="AV239" s="211" t="s">
        <v>2131</v>
      </c>
      <c r="AW239" s="211" t="s">
        <v>2132</v>
      </c>
      <c r="AX239" s="211" t="s">
        <v>464</v>
      </c>
      <c r="AY239" s="212">
        <v>2.5</v>
      </c>
      <c r="AZ239" s="213">
        <v>4.0</v>
      </c>
      <c r="BA239" s="213">
        <v>3.5</v>
      </c>
      <c r="BB239" s="213">
        <v>3.5</v>
      </c>
      <c r="BC239" s="212">
        <v>6.5</v>
      </c>
      <c r="BD239" s="213">
        <v>10.0</v>
      </c>
      <c r="BE239" s="213">
        <v>9.799999999999999</v>
      </c>
      <c r="BF239" s="213">
        <v>9.799999999999999</v>
      </c>
      <c r="BG239" s="212">
        <v>9.666666666666668</v>
      </c>
      <c r="BH239" s="213">
        <v>9.083333333333334</v>
      </c>
      <c r="BI239" s="213">
        <v>0.0010108024701670122</v>
      </c>
      <c r="BJ239" s="213">
        <v>0.0012808641986339353</v>
      </c>
      <c r="BK239" s="213">
        <v>217.5</v>
      </c>
      <c r="BL239" s="212">
        <v>5.5</v>
      </c>
      <c r="BM239" s="213">
        <v>3.875</v>
      </c>
      <c r="BN239" s="213">
        <v>0.0020216049403340244</v>
      </c>
      <c r="BO239" s="213">
        <v>0.0025617283972678706</v>
      </c>
      <c r="BP239" s="213">
        <v>108.75</v>
      </c>
      <c r="BQ239" s="192"/>
      <c r="BR239" s="192"/>
    </row>
    <row r="240">
      <c r="A240" s="60">
        <v>785982.0</v>
      </c>
      <c r="B240" s="205">
        <v>3530469.0</v>
      </c>
      <c r="C240" s="205">
        <v>1682134.0</v>
      </c>
      <c r="D240" s="205">
        <v>1.0</v>
      </c>
      <c r="E240" s="207">
        <v>44585.20400462963</v>
      </c>
      <c r="F240" s="207">
        <v>44701.751168981486</v>
      </c>
      <c r="G240" s="207">
        <v>44694.77533564815</v>
      </c>
      <c r="H240" s="63" t="s">
        <v>2133</v>
      </c>
      <c r="I240" s="205">
        <v>155.0</v>
      </c>
      <c r="J240" s="63" t="s">
        <v>2134</v>
      </c>
      <c r="K240" s="205">
        <v>6974536.0</v>
      </c>
      <c r="L240" s="208">
        <v>4.86081</v>
      </c>
      <c r="M240" s="208">
        <v>2.25976</v>
      </c>
      <c r="N240" s="208">
        <v>2.38909</v>
      </c>
      <c r="O240" s="209">
        <v>3.7</v>
      </c>
      <c r="P240" s="209">
        <v>8.0</v>
      </c>
      <c r="Q240" s="209">
        <v>8.0</v>
      </c>
      <c r="R240" s="209">
        <v>6.0</v>
      </c>
      <c r="S240" s="210">
        <v>0.0011689814818964805</v>
      </c>
      <c r="T240" s="63" t="s">
        <v>1920</v>
      </c>
      <c r="U240" s="205">
        <v>2.0</v>
      </c>
      <c r="V240" s="205">
        <v>5.0</v>
      </c>
      <c r="W240" s="63" t="s">
        <v>2135</v>
      </c>
      <c r="X240" s="210">
        <v>0.0012268518512428273</v>
      </c>
      <c r="Y240" s="63" t="s">
        <v>2136</v>
      </c>
      <c r="Z240" s="63" t="s">
        <v>2137</v>
      </c>
      <c r="AA240" s="205">
        <v>0.0</v>
      </c>
      <c r="AB240" s="63" t="s">
        <v>2138</v>
      </c>
      <c r="AC240" s="205">
        <v>217.0</v>
      </c>
      <c r="AD240" s="208">
        <v>9.46473</v>
      </c>
      <c r="AE240" s="205">
        <v>84664.0</v>
      </c>
      <c r="AF240" s="205">
        <v>9614.0</v>
      </c>
      <c r="AG240" s="205">
        <v>434.0</v>
      </c>
      <c r="AH240" s="205">
        <v>101.0</v>
      </c>
      <c r="AI240" s="205">
        <v>2.0</v>
      </c>
      <c r="AJ240" s="205">
        <v>680.0</v>
      </c>
      <c r="AK240" s="205">
        <v>0.0</v>
      </c>
      <c r="AL240" s="205">
        <v>0.0</v>
      </c>
      <c r="AM240" s="205">
        <v>0.0</v>
      </c>
      <c r="AN240" s="205">
        <v>0.0</v>
      </c>
      <c r="AO240" s="208">
        <v>4.52054</v>
      </c>
      <c r="AP240" s="208">
        <v>5.06717</v>
      </c>
      <c r="AQ240" s="208">
        <v>6.89825</v>
      </c>
      <c r="AR240" s="208">
        <v>3.83105</v>
      </c>
      <c r="AT240" s="192" t="s">
        <v>466</v>
      </c>
      <c r="AU240" s="211" t="s">
        <v>465</v>
      </c>
      <c r="AV240" s="211" t="s">
        <v>2139</v>
      </c>
      <c r="AW240" s="211" t="s">
        <v>2140</v>
      </c>
      <c r="AX240" s="211" t="s">
        <v>466</v>
      </c>
      <c r="AY240" s="212">
        <v>1.85</v>
      </c>
      <c r="AZ240" s="213">
        <v>4.0</v>
      </c>
      <c r="BA240" s="213">
        <v>4.0</v>
      </c>
      <c r="BB240" s="213">
        <v>3.0</v>
      </c>
      <c r="BC240" s="212">
        <v>4.8100000000000005</v>
      </c>
      <c r="BD240" s="213">
        <v>10.0</v>
      </c>
      <c r="BE240" s="213">
        <v>10.0</v>
      </c>
      <c r="BF240" s="213">
        <v>8.399999999999999</v>
      </c>
      <c r="BG240" s="212">
        <v>9.666666666666668</v>
      </c>
      <c r="BH240" s="213">
        <v>9.75</v>
      </c>
      <c r="BI240" s="213">
        <v>7.79320987930987E-4</v>
      </c>
      <c r="BJ240" s="213">
        <v>8.179012341618849E-4</v>
      </c>
      <c r="BK240" s="213">
        <v>232.5</v>
      </c>
      <c r="BL240" s="212">
        <v>5.5</v>
      </c>
      <c r="BM240" s="213">
        <v>5.375</v>
      </c>
      <c r="BN240" s="213">
        <v>0.001558641975861974</v>
      </c>
      <c r="BO240" s="213">
        <v>0.0016358024683237697</v>
      </c>
      <c r="BP240" s="213">
        <v>116.25</v>
      </c>
      <c r="BQ240" s="192"/>
      <c r="BR240" s="192"/>
    </row>
    <row r="241">
      <c r="A241" s="60">
        <v>105978.0</v>
      </c>
      <c r="B241" s="205">
        <v>3530469.0</v>
      </c>
      <c r="C241" s="205">
        <v>1682134.0</v>
      </c>
      <c r="D241" s="205">
        <v>1.0</v>
      </c>
      <c r="E241" s="207">
        <v>44585.20400462963</v>
      </c>
      <c r="F241" s="207">
        <v>44701.751168981486</v>
      </c>
      <c r="G241" s="207">
        <v>44694.77533564815</v>
      </c>
      <c r="H241" s="63" t="s">
        <v>2133</v>
      </c>
      <c r="I241" s="205">
        <v>155.0</v>
      </c>
      <c r="J241" s="63" t="s">
        <v>2134</v>
      </c>
      <c r="K241" s="205">
        <v>6974536.0</v>
      </c>
      <c r="L241" s="208">
        <v>4.86081</v>
      </c>
      <c r="M241" s="208">
        <v>2.25976</v>
      </c>
      <c r="N241" s="208">
        <v>2.38909</v>
      </c>
      <c r="O241" s="209">
        <v>3.7</v>
      </c>
      <c r="P241" s="209">
        <v>8.0</v>
      </c>
      <c r="Q241" s="209">
        <v>8.0</v>
      </c>
      <c r="R241" s="209">
        <v>6.0</v>
      </c>
      <c r="S241" s="210">
        <v>0.0011689814818964805</v>
      </c>
      <c r="T241" s="63" t="s">
        <v>1920</v>
      </c>
      <c r="U241" s="205">
        <v>2.0</v>
      </c>
      <c r="V241" s="205">
        <v>5.0</v>
      </c>
      <c r="W241" s="63" t="s">
        <v>2135</v>
      </c>
      <c r="X241" s="210">
        <v>0.0012268518512428273</v>
      </c>
      <c r="Y241" s="63" t="s">
        <v>2136</v>
      </c>
      <c r="Z241" s="63" t="s">
        <v>2137</v>
      </c>
      <c r="AA241" s="205">
        <v>0.0</v>
      </c>
      <c r="AB241" s="63" t="s">
        <v>2138</v>
      </c>
      <c r="AC241" s="205">
        <v>217.0</v>
      </c>
      <c r="AD241" s="208">
        <v>9.46473</v>
      </c>
      <c r="AE241" s="205">
        <v>84664.0</v>
      </c>
      <c r="AF241" s="205">
        <v>9614.0</v>
      </c>
      <c r="AG241" s="205">
        <v>434.0</v>
      </c>
      <c r="AH241" s="205">
        <v>101.0</v>
      </c>
      <c r="AI241" s="205">
        <v>2.0</v>
      </c>
      <c r="AJ241" s="205">
        <v>680.0</v>
      </c>
      <c r="AK241" s="205">
        <v>0.0</v>
      </c>
      <c r="AL241" s="205">
        <v>0.0</v>
      </c>
      <c r="AM241" s="205">
        <v>0.0</v>
      </c>
      <c r="AN241" s="205">
        <v>0.0</v>
      </c>
      <c r="AO241" s="208">
        <v>4.52054</v>
      </c>
      <c r="AP241" s="208">
        <v>5.06717</v>
      </c>
      <c r="AQ241" s="208">
        <v>6.89825</v>
      </c>
      <c r="AR241" s="208">
        <v>3.83105</v>
      </c>
      <c r="AT241" s="192" t="s">
        <v>466</v>
      </c>
      <c r="AU241" s="211" t="s">
        <v>465</v>
      </c>
      <c r="AV241" s="211" t="s">
        <v>2139</v>
      </c>
      <c r="AW241" s="211" t="s">
        <v>2140</v>
      </c>
      <c r="AX241" s="211" t="s">
        <v>466</v>
      </c>
      <c r="AY241" s="212">
        <v>1.85</v>
      </c>
      <c r="AZ241" s="213">
        <v>4.0</v>
      </c>
      <c r="BA241" s="213">
        <v>4.0</v>
      </c>
      <c r="BB241" s="213">
        <v>3.0</v>
      </c>
      <c r="BC241" s="212">
        <v>4.8100000000000005</v>
      </c>
      <c r="BD241" s="213">
        <v>10.0</v>
      </c>
      <c r="BE241" s="213">
        <v>10.0</v>
      </c>
      <c r="BF241" s="213">
        <v>8.399999999999999</v>
      </c>
      <c r="BG241" s="212">
        <v>9.666666666666668</v>
      </c>
      <c r="BH241" s="213">
        <v>9.75</v>
      </c>
      <c r="BI241" s="213">
        <v>7.79320987930987E-4</v>
      </c>
      <c r="BJ241" s="213">
        <v>8.179012341618849E-4</v>
      </c>
      <c r="BK241" s="213">
        <v>232.5</v>
      </c>
      <c r="BL241" s="212">
        <v>5.5</v>
      </c>
      <c r="BM241" s="213">
        <v>5.375</v>
      </c>
      <c r="BN241" s="213">
        <v>0.001558641975861974</v>
      </c>
      <c r="BO241" s="213">
        <v>0.0016358024683237697</v>
      </c>
      <c r="BP241" s="213">
        <v>116.25</v>
      </c>
      <c r="BQ241" s="192"/>
      <c r="BR241" s="192"/>
    </row>
    <row r="242">
      <c r="A242" s="60">
        <v>2839573.0</v>
      </c>
      <c r="B242" s="205">
        <v>1491793.0</v>
      </c>
      <c r="C242" s="205">
        <v>699749.0</v>
      </c>
      <c r="D242" s="205">
        <v>1.0</v>
      </c>
      <c r="E242" s="207">
        <v>43068.31185185185</v>
      </c>
      <c r="F242" s="207">
        <v>43182.237164351856</v>
      </c>
      <c r="G242" s="207">
        <v>43173.16490740741</v>
      </c>
      <c r="H242" s="63" t="s">
        <v>984</v>
      </c>
      <c r="I242" s="205">
        <v>160.0</v>
      </c>
      <c r="J242" s="63" t="s">
        <v>259</v>
      </c>
      <c r="K242" s="205">
        <v>4785223.0</v>
      </c>
      <c r="L242" s="208">
        <v>4.95782</v>
      </c>
      <c r="M242" s="208">
        <v>2.49064</v>
      </c>
      <c r="N242" s="208">
        <v>2.23969</v>
      </c>
      <c r="O242" s="209">
        <v>4.0</v>
      </c>
      <c r="P242" s="209">
        <v>9.0</v>
      </c>
      <c r="Q242" s="209">
        <v>8.0</v>
      </c>
      <c r="R242" s="209">
        <v>5.0</v>
      </c>
      <c r="S242" s="210">
        <v>0.0018865740748879034</v>
      </c>
      <c r="U242" s="205">
        <v>5.0</v>
      </c>
      <c r="V242" s="205">
        <v>2.0</v>
      </c>
      <c r="W242" s="63" t="s">
        <v>2141</v>
      </c>
      <c r="X242" s="210">
        <v>0.001967592594155576</v>
      </c>
      <c r="Y242" s="63" t="s">
        <v>2142</v>
      </c>
      <c r="Z242" s="63" t="s">
        <v>2143</v>
      </c>
      <c r="AA242" s="205">
        <v>0.0</v>
      </c>
      <c r="AB242" s="63" t="s">
        <v>2144</v>
      </c>
      <c r="AC242" s="205">
        <v>3979.0</v>
      </c>
      <c r="AD242" s="208">
        <v>9.38217</v>
      </c>
      <c r="AE242" s="205">
        <v>1690560.0</v>
      </c>
      <c r="AF242" s="205">
        <v>315810.0</v>
      </c>
      <c r="AG242" s="205">
        <v>403.0</v>
      </c>
      <c r="AH242" s="205">
        <v>288.0</v>
      </c>
      <c r="AI242" s="205">
        <v>1.0</v>
      </c>
      <c r="AJ242" s="205">
        <v>1111.0</v>
      </c>
      <c r="AK242" s="205">
        <v>0.0</v>
      </c>
      <c r="AL242" s="205">
        <v>0.0</v>
      </c>
      <c r="AM242" s="205">
        <v>0.0</v>
      </c>
      <c r="AN242" s="205">
        <v>0.0</v>
      </c>
      <c r="AO242" s="208">
        <v>4.57025</v>
      </c>
      <c r="AP242" s="208">
        <v>5.22212</v>
      </c>
      <c r="AQ242" s="208">
        <v>7.07771</v>
      </c>
      <c r="AR242" s="208">
        <v>3.90604</v>
      </c>
      <c r="AT242" s="192" t="s">
        <v>386</v>
      </c>
      <c r="AU242" s="211" t="s">
        <v>467</v>
      </c>
      <c r="AV242" s="211" t="s">
        <v>2145</v>
      </c>
      <c r="AW242" s="211" t="s">
        <v>2146</v>
      </c>
      <c r="AX242" s="211" t="s">
        <v>386</v>
      </c>
      <c r="AY242" s="212">
        <v>2.0</v>
      </c>
      <c r="AZ242" s="213">
        <v>4.5</v>
      </c>
      <c r="BA242" s="213">
        <v>4.0</v>
      </c>
      <c r="BB242" s="213">
        <v>2.5</v>
      </c>
      <c r="BC242" s="212">
        <v>5.2</v>
      </c>
      <c r="BD242" s="213">
        <v>10.0</v>
      </c>
      <c r="BE242" s="213">
        <v>10.0</v>
      </c>
      <c r="BF242" s="213">
        <v>7.0</v>
      </c>
      <c r="BG242" s="212">
        <v>10.333333333333332</v>
      </c>
      <c r="BH242" s="213">
        <v>9.75</v>
      </c>
      <c r="BI242" s="213">
        <v>0.0012577160499252689</v>
      </c>
      <c r="BJ242" s="213">
        <v>0.0013117283961037174</v>
      </c>
      <c r="BK242" s="213">
        <v>240.0</v>
      </c>
      <c r="BL242" s="212">
        <v>7.0</v>
      </c>
      <c r="BM242" s="213">
        <v>5.375</v>
      </c>
      <c r="BN242" s="213">
        <v>0.0025154320998505377</v>
      </c>
      <c r="BO242" s="213">
        <v>0.0026234567922074348</v>
      </c>
      <c r="BP242" s="213">
        <v>120.0</v>
      </c>
      <c r="BQ242" s="192"/>
      <c r="BR242" s="192"/>
    </row>
    <row r="243">
      <c r="A243" s="60">
        <v>2559136.0</v>
      </c>
      <c r="B243" s="205">
        <v>3291796.0</v>
      </c>
      <c r="C243" s="205">
        <v>1574603.0</v>
      </c>
      <c r="D243" s="205">
        <v>1.0</v>
      </c>
      <c r="E243" s="207">
        <v>44450.8200462963</v>
      </c>
      <c r="F243" s="207">
        <v>44837.29614583333</v>
      </c>
      <c r="G243" s="207">
        <v>44834.1337037037</v>
      </c>
      <c r="H243" s="63" t="s">
        <v>995</v>
      </c>
      <c r="I243" s="205">
        <v>172.0</v>
      </c>
      <c r="J243" s="63" t="s">
        <v>72</v>
      </c>
      <c r="K243" s="205">
        <v>3087506.0</v>
      </c>
      <c r="L243" s="208">
        <v>4.70195</v>
      </c>
      <c r="M243" s="208">
        <v>2.46974</v>
      </c>
      <c r="N243" s="208">
        <v>1.9646</v>
      </c>
      <c r="O243" s="209">
        <v>3.8</v>
      </c>
      <c r="P243" s="209">
        <v>9.0</v>
      </c>
      <c r="Q243" s="209">
        <v>8.6</v>
      </c>
      <c r="R243" s="209">
        <v>5.2</v>
      </c>
      <c r="S243" s="210">
        <v>0.0015625000014551915</v>
      </c>
      <c r="U243" s="205">
        <v>10.0</v>
      </c>
      <c r="V243" s="205">
        <v>5.0</v>
      </c>
      <c r="W243" s="63" t="s">
        <v>2147</v>
      </c>
      <c r="X243" s="210">
        <v>0.001828703701903578</v>
      </c>
      <c r="Y243" s="63" t="s">
        <v>2148</v>
      </c>
      <c r="Z243" s="63" t="s">
        <v>2149</v>
      </c>
      <c r="AA243" s="205">
        <v>0.0</v>
      </c>
      <c r="AB243" s="63" t="s">
        <v>2150</v>
      </c>
      <c r="AC243" s="205">
        <v>112.0</v>
      </c>
      <c r="AD243" s="208">
        <v>9.06154</v>
      </c>
      <c r="AE243" s="205">
        <v>16012.0</v>
      </c>
      <c r="AF243" s="205">
        <v>3159.0</v>
      </c>
      <c r="AG243" s="205">
        <v>227.0</v>
      </c>
      <c r="AH243" s="205">
        <v>309.0</v>
      </c>
      <c r="AI243" s="205">
        <v>0.0</v>
      </c>
      <c r="AJ243" s="205">
        <v>960.0</v>
      </c>
      <c r="AK243" s="205">
        <v>0.0</v>
      </c>
      <c r="AL243" s="205">
        <v>0.0</v>
      </c>
      <c r="AM243" s="205">
        <v>0.0</v>
      </c>
      <c r="AN243" s="205">
        <v>0.0</v>
      </c>
      <c r="AO243" s="208">
        <v>4.34909</v>
      </c>
      <c r="AP243" s="208">
        <v>4.98495</v>
      </c>
      <c r="AQ243" s="208">
        <v>6.58817</v>
      </c>
      <c r="AR243" s="208">
        <v>3.73867</v>
      </c>
      <c r="AT243" s="192" t="s">
        <v>469</v>
      </c>
      <c r="AU243" s="211" t="s">
        <v>468</v>
      </c>
      <c r="AV243" s="211" t="s">
        <v>2151</v>
      </c>
      <c r="AW243" s="211" t="s">
        <v>2152</v>
      </c>
      <c r="AX243" s="211" t="s">
        <v>469</v>
      </c>
      <c r="AY243" s="212">
        <v>1.9</v>
      </c>
      <c r="AZ243" s="213">
        <v>4.5</v>
      </c>
      <c r="BA243" s="213">
        <v>4.3</v>
      </c>
      <c r="BB243" s="213">
        <v>2.6</v>
      </c>
      <c r="BC243" s="212">
        <v>4.9399999999999995</v>
      </c>
      <c r="BD243" s="213">
        <v>10.0</v>
      </c>
      <c r="BE243" s="213">
        <v>10.0</v>
      </c>
      <c r="BF243" s="213">
        <v>7.279999999999999</v>
      </c>
      <c r="BG243" s="212">
        <v>10.333333333333332</v>
      </c>
      <c r="BH243" s="213">
        <v>10.149999999999999</v>
      </c>
      <c r="BI243" s="213">
        <v>0.0010416666676367943</v>
      </c>
      <c r="BJ243" s="213">
        <v>0.0012191358012690519</v>
      </c>
      <c r="BK243" s="213">
        <v>258.0</v>
      </c>
      <c r="BL243" s="212">
        <v>7.0</v>
      </c>
      <c r="BM243" s="213">
        <v>6.274999999999999</v>
      </c>
      <c r="BN243" s="213">
        <v>0.0020833333352735886</v>
      </c>
      <c r="BO243" s="213">
        <v>0.0024382716025381037</v>
      </c>
      <c r="BP243" s="213">
        <v>129.0</v>
      </c>
      <c r="BQ243" s="192"/>
      <c r="BR243" s="192"/>
    </row>
    <row r="244">
      <c r="A244" s="60">
        <v>3616100.0</v>
      </c>
      <c r="B244" s="205">
        <v>3291796.0</v>
      </c>
      <c r="C244" s="205">
        <v>1574603.0</v>
      </c>
      <c r="D244" s="205">
        <v>1.0</v>
      </c>
      <c r="E244" s="207">
        <v>44450.8200462963</v>
      </c>
      <c r="F244" s="207">
        <v>44837.29614583333</v>
      </c>
      <c r="G244" s="207">
        <v>44834.1337037037</v>
      </c>
      <c r="H244" s="63" t="s">
        <v>995</v>
      </c>
      <c r="I244" s="205">
        <v>172.0</v>
      </c>
      <c r="J244" s="63" t="s">
        <v>72</v>
      </c>
      <c r="K244" s="205">
        <v>3087506.0</v>
      </c>
      <c r="L244" s="208">
        <v>4.70195</v>
      </c>
      <c r="M244" s="208">
        <v>2.46974</v>
      </c>
      <c r="N244" s="208">
        <v>1.9646</v>
      </c>
      <c r="O244" s="209">
        <v>3.8</v>
      </c>
      <c r="P244" s="209">
        <v>9.0</v>
      </c>
      <c r="Q244" s="209">
        <v>8.6</v>
      </c>
      <c r="R244" s="209">
        <v>5.2</v>
      </c>
      <c r="S244" s="210">
        <v>0.0015625000014551915</v>
      </c>
      <c r="U244" s="205">
        <v>10.0</v>
      </c>
      <c r="V244" s="205">
        <v>5.0</v>
      </c>
      <c r="W244" s="63" t="s">
        <v>2147</v>
      </c>
      <c r="X244" s="210">
        <v>0.001828703701903578</v>
      </c>
      <c r="Y244" s="63" t="s">
        <v>2148</v>
      </c>
      <c r="Z244" s="63" t="s">
        <v>2149</v>
      </c>
      <c r="AA244" s="205">
        <v>0.0</v>
      </c>
      <c r="AB244" s="63" t="s">
        <v>2150</v>
      </c>
      <c r="AC244" s="205">
        <v>112.0</v>
      </c>
      <c r="AD244" s="208">
        <v>9.06154</v>
      </c>
      <c r="AE244" s="205">
        <v>16012.0</v>
      </c>
      <c r="AF244" s="205">
        <v>3159.0</v>
      </c>
      <c r="AG244" s="205">
        <v>227.0</v>
      </c>
      <c r="AH244" s="205">
        <v>309.0</v>
      </c>
      <c r="AI244" s="205">
        <v>0.0</v>
      </c>
      <c r="AJ244" s="205">
        <v>960.0</v>
      </c>
      <c r="AK244" s="205">
        <v>0.0</v>
      </c>
      <c r="AL244" s="205">
        <v>0.0</v>
      </c>
      <c r="AM244" s="205">
        <v>0.0</v>
      </c>
      <c r="AN244" s="205">
        <v>0.0</v>
      </c>
      <c r="AO244" s="208">
        <v>4.34909</v>
      </c>
      <c r="AP244" s="208">
        <v>4.98495</v>
      </c>
      <c r="AQ244" s="208">
        <v>6.58817</v>
      </c>
      <c r="AR244" s="208">
        <v>3.73867</v>
      </c>
      <c r="AT244" s="192" t="s">
        <v>469</v>
      </c>
      <c r="AU244" s="211" t="s">
        <v>468</v>
      </c>
      <c r="AV244" s="211" t="s">
        <v>2151</v>
      </c>
      <c r="AW244" s="211" t="s">
        <v>2152</v>
      </c>
      <c r="AX244" s="211" t="s">
        <v>469</v>
      </c>
      <c r="AY244" s="212">
        <v>1.9</v>
      </c>
      <c r="AZ244" s="213">
        <v>4.5</v>
      </c>
      <c r="BA244" s="213">
        <v>4.3</v>
      </c>
      <c r="BB244" s="213">
        <v>2.6</v>
      </c>
      <c r="BC244" s="212">
        <v>4.9399999999999995</v>
      </c>
      <c r="BD244" s="213">
        <v>10.0</v>
      </c>
      <c r="BE244" s="213">
        <v>10.0</v>
      </c>
      <c r="BF244" s="213">
        <v>7.279999999999999</v>
      </c>
      <c r="BG244" s="212">
        <v>10.333333333333332</v>
      </c>
      <c r="BH244" s="213">
        <v>10.149999999999999</v>
      </c>
      <c r="BI244" s="213">
        <v>0.0010416666676367943</v>
      </c>
      <c r="BJ244" s="213">
        <v>0.0012191358012690519</v>
      </c>
      <c r="BK244" s="213">
        <v>258.0</v>
      </c>
      <c r="BL244" s="212">
        <v>7.0</v>
      </c>
      <c r="BM244" s="213">
        <v>6.274999999999999</v>
      </c>
      <c r="BN244" s="213">
        <v>0.0020833333352735886</v>
      </c>
      <c r="BO244" s="213">
        <v>0.0024382716025381037</v>
      </c>
      <c r="BP244" s="213">
        <v>129.0</v>
      </c>
      <c r="BQ244" s="192"/>
      <c r="BR244" s="192"/>
    </row>
    <row r="245">
      <c r="A245" s="60">
        <v>382887.0</v>
      </c>
      <c r="B245" s="205">
        <v>3299370.0</v>
      </c>
      <c r="C245" s="205">
        <v>1616029.0</v>
      </c>
      <c r="D245" s="205">
        <v>1.0</v>
      </c>
      <c r="E245" s="207">
        <v>44500.79547453704</v>
      </c>
      <c r="F245" s="207">
        <v>44514.974594907406</v>
      </c>
      <c r="G245" s="207">
        <v>44507.83248842593</v>
      </c>
      <c r="H245" s="63">
        <v>-45.0</v>
      </c>
      <c r="I245" s="205">
        <v>152.0</v>
      </c>
      <c r="J245" s="63" t="s">
        <v>210</v>
      </c>
      <c r="K245" s="205">
        <v>896613.0</v>
      </c>
      <c r="L245" s="208">
        <v>3.56175</v>
      </c>
      <c r="M245" s="208">
        <v>1.58444</v>
      </c>
      <c r="N245" s="208">
        <v>1.80773</v>
      </c>
      <c r="O245" s="209">
        <v>4.0</v>
      </c>
      <c r="P245" s="209">
        <v>8.0</v>
      </c>
      <c r="Q245" s="209">
        <v>7.0</v>
      </c>
      <c r="R245" s="209">
        <v>5.0</v>
      </c>
      <c r="S245" s="210">
        <v>0.0025462962948950008</v>
      </c>
      <c r="U245" s="205">
        <v>10.0</v>
      </c>
      <c r="V245" s="205">
        <v>5.0</v>
      </c>
      <c r="W245" s="63" t="s">
        <v>2153</v>
      </c>
      <c r="X245" s="210">
        <v>0.002835648148902692</v>
      </c>
      <c r="Y245" s="63" t="s">
        <v>1443</v>
      </c>
      <c r="Z245" s="63" t="s">
        <v>2154</v>
      </c>
      <c r="AA245" s="205">
        <v>0.0</v>
      </c>
      <c r="AB245" s="63" t="s">
        <v>2155</v>
      </c>
      <c r="AC245" s="205">
        <v>312.0</v>
      </c>
      <c r="AD245" s="208">
        <v>9.58835</v>
      </c>
      <c r="AE245" s="205">
        <v>83692.0</v>
      </c>
      <c r="AF245" s="205">
        <v>19679.0</v>
      </c>
      <c r="AG245" s="205">
        <v>394.0</v>
      </c>
      <c r="AH245" s="205">
        <v>334.0</v>
      </c>
      <c r="AI245" s="205">
        <v>0.0</v>
      </c>
      <c r="AJ245" s="205">
        <v>1086.0</v>
      </c>
      <c r="AK245" s="205">
        <v>0.0</v>
      </c>
      <c r="AL245" s="205">
        <v>0.0</v>
      </c>
      <c r="AM245" s="205">
        <v>0.0</v>
      </c>
      <c r="AN245" s="205">
        <v>0.0</v>
      </c>
      <c r="AO245" s="208">
        <v>3.22671</v>
      </c>
      <c r="AP245" s="208">
        <v>3.7022</v>
      </c>
      <c r="AQ245" s="208">
        <v>4.96093</v>
      </c>
      <c r="AR245" s="208">
        <v>2.85238</v>
      </c>
      <c r="AT245" s="192" t="s">
        <v>412</v>
      </c>
      <c r="AU245" s="211" t="s">
        <v>470</v>
      </c>
      <c r="AV245" s="211" t="s">
        <v>2156</v>
      </c>
      <c r="AW245" s="211" t="s">
        <v>2157</v>
      </c>
      <c r="AX245" s="211" t="s">
        <v>412</v>
      </c>
      <c r="AY245" s="212">
        <v>2.0</v>
      </c>
      <c r="AZ245" s="213">
        <v>4.0</v>
      </c>
      <c r="BA245" s="213">
        <v>3.5</v>
      </c>
      <c r="BB245" s="213">
        <v>2.5</v>
      </c>
      <c r="BC245" s="212">
        <v>5.2</v>
      </c>
      <c r="BD245" s="213">
        <v>10.0</v>
      </c>
      <c r="BE245" s="213">
        <v>9.799999999999999</v>
      </c>
      <c r="BF245" s="213">
        <v>7.0</v>
      </c>
      <c r="BG245" s="212">
        <v>9.666666666666668</v>
      </c>
      <c r="BH245" s="213">
        <v>9.083333333333334</v>
      </c>
      <c r="BI245" s="213">
        <v>0.001697530863263334</v>
      </c>
      <c r="BJ245" s="213">
        <v>0.0018904320992684613</v>
      </c>
      <c r="BK245" s="213">
        <v>228.0</v>
      </c>
      <c r="BL245" s="212">
        <v>5.5</v>
      </c>
      <c r="BM245" s="213">
        <v>3.875</v>
      </c>
      <c r="BN245" s="213">
        <v>0.003395061726526668</v>
      </c>
      <c r="BO245" s="213">
        <v>0.0037808641985369227</v>
      </c>
      <c r="BP245" s="213">
        <v>114.0</v>
      </c>
      <c r="BQ245" s="192"/>
      <c r="BR245" s="192"/>
    </row>
    <row r="246">
      <c r="A246" s="60">
        <v>86079.0</v>
      </c>
      <c r="B246" s="205">
        <v>3299370.0</v>
      </c>
      <c r="C246" s="205">
        <v>1616029.0</v>
      </c>
      <c r="D246" s="205">
        <v>1.0</v>
      </c>
      <c r="E246" s="207">
        <v>44500.79547453704</v>
      </c>
      <c r="F246" s="207">
        <v>44514.974594907406</v>
      </c>
      <c r="G246" s="207">
        <v>44507.83248842593</v>
      </c>
      <c r="H246" s="63">
        <v>-45.0</v>
      </c>
      <c r="I246" s="205">
        <v>152.0</v>
      </c>
      <c r="J246" s="63" t="s">
        <v>210</v>
      </c>
      <c r="K246" s="205">
        <v>896613.0</v>
      </c>
      <c r="L246" s="208">
        <v>3.56175</v>
      </c>
      <c r="M246" s="208">
        <v>1.58444</v>
      </c>
      <c r="N246" s="208">
        <v>1.80773</v>
      </c>
      <c r="O246" s="209">
        <v>4.0</v>
      </c>
      <c r="P246" s="209">
        <v>8.0</v>
      </c>
      <c r="Q246" s="209">
        <v>7.0</v>
      </c>
      <c r="R246" s="209">
        <v>5.0</v>
      </c>
      <c r="S246" s="210">
        <v>0.0025462962948950008</v>
      </c>
      <c r="U246" s="205">
        <v>10.0</v>
      </c>
      <c r="V246" s="205">
        <v>5.0</v>
      </c>
      <c r="W246" s="63" t="s">
        <v>2153</v>
      </c>
      <c r="X246" s="210">
        <v>0.002835648148902692</v>
      </c>
      <c r="Y246" s="63" t="s">
        <v>1443</v>
      </c>
      <c r="Z246" s="63" t="s">
        <v>2154</v>
      </c>
      <c r="AA246" s="205">
        <v>0.0</v>
      </c>
      <c r="AB246" s="63" t="s">
        <v>2155</v>
      </c>
      <c r="AC246" s="205">
        <v>312.0</v>
      </c>
      <c r="AD246" s="208">
        <v>9.58835</v>
      </c>
      <c r="AE246" s="205">
        <v>83692.0</v>
      </c>
      <c r="AF246" s="205">
        <v>19679.0</v>
      </c>
      <c r="AG246" s="205">
        <v>394.0</v>
      </c>
      <c r="AH246" s="205">
        <v>334.0</v>
      </c>
      <c r="AI246" s="205">
        <v>0.0</v>
      </c>
      <c r="AJ246" s="205">
        <v>1086.0</v>
      </c>
      <c r="AK246" s="205">
        <v>0.0</v>
      </c>
      <c r="AL246" s="205">
        <v>0.0</v>
      </c>
      <c r="AM246" s="205">
        <v>0.0</v>
      </c>
      <c r="AN246" s="205">
        <v>0.0</v>
      </c>
      <c r="AO246" s="208">
        <v>3.22671</v>
      </c>
      <c r="AP246" s="208">
        <v>3.7022</v>
      </c>
      <c r="AQ246" s="208">
        <v>4.96093</v>
      </c>
      <c r="AR246" s="208">
        <v>2.85238</v>
      </c>
      <c r="AT246" s="192" t="s">
        <v>412</v>
      </c>
      <c r="AU246" s="211" t="s">
        <v>470</v>
      </c>
      <c r="AV246" s="211" t="s">
        <v>2156</v>
      </c>
      <c r="AW246" s="211" t="s">
        <v>2157</v>
      </c>
      <c r="AX246" s="211" t="s">
        <v>412</v>
      </c>
      <c r="AY246" s="212">
        <v>2.0</v>
      </c>
      <c r="AZ246" s="213">
        <v>4.0</v>
      </c>
      <c r="BA246" s="213">
        <v>3.5</v>
      </c>
      <c r="BB246" s="213">
        <v>2.5</v>
      </c>
      <c r="BC246" s="212">
        <v>5.2</v>
      </c>
      <c r="BD246" s="213">
        <v>10.0</v>
      </c>
      <c r="BE246" s="213">
        <v>9.799999999999999</v>
      </c>
      <c r="BF246" s="213">
        <v>7.0</v>
      </c>
      <c r="BG246" s="212">
        <v>9.666666666666668</v>
      </c>
      <c r="BH246" s="213">
        <v>9.083333333333334</v>
      </c>
      <c r="BI246" s="213">
        <v>0.001697530863263334</v>
      </c>
      <c r="BJ246" s="213">
        <v>0.0018904320992684613</v>
      </c>
      <c r="BK246" s="213">
        <v>228.0</v>
      </c>
      <c r="BL246" s="212">
        <v>5.5</v>
      </c>
      <c r="BM246" s="213">
        <v>3.875</v>
      </c>
      <c r="BN246" s="213">
        <v>0.003395061726526668</v>
      </c>
      <c r="BO246" s="213">
        <v>0.0037808641985369227</v>
      </c>
      <c r="BP246" s="213">
        <v>114.0</v>
      </c>
      <c r="BQ246" s="192"/>
      <c r="BR246" s="192"/>
    </row>
    <row r="247">
      <c r="A247" s="60">
        <v>3711739.0</v>
      </c>
      <c r="B247" s="205">
        <v>3822599.0</v>
      </c>
      <c r="C247" s="205">
        <v>1248923.0</v>
      </c>
      <c r="D247" s="205">
        <v>1.0</v>
      </c>
      <c r="E247" s="207">
        <v>44075.234548611115</v>
      </c>
      <c r="F247" s="207">
        <v>44845.82230324074</v>
      </c>
      <c r="G247" s="207">
        <v>44838.81621527778</v>
      </c>
      <c r="H247" s="63" t="s">
        <v>979</v>
      </c>
      <c r="I247" s="205">
        <v>210.0</v>
      </c>
      <c r="J247" s="63" t="s">
        <v>418</v>
      </c>
      <c r="K247" s="205">
        <v>6808091.0</v>
      </c>
      <c r="L247" s="208">
        <v>3.5439</v>
      </c>
      <c r="M247" s="208">
        <v>1.80623</v>
      </c>
      <c r="N247" s="208">
        <v>1.56604</v>
      </c>
      <c r="O247" s="209">
        <v>3.5</v>
      </c>
      <c r="P247" s="209">
        <v>8.0</v>
      </c>
      <c r="Q247" s="209">
        <v>6.0</v>
      </c>
      <c r="R247" s="209">
        <v>4.0</v>
      </c>
      <c r="S247" s="210">
        <v>0.0012500000011641532</v>
      </c>
      <c r="T247" s="63" t="s">
        <v>1905</v>
      </c>
      <c r="U247" s="205">
        <v>10.0</v>
      </c>
      <c r="V247" s="205">
        <v>5.0</v>
      </c>
      <c r="W247" s="63" t="s">
        <v>2158</v>
      </c>
      <c r="X247" s="210">
        <v>0.0012615740743058268</v>
      </c>
      <c r="Y247" s="63" t="s">
        <v>1231</v>
      </c>
      <c r="Z247" s="63" t="s">
        <v>2159</v>
      </c>
      <c r="AA247" s="205">
        <v>0.0</v>
      </c>
      <c r="AB247" s="63" t="s">
        <v>2160</v>
      </c>
      <c r="AC247" s="205">
        <v>97.0</v>
      </c>
      <c r="AD247" s="208">
        <v>9.22535</v>
      </c>
      <c r="AE247" s="205">
        <v>10567.0</v>
      </c>
      <c r="AF247" s="205">
        <v>3489.0</v>
      </c>
      <c r="AG247" s="205">
        <v>100.0</v>
      </c>
      <c r="AH247" s="205">
        <v>204.0</v>
      </c>
      <c r="AI247" s="205">
        <v>3.0</v>
      </c>
      <c r="AJ247" s="205">
        <v>584.0</v>
      </c>
      <c r="AK247" s="205">
        <v>0.0</v>
      </c>
      <c r="AL247" s="205">
        <v>0.0</v>
      </c>
      <c r="AM247" s="205">
        <v>0.0</v>
      </c>
      <c r="AN247" s="205">
        <v>0.0</v>
      </c>
      <c r="AO247" s="208">
        <v>3.26431</v>
      </c>
      <c r="AP247" s="208">
        <v>3.70702</v>
      </c>
      <c r="AQ247" s="208">
        <v>4.91921</v>
      </c>
      <c r="AR247" s="208">
        <v>2.87174</v>
      </c>
      <c r="AT247" s="192" t="s">
        <v>417</v>
      </c>
      <c r="AU247" s="211" t="s">
        <v>471</v>
      </c>
      <c r="AV247" s="211" t="s">
        <v>2161</v>
      </c>
      <c r="AW247" s="211" t="s">
        <v>2162</v>
      </c>
      <c r="AX247" s="211" t="s">
        <v>417</v>
      </c>
      <c r="AY247" s="212">
        <v>1.75</v>
      </c>
      <c r="AZ247" s="213">
        <v>4.0</v>
      </c>
      <c r="BA247" s="213">
        <v>3.0</v>
      </c>
      <c r="BB247" s="213">
        <v>2.0</v>
      </c>
      <c r="BC247" s="212">
        <v>4.55</v>
      </c>
      <c r="BD247" s="213">
        <v>10.0</v>
      </c>
      <c r="BE247" s="213">
        <v>8.399999999999999</v>
      </c>
      <c r="BF247" s="213">
        <v>5.6</v>
      </c>
      <c r="BG247" s="212">
        <v>9.666666666666668</v>
      </c>
      <c r="BH247" s="213">
        <v>8.416666666666666</v>
      </c>
      <c r="BI247" s="213">
        <v>8.333333341094354E-4</v>
      </c>
      <c r="BJ247" s="213">
        <v>8.410493828705512E-4</v>
      </c>
      <c r="BK247" s="213">
        <v>315.0</v>
      </c>
      <c r="BL247" s="212">
        <v>5.5</v>
      </c>
      <c r="BM247" s="213">
        <v>2.375</v>
      </c>
      <c r="BN247" s="213">
        <v>0.0016666666682188709</v>
      </c>
      <c r="BO247" s="213">
        <v>0.0016820987657411024</v>
      </c>
      <c r="BP247" s="213">
        <v>157.5</v>
      </c>
      <c r="BQ247" s="192"/>
      <c r="BR247" s="192"/>
    </row>
    <row r="248">
      <c r="A248" s="60">
        <v>2792506.0</v>
      </c>
      <c r="B248" s="205">
        <v>785982.0</v>
      </c>
      <c r="C248" s="205">
        <v>352570.0</v>
      </c>
      <c r="D248" s="205">
        <v>1.0</v>
      </c>
      <c r="E248" s="207">
        <v>42251.86703703704</v>
      </c>
      <c r="F248" s="207">
        <v>42339.40373842593</v>
      </c>
      <c r="G248" s="207">
        <v>42330.675983796296</v>
      </c>
      <c r="H248" s="63" t="s">
        <v>2163</v>
      </c>
      <c r="I248" s="205">
        <v>180.0</v>
      </c>
      <c r="J248" s="63" t="s">
        <v>2164</v>
      </c>
      <c r="K248" s="205">
        <v>869782.0</v>
      </c>
      <c r="L248" s="208">
        <v>4.65524</v>
      </c>
      <c r="M248" s="208">
        <v>2.25493</v>
      </c>
      <c r="N248" s="208">
        <v>2.20058</v>
      </c>
      <c r="O248" s="209">
        <v>3.0</v>
      </c>
      <c r="P248" s="209">
        <v>9.0</v>
      </c>
      <c r="Q248" s="209">
        <v>7.0</v>
      </c>
      <c r="R248" s="209">
        <v>6.0</v>
      </c>
      <c r="S248" s="210">
        <v>0.0017361111094942316</v>
      </c>
      <c r="T248" s="63" t="s">
        <v>1839</v>
      </c>
      <c r="U248" s="205">
        <v>2.0</v>
      </c>
      <c r="V248" s="205">
        <v>5.0</v>
      </c>
      <c r="W248" s="63" t="s">
        <v>2165</v>
      </c>
      <c r="X248" s="210">
        <v>0.001967592594155576</v>
      </c>
      <c r="Y248" s="63" t="s">
        <v>2166</v>
      </c>
      <c r="Z248" s="63" t="s">
        <v>2167</v>
      </c>
      <c r="AA248" s="205">
        <v>0.0</v>
      </c>
      <c r="AB248" s="63" t="s">
        <v>2168</v>
      </c>
      <c r="AC248" s="205">
        <v>12361.0</v>
      </c>
      <c r="AD248" s="208">
        <v>9.41603</v>
      </c>
      <c r="AE248" s="205">
        <v>5135389.0</v>
      </c>
      <c r="AF248" s="205">
        <v>947567.0</v>
      </c>
      <c r="AG248" s="205">
        <v>326.0</v>
      </c>
      <c r="AH248" s="205">
        <v>302.0</v>
      </c>
      <c r="AI248" s="205">
        <v>1.0</v>
      </c>
      <c r="AJ248" s="205">
        <v>1040.0</v>
      </c>
      <c r="AK248" s="205">
        <v>1.0</v>
      </c>
      <c r="AL248" s="205">
        <v>0.0</v>
      </c>
      <c r="AM248" s="205">
        <v>0.0</v>
      </c>
      <c r="AN248" s="205">
        <v>0.0</v>
      </c>
      <c r="AO248" s="208">
        <v>4.33776</v>
      </c>
      <c r="AP248" s="208">
        <v>4.79587</v>
      </c>
      <c r="AQ248" s="208">
        <v>6.6458</v>
      </c>
      <c r="AR248" s="208">
        <v>3.70652</v>
      </c>
      <c r="AT248" s="192" t="s">
        <v>473</v>
      </c>
      <c r="AU248" s="211" t="s">
        <v>472</v>
      </c>
      <c r="AV248" s="211" t="s">
        <v>2169</v>
      </c>
      <c r="AW248" s="211" t="s">
        <v>2170</v>
      </c>
      <c r="AX248" s="211" t="s">
        <v>473</v>
      </c>
      <c r="AY248" s="212">
        <v>1.5</v>
      </c>
      <c r="AZ248" s="213">
        <v>4.5</v>
      </c>
      <c r="BA248" s="213">
        <v>3.5</v>
      </c>
      <c r="BB248" s="213">
        <v>3.0</v>
      </c>
      <c r="BC248" s="212">
        <v>3.9000000000000004</v>
      </c>
      <c r="BD248" s="213">
        <v>10.0</v>
      </c>
      <c r="BE248" s="213">
        <v>9.799999999999999</v>
      </c>
      <c r="BF248" s="213">
        <v>8.399999999999999</v>
      </c>
      <c r="BG248" s="212">
        <v>10.333333333333332</v>
      </c>
      <c r="BH248" s="213">
        <v>9.083333333333334</v>
      </c>
      <c r="BI248" s="213">
        <v>0.0011574074063294877</v>
      </c>
      <c r="BJ248" s="213">
        <v>0.0013117283961037174</v>
      </c>
      <c r="BK248" s="213">
        <v>270.0</v>
      </c>
      <c r="BL248" s="212">
        <v>7.0</v>
      </c>
      <c r="BM248" s="213">
        <v>3.875</v>
      </c>
      <c r="BN248" s="213">
        <v>0.0023148148126589754</v>
      </c>
      <c r="BO248" s="213">
        <v>0.0026234567922074348</v>
      </c>
      <c r="BP248" s="213">
        <v>135.0</v>
      </c>
      <c r="BQ248" s="192"/>
      <c r="BR248" s="192"/>
    </row>
    <row r="249">
      <c r="A249" s="60">
        <v>2853477.0</v>
      </c>
      <c r="B249" s="205">
        <v>3399446.0</v>
      </c>
      <c r="C249" s="205">
        <v>1659194.0</v>
      </c>
      <c r="D249" s="205">
        <v>1.0</v>
      </c>
      <c r="E249" s="207">
        <v>44556.060486111106</v>
      </c>
      <c r="F249" s="207">
        <v>44685.0325</v>
      </c>
      <c r="G249" s="207">
        <v>44677.97351851852</v>
      </c>
      <c r="H249" s="63" t="s">
        <v>2171</v>
      </c>
      <c r="I249" s="205">
        <v>193.0</v>
      </c>
      <c r="J249" s="63" t="s">
        <v>2172</v>
      </c>
      <c r="K249" s="205">
        <v>9126943.0</v>
      </c>
      <c r="L249" s="208">
        <v>5.10106</v>
      </c>
      <c r="M249" s="208">
        <v>2.28422</v>
      </c>
      <c r="N249" s="208">
        <v>2.57806</v>
      </c>
      <c r="O249" s="209">
        <v>3.5</v>
      </c>
      <c r="P249" s="209">
        <v>9.0</v>
      </c>
      <c r="Q249" s="209">
        <v>8.0</v>
      </c>
      <c r="R249" s="209">
        <v>4.0</v>
      </c>
      <c r="S249" s="210">
        <v>0.0013194444436521735</v>
      </c>
      <c r="U249" s="205">
        <v>10.0</v>
      </c>
      <c r="V249" s="205">
        <v>5.0</v>
      </c>
      <c r="W249" s="63" t="s">
        <v>2173</v>
      </c>
      <c r="X249" s="210">
        <v>0.0013773148129985202</v>
      </c>
      <c r="Y249" s="63" t="s">
        <v>1907</v>
      </c>
      <c r="Z249" s="63" t="s">
        <v>2174</v>
      </c>
      <c r="AA249" s="205">
        <v>0.0</v>
      </c>
      <c r="AB249" s="63" t="s">
        <v>2175</v>
      </c>
      <c r="AC249" s="205">
        <v>325.0</v>
      </c>
      <c r="AD249" s="208">
        <v>9.24709</v>
      </c>
      <c r="AE249" s="205">
        <v>66619.0</v>
      </c>
      <c r="AF249" s="205">
        <v>13943.0</v>
      </c>
      <c r="AG249" s="205">
        <v>205.0</v>
      </c>
      <c r="AH249" s="205">
        <v>311.0</v>
      </c>
      <c r="AI249" s="205">
        <v>3.0</v>
      </c>
      <c r="AJ249" s="205">
        <v>904.0</v>
      </c>
      <c r="AK249" s="205">
        <v>0.0</v>
      </c>
      <c r="AL249" s="205">
        <v>0.0</v>
      </c>
      <c r="AM249" s="205">
        <v>0.0</v>
      </c>
      <c r="AN249" s="205">
        <v>0.0</v>
      </c>
      <c r="AO249" s="208">
        <v>4.72115</v>
      </c>
      <c r="AP249" s="208">
        <v>5.27946</v>
      </c>
      <c r="AQ249" s="208">
        <v>7.35708</v>
      </c>
      <c r="AR249" s="208">
        <v>3.99741</v>
      </c>
      <c r="AT249" s="192" t="s">
        <v>505</v>
      </c>
      <c r="AU249" s="211" t="s">
        <v>504</v>
      </c>
      <c r="AV249" s="211" t="s">
        <v>2176</v>
      </c>
      <c r="AW249" s="211" t="s">
        <v>2177</v>
      </c>
      <c r="AX249" s="211" t="s">
        <v>505</v>
      </c>
      <c r="AY249" s="212">
        <v>1.75</v>
      </c>
      <c r="AZ249" s="213">
        <v>4.5</v>
      </c>
      <c r="BA249" s="213">
        <v>4.0</v>
      </c>
      <c r="BB249" s="213">
        <v>2.0</v>
      </c>
      <c r="BC249" s="212">
        <v>4.55</v>
      </c>
      <c r="BD249" s="213">
        <v>10.0</v>
      </c>
      <c r="BE249" s="213">
        <v>10.0</v>
      </c>
      <c r="BF249" s="213">
        <v>5.6</v>
      </c>
      <c r="BG249" s="212">
        <v>10.333333333333332</v>
      </c>
      <c r="BH249" s="213">
        <v>9.75</v>
      </c>
      <c r="BI249" s="213">
        <v>8.79629629101449E-4</v>
      </c>
      <c r="BJ249" s="213">
        <v>9.182098753323468E-4</v>
      </c>
      <c r="BK249" s="213">
        <v>289.5</v>
      </c>
      <c r="BL249" s="212">
        <v>7.0</v>
      </c>
      <c r="BM249" s="213">
        <v>5.375</v>
      </c>
      <c r="BN249" s="213">
        <v>0.001759259258202898</v>
      </c>
      <c r="BO249" s="213">
        <v>0.0018364197506646935</v>
      </c>
      <c r="BP249" s="213">
        <v>144.75</v>
      </c>
      <c r="BQ249" s="192"/>
      <c r="BR249" s="192"/>
    </row>
    <row r="250">
      <c r="A250" s="60">
        <v>4215637.0</v>
      </c>
      <c r="B250" s="205">
        <v>3399446.0</v>
      </c>
      <c r="C250" s="205">
        <v>1659194.0</v>
      </c>
      <c r="D250" s="205">
        <v>1.0</v>
      </c>
      <c r="E250" s="207">
        <v>44556.060486111106</v>
      </c>
      <c r="F250" s="207">
        <v>44685.0325</v>
      </c>
      <c r="G250" s="207">
        <v>44677.97351851852</v>
      </c>
      <c r="H250" s="63" t="s">
        <v>2171</v>
      </c>
      <c r="I250" s="205">
        <v>193.0</v>
      </c>
      <c r="J250" s="63" t="s">
        <v>2172</v>
      </c>
      <c r="K250" s="205">
        <v>9126943.0</v>
      </c>
      <c r="L250" s="208">
        <v>5.10106</v>
      </c>
      <c r="M250" s="208">
        <v>2.28422</v>
      </c>
      <c r="N250" s="208">
        <v>2.57806</v>
      </c>
      <c r="O250" s="209">
        <v>3.5</v>
      </c>
      <c r="P250" s="209">
        <v>9.0</v>
      </c>
      <c r="Q250" s="209">
        <v>8.0</v>
      </c>
      <c r="R250" s="209">
        <v>4.0</v>
      </c>
      <c r="S250" s="210">
        <v>0.0013194444436521735</v>
      </c>
      <c r="U250" s="205">
        <v>10.0</v>
      </c>
      <c r="V250" s="205">
        <v>5.0</v>
      </c>
      <c r="W250" s="63" t="s">
        <v>2173</v>
      </c>
      <c r="X250" s="210">
        <v>0.0013773148129985202</v>
      </c>
      <c r="Y250" s="63" t="s">
        <v>1907</v>
      </c>
      <c r="Z250" s="63" t="s">
        <v>2174</v>
      </c>
      <c r="AA250" s="205">
        <v>0.0</v>
      </c>
      <c r="AB250" s="63" t="s">
        <v>2175</v>
      </c>
      <c r="AC250" s="205">
        <v>325.0</v>
      </c>
      <c r="AD250" s="208">
        <v>9.24709</v>
      </c>
      <c r="AE250" s="205">
        <v>66619.0</v>
      </c>
      <c r="AF250" s="205">
        <v>13943.0</v>
      </c>
      <c r="AG250" s="205">
        <v>205.0</v>
      </c>
      <c r="AH250" s="205">
        <v>311.0</v>
      </c>
      <c r="AI250" s="205">
        <v>3.0</v>
      </c>
      <c r="AJ250" s="205">
        <v>904.0</v>
      </c>
      <c r="AK250" s="205">
        <v>0.0</v>
      </c>
      <c r="AL250" s="205">
        <v>0.0</v>
      </c>
      <c r="AM250" s="205">
        <v>0.0</v>
      </c>
      <c r="AN250" s="205">
        <v>0.0</v>
      </c>
      <c r="AO250" s="208">
        <v>4.72115</v>
      </c>
      <c r="AP250" s="208">
        <v>5.27946</v>
      </c>
      <c r="AQ250" s="208">
        <v>7.35708</v>
      </c>
      <c r="AR250" s="208">
        <v>3.99741</v>
      </c>
      <c r="AT250" s="192" t="s">
        <v>505</v>
      </c>
      <c r="AU250" s="211" t="s">
        <v>504</v>
      </c>
      <c r="AV250" s="211" t="s">
        <v>2176</v>
      </c>
      <c r="AW250" s="211" t="s">
        <v>2177</v>
      </c>
      <c r="AX250" s="211" t="s">
        <v>505</v>
      </c>
      <c r="AY250" s="212">
        <v>1.75</v>
      </c>
      <c r="AZ250" s="213">
        <v>4.5</v>
      </c>
      <c r="BA250" s="213">
        <v>4.0</v>
      </c>
      <c r="BB250" s="213">
        <v>2.0</v>
      </c>
      <c r="BC250" s="212">
        <v>4.55</v>
      </c>
      <c r="BD250" s="213">
        <v>10.0</v>
      </c>
      <c r="BE250" s="213">
        <v>10.0</v>
      </c>
      <c r="BF250" s="213">
        <v>5.6</v>
      </c>
      <c r="BG250" s="212">
        <v>10.333333333333332</v>
      </c>
      <c r="BH250" s="213">
        <v>9.75</v>
      </c>
      <c r="BI250" s="213">
        <v>8.79629629101449E-4</v>
      </c>
      <c r="BJ250" s="213">
        <v>9.182098753323468E-4</v>
      </c>
      <c r="BK250" s="213">
        <v>289.5</v>
      </c>
      <c r="BL250" s="212">
        <v>7.0</v>
      </c>
      <c r="BM250" s="213">
        <v>5.375</v>
      </c>
      <c r="BN250" s="213">
        <v>0.001759259258202898</v>
      </c>
      <c r="BO250" s="213">
        <v>0.0018364197506646935</v>
      </c>
      <c r="BP250" s="213">
        <v>144.75</v>
      </c>
      <c r="BQ250" s="192"/>
      <c r="BR250" s="192"/>
    </row>
    <row r="251">
      <c r="A251" s="60">
        <v>2277128.0</v>
      </c>
      <c r="B251" s="205">
        <v>574187.0</v>
      </c>
      <c r="C251" s="205">
        <v>156235.0</v>
      </c>
      <c r="D251" s="205">
        <v>1.0</v>
      </c>
      <c r="E251" s="207">
        <v>41707.29247685185</v>
      </c>
      <c r="F251" s="207">
        <v>42040.47288194444</v>
      </c>
      <c r="G251" s="207">
        <v>42033.47142361111</v>
      </c>
      <c r="H251" s="63" t="s">
        <v>2171</v>
      </c>
      <c r="I251" s="205">
        <v>180.0</v>
      </c>
      <c r="J251" s="63" t="s">
        <v>2178</v>
      </c>
      <c r="K251" s="205">
        <v>739813.0</v>
      </c>
      <c r="L251" s="208">
        <v>5.68382</v>
      </c>
      <c r="M251" s="208">
        <v>2.64466</v>
      </c>
      <c r="N251" s="208">
        <v>2.7916</v>
      </c>
      <c r="O251" s="209">
        <v>4.2</v>
      </c>
      <c r="P251" s="209">
        <v>9.4</v>
      </c>
      <c r="Q251" s="209">
        <v>8.5</v>
      </c>
      <c r="R251" s="209">
        <v>7.0</v>
      </c>
      <c r="S251" s="210">
        <v>0.001331018516793847</v>
      </c>
      <c r="T251" s="63" t="s">
        <v>1943</v>
      </c>
      <c r="U251" s="205">
        <v>2.0</v>
      </c>
      <c r="V251" s="205">
        <v>5.0</v>
      </c>
      <c r="W251" s="63" t="s">
        <v>2179</v>
      </c>
      <c r="X251" s="210">
        <v>0.0013425925935734995</v>
      </c>
      <c r="Y251" s="63" t="s">
        <v>2180</v>
      </c>
      <c r="Z251" s="63" t="s">
        <v>2181</v>
      </c>
      <c r="AA251" s="205">
        <v>0.0</v>
      </c>
      <c r="AB251" s="63" t="s">
        <v>2182</v>
      </c>
      <c r="AC251" s="205">
        <v>803.0</v>
      </c>
      <c r="AD251" s="208">
        <v>9.49677</v>
      </c>
      <c r="AE251" s="205">
        <v>947449.0</v>
      </c>
      <c r="AF251" s="205">
        <v>131758.0</v>
      </c>
      <c r="AG251" s="205">
        <v>414.0</v>
      </c>
      <c r="AH251" s="205">
        <v>225.0</v>
      </c>
      <c r="AI251" s="205">
        <v>5.0</v>
      </c>
      <c r="AJ251" s="205">
        <v>989.0</v>
      </c>
      <c r="AK251" s="205">
        <v>0.0</v>
      </c>
      <c r="AL251" s="205">
        <v>0.0</v>
      </c>
      <c r="AM251" s="205">
        <v>0.0</v>
      </c>
      <c r="AN251" s="205">
        <v>0.0</v>
      </c>
      <c r="AO251" s="208">
        <v>5.23047</v>
      </c>
      <c r="AP251" s="208">
        <v>6.01886</v>
      </c>
      <c r="AQ251" s="208">
        <v>8.42254</v>
      </c>
      <c r="AR251" s="208">
        <v>4.47975</v>
      </c>
      <c r="AT251" s="192" t="s">
        <v>2183</v>
      </c>
      <c r="AU251" s="211" t="s">
        <v>2184</v>
      </c>
      <c r="AV251" s="211" t="s">
        <v>2185</v>
      </c>
      <c r="AW251" s="211" t="s">
        <v>2186</v>
      </c>
      <c r="AX251" s="211" t="s">
        <v>2183</v>
      </c>
      <c r="AY251" s="212">
        <v>2.1</v>
      </c>
      <c r="AZ251" s="213">
        <v>4.7</v>
      </c>
      <c r="BA251" s="213">
        <v>4.25</v>
      </c>
      <c r="BB251" s="213">
        <v>3.5</v>
      </c>
      <c r="BC251" s="212">
        <v>5.460000000000001</v>
      </c>
      <c r="BD251" s="213">
        <v>10.0</v>
      </c>
      <c r="BE251" s="213">
        <v>10.0</v>
      </c>
      <c r="BF251" s="213">
        <v>9.799999999999999</v>
      </c>
      <c r="BG251" s="212">
        <v>10.6</v>
      </c>
      <c r="BH251" s="213">
        <v>10.083333333333334</v>
      </c>
      <c r="BI251" s="213">
        <v>8.873456778625647E-4</v>
      </c>
      <c r="BJ251" s="213">
        <v>8.950617290489996E-4</v>
      </c>
      <c r="BK251" s="213">
        <v>270.0</v>
      </c>
      <c r="BL251" s="212">
        <v>7.6</v>
      </c>
      <c r="BM251" s="213">
        <v>6.125</v>
      </c>
      <c r="BN251" s="213">
        <v>0.0017746913557251294</v>
      </c>
      <c r="BO251" s="213">
        <v>0.0017901234580979992</v>
      </c>
      <c r="BP251" s="213">
        <v>135.0</v>
      </c>
      <c r="BQ251" s="192"/>
      <c r="BR251" s="192"/>
    </row>
    <row r="252">
      <c r="A252" s="60">
        <v>2835894.0</v>
      </c>
      <c r="B252" s="205">
        <v>574187.0</v>
      </c>
      <c r="C252" s="205">
        <v>156235.0</v>
      </c>
      <c r="D252" s="205">
        <v>1.0</v>
      </c>
      <c r="E252" s="207">
        <v>41707.29247685185</v>
      </c>
      <c r="F252" s="207">
        <v>42040.47288194444</v>
      </c>
      <c r="G252" s="207">
        <v>42033.47142361111</v>
      </c>
      <c r="H252" s="63" t="s">
        <v>2171</v>
      </c>
      <c r="I252" s="205">
        <v>180.0</v>
      </c>
      <c r="J252" s="63" t="s">
        <v>2178</v>
      </c>
      <c r="K252" s="205">
        <v>739813.0</v>
      </c>
      <c r="L252" s="208">
        <v>5.68382</v>
      </c>
      <c r="M252" s="208">
        <v>2.64466</v>
      </c>
      <c r="N252" s="208">
        <v>2.7916</v>
      </c>
      <c r="O252" s="209">
        <v>4.2</v>
      </c>
      <c r="P252" s="209">
        <v>9.4</v>
      </c>
      <c r="Q252" s="209">
        <v>8.5</v>
      </c>
      <c r="R252" s="209">
        <v>7.0</v>
      </c>
      <c r="S252" s="210">
        <v>0.001331018516793847</v>
      </c>
      <c r="T252" s="63" t="s">
        <v>1943</v>
      </c>
      <c r="U252" s="205">
        <v>2.0</v>
      </c>
      <c r="V252" s="205">
        <v>5.0</v>
      </c>
      <c r="W252" s="63" t="s">
        <v>2179</v>
      </c>
      <c r="X252" s="210">
        <v>0.0013425925935734995</v>
      </c>
      <c r="Y252" s="63" t="s">
        <v>2180</v>
      </c>
      <c r="Z252" s="63" t="s">
        <v>2181</v>
      </c>
      <c r="AA252" s="205">
        <v>0.0</v>
      </c>
      <c r="AB252" s="63" t="s">
        <v>2182</v>
      </c>
      <c r="AC252" s="205">
        <v>803.0</v>
      </c>
      <c r="AD252" s="208">
        <v>9.49677</v>
      </c>
      <c r="AE252" s="205">
        <v>947449.0</v>
      </c>
      <c r="AF252" s="205">
        <v>131758.0</v>
      </c>
      <c r="AG252" s="205">
        <v>414.0</v>
      </c>
      <c r="AH252" s="205">
        <v>225.0</v>
      </c>
      <c r="AI252" s="205">
        <v>5.0</v>
      </c>
      <c r="AJ252" s="205">
        <v>989.0</v>
      </c>
      <c r="AK252" s="205">
        <v>0.0</v>
      </c>
      <c r="AL252" s="205">
        <v>0.0</v>
      </c>
      <c r="AM252" s="205">
        <v>0.0</v>
      </c>
      <c r="AN252" s="205">
        <v>0.0</v>
      </c>
      <c r="AO252" s="208">
        <v>5.23047</v>
      </c>
      <c r="AP252" s="208">
        <v>6.01886</v>
      </c>
      <c r="AQ252" s="208">
        <v>8.42254</v>
      </c>
      <c r="AR252" s="208">
        <v>4.47975</v>
      </c>
      <c r="AT252" s="192" t="s">
        <v>2183</v>
      </c>
      <c r="AU252" s="211" t="s">
        <v>2184</v>
      </c>
      <c r="AV252" s="211" t="s">
        <v>2185</v>
      </c>
      <c r="AW252" s="211" t="s">
        <v>2186</v>
      </c>
      <c r="AX252" s="211" t="s">
        <v>2183</v>
      </c>
      <c r="AY252" s="212">
        <v>2.1</v>
      </c>
      <c r="AZ252" s="213">
        <v>4.7</v>
      </c>
      <c r="BA252" s="213">
        <v>4.25</v>
      </c>
      <c r="BB252" s="213">
        <v>3.5</v>
      </c>
      <c r="BC252" s="212">
        <v>5.460000000000001</v>
      </c>
      <c r="BD252" s="213">
        <v>10.0</v>
      </c>
      <c r="BE252" s="213">
        <v>10.0</v>
      </c>
      <c r="BF252" s="213">
        <v>9.799999999999999</v>
      </c>
      <c r="BG252" s="212">
        <v>10.6</v>
      </c>
      <c r="BH252" s="213">
        <v>10.083333333333334</v>
      </c>
      <c r="BI252" s="213">
        <v>8.873456778625647E-4</v>
      </c>
      <c r="BJ252" s="213">
        <v>8.950617290489996E-4</v>
      </c>
      <c r="BK252" s="213">
        <v>270.0</v>
      </c>
      <c r="BL252" s="212">
        <v>7.6</v>
      </c>
      <c r="BM252" s="213">
        <v>6.125</v>
      </c>
      <c r="BN252" s="213">
        <v>0.0017746913557251294</v>
      </c>
      <c r="BO252" s="213">
        <v>0.0017901234580979992</v>
      </c>
      <c r="BP252" s="213">
        <v>135.0</v>
      </c>
      <c r="BQ252" s="192"/>
      <c r="BR252" s="192"/>
    </row>
    <row r="253">
      <c r="A253" s="60">
        <v>3686559.0</v>
      </c>
      <c r="B253" s="205">
        <v>382887.0</v>
      </c>
      <c r="C253" s="205">
        <v>156235.0</v>
      </c>
      <c r="D253" s="205">
        <v>1.0</v>
      </c>
      <c r="E253" s="207">
        <v>41707.29247685185</v>
      </c>
      <c r="F253" s="207">
        <v>42040.47288194444</v>
      </c>
      <c r="G253" s="207">
        <v>42033.47142361111</v>
      </c>
      <c r="H253" s="63" t="s">
        <v>2171</v>
      </c>
      <c r="I253" s="205">
        <v>180.0</v>
      </c>
      <c r="J253" s="63" t="s">
        <v>2178</v>
      </c>
      <c r="K253" s="205">
        <v>739813.0</v>
      </c>
      <c r="L253" s="208">
        <v>5.12555</v>
      </c>
      <c r="M253" s="208">
        <v>2.42865</v>
      </c>
      <c r="N253" s="208">
        <v>2.47729</v>
      </c>
      <c r="O253" s="209">
        <v>4.0</v>
      </c>
      <c r="P253" s="209">
        <v>9.2</v>
      </c>
      <c r="Q253" s="209">
        <v>7.5</v>
      </c>
      <c r="R253" s="209">
        <v>7.0</v>
      </c>
      <c r="S253" s="210">
        <v>0.001331018516793847</v>
      </c>
      <c r="T253" s="63" t="s">
        <v>1943</v>
      </c>
      <c r="U253" s="205">
        <v>2.0</v>
      </c>
      <c r="V253" s="205">
        <v>5.0</v>
      </c>
      <c r="W253" s="63" t="s">
        <v>2179</v>
      </c>
      <c r="X253" s="210">
        <v>0.0013425925935734995</v>
      </c>
      <c r="Y253" s="63" t="s">
        <v>2187</v>
      </c>
      <c r="Z253" s="63" t="s">
        <v>2188</v>
      </c>
      <c r="AA253" s="205">
        <v>0.0</v>
      </c>
      <c r="AB253" s="63" t="s">
        <v>2182</v>
      </c>
      <c r="AC253" s="205">
        <v>803.0</v>
      </c>
      <c r="AD253" s="208">
        <v>9.49677</v>
      </c>
      <c r="AE253" s="205">
        <v>776885.0</v>
      </c>
      <c r="AF253" s="205">
        <v>196112.0</v>
      </c>
      <c r="AG253" s="205">
        <v>283.0</v>
      </c>
      <c r="AH253" s="205">
        <v>213.0</v>
      </c>
      <c r="AI253" s="205">
        <v>5.0</v>
      </c>
      <c r="AJ253" s="205">
        <v>928.0</v>
      </c>
      <c r="AK253" s="205">
        <v>0.0</v>
      </c>
      <c r="AL253" s="205">
        <v>0.0</v>
      </c>
      <c r="AM253" s="205">
        <v>0.0</v>
      </c>
      <c r="AN253" s="205">
        <v>0.0</v>
      </c>
      <c r="AO253" s="208">
        <v>4.72209</v>
      </c>
      <c r="AP253" s="208">
        <v>5.3654</v>
      </c>
      <c r="AQ253" s="208">
        <v>7.29729</v>
      </c>
      <c r="AR253" s="208">
        <v>4.06031</v>
      </c>
      <c r="AT253" s="192" t="s">
        <v>475</v>
      </c>
      <c r="AU253" s="211" t="s">
        <v>474</v>
      </c>
      <c r="AV253" s="211" t="s">
        <v>2185</v>
      </c>
      <c r="AW253" s="211" t="s">
        <v>2186</v>
      </c>
      <c r="AX253" s="211" t="s">
        <v>475</v>
      </c>
      <c r="AY253" s="212">
        <v>2.0</v>
      </c>
      <c r="AZ253" s="213">
        <v>4.6</v>
      </c>
      <c r="BA253" s="213">
        <v>3.75</v>
      </c>
      <c r="BB253" s="213">
        <v>3.5</v>
      </c>
      <c r="BC253" s="212">
        <v>5.2</v>
      </c>
      <c r="BD253" s="213">
        <v>10.0</v>
      </c>
      <c r="BE253" s="213">
        <v>10.0</v>
      </c>
      <c r="BF253" s="213">
        <v>9.799999999999999</v>
      </c>
      <c r="BG253" s="212">
        <v>10.466666666666667</v>
      </c>
      <c r="BH253" s="213">
        <v>9.416666666666666</v>
      </c>
      <c r="BI253" s="213">
        <v>8.873456778625647E-4</v>
      </c>
      <c r="BJ253" s="213">
        <v>8.950617290489996E-4</v>
      </c>
      <c r="BK253" s="213">
        <v>270.0</v>
      </c>
      <c r="BL253" s="212">
        <v>7.299999999999999</v>
      </c>
      <c r="BM253" s="213">
        <v>4.625</v>
      </c>
      <c r="BN253" s="213">
        <v>0.0017746913557251294</v>
      </c>
      <c r="BO253" s="213">
        <v>0.0017901234580979992</v>
      </c>
      <c r="BP253" s="213">
        <v>135.0</v>
      </c>
      <c r="BQ253" s="192"/>
      <c r="BR253" s="192"/>
    </row>
    <row r="254">
      <c r="A254" s="60">
        <v>577517.0</v>
      </c>
      <c r="B254" s="205">
        <v>382887.0</v>
      </c>
      <c r="C254" s="205">
        <v>156235.0</v>
      </c>
      <c r="D254" s="205">
        <v>1.0</v>
      </c>
      <c r="E254" s="207">
        <v>41707.29247685185</v>
      </c>
      <c r="F254" s="207">
        <v>42040.47288194444</v>
      </c>
      <c r="G254" s="207">
        <v>42033.47142361111</v>
      </c>
      <c r="H254" s="63" t="s">
        <v>2171</v>
      </c>
      <c r="I254" s="205">
        <v>180.0</v>
      </c>
      <c r="J254" s="63" t="s">
        <v>2178</v>
      </c>
      <c r="K254" s="205">
        <v>739813.0</v>
      </c>
      <c r="L254" s="208">
        <v>5.12555</v>
      </c>
      <c r="M254" s="208">
        <v>2.42865</v>
      </c>
      <c r="N254" s="208">
        <v>2.47729</v>
      </c>
      <c r="O254" s="209">
        <v>4.0</v>
      </c>
      <c r="P254" s="209">
        <v>9.2</v>
      </c>
      <c r="Q254" s="209">
        <v>7.5</v>
      </c>
      <c r="R254" s="209">
        <v>7.0</v>
      </c>
      <c r="S254" s="210">
        <v>0.001331018516793847</v>
      </c>
      <c r="T254" s="63" t="s">
        <v>1943</v>
      </c>
      <c r="U254" s="205">
        <v>2.0</v>
      </c>
      <c r="V254" s="205">
        <v>5.0</v>
      </c>
      <c r="W254" s="63" t="s">
        <v>2179</v>
      </c>
      <c r="X254" s="210">
        <v>0.0013425925935734995</v>
      </c>
      <c r="Y254" s="63" t="s">
        <v>2187</v>
      </c>
      <c r="Z254" s="63" t="s">
        <v>2188</v>
      </c>
      <c r="AA254" s="205">
        <v>0.0</v>
      </c>
      <c r="AB254" s="63" t="s">
        <v>2182</v>
      </c>
      <c r="AC254" s="205">
        <v>803.0</v>
      </c>
      <c r="AD254" s="208">
        <v>9.49677</v>
      </c>
      <c r="AE254" s="205">
        <v>776885.0</v>
      </c>
      <c r="AF254" s="205">
        <v>196112.0</v>
      </c>
      <c r="AG254" s="205">
        <v>283.0</v>
      </c>
      <c r="AH254" s="205">
        <v>213.0</v>
      </c>
      <c r="AI254" s="205">
        <v>5.0</v>
      </c>
      <c r="AJ254" s="205">
        <v>928.0</v>
      </c>
      <c r="AK254" s="205">
        <v>0.0</v>
      </c>
      <c r="AL254" s="205">
        <v>0.0</v>
      </c>
      <c r="AM254" s="205">
        <v>0.0</v>
      </c>
      <c r="AN254" s="205">
        <v>0.0</v>
      </c>
      <c r="AO254" s="208">
        <v>4.72209</v>
      </c>
      <c r="AP254" s="208">
        <v>5.3654</v>
      </c>
      <c r="AQ254" s="208">
        <v>7.29729</v>
      </c>
      <c r="AR254" s="208">
        <v>4.06031</v>
      </c>
      <c r="AT254" s="192" t="s">
        <v>475</v>
      </c>
      <c r="AU254" s="211" t="s">
        <v>474</v>
      </c>
      <c r="AV254" s="211" t="s">
        <v>2185</v>
      </c>
      <c r="AW254" s="211" t="s">
        <v>2186</v>
      </c>
      <c r="AX254" s="211" t="s">
        <v>475</v>
      </c>
      <c r="AY254" s="212">
        <v>2.0</v>
      </c>
      <c r="AZ254" s="213">
        <v>4.6</v>
      </c>
      <c r="BA254" s="213">
        <v>3.75</v>
      </c>
      <c r="BB254" s="213">
        <v>3.5</v>
      </c>
      <c r="BC254" s="212">
        <v>5.2</v>
      </c>
      <c r="BD254" s="213">
        <v>10.0</v>
      </c>
      <c r="BE254" s="213">
        <v>10.0</v>
      </c>
      <c r="BF254" s="213">
        <v>9.799999999999999</v>
      </c>
      <c r="BG254" s="212">
        <v>10.466666666666667</v>
      </c>
      <c r="BH254" s="213">
        <v>9.416666666666666</v>
      </c>
      <c r="BI254" s="213">
        <v>8.873456778625647E-4</v>
      </c>
      <c r="BJ254" s="213">
        <v>8.950617290489996E-4</v>
      </c>
      <c r="BK254" s="213">
        <v>270.0</v>
      </c>
      <c r="BL254" s="212">
        <v>7.299999999999999</v>
      </c>
      <c r="BM254" s="213">
        <v>4.625</v>
      </c>
      <c r="BN254" s="213">
        <v>0.0017746913557251294</v>
      </c>
      <c r="BO254" s="213">
        <v>0.0017901234580979992</v>
      </c>
      <c r="BP254" s="213">
        <v>135.0</v>
      </c>
      <c r="BQ254" s="192"/>
      <c r="BR254" s="192"/>
    </row>
    <row r="255">
      <c r="A255" s="60">
        <v>2277128.0</v>
      </c>
      <c r="B255" s="205">
        <v>4215637.0</v>
      </c>
      <c r="C255" s="205">
        <v>2023886.0</v>
      </c>
      <c r="D255" s="205">
        <v>-2.0</v>
      </c>
      <c r="E255" s="207">
        <v>45117.2809837963</v>
      </c>
      <c r="F255" s="215"/>
      <c r="G255" s="207">
        <v>45117.281064814815</v>
      </c>
      <c r="H255" s="63" t="s">
        <v>980</v>
      </c>
      <c r="I255" s="205">
        <v>217.0</v>
      </c>
      <c r="J255" s="63" t="s">
        <v>364</v>
      </c>
      <c r="K255" s="205">
        <v>1.0660777E7</v>
      </c>
      <c r="L255" s="208">
        <v>5.01002</v>
      </c>
      <c r="M255" s="208">
        <v>2.10464</v>
      </c>
      <c r="N255" s="208">
        <v>2.62497</v>
      </c>
      <c r="O255" s="209">
        <v>4.0</v>
      </c>
      <c r="P255" s="209">
        <v>9.0</v>
      </c>
      <c r="Q255" s="209">
        <v>8.0</v>
      </c>
      <c r="R255" s="209">
        <v>5.0</v>
      </c>
      <c r="S255" s="210">
        <v>0.002141203702194616</v>
      </c>
      <c r="U255" s="205">
        <v>11.0</v>
      </c>
      <c r="V255" s="205">
        <v>2.0</v>
      </c>
      <c r="W255" s="63" t="s">
        <v>2189</v>
      </c>
      <c r="X255" s="210">
        <v>0.0021527777789742686</v>
      </c>
      <c r="Y255" s="63" t="s">
        <v>1116</v>
      </c>
      <c r="Z255" s="63" t="s">
        <v>2190</v>
      </c>
      <c r="AA255" s="205">
        <v>0.0</v>
      </c>
      <c r="AB255" s="63" t="s">
        <v>2191</v>
      </c>
      <c r="AC255" s="205">
        <v>0.0</v>
      </c>
      <c r="AD255" s="208">
        <v>0.0</v>
      </c>
      <c r="AE255" s="205">
        <v>121.0</v>
      </c>
      <c r="AF255" s="205">
        <v>65.0</v>
      </c>
      <c r="AG255" s="205">
        <v>513.0</v>
      </c>
      <c r="AH255" s="205">
        <v>467.0</v>
      </c>
      <c r="AI255" s="205">
        <v>0.0</v>
      </c>
      <c r="AJ255" s="205">
        <v>1847.0</v>
      </c>
      <c r="AK255" s="205">
        <v>0.0</v>
      </c>
      <c r="AL255" s="205">
        <v>0.0</v>
      </c>
      <c r="AM255" s="205">
        <v>0.0</v>
      </c>
      <c r="AN255" s="205">
        <v>0.0</v>
      </c>
      <c r="AO255" s="208">
        <v>4.58293</v>
      </c>
      <c r="AP255" s="208">
        <v>5.1852</v>
      </c>
      <c r="AQ255" s="208">
        <v>7.66486</v>
      </c>
      <c r="AR255" s="208">
        <v>3.96814</v>
      </c>
      <c r="AT255" s="192" t="s">
        <v>363</v>
      </c>
      <c r="AU255" s="211" t="s">
        <v>476</v>
      </c>
      <c r="AV255" s="211" t="s">
        <v>2192</v>
      </c>
      <c r="AW255" s="211" t="s">
        <v>2193</v>
      </c>
      <c r="AX255" s="211" t="s">
        <v>363</v>
      </c>
      <c r="AY255" s="212">
        <v>2.0</v>
      </c>
      <c r="AZ255" s="213">
        <v>4.5</v>
      </c>
      <c r="BA255" s="213">
        <v>4.0</v>
      </c>
      <c r="BB255" s="213">
        <v>2.5</v>
      </c>
      <c r="BC255" s="212">
        <v>5.2</v>
      </c>
      <c r="BD255" s="213">
        <v>10.0</v>
      </c>
      <c r="BE255" s="213">
        <v>10.0</v>
      </c>
      <c r="BF255" s="213">
        <v>7.0</v>
      </c>
      <c r="BG255" s="212">
        <v>10.333333333333332</v>
      </c>
      <c r="BH255" s="213">
        <v>9.75</v>
      </c>
      <c r="BI255" s="213">
        <v>0.0014274691347964108</v>
      </c>
      <c r="BJ255" s="213">
        <v>0.0014351851859828457</v>
      </c>
      <c r="BK255" s="213">
        <v>325.5</v>
      </c>
      <c r="BL255" s="212">
        <v>7.0</v>
      </c>
      <c r="BM255" s="213">
        <v>5.375</v>
      </c>
      <c r="BN255" s="213">
        <v>0.0028549382695928216</v>
      </c>
      <c r="BO255" s="213">
        <v>0.0028703703719656914</v>
      </c>
      <c r="BP255" s="213">
        <v>162.75</v>
      </c>
      <c r="BQ255" s="192"/>
      <c r="BR255" s="192"/>
    </row>
    <row r="256">
      <c r="A256" s="60">
        <v>1717844.0</v>
      </c>
      <c r="B256" s="205">
        <v>4215637.0</v>
      </c>
      <c r="C256" s="205">
        <v>2023886.0</v>
      </c>
      <c r="D256" s="205">
        <v>-2.0</v>
      </c>
      <c r="E256" s="207">
        <v>45117.2809837963</v>
      </c>
      <c r="F256" s="215"/>
      <c r="G256" s="207">
        <v>45117.281064814815</v>
      </c>
      <c r="H256" s="63" t="s">
        <v>980</v>
      </c>
      <c r="I256" s="205">
        <v>217.0</v>
      </c>
      <c r="J256" s="63" t="s">
        <v>364</v>
      </c>
      <c r="K256" s="205">
        <v>1.0660777E7</v>
      </c>
      <c r="L256" s="208">
        <v>5.01002</v>
      </c>
      <c r="M256" s="208">
        <v>2.10464</v>
      </c>
      <c r="N256" s="208">
        <v>2.62497</v>
      </c>
      <c r="O256" s="209">
        <v>4.0</v>
      </c>
      <c r="P256" s="209">
        <v>9.0</v>
      </c>
      <c r="Q256" s="209">
        <v>8.0</v>
      </c>
      <c r="R256" s="209">
        <v>5.0</v>
      </c>
      <c r="S256" s="210">
        <v>0.002141203702194616</v>
      </c>
      <c r="U256" s="205">
        <v>11.0</v>
      </c>
      <c r="V256" s="205">
        <v>2.0</v>
      </c>
      <c r="W256" s="63" t="s">
        <v>2189</v>
      </c>
      <c r="X256" s="210">
        <v>0.0021527777789742686</v>
      </c>
      <c r="Y256" s="63" t="s">
        <v>1116</v>
      </c>
      <c r="Z256" s="63" t="s">
        <v>2190</v>
      </c>
      <c r="AA256" s="205">
        <v>0.0</v>
      </c>
      <c r="AB256" s="63" t="s">
        <v>2191</v>
      </c>
      <c r="AC256" s="205">
        <v>0.0</v>
      </c>
      <c r="AD256" s="208">
        <v>0.0</v>
      </c>
      <c r="AE256" s="205">
        <v>121.0</v>
      </c>
      <c r="AF256" s="205">
        <v>65.0</v>
      </c>
      <c r="AG256" s="205">
        <v>513.0</v>
      </c>
      <c r="AH256" s="205">
        <v>467.0</v>
      </c>
      <c r="AI256" s="205">
        <v>0.0</v>
      </c>
      <c r="AJ256" s="205">
        <v>1847.0</v>
      </c>
      <c r="AK256" s="205">
        <v>0.0</v>
      </c>
      <c r="AL256" s="205">
        <v>0.0</v>
      </c>
      <c r="AM256" s="205">
        <v>0.0</v>
      </c>
      <c r="AN256" s="205">
        <v>0.0</v>
      </c>
      <c r="AO256" s="208">
        <v>4.58293</v>
      </c>
      <c r="AP256" s="208">
        <v>5.1852</v>
      </c>
      <c r="AQ256" s="208">
        <v>7.66486</v>
      </c>
      <c r="AR256" s="208">
        <v>3.96814</v>
      </c>
      <c r="AT256" s="192" t="s">
        <v>363</v>
      </c>
      <c r="AU256" s="211" t="s">
        <v>476</v>
      </c>
      <c r="AV256" s="211" t="s">
        <v>2192</v>
      </c>
      <c r="AW256" s="211" t="s">
        <v>2193</v>
      </c>
      <c r="AX256" s="211" t="s">
        <v>363</v>
      </c>
      <c r="AY256" s="212">
        <v>2.0</v>
      </c>
      <c r="AZ256" s="213">
        <v>4.5</v>
      </c>
      <c r="BA256" s="213">
        <v>4.0</v>
      </c>
      <c r="BB256" s="213">
        <v>2.5</v>
      </c>
      <c r="BC256" s="212">
        <v>5.2</v>
      </c>
      <c r="BD256" s="213">
        <v>10.0</v>
      </c>
      <c r="BE256" s="213">
        <v>10.0</v>
      </c>
      <c r="BF256" s="213">
        <v>7.0</v>
      </c>
      <c r="BG256" s="212">
        <v>10.333333333333332</v>
      </c>
      <c r="BH256" s="213">
        <v>9.75</v>
      </c>
      <c r="BI256" s="213">
        <v>0.0014274691347964108</v>
      </c>
      <c r="BJ256" s="213">
        <v>0.0014351851859828457</v>
      </c>
      <c r="BK256" s="213">
        <v>325.5</v>
      </c>
      <c r="BL256" s="212">
        <v>7.0</v>
      </c>
      <c r="BM256" s="213">
        <v>5.375</v>
      </c>
      <c r="BN256" s="213">
        <v>0.0028549382695928216</v>
      </c>
      <c r="BO256" s="213">
        <v>0.0028703703719656914</v>
      </c>
      <c r="BP256" s="213">
        <v>162.75</v>
      </c>
      <c r="BQ256" s="192"/>
      <c r="BR256" s="192"/>
    </row>
    <row r="257">
      <c r="A257" s="60">
        <v>3404589.0</v>
      </c>
      <c r="B257" s="205">
        <v>3063080.0</v>
      </c>
      <c r="C257" s="205">
        <v>1494455.0</v>
      </c>
      <c r="D257" s="205">
        <v>1.0</v>
      </c>
      <c r="E257" s="207">
        <v>44364.50837962963</v>
      </c>
      <c r="F257" s="207">
        <v>44594.22561342592</v>
      </c>
      <c r="G257" s="207">
        <v>44582.39304398149</v>
      </c>
      <c r="H257" s="63" t="s">
        <v>2194</v>
      </c>
      <c r="I257" s="205">
        <v>170.0</v>
      </c>
      <c r="J257" s="63" t="s">
        <v>2195</v>
      </c>
      <c r="K257" s="205">
        <v>6017901.0</v>
      </c>
      <c r="L257" s="208">
        <v>4.73141</v>
      </c>
      <c r="M257" s="208">
        <v>2.63461</v>
      </c>
      <c r="N257" s="208">
        <v>1.63891</v>
      </c>
      <c r="O257" s="209">
        <v>4.2</v>
      </c>
      <c r="P257" s="209">
        <v>9.0</v>
      </c>
      <c r="Q257" s="209">
        <v>8.0</v>
      </c>
      <c r="R257" s="209">
        <v>6.0</v>
      </c>
      <c r="S257" s="210">
        <v>0.0012962962973688263</v>
      </c>
      <c r="U257" s="205">
        <v>4.0</v>
      </c>
      <c r="V257" s="205">
        <v>2.0</v>
      </c>
      <c r="W257" s="63" t="s">
        <v>2196</v>
      </c>
      <c r="X257" s="210">
        <v>0.001574074074596865</v>
      </c>
      <c r="Y257" s="63" t="s">
        <v>2197</v>
      </c>
      <c r="Z257" s="63" t="s">
        <v>2198</v>
      </c>
      <c r="AA257" s="205">
        <v>0.0</v>
      </c>
      <c r="AB257" s="63" t="s">
        <v>2199</v>
      </c>
      <c r="AC257" s="205">
        <v>542.0</v>
      </c>
      <c r="AD257" s="208">
        <v>8.93229</v>
      </c>
      <c r="AE257" s="205">
        <v>29728.0</v>
      </c>
      <c r="AF257" s="205">
        <v>4887.0</v>
      </c>
      <c r="AG257" s="205">
        <v>68.0</v>
      </c>
      <c r="AH257" s="205">
        <v>274.0</v>
      </c>
      <c r="AI257" s="205">
        <v>0.0</v>
      </c>
      <c r="AJ257" s="205">
        <v>625.0</v>
      </c>
      <c r="AK257" s="205">
        <v>0.0</v>
      </c>
      <c r="AL257" s="205">
        <v>0.0</v>
      </c>
      <c r="AM257" s="205">
        <v>0.0</v>
      </c>
      <c r="AN257" s="205">
        <v>0.0</v>
      </c>
      <c r="AO257" s="208">
        <v>4.21152</v>
      </c>
      <c r="AP257" s="208">
        <v>5.17471</v>
      </c>
      <c r="AQ257" s="208">
        <v>6.48969</v>
      </c>
      <c r="AR257" s="208">
        <v>3.81186</v>
      </c>
      <c r="AT257" s="192" t="s">
        <v>2200</v>
      </c>
      <c r="AU257" s="211" t="s">
        <v>2201</v>
      </c>
      <c r="AV257" s="211" t="s">
        <v>2202</v>
      </c>
      <c r="AW257" s="211" t="s">
        <v>2203</v>
      </c>
      <c r="AX257" s="211" t="s">
        <v>2200</v>
      </c>
      <c r="AY257" s="212">
        <v>2.1</v>
      </c>
      <c r="AZ257" s="213">
        <v>4.5</v>
      </c>
      <c r="BA257" s="213">
        <v>4.0</v>
      </c>
      <c r="BB257" s="213">
        <v>3.0</v>
      </c>
      <c r="BC257" s="212">
        <v>5.460000000000001</v>
      </c>
      <c r="BD257" s="213">
        <v>10.0</v>
      </c>
      <c r="BE257" s="213">
        <v>10.0</v>
      </c>
      <c r="BF257" s="213">
        <v>8.399999999999999</v>
      </c>
      <c r="BG257" s="212">
        <v>10.333333333333332</v>
      </c>
      <c r="BH257" s="213">
        <v>9.75</v>
      </c>
      <c r="BI257" s="213">
        <v>8.641975315792175E-4</v>
      </c>
      <c r="BJ257" s="213">
        <v>0.0010493827163979101</v>
      </c>
      <c r="BK257" s="213">
        <v>255.0</v>
      </c>
      <c r="BL257" s="212">
        <v>7.0</v>
      </c>
      <c r="BM257" s="213">
        <v>5.375</v>
      </c>
      <c r="BN257" s="213">
        <v>0.001728395063158435</v>
      </c>
      <c r="BO257" s="213">
        <v>0.0020987654327958203</v>
      </c>
      <c r="BP257" s="213">
        <v>127.5</v>
      </c>
      <c r="BQ257" s="192"/>
      <c r="BR257" s="192"/>
    </row>
    <row r="258">
      <c r="A258" s="60">
        <v>1938365.0</v>
      </c>
      <c r="B258" s="205">
        <v>2277128.0</v>
      </c>
      <c r="C258" s="205">
        <v>1089084.0</v>
      </c>
      <c r="D258" s="205">
        <v>1.0</v>
      </c>
      <c r="E258" s="207">
        <v>43834.80508101852</v>
      </c>
      <c r="F258" s="207">
        <v>43863.365115740744</v>
      </c>
      <c r="G258" s="207">
        <v>43856.203055555554</v>
      </c>
      <c r="H258" s="63" t="s">
        <v>999</v>
      </c>
      <c r="I258" s="205">
        <v>180.0</v>
      </c>
      <c r="J258" s="63" t="s">
        <v>517</v>
      </c>
      <c r="K258" s="205">
        <v>2841009.0</v>
      </c>
      <c r="L258" s="208">
        <v>4.71265</v>
      </c>
      <c r="M258" s="208">
        <v>2.06907</v>
      </c>
      <c r="N258" s="208">
        <v>2.41157</v>
      </c>
      <c r="O258" s="209">
        <v>4.0</v>
      </c>
      <c r="P258" s="209">
        <v>8.0</v>
      </c>
      <c r="Q258" s="209">
        <v>7.0</v>
      </c>
      <c r="R258" s="209">
        <v>6.0</v>
      </c>
      <c r="S258" s="210">
        <v>0.0013657407398568466</v>
      </c>
      <c r="U258" s="205">
        <v>10.0</v>
      </c>
      <c r="V258" s="205">
        <v>5.0</v>
      </c>
      <c r="W258" s="63" t="s">
        <v>2204</v>
      </c>
      <c r="X258" s="210">
        <v>0.0016087962976598646</v>
      </c>
      <c r="Y258" s="63" t="s">
        <v>1116</v>
      </c>
      <c r="Z258" s="63" t="s">
        <v>2205</v>
      </c>
      <c r="AA258" s="205">
        <v>0.0</v>
      </c>
      <c r="AB258" s="63" t="s">
        <v>2206</v>
      </c>
      <c r="AC258" s="205">
        <v>215.0</v>
      </c>
      <c r="AD258" s="208">
        <v>9.36304</v>
      </c>
      <c r="AE258" s="205">
        <v>68418.0</v>
      </c>
      <c r="AF258" s="205">
        <v>11511.0</v>
      </c>
      <c r="AG258" s="205">
        <v>404.0</v>
      </c>
      <c r="AH258" s="205">
        <v>143.0</v>
      </c>
      <c r="AI258" s="205">
        <v>0.0</v>
      </c>
      <c r="AJ258" s="205">
        <v>713.0</v>
      </c>
      <c r="AK258" s="205">
        <v>0.0</v>
      </c>
      <c r="AL258" s="205">
        <v>0.0</v>
      </c>
      <c r="AM258" s="205">
        <v>0.0</v>
      </c>
      <c r="AN258" s="205">
        <v>0.0</v>
      </c>
      <c r="AO258" s="208">
        <v>4.29186</v>
      </c>
      <c r="AP258" s="208">
        <v>4.89758</v>
      </c>
      <c r="AQ258" s="208">
        <v>6.78724</v>
      </c>
      <c r="AR258" s="208">
        <v>3.70405</v>
      </c>
      <c r="AT258" s="192" t="s">
        <v>478</v>
      </c>
      <c r="AU258" s="211" t="s">
        <v>477</v>
      </c>
      <c r="AV258" s="211" t="s">
        <v>2207</v>
      </c>
      <c r="AW258" s="211" t="s">
        <v>2208</v>
      </c>
      <c r="AX258" s="211" t="s">
        <v>478</v>
      </c>
      <c r="AY258" s="212">
        <v>2.0</v>
      </c>
      <c r="AZ258" s="213">
        <v>4.0</v>
      </c>
      <c r="BA258" s="213">
        <v>3.5</v>
      </c>
      <c r="BB258" s="213">
        <v>3.0</v>
      </c>
      <c r="BC258" s="212">
        <v>5.2</v>
      </c>
      <c r="BD258" s="213">
        <v>10.0</v>
      </c>
      <c r="BE258" s="213">
        <v>9.799999999999999</v>
      </c>
      <c r="BF258" s="213">
        <v>8.399999999999999</v>
      </c>
      <c r="BG258" s="212">
        <v>9.666666666666668</v>
      </c>
      <c r="BH258" s="213">
        <v>9.083333333333334</v>
      </c>
      <c r="BI258" s="213">
        <v>9.104938265712311E-4</v>
      </c>
      <c r="BJ258" s="213">
        <v>0.0010725308651065764</v>
      </c>
      <c r="BK258" s="213">
        <v>270.0</v>
      </c>
      <c r="BL258" s="212">
        <v>5.5</v>
      </c>
      <c r="BM258" s="213">
        <v>3.875</v>
      </c>
      <c r="BN258" s="213">
        <v>0.0018209876531424622</v>
      </c>
      <c r="BO258" s="213">
        <v>0.0021450617302131527</v>
      </c>
      <c r="BP258" s="213">
        <v>135.0</v>
      </c>
      <c r="BQ258" s="192"/>
      <c r="BR258" s="192"/>
    </row>
    <row r="259">
      <c r="A259" s="60">
        <v>3990086.0</v>
      </c>
      <c r="B259" s="205">
        <v>2277128.0</v>
      </c>
      <c r="C259" s="205">
        <v>1089084.0</v>
      </c>
      <c r="D259" s="205">
        <v>1.0</v>
      </c>
      <c r="E259" s="207">
        <v>43834.80508101852</v>
      </c>
      <c r="F259" s="207">
        <v>43863.365115740744</v>
      </c>
      <c r="G259" s="207">
        <v>43856.203055555554</v>
      </c>
      <c r="H259" s="63" t="s">
        <v>999</v>
      </c>
      <c r="I259" s="205">
        <v>180.0</v>
      </c>
      <c r="J259" s="63" t="s">
        <v>517</v>
      </c>
      <c r="K259" s="205">
        <v>2841009.0</v>
      </c>
      <c r="L259" s="208">
        <v>4.71265</v>
      </c>
      <c r="M259" s="208">
        <v>2.06907</v>
      </c>
      <c r="N259" s="208">
        <v>2.41157</v>
      </c>
      <c r="O259" s="209">
        <v>4.0</v>
      </c>
      <c r="P259" s="209">
        <v>8.0</v>
      </c>
      <c r="Q259" s="209">
        <v>7.0</v>
      </c>
      <c r="R259" s="209">
        <v>6.0</v>
      </c>
      <c r="S259" s="210">
        <v>0.0013657407398568466</v>
      </c>
      <c r="U259" s="205">
        <v>10.0</v>
      </c>
      <c r="V259" s="205">
        <v>5.0</v>
      </c>
      <c r="W259" s="63" t="s">
        <v>2204</v>
      </c>
      <c r="X259" s="210">
        <v>0.0016087962976598646</v>
      </c>
      <c r="Y259" s="63" t="s">
        <v>1116</v>
      </c>
      <c r="Z259" s="63" t="s">
        <v>2205</v>
      </c>
      <c r="AA259" s="205">
        <v>0.0</v>
      </c>
      <c r="AB259" s="63" t="s">
        <v>2206</v>
      </c>
      <c r="AC259" s="205">
        <v>215.0</v>
      </c>
      <c r="AD259" s="208">
        <v>9.36304</v>
      </c>
      <c r="AE259" s="205">
        <v>68418.0</v>
      </c>
      <c r="AF259" s="205">
        <v>11511.0</v>
      </c>
      <c r="AG259" s="205">
        <v>404.0</v>
      </c>
      <c r="AH259" s="205">
        <v>143.0</v>
      </c>
      <c r="AI259" s="205">
        <v>0.0</v>
      </c>
      <c r="AJ259" s="205">
        <v>713.0</v>
      </c>
      <c r="AK259" s="205">
        <v>0.0</v>
      </c>
      <c r="AL259" s="205">
        <v>0.0</v>
      </c>
      <c r="AM259" s="205">
        <v>0.0</v>
      </c>
      <c r="AN259" s="205">
        <v>0.0</v>
      </c>
      <c r="AO259" s="208">
        <v>4.29186</v>
      </c>
      <c r="AP259" s="208">
        <v>4.89758</v>
      </c>
      <c r="AQ259" s="208">
        <v>6.78724</v>
      </c>
      <c r="AR259" s="208">
        <v>3.70405</v>
      </c>
      <c r="AT259" s="192" t="s">
        <v>478</v>
      </c>
      <c r="AU259" s="211" t="s">
        <v>477</v>
      </c>
      <c r="AV259" s="211" t="s">
        <v>2207</v>
      </c>
      <c r="AW259" s="211" t="s">
        <v>2208</v>
      </c>
      <c r="AX259" s="211" t="s">
        <v>478</v>
      </c>
      <c r="AY259" s="212">
        <v>2.0</v>
      </c>
      <c r="AZ259" s="213">
        <v>4.0</v>
      </c>
      <c r="BA259" s="213">
        <v>3.5</v>
      </c>
      <c r="BB259" s="213">
        <v>3.0</v>
      </c>
      <c r="BC259" s="212">
        <v>5.2</v>
      </c>
      <c r="BD259" s="213">
        <v>10.0</v>
      </c>
      <c r="BE259" s="213">
        <v>9.799999999999999</v>
      </c>
      <c r="BF259" s="213">
        <v>8.399999999999999</v>
      </c>
      <c r="BG259" s="212">
        <v>9.666666666666668</v>
      </c>
      <c r="BH259" s="213">
        <v>9.083333333333334</v>
      </c>
      <c r="BI259" s="213">
        <v>9.104938265712311E-4</v>
      </c>
      <c r="BJ259" s="213">
        <v>0.0010725308651065764</v>
      </c>
      <c r="BK259" s="213">
        <v>270.0</v>
      </c>
      <c r="BL259" s="212">
        <v>5.5</v>
      </c>
      <c r="BM259" s="213">
        <v>3.875</v>
      </c>
      <c r="BN259" s="213">
        <v>0.0018209876531424622</v>
      </c>
      <c r="BO259" s="213">
        <v>0.0021450617302131527</v>
      </c>
      <c r="BP259" s="213">
        <v>135.0</v>
      </c>
      <c r="BQ259" s="192"/>
      <c r="BR259" s="192"/>
    </row>
    <row r="260">
      <c r="A260" s="60">
        <v>3804111.0</v>
      </c>
      <c r="B260" s="205">
        <v>3804111.0</v>
      </c>
      <c r="C260" s="205">
        <v>1851405.0</v>
      </c>
      <c r="D260" s="205">
        <v>-2.0</v>
      </c>
      <c r="E260" s="207">
        <v>44823.50288194444</v>
      </c>
      <c r="F260" s="215"/>
      <c r="G260" s="207">
        <v>45024.4078125</v>
      </c>
      <c r="H260" s="63" t="s">
        <v>990</v>
      </c>
      <c r="I260" s="205">
        <v>190.0</v>
      </c>
      <c r="J260" s="63" t="s">
        <v>430</v>
      </c>
      <c r="K260" s="205">
        <v>1.1194087E7</v>
      </c>
      <c r="L260" s="208">
        <v>4.323</v>
      </c>
      <c r="M260" s="208">
        <v>2.11749</v>
      </c>
      <c r="N260" s="208">
        <v>2.01794</v>
      </c>
      <c r="O260" s="209">
        <v>5.0</v>
      </c>
      <c r="P260" s="209">
        <v>8.0</v>
      </c>
      <c r="Q260" s="209">
        <v>7.0</v>
      </c>
      <c r="R260" s="209">
        <v>5.0</v>
      </c>
      <c r="S260" s="210">
        <v>0.0017824074056989048</v>
      </c>
      <c r="T260" s="63" t="s">
        <v>2209</v>
      </c>
      <c r="U260" s="205">
        <v>5.0</v>
      </c>
      <c r="V260" s="205">
        <v>3.0</v>
      </c>
      <c r="W260" s="63" t="s">
        <v>2210</v>
      </c>
      <c r="X260" s="210">
        <v>0.0018634259249665774</v>
      </c>
      <c r="Y260" s="63" t="s">
        <v>1490</v>
      </c>
      <c r="Z260" s="63" t="s">
        <v>2211</v>
      </c>
      <c r="AA260" s="205">
        <v>0.0</v>
      </c>
      <c r="AB260" s="63" t="s">
        <v>2212</v>
      </c>
      <c r="AC260" s="205">
        <v>30.0</v>
      </c>
      <c r="AD260" s="208">
        <v>0.0</v>
      </c>
      <c r="AE260" s="205">
        <v>1162.0</v>
      </c>
      <c r="AF260" s="205">
        <v>264.0</v>
      </c>
      <c r="AG260" s="205">
        <v>373.0</v>
      </c>
      <c r="AH260" s="205">
        <v>189.0</v>
      </c>
      <c r="AI260" s="205">
        <v>0.0</v>
      </c>
      <c r="AJ260" s="205">
        <v>785.0</v>
      </c>
      <c r="AK260" s="205">
        <v>0.0</v>
      </c>
      <c r="AL260" s="205">
        <v>0.0</v>
      </c>
      <c r="AM260" s="205">
        <v>0.0</v>
      </c>
      <c r="AN260" s="205">
        <v>0.0</v>
      </c>
      <c r="AO260" s="208">
        <v>3.79695</v>
      </c>
      <c r="AP260" s="208">
        <v>4.81855</v>
      </c>
      <c r="AQ260" s="208">
        <v>6.15469</v>
      </c>
      <c r="AR260" s="208">
        <v>3.42389</v>
      </c>
      <c r="AT260" s="192" t="s">
        <v>429</v>
      </c>
      <c r="AU260" s="211" t="s">
        <v>479</v>
      </c>
      <c r="AV260" s="211" t="s">
        <v>2213</v>
      </c>
      <c r="AW260" s="211" t="s">
        <v>2214</v>
      </c>
      <c r="AX260" s="211" t="s">
        <v>429</v>
      </c>
      <c r="AY260" s="212">
        <v>2.5</v>
      </c>
      <c r="AZ260" s="213">
        <v>4.0</v>
      </c>
      <c r="BA260" s="213">
        <v>3.5</v>
      </c>
      <c r="BB260" s="213">
        <v>2.5</v>
      </c>
      <c r="BC260" s="212">
        <v>6.5</v>
      </c>
      <c r="BD260" s="213">
        <v>10.0</v>
      </c>
      <c r="BE260" s="213">
        <v>9.799999999999999</v>
      </c>
      <c r="BF260" s="213">
        <v>7.0</v>
      </c>
      <c r="BG260" s="212">
        <v>9.666666666666668</v>
      </c>
      <c r="BH260" s="213">
        <v>9.083333333333334</v>
      </c>
      <c r="BI260" s="213">
        <v>0.0011882716037992698</v>
      </c>
      <c r="BJ260" s="213">
        <v>0.0012422839499777183</v>
      </c>
      <c r="BK260" s="213">
        <v>285.0</v>
      </c>
      <c r="BL260" s="212">
        <v>5.5</v>
      </c>
      <c r="BM260" s="213">
        <v>3.875</v>
      </c>
      <c r="BN260" s="213">
        <v>0.0023765432075985395</v>
      </c>
      <c r="BO260" s="213">
        <v>0.0024845678999554366</v>
      </c>
      <c r="BP260" s="213">
        <v>142.5</v>
      </c>
      <c r="BQ260" s="192"/>
      <c r="BR260" s="192"/>
    </row>
    <row r="261">
      <c r="A261" s="60">
        <v>1248147.0</v>
      </c>
      <c r="B261" s="205">
        <v>2076261.0</v>
      </c>
      <c r="C261" s="205">
        <v>992847.0</v>
      </c>
      <c r="D261" s="205">
        <v>1.0</v>
      </c>
      <c r="E261" s="207">
        <v>43640.67958333333</v>
      </c>
      <c r="F261" s="207">
        <v>43925.808703703704</v>
      </c>
      <c r="G261" s="207">
        <v>43918.03606481482</v>
      </c>
      <c r="H261" s="63" t="s">
        <v>2215</v>
      </c>
      <c r="I261" s="205">
        <v>174.0</v>
      </c>
      <c r="J261" s="63" t="s">
        <v>1384</v>
      </c>
      <c r="K261" s="205">
        <v>4026817.0</v>
      </c>
      <c r="L261" s="208">
        <v>5.32283</v>
      </c>
      <c r="M261" s="208">
        <v>2.70585</v>
      </c>
      <c r="N261" s="208">
        <v>2.36231</v>
      </c>
      <c r="O261" s="209">
        <v>4.2</v>
      </c>
      <c r="P261" s="209">
        <v>9.0</v>
      </c>
      <c r="Q261" s="209">
        <v>8.2</v>
      </c>
      <c r="R261" s="209">
        <v>5.0</v>
      </c>
      <c r="S261" s="210">
        <v>0.002986111110658385</v>
      </c>
      <c r="U261" s="205">
        <v>10.0</v>
      </c>
      <c r="V261" s="205">
        <v>2.0</v>
      </c>
      <c r="W261" s="63" t="s">
        <v>2216</v>
      </c>
      <c r="X261" s="210">
        <v>0.0034837962957681157</v>
      </c>
      <c r="Y261" s="63" t="s">
        <v>2217</v>
      </c>
      <c r="Z261" s="63" t="s">
        <v>2218</v>
      </c>
      <c r="AA261" s="205">
        <v>0.0</v>
      </c>
      <c r="AB261" s="63" t="s">
        <v>2219</v>
      </c>
      <c r="AC261" s="205">
        <v>2136.0</v>
      </c>
      <c r="AD261" s="208">
        <v>9.38617</v>
      </c>
      <c r="AE261" s="205">
        <v>1245699.0</v>
      </c>
      <c r="AF261" s="205">
        <v>392634.0</v>
      </c>
      <c r="AG261" s="205">
        <v>685.0</v>
      </c>
      <c r="AH261" s="205">
        <v>315.0</v>
      </c>
      <c r="AI261" s="205">
        <v>0.0</v>
      </c>
      <c r="AJ261" s="205">
        <v>1436.0</v>
      </c>
      <c r="AK261" s="205">
        <v>0.0</v>
      </c>
      <c r="AL261" s="205">
        <v>0.0</v>
      </c>
      <c r="AM261" s="205">
        <v>0.0</v>
      </c>
      <c r="AN261" s="205">
        <v>0.0</v>
      </c>
      <c r="AO261" s="208">
        <v>4.83884</v>
      </c>
      <c r="AP261" s="208">
        <v>5.65707</v>
      </c>
      <c r="AQ261" s="208">
        <v>7.62993</v>
      </c>
      <c r="AR261" s="208">
        <v>4.20487</v>
      </c>
      <c r="AT261" s="192" t="s">
        <v>481</v>
      </c>
      <c r="AU261" s="211" t="s">
        <v>480</v>
      </c>
      <c r="AV261" s="211" t="s">
        <v>2220</v>
      </c>
      <c r="AW261" s="211" t="s">
        <v>2221</v>
      </c>
      <c r="AX261" s="211" t="s">
        <v>481</v>
      </c>
      <c r="AY261" s="212">
        <v>2.1</v>
      </c>
      <c r="AZ261" s="213">
        <v>4.5</v>
      </c>
      <c r="BA261" s="213">
        <v>4.1</v>
      </c>
      <c r="BB261" s="213">
        <v>2.5</v>
      </c>
      <c r="BC261" s="212">
        <v>5.460000000000001</v>
      </c>
      <c r="BD261" s="213">
        <v>10.0</v>
      </c>
      <c r="BE261" s="213">
        <v>10.0</v>
      </c>
      <c r="BF261" s="213">
        <v>7.0</v>
      </c>
      <c r="BG261" s="212">
        <v>10.333333333333332</v>
      </c>
      <c r="BH261" s="213">
        <v>9.883333333333333</v>
      </c>
      <c r="BI261" s="213">
        <v>0.0019907407404389232</v>
      </c>
      <c r="BJ261" s="213">
        <v>0.0023225308638454103</v>
      </c>
      <c r="BK261" s="213">
        <v>261.0</v>
      </c>
      <c r="BL261" s="212">
        <v>7.0</v>
      </c>
      <c r="BM261" s="213">
        <v>5.675</v>
      </c>
      <c r="BN261" s="213">
        <v>0.0039814814808778465</v>
      </c>
      <c r="BO261" s="213">
        <v>0.004645061727690821</v>
      </c>
      <c r="BP261" s="213">
        <v>130.5</v>
      </c>
      <c r="BQ261" s="192"/>
      <c r="BR261" s="192"/>
    </row>
    <row r="262">
      <c r="A262" s="60">
        <v>345642.0</v>
      </c>
      <c r="B262" s="205">
        <v>1838159.0</v>
      </c>
      <c r="C262" s="205">
        <v>519054.0</v>
      </c>
      <c r="D262" s="205">
        <v>4.0</v>
      </c>
      <c r="E262" s="207">
        <v>42652.910775462966</v>
      </c>
      <c r="F262" s="207">
        <v>43570.70796296296</v>
      </c>
      <c r="G262" s="207">
        <v>43563.66888888889</v>
      </c>
      <c r="H262" s="63" t="s">
        <v>977</v>
      </c>
      <c r="I262" s="205">
        <v>180.0</v>
      </c>
      <c r="J262" s="63" t="s">
        <v>347</v>
      </c>
      <c r="K262" s="205">
        <v>2330619.0</v>
      </c>
      <c r="L262" s="208">
        <v>5.15169</v>
      </c>
      <c r="M262" s="208">
        <v>2.31471</v>
      </c>
      <c r="N262" s="208">
        <v>2.59773</v>
      </c>
      <c r="O262" s="209">
        <v>3.8</v>
      </c>
      <c r="P262" s="209">
        <v>9.0</v>
      </c>
      <c r="Q262" s="209">
        <v>7.5</v>
      </c>
      <c r="R262" s="209">
        <v>5.5</v>
      </c>
      <c r="S262" s="210">
        <v>0.0011805555550381541</v>
      </c>
      <c r="U262" s="205">
        <v>10.0</v>
      </c>
      <c r="V262" s="205">
        <v>5.0</v>
      </c>
      <c r="W262" s="63" t="s">
        <v>2222</v>
      </c>
      <c r="X262" s="210">
        <v>0.0011805555550381541</v>
      </c>
      <c r="Y262" s="63" t="s">
        <v>2223</v>
      </c>
      <c r="Z262" s="63" t="s">
        <v>2224</v>
      </c>
      <c r="AA262" s="205">
        <v>0.0</v>
      </c>
      <c r="AB262" s="63" t="s">
        <v>2225</v>
      </c>
      <c r="AC262" s="205">
        <v>1135.0</v>
      </c>
      <c r="AD262" s="208">
        <v>9.50883</v>
      </c>
      <c r="AE262" s="205">
        <v>235593.0</v>
      </c>
      <c r="AF262" s="205">
        <v>49005.0</v>
      </c>
      <c r="AG262" s="205">
        <v>457.0</v>
      </c>
      <c r="AH262" s="205">
        <v>161.0</v>
      </c>
      <c r="AI262" s="205">
        <v>0.0</v>
      </c>
      <c r="AJ262" s="205">
        <v>1007.0</v>
      </c>
      <c r="AK262" s="205">
        <v>0.0</v>
      </c>
      <c r="AL262" s="205">
        <v>0.0</v>
      </c>
      <c r="AM262" s="205">
        <v>0.0</v>
      </c>
      <c r="AN262" s="205">
        <v>0.0</v>
      </c>
      <c r="AO262" s="208">
        <v>4.73995</v>
      </c>
      <c r="AP262" s="208">
        <v>5.37127</v>
      </c>
      <c r="AQ262" s="208">
        <v>7.60476</v>
      </c>
      <c r="AR262" s="208">
        <v>4.05021</v>
      </c>
      <c r="AT262" s="192" t="s">
        <v>346</v>
      </c>
      <c r="AU262" s="211" t="s">
        <v>482</v>
      </c>
      <c r="AV262" s="211" t="s">
        <v>2226</v>
      </c>
      <c r="AW262" s="211" t="s">
        <v>2227</v>
      </c>
      <c r="AX262" s="211" t="s">
        <v>346</v>
      </c>
      <c r="AY262" s="212">
        <v>1.9</v>
      </c>
      <c r="AZ262" s="213">
        <v>4.5</v>
      </c>
      <c r="BA262" s="213">
        <v>3.75</v>
      </c>
      <c r="BB262" s="213">
        <v>2.75</v>
      </c>
      <c r="BC262" s="212">
        <v>4.9399999999999995</v>
      </c>
      <c r="BD262" s="213">
        <v>10.0</v>
      </c>
      <c r="BE262" s="213">
        <v>10.0</v>
      </c>
      <c r="BF262" s="213">
        <v>7.699999999999999</v>
      </c>
      <c r="BG262" s="212">
        <v>10.333333333333332</v>
      </c>
      <c r="BH262" s="213">
        <v>9.416666666666666</v>
      </c>
      <c r="BI262" s="213">
        <v>7.870370366921028E-4</v>
      </c>
      <c r="BJ262" s="213">
        <v>7.870370366921028E-4</v>
      </c>
      <c r="BK262" s="213">
        <v>270.0</v>
      </c>
      <c r="BL262" s="212">
        <v>7.0</v>
      </c>
      <c r="BM262" s="213">
        <v>4.625</v>
      </c>
      <c r="BN262" s="213">
        <v>0.0015740740733842056</v>
      </c>
      <c r="BO262" s="213">
        <v>0.0015740740733842056</v>
      </c>
      <c r="BP262" s="213">
        <v>135.0</v>
      </c>
      <c r="BQ262" s="192"/>
      <c r="BR262" s="192"/>
    </row>
    <row r="263">
      <c r="A263" s="60">
        <v>1699306.0</v>
      </c>
      <c r="B263" s="205">
        <v>2383229.0</v>
      </c>
      <c r="C263" s="205">
        <v>1140943.0</v>
      </c>
      <c r="D263" s="205">
        <v>-2.0</v>
      </c>
      <c r="E263" s="207">
        <v>43927.14189814815</v>
      </c>
      <c r="F263" s="215"/>
      <c r="G263" s="207">
        <v>44535.62695601852</v>
      </c>
      <c r="H263" s="63" t="s">
        <v>2228</v>
      </c>
      <c r="I263" s="205">
        <v>145.0</v>
      </c>
      <c r="J263" s="63" t="s">
        <v>2229</v>
      </c>
      <c r="K263" s="205">
        <v>4009326.0</v>
      </c>
      <c r="L263" s="208">
        <v>5.03019</v>
      </c>
      <c r="M263" s="208">
        <v>2.64816</v>
      </c>
      <c r="N263" s="208">
        <v>2.09151</v>
      </c>
      <c r="O263" s="209">
        <v>4.0</v>
      </c>
      <c r="P263" s="209">
        <v>9.5</v>
      </c>
      <c r="Q263" s="209">
        <v>8.0</v>
      </c>
      <c r="R263" s="209">
        <v>6.0</v>
      </c>
      <c r="S263" s="210">
        <v>0.002013888890360249</v>
      </c>
      <c r="U263" s="205">
        <v>10.0</v>
      </c>
      <c r="V263" s="205">
        <v>3.0</v>
      </c>
      <c r="W263" s="63" t="s">
        <v>2230</v>
      </c>
      <c r="X263" s="210">
        <v>0.002314814813871635</v>
      </c>
      <c r="Y263" s="63" t="s">
        <v>2231</v>
      </c>
      <c r="Z263" s="63" t="s">
        <v>2232</v>
      </c>
      <c r="AA263" s="205">
        <v>0.0</v>
      </c>
      <c r="AB263" s="63" t="s">
        <v>2233</v>
      </c>
      <c r="AC263" s="205">
        <v>4.0</v>
      </c>
      <c r="AD263" s="208">
        <v>0.0</v>
      </c>
      <c r="AE263" s="205">
        <v>265.0</v>
      </c>
      <c r="AF263" s="205">
        <v>75.0</v>
      </c>
      <c r="AG263" s="205">
        <v>298.0</v>
      </c>
      <c r="AH263" s="205">
        <v>463.0</v>
      </c>
      <c r="AI263" s="205">
        <v>1.0</v>
      </c>
      <c r="AJ263" s="205">
        <v>1240.0</v>
      </c>
      <c r="AK263" s="205">
        <v>0.0</v>
      </c>
      <c r="AL263" s="205">
        <v>0.0</v>
      </c>
      <c r="AM263" s="205">
        <v>0.0</v>
      </c>
      <c r="AN263" s="205">
        <v>0.0</v>
      </c>
      <c r="AO263" s="208">
        <v>4.53708</v>
      </c>
      <c r="AP263" s="208">
        <v>5.48072</v>
      </c>
      <c r="AQ263" s="208">
        <v>7.15841</v>
      </c>
      <c r="AR263" s="208">
        <v>3.98032</v>
      </c>
      <c r="AT263" s="192" t="s">
        <v>509</v>
      </c>
      <c r="AU263" s="211" t="s">
        <v>508</v>
      </c>
      <c r="AV263" s="211" t="s">
        <v>2234</v>
      </c>
      <c r="AW263" s="211" t="s">
        <v>2235</v>
      </c>
      <c r="AX263" s="211" t="s">
        <v>509</v>
      </c>
      <c r="AY263" s="212">
        <v>2.0</v>
      </c>
      <c r="AZ263" s="213">
        <v>4.75</v>
      </c>
      <c r="BA263" s="213">
        <v>4.0</v>
      </c>
      <c r="BB263" s="213">
        <v>3.0</v>
      </c>
      <c r="BC263" s="212">
        <v>5.2</v>
      </c>
      <c r="BD263" s="213">
        <v>10.0</v>
      </c>
      <c r="BE263" s="213">
        <v>10.0</v>
      </c>
      <c r="BF263" s="213">
        <v>8.399999999999999</v>
      </c>
      <c r="BG263" s="212">
        <v>10.666666666666668</v>
      </c>
      <c r="BH263" s="213">
        <v>9.75</v>
      </c>
      <c r="BI263" s="213">
        <v>0.0013425925935734995</v>
      </c>
      <c r="BJ263" s="213">
        <v>0.0015432098759144235</v>
      </c>
      <c r="BK263" s="213">
        <v>217.5</v>
      </c>
      <c r="BL263" s="212">
        <v>7.75</v>
      </c>
      <c r="BM263" s="213">
        <v>5.375</v>
      </c>
      <c r="BN263" s="213">
        <v>0.002685185187146999</v>
      </c>
      <c r="BO263" s="213">
        <v>0.003086419751828847</v>
      </c>
      <c r="BP263" s="213">
        <v>108.75</v>
      </c>
      <c r="BQ263" s="192"/>
      <c r="BR263" s="192"/>
    </row>
    <row r="264">
      <c r="A264" s="60">
        <v>1857415.0</v>
      </c>
      <c r="B264" s="205">
        <v>2383229.0</v>
      </c>
      <c r="C264" s="205">
        <v>1140943.0</v>
      </c>
      <c r="D264" s="205">
        <v>-2.0</v>
      </c>
      <c r="E264" s="207">
        <v>43927.14189814815</v>
      </c>
      <c r="F264" s="215"/>
      <c r="G264" s="207">
        <v>44535.62695601852</v>
      </c>
      <c r="H264" s="63" t="s">
        <v>2228</v>
      </c>
      <c r="I264" s="205">
        <v>145.0</v>
      </c>
      <c r="J264" s="63" t="s">
        <v>2229</v>
      </c>
      <c r="K264" s="205">
        <v>4009326.0</v>
      </c>
      <c r="L264" s="208">
        <v>5.03019</v>
      </c>
      <c r="M264" s="208">
        <v>2.64816</v>
      </c>
      <c r="N264" s="208">
        <v>2.09151</v>
      </c>
      <c r="O264" s="209">
        <v>4.0</v>
      </c>
      <c r="P264" s="209">
        <v>9.5</v>
      </c>
      <c r="Q264" s="209">
        <v>8.0</v>
      </c>
      <c r="R264" s="209">
        <v>6.0</v>
      </c>
      <c r="S264" s="210">
        <v>0.002013888890360249</v>
      </c>
      <c r="U264" s="205">
        <v>10.0</v>
      </c>
      <c r="V264" s="205">
        <v>3.0</v>
      </c>
      <c r="W264" s="63" t="s">
        <v>2230</v>
      </c>
      <c r="X264" s="210">
        <v>0.002314814813871635</v>
      </c>
      <c r="Y264" s="63" t="s">
        <v>2231</v>
      </c>
      <c r="Z264" s="63" t="s">
        <v>2232</v>
      </c>
      <c r="AA264" s="205">
        <v>0.0</v>
      </c>
      <c r="AB264" s="63" t="s">
        <v>2233</v>
      </c>
      <c r="AC264" s="205">
        <v>4.0</v>
      </c>
      <c r="AD264" s="208">
        <v>0.0</v>
      </c>
      <c r="AE264" s="205">
        <v>265.0</v>
      </c>
      <c r="AF264" s="205">
        <v>75.0</v>
      </c>
      <c r="AG264" s="205">
        <v>298.0</v>
      </c>
      <c r="AH264" s="205">
        <v>463.0</v>
      </c>
      <c r="AI264" s="205">
        <v>1.0</v>
      </c>
      <c r="AJ264" s="205">
        <v>1240.0</v>
      </c>
      <c r="AK264" s="205">
        <v>0.0</v>
      </c>
      <c r="AL264" s="205">
        <v>0.0</v>
      </c>
      <c r="AM264" s="205">
        <v>0.0</v>
      </c>
      <c r="AN264" s="205">
        <v>0.0</v>
      </c>
      <c r="AO264" s="208">
        <v>4.53708</v>
      </c>
      <c r="AP264" s="208">
        <v>5.48072</v>
      </c>
      <c r="AQ264" s="208">
        <v>7.15841</v>
      </c>
      <c r="AR264" s="208">
        <v>3.98032</v>
      </c>
      <c r="AT264" s="192" t="s">
        <v>509</v>
      </c>
      <c r="AU264" s="211" t="s">
        <v>508</v>
      </c>
      <c r="AV264" s="211" t="s">
        <v>2234</v>
      </c>
      <c r="AW264" s="211" t="s">
        <v>2235</v>
      </c>
      <c r="AX264" s="211" t="s">
        <v>509</v>
      </c>
      <c r="AY264" s="212">
        <v>2.0</v>
      </c>
      <c r="AZ264" s="213">
        <v>4.75</v>
      </c>
      <c r="BA264" s="213">
        <v>4.0</v>
      </c>
      <c r="BB264" s="213">
        <v>3.0</v>
      </c>
      <c r="BC264" s="212">
        <v>5.2</v>
      </c>
      <c r="BD264" s="213">
        <v>10.0</v>
      </c>
      <c r="BE264" s="213">
        <v>10.0</v>
      </c>
      <c r="BF264" s="213">
        <v>8.399999999999999</v>
      </c>
      <c r="BG264" s="212">
        <v>10.666666666666668</v>
      </c>
      <c r="BH264" s="213">
        <v>9.75</v>
      </c>
      <c r="BI264" s="213">
        <v>0.0013425925935734995</v>
      </c>
      <c r="BJ264" s="213">
        <v>0.0015432098759144235</v>
      </c>
      <c r="BK264" s="213">
        <v>217.5</v>
      </c>
      <c r="BL264" s="212">
        <v>7.75</v>
      </c>
      <c r="BM264" s="213">
        <v>5.375</v>
      </c>
      <c r="BN264" s="213">
        <v>0.002685185187146999</v>
      </c>
      <c r="BO264" s="213">
        <v>0.003086419751828847</v>
      </c>
      <c r="BP264" s="213">
        <v>108.75</v>
      </c>
      <c r="BQ264" s="192"/>
      <c r="BR264" s="192"/>
    </row>
    <row r="265">
      <c r="A265" s="60">
        <v>2076261.0</v>
      </c>
      <c r="B265" s="205">
        <v>1972425.0</v>
      </c>
      <c r="C265" s="205">
        <v>927758.0</v>
      </c>
      <c r="D265" s="205">
        <v>1.0</v>
      </c>
      <c r="E265" s="207">
        <v>43513.70438657407</v>
      </c>
      <c r="F265" s="207">
        <v>43672.847233796296</v>
      </c>
      <c r="G265" s="207">
        <v>43663.61891203704</v>
      </c>
      <c r="H265" s="63" t="s">
        <v>998</v>
      </c>
      <c r="I265" s="205">
        <v>183.0</v>
      </c>
      <c r="J265" s="63" t="s">
        <v>515</v>
      </c>
      <c r="K265" s="205">
        <v>6029467.0</v>
      </c>
      <c r="L265" s="208">
        <v>5.21311</v>
      </c>
      <c r="M265" s="208">
        <v>2.68428</v>
      </c>
      <c r="N265" s="208">
        <v>2.2646</v>
      </c>
      <c r="O265" s="209">
        <v>3.7</v>
      </c>
      <c r="P265" s="209">
        <v>9.3</v>
      </c>
      <c r="Q265" s="209">
        <v>8.0</v>
      </c>
      <c r="R265" s="209">
        <v>6.0</v>
      </c>
      <c r="S265" s="210">
        <v>0.0024537037024856545</v>
      </c>
      <c r="T265" s="63" t="s">
        <v>2236</v>
      </c>
      <c r="U265" s="205">
        <v>3.0</v>
      </c>
      <c r="V265" s="205">
        <v>3.0</v>
      </c>
      <c r="W265" s="63" t="s">
        <v>2237</v>
      </c>
      <c r="X265" s="210">
        <v>0.0027430555564933456</v>
      </c>
      <c r="Y265" s="63" t="s">
        <v>2238</v>
      </c>
      <c r="Z265" s="63" t="s">
        <v>2239</v>
      </c>
      <c r="AA265" s="205">
        <v>0.0</v>
      </c>
      <c r="AB265" s="63" t="s">
        <v>2240</v>
      </c>
      <c r="AC265" s="205">
        <v>346.0</v>
      </c>
      <c r="AD265" s="208">
        <v>9.64237</v>
      </c>
      <c r="AE265" s="205">
        <v>103473.0</v>
      </c>
      <c r="AF265" s="205">
        <v>15849.0</v>
      </c>
      <c r="AG265" s="205">
        <v>643.0</v>
      </c>
      <c r="AH265" s="205">
        <v>216.0</v>
      </c>
      <c r="AI265" s="205">
        <v>1.0</v>
      </c>
      <c r="AJ265" s="205">
        <v>1133.0</v>
      </c>
      <c r="AK265" s="205">
        <v>0.0</v>
      </c>
      <c r="AL265" s="205">
        <v>0.0</v>
      </c>
      <c r="AM265" s="205">
        <v>0.0</v>
      </c>
      <c r="AN265" s="205">
        <v>0.0</v>
      </c>
      <c r="AO265" s="208">
        <v>4.82087</v>
      </c>
      <c r="AP265" s="208">
        <v>5.47699</v>
      </c>
      <c r="AQ265" s="208">
        <v>7.36802</v>
      </c>
      <c r="AR265" s="208">
        <v>4.14034</v>
      </c>
      <c r="AT265" s="192" t="s">
        <v>513</v>
      </c>
      <c r="AU265" s="211" t="s">
        <v>512</v>
      </c>
      <c r="AV265" s="211" t="s">
        <v>2241</v>
      </c>
      <c r="AW265" s="211" t="s">
        <v>2242</v>
      </c>
      <c r="AX265" s="211" t="s">
        <v>513</v>
      </c>
      <c r="AY265" s="212">
        <v>1.85</v>
      </c>
      <c r="AZ265" s="213">
        <v>4.65</v>
      </c>
      <c r="BA265" s="213">
        <v>4.0</v>
      </c>
      <c r="BB265" s="213">
        <v>3.0</v>
      </c>
      <c r="BC265" s="212">
        <v>4.8100000000000005</v>
      </c>
      <c r="BD265" s="213">
        <v>10.0</v>
      </c>
      <c r="BE265" s="213">
        <v>10.0</v>
      </c>
      <c r="BF265" s="213">
        <v>8.399999999999999</v>
      </c>
      <c r="BG265" s="212">
        <v>10.533333333333333</v>
      </c>
      <c r="BH265" s="213">
        <v>9.75</v>
      </c>
      <c r="BI265" s="213">
        <v>0.0016358024683237697</v>
      </c>
      <c r="BJ265" s="213">
        <v>0.0018287037043288972</v>
      </c>
      <c r="BK265" s="213">
        <v>274.5</v>
      </c>
      <c r="BL265" s="212">
        <v>7.450000000000001</v>
      </c>
      <c r="BM265" s="213">
        <v>5.375</v>
      </c>
      <c r="BN265" s="213">
        <v>0.0032716049366475395</v>
      </c>
      <c r="BO265" s="213">
        <v>0.0036574074086577943</v>
      </c>
      <c r="BP265" s="213">
        <v>137.25</v>
      </c>
      <c r="BQ265" s="192"/>
      <c r="BR265" s="192"/>
    </row>
    <row r="266">
      <c r="A266" s="60">
        <v>2970566.0</v>
      </c>
      <c r="B266" s="205">
        <v>3818733.0</v>
      </c>
      <c r="C266" s="205">
        <v>1857926.0</v>
      </c>
      <c r="D266" s="205">
        <v>1.0</v>
      </c>
      <c r="E266" s="207">
        <v>44834.72677083334</v>
      </c>
      <c r="F266" s="207">
        <v>44864.626435185186</v>
      </c>
      <c r="G266" s="207">
        <v>44857.61033564815</v>
      </c>
      <c r="H266" s="63" t="s">
        <v>981</v>
      </c>
      <c r="I266" s="205">
        <v>146.5</v>
      </c>
      <c r="J266" s="63" t="s">
        <v>370</v>
      </c>
      <c r="K266" s="205">
        <v>1.6063282E7</v>
      </c>
      <c r="L266" s="208">
        <v>5.94401</v>
      </c>
      <c r="M266" s="208">
        <v>2.92335</v>
      </c>
      <c r="N266" s="208">
        <v>2.76122</v>
      </c>
      <c r="O266" s="209">
        <v>4.0</v>
      </c>
      <c r="P266" s="209">
        <v>9.0</v>
      </c>
      <c r="Q266" s="209">
        <v>8.2</v>
      </c>
      <c r="R266" s="209">
        <v>6.0</v>
      </c>
      <c r="S266" s="210">
        <v>9.606481471564621E-4</v>
      </c>
      <c r="T266" s="63" t="s">
        <v>2086</v>
      </c>
      <c r="U266" s="205">
        <v>4.0</v>
      </c>
      <c r="V266" s="205">
        <v>2.0</v>
      </c>
      <c r="W266" s="63" t="s">
        <v>2087</v>
      </c>
      <c r="X266" s="210">
        <v>9.606481471564621E-4</v>
      </c>
      <c r="Y266" s="63" t="s">
        <v>2243</v>
      </c>
      <c r="Z266" s="63" t="s">
        <v>2244</v>
      </c>
      <c r="AA266" s="205">
        <v>0.0</v>
      </c>
      <c r="AB266" s="63" t="s">
        <v>2090</v>
      </c>
      <c r="AC266" s="205">
        <v>558.0</v>
      </c>
      <c r="AD266" s="208">
        <v>8.22878</v>
      </c>
      <c r="AE266" s="205">
        <v>15652.0</v>
      </c>
      <c r="AF266" s="205">
        <v>1772.0</v>
      </c>
      <c r="AG266" s="205">
        <v>217.0</v>
      </c>
      <c r="AH266" s="205">
        <v>187.0</v>
      </c>
      <c r="AI266" s="205">
        <v>0.0</v>
      </c>
      <c r="AJ266" s="205">
        <v>637.0</v>
      </c>
      <c r="AK266" s="205">
        <v>0.0</v>
      </c>
      <c r="AL266" s="205">
        <v>0.0</v>
      </c>
      <c r="AM266" s="205">
        <v>0.0</v>
      </c>
      <c r="AN266" s="205">
        <v>0.0</v>
      </c>
      <c r="AO266" s="208">
        <v>5.34988</v>
      </c>
      <c r="AP266" s="208">
        <v>6.31209</v>
      </c>
      <c r="AQ266" s="208">
        <v>8.78454</v>
      </c>
      <c r="AR266" s="208">
        <v>4.71065</v>
      </c>
      <c r="AT266" s="192" t="s">
        <v>2245</v>
      </c>
      <c r="AU266" s="211" t="s">
        <v>2246</v>
      </c>
      <c r="AV266" s="211" t="s">
        <v>2091</v>
      </c>
      <c r="AW266" s="211" t="s">
        <v>2092</v>
      </c>
      <c r="AX266" s="211" t="s">
        <v>2245</v>
      </c>
      <c r="AY266" s="212">
        <v>2.0</v>
      </c>
      <c r="AZ266" s="213">
        <v>4.5</v>
      </c>
      <c r="BA266" s="213">
        <v>4.1</v>
      </c>
      <c r="BB266" s="213">
        <v>3.0</v>
      </c>
      <c r="BC266" s="212">
        <v>5.2</v>
      </c>
      <c r="BD266" s="213">
        <v>10.0</v>
      </c>
      <c r="BE266" s="213">
        <v>10.0</v>
      </c>
      <c r="BF266" s="213">
        <v>8.399999999999999</v>
      </c>
      <c r="BG266" s="212">
        <v>10.333333333333332</v>
      </c>
      <c r="BH266" s="213">
        <v>9.883333333333333</v>
      </c>
      <c r="BI266" s="213">
        <v>6.40432098104308E-4</v>
      </c>
      <c r="BJ266" s="213">
        <v>6.40432098104308E-4</v>
      </c>
      <c r="BK266" s="213">
        <v>219.75</v>
      </c>
      <c r="BL266" s="212">
        <v>7.0</v>
      </c>
      <c r="BM266" s="213">
        <v>5.675</v>
      </c>
      <c r="BN266" s="213">
        <v>0.001280864196208616</v>
      </c>
      <c r="BO266" s="213">
        <v>0.001280864196208616</v>
      </c>
      <c r="BP266" s="213">
        <v>109.875</v>
      </c>
      <c r="BQ266" s="192"/>
      <c r="BR266" s="192"/>
    </row>
    <row r="267">
      <c r="A267" s="60">
        <v>789815.0</v>
      </c>
      <c r="B267" s="205">
        <v>3835538.0</v>
      </c>
      <c r="C267" s="205">
        <v>1857926.0</v>
      </c>
      <c r="D267" s="205">
        <v>1.0</v>
      </c>
      <c r="E267" s="207">
        <v>44834.72677083334</v>
      </c>
      <c r="F267" s="207">
        <v>44864.626435185186</v>
      </c>
      <c r="G267" s="207">
        <v>44857.61033564815</v>
      </c>
      <c r="H267" s="63" t="s">
        <v>981</v>
      </c>
      <c r="I267" s="205">
        <v>146.5</v>
      </c>
      <c r="J267" s="63" t="s">
        <v>370</v>
      </c>
      <c r="K267" s="205">
        <v>1.6063282E7</v>
      </c>
      <c r="L267" s="208">
        <v>4.91124</v>
      </c>
      <c r="M267" s="208">
        <v>2.38493</v>
      </c>
      <c r="N267" s="208">
        <v>2.31521</v>
      </c>
      <c r="O267" s="209">
        <v>3.5</v>
      </c>
      <c r="P267" s="209">
        <v>8.7</v>
      </c>
      <c r="Q267" s="209">
        <v>8.0</v>
      </c>
      <c r="R267" s="209">
        <v>5.0</v>
      </c>
      <c r="S267" s="210">
        <v>9.606481471564621E-4</v>
      </c>
      <c r="T267" s="63" t="s">
        <v>2086</v>
      </c>
      <c r="U267" s="205">
        <v>4.0</v>
      </c>
      <c r="V267" s="205">
        <v>2.0</v>
      </c>
      <c r="W267" s="63" t="s">
        <v>2087</v>
      </c>
      <c r="X267" s="210">
        <v>9.606481471564621E-4</v>
      </c>
      <c r="Y267" s="63" t="s">
        <v>2247</v>
      </c>
      <c r="Z267" s="63" t="s">
        <v>2248</v>
      </c>
      <c r="AA267" s="205">
        <v>0.0</v>
      </c>
      <c r="AB267" s="63" t="s">
        <v>2090</v>
      </c>
      <c r="AC267" s="205">
        <v>558.0</v>
      </c>
      <c r="AD267" s="208">
        <v>8.22878</v>
      </c>
      <c r="AE267" s="205">
        <v>28477.0</v>
      </c>
      <c r="AF267" s="205">
        <v>2007.0</v>
      </c>
      <c r="AG267" s="205">
        <v>230.0</v>
      </c>
      <c r="AH267" s="205">
        <v>148.0</v>
      </c>
      <c r="AI267" s="205">
        <v>0.0</v>
      </c>
      <c r="AJ267" s="205">
        <v>550.0</v>
      </c>
      <c r="AK267" s="205">
        <v>0.0</v>
      </c>
      <c r="AL267" s="205">
        <v>0.0</v>
      </c>
      <c r="AM267" s="205">
        <v>0.0</v>
      </c>
      <c r="AN267" s="205">
        <v>0.0</v>
      </c>
      <c r="AO267" s="208">
        <v>4.61431</v>
      </c>
      <c r="AP267" s="208">
        <v>5.14459</v>
      </c>
      <c r="AQ267" s="208">
        <v>6.9897</v>
      </c>
      <c r="AR267" s="208">
        <v>3.82653</v>
      </c>
      <c r="AT267" s="192" t="s">
        <v>2249</v>
      </c>
      <c r="AU267" s="211" t="s">
        <v>2250</v>
      </c>
      <c r="AV267" s="211" t="s">
        <v>2091</v>
      </c>
      <c r="AW267" s="211" t="s">
        <v>2092</v>
      </c>
      <c r="AX267" s="211" t="s">
        <v>2249</v>
      </c>
      <c r="AY267" s="212">
        <v>1.75</v>
      </c>
      <c r="AZ267" s="213">
        <v>4.35</v>
      </c>
      <c r="BA267" s="213">
        <v>4.0</v>
      </c>
      <c r="BB267" s="213">
        <v>2.5</v>
      </c>
      <c r="BC267" s="212">
        <v>4.55</v>
      </c>
      <c r="BD267" s="213">
        <v>10.0</v>
      </c>
      <c r="BE267" s="213">
        <v>10.0</v>
      </c>
      <c r="BF267" s="213">
        <v>7.0</v>
      </c>
      <c r="BG267" s="212">
        <v>10.133333333333333</v>
      </c>
      <c r="BH267" s="213">
        <v>9.75</v>
      </c>
      <c r="BI267" s="213">
        <v>6.40432098104308E-4</v>
      </c>
      <c r="BJ267" s="213">
        <v>6.40432098104308E-4</v>
      </c>
      <c r="BK267" s="213">
        <v>219.75</v>
      </c>
      <c r="BL267" s="212">
        <v>6.549999999999999</v>
      </c>
      <c r="BM267" s="213">
        <v>5.375</v>
      </c>
      <c r="BN267" s="213">
        <v>0.001280864196208616</v>
      </c>
      <c r="BO267" s="213">
        <v>0.001280864196208616</v>
      </c>
      <c r="BP267" s="213">
        <v>109.875</v>
      </c>
      <c r="BQ267" s="192"/>
      <c r="BR267" s="192"/>
    </row>
    <row r="268">
      <c r="A268" s="60">
        <v>2536100.0</v>
      </c>
      <c r="B268" s="205">
        <v>3835538.0</v>
      </c>
      <c r="C268" s="205">
        <v>1857926.0</v>
      </c>
      <c r="D268" s="205">
        <v>1.0</v>
      </c>
      <c r="E268" s="207">
        <v>44834.72677083334</v>
      </c>
      <c r="F268" s="207">
        <v>44864.626435185186</v>
      </c>
      <c r="G268" s="207">
        <v>44857.61033564815</v>
      </c>
      <c r="H268" s="63" t="s">
        <v>981</v>
      </c>
      <c r="I268" s="205">
        <v>146.5</v>
      </c>
      <c r="J268" s="63" t="s">
        <v>370</v>
      </c>
      <c r="K268" s="205">
        <v>1.6063282E7</v>
      </c>
      <c r="L268" s="208">
        <v>4.91124</v>
      </c>
      <c r="M268" s="208">
        <v>2.38493</v>
      </c>
      <c r="N268" s="208">
        <v>2.31521</v>
      </c>
      <c r="O268" s="209">
        <v>3.5</v>
      </c>
      <c r="P268" s="209">
        <v>8.7</v>
      </c>
      <c r="Q268" s="209">
        <v>8.0</v>
      </c>
      <c r="R268" s="209">
        <v>5.0</v>
      </c>
      <c r="S268" s="210">
        <v>9.606481471564621E-4</v>
      </c>
      <c r="T268" s="63" t="s">
        <v>2086</v>
      </c>
      <c r="U268" s="205">
        <v>4.0</v>
      </c>
      <c r="V268" s="205">
        <v>2.0</v>
      </c>
      <c r="W268" s="63" t="s">
        <v>2087</v>
      </c>
      <c r="X268" s="210">
        <v>9.606481471564621E-4</v>
      </c>
      <c r="Y268" s="63" t="s">
        <v>2247</v>
      </c>
      <c r="Z268" s="63" t="s">
        <v>2248</v>
      </c>
      <c r="AA268" s="205">
        <v>0.0</v>
      </c>
      <c r="AB268" s="63" t="s">
        <v>2090</v>
      </c>
      <c r="AC268" s="205">
        <v>558.0</v>
      </c>
      <c r="AD268" s="208">
        <v>8.22878</v>
      </c>
      <c r="AE268" s="205">
        <v>28477.0</v>
      </c>
      <c r="AF268" s="205">
        <v>2007.0</v>
      </c>
      <c r="AG268" s="205">
        <v>230.0</v>
      </c>
      <c r="AH268" s="205">
        <v>148.0</v>
      </c>
      <c r="AI268" s="205">
        <v>0.0</v>
      </c>
      <c r="AJ268" s="205">
        <v>550.0</v>
      </c>
      <c r="AK268" s="205">
        <v>0.0</v>
      </c>
      <c r="AL268" s="205">
        <v>0.0</v>
      </c>
      <c r="AM268" s="205">
        <v>0.0</v>
      </c>
      <c r="AN268" s="205">
        <v>0.0</v>
      </c>
      <c r="AO268" s="208">
        <v>4.61431</v>
      </c>
      <c r="AP268" s="208">
        <v>5.14459</v>
      </c>
      <c r="AQ268" s="208">
        <v>6.9897</v>
      </c>
      <c r="AR268" s="208">
        <v>3.82653</v>
      </c>
      <c r="AT268" s="192" t="s">
        <v>2249</v>
      </c>
      <c r="AU268" s="211" t="s">
        <v>2250</v>
      </c>
      <c r="AV268" s="211" t="s">
        <v>2091</v>
      </c>
      <c r="AW268" s="211" t="s">
        <v>2092</v>
      </c>
      <c r="AX268" s="211" t="s">
        <v>2249</v>
      </c>
      <c r="AY268" s="212">
        <v>1.75</v>
      </c>
      <c r="AZ268" s="213">
        <v>4.35</v>
      </c>
      <c r="BA268" s="213">
        <v>4.0</v>
      </c>
      <c r="BB268" s="213">
        <v>2.5</v>
      </c>
      <c r="BC268" s="212">
        <v>4.55</v>
      </c>
      <c r="BD268" s="213">
        <v>10.0</v>
      </c>
      <c r="BE268" s="213">
        <v>10.0</v>
      </c>
      <c r="BF268" s="213">
        <v>7.0</v>
      </c>
      <c r="BG268" s="212">
        <v>10.133333333333333</v>
      </c>
      <c r="BH268" s="213">
        <v>9.75</v>
      </c>
      <c r="BI268" s="213">
        <v>6.40432098104308E-4</v>
      </c>
      <c r="BJ268" s="213">
        <v>6.40432098104308E-4</v>
      </c>
      <c r="BK268" s="213">
        <v>219.75</v>
      </c>
      <c r="BL268" s="212">
        <v>6.549999999999999</v>
      </c>
      <c r="BM268" s="213">
        <v>5.375</v>
      </c>
      <c r="BN268" s="213">
        <v>0.001280864196208616</v>
      </c>
      <c r="BO268" s="213">
        <v>0.001280864196208616</v>
      </c>
      <c r="BP268" s="213">
        <v>109.875</v>
      </c>
      <c r="BQ268" s="192"/>
      <c r="BR268" s="192"/>
    </row>
    <row r="269">
      <c r="A269" s="60">
        <v>1838159.0</v>
      </c>
      <c r="B269" s="205">
        <v>2568756.0</v>
      </c>
      <c r="C269" s="205">
        <v>1178471.0</v>
      </c>
      <c r="D269" s="205">
        <v>1.0</v>
      </c>
      <c r="E269" s="207">
        <v>43976.460752314815</v>
      </c>
      <c r="F269" s="207">
        <v>44078.43210648149</v>
      </c>
      <c r="G269" s="207">
        <v>44069.01412037037</v>
      </c>
      <c r="H269" s="63" t="s">
        <v>978</v>
      </c>
      <c r="I269" s="205">
        <v>123.0</v>
      </c>
      <c r="J269" s="63" t="s">
        <v>353</v>
      </c>
      <c r="K269" s="205">
        <v>2233878.0</v>
      </c>
      <c r="L269" s="208">
        <v>4.81073</v>
      </c>
      <c r="M269" s="208">
        <v>2.44809</v>
      </c>
      <c r="N269" s="208">
        <v>2.13143</v>
      </c>
      <c r="O269" s="209">
        <v>3.6</v>
      </c>
      <c r="P269" s="209">
        <v>9.1</v>
      </c>
      <c r="Q269" s="209">
        <v>8.0</v>
      </c>
      <c r="R269" s="209">
        <v>5.0</v>
      </c>
      <c r="S269" s="210">
        <v>0.00251157407546998</v>
      </c>
      <c r="T269" s="63" t="s">
        <v>2251</v>
      </c>
      <c r="U269" s="205">
        <v>4.0</v>
      </c>
      <c r="V269" s="205">
        <v>2.0</v>
      </c>
      <c r="W269" s="63" t="s">
        <v>2252</v>
      </c>
      <c r="X269" s="210">
        <v>0.00251157407546998</v>
      </c>
      <c r="Y269" s="63" t="s">
        <v>2253</v>
      </c>
      <c r="Z269" s="63" t="s">
        <v>2254</v>
      </c>
      <c r="AA269" s="205">
        <v>0.0</v>
      </c>
      <c r="AB269" s="63" t="s">
        <v>2255</v>
      </c>
      <c r="AC269" s="205">
        <v>1825.0</v>
      </c>
      <c r="AD269" s="208">
        <v>9.01104</v>
      </c>
      <c r="AE269" s="205">
        <v>179533.0</v>
      </c>
      <c r="AF269" s="205">
        <v>24211.0</v>
      </c>
      <c r="AG269" s="205">
        <v>330.0</v>
      </c>
      <c r="AH269" s="205">
        <v>528.0</v>
      </c>
      <c r="AI269" s="205">
        <v>5.0</v>
      </c>
      <c r="AJ269" s="205">
        <v>1424.0</v>
      </c>
      <c r="AK269" s="205">
        <v>0.0</v>
      </c>
      <c r="AL269" s="205">
        <v>0.0</v>
      </c>
      <c r="AM269" s="205">
        <v>0.0</v>
      </c>
      <c r="AN269" s="205">
        <v>0.0</v>
      </c>
      <c r="AO269" s="208">
        <v>4.40259</v>
      </c>
      <c r="AP269" s="208">
        <v>5.08051</v>
      </c>
      <c r="AQ269" s="208">
        <v>6.82103</v>
      </c>
      <c r="AR269" s="208">
        <v>3.8158</v>
      </c>
      <c r="AT269" s="192" t="s">
        <v>352</v>
      </c>
      <c r="AU269" s="211" t="s">
        <v>483</v>
      </c>
      <c r="AV269" s="211" t="s">
        <v>2256</v>
      </c>
      <c r="AW269" s="211" t="s">
        <v>2257</v>
      </c>
      <c r="AX269" s="211" t="s">
        <v>352</v>
      </c>
      <c r="AY269" s="212">
        <v>1.8</v>
      </c>
      <c r="AZ269" s="213">
        <v>4.55</v>
      </c>
      <c r="BA269" s="213">
        <v>4.0</v>
      </c>
      <c r="BB269" s="213">
        <v>2.5</v>
      </c>
      <c r="BC269" s="212">
        <v>4.680000000000001</v>
      </c>
      <c r="BD269" s="213">
        <v>10.0</v>
      </c>
      <c r="BE269" s="213">
        <v>10.0</v>
      </c>
      <c r="BF269" s="213">
        <v>7.0</v>
      </c>
      <c r="BG269" s="212">
        <v>10.4</v>
      </c>
      <c r="BH269" s="213">
        <v>9.75</v>
      </c>
      <c r="BI269" s="213">
        <v>0.0016743827169799867</v>
      </c>
      <c r="BJ269" s="213">
        <v>0.0016743827169799867</v>
      </c>
      <c r="BK269" s="213">
        <v>184.5</v>
      </c>
      <c r="BL269" s="212">
        <v>7.15</v>
      </c>
      <c r="BM269" s="213">
        <v>5.375</v>
      </c>
      <c r="BN269" s="213">
        <v>0.0033487654339599735</v>
      </c>
      <c r="BO269" s="213">
        <v>0.0033487654339599735</v>
      </c>
      <c r="BP269" s="213">
        <v>92.25</v>
      </c>
      <c r="BQ269" s="192"/>
      <c r="BR269" s="192"/>
    </row>
    <row r="270">
      <c r="A270" s="60">
        <v>1035068.0</v>
      </c>
      <c r="B270" s="205">
        <v>2568756.0</v>
      </c>
      <c r="C270" s="205">
        <v>1178471.0</v>
      </c>
      <c r="D270" s="205">
        <v>1.0</v>
      </c>
      <c r="E270" s="207">
        <v>43976.460752314815</v>
      </c>
      <c r="F270" s="207">
        <v>44078.43210648149</v>
      </c>
      <c r="G270" s="207">
        <v>44069.01412037037</v>
      </c>
      <c r="H270" s="63" t="s">
        <v>978</v>
      </c>
      <c r="I270" s="205">
        <v>123.0</v>
      </c>
      <c r="J270" s="63" t="s">
        <v>353</v>
      </c>
      <c r="K270" s="205">
        <v>2233878.0</v>
      </c>
      <c r="L270" s="208">
        <v>4.81073</v>
      </c>
      <c r="M270" s="208">
        <v>2.44809</v>
      </c>
      <c r="N270" s="208">
        <v>2.13143</v>
      </c>
      <c r="O270" s="209">
        <v>3.6</v>
      </c>
      <c r="P270" s="209">
        <v>9.1</v>
      </c>
      <c r="Q270" s="209">
        <v>8.0</v>
      </c>
      <c r="R270" s="209">
        <v>5.0</v>
      </c>
      <c r="S270" s="210">
        <v>0.00251157407546998</v>
      </c>
      <c r="T270" s="63" t="s">
        <v>2251</v>
      </c>
      <c r="U270" s="205">
        <v>4.0</v>
      </c>
      <c r="V270" s="205">
        <v>2.0</v>
      </c>
      <c r="W270" s="63" t="s">
        <v>2252</v>
      </c>
      <c r="X270" s="210">
        <v>0.00251157407546998</v>
      </c>
      <c r="Y270" s="63" t="s">
        <v>2253</v>
      </c>
      <c r="Z270" s="63" t="s">
        <v>2254</v>
      </c>
      <c r="AA270" s="205">
        <v>0.0</v>
      </c>
      <c r="AB270" s="63" t="s">
        <v>2255</v>
      </c>
      <c r="AC270" s="205">
        <v>1825.0</v>
      </c>
      <c r="AD270" s="208">
        <v>9.01104</v>
      </c>
      <c r="AE270" s="205">
        <v>179533.0</v>
      </c>
      <c r="AF270" s="205">
        <v>24211.0</v>
      </c>
      <c r="AG270" s="205">
        <v>330.0</v>
      </c>
      <c r="AH270" s="205">
        <v>528.0</v>
      </c>
      <c r="AI270" s="205">
        <v>5.0</v>
      </c>
      <c r="AJ270" s="205">
        <v>1424.0</v>
      </c>
      <c r="AK270" s="205">
        <v>0.0</v>
      </c>
      <c r="AL270" s="205">
        <v>0.0</v>
      </c>
      <c r="AM270" s="205">
        <v>0.0</v>
      </c>
      <c r="AN270" s="205">
        <v>0.0</v>
      </c>
      <c r="AO270" s="208">
        <v>4.40259</v>
      </c>
      <c r="AP270" s="208">
        <v>5.08051</v>
      </c>
      <c r="AQ270" s="208">
        <v>6.82103</v>
      </c>
      <c r="AR270" s="208">
        <v>3.8158</v>
      </c>
      <c r="AT270" s="192" t="s">
        <v>352</v>
      </c>
      <c r="AU270" s="211" t="s">
        <v>483</v>
      </c>
      <c r="AV270" s="211" t="s">
        <v>2256</v>
      </c>
      <c r="AW270" s="211" t="s">
        <v>2257</v>
      </c>
      <c r="AX270" s="211" t="s">
        <v>352</v>
      </c>
      <c r="AY270" s="212">
        <v>1.8</v>
      </c>
      <c r="AZ270" s="213">
        <v>4.55</v>
      </c>
      <c r="BA270" s="213">
        <v>4.0</v>
      </c>
      <c r="BB270" s="213">
        <v>2.5</v>
      </c>
      <c r="BC270" s="212">
        <v>4.680000000000001</v>
      </c>
      <c r="BD270" s="213">
        <v>10.0</v>
      </c>
      <c r="BE270" s="213">
        <v>10.0</v>
      </c>
      <c r="BF270" s="213">
        <v>7.0</v>
      </c>
      <c r="BG270" s="212">
        <v>10.4</v>
      </c>
      <c r="BH270" s="213">
        <v>9.75</v>
      </c>
      <c r="BI270" s="213">
        <v>0.0016743827169799867</v>
      </c>
      <c r="BJ270" s="213">
        <v>0.0016743827169799867</v>
      </c>
      <c r="BK270" s="213">
        <v>184.5</v>
      </c>
      <c r="BL270" s="212">
        <v>7.15</v>
      </c>
      <c r="BM270" s="213">
        <v>5.375</v>
      </c>
      <c r="BN270" s="213">
        <v>0.0033487654339599735</v>
      </c>
      <c r="BO270" s="213">
        <v>0.0033487654339599735</v>
      </c>
      <c r="BP270" s="213">
        <v>92.25</v>
      </c>
      <c r="BQ270" s="192"/>
      <c r="BR270" s="192"/>
    </row>
    <row r="271">
      <c r="A271" s="60">
        <v>1631406.0</v>
      </c>
      <c r="B271" s="205">
        <v>3341368.0</v>
      </c>
      <c r="C271" s="205">
        <v>1441316.0</v>
      </c>
      <c r="D271" s="205">
        <v>-2.0</v>
      </c>
      <c r="E271" s="207">
        <v>44309.97101851852</v>
      </c>
      <c r="F271" s="215"/>
      <c r="G271" s="207">
        <v>44527.120462962965</v>
      </c>
      <c r="H271" s="63" t="s">
        <v>979</v>
      </c>
      <c r="I271" s="205">
        <v>190.0</v>
      </c>
      <c r="J271" s="63" t="s">
        <v>359</v>
      </c>
      <c r="K271" s="205">
        <v>1.3653298E7</v>
      </c>
      <c r="L271" s="208">
        <v>4.59923</v>
      </c>
      <c r="M271" s="208">
        <v>2.36743</v>
      </c>
      <c r="N271" s="208">
        <v>1.99892</v>
      </c>
      <c r="O271" s="209">
        <v>4.0</v>
      </c>
      <c r="P271" s="209">
        <v>9.2</v>
      </c>
      <c r="Q271" s="209">
        <v>7.0</v>
      </c>
      <c r="R271" s="209">
        <v>3.8</v>
      </c>
      <c r="S271" s="210">
        <v>0.0013888888897781726</v>
      </c>
      <c r="U271" s="205">
        <v>10.0</v>
      </c>
      <c r="V271" s="205">
        <v>5.0</v>
      </c>
      <c r="W271" s="63" t="s">
        <v>2258</v>
      </c>
      <c r="X271" s="210">
        <v>0.0014467592591245193</v>
      </c>
      <c r="Y271" s="63" t="s">
        <v>2259</v>
      </c>
      <c r="Z271" s="63" t="s">
        <v>2260</v>
      </c>
      <c r="AA271" s="205">
        <v>0.0</v>
      </c>
      <c r="AC271" s="205">
        <v>11.0</v>
      </c>
      <c r="AD271" s="208">
        <v>0.0</v>
      </c>
      <c r="AE271" s="205">
        <v>195.0</v>
      </c>
      <c r="AF271" s="205">
        <v>83.0</v>
      </c>
      <c r="AG271" s="205">
        <v>174.0</v>
      </c>
      <c r="AH271" s="205">
        <v>335.0</v>
      </c>
      <c r="AI271" s="205">
        <v>1.0</v>
      </c>
      <c r="AJ271" s="205">
        <v>892.0</v>
      </c>
      <c r="AK271" s="205">
        <v>0.0</v>
      </c>
      <c r="AL271" s="205">
        <v>0.0</v>
      </c>
      <c r="AM271" s="205">
        <v>0.0</v>
      </c>
      <c r="AN271" s="205">
        <v>0.0</v>
      </c>
      <c r="AO271" s="208">
        <v>4.12673</v>
      </c>
      <c r="AP271" s="208">
        <v>4.92546</v>
      </c>
      <c r="AQ271" s="208">
        <v>6.62323</v>
      </c>
      <c r="AR271" s="208">
        <v>3.63474</v>
      </c>
      <c r="AT271" s="192" t="s">
        <v>358</v>
      </c>
      <c r="AU271" s="211" t="s">
        <v>484</v>
      </c>
      <c r="AV271" s="211" t="s">
        <v>2261</v>
      </c>
      <c r="AW271" s="211" t="s">
        <v>2262</v>
      </c>
      <c r="AX271" s="211" t="s">
        <v>358</v>
      </c>
      <c r="AY271" s="212">
        <v>2.0</v>
      </c>
      <c r="AZ271" s="213">
        <v>4.6</v>
      </c>
      <c r="BA271" s="213">
        <v>3.5</v>
      </c>
      <c r="BB271" s="213">
        <v>1.9</v>
      </c>
      <c r="BC271" s="212">
        <v>5.2</v>
      </c>
      <c r="BD271" s="213">
        <v>10.0</v>
      </c>
      <c r="BE271" s="213">
        <v>9.799999999999999</v>
      </c>
      <c r="BF271" s="213">
        <v>5.319999999999999</v>
      </c>
      <c r="BG271" s="212">
        <v>10.466666666666667</v>
      </c>
      <c r="BH271" s="213">
        <v>9.083333333333334</v>
      </c>
      <c r="BI271" s="213">
        <v>9.259259265187817E-4</v>
      </c>
      <c r="BJ271" s="213">
        <v>9.645061727496795E-4</v>
      </c>
      <c r="BK271" s="213">
        <v>285.0</v>
      </c>
      <c r="BL271" s="212">
        <v>7.299999999999999</v>
      </c>
      <c r="BM271" s="213">
        <v>3.875</v>
      </c>
      <c r="BN271" s="213">
        <v>0.0018518518530375634</v>
      </c>
      <c r="BO271" s="213">
        <v>0.001929012345499359</v>
      </c>
      <c r="BP271" s="213">
        <v>142.5</v>
      </c>
      <c r="BQ271" s="192"/>
      <c r="BR271" s="192"/>
    </row>
    <row r="272">
      <c r="A272" s="60">
        <v>824390.0</v>
      </c>
      <c r="B272" s="205">
        <v>3341368.0</v>
      </c>
      <c r="C272" s="205">
        <v>1441316.0</v>
      </c>
      <c r="D272" s="205">
        <v>-2.0</v>
      </c>
      <c r="E272" s="207">
        <v>44309.97101851852</v>
      </c>
      <c r="F272" s="215"/>
      <c r="G272" s="207">
        <v>44527.120462962965</v>
      </c>
      <c r="H272" s="63" t="s">
        <v>979</v>
      </c>
      <c r="I272" s="205">
        <v>190.0</v>
      </c>
      <c r="J272" s="63" t="s">
        <v>359</v>
      </c>
      <c r="K272" s="205">
        <v>1.3653298E7</v>
      </c>
      <c r="L272" s="208">
        <v>4.59923</v>
      </c>
      <c r="M272" s="208">
        <v>2.36743</v>
      </c>
      <c r="N272" s="208">
        <v>1.99892</v>
      </c>
      <c r="O272" s="209">
        <v>4.0</v>
      </c>
      <c r="P272" s="209">
        <v>9.2</v>
      </c>
      <c r="Q272" s="209">
        <v>7.0</v>
      </c>
      <c r="R272" s="209">
        <v>3.8</v>
      </c>
      <c r="S272" s="210">
        <v>0.0013888888897781726</v>
      </c>
      <c r="U272" s="205">
        <v>10.0</v>
      </c>
      <c r="V272" s="205">
        <v>5.0</v>
      </c>
      <c r="W272" s="63" t="s">
        <v>2258</v>
      </c>
      <c r="X272" s="210">
        <v>0.0014467592591245193</v>
      </c>
      <c r="Y272" s="63" t="s">
        <v>2259</v>
      </c>
      <c r="Z272" s="63" t="s">
        <v>2260</v>
      </c>
      <c r="AA272" s="205">
        <v>0.0</v>
      </c>
      <c r="AC272" s="205">
        <v>11.0</v>
      </c>
      <c r="AD272" s="208">
        <v>0.0</v>
      </c>
      <c r="AE272" s="205">
        <v>195.0</v>
      </c>
      <c r="AF272" s="205">
        <v>83.0</v>
      </c>
      <c r="AG272" s="205">
        <v>174.0</v>
      </c>
      <c r="AH272" s="205">
        <v>335.0</v>
      </c>
      <c r="AI272" s="205">
        <v>1.0</v>
      </c>
      <c r="AJ272" s="205">
        <v>892.0</v>
      </c>
      <c r="AK272" s="205">
        <v>0.0</v>
      </c>
      <c r="AL272" s="205">
        <v>0.0</v>
      </c>
      <c r="AM272" s="205">
        <v>0.0</v>
      </c>
      <c r="AN272" s="205">
        <v>0.0</v>
      </c>
      <c r="AO272" s="208">
        <v>4.12673</v>
      </c>
      <c r="AP272" s="208">
        <v>4.92546</v>
      </c>
      <c r="AQ272" s="208">
        <v>6.62323</v>
      </c>
      <c r="AR272" s="208">
        <v>3.63474</v>
      </c>
      <c r="AT272" s="192" t="s">
        <v>358</v>
      </c>
      <c r="AU272" s="211" t="s">
        <v>484</v>
      </c>
      <c r="AV272" s="211" t="s">
        <v>2261</v>
      </c>
      <c r="AW272" s="211" t="s">
        <v>2262</v>
      </c>
      <c r="AX272" s="211" t="s">
        <v>358</v>
      </c>
      <c r="AY272" s="212">
        <v>2.0</v>
      </c>
      <c r="AZ272" s="213">
        <v>4.6</v>
      </c>
      <c r="BA272" s="213">
        <v>3.5</v>
      </c>
      <c r="BB272" s="213">
        <v>1.9</v>
      </c>
      <c r="BC272" s="212">
        <v>5.2</v>
      </c>
      <c r="BD272" s="213">
        <v>10.0</v>
      </c>
      <c r="BE272" s="213">
        <v>9.799999999999999</v>
      </c>
      <c r="BF272" s="213">
        <v>5.319999999999999</v>
      </c>
      <c r="BG272" s="212">
        <v>10.466666666666667</v>
      </c>
      <c r="BH272" s="213">
        <v>9.083333333333334</v>
      </c>
      <c r="BI272" s="213">
        <v>9.259259265187817E-4</v>
      </c>
      <c r="BJ272" s="213">
        <v>9.645061727496795E-4</v>
      </c>
      <c r="BK272" s="213">
        <v>285.0</v>
      </c>
      <c r="BL272" s="212">
        <v>7.299999999999999</v>
      </c>
      <c r="BM272" s="213">
        <v>3.875</v>
      </c>
      <c r="BN272" s="213">
        <v>0.0018518518530375634</v>
      </c>
      <c r="BO272" s="213">
        <v>0.001929012345499359</v>
      </c>
      <c r="BP272" s="213">
        <v>142.5</v>
      </c>
      <c r="BQ272" s="192"/>
      <c r="BR272" s="192"/>
    </row>
    <row r="273">
      <c r="A273" s="60">
        <v>2961839.0</v>
      </c>
      <c r="B273" s="205">
        <v>3274886.0</v>
      </c>
      <c r="C273" s="205">
        <v>1598238.0</v>
      </c>
      <c r="D273" s="205">
        <v>1.0</v>
      </c>
      <c r="E273" s="207">
        <v>44478.9711574074</v>
      </c>
      <c r="F273" s="207">
        <v>44582.228009259255</v>
      </c>
      <c r="G273" s="207">
        <v>44570.861562499995</v>
      </c>
      <c r="H273" s="63" t="s">
        <v>989</v>
      </c>
      <c r="I273" s="205">
        <v>169.0</v>
      </c>
      <c r="J273" s="63" t="s">
        <v>424</v>
      </c>
      <c r="K273" s="205">
        <v>1.0261883E7</v>
      </c>
      <c r="L273" s="208">
        <v>4.70593</v>
      </c>
      <c r="M273" s="208">
        <v>2.34918</v>
      </c>
      <c r="N273" s="208">
        <v>2.14471</v>
      </c>
      <c r="O273" s="209">
        <v>4.2</v>
      </c>
      <c r="P273" s="209">
        <v>8.7</v>
      </c>
      <c r="Q273" s="209">
        <v>8.2</v>
      </c>
      <c r="R273" s="209">
        <v>5.0</v>
      </c>
      <c r="S273" s="210">
        <v>0.0021874999983992893</v>
      </c>
      <c r="U273" s="205">
        <v>4.0</v>
      </c>
      <c r="V273" s="205">
        <v>2.0</v>
      </c>
      <c r="W273" s="63" t="s">
        <v>2263</v>
      </c>
      <c r="X273" s="210">
        <v>0.0024305555562023073</v>
      </c>
      <c r="Y273" s="63" t="s">
        <v>1116</v>
      </c>
      <c r="Z273" s="63" t="s">
        <v>2264</v>
      </c>
      <c r="AA273" s="205">
        <v>0.0</v>
      </c>
      <c r="AB273" s="63" t="s">
        <v>2265</v>
      </c>
      <c r="AC273" s="205">
        <v>214.0</v>
      </c>
      <c r="AD273" s="208">
        <v>9.06306</v>
      </c>
      <c r="AE273" s="205">
        <v>26650.0</v>
      </c>
      <c r="AF273" s="205">
        <v>1788.0</v>
      </c>
      <c r="AG273" s="205">
        <v>496.0</v>
      </c>
      <c r="AH273" s="205">
        <v>277.0</v>
      </c>
      <c r="AI273" s="205">
        <v>1.0</v>
      </c>
      <c r="AJ273" s="205">
        <v>1084.0</v>
      </c>
      <c r="AK273" s="205">
        <v>0.0</v>
      </c>
      <c r="AL273" s="205">
        <v>0.0</v>
      </c>
      <c r="AM273" s="205">
        <v>0.0</v>
      </c>
      <c r="AN273" s="205">
        <v>0.0</v>
      </c>
      <c r="AO273" s="208">
        <v>4.30229</v>
      </c>
      <c r="AP273" s="208">
        <v>5.03319</v>
      </c>
      <c r="AQ273" s="208">
        <v>6.62253</v>
      </c>
      <c r="AR273" s="208">
        <v>3.76782</v>
      </c>
      <c r="AT273" s="192" t="s">
        <v>423</v>
      </c>
      <c r="AU273" s="211" t="s">
        <v>485</v>
      </c>
      <c r="AV273" s="211" t="s">
        <v>2266</v>
      </c>
      <c r="AW273" s="211" t="s">
        <v>2267</v>
      </c>
      <c r="AX273" s="211" t="s">
        <v>423</v>
      </c>
      <c r="AY273" s="212">
        <v>2.1</v>
      </c>
      <c r="AZ273" s="213">
        <v>4.35</v>
      </c>
      <c r="BA273" s="213">
        <v>4.1</v>
      </c>
      <c r="BB273" s="213">
        <v>2.5</v>
      </c>
      <c r="BC273" s="212">
        <v>5.460000000000001</v>
      </c>
      <c r="BD273" s="213">
        <v>10.0</v>
      </c>
      <c r="BE273" s="213">
        <v>10.0</v>
      </c>
      <c r="BF273" s="213">
        <v>7.0</v>
      </c>
      <c r="BG273" s="212">
        <v>10.133333333333333</v>
      </c>
      <c r="BH273" s="213">
        <v>9.883333333333333</v>
      </c>
      <c r="BI273" s="213">
        <v>0.0014583333322661929</v>
      </c>
      <c r="BJ273" s="213">
        <v>0.0016203703708015382</v>
      </c>
      <c r="BK273" s="213">
        <v>253.5</v>
      </c>
      <c r="BL273" s="212">
        <v>6.549999999999999</v>
      </c>
      <c r="BM273" s="213">
        <v>5.675</v>
      </c>
      <c r="BN273" s="213">
        <v>0.0029166666645323858</v>
      </c>
      <c r="BO273" s="213">
        <v>0.0032407407416030765</v>
      </c>
      <c r="BP273" s="213">
        <v>126.75</v>
      </c>
      <c r="BQ273" s="192"/>
      <c r="BR273" s="192"/>
    </row>
    <row r="274">
      <c r="A274" s="60">
        <v>577517.0</v>
      </c>
      <c r="B274" s="205">
        <v>3656173.0</v>
      </c>
      <c r="C274" s="205">
        <v>1785134.0</v>
      </c>
      <c r="D274" s="205">
        <v>-2.0</v>
      </c>
      <c r="E274" s="207">
        <v>44725.74969907408</v>
      </c>
      <c r="F274" s="215"/>
      <c r="G274" s="207">
        <v>44725.749814814815</v>
      </c>
      <c r="H274" s="63" t="s">
        <v>993</v>
      </c>
      <c r="I274" s="205">
        <v>172.0</v>
      </c>
      <c r="J274" s="63" t="s">
        <v>364</v>
      </c>
      <c r="K274" s="205">
        <v>1.0660777E7</v>
      </c>
      <c r="L274" s="208">
        <v>5.19532</v>
      </c>
      <c r="M274" s="208">
        <v>2.19398</v>
      </c>
      <c r="N274" s="208">
        <v>2.71521</v>
      </c>
      <c r="O274" s="209">
        <v>4.0</v>
      </c>
      <c r="P274" s="209">
        <v>9.1</v>
      </c>
      <c r="Q274" s="209">
        <v>8.0</v>
      </c>
      <c r="R274" s="209">
        <v>5.0</v>
      </c>
      <c r="S274" s="210">
        <v>0.001574074074596865</v>
      </c>
      <c r="U274" s="205">
        <v>10.0</v>
      </c>
      <c r="V274" s="205">
        <v>2.0</v>
      </c>
      <c r="W274" s="63" t="s">
        <v>2268</v>
      </c>
      <c r="X274" s="210">
        <v>0.0018055555556202307</v>
      </c>
      <c r="Y274" s="63" t="s">
        <v>1116</v>
      </c>
      <c r="Z274" s="63" t="s">
        <v>2269</v>
      </c>
      <c r="AA274" s="205">
        <v>0.0</v>
      </c>
      <c r="AB274" s="63" t="s">
        <v>2270</v>
      </c>
      <c r="AC274" s="205">
        <v>7.0</v>
      </c>
      <c r="AD274" s="208">
        <v>0.0</v>
      </c>
      <c r="AE274" s="205">
        <v>8947.0</v>
      </c>
      <c r="AF274" s="205">
        <v>2963.0</v>
      </c>
      <c r="AG274" s="205">
        <v>613.0</v>
      </c>
      <c r="AH274" s="205">
        <v>227.0</v>
      </c>
      <c r="AI274" s="205">
        <v>0.0</v>
      </c>
      <c r="AJ274" s="205">
        <v>1205.0</v>
      </c>
      <c r="AK274" s="205">
        <v>0.0</v>
      </c>
      <c r="AL274" s="205">
        <v>0.0</v>
      </c>
      <c r="AM274" s="205">
        <v>0.0</v>
      </c>
      <c r="AN274" s="205">
        <v>0.0</v>
      </c>
      <c r="AO274" s="208">
        <v>4.83749</v>
      </c>
      <c r="AP274" s="208">
        <v>5.38776</v>
      </c>
      <c r="AQ274" s="208">
        <v>7.70053</v>
      </c>
      <c r="AR274" s="208">
        <v>4.05852</v>
      </c>
      <c r="AT274" s="192" t="s">
        <v>496</v>
      </c>
      <c r="AU274" s="211" t="s">
        <v>518</v>
      </c>
      <c r="AV274" s="211" t="s">
        <v>2271</v>
      </c>
      <c r="AW274" s="211" t="s">
        <v>2272</v>
      </c>
      <c r="AX274" s="211" t="s">
        <v>496</v>
      </c>
      <c r="AY274" s="212">
        <v>2.0</v>
      </c>
      <c r="AZ274" s="213">
        <v>4.55</v>
      </c>
      <c r="BA274" s="213">
        <v>4.0</v>
      </c>
      <c r="BB274" s="213">
        <v>2.5</v>
      </c>
      <c r="BC274" s="212">
        <v>5.2</v>
      </c>
      <c r="BD274" s="213">
        <v>10.0</v>
      </c>
      <c r="BE274" s="213">
        <v>10.0</v>
      </c>
      <c r="BF274" s="213">
        <v>7.0</v>
      </c>
      <c r="BG274" s="212">
        <v>10.4</v>
      </c>
      <c r="BH274" s="213">
        <v>9.75</v>
      </c>
      <c r="BI274" s="213">
        <v>0.0010493827163979101</v>
      </c>
      <c r="BJ274" s="213">
        <v>0.0012037037037468206</v>
      </c>
      <c r="BK274" s="213">
        <v>258.0</v>
      </c>
      <c r="BL274" s="212">
        <v>7.15</v>
      </c>
      <c r="BM274" s="213">
        <v>5.375</v>
      </c>
      <c r="BN274" s="213">
        <v>0.0020987654327958203</v>
      </c>
      <c r="BO274" s="213">
        <v>0.002407407407493641</v>
      </c>
      <c r="BP274" s="213">
        <v>129.0</v>
      </c>
      <c r="BQ274" s="192"/>
      <c r="BR274" s="192"/>
    </row>
    <row r="275">
      <c r="A275" s="60">
        <v>2111279.0</v>
      </c>
      <c r="B275" s="205">
        <v>3656173.0</v>
      </c>
      <c r="C275" s="205">
        <v>1785134.0</v>
      </c>
      <c r="D275" s="205">
        <v>-2.0</v>
      </c>
      <c r="E275" s="207">
        <v>44725.74969907408</v>
      </c>
      <c r="F275" s="215"/>
      <c r="G275" s="207">
        <v>44725.749814814815</v>
      </c>
      <c r="H275" s="63" t="s">
        <v>993</v>
      </c>
      <c r="I275" s="205">
        <v>172.0</v>
      </c>
      <c r="J275" s="63" t="s">
        <v>364</v>
      </c>
      <c r="K275" s="205">
        <v>1.0660777E7</v>
      </c>
      <c r="L275" s="208">
        <v>5.19532</v>
      </c>
      <c r="M275" s="208">
        <v>2.19398</v>
      </c>
      <c r="N275" s="208">
        <v>2.71521</v>
      </c>
      <c r="O275" s="209">
        <v>4.0</v>
      </c>
      <c r="P275" s="209">
        <v>9.1</v>
      </c>
      <c r="Q275" s="209">
        <v>8.0</v>
      </c>
      <c r="R275" s="209">
        <v>5.0</v>
      </c>
      <c r="S275" s="210">
        <v>0.001574074074596865</v>
      </c>
      <c r="U275" s="205">
        <v>10.0</v>
      </c>
      <c r="V275" s="205">
        <v>2.0</v>
      </c>
      <c r="W275" s="63" t="s">
        <v>2268</v>
      </c>
      <c r="X275" s="210">
        <v>0.0018055555556202307</v>
      </c>
      <c r="Y275" s="63" t="s">
        <v>1116</v>
      </c>
      <c r="Z275" s="63" t="s">
        <v>2269</v>
      </c>
      <c r="AA275" s="205">
        <v>0.0</v>
      </c>
      <c r="AB275" s="63" t="s">
        <v>2270</v>
      </c>
      <c r="AC275" s="205">
        <v>7.0</v>
      </c>
      <c r="AD275" s="208">
        <v>0.0</v>
      </c>
      <c r="AE275" s="205">
        <v>8947.0</v>
      </c>
      <c r="AF275" s="205">
        <v>2963.0</v>
      </c>
      <c r="AG275" s="205">
        <v>613.0</v>
      </c>
      <c r="AH275" s="205">
        <v>227.0</v>
      </c>
      <c r="AI275" s="205">
        <v>0.0</v>
      </c>
      <c r="AJ275" s="205">
        <v>1205.0</v>
      </c>
      <c r="AK275" s="205">
        <v>0.0</v>
      </c>
      <c r="AL275" s="205">
        <v>0.0</v>
      </c>
      <c r="AM275" s="205">
        <v>0.0</v>
      </c>
      <c r="AN275" s="205">
        <v>0.0</v>
      </c>
      <c r="AO275" s="208">
        <v>4.83749</v>
      </c>
      <c r="AP275" s="208">
        <v>5.38776</v>
      </c>
      <c r="AQ275" s="208">
        <v>7.70053</v>
      </c>
      <c r="AR275" s="208">
        <v>4.05852</v>
      </c>
      <c r="AT275" s="192" t="s">
        <v>496</v>
      </c>
      <c r="AU275" s="211" t="s">
        <v>518</v>
      </c>
      <c r="AV275" s="211" t="s">
        <v>2271</v>
      </c>
      <c r="AW275" s="211" t="s">
        <v>2272</v>
      </c>
      <c r="AX275" s="211" t="s">
        <v>496</v>
      </c>
      <c r="AY275" s="212">
        <v>2.0</v>
      </c>
      <c r="AZ275" s="213">
        <v>4.55</v>
      </c>
      <c r="BA275" s="213">
        <v>4.0</v>
      </c>
      <c r="BB275" s="213">
        <v>2.5</v>
      </c>
      <c r="BC275" s="212">
        <v>5.2</v>
      </c>
      <c r="BD275" s="213">
        <v>10.0</v>
      </c>
      <c r="BE275" s="213">
        <v>10.0</v>
      </c>
      <c r="BF275" s="213">
        <v>7.0</v>
      </c>
      <c r="BG275" s="212">
        <v>10.4</v>
      </c>
      <c r="BH275" s="213">
        <v>9.75</v>
      </c>
      <c r="BI275" s="213">
        <v>0.0010493827163979101</v>
      </c>
      <c r="BJ275" s="213">
        <v>0.0012037037037468206</v>
      </c>
      <c r="BK275" s="213">
        <v>258.0</v>
      </c>
      <c r="BL275" s="212">
        <v>7.15</v>
      </c>
      <c r="BM275" s="213">
        <v>5.375</v>
      </c>
      <c r="BN275" s="213">
        <v>0.0020987654327958203</v>
      </c>
      <c r="BO275" s="213">
        <v>0.002407407407493641</v>
      </c>
      <c r="BP275" s="213">
        <v>129.0</v>
      </c>
      <c r="BQ275" s="192"/>
      <c r="BR275" s="192"/>
    </row>
    <row r="276">
      <c r="A276" s="60">
        <v>1737928.0</v>
      </c>
      <c r="B276" s="205">
        <v>2751338.0</v>
      </c>
      <c r="C276" s="205">
        <v>1328138.0</v>
      </c>
      <c r="D276" s="205">
        <v>1.0</v>
      </c>
      <c r="E276" s="207">
        <v>44185.689039351855</v>
      </c>
      <c r="F276" s="207">
        <v>44305.73982638889</v>
      </c>
      <c r="G276" s="207">
        <v>44290.68543981481</v>
      </c>
      <c r="H276" s="63" t="s">
        <v>1014</v>
      </c>
      <c r="I276" s="205">
        <v>80.0</v>
      </c>
      <c r="J276" s="63" t="s">
        <v>635</v>
      </c>
      <c r="K276" s="205">
        <v>9327302.0</v>
      </c>
      <c r="L276" s="208">
        <v>5.25951</v>
      </c>
      <c r="M276" s="208">
        <v>2.628</v>
      </c>
      <c r="N276" s="208">
        <v>2.39396</v>
      </c>
      <c r="O276" s="209">
        <v>4.2</v>
      </c>
      <c r="P276" s="209">
        <v>9.2</v>
      </c>
      <c r="Q276" s="209">
        <v>8.7</v>
      </c>
      <c r="R276" s="209">
        <v>5.4</v>
      </c>
      <c r="S276" s="210">
        <v>0.001527777778392192</v>
      </c>
      <c r="U276" s="205">
        <v>9.0</v>
      </c>
      <c r="V276" s="205">
        <v>3.0</v>
      </c>
      <c r="W276" s="63" t="s">
        <v>2273</v>
      </c>
      <c r="X276" s="210">
        <v>0.0016898148132895585</v>
      </c>
      <c r="Y276" s="63" t="s">
        <v>2274</v>
      </c>
      <c r="Z276" s="63" t="s">
        <v>2275</v>
      </c>
      <c r="AA276" s="205">
        <v>0.0</v>
      </c>
      <c r="AB276" s="63" t="s">
        <v>2276</v>
      </c>
      <c r="AC276" s="205">
        <v>711.0</v>
      </c>
      <c r="AD276" s="208">
        <v>9.38772</v>
      </c>
      <c r="AE276" s="205">
        <v>149257.0</v>
      </c>
      <c r="AF276" s="205">
        <v>12336.0</v>
      </c>
      <c r="AG276" s="205">
        <v>465.0</v>
      </c>
      <c r="AH276" s="205">
        <v>196.0</v>
      </c>
      <c r="AI276" s="205">
        <v>0.0</v>
      </c>
      <c r="AJ276" s="205">
        <v>881.0</v>
      </c>
      <c r="AK276" s="205">
        <v>0.0</v>
      </c>
      <c r="AL276" s="205">
        <v>0.0</v>
      </c>
      <c r="AM276" s="205">
        <v>0.0</v>
      </c>
      <c r="AN276" s="205">
        <v>0.0</v>
      </c>
      <c r="AO276" s="208">
        <v>4.67693</v>
      </c>
      <c r="AP276" s="208">
        <v>5.68585</v>
      </c>
      <c r="AQ276" s="208">
        <v>7.45833</v>
      </c>
      <c r="AR276" s="208">
        <v>4.13448</v>
      </c>
      <c r="AT276" s="192" t="s">
        <v>598</v>
      </c>
      <c r="AU276" s="211" t="s">
        <v>597</v>
      </c>
      <c r="AV276" s="211" t="s">
        <v>2277</v>
      </c>
      <c r="AW276" s="211" t="s">
        <v>2278</v>
      </c>
      <c r="AX276" s="211" t="s">
        <v>598</v>
      </c>
      <c r="AY276" s="212">
        <v>2.1</v>
      </c>
      <c r="AZ276" s="213">
        <v>4.6</v>
      </c>
      <c r="BA276" s="213">
        <v>4.35</v>
      </c>
      <c r="BB276" s="213">
        <v>2.7</v>
      </c>
      <c r="BC276" s="212">
        <v>5.460000000000001</v>
      </c>
      <c r="BD276" s="213">
        <v>10.0</v>
      </c>
      <c r="BE276" s="213">
        <v>10.0</v>
      </c>
      <c r="BF276" s="213">
        <v>7.56</v>
      </c>
      <c r="BG276" s="212">
        <v>10.466666666666667</v>
      </c>
      <c r="BH276" s="213">
        <v>10.216666666666667</v>
      </c>
      <c r="BI276" s="213">
        <v>0.001018518518928128</v>
      </c>
      <c r="BJ276" s="213">
        <v>0.0011265432088597056</v>
      </c>
      <c r="BK276" s="213">
        <v>120.0</v>
      </c>
      <c r="BL276" s="212">
        <v>7.299999999999999</v>
      </c>
      <c r="BM276" s="213">
        <v>6.425</v>
      </c>
      <c r="BN276" s="213">
        <v>0.002037037037856256</v>
      </c>
      <c r="BO276" s="213">
        <v>0.002253086417719411</v>
      </c>
      <c r="BP276" s="213">
        <v>60.0</v>
      </c>
      <c r="BQ276" s="192"/>
      <c r="BR276" s="192"/>
    </row>
    <row r="277">
      <c r="A277" s="60">
        <v>2568756.0</v>
      </c>
      <c r="B277" s="205">
        <v>2751338.0</v>
      </c>
      <c r="C277" s="205">
        <v>1328138.0</v>
      </c>
      <c r="D277" s="205">
        <v>1.0</v>
      </c>
      <c r="E277" s="207">
        <v>44185.689039351855</v>
      </c>
      <c r="F277" s="207">
        <v>44305.73982638889</v>
      </c>
      <c r="G277" s="207">
        <v>44290.68543981481</v>
      </c>
      <c r="H277" s="63" t="s">
        <v>1014</v>
      </c>
      <c r="I277" s="205">
        <v>80.0</v>
      </c>
      <c r="J277" s="63" t="s">
        <v>635</v>
      </c>
      <c r="K277" s="205">
        <v>9327302.0</v>
      </c>
      <c r="L277" s="208">
        <v>5.25951</v>
      </c>
      <c r="M277" s="208">
        <v>2.628</v>
      </c>
      <c r="N277" s="208">
        <v>2.39396</v>
      </c>
      <c r="O277" s="209">
        <v>4.2</v>
      </c>
      <c r="P277" s="209">
        <v>9.2</v>
      </c>
      <c r="Q277" s="209">
        <v>8.7</v>
      </c>
      <c r="R277" s="209">
        <v>5.4</v>
      </c>
      <c r="S277" s="210">
        <v>0.001527777778392192</v>
      </c>
      <c r="U277" s="205">
        <v>9.0</v>
      </c>
      <c r="V277" s="205">
        <v>3.0</v>
      </c>
      <c r="W277" s="63" t="s">
        <v>2273</v>
      </c>
      <c r="X277" s="210">
        <v>0.0016898148132895585</v>
      </c>
      <c r="Y277" s="63" t="s">
        <v>2274</v>
      </c>
      <c r="Z277" s="63" t="s">
        <v>2275</v>
      </c>
      <c r="AA277" s="205">
        <v>0.0</v>
      </c>
      <c r="AB277" s="63" t="s">
        <v>2276</v>
      </c>
      <c r="AC277" s="205">
        <v>711.0</v>
      </c>
      <c r="AD277" s="208">
        <v>9.38772</v>
      </c>
      <c r="AE277" s="205">
        <v>149257.0</v>
      </c>
      <c r="AF277" s="205">
        <v>12336.0</v>
      </c>
      <c r="AG277" s="205">
        <v>465.0</v>
      </c>
      <c r="AH277" s="205">
        <v>196.0</v>
      </c>
      <c r="AI277" s="205">
        <v>0.0</v>
      </c>
      <c r="AJ277" s="205">
        <v>881.0</v>
      </c>
      <c r="AK277" s="205">
        <v>0.0</v>
      </c>
      <c r="AL277" s="205">
        <v>0.0</v>
      </c>
      <c r="AM277" s="205">
        <v>0.0</v>
      </c>
      <c r="AN277" s="205">
        <v>0.0</v>
      </c>
      <c r="AO277" s="208">
        <v>4.67693</v>
      </c>
      <c r="AP277" s="208">
        <v>5.68585</v>
      </c>
      <c r="AQ277" s="208">
        <v>7.45833</v>
      </c>
      <c r="AR277" s="208">
        <v>4.13448</v>
      </c>
      <c r="AT277" s="192" t="s">
        <v>598</v>
      </c>
      <c r="AU277" s="211" t="s">
        <v>597</v>
      </c>
      <c r="AV277" s="211" t="s">
        <v>2277</v>
      </c>
      <c r="AW277" s="211" t="s">
        <v>2278</v>
      </c>
      <c r="AX277" s="211" t="s">
        <v>598</v>
      </c>
      <c r="AY277" s="212">
        <v>2.1</v>
      </c>
      <c r="AZ277" s="213">
        <v>4.6</v>
      </c>
      <c r="BA277" s="213">
        <v>4.35</v>
      </c>
      <c r="BB277" s="213">
        <v>2.7</v>
      </c>
      <c r="BC277" s="212">
        <v>5.460000000000001</v>
      </c>
      <c r="BD277" s="213">
        <v>10.0</v>
      </c>
      <c r="BE277" s="213">
        <v>10.0</v>
      </c>
      <c r="BF277" s="213">
        <v>7.56</v>
      </c>
      <c r="BG277" s="212">
        <v>10.466666666666667</v>
      </c>
      <c r="BH277" s="213">
        <v>10.216666666666667</v>
      </c>
      <c r="BI277" s="213">
        <v>0.001018518518928128</v>
      </c>
      <c r="BJ277" s="213">
        <v>0.0011265432088597056</v>
      </c>
      <c r="BK277" s="213">
        <v>120.0</v>
      </c>
      <c r="BL277" s="212">
        <v>7.299999999999999</v>
      </c>
      <c r="BM277" s="213">
        <v>6.425</v>
      </c>
      <c r="BN277" s="213">
        <v>0.002037037037856256</v>
      </c>
      <c r="BO277" s="213">
        <v>0.002253086417719411</v>
      </c>
      <c r="BP277" s="213">
        <v>60.0</v>
      </c>
      <c r="BQ277" s="192"/>
      <c r="BR277" s="192"/>
    </row>
    <row r="278">
      <c r="A278" s="60">
        <v>2417645.0</v>
      </c>
      <c r="B278" s="205">
        <v>2992124.0</v>
      </c>
      <c r="C278" s="205">
        <v>1436167.0</v>
      </c>
      <c r="D278" s="205">
        <v>1.0</v>
      </c>
      <c r="E278" s="207">
        <v>44304.6309375</v>
      </c>
      <c r="F278" s="207">
        <v>44630.55923611111</v>
      </c>
      <c r="G278" s="207">
        <v>44604.14710648148</v>
      </c>
      <c r="H278" s="63" t="s">
        <v>2279</v>
      </c>
      <c r="I278" s="205">
        <v>174.0</v>
      </c>
      <c r="J278" s="63" t="s">
        <v>2280</v>
      </c>
      <c r="K278" s="205">
        <v>1477258.0</v>
      </c>
      <c r="L278" s="208">
        <v>5.35573</v>
      </c>
      <c r="M278" s="208">
        <v>2.73298</v>
      </c>
      <c r="N278" s="208">
        <v>2.36243</v>
      </c>
      <c r="O278" s="209">
        <v>4.0</v>
      </c>
      <c r="P278" s="209">
        <v>9.0</v>
      </c>
      <c r="Q278" s="209">
        <v>7.0</v>
      </c>
      <c r="R278" s="209">
        <v>5.0</v>
      </c>
      <c r="S278" s="210">
        <v>0.0028703703719656914</v>
      </c>
      <c r="U278" s="205">
        <v>10.0</v>
      </c>
      <c r="V278" s="205">
        <v>3.0</v>
      </c>
      <c r="W278" s="63" t="s">
        <v>2281</v>
      </c>
      <c r="X278" s="210">
        <v>0.002928240741312038</v>
      </c>
      <c r="Y278" s="63" t="s">
        <v>2282</v>
      </c>
      <c r="Z278" s="63" t="s">
        <v>2283</v>
      </c>
      <c r="AA278" s="205">
        <v>0.0</v>
      </c>
      <c r="AB278" s="63" t="s">
        <v>2284</v>
      </c>
      <c r="AC278" s="205">
        <v>282.0</v>
      </c>
      <c r="AD278" s="208">
        <v>9.71311</v>
      </c>
      <c r="AE278" s="205">
        <v>75466.0</v>
      </c>
      <c r="AF278" s="205">
        <v>10852.0</v>
      </c>
      <c r="AG278" s="205">
        <v>646.0</v>
      </c>
      <c r="AH278" s="205">
        <v>447.0</v>
      </c>
      <c r="AI278" s="205">
        <v>1.0</v>
      </c>
      <c r="AJ278" s="205">
        <v>1646.0</v>
      </c>
      <c r="AK278" s="205">
        <v>0.0</v>
      </c>
      <c r="AL278" s="205">
        <v>0.0</v>
      </c>
      <c r="AM278" s="205">
        <v>0.0</v>
      </c>
      <c r="AN278" s="205">
        <v>0.0</v>
      </c>
      <c r="AO278" s="208">
        <v>4.93378</v>
      </c>
      <c r="AP278" s="208">
        <v>5.64704</v>
      </c>
      <c r="AQ278" s="208">
        <v>7.58397</v>
      </c>
      <c r="AR278" s="208">
        <v>4.24359</v>
      </c>
      <c r="AT278" s="192" t="s">
        <v>523</v>
      </c>
      <c r="AU278" s="211" t="s">
        <v>522</v>
      </c>
      <c r="AV278" s="211" t="s">
        <v>2285</v>
      </c>
      <c r="AW278" s="211" t="s">
        <v>2286</v>
      </c>
      <c r="AX278" s="211" t="s">
        <v>523</v>
      </c>
      <c r="AY278" s="212">
        <v>2.0</v>
      </c>
      <c r="AZ278" s="213">
        <v>4.5</v>
      </c>
      <c r="BA278" s="213">
        <v>3.5</v>
      </c>
      <c r="BB278" s="213">
        <v>2.5</v>
      </c>
      <c r="BC278" s="212">
        <v>5.2</v>
      </c>
      <c r="BD278" s="213">
        <v>10.0</v>
      </c>
      <c r="BE278" s="213">
        <v>9.799999999999999</v>
      </c>
      <c r="BF278" s="213">
        <v>7.0</v>
      </c>
      <c r="BG278" s="212">
        <v>10.333333333333332</v>
      </c>
      <c r="BH278" s="213">
        <v>9.083333333333334</v>
      </c>
      <c r="BI278" s="213">
        <v>0.0019135802479771276</v>
      </c>
      <c r="BJ278" s="213">
        <v>0.0019521604942080255</v>
      </c>
      <c r="BK278" s="213">
        <v>261.0</v>
      </c>
      <c r="BL278" s="212">
        <v>7.0</v>
      </c>
      <c r="BM278" s="213">
        <v>3.875</v>
      </c>
      <c r="BN278" s="213">
        <v>0.003827160495954255</v>
      </c>
      <c r="BO278" s="213">
        <v>0.003904320988416051</v>
      </c>
      <c r="BP278" s="213">
        <v>130.5</v>
      </c>
      <c r="BQ278" s="192"/>
      <c r="BR278" s="192"/>
    </row>
    <row r="279">
      <c r="A279" s="60">
        <v>2577703.0</v>
      </c>
      <c r="B279" s="205">
        <v>3986899.0</v>
      </c>
      <c r="C279" s="205">
        <v>1871920.0</v>
      </c>
      <c r="D279" s="205">
        <v>1.0</v>
      </c>
      <c r="E279" s="207">
        <v>44857.84652777778</v>
      </c>
      <c r="F279" s="207">
        <v>45091.18225694445</v>
      </c>
      <c r="G279" s="207">
        <v>45076.121458333335</v>
      </c>
      <c r="H279" s="63" t="s">
        <v>2287</v>
      </c>
      <c r="I279" s="205">
        <v>135.0</v>
      </c>
      <c r="J279" s="63" t="s">
        <v>2288</v>
      </c>
      <c r="K279" s="205">
        <v>7354729.0</v>
      </c>
      <c r="L279" s="208">
        <v>4.96236</v>
      </c>
      <c r="M279" s="208">
        <v>2.49837</v>
      </c>
      <c r="N279" s="208">
        <v>2.23471</v>
      </c>
      <c r="O279" s="209">
        <v>4.0</v>
      </c>
      <c r="P279" s="209">
        <v>9.0</v>
      </c>
      <c r="Q279" s="209">
        <v>8.0</v>
      </c>
      <c r="R279" s="209">
        <v>5.0</v>
      </c>
      <c r="S279" s="210">
        <v>0.0021064814827695955</v>
      </c>
      <c r="T279" s="63" t="s">
        <v>2289</v>
      </c>
      <c r="U279" s="205">
        <v>5.0</v>
      </c>
      <c r="V279" s="205">
        <v>3.0</v>
      </c>
      <c r="W279" s="63" t="s">
        <v>2290</v>
      </c>
      <c r="X279" s="210">
        <v>0.0022800925908086356</v>
      </c>
      <c r="Y279" s="63" t="s">
        <v>2291</v>
      </c>
      <c r="Z279" s="63" t="s">
        <v>2292</v>
      </c>
      <c r="AA279" s="205">
        <v>0.0</v>
      </c>
      <c r="AB279" s="63" t="s">
        <v>2293</v>
      </c>
      <c r="AC279" s="205">
        <v>312.0</v>
      </c>
      <c r="AD279" s="208">
        <v>9.29032</v>
      </c>
      <c r="AE279" s="205">
        <v>21916.0</v>
      </c>
      <c r="AF279" s="205">
        <v>4297.0</v>
      </c>
      <c r="AG279" s="205">
        <v>408.0</v>
      </c>
      <c r="AH279" s="205">
        <v>451.0</v>
      </c>
      <c r="AI279" s="205">
        <v>1.0</v>
      </c>
      <c r="AJ279" s="205">
        <v>1331.0</v>
      </c>
      <c r="AK279" s="205">
        <v>0.0</v>
      </c>
      <c r="AL279" s="205">
        <v>0.0</v>
      </c>
      <c r="AM279" s="205">
        <v>0.0</v>
      </c>
      <c r="AN279" s="205">
        <v>0.0</v>
      </c>
      <c r="AO279" s="208">
        <v>4.50939</v>
      </c>
      <c r="AP279" s="208">
        <v>5.37281</v>
      </c>
      <c r="AQ279" s="208">
        <v>6.92158</v>
      </c>
      <c r="AR279" s="208">
        <v>3.93416</v>
      </c>
      <c r="AT279" s="192" t="s">
        <v>528</v>
      </c>
      <c r="AU279" s="211" t="s">
        <v>527</v>
      </c>
      <c r="AV279" s="211" t="s">
        <v>2294</v>
      </c>
      <c r="AW279" s="211" t="s">
        <v>2295</v>
      </c>
      <c r="AX279" s="211" t="s">
        <v>528</v>
      </c>
      <c r="AY279" s="212">
        <v>2.0</v>
      </c>
      <c r="AZ279" s="213">
        <v>4.5</v>
      </c>
      <c r="BA279" s="213">
        <v>4.0</v>
      </c>
      <c r="BB279" s="213">
        <v>2.5</v>
      </c>
      <c r="BC279" s="212">
        <v>5.2</v>
      </c>
      <c r="BD279" s="213">
        <v>10.0</v>
      </c>
      <c r="BE279" s="213">
        <v>10.0</v>
      </c>
      <c r="BF279" s="213">
        <v>7.0</v>
      </c>
      <c r="BG279" s="212">
        <v>10.333333333333332</v>
      </c>
      <c r="BH279" s="213">
        <v>9.75</v>
      </c>
      <c r="BI279" s="213">
        <v>0.0014043209885130636</v>
      </c>
      <c r="BJ279" s="213">
        <v>0.001520061727205757</v>
      </c>
      <c r="BK279" s="213">
        <v>202.5</v>
      </c>
      <c r="BL279" s="212">
        <v>7.0</v>
      </c>
      <c r="BM279" s="213">
        <v>5.375</v>
      </c>
      <c r="BN279" s="213">
        <v>0.0028086419770261273</v>
      </c>
      <c r="BO279" s="213">
        <v>0.003040123454411514</v>
      </c>
      <c r="BP279" s="213">
        <v>101.25</v>
      </c>
      <c r="BQ279" s="192"/>
      <c r="BR279" s="192"/>
    </row>
    <row r="280">
      <c r="A280" s="60">
        <v>3341368.0</v>
      </c>
      <c r="B280" s="205">
        <v>3986899.0</v>
      </c>
      <c r="C280" s="205">
        <v>1871920.0</v>
      </c>
      <c r="D280" s="205">
        <v>1.0</v>
      </c>
      <c r="E280" s="207">
        <v>44857.84652777778</v>
      </c>
      <c r="F280" s="207">
        <v>45091.18225694445</v>
      </c>
      <c r="G280" s="207">
        <v>45076.121458333335</v>
      </c>
      <c r="H280" s="63" t="s">
        <v>2287</v>
      </c>
      <c r="I280" s="205">
        <v>135.0</v>
      </c>
      <c r="J280" s="63" t="s">
        <v>2288</v>
      </c>
      <c r="K280" s="205">
        <v>7354729.0</v>
      </c>
      <c r="L280" s="208">
        <v>4.96236</v>
      </c>
      <c r="M280" s="208">
        <v>2.49837</v>
      </c>
      <c r="N280" s="208">
        <v>2.23471</v>
      </c>
      <c r="O280" s="209">
        <v>4.0</v>
      </c>
      <c r="P280" s="209">
        <v>9.0</v>
      </c>
      <c r="Q280" s="209">
        <v>8.0</v>
      </c>
      <c r="R280" s="209">
        <v>5.0</v>
      </c>
      <c r="S280" s="210">
        <v>0.0021064814827695955</v>
      </c>
      <c r="T280" s="63" t="s">
        <v>2289</v>
      </c>
      <c r="U280" s="205">
        <v>5.0</v>
      </c>
      <c r="V280" s="205">
        <v>3.0</v>
      </c>
      <c r="W280" s="63" t="s">
        <v>2290</v>
      </c>
      <c r="X280" s="210">
        <v>0.0022800925908086356</v>
      </c>
      <c r="Y280" s="63" t="s">
        <v>2291</v>
      </c>
      <c r="Z280" s="63" t="s">
        <v>2292</v>
      </c>
      <c r="AA280" s="205">
        <v>0.0</v>
      </c>
      <c r="AB280" s="63" t="s">
        <v>2293</v>
      </c>
      <c r="AC280" s="205">
        <v>312.0</v>
      </c>
      <c r="AD280" s="208">
        <v>9.29032</v>
      </c>
      <c r="AE280" s="205">
        <v>21916.0</v>
      </c>
      <c r="AF280" s="205">
        <v>4297.0</v>
      </c>
      <c r="AG280" s="205">
        <v>408.0</v>
      </c>
      <c r="AH280" s="205">
        <v>451.0</v>
      </c>
      <c r="AI280" s="205">
        <v>1.0</v>
      </c>
      <c r="AJ280" s="205">
        <v>1331.0</v>
      </c>
      <c r="AK280" s="205">
        <v>0.0</v>
      </c>
      <c r="AL280" s="205">
        <v>0.0</v>
      </c>
      <c r="AM280" s="205">
        <v>0.0</v>
      </c>
      <c r="AN280" s="205">
        <v>0.0</v>
      </c>
      <c r="AO280" s="208">
        <v>4.50939</v>
      </c>
      <c r="AP280" s="208">
        <v>5.37281</v>
      </c>
      <c r="AQ280" s="208">
        <v>6.92158</v>
      </c>
      <c r="AR280" s="208">
        <v>3.93416</v>
      </c>
      <c r="AT280" s="192" t="s">
        <v>528</v>
      </c>
      <c r="AU280" s="211" t="s">
        <v>527</v>
      </c>
      <c r="AV280" s="211" t="s">
        <v>2294</v>
      </c>
      <c r="AW280" s="211" t="s">
        <v>2295</v>
      </c>
      <c r="AX280" s="211" t="s">
        <v>528</v>
      </c>
      <c r="AY280" s="212">
        <v>2.0</v>
      </c>
      <c r="AZ280" s="213">
        <v>4.5</v>
      </c>
      <c r="BA280" s="213">
        <v>4.0</v>
      </c>
      <c r="BB280" s="213">
        <v>2.5</v>
      </c>
      <c r="BC280" s="212">
        <v>5.2</v>
      </c>
      <c r="BD280" s="213">
        <v>10.0</v>
      </c>
      <c r="BE280" s="213">
        <v>10.0</v>
      </c>
      <c r="BF280" s="213">
        <v>7.0</v>
      </c>
      <c r="BG280" s="212">
        <v>10.333333333333332</v>
      </c>
      <c r="BH280" s="213">
        <v>9.75</v>
      </c>
      <c r="BI280" s="213">
        <v>0.0014043209885130636</v>
      </c>
      <c r="BJ280" s="213">
        <v>0.001520061727205757</v>
      </c>
      <c r="BK280" s="213">
        <v>202.5</v>
      </c>
      <c r="BL280" s="212">
        <v>7.0</v>
      </c>
      <c r="BM280" s="213">
        <v>5.375</v>
      </c>
      <c r="BN280" s="213">
        <v>0.0028086419770261273</v>
      </c>
      <c r="BO280" s="213">
        <v>0.003040123454411514</v>
      </c>
      <c r="BP280" s="213">
        <v>101.25</v>
      </c>
      <c r="BQ280" s="192"/>
      <c r="BR280" s="192"/>
    </row>
    <row r="281">
      <c r="A281" s="60">
        <v>765880.0</v>
      </c>
      <c r="B281" s="205">
        <v>2200110.0</v>
      </c>
      <c r="C281" s="205">
        <v>1030737.0</v>
      </c>
      <c r="D281" s="205">
        <v>1.0</v>
      </c>
      <c r="E281" s="207">
        <v>43708.62613425926</v>
      </c>
      <c r="F281" s="207">
        <v>44074.53084490741</v>
      </c>
      <c r="G281" s="207">
        <v>44065.85151620371</v>
      </c>
      <c r="H281" s="63" t="s">
        <v>2296</v>
      </c>
      <c r="I281" s="205">
        <v>130.0</v>
      </c>
      <c r="J281" s="63" t="s">
        <v>2297</v>
      </c>
      <c r="K281" s="205">
        <v>8396941.0</v>
      </c>
      <c r="L281" s="208">
        <v>5.04722</v>
      </c>
      <c r="M281" s="208">
        <v>2.27016</v>
      </c>
      <c r="N281" s="208">
        <v>2.54322</v>
      </c>
      <c r="O281" s="209">
        <v>4.0</v>
      </c>
      <c r="P281" s="209">
        <v>9.0</v>
      </c>
      <c r="Q281" s="209">
        <v>8.0</v>
      </c>
      <c r="R281" s="209">
        <v>5.0</v>
      </c>
      <c r="S281" s="210">
        <v>0.002465277779265307</v>
      </c>
      <c r="U281" s="205">
        <v>11.0</v>
      </c>
      <c r="V281" s="205">
        <v>2.0</v>
      </c>
      <c r="W281" s="63" t="s">
        <v>2298</v>
      </c>
      <c r="X281" s="210">
        <v>0.002465277779265307</v>
      </c>
      <c r="Y281" s="63" t="s">
        <v>1116</v>
      </c>
      <c r="Z281" s="63" t="s">
        <v>2299</v>
      </c>
      <c r="AA281" s="205">
        <v>0.0</v>
      </c>
      <c r="AB281" s="63" t="s">
        <v>2300</v>
      </c>
      <c r="AC281" s="205">
        <v>165.0</v>
      </c>
      <c r="AD281" s="208">
        <v>9.53982</v>
      </c>
      <c r="AE281" s="205">
        <v>46342.0</v>
      </c>
      <c r="AF281" s="205">
        <v>4253.0</v>
      </c>
      <c r="AG281" s="205">
        <v>498.0</v>
      </c>
      <c r="AH281" s="205">
        <v>376.0</v>
      </c>
      <c r="AI281" s="205">
        <v>2.0</v>
      </c>
      <c r="AJ281" s="205">
        <v>1585.0</v>
      </c>
      <c r="AK281" s="205">
        <v>0.0</v>
      </c>
      <c r="AL281" s="205">
        <v>0.0</v>
      </c>
      <c r="AM281" s="205">
        <v>0.0</v>
      </c>
      <c r="AN281" s="205">
        <v>0.0</v>
      </c>
      <c r="AO281" s="208">
        <v>4.64899</v>
      </c>
      <c r="AP281" s="208">
        <v>5.2713</v>
      </c>
      <c r="AQ281" s="208">
        <v>7.42094</v>
      </c>
      <c r="AR281" s="208">
        <v>3.9928</v>
      </c>
      <c r="AT281" s="192" t="s">
        <v>532</v>
      </c>
      <c r="AU281" s="211" t="s">
        <v>531</v>
      </c>
      <c r="AV281" s="211" t="s">
        <v>2301</v>
      </c>
      <c r="AW281" s="211" t="s">
        <v>2302</v>
      </c>
      <c r="AX281" s="211" t="s">
        <v>532</v>
      </c>
      <c r="AY281" s="212">
        <v>2.0</v>
      </c>
      <c r="AZ281" s="213">
        <v>4.5</v>
      </c>
      <c r="BA281" s="213">
        <v>4.0</v>
      </c>
      <c r="BB281" s="213">
        <v>2.5</v>
      </c>
      <c r="BC281" s="212">
        <v>5.2</v>
      </c>
      <c r="BD281" s="213">
        <v>10.0</v>
      </c>
      <c r="BE281" s="213">
        <v>10.0</v>
      </c>
      <c r="BF281" s="213">
        <v>7.0</v>
      </c>
      <c r="BG281" s="212">
        <v>10.333333333333332</v>
      </c>
      <c r="BH281" s="213">
        <v>9.75</v>
      </c>
      <c r="BI281" s="213">
        <v>0.0016435185195102047</v>
      </c>
      <c r="BJ281" s="213">
        <v>0.0016435185195102047</v>
      </c>
      <c r="BK281" s="213">
        <v>195.0</v>
      </c>
      <c r="BL281" s="212">
        <v>7.0</v>
      </c>
      <c r="BM281" s="213">
        <v>5.375</v>
      </c>
      <c r="BN281" s="213">
        <v>0.0032870370390204093</v>
      </c>
      <c r="BO281" s="213">
        <v>0.0032870370390204093</v>
      </c>
      <c r="BP281" s="213">
        <v>97.5</v>
      </c>
      <c r="BQ281" s="192"/>
      <c r="BR281" s="192"/>
    </row>
    <row r="282">
      <c r="A282" s="60">
        <v>25341.0</v>
      </c>
      <c r="B282" s="205">
        <v>2200110.0</v>
      </c>
      <c r="C282" s="205">
        <v>1030737.0</v>
      </c>
      <c r="D282" s="205">
        <v>1.0</v>
      </c>
      <c r="E282" s="207">
        <v>43708.62613425926</v>
      </c>
      <c r="F282" s="207">
        <v>44074.53084490741</v>
      </c>
      <c r="G282" s="207">
        <v>44065.85151620371</v>
      </c>
      <c r="H282" s="63" t="s">
        <v>2296</v>
      </c>
      <c r="I282" s="205">
        <v>130.0</v>
      </c>
      <c r="J282" s="63" t="s">
        <v>2297</v>
      </c>
      <c r="K282" s="205">
        <v>8396941.0</v>
      </c>
      <c r="L282" s="208">
        <v>5.04722</v>
      </c>
      <c r="M282" s="208">
        <v>2.27016</v>
      </c>
      <c r="N282" s="208">
        <v>2.54322</v>
      </c>
      <c r="O282" s="209">
        <v>4.0</v>
      </c>
      <c r="P282" s="209">
        <v>9.0</v>
      </c>
      <c r="Q282" s="209">
        <v>8.0</v>
      </c>
      <c r="R282" s="209">
        <v>5.0</v>
      </c>
      <c r="S282" s="210">
        <v>0.002465277779265307</v>
      </c>
      <c r="U282" s="205">
        <v>11.0</v>
      </c>
      <c r="V282" s="205">
        <v>2.0</v>
      </c>
      <c r="W282" s="63" t="s">
        <v>2298</v>
      </c>
      <c r="X282" s="210">
        <v>0.002465277779265307</v>
      </c>
      <c r="Y282" s="63" t="s">
        <v>1116</v>
      </c>
      <c r="Z282" s="63" t="s">
        <v>2299</v>
      </c>
      <c r="AA282" s="205">
        <v>0.0</v>
      </c>
      <c r="AB282" s="63" t="s">
        <v>2300</v>
      </c>
      <c r="AC282" s="205">
        <v>165.0</v>
      </c>
      <c r="AD282" s="208">
        <v>9.53982</v>
      </c>
      <c r="AE282" s="205">
        <v>46342.0</v>
      </c>
      <c r="AF282" s="205">
        <v>4253.0</v>
      </c>
      <c r="AG282" s="205">
        <v>498.0</v>
      </c>
      <c r="AH282" s="205">
        <v>376.0</v>
      </c>
      <c r="AI282" s="205">
        <v>2.0</v>
      </c>
      <c r="AJ282" s="205">
        <v>1585.0</v>
      </c>
      <c r="AK282" s="205">
        <v>0.0</v>
      </c>
      <c r="AL282" s="205">
        <v>0.0</v>
      </c>
      <c r="AM282" s="205">
        <v>0.0</v>
      </c>
      <c r="AN282" s="205">
        <v>0.0</v>
      </c>
      <c r="AO282" s="208">
        <v>4.64899</v>
      </c>
      <c r="AP282" s="208">
        <v>5.2713</v>
      </c>
      <c r="AQ282" s="208">
        <v>7.42094</v>
      </c>
      <c r="AR282" s="208">
        <v>3.9928</v>
      </c>
      <c r="AT282" s="192" t="s">
        <v>532</v>
      </c>
      <c r="AU282" s="211" t="s">
        <v>531</v>
      </c>
      <c r="AV282" s="211" t="s">
        <v>2301</v>
      </c>
      <c r="AW282" s="211" t="s">
        <v>2302</v>
      </c>
      <c r="AX282" s="211" t="s">
        <v>532</v>
      </c>
      <c r="AY282" s="212">
        <v>2.0</v>
      </c>
      <c r="AZ282" s="213">
        <v>4.5</v>
      </c>
      <c r="BA282" s="213">
        <v>4.0</v>
      </c>
      <c r="BB282" s="213">
        <v>2.5</v>
      </c>
      <c r="BC282" s="212">
        <v>5.2</v>
      </c>
      <c r="BD282" s="213">
        <v>10.0</v>
      </c>
      <c r="BE282" s="213">
        <v>10.0</v>
      </c>
      <c r="BF282" s="213">
        <v>7.0</v>
      </c>
      <c r="BG282" s="212">
        <v>10.333333333333332</v>
      </c>
      <c r="BH282" s="213">
        <v>9.75</v>
      </c>
      <c r="BI282" s="213">
        <v>0.0016435185195102047</v>
      </c>
      <c r="BJ282" s="213">
        <v>0.0016435185195102047</v>
      </c>
      <c r="BK282" s="213">
        <v>195.0</v>
      </c>
      <c r="BL282" s="212">
        <v>7.0</v>
      </c>
      <c r="BM282" s="213">
        <v>5.375</v>
      </c>
      <c r="BN282" s="213">
        <v>0.0032870370390204093</v>
      </c>
      <c r="BO282" s="213">
        <v>0.0032870370390204093</v>
      </c>
      <c r="BP282" s="213">
        <v>97.5</v>
      </c>
      <c r="BQ282" s="192"/>
      <c r="BR282" s="192"/>
    </row>
    <row r="283">
      <c r="A283" s="60">
        <v>3274886.0</v>
      </c>
      <c r="B283" s="205">
        <v>3182641.0</v>
      </c>
      <c r="C283" s="205">
        <v>1557107.0</v>
      </c>
      <c r="D283" s="205">
        <v>1.0</v>
      </c>
      <c r="E283" s="207">
        <v>44430.70930555556</v>
      </c>
      <c r="F283" s="207">
        <v>44469.72579861111</v>
      </c>
      <c r="G283" s="207">
        <v>44462.009363425925</v>
      </c>
      <c r="H283" s="63" t="s">
        <v>2303</v>
      </c>
      <c r="I283" s="205">
        <v>106.0</v>
      </c>
      <c r="J283" s="63" t="s">
        <v>2304</v>
      </c>
      <c r="K283" s="205">
        <v>4990127.0</v>
      </c>
      <c r="L283" s="208">
        <v>5.42002</v>
      </c>
      <c r="M283" s="208">
        <v>2.84371</v>
      </c>
      <c r="N283" s="208">
        <v>2.27042</v>
      </c>
      <c r="O283" s="209">
        <v>4.2</v>
      </c>
      <c r="P283" s="209">
        <v>9.2</v>
      </c>
      <c r="Q283" s="209">
        <v>8.5</v>
      </c>
      <c r="R283" s="209">
        <v>4.0</v>
      </c>
      <c r="S283" s="210">
        <v>0.0014699074090458453</v>
      </c>
      <c r="U283" s="205">
        <v>9.0</v>
      </c>
      <c r="V283" s="205">
        <v>2.0</v>
      </c>
      <c r="W283" s="63" t="s">
        <v>2305</v>
      </c>
      <c r="X283" s="210">
        <v>0.001527777778392192</v>
      </c>
      <c r="Y283" s="63" t="s">
        <v>2306</v>
      </c>
      <c r="Z283" s="63" t="s">
        <v>2307</v>
      </c>
      <c r="AA283" s="205">
        <v>0.0</v>
      </c>
      <c r="AB283" s="63" t="s">
        <v>2308</v>
      </c>
      <c r="AC283" s="205">
        <v>933.0</v>
      </c>
      <c r="AD283" s="208">
        <v>9.38179</v>
      </c>
      <c r="AE283" s="205">
        <v>58429.0</v>
      </c>
      <c r="AF283" s="205">
        <v>9597.0</v>
      </c>
      <c r="AG283" s="205">
        <v>322.0</v>
      </c>
      <c r="AH283" s="205">
        <v>224.0</v>
      </c>
      <c r="AI283" s="205">
        <v>0.0</v>
      </c>
      <c r="AJ283" s="205">
        <v>784.0</v>
      </c>
      <c r="AK283" s="205">
        <v>0.0</v>
      </c>
      <c r="AL283" s="205">
        <v>1.0</v>
      </c>
      <c r="AM283" s="205">
        <v>0.0</v>
      </c>
      <c r="AN283" s="205">
        <v>0.0</v>
      </c>
      <c r="AO283" s="208">
        <v>4.95633</v>
      </c>
      <c r="AP283" s="208">
        <v>5.84844</v>
      </c>
      <c r="AQ283" s="208">
        <v>7.65134</v>
      </c>
      <c r="AR283" s="208">
        <v>4.29151</v>
      </c>
      <c r="AT283" s="192" t="s">
        <v>603</v>
      </c>
      <c r="AU283" s="211" t="s">
        <v>602</v>
      </c>
      <c r="AV283" s="211" t="s">
        <v>2309</v>
      </c>
      <c r="AW283" s="211" t="s">
        <v>2310</v>
      </c>
      <c r="AX283" s="211" t="s">
        <v>603</v>
      </c>
      <c r="AY283" s="212">
        <v>2.1</v>
      </c>
      <c r="AZ283" s="213">
        <v>4.6</v>
      </c>
      <c r="BA283" s="213">
        <v>4.25</v>
      </c>
      <c r="BB283" s="213">
        <v>2.0</v>
      </c>
      <c r="BC283" s="212">
        <v>5.460000000000001</v>
      </c>
      <c r="BD283" s="213">
        <v>10.0</v>
      </c>
      <c r="BE283" s="213">
        <v>10.0</v>
      </c>
      <c r="BF283" s="213">
        <v>5.6</v>
      </c>
      <c r="BG283" s="212">
        <v>10.466666666666667</v>
      </c>
      <c r="BH283" s="213">
        <v>10.083333333333334</v>
      </c>
      <c r="BI283" s="213">
        <v>9.7993827269723E-4</v>
      </c>
      <c r="BJ283" s="213">
        <v>0.001018518518928128</v>
      </c>
      <c r="BK283" s="213">
        <v>159.0</v>
      </c>
      <c r="BL283" s="212">
        <v>7.299999999999999</v>
      </c>
      <c r="BM283" s="213">
        <v>6.125</v>
      </c>
      <c r="BN283" s="213">
        <v>0.00195987654539446</v>
      </c>
      <c r="BO283" s="213">
        <v>0.002037037037856256</v>
      </c>
      <c r="BP283" s="213">
        <v>79.5</v>
      </c>
      <c r="BQ283" s="192"/>
      <c r="BR283" s="192"/>
    </row>
    <row r="284">
      <c r="A284" s="60">
        <v>3396297.0</v>
      </c>
      <c r="B284" s="205">
        <v>3182641.0</v>
      </c>
      <c r="C284" s="205">
        <v>1557107.0</v>
      </c>
      <c r="D284" s="205">
        <v>1.0</v>
      </c>
      <c r="E284" s="207">
        <v>44430.70930555556</v>
      </c>
      <c r="F284" s="207">
        <v>44469.72579861111</v>
      </c>
      <c r="G284" s="207">
        <v>44462.009363425925</v>
      </c>
      <c r="H284" s="63" t="s">
        <v>2303</v>
      </c>
      <c r="I284" s="205">
        <v>106.0</v>
      </c>
      <c r="J284" s="63" t="s">
        <v>2304</v>
      </c>
      <c r="K284" s="205">
        <v>4990127.0</v>
      </c>
      <c r="L284" s="208">
        <v>5.42002</v>
      </c>
      <c r="M284" s="208">
        <v>2.84371</v>
      </c>
      <c r="N284" s="208">
        <v>2.27042</v>
      </c>
      <c r="O284" s="209">
        <v>4.2</v>
      </c>
      <c r="P284" s="209">
        <v>9.2</v>
      </c>
      <c r="Q284" s="209">
        <v>8.5</v>
      </c>
      <c r="R284" s="209">
        <v>4.0</v>
      </c>
      <c r="S284" s="210">
        <v>0.0014699074090458453</v>
      </c>
      <c r="U284" s="205">
        <v>9.0</v>
      </c>
      <c r="V284" s="205">
        <v>2.0</v>
      </c>
      <c r="W284" s="63" t="s">
        <v>2305</v>
      </c>
      <c r="X284" s="210">
        <v>0.001527777778392192</v>
      </c>
      <c r="Y284" s="63" t="s">
        <v>2306</v>
      </c>
      <c r="Z284" s="63" t="s">
        <v>2307</v>
      </c>
      <c r="AA284" s="205">
        <v>0.0</v>
      </c>
      <c r="AB284" s="63" t="s">
        <v>2308</v>
      </c>
      <c r="AC284" s="205">
        <v>933.0</v>
      </c>
      <c r="AD284" s="208">
        <v>9.38179</v>
      </c>
      <c r="AE284" s="205">
        <v>58429.0</v>
      </c>
      <c r="AF284" s="205">
        <v>9597.0</v>
      </c>
      <c r="AG284" s="205">
        <v>322.0</v>
      </c>
      <c r="AH284" s="205">
        <v>224.0</v>
      </c>
      <c r="AI284" s="205">
        <v>0.0</v>
      </c>
      <c r="AJ284" s="205">
        <v>784.0</v>
      </c>
      <c r="AK284" s="205">
        <v>0.0</v>
      </c>
      <c r="AL284" s="205">
        <v>1.0</v>
      </c>
      <c r="AM284" s="205">
        <v>0.0</v>
      </c>
      <c r="AN284" s="205">
        <v>0.0</v>
      </c>
      <c r="AO284" s="208">
        <v>4.95633</v>
      </c>
      <c r="AP284" s="208">
        <v>5.84844</v>
      </c>
      <c r="AQ284" s="208">
        <v>7.65134</v>
      </c>
      <c r="AR284" s="208">
        <v>4.29151</v>
      </c>
      <c r="AT284" s="192" t="s">
        <v>603</v>
      </c>
      <c r="AU284" s="211" t="s">
        <v>602</v>
      </c>
      <c r="AV284" s="211" t="s">
        <v>2309</v>
      </c>
      <c r="AW284" s="211" t="s">
        <v>2310</v>
      </c>
      <c r="AX284" s="211" t="s">
        <v>603</v>
      </c>
      <c r="AY284" s="212">
        <v>2.1</v>
      </c>
      <c r="AZ284" s="213">
        <v>4.6</v>
      </c>
      <c r="BA284" s="213">
        <v>4.25</v>
      </c>
      <c r="BB284" s="213">
        <v>2.0</v>
      </c>
      <c r="BC284" s="212">
        <v>5.460000000000001</v>
      </c>
      <c r="BD284" s="213">
        <v>10.0</v>
      </c>
      <c r="BE284" s="213">
        <v>10.0</v>
      </c>
      <c r="BF284" s="213">
        <v>5.6</v>
      </c>
      <c r="BG284" s="212">
        <v>10.466666666666667</v>
      </c>
      <c r="BH284" s="213">
        <v>10.083333333333334</v>
      </c>
      <c r="BI284" s="213">
        <v>9.7993827269723E-4</v>
      </c>
      <c r="BJ284" s="213">
        <v>0.001018518518928128</v>
      </c>
      <c r="BK284" s="213">
        <v>159.0</v>
      </c>
      <c r="BL284" s="212">
        <v>7.299999999999999</v>
      </c>
      <c r="BM284" s="213">
        <v>6.125</v>
      </c>
      <c r="BN284" s="213">
        <v>0.00195987654539446</v>
      </c>
      <c r="BO284" s="213">
        <v>0.002037037037856256</v>
      </c>
      <c r="BP284" s="213">
        <v>79.5</v>
      </c>
      <c r="BQ284" s="192"/>
      <c r="BR284" s="192"/>
    </row>
    <row r="285">
      <c r="A285" s="60">
        <v>2565268.0</v>
      </c>
      <c r="B285" s="205">
        <v>2666261.0</v>
      </c>
      <c r="C285" s="205">
        <v>1283387.0</v>
      </c>
      <c r="D285" s="205">
        <v>1.0</v>
      </c>
      <c r="E285" s="207">
        <v>44126.09513888889</v>
      </c>
      <c r="F285" s="207">
        <v>44249.366898148146</v>
      </c>
      <c r="G285" s="207">
        <v>44239.519432870366</v>
      </c>
      <c r="H285" s="63" t="s">
        <v>2311</v>
      </c>
      <c r="I285" s="205">
        <v>192.0</v>
      </c>
      <c r="J285" s="63" t="s">
        <v>2312</v>
      </c>
      <c r="K285" s="205">
        <v>4624788.0</v>
      </c>
      <c r="L285" s="208">
        <v>5.26417</v>
      </c>
      <c r="M285" s="208">
        <v>2.67019</v>
      </c>
      <c r="N285" s="208">
        <v>2.34425</v>
      </c>
      <c r="O285" s="209">
        <v>4.0</v>
      </c>
      <c r="P285" s="209">
        <v>9.0</v>
      </c>
      <c r="Q285" s="209">
        <v>8.0</v>
      </c>
      <c r="R285" s="209">
        <v>4.5</v>
      </c>
      <c r="S285" s="210">
        <v>0.0026041666678793263</v>
      </c>
      <c r="T285" s="63" t="s">
        <v>2313</v>
      </c>
      <c r="U285" s="205">
        <v>2.0</v>
      </c>
      <c r="V285" s="205">
        <v>3.0</v>
      </c>
      <c r="W285" s="63" t="s">
        <v>2314</v>
      </c>
      <c r="X285" s="210">
        <v>0.002615740741021</v>
      </c>
      <c r="Y285" s="63" t="s">
        <v>1116</v>
      </c>
      <c r="Z285" s="63" t="s">
        <v>2315</v>
      </c>
      <c r="AA285" s="205">
        <v>0.0</v>
      </c>
      <c r="AB285" s="63" t="s">
        <v>2316</v>
      </c>
      <c r="AC285" s="205">
        <v>1466.0</v>
      </c>
      <c r="AD285" s="208">
        <v>9.6583</v>
      </c>
      <c r="AE285" s="205">
        <v>467650.0</v>
      </c>
      <c r="AF285" s="205">
        <v>75088.0</v>
      </c>
      <c r="AG285" s="205">
        <v>560.0</v>
      </c>
      <c r="AH285" s="205">
        <v>365.0</v>
      </c>
      <c r="AI285" s="205">
        <v>3.0</v>
      </c>
      <c r="AJ285" s="205">
        <v>1360.0</v>
      </c>
      <c r="AK285" s="205">
        <v>0.0</v>
      </c>
      <c r="AL285" s="205">
        <v>0.0</v>
      </c>
      <c r="AM285" s="205">
        <v>0.0</v>
      </c>
      <c r="AN285" s="205">
        <v>0.0</v>
      </c>
      <c r="AO285" s="208">
        <v>4.84449</v>
      </c>
      <c r="AP285" s="208">
        <v>5.5703</v>
      </c>
      <c r="AQ285" s="208">
        <v>7.48246</v>
      </c>
      <c r="AR285" s="208">
        <v>4.14458</v>
      </c>
      <c r="AT285" s="192" t="s">
        <v>539</v>
      </c>
      <c r="AU285" s="211" t="s">
        <v>538</v>
      </c>
      <c r="AV285" s="211" t="s">
        <v>2317</v>
      </c>
      <c r="AW285" s="211" t="s">
        <v>2318</v>
      </c>
      <c r="AX285" s="211" t="s">
        <v>539</v>
      </c>
      <c r="AY285" s="212">
        <v>2.0</v>
      </c>
      <c r="AZ285" s="213">
        <v>4.5</v>
      </c>
      <c r="BA285" s="213">
        <v>4.0</v>
      </c>
      <c r="BB285" s="213">
        <v>2.25</v>
      </c>
      <c r="BC285" s="212">
        <v>5.2</v>
      </c>
      <c r="BD285" s="213">
        <v>10.0</v>
      </c>
      <c r="BE285" s="213">
        <v>10.0</v>
      </c>
      <c r="BF285" s="213">
        <v>6.3</v>
      </c>
      <c r="BG285" s="212">
        <v>10.333333333333332</v>
      </c>
      <c r="BH285" s="213">
        <v>9.75</v>
      </c>
      <c r="BI285" s="213">
        <v>0.001736111111919551</v>
      </c>
      <c r="BJ285" s="213">
        <v>0.0017438271606806666</v>
      </c>
      <c r="BK285" s="213">
        <v>288.0</v>
      </c>
      <c r="BL285" s="212">
        <v>7.0</v>
      </c>
      <c r="BM285" s="213">
        <v>5.375</v>
      </c>
      <c r="BN285" s="213">
        <v>0.003472222223839102</v>
      </c>
      <c r="BO285" s="213">
        <v>0.003487654321361333</v>
      </c>
      <c r="BP285" s="213">
        <v>144.0</v>
      </c>
      <c r="BQ285" s="192"/>
      <c r="BR285" s="192"/>
    </row>
    <row r="286">
      <c r="A286" s="60">
        <v>74779.0</v>
      </c>
      <c r="B286" s="205">
        <v>2666261.0</v>
      </c>
      <c r="C286" s="205">
        <v>1283387.0</v>
      </c>
      <c r="D286" s="205">
        <v>1.0</v>
      </c>
      <c r="E286" s="207">
        <v>44126.09513888889</v>
      </c>
      <c r="F286" s="207">
        <v>44249.366898148146</v>
      </c>
      <c r="G286" s="207">
        <v>44239.519432870366</v>
      </c>
      <c r="H286" s="63" t="s">
        <v>2311</v>
      </c>
      <c r="I286" s="205">
        <v>192.0</v>
      </c>
      <c r="J286" s="63" t="s">
        <v>2312</v>
      </c>
      <c r="K286" s="205">
        <v>4624788.0</v>
      </c>
      <c r="L286" s="208">
        <v>5.26417</v>
      </c>
      <c r="M286" s="208">
        <v>2.67019</v>
      </c>
      <c r="N286" s="208">
        <v>2.34425</v>
      </c>
      <c r="O286" s="209">
        <v>4.0</v>
      </c>
      <c r="P286" s="209">
        <v>9.0</v>
      </c>
      <c r="Q286" s="209">
        <v>8.0</v>
      </c>
      <c r="R286" s="209">
        <v>4.5</v>
      </c>
      <c r="S286" s="210">
        <v>0.0026041666678793263</v>
      </c>
      <c r="T286" s="63" t="s">
        <v>2313</v>
      </c>
      <c r="U286" s="205">
        <v>2.0</v>
      </c>
      <c r="V286" s="205">
        <v>3.0</v>
      </c>
      <c r="W286" s="63" t="s">
        <v>2314</v>
      </c>
      <c r="X286" s="210">
        <v>0.002615740741021</v>
      </c>
      <c r="Y286" s="63" t="s">
        <v>1116</v>
      </c>
      <c r="Z286" s="63" t="s">
        <v>2315</v>
      </c>
      <c r="AA286" s="205">
        <v>0.0</v>
      </c>
      <c r="AB286" s="63" t="s">
        <v>2316</v>
      </c>
      <c r="AC286" s="205">
        <v>1466.0</v>
      </c>
      <c r="AD286" s="208">
        <v>9.6583</v>
      </c>
      <c r="AE286" s="205">
        <v>467650.0</v>
      </c>
      <c r="AF286" s="205">
        <v>75088.0</v>
      </c>
      <c r="AG286" s="205">
        <v>560.0</v>
      </c>
      <c r="AH286" s="205">
        <v>365.0</v>
      </c>
      <c r="AI286" s="205">
        <v>3.0</v>
      </c>
      <c r="AJ286" s="205">
        <v>1360.0</v>
      </c>
      <c r="AK286" s="205">
        <v>0.0</v>
      </c>
      <c r="AL286" s="205">
        <v>0.0</v>
      </c>
      <c r="AM286" s="205">
        <v>0.0</v>
      </c>
      <c r="AN286" s="205">
        <v>0.0</v>
      </c>
      <c r="AO286" s="208">
        <v>4.84449</v>
      </c>
      <c r="AP286" s="208">
        <v>5.5703</v>
      </c>
      <c r="AQ286" s="208">
        <v>7.48246</v>
      </c>
      <c r="AR286" s="208">
        <v>4.14458</v>
      </c>
      <c r="AT286" s="192" t="s">
        <v>539</v>
      </c>
      <c r="AU286" s="211" t="s">
        <v>538</v>
      </c>
      <c r="AV286" s="211" t="s">
        <v>2317</v>
      </c>
      <c r="AW286" s="211" t="s">
        <v>2318</v>
      </c>
      <c r="AX286" s="211" t="s">
        <v>539</v>
      </c>
      <c r="AY286" s="212">
        <v>2.0</v>
      </c>
      <c r="AZ286" s="213">
        <v>4.5</v>
      </c>
      <c r="BA286" s="213">
        <v>4.0</v>
      </c>
      <c r="BB286" s="213">
        <v>2.25</v>
      </c>
      <c r="BC286" s="212">
        <v>5.2</v>
      </c>
      <c r="BD286" s="213">
        <v>10.0</v>
      </c>
      <c r="BE286" s="213">
        <v>10.0</v>
      </c>
      <c r="BF286" s="213">
        <v>6.3</v>
      </c>
      <c r="BG286" s="212">
        <v>10.333333333333332</v>
      </c>
      <c r="BH286" s="213">
        <v>9.75</v>
      </c>
      <c r="BI286" s="213">
        <v>0.001736111111919551</v>
      </c>
      <c r="BJ286" s="213">
        <v>0.0017438271606806666</v>
      </c>
      <c r="BK286" s="213">
        <v>288.0</v>
      </c>
      <c r="BL286" s="212">
        <v>7.0</v>
      </c>
      <c r="BM286" s="213">
        <v>5.375</v>
      </c>
      <c r="BN286" s="213">
        <v>0.003472222223839102</v>
      </c>
      <c r="BO286" s="213">
        <v>0.003487654321361333</v>
      </c>
      <c r="BP286" s="213">
        <v>144.0</v>
      </c>
      <c r="BQ286" s="192"/>
      <c r="BR286" s="192"/>
    </row>
    <row r="287">
      <c r="A287" s="60">
        <v>2691754.0</v>
      </c>
      <c r="B287" s="205">
        <v>667685.0</v>
      </c>
      <c r="C287" s="205">
        <v>295225.0</v>
      </c>
      <c r="D287" s="205">
        <v>1.0</v>
      </c>
      <c r="E287" s="207">
        <v>42082.29914351852</v>
      </c>
      <c r="F287" s="207">
        <v>42219.68071759259</v>
      </c>
      <c r="G287" s="207">
        <v>42211.089270833334</v>
      </c>
      <c r="H287" s="63" t="s">
        <v>988</v>
      </c>
      <c r="I287" s="205">
        <v>180.0</v>
      </c>
      <c r="J287" s="63" t="s">
        <v>2319</v>
      </c>
      <c r="K287" s="205">
        <v>270377.0</v>
      </c>
      <c r="L287" s="208">
        <v>4.89244</v>
      </c>
      <c r="M287" s="208">
        <v>2.51057</v>
      </c>
      <c r="N287" s="208">
        <v>2.13792</v>
      </c>
      <c r="O287" s="209">
        <v>4.0</v>
      </c>
      <c r="P287" s="209">
        <v>9.0</v>
      </c>
      <c r="Q287" s="209">
        <v>8.0</v>
      </c>
      <c r="R287" s="209">
        <v>6.3</v>
      </c>
      <c r="S287" s="210">
        <v>0.002395833333139308</v>
      </c>
      <c r="U287" s="205">
        <v>5.0</v>
      </c>
      <c r="V287" s="205">
        <v>3.0</v>
      </c>
      <c r="W287" s="63" t="s">
        <v>2320</v>
      </c>
      <c r="X287" s="210">
        <v>0.002488425925548654</v>
      </c>
      <c r="Y287" s="63" t="s">
        <v>1125</v>
      </c>
      <c r="Z287" s="63" t="s">
        <v>2321</v>
      </c>
      <c r="AA287" s="205">
        <v>0.0</v>
      </c>
      <c r="AB287" s="63" t="s">
        <v>2322</v>
      </c>
      <c r="AC287" s="205">
        <v>8188.0</v>
      </c>
      <c r="AD287" s="208">
        <v>9.37882</v>
      </c>
      <c r="AE287" s="205">
        <v>4680521.0</v>
      </c>
      <c r="AF287" s="205">
        <v>1030377.0</v>
      </c>
      <c r="AG287" s="205">
        <v>433.0</v>
      </c>
      <c r="AH287" s="205">
        <v>395.0</v>
      </c>
      <c r="AI287" s="205">
        <v>1.0</v>
      </c>
      <c r="AJ287" s="205">
        <v>1260.0</v>
      </c>
      <c r="AK287" s="205">
        <v>0.0</v>
      </c>
      <c r="AL287" s="205">
        <v>1.0</v>
      </c>
      <c r="AM287" s="205">
        <v>0.0</v>
      </c>
      <c r="AN287" s="205">
        <v>0.0</v>
      </c>
      <c r="AO287" s="208">
        <v>4.48887</v>
      </c>
      <c r="AP287" s="208">
        <v>5.18303</v>
      </c>
      <c r="AQ287" s="208">
        <v>6.92137</v>
      </c>
      <c r="AR287" s="208">
        <v>3.91256</v>
      </c>
      <c r="AT287" s="192" t="s">
        <v>547</v>
      </c>
      <c r="AU287" s="211" t="s">
        <v>546</v>
      </c>
      <c r="AV287" s="211" t="s">
        <v>2323</v>
      </c>
      <c r="AW287" s="211" t="s">
        <v>2324</v>
      </c>
      <c r="AX287" s="211" t="s">
        <v>547</v>
      </c>
      <c r="AY287" s="212">
        <v>2.0</v>
      </c>
      <c r="AZ287" s="213">
        <v>4.5</v>
      </c>
      <c r="BA287" s="213">
        <v>4.0</v>
      </c>
      <c r="BB287" s="213">
        <v>3.15</v>
      </c>
      <c r="BC287" s="212">
        <v>5.2</v>
      </c>
      <c r="BD287" s="213">
        <v>10.0</v>
      </c>
      <c r="BE287" s="213">
        <v>10.0</v>
      </c>
      <c r="BF287" s="213">
        <v>8.819999999999999</v>
      </c>
      <c r="BG287" s="212">
        <v>10.333333333333332</v>
      </c>
      <c r="BH287" s="213">
        <v>9.75</v>
      </c>
      <c r="BI287" s="213">
        <v>0.0015972222220928718</v>
      </c>
      <c r="BJ287" s="213">
        <v>0.001658950617032436</v>
      </c>
      <c r="BK287" s="213">
        <v>270.0</v>
      </c>
      <c r="BL287" s="212">
        <v>7.0</v>
      </c>
      <c r="BM287" s="213">
        <v>5.375</v>
      </c>
      <c r="BN287" s="213">
        <v>0.0031944444441857436</v>
      </c>
      <c r="BO287" s="213">
        <v>0.003317901234064872</v>
      </c>
      <c r="BP287" s="213">
        <v>135.0</v>
      </c>
      <c r="BQ287" s="192"/>
      <c r="BR287" s="192"/>
    </row>
    <row r="288">
      <c r="A288" s="60">
        <v>3802071.0</v>
      </c>
      <c r="B288" s="205">
        <v>667685.0</v>
      </c>
      <c r="C288" s="205">
        <v>295225.0</v>
      </c>
      <c r="D288" s="205">
        <v>1.0</v>
      </c>
      <c r="E288" s="207">
        <v>42082.29914351852</v>
      </c>
      <c r="F288" s="207">
        <v>42219.68071759259</v>
      </c>
      <c r="G288" s="207">
        <v>42211.089270833334</v>
      </c>
      <c r="H288" s="63" t="s">
        <v>988</v>
      </c>
      <c r="I288" s="205">
        <v>180.0</v>
      </c>
      <c r="J288" s="63" t="s">
        <v>2319</v>
      </c>
      <c r="K288" s="205">
        <v>270377.0</v>
      </c>
      <c r="L288" s="208">
        <v>4.89244</v>
      </c>
      <c r="M288" s="208">
        <v>2.51057</v>
      </c>
      <c r="N288" s="208">
        <v>2.13792</v>
      </c>
      <c r="O288" s="209">
        <v>4.0</v>
      </c>
      <c r="P288" s="209">
        <v>9.0</v>
      </c>
      <c r="Q288" s="209">
        <v>8.0</v>
      </c>
      <c r="R288" s="209">
        <v>6.3</v>
      </c>
      <c r="S288" s="210">
        <v>0.002395833333139308</v>
      </c>
      <c r="U288" s="205">
        <v>5.0</v>
      </c>
      <c r="V288" s="205">
        <v>3.0</v>
      </c>
      <c r="W288" s="63" t="s">
        <v>2320</v>
      </c>
      <c r="X288" s="210">
        <v>0.002488425925548654</v>
      </c>
      <c r="Y288" s="63" t="s">
        <v>1125</v>
      </c>
      <c r="Z288" s="63" t="s">
        <v>2321</v>
      </c>
      <c r="AA288" s="205">
        <v>0.0</v>
      </c>
      <c r="AB288" s="63" t="s">
        <v>2322</v>
      </c>
      <c r="AC288" s="205">
        <v>8188.0</v>
      </c>
      <c r="AD288" s="208">
        <v>9.37882</v>
      </c>
      <c r="AE288" s="205">
        <v>4680521.0</v>
      </c>
      <c r="AF288" s="205">
        <v>1030377.0</v>
      </c>
      <c r="AG288" s="205">
        <v>433.0</v>
      </c>
      <c r="AH288" s="205">
        <v>395.0</v>
      </c>
      <c r="AI288" s="205">
        <v>1.0</v>
      </c>
      <c r="AJ288" s="205">
        <v>1260.0</v>
      </c>
      <c r="AK288" s="205">
        <v>0.0</v>
      </c>
      <c r="AL288" s="205">
        <v>1.0</v>
      </c>
      <c r="AM288" s="205">
        <v>0.0</v>
      </c>
      <c r="AN288" s="205">
        <v>0.0</v>
      </c>
      <c r="AO288" s="208">
        <v>4.48887</v>
      </c>
      <c r="AP288" s="208">
        <v>5.18303</v>
      </c>
      <c r="AQ288" s="208">
        <v>6.92137</v>
      </c>
      <c r="AR288" s="208">
        <v>3.91256</v>
      </c>
      <c r="AT288" s="192" t="s">
        <v>547</v>
      </c>
      <c r="AU288" s="211" t="s">
        <v>546</v>
      </c>
      <c r="AV288" s="211" t="s">
        <v>2323</v>
      </c>
      <c r="AW288" s="211" t="s">
        <v>2324</v>
      </c>
      <c r="AX288" s="211" t="s">
        <v>547</v>
      </c>
      <c r="AY288" s="212">
        <v>2.0</v>
      </c>
      <c r="AZ288" s="213">
        <v>4.5</v>
      </c>
      <c r="BA288" s="213">
        <v>4.0</v>
      </c>
      <c r="BB288" s="213">
        <v>3.15</v>
      </c>
      <c r="BC288" s="212">
        <v>5.2</v>
      </c>
      <c r="BD288" s="213">
        <v>10.0</v>
      </c>
      <c r="BE288" s="213">
        <v>10.0</v>
      </c>
      <c r="BF288" s="213">
        <v>8.819999999999999</v>
      </c>
      <c r="BG288" s="212">
        <v>10.333333333333332</v>
      </c>
      <c r="BH288" s="213">
        <v>9.75</v>
      </c>
      <c r="BI288" s="213">
        <v>0.0015972222220928718</v>
      </c>
      <c r="BJ288" s="213">
        <v>0.001658950617032436</v>
      </c>
      <c r="BK288" s="213">
        <v>270.0</v>
      </c>
      <c r="BL288" s="212">
        <v>7.0</v>
      </c>
      <c r="BM288" s="213">
        <v>5.375</v>
      </c>
      <c r="BN288" s="213">
        <v>0.0031944444441857436</v>
      </c>
      <c r="BO288" s="213">
        <v>0.003317901234064872</v>
      </c>
      <c r="BP288" s="213">
        <v>135.0</v>
      </c>
      <c r="BQ288" s="192"/>
      <c r="BR288" s="192"/>
    </row>
    <row r="289">
      <c r="A289" s="60">
        <v>37750.0</v>
      </c>
      <c r="B289" s="205">
        <v>1782851.0</v>
      </c>
      <c r="C289" s="205">
        <v>853045.0</v>
      </c>
      <c r="D289" s="205">
        <v>1.0</v>
      </c>
      <c r="E289" s="207">
        <v>43365.91111111111</v>
      </c>
      <c r="F289" s="207">
        <v>43413.11122685185</v>
      </c>
      <c r="G289" s="207">
        <v>43403.66490740741</v>
      </c>
      <c r="H289" s="63" t="s">
        <v>945</v>
      </c>
      <c r="I289" s="205">
        <v>90.0</v>
      </c>
      <c r="J289" s="63" t="s">
        <v>2325</v>
      </c>
      <c r="K289" s="205">
        <v>2652951.0</v>
      </c>
      <c r="L289" s="208">
        <v>4.53077</v>
      </c>
      <c r="M289" s="208">
        <v>2.20291</v>
      </c>
      <c r="N289" s="208">
        <v>2.1329</v>
      </c>
      <c r="O289" s="209">
        <v>5.0</v>
      </c>
      <c r="P289" s="209">
        <v>8.8</v>
      </c>
      <c r="Q289" s="209">
        <v>7.7</v>
      </c>
      <c r="R289" s="209">
        <v>5.5</v>
      </c>
      <c r="S289" s="210">
        <v>0.0012962962973688263</v>
      </c>
      <c r="T289" s="63" t="s">
        <v>1215</v>
      </c>
      <c r="U289" s="205">
        <v>3.0</v>
      </c>
      <c r="V289" s="205">
        <v>5.0</v>
      </c>
      <c r="W289" s="63" t="s">
        <v>2326</v>
      </c>
      <c r="X289" s="210">
        <v>0.001331018516793847</v>
      </c>
      <c r="Y289" s="63" t="s">
        <v>1116</v>
      </c>
      <c r="Z289" s="63" t="s">
        <v>2327</v>
      </c>
      <c r="AA289" s="205">
        <v>0.0</v>
      </c>
      <c r="AB289" s="63" t="s">
        <v>2328</v>
      </c>
      <c r="AC289" s="205">
        <v>80.0</v>
      </c>
      <c r="AD289" s="208">
        <v>9.42029</v>
      </c>
      <c r="AE289" s="205">
        <v>33876.0</v>
      </c>
      <c r="AF289" s="205">
        <v>6741.0</v>
      </c>
      <c r="AG289" s="205">
        <v>187.0</v>
      </c>
      <c r="AH289" s="205">
        <v>197.0</v>
      </c>
      <c r="AI289" s="205">
        <v>0.0</v>
      </c>
      <c r="AJ289" s="205">
        <v>591.0</v>
      </c>
      <c r="AK289" s="205">
        <v>0.0</v>
      </c>
      <c r="AL289" s="205">
        <v>0.0</v>
      </c>
      <c r="AM289" s="205">
        <v>0.0</v>
      </c>
      <c r="AN289" s="205">
        <v>0.0</v>
      </c>
      <c r="AO289" s="208">
        <v>4.11692</v>
      </c>
      <c r="AP289" s="208">
        <v>5.03596</v>
      </c>
      <c r="AQ289" s="208">
        <v>6.39869</v>
      </c>
      <c r="AR289" s="208">
        <v>3.63957</v>
      </c>
      <c r="AT289" s="192" t="s">
        <v>551</v>
      </c>
      <c r="AU289" s="211" t="s">
        <v>550</v>
      </c>
      <c r="AV289" s="211" t="s">
        <v>2329</v>
      </c>
      <c r="AW289" s="211" t="s">
        <v>2330</v>
      </c>
      <c r="AX289" s="211" t="s">
        <v>551</v>
      </c>
      <c r="AY289" s="212">
        <v>2.5</v>
      </c>
      <c r="AZ289" s="213">
        <v>4.4</v>
      </c>
      <c r="BA289" s="213">
        <v>3.85</v>
      </c>
      <c r="BB289" s="213">
        <v>2.75</v>
      </c>
      <c r="BC289" s="212">
        <v>6.5</v>
      </c>
      <c r="BD289" s="213">
        <v>10.0</v>
      </c>
      <c r="BE289" s="213">
        <v>10.0</v>
      </c>
      <c r="BF289" s="213">
        <v>7.699999999999999</v>
      </c>
      <c r="BG289" s="212">
        <v>10.2</v>
      </c>
      <c r="BH289" s="213">
        <v>9.549999999999999</v>
      </c>
      <c r="BI289" s="213">
        <v>8.641975315792175E-4</v>
      </c>
      <c r="BJ289" s="213">
        <v>8.873456778625647E-4</v>
      </c>
      <c r="BK289" s="213">
        <v>135.0</v>
      </c>
      <c r="BL289" s="212">
        <v>6.700000000000001</v>
      </c>
      <c r="BM289" s="213">
        <v>4.925000000000001</v>
      </c>
      <c r="BN289" s="213">
        <v>0.001728395063158435</v>
      </c>
      <c r="BO289" s="213">
        <v>0.0017746913557251294</v>
      </c>
      <c r="BP289" s="213">
        <v>67.5</v>
      </c>
      <c r="BQ289" s="192"/>
      <c r="BR289" s="192"/>
    </row>
    <row r="290">
      <c r="A290" s="60">
        <v>3802110.0</v>
      </c>
      <c r="B290" s="205">
        <v>1592512.0</v>
      </c>
      <c r="C290" s="205">
        <v>755512.0</v>
      </c>
      <c r="D290" s="205">
        <v>1.0</v>
      </c>
      <c r="E290" s="207">
        <v>43186.95957175926</v>
      </c>
      <c r="F290" s="207">
        <v>43213.91679398148</v>
      </c>
      <c r="G290" s="207">
        <v>43206.53532407407</v>
      </c>
      <c r="H290" s="63" t="s">
        <v>1002</v>
      </c>
      <c r="I290" s="205">
        <v>190.0</v>
      </c>
      <c r="J290" s="63" t="s">
        <v>210</v>
      </c>
      <c r="K290" s="205">
        <v>896613.0</v>
      </c>
      <c r="L290" s="208">
        <v>3.82733</v>
      </c>
      <c r="M290" s="208">
        <v>1.93924</v>
      </c>
      <c r="N290" s="208">
        <v>1.70711</v>
      </c>
      <c r="O290" s="209">
        <v>4.0</v>
      </c>
      <c r="P290" s="209">
        <v>8.0</v>
      </c>
      <c r="Q290" s="209">
        <v>6.5</v>
      </c>
      <c r="R290" s="209">
        <v>5.0</v>
      </c>
      <c r="S290" s="210">
        <v>0.0024189814830606338</v>
      </c>
      <c r="U290" s="205">
        <v>4.0</v>
      </c>
      <c r="V290" s="205">
        <v>3.0</v>
      </c>
      <c r="W290" s="63" t="s">
        <v>2331</v>
      </c>
      <c r="X290" s="210">
        <v>0.002557870371674653</v>
      </c>
      <c r="Y290" s="63" t="s">
        <v>1443</v>
      </c>
      <c r="Z290" s="63" t="s">
        <v>2332</v>
      </c>
      <c r="AA290" s="205">
        <v>0.0</v>
      </c>
      <c r="AB290" s="63" t="s">
        <v>2333</v>
      </c>
      <c r="AC290" s="205">
        <v>234.0</v>
      </c>
      <c r="AD290" s="208">
        <v>9.31868</v>
      </c>
      <c r="AE290" s="205">
        <v>56997.0</v>
      </c>
      <c r="AF290" s="205">
        <v>8856.0</v>
      </c>
      <c r="AG290" s="205">
        <v>275.0</v>
      </c>
      <c r="AH290" s="205">
        <v>362.0</v>
      </c>
      <c r="AI290" s="205">
        <v>2.0</v>
      </c>
      <c r="AJ290" s="205">
        <v>1058.0</v>
      </c>
      <c r="AK290" s="205">
        <v>0.0</v>
      </c>
      <c r="AL290" s="205">
        <v>0.0</v>
      </c>
      <c r="AM290" s="205">
        <v>0.0</v>
      </c>
      <c r="AN290" s="205">
        <v>0.0</v>
      </c>
      <c r="AO290" s="208">
        <v>3.39496</v>
      </c>
      <c r="AP290" s="208">
        <v>4.12395</v>
      </c>
      <c r="AQ290" s="208">
        <v>5.31524</v>
      </c>
      <c r="AR290" s="208">
        <v>3.06015</v>
      </c>
      <c r="AT290" s="192" t="s">
        <v>537</v>
      </c>
      <c r="AU290" s="211" t="s">
        <v>554</v>
      </c>
      <c r="AV290" s="211" t="s">
        <v>2334</v>
      </c>
      <c r="AW290" s="211" t="s">
        <v>2335</v>
      </c>
      <c r="AX290" s="211" t="s">
        <v>537</v>
      </c>
      <c r="AY290" s="212">
        <v>2.0</v>
      </c>
      <c r="AZ290" s="213">
        <v>4.0</v>
      </c>
      <c r="BA290" s="213">
        <v>3.25</v>
      </c>
      <c r="BB290" s="213">
        <v>2.5</v>
      </c>
      <c r="BC290" s="212">
        <v>5.2</v>
      </c>
      <c r="BD290" s="213">
        <v>10.0</v>
      </c>
      <c r="BE290" s="213">
        <v>9.1</v>
      </c>
      <c r="BF290" s="213">
        <v>7.0</v>
      </c>
      <c r="BG290" s="212">
        <v>9.666666666666668</v>
      </c>
      <c r="BH290" s="213">
        <v>8.75</v>
      </c>
      <c r="BI290" s="213">
        <v>0.0016126543220404226</v>
      </c>
      <c r="BJ290" s="213">
        <v>0.0017052469144497688</v>
      </c>
      <c r="BK290" s="213">
        <v>285.0</v>
      </c>
      <c r="BL290" s="212">
        <v>5.5</v>
      </c>
      <c r="BM290" s="213">
        <v>3.125</v>
      </c>
      <c r="BN290" s="213">
        <v>0.003225308644080845</v>
      </c>
      <c r="BO290" s="213">
        <v>0.0034104938288995377</v>
      </c>
      <c r="BP290" s="213">
        <v>142.5</v>
      </c>
      <c r="BQ290" s="192"/>
      <c r="BR290" s="192"/>
    </row>
    <row r="291">
      <c r="A291" s="60">
        <v>3700933.0</v>
      </c>
      <c r="B291" s="205">
        <v>1592512.0</v>
      </c>
      <c r="C291" s="205">
        <v>755512.0</v>
      </c>
      <c r="D291" s="205">
        <v>1.0</v>
      </c>
      <c r="E291" s="207">
        <v>43186.95957175926</v>
      </c>
      <c r="F291" s="207">
        <v>43213.91679398148</v>
      </c>
      <c r="G291" s="207">
        <v>43206.53532407407</v>
      </c>
      <c r="H291" s="63" t="s">
        <v>1002</v>
      </c>
      <c r="I291" s="205">
        <v>190.0</v>
      </c>
      <c r="J291" s="63" t="s">
        <v>210</v>
      </c>
      <c r="K291" s="205">
        <v>896613.0</v>
      </c>
      <c r="L291" s="208">
        <v>3.82733</v>
      </c>
      <c r="M291" s="208">
        <v>1.93924</v>
      </c>
      <c r="N291" s="208">
        <v>1.70711</v>
      </c>
      <c r="O291" s="209">
        <v>4.0</v>
      </c>
      <c r="P291" s="209">
        <v>8.0</v>
      </c>
      <c r="Q291" s="209">
        <v>6.5</v>
      </c>
      <c r="R291" s="209">
        <v>5.0</v>
      </c>
      <c r="S291" s="210">
        <v>0.0024189814830606338</v>
      </c>
      <c r="U291" s="205">
        <v>4.0</v>
      </c>
      <c r="V291" s="205">
        <v>3.0</v>
      </c>
      <c r="W291" s="63" t="s">
        <v>2331</v>
      </c>
      <c r="X291" s="210">
        <v>0.002557870371674653</v>
      </c>
      <c r="Y291" s="63" t="s">
        <v>1443</v>
      </c>
      <c r="Z291" s="63" t="s">
        <v>2332</v>
      </c>
      <c r="AA291" s="205">
        <v>0.0</v>
      </c>
      <c r="AB291" s="63" t="s">
        <v>2333</v>
      </c>
      <c r="AC291" s="205">
        <v>234.0</v>
      </c>
      <c r="AD291" s="208">
        <v>9.31868</v>
      </c>
      <c r="AE291" s="205">
        <v>56997.0</v>
      </c>
      <c r="AF291" s="205">
        <v>8856.0</v>
      </c>
      <c r="AG291" s="205">
        <v>275.0</v>
      </c>
      <c r="AH291" s="205">
        <v>362.0</v>
      </c>
      <c r="AI291" s="205">
        <v>2.0</v>
      </c>
      <c r="AJ291" s="205">
        <v>1058.0</v>
      </c>
      <c r="AK291" s="205">
        <v>0.0</v>
      </c>
      <c r="AL291" s="205">
        <v>0.0</v>
      </c>
      <c r="AM291" s="205">
        <v>0.0</v>
      </c>
      <c r="AN291" s="205">
        <v>0.0</v>
      </c>
      <c r="AO291" s="208">
        <v>3.39496</v>
      </c>
      <c r="AP291" s="208">
        <v>4.12395</v>
      </c>
      <c r="AQ291" s="208">
        <v>5.31524</v>
      </c>
      <c r="AR291" s="208">
        <v>3.06015</v>
      </c>
      <c r="AT291" s="192" t="s">
        <v>537</v>
      </c>
      <c r="AU291" s="211" t="s">
        <v>554</v>
      </c>
      <c r="AV291" s="211" t="s">
        <v>2334</v>
      </c>
      <c r="AW291" s="211" t="s">
        <v>2335</v>
      </c>
      <c r="AX291" s="211" t="s">
        <v>537</v>
      </c>
      <c r="AY291" s="212">
        <v>2.0</v>
      </c>
      <c r="AZ291" s="213">
        <v>4.0</v>
      </c>
      <c r="BA291" s="213">
        <v>3.25</v>
      </c>
      <c r="BB291" s="213">
        <v>2.5</v>
      </c>
      <c r="BC291" s="212">
        <v>5.2</v>
      </c>
      <c r="BD291" s="213">
        <v>10.0</v>
      </c>
      <c r="BE291" s="213">
        <v>9.1</v>
      </c>
      <c r="BF291" s="213">
        <v>7.0</v>
      </c>
      <c r="BG291" s="212">
        <v>9.666666666666668</v>
      </c>
      <c r="BH291" s="213">
        <v>8.75</v>
      </c>
      <c r="BI291" s="213">
        <v>0.0016126543220404226</v>
      </c>
      <c r="BJ291" s="213">
        <v>0.0017052469144497688</v>
      </c>
      <c r="BK291" s="213">
        <v>285.0</v>
      </c>
      <c r="BL291" s="212">
        <v>5.5</v>
      </c>
      <c r="BM291" s="213">
        <v>3.125</v>
      </c>
      <c r="BN291" s="213">
        <v>0.003225308644080845</v>
      </c>
      <c r="BO291" s="213">
        <v>0.0034104938288995377</v>
      </c>
      <c r="BP291" s="213">
        <v>142.5</v>
      </c>
      <c r="BQ291" s="192"/>
      <c r="BR291" s="192"/>
    </row>
    <row r="292">
      <c r="A292" s="60">
        <v>105978.0</v>
      </c>
      <c r="B292" s="205">
        <v>3819183.0</v>
      </c>
      <c r="C292" s="205">
        <v>1848926.0</v>
      </c>
      <c r="D292" s="205">
        <v>1.0</v>
      </c>
      <c r="E292" s="207">
        <v>44819.779236111106</v>
      </c>
      <c r="F292" s="207">
        <v>45121.446805555555</v>
      </c>
      <c r="G292" s="207">
        <v>45119.822488425925</v>
      </c>
      <c r="H292" s="63" t="s">
        <v>1004</v>
      </c>
      <c r="I292" s="205">
        <v>170.0</v>
      </c>
      <c r="J292" s="63" t="s">
        <v>545</v>
      </c>
      <c r="K292" s="205">
        <v>5346261.0</v>
      </c>
      <c r="L292" s="208">
        <v>3.61101</v>
      </c>
      <c r="M292" s="208">
        <v>1.62501</v>
      </c>
      <c r="N292" s="208">
        <v>1.81879</v>
      </c>
      <c r="O292" s="209">
        <v>3.5</v>
      </c>
      <c r="P292" s="209">
        <v>8.0</v>
      </c>
      <c r="Q292" s="209">
        <v>6.0</v>
      </c>
      <c r="R292" s="209">
        <v>4.0</v>
      </c>
      <c r="S292" s="210">
        <v>0.002025462963501923</v>
      </c>
      <c r="U292" s="205">
        <v>10.0</v>
      </c>
      <c r="V292" s="205">
        <v>5.0</v>
      </c>
      <c r="W292" s="63" t="s">
        <v>2336</v>
      </c>
      <c r="X292" s="210">
        <v>0.002141203702194616</v>
      </c>
      <c r="Y292" s="63" t="s">
        <v>2337</v>
      </c>
      <c r="Z292" s="63" t="s">
        <v>2338</v>
      </c>
      <c r="AA292" s="205">
        <v>0.0</v>
      </c>
      <c r="AB292" s="63" t="s">
        <v>2339</v>
      </c>
      <c r="AC292" s="205">
        <v>225.0</v>
      </c>
      <c r="AD292" s="208">
        <v>9.19048</v>
      </c>
      <c r="AE292" s="205">
        <v>5887.0</v>
      </c>
      <c r="AF292" s="205">
        <v>1982.0</v>
      </c>
      <c r="AG292" s="205">
        <v>279.0</v>
      </c>
      <c r="AH292" s="205">
        <v>315.0</v>
      </c>
      <c r="AI292" s="205">
        <v>3.0</v>
      </c>
      <c r="AJ292" s="205">
        <v>1093.0</v>
      </c>
      <c r="AK292" s="205">
        <v>0.0</v>
      </c>
      <c r="AL292" s="205">
        <v>0.0</v>
      </c>
      <c r="AM292" s="205">
        <v>0.0</v>
      </c>
      <c r="AN292" s="205">
        <v>0.0</v>
      </c>
      <c r="AO292" s="208">
        <v>3.25565</v>
      </c>
      <c r="AP292" s="208">
        <v>3.72973</v>
      </c>
      <c r="AQ292" s="208">
        <v>5.16896</v>
      </c>
      <c r="AR292" s="208">
        <v>2.92688</v>
      </c>
      <c r="AT292" s="192" t="s">
        <v>544</v>
      </c>
      <c r="AU292" s="211" t="s">
        <v>558</v>
      </c>
      <c r="AV292" s="211" t="s">
        <v>2340</v>
      </c>
      <c r="AW292" s="211" t="s">
        <v>2341</v>
      </c>
      <c r="AX292" s="211" t="s">
        <v>544</v>
      </c>
      <c r="AY292" s="212">
        <v>1.75</v>
      </c>
      <c r="AZ292" s="213">
        <v>4.0</v>
      </c>
      <c r="BA292" s="213">
        <v>3.0</v>
      </c>
      <c r="BB292" s="213">
        <v>2.0</v>
      </c>
      <c r="BC292" s="212">
        <v>4.55</v>
      </c>
      <c r="BD292" s="213">
        <v>10.0</v>
      </c>
      <c r="BE292" s="213">
        <v>8.399999999999999</v>
      </c>
      <c r="BF292" s="213">
        <v>5.6</v>
      </c>
      <c r="BG292" s="212">
        <v>9.666666666666668</v>
      </c>
      <c r="BH292" s="213">
        <v>8.416666666666666</v>
      </c>
      <c r="BI292" s="213">
        <v>0.0013503086423346151</v>
      </c>
      <c r="BJ292" s="213">
        <v>0.0014274691347964108</v>
      </c>
      <c r="BK292" s="213">
        <v>255.0</v>
      </c>
      <c r="BL292" s="212">
        <v>5.5</v>
      </c>
      <c r="BM292" s="213">
        <v>2.375</v>
      </c>
      <c r="BN292" s="213">
        <v>0.0027006172846692302</v>
      </c>
      <c r="BO292" s="213">
        <v>0.0028549382695928216</v>
      </c>
      <c r="BP292" s="213">
        <v>127.5</v>
      </c>
      <c r="BQ292" s="192"/>
      <c r="BR292" s="192"/>
    </row>
    <row r="293">
      <c r="A293" s="60">
        <v>2671858.0</v>
      </c>
      <c r="B293" s="205">
        <v>3819183.0</v>
      </c>
      <c r="C293" s="205">
        <v>1848926.0</v>
      </c>
      <c r="D293" s="205">
        <v>1.0</v>
      </c>
      <c r="E293" s="207">
        <v>44819.779236111106</v>
      </c>
      <c r="F293" s="207">
        <v>45121.446805555555</v>
      </c>
      <c r="G293" s="207">
        <v>45119.822488425925</v>
      </c>
      <c r="H293" s="63" t="s">
        <v>1004</v>
      </c>
      <c r="I293" s="205">
        <v>170.0</v>
      </c>
      <c r="J293" s="63" t="s">
        <v>545</v>
      </c>
      <c r="K293" s="205">
        <v>5346261.0</v>
      </c>
      <c r="L293" s="208">
        <v>3.61101</v>
      </c>
      <c r="M293" s="208">
        <v>1.62501</v>
      </c>
      <c r="N293" s="208">
        <v>1.81879</v>
      </c>
      <c r="O293" s="209">
        <v>3.5</v>
      </c>
      <c r="P293" s="209">
        <v>8.0</v>
      </c>
      <c r="Q293" s="209">
        <v>6.0</v>
      </c>
      <c r="R293" s="209">
        <v>4.0</v>
      </c>
      <c r="S293" s="210">
        <v>0.002025462963501923</v>
      </c>
      <c r="U293" s="205">
        <v>10.0</v>
      </c>
      <c r="V293" s="205">
        <v>5.0</v>
      </c>
      <c r="W293" s="63" t="s">
        <v>2336</v>
      </c>
      <c r="X293" s="210">
        <v>0.002141203702194616</v>
      </c>
      <c r="Y293" s="63" t="s">
        <v>2337</v>
      </c>
      <c r="Z293" s="63" t="s">
        <v>2338</v>
      </c>
      <c r="AA293" s="205">
        <v>0.0</v>
      </c>
      <c r="AB293" s="63" t="s">
        <v>2339</v>
      </c>
      <c r="AC293" s="205">
        <v>225.0</v>
      </c>
      <c r="AD293" s="208">
        <v>9.19048</v>
      </c>
      <c r="AE293" s="205">
        <v>5887.0</v>
      </c>
      <c r="AF293" s="205">
        <v>1982.0</v>
      </c>
      <c r="AG293" s="205">
        <v>279.0</v>
      </c>
      <c r="AH293" s="205">
        <v>315.0</v>
      </c>
      <c r="AI293" s="205">
        <v>3.0</v>
      </c>
      <c r="AJ293" s="205">
        <v>1093.0</v>
      </c>
      <c r="AK293" s="205">
        <v>0.0</v>
      </c>
      <c r="AL293" s="205">
        <v>0.0</v>
      </c>
      <c r="AM293" s="205">
        <v>0.0</v>
      </c>
      <c r="AN293" s="205">
        <v>0.0</v>
      </c>
      <c r="AO293" s="208">
        <v>3.25565</v>
      </c>
      <c r="AP293" s="208">
        <v>3.72973</v>
      </c>
      <c r="AQ293" s="208">
        <v>5.16896</v>
      </c>
      <c r="AR293" s="208">
        <v>2.92688</v>
      </c>
      <c r="AT293" s="192" t="s">
        <v>544</v>
      </c>
      <c r="AU293" s="211" t="s">
        <v>558</v>
      </c>
      <c r="AV293" s="211" t="s">
        <v>2340</v>
      </c>
      <c r="AW293" s="211" t="s">
        <v>2341</v>
      </c>
      <c r="AX293" s="211" t="s">
        <v>544</v>
      </c>
      <c r="AY293" s="212">
        <v>1.75</v>
      </c>
      <c r="AZ293" s="213">
        <v>4.0</v>
      </c>
      <c r="BA293" s="213">
        <v>3.0</v>
      </c>
      <c r="BB293" s="213">
        <v>2.0</v>
      </c>
      <c r="BC293" s="212">
        <v>4.55</v>
      </c>
      <c r="BD293" s="213">
        <v>10.0</v>
      </c>
      <c r="BE293" s="213">
        <v>8.399999999999999</v>
      </c>
      <c r="BF293" s="213">
        <v>5.6</v>
      </c>
      <c r="BG293" s="212">
        <v>9.666666666666668</v>
      </c>
      <c r="BH293" s="213">
        <v>8.416666666666666</v>
      </c>
      <c r="BI293" s="213">
        <v>0.0013503086423346151</v>
      </c>
      <c r="BJ293" s="213">
        <v>0.0014274691347964108</v>
      </c>
      <c r="BK293" s="213">
        <v>255.0</v>
      </c>
      <c r="BL293" s="212">
        <v>5.5</v>
      </c>
      <c r="BM293" s="213">
        <v>2.375</v>
      </c>
      <c r="BN293" s="213">
        <v>0.0027006172846692302</v>
      </c>
      <c r="BO293" s="213">
        <v>0.0028549382695928216</v>
      </c>
      <c r="BP293" s="213">
        <v>127.5</v>
      </c>
      <c r="BQ293" s="192"/>
      <c r="BR293" s="192"/>
    </row>
    <row r="294">
      <c r="A294" s="60">
        <v>3853742.0</v>
      </c>
      <c r="B294" s="205">
        <v>2643263.0</v>
      </c>
      <c r="C294" s="205">
        <v>1272023.0</v>
      </c>
      <c r="D294" s="205">
        <v>1.0</v>
      </c>
      <c r="E294" s="207">
        <v>44108.95768518519</v>
      </c>
      <c r="F294" s="207">
        <v>44444.75246527778</v>
      </c>
      <c r="G294" s="207">
        <v>44437.269525462965</v>
      </c>
      <c r="H294" s="63" t="s">
        <v>960</v>
      </c>
      <c r="I294" s="205">
        <v>154.0</v>
      </c>
      <c r="J294" s="63" t="s">
        <v>2342</v>
      </c>
      <c r="K294" s="205">
        <v>6816873.0</v>
      </c>
      <c r="L294" s="208">
        <v>4.58903</v>
      </c>
      <c r="M294" s="208">
        <v>2.46422</v>
      </c>
      <c r="N294" s="208">
        <v>1.81649</v>
      </c>
      <c r="O294" s="209">
        <v>5.0</v>
      </c>
      <c r="P294" s="209">
        <v>8.0</v>
      </c>
      <c r="Q294" s="209">
        <v>8.0</v>
      </c>
      <c r="R294" s="209">
        <v>6.0</v>
      </c>
      <c r="S294" s="210">
        <v>0.0017939814824785572</v>
      </c>
      <c r="U294" s="205">
        <v>5.0</v>
      </c>
      <c r="V294" s="205">
        <v>2.0</v>
      </c>
      <c r="W294" s="63" t="s">
        <v>2343</v>
      </c>
      <c r="X294" s="210">
        <v>0.0017939814824785572</v>
      </c>
      <c r="Y294" s="63" t="s">
        <v>2344</v>
      </c>
      <c r="Z294" s="63" t="s">
        <v>2345</v>
      </c>
      <c r="AA294" s="205">
        <v>0.0</v>
      </c>
      <c r="AB294" s="63" t="s">
        <v>2346</v>
      </c>
      <c r="AC294" s="205">
        <v>696.0</v>
      </c>
      <c r="AD294" s="208">
        <v>8.91756</v>
      </c>
      <c r="AE294" s="205">
        <v>143956.0</v>
      </c>
      <c r="AF294" s="205">
        <v>7410.0</v>
      </c>
      <c r="AG294" s="205">
        <v>362.0</v>
      </c>
      <c r="AH294" s="205">
        <v>168.0</v>
      </c>
      <c r="AI294" s="205">
        <v>0.0</v>
      </c>
      <c r="AJ294" s="205">
        <v>701.0</v>
      </c>
      <c r="AK294" s="205">
        <v>0.0</v>
      </c>
      <c r="AL294" s="205">
        <v>0.0</v>
      </c>
      <c r="AM294" s="205">
        <v>0.0</v>
      </c>
      <c r="AN294" s="205">
        <v>0.0</v>
      </c>
      <c r="AO294" s="208">
        <v>4.06882</v>
      </c>
      <c r="AP294" s="208">
        <v>5.25025</v>
      </c>
      <c r="AQ294" s="208">
        <v>6.48968</v>
      </c>
      <c r="AR294" s="208">
        <v>3.64312</v>
      </c>
      <c r="AT294" s="192" t="s">
        <v>560</v>
      </c>
      <c r="AU294" s="211" t="s">
        <v>559</v>
      </c>
      <c r="AV294" s="211" t="s">
        <v>2347</v>
      </c>
      <c r="AW294" s="211" t="s">
        <v>2348</v>
      </c>
      <c r="AX294" s="211" t="s">
        <v>560</v>
      </c>
      <c r="AY294" s="212">
        <v>2.5</v>
      </c>
      <c r="AZ294" s="213">
        <v>4.0</v>
      </c>
      <c r="BA294" s="213">
        <v>4.0</v>
      </c>
      <c r="BB294" s="213">
        <v>3.0</v>
      </c>
      <c r="BC294" s="212">
        <v>6.5</v>
      </c>
      <c r="BD294" s="213">
        <v>10.0</v>
      </c>
      <c r="BE294" s="213">
        <v>10.0</v>
      </c>
      <c r="BF294" s="213">
        <v>8.399999999999999</v>
      </c>
      <c r="BG294" s="212">
        <v>9.666666666666668</v>
      </c>
      <c r="BH294" s="213">
        <v>9.75</v>
      </c>
      <c r="BI294" s="213">
        <v>0.0011959876549857047</v>
      </c>
      <c r="BJ294" s="213">
        <v>0.0011959876549857047</v>
      </c>
      <c r="BK294" s="213">
        <v>231.0</v>
      </c>
      <c r="BL294" s="212">
        <v>5.5</v>
      </c>
      <c r="BM294" s="213">
        <v>5.375</v>
      </c>
      <c r="BN294" s="213">
        <v>0.0023919753099714094</v>
      </c>
      <c r="BO294" s="213">
        <v>0.0023919753099714094</v>
      </c>
      <c r="BP294" s="213">
        <v>115.5</v>
      </c>
      <c r="BQ294" s="192"/>
      <c r="BR294" s="192"/>
    </row>
    <row r="295">
      <c r="A295" s="60">
        <v>3821597.0</v>
      </c>
      <c r="B295" s="205">
        <v>1403845.0</v>
      </c>
      <c r="C295" s="205">
        <v>663220.0</v>
      </c>
      <c r="D295" s="205">
        <v>1.0</v>
      </c>
      <c r="E295" s="207">
        <v>42979.768055555556</v>
      </c>
      <c r="F295" s="207">
        <v>44075.40626157407</v>
      </c>
      <c r="G295" s="207">
        <v>44060.72508101852</v>
      </c>
      <c r="H295" s="63" t="s">
        <v>2349</v>
      </c>
      <c r="I295" s="205">
        <v>160.0</v>
      </c>
      <c r="J295" s="63" t="s">
        <v>2350</v>
      </c>
      <c r="K295" s="205">
        <v>7149815.0</v>
      </c>
      <c r="L295" s="208">
        <v>4.99689</v>
      </c>
      <c r="M295" s="208">
        <v>2.4626</v>
      </c>
      <c r="N295" s="208">
        <v>2.31542</v>
      </c>
      <c r="O295" s="209">
        <v>4.0</v>
      </c>
      <c r="P295" s="209">
        <v>9.0</v>
      </c>
      <c r="Q295" s="209">
        <v>8.0</v>
      </c>
      <c r="R295" s="209">
        <v>6.0</v>
      </c>
      <c r="S295" s="210">
        <v>0.001967592594155576</v>
      </c>
      <c r="U295" s="205">
        <v>10.0</v>
      </c>
      <c r="V295" s="205">
        <v>3.0</v>
      </c>
      <c r="W295" s="63" t="s">
        <v>2351</v>
      </c>
      <c r="X295" s="210">
        <v>0.0023726851868559606</v>
      </c>
      <c r="Y295" s="63" t="s">
        <v>2352</v>
      </c>
      <c r="Z295" s="63" t="s">
        <v>2353</v>
      </c>
      <c r="AA295" s="205">
        <v>0.0</v>
      </c>
      <c r="AB295" s="63" t="s">
        <v>2354</v>
      </c>
      <c r="AC295" s="205">
        <v>376.0</v>
      </c>
      <c r="AD295" s="208">
        <v>9.4938</v>
      </c>
      <c r="AE295" s="205">
        <v>64540.0</v>
      </c>
      <c r="AF295" s="205">
        <v>7534.0</v>
      </c>
      <c r="AG295" s="205">
        <v>424.0</v>
      </c>
      <c r="AH295" s="205">
        <v>323.0</v>
      </c>
      <c r="AI295" s="205">
        <v>2.0</v>
      </c>
      <c r="AJ295" s="205">
        <v>1219.0</v>
      </c>
      <c r="AK295" s="205">
        <v>1.0</v>
      </c>
      <c r="AL295" s="205">
        <v>0.0</v>
      </c>
      <c r="AM295" s="205">
        <v>0.0</v>
      </c>
      <c r="AN295" s="205">
        <v>0.0</v>
      </c>
      <c r="AO295" s="208">
        <v>4.60761</v>
      </c>
      <c r="AP295" s="208">
        <v>5.24867</v>
      </c>
      <c r="AQ295" s="208">
        <v>7.0542</v>
      </c>
      <c r="AR295" s="208">
        <v>3.96955</v>
      </c>
      <c r="AT295" s="192" t="s">
        <v>562</v>
      </c>
      <c r="AU295" s="211" t="s">
        <v>561</v>
      </c>
      <c r="AV295" s="211" t="s">
        <v>2355</v>
      </c>
      <c r="AW295" s="211" t="s">
        <v>2356</v>
      </c>
      <c r="AX295" s="211" t="s">
        <v>562</v>
      </c>
      <c r="AY295" s="212">
        <v>2.0</v>
      </c>
      <c r="AZ295" s="213">
        <v>4.5</v>
      </c>
      <c r="BA295" s="213">
        <v>4.0</v>
      </c>
      <c r="BB295" s="213">
        <v>3.0</v>
      </c>
      <c r="BC295" s="212">
        <v>5.2</v>
      </c>
      <c r="BD295" s="213">
        <v>10.0</v>
      </c>
      <c r="BE295" s="213">
        <v>10.0</v>
      </c>
      <c r="BF295" s="213">
        <v>8.399999999999999</v>
      </c>
      <c r="BG295" s="212">
        <v>10.333333333333332</v>
      </c>
      <c r="BH295" s="213">
        <v>9.75</v>
      </c>
      <c r="BI295" s="213">
        <v>0.0013117283961037174</v>
      </c>
      <c r="BJ295" s="213">
        <v>0.0015817901245706405</v>
      </c>
      <c r="BK295" s="213">
        <v>240.0</v>
      </c>
      <c r="BL295" s="212">
        <v>7.0</v>
      </c>
      <c r="BM295" s="213">
        <v>5.375</v>
      </c>
      <c r="BN295" s="213">
        <v>0.0026234567922074348</v>
      </c>
      <c r="BO295" s="213">
        <v>0.003163580249141281</v>
      </c>
      <c r="BP295" s="213">
        <v>120.0</v>
      </c>
      <c r="BQ295" s="192"/>
      <c r="BR295" s="192"/>
    </row>
    <row r="296">
      <c r="A296" s="60">
        <v>2288966.0</v>
      </c>
      <c r="B296" s="205">
        <v>2872861.0</v>
      </c>
      <c r="C296" s="205">
        <v>1391326.0</v>
      </c>
      <c r="D296" s="205">
        <v>1.0</v>
      </c>
      <c r="E296" s="207">
        <v>44258.72259259259</v>
      </c>
      <c r="F296" s="207">
        <v>44372.79353009259</v>
      </c>
      <c r="G296" s="207">
        <v>44365.294583333336</v>
      </c>
      <c r="H296" s="63" t="s">
        <v>2357</v>
      </c>
      <c r="I296" s="205">
        <v>161.0</v>
      </c>
      <c r="J296" s="63" t="s">
        <v>2358</v>
      </c>
      <c r="K296" s="205">
        <v>2226083.0</v>
      </c>
      <c r="L296" s="208">
        <v>4.84407</v>
      </c>
      <c r="M296" s="208">
        <v>2.43691</v>
      </c>
      <c r="N296" s="208">
        <v>2.18389</v>
      </c>
      <c r="O296" s="209">
        <v>4.0</v>
      </c>
      <c r="P296" s="209">
        <v>8.0</v>
      </c>
      <c r="Q296" s="209">
        <v>7.0</v>
      </c>
      <c r="R296" s="209">
        <v>5.0</v>
      </c>
      <c r="S296" s="210">
        <v>0.0018171296287619043</v>
      </c>
      <c r="T296" s="63" t="s">
        <v>2359</v>
      </c>
      <c r="U296" s="205">
        <v>3.0</v>
      </c>
      <c r="V296" s="205">
        <v>3.0</v>
      </c>
      <c r="W296" s="63" t="s">
        <v>2360</v>
      </c>
      <c r="X296" s="210">
        <v>0.0018750000017462298</v>
      </c>
      <c r="Y296" s="63" t="s">
        <v>2361</v>
      </c>
      <c r="Z296" s="63" t="s">
        <v>2362</v>
      </c>
      <c r="AA296" s="205">
        <v>0.0</v>
      </c>
      <c r="AB296" s="63" t="s">
        <v>2363</v>
      </c>
      <c r="AC296" s="205">
        <v>2168.0</v>
      </c>
      <c r="AD296" s="208">
        <v>9.15372</v>
      </c>
      <c r="AE296" s="205">
        <v>89407.0</v>
      </c>
      <c r="AF296" s="205">
        <v>3793.0</v>
      </c>
      <c r="AG296" s="205">
        <v>476.0</v>
      </c>
      <c r="AH296" s="205">
        <v>159.0</v>
      </c>
      <c r="AI296" s="205">
        <v>1.0</v>
      </c>
      <c r="AJ296" s="205">
        <v>825.0</v>
      </c>
      <c r="AK296" s="205">
        <v>0.0</v>
      </c>
      <c r="AL296" s="205">
        <v>0.0</v>
      </c>
      <c r="AM296" s="205">
        <v>0.0</v>
      </c>
      <c r="AN296" s="205">
        <v>0.0</v>
      </c>
      <c r="AO296" s="208">
        <v>4.48519</v>
      </c>
      <c r="AP296" s="208">
        <v>5.07736</v>
      </c>
      <c r="AQ296" s="208">
        <v>6.81699</v>
      </c>
      <c r="AR296" s="208">
        <v>3.84977</v>
      </c>
      <c r="AT296" s="192" t="s">
        <v>564</v>
      </c>
      <c r="AU296" s="211" t="s">
        <v>563</v>
      </c>
      <c r="AV296" s="211" t="s">
        <v>2364</v>
      </c>
      <c r="AW296" s="211" t="s">
        <v>2365</v>
      </c>
      <c r="AX296" s="211" t="s">
        <v>564</v>
      </c>
      <c r="AY296" s="212">
        <v>2.0</v>
      </c>
      <c r="AZ296" s="213">
        <v>4.0</v>
      </c>
      <c r="BA296" s="213">
        <v>3.5</v>
      </c>
      <c r="BB296" s="213">
        <v>2.5</v>
      </c>
      <c r="BC296" s="212">
        <v>5.2</v>
      </c>
      <c r="BD296" s="213">
        <v>10.0</v>
      </c>
      <c r="BE296" s="213">
        <v>9.799999999999999</v>
      </c>
      <c r="BF296" s="213">
        <v>7.0</v>
      </c>
      <c r="BG296" s="212">
        <v>9.666666666666668</v>
      </c>
      <c r="BH296" s="213">
        <v>9.083333333333334</v>
      </c>
      <c r="BI296" s="213">
        <v>0.0012114197525079362</v>
      </c>
      <c r="BJ296" s="213">
        <v>0.0012500000011641532</v>
      </c>
      <c r="BK296" s="213">
        <v>241.5</v>
      </c>
      <c r="BL296" s="212">
        <v>5.5</v>
      </c>
      <c r="BM296" s="213">
        <v>3.875</v>
      </c>
      <c r="BN296" s="213">
        <v>0.0024228395050158724</v>
      </c>
      <c r="BO296" s="213">
        <v>0.0025000000023283064</v>
      </c>
      <c r="BP296" s="213">
        <v>120.75</v>
      </c>
      <c r="BQ296" s="192"/>
      <c r="BR296" s="192"/>
    </row>
    <row r="297">
      <c r="A297" s="60">
        <v>3039329.0</v>
      </c>
      <c r="B297" s="205">
        <v>2872861.0</v>
      </c>
      <c r="C297" s="205">
        <v>1391326.0</v>
      </c>
      <c r="D297" s="205">
        <v>1.0</v>
      </c>
      <c r="E297" s="207">
        <v>44258.72259259259</v>
      </c>
      <c r="F297" s="207">
        <v>44372.79353009259</v>
      </c>
      <c r="G297" s="207">
        <v>44365.294583333336</v>
      </c>
      <c r="H297" s="63" t="s">
        <v>2357</v>
      </c>
      <c r="I297" s="205">
        <v>161.0</v>
      </c>
      <c r="J297" s="63" t="s">
        <v>2358</v>
      </c>
      <c r="K297" s="205">
        <v>2226083.0</v>
      </c>
      <c r="L297" s="208">
        <v>4.84407</v>
      </c>
      <c r="M297" s="208">
        <v>2.43691</v>
      </c>
      <c r="N297" s="208">
        <v>2.18389</v>
      </c>
      <c r="O297" s="209">
        <v>4.0</v>
      </c>
      <c r="P297" s="209">
        <v>8.0</v>
      </c>
      <c r="Q297" s="209">
        <v>7.0</v>
      </c>
      <c r="R297" s="209">
        <v>5.0</v>
      </c>
      <c r="S297" s="210">
        <v>0.0018171296287619043</v>
      </c>
      <c r="T297" s="63" t="s">
        <v>2359</v>
      </c>
      <c r="U297" s="205">
        <v>3.0</v>
      </c>
      <c r="V297" s="205">
        <v>3.0</v>
      </c>
      <c r="W297" s="63" t="s">
        <v>2360</v>
      </c>
      <c r="X297" s="210">
        <v>0.0018750000017462298</v>
      </c>
      <c r="Y297" s="63" t="s">
        <v>2361</v>
      </c>
      <c r="Z297" s="63" t="s">
        <v>2362</v>
      </c>
      <c r="AA297" s="205">
        <v>0.0</v>
      </c>
      <c r="AB297" s="63" t="s">
        <v>2363</v>
      </c>
      <c r="AC297" s="205">
        <v>2168.0</v>
      </c>
      <c r="AD297" s="208">
        <v>9.15372</v>
      </c>
      <c r="AE297" s="205">
        <v>89407.0</v>
      </c>
      <c r="AF297" s="205">
        <v>3793.0</v>
      </c>
      <c r="AG297" s="205">
        <v>476.0</v>
      </c>
      <c r="AH297" s="205">
        <v>159.0</v>
      </c>
      <c r="AI297" s="205">
        <v>1.0</v>
      </c>
      <c r="AJ297" s="205">
        <v>825.0</v>
      </c>
      <c r="AK297" s="205">
        <v>0.0</v>
      </c>
      <c r="AL297" s="205">
        <v>0.0</v>
      </c>
      <c r="AM297" s="205">
        <v>0.0</v>
      </c>
      <c r="AN297" s="205">
        <v>0.0</v>
      </c>
      <c r="AO297" s="208">
        <v>4.48519</v>
      </c>
      <c r="AP297" s="208">
        <v>5.07736</v>
      </c>
      <c r="AQ297" s="208">
        <v>6.81699</v>
      </c>
      <c r="AR297" s="208">
        <v>3.84977</v>
      </c>
      <c r="AT297" s="192" t="s">
        <v>564</v>
      </c>
      <c r="AU297" s="211" t="s">
        <v>563</v>
      </c>
      <c r="AV297" s="211" t="s">
        <v>2364</v>
      </c>
      <c r="AW297" s="211" t="s">
        <v>2365</v>
      </c>
      <c r="AX297" s="211" t="s">
        <v>564</v>
      </c>
      <c r="AY297" s="212">
        <v>2.0</v>
      </c>
      <c r="AZ297" s="213">
        <v>4.0</v>
      </c>
      <c r="BA297" s="213">
        <v>3.5</v>
      </c>
      <c r="BB297" s="213">
        <v>2.5</v>
      </c>
      <c r="BC297" s="212">
        <v>5.2</v>
      </c>
      <c r="BD297" s="213">
        <v>10.0</v>
      </c>
      <c r="BE297" s="213">
        <v>9.799999999999999</v>
      </c>
      <c r="BF297" s="213">
        <v>7.0</v>
      </c>
      <c r="BG297" s="212">
        <v>9.666666666666668</v>
      </c>
      <c r="BH297" s="213">
        <v>9.083333333333334</v>
      </c>
      <c r="BI297" s="213">
        <v>0.0012114197525079362</v>
      </c>
      <c r="BJ297" s="213">
        <v>0.0012500000011641532</v>
      </c>
      <c r="BK297" s="213">
        <v>241.5</v>
      </c>
      <c r="BL297" s="212">
        <v>5.5</v>
      </c>
      <c r="BM297" s="213">
        <v>3.875</v>
      </c>
      <c r="BN297" s="213">
        <v>0.0024228395050158724</v>
      </c>
      <c r="BO297" s="213">
        <v>0.0025000000023283064</v>
      </c>
      <c r="BP297" s="213">
        <v>120.75</v>
      </c>
      <c r="BQ297" s="192"/>
      <c r="BR297" s="192"/>
    </row>
    <row r="298">
      <c r="A298" s="60">
        <v>3752605.0</v>
      </c>
      <c r="B298" s="205">
        <v>74779.0</v>
      </c>
      <c r="C298" s="205">
        <v>20817.0</v>
      </c>
      <c r="D298" s="205">
        <v>1.0</v>
      </c>
      <c r="E298" s="207">
        <v>40448.636030092595</v>
      </c>
      <c r="F298" s="207">
        <v>40471.59152777778</v>
      </c>
      <c r="G298" s="207">
        <v>40471.58694444445</v>
      </c>
      <c r="H298" s="63" t="s">
        <v>2125</v>
      </c>
      <c r="I298" s="205">
        <v>145.0</v>
      </c>
      <c r="J298" s="63" t="s">
        <v>2126</v>
      </c>
      <c r="K298" s="205">
        <v>151679.0</v>
      </c>
      <c r="L298" s="208">
        <v>4.21931</v>
      </c>
      <c r="M298" s="208">
        <v>2.05216</v>
      </c>
      <c r="N298" s="208">
        <v>1.98554</v>
      </c>
      <c r="O298" s="209">
        <v>5.0</v>
      </c>
      <c r="P298" s="209">
        <v>8.0</v>
      </c>
      <c r="Q298" s="209">
        <v>8.0</v>
      </c>
      <c r="R298" s="209">
        <v>6.0</v>
      </c>
      <c r="S298" s="210">
        <v>0.001747685186273884</v>
      </c>
      <c r="T298" s="63" t="s">
        <v>1708</v>
      </c>
      <c r="U298" s="205">
        <v>4.0</v>
      </c>
      <c r="V298" s="205">
        <v>3.0</v>
      </c>
      <c r="W298" s="63" t="s">
        <v>2127</v>
      </c>
      <c r="X298" s="210">
        <v>0.001921296297950903</v>
      </c>
      <c r="Y298" s="63" t="s">
        <v>2366</v>
      </c>
      <c r="Z298" s="63" t="s">
        <v>2367</v>
      </c>
      <c r="AA298" s="205">
        <v>0.0</v>
      </c>
      <c r="AB298" s="63" t="s">
        <v>2130</v>
      </c>
      <c r="AC298" s="205">
        <v>727.0</v>
      </c>
      <c r="AD298" s="208">
        <v>9.24368</v>
      </c>
      <c r="AE298" s="205">
        <v>168404.0</v>
      </c>
      <c r="AF298" s="205">
        <v>22373.0</v>
      </c>
      <c r="AG298" s="205">
        <v>369.0</v>
      </c>
      <c r="AH298" s="205">
        <v>191.0</v>
      </c>
      <c r="AI298" s="205">
        <v>1.0</v>
      </c>
      <c r="AJ298" s="205">
        <v>771.0</v>
      </c>
      <c r="AK298" s="205">
        <v>0.0</v>
      </c>
      <c r="AL298" s="205">
        <v>1.0</v>
      </c>
      <c r="AM298" s="205">
        <v>0.0</v>
      </c>
      <c r="AN298" s="205">
        <v>0.0</v>
      </c>
      <c r="AO298" s="208">
        <v>3.81253</v>
      </c>
      <c r="AP298" s="208">
        <v>4.78748</v>
      </c>
      <c r="AQ298" s="208">
        <v>5.9234</v>
      </c>
      <c r="AR298" s="208">
        <v>3.35265</v>
      </c>
      <c r="AT298" s="192" t="s">
        <v>487</v>
      </c>
      <c r="AU298" s="211" t="s">
        <v>486</v>
      </c>
      <c r="AV298" s="211" t="s">
        <v>2131</v>
      </c>
      <c r="AW298" s="211" t="s">
        <v>2132</v>
      </c>
      <c r="AX298" s="211" t="s">
        <v>487</v>
      </c>
      <c r="AY298" s="212">
        <v>2.5</v>
      </c>
      <c r="AZ298" s="213">
        <v>4.0</v>
      </c>
      <c r="BA298" s="213">
        <v>4.0</v>
      </c>
      <c r="BB298" s="213">
        <v>3.0</v>
      </c>
      <c r="BC298" s="212">
        <v>6.5</v>
      </c>
      <c r="BD298" s="213">
        <v>10.0</v>
      </c>
      <c r="BE298" s="213">
        <v>10.0</v>
      </c>
      <c r="BF298" s="213">
        <v>8.399999999999999</v>
      </c>
      <c r="BG298" s="212">
        <v>9.666666666666668</v>
      </c>
      <c r="BH298" s="213">
        <v>9.75</v>
      </c>
      <c r="BI298" s="213">
        <v>0.0011651234575159226</v>
      </c>
      <c r="BJ298" s="213">
        <v>0.0012808641986339353</v>
      </c>
      <c r="BK298" s="213">
        <v>217.5</v>
      </c>
      <c r="BL298" s="212">
        <v>5.5</v>
      </c>
      <c r="BM298" s="213">
        <v>5.375</v>
      </c>
      <c r="BN298" s="213">
        <v>0.0023302469150318452</v>
      </c>
      <c r="BO298" s="213">
        <v>0.0025617283972678706</v>
      </c>
      <c r="BP298" s="213">
        <v>108.75</v>
      </c>
      <c r="BQ298" s="192"/>
      <c r="BR298" s="192"/>
    </row>
    <row r="299">
      <c r="A299" s="60">
        <v>3714369.0</v>
      </c>
      <c r="B299" s="205">
        <v>74779.0</v>
      </c>
      <c r="C299" s="205">
        <v>20817.0</v>
      </c>
      <c r="D299" s="205">
        <v>1.0</v>
      </c>
      <c r="E299" s="207">
        <v>40448.636030092595</v>
      </c>
      <c r="F299" s="207">
        <v>40471.59152777778</v>
      </c>
      <c r="G299" s="207">
        <v>40471.58694444445</v>
      </c>
      <c r="H299" s="63" t="s">
        <v>2125</v>
      </c>
      <c r="I299" s="205">
        <v>145.0</v>
      </c>
      <c r="J299" s="63" t="s">
        <v>2126</v>
      </c>
      <c r="K299" s="205">
        <v>151679.0</v>
      </c>
      <c r="L299" s="208">
        <v>4.21931</v>
      </c>
      <c r="M299" s="208">
        <v>2.05216</v>
      </c>
      <c r="N299" s="208">
        <v>1.98554</v>
      </c>
      <c r="O299" s="209">
        <v>5.0</v>
      </c>
      <c r="P299" s="209">
        <v>8.0</v>
      </c>
      <c r="Q299" s="209">
        <v>8.0</v>
      </c>
      <c r="R299" s="209">
        <v>6.0</v>
      </c>
      <c r="S299" s="210">
        <v>0.001747685186273884</v>
      </c>
      <c r="T299" s="63" t="s">
        <v>1708</v>
      </c>
      <c r="U299" s="205">
        <v>4.0</v>
      </c>
      <c r="V299" s="205">
        <v>3.0</v>
      </c>
      <c r="W299" s="63" t="s">
        <v>2127</v>
      </c>
      <c r="X299" s="210">
        <v>0.001921296297950903</v>
      </c>
      <c r="Y299" s="63" t="s">
        <v>2366</v>
      </c>
      <c r="Z299" s="63" t="s">
        <v>2367</v>
      </c>
      <c r="AA299" s="205">
        <v>0.0</v>
      </c>
      <c r="AB299" s="63" t="s">
        <v>2130</v>
      </c>
      <c r="AC299" s="205">
        <v>727.0</v>
      </c>
      <c r="AD299" s="208">
        <v>9.24368</v>
      </c>
      <c r="AE299" s="205">
        <v>168404.0</v>
      </c>
      <c r="AF299" s="205">
        <v>22373.0</v>
      </c>
      <c r="AG299" s="205">
        <v>369.0</v>
      </c>
      <c r="AH299" s="205">
        <v>191.0</v>
      </c>
      <c r="AI299" s="205">
        <v>1.0</v>
      </c>
      <c r="AJ299" s="205">
        <v>771.0</v>
      </c>
      <c r="AK299" s="205">
        <v>0.0</v>
      </c>
      <c r="AL299" s="205">
        <v>1.0</v>
      </c>
      <c r="AM299" s="205">
        <v>0.0</v>
      </c>
      <c r="AN299" s="205">
        <v>0.0</v>
      </c>
      <c r="AO299" s="208">
        <v>3.81253</v>
      </c>
      <c r="AP299" s="208">
        <v>4.78748</v>
      </c>
      <c r="AQ299" s="208">
        <v>5.9234</v>
      </c>
      <c r="AR299" s="208">
        <v>3.35265</v>
      </c>
      <c r="AT299" s="192" t="s">
        <v>487</v>
      </c>
      <c r="AU299" s="211" t="s">
        <v>486</v>
      </c>
      <c r="AV299" s="211" t="s">
        <v>2131</v>
      </c>
      <c r="AW299" s="211" t="s">
        <v>2132</v>
      </c>
      <c r="AX299" s="211" t="s">
        <v>487</v>
      </c>
      <c r="AY299" s="212">
        <v>2.5</v>
      </c>
      <c r="AZ299" s="213">
        <v>4.0</v>
      </c>
      <c r="BA299" s="213">
        <v>4.0</v>
      </c>
      <c r="BB299" s="213">
        <v>3.0</v>
      </c>
      <c r="BC299" s="212">
        <v>6.5</v>
      </c>
      <c r="BD299" s="213">
        <v>10.0</v>
      </c>
      <c r="BE299" s="213">
        <v>10.0</v>
      </c>
      <c r="BF299" s="213">
        <v>8.399999999999999</v>
      </c>
      <c r="BG299" s="212">
        <v>9.666666666666668</v>
      </c>
      <c r="BH299" s="213">
        <v>9.75</v>
      </c>
      <c r="BI299" s="213">
        <v>0.0011651234575159226</v>
      </c>
      <c r="BJ299" s="213">
        <v>0.0012808641986339353</v>
      </c>
      <c r="BK299" s="213">
        <v>217.5</v>
      </c>
      <c r="BL299" s="212">
        <v>5.5</v>
      </c>
      <c r="BM299" s="213">
        <v>5.375</v>
      </c>
      <c r="BN299" s="213">
        <v>0.0023302469150318452</v>
      </c>
      <c r="BO299" s="213">
        <v>0.0025617283972678706</v>
      </c>
      <c r="BP299" s="213">
        <v>108.75</v>
      </c>
      <c r="BQ299" s="192"/>
      <c r="BR299" s="192"/>
    </row>
    <row r="300">
      <c r="A300" s="60">
        <v>3953905.0</v>
      </c>
      <c r="B300" s="205">
        <v>37750.0</v>
      </c>
      <c r="C300" s="205">
        <v>8923.0</v>
      </c>
      <c r="D300" s="205">
        <v>1.0</v>
      </c>
      <c r="E300" s="207">
        <v>40052.385092592594</v>
      </c>
      <c r="F300" s="207">
        <v>40107.09987268518</v>
      </c>
      <c r="G300" s="207">
        <v>40106.040671296294</v>
      </c>
      <c r="H300" s="63" t="s">
        <v>986</v>
      </c>
      <c r="I300" s="205">
        <v>160.0</v>
      </c>
      <c r="J300" s="63" t="s">
        <v>397</v>
      </c>
      <c r="K300" s="205">
        <v>7114.0</v>
      </c>
      <c r="L300" s="208">
        <v>4.32984</v>
      </c>
      <c r="M300" s="208">
        <v>1.90124</v>
      </c>
      <c r="N300" s="208">
        <v>2.21546</v>
      </c>
      <c r="O300" s="209">
        <v>5.0</v>
      </c>
      <c r="P300" s="209">
        <v>7.0</v>
      </c>
      <c r="Q300" s="209">
        <v>7.0</v>
      </c>
      <c r="R300" s="209">
        <v>7.0</v>
      </c>
      <c r="S300" s="210">
        <v>0.001354166666715173</v>
      </c>
      <c r="T300" s="63" t="s">
        <v>1488</v>
      </c>
      <c r="U300" s="205">
        <v>2.0</v>
      </c>
      <c r="V300" s="205">
        <v>2.0</v>
      </c>
      <c r="W300" s="63" t="s">
        <v>2368</v>
      </c>
      <c r="X300" s="210">
        <v>0.0015625000014551915</v>
      </c>
      <c r="Y300" s="63" t="s">
        <v>2369</v>
      </c>
      <c r="Z300" s="63" t="s">
        <v>2370</v>
      </c>
      <c r="AA300" s="205">
        <v>0.0</v>
      </c>
      <c r="AB300" s="63" t="s">
        <v>2371</v>
      </c>
      <c r="AC300" s="205">
        <v>56.0</v>
      </c>
      <c r="AD300" s="208">
        <v>9.07119</v>
      </c>
      <c r="AE300" s="205">
        <v>29313.0</v>
      </c>
      <c r="AF300" s="205">
        <v>3552.0</v>
      </c>
      <c r="AG300" s="205">
        <v>363.0</v>
      </c>
      <c r="AH300" s="205">
        <v>61.0</v>
      </c>
      <c r="AI300" s="205">
        <v>8.0</v>
      </c>
      <c r="AJ300" s="205">
        <v>522.0</v>
      </c>
      <c r="AK300" s="205">
        <v>0.0</v>
      </c>
      <c r="AL300" s="205">
        <v>0.0</v>
      </c>
      <c r="AM300" s="205">
        <v>0.0</v>
      </c>
      <c r="AN300" s="205">
        <v>0.0</v>
      </c>
      <c r="AO300" s="208">
        <v>3.85805</v>
      </c>
      <c r="AP300" s="208">
        <v>4.74237</v>
      </c>
      <c r="AQ300" s="208">
        <v>6.14927</v>
      </c>
      <c r="AR300" s="208">
        <v>3.39554</v>
      </c>
      <c r="AT300" s="192" t="s">
        <v>396</v>
      </c>
      <c r="AU300" s="211" t="s">
        <v>488</v>
      </c>
      <c r="AV300" s="211" t="s">
        <v>2372</v>
      </c>
      <c r="AW300" s="211" t="s">
        <v>2373</v>
      </c>
      <c r="AX300" s="211" t="s">
        <v>396</v>
      </c>
      <c r="AY300" s="212">
        <v>2.5</v>
      </c>
      <c r="AZ300" s="213">
        <v>3.5</v>
      </c>
      <c r="BA300" s="213">
        <v>3.5</v>
      </c>
      <c r="BB300" s="213">
        <v>3.5</v>
      </c>
      <c r="BC300" s="212">
        <v>6.5</v>
      </c>
      <c r="BD300" s="213">
        <v>9.799999999999999</v>
      </c>
      <c r="BE300" s="213">
        <v>9.799999999999999</v>
      </c>
      <c r="BF300" s="213">
        <v>9.799999999999999</v>
      </c>
      <c r="BG300" s="212">
        <v>9.0</v>
      </c>
      <c r="BH300" s="213">
        <v>9.083333333333334</v>
      </c>
      <c r="BI300" s="213">
        <v>9.027777778101154E-4</v>
      </c>
      <c r="BJ300" s="213">
        <v>0.0010416666676367943</v>
      </c>
      <c r="BK300" s="213">
        <v>240.0</v>
      </c>
      <c r="BL300" s="212">
        <v>4.0</v>
      </c>
      <c r="BM300" s="213">
        <v>3.875</v>
      </c>
      <c r="BN300" s="213">
        <v>0.0018055555556202307</v>
      </c>
      <c r="BO300" s="213">
        <v>0.0020833333352735886</v>
      </c>
      <c r="BP300" s="213">
        <v>120.0</v>
      </c>
      <c r="BQ300" s="192"/>
      <c r="BR300" s="192"/>
    </row>
    <row r="301">
      <c r="A301" s="60">
        <v>2690998.0</v>
      </c>
      <c r="B301" s="205">
        <v>37750.0</v>
      </c>
      <c r="C301" s="205">
        <v>8923.0</v>
      </c>
      <c r="D301" s="205">
        <v>1.0</v>
      </c>
      <c r="E301" s="207">
        <v>40052.385092592594</v>
      </c>
      <c r="F301" s="207">
        <v>40107.09987268518</v>
      </c>
      <c r="G301" s="207">
        <v>40106.040671296294</v>
      </c>
      <c r="H301" s="63" t="s">
        <v>986</v>
      </c>
      <c r="I301" s="205">
        <v>160.0</v>
      </c>
      <c r="J301" s="63" t="s">
        <v>397</v>
      </c>
      <c r="K301" s="205">
        <v>7114.0</v>
      </c>
      <c r="L301" s="208">
        <v>4.32984</v>
      </c>
      <c r="M301" s="208">
        <v>1.90124</v>
      </c>
      <c r="N301" s="208">
        <v>2.21546</v>
      </c>
      <c r="O301" s="209">
        <v>5.0</v>
      </c>
      <c r="P301" s="209">
        <v>7.0</v>
      </c>
      <c r="Q301" s="209">
        <v>7.0</v>
      </c>
      <c r="R301" s="209">
        <v>7.0</v>
      </c>
      <c r="S301" s="210">
        <v>0.001354166666715173</v>
      </c>
      <c r="T301" s="63" t="s">
        <v>1488</v>
      </c>
      <c r="U301" s="205">
        <v>2.0</v>
      </c>
      <c r="V301" s="205">
        <v>2.0</v>
      </c>
      <c r="W301" s="63" t="s">
        <v>2368</v>
      </c>
      <c r="X301" s="210">
        <v>0.0015625000014551915</v>
      </c>
      <c r="Y301" s="63" t="s">
        <v>2369</v>
      </c>
      <c r="Z301" s="63" t="s">
        <v>2370</v>
      </c>
      <c r="AA301" s="205">
        <v>0.0</v>
      </c>
      <c r="AB301" s="63" t="s">
        <v>2371</v>
      </c>
      <c r="AC301" s="205">
        <v>56.0</v>
      </c>
      <c r="AD301" s="208">
        <v>9.07119</v>
      </c>
      <c r="AE301" s="205">
        <v>29313.0</v>
      </c>
      <c r="AF301" s="205">
        <v>3552.0</v>
      </c>
      <c r="AG301" s="205">
        <v>363.0</v>
      </c>
      <c r="AH301" s="205">
        <v>61.0</v>
      </c>
      <c r="AI301" s="205">
        <v>8.0</v>
      </c>
      <c r="AJ301" s="205">
        <v>522.0</v>
      </c>
      <c r="AK301" s="205">
        <v>0.0</v>
      </c>
      <c r="AL301" s="205">
        <v>0.0</v>
      </c>
      <c r="AM301" s="205">
        <v>0.0</v>
      </c>
      <c r="AN301" s="205">
        <v>0.0</v>
      </c>
      <c r="AO301" s="208">
        <v>3.85805</v>
      </c>
      <c r="AP301" s="208">
        <v>4.74237</v>
      </c>
      <c r="AQ301" s="208">
        <v>6.14927</v>
      </c>
      <c r="AR301" s="208">
        <v>3.39554</v>
      </c>
      <c r="AT301" s="192" t="s">
        <v>396</v>
      </c>
      <c r="AU301" s="211" t="s">
        <v>488</v>
      </c>
      <c r="AV301" s="211" t="s">
        <v>2372</v>
      </c>
      <c r="AW301" s="211" t="s">
        <v>2373</v>
      </c>
      <c r="AX301" s="211" t="s">
        <v>396</v>
      </c>
      <c r="AY301" s="212">
        <v>2.5</v>
      </c>
      <c r="AZ301" s="213">
        <v>3.5</v>
      </c>
      <c r="BA301" s="213">
        <v>3.5</v>
      </c>
      <c r="BB301" s="213">
        <v>3.5</v>
      </c>
      <c r="BC301" s="212">
        <v>6.5</v>
      </c>
      <c r="BD301" s="213">
        <v>9.799999999999999</v>
      </c>
      <c r="BE301" s="213">
        <v>9.799999999999999</v>
      </c>
      <c r="BF301" s="213">
        <v>9.799999999999999</v>
      </c>
      <c r="BG301" s="212">
        <v>9.0</v>
      </c>
      <c r="BH301" s="213">
        <v>9.083333333333334</v>
      </c>
      <c r="BI301" s="213">
        <v>9.027777778101154E-4</v>
      </c>
      <c r="BJ301" s="213">
        <v>0.0010416666676367943</v>
      </c>
      <c r="BK301" s="213">
        <v>240.0</v>
      </c>
      <c r="BL301" s="212">
        <v>4.0</v>
      </c>
      <c r="BM301" s="213">
        <v>3.875</v>
      </c>
      <c r="BN301" s="213">
        <v>0.0018055555556202307</v>
      </c>
      <c r="BO301" s="213">
        <v>0.0020833333352735886</v>
      </c>
      <c r="BP301" s="213">
        <v>120.0</v>
      </c>
      <c r="BQ301" s="192"/>
      <c r="BR301" s="192"/>
    </row>
    <row r="302">
      <c r="A302" s="60">
        <v>309899.0</v>
      </c>
      <c r="B302" s="205">
        <v>2715749.0</v>
      </c>
      <c r="C302" s="205">
        <v>1109683.0</v>
      </c>
      <c r="D302" s="205">
        <v>-2.0</v>
      </c>
      <c r="E302" s="207">
        <v>43875.950266203705</v>
      </c>
      <c r="F302" s="215"/>
      <c r="G302" s="207">
        <v>44228.95150462963</v>
      </c>
      <c r="H302" s="63" t="s">
        <v>994</v>
      </c>
      <c r="I302" s="205">
        <v>134.0</v>
      </c>
      <c r="J302" s="63" t="s">
        <v>502</v>
      </c>
      <c r="K302" s="205">
        <v>3533958.0</v>
      </c>
      <c r="L302" s="208">
        <v>5.03898</v>
      </c>
      <c r="M302" s="208">
        <v>2.52546</v>
      </c>
      <c r="N302" s="208">
        <v>2.28395</v>
      </c>
      <c r="O302" s="209">
        <v>3.0</v>
      </c>
      <c r="P302" s="209">
        <v>9.2</v>
      </c>
      <c r="Q302" s="209">
        <v>8.0</v>
      </c>
      <c r="R302" s="209">
        <v>5.0</v>
      </c>
      <c r="S302" s="210">
        <v>0.0016550925938645378</v>
      </c>
      <c r="T302" s="63" t="s">
        <v>2374</v>
      </c>
      <c r="U302" s="205">
        <v>14.0</v>
      </c>
      <c r="V302" s="205">
        <v>3.0</v>
      </c>
      <c r="W302" s="63" t="s">
        <v>2375</v>
      </c>
      <c r="X302" s="210">
        <v>0.0017708333325572312</v>
      </c>
      <c r="Y302" s="63" t="s">
        <v>2376</v>
      </c>
      <c r="Z302" s="63" t="s">
        <v>2377</v>
      </c>
      <c r="AA302" s="205">
        <v>0.0</v>
      </c>
      <c r="AB302" s="63" t="s">
        <v>2378</v>
      </c>
      <c r="AC302" s="205">
        <v>110.0</v>
      </c>
      <c r="AD302" s="208">
        <v>0.0</v>
      </c>
      <c r="AE302" s="205">
        <v>3853.0</v>
      </c>
      <c r="AF302" s="205">
        <v>386.0</v>
      </c>
      <c r="AG302" s="205">
        <v>317.0</v>
      </c>
      <c r="AH302" s="205">
        <v>259.0</v>
      </c>
      <c r="AI302" s="205">
        <v>6.0</v>
      </c>
      <c r="AJ302" s="205">
        <v>851.0</v>
      </c>
      <c r="AK302" s="205">
        <v>0.0</v>
      </c>
      <c r="AL302" s="205">
        <v>0.0</v>
      </c>
      <c r="AM302" s="205">
        <v>0.0</v>
      </c>
      <c r="AN302" s="205">
        <v>0.0</v>
      </c>
      <c r="AO302" s="208">
        <v>4.69804</v>
      </c>
      <c r="AP302" s="208">
        <v>5.26684</v>
      </c>
      <c r="AQ302" s="208">
        <v>7.13969</v>
      </c>
      <c r="AR302" s="208">
        <v>3.99422</v>
      </c>
      <c r="AT302" s="192" t="s">
        <v>501</v>
      </c>
      <c r="AU302" s="211" t="s">
        <v>565</v>
      </c>
      <c r="AV302" s="211" t="s">
        <v>2379</v>
      </c>
      <c r="AW302" s="211" t="s">
        <v>2380</v>
      </c>
      <c r="AX302" s="211" t="s">
        <v>501</v>
      </c>
      <c r="AY302" s="212">
        <v>1.5</v>
      </c>
      <c r="AZ302" s="213">
        <v>4.6</v>
      </c>
      <c r="BA302" s="213">
        <v>4.0</v>
      </c>
      <c r="BB302" s="213">
        <v>2.5</v>
      </c>
      <c r="BC302" s="212">
        <v>3.9000000000000004</v>
      </c>
      <c r="BD302" s="213">
        <v>10.0</v>
      </c>
      <c r="BE302" s="213">
        <v>10.0</v>
      </c>
      <c r="BF302" s="213">
        <v>7.0</v>
      </c>
      <c r="BG302" s="212">
        <v>10.466666666666667</v>
      </c>
      <c r="BH302" s="213">
        <v>9.75</v>
      </c>
      <c r="BI302" s="213">
        <v>0.0011033950625763584</v>
      </c>
      <c r="BJ302" s="213">
        <v>0.0011805555550381541</v>
      </c>
      <c r="BK302" s="213">
        <v>201.0</v>
      </c>
      <c r="BL302" s="212">
        <v>7.299999999999999</v>
      </c>
      <c r="BM302" s="213">
        <v>5.375</v>
      </c>
      <c r="BN302" s="213">
        <v>0.002206790125152717</v>
      </c>
      <c r="BO302" s="213">
        <v>0.0023611111100763083</v>
      </c>
      <c r="BP302" s="213">
        <v>100.5</v>
      </c>
      <c r="BQ302" s="192"/>
      <c r="BR302" s="192"/>
    </row>
    <row r="303">
      <c r="A303" s="60">
        <v>3461206.0</v>
      </c>
      <c r="B303" s="205">
        <v>2044890.0</v>
      </c>
      <c r="C303" s="205">
        <v>967021.0</v>
      </c>
      <c r="D303" s="205">
        <v>1.0</v>
      </c>
      <c r="E303" s="207">
        <v>43590.54070601852</v>
      </c>
      <c r="F303" s="207">
        <v>44373.37825231481</v>
      </c>
      <c r="G303" s="207">
        <v>44363.89582175926</v>
      </c>
      <c r="H303" s="63" t="s">
        <v>972</v>
      </c>
      <c r="I303" s="205">
        <v>170.0</v>
      </c>
      <c r="J303" s="63" t="s">
        <v>521</v>
      </c>
      <c r="K303" s="205">
        <v>8845986.0</v>
      </c>
      <c r="L303" s="208">
        <v>5.03191</v>
      </c>
      <c r="M303" s="208">
        <v>2.42751</v>
      </c>
      <c r="N303" s="208">
        <v>2.38899</v>
      </c>
      <c r="O303" s="209">
        <v>3.8</v>
      </c>
      <c r="P303" s="209">
        <v>9.1</v>
      </c>
      <c r="Q303" s="209">
        <v>8.0</v>
      </c>
      <c r="R303" s="209">
        <v>5.0</v>
      </c>
      <c r="S303" s="210">
        <v>0.002222222221462289</v>
      </c>
      <c r="U303" s="205">
        <v>10.0</v>
      </c>
      <c r="V303" s="205">
        <v>5.0</v>
      </c>
      <c r="W303" s="63" t="s">
        <v>2381</v>
      </c>
      <c r="X303" s="210">
        <v>0.0022337962946039625</v>
      </c>
      <c r="Y303" s="63" t="s">
        <v>1116</v>
      </c>
      <c r="Z303" s="63" t="s">
        <v>2382</v>
      </c>
      <c r="AA303" s="205">
        <v>0.0</v>
      </c>
      <c r="AB303" s="63" t="s">
        <v>2383</v>
      </c>
      <c r="AC303" s="205">
        <v>1396.0</v>
      </c>
      <c r="AD303" s="208">
        <v>9.499</v>
      </c>
      <c r="AE303" s="205">
        <v>289801.0</v>
      </c>
      <c r="AF303" s="205">
        <v>43240.0</v>
      </c>
      <c r="AG303" s="205">
        <v>345.0</v>
      </c>
      <c r="AH303" s="205">
        <v>498.0</v>
      </c>
      <c r="AI303" s="205">
        <v>0.0</v>
      </c>
      <c r="AJ303" s="205">
        <v>1393.0</v>
      </c>
      <c r="AK303" s="205">
        <v>0.0</v>
      </c>
      <c r="AL303" s="205">
        <v>0.0</v>
      </c>
      <c r="AM303" s="205">
        <v>0.0</v>
      </c>
      <c r="AN303" s="205">
        <v>0.0</v>
      </c>
      <c r="AO303" s="208">
        <v>4.62728</v>
      </c>
      <c r="AP303" s="208">
        <v>5.33194</v>
      </c>
      <c r="AQ303" s="208">
        <v>7.12574</v>
      </c>
      <c r="AR303" s="208">
        <v>3.97503</v>
      </c>
      <c r="AT303" s="192" t="s">
        <v>520</v>
      </c>
      <c r="AU303" s="211" t="s">
        <v>566</v>
      </c>
      <c r="AV303" s="211" t="s">
        <v>2384</v>
      </c>
      <c r="AW303" s="211" t="s">
        <v>2385</v>
      </c>
      <c r="AX303" s="211" t="s">
        <v>520</v>
      </c>
      <c r="AY303" s="212">
        <v>1.9</v>
      </c>
      <c r="AZ303" s="213">
        <v>4.55</v>
      </c>
      <c r="BA303" s="213">
        <v>4.0</v>
      </c>
      <c r="BB303" s="213">
        <v>2.5</v>
      </c>
      <c r="BC303" s="212">
        <v>4.9399999999999995</v>
      </c>
      <c r="BD303" s="213">
        <v>10.0</v>
      </c>
      <c r="BE303" s="213">
        <v>10.0</v>
      </c>
      <c r="BF303" s="213">
        <v>7.0</v>
      </c>
      <c r="BG303" s="212">
        <v>10.4</v>
      </c>
      <c r="BH303" s="213">
        <v>9.75</v>
      </c>
      <c r="BI303" s="213">
        <v>0.0014814814809748593</v>
      </c>
      <c r="BJ303" s="213">
        <v>0.001489197529735975</v>
      </c>
      <c r="BK303" s="213">
        <v>255.0</v>
      </c>
      <c r="BL303" s="212">
        <v>7.15</v>
      </c>
      <c r="BM303" s="213">
        <v>5.375</v>
      </c>
      <c r="BN303" s="213">
        <v>0.0029629629619497186</v>
      </c>
      <c r="BO303" s="213">
        <v>0.00297839505947195</v>
      </c>
      <c r="BP303" s="213">
        <v>127.5</v>
      </c>
      <c r="BQ303" s="192"/>
      <c r="BR303" s="192"/>
    </row>
    <row r="304">
      <c r="A304" s="60">
        <v>309900.0</v>
      </c>
      <c r="B304" s="205">
        <v>3454421.0</v>
      </c>
      <c r="C304" s="205">
        <v>1676960.0</v>
      </c>
      <c r="D304" s="205">
        <v>1.0</v>
      </c>
      <c r="E304" s="207">
        <v>44578.712592592594</v>
      </c>
      <c r="F304" s="207">
        <v>44640.351365740746</v>
      </c>
      <c r="G304" s="207">
        <v>44633.33652777778</v>
      </c>
      <c r="H304" s="63" t="s">
        <v>1000</v>
      </c>
      <c r="I304" s="205">
        <v>206.0</v>
      </c>
      <c r="J304" s="63" t="s">
        <v>526</v>
      </c>
      <c r="K304" s="205">
        <v>1.3102983E7</v>
      </c>
      <c r="L304" s="208">
        <v>4.83791</v>
      </c>
      <c r="M304" s="208">
        <v>2.47538</v>
      </c>
      <c r="N304" s="208">
        <v>2.12449</v>
      </c>
      <c r="O304" s="209">
        <v>4.0</v>
      </c>
      <c r="P304" s="209">
        <v>9.0</v>
      </c>
      <c r="Q304" s="209">
        <v>8.0</v>
      </c>
      <c r="R304" s="209">
        <v>5.0</v>
      </c>
      <c r="S304" s="210">
        <v>0.002314814813871635</v>
      </c>
      <c r="U304" s="205">
        <v>5.0</v>
      </c>
      <c r="V304" s="205">
        <v>3.0</v>
      </c>
      <c r="W304" s="63" t="s">
        <v>2386</v>
      </c>
      <c r="X304" s="210">
        <v>0.0024074074062809814</v>
      </c>
      <c r="Y304" s="63" t="s">
        <v>1780</v>
      </c>
      <c r="Z304" s="63" t="s">
        <v>2387</v>
      </c>
      <c r="AA304" s="205">
        <v>0.0</v>
      </c>
      <c r="AB304" s="63" t="s">
        <v>2388</v>
      </c>
      <c r="AC304" s="205">
        <v>246.0</v>
      </c>
      <c r="AD304" s="208">
        <v>9.41521</v>
      </c>
      <c r="AE304" s="205">
        <v>32716.0</v>
      </c>
      <c r="AF304" s="205">
        <v>4645.0</v>
      </c>
      <c r="AG304" s="205">
        <v>337.0</v>
      </c>
      <c r="AH304" s="205">
        <v>389.0</v>
      </c>
      <c r="AI304" s="205">
        <v>0.0</v>
      </c>
      <c r="AJ304" s="205">
        <v>1146.0</v>
      </c>
      <c r="AK304" s="205">
        <v>0.0</v>
      </c>
      <c r="AL304" s="205">
        <v>0.0</v>
      </c>
      <c r="AM304" s="205">
        <v>0.0</v>
      </c>
      <c r="AN304" s="205">
        <v>0.0</v>
      </c>
      <c r="AO304" s="208">
        <v>4.3766</v>
      </c>
      <c r="AP304" s="208">
        <v>5.19533</v>
      </c>
      <c r="AQ304" s="208">
        <v>6.7878</v>
      </c>
      <c r="AR304" s="208">
        <v>3.87998</v>
      </c>
      <c r="AT304" s="192" t="s">
        <v>525</v>
      </c>
      <c r="AU304" s="211" t="s">
        <v>567</v>
      </c>
      <c r="AV304" s="211" t="s">
        <v>2389</v>
      </c>
      <c r="AW304" s="211" t="s">
        <v>2390</v>
      </c>
      <c r="AX304" s="211" t="s">
        <v>525</v>
      </c>
      <c r="AY304" s="212">
        <v>2.0</v>
      </c>
      <c r="AZ304" s="213">
        <v>4.5</v>
      </c>
      <c r="BA304" s="213">
        <v>4.0</v>
      </c>
      <c r="BB304" s="213">
        <v>2.5</v>
      </c>
      <c r="BC304" s="212">
        <v>5.2</v>
      </c>
      <c r="BD304" s="213">
        <v>10.0</v>
      </c>
      <c r="BE304" s="213">
        <v>10.0</v>
      </c>
      <c r="BF304" s="213">
        <v>7.0</v>
      </c>
      <c r="BG304" s="212">
        <v>10.333333333333332</v>
      </c>
      <c r="BH304" s="213">
        <v>9.75</v>
      </c>
      <c r="BI304" s="213">
        <v>0.0015432098759144235</v>
      </c>
      <c r="BJ304" s="213">
        <v>0.0016049382708539877</v>
      </c>
      <c r="BK304" s="213">
        <v>309.0</v>
      </c>
      <c r="BL304" s="212">
        <v>7.0</v>
      </c>
      <c r="BM304" s="213">
        <v>5.375</v>
      </c>
      <c r="BN304" s="213">
        <v>0.003086419751828847</v>
      </c>
      <c r="BO304" s="213">
        <v>0.0032098765417079753</v>
      </c>
      <c r="BP304" s="213">
        <v>154.5</v>
      </c>
      <c r="BQ304" s="192"/>
      <c r="BR304" s="192"/>
    </row>
    <row r="305">
      <c r="A305" s="60">
        <v>2279885.0</v>
      </c>
      <c r="B305" s="205">
        <v>3454421.0</v>
      </c>
      <c r="C305" s="205">
        <v>1676960.0</v>
      </c>
      <c r="D305" s="205">
        <v>1.0</v>
      </c>
      <c r="E305" s="207">
        <v>44578.712592592594</v>
      </c>
      <c r="F305" s="207">
        <v>44640.351365740746</v>
      </c>
      <c r="G305" s="207">
        <v>44633.33652777778</v>
      </c>
      <c r="H305" s="63" t="s">
        <v>1000</v>
      </c>
      <c r="I305" s="205">
        <v>206.0</v>
      </c>
      <c r="J305" s="63" t="s">
        <v>526</v>
      </c>
      <c r="K305" s="205">
        <v>1.3102983E7</v>
      </c>
      <c r="L305" s="208">
        <v>4.83791</v>
      </c>
      <c r="M305" s="208">
        <v>2.47538</v>
      </c>
      <c r="N305" s="208">
        <v>2.12449</v>
      </c>
      <c r="O305" s="209">
        <v>4.0</v>
      </c>
      <c r="P305" s="209">
        <v>9.0</v>
      </c>
      <c r="Q305" s="209">
        <v>8.0</v>
      </c>
      <c r="R305" s="209">
        <v>5.0</v>
      </c>
      <c r="S305" s="210">
        <v>0.002314814813871635</v>
      </c>
      <c r="U305" s="205">
        <v>5.0</v>
      </c>
      <c r="V305" s="205">
        <v>3.0</v>
      </c>
      <c r="W305" s="63" t="s">
        <v>2386</v>
      </c>
      <c r="X305" s="210">
        <v>0.0024074074062809814</v>
      </c>
      <c r="Y305" s="63" t="s">
        <v>1780</v>
      </c>
      <c r="Z305" s="63" t="s">
        <v>2387</v>
      </c>
      <c r="AA305" s="205">
        <v>0.0</v>
      </c>
      <c r="AB305" s="63" t="s">
        <v>2388</v>
      </c>
      <c r="AC305" s="205">
        <v>246.0</v>
      </c>
      <c r="AD305" s="208">
        <v>9.41521</v>
      </c>
      <c r="AE305" s="205">
        <v>32716.0</v>
      </c>
      <c r="AF305" s="205">
        <v>4645.0</v>
      </c>
      <c r="AG305" s="205">
        <v>337.0</v>
      </c>
      <c r="AH305" s="205">
        <v>389.0</v>
      </c>
      <c r="AI305" s="205">
        <v>0.0</v>
      </c>
      <c r="AJ305" s="205">
        <v>1146.0</v>
      </c>
      <c r="AK305" s="205">
        <v>0.0</v>
      </c>
      <c r="AL305" s="205">
        <v>0.0</v>
      </c>
      <c r="AM305" s="205">
        <v>0.0</v>
      </c>
      <c r="AN305" s="205">
        <v>0.0</v>
      </c>
      <c r="AO305" s="208">
        <v>4.3766</v>
      </c>
      <c r="AP305" s="208">
        <v>5.19533</v>
      </c>
      <c r="AQ305" s="208">
        <v>6.7878</v>
      </c>
      <c r="AR305" s="208">
        <v>3.87998</v>
      </c>
      <c r="AT305" s="192" t="s">
        <v>525</v>
      </c>
      <c r="AU305" s="211" t="s">
        <v>567</v>
      </c>
      <c r="AV305" s="211" t="s">
        <v>2389</v>
      </c>
      <c r="AW305" s="211" t="s">
        <v>2390</v>
      </c>
      <c r="AX305" s="211" t="s">
        <v>525</v>
      </c>
      <c r="AY305" s="212">
        <v>2.0</v>
      </c>
      <c r="AZ305" s="213">
        <v>4.5</v>
      </c>
      <c r="BA305" s="213">
        <v>4.0</v>
      </c>
      <c r="BB305" s="213">
        <v>2.5</v>
      </c>
      <c r="BC305" s="212">
        <v>5.2</v>
      </c>
      <c r="BD305" s="213">
        <v>10.0</v>
      </c>
      <c r="BE305" s="213">
        <v>10.0</v>
      </c>
      <c r="BF305" s="213">
        <v>7.0</v>
      </c>
      <c r="BG305" s="212">
        <v>10.333333333333332</v>
      </c>
      <c r="BH305" s="213">
        <v>9.75</v>
      </c>
      <c r="BI305" s="213">
        <v>0.0015432098759144235</v>
      </c>
      <c r="BJ305" s="213">
        <v>0.0016049382708539877</v>
      </c>
      <c r="BK305" s="213">
        <v>309.0</v>
      </c>
      <c r="BL305" s="212">
        <v>7.0</v>
      </c>
      <c r="BM305" s="213">
        <v>5.375</v>
      </c>
      <c r="BN305" s="213">
        <v>0.003086419751828847</v>
      </c>
      <c r="BO305" s="213">
        <v>0.0032098765417079753</v>
      </c>
      <c r="BP305" s="213">
        <v>154.5</v>
      </c>
      <c r="BQ305" s="192"/>
      <c r="BR305" s="192"/>
    </row>
    <row r="306">
      <c r="A306" s="60">
        <v>3563737.0</v>
      </c>
      <c r="B306" s="205">
        <v>152180.0</v>
      </c>
      <c r="C306" s="205">
        <v>47124.0</v>
      </c>
      <c r="D306" s="205">
        <v>1.0</v>
      </c>
      <c r="E306" s="207">
        <v>40988.56959490741</v>
      </c>
      <c r="F306" s="207">
        <v>41067.71425925926</v>
      </c>
      <c r="G306" s="207">
        <v>41067.70134259259</v>
      </c>
      <c r="H306" s="63" t="s">
        <v>2391</v>
      </c>
      <c r="I306" s="205">
        <v>178.0</v>
      </c>
      <c r="J306" s="63" t="s">
        <v>2392</v>
      </c>
      <c r="K306" s="205">
        <v>199669.0</v>
      </c>
      <c r="L306" s="208">
        <v>5.33653</v>
      </c>
      <c r="M306" s="208">
        <v>2.59021</v>
      </c>
      <c r="N306" s="208">
        <v>2.51702</v>
      </c>
      <c r="O306" s="209">
        <v>4.0</v>
      </c>
      <c r="P306" s="209">
        <v>9.0</v>
      </c>
      <c r="Q306" s="209">
        <v>7.0</v>
      </c>
      <c r="R306" s="209">
        <v>7.0</v>
      </c>
      <c r="S306" s="210">
        <v>0.0021296296290529426</v>
      </c>
      <c r="T306" s="63" t="s">
        <v>1123</v>
      </c>
      <c r="U306" s="205">
        <v>2.0</v>
      </c>
      <c r="V306" s="205">
        <v>3.0</v>
      </c>
      <c r="W306" s="63" t="s">
        <v>2393</v>
      </c>
      <c r="X306" s="210">
        <v>0.002442129629343981</v>
      </c>
      <c r="Y306" s="63" t="s">
        <v>1125</v>
      </c>
      <c r="Z306" s="63" t="s">
        <v>2394</v>
      </c>
      <c r="AA306" s="205">
        <v>0.0</v>
      </c>
      <c r="AB306" s="63" t="s">
        <v>2395</v>
      </c>
      <c r="AC306" s="205">
        <v>786.0</v>
      </c>
      <c r="AD306" s="208">
        <v>9.58832</v>
      </c>
      <c r="AE306" s="205">
        <v>1108661.0</v>
      </c>
      <c r="AF306" s="205">
        <v>227103.0</v>
      </c>
      <c r="AG306" s="205">
        <v>475.0</v>
      </c>
      <c r="AH306" s="205">
        <v>226.0</v>
      </c>
      <c r="AI306" s="205">
        <v>3.0</v>
      </c>
      <c r="AJ306" s="205">
        <v>1000.0</v>
      </c>
      <c r="AK306" s="205">
        <v>0.0</v>
      </c>
      <c r="AL306" s="205">
        <v>0.0</v>
      </c>
      <c r="AM306" s="205">
        <v>0.0</v>
      </c>
      <c r="AN306" s="205">
        <v>0.0</v>
      </c>
      <c r="AO306" s="208">
        <v>4.91217</v>
      </c>
      <c r="AP306" s="208">
        <v>5.58489</v>
      </c>
      <c r="AQ306" s="208">
        <v>7.53527</v>
      </c>
      <c r="AR306" s="208">
        <v>4.21893</v>
      </c>
      <c r="AT306" s="192" t="s">
        <v>569</v>
      </c>
      <c r="AU306" s="211" t="s">
        <v>568</v>
      </c>
      <c r="AV306" s="211" t="s">
        <v>2396</v>
      </c>
      <c r="AW306" s="211" t="s">
        <v>2397</v>
      </c>
      <c r="AX306" s="211" t="s">
        <v>569</v>
      </c>
      <c r="AY306" s="212">
        <v>2.0</v>
      </c>
      <c r="AZ306" s="213">
        <v>4.5</v>
      </c>
      <c r="BA306" s="213">
        <v>3.5</v>
      </c>
      <c r="BB306" s="213">
        <v>3.5</v>
      </c>
      <c r="BC306" s="212">
        <v>5.2</v>
      </c>
      <c r="BD306" s="213">
        <v>10.0</v>
      </c>
      <c r="BE306" s="213">
        <v>9.799999999999999</v>
      </c>
      <c r="BF306" s="213">
        <v>9.799999999999999</v>
      </c>
      <c r="BG306" s="212">
        <v>10.333333333333332</v>
      </c>
      <c r="BH306" s="213">
        <v>9.083333333333334</v>
      </c>
      <c r="BI306" s="213">
        <v>0.0014197530860352952</v>
      </c>
      <c r="BJ306" s="213">
        <v>0.0016280864195626539</v>
      </c>
      <c r="BK306" s="213">
        <v>267.0</v>
      </c>
      <c r="BL306" s="212">
        <v>7.0</v>
      </c>
      <c r="BM306" s="213">
        <v>3.875</v>
      </c>
      <c r="BN306" s="213">
        <v>0.0028395061720705903</v>
      </c>
      <c r="BO306" s="213">
        <v>0.0032561728391253078</v>
      </c>
      <c r="BP306" s="213">
        <v>133.5</v>
      </c>
      <c r="BQ306" s="192"/>
      <c r="BR306" s="192"/>
    </row>
    <row r="307">
      <c r="A307" s="60">
        <v>847315.0</v>
      </c>
      <c r="B307" s="205">
        <v>152180.0</v>
      </c>
      <c r="C307" s="205">
        <v>47124.0</v>
      </c>
      <c r="D307" s="205">
        <v>1.0</v>
      </c>
      <c r="E307" s="207">
        <v>40988.56959490741</v>
      </c>
      <c r="F307" s="207">
        <v>41067.71425925926</v>
      </c>
      <c r="G307" s="207">
        <v>41067.70134259259</v>
      </c>
      <c r="H307" s="63" t="s">
        <v>2391</v>
      </c>
      <c r="I307" s="205">
        <v>178.0</v>
      </c>
      <c r="J307" s="63" t="s">
        <v>2392</v>
      </c>
      <c r="K307" s="205">
        <v>199669.0</v>
      </c>
      <c r="L307" s="208">
        <v>5.33653</v>
      </c>
      <c r="M307" s="208">
        <v>2.59021</v>
      </c>
      <c r="N307" s="208">
        <v>2.51702</v>
      </c>
      <c r="O307" s="209">
        <v>4.0</v>
      </c>
      <c r="P307" s="209">
        <v>9.0</v>
      </c>
      <c r="Q307" s="209">
        <v>7.0</v>
      </c>
      <c r="R307" s="209">
        <v>7.0</v>
      </c>
      <c r="S307" s="210">
        <v>0.0021296296290529426</v>
      </c>
      <c r="T307" s="63" t="s">
        <v>1123</v>
      </c>
      <c r="U307" s="205">
        <v>2.0</v>
      </c>
      <c r="V307" s="205">
        <v>3.0</v>
      </c>
      <c r="W307" s="63" t="s">
        <v>2393</v>
      </c>
      <c r="X307" s="210">
        <v>0.002442129629343981</v>
      </c>
      <c r="Y307" s="63" t="s">
        <v>1125</v>
      </c>
      <c r="Z307" s="63" t="s">
        <v>2394</v>
      </c>
      <c r="AA307" s="205">
        <v>0.0</v>
      </c>
      <c r="AB307" s="63" t="s">
        <v>2395</v>
      </c>
      <c r="AC307" s="205">
        <v>786.0</v>
      </c>
      <c r="AD307" s="208">
        <v>9.58832</v>
      </c>
      <c r="AE307" s="205">
        <v>1108661.0</v>
      </c>
      <c r="AF307" s="205">
        <v>227103.0</v>
      </c>
      <c r="AG307" s="205">
        <v>475.0</v>
      </c>
      <c r="AH307" s="205">
        <v>226.0</v>
      </c>
      <c r="AI307" s="205">
        <v>3.0</v>
      </c>
      <c r="AJ307" s="205">
        <v>1000.0</v>
      </c>
      <c r="AK307" s="205">
        <v>0.0</v>
      </c>
      <c r="AL307" s="205">
        <v>0.0</v>
      </c>
      <c r="AM307" s="205">
        <v>0.0</v>
      </c>
      <c r="AN307" s="205">
        <v>0.0</v>
      </c>
      <c r="AO307" s="208">
        <v>4.91217</v>
      </c>
      <c r="AP307" s="208">
        <v>5.58489</v>
      </c>
      <c r="AQ307" s="208">
        <v>7.53527</v>
      </c>
      <c r="AR307" s="208">
        <v>4.21893</v>
      </c>
      <c r="AT307" s="192" t="s">
        <v>569</v>
      </c>
      <c r="AU307" s="211" t="s">
        <v>568</v>
      </c>
      <c r="AV307" s="211" t="s">
        <v>2396</v>
      </c>
      <c r="AW307" s="211" t="s">
        <v>2397</v>
      </c>
      <c r="AX307" s="211" t="s">
        <v>569</v>
      </c>
      <c r="AY307" s="212">
        <v>2.0</v>
      </c>
      <c r="AZ307" s="213">
        <v>4.5</v>
      </c>
      <c r="BA307" s="213">
        <v>3.5</v>
      </c>
      <c r="BB307" s="213">
        <v>3.5</v>
      </c>
      <c r="BC307" s="212">
        <v>5.2</v>
      </c>
      <c r="BD307" s="213">
        <v>10.0</v>
      </c>
      <c r="BE307" s="213">
        <v>9.799999999999999</v>
      </c>
      <c r="BF307" s="213">
        <v>9.799999999999999</v>
      </c>
      <c r="BG307" s="212">
        <v>10.333333333333332</v>
      </c>
      <c r="BH307" s="213">
        <v>9.083333333333334</v>
      </c>
      <c r="BI307" s="213">
        <v>0.0014197530860352952</v>
      </c>
      <c r="BJ307" s="213">
        <v>0.0016280864195626539</v>
      </c>
      <c r="BK307" s="213">
        <v>267.0</v>
      </c>
      <c r="BL307" s="212">
        <v>7.0</v>
      </c>
      <c r="BM307" s="213">
        <v>3.875</v>
      </c>
      <c r="BN307" s="213">
        <v>0.0028395061720705903</v>
      </c>
      <c r="BO307" s="213">
        <v>0.0032561728391253078</v>
      </c>
      <c r="BP307" s="213">
        <v>133.5</v>
      </c>
      <c r="BQ307" s="192"/>
      <c r="BR307" s="192"/>
    </row>
    <row r="308">
      <c r="A308" s="60">
        <v>571620.0</v>
      </c>
      <c r="B308" s="205">
        <v>2446833.0</v>
      </c>
      <c r="C308" s="205">
        <v>1173192.0</v>
      </c>
      <c r="D308" s="205">
        <v>1.0</v>
      </c>
      <c r="E308" s="207">
        <v>43968.78230324074</v>
      </c>
      <c r="F308" s="207">
        <v>44107.92159722222</v>
      </c>
      <c r="G308" s="207">
        <v>44096.0889699074</v>
      </c>
      <c r="H308" s="63" t="s">
        <v>2398</v>
      </c>
      <c r="I308" s="205">
        <v>140.0</v>
      </c>
      <c r="J308" s="63" t="s">
        <v>2399</v>
      </c>
      <c r="K308" s="205">
        <v>6787940.0</v>
      </c>
      <c r="L308" s="208">
        <v>4.37511</v>
      </c>
      <c r="M308" s="208">
        <v>2.19625</v>
      </c>
      <c r="N308" s="208">
        <v>1.97854</v>
      </c>
      <c r="O308" s="209">
        <v>5.0</v>
      </c>
      <c r="P308" s="209">
        <v>8.8</v>
      </c>
      <c r="Q308" s="209">
        <v>7.0</v>
      </c>
      <c r="R308" s="209">
        <v>5.0</v>
      </c>
      <c r="S308" s="210">
        <v>0.0017824074056989048</v>
      </c>
      <c r="U308" s="205">
        <v>4.0</v>
      </c>
      <c r="V308" s="205">
        <v>2.0</v>
      </c>
      <c r="W308" s="63" t="s">
        <v>2400</v>
      </c>
      <c r="X308" s="210">
        <v>0.002071759259706596</v>
      </c>
      <c r="Y308" s="63" t="s">
        <v>2401</v>
      </c>
      <c r="Z308" s="63" t="s">
        <v>2402</v>
      </c>
      <c r="AA308" s="205">
        <v>0.0</v>
      </c>
      <c r="AB308" s="63" t="s">
        <v>2403</v>
      </c>
      <c r="AC308" s="205">
        <v>266.0</v>
      </c>
      <c r="AD308" s="208">
        <v>9.21289</v>
      </c>
      <c r="AE308" s="205">
        <v>129304.0</v>
      </c>
      <c r="AF308" s="205">
        <v>30555.0</v>
      </c>
      <c r="AG308" s="205">
        <v>385.0</v>
      </c>
      <c r="AH308" s="205">
        <v>176.0</v>
      </c>
      <c r="AI308" s="205">
        <v>0.0</v>
      </c>
      <c r="AJ308" s="205">
        <v>743.0</v>
      </c>
      <c r="AK308" s="205">
        <v>0.0</v>
      </c>
      <c r="AL308" s="205">
        <v>0.0</v>
      </c>
      <c r="AM308" s="205">
        <v>0.0</v>
      </c>
      <c r="AN308" s="205">
        <v>0.0</v>
      </c>
      <c r="AO308" s="208">
        <v>3.9947</v>
      </c>
      <c r="AP308" s="208">
        <v>4.88116</v>
      </c>
      <c r="AQ308" s="208">
        <v>6.14528</v>
      </c>
      <c r="AR308" s="208">
        <v>3.46096</v>
      </c>
      <c r="AT308" s="192" t="s">
        <v>571</v>
      </c>
      <c r="AU308" s="211" t="s">
        <v>570</v>
      </c>
      <c r="AV308" s="211" t="s">
        <v>2404</v>
      </c>
      <c r="AW308" s="211" t="s">
        <v>2405</v>
      </c>
      <c r="AX308" s="211" t="s">
        <v>571</v>
      </c>
      <c r="AY308" s="212">
        <v>2.5</v>
      </c>
      <c r="AZ308" s="213">
        <v>4.4</v>
      </c>
      <c r="BA308" s="213">
        <v>3.5</v>
      </c>
      <c r="BB308" s="213">
        <v>2.5</v>
      </c>
      <c r="BC308" s="212">
        <v>6.5</v>
      </c>
      <c r="BD308" s="213">
        <v>10.0</v>
      </c>
      <c r="BE308" s="213">
        <v>9.799999999999999</v>
      </c>
      <c r="BF308" s="213">
        <v>7.0</v>
      </c>
      <c r="BG308" s="212">
        <v>10.2</v>
      </c>
      <c r="BH308" s="213">
        <v>9.083333333333334</v>
      </c>
      <c r="BI308" s="213">
        <v>0.0011882716037992698</v>
      </c>
      <c r="BJ308" s="213">
        <v>0.0013811728398043972</v>
      </c>
      <c r="BK308" s="213">
        <v>210.0</v>
      </c>
      <c r="BL308" s="212">
        <v>6.700000000000001</v>
      </c>
      <c r="BM308" s="213">
        <v>3.875</v>
      </c>
      <c r="BN308" s="213">
        <v>0.0023765432075985395</v>
      </c>
      <c r="BO308" s="213">
        <v>0.0027623456796087944</v>
      </c>
      <c r="BP308" s="213">
        <v>105.0</v>
      </c>
      <c r="BQ308" s="192"/>
      <c r="BR308" s="192"/>
    </row>
    <row r="309">
      <c r="A309" s="60">
        <v>99407.0</v>
      </c>
      <c r="B309" s="205">
        <v>2446833.0</v>
      </c>
      <c r="C309" s="205">
        <v>1173192.0</v>
      </c>
      <c r="D309" s="205">
        <v>1.0</v>
      </c>
      <c r="E309" s="207">
        <v>43968.78230324074</v>
      </c>
      <c r="F309" s="207">
        <v>44107.92159722222</v>
      </c>
      <c r="G309" s="207">
        <v>44096.0889699074</v>
      </c>
      <c r="H309" s="63" t="s">
        <v>2398</v>
      </c>
      <c r="I309" s="205">
        <v>140.0</v>
      </c>
      <c r="J309" s="63" t="s">
        <v>2399</v>
      </c>
      <c r="K309" s="205">
        <v>6787940.0</v>
      </c>
      <c r="L309" s="208">
        <v>4.37511</v>
      </c>
      <c r="M309" s="208">
        <v>2.19625</v>
      </c>
      <c r="N309" s="208">
        <v>1.97854</v>
      </c>
      <c r="O309" s="209">
        <v>5.0</v>
      </c>
      <c r="P309" s="209">
        <v>8.8</v>
      </c>
      <c r="Q309" s="209">
        <v>7.0</v>
      </c>
      <c r="R309" s="209">
        <v>5.0</v>
      </c>
      <c r="S309" s="210">
        <v>0.0017824074056989048</v>
      </c>
      <c r="U309" s="205">
        <v>4.0</v>
      </c>
      <c r="V309" s="205">
        <v>2.0</v>
      </c>
      <c r="W309" s="63" t="s">
        <v>2400</v>
      </c>
      <c r="X309" s="210">
        <v>0.002071759259706596</v>
      </c>
      <c r="Y309" s="63" t="s">
        <v>2401</v>
      </c>
      <c r="Z309" s="63" t="s">
        <v>2402</v>
      </c>
      <c r="AA309" s="205">
        <v>0.0</v>
      </c>
      <c r="AB309" s="63" t="s">
        <v>2403</v>
      </c>
      <c r="AC309" s="205">
        <v>266.0</v>
      </c>
      <c r="AD309" s="208">
        <v>9.21289</v>
      </c>
      <c r="AE309" s="205">
        <v>129304.0</v>
      </c>
      <c r="AF309" s="205">
        <v>30555.0</v>
      </c>
      <c r="AG309" s="205">
        <v>385.0</v>
      </c>
      <c r="AH309" s="205">
        <v>176.0</v>
      </c>
      <c r="AI309" s="205">
        <v>0.0</v>
      </c>
      <c r="AJ309" s="205">
        <v>743.0</v>
      </c>
      <c r="AK309" s="205">
        <v>0.0</v>
      </c>
      <c r="AL309" s="205">
        <v>0.0</v>
      </c>
      <c r="AM309" s="205">
        <v>0.0</v>
      </c>
      <c r="AN309" s="205">
        <v>0.0</v>
      </c>
      <c r="AO309" s="208">
        <v>3.9947</v>
      </c>
      <c r="AP309" s="208">
        <v>4.88116</v>
      </c>
      <c r="AQ309" s="208">
        <v>6.14528</v>
      </c>
      <c r="AR309" s="208">
        <v>3.46096</v>
      </c>
      <c r="AT309" s="192" t="s">
        <v>571</v>
      </c>
      <c r="AU309" s="211" t="s">
        <v>570</v>
      </c>
      <c r="AV309" s="211" t="s">
        <v>2404</v>
      </c>
      <c r="AW309" s="211" t="s">
        <v>2405</v>
      </c>
      <c r="AX309" s="211" t="s">
        <v>571</v>
      </c>
      <c r="AY309" s="212">
        <v>2.5</v>
      </c>
      <c r="AZ309" s="213">
        <v>4.4</v>
      </c>
      <c r="BA309" s="213">
        <v>3.5</v>
      </c>
      <c r="BB309" s="213">
        <v>2.5</v>
      </c>
      <c r="BC309" s="212">
        <v>6.5</v>
      </c>
      <c r="BD309" s="213">
        <v>10.0</v>
      </c>
      <c r="BE309" s="213">
        <v>9.799999999999999</v>
      </c>
      <c r="BF309" s="213">
        <v>7.0</v>
      </c>
      <c r="BG309" s="212">
        <v>10.2</v>
      </c>
      <c r="BH309" s="213">
        <v>9.083333333333334</v>
      </c>
      <c r="BI309" s="213">
        <v>0.0011882716037992698</v>
      </c>
      <c r="BJ309" s="213">
        <v>0.0013811728398043972</v>
      </c>
      <c r="BK309" s="213">
        <v>210.0</v>
      </c>
      <c r="BL309" s="212">
        <v>6.700000000000001</v>
      </c>
      <c r="BM309" s="213">
        <v>3.875</v>
      </c>
      <c r="BN309" s="213">
        <v>0.0023765432075985395</v>
      </c>
      <c r="BO309" s="213">
        <v>0.0027623456796087944</v>
      </c>
      <c r="BP309" s="213">
        <v>105.0</v>
      </c>
      <c r="BQ309" s="192"/>
      <c r="BR309" s="192"/>
    </row>
    <row r="310">
      <c r="A310" s="60">
        <v>58701.0</v>
      </c>
      <c r="B310" s="205">
        <v>2942900.0</v>
      </c>
      <c r="C310" s="205">
        <v>1399793.0</v>
      </c>
      <c r="D310" s="205">
        <v>1.0</v>
      </c>
      <c r="E310" s="207">
        <v>44267.587118055555</v>
      </c>
      <c r="F310" s="207">
        <v>44338.96196759259</v>
      </c>
      <c r="G310" s="207">
        <v>44330.61444444444</v>
      </c>
      <c r="H310" s="63" t="s">
        <v>2406</v>
      </c>
      <c r="I310" s="205">
        <v>224.0</v>
      </c>
      <c r="J310" s="63" t="s">
        <v>1332</v>
      </c>
      <c r="K310" s="205">
        <v>7326908.0</v>
      </c>
      <c r="L310" s="208">
        <v>3.65145</v>
      </c>
      <c r="M310" s="208">
        <v>1.66034</v>
      </c>
      <c r="N310" s="208">
        <v>1.82578</v>
      </c>
      <c r="O310" s="209">
        <v>3.7</v>
      </c>
      <c r="P310" s="209">
        <v>8.0</v>
      </c>
      <c r="Q310" s="209">
        <v>7.0</v>
      </c>
      <c r="R310" s="209">
        <v>4.6</v>
      </c>
      <c r="S310" s="210">
        <v>0.0023495370369346347</v>
      </c>
      <c r="T310" s="63" t="s">
        <v>2407</v>
      </c>
      <c r="U310" s="205">
        <v>14.0</v>
      </c>
      <c r="V310" s="205">
        <v>3.0</v>
      </c>
      <c r="W310" s="63" t="s">
        <v>2408</v>
      </c>
      <c r="X310" s="210">
        <v>0.0027314814797136933</v>
      </c>
      <c r="Y310" s="63" t="s">
        <v>2409</v>
      </c>
      <c r="Z310" s="63" t="s">
        <v>2410</v>
      </c>
      <c r="AA310" s="205">
        <v>0.0</v>
      </c>
      <c r="AB310" s="63" t="s">
        <v>2411</v>
      </c>
      <c r="AC310" s="205">
        <v>1255.0</v>
      </c>
      <c r="AD310" s="208">
        <v>9.19214</v>
      </c>
      <c r="AE310" s="205">
        <v>131977.0</v>
      </c>
      <c r="AF310" s="205">
        <v>21246.0</v>
      </c>
      <c r="AG310" s="205">
        <v>262.0</v>
      </c>
      <c r="AH310" s="205">
        <v>360.0</v>
      </c>
      <c r="AI310" s="205">
        <v>1.0</v>
      </c>
      <c r="AJ310" s="205">
        <v>1054.0</v>
      </c>
      <c r="AK310" s="205">
        <v>0.0</v>
      </c>
      <c r="AL310" s="205">
        <v>1.0</v>
      </c>
      <c r="AM310" s="205">
        <v>0.0</v>
      </c>
      <c r="AN310" s="205">
        <v>0.0</v>
      </c>
      <c r="AO310" s="208">
        <v>3.30577</v>
      </c>
      <c r="AP310" s="208">
        <v>3.78697</v>
      </c>
      <c r="AQ310" s="208">
        <v>5.21725</v>
      </c>
      <c r="AR310" s="208">
        <v>2.88976</v>
      </c>
      <c r="AT310" s="192" t="s">
        <v>573</v>
      </c>
      <c r="AU310" s="211" t="s">
        <v>572</v>
      </c>
      <c r="AV310" s="211" t="s">
        <v>2412</v>
      </c>
      <c r="AW310" s="211" t="s">
        <v>2413</v>
      </c>
      <c r="AX310" s="211" t="s">
        <v>573</v>
      </c>
      <c r="AY310" s="212">
        <v>1.85</v>
      </c>
      <c r="AZ310" s="213">
        <v>4.0</v>
      </c>
      <c r="BA310" s="213">
        <v>3.5</v>
      </c>
      <c r="BB310" s="213">
        <v>2.3</v>
      </c>
      <c r="BC310" s="212">
        <v>4.8100000000000005</v>
      </c>
      <c r="BD310" s="213">
        <v>10.0</v>
      </c>
      <c r="BE310" s="213">
        <v>9.799999999999999</v>
      </c>
      <c r="BF310" s="213">
        <v>6.4399999999999995</v>
      </c>
      <c r="BG310" s="212">
        <v>9.666666666666668</v>
      </c>
      <c r="BH310" s="213">
        <v>9.083333333333334</v>
      </c>
      <c r="BI310" s="213">
        <v>0.0015663580246230897</v>
      </c>
      <c r="BJ310" s="213">
        <v>0.0018209876531424622</v>
      </c>
      <c r="BK310" s="213">
        <v>336.0</v>
      </c>
      <c r="BL310" s="212">
        <v>5.5</v>
      </c>
      <c r="BM310" s="213">
        <v>3.875</v>
      </c>
      <c r="BN310" s="213">
        <v>0.0031327160492461794</v>
      </c>
      <c r="BO310" s="213">
        <v>0.0036419753062849245</v>
      </c>
      <c r="BP310" s="213">
        <v>168.0</v>
      </c>
      <c r="BQ310" s="192"/>
      <c r="BR310" s="192"/>
    </row>
    <row r="311">
      <c r="A311" s="60">
        <v>1707909.0</v>
      </c>
      <c r="B311" s="205">
        <v>2942900.0</v>
      </c>
      <c r="C311" s="205">
        <v>1399793.0</v>
      </c>
      <c r="D311" s="205">
        <v>1.0</v>
      </c>
      <c r="E311" s="207">
        <v>44267.587118055555</v>
      </c>
      <c r="F311" s="207">
        <v>44338.96196759259</v>
      </c>
      <c r="G311" s="207">
        <v>44330.61444444444</v>
      </c>
      <c r="H311" s="63" t="s">
        <v>2406</v>
      </c>
      <c r="I311" s="205">
        <v>224.0</v>
      </c>
      <c r="J311" s="63" t="s">
        <v>1332</v>
      </c>
      <c r="K311" s="205">
        <v>7326908.0</v>
      </c>
      <c r="L311" s="208">
        <v>3.65145</v>
      </c>
      <c r="M311" s="208">
        <v>1.66034</v>
      </c>
      <c r="N311" s="208">
        <v>1.82578</v>
      </c>
      <c r="O311" s="209">
        <v>3.7</v>
      </c>
      <c r="P311" s="209">
        <v>8.0</v>
      </c>
      <c r="Q311" s="209">
        <v>7.0</v>
      </c>
      <c r="R311" s="209">
        <v>4.6</v>
      </c>
      <c r="S311" s="210">
        <v>0.0023495370369346347</v>
      </c>
      <c r="T311" s="63" t="s">
        <v>2407</v>
      </c>
      <c r="U311" s="205">
        <v>14.0</v>
      </c>
      <c r="V311" s="205">
        <v>3.0</v>
      </c>
      <c r="W311" s="63" t="s">
        <v>2408</v>
      </c>
      <c r="X311" s="210">
        <v>0.0027314814797136933</v>
      </c>
      <c r="Y311" s="63" t="s">
        <v>2409</v>
      </c>
      <c r="Z311" s="63" t="s">
        <v>2410</v>
      </c>
      <c r="AA311" s="205">
        <v>0.0</v>
      </c>
      <c r="AB311" s="63" t="s">
        <v>2411</v>
      </c>
      <c r="AC311" s="205">
        <v>1255.0</v>
      </c>
      <c r="AD311" s="208">
        <v>9.19214</v>
      </c>
      <c r="AE311" s="205">
        <v>131977.0</v>
      </c>
      <c r="AF311" s="205">
        <v>21246.0</v>
      </c>
      <c r="AG311" s="205">
        <v>262.0</v>
      </c>
      <c r="AH311" s="205">
        <v>360.0</v>
      </c>
      <c r="AI311" s="205">
        <v>1.0</v>
      </c>
      <c r="AJ311" s="205">
        <v>1054.0</v>
      </c>
      <c r="AK311" s="205">
        <v>0.0</v>
      </c>
      <c r="AL311" s="205">
        <v>1.0</v>
      </c>
      <c r="AM311" s="205">
        <v>0.0</v>
      </c>
      <c r="AN311" s="205">
        <v>0.0</v>
      </c>
      <c r="AO311" s="208">
        <v>3.30577</v>
      </c>
      <c r="AP311" s="208">
        <v>3.78697</v>
      </c>
      <c r="AQ311" s="208">
        <v>5.21725</v>
      </c>
      <c r="AR311" s="208">
        <v>2.88976</v>
      </c>
      <c r="AT311" s="192" t="s">
        <v>573</v>
      </c>
      <c r="AU311" s="211" t="s">
        <v>572</v>
      </c>
      <c r="AV311" s="211" t="s">
        <v>2412</v>
      </c>
      <c r="AW311" s="211" t="s">
        <v>2413</v>
      </c>
      <c r="AX311" s="211" t="s">
        <v>573</v>
      </c>
      <c r="AY311" s="212">
        <v>1.85</v>
      </c>
      <c r="AZ311" s="213">
        <v>4.0</v>
      </c>
      <c r="BA311" s="213">
        <v>3.5</v>
      </c>
      <c r="BB311" s="213">
        <v>2.3</v>
      </c>
      <c r="BC311" s="212">
        <v>4.8100000000000005</v>
      </c>
      <c r="BD311" s="213">
        <v>10.0</v>
      </c>
      <c r="BE311" s="213">
        <v>9.799999999999999</v>
      </c>
      <c r="BF311" s="213">
        <v>6.4399999999999995</v>
      </c>
      <c r="BG311" s="212">
        <v>9.666666666666668</v>
      </c>
      <c r="BH311" s="213">
        <v>9.083333333333334</v>
      </c>
      <c r="BI311" s="213">
        <v>0.0015663580246230897</v>
      </c>
      <c r="BJ311" s="213">
        <v>0.0018209876531424622</v>
      </c>
      <c r="BK311" s="213">
        <v>336.0</v>
      </c>
      <c r="BL311" s="212">
        <v>5.5</v>
      </c>
      <c r="BM311" s="213">
        <v>3.875</v>
      </c>
      <c r="BN311" s="213">
        <v>0.0031327160492461794</v>
      </c>
      <c r="BO311" s="213">
        <v>0.0036419753062849245</v>
      </c>
      <c r="BP311" s="213">
        <v>168.0</v>
      </c>
      <c r="BQ311" s="192"/>
      <c r="BR311" s="192"/>
    </row>
    <row r="312">
      <c r="A312" s="60">
        <v>3772514.0</v>
      </c>
      <c r="B312" s="205">
        <v>4133990.0</v>
      </c>
      <c r="C312" s="205">
        <v>1760668.0</v>
      </c>
      <c r="D312" s="205">
        <v>-2.0</v>
      </c>
      <c r="E312" s="207">
        <v>44690.717002314814</v>
      </c>
      <c r="F312" s="215"/>
      <c r="G312" s="207">
        <v>45057.89709490741</v>
      </c>
      <c r="H312" s="63" t="s">
        <v>1038</v>
      </c>
      <c r="I312" s="205">
        <v>150.0</v>
      </c>
      <c r="J312" s="63" t="s">
        <v>549</v>
      </c>
      <c r="K312" s="205">
        <v>2688103.0</v>
      </c>
      <c r="L312" s="208">
        <v>3.74878</v>
      </c>
      <c r="M312" s="208">
        <v>1.7163</v>
      </c>
      <c r="N312" s="208">
        <v>1.86496</v>
      </c>
      <c r="O312" s="209">
        <v>3.5</v>
      </c>
      <c r="P312" s="209">
        <v>8.0</v>
      </c>
      <c r="Q312" s="209">
        <v>8.5</v>
      </c>
      <c r="R312" s="209">
        <v>6.0</v>
      </c>
      <c r="S312" s="210">
        <v>0.0026041666678793263</v>
      </c>
      <c r="U312" s="205">
        <v>10.0</v>
      </c>
      <c r="V312" s="205">
        <v>2.0</v>
      </c>
      <c r="W312" s="63" t="s">
        <v>2414</v>
      </c>
      <c r="X312" s="210">
        <v>0.002615740741021</v>
      </c>
      <c r="Y312" s="63" t="s">
        <v>1443</v>
      </c>
      <c r="Z312" s="63" t="s">
        <v>2415</v>
      </c>
      <c r="AA312" s="205">
        <v>0.0</v>
      </c>
      <c r="AB312" s="63" t="s">
        <v>2416</v>
      </c>
      <c r="AC312" s="205">
        <v>49.0</v>
      </c>
      <c r="AD312" s="208">
        <v>0.0</v>
      </c>
      <c r="AE312" s="205">
        <v>224.0</v>
      </c>
      <c r="AF312" s="205">
        <v>13.0</v>
      </c>
      <c r="AG312" s="205">
        <v>358.0</v>
      </c>
      <c r="AH312" s="205">
        <v>351.0</v>
      </c>
      <c r="AI312" s="205">
        <v>7.0</v>
      </c>
      <c r="AJ312" s="205">
        <v>1127.0</v>
      </c>
      <c r="AK312" s="205">
        <v>0.0</v>
      </c>
      <c r="AL312" s="205">
        <v>0.0</v>
      </c>
      <c r="AM312" s="205">
        <v>0.0</v>
      </c>
      <c r="AN312" s="205">
        <v>0.0</v>
      </c>
      <c r="AO312" s="208">
        <v>3.50893</v>
      </c>
      <c r="AP312" s="208">
        <v>3.89984</v>
      </c>
      <c r="AQ312" s="208">
        <v>5.2602</v>
      </c>
      <c r="AR312" s="208">
        <v>2.98821</v>
      </c>
      <c r="AT312" s="192" t="s">
        <v>575</v>
      </c>
      <c r="AU312" s="211" t="s">
        <v>574</v>
      </c>
      <c r="AV312" s="211" t="s">
        <v>2417</v>
      </c>
      <c r="AW312" s="211" t="s">
        <v>2418</v>
      </c>
      <c r="AX312" s="211" t="s">
        <v>575</v>
      </c>
      <c r="AY312" s="212">
        <v>1.75</v>
      </c>
      <c r="AZ312" s="213">
        <v>4.0</v>
      </c>
      <c r="BA312" s="213">
        <v>4.25</v>
      </c>
      <c r="BB312" s="213">
        <v>3.0</v>
      </c>
      <c r="BC312" s="212">
        <v>4.55</v>
      </c>
      <c r="BD312" s="213">
        <v>10.0</v>
      </c>
      <c r="BE312" s="213">
        <v>10.0</v>
      </c>
      <c r="BF312" s="213">
        <v>8.399999999999999</v>
      </c>
      <c r="BG312" s="212">
        <v>9.666666666666668</v>
      </c>
      <c r="BH312" s="213">
        <v>10.083333333333334</v>
      </c>
      <c r="BI312" s="213">
        <v>0.001736111111919551</v>
      </c>
      <c r="BJ312" s="213">
        <v>0.0017438271606806666</v>
      </c>
      <c r="BK312" s="213">
        <v>225.0</v>
      </c>
      <c r="BL312" s="212">
        <v>5.5</v>
      </c>
      <c r="BM312" s="213">
        <v>6.125</v>
      </c>
      <c r="BN312" s="213">
        <v>0.003472222223839102</v>
      </c>
      <c r="BO312" s="213">
        <v>0.003487654321361333</v>
      </c>
      <c r="BP312" s="213">
        <v>112.5</v>
      </c>
      <c r="BQ312" s="192"/>
      <c r="BR312" s="192"/>
    </row>
    <row r="313">
      <c r="A313" s="60">
        <v>862338.0</v>
      </c>
      <c r="B313" s="205">
        <v>2758832.0</v>
      </c>
      <c r="C313" s="205">
        <v>1313297.0</v>
      </c>
      <c r="D313" s="205">
        <v>-2.0</v>
      </c>
      <c r="E313" s="207">
        <v>44166.294224537036</v>
      </c>
      <c r="F313" s="215"/>
      <c r="G313" s="207">
        <v>44220.25069444445</v>
      </c>
      <c r="H313" s="63" t="s">
        <v>1509</v>
      </c>
      <c r="I313" s="205">
        <v>184.0</v>
      </c>
      <c r="J313" s="63" t="s">
        <v>1510</v>
      </c>
      <c r="K313" s="205">
        <v>1.1055678E7</v>
      </c>
      <c r="L313" s="208">
        <v>3.80372</v>
      </c>
      <c r="M313" s="208">
        <v>1.86898</v>
      </c>
      <c r="N313" s="208">
        <v>1.76892</v>
      </c>
      <c r="O313" s="209">
        <v>3.6</v>
      </c>
      <c r="P313" s="209">
        <v>8.0</v>
      </c>
      <c r="Q313" s="209">
        <v>7.0</v>
      </c>
      <c r="R313" s="209">
        <v>4.0</v>
      </c>
      <c r="S313" s="210">
        <v>0.0024189814830606338</v>
      </c>
      <c r="U313" s="205">
        <v>4.0</v>
      </c>
      <c r="V313" s="205">
        <v>3.0</v>
      </c>
      <c r="W313" s="63" t="s">
        <v>1511</v>
      </c>
      <c r="X313" s="210">
        <v>0.0024189814830606338</v>
      </c>
      <c r="Y313" s="63" t="s">
        <v>1443</v>
      </c>
      <c r="Z313" s="63" t="s">
        <v>2419</v>
      </c>
      <c r="AA313" s="205">
        <v>0.0</v>
      </c>
      <c r="AB313" s="63" t="s">
        <v>1513</v>
      </c>
      <c r="AC313" s="205">
        <v>11.0</v>
      </c>
      <c r="AD313" s="208">
        <v>0.0</v>
      </c>
      <c r="AE313" s="205">
        <v>254.0</v>
      </c>
      <c r="AF313" s="205">
        <v>59.0</v>
      </c>
      <c r="AG313" s="205">
        <v>260.0</v>
      </c>
      <c r="AH313" s="205">
        <v>326.0</v>
      </c>
      <c r="AI313" s="205">
        <v>5.0</v>
      </c>
      <c r="AJ313" s="205">
        <v>991.0</v>
      </c>
      <c r="AK313" s="205">
        <v>0.0</v>
      </c>
      <c r="AL313" s="205">
        <v>0.0</v>
      </c>
      <c r="AM313" s="205">
        <v>0.0</v>
      </c>
      <c r="AN313" s="205">
        <v>0.0</v>
      </c>
      <c r="AO313" s="208">
        <v>3.45293</v>
      </c>
      <c r="AP313" s="208">
        <v>4.02478</v>
      </c>
      <c r="AQ313" s="208">
        <v>5.31367</v>
      </c>
      <c r="AR313" s="208">
        <v>3.04243</v>
      </c>
      <c r="AT313" s="192" t="s">
        <v>577</v>
      </c>
      <c r="AU313" s="211" t="s">
        <v>576</v>
      </c>
      <c r="AV313" s="211" t="s">
        <v>1515</v>
      </c>
      <c r="AW313" s="211" t="s">
        <v>1516</v>
      </c>
      <c r="AX313" s="211" t="s">
        <v>577</v>
      </c>
      <c r="AY313" s="212">
        <v>1.8</v>
      </c>
      <c r="AZ313" s="213">
        <v>4.0</v>
      </c>
      <c r="BA313" s="213">
        <v>3.5</v>
      </c>
      <c r="BB313" s="213">
        <v>2.0</v>
      </c>
      <c r="BC313" s="212">
        <v>4.680000000000001</v>
      </c>
      <c r="BD313" s="213">
        <v>10.0</v>
      </c>
      <c r="BE313" s="213">
        <v>9.799999999999999</v>
      </c>
      <c r="BF313" s="213">
        <v>5.6</v>
      </c>
      <c r="BG313" s="212">
        <v>9.666666666666668</v>
      </c>
      <c r="BH313" s="213">
        <v>9.083333333333334</v>
      </c>
      <c r="BI313" s="213">
        <v>0.0016126543220404226</v>
      </c>
      <c r="BJ313" s="213">
        <v>0.0016126543220404226</v>
      </c>
      <c r="BK313" s="213">
        <v>276.0</v>
      </c>
      <c r="BL313" s="212">
        <v>5.5</v>
      </c>
      <c r="BM313" s="213">
        <v>3.875</v>
      </c>
      <c r="BN313" s="213">
        <v>0.003225308644080845</v>
      </c>
      <c r="BO313" s="213">
        <v>0.003225308644080845</v>
      </c>
      <c r="BP313" s="213">
        <v>138.0</v>
      </c>
      <c r="BQ313" s="192"/>
      <c r="BR313" s="192"/>
    </row>
    <row r="314">
      <c r="A314" s="60">
        <v>3711612.0</v>
      </c>
      <c r="B314" s="205">
        <v>2758832.0</v>
      </c>
      <c r="C314" s="205">
        <v>1313297.0</v>
      </c>
      <c r="D314" s="205">
        <v>-2.0</v>
      </c>
      <c r="E314" s="207">
        <v>44166.294224537036</v>
      </c>
      <c r="F314" s="215"/>
      <c r="G314" s="207">
        <v>44220.25069444445</v>
      </c>
      <c r="H314" s="63" t="s">
        <v>1509</v>
      </c>
      <c r="I314" s="205">
        <v>184.0</v>
      </c>
      <c r="J314" s="63" t="s">
        <v>1510</v>
      </c>
      <c r="K314" s="205">
        <v>1.1055678E7</v>
      </c>
      <c r="L314" s="208">
        <v>3.80372</v>
      </c>
      <c r="M314" s="208">
        <v>1.86898</v>
      </c>
      <c r="N314" s="208">
        <v>1.76892</v>
      </c>
      <c r="O314" s="209">
        <v>3.6</v>
      </c>
      <c r="P314" s="209">
        <v>8.0</v>
      </c>
      <c r="Q314" s="209">
        <v>7.0</v>
      </c>
      <c r="R314" s="209">
        <v>4.0</v>
      </c>
      <c r="S314" s="210">
        <v>0.0024189814830606338</v>
      </c>
      <c r="U314" s="205">
        <v>4.0</v>
      </c>
      <c r="V314" s="205">
        <v>3.0</v>
      </c>
      <c r="W314" s="63" t="s">
        <v>1511</v>
      </c>
      <c r="X314" s="210">
        <v>0.0024189814830606338</v>
      </c>
      <c r="Y314" s="63" t="s">
        <v>1443</v>
      </c>
      <c r="Z314" s="63" t="s">
        <v>2419</v>
      </c>
      <c r="AA314" s="205">
        <v>0.0</v>
      </c>
      <c r="AB314" s="63" t="s">
        <v>1513</v>
      </c>
      <c r="AC314" s="205">
        <v>11.0</v>
      </c>
      <c r="AD314" s="208">
        <v>0.0</v>
      </c>
      <c r="AE314" s="205">
        <v>254.0</v>
      </c>
      <c r="AF314" s="205">
        <v>59.0</v>
      </c>
      <c r="AG314" s="205">
        <v>260.0</v>
      </c>
      <c r="AH314" s="205">
        <v>326.0</v>
      </c>
      <c r="AI314" s="205">
        <v>5.0</v>
      </c>
      <c r="AJ314" s="205">
        <v>991.0</v>
      </c>
      <c r="AK314" s="205">
        <v>0.0</v>
      </c>
      <c r="AL314" s="205">
        <v>0.0</v>
      </c>
      <c r="AM314" s="205">
        <v>0.0</v>
      </c>
      <c r="AN314" s="205">
        <v>0.0</v>
      </c>
      <c r="AO314" s="208">
        <v>3.45293</v>
      </c>
      <c r="AP314" s="208">
        <v>4.02478</v>
      </c>
      <c r="AQ314" s="208">
        <v>5.31367</v>
      </c>
      <c r="AR314" s="208">
        <v>3.04243</v>
      </c>
      <c r="AT314" s="192" t="s">
        <v>577</v>
      </c>
      <c r="AU314" s="211" t="s">
        <v>576</v>
      </c>
      <c r="AV314" s="211" t="s">
        <v>1515</v>
      </c>
      <c r="AW314" s="211" t="s">
        <v>1516</v>
      </c>
      <c r="AX314" s="211" t="s">
        <v>577</v>
      </c>
      <c r="AY314" s="212">
        <v>1.8</v>
      </c>
      <c r="AZ314" s="213">
        <v>4.0</v>
      </c>
      <c r="BA314" s="213">
        <v>3.5</v>
      </c>
      <c r="BB314" s="213">
        <v>2.0</v>
      </c>
      <c r="BC314" s="212">
        <v>4.680000000000001</v>
      </c>
      <c r="BD314" s="213">
        <v>10.0</v>
      </c>
      <c r="BE314" s="213">
        <v>9.799999999999999</v>
      </c>
      <c r="BF314" s="213">
        <v>5.6</v>
      </c>
      <c r="BG314" s="212">
        <v>9.666666666666668</v>
      </c>
      <c r="BH314" s="213">
        <v>9.083333333333334</v>
      </c>
      <c r="BI314" s="213">
        <v>0.0016126543220404226</v>
      </c>
      <c r="BJ314" s="213">
        <v>0.0016126543220404226</v>
      </c>
      <c r="BK314" s="213">
        <v>276.0</v>
      </c>
      <c r="BL314" s="212">
        <v>5.5</v>
      </c>
      <c r="BM314" s="213">
        <v>3.875</v>
      </c>
      <c r="BN314" s="213">
        <v>0.003225308644080845</v>
      </c>
      <c r="BO314" s="213">
        <v>0.003225308644080845</v>
      </c>
      <c r="BP314" s="213">
        <v>138.0</v>
      </c>
      <c r="BQ314" s="192"/>
      <c r="BR314" s="192"/>
    </row>
    <row r="315">
      <c r="A315" s="60">
        <v>2519731.0</v>
      </c>
      <c r="B315" s="205">
        <v>1896582.0</v>
      </c>
      <c r="C315" s="205">
        <v>908811.0</v>
      </c>
      <c r="D315" s="205">
        <v>1.0</v>
      </c>
      <c r="E315" s="207">
        <v>43475.90810185185</v>
      </c>
      <c r="F315" s="207">
        <v>44359.86572916667</v>
      </c>
      <c r="G315" s="207">
        <v>44352.82313657408</v>
      </c>
      <c r="H315" s="63" t="s">
        <v>1368</v>
      </c>
      <c r="I315" s="205">
        <v>151.14</v>
      </c>
      <c r="J315" s="63" t="s">
        <v>2420</v>
      </c>
      <c r="K315" s="205">
        <v>5377178.0</v>
      </c>
      <c r="L315" s="208">
        <v>5.25375</v>
      </c>
      <c r="M315" s="208">
        <v>2.72486</v>
      </c>
      <c r="N315" s="208">
        <v>2.25223</v>
      </c>
      <c r="O315" s="209">
        <v>4.0</v>
      </c>
      <c r="P315" s="209">
        <v>9.0</v>
      </c>
      <c r="Q315" s="209">
        <v>8.0</v>
      </c>
      <c r="R315" s="209">
        <v>5.5</v>
      </c>
      <c r="S315" s="210">
        <v>0.0014583333322661929</v>
      </c>
      <c r="T315" s="63" t="s">
        <v>2421</v>
      </c>
      <c r="U315" s="205">
        <v>10.0</v>
      </c>
      <c r="V315" s="205">
        <v>5.0</v>
      </c>
      <c r="W315" s="63" t="s">
        <v>2422</v>
      </c>
      <c r="X315" s="210">
        <v>0.0014583333322661929</v>
      </c>
      <c r="Y315" s="63" t="s">
        <v>1907</v>
      </c>
      <c r="Z315" s="63" t="s">
        <v>2423</v>
      </c>
      <c r="AA315" s="205">
        <v>0.0</v>
      </c>
      <c r="AB315" s="63" t="s">
        <v>2424</v>
      </c>
      <c r="AC315" s="205">
        <v>579.0</v>
      </c>
      <c r="AD315" s="208">
        <v>9.29333</v>
      </c>
      <c r="AE315" s="205">
        <v>121501.0</v>
      </c>
      <c r="AF315" s="205">
        <v>8127.0</v>
      </c>
      <c r="AG315" s="205">
        <v>324.0</v>
      </c>
      <c r="AH315" s="205">
        <v>287.0</v>
      </c>
      <c r="AI315" s="205">
        <v>1.0</v>
      </c>
      <c r="AJ315" s="205">
        <v>903.0</v>
      </c>
      <c r="AK315" s="205">
        <v>0.0</v>
      </c>
      <c r="AL315" s="205">
        <v>0.0</v>
      </c>
      <c r="AM315" s="205">
        <v>0.0</v>
      </c>
      <c r="AN315" s="205">
        <v>0.0</v>
      </c>
      <c r="AO315" s="208">
        <v>4.74867</v>
      </c>
      <c r="AP315" s="208">
        <v>5.70723</v>
      </c>
      <c r="AQ315" s="208">
        <v>7.42229</v>
      </c>
      <c r="AR315" s="208">
        <v>4.16816</v>
      </c>
      <c r="AT315" s="192" t="s">
        <v>611</v>
      </c>
      <c r="AU315" s="211" t="s">
        <v>610</v>
      </c>
      <c r="AV315" s="211" t="s">
        <v>2425</v>
      </c>
      <c r="AW315" s="211" t="s">
        <v>2426</v>
      </c>
      <c r="AX315" s="211" t="s">
        <v>611</v>
      </c>
      <c r="AY315" s="212">
        <v>2.0</v>
      </c>
      <c r="AZ315" s="213">
        <v>4.5</v>
      </c>
      <c r="BA315" s="213">
        <v>4.0</v>
      </c>
      <c r="BB315" s="213">
        <v>2.75</v>
      </c>
      <c r="BC315" s="212">
        <v>5.2</v>
      </c>
      <c r="BD315" s="213">
        <v>10.0</v>
      </c>
      <c r="BE315" s="213">
        <v>10.0</v>
      </c>
      <c r="BF315" s="213">
        <v>7.699999999999999</v>
      </c>
      <c r="BG315" s="212">
        <v>10.333333333333332</v>
      </c>
      <c r="BH315" s="213">
        <v>9.75</v>
      </c>
      <c r="BI315" s="213">
        <v>9.722222215107953E-4</v>
      </c>
      <c r="BJ315" s="213">
        <v>9.722222215107953E-4</v>
      </c>
      <c r="BK315" s="213">
        <v>226.70999999999998</v>
      </c>
      <c r="BL315" s="212">
        <v>7.0</v>
      </c>
      <c r="BM315" s="213">
        <v>5.375</v>
      </c>
      <c r="BN315" s="213">
        <v>0.0019444444430215906</v>
      </c>
      <c r="BO315" s="213">
        <v>0.0019444444430215906</v>
      </c>
      <c r="BP315" s="213">
        <v>113.35499999999999</v>
      </c>
      <c r="BQ315" s="192"/>
      <c r="BR315" s="192"/>
    </row>
    <row r="316">
      <c r="A316" s="60">
        <v>1035068.0</v>
      </c>
      <c r="B316" s="205">
        <v>2115970.0</v>
      </c>
      <c r="C316" s="205">
        <v>1010865.0</v>
      </c>
      <c r="D316" s="205">
        <v>1.0</v>
      </c>
      <c r="E316" s="207">
        <v>43674.87730324074</v>
      </c>
      <c r="F316" s="207">
        <v>43748.60096064815</v>
      </c>
      <c r="G316" s="207">
        <v>43738.20527777778</v>
      </c>
      <c r="H316" s="63" t="s">
        <v>2133</v>
      </c>
      <c r="I316" s="205">
        <v>140.0</v>
      </c>
      <c r="J316" s="63" t="s">
        <v>144</v>
      </c>
      <c r="K316" s="205">
        <v>53378.0</v>
      </c>
      <c r="L316" s="208">
        <v>5.18936</v>
      </c>
      <c r="M316" s="208">
        <v>2.61543</v>
      </c>
      <c r="N316" s="208">
        <v>2.33333</v>
      </c>
      <c r="O316" s="209">
        <v>5.0</v>
      </c>
      <c r="P316" s="209">
        <v>8.0</v>
      </c>
      <c r="Q316" s="209">
        <v>8.0</v>
      </c>
      <c r="R316" s="209">
        <v>6.0</v>
      </c>
      <c r="S316" s="210">
        <v>0.0012268518512428273</v>
      </c>
      <c r="T316" s="63" t="s">
        <v>2427</v>
      </c>
      <c r="U316" s="205">
        <v>2.0</v>
      </c>
      <c r="V316" s="205">
        <v>5.0</v>
      </c>
      <c r="W316" s="63" t="s">
        <v>2428</v>
      </c>
      <c r="X316" s="210">
        <v>0.0012500000011641532</v>
      </c>
      <c r="Y316" s="63" t="s">
        <v>2429</v>
      </c>
      <c r="Z316" s="63" t="s">
        <v>2430</v>
      </c>
      <c r="AA316" s="205">
        <v>0.0</v>
      </c>
      <c r="AB316" s="63" t="s">
        <v>2431</v>
      </c>
      <c r="AC316" s="205">
        <v>200.0</v>
      </c>
      <c r="AD316" s="208">
        <v>9.23438</v>
      </c>
      <c r="AE316" s="205">
        <v>166419.0</v>
      </c>
      <c r="AF316" s="205">
        <v>12528.0</v>
      </c>
      <c r="AG316" s="205">
        <v>594.0</v>
      </c>
      <c r="AH316" s="205">
        <v>0.0</v>
      </c>
      <c r="AI316" s="205">
        <v>0.0</v>
      </c>
      <c r="AJ316" s="205">
        <v>594.0</v>
      </c>
      <c r="AK316" s="205">
        <v>0.0</v>
      </c>
      <c r="AL316" s="205">
        <v>1.0</v>
      </c>
      <c r="AM316" s="205">
        <v>0.0</v>
      </c>
      <c r="AN316" s="205">
        <v>0.0</v>
      </c>
      <c r="AO316" s="208">
        <v>4.65836</v>
      </c>
      <c r="AP316" s="208">
        <v>6.02537</v>
      </c>
      <c r="AQ316" s="208">
        <v>7.31759</v>
      </c>
      <c r="AR316" s="208">
        <v>4.03974</v>
      </c>
      <c r="AT316" s="192" t="s">
        <v>2432</v>
      </c>
      <c r="AU316" s="211" t="s">
        <v>2433</v>
      </c>
      <c r="AV316" s="211" t="s">
        <v>2434</v>
      </c>
      <c r="AW316" s="211" t="s">
        <v>2435</v>
      </c>
      <c r="AX316" s="211" t="s">
        <v>2432</v>
      </c>
      <c r="AY316" s="212">
        <v>2.5</v>
      </c>
      <c r="AZ316" s="213">
        <v>4.0</v>
      </c>
      <c r="BA316" s="213">
        <v>4.0</v>
      </c>
      <c r="BB316" s="213">
        <v>3.0</v>
      </c>
      <c r="BC316" s="212">
        <v>6.5</v>
      </c>
      <c r="BD316" s="213">
        <v>10.0</v>
      </c>
      <c r="BE316" s="213">
        <v>10.0</v>
      </c>
      <c r="BF316" s="213">
        <v>8.399999999999999</v>
      </c>
      <c r="BG316" s="212">
        <v>9.666666666666668</v>
      </c>
      <c r="BH316" s="213">
        <v>9.75</v>
      </c>
      <c r="BI316" s="213">
        <v>8.179012341618849E-4</v>
      </c>
      <c r="BJ316" s="213">
        <v>8.333333341094354E-4</v>
      </c>
      <c r="BK316" s="213">
        <v>210.0</v>
      </c>
      <c r="BL316" s="212">
        <v>5.5</v>
      </c>
      <c r="BM316" s="213">
        <v>5.375</v>
      </c>
      <c r="BN316" s="213">
        <v>0.0016358024683237697</v>
      </c>
      <c r="BO316" s="213">
        <v>0.0016666666682188709</v>
      </c>
      <c r="BP316" s="213">
        <v>105.0</v>
      </c>
      <c r="BQ316" s="192"/>
      <c r="BR316" s="192"/>
    </row>
    <row r="317">
      <c r="A317" s="60">
        <v>975342.0</v>
      </c>
      <c r="B317" s="205">
        <v>3444608.0</v>
      </c>
      <c r="C317" s="205">
        <v>1683876.0</v>
      </c>
      <c r="D317" s="205">
        <v>1.0</v>
      </c>
      <c r="E317" s="207">
        <v>44587.58127314815</v>
      </c>
      <c r="F317" s="207">
        <v>44633.14047453704</v>
      </c>
      <c r="G317" s="207">
        <v>44626.11791666667</v>
      </c>
      <c r="H317" s="63" t="s">
        <v>2436</v>
      </c>
      <c r="I317" s="205">
        <v>165.0</v>
      </c>
      <c r="J317" s="63" t="s">
        <v>2436</v>
      </c>
      <c r="K317" s="205">
        <v>4694602.0</v>
      </c>
      <c r="L317" s="208">
        <v>5.09603</v>
      </c>
      <c r="M317" s="208">
        <v>2.30854</v>
      </c>
      <c r="N317" s="208">
        <v>2.55506</v>
      </c>
      <c r="O317" s="209">
        <v>5.0</v>
      </c>
      <c r="P317" s="209">
        <v>9.2</v>
      </c>
      <c r="Q317" s="209">
        <v>8.4</v>
      </c>
      <c r="R317" s="209">
        <v>5.0</v>
      </c>
      <c r="S317" s="210">
        <v>0.0010995370357704815</v>
      </c>
      <c r="T317" s="63" t="s">
        <v>2437</v>
      </c>
      <c r="U317" s="205">
        <v>10.0</v>
      </c>
      <c r="V317" s="205">
        <v>5.0</v>
      </c>
      <c r="W317" s="63" t="s">
        <v>2438</v>
      </c>
      <c r="X317" s="210">
        <v>0.001134259258833481</v>
      </c>
      <c r="Y317" s="63" t="s">
        <v>1907</v>
      </c>
      <c r="Z317" s="63" t="s">
        <v>2439</v>
      </c>
      <c r="AA317" s="205">
        <v>0.0</v>
      </c>
      <c r="AB317" s="63" t="s">
        <v>2440</v>
      </c>
      <c r="AC317" s="205">
        <v>816.0</v>
      </c>
      <c r="AD317" s="208">
        <v>9.28493</v>
      </c>
      <c r="AE317" s="205">
        <v>214804.0</v>
      </c>
      <c r="AF317" s="205">
        <v>39769.0</v>
      </c>
      <c r="AG317" s="205">
        <v>272.0</v>
      </c>
      <c r="AH317" s="205">
        <v>236.0</v>
      </c>
      <c r="AI317" s="205">
        <v>0.0</v>
      </c>
      <c r="AJ317" s="205">
        <v>778.0</v>
      </c>
      <c r="AK317" s="205">
        <v>1.0</v>
      </c>
      <c r="AL317" s="205">
        <v>0.0</v>
      </c>
      <c r="AM317" s="205">
        <v>0.0</v>
      </c>
      <c r="AN317" s="205">
        <v>0.0</v>
      </c>
      <c r="AO317" s="208">
        <v>4.52735</v>
      </c>
      <c r="AP317" s="208">
        <v>5.64867</v>
      </c>
      <c r="AQ317" s="208">
        <v>7.55692</v>
      </c>
      <c r="AR317" s="208">
        <v>3.98392</v>
      </c>
      <c r="AT317" s="192" t="s">
        <v>622</v>
      </c>
      <c r="AU317" s="211" t="s">
        <v>621</v>
      </c>
      <c r="AV317" s="211" t="s">
        <v>2441</v>
      </c>
      <c r="AW317" s="211" t="s">
        <v>2442</v>
      </c>
      <c r="AX317" s="211" t="s">
        <v>622</v>
      </c>
      <c r="AY317" s="212">
        <v>2.5</v>
      </c>
      <c r="AZ317" s="213">
        <v>4.6</v>
      </c>
      <c r="BA317" s="213">
        <v>4.2</v>
      </c>
      <c r="BB317" s="213">
        <v>2.5</v>
      </c>
      <c r="BC317" s="212">
        <v>6.5</v>
      </c>
      <c r="BD317" s="213">
        <v>10.0</v>
      </c>
      <c r="BE317" s="213">
        <v>10.0</v>
      </c>
      <c r="BF317" s="213">
        <v>7.0</v>
      </c>
      <c r="BG317" s="212">
        <v>10.466666666666667</v>
      </c>
      <c r="BH317" s="213">
        <v>10.016666666666667</v>
      </c>
      <c r="BI317" s="213">
        <v>7.330246905136543E-4</v>
      </c>
      <c r="BJ317" s="213">
        <v>7.561728392223207E-4</v>
      </c>
      <c r="BK317" s="213">
        <v>247.5</v>
      </c>
      <c r="BL317" s="212">
        <v>7.299999999999999</v>
      </c>
      <c r="BM317" s="213">
        <v>5.975000000000001</v>
      </c>
      <c r="BN317" s="213">
        <v>0.0014660493810273085</v>
      </c>
      <c r="BO317" s="213">
        <v>0.0015123456784446414</v>
      </c>
      <c r="BP317" s="213">
        <v>123.75</v>
      </c>
      <c r="BQ317" s="192"/>
      <c r="BR317" s="192"/>
    </row>
    <row r="318">
      <c r="A318" s="60"/>
      <c r="B318" s="205">
        <v>1738876.0</v>
      </c>
      <c r="C318" s="205">
        <v>828940.0</v>
      </c>
      <c r="D318" s="205">
        <v>1.0</v>
      </c>
      <c r="E318" s="207">
        <v>43321.15282407407</v>
      </c>
      <c r="F318" s="207">
        <v>43422.000625</v>
      </c>
      <c r="G318" s="207">
        <v>43414.97898148149</v>
      </c>
      <c r="H318" s="63" t="s">
        <v>1121</v>
      </c>
      <c r="I318" s="205">
        <v>149.61</v>
      </c>
      <c r="J318" s="63" t="s">
        <v>2443</v>
      </c>
      <c r="K318" s="205">
        <v>5099768.0</v>
      </c>
      <c r="L318" s="208">
        <v>4.74912</v>
      </c>
      <c r="M318" s="208">
        <v>2.12079</v>
      </c>
      <c r="N318" s="208">
        <v>2.40452</v>
      </c>
      <c r="O318" s="209">
        <v>4.0</v>
      </c>
      <c r="P318" s="209">
        <v>8.0</v>
      </c>
      <c r="Q318" s="209">
        <v>6.0</v>
      </c>
      <c r="R318" s="209">
        <v>5.0</v>
      </c>
      <c r="S318" s="210">
        <v>0.0010416666664241347</v>
      </c>
      <c r="T318" s="63" t="s">
        <v>2444</v>
      </c>
      <c r="U318" s="205">
        <v>2.0</v>
      </c>
      <c r="V318" s="205">
        <v>5.0</v>
      </c>
      <c r="W318" s="63" t="s">
        <v>2445</v>
      </c>
      <c r="X318" s="210">
        <v>0.0010416666664241347</v>
      </c>
      <c r="Y318" s="63" t="s">
        <v>2446</v>
      </c>
      <c r="Z318" s="63" t="s">
        <v>2447</v>
      </c>
      <c r="AA318" s="205">
        <v>0.0</v>
      </c>
      <c r="AB318" s="63" t="s">
        <v>2448</v>
      </c>
      <c r="AC318" s="205">
        <v>260.0</v>
      </c>
      <c r="AD318" s="208">
        <v>9.32815</v>
      </c>
      <c r="AE318" s="205">
        <v>75627.0</v>
      </c>
      <c r="AF318" s="205">
        <v>20097.0</v>
      </c>
      <c r="AG318" s="205">
        <v>431.0</v>
      </c>
      <c r="AH318" s="205">
        <v>0.0</v>
      </c>
      <c r="AI318" s="205">
        <v>7.0</v>
      </c>
      <c r="AJ318" s="205">
        <v>438.0</v>
      </c>
      <c r="AK318" s="205">
        <v>0.0</v>
      </c>
      <c r="AL318" s="205">
        <v>0.0</v>
      </c>
      <c r="AM318" s="205">
        <v>0.0</v>
      </c>
      <c r="AN318" s="205">
        <v>0.0</v>
      </c>
      <c r="AO318" s="208">
        <v>4.44023</v>
      </c>
      <c r="AP318" s="208">
        <v>4.90465</v>
      </c>
      <c r="AQ318" s="208">
        <v>6.83588</v>
      </c>
      <c r="AR318" s="208">
        <v>3.66906</v>
      </c>
      <c r="AT318" s="192" t="s">
        <v>579</v>
      </c>
      <c r="AU318" s="211" t="s">
        <v>578</v>
      </c>
      <c r="AV318" s="211" t="s">
        <v>2449</v>
      </c>
      <c r="AW318" s="211" t="s">
        <v>2450</v>
      </c>
      <c r="AX318" s="211" t="s">
        <v>579</v>
      </c>
      <c r="AY318" s="212">
        <v>2.0</v>
      </c>
      <c r="AZ318" s="213">
        <v>4.0</v>
      </c>
      <c r="BA318" s="213">
        <v>3.0</v>
      </c>
      <c r="BB318" s="213">
        <v>2.5</v>
      </c>
      <c r="BC318" s="212">
        <v>5.2</v>
      </c>
      <c r="BD318" s="213">
        <v>10.0</v>
      </c>
      <c r="BE318" s="213">
        <v>8.399999999999999</v>
      </c>
      <c r="BF318" s="213">
        <v>7.0</v>
      </c>
      <c r="BG318" s="212">
        <v>9.666666666666668</v>
      </c>
      <c r="BH318" s="213">
        <v>8.416666666666666</v>
      </c>
      <c r="BI318" s="213">
        <v>6.944444442827565E-4</v>
      </c>
      <c r="BJ318" s="213">
        <v>6.944444442827565E-4</v>
      </c>
      <c r="BK318" s="213">
        <v>224.41500000000002</v>
      </c>
      <c r="BL318" s="212">
        <v>5.5</v>
      </c>
      <c r="BM318" s="213">
        <v>2.375</v>
      </c>
      <c r="BN318" s="213">
        <v>0.001388888888565513</v>
      </c>
      <c r="BO318" s="213">
        <v>0.001388888888565513</v>
      </c>
      <c r="BP318" s="213">
        <v>112.20750000000001</v>
      </c>
      <c r="BQ318" s="192"/>
      <c r="BR318" s="192"/>
    </row>
    <row r="319">
      <c r="A319" s="60"/>
      <c r="B319" s="205">
        <v>28366.0</v>
      </c>
      <c r="C319" s="205">
        <v>5918.0</v>
      </c>
      <c r="D319" s="205">
        <v>4.0</v>
      </c>
      <c r="E319" s="207">
        <v>39891.97373842593</v>
      </c>
      <c r="F319" s="207">
        <v>45025.67118055555</v>
      </c>
      <c r="G319" s="207">
        <v>45024.97385416667</v>
      </c>
      <c r="H319" s="63" t="s">
        <v>1006</v>
      </c>
      <c r="I319" s="205">
        <v>160.0</v>
      </c>
      <c r="J319" s="63" t="s">
        <v>553</v>
      </c>
      <c r="K319" s="205">
        <v>5772.0</v>
      </c>
      <c r="L319" s="208">
        <v>4.71486</v>
      </c>
      <c r="M319" s="208">
        <v>1.96206</v>
      </c>
      <c r="N319" s="208">
        <v>2.48112</v>
      </c>
      <c r="O319" s="209">
        <v>5.0</v>
      </c>
      <c r="P319" s="209">
        <v>8.0</v>
      </c>
      <c r="Q319" s="209">
        <v>8.0</v>
      </c>
      <c r="R319" s="209">
        <v>5.0</v>
      </c>
      <c r="S319" s="210">
        <v>0.0016203703708015382</v>
      </c>
      <c r="T319" s="63" t="s">
        <v>2451</v>
      </c>
      <c r="U319" s="205">
        <v>2.0</v>
      </c>
      <c r="V319" s="205">
        <v>5.0</v>
      </c>
      <c r="W319" s="63" t="s">
        <v>2452</v>
      </c>
      <c r="X319" s="210">
        <v>0.001701388890069211</v>
      </c>
      <c r="Y319" s="63" t="s">
        <v>2453</v>
      </c>
      <c r="Z319" s="63" t="s">
        <v>2454</v>
      </c>
      <c r="AA319" s="205">
        <v>0.0</v>
      </c>
      <c r="AB319" s="63" t="s">
        <v>2455</v>
      </c>
      <c r="AC319" s="205">
        <v>89.0</v>
      </c>
      <c r="AD319" s="208">
        <v>9.26582</v>
      </c>
      <c r="AE319" s="205">
        <v>5869.0</v>
      </c>
      <c r="AF319" s="205">
        <v>1114.0</v>
      </c>
      <c r="AG319" s="205">
        <v>636.0</v>
      </c>
      <c r="AH319" s="205">
        <v>65.0</v>
      </c>
      <c r="AI319" s="205">
        <v>0.0</v>
      </c>
      <c r="AJ319" s="205">
        <v>785.0</v>
      </c>
      <c r="AK319" s="205">
        <v>0.0</v>
      </c>
      <c r="AL319" s="205">
        <v>0.0</v>
      </c>
      <c r="AM319" s="205">
        <v>0.0</v>
      </c>
      <c r="AN319" s="205">
        <v>0.0</v>
      </c>
      <c r="AO319" s="208">
        <v>4.34649</v>
      </c>
      <c r="AP319" s="208">
        <v>5.11919</v>
      </c>
      <c r="AQ319" s="208">
        <v>6.78257</v>
      </c>
      <c r="AR319" s="208">
        <v>3.67363</v>
      </c>
      <c r="AT319" s="192" t="s">
        <v>552</v>
      </c>
      <c r="AU319" s="211" t="s">
        <v>580</v>
      </c>
      <c r="AV319" s="211" t="s">
        <v>2456</v>
      </c>
      <c r="AW319" s="211" t="s">
        <v>2457</v>
      </c>
      <c r="AX319" s="211" t="s">
        <v>552</v>
      </c>
      <c r="AY319" s="212">
        <v>2.5</v>
      </c>
      <c r="AZ319" s="213">
        <v>4.0</v>
      </c>
      <c r="BA319" s="213">
        <v>4.0</v>
      </c>
      <c r="BB319" s="213">
        <v>2.5</v>
      </c>
      <c r="BC319" s="212">
        <v>6.5</v>
      </c>
      <c r="BD319" s="213">
        <v>10.0</v>
      </c>
      <c r="BE319" s="213">
        <v>10.0</v>
      </c>
      <c r="BF319" s="213">
        <v>7.0</v>
      </c>
      <c r="BG319" s="212">
        <v>9.666666666666668</v>
      </c>
      <c r="BH319" s="213">
        <v>9.75</v>
      </c>
      <c r="BI319" s="213">
        <v>0.0010802469138676922</v>
      </c>
      <c r="BJ319" s="213">
        <v>0.0011342592600461405</v>
      </c>
      <c r="BK319" s="213">
        <v>240.0</v>
      </c>
      <c r="BL319" s="212">
        <v>5.5</v>
      </c>
      <c r="BM319" s="213">
        <v>5.375</v>
      </c>
      <c r="BN319" s="213">
        <v>0.0021604938277353844</v>
      </c>
      <c r="BO319" s="213">
        <v>0.002268518520092281</v>
      </c>
      <c r="BP319" s="213">
        <v>120.0</v>
      </c>
      <c r="BQ319" s="192"/>
      <c r="BR319" s="192"/>
    </row>
    <row r="320">
      <c r="A320" s="60"/>
      <c r="B320" s="205">
        <v>192181.0</v>
      </c>
      <c r="C320" s="205">
        <v>49459.0</v>
      </c>
      <c r="D320" s="205">
        <v>1.0</v>
      </c>
      <c r="E320" s="207">
        <v>41025.148043981484</v>
      </c>
      <c r="F320" s="207">
        <v>41324.67246527778</v>
      </c>
      <c r="G320" s="207">
        <v>41324.670069444444</v>
      </c>
      <c r="H320" s="63" t="s">
        <v>1019</v>
      </c>
      <c r="I320" s="205">
        <v>152.0</v>
      </c>
      <c r="J320" s="63" t="s">
        <v>675</v>
      </c>
      <c r="K320" s="205">
        <v>104401.0</v>
      </c>
      <c r="L320" s="208">
        <v>4.71418</v>
      </c>
      <c r="M320" s="208">
        <v>2.20499</v>
      </c>
      <c r="N320" s="208">
        <v>2.30511</v>
      </c>
      <c r="O320" s="209">
        <v>5.0</v>
      </c>
      <c r="P320" s="209">
        <v>8.0</v>
      </c>
      <c r="Q320" s="209">
        <v>7.0</v>
      </c>
      <c r="R320" s="209">
        <v>7.0</v>
      </c>
      <c r="S320" s="210">
        <v>0.0016087962976598646</v>
      </c>
      <c r="T320" s="63" t="s">
        <v>2458</v>
      </c>
      <c r="U320" s="205">
        <v>2.0</v>
      </c>
      <c r="V320" s="205">
        <v>5.0</v>
      </c>
      <c r="W320" s="63" t="s">
        <v>2459</v>
      </c>
      <c r="X320" s="210">
        <v>0.001678240740147885</v>
      </c>
      <c r="Y320" s="63" t="s">
        <v>1116</v>
      </c>
      <c r="Z320" s="63" t="s">
        <v>2460</v>
      </c>
      <c r="AA320" s="205">
        <v>0.0</v>
      </c>
      <c r="AB320" s="63" t="s">
        <v>2461</v>
      </c>
      <c r="AC320" s="205">
        <v>414.0</v>
      </c>
      <c r="AD320" s="208">
        <v>9.42546</v>
      </c>
      <c r="AE320" s="205">
        <v>398269.0</v>
      </c>
      <c r="AF320" s="205">
        <v>43410.0</v>
      </c>
      <c r="AG320" s="205">
        <v>453.0</v>
      </c>
      <c r="AH320" s="205">
        <v>183.0</v>
      </c>
      <c r="AI320" s="205">
        <v>3.0</v>
      </c>
      <c r="AJ320" s="205">
        <v>902.0</v>
      </c>
      <c r="AK320" s="205">
        <v>0.0</v>
      </c>
      <c r="AL320" s="205">
        <v>0.0</v>
      </c>
      <c r="AM320" s="205">
        <v>0.0</v>
      </c>
      <c r="AN320" s="205">
        <v>0.0</v>
      </c>
      <c r="AO320" s="208">
        <v>4.28007</v>
      </c>
      <c r="AP320" s="208">
        <v>5.25399</v>
      </c>
      <c r="AQ320" s="208">
        <v>6.61306</v>
      </c>
      <c r="AR320" s="208">
        <v>3.71255</v>
      </c>
      <c r="AT320" s="192" t="s">
        <v>627</v>
      </c>
      <c r="AU320" s="211" t="s">
        <v>626</v>
      </c>
      <c r="AV320" s="211" t="s">
        <v>2462</v>
      </c>
      <c r="AW320" s="211" t="s">
        <v>2463</v>
      </c>
      <c r="AX320" s="211" t="s">
        <v>627</v>
      </c>
      <c r="AY320" s="212">
        <v>2.5</v>
      </c>
      <c r="AZ320" s="213">
        <v>4.0</v>
      </c>
      <c r="BA320" s="213">
        <v>3.5</v>
      </c>
      <c r="BB320" s="213">
        <v>3.5</v>
      </c>
      <c r="BC320" s="212">
        <v>6.5</v>
      </c>
      <c r="BD320" s="213">
        <v>10.0</v>
      </c>
      <c r="BE320" s="213">
        <v>9.799999999999999</v>
      </c>
      <c r="BF320" s="213">
        <v>9.799999999999999</v>
      </c>
      <c r="BG320" s="212">
        <v>9.666666666666668</v>
      </c>
      <c r="BH320" s="213">
        <v>9.083333333333334</v>
      </c>
      <c r="BI320" s="213">
        <v>0.0010725308651065764</v>
      </c>
      <c r="BJ320" s="213">
        <v>0.00111882716009859</v>
      </c>
      <c r="BK320" s="213">
        <v>228.0</v>
      </c>
      <c r="BL320" s="212">
        <v>5.5</v>
      </c>
      <c r="BM320" s="213">
        <v>3.875</v>
      </c>
      <c r="BN320" s="213">
        <v>0.0021450617302131527</v>
      </c>
      <c r="BO320" s="213">
        <v>0.00223765432019718</v>
      </c>
      <c r="BP320" s="213">
        <v>114.0</v>
      </c>
      <c r="BQ320" s="192"/>
      <c r="BR320" s="192"/>
    </row>
    <row r="321">
      <c r="A321" s="60"/>
      <c r="B321" s="205">
        <v>3350322.0</v>
      </c>
      <c r="C321" s="205">
        <v>1641533.0</v>
      </c>
      <c r="D321" s="205">
        <v>1.0</v>
      </c>
      <c r="E321" s="207">
        <v>44532.55399305555</v>
      </c>
      <c r="F321" s="207">
        <v>44552.89258101852</v>
      </c>
      <c r="G321" s="207">
        <v>44544.63282407407</v>
      </c>
      <c r="H321" s="63" t="s">
        <v>2436</v>
      </c>
      <c r="I321" s="205">
        <v>170.0</v>
      </c>
      <c r="J321" s="63" t="s">
        <v>2436</v>
      </c>
      <c r="K321" s="205">
        <v>4694602.0</v>
      </c>
      <c r="L321" s="208">
        <v>4.87905</v>
      </c>
      <c r="M321" s="208">
        <v>2.3502</v>
      </c>
      <c r="N321" s="208">
        <v>2.32011</v>
      </c>
      <c r="O321" s="209">
        <v>4.6</v>
      </c>
      <c r="P321" s="209">
        <v>8.0</v>
      </c>
      <c r="Q321" s="209">
        <v>8.0</v>
      </c>
      <c r="R321" s="209">
        <v>5.0</v>
      </c>
      <c r="S321" s="210">
        <v>0.0016203703708015382</v>
      </c>
      <c r="T321" s="63" t="s">
        <v>2464</v>
      </c>
      <c r="U321" s="205">
        <v>10.0</v>
      </c>
      <c r="V321" s="205">
        <v>5.0</v>
      </c>
      <c r="W321" s="63" t="s">
        <v>80</v>
      </c>
      <c r="X321" s="210">
        <v>0.0018055555556202307</v>
      </c>
      <c r="Y321" s="63" t="s">
        <v>1125</v>
      </c>
      <c r="Z321" s="63" t="s">
        <v>2465</v>
      </c>
      <c r="AA321" s="205">
        <v>0.0</v>
      </c>
      <c r="AB321" s="63" t="s">
        <v>2466</v>
      </c>
      <c r="AC321" s="205">
        <v>180.0</v>
      </c>
      <c r="AD321" s="208">
        <v>9.42353</v>
      </c>
      <c r="AE321" s="205">
        <v>47107.0</v>
      </c>
      <c r="AF321" s="205">
        <v>4082.0</v>
      </c>
      <c r="AG321" s="205">
        <v>414.0</v>
      </c>
      <c r="AH321" s="205">
        <v>236.0</v>
      </c>
      <c r="AI321" s="205">
        <v>0.0</v>
      </c>
      <c r="AJ321" s="205">
        <v>890.0</v>
      </c>
      <c r="AK321" s="205">
        <v>0.0</v>
      </c>
      <c r="AL321" s="205">
        <v>0.0</v>
      </c>
      <c r="AM321" s="205">
        <v>0.0</v>
      </c>
      <c r="AN321" s="205">
        <v>0.0</v>
      </c>
      <c r="AO321" s="208">
        <v>4.47378</v>
      </c>
      <c r="AP321" s="208">
        <v>5.2563</v>
      </c>
      <c r="AQ321" s="208">
        <v>6.84456</v>
      </c>
      <c r="AR321" s="208">
        <v>3.85255</v>
      </c>
      <c r="AT321" s="192" t="s">
        <v>582</v>
      </c>
      <c r="AU321" s="211" t="s">
        <v>581</v>
      </c>
      <c r="AV321" s="211" t="s">
        <v>2467</v>
      </c>
      <c r="AW321" s="211" t="s">
        <v>2468</v>
      </c>
      <c r="AX321" s="211" t="s">
        <v>582</v>
      </c>
      <c r="AY321" s="212">
        <v>2.3</v>
      </c>
      <c r="AZ321" s="213">
        <v>4.0</v>
      </c>
      <c r="BA321" s="213">
        <v>4.0</v>
      </c>
      <c r="BB321" s="213">
        <v>2.5</v>
      </c>
      <c r="BC321" s="212">
        <v>5.9799999999999995</v>
      </c>
      <c r="BD321" s="213">
        <v>10.0</v>
      </c>
      <c r="BE321" s="213">
        <v>10.0</v>
      </c>
      <c r="BF321" s="213">
        <v>7.0</v>
      </c>
      <c r="BG321" s="212">
        <v>9.666666666666668</v>
      </c>
      <c r="BH321" s="213">
        <v>9.75</v>
      </c>
      <c r="BI321" s="213">
        <v>0.0010802469138676922</v>
      </c>
      <c r="BJ321" s="213">
        <v>0.0012037037037468206</v>
      </c>
      <c r="BK321" s="213">
        <v>255.0</v>
      </c>
      <c r="BL321" s="212">
        <v>5.5</v>
      </c>
      <c r="BM321" s="213">
        <v>5.375</v>
      </c>
      <c r="BN321" s="213">
        <v>0.0021604938277353844</v>
      </c>
      <c r="BO321" s="213">
        <v>0.002407407407493641</v>
      </c>
      <c r="BP321" s="213">
        <v>127.5</v>
      </c>
      <c r="BQ321" s="192"/>
      <c r="BR321" s="192"/>
    </row>
    <row r="322">
      <c r="A322" s="60"/>
      <c r="B322" s="205">
        <v>3350322.0</v>
      </c>
      <c r="C322" s="205">
        <v>1641533.0</v>
      </c>
      <c r="D322" s="205">
        <v>1.0</v>
      </c>
      <c r="E322" s="207">
        <v>44532.55399305555</v>
      </c>
      <c r="F322" s="207">
        <v>44552.89258101852</v>
      </c>
      <c r="G322" s="207">
        <v>44544.63282407407</v>
      </c>
      <c r="H322" s="63" t="s">
        <v>2436</v>
      </c>
      <c r="I322" s="205">
        <v>170.0</v>
      </c>
      <c r="J322" s="63" t="s">
        <v>2436</v>
      </c>
      <c r="K322" s="205">
        <v>4694602.0</v>
      </c>
      <c r="L322" s="208">
        <v>4.87905</v>
      </c>
      <c r="M322" s="208">
        <v>2.3502</v>
      </c>
      <c r="N322" s="208">
        <v>2.32011</v>
      </c>
      <c r="O322" s="209">
        <v>4.6</v>
      </c>
      <c r="P322" s="209">
        <v>8.0</v>
      </c>
      <c r="Q322" s="209">
        <v>8.0</v>
      </c>
      <c r="R322" s="209">
        <v>5.0</v>
      </c>
      <c r="S322" s="210">
        <v>0.0016203703708015382</v>
      </c>
      <c r="T322" s="63" t="s">
        <v>2464</v>
      </c>
      <c r="U322" s="205">
        <v>10.0</v>
      </c>
      <c r="V322" s="205">
        <v>5.0</v>
      </c>
      <c r="W322" s="63" t="s">
        <v>80</v>
      </c>
      <c r="X322" s="210">
        <v>0.0018055555556202307</v>
      </c>
      <c r="Y322" s="63" t="s">
        <v>1125</v>
      </c>
      <c r="Z322" s="63" t="s">
        <v>2465</v>
      </c>
      <c r="AA322" s="205">
        <v>0.0</v>
      </c>
      <c r="AB322" s="63" t="s">
        <v>2466</v>
      </c>
      <c r="AC322" s="205">
        <v>180.0</v>
      </c>
      <c r="AD322" s="208">
        <v>9.42353</v>
      </c>
      <c r="AE322" s="205">
        <v>47107.0</v>
      </c>
      <c r="AF322" s="205">
        <v>4082.0</v>
      </c>
      <c r="AG322" s="205">
        <v>414.0</v>
      </c>
      <c r="AH322" s="205">
        <v>236.0</v>
      </c>
      <c r="AI322" s="205">
        <v>0.0</v>
      </c>
      <c r="AJ322" s="205">
        <v>890.0</v>
      </c>
      <c r="AK322" s="205">
        <v>0.0</v>
      </c>
      <c r="AL322" s="205">
        <v>0.0</v>
      </c>
      <c r="AM322" s="205">
        <v>0.0</v>
      </c>
      <c r="AN322" s="205">
        <v>0.0</v>
      </c>
      <c r="AO322" s="208">
        <v>4.47378</v>
      </c>
      <c r="AP322" s="208">
        <v>5.2563</v>
      </c>
      <c r="AQ322" s="208">
        <v>6.84456</v>
      </c>
      <c r="AR322" s="208">
        <v>3.85255</v>
      </c>
      <c r="AT322" s="192" t="s">
        <v>582</v>
      </c>
      <c r="AU322" s="211" t="s">
        <v>581</v>
      </c>
      <c r="AV322" s="211" t="s">
        <v>2467</v>
      </c>
      <c r="AW322" s="211" t="s">
        <v>2468</v>
      </c>
      <c r="AX322" s="211" t="s">
        <v>582</v>
      </c>
      <c r="AY322" s="212">
        <v>2.3</v>
      </c>
      <c r="AZ322" s="213">
        <v>4.0</v>
      </c>
      <c r="BA322" s="213">
        <v>4.0</v>
      </c>
      <c r="BB322" s="213">
        <v>2.5</v>
      </c>
      <c r="BC322" s="212">
        <v>5.9799999999999995</v>
      </c>
      <c r="BD322" s="213">
        <v>10.0</v>
      </c>
      <c r="BE322" s="213">
        <v>10.0</v>
      </c>
      <c r="BF322" s="213">
        <v>7.0</v>
      </c>
      <c r="BG322" s="212">
        <v>9.666666666666668</v>
      </c>
      <c r="BH322" s="213">
        <v>9.75</v>
      </c>
      <c r="BI322" s="213">
        <v>0.0010802469138676922</v>
      </c>
      <c r="BJ322" s="213">
        <v>0.0012037037037468206</v>
      </c>
      <c r="BK322" s="213">
        <v>255.0</v>
      </c>
      <c r="BL322" s="212">
        <v>5.5</v>
      </c>
      <c r="BM322" s="213">
        <v>5.375</v>
      </c>
      <c r="BN322" s="213">
        <v>0.0021604938277353844</v>
      </c>
      <c r="BO322" s="213">
        <v>0.002407407407493641</v>
      </c>
      <c r="BP322" s="213">
        <v>127.5</v>
      </c>
      <c r="BQ322" s="192"/>
      <c r="BR322" s="192"/>
    </row>
    <row r="323">
      <c r="A323" s="60"/>
      <c r="B323" s="205">
        <v>3309941.0</v>
      </c>
      <c r="C323" s="205">
        <v>1621130.0</v>
      </c>
      <c r="D323" s="205">
        <v>1.0</v>
      </c>
      <c r="E323" s="207">
        <v>44507.07383101852</v>
      </c>
      <c r="F323" s="207">
        <v>44518.73643518519</v>
      </c>
      <c r="G323" s="207">
        <v>44512.79039351852</v>
      </c>
      <c r="H323" s="63" t="s">
        <v>2469</v>
      </c>
      <c r="I323" s="205">
        <v>119.0</v>
      </c>
      <c r="J323" s="63" t="s">
        <v>1359</v>
      </c>
      <c r="K323" s="205">
        <v>3181083.0</v>
      </c>
      <c r="L323" s="208">
        <v>4.65699</v>
      </c>
      <c r="M323" s="208">
        <v>2.33035</v>
      </c>
      <c r="N323" s="208">
        <v>2.11541</v>
      </c>
      <c r="O323" s="209">
        <v>4.0</v>
      </c>
      <c r="P323" s="209">
        <v>8.0</v>
      </c>
      <c r="Q323" s="209">
        <v>8.0</v>
      </c>
      <c r="R323" s="209">
        <v>7.0</v>
      </c>
      <c r="S323" s="210">
        <v>0.0014120370360615198</v>
      </c>
      <c r="U323" s="205">
        <v>9.0</v>
      </c>
      <c r="V323" s="205">
        <v>14.0</v>
      </c>
      <c r="W323" s="63" t="s">
        <v>2470</v>
      </c>
      <c r="X323" s="210">
        <v>0.0016898148132895585</v>
      </c>
      <c r="Y323" s="63" t="s">
        <v>2471</v>
      </c>
      <c r="Z323" s="63" t="s">
        <v>2472</v>
      </c>
      <c r="AA323" s="205">
        <v>0.0</v>
      </c>
      <c r="AB323" s="63" t="s">
        <v>2473</v>
      </c>
      <c r="AC323" s="205">
        <v>234.0</v>
      </c>
      <c r="AD323" s="208">
        <v>9.38793</v>
      </c>
      <c r="AE323" s="205">
        <v>63748.0</v>
      </c>
      <c r="AF323" s="205">
        <v>6864.0</v>
      </c>
      <c r="AG323" s="205">
        <v>288.0</v>
      </c>
      <c r="AH323" s="205">
        <v>156.0</v>
      </c>
      <c r="AI323" s="205">
        <v>4.0</v>
      </c>
      <c r="AJ323" s="205">
        <v>781.0</v>
      </c>
      <c r="AK323" s="205">
        <v>0.0</v>
      </c>
      <c r="AL323" s="205">
        <v>1.0</v>
      </c>
      <c r="AM323" s="205">
        <v>0.0</v>
      </c>
      <c r="AN323" s="205">
        <v>0.0</v>
      </c>
      <c r="AO323" s="208">
        <v>4.1894</v>
      </c>
      <c r="AP323" s="208">
        <v>4.93955</v>
      </c>
      <c r="AQ323" s="208">
        <v>6.54662</v>
      </c>
      <c r="AR323" s="208">
        <v>3.71692</v>
      </c>
      <c r="AT323" s="192" t="s">
        <v>584</v>
      </c>
      <c r="AU323" s="211" t="s">
        <v>583</v>
      </c>
      <c r="AV323" s="211" t="s">
        <v>2474</v>
      </c>
      <c r="AW323" s="211" t="s">
        <v>2475</v>
      </c>
      <c r="AX323" s="211" t="s">
        <v>584</v>
      </c>
      <c r="AY323" s="212">
        <v>2.0</v>
      </c>
      <c r="AZ323" s="213">
        <v>4.0</v>
      </c>
      <c r="BA323" s="213">
        <v>4.0</v>
      </c>
      <c r="BB323" s="213">
        <v>3.5</v>
      </c>
      <c r="BC323" s="212">
        <v>5.2</v>
      </c>
      <c r="BD323" s="213">
        <v>10.0</v>
      </c>
      <c r="BE323" s="213">
        <v>10.0</v>
      </c>
      <c r="BF323" s="213">
        <v>9.799999999999999</v>
      </c>
      <c r="BG323" s="212">
        <v>9.666666666666668</v>
      </c>
      <c r="BH323" s="213">
        <v>9.75</v>
      </c>
      <c r="BI323" s="213">
        <v>9.413580240410132E-4</v>
      </c>
      <c r="BJ323" s="213">
        <v>0.0011265432088597056</v>
      </c>
      <c r="BK323" s="213">
        <v>178.5</v>
      </c>
      <c r="BL323" s="212">
        <v>5.5</v>
      </c>
      <c r="BM323" s="213">
        <v>5.375</v>
      </c>
      <c r="BN323" s="213">
        <v>0.0018827160480820264</v>
      </c>
      <c r="BO323" s="213">
        <v>0.002253086417719411</v>
      </c>
      <c r="BP323" s="213">
        <v>89.25</v>
      </c>
      <c r="BQ323" s="192"/>
      <c r="BR323" s="192"/>
    </row>
    <row r="324">
      <c r="A324" s="60"/>
      <c r="B324" s="205">
        <v>2388648.0</v>
      </c>
      <c r="C324" s="205">
        <v>1098181.0</v>
      </c>
      <c r="D324" s="205">
        <v>1.0</v>
      </c>
      <c r="E324" s="207">
        <v>43852.82324074074</v>
      </c>
      <c r="F324" s="207">
        <v>43962.62766203703</v>
      </c>
      <c r="G324" s="207">
        <v>43955.51731481482</v>
      </c>
      <c r="H324" s="63" t="s">
        <v>1003</v>
      </c>
      <c r="I324" s="205">
        <v>145.0</v>
      </c>
      <c r="J324" s="63" t="s">
        <v>542</v>
      </c>
      <c r="K324" s="205">
        <v>6842421.0</v>
      </c>
      <c r="L324" s="208">
        <v>3.6515</v>
      </c>
      <c r="M324" s="208">
        <v>1.62574</v>
      </c>
      <c r="N324" s="208">
        <v>1.8523</v>
      </c>
      <c r="O324" s="209">
        <v>3.8</v>
      </c>
      <c r="P324" s="209">
        <v>8.0</v>
      </c>
      <c r="Q324" s="209">
        <v>7.0</v>
      </c>
      <c r="R324" s="209">
        <v>5.0</v>
      </c>
      <c r="S324" s="210">
        <v>0.0025462962948950008</v>
      </c>
      <c r="U324" s="205">
        <v>4.0</v>
      </c>
      <c r="V324" s="205">
        <v>3.0</v>
      </c>
      <c r="W324" s="63" t="s">
        <v>2476</v>
      </c>
      <c r="X324" s="210">
        <v>0.0025694444448163267</v>
      </c>
      <c r="Y324" s="63" t="s">
        <v>1443</v>
      </c>
      <c r="Z324" s="63" t="s">
        <v>2477</v>
      </c>
      <c r="AA324" s="205">
        <v>0.0</v>
      </c>
      <c r="AB324" s="63" t="s">
        <v>2478</v>
      </c>
      <c r="AC324" s="205">
        <v>920.0</v>
      </c>
      <c r="AD324" s="208">
        <v>9.44149</v>
      </c>
      <c r="AE324" s="205">
        <v>199728.0</v>
      </c>
      <c r="AF324" s="205">
        <v>33795.0</v>
      </c>
      <c r="AG324" s="205">
        <v>436.0</v>
      </c>
      <c r="AH324" s="205">
        <v>324.0</v>
      </c>
      <c r="AI324" s="205">
        <v>1.0</v>
      </c>
      <c r="AJ324" s="205">
        <v>1200.0</v>
      </c>
      <c r="AK324" s="205">
        <v>0.0</v>
      </c>
      <c r="AL324" s="205">
        <v>0.0</v>
      </c>
      <c r="AM324" s="205">
        <v>0.0</v>
      </c>
      <c r="AN324" s="205">
        <v>0.0</v>
      </c>
      <c r="AO324" s="208">
        <v>3.36552</v>
      </c>
      <c r="AP324" s="208">
        <v>3.83154</v>
      </c>
      <c r="AQ324" s="208">
        <v>5.127</v>
      </c>
      <c r="AR324" s="208">
        <v>2.92345</v>
      </c>
      <c r="AT324" s="192" t="s">
        <v>541</v>
      </c>
      <c r="AU324" s="211" t="s">
        <v>586</v>
      </c>
      <c r="AV324" s="211" t="s">
        <v>2479</v>
      </c>
      <c r="AW324" s="211" t="s">
        <v>2480</v>
      </c>
      <c r="AX324" s="211" t="s">
        <v>541</v>
      </c>
      <c r="AY324" s="212">
        <v>1.9</v>
      </c>
      <c r="AZ324" s="213">
        <v>4.0</v>
      </c>
      <c r="BA324" s="213">
        <v>3.5</v>
      </c>
      <c r="BB324" s="213">
        <v>2.5</v>
      </c>
      <c r="BC324" s="212">
        <v>4.9399999999999995</v>
      </c>
      <c r="BD324" s="213">
        <v>10.0</v>
      </c>
      <c r="BE324" s="213">
        <v>9.799999999999999</v>
      </c>
      <c r="BF324" s="213">
        <v>7.0</v>
      </c>
      <c r="BG324" s="212">
        <v>9.666666666666668</v>
      </c>
      <c r="BH324" s="213">
        <v>9.083333333333334</v>
      </c>
      <c r="BI324" s="213">
        <v>0.001697530863263334</v>
      </c>
      <c r="BJ324" s="213">
        <v>0.0017129629632108845</v>
      </c>
      <c r="BK324" s="213">
        <v>217.5</v>
      </c>
      <c r="BL324" s="212">
        <v>5.5</v>
      </c>
      <c r="BM324" s="213">
        <v>3.875</v>
      </c>
      <c r="BN324" s="213">
        <v>0.003395061726526668</v>
      </c>
      <c r="BO324" s="213">
        <v>0.003425925926421769</v>
      </c>
      <c r="BP324" s="213">
        <v>108.75</v>
      </c>
      <c r="BQ324" s="192"/>
      <c r="BR324" s="192"/>
    </row>
    <row r="325">
      <c r="A325" s="60"/>
      <c r="B325" s="205">
        <v>1485947.0</v>
      </c>
      <c r="C325" s="205">
        <v>702272.0</v>
      </c>
      <c r="D325" s="205">
        <v>1.0</v>
      </c>
      <c r="E325" s="207">
        <v>43074.63891203704</v>
      </c>
      <c r="F325" s="207">
        <v>43123.88895833334</v>
      </c>
      <c r="G325" s="207">
        <v>43116.68881944445</v>
      </c>
      <c r="H325" s="63" t="s">
        <v>1023</v>
      </c>
      <c r="I325" s="205">
        <v>174.0</v>
      </c>
      <c r="J325" s="63" t="s">
        <v>682</v>
      </c>
      <c r="K325" s="205">
        <v>3250792.0</v>
      </c>
      <c r="L325" s="208">
        <v>5.71401</v>
      </c>
      <c r="M325" s="208">
        <v>2.74389</v>
      </c>
      <c r="N325" s="208">
        <v>2.72585</v>
      </c>
      <c r="O325" s="209">
        <v>4.0</v>
      </c>
      <c r="P325" s="209">
        <v>9.2</v>
      </c>
      <c r="Q325" s="209">
        <v>9.0</v>
      </c>
      <c r="R325" s="209">
        <v>5.3</v>
      </c>
      <c r="S325" s="210">
        <v>0.003379629630217096</v>
      </c>
      <c r="U325" s="205">
        <v>10.0</v>
      </c>
      <c r="V325" s="205">
        <v>2.0</v>
      </c>
      <c r="W325" s="63" t="s">
        <v>2481</v>
      </c>
      <c r="X325" s="210">
        <v>0.003599537038098788</v>
      </c>
      <c r="Y325" s="63" t="s">
        <v>2482</v>
      </c>
      <c r="Z325" s="63" t="s">
        <v>2483</v>
      </c>
      <c r="AA325" s="205">
        <v>0.0</v>
      </c>
      <c r="AB325" s="63" t="s">
        <v>2484</v>
      </c>
      <c r="AC325" s="205">
        <v>280.0</v>
      </c>
      <c r="AD325" s="208">
        <v>9.34967</v>
      </c>
      <c r="AE325" s="205">
        <v>201222.0</v>
      </c>
      <c r="AF325" s="205">
        <v>21177.0</v>
      </c>
      <c r="AG325" s="205">
        <v>898.0</v>
      </c>
      <c r="AH325" s="205">
        <v>353.0</v>
      </c>
      <c r="AI325" s="205">
        <v>2.0</v>
      </c>
      <c r="AJ325" s="205">
        <v>1705.0</v>
      </c>
      <c r="AK325" s="205">
        <v>0.0</v>
      </c>
      <c r="AL325" s="205">
        <v>0.0</v>
      </c>
      <c r="AM325" s="205">
        <v>0.0</v>
      </c>
      <c r="AN325" s="205">
        <v>0.0</v>
      </c>
      <c r="AO325" s="208">
        <v>5.27569</v>
      </c>
      <c r="AP325" s="208">
        <v>6.04989</v>
      </c>
      <c r="AQ325" s="208">
        <v>8.31213</v>
      </c>
      <c r="AR325" s="208">
        <v>4.48104</v>
      </c>
      <c r="AT325" s="192" t="s">
        <v>633</v>
      </c>
      <c r="AU325" s="211" t="s">
        <v>632</v>
      </c>
      <c r="AV325" s="211" t="s">
        <v>2485</v>
      </c>
      <c r="AW325" s="211" t="s">
        <v>2486</v>
      </c>
      <c r="AX325" s="211" t="s">
        <v>633</v>
      </c>
      <c r="AY325" s="212">
        <v>2.0</v>
      </c>
      <c r="AZ325" s="213">
        <v>4.6</v>
      </c>
      <c r="BA325" s="213">
        <v>4.5</v>
      </c>
      <c r="BB325" s="213">
        <v>2.65</v>
      </c>
      <c r="BC325" s="212">
        <v>5.2</v>
      </c>
      <c r="BD325" s="213">
        <v>10.0</v>
      </c>
      <c r="BE325" s="213">
        <v>10.0</v>
      </c>
      <c r="BF325" s="213">
        <v>7.419999999999999</v>
      </c>
      <c r="BG325" s="212">
        <v>10.466666666666667</v>
      </c>
      <c r="BH325" s="213">
        <v>10.416666666666666</v>
      </c>
      <c r="BI325" s="213">
        <v>0.0022530864201447307</v>
      </c>
      <c r="BJ325" s="213">
        <v>0.0023996913587325253</v>
      </c>
      <c r="BK325" s="213">
        <v>261.0</v>
      </c>
      <c r="BL325" s="212">
        <v>7.299999999999999</v>
      </c>
      <c r="BM325" s="213">
        <v>6.875</v>
      </c>
      <c r="BN325" s="213">
        <v>0.004506172840289461</v>
      </c>
      <c r="BO325" s="213">
        <v>0.0047993827174650505</v>
      </c>
      <c r="BP325" s="213">
        <v>130.5</v>
      </c>
      <c r="BQ325" s="192"/>
      <c r="BR325" s="192"/>
    </row>
    <row r="326">
      <c r="A326" s="60"/>
      <c r="B326" s="205">
        <v>722224.0</v>
      </c>
      <c r="C326" s="205">
        <v>299454.0</v>
      </c>
      <c r="D326" s="205">
        <v>1.0</v>
      </c>
      <c r="E326" s="207">
        <v>42095.59260416667</v>
      </c>
      <c r="F326" s="207">
        <v>42183.722395833334</v>
      </c>
      <c r="G326" s="207">
        <v>42176.71263888889</v>
      </c>
      <c r="H326" s="63" t="s">
        <v>2487</v>
      </c>
      <c r="I326" s="205">
        <v>175.0</v>
      </c>
      <c r="J326" s="63" t="s">
        <v>1957</v>
      </c>
      <c r="K326" s="205">
        <v>873961.0</v>
      </c>
      <c r="L326" s="208">
        <v>5.52487</v>
      </c>
      <c r="M326" s="208">
        <v>2.73669</v>
      </c>
      <c r="N326" s="208">
        <v>2.54381</v>
      </c>
      <c r="O326" s="209">
        <v>4.2</v>
      </c>
      <c r="P326" s="209">
        <v>9.2</v>
      </c>
      <c r="Q326" s="209">
        <v>8.2</v>
      </c>
      <c r="R326" s="209">
        <v>6.0</v>
      </c>
      <c r="S326" s="210">
        <v>0.003599537038098788</v>
      </c>
      <c r="T326" s="63" t="s">
        <v>2488</v>
      </c>
      <c r="U326" s="205">
        <v>3.0</v>
      </c>
      <c r="V326" s="205">
        <v>3.0</v>
      </c>
      <c r="W326" s="63" t="s">
        <v>2489</v>
      </c>
      <c r="X326" s="210">
        <v>0.0036111111112404615</v>
      </c>
      <c r="Y326" s="63" t="s">
        <v>2490</v>
      </c>
      <c r="Z326" s="63" t="s">
        <v>2491</v>
      </c>
      <c r="AA326" s="205">
        <v>0.0</v>
      </c>
      <c r="AB326" s="63" t="s">
        <v>2492</v>
      </c>
      <c r="AC326" s="205">
        <v>1710.0</v>
      </c>
      <c r="AD326" s="208">
        <v>9.65204</v>
      </c>
      <c r="AE326" s="205">
        <v>1765741.0</v>
      </c>
      <c r="AF326" s="205">
        <v>167013.0</v>
      </c>
      <c r="AG326" s="205">
        <v>899.0</v>
      </c>
      <c r="AH326" s="205">
        <v>394.0</v>
      </c>
      <c r="AI326" s="205">
        <v>0.0</v>
      </c>
      <c r="AJ326" s="205">
        <v>1727.0</v>
      </c>
      <c r="AK326" s="205">
        <v>0.0</v>
      </c>
      <c r="AL326" s="205">
        <v>0.0</v>
      </c>
      <c r="AM326" s="205">
        <v>0.0</v>
      </c>
      <c r="AN326" s="205">
        <v>0.0</v>
      </c>
      <c r="AO326" s="208">
        <v>5.07941</v>
      </c>
      <c r="AP326" s="208">
        <v>5.85304</v>
      </c>
      <c r="AQ326" s="208">
        <v>7.85619</v>
      </c>
      <c r="AR326" s="208">
        <v>4.3664</v>
      </c>
      <c r="AT326" s="192" t="s">
        <v>588</v>
      </c>
      <c r="AU326" s="211" t="s">
        <v>587</v>
      </c>
      <c r="AV326" s="211" t="s">
        <v>2493</v>
      </c>
      <c r="AW326" s="211" t="s">
        <v>2494</v>
      </c>
      <c r="AX326" s="211" t="s">
        <v>588</v>
      </c>
      <c r="AY326" s="212">
        <v>2.1</v>
      </c>
      <c r="AZ326" s="213">
        <v>4.6</v>
      </c>
      <c r="BA326" s="213">
        <v>4.1</v>
      </c>
      <c r="BB326" s="213">
        <v>3.0</v>
      </c>
      <c r="BC326" s="212">
        <v>5.460000000000001</v>
      </c>
      <c r="BD326" s="213">
        <v>10.0</v>
      </c>
      <c r="BE326" s="213">
        <v>10.0</v>
      </c>
      <c r="BF326" s="213">
        <v>8.399999999999999</v>
      </c>
      <c r="BG326" s="212">
        <v>10.466666666666667</v>
      </c>
      <c r="BH326" s="213">
        <v>9.883333333333333</v>
      </c>
      <c r="BI326" s="213">
        <v>0.0023996913587325253</v>
      </c>
      <c r="BJ326" s="213">
        <v>0.002407407407493641</v>
      </c>
      <c r="BK326" s="213">
        <v>262.5</v>
      </c>
      <c r="BL326" s="212">
        <v>7.299999999999999</v>
      </c>
      <c r="BM326" s="213">
        <v>5.675</v>
      </c>
      <c r="BN326" s="213">
        <v>0.0047993827174650505</v>
      </c>
      <c r="BO326" s="213">
        <v>0.004814814814987282</v>
      </c>
      <c r="BP326" s="213">
        <v>131.25</v>
      </c>
      <c r="BQ326" s="192"/>
      <c r="BR326" s="192"/>
    </row>
    <row r="327">
      <c r="A327" s="60"/>
      <c r="B327" s="205">
        <v>3187491.0</v>
      </c>
      <c r="C327" s="205">
        <v>1349093.0</v>
      </c>
      <c r="D327" s="205">
        <v>-2.0</v>
      </c>
      <c r="E327" s="207">
        <v>44212.0147337963</v>
      </c>
      <c r="F327" s="215"/>
      <c r="G327" s="207">
        <v>44435.09835648148</v>
      </c>
      <c r="H327" s="63" t="s">
        <v>996</v>
      </c>
      <c r="I327" s="205">
        <v>220.0</v>
      </c>
      <c r="J327" s="63" t="s">
        <v>507</v>
      </c>
      <c r="K327" s="205">
        <v>1.3465564E7</v>
      </c>
      <c r="L327" s="208">
        <v>5.1866</v>
      </c>
      <c r="M327" s="208">
        <v>2.46007</v>
      </c>
      <c r="N327" s="208">
        <v>2.50442</v>
      </c>
      <c r="O327" s="209">
        <v>3.8</v>
      </c>
      <c r="P327" s="209">
        <v>9.2</v>
      </c>
      <c r="Q327" s="209">
        <v>8.0</v>
      </c>
      <c r="R327" s="209">
        <v>5.0</v>
      </c>
      <c r="S327" s="210">
        <v>0.0024537037024856545</v>
      </c>
      <c r="T327" s="63" t="s">
        <v>2495</v>
      </c>
      <c r="U327" s="205">
        <v>10.0</v>
      </c>
      <c r="V327" s="205">
        <v>5.0</v>
      </c>
      <c r="W327" s="63" t="s">
        <v>2496</v>
      </c>
      <c r="X327" s="210">
        <v>0.0027546296296350192</v>
      </c>
      <c r="Y327" s="63" t="s">
        <v>2497</v>
      </c>
      <c r="Z327" s="63" t="s">
        <v>2498</v>
      </c>
      <c r="AA327" s="205">
        <v>0.0</v>
      </c>
      <c r="AB327" s="63" t="s">
        <v>2499</v>
      </c>
      <c r="AC327" s="205">
        <v>5.0</v>
      </c>
      <c r="AD327" s="208">
        <v>0.0</v>
      </c>
      <c r="AE327" s="205">
        <v>751.0</v>
      </c>
      <c r="AF327" s="205">
        <v>192.0</v>
      </c>
      <c r="AG327" s="205">
        <v>409.0</v>
      </c>
      <c r="AH327" s="205">
        <v>357.0</v>
      </c>
      <c r="AI327" s="205">
        <v>6.0</v>
      </c>
      <c r="AJ327" s="205">
        <v>1521.0</v>
      </c>
      <c r="AK327" s="205">
        <v>0.0</v>
      </c>
      <c r="AL327" s="205">
        <v>0.0</v>
      </c>
      <c r="AM327" s="205">
        <v>0.0</v>
      </c>
      <c r="AN327" s="205">
        <v>0.0</v>
      </c>
      <c r="AO327" s="208">
        <v>4.66327</v>
      </c>
      <c r="AP327" s="208">
        <v>5.45607</v>
      </c>
      <c r="AQ327" s="208">
        <v>7.70064</v>
      </c>
      <c r="AR327" s="208">
        <v>4.11513</v>
      </c>
      <c r="AT327" s="192" t="s">
        <v>506</v>
      </c>
      <c r="AU327" s="211" t="s">
        <v>589</v>
      </c>
      <c r="AV327" s="211" t="s">
        <v>2500</v>
      </c>
      <c r="AW327" s="211" t="s">
        <v>2501</v>
      </c>
      <c r="AX327" s="211" t="s">
        <v>506</v>
      </c>
      <c r="AY327" s="212">
        <v>1.9</v>
      </c>
      <c r="AZ327" s="213">
        <v>4.6</v>
      </c>
      <c r="BA327" s="213">
        <v>4.0</v>
      </c>
      <c r="BB327" s="213">
        <v>2.5</v>
      </c>
      <c r="BC327" s="212">
        <v>4.9399999999999995</v>
      </c>
      <c r="BD327" s="213">
        <v>10.0</v>
      </c>
      <c r="BE327" s="213">
        <v>10.0</v>
      </c>
      <c r="BF327" s="213">
        <v>7.0</v>
      </c>
      <c r="BG327" s="212">
        <v>10.466666666666667</v>
      </c>
      <c r="BH327" s="213">
        <v>9.75</v>
      </c>
      <c r="BI327" s="213">
        <v>0.0016358024683237697</v>
      </c>
      <c r="BJ327" s="213">
        <v>0.0018364197530900128</v>
      </c>
      <c r="BK327" s="213">
        <v>330.0</v>
      </c>
      <c r="BL327" s="212">
        <v>7.299999999999999</v>
      </c>
      <c r="BM327" s="213">
        <v>5.375</v>
      </c>
      <c r="BN327" s="213">
        <v>0.0032716049366475395</v>
      </c>
      <c r="BO327" s="213">
        <v>0.0036728395061800256</v>
      </c>
      <c r="BP327" s="213">
        <v>165.0</v>
      </c>
      <c r="BQ327" s="192"/>
      <c r="BR327" s="192"/>
    </row>
    <row r="328">
      <c r="A328" s="60"/>
      <c r="B328" s="205">
        <v>3961145.0</v>
      </c>
      <c r="C328" s="205">
        <v>1919435.0</v>
      </c>
      <c r="D328" s="205">
        <v>1.0</v>
      </c>
      <c r="E328" s="207">
        <v>44935.427523148144</v>
      </c>
      <c r="F328" s="207">
        <v>45124.33607638889</v>
      </c>
      <c r="G328" s="207">
        <v>45114.764560185184</v>
      </c>
      <c r="H328" s="63" t="s">
        <v>985</v>
      </c>
      <c r="I328" s="205">
        <v>122.0</v>
      </c>
      <c r="J328" s="63" t="s">
        <v>1332</v>
      </c>
      <c r="K328" s="205">
        <v>7326908.0</v>
      </c>
      <c r="L328" s="208">
        <v>5.4134</v>
      </c>
      <c r="M328" s="208">
        <v>2.80682</v>
      </c>
      <c r="N328" s="208">
        <v>2.32204</v>
      </c>
      <c r="O328" s="209">
        <v>4.0</v>
      </c>
      <c r="P328" s="209">
        <v>9.4</v>
      </c>
      <c r="Q328" s="209">
        <v>8.5</v>
      </c>
      <c r="R328" s="209">
        <v>5.0</v>
      </c>
      <c r="S328" s="210">
        <v>0.002442129629343981</v>
      </c>
      <c r="T328" s="63" t="s">
        <v>1333</v>
      </c>
      <c r="U328" s="205">
        <v>4.0</v>
      </c>
      <c r="V328" s="205">
        <v>3.0</v>
      </c>
      <c r="W328" s="63" t="s">
        <v>2502</v>
      </c>
      <c r="X328" s="210">
        <v>0.0025231481486116536</v>
      </c>
      <c r="Y328" s="63" t="s">
        <v>2503</v>
      </c>
      <c r="Z328" s="63" t="s">
        <v>2504</v>
      </c>
      <c r="AA328" s="205">
        <v>0.0</v>
      </c>
      <c r="AB328" s="63" t="s">
        <v>2505</v>
      </c>
      <c r="AC328" s="205">
        <v>129.0</v>
      </c>
      <c r="AD328" s="208">
        <v>8.80328</v>
      </c>
      <c r="AE328" s="205">
        <v>6553.0</v>
      </c>
      <c r="AF328" s="205">
        <v>1328.0</v>
      </c>
      <c r="AG328" s="205">
        <v>433.0</v>
      </c>
      <c r="AH328" s="205">
        <v>442.0</v>
      </c>
      <c r="AI328" s="205">
        <v>1.0</v>
      </c>
      <c r="AJ328" s="205">
        <v>1337.0</v>
      </c>
      <c r="AK328" s="205">
        <v>0.0</v>
      </c>
      <c r="AL328" s="205">
        <v>0.0</v>
      </c>
      <c r="AM328" s="205">
        <v>0.0</v>
      </c>
      <c r="AN328" s="205">
        <v>0.0</v>
      </c>
      <c r="AO328" s="208">
        <v>4.95717</v>
      </c>
      <c r="AP328" s="208">
        <v>5.78495</v>
      </c>
      <c r="AQ328" s="208">
        <v>7.77795</v>
      </c>
      <c r="AR328" s="208">
        <v>4.29136</v>
      </c>
      <c r="AT328" s="192" t="s">
        <v>2506</v>
      </c>
      <c r="AU328" s="211" t="s">
        <v>2507</v>
      </c>
      <c r="AV328" s="211" t="s">
        <v>2508</v>
      </c>
      <c r="AW328" s="211" t="s">
        <v>2509</v>
      </c>
      <c r="AX328" s="211" t="s">
        <v>2506</v>
      </c>
      <c r="AY328" s="212">
        <v>2.0</v>
      </c>
      <c r="AZ328" s="213">
        <v>4.7</v>
      </c>
      <c r="BA328" s="213">
        <v>4.25</v>
      </c>
      <c r="BB328" s="213">
        <v>2.5</v>
      </c>
      <c r="BC328" s="212">
        <v>5.2</v>
      </c>
      <c r="BD328" s="213">
        <v>10.0</v>
      </c>
      <c r="BE328" s="213">
        <v>10.0</v>
      </c>
      <c r="BF328" s="213">
        <v>7.0</v>
      </c>
      <c r="BG328" s="212">
        <v>10.6</v>
      </c>
      <c r="BH328" s="213">
        <v>10.083333333333334</v>
      </c>
      <c r="BI328" s="213">
        <v>0.0016280864195626539</v>
      </c>
      <c r="BJ328" s="213">
        <v>0.0016820987657411024</v>
      </c>
      <c r="BK328" s="213">
        <v>183.0</v>
      </c>
      <c r="BL328" s="212">
        <v>7.6</v>
      </c>
      <c r="BM328" s="213">
        <v>6.125</v>
      </c>
      <c r="BN328" s="213">
        <v>0.0032561728391253078</v>
      </c>
      <c r="BO328" s="213">
        <v>0.003364197531482205</v>
      </c>
      <c r="BP328" s="213">
        <v>91.5</v>
      </c>
      <c r="BQ328" s="192"/>
      <c r="BR328" s="192"/>
    </row>
    <row r="329">
      <c r="A329" s="60"/>
      <c r="B329" s="205">
        <v>105978.0</v>
      </c>
      <c r="C329" s="205">
        <v>31224.0</v>
      </c>
      <c r="D329" s="205">
        <v>4.0</v>
      </c>
      <c r="E329" s="207">
        <v>40696.92527777778</v>
      </c>
      <c r="F329" s="207">
        <v>43141.88868055555</v>
      </c>
      <c r="G329" s="207">
        <v>41003.066354166665</v>
      </c>
      <c r="H329" s="63" t="s">
        <v>983</v>
      </c>
      <c r="I329" s="205">
        <v>190.0</v>
      </c>
      <c r="J329" s="63" t="s">
        <v>381</v>
      </c>
      <c r="K329" s="205">
        <v>251395.0</v>
      </c>
      <c r="L329" s="208">
        <v>4.51204</v>
      </c>
      <c r="M329" s="208">
        <v>2.02207</v>
      </c>
      <c r="N329" s="208">
        <v>2.27911</v>
      </c>
      <c r="O329" s="209">
        <v>4.0</v>
      </c>
      <c r="P329" s="209">
        <v>8.0</v>
      </c>
      <c r="Q329" s="209">
        <v>6.0</v>
      </c>
      <c r="R329" s="209">
        <v>5.0</v>
      </c>
      <c r="S329" s="210">
        <v>0.0017129629632108845</v>
      </c>
      <c r="U329" s="205">
        <v>10.0</v>
      </c>
      <c r="V329" s="205">
        <v>5.0</v>
      </c>
      <c r="W329" s="63" t="s">
        <v>2510</v>
      </c>
      <c r="X329" s="210">
        <v>0.0019907407404389232</v>
      </c>
      <c r="Y329" s="63" t="s">
        <v>1116</v>
      </c>
      <c r="Z329" s="63" t="s">
        <v>2511</v>
      </c>
      <c r="AA329" s="205">
        <v>0.0</v>
      </c>
      <c r="AB329" s="63" t="s">
        <v>2512</v>
      </c>
      <c r="AC329" s="205">
        <v>258.0</v>
      </c>
      <c r="AD329" s="208">
        <v>9.49292</v>
      </c>
      <c r="AE329" s="205">
        <v>59202.0</v>
      </c>
      <c r="AF329" s="205">
        <v>8046.0</v>
      </c>
      <c r="AG329" s="205">
        <v>322.0</v>
      </c>
      <c r="AH329" s="205">
        <v>273.0</v>
      </c>
      <c r="AI329" s="205">
        <v>1.0</v>
      </c>
      <c r="AJ329" s="205">
        <v>952.0</v>
      </c>
      <c r="AK329" s="205">
        <v>0.0</v>
      </c>
      <c r="AL329" s="205">
        <v>0.0</v>
      </c>
      <c r="AM329" s="205">
        <v>0.0</v>
      </c>
      <c r="AN329" s="205">
        <v>0.0</v>
      </c>
      <c r="AO329" s="208">
        <v>4.13827</v>
      </c>
      <c r="AP329" s="208">
        <v>4.83129</v>
      </c>
      <c r="AQ329" s="208">
        <v>6.39522</v>
      </c>
      <c r="AR329" s="208">
        <v>3.57862</v>
      </c>
      <c r="AT329" s="192" t="s">
        <v>380</v>
      </c>
      <c r="AU329" s="211" t="s">
        <v>489</v>
      </c>
      <c r="AV329" s="211" t="s">
        <v>2513</v>
      </c>
      <c r="AW329" s="211" t="s">
        <v>2514</v>
      </c>
      <c r="AX329" s="211" t="s">
        <v>380</v>
      </c>
      <c r="AY329" s="212">
        <v>2.0</v>
      </c>
      <c r="AZ329" s="213">
        <v>4.0</v>
      </c>
      <c r="BA329" s="213">
        <v>3.0</v>
      </c>
      <c r="BB329" s="213">
        <v>2.5</v>
      </c>
      <c r="BC329" s="212">
        <v>5.2</v>
      </c>
      <c r="BD329" s="213">
        <v>10.0</v>
      </c>
      <c r="BE329" s="213">
        <v>8.399999999999999</v>
      </c>
      <c r="BF329" s="213">
        <v>7.0</v>
      </c>
      <c r="BG329" s="212">
        <v>9.666666666666668</v>
      </c>
      <c r="BH329" s="213">
        <v>8.416666666666666</v>
      </c>
      <c r="BI329" s="213">
        <v>0.0011419753088072564</v>
      </c>
      <c r="BJ329" s="213">
        <v>0.001327160493625949</v>
      </c>
      <c r="BK329" s="213">
        <v>285.0</v>
      </c>
      <c r="BL329" s="212">
        <v>5.5</v>
      </c>
      <c r="BM329" s="213">
        <v>2.375</v>
      </c>
      <c r="BN329" s="213">
        <v>0.002283950617614513</v>
      </c>
      <c r="BO329" s="213">
        <v>0.002654320987251898</v>
      </c>
      <c r="BP329" s="213">
        <v>142.5</v>
      </c>
      <c r="BQ329" s="192"/>
      <c r="BR329" s="192"/>
    </row>
    <row r="330">
      <c r="A330" s="60"/>
      <c r="B330" s="205">
        <v>105978.0</v>
      </c>
      <c r="C330" s="205">
        <v>31224.0</v>
      </c>
      <c r="D330" s="205">
        <v>4.0</v>
      </c>
      <c r="E330" s="207">
        <v>40696.92527777778</v>
      </c>
      <c r="F330" s="207">
        <v>43141.88868055555</v>
      </c>
      <c r="G330" s="207">
        <v>41003.066354166665</v>
      </c>
      <c r="H330" s="63" t="s">
        <v>983</v>
      </c>
      <c r="I330" s="205">
        <v>190.0</v>
      </c>
      <c r="J330" s="63" t="s">
        <v>381</v>
      </c>
      <c r="K330" s="205">
        <v>251395.0</v>
      </c>
      <c r="L330" s="208">
        <v>4.51204</v>
      </c>
      <c r="M330" s="208">
        <v>2.02207</v>
      </c>
      <c r="N330" s="208">
        <v>2.27911</v>
      </c>
      <c r="O330" s="209">
        <v>4.0</v>
      </c>
      <c r="P330" s="209">
        <v>8.0</v>
      </c>
      <c r="Q330" s="209">
        <v>6.0</v>
      </c>
      <c r="R330" s="209">
        <v>5.0</v>
      </c>
      <c r="S330" s="210">
        <v>0.0017129629632108845</v>
      </c>
      <c r="U330" s="205">
        <v>10.0</v>
      </c>
      <c r="V330" s="205">
        <v>5.0</v>
      </c>
      <c r="W330" s="63" t="s">
        <v>2510</v>
      </c>
      <c r="X330" s="210">
        <v>0.0019907407404389232</v>
      </c>
      <c r="Y330" s="63" t="s">
        <v>1116</v>
      </c>
      <c r="Z330" s="63" t="s">
        <v>2511</v>
      </c>
      <c r="AA330" s="205">
        <v>0.0</v>
      </c>
      <c r="AB330" s="63" t="s">
        <v>2512</v>
      </c>
      <c r="AC330" s="205">
        <v>258.0</v>
      </c>
      <c r="AD330" s="208">
        <v>9.49292</v>
      </c>
      <c r="AE330" s="205">
        <v>59202.0</v>
      </c>
      <c r="AF330" s="205">
        <v>8046.0</v>
      </c>
      <c r="AG330" s="205">
        <v>322.0</v>
      </c>
      <c r="AH330" s="205">
        <v>273.0</v>
      </c>
      <c r="AI330" s="205">
        <v>1.0</v>
      </c>
      <c r="AJ330" s="205">
        <v>952.0</v>
      </c>
      <c r="AK330" s="205">
        <v>0.0</v>
      </c>
      <c r="AL330" s="205">
        <v>0.0</v>
      </c>
      <c r="AM330" s="205">
        <v>0.0</v>
      </c>
      <c r="AN330" s="205">
        <v>0.0</v>
      </c>
      <c r="AO330" s="208">
        <v>4.13827</v>
      </c>
      <c r="AP330" s="208">
        <v>4.83129</v>
      </c>
      <c r="AQ330" s="208">
        <v>6.39522</v>
      </c>
      <c r="AR330" s="208">
        <v>3.57862</v>
      </c>
      <c r="AT330" s="192" t="s">
        <v>380</v>
      </c>
      <c r="AU330" s="211" t="s">
        <v>489</v>
      </c>
      <c r="AV330" s="211" t="s">
        <v>2513</v>
      </c>
      <c r="AW330" s="211" t="s">
        <v>2514</v>
      </c>
      <c r="AX330" s="211" t="s">
        <v>380</v>
      </c>
      <c r="AY330" s="212">
        <v>2.0</v>
      </c>
      <c r="AZ330" s="213">
        <v>4.0</v>
      </c>
      <c r="BA330" s="213">
        <v>3.0</v>
      </c>
      <c r="BB330" s="213">
        <v>2.5</v>
      </c>
      <c r="BC330" s="212">
        <v>5.2</v>
      </c>
      <c r="BD330" s="213">
        <v>10.0</v>
      </c>
      <c r="BE330" s="213">
        <v>8.399999999999999</v>
      </c>
      <c r="BF330" s="213">
        <v>7.0</v>
      </c>
      <c r="BG330" s="212">
        <v>9.666666666666668</v>
      </c>
      <c r="BH330" s="213">
        <v>8.416666666666666</v>
      </c>
      <c r="BI330" s="213">
        <v>0.0011419753088072564</v>
      </c>
      <c r="BJ330" s="213">
        <v>0.001327160493625949</v>
      </c>
      <c r="BK330" s="213">
        <v>285.0</v>
      </c>
      <c r="BL330" s="212">
        <v>5.5</v>
      </c>
      <c r="BM330" s="213">
        <v>2.375</v>
      </c>
      <c r="BN330" s="213">
        <v>0.002283950617614513</v>
      </c>
      <c r="BO330" s="213">
        <v>0.002654320987251898</v>
      </c>
      <c r="BP330" s="213">
        <v>142.5</v>
      </c>
      <c r="BQ330" s="192"/>
      <c r="BR330" s="192"/>
    </row>
    <row r="331">
      <c r="A331" s="60"/>
      <c r="B331" s="205">
        <v>2239337.0</v>
      </c>
      <c r="C331" s="205">
        <v>1069288.0</v>
      </c>
      <c r="D331" s="205">
        <v>1.0</v>
      </c>
      <c r="E331" s="207">
        <v>43792.691504629634</v>
      </c>
      <c r="F331" s="207">
        <v>43842.73993055556</v>
      </c>
      <c r="G331" s="207">
        <v>43835.59019675926</v>
      </c>
      <c r="H331" s="63" t="s">
        <v>2515</v>
      </c>
      <c r="I331" s="205">
        <v>180.0</v>
      </c>
      <c r="J331" s="63" t="s">
        <v>2047</v>
      </c>
      <c r="K331" s="205">
        <v>5410645.0</v>
      </c>
      <c r="L331" s="208">
        <v>4.94039</v>
      </c>
      <c r="M331" s="208">
        <v>2.2985</v>
      </c>
      <c r="N331" s="208">
        <v>2.42667</v>
      </c>
      <c r="O331" s="209">
        <v>4.0</v>
      </c>
      <c r="P331" s="209">
        <v>8.0</v>
      </c>
      <c r="Q331" s="209">
        <v>7.0</v>
      </c>
      <c r="R331" s="209">
        <v>5.0</v>
      </c>
      <c r="S331" s="210">
        <v>0.0017129629632108845</v>
      </c>
      <c r="T331" s="63" t="s">
        <v>2516</v>
      </c>
      <c r="U331" s="205">
        <v>2.0</v>
      </c>
      <c r="V331" s="205">
        <v>3.0</v>
      </c>
      <c r="W331" s="63" t="s">
        <v>2517</v>
      </c>
      <c r="X331" s="210">
        <v>0.0019907407404389232</v>
      </c>
      <c r="Y331" s="63" t="s">
        <v>1116</v>
      </c>
      <c r="Z331" s="63" t="s">
        <v>2518</v>
      </c>
      <c r="AA331" s="205">
        <v>0.0</v>
      </c>
      <c r="AB331" s="63" t="s">
        <v>2519</v>
      </c>
      <c r="AC331" s="205">
        <v>360.0</v>
      </c>
      <c r="AD331" s="208">
        <v>9.47817</v>
      </c>
      <c r="AE331" s="205">
        <v>116073.0</v>
      </c>
      <c r="AF331" s="205">
        <v>13329.0</v>
      </c>
      <c r="AG331" s="205">
        <v>571.0</v>
      </c>
      <c r="AH331" s="205">
        <v>136.0</v>
      </c>
      <c r="AI331" s="205">
        <v>0.0</v>
      </c>
      <c r="AJ331" s="205">
        <v>907.0</v>
      </c>
      <c r="AK331" s="205">
        <v>0.0</v>
      </c>
      <c r="AL331" s="205">
        <v>0.0</v>
      </c>
      <c r="AM331" s="205">
        <v>0.0</v>
      </c>
      <c r="AN331" s="205">
        <v>0.0</v>
      </c>
      <c r="AO331" s="208">
        <v>4.62081</v>
      </c>
      <c r="AP331" s="208">
        <v>5.13757</v>
      </c>
      <c r="AQ331" s="208">
        <v>7.12522</v>
      </c>
      <c r="AR331" s="208">
        <v>3.8872</v>
      </c>
      <c r="AT331" s="192" t="s">
        <v>637</v>
      </c>
      <c r="AU331" s="211" t="s">
        <v>636</v>
      </c>
      <c r="AV331" s="211" t="s">
        <v>2520</v>
      </c>
      <c r="AW331" s="211" t="s">
        <v>2521</v>
      </c>
      <c r="AX331" s="211" t="s">
        <v>637</v>
      </c>
      <c r="AY331" s="212">
        <v>2.0</v>
      </c>
      <c r="AZ331" s="213">
        <v>4.0</v>
      </c>
      <c r="BA331" s="213">
        <v>3.5</v>
      </c>
      <c r="BB331" s="213">
        <v>2.5</v>
      </c>
      <c r="BC331" s="212">
        <v>5.2</v>
      </c>
      <c r="BD331" s="213">
        <v>10.0</v>
      </c>
      <c r="BE331" s="213">
        <v>9.799999999999999</v>
      </c>
      <c r="BF331" s="213">
        <v>7.0</v>
      </c>
      <c r="BG331" s="212">
        <v>9.666666666666668</v>
      </c>
      <c r="BH331" s="213">
        <v>9.083333333333334</v>
      </c>
      <c r="BI331" s="213">
        <v>0.0011419753088072564</v>
      </c>
      <c r="BJ331" s="213">
        <v>0.001327160493625949</v>
      </c>
      <c r="BK331" s="213">
        <v>270.0</v>
      </c>
      <c r="BL331" s="212">
        <v>5.5</v>
      </c>
      <c r="BM331" s="213">
        <v>3.875</v>
      </c>
      <c r="BN331" s="213">
        <v>0.002283950617614513</v>
      </c>
      <c r="BO331" s="213">
        <v>0.002654320987251898</v>
      </c>
      <c r="BP331" s="213">
        <v>135.0</v>
      </c>
      <c r="BQ331" s="192"/>
      <c r="BR331" s="192"/>
    </row>
    <row r="332">
      <c r="A332" s="60"/>
      <c r="B332" s="205">
        <v>2198934.0</v>
      </c>
      <c r="C332" s="205">
        <v>1052199.0</v>
      </c>
      <c r="D332" s="205">
        <v>1.0</v>
      </c>
      <c r="E332" s="207">
        <v>43754.542719907404</v>
      </c>
      <c r="F332" s="207">
        <v>43793.01587962963</v>
      </c>
      <c r="G332" s="207">
        <v>43784.176400462966</v>
      </c>
      <c r="H332" s="63" t="s">
        <v>996</v>
      </c>
      <c r="I332" s="205">
        <v>202.0</v>
      </c>
      <c r="J332" s="63" t="s">
        <v>2522</v>
      </c>
      <c r="K332" s="205">
        <v>2805457.0</v>
      </c>
      <c r="L332" s="208">
        <v>5.52323</v>
      </c>
      <c r="M332" s="208">
        <v>2.79772</v>
      </c>
      <c r="N332" s="208">
        <v>2.46489</v>
      </c>
      <c r="O332" s="209">
        <v>4.0</v>
      </c>
      <c r="P332" s="209">
        <v>9.3</v>
      </c>
      <c r="Q332" s="209">
        <v>8.3</v>
      </c>
      <c r="R332" s="209">
        <v>6.0</v>
      </c>
      <c r="S332" s="210">
        <v>0.002291666667588288</v>
      </c>
      <c r="U332" s="205">
        <v>10.0</v>
      </c>
      <c r="V332" s="205">
        <v>5.0</v>
      </c>
      <c r="W332" s="63" t="s">
        <v>2523</v>
      </c>
      <c r="X332" s="210">
        <v>0.0030439814800047316</v>
      </c>
      <c r="Y332" s="63" t="s">
        <v>2524</v>
      </c>
      <c r="Z332" s="63" t="s">
        <v>2525</v>
      </c>
      <c r="AA332" s="205">
        <v>0.0</v>
      </c>
      <c r="AB332" s="63" t="s">
        <v>2526</v>
      </c>
      <c r="AC332" s="205">
        <v>696.0</v>
      </c>
      <c r="AD332" s="208">
        <v>9.40588</v>
      </c>
      <c r="AE332" s="205">
        <v>234243.0</v>
      </c>
      <c r="AF332" s="205">
        <v>55530.0</v>
      </c>
      <c r="AG332" s="205">
        <v>412.0</v>
      </c>
      <c r="AH332" s="205">
        <v>350.0</v>
      </c>
      <c r="AI332" s="205">
        <v>8.0</v>
      </c>
      <c r="AJ332" s="205">
        <v>1167.0</v>
      </c>
      <c r="AK332" s="205">
        <v>0.0</v>
      </c>
      <c r="AL332" s="205">
        <v>0.0</v>
      </c>
      <c r="AM332" s="205">
        <v>0.0</v>
      </c>
      <c r="AN332" s="205">
        <v>0.0</v>
      </c>
      <c r="AO332" s="208">
        <v>5.09587</v>
      </c>
      <c r="AP332" s="208">
        <v>5.83061</v>
      </c>
      <c r="AQ332" s="208">
        <v>7.91809</v>
      </c>
      <c r="AR332" s="208">
        <v>4.37691</v>
      </c>
      <c r="AT332" s="192" t="s">
        <v>640</v>
      </c>
      <c r="AU332" s="211" t="s">
        <v>639</v>
      </c>
      <c r="AV332" s="211" t="s">
        <v>2527</v>
      </c>
      <c r="AW332" s="211" t="s">
        <v>2528</v>
      </c>
      <c r="AX332" s="211" t="s">
        <v>640</v>
      </c>
      <c r="AY332" s="212">
        <v>2.0</v>
      </c>
      <c r="AZ332" s="213">
        <v>4.65</v>
      </c>
      <c r="BA332" s="213">
        <v>4.15</v>
      </c>
      <c r="BB332" s="213">
        <v>3.0</v>
      </c>
      <c r="BC332" s="212">
        <v>5.2</v>
      </c>
      <c r="BD332" s="213">
        <v>10.0</v>
      </c>
      <c r="BE332" s="213">
        <v>10.0</v>
      </c>
      <c r="BF332" s="213">
        <v>8.399999999999999</v>
      </c>
      <c r="BG332" s="212">
        <v>10.533333333333333</v>
      </c>
      <c r="BH332" s="213">
        <v>9.950000000000001</v>
      </c>
      <c r="BI332" s="213">
        <v>0.001527777778392192</v>
      </c>
      <c r="BJ332" s="213">
        <v>0.002029320986669821</v>
      </c>
      <c r="BK332" s="213">
        <v>303.0</v>
      </c>
      <c r="BL332" s="212">
        <v>7.450000000000001</v>
      </c>
      <c r="BM332" s="213">
        <v>5.825</v>
      </c>
      <c r="BN332" s="213">
        <v>0.003055555556784384</v>
      </c>
      <c r="BO332" s="213">
        <v>0.004058641973339642</v>
      </c>
      <c r="BP332" s="213">
        <v>151.5</v>
      </c>
      <c r="BQ332" s="192"/>
      <c r="BR332" s="192"/>
    </row>
    <row r="333">
      <c r="A333" s="60"/>
      <c r="B333" s="205">
        <v>2198934.0</v>
      </c>
      <c r="C333" s="205">
        <v>1052199.0</v>
      </c>
      <c r="D333" s="205">
        <v>1.0</v>
      </c>
      <c r="E333" s="207">
        <v>43754.542719907404</v>
      </c>
      <c r="F333" s="207">
        <v>43793.01587962963</v>
      </c>
      <c r="G333" s="207">
        <v>43784.176400462966</v>
      </c>
      <c r="H333" s="63" t="s">
        <v>996</v>
      </c>
      <c r="I333" s="205">
        <v>202.0</v>
      </c>
      <c r="J333" s="63" t="s">
        <v>2522</v>
      </c>
      <c r="K333" s="205">
        <v>2805457.0</v>
      </c>
      <c r="L333" s="208">
        <v>5.52323</v>
      </c>
      <c r="M333" s="208">
        <v>2.79772</v>
      </c>
      <c r="N333" s="208">
        <v>2.46489</v>
      </c>
      <c r="O333" s="209">
        <v>4.0</v>
      </c>
      <c r="P333" s="209">
        <v>9.3</v>
      </c>
      <c r="Q333" s="209">
        <v>8.3</v>
      </c>
      <c r="R333" s="209">
        <v>6.0</v>
      </c>
      <c r="S333" s="210">
        <v>0.002291666667588288</v>
      </c>
      <c r="U333" s="205">
        <v>10.0</v>
      </c>
      <c r="V333" s="205">
        <v>5.0</v>
      </c>
      <c r="W333" s="63" t="s">
        <v>2523</v>
      </c>
      <c r="X333" s="210">
        <v>0.0030439814800047316</v>
      </c>
      <c r="Y333" s="63" t="s">
        <v>2524</v>
      </c>
      <c r="Z333" s="63" t="s">
        <v>2525</v>
      </c>
      <c r="AA333" s="205">
        <v>0.0</v>
      </c>
      <c r="AB333" s="63" t="s">
        <v>2526</v>
      </c>
      <c r="AC333" s="205">
        <v>696.0</v>
      </c>
      <c r="AD333" s="208">
        <v>9.40588</v>
      </c>
      <c r="AE333" s="205">
        <v>234243.0</v>
      </c>
      <c r="AF333" s="205">
        <v>55530.0</v>
      </c>
      <c r="AG333" s="205">
        <v>412.0</v>
      </c>
      <c r="AH333" s="205">
        <v>350.0</v>
      </c>
      <c r="AI333" s="205">
        <v>8.0</v>
      </c>
      <c r="AJ333" s="205">
        <v>1167.0</v>
      </c>
      <c r="AK333" s="205">
        <v>0.0</v>
      </c>
      <c r="AL333" s="205">
        <v>0.0</v>
      </c>
      <c r="AM333" s="205">
        <v>0.0</v>
      </c>
      <c r="AN333" s="205">
        <v>0.0</v>
      </c>
      <c r="AO333" s="208">
        <v>5.09587</v>
      </c>
      <c r="AP333" s="208">
        <v>5.83061</v>
      </c>
      <c r="AQ333" s="208">
        <v>7.91809</v>
      </c>
      <c r="AR333" s="208">
        <v>4.37691</v>
      </c>
      <c r="AT333" s="192" t="s">
        <v>640</v>
      </c>
      <c r="AU333" s="211" t="s">
        <v>639</v>
      </c>
      <c r="AV333" s="211" t="s">
        <v>2527</v>
      </c>
      <c r="AW333" s="211" t="s">
        <v>2528</v>
      </c>
      <c r="AX333" s="211" t="s">
        <v>640</v>
      </c>
      <c r="AY333" s="212">
        <v>2.0</v>
      </c>
      <c r="AZ333" s="213">
        <v>4.65</v>
      </c>
      <c r="BA333" s="213">
        <v>4.15</v>
      </c>
      <c r="BB333" s="213">
        <v>3.0</v>
      </c>
      <c r="BC333" s="212">
        <v>5.2</v>
      </c>
      <c r="BD333" s="213">
        <v>10.0</v>
      </c>
      <c r="BE333" s="213">
        <v>10.0</v>
      </c>
      <c r="BF333" s="213">
        <v>8.399999999999999</v>
      </c>
      <c r="BG333" s="212">
        <v>10.533333333333333</v>
      </c>
      <c r="BH333" s="213">
        <v>9.950000000000001</v>
      </c>
      <c r="BI333" s="213">
        <v>0.001527777778392192</v>
      </c>
      <c r="BJ333" s="213">
        <v>0.002029320986669821</v>
      </c>
      <c r="BK333" s="213">
        <v>303.0</v>
      </c>
      <c r="BL333" s="212">
        <v>7.450000000000001</v>
      </c>
      <c r="BM333" s="213">
        <v>5.825</v>
      </c>
      <c r="BN333" s="213">
        <v>0.003055555556784384</v>
      </c>
      <c r="BO333" s="213">
        <v>0.004058641973339642</v>
      </c>
      <c r="BP333" s="213">
        <v>151.5</v>
      </c>
      <c r="BQ333" s="192"/>
      <c r="BR333" s="192"/>
    </row>
    <row r="334">
      <c r="A334" s="60"/>
      <c r="B334" s="205">
        <v>1387177.0</v>
      </c>
      <c r="C334" s="205">
        <v>533428.0</v>
      </c>
      <c r="D334" s="205">
        <v>1.0</v>
      </c>
      <c r="E334" s="207">
        <v>42688.45375</v>
      </c>
      <c r="F334" s="207">
        <v>43017.347557870366</v>
      </c>
      <c r="G334" s="207">
        <v>43008.05626157408</v>
      </c>
      <c r="H334" s="63" t="s">
        <v>2529</v>
      </c>
      <c r="I334" s="205">
        <v>124.0</v>
      </c>
      <c r="J334" s="63" t="s">
        <v>2530</v>
      </c>
      <c r="K334" s="205">
        <v>3178418.0</v>
      </c>
      <c r="L334" s="208">
        <v>4.56756</v>
      </c>
      <c r="M334" s="208">
        <v>2.29952</v>
      </c>
      <c r="N334" s="208">
        <v>2.05699</v>
      </c>
      <c r="O334" s="209">
        <v>7.0</v>
      </c>
      <c r="P334" s="209">
        <v>7.0</v>
      </c>
      <c r="Q334" s="209">
        <v>7.5</v>
      </c>
      <c r="R334" s="209">
        <v>5.0</v>
      </c>
      <c r="S334" s="210">
        <v>9.259259277314413E-4</v>
      </c>
      <c r="U334" s="205">
        <v>10.0</v>
      </c>
      <c r="V334" s="205">
        <v>3.0</v>
      </c>
      <c r="W334" s="63" t="s">
        <v>2531</v>
      </c>
      <c r="X334" s="210">
        <v>9.722222239361145E-4</v>
      </c>
      <c r="Y334" s="63" t="s">
        <v>1116</v>
      </c>
      <c r="Z334" s="63" t="s">
        <v>2532</v>
      </c>
      <c r="AA334" s="205">
        <v>0.0</v>
      </c>
      <c r="AB334" s="63" t="s">
        <v>2533</v>
      </c>
      <c r="AC334" s="205">
        <v>1202.0</v>
      </c>
      <c r="AD334" s="208">
        <v>8.86623</v>
      </c>
      <c r="AE334" s="205">
        <v>138915.0</v>
      </c>
      <c r="AF334" s="205">
        <v>16452.0</v>
      </c>
      <c r="AG334" s="205">
        <v>178.0</v>
      </c>
      <c r="AH334" s="205">
        <v>100.0</v>
      </c>
      <c r="AI334" s="205">
        <v>0.0</v>
      </c>
      <c r="AJ334" s="205">
        <v>424.0</v>
      </c>
      <c r="AK334" s="205">
        <v>0.0</v>
      </c>
      <c r="AL334" s="205">
        <v>0.0</v>
      </c>
      <c r="AM334" s="205">
        <v>0.0</v>
      </c>
      <c r="AN334" s="205">
        <v>0.0</v>
      </c>
      <c r="AO334" s="208">
        <v>3.59191</v>
      </c>
      <c r="AP334" s="208">
        <v>5.5954</v>
      </c>
      <c r="AQ334" s="208">
        <v>6.34581</v>
      </c>
      <c r="AR334" s="208">
        <v>3.62141</v>
      </c>
      <c r="AT334" s="192" t="s">
        <v>644</v>
      </c>
      <c r="AU334" s="211" t="s">
        <v>643</v>
      </c>
      <c r="AV334" s="211" t="s">
        <v>2534</v>
      </c>
      <c r="AW334" s="211" t="s">
        <v>2535</v>
      </c>
      <c r="AX334" s="211" t="s">
        <v>644</v>
      </c>
      <c r="AY334" s="212">
        <v>3.5</v>
      </c>
      <c r="AZ334" s="213">
        <v>3.5</v>
      </c>
      <c r="BA334" s="213">
        <v>3.75</v>
      </c>
      <c r="BB334" s="213">
        <v>2.5</v>
      </c>
      <c r="BC334" s="212">
        <v>9.1</v>
      </c>
      <c r="BD334" s="213">
        <v>9.799999999999999</v>
      </c>
      <c r="BE334" s="213">
        <v>10.0</v>
      </c>
      <c r="BF334" s="213">
        <v>7.0</v>
      </c>
      <c r="BG334" s="212">
        <v>9.0</v>
      </c>
      <c r="BH334" s="213">
        <v>9.416666666666666</v>
      </c>
      <c r="BI334" s="213">
        <v>6.172839518209609E-4</v>
      </c>
      <c r="BJ334" s="213">
        <v>6.481481492907429E-4</v>
      </c>
      <c r="BK334" s="213">
        <v>186.0</v>
      </c>
      <c r="BL334" s="212">
        <v>4.0</v>
      </c>
      <c r="BM334" s="213">
        <v>4.625</v>
      </c>
      <c r="BN334" s="213">
        <v>0.0012345679036419217</v>
      </c>
      <c r="BO334" s="213">
        <v>0.0012962962985814859</v>
      </c>
      <c r="BP334" s="213">
        <v>93.0</v>
      </c>
      <c r="BQ334" s="192"/>
      <c r="BR334" s="192"/>
    </row>
    <row r="335">
      <c r="A335" s="60"/>
      <c r="B335" s="205">
        <v>1387177.0</v>
      </c>
      <c r="C335" s="205">
        <v>533428.0</v>
      </c>
      <c r="D335" s="205">
        <v>1.0</v>
      </c>
      <c r="E335" s="207">
        <v>42688.45375</v>
      </c>
      <c r="F335" s="207">
        <v>43017.347557870366</v>
      </c>
      <c r="G335" s="207">
        <v>43008.05626157408</v>
      </c>
      <c r="H335" s="63" t="s">
        <v>2529</v>
      </c>
      <c r="I335" s="205">
        <v>124.0</v>
      </c>
      <c r="J335" s="63" t="s">
        <v>2530</v>
      </c>
      <c r="K335" s="205">
        <v>3178418.0</v>
      </c>
      <c r="L335" s="208">
        <v>4.56756</v>
      </c>
      <c r="M335" s="208">
        <v>2.29952</v>
      </c>
      <c r="N335" s="208">
        <v>2.05699</v>
      </c>
      <c r="O335" s="209">
        <v>7.0</v>
      </c>
      <c r="P335" s="209">
        <v>7.0</v>
      </c>
      <c r="Q335" s="209">
        <v>7.5</v>
      </c>
      <c r="R335" s="209">
        <v>5.0</v>
      </c>
      <c r="S335" s="210">
        <v>9.259259277314413E-4</v>
      </c>
      <c r="U335" s="205">
        <v>10.0</v>
      </c>
      <c r="V335" s="205">
        <v>3.0</v>
      </c>
      <c r="W335" s="63" t="s">
        <v>2531</v>
      </c>
      <c r="X335" s="210">
        <v>9.722222239361145E-4</v>
      </c>
      <c r="Y335" s="63" t="s">
        <v>1116</v>
      </c>
      <c r="Z335" s="63" t="s">
        <v>2532</v>
      </c>
      <c r="AA335" s="205">
        <v>0.0</v>
      </c>
      <c r="AB335" s="63" t="s">
        <v>2533</v>
      </c>
      <c r="AC335" s="205">
        <v>1202.0</v>
      </c>
      <c r="AD335" s="208">
        <v>8.86623</v>
      </c>
      <c r="AE335" s="205">
        <v>138915.0</v>
      </c>
      <c r="AF335" s="205">
        <v>16452.0</v>
      </c>
      <c r="AG335" s="205">
        <v>178.0</v>
      </c>
      <c r="AH335" s="205">
        <v>100.0</v>
      </c>
      <c r="AI335" s="205">
        <v>0.0</v>
      </c>
      <c r="AJ335" s="205">
        <v>424.0</v>
      </c>
      <c r="AK335" s="205">
        <v>0.0</v>
      </c>
      <c r="AL335" s="205">
        <v>0.0</v>
      </c>
      <c r="AM335" s="205">
        <v>0.0</v>
      </c>
      <c r="AN335" s="205">
        <v>0.0</v>
      </c>
      <c r="AO335" s="208">
        <v>3.59191</v>
      </c>
      <c r="AP335" s="208">
        <v>5.5954</v>
      </c>
      <c r="AQ335" s="208">
        <v>6.34581</v>
      </c>
      <c r="AR335" s="208">
        <v>3.62141</v>
      </c>
      <c r="AT335" s="192" t="s">
        <v>644</v>
      </c>
      <c r="AU335" s="211" t="s">
        <v>643</v>
      </c>
      <c r="AV335" s="211" t="s">
        <v>2534</v>
      </c>
      <c r="AW335" s="211" t="s">
        <v>2535</v>
      </c>
      <c r="AX335" s="211" t="s">
        <v>644</v>
      </c>
      <c r="AY335" s="212">
        <v>3.5</v>
      </c>
      <c r="AZ335" s="213">
        <v>3.5</v>
      </c>
      <c r="BA335" s="213">
        <v>3.75</v>
      </c>
      <c r="BB335" s="213">
        <v>2.5</v>
      </c>
      <c r="BC335" s="212">
        <v>9.1</v>
      </c>
      <c r="BD335" s="213">
        <v>9.799999999999999</v>
      </c>
      <c r="BE335" s="213">
        <v>10.0</v>
      </c>
      <c r="BF335" s="213">
        <v>7.0</v>
      </c>
      <c r="BG335" s="212">
        <v>9.0</v>
      </c>
      <c r="BH335" s="213">
        <v>9.416666666666666</v>
      </c>
      <c r="BI335" s="213">
        <v>6.172839518209609E-4</v>
      </c>
      <c r="BJ335" s="213">
        <v>6.481481492907429E-4</v>
      </c>
      <c r="BK335" s="213">
        <v>186.0</v>
      </c>
      <c r="BL335" s="212">
        <v>4.0</v>
      </c>
      <c r="BM335" s="213">
        <v>4.625</v>
      </c>
      <c r="BN335" s="213">
        <v>0.0012345679036419217</v>
      </c>
      <c r="BO335" s="213">
        <v>0.0012962962985814859</v>
      </c>
      <c r="BP335" s="213">
        <v>93.0</v>
      </c>
      <c r="BQ335" s="192"/>
      <c r="BR335" s="192"/>
    </row>
    <row r="336">
      <c r="A336" s="60"/>
      <c r="B336" s="205">
        <v>2775823.0</v>
      </c>
      <c r="C336" s="205">
        <v>1339826.0</v>
      </c>
      <c r="D336" s="205">
        <v>-2.0</v>
      </c>
      <c r="E336" s="207">
        <v>44200.564618055556</v>
      </c>
      <c r="F336" s="215"/>
      <c r="G336" s="207">
        <v>44272.644583333335</v>
      </c>
      <c r="H336" s="63" t="s">
        <v>2536</v>
      </c>
      <c r="I336" s="205">
        <v>128.0</v>
      </c>
      <c r="J336" s="63" t="s">
        <v>1792</v>
      </c>
      <c r="K336" s="205">
        <v>767003.0</v>
      </c>
      <c r="L336" s="208">
        <v>5.44627</v>
      </c>
      <c r="M336" s="208">
        <v>2.74409</v>
      </c>
      <c r="N336" s="208">
        <v>2.44995</v>
      </c>
      <c r="O336" s="209">
        <v>4.0</v>
      </c>
      <c r="P336" s="209">
        <v>9.6</v>
      </c>
      <c r="Q336" s="209">
        <v>9.0</v>
      </c>
      <c r="R336" s="209">
        <v>6.0</v>
      </c>
      <c r="S336" s="210">
        <v>0.001678240740147885</v>
      </c>
      <c r="T336" s="63" t="s">
        <v>2537</v>
      </c>
      <c r="U336" s="205">
        <v>5.0</v>
      </c>
      <c r="V336" s="205">
        <v>3.0</v>
      </c>
      <c r="W336" s="63" t="s">
        <v>2538</v>
      </c>
      <c r="X336" s="210">
        <v>0.0018750000017462298</v>
      </c>
      <c r="Y336" s="63" t="s">
        <v>2539</v>
      </c>
      <c r="Z336" s="63" t="s">
        <v>2540</v>
      </c>
      <c r="AA336" s="205">
        <v>0.0</v>
      </c>
      <c r="AB336" s="63" t="s">
        <v>2541</v>
      </c>
      <c r="AC336" s="205">
        <v>12.0</v>
      </c>
      <c r="AD336" s="208">
        <v>0.0</v>
      </c>
      <c r="AE336" s="205">
        <v>3115.0</v>
      </c>
      <c r="AF336" s="205">
        <v>719.0</v>
      </c>
      <c r="AG336" s="205">
        <v>378.0</v>
      </c>
      <c r="AH336" s="205">
        <v>371.0</v>
      </c>
      <c r="AI336" s="205">
        <v>0.0</v>
      </c>
      <c r="AJ336" s="205">
        <v>1157.0</v>
      </c>
      <c r="AK336" s="205">
        <v>0.0</v>
      </c>
      <c r="AL336" s="205">
        <v>0.0</v>
      </c>
      <c r="AM336" s="205">
        <v>0.0</v>
      </c>
      <c r="AN336" s="205">
        <v>0.0</v>
      </c>
      <c r="AO336" s="208">
        <v>4.97115</v>
      </c>
      <c r="AP336" s="208">
        <v>5.75435</v>
      </c>
      <c r="AQ336" s="208">
        <v>7.85918</v>
      </c>
      <c r="AR336" s="208">
        <v>4.2944</v>
      </c>
      <c r="AT336" s="192" t="s">
        <v>649</v>
      </c>
      <c r="AU336" s="211" t="s">
        <v>648</v>
      </c>
      <c r="AV336" s="211" t="s">
        <v>2542</v>
      </c>
      <c r="AW336" s="211" t="s">
        <v>2543</v>
      </c>
      <c r="AX336" s="211" t="s">
        <v>649</v>
      </c>
      <c r="AY336" s="212">
        <v>2.0</v>
      </c>
      <c r="AZ336" s="213">
        <v>4.8</v>
      </c>
      <c r="BA336" s="213">
        <v>4.5</v>
      </c>
      <c r="BB336" s="213">
        <v>3.0</v>
      </c>
      <c r="BC336" s="212">
        <v>5.2</v>
      </c>
      <c r="BD336" s="213">
        <v>10.0</v>
      </c>
      <c r="BE336" s="213">
        <v>10.0</v>
      </c>
      <c r="BF336" s="213">
        <v>8.399999999999999</v>
      </c>
      <c r="BG336" s="212">
        <v>10.733333333333334</v>
      </c>
      <c r="BH336" s="213">
        <v>10.416666666666666</v>
      </c>
      <c r="BI336" s="213">
        <v>0.00111882716009859</v>
      </c>
      <c r="BJ336" s="213">
        <v>0.0012500000011641532</v>
      </c>
      <c r="BK336" s="213">
        <v>192.0</v>
      </c>
      <c r="BL336" s="212">
        <v>7.9</v>
      </c>
      <c r="BM336" s="213">
        <v>6.875</v>
      </c>
      <c r="BN336" s="213">
        <v>0.00223765432019718</v>
      </c>
      <c r="BO336" s="213">
        <v>0.0025000000023283064</v>
      </c>
      <c r="BP336" s="213">
        <v>96.0</v>
      </c>
      <c r="BQ336" s="192"/>
      <c r="BR336" s="192"/>
    </row>
    <row r="337">
      <c r="A337" s="60"/>
      <c r="B337" s="205">
        <v>3206318.0</v>
      </c>
      <c r="C337" s="205">
        <v>1377112.0</v>
      </c>
      <c r="D337" s="205">
        <v>1.0</v>
      </c>
      <c r="E337" s="207">
        <v>44243.93902777778</v>
      </c>
      <c r="F337" s="207">
        <v>44452.67128472222</v>
      </c>
      <c r="G337" s="207">
        <v>44445.306238425925</v>
      </c>
      <c r="H337" s="63" t="s">
        <v>2228</v>
      </c>
      <c r="I337" s="205">
        <v>180.0</v>
      </c>
      <c r="J337" s="63" t="s">
        <v>2544</v>
      </c>
      <c r="K337" s="205">
        <v>8446047.0</v>
      </c>
      <c r="L337" s="208">
        <v>5.46792</v>
      </c>
      <c r="M337" s="208">
        <v>2.70785</v>
      </c>
      <c r="N337" s="208">
        <v>2.51834</v>
      </c>
      <c r="O337" s="209">
        <v>4.0</v>
      </c>
      <c r="P337" s="209">
        <v>9.1</v>
      </c>
      <c r="Q337" s="209">
        <v>8.0</v>
      </c>
      <c r="R337" s="209">
        <v>4.5</v>
      </c>
      <c r="S337" s="210">
        <v>0.0012962962973688263</v>
      </c>
      <c r="T337" s="63" t="s">
        <v>2545</v>
      </c>
      <c r="U337" s="205">
        <v>10.0</v>
      </c>
      <c r="V337" s="205">
        <v>5.0</v>
      </c>
      <c r="W337" s="63" t="s">
        <v>2546</v>
      </c>
      <c r="X337" s="210">
        <v>0.0014004629629198462</v>
      </c>
      <c r="Y337" s="63" t="s">
        <v>2547</v>
      </c>
      <c r="Z337" s="63" t="s">
        <v>2548</v>
      </c>
      <c r="AA337" s="205">
        <v>0.0</v>
      </c>
      <c r="AB337" s="63" t="s">
        <v>2549</v>
      </c>
      <c r="AC337" s="205">
        <v>211.0</v>
      </c>
      <c r="AD337" s="208">
        <v>9.0785</v>
      </c>
      <c r="AE337" s="205">
        <v>51499.0</v>
      </c>
      <c r="AF337" s="205">
        <v>10435.0</v>
      </c>
      <c r="AG337" s="205">
        <v>234.0</v>
      </c>
      <c r="AH337" s="205">
        <v>323.0</v>
      </c>
      <c r="AI337" s="205">
        <v>5.0</v>
      </c>
      <c r="AJ337" s="205">
        <v>1029.0</v>
      </c>
      <c r="AK337" s="205">
        <v>0.0</v>
      </c>
      <c r="AL337" s="205">
        <v>1.0</v>
      </c>
      <c r="AM337" s="205">
        <v>0.0</v>
      </c>
      <c r="AN337" s="205">
        <v>0.0</v>
      </c>
      <c r="AO337" s="208">
        <v>4.95739</v>
      </c>
      <c r="AP337" s="208">
        <v>5.8273</v>
      </c>
      <c r="AQ337" s="208">
        <v>7.83606</v>
      </c>
      <c r="AR337" s="208">
        <v>4.31908</v>
      </c>
      <c r="AT337" s="192" t="s">
        <v>654</v>
      </c>
      <c r="AU337" s="211" t="s">
        <v>653</v>
      </c>
      <c r="AV337" s="211" t="s">
        <v>2550</v>
      </c>
      <c r="AW337" s="211" t="s">
        <v>2551</v>
      </c>
      <c r="AX337" s="211" t="s">
        <v>654</v>
      </c>
      <c r="AY337" s="212">
        <v>2.0</v>
      </c>
      <c r="AZ337" s="213">
        <v>4.55</v>
      </c>
      <c r="BA337" s="213">
        <v>4.0</v>
      </c>
      <c r="BB337" s="213">
        <v>2.25</v>
      </c>
      <c r="BC337" s="212">
        <v>5.2</v>
      </c>
      <c r="BD337" s="213">
        <v>10.0</v>
      </c>
      <c r="BE337" s="213">
        <v>10.0</v>
      </c>
      <c r="BF337" s="213">
        <v>6.3</v>
      </c>
      <c r="BG337" s="212">
        <v>10.4</v>
      </c>
      <c r="BH337" s="213">
        <v>9.75</v>
      </c>
      <c r="BI337" s="213">
        <v>8.641975315792175E-4</v>
      </c>
      <c r="BJ337" s="213">
        <v>9.336419752798975E-4</v>
      </c>
      <c r="BK337" s="213">
        <v>270.0</v>
      </c>
      <c r="BL337" s="212">
        <v>7.15</v>
      </c>
      <c r="BM337" s="213">
        <v>5.375</v>
      </c>
      <c r="BN337" s="213">
        <v>0.001728395063158435</v>
      </c>
      <c r="BO337" s="213">
        <v>0.001867283950559795</v>
      </c>
      <c r="BP337" s="213">
        <v>135.0</v>
      </c>
      <c r="BQ337" s="192"/>
      <c r="BR337" s="192"/>
    </row>
    <row r="338">
      <c r="A338" s="60"/>
      <c r="B338" s="205">
        <v>3206318.0</v>
      </c>
      <c r="C338" s="205">
        <v>1377112.0</v>
      </c>
      <c r="D338" s="205">
        <v>1.0</v>
      </c>
      <c r="E338" s="207">
        <v>44243.93902777778</v>
      </c>
      <c r="F338" s="207">
        <v>44452.67128472222</v>
      </c>
      <c r="G338" s="207">
        <v>44445.306238425925</v>
      </c>
      <c r="H338" s="63" t="s">
        <v>2228</v>
      </c>
      <c r="I338" s="205">
        <v>180.0</v>
      </c>
      <c r="J338" s="63" t="s">
        <v>2544</v>
      </c>
      <c r="K338" s="205">
        <v>8446047.0</v>
      </c>
      <c r="L338" s="208">
        <v>5.46792</v>
      </c>
      <c r="M338" s="208">
        <v>2.70785</v>
      </c>
      <c r="N338" s="208">
        <v>2.51834</v>
      </c>
      <c r="O338" s="209">
        <v>4.0</v>
      </c>
      <c r="P338" s="209">
        <v>9.1</v>
      </c>
      <c r="Q338" s="209">
        <v>8.0</v>
      </c>
      <c r="R338" s="209">
        <v>4.5</v>
      </c>
      <c r="S338" s="210">
        <v>0.0012962962973688263</v>
      </c>
      <c r="T338" s="63" t="s">
        <v>2545</v>
      </c>
      <c r="U338" s="205">
        <v>10.0</v>
      </c>
      <c r="V338" s="205">
        <v>5.0</v>
      </c>
      <c r="W338" s="63" t="s">
        <v>2546</v>
      </c>
      <c r="X338" s="210">
        <v>0.0014004629629198462</v>
      </c>
      <c r="Y338" s="63" t="s">
        <v>2547</v>
      </c>
      <c r="Z338" s="63" t="s">
        <v>2548</v>
      </c>
      <c r="AA338" s="205">
        <v>0.0</v>
      </c>
      <c r="AB338" s="63" t="s">
        <v>2549</v>
      </c>
      <c r="AC338" s="205">
        <v>211.0</v>
      </c>
      <c r="AD338" s="208">
        <v>9.0785</v>
      </c>
      <c r="AE338" s="205">
        <v>51499.0</v>
      </c>
      <c r="AF338" s="205">
        <v>10435.0</v>
      </c>
      <c r="AG338" s="205">
        <v>234.0</v>
      </c>
      <c r="AH338" s="205">
        <v>323.0</v>
      </c>
      <c r="AI338" s="205">
        <v>5.0</v>
      </c>
      <c r="AJ338" s="205">
        <v>1029.0</v>
      </c>
      <c r="AK338" s="205">
        <v>0.0</v>
      </c>
      <c r="AL338" s="205">
        <v>1.0</v>
      </c>
      <c r="AM338" s="205">
        <v>0.0</v>
      </c>
      <c r="AN338" s="205">
        <v>0.0</v>
      </c>
      <c r="AO338" s="208">
        <v>4.95739</v>
      </c>
      <c r="AP338" s="208">
        <v>5.8273</v>
      </c>
      <c r="AQ338" s="208">
        <v>7.83606</v>
      </c>
      <c r="AR338" s="208">
        <v>4.31908</v>
      </c>
      <c r="AT338" s="192" t="s">
        <v>654</v>
      </c>
      <c r="AU338" s="211" t="s">
        <v>653</v>
      </c>
      <c r="AV338" s="211" t="s">
        <v>2550</v>
      </c>
      <c r="AW338" s="211" t="s">
        <v>2551</v>
      </c>
      <c r="AX338" s="211" t="s">
        <v>654</v>
      </c>
      <c r="AY338" s="212">
        <v>2.0</v>
      </c>
      <c r="AZ338" s="213">
        <v>4.55</v>
      </c>
      <c r="BA338" s="213">
        <v>4.0</v>
      </c>
      <c r="BB338" s="213">
        <v>2.25</v>
      </c>
      <c r="BC338" s="212">
        <v>5.2</v>
      </c>
      <c r="BD338" s="213">
        <v>10.0</v>
      </c>
      <c r="BE338" s="213">
        <v>10.0</v>
      </c>
      <c r="BF338" s="213">
        <v>6.3</v>
      </c>
      <c r="BG338" s="212">
        <v>10.4</v>
      </c>
      <c r="BH338" s="213">
        <v>9.75</v>
      </c>
      <c r="BI338" s="213">
        <v>8.641975315792175E-4</v>
      </c>
      <c r="BJ338" s="213">
        <v>9.336419752798975E-4</v>
      </c>
      <c r="BK338" s="213">
        <v>270.0</v>
      </c>
      <c r="BL338" s="212">
        <v>7.15</v>
      </c>
      <c r="BM338" s="213">
        <v>5.375</v>
      </c>
      <c r="BN338" s="213">
        <v>0.001728395063158435</v>
      </c>
      <c r="BO338" s="213">
        <v>0.001867283950559795</v>
      </c>
      <c r="BP338" s="213">
        <v>135.0</v>
      </c>
      <c r="BQ338" s="192"/>
      <c r="BR338" s="192"/>
    </row>
    <row r="339">
      <c r="A339" s="60"/>
      <c r="B339" s="205">
        <v>1484886.0</v>
      </c>
      <c r="C339" s="205">
        <v>701625.0</v>
      </c>
      <c r="D339" s="205">
        <v>1.0</v>
      </c>
      <c r="E339" s="207">
        <v>43072.64784722222</v>
      </c>
      <c r="F339" s="207">
        <v>43112.80563657408</v>
      </c>
      <c r="G339" s="207">
        <v>43103.21283564815</v>
      </c>
      <c r="H339" s="63" t="s">
        <v>996</v>
      </c>
      <c r="I339" s="205">
        <v>166.0</v>
      </c>
      <c r="J339" s="63" t="s">
        <v>2552</v>
      </c>
      <c r="K339" s="205">
        <v>8972308.0</v>
      </c>
      <c r="L339" s="208">
        <v>5.64728</v>
      </c>
      <c r="M339" s="208">
        <v>2.86202</v>
      </c>
      <c r="N339" s="208">
        <v>2.51828</v>
      </c>
      <c r="O339" s="209">
        <v>3.0</v>
      </c>
      <c r="P339" s="209">
        <v>9.4</v>
      </c>
      <c r="Q339" s="209">
        <v>9.0</v>
      </c>
      <c r="R339" s="209">
        <v>6.0</v>
      </c>
      <c r="S339" s="210">
        <v>0.0035648148150357883</v>
      </c>
      <c r="U339" s="205">
        <v>10.0</v>
      </c>
      <c r="V339" s="205">
        <v>5.0</v>
      </c>
      <c r="W339" s="63" t="s">
        <v>2553</v>
      </c>
      <c r="X339" s="210">
        <v>0.0037037037036498077</v>
      </c>
      <c r="Y339" s="63" t="s">
        <v>2554</v>
      </c>
      <c r="Z339" s="63" t="s">
        <v>2555</v>
      </c>
      <c r="AA339" s="205">
        <v>0.0</v>
      </c>
      <c r="AB339" s="63" t="s">
        <v>2556</v>
      </c>
      <c r="AC339" s="205">
        <v>160.0</v>
      </c>
      <c r="AD339" s="208">
        <v>9.5</v>
      </c>
      <c r="AE339" s="205">
        <v>111591.0</v>
      </c>
      <c r="AF339" s="205">
        <v>18270.0</v>
      </c>
      <c r="AG339" s="205">
        <v>469.0</v>
      </c>
      <c r="AH339" s="205">
        <v>494.0</v>
      </c>
      <c r="AI339" s="205">
        <v>1.0</v>
      </c>
      <c r="AJ339" s="205">
        <v>1633.0</v>
      </c>
      <c r="AK339" s="205">
        <v>0.0</v>
      </c>
      <c r="AL339" s="205">
        <v>0.0</v>
      </c>
      <c r="AM339" s="205">
        <v>0.0</v>
      </c>
      <c r="AN339" s="205">
        <v>0.0</v>
      </c>
      <c r="AO339" s="208">
        <v>5.19538</v>
      </c>
      <c r="AP339" s="208">
        <v>5.94548</v>
      </c>
      <c r="AQ339" s="208">
        <v>8.02504</v>
      </c>
      <c r="AR339" s="208">
        <v>4.50251</v>
      </c>
      <c r="AT339" s="192" t="s">
        <v>660</v>
      </c>
      <c r="AU339" s="211" t="s">
        <v>659</v>
      </c>
      <c r="AV339" s="211" t="s">
        <v>2557</v>
      </c>
      <c r="AW339" s="211" t="s">
        <v>2558</v>
      </c>
      <c r="AX339" s="211" t="s">
        <v>660</v>
      </c>
      <c r="AY339" s="212">
        <v>1.5</v>
      </c>
      <c r="AZ339" s="213">
        <v>4.7</v>
      </c>
      <c r="BA339" s="213">
        <v>4.5</v>
      </c>
      <c r="BB339" s="213">
        <v>3.0</v>
      </c>
      <c r="BC339" s="212">
        <v>3.9000000000000004</v>
      </c>
      <c r="BD339" s="213">
        <v>10.0</v>
      </c>
      <c r="BE339" s="213">
        <v>10.0</v>
      </c>
      <c r="BF339" s="213">
        <v>8.399999999999999</v>
      </c>
      <c r="BG339" s="212">
        <v>10.6</v>
      </c>
      <c r="BH339" s="213">
        <v>10.416666666666666</v>
      </c>
      <c r="BI339" s="213">
        <v>0.002376543210023859</v>
      </c>
      <c r="BJ339" s="213">
        <v>0.0024691358024332053</v>
      </c>
      <c r="BK339" s="213">
        <v>249.0</v>
      </c>
      <c r="BL339" s="212">
        <v>7.6</v>
      </c>
      <c r="BM339" s="213">
        <v>6.875</v>
      </c>
      <c r="BN339" s="213">
        <v>0.004753086420047718</v>
      </c>
      <c r="BO339" s="213">
        <v>0.004938271604866411</v>
      </c>
      <c r="BP339" s="213">
        <v>124.5</v>
      </c>
      <c r="BQ339" s="192"/>
      <c r="BR339" s="192"/>
    </row>
    <row r="340">
      <c r="A340" s="60"/>
      <c r="B340" s="205">
        <v>1484886.0</v>
      </c>
      <c r="C340" s="205">
        <v>701625.0</v>
      </c>
      <c r="D340" s="205">
        <v>1.0</v>
      </c>
      <c r="E340" s="207">
        <v>43072.64784722222</v>
      </c>
      <c r="F340" s="207">
        <v>43112.80563657408</v>
      </c>
      <c r="G340" s="207">
        <v>43103.21283564815</v>
      </c>
      <c r="H340" s="63" t="s">
        <v>996</v>
      </c>
      <c r="I340" s="205">
        <v>166.0</v>
      </c>
      <c r="J340" s="63" t="s">
        <v>2552</v>
      </c>
      <c r="K340" s="205">
        <v>8972308.0</v>
      </c>
      <c r="L340" s="208">
        <v>5.64728</v>
      </c>
      <c r="M340" s="208">
        <v>2.86202</v>
      </c>
      <c r="N340" s="208">
        <v>2.51828</v>
      </c>
      <c r="O340" s="209">
        <v>3.0</v>
      </c>
      <c r="P340" s="209">
        <v>9.4</v>
      </c>
      <c r="Q340" s="209">
        <v>9.0</v>
      </c>
      <c r="R340" s="209">
        <v>6.0</v>
      </c>
      <c r="S340" s="210">
        <v>0.0035648148150357883</v>
      </c>
      <c r="U340" s="205">
        <v>10.0</v>
      </c>
      <c r="V340" s="205">
        <v>5.0</v>
      </c>
      <c r="W340" s="63" t="s">
        <v>2553</v>
      </c>
      <c r="X340" s="210">
        <v>0.0037037037036498077</v>
      </c>
      <c r="Y340" s="63" t="s">
        <v>2554</v>
      </c>
      <c r="Z340" s="63" t="s">
        <v>2555</v>
      </c>
      <c r="AA340" s="205">
        <v>0.0</v>
      </c>
      <c r="AB340" s="63" t="s">
        <v>2556</v>
      </c>
      <c r="AC340" s="205">
        <v>160.0</v>
      </c>
      <c r="AD340" s="208">
        <v>9.5</v>
      </c>
      <c r="AE340" s="205">
        <v>111591.0</v>
      </c>
      <c r="AF340" s="205">
        <v>18270.0</v>
      </c>
      <c r="AG340" s="205">
        <v>469.0</v>
      </c>
      <c r="AH340" s="205">
        <v>494.0</v>
      </c>
      <c r="AI340" s="205">
        <v>1.0</v>
      </c>
      <c r="AJ340" s="205">
        <v>1633.0</v>
      </c>
      <c r="AK340" s="205">
        <v>0.0</v>
      </c>
      <c r="AL340" s="205">
        <v>0.0</v>
      </c>
      <c r="AM340" s="205">
        <v>0.0</v>
      </c>
      <c r="AN340" s="205">
        <v>0.0</v>
      </c>
      <c r="AO340" s="208">
        <v>5.19538</v>
      </c>
      <c r="AP340" s="208">
        <v>5.94548</v>
      </c>
      <c r="AQ340" s="208">
        <v>8.02504</v>
      </c>
      <c r="AR340" s="208">
        <v>4.50251</v>
      </c>
      <c r="AT340" s="192" t="s">
        <v>660</v>
      </c>
      <c r="AU340" s="211" t="s">
        <v>659</v>
      </c>
      <c r="AV340" s="211" t="s">
        <v>2557</v>
      </c>
      <c r="AW340" s="211" t="s">
        <v>2558</v>
      </c>
      <c r="AX340" s="211" t="s">
        <v>660</v>
      </c>
      <c r="AY340" s="212">
        <v>1.5</v>
      </c>
      <c r="AZ340" s="213">
        <v>4.7</v>
      </c>
      <c r="BA340" s="213">
        <v>4.5</v>
      </c>
      <c r="BB340" s="213">
        <v>3.0</v>
      </c>
      <c r="BC340" s="212">
        <v>3.9000000000000004</v>
      </c>
      <c r="BD340" s="213">
        <v>10.0</v>
      </c>
      <c r="BE340" s="213">
        <v>10.0</v>
      </c>
      <c r="BF340" s="213">
        <v>8.399999999999999</v>
      </c>
      <c r="BG340" s="212">
        <v>10.6</v>
      </c>
      <c r="BH340" s="213">
        <v>10.416666666666666</v>
      </c>
      <c r="BI340" s="213">
        <v>0.002376543210023859</v>
      </c>
      <c r="BJ340" s="213">
        <v>0.0024691358024332053</v>
      </c>
      <c r="BK340" s="213">
        <v>249.0</v>
      </c>
      <c r="BL340" s="212">
        <v>7.6</v>
      </c>
      <c r="BM340" s="213">
        <v>6.875</v>
      </c>
      <c r="BN340" s="213">
        <v>0.004753086420047718</v>
      </c>
      <c r="BO340" s="213">
        <v>0.004938271604866411</v>
      </c>
      <c r="BP340" s="213">
        <v>124.5</v>
      </c>
      <c r="BQ340" s="192"/>
      <c r="BR340" s="192"/>
    </row>
    <row r="341">
      <c r="A341" s="60"/>
      <c r="B341" s="205">
        <v>3774971.0</v>
      </c>
      <c r="C341" s="205">
        <v>1838113.0</v>
      </c>
      <c r="D341" s="205">
        <v>-2.0</v>
      </c>
      <c r="E341" s="207">
        <v>44801.75284722222</v>
      </c>
      <c r="F341" s="215"/>
      <c r="G341" s="207">
        <v>44929.1195949074</v>
      </c>
      <c r="H341" s="63" t="s">
        <v>1008</v>
      </c>
      <c r="I341" s="205">
        <v>128.0</v>
      </c>
      <c r="J341" s="63" t="s">
        <v>606</v>
      </c>
      <c r="K341" s="205">
        <v>1.426154E7</v>
      </c>
      <c r="L341" s="208">
        <v>5.25357</v>
      </c>
      <c r="M341" s="208">
        <v>2.69489</v>
      </c>
      <c r="N341" s="208">
        <v>2.29725</v>
      </c>
      <c r="O341" s="209">
        <v>4.0</v>
      </c>
      <c r="P341" s="209">
        <v>9.4</v>
      </c>
      <c r="Q341" s="209">
        <v>9.0</v>
      </c>
      <c r="R341" s="209">
        <v>6.0</v>
      </c>
      <c r="S341" s="210">
        <v>0.002592592591099674</v>
      </c>
      <c r="U341" s="205">
        <v>4.0</v>
      </c>
      <c r="V341" s="205">
        <v>3.0</v>
      </c>
      <c r="W341" s="63" t="s">
        <v>2559</v>
      </c>
      <c r="X341" s="210">
        <v>0.0026041666678793263</v>
      </c>
      <c r="Y341" s="63" t="s">
        <v>2560</v>
      </c>
      <c r="Z341" s="63" t="s">
        <v>2561</v>
      </c>
      <c r="AA341" s="205">
        <v>0.0</v>
      </c>
      <c r="AB341" s="63" t="s">
        <v>2562</v>
      </c>
      <c r="AC341" s="205">
        <v>12.0</v>
      </c>
      <c r="AD341" s="208">
        <v>0.0</v>
      </c>
      <c r="AE341" s="205">
        <v>1963.0</v>
      </c>
      <c r="AF341" s="205">
        <v>824.0</v>
      </c>
      <c r="AG341" s="205">
        <v>450.0</v>
      </c>
      <c r="AH341" s="205">
        <v>487.0</v>
      </c>
      <c r="AI341" s="205">
        <v>0.0</v>
      </c>
      <c r="AJ341" s="205">
        <v>1449.0</v>
      </c>
      <c r="AK341" s="205">
        <v>0.0</v>
      </c>
      <c r="AL341" s="205">
        <v>0.0</v>
      </c>
      <c r="AM341" s="205">
        <v>0.0</v>
      </c>
      <c r="AN341" s="205">
        <v>0.0</v>
      </c>
      <c r="AO341" s="208">
        <v>4.80794</v>
      </c>
      <c r="AP341" s="208">
        <v>5.60352</v>
      </c>
      <c r="AQ341" s="208">
        <v>7.49904</v>
      </c>
      <c r="AR341" s="208">
        <v>4.14323</v>
      </c>
      <c r="AT341" s="192" t="s">
        <v>605</v>
      </c>
      <c r="AU341" s="211" t="s">
        <v>663</v>
      </c>
      <c r="AV341" s="211" t="s">
        <v>2563</v>
      </c>
      <c r="AW341" s="211" t="s">
        <v>2564</v>
      </c>
      <c r="AX341" s="211" t="s">
        <v>605</v>
      </c>
      <c r="AY341" s="212">
        <v>2.0</v>
      </c>
      <c r="AZ341" s="213">
        <v>4.7</v>
      </c>
      <c r="BA341" s="213">
        <v>4.5</v>
      </c>
      <c r="BB341" s="213">
        <v>3.0</v>
      </c>
      <c r="BC341" s="212">
        <v>5.2</v>
      </c>
      <c r="BD341" s="213">
        <v>10.0</v>
      </c>
      <c r="BE341" s="213">
        <v>10.0</v>
      </c>
      <c r="BF341" s="213">
        <v>8.399999999999999</v>
      </c>
      <c r="BG341" s="212">
        <v>10.6</v>
      </c>
      <c r="BH341" s="213">
        <v>10.416666666666666</v>
      </c>
      <c r="BI341" s="213">
        <v>0.001728395060733116</v>
      </c>
      <c r="BJ341" s="213">
        <v>0.001736111111919551</v>
      </c>
      <c r="BK341" s="213">
        <v>192.0</v>
      </c>
      <c r="BL341" s="212">
        <v>7.6</v>
      </c>
      <c r="BM341" s="213">
        <v>6.875</v>
      </c>
      <c r="BN341" s="213">
        <v>0.003456790121466232</v>
      </c>
      <c r="BO341" s="213">
        <v>0.003472222223839102</v>
      </c>
      <c r="BP341" s="213">
        <v>96.0</v>
      </c>
      <c r="BQ341" s="192"/>
      <c r="BR341" s="192"/>
    </row>
    <row r="342">
      <c r="A342" s="60"/>
      <c r="B342" s="205">
        <v>3774971.0</v>
      </c>
      <c r="C342" s="205">
        <v>1838113.0</v>
      </c>
      <c r="D342" s="205">
        <v>-2.0</v>
      </c>
      <c r="E342" s="207">
        <v>44801.75284722222</v>
      </c>
      <c r="F342" s="215"/>
      <c r="G342" s="207">
        <v>44929.1195949074</v>
      </c>
      <c r="H342" s="63" t="s">
        <v>1008</v>
      </c>
      <c r="I342" s="205">
        <v>128.0</v>
      </c>
      <c r="J342" s="63" t="s">
        <v>606</v>
      </c>
      <c r="K342" s="205">
        <v>1.426154E7</v>
      </c>
      <c r="L342" s="208">
        <v>5.25357</v>
      </c>
      <c r="M342" s="208">
        <v>2.69489</v>
      </c>
      <c r="N342" s="208">
        <v>2.29725</v>
      </c>
      <c r="O342" s="209">
        <v>4.0</v>
      </c>
      <c r="P342" s="209">
        <v>9.4</v>
      </c>
      <c r="Q342" s="209">
        <v>9.0</v>
      </c>
      <c r="R342" s="209">
        <v>6.0</v>
      </c>
      <c r="S342" s="210">
        <v>0.002592592591099674</v>
      </c>
      <c r="U342" s="205">
        <v>4.0</v>
      </c>
      <c r="V342" s="205">
        <v>3.0</v>
      </c>
      <c r="W342" s="63" t="s">
        <v>2559</v>
      </c>
      <c r="X342" s="210">
        <v>0.0026041666678793263</v>
      </c>
      <c r="Y342" s="63" t="s">
        <v>2560</v>
      </c>
      <c r="Z342" s="63" t="s">
        <v>2561</v>
      </c>
      <c r="AA342" s="205">
        <v>0.0</v>
      </c>
      <c r="AB342" s="63" t="s">
        <v>2562</v>
      </c>
      <c r="AC342" s="205">
        <v>12.0</v>
      </c>
      <c r="AD342" s="208">
        <v>0.0</v>
      </c>
      <c r="AE342" s="205">
        <v>1963.0</v>
      </c>
      <c r="AF342" s="205">
        <v>824.0</v>
      </c>
      <c r="AG342" s="205">
        <v>450.0</v>
      </c>
      <c r="AH342" s="205">
        <v>487.0</v>
      </c>
      <c r="AI342" s="205">
        <v>0.0</v>
      </c>
      <c r="AJ342" s="205">
        <v>1449.0</v>
      </c>
      <c r="AK342" s="205">
        <v>0.0</v>
      </c>
      <c r="AL342" s="205">
        <v>0.0</v>
      </c>
      <c r="AM342" s="205">
        <v>0.0</v>
      </c>
      <c r="AN342" s="205">
        <v>0.0</v>
      </c>
      <c r="AO342" s="208">
        <v>4.80794</v>
      </c>
      <c r="AP342" s="208">
        <v>5.60352</v>
      </c>
      <c r="AQ342" s="208">
        <v>7.49904</v>
      </c>
      <c r="AR342" s="208">
        <v>4.14323</v>
      </c>
      <c r="AT342" s="192" t="s">
        <v>605</v>
      </c>
      <c r="AU342" s="211" t="s">
        <v>663</v>
      </c>
      <c r="AV342" s="211" t="s">
        <v>2563</v>
      </c>
      <c r="AW342" s="211" t="s">
        <v>2564</v>
      </c>
      <c r="AX342" s="211" t="s">
        <v>605</v>
      </c>
      <c r="AY342" s="212">
        <v>2.0</v>
      </c>
      <c r="AZ342" s="213">
        <v>4.7</v>
      </c>
      <c r="BA342" s="213">
        <v>4.5</v>
      </c>
      <c r="BB342" s="213">
        <v>3.0</v>
      </c>
      <c r="BC342" s="212">
        <v>5.2</v>
      </c>
      <c r="BD342" s="213">
        <v>10.0</v>
      </c>
      <c r="BE342" s="213">
        <v>10.0</v>
      </c>
      <c r="BF342" s="213">
        <v>8.399999999999999</v>
      </c>
      <c r="BG342" s="212">
        <v>10.6</v>
      </c>
      <c r="BH342" s="213">
        <v>10.416666666666666</v>
      </c>
      <c r="BI342" s="213">
        <v>0.001728395060733116</v>
      </c>
      <c r="BJ342" s="213">
        <v>0.001736111111919551</v>
      </c>
      <c r="BK342" s="213">
        <v>192.0</v>
      </c>
      <c r="BL342" s="212">
        <v>7.6</v>
      </c>
      <c r="BM342" s="213">
        <v>6.875</v>
      </c>
      <c r="BN342" s="213">
        <v>0.003456790121466232</v>
      </c>
      <c r="BO342" s="213">
        <v>0.003472222223839102</v>
      </c>
      <c r="BP342" s="213">
        <v>96.0</v>
      </c>
      <c r="BQ342" s="192"/>
      <c r="BR342" s="192"/>
    </row>
    <row r="343">
      <c r="A343" s="60"/>
      <c r="B343" s="205">
        <v>2835868.0</v>
      </c>
      <c r="C343" s="205">
        <v>1371662.0</v>
      </c>
      <c r="D343" s="205">
        <v>1.0</v>
      </c>
      <c r="E343" s="207">
        <v>44237.9969212963</v>
      </c>
      <c r="F343" s="207">
        <v>44291.86578703704</v>
      </c>
      <c r="G343" s="207">
        <v>44282.63553240741</v>
      </c>
      <c r="H343" s="63" t="s">
        <v>2565</v>
      </c>
      <c r="I343" s="205">
        <v>196.0</v>
      </c>
      <c r="J343" s="63" t="s">
        <v>2358</v>
      </c>
      <c r="K343" s="205">
        <v>2226083.0</v>
      </c>
      <c r="L343" s="208">
        <v>4.98475</v>
      </c>
      <c r="M343" s="208">
        <v>2.60757</v>
      </c>
      <c r="N343" s="208">
        <v>2.10099</v>
      </c>
      <c r="O343" s="209">
        <v>4.2</v>
      </c>
      <c r="P343" s="209">
        <v>9.0</v>
      </c>
      <c r="Q343" s="209">
        <v>8.0</v>
      </c>
      <c r="R343" s="209">
        <v>5.0</v>
      </c>
      <c r="S343" s="210">
        <v>0.002025462963501923</v>
      </c>
      <c r="U343" s="205">
        <v>4.0</v>
      </c>
      <c r="V343" s="205">
        <v>3.0</v>
      </c>
      <c r="W343" s="63" t="s">
        <v>2566</v>
      </c>
      <c r="X343" s="210">
        <v>0.0024305555562023073</v>
      </c>
      <c r="Y343" s="63" t="s">
        <v>1116</v>
      </c>
      <c r="Z343" s="63" t="s">
        <v>2567</v>
      </c>
      <c r="AA343" s="205">
        <v>0.0</v>
      </c>
      <c r="AB343" s="63" t="s">
        <v>2568</v>
      </c>
      <c r="AC343" s="205">
        <v>132.0</v>
      </c>
      <c r="AD343" s="208">
        <v>8.98667</v>
      </c>
      <c r="AE343" s="205">
        <v>29701.0</v>
      </c>
      <c r="AF343" s="205">
        <v>5682.0</v>
      </c>
      <c r="AG343" s="205">
        <v>289.0</v>
      </c>
      <c r="AH343" s="205">
        <v>345.0</v>
      </c>
      <c r="AI343" s="205">
        <v>1.0</v>
      </c>
      <c r="AJ343" s="205">
        <v>1058.0</v>
      </c>
      <c r="AK343" s="205">
        <v>0.0</v>
      </c>
      <c r="AL343" s="205">
        <v>0.0</v>
      </c>
      <c r="AM343" s="205">
        <v>0.0</v>
      </c>
      <c r="AN343" s="205">
        <v>0.0</v>
      </c>
      <c r="AO343" s="208">
        <v>4.50936</v>
      </c>
      <c r="AP343" s="208">
        <v>5.34618</v>
      </c>
      <c r="AQ343" s="208">
        <v>7.03191</v>
      </c>
      <c r="AR343" s="208">
        <v>3.96508</v>
      </c>
      <c r="AT343" s="192" t="s">
        <v>668</v>
      </c>
      <c r="AU343" s="211" t="s">
        <v>667</v>
      </c>
      <c r="AV343" s="211" t="s">
        <v>2569</v>
      </c>
      <c r="AW343" s="211" t="s">
        <v>2570</v>
      </c>
      <c r="AX343" s="211" t="s">
        <v>668</v>
      </c>
      <c r="AY343" s="212">
        <v>2.1</v>
      </c>
      <c r="AZ343" s="213">
        <v>4.5</v>
      </c>
      <c r="BA343" s="213">
        <v>4.0</v>
      </c>
      <c r="BB343" s="213">
        <v>2.5</v>
      </c>
      <c r="BC343" s="212">
        <v>5.460000000000001</v>
      </c>
      <c r="BD343" s="213">
        <v>10.0</v>
      </c>
      <c r="BE343" s="213">
        <v>10.0</v>
      </c>
      <c r="BF343" s="213">
        <v>7.0</v>
      </c>
      <c r="BG343" s="212">
        <v>10.333333333333332</v>
      </c>
      <c r="BH343" s="213">
        <v>9.75</v>
      </c>
      <c r="BI343" s="213">
        <v>0.0013503086423346151</v>
      </c>
      <c r="BJ343" s="213">
        <v>0.0016203703708015382</v>
      </c>
      <c r="BK343" s="213">
        <v>294.0</v>
      </c>
      <c r="BL343" s="212">
        <v>7.0</v>
      </c>
      <c r="BM343" s="213">
        <v>5.375</v>
      </c>
      <c r="BN343" s="213">
        <v>0.0027006172846692302</v>
      </c>
      <c r="BO343" s="213">
        <v>0.0032407407416030765</v>
      </c>
      <c r="BP343" s="213">
        <v>147.0</v>
      </c>
      <c r="BQ343" s="192"/>
      <c r="BR343" s="192"/>
    </row>
    <row r="344">
      <c r="A344" s="60"/>
      <c r="B344" s="205">
        <v>4075902.0</v>
      </c>
      <c r="C344" s="205">
        <v>1965625.0</v>
      </c>
      <c r="D344" s="205">
        <v>1.0</v>
      </c>
      <c r="E344" s="207">
        <v>45015.51200231482</v>
      </c>
      <c r="F344" s="207">
        <v>45116.31010416667</v>
      </c>
      <c r="G344" s="207">
        <v>45111.76585648148</v>
      </c>
      <c r="H344" s="63" t="s">
        <v>2571</v>
      </c>
      <c r="I344" s="205">
        <v>160.0</v>
      </c>
      <c r="J344" s="63" t="s">
        <v>148</v>
      </c>
      <c r="K344" s="205">
        <v>7777875.0</v>
      </c>
      <c r="L344" s="208">
        <v>4.93264</v>
      </c>
      <c r="M344" s="208">
        <v>2.51145</v>
      </c>
      <c r="N344" s="208">
        <v>2.18362</v>
      </c>
      <c r="O344" s="209">
        <v>4.0</v>
      </c>
      <c r="P344" s="209">
        <v>8.0</v>
      </c>
      <c r="Q344" s="209">
        <v>8.0</v>
      </c>
      <c r="R344" s="209">
        <v>6.0</v>
      </c>
      <c r="S344" s="210">
        <v>0.0015162037052505184</v>
      </c>
      <c r="U344" s="205">
        <v>10.0</v>
      </c>
      <c r="V344" s="205">
        <v>3.0</v>
      </c>
      <c r="W344" s="63" t="s">
        <v>2572</v>
      </c>
      <c r="X344" s="210">
        <v>0.0015509259246755391</v>
      </c>
      <c r="Y344" s="63" t="s">
        <v>2573</v>
      </c>
      <c r="Z344" s="63" t="s">
        <v>2574</v>
      </c>
      <c r="AA344" s="205">
        <v>0.0</v>
      </c>
      <c r="AB344" s="63" t="s">
        <v>2575</v>
      </c>
      <c r="AC344" s="205">
        <v>93.0</v>
      </c>
      <c r="AD344" s="208">
        <v>8.29787</v>
      </c>
      <c r="AE344" s="205">
        <v>7813.0</v>
      </c>
      <c r="AF344" s="205">
        <v>931.0</v>
      </c>
      <c r="AG344" s="205">
        <v>409.0</v>
      </c>
      <c r="AH344" s="205">
        <v>143.0</v>
      </c>
      <c r="AI344" s="205">
        <v>0.0</v>
      </c>
      <c r="AJ344" s="205">
        <v>742.0</v>
      </c>
      <c r="AK344" s="205">
        <v>0.0</v>
      </c>
      <c r="AL344" s="205">
        <v>0.0</v>
      </c>
      <c r="AM344" s="205">
        <v>0.0</v>
      </c>
      <c r="AN344" s="205">
        <v>0.0</v>
      </c>
      <c r="AO344" s="208">
        <v>4.5579</v>
      </c>
      <c r="AP344" s="208">
        <v>5.22035</v>
      </c>
      <c r="AQ344" s="208">
        <v>7.05699</v>
      </c>
      <c r="AR344" s="208">
        <v>3.84401</v>
      </c>
      <c r="AT344" s="192" t="s">
        <v>673</v>
      </c>
      <c r="AU344" s="211" t="s">
        <v>672</v>
      </c>
      <c r="AV344" s="211" t="s">
        <v>2576</v>
      </c>
      <c r="AW344" s="211" t="s">
        <v>2577</v>
      </c>
      <c r="AX344" s="211" t="s">
        <v>673</v>
      </c>
      <c r="AY344" s="212">
        <v>2.0</v>
      </c>
      <c r="AZ344" s="213">
        <v>4.0</v>
      </c>
      <c r="BA344" s="213">
        <v>4.0</v>
      </c>
      <c r="BB344" s="213">
        <v>3.0</v>
      </c>
      <c r="BC344" s="212">
        <v>5.2</v>
      </c>
      <c r="BD344" s="213">
        <v>10.0</v>
      </c>
      <c r="BE344" s="213">
        <v>10.0</v>
      </c>
      <c r="BF344" s="213">
        <v>8.399999999999999</v>
      </c>
      <c r="BG344" s="212">
        <v>9.666666666666668</v>
      </c>
      <c r="BH344" s="213">
        <v>9.75</v>
      </c>
      <c r="BI344" s="213">
        <v>0.0010108024701670122</v>
      </c>
      <c r="BJ344" s="213">
        <v>0.0010339506164503594</v>
      </c>
      <c r="BK344" s="213">
        <v>240.0</v>
      </c>
      <c r="BL344" s="212">
        <v>5.5</v>
      </c>
      <c r="BM344" s="213">
        <v>5.375</v>
      </c>
      <c r="BN344" s="213">
        <v>0.0020216049403340244</v>
      </c>
      <c r="BO344" s="213">
        <v>0.0020679012329007187</v>
      </c>
      <c r="BP344" s="213">
        <v>120.0</v>
      </c>
      <c r="BQ344" s="192"/>
      <c r="BR344" s="192"/>
    </row>
    <row r="345">
      <c r="A345" s="60"/>
      <c r="B345" s="205">
        <v>261729.0</v>
      </c>
      <c r="C345" s="205">
        <v>98038.0</v>
      </c>
      <c r="D345" s="205">
        <v>1.0</v>
      </c>
      <c r="E345" s="207">
        <v>41435.59081018518</v>
      </c>
      <c r="F345" s="207">
        <v>41457.96216435185</v>
      </c>
      <c r="G345" s="207">
        <v>41457.960868055554</v>
      </c>
      <c r="H345" s="63" t="s">
        <v>2578</v>
      </c>
      <c r="I345" s="205">
        <v>212.0</v>
      </c>
      <c r="J345" s="63" t="s">
        <v>92</v>
      </c>
      <c r="K345" s="205">
        <v>33599.0</v>
      </c>
      <c r="L345" s="208">
        <v>5.50525</v>
      </c>
      <c r="M345" s="208">
        <v>2.2016</v>
      </c>
      <c r="N345" s="208">
        <v>2.94548</v>
      </c>
      <c r="O345" s="209">
        <v>4.0</v>
      </c>
      <c r="P345" s="209">
        <v>9.0</v>
      </c>
      <c r="Q345" s="209">
        <v>8.0</v>
      </c>
      <c r="R345" s="209">
        <v>7.0</v>
      </c>
      <c r="S345" s="210">
        <v>0.0010648148163454607</v>
      </c>
      <c r="T345" s="63" t="s">
        <v>2579</v>
      </c>
      <c r="U345" s="205">
        <v>2.0</v>
      </c>
      <c r="V345" s="205">
        <v>3.0</v>
      </c>
      <c r="W345" s="63" t="s">
        <v>2580</v>
      </c>
      <c r="X345" s="210">
        <v>0.0010763888894871343</v>
      </c>
      <c r="Y345" s="63" t="s">
        <v>1116</v>
      </c>
      <c r="Z345" s="63" t="s">
        <v>2581</v>
      </c>
      <c r="AA345" s="205">
        <v>0.0</v>
      </c>
      <c r="AB345" s="63" t="s">
        <v>2582</v>
      </c>
      <c r="AC345" s="205">
        <v>131.0</v>
      </c>
      <c r="AD345" s="208">
        <v>9.14516</v>
      </c>
      <c r="AE345" s="205">
        <v>580488.0</v>
      </c>
      <c r="AF345" s="205">
        <v>85996.0</v>
      </c>
      <c r="AG345" s="205">
        <v>335.0</v>
      </c>
      <c r="AH345" s="205">
        <v>161.0</v>
      </c>
      <c r="AI345" s="205">
        <v>0.0</v>
      </c>
      <c r="AJ345" s="205">
        <v>668.0</v>
      </c>
      <c r="AK345" s="205">
        <v>0.0</v>
      </c>
      <c r="AL345" s="205">
        <v>0.0</v>
      </c>
      <c r="AM345" s="205">
        <v>0.0</v>
      </c>
      <c r="AN345" s="205">
        <v>0.0</v>
      </c>
      <c r="AO345" s="208">
        <v>5.07994</v>
      </c>
      <c r="AP345" s="208">
        <v>5.73219</v>
      </c>
      <c r="AQ345" s="208">
        <v>8.27806</v>
      </c>
      <c r="AR345" s="208">
        <v>4.37876</v>
      </c>
      <c r="AT345" s="192" t="s">
        <v>680</v>
      </c>
      <c r="AU345" s="211" t="s">
        <v>679</v>
      </c>
      <c r="AV345" s="211" t="s">
        <v>2583</v>
      </c>
      <c r="AW345" s="211" t="s">
        <v>2584</v>
      </c>
      <c r="AX345" s="211" t="s">
        <v>680</v>
      </c>
      <c r="AY345" s="212">
        <v>2.0</v>
      </c>
      <c r="AZ345" s="213">
        <v>4.5</v>
      </c>
      <c r="BA345" s="213">
        <v>4.0</v>
      </c>
      <c r="BB345" s="213">
        <v>3.5</v>
      </c>
      <c r="BC345" s="212">
        <v>5.2</v>
      </c>
      <c r="BD345" s="213">
        <v>10.0</v>
      </c>
      <c r="BE345" s="213">
        <v>10.0</v>
      </c>
      <c r="BF345" s="213">
        <v>9.799999999999999</v>
      </c>
      <c r="BG345" s="212">
        <v>10.333333333333332</v>
      </c>
      <c r="BH345" s="213">
        <v>9.75</v>
      </c>
      <c r="BI345" s="213">
        <v>7.098765442303071E-4</v>
      </c>
      <c r="BJ345" s="213">
        <v>7.175925929914229E-4</v>
      </c>
      <c r="BK345" s="213">
        <v>318.0</v>
      </c>
      <c r="BL345" s="212">
        <v>7.0</v>
      </c>
      <c r="BM345" s="213">
        <v>5.375</v>
      </c>
      <c r="BN345" s="213">
        <v>0.0014197530884606142</v>
      </c>
      <c r="BO345" s="213">
        <v>0.0014351851859828457</v>
      </c>
      <c r="BP345" s="213">
        <v>159.0</v>
      </c>
      <c r="BQ345" s="192"/>
      <c r="BR345" s="192"/>
    </row>
    <row r="346">
      <c r="A346" s="60"/>
      <c r="B346" s="205">
        <v>1290855.0</v>
      </c>
      <c r="C346" s="205">
        <v>611507.0</v>
      </c>
      <c r="D346" s="205">
        <v>4.0</v>
      </c>
      <c r="E346" s="207">
        <v>42866.03175925926</v>
      </c>
      <c r="F346" s="207">
        <v>43688.51613425926</v>
      </c>
      <c r="G346" s="207">
        <v>43686.84523148148</v>
      </c>
      <c r="H346" s="63" t="s">
        <v>2585</v>
      </c>
      <c r="I346" s="205">
        <v>125.0</v>
      </c>
      <c r="J346" s="63" t="s">
        <v>2586</v>
      </c>
      <c r="K346" s="205">
        <v>7945027.0</v>
      </c>
      <c r="L346" s="208">
        <v>5.38489</v>
      </c>
      <c r="M346" s="208">
        <v>2.74891</v>
      </c>
      <c r="N346" s="208">
        <v>2.37382</v>
      </c>
      <c r="O346" s="209">
        <v>3.8</v>
      </c>
      <c r="P346" s="209">
        <v>9.4</v>
      </c>
      <c r="Q346" s="209">
        <v>8.2</v>
      </c>
      <c r="R346" s="209">
        <v>5.0</v>
      </c>
      <c r="S346" s="210">
        <v>0.0017592592594155576</v>
      </c>
      <c r="U346" s="205">
        <v>14.0</v>
      </c>
      <c r="V346" s="205">
        <v>2.0</v>
      </c>
      <c r="W346" s="63" t="s">
        <v>2587</v>
      </c>
      <c r="X346" s="210">
        <v>0.001898148148029577</v>
      </c>
      <c r="Y346" s="63" t="s">
        <v>2588</v>
      </c>
      <c r="Z346" s="63" t="s">
        <v>2589</v>
      </c>
      <c r="AA346" s="205">
        <v>0.0</v>
      </c>
      <c r="AB346" s="63" t="s">
        <v>2590</v>
      </c>
      <c r="AC346" s="205">
        <v>1980.0</v>
      </c>
      <c r="AD346" s="208">
        <v>9.64899</v>
      </c>
      <c r="AE346" s="205">
        <v>983988.0</v>
      </c>
      <c r="AF346" s="205">
        <v>195786.0</v>
      </c>
      <c r="AG346" s="205">
        <v>213.0</v>
      </c>
      <c r="AH346" s="205">
        <v>400.0</v>
      </c>
      <c r="AI346" s="205">
        <v>1.0</v>
      </c>
      <c r="AJ346" s="205">
        <v>1045.0</v>
      </c>
      <c r="AK346" s="205">
        <v>0.0</v>
      </c>
      <c r="AL346" s="205">
        <v>0.0</v>
      </c>
      <c r="AM346" s="205">
        <v>0.0</v>
      </c>
      <c r="AN346" s="205">
        <v>0.0</v>
      </c>
      <c r="AO346" s="208">
        <v>4.98218</v>
      </c>
      <c r="AP346" s="208">
        <v>5.7027</v>
      </c>
      <c r="AQ346" s="208">
        <v>8.02953</v>
      </c>
      <c r="AR346" s="208">
        <v>4.28974</v>
      </c>
      <c r="AT346" s="192" t="s">
        <v>684</v>
      </c>
      <c r="AU346" s="211" t="s">
        <v>683</v>
      </c>
      <c r="AV346" s="211" t="s">
        <v>2591</v>
      </c>
      <c r="AW346" s="211" t="s">
        <v>2592</v>
      </c>
      <c r="AX346" s="211" t="s">
        <v>684</v>
      </c>
      <c r="AY346" s="212">
        <v>1.9</v>
      </c>
      <c r="AZ346" s="213">
        <v>4.7</v>
      </c>
      <c r="BA346" s="213">
        <v>4.1</v>
      </c>
      <c r="BB346" s="213">
        <v>2.5</v>
      </c>
      <c r="BC346" s="212">
        <v>4.9399999999999995</v>
      </c>
      <c r="BD346" s="213">
        <v>10.0</v>
      </c>
      <c r="BE346" s="213">
        <v>10.0</v>
      </c>
      <c r="BF346" s="213">
        <v>7.0</v>
      </c>
      <c r="BG346" s="212">
        <v>10.6</v>
      </c>
      <c r="BH346" s="213">
        <v>9.883333333333333</v>
      </c>
      <c r="BI346" s="213">
        <v>0.0011728395062770385</v>
      </c>
      <c r="BJ346" s="213">
        <v>0.0012654320986863847</v>
      </c>
      <c r="BK346" s="213">
        <v>187.5</v>
      </c>
      <c r="BL346" s="212">
        <v>7.6</v>
      </c>
      <c r="BM346" s="213">
        <v>5.675</v>
      </c>
      <c r="BN346" s="213">
        <v>0.002345679012554077</v>
      </c>
      <c r="BO346" s="213">
        <v>0.0025308641973727695</v>
      </c>
      <c r="BP346" s="213">
        <v>93.75</v>
      </c>
      <c r="BQ346" s="192"/>
      <c r="BR346" s="192"/>
    </row>
    <row r="347">
      <c r="A347" s="60"/>
      <c r="B347" s="205">
        <v>2442178.0</v>
      </c>
      <c r="C347" s="205">
        <v>1170697.0</v>
      </c>
      <c r="D347" s="205">
        <v>1.0</v>
      </c>
      <c r="E347" s="207">
        <v>43965.397777777776</v>
      </c>
      <c r="F347" s="207">
        <v>44092.94652777778</v>
      </c>
      <c r="G347" s="207">
        <v>44085.57681712963</v>
      </c>
      <c r="H347" s="63" t="s">
        <v>2593</v>
      </c>
      <c r="I347" s="205">
        <v>138.0</v>
      </c>
      <c r="J347" s="63" t="s">
        <v>535</v>
      </c>
      <c r="K347" s="205">
        <v>8688812.0</v>
      </c>
      <c r="L347" s="208">
        <v>5.38544</v>
      </c>
      <c r="M347" s="208">
        <v>2.7142</v>
      </c>
      <c r="N347" s="208">
        <v>2.4216</v>
      </c>
      <c r="O347" s="209">
        <v>3.8</v>
      </c>
      <c r="P347" s="209">
        <v>9.4</v>
      </c>
      <c r="Q347" s="209">
        <v>8.0</v>
      </c>
      <c r="R347" s="209">
        <v>5.0</v>
      </c>
      <c r="S347" s="210">
        <v>0.0019907407404389232</v>
      </c>
      <c r="U347" s="205">
        <v>10.0</v>
      </c>
      <c r="V347" s="205">
        <v>2.0</v>
      </c>
      <c r="W347" s="63" t="s">
        <v>2594</v>
      </c>
      <c r="X347" s="210">
        <v>0.0025462962948950008</v>
      </c>
      <c r="Y347" s="63" t="s">
        <v>2595</v>
      </c>
      <c r="Z347" s="63" t="s">
        <v>2596</v>
      </c>
      <c r="AA347" s="205">
        <v>0.0</v>
      </c>
      <c r="AB347" s="63" t="s">
        <v>2597</v>
      </c>
      <c r="AC347" s="205">
        <v>651.0</v>
      </c>
      <c r="AD347" s="208">
        <v>9.43092</v>
      </c>
      <c r="AE347" s="205">
        <v>213310.0</v>
      </c>
      <c r="AF347" s="205">
        <v>45049.0</v>
      </c>
      <c r="AG347" s="205">
        <v>404.0</v>
      </c>
      <c r="AH347" s="205">
        <v>415.0</v>
      </c>
      <c r="AI347" s="205">
        <v>1.0</v>
      </c>
      <c r="AJ347" s="205">
        <v>1243.0</v>
      </c>
      <c r="AK347" s="205">
        <v>0.0</v>
      </c>
      <c r="AL347" s="205">
        <v>0.0</v>
      </c>
      <c r="AM347" s="205">
        <v>0.0</v>
      </c>
      <c r="AN347" s="205">
        <v>0.0</v>
      </c>
      <c r="AO347" s="208">
        <v>4.90721</v>
      </c>
      <c r="AP347" s="208">
        <v>5.81932</v>
      </c>
      <c r="AQ347" s="208">
        <v>7.8807</v>
      </c>
      <c r="AR347" s="208">
        <v>4.26285</v>
      </c>
      <c r="AT347" s="192" t="s">
        <v>687</v>
      </c>
      <c r="AU347" s="211" t="s">
        <v>686</v>
      </c>
      <c r="AV347" s="211" t="s">
        <v>2598</v>
      </c>
      <c r="AW347" s="211" t="s">
        <v>2599</v>
      </c>
      <c r="AX347" s="211" t="s">
        <v>687</v>
      </c>
      <c r="AY347" s="212">
        <v>1.9</v>
      </c>
      <c r="AZ347" s="213">
        <v>4.7</v>
      </c>
      <c r="BA347" s="213">
        <v>4.0</v>
      </c>
      <c r="BB347" s="213">
        <v>2.5</v>
      </c>
      <c r="BC347" s="212">
        <v>4.9399999999999995</v>
      </c>
      <c r="BD347" s="213">
        <v>10.0</v>
      </c>
      <c r="BE347" s="213">
        <v>10.0</v>
      </c>
      <c r="BF347" s="213">
        <v>7.0</v>
      </c>
      <c r="BG347" s="212">
        <v>10.6</v>
      </c>
      <c r="BH347" s="213">
        <v>9.75</v>
      </c>
      <c r="BI347" s="213">
        <v>0.001327160493625949</v>
      </c>
      <c r="BJ347" s="213">
        <v>0.001697530863263334</v>
      </c>
      <c r="BK347" s="213">
        <v>207.0</v>
      </c>
      <c r="BL347" s="212">
        <v>7.6</v>
      </c>
      <c r="BM347" s="213">
        <v>5.375</v>
      </c>
      <c r="BN347" s="213">
        <v>0.002654320987251898</v>
      </c>
      <c r="BO347" s="213">
        <v>0.003395061726526668</v>
      </c>
      <c r="BP347" s="213">
        <v>103.5</v>
      </c>
      <c r="BQ347" s="192"/>
      <c r="BR347" s="192"/>
    </row>
    <row r="348">
      <c r="A348" s="60"/>
      <c r="B348" s="205">
        <v>2442178.0</v>
      </c>
      <c r="C348" s="205">
        <v>1170697.0</v>
      </c>
      <c r="D348" s="205">
        <v>1.0</v>
      </c>
      <c r="E348" s="207">
        <v>43965.397777777776</v>
      </c>
      <c r="F348" s="207">
        <v>44092.94652777778</v>
      </c>
      <c r="G348" s="207">
        <v>44085.57681712963</v>
      </c>
      <c r="H348" s="63" t="s">
        <v>2593</v>
      </c>
      <c r="I348" s="205">
        <v>138.0</v>
      </c>
      <c r="J348" s="63" t="s">
        <v>535</v>
      </c>
      <c r="K348" s="205">
        <v>8688812.0</v>
      </c>
      <c r="L348" s="208">
        <v>5.38544</v>
      </c>
      <c r="M348" s="208">
        <v>2.7142</v>
      </c>
      <c r="N348" s="208">
        <v>2.4216</v>
      </c>
      <c r="O348" s="209">
        <v>3.8</v>
      </c>
      <c r="P348" s="209">
        <v>9.4</v>
      </c>
      <c r="Q348" s="209">
        <v>8.0</v>
      </c>
      <c r="R348" s="209">
        <v>5.0</v>
      </c>
      <c r="S348" s="210">
        <v>0.0019907407404389232</v>
      </c>
      <c r="U348" s="205">
        <v>10.0</v>
      </c>
      <c r="V348" s="205">
        <v>2.0</v>
      </c>
      <c r="W348" s="63" t="s">
        <v>2594</v>
      </c>
      <c r="X348" s="210">
        <v>0.0025462962948950008</v>
      </c>
      <c r="Y348" s="63" t="s">
        <v>2595</v>
      </c>
      <c r="Z348" s="63" t="s">
        <v>2596</v>
      </c>
      <c r="AA348" s="205">
        <v>0.0</v>
      </c>
      <c r="AB348" s="63" t="s">
        <v>2597</v>
      </c>
      <c r="AC348" s="205">
        <v>651.0</v>
      </c>
      <c r="AD348" s="208">
        <v>9.43092</v>
      </c>
      <c r="AE348" s="205">
        <v>213310.0</v>
      </c>
      <c r="AF348" s="205">
        <v>45049.0</v>
      </c>
      <c r="AG348" s="205">
        <v>404.0</v>
      </c>
      <c r="AH348" s="205">
        <v>415.0</v>
      </c>
      <c r="AI348" s="205">
        <v>1.0</v>
      </c>
      <c r="AJ348" s="205">
        <v>1243.0</v>
      </c>
      <c r="AK348" s="205">
        <v>0.0</v>
      </c>
      <c r="AL348" s="205">
        <v>0.0</v>
      </c>
      <c r="AM348" s="205">
        <v>0.0</v>
      </c>
      <c r="AN348" s="205">
        <v>0.0</v>
      </c>
      <c r="AO348" s="208">
        <v>4.90721</v>
      </c>
      <c r="AP348" s="208">
        <v>5.81932</v>
      </c>
      <c r="AQ348" s="208">
        <v>7.8807</v>
      </c>
      <c r="AR348" s="208">
        <v>4.26285</v>
      </c>
      <c r="AT348" s="192" t="s">
        <v>687</v>
      </c>
      <c r="AU348" s="211" t="s">
        <v>686</v>
      </c>
      <c r="AV348" s="211" t="s">
        <v>2598</v>
      </c>
      <c r="AW348" s="211" t="s">
        <v>2599</v>
      </c>
      <c r="AX348" s="211" t="s">
        <v>687</v>
      </c>
      <c r="AY348" s="212">
        <v>1.9</v>
      </c>
      <c r="AZ348" s="213">
        <v>4.7</v>
      </c>
      <c r="BA348" s="213">
        <v>4.0</v>
      </c>
      <c r="BB348" s="213">
        <v>2.5</v>
      </c>
      <c r="BC348" s="212">
        <v>4.9399999999999995</v>
      </c>
      <c r="BD348" s="213">
        <v>10.0</v>
      </c>
      <c r="BE348" s="213">
        <v>10.0</v>
      </c>
      <c r="BF348" s="213">
        <v>7.0</v>
      </c>
      <c r="BG348" s="212">
        <v>10.6</v>
      </c>
      <c r="BH348" s="213">
        <v>9.75</v>
      </c>
      <c r="BI348" s="213">
        <v>0.001327160493625949</v>
      </c>
      <c r="BJ348" s="213">
        <v>0.001697530863263334</v>
      </c>
      <c r="BK348" s="213">
        <v>207.0</v>
      </c>
      <c r="BL348" s="212">
        <v>7.6</v>
      </c>
      <c r="BM348" s="213">
        <v>5.375</v>
      </c>
      <c r="BN348" s="213">
        <v>0.002654320987251898</v>
      </c>
      <c r="BO348" s="213">
        <v>0.003395061726526668</v>
      </c>
      <c r="BP348" s="213">
        <v>103.5</v>
      </c>
      <c r="BQ348" s="192"/>
      <c r="BR348" s="192"/>
    </row>
    <row r="349">
      <c r="A349" s="60"/>
      <c r="B349" s="205">
        <v>1863289.0</v>
      </c>
      <c r="C349" s="205">
        <v>891366.0</v>
      </c>
      <c r="D349" s="205">
        <v>1.0</v>
      </c>
      <c r="E349" s="207">
        <v>43443.967951388884</v>
      </c>
      <c r="F349" s="207">
        <v>43462.50016203704</v>
      </c>
      <c r="G349" s="207">
        <v>43453.74359953703</v>
      </c>
      <c r="H349" s="63" t="s">
        <v>2600</v>
      </c>
      <c r="I349" s="205">
        <v>170.0</v>
      </c>
      <c r="J349" s="63" t="s">
        <v>2601</v>
      </c>
      <c r="K349" s="205">
        <v>8722791.0</v>
      </c>
      <c r="L349" s="208">
        <v>5.56543</v>
      </c>
      <c r="M349" s="208">
        <v>2.71483</v>
      </c>
      <c r="N349" s="208">
        <v>2.61035</v>
      </c>
      <c r="O349" s="209">
        <v>4.2</v>
      </c>
      <c r="P349" s="209">
        <v>9.2</v>
      </c>
      <c r="Q349" s="209">
        <v>8.3</v>
      </c>
      <c r="R349" s="209">
        <v>6.3</v>
      </c>
      <c r="S349" s="210">
        <v>0.0013425925935734995</v>
      </c>
      <c r="U349" s="205">
        <v>2.0</v>
      </c>
      <c r="V349" s="205">
        <v>5.0</v>
      </c>
      <c r="W349" s="63" t="s">
        <v>2602</v>
      </c>
      <c r="X349" s="210">
        <v>0.0014351851859828457</v>
      </c>
      <c r="Y349" s="63" t="s">
        <v>2253</v>
      </c>
      <c r="Z349" s="63" t="s">
        <v>2603</v>
      </c>
      <c r="AA349" s="205">
        <v>0.0</v>
      </c>
      <c r="AB349" s="63" t="s">
        <v>2604</v>
      </c>
      <c r="AC349" s="205">
        <v>2768.0</v>
      </c>
      <c r="AD349" s="208">
        <v>8.68236</v>
      </c>
      <c r="AE349" s="205">
        <v>928458.0</v>
      </c>
      <c r="AF349" s="205">
        <v>132642.0</v>
      </c>
      <c r="AG349" s="205">
        <v>457.0</v>
      </c>
      <c r="AH349" s="205">
        <v>173.0</v>
      </c>
      <c r="AI349" s="205">
        <v>1.0</v>
      </c>
      <c r="AJ349" s="205">
        <v>888.0</v>
      </c>
      <c r="AK349" s="205">
        <v>0.0</v>
      </c>
      <c r="AL349" s="205">
        <v>0.0</v>
      </c>
      <c r="AM349" s="205">
        <v>0.0</v>
      </c>
      <c r="AN349" s="205">
        <v>0.0</v>
      </c>
      <c r="AO349" s="208">
        <v>5.10496</v>
      </c>
      <c r="AP349" s="208">
        <v>5.88483</v>
      </c>
      <c r="AQ349" s="208">
        <v>8.03062</v>
      </c>
      <c r="AR349" s="208">
        <v>4.40424</v>
      </c>
      <c r="AT349" s="192" t="s">
        <v>689</v>
      </c>
      <c r="AU349" s="211" t="s">
        <v>688</v>
      </c>
      <c r="AV349" s="211" t="s">
        <v>2605</v>
      </c>
      <c r="AW349" s="211" t="s">
        <v>2606</v>
      </c>
      <c r="AX349" s="211" t="s">
        <v>689</v>
      </c>
      <c r="AY349" s="212">
        <v>2.1</v>
      </c>
      <c r="AZ349" s="213">
        <v>4.6</v>
      </c>
      <c r="BA349" s="213">
        <v>4.15</v>
      </c>
      <c r="BB349" s="213">
        <v>3.15</v>
      </c>
      <c r="BC349" s="212">
        <v>5.460000000000001</v>
      </c>
      <c r="BD349" s="213">
        <v>10.0</v>
      </c>
      <c r="BE349" s="213">
        <v>10.0</v>
      </c>
      <c r="BF349" s="213">
        <v>8.819999999999999</v>
      </c>
      <c r="BG349" s="212">
        <v>10.466666666666667</v>
      </c>
      <c r="BH349" s="213">
        <v>9.950000000000001</v>
      </c>
      <c r="BI349" s="213">
        <v>8.950617290489996E-4</v>
      </c>
      <c r="BJ349" s="213">
        <v>9.567901239885638E-4</v>
      </c>
      <c r="BK349" s="213">
        <v>255.0</v>
      </c>
      <c r="BL349" s="212">
        <v>7.299999999999999</v>
      </c>
      <c r="BM349" s="213">
        <v>5.825</v>
      </c>
      <c r="BN349" s="213">
        <v>0.0017901234580979992</v>
      </c>
      <c r="BO349" s="213">
        <v>0.0019135802479771276</v>
      </c>
      <c r="BP349" s="213">
        <v>127.5</v>
      </c>
      <c r="BQ349" s="192"/>
      <c r="BR349" s="192"/>
    </row>
    <row r="350">
      <c r="A350" s="60"/>
      <c r="B350" s="205">
        <v>1863289.0</v>
      </c>
      <c r="C350" s="205">
        <v>891366.0</v>
      </c>
      <c r="D350" s="205">
        <v>1.0</v>
      </c>
      <c r="E350" s="207">
        <v>43443.967951388884</v>
      </c>
      <c r="F350" s="207">
        <v>43462.50016203704</v>
      </c>
      <c r="G350" s="207">
        <v>43453.74359953703</v>
      </c>
      <c r="H350" s="63" t="s">
        <v>2600</v>
      </c>
      <c r="I350" s="205">
        <v>170.0</v>
      </c>
      <c r="J350" s="63" t="s">
        <v>2601</v>
      </c>
      <c r="K350" s="205">
        <v>8722791.0</v>
      </c>
      <c r="L350" s="208">
        <v>5.56543</v>
      </c>
      <c r="M350" s="208">
        <v>2.71483</v>
      </c>
      <c r="N350" s="208">
        <v>2.61035</v>
      </c>
      <c r="O350" s="209">
        <v>4.2</v>
      </c>
      <c r="P350" s="209">
        <v>9.2</v>
      </c>
      <c r="Q350" s="209">
        <v>8.3</v>
      </c>
      <c r="R350" s="209">
        <v>6.3</v>
      </c>
      <c r="S350" s="210">
        <v>0.0013425925935734995</v>
      </c>
      <c r="U350" s="205">
        <v>2.0</v>
      </c>
      <c r="V350" s="205">
        <v>5.0</v>
      </c>
      <c r="W350" s="63" t="s">
        <v>2602</v>
      </c>
      <c r="X350" s="210">
        <v>0.0014351851859828457</v>
      </c>
      <c r="Y350" s="63" t="s">
        <v>2253</v>
      </c>
      <c r="Z350" s="63" t="s">
        <v>2603</v>
      </c>
      <c r="AA350" s="205">
        <v>0.0</v>
      </c>
      <c r="AB350" s="63" t="s">
        <v>2604</v>
      </c>
      <c r="AC350" s="205">
        <v>2768.0</v>
      </c>
      <c r="AD350" s="208">
        <v>8.68236</v>
      </c>
      <c r="AE350" s="205">
        <v>928458.0</v>
      </c>
      <c r="AF350" s="205">
        <v>132642.0</v>
      </c>
      <c r="AG350" s="205">
        <v>457.0</v>
      </c>
      <c r="AH350" s="205">
        <v>173.0</v>
      </c>
      <c r="AI350" s="205">
        <v>1.0</v>
      </c>
      <c r="AJ350" s="205">
        <v>888.0</v>
      </c>
      <c r="AK350" s="205">
        <v>0.0</v>
      </c>
      <c r="AL350" s="205">
        <v>0.0</v>
      </c>
      <c r="AM350" s="205">
        <v>0.0</v>
      </c>
      <c r="AN350" s="205">
        <v>0.0</v>
      </c>
      <c r="AO350" s="208">
        <v>5.10496</v>
      </c>
      <c r="AP350" s="208">
        <v>5.88483</v>
      </c>
      <c r="AQ350" s="208">
        <v>8.03062</v>
      </c>
      <c r="AR350" s="208">
        <v>4.40424</v>
      </c>
      <c r="AT350" s="192" t="s">
        <v>689</v>
      </c>
      <c r="AU350" s="211" t="s">
        <v>688</v>
      </c>
      <c r="AV350" s="211" t="s">
        <v>2605</v>
      </c>
      <c r="AW350" s="211" t="s">
        <v>2606</v>
      </c>
      <c r="AX350" s="211" t="s">
        <v>689</v>
      </c>
      <c r="AY350" s="212">
        <v>2.1</v>
      </c>
      <c r="AZ350" s="213">
        <v>4.6</v>
      </c>
      <c r="BA350" s="213">
        <v>4.15</v>
      </c>
      <c r="BB350" s="213">
        <v>3.15</v>
      </c>
      <c r="BC350" s="212">
        <v>5.460000000000001</v>
      </c>
      <c r="BD350" s="213">
        <v>10.0</v>
      </c>
      <c r="BE350" s="213">
        <v>10.0</v>
      </c>
      <c r="BF350" s="213">
        <v>8.819999999999999</v>
      </c>
      <c r="BG350" s="212">
        <v>10.466666666666667</v>
      </c>
      <c r="BH350" s="213">
        <v>9.950000000000001</v>
      </c>
      <c r="BI350" s="213">
        <v>8.950617290489996E-4</v>
      </c>
      <c r="BJ350" s="213">
        <v>9.567901239885638E-4</v>
      </c>
      <c r="BK350" s="213">
        <v>255.0</v>
      </c>
      <c r="BL350" s="212">
        <v>7.299999999999999</v>
      </c>
      <c r="BM350" s="213">
        <v>5.825</v>
      </c>
      <c r="BN350" s="213">
        <v>0.0017901234580979992</v>
      </c>
      <c r="BO350" s="213">
        <v>0.0019135802479771276</v>
      </c>
      <c r="BP350" s="213">
        <v>127.5</v>
      </c>
      <c r="BQ350" s="192"/>
      <c r="BR350" s="192"/>
    </row>
    <row r="351">
      <c r="A351" s="60"/>
      <c r="B351" s="205">
        <v>757386.0</v>
      </c>
      <c r="C351" s="205">
        <v>291495.0</v>
      </c>
      <c r="D351" s="205">
        <v>1.0</v>
      </c>
      <c r="E351" s="207">
        <v>42070.50096064815</v>
      </c>
      <c r="F351" s="207">
        <v>42340.18109953703</v>
      </c>
      <c r="G351" s="207">
        <v>42331.403912037036</v>
      </c>
      <c r="H351" s="63" t="s">
        <v>2607</v>
      </c>
      <c r="I351" s="205">
        <v>167.0</v>
      </c>
      <c r="J351" s="63" t="s">
        <v>2608</v>
      </c>
      <c r="K351" s="205">
        <v>611174.0</v>
      </c>
      <c r="L351" s="208">
        <v>5.42769</v>
      </c>
      <c r="M351" s="208">
        <v>2.55916</v>
      </c>
      <c r="N351" s="208">
        <v>2.63526</v>
      </c>
      <c r="O351" s="209">
        <v>4.0</v>
      </c>
      <c r="P351" s="209">
        <v>9.0</v>
      </c>
      <c r="Q351" s="209">
        <v>7.5</v>
      </c>
      <c r="R351" s="209">
        <v>6.5</v>
      </c>
      <c r="S351" s="210">
        <v>0.0015625000014551915</v>
      </c>
      <c r="T351" s="63" t="s">
        <v>1488</v>
      </c>
      <c r="U351" s="205">
        <v>2.0</v>
      </c>
      <c r="V351" s="205">
        <v>5.0</v>
      </c>
      <c r="W351" s="63" t="s">
        <v>2609</v>
      </c>
      <c r="X351" s="210">
        <v>0.001574074074596865</v>
      </c>
      <c r="Y351" s="63" t="s">
        <v>2610</v>
      </c>
      <c r="Z351" s="63" t="s">
        <v>2611</v>
      </c>
      <c r="AA351" s="205">
        <v>0.0</v>
      </c>
      <c r="AB351" s="63" t="s">
        <v>2612</v>
      </c>
      <c r="AC351" s="205">
        <v>631.0</v>
      </c>
      <c r="AD351" s="208">
        <v>9.49775</v>
      </c>
      <c r="AE351" s="205">
        <v>367716.0</v>
      </c>
      <c r="AF351" s="205">
        <v>49554.0</v>
      </c>
      <c r="AG351" s="205">
        <v>460.0</v>
      </c>
      <c r="AH351" s="205">
        <v>247.0</v>
      </c>
      <c r="AI351" s="205">
        <v>3.0</v>
      </c>
      <c r="AJ351" s="205">
        <v>1135.0</v>
      </c>
      <c r="AK351" s="205">
        <v>0.0</v>
      </c>
      <c r="AL351" s="205">
        <v>1.0</v>
      </c>
      <c r="AM351" s="205">
        <v>0.0</v>
      </c>
      <c r="AN351" s="205">
        <v>0.0</v>
      </c>
      <c r="AO351" s="208">
        <v>5.03427</v>
      </c>
      <c r="AP351" s="208">
        <v>5.69995</v>
      </c>
      <c r="AQ351" s="208">
        <v>7.81084</v>
      </c>
      <c r="AR351" s="208">
        <v>4.26369</v>
      </c>
      <c r="AT351" s="192" t="s">
        <v>691</v>
      </c>
      <c r="AU351" s="211" t="s">
        <v>690</v>
      </c>
      <c r="AV351" s="211" t="s">
        <v>2613</v>
      </c>
      <c r="AW351" s="211" t="s">
        <v>2614</v>
      </c>
      <c r="AX351" s="211" t="s">
        <v>691</v>
      </c>
      <c r="AY351" s="212">
        <v>2.0</v>
      </c>
      <c r="AZ351" s="213">
        <v>4.5</v>
      </c>
      <c r="BA351" s="213">
        <v>3.75</v>
      </c>
      <c r="BB351" s="213">
        <v>3.25</v>
      </c>
      <c r="BC351" s="212">
        <v>5.2</v>
      </c>
      <c r="BD351" s="213">
        <v>10.0</v>
      </c>
      <c r="BE351" s="213">
        <v>10.0</v>
      </c>
      <c r="BF351" s="213">
        <v>9.1</v>
      </c>
      <c r="BG351" s="212">
        <v>10.333333333333332</v>
      </c>
      <c r="BH351" s="213">
        <v>9.416666666666666</v>
      </c>
      <c r="BI351" s="213">
        <v>0.0010416666676367943</v>
      </c>
      <c r="BJ351" s="213">
        <v>0.0010493827163979101</v>
      </c>
      <c r="BK351" s="213">
        <v>250.5</v>
      </c>
      <c r="BL351" s="212">
        <v>7.0</v>
      </c>
      <c r="BM351" s="213">
        <v>4.625</v>
      </c>
      <c r="BN351" s="213">
        <v>0.0020833333352735886</v>
      </c>
      <c r="BO351" s="213">
        <v>0.0020987654327958203</v>
      </c>
      <c r="BP351" s="213">
        <v>125.25</v>
      </c>
      <c r="BQ351" s="192"/>
      <c r="BR351" s="192"/>
    </row>
    <row r="352">
      <c r="A352" s="60"/>
      <c r="B352" s="205">
        <v>757386.0</v>
      </c>
      <c r="C352" s="205">
        <v>291495.0</v>
      </c>
      <c r="D352" s="205">
        <v>1.0</v>
      </c>
      <c r="E352" s="207">
        <v>42070.50096064815</v>
      </c>
      <c r="F352" s="207">
        <v>42340.18109953703</v>
      </c>
      <c r="G352" s="207">
        <v>42331.403912037036</v>
      </c>
      <c r="H352" s="63" t="s">
        <v>2607</v>
      </c>
      <c r="I352" s="205">
        <v>167.0</v>
      </c>
      <c r="J352" s="63" t="s">
        <v>2608</v>
      </c>
      <c r="K352" s="205">
        <v>611174.0</v>
      </c>
      <c r="L352" s="208">
        <v>5.42769</v>
      </c>
      <c r="M352" s="208">
        <v>2.55916</v>
      </c>
      <c r="N352" s="208">
        <v>2.63526</v>
      </c>
      <c r="O352" s="209">
        <v>4.0</v>
      </c>
      <c r="P352" s="209">
        <v>9.0</v>
      </c>
      <c r="Q352" s="209">
        <v>7.5</v>
      </c>
      <c r="R352" s="209">
        <v>6.5</v>
      </c>
      <c r="S352" s="210">
        <v>0.0015625000014551915</v>
      </c>
      <c r="T352" s="63" t="s">
        <v>1488</v>
      </c>
      <c r="U352" s="205">
        <v>2.0</v>
      </c>
      <c r="V352" s="205">
        <v>5.0</v>
      </c>
      <c r="W352" s="63" t="s">
        <v>2609</v>
      </c>
      <c r="X352" s="210">
        <v>0.001574074074596865</v>
      </c>
      <c r="Y352" s="63" t="s">
        <v>2610</v>
      </c>
      <c r="Z352" s="63" t="s">
        <v>2611</v>
      </c>
      <c r="AA352" s="205">
        <v>0.0</v>
      </c>
      <c r="AB352" s="63" t="s">
        <v>2612</v>
      </c>
      <c r="AC352" s="205">
        <v>631.0</v>
      </c>
      <c r="AD352" s="208">
        <v>9.49775</v>
      </c>
      <c r="AE352" s="205">
        <v>367716.0</v>
      </c>
      <c r="AF352" s="205">
        <v>49554.0</v>
      </c>
      <c r="AG352" s="205">
        <v>460.0</v>
      </c>
      <c r="AH352" s="205">
        <v>247.0</v>
      </c>
      <c r="AI352" s="205">
        <v>3.0</v>
      </c>
      <c r="AJ352" s="205">
        <v>1135.0</v>
      </c>
      <c r="AK352" s="205">
        <v>0.0</v>
      </c>
      <c r="AL352" s="205">
        <v>1.0</v>
      </c>
      <c r="AM352" s="205">
        <v>0.0</v>
      </c>
      <c r="AN352" s="205">
        <v>0.0</v>
      </c>
      <c r="AO352" s="208">
        <v>5.03427</v>
      </c>
      <c r="AP352" s="208">
        <v>5.69995</v>
      </c>
      <c r="AQ352" s="208">
        <v>7.81084</v>
      </c>
      <c r="AR352" s="208">
        <v>4.26369</v>
      </c>
      <c r="AT352" s="192" t="s">
        <v>691</v>
      </c>
      <c r="AU352" s="211" t="s">
        <v>690</v>
      </c>
      <c r="AV352" s="211" t="s">
        <v>2613</v>
      </c>
      <c r="AW352" s="211" t="s">
        <v>2614</v>
      </c>
      <c r="AX352" s="211" t="s">
        <v>691</v>
      </c>
      <c r="AY352" s="212">
        <v>2.0</v>
      </c>
      <c r="AZ352" s="213">
        <v>4.5</v>
      </c>
      <c r="BA352" s="213">
        <v>3.75</v>
      </c>
      <c r="BB352" s="213">
        <v>3.25</v>
      </c>
      <c r="BC352" s="212">
        <v>5.2</v>
      </c>
      <c r="BD352" s="213">
        <v>10.0</v>
      </c>
      <c r="BE352" s="213">
        <v>10.0</v>
      </c>
      <c r="BF352" s="213">
        <v>9.1</v>
      </c>
      <c r="BG352" s="212">
        <v>10.333333333333332</v>
      </c>
      <c r="BH352" s="213">
        <v>9.416666666666666</v>
      </c>
      <c r="BI352" s="213">
        <v>0.0010416666676367943</v>
      </c>
      <c r="BJ352" s="213">
        <v>0.0010493827163979101</v>
      </c>
      <c r="BK352" s="213">
        <v>250.5</v>
      </c>
      <c r="BL352" s="212">
        <v>7.0</v>
      </c>
      <c r="BM352" s="213">
        <v>4.625</v>
      </c>
      <c r="BN352" s="213">
        <v>0.0020833333352735886</v>
      </c>
      <c r="BO352" s="213">
        <v>0.0020987654327958203</v>
      </c>
      <c r="BP352" s="213">
        <v>125.25</v>
      </c>
      <c r="BQ352" s="192"/>
      <c r="BR352" s="192"/>
    </row>
    <row r="353">
      <c r="A353" s="60"/>
      <c r="B353" s="205">
        <v>3010348.0</v>
      </c>
      <c r="C353" s="205">
        <v>1366507.0</v>
      </c>
      <c r="D353" s="205">
        <v>1.0</v>
      </c>
      <c r="E353" s="207">
        <v>44232.25578703704</v>
      </c>
      <c r="F353" s="207">
        <v>44417.390451388885</v>
      </c>
      <c r="G353" s="207">
        <v>44415.76903935186</v>
      </c>
      <c r="H353" s="63" t="s">
        <v>1007</v>
      </c>
      <c r="I353" s="205">
        <v>171.3</v>
      </c>
      <c r="J353" s="63" t="s">
        <v>601</v>
      </c>
      <c r="K353" s="205">
        <v>1.433983E7</v>
      </c>
      <c r="L353" s="208">
        <v>5.55254</v>
      </c>
      <c r="M353" s="208">
        <v>2.55322</v>
      </c>
      <c r="N353" s="208">
        <v>2.75319</v>
      </c>
      <c r="O353" s="209">
        <v>4.0</v>
      </c>
      <c r="P353" s="209">
        <v>9.0</v>
      </c>
      <c r="Q353" s="209">
        <v>8.2</v>
      </c>
      <c r="R353" s="209">
        <v>5.0</v>
      </c>
      <c r="S353" s="210">
        <v>0.0011458333319751546</v>
      </c>
      <c r="U353" s="205">
        <v>10.0</v>
      </c>
      <c r="V353" s="205">
        <v>2.0</v>
      </c>
      <c r="W353" s="63" t="s">
        <v>2615</v>
      </c>
      <c r="X353" s="210">
        <v>0.0014004629629198462</v>
      </c>
      <c r="Y353" s="63" t="s">
        <v>2616</v>
      </c>
      <c r="Z353" s="63" t="s">
        <v>2617</v>
      </c>
      <c r="AA353" s="205">
        <v>0.0</v>
      </c>
      <c r="AB353" s="63" t="s">
        <v>2618</v>
      </c>
      <c r="AC353" s="205">
        <v>3400.0</v>
      </c>
      <c r="AD353" s="208">
        <v>9.18089</v>
      </c>
      <c r="AE353" s="205">
        <v>214417.0</v>
      </c>
      <c r="AF353" s="205">
        <v>20438.0</v>
      </c>
      <c r="AG353" s="205">
        <v>491.0</v>
      </c>
      <c r="AH353" s="205">
        <v>143.0</v>
      </c>
      <c r="AI353" s="205">
        <v>1.0</v>
      </c>
      <c r="AJ353" s="205">
        <v>866.0</v>
      </c>
      <c r="AK353" s="205">
        <v>1.0</v>
      </c>
      <c r="AL353" s="205">
        <v>0.0</v>
      </c>
      <c r="AM353" s="205">
        <v>0.0</v>
      </c>
      <c r="AN353" s="205">
        <v>0.0</v>
      </c>
      <c r="AO353" s="208">
        <v>5.134</v>
      </c>
      <c r="AP353" s="208">
        <v>5.81641</v>
      </c>
      <c r="AQ353" s="208">
        <v>8.21379</v>
      </c>
      <c r="AR353" s="208">
        <v>4.31184</v>
      </c>
      <c r="AT353" s="192" t="s">
        <v>600</v>
      </c>
      <c r="AU353" s="211" t="s">
        <v>692</v>
      </c>
      <c r="AV353" s="211" t="s">
        <v>2619</v>
      </c>
      <c r="AW353" s="211" t="s">
        <v>2620</v>
      </c>
      <c r="AX353" s="211" t="s">
        <v>600</v>
      </c>
      <c r="AY353" s="212">
        <v>2.0</v>
      </c>
      <c r="AZ353" s="213">
        <v>4.5</v>
      </c>
      <c r="BA353" s="213">
        <v>4.1</v>
      </c>
      <c r="BB353" s="213">
        <v>2.5</v>
      </c>
      <c r="BC353" s="212">
        <v>5.2</v>
      </c>
      <c r="BD353" s="213">
        <v>10.0</v>
      </c>
      <c r="BE353" s="213">
        <v>10.0</v>
      </c>
      <c r="BF353" s="213">
        <v>7.0</v>
      </c>
      <c r="BG353" s="212">
        <v>10.333333333333332</v>
      </c>
      <c r="BH353" s="213">
        <v>9.883333333333333</v>
      </c>
      <c r="BI353" s="213">
        <v>7.638888879834363E-4</v>
      </c>
      <c r="BJ353" s="213">
        <v>9.336419752798975E-4</v>
      </c>
      <c r="BK353" s="213">
        <v>256.95000000000005</v>
      </c>
      <c r="BL353" s="212">
        <v>7.0</v>
      </c>
      <c r="BM353" s="213">
        <v>5.675</v>
      </c>
      <c r="BN353" s="213">
        <v>0.0015277777759668727</v>
      </c>
      <c r="BO353" s="213">
        <v>0.001867283950559795</v>
      </c>
      <c r="BP353" s="213">
        <v>128.47500000000002</v>
      </c>
      <c r="BQ353" s="192"/>
      <c r="BR353" s="192"/>
    </row>
    <row r="354">
      <c r="A354" s="60"/>
      <c r="B354" s="205">
        <v>2906707.0</v>
      </c>
      <c r="C354" s="205">
        <v>1409478.0</v>
      </c>
      <c r="D354" s="205">
        <v>1.0</v>
      </c>
      <c r="E354" s="207">
        <v>44277.35876157407</v>
      </c>
      <c r="F354" s="207">
        <v>44477.23967592593</v>
      </c>
      <c r="G354" s="207">
        <v>44469.52309027778</v>
      </c>
      <c r="H354" s="63" t="s">
        <v>2621</v>
      </c>
      <c r="I354" s="205">
        <v>160.0</v>
      </c>
      <c r="J354" s="63" t="s">
        <v>535</v>
      </c>
      <c r="K354" s="205">
        <v>8688812.0</v>
      </c>
      <c r="L354" s="208">
        <v>5.00518</v>
      </c>
      <c r="M354" s="208">
        <v>2.44608</v>
      </c>
      <c r="N354" s="208">
        <v>2.34256</v>
      </c>
      <c r="O354" s="209">
        <v>4.0</v>
      </c>
      <c r="P354" s="209">
        <v>9.0</v>
      </c>
      <c r="Q354" s="209">
        <v>8.0</v>
      </c>
      <c r="R354" s="209">
        <v>5.0</v>
      </c>
      <c r="S354" s="210">
        <v>0.0013425925935734995</v>
      </c>
      <c r="T354" s="63" t="s">
        <v>2622</v>
      </c>
      <c r="U354" s="205">
        <v>10.0</v>
      </c>
      <c r="V354" s="205">
        <v>3.0</v>
      </c>
      <c r="W354" s="63" t="s">
        <v>2623</v>
      </c>
      <c r="X354" s="210">
        <v>0.001354166666715173</v>
      </c>
      <c r="Y354" s="63" t="s">
        <v>2624</v>
      </c>
      <c r="Z354" s="63" t="s">
        <v>2625</v>
      </c>
      <c r="AA354" s="205">
        <v>0.0</v>
      </c>
      <c r="AB354" s="63" t="s">
        <v>2626</v>
      </c>
      <c r="AC354" s="205">
        <v>671.0</v>
      </c>
      <c r="AD354" s="208">
        <v>9.30163</v>
      </c>
      <c r="AE354" s="205">
        <v>135928.0</v>
      </c>
      <c r="AF354" s="205">
        <v>26505.0</v>
      </c>
      <c r="AG354" s="205">
        <v>303.0</v>
      </c>
      <c r="AH354" s="205">
        <v>272.0</v>
      </c>
      <c r="AI354" s="205">
        <v>1.0</v>
      </c>
      <c r="AJ354" s="205">
        <v>1035.0</v>
      </c>
      <c r="AK354" s="205">
        <v>0.0</v>
      </c>
      <c r="AL354" s="205">
        <v>0.0</v>
      </c>
      <c r="AM354" s="205">
        <v>0.0</v>
      </c>
      <c r="AN354" s="205">
        <v>0.0</v>
      </c>
      <c r="AO354" s="208">
        <v>4.56415</v>
      </c>
      <c r="AP354" s="208">
        <v>5.31734</v>
      </c>
      <c r="AQ354" s="208">
        <v>7.20355</v>
      </c>
      <c r="AR354" s="208">
        <v>3.95857</v>
      </c>
      <c r="AT354" s="192" t="s">
        <v>694</v>
      </c>
      <c r="AU354" s="211" t="s">
        <v>693</v>
      </c>
      <c r="AV354" s="211" t="s">
        <v>2627</v>
      </c>
      <c r="AW354" s="211" t="s">
        <v>2628</v>
      </c>
      <c r="AX354" s="211" t="s">
        <v>694</v>
      </c>
      <c r="AY354" s="212">
        <v>2.0</v>
      </c>
      <c r="AZ354" s="213">
        <v>4.5</v>
      </c>
      <c r="BA354" s="213">
        <v>4.0</v>
      </c>
      <c r="BB354" s="213">
        <v>2.5</v>
      </c>
      <c r="BC354" s="212">
        <v>5.2</v>
      </c>
      <c r="BD354" s="213">
        <v>10.0</v>
      </c>
      <c r="BE354" s="213">
        <v>10.0</v>
      </c>
      <c r="BF354" s="213">
        <v>7.0</v>
      </c>
      <c r="BG354" s="212">
        <v>10.333333333333332</v>
      </c>
      <c r="BH354" s="213">
        <v>9.75</v>
      </c>
      <c r="BI354" s="213">
        <v>8.950617290489996E-4</v>
      </c>
      <c r="BJ354" s="213">
        <v>9.027777778101154E-4</v>
      </c>
      <c r="BK354" s="213">
        <v>240.0</v>
      </c>
      <c r="BL354" s="212">
        <v>7.0</v>
      </c>
      <c r="BM354" s="213">
        <v>5.375</v>
      </c>
      <c r="BN354" s="213">
        <v>0.0017901234580979992</v>
      </c>
      <c r="BO354" s="213">
        <v>0.0018055555556202307</v>
      </c>
      <c r="BP354" s="213">
        <v>120.0</v>
      </c>
      <c r="BQ354" s="192"/>
      <c r="BR354" s="192"/>
    </row>
    <row r="355">
      <c r="A355" s="60"/>
      <c r="B355" s="205">
        <v>2906707.0</v>
      </c>
      <c r="C355" s="205">
        <v>1409478.0</v>
      </c>
      <c r="D355" s="205">
        <v>1.0</v>
      </c>
      <c r="E355" s="207">
        <v>44277.35876157407</v>
      </c>
      <c r="F355" s="207">
        <v>44477.23967592593</v>
      </c>
      <c r="G355" s="207">
        <v>44469.52309027778</v>
      </c>
      <c r="H355" s="63" t="s">
        <v>2621</v>
      </c>
      <c r="I355" s="205">
        <v>160.0</v>
      </c>
      <c r="J355" s="63" t="s">
        <v>535</v>
      </c>
      <c r="K355" s="205">
        <v>8688812.0</v>
      </c>
      <c r="L355" s="208">
        <v>5.00518</v>
      </c>
      <c r="M355" s="208">
        <v>2.44608</v>
      </c>
      <c r="N355" s="208">
        <v>2.34256</v>
      </c>
      <c r="O355" s="209">
        <v>4.0</v>
      </c>
      <c r="P355" s="209">
        <v>9.0</v>
      </c>
      <c r="Q355" s="209">
        <v>8.0</v>
      </c>
      <c r="R355" s="209">
        <v>5.0</v>
      </c>
      <c r="S355" s="210">
        <v>0.0013425925935734995</v>
      </c>
      <c r="T355" s="63" t="s">
        <v>2622</v>
      </c>
      <c r="U355" s="205">
        <v>10.0</v>
      </c>
      <c r="V355" s="205">
        <v>3.0</v>
      </c>
      <c r="W355" s="63" t="s">
        <v>2623</v>
      </c>
      <c r="X355" s="210">
        <v>0.001354166666715173</v>
      </c>
      <c r="Y355" s="63" t="s">
        <v>2624</v>
      </c>
      <c r="Z355" s="63" t="s">
        <v>2625</v>
      </c>
      <c r="AA355" s="205">
        <v>0.0</v>
      </c>
      <c r="AB355" s="63" t="s">
        <v>2626</v>
      </c>
      <c r="AC355" s="205">
        <v>671.0</v>
      </c>
      <c r="AD355" s="208">
        <v>9.30163</v>
      </c>
      <c r="AE355" s="205">
        <v>135928.0</v>
      </c>
      <c r="AF355" s="205">
        <v>26505.0</v>
      </c>
      <c r="AG355" s="205">
        <v>303.0</v>
      </c>
      <c r="AH355" s="205">
        <v>272.0</v>
      </c>
      <c r="AI355" s="205">
        <v>1.0</v>
      </c>
      <c r="AJ355" s="205">
        <v>1035.0</v>
      </c>
      <c r="AK355" s="205">
        <v>0.0</v>
      </c>
      <c r="AL355" s="205">
        <v>0.0</v>
      </c>
      <c r="AM355" s="205">
        <v>0.0</v>
      </c>
      <c r="AN355" s="205">
        <v>0.0</v>
      </c>
      <c r="AO355" s="208">
        <v>4.56415</v>
      </c>
      <c r="AP355" s="208">
        <v>5.31734</v>
      </c>
      <c r="AQ355" s="208">
        <v>7.20355</v>
      </c>
      <c r="AR355" s="208">
        <v>3.95857</v>
      </c>
      <c r="AT355" s="192" t="s">
        <v>694</v>
      </c>
      <c r="AU355" s="211" t="s">
        <v>693</v>
      </c>
      <c r="AV355" s="211" t="s">
        <v>2627</v>
      </c>
      <c r="AW355" s="211" t="s">
        <v>2628</v>
      </c>
      <c r="AX355" s="211" t="s">
        <v>694</v>
      </c>
      <c r="AY355" s="212">
        <v>2.0</v>
      </c>
      <c r="AZ355" s="213">
        <v>4.5</v>
      </c>
      <c r="BA355" s="213">
        <v>4.0</v>
      </c>
      <c r="BB355" s="213">
        <v>2.5</v>
      </c>
      <c r="BC355" s="212">
        <v>5.2</v>
      </c>
      <c r="BD355" s="213">
        <v>10.0</v>
      </c>
      <c r="BE355" s="213">
        <v>10.0</v>
      </c>
      <c r="BF355" s="213">
        <v>7.0</v>
      </c>
      <c r="BG355" s="212">
        <v>10.333333333333332</v>
      </c>
      <c r="BH355" s="213">
        <v>9.75</v>
      </c>
      <c r="BI355" s="213">
        <v>8.950617290489996E-4</v>
      </c>
      <c r="BJ355" s="213">
        <v>9.027777778101154E-4</v>
      </c>
      <c r="BK355" s="213">
        <v>240.0</v>
      </c>
      <c r="BL355" s="212">
        <v>7.0</v>
      </c>
      <c r="BM355" s="213">
        <v>5.375</v>
      </c>
      <c r="BN355" s="213">
        <v>0.0017901234580979992</v>
      </c>
      <c r="BO355" s="213">
        <v>0.0018055555556202307</v>
      </c>
      <c r="BP355" s="213">
        <v>120.0</v>
      </c>
      <c r="BQ355" s="192"/>
      <c r="BR355" s="192"/>
    </row>
    <row r="356">
      <c r="A356" s="60"/>
      <c r="B356" s="205">
        <v>2842836.0</v>
      </c>
      <c r="C356" s="205">
        <v>1305940.0</v>
      </c>
      <c r="D356" s="205">
        <v>1.0</v>
      </c>
      <c r="E356" s="207">
        <v>44156.8478125</v>
      </c>
      <c r="F356" s="207">
        <v>44570.12792824074</v>
      </c>
      <c r="G356" s="207">
        <v>44563.01902777777</v>
      </c>
      <c r="H356" s="63" t="s">
        <v>2629</v>
      </c>
      <c r="I356" s="205">
        <v>110.0</v>
      </c>
      <c r="J356" s="63" t="s">
        <v>2630</v>
      </c>
      <c r="K356" s="205">
        <v>4496961.0</v>
      </c>
      <c r="L356" s="208">
        <v>4.83664</v>
      </c>
      <c r="M356" s="208">
        <v>2.47012</v>
      </c>
      <c r="N356" s="208">
        <v>2.13052</v>
      </c>
      <c r="O356" s="209">
        <v>3.6</v>
      </c>
      <c r="P356" s="209">
        <v>9.0</v>
      </c>
      <c r="Q356" s="209">
        <v>8.4</v>
      </c>
      <c r="R356" s="209">
        <v>5.0</v>
      </c>
      <c r="S356" s="210">
        <v>0.0025231481486116536</v>
      </c>
      <c r="U356" s="205">
        <v>10.0</v>
      </c>
      <c r="V356" s="205">
        <v>3.0</v>
      </c>
      <c r="W356" s="63" t="s">
        <v>2631</v>
      </c>
      <c r="X356" s="210">
        <v>0.0025462962948950008</v>
      </c>
      <c r="Y356" s="63" t="s">
        <v>2632</v>
      </c>
      <c r="Z356" s="63" t="s">
        <v>2633</v>
      </c>
      <c r="AA356" s="205">
        <v>0.0</v>
      </c>
      <c r="AB356" s="63" t="s">
        <v>2634</v>
      </c>
      <c r="AC356" s="205">
        <v>356.0</v>
      </c>
      <c r="AD356" s="208">
        <v>9.38153</v>
      </c>
      <c r="AE356" s="205">
        <v>34732.0</v>
      </c>
      <c r="AF356" s="205">
        <v>2507.0</v>
      </c>
      <c r="AG356" s="205">
        <v>406.0</v>
      </c>
      <c r="AH356" s="205">
        <v>480.0</v>
      </c>
      <c r="AI356" s="205">
        <v>0.0</v>
      </c>
      <c r="AJ356" s="205">
        <v>1418.0</v>
      </c>
      <c r="AK356" s="205">
        <v>0.0</v>
      </c>
      <c r="AL356" s="205">
        <v>0.0</v>
      </c>
      <c r="AM356" s="205">
        <v>0.0</v>
      </c>
      <c r="AN356" s="205">
        <v>0.0</v>
      </c>
      <c r="AO356" s="208">
        <v>4.38546</v>
      </c>
      <c r="AP356" s="208">
        <v>5.13985</v>
      </c>
      <c r="AQ356" s="208">
        <v>6.96716</v>
      </c>
      <c r="AR356" s="208">
        <v>3.80279</v>
      </c>
      <c r="AT356" s="192" t="s">
        <v>696</v>
      </c>
      <c r="AU356" s="211" t="s">
        <v>695</v>
      </c>
      <c r="AV356" s="211" t="s">
        <v>2635</v>
      </c>
      <c r="AW356" s="211" t="s">
        <v>2636</v>
      </c>
      <c r="AX356" s="211" t="s">
        <v>696</v>
      </c>
      <c r="AY356" s="212">
        <v>1.8</v>
      </c>
      <c r="AZ356" s="213">
        <v>4.5</v>
      </c>
      <c r="BA356" s="213">
        <v>4.2</v>
      </c>
      <c r="BB356" s="213">
        <v>2.5</v>
      </c>
      <c r="BC356" s="212">
        <v>4.680000000000001</v>
      </c>
      <c r="BD356" s="213">
        <v>10.0</v>
      </c>
      <c r="BE356" s="213">
        <v>10.0</v>
      </c>
      <c r="BF356" s="213">
        <v>7.0</v>
      </c>
      <c r="BG356" s="212">
        <v>10.333333333333332</v>
      </c>
      <c r="BH356" s="213">
        <v>10.016666666666667</v>
      </c>
      <c r="BI356" s="213">
        <v>0.0016820987657411024</v>
      </c>
      <c r="BJ356" s="213">
        <v>0.001697530863263334</v>
      </c>
      <c r="BK356" s="213">
        <v>165.0</v>
      </c>
      <c r="BL356" s="212">
        <v>7.0</v>
      </c>
      <c r="BM356" s="213">
        <v>5.975000000000001</v>
      </c>
      <c r="BN356" s="213">
        <v>0.003364197531482205</v>
      </c>
      <c r="BO356" s="213">
        <v>0.003395061726526668</v>
      </c>
      <c r="BP356" s="213">
        <v>82.5</v>
      </c>
      <c r="BQ356" s="192"/>
      <c r="BR356" s="192"/>
    </row>
    <row r="357">
      <c r="A357" s="60"/>
      <c r="B357" s="205">
        <v>2842836.0</v>
      </c>
      <c r="C357" s="205">
        <v>1305940.0</v>
      </c>
      <c r="D357" s="205">
        <v>1.0</v>
      </c>
      <c r="E357" s="207">
        <v>44156.8478125</v>
      </c>
      <c r="F357" s="207">
        <v>44570.12792824074</v>
      </c>
      <c r="G357" s="207">
        <v>44563.01902777777</v>
      </c>
      <c r="H357" s="63" t="s">
        <v>2629</v>
      </c>
      <c r="I357" s="205">
        <v>110.0</v>
      </c>
      <c r="J357" s="63" t="s">
        <v>2630</v>
      </c>
      <c r="K357" s="205">
        <v>4496961.0</v>
      </c>
      <c r="L357" s="208">
        <v>4.83664</v>
      </c>
      <c r="M357" s="208">
        <v>2.47012</v>
      </c>
      <c r="N357" s="208">
        <v>2.13052</v>
      </c>
      <c r="O357" s="209">
        <v>3.6</v>
      </c>
      <c r="P357" s="209">
        <v>9.0</v>
      </c>
      <c r="Q357" s="209">
        <v>8.4</v>
      </c>
      <c r="R357" s="209">
        <v>5.0</v>
      </c>
      <c r="S357" s="210">
        <v>0.0025231481486116536</v>
      </c>
      <c r="U357" s="205">
        <v>10.0</v>
      </c>
      <c r="V357" s="205">
        <v>3.0</v>
      </c>
      <c r="W357" s="63" t="s">
        <v>2631</v>
      </c>
      <c r="X357" s="210">
        <v>0.0025462962948950008</v>
      </c>
      <c r="Y357" s="63" t="s">
        <v>2632</v>
      </c>
      <c r="Z357" s="63" t="s">
        <v>2633</v>
      </c>
      <c r="AA357" s="205">
        <v>0.0</v>
      </c>
      <c r="AB357" s="63" t="s">
        <v>2634</v>
      </c>
      <c r="AC357" s="205">
        <v>356.0</v>
      </c>
      <c r="AD357" s="208">
        <v>9.38153</v>
      </c>
      <c r="AE357" s="205">
        <v>34732.0</v>
      </c>
      <c r="AF357" s="205">
        <v>2507.0</v>
      </c>
      <c r="AG357" s="205">
        <v>406.0</v>
      </c>
      <c r="AH357" s="205">
        <v>480.0</v>
      </c>
      <c r="AI357" s="205">
        <v>0.0</v>
      </c>
      <c r="AJ357" s="205">
        <v>1418.0</v>
      </c>
      <c r="AK357" s="205">
        <v>0.0</v>
      </c>
      <c r="AL357" s="205">
        <v>0.0</v>
      </c>
      <c r="AM357" s="205">
        <v>0.0</v>
      </c>
      <c r="AN357" s="205">
        <v>0.0</v>
      </c>
      <c r="AO357" s="208">
        <v>4.38546</v>
      </c>
      <c r="AP357" s="208">
        <v>5.13985</v>
      </c>
      <c r="AQ357" s="208">
        <v>6.96716</v>
      </c>
      <c r="AR357" s="208">
        <v>3.80279</v>
      </c>
      <c r="AT357" s="192" t="s">
        <v>696</v>
      </c>
      <c r="AU357" s="211" t="s">
        <v>695</v>
      </c>
      <c r="AV357" s="211" t="s">
        <v>2635</v>
      </c>
      <c r="AW357" s="211" t="s">
        <v>2636</v>
      </c>
      <c r="AX357" s="211" t="s">
        <v>696</v>
      </c>
      <c r="AY357" s="212">
        <v>1.8</v>
      </c>
      <c r="AZ357" s="213">
        <v>4.5</v>
      </c>
      <c r="BA357" s="213">
        <v>4.2</v>
      </c>
      <c r="BB357" s="213">
        <v>2.5</v>
      </c>
      <c r="BC357" s="212">
        <v>4.680000000000001</v>
      </c>
      <c r="BD357" s="213">
        <v>10.0</v>
      </c>
      <c r="BE357" s="213">
        <v>10.0</v>
      </c>
      <c r="BF357" s="213">
        <v>7.0</v>
      </c>
      <c r="BG357" s="212">
        <v>10.333333333333332</v>
      </c>
      <c r="BH357" s="213">
        <v>10.016666666666667</v>
      </c>
      <c r="BI357" s="213">
        <v>0.0016820987657411024</v>
      </c>
      <c r="BJ357" s="213">
        <v>0.001697530863263334</v>
      </c>
      <c r="BK357" s="213">
        <v>165.0</v>
      </c>
      <c r="BL357" s="212">
        <v>7.0</v>
      </c>
      <c r="BM357" s="213">
        <v>5.975000000000001</v>
      </c>
      <c r="BN357" s="213">
        <v>0.003364197531482205</v>
      </c>
      <c r="BO357" s="213">
        <v>0.003395061726526668</v>
      </c>
      <c r="BP357" s="213">
        <v>82.5</v>
      </c>
      <c r="BQ357" s="192"/>
      <c r="BR357" s="192"/>
    </row>
    <row r="358">
      <c r="A358" s="60"/>
      <c r="B358" s="205">
        <v>3851000.0</v>
      </c>
      <c r="C358" s="205">
        <v>1580891.0</v>
      </c>
      <c r="D358" s="205">
        <v>1.0</v>
      </c>
      <c r="E358" s="207">
        <v>44458.443148148144</v>
      </c>
      <c r="F358" s="207">
        <v>44893.97761574074</v>
      </c>
      <c r="G358" s="207">
        <v>44891.73590277778</v>
      </c>
      <c r="H358" s="63" t="s">
        <v>941</v>
      </c>
      <c r="I358" s="205">
        <v>160.0</v>
      </c>
      <c r="J358" s="63" t="s">
        <v>817</v>
      </c>
      <c r="K358" s="205">
        <v>1.0526814E7</v>
      </c>
      <c r="L358" s="208">
        <v>4.83739</v>
      </c>
      <c r="M358" s="208">
        <v>2.30079</v>
      </c>
      <c r="N358" s="208">
        <v>2.32965</v>
      </c>
      <c r="O358" s="209">
        <v>4.0</v>
      </c>
      <c r="P358" s="209">
        <v>8.5</v>
      </c>
      <c r="Q358" s="209">
        <v>7.0</v>
      </c>
      <c r="R358" s="209">
        <v>4.0</v>
      </c>
      <c r="S358" s="210">
        <v>0.0020601851865649223</v>
      </c>
      <c r="U358" s="205">
        <v>10.0</v>
      </c>
      <c r="V358" s="205">
        <v>3.0</v>
      </c>
      <c r="W358" s="63" t="s">
        <v>2637</v>
      </c>
      <c r="X358" s="210">
        <v>0.0022106481483206153</v>
      </c>
      <c r="Y358" s="63" t="s">
        <v>1116</v>
      </c>
      <c r="Z358" s="63" t="s">
        <v>2638</v>
      </c>
      <c r="AA358" s="205">
        <v>0.0</v>
      </c>
      <c r="AB358" s="63" t="s">
        <v>2639</v>
      </c>
      <c r="AC358" s="205">
        <v>208.0</v>
      </c>
      <c r="AD358" s="208">
        <v>8.91892</v>
      </c>
      <c r="AE358" s="205">
        <v>27703.0</v>
      </c>
      <c r="AF358" s="205">
        <v>2769.0</v>
      </c>
      <c r="AG358" s="205">
        <v>461.0</v>
      </c>
      <c r="AH358" s="205">
        <v>371.0</v>
      </c>
      <c r="AI358" s="205">
        <v>2.0</v>
      </c>
      <c r="AJ358" s="205">
        <v>1231.0</v>
      </c>
      <c r="AK358" s="205">
        <v>0.0</v>
      </c>
      <c r="AL358" s="205">
        <v>0.0</v>
      </c>
      <c r="AM358" s="205">
        <v>0.0</v>
      </c>
      <c r="AN358" s="205">
        <v>0.0</v>
      </c>
      <c r="AO358" s="208">
        <v>4.49155</v>
      </c>
      <c r="AP358" s="208">
        <v>5.08515</v>
      </c>
      <c r="AQ358" s="208">
        <v>6.93483</v>
      </c>
      <c r="AR358" s="208">
        <v>3.76611</v>
      </c>
      <c r="AT358" s="192" t="s">
        <v>698</v>
      </c>
      <c r="AU358" s="211" t="s">
        <v>697</v>
      </c>
      <c r="AV358" s="211" t="s">
        <v>2640</v>
      </c>
      <c r="AW358" s="211" t="s">
        <v>2641</v>
      </c>
      <c r="AX358" s="211" t="s">
        <v>698</v>
      </c>
      <c r="AY358" s="212">
        <v>2.0</v>
      </c>
      <c r="AZ358" s="213">
        <v>4.25</v>
      </c>
      <c r="BA358" s="213">
        <v>3.5</v>
      </c>
      <c r="BB358" s="213">
        <v>2.0</v>
      </c>
      <c r="BC358" s="212">
        <v>5.2</v>
      </c>
      <c r="BD358" s="213">
        <v>10.0</v>
      </c>
      <c r="BE358" s="213">
        <v>9.799999999999999</v>
      </c>
      <c r="BF358" s="213">
        <v>5.6</v>
      </c>
      <c r="BG358" s="212">
        <v>10.0</v>
      </c>
      <c r="BH358" s="213">
        <v>9.083333333333334</v>
      </c>
      <c r="BI358" s="213">
        <v>0.0013734567910432816</v>
      </c>
      <c r="BJ358" s="213">
        <v>0.0014737654322137435</v>
      </c>
      <c r="BK358" s="213">
        <v>240.0</v>
      </c>
      <c r="BL358" s="212">
        <v>6.25</v>
      </c>
      <c r="BM358" s="213">
        <v>3.875</v>
      </c>
      <c r="BN358" s="213">
        <v>0.002746913582086563</v>
      </c>
      <c r="BO358" s="213">
        <v>0.002947530864427487</v>
      </c>
      <c r="BP358" s="213">
        <v>120.0</v>
      </c>
      <c r="BQ358" s="192"/>
      <c r="BR358" s="192"/>
    </row>
    <row r="359">
      <c r="A359" s="60"/>
      <c r="B359" s="205">
        <v>3851000.0</v>
      </c>
      <c r="C359" s="205">
        <v>1580891.0</v>
      </c>
      <c r="D359" s="205">
        <v>1.0</v>
      </c>
      <c r="E359" s="207">
        <v>44458.443148148144</v>
      </c>
      <c r="F359" s="207">
        <v>44893.97761574074</v>
      </c>
      <c r="G359" s="207">
        <v>44891.73590277778</v>
      </c>
      <c r="H359" s="63" t="s">
        <v>941</v>
      </c>
      <c r="I359" s="205">
        <v>160.0</v>
      </c>
      <c r="J359" s="63" t="s">
        <v>817</v>
      </c>
      <c r="K359" s="205">
        <v>1.0526814E7</v>
      </c>
      <c r="L359" s="208">
        <v>4.83739</v>
      </c>
      <c r="M359" s="208">
        <v>2.30079</v>
      </c>
      <c r="N359" s="208">
        <v>2.32965</v>
      </c>
      <c r="O359" s="209">
        <v>4.0</v>
      </c>
      <c r="P359" s="209">
        <v>8.5</v>
      </c>
      <c r="Q359" s="209">
        <v>7.0</v>
      </c>
      <c r="R359" s="209">
        <v>4.0</v>
      </c>
      <c r="S359" s="210">
        <v>0.0020601851865649223</v>
      </c>
      <c r="U359" s="205">
        <v>10.0</v>
      </c>
      <c r="V359" s="205">
        <v>3.0</v>
      </c>
      <c r="W359" s="63" t="s">
        <v>2637</v>
      </c>
      <c r="X359" s="210">
        <v>0.0022106481483206153</v>
      </c>
      <c r="Y359" s="63" t="s">
        <v>1116</v>
      </c>
      <c r="Z359" s="63" t="s">
        <v>2638</v>
      </c>
      <c r="AA359" s="205">
        <v>0.0</v>
      </c>
      <c r="AB359" s="63" t="s">
        <v>2639</v>
      </c>
      <c r="AC359" s="205">
        <v>208.0</v>
      </c>
      <c r="AD359" s="208">
        <v>8.91892</v>
      </c>
      <c r="AE359" s="205">
        <v>27703.0</v>
      </c>
      <c r="AF359" s="205">
        <v>2769.0</v>
      </c>
      <c r="AG359" s="205">
        <v>461.0</v>
      </c>
      <c r="AH359" s="205">
        <v>371.0</v>
      </c>
      <c r="AI359" s="205">
        <v>2.0</v>
      </c>
      <c r="AJ359" s="205">
        <v>1231.0</v>
      </c>
      <c r="AK359" s="205">
        <v>0.0</v>
      </c>
      <c r="AL359" s="205">
        <v>0.0</v>
      </c>
      <c r="AM359" s="205">
        <v>0.0</v>
      </c>
      <c r="AN359" s="205">
        <v>0.0</v>
      </c>
      <c r="AO359" s="208">
        <v>4.49155</v>
      </c>
      <c r="AP359" s="208">
        <v>5.08515</v>
      </c>
      <c r="AQ359" s="208">
        <v>6.93483</v>
      </c>
      <c r="AR359" s="208">
        <v>3.76611</v>
      </c>
      <c r="AT359" s="192" t="s">
        <v>698</v>
      </c>
      <c r="AU359" s="211" t="s">
        <v>697</v>
      </c>
      <c r="AV359" s="211" t="s">
        <v>2640</v>
      </c>
      <c r="AW359" s="211" t="s">
        <v>2641</v>
      </c>
      <c r="AX359" s="211" t="s">
        <v>698</v>
      </c>
      <c r="AY359" s="212">
        <v>2.0</v>
      </c>
      <c r="AZ359" s="213">
        <v>4.25</v>
      </c>
      <c r="BA359" s="213">
        <v>3.5</v>
      </c>
      <c r="BB359" s="213">
        <v>2.0</v>
      </c>
      <c r="BC359" s="212">
        <v>5.2</v>
      </c>
      <c r="BD359" s="213">
        <v>10.0</v>
      </c>
      <c r="BE359" s="213">
        <v>9.799999999999999</v>
      </c>
      <c r="BF359" s="213">
        <v>5.6</v>
      </c>
      <c r="BG359" s="212">
        <v>10.0</v>
      </c>
      <c r="BH359" s="213">
        <v>9.083333333333334</v>
      </c>
      <c r="BI359" s="213">
        <v>0.0013734567910432816</v>
      </c>
      <c r="BJ359" s="213">
        <v>0.0014737654322137435</v>
      </c>
      <c r="BK359" s="213">
        <v>240.0</v>
      </c>
      <c r="BL359" s="212">
        <v>6.25</v>
      </c>
      <c r="BM359" s="213">
        <v>3.875</v>
      </c>
      <c r="BN359" s="213">
        <v>0.002746913582086563</v>
      </c>
      <c r="BO359" s="213">
        <v>0.002947530864427487</v>
      </c>
      <c r="BP359" s="213">
        <v>120.0</v>
      </c>
      <c r="BQ359" s="192"/>
      <c r="BR359" s="192"/>
    </row>
    <row r="360">
      <c r="A360" s="60"/>
      <c r="B360" s="205">
        <v>2058908.0</v>
      </c>
      <c r="C360" s="205">
        <v>984013.0</v>
      </c>
      <c r="D360" s="205">
        <v>1.0</v>
      </c>
      <c r="E360" s="207">
        <v>43624.04502314815</v>
      </c>
      <c r="F360" s="207">
        <v>43688.34724537037</v>
      </c>
      <c r="G360" s="207">
        <v>43683.171064814815</v>
      </c>
      <c r="H360" s="63" t="s">
        <v>2642</v>
      </c>
      <c r="I360" s="205">
        <v>172.0</v>
      </c>
      <c r="J360" s="63" t="s">
        <v>2643</v>
      </c>
      <c r="K360" s="205">
        <v>4967662.0</v>
      </c>
      <c r="L360" s="208">
        <v>5.06314</v>
      </c>
      <c r="M360" s="208">
        <v>2.62841</v>
      </c>
      <c r="N360" s="208">
        <v>2.16669</v>
      </c>
      <c r="O360" s="209">
        <v>4.0</v>
      </c>
      <c r="P360" s="209">
        <v>9.0</v>
      </c>
      <c r="Q360" s="209">
        <v>8.0</v>
      </c>
      <c r="R360" s="209">
        <v>5.0</v>
      </c>
      <c r="S360" s="210">
        <v>0.0016435185170848854</v>
      </c>
      <c r="U360" s="205">
        <v>10.0</v>
      </c>
      <c r="V360" s="205">
        <v>5.0</v>
      </c>
      <c r="W360" s="63" t="s">
        <v>2644</v>
      </c>
      <c r="X360" s="210">
        <v>0.0019791666672972497</v>
      </c>
      <c r="Y360" s="63" t="s">
        <v>2645</v>
      </c>
      <c r="Z360" s="63" t="s">
        <v>2646</v>
      </c>
      <c r="AA360" s="205">
        <v>0.0</v>
      </c>
      <c r="AB360" s="63" t="s">
        <v>2647</v>
      </c>
      <c r="AC360" s="205">
        <v>39.0</v>
      </c>
      <c r="AD360" s="208">
        <v>8.7907</v>
      </c>
      <c r="AE360" s="205">
        <v>17109.0</v>
      </c>
      <c r="AF360" s="205">
        <v>2268.0</v>
      </c>
      <c r="AG360" s="205">
        <v>295.0</v>
      </c>
      <c r="AH360" s="205">
        <v>240.0</v>
      </c>
      <c r="AI360" s="205">
        <v>0.0</v>
      </c>
      <c r="AJ360" s="205">
        <v>819.0</v>
      </c>
      <c r="AK360" s="205">
        <v>1.0</v>
      </c>
      <c r="AL360" s="205">
        <v>0.0</v>
      </c>
      <c r="AM360" s="205">
        <v>0.0</v>
      </c>
      <c r="AN360" s="205">
        <v>0.0</v>
      </c>
      <c r="AO360" s="208">
        <v>4.59756</v>
      </c>
      <c r="AP360" s="208">
        <v>5.39126</v>
      </c>
      <c r="AQ360" s="208">
        <v>7.11419</v>
      </c>
      <c r="AR360" s="208">
        <v>4.02066</v>
      </c>
      <c r="AT360" s="192" t="s">
        <v>700</v>
      </c>
      <c r="AU360" s="211" t="s">
        <v>699</v>
      </c>
      <c r="AV360" s="211" t="s">
        <v>2648</v>
      </c>
      <c r="AW360" s="211" t="s">
        <v>2649</v>
      </c>
      <c r="AX360" s="211" t="s">
        <v>700</v>
      </c>
      <c r="AY360" s="212">
        <v>2.0</v>
      </c>
      <c r="AZ360" s="213">
        <v>4.5</v>
      </c>
      <c r="BA360" s="213">
        <v>4.0</v>
      </c>
      <c r="BB360" s="213">
        <v>2.5</v>
      </c>
      <c r="BC360" s="212">
        <v>5.2</v>
      </c>
      <c r="BD360" s="213">
        <v>10.0</v>
      </c>
      <c r="BE360" s="213">
        <v>10.0</v>
      </c>
      <c r="BF360" s="213">
        <v>7.0</v>
      </c>
      <c r="BG360" s="212">
        <v>10.333333333333332</v>
      </c>
      <c r="BH360" s="213">
        <v>9.75</v>
      </c>
      <c r="BI360" s="213">
        <v>0.0010956790113899235</v>
      </c>
      <c r="BJ360" s="213">
        <v>0.001319444444864833</v>
      </c>
      <c r="BK360" s="213">
        <v>258.0</v>
      </c>
      <c r="BL360" s="212">
        <v>7.0</v>
      </c>
      <c r="BM360" s="213">
        <v>5.375</v>
      </c>
      <c r="BN360" s="213">
        <v>0.002191358022779847</v>
      </c>
      <c r="BO360" s="213">
        <v>0.002638888889729666</v>
      </c>
      <c r="BP360" s="213">
        <v>129.0</v>
      </c>
      <c r="BQ360" s="192"/>
      <c r="BR360" s="192"/>
    </row>
    <row r="361">
      <c r="A361" s="60"/>
      <c r="B361" s="205">
        <v>804959.0</v>
      </c>
      <c r="C361" s="205">
        <v>366884.0</v>
      </c>
      <c r="D361" s="205">
        <v>1.0</v>
      </c>
      <c r="E361" s="207">
        <v>42295.488807870366</v>
      </c>
      <c r="F361" s="207">
        <v>42336.722916666666</v>
      </c>
      <c r="G361" s="207">
        <v>42326.66170138889</v>
      </c>
      <c r="H361" s="63" t="s">
        <v>2650</v>
      </c>
      <c r="I361" s="205">
        <v>194.0</v>
      </c>
      <c r="J361" s="63" t="s">
        <v>2651</v>
      </c>
      <c r="K361" s="205">
        <v>1686145.0</v>
      </c>
      <c r="L361" s="208">
        <v>3.93963</v>
      </c>
      <c r="M361" s="208">
        <v>1.95287</v>
      </c>
      <c r="N361" s="208">
        <v>1.81219</v>
      </c>
      <c r="O361" s="209">
        <v>4.0</v>
      </c>
      <c r="P361" s="209">
        <v>8.2</v>
      </c>
      <c r="Q361" s="209">
        <v>6.0</v>
      </c>
      <c r="R361" s="209">
        <v>5.4</v>
      </c>
      <c r="S361" s="210">
        <v>0.0024305555562023073</v>
      </c>
      <c r="U361" s="205">
        <v>4.0</v>
      </c>
      <c r="V361" s="205">
        <v>3.0</v>
      </c>
      <c r="W361" s="63" t="s">
        <v>2652</v>
      </c>
      <c r="X361" s="210">
        <v>0.002638888887304347</v>
      </c>
      <c r="Y361" s="63" t="s">
        <v>2653</v>
      </c>
      <c r="Z361" s="63" t="s">
        <v>2654</v>
      </c>
      <c r="AA361" s="205">
        <v>0.0</v>
      </c>
      <c r="AB361" s="63" t="s">
        <v>2655</v>
      </c>
      <c r="AC361" s="205">
        <v>1045.0</v>
      </c>
      <c r="AD361" s="208">
        <v>9.46969</v>
      </c>
      <c r="AE361" s="205">
        <v>392667.0</v>
      </c>
      <c r="AF361" s="205">
        <v>94350.0</v>
      </c>
      <c r="AG361" s="205">
        <v>235.0</v>
      </c>
      <c r="AH361" s="205">
        <v>457.0</v>
      </c>
      <c r="AI361" s="205">
        <v>2.0</v>
      </c>
      <c r="AJ361" s="205">
        <v>1258.0</v>
      </c>
      <c r="AK361" s="205">
        <v>0.0</v>
      </c>
      <c r="AL361" s="205">
        <v>0.0</v>
      </c>
      <c r="AM361" s="205">
        <v>0.0</v>
      </c>
      <c r="AN361" s="205">
        <v>0.0</v>
      </c>
      <c r="AO361" s="208">
        <v>3.56966</v>
      </c>
      <c r="AP361" s="208">
        <v>4.18472</v>
      </c>
      <c r="AQ361" s="208">
        <v>5.47533</v>
      </c>
      <c r="AR361" s="208">
        <v>3.19595</v>
      </c>
      <c r="AT361" s="192" t="s">
        <v>703</v>
      </c>
      <c r="AU361" s="211" t="s">
        <v>702</v>
      </c>
      <c r="AV361" s="211" t="s">
        <v>2656</v>
      </c>
      <c r="AW361" s="211" t="s">
        <v>2657</v>
      </c>
      <c r="AX361" s="211" t="s">
        <v>703</v>
      </c>
      <c r="AY361" s="212">
        <v>2.0</v>
      </c>
      <c r="AZ361" s="213">
        <v>4.1</v>
      </c>
      <c r="BA361" s="213">
        <v>3.0</v>
      </c>
      <c r="BB361" s="213">
        <v>2.7</v>
      </c>
      <c r="BC361" s="212">
        <v>5.2</v>
      </c>
      <c r="BD361" s="213">
        <v>10.0</v>
      </c>
      <c r="BE361" s="213">
        <v>8.399999999999999</v>
      </c>
      <c r="BF361" s="213">
        <v>7.56</v>
      </c>
      <c r="BG361" s="212">
        <v>9.8</v>
      </c>
      <c r="BH361" s="213">
        <v>8.416666666666666</v>
      </c>
      <c r="BI361" s="213">
        <v>0.0016203703708015382</v>
      </c>
      <c r="BJ361" s="213">
        <v>0.001759259258202898</v>
      </c>
      <c r="BK361" s="213">
        <v>291.0</v>
      </c>
      <c r="BL361" s="212">
        <v>5.799999999999999</v>
      </c>
      <c r="BM361" s="213">
        <v>2.375</v>
      </c>
      <c r="BN361" s="213">
        <v>0.0032407407416030765</v>
      </c>
      <c r="BO361" s="213">
        <v>0.003518518516405796</v>
      </c>
      <c r="BP361" s="213">
        <v>145.5</v>
      </c>
      <c r="BQ361" s="192"/>
      <c r="BR361" s="192"/>
    </row>
    <row r="362">
      <c r="A362" s="60"/>
      <c r="B362" s="205">
        <v>804959.0</v>
      </c>
      <c r="C362" s="205">
        <v>366884.0</v>
      </c>
      <c r="D362" s="205">
        <v>1.0</v>
      </c>
      <c r="E362" s="207">
        <v>42295.488807870366</v>
      </c>
      <c r="F362" s="207">
        <v>42336.722916666666</v>
      </c>
      <c r="G362" s="207">
        <v>42326.66170138889</v>
      </c>
      <c r="H362" s="63" t="s">
        <v>2650</v>
      </c>
      <c r="I362" s="205">
        <v>194.0</v>
      </c>
      <c r="J362" s="63" t="s">
        <v>2651</v>
      </c>
      <c r="K362" s="205">
        <v>1686145.0</v>
      </c>
      <c r="L362" s="208">
        <v>3.93963</v>
      </c>
      <c r="M362" s="208">
        <v>1.95287</v>
      </c>
      <c r="N362" s="208">
        <v>1.81219</v>
      </c>
      <c r="O362" s="209">
        <v>4.0</v>
      </c>
      <c r="P362" s="209">
        <v>8.2</v>
      </c>
      <c r="Q362" s="209">
        <v>6.0</v>
      </c>
      <c r="R362" s="209">
        <v>5.4</v>
      </c>
      <c r="S362" s="210">
        <v>0.0024305555562023073</v>
      </c>
      <c r="U362" s="205">
        <v>4.0</v>
      </c>
      <c r="V362" s="205">
        <v>3.0</v>
      </c>
      <c r="W362" s="63" t="s">
        <v>2652</v>
      </c>
      <c r="X362" s="210">
        <v>0.002638888887304347</v>
      </c>
      <c r="Y362" s="63" t="s">
        <v>2653</v>
      </c>
      <c r="Z362" s="63" t="s">
        <v>2654</v>
      </c>
      <c r="AA362" s="205">
        <v>0.0</v>
      </c>
      <c r="AB362" s="63" t="s">
        <v>2655</v>
      </c>
      <c r="AC362" s="205">
        <v>1045.0</v>
      </c>
      <c r="AD362" s="208">
        <v>9.46969</v>
      </c>
      <c r="AE362" s="205">
        <v>392667.0</v>
      </c>
      <c r="AF362" s="205">
        <v>94350.0</v>
      </c>
      <c r="AG362" s="205">
        <v>235.0</v>
      </c>
      <c r="AH362" s="205">
        <v>457.0</v>
      </c>
      <c r="AI362" s="205">
        <v>2.0</v>
      </c>
      <c r="AJ362" s="205">
        <v>1258.0</v>
      </c>
      <c r="AK362" s="205">
        <v>0.0</v>
      </c>
      <c r="AL362" s="205">
        <v>0.0</v>
      </c>
      <c r="AM362" s="205">
        <v>0.0</v>
      </c>
      <c r="AN362" s="205">
        <v>0.0</v>
      </c>
      <c r="AO362" s="208">
        <v>3.56966</v>
      </c>
      <c r="AP362" s="208">
        <v>4.18472</v>
      </c>
      <c r="AQ362" s="208">
        <v>5.47533</v>
      </c>
      <c r="AR362" s="208">
        <v>3.19595</v>
      </c>
      <c r="AT362" s="192" t="s">
        <v>703</v>
      </c>
      <c r="AU362" s="211" t="s">
        <v>702</v>
      </c>
      <c r="AV362" s="211" t="s">
        <v>2656</v>
      </c>
      <c r="AW362" s="211" t="s">
        <v>2657</v>
      </c>
      <c r="AX362" s="211" t="s">
        <v>703</v>
      </c>
      <c r="AY362" s="212">
        <v>2.0</v>
      </c>
      <c r="AZ362" s="213">
        <v>4.1</v>
      </c>
      <c r="BA362" s="213">
        <v>3.0</v>
      </c>
      <c r="BB362" s="213">
        <v>2.7</v>
      </c>
      <c r="BC362" s="212">
        <v>5.2</v>
      </c>
      <c r="BD362" s="213">
        <v>10.0</v>
      </c>
      <c r="BE362" s="213">
        <v>8.399999999999999</v>
      </c>
      <c r="BF362" s="213">
        <v>7.56</v>
      </c>
      <c r="BG362" s="212">
        <v>9.8</v>
      </c>
      <c r="BH362" s="213">
        <v>8.416666666666666</v>
      </c>
      <c r="BI362" s="213">
        <v>0.0016203703708015382</v>
      </c>
      <c r="BJ362" s="213">
        <v>0.001759259258202898</v>
      </c>
      <c r="BK362" s="213">
        <v>291.0</v>
      </c>
      <c r="BL362" s="212">
        <v>5.799999999999999</v>
      </c>
      <c r="BM362" s="213">
        <v>2.375</v>
      </c>
      <c r="BN362" s="213">
        <v>0.0032407407416030765</v>
      </c>
      <c r="BO362" s="213">
        <v>0.003518518516405796</v>
      </c>
      <c r="BP362" s="213">
        <v>145.5</v>
      </c>
      <c r="BQ362" s="192"/>
      <c r="BR362" s="192"/>
    </row>
    <row r="363">
      <c r="A363" s="60"/>
      <c r="B363" s="205">
        <v>2856139.0</v>
      </c>
      <c r="C363" s="205">
        <v>1286316.0</v>
      </c>
      <c r="D363" s="205">
        <v>1.0</v>
      </c>
      <c r="E363" s="207">
        <v>44129.97795138889</v>
      </c>
      <c r="F363" s="207">
        <v>44569.54481481481</v>
      </c>
      <c r="G363" s="207">
        <v>44559.701828703706</v>
      </c>
      <c r="H363" s="63" t="s">
        <v>1017</v>
      </c>
      <c r="I363" s="205">
        <v>177.0</v>
      </c>
      <c r="J363" s="63" t="s">
        <v>647</v>
      </c>
      <c r="K363" s="205">
        <v>9823042.0</v>
      </c>
      <c r="L363" s="208">
        <v>5.11731</v>
      </c>
      <c r="M363" s="208">
        <v>2.44016</v>
      </c>
      <c r="N363" s="208">
        <v>2.45838</v>
      </c>
      <c r="O363" s="209">
        <v>4.0</v>
      </c>
      <c r="P363" s="209">
        <v>9.0</v>
      </c>
      <c r="Q363" s="209">
        <v>8.0</v>
      </c>
      <c r="R363" s="209">
        <v>5.0</v>
      </c>
      <c r="S363" s="210">
        <v>0.0012731481474475004</v>
      </c>
      <c r="T363" s="63" t="s">
        <v>2658</v>
      </c>
      <c r="U363" s="205">
        <v>10.0</v>
      </c>
      <c r="V363" s="205">
        <v>5.0</v>
      </c>
      <c r="W363" s="63" t="s">
        <v>2659</v>
      </c>
      <c r="X363" s="210">
        <v>0.0013888888897781726</v>
      </c>
      <c r="Y363" s="63" t="s">
        <v>1202</v>
      </c>
      <c r="Z363" s="63" t="s">
        <v>2660</v>
      </c>
      <c r="AA363" s="205">
        <v>0.0</v>
      </c>
      <c r="AB363" s="63" t="s">
        <v>2661</v>
      </c>
      <c r="AC363" s="205">
        <v>302.0</v>
      </c>
      <c r="AD363" s="208">
        <v>9.24845</v>
      </c>
      <c r="AE363" s="205">
        <v>44911.0</v>
      </c>
      <c r="AF363" s="205">
        <v>6765.0</v>
      </c>
      <c r="AG363" s="205">
        <v>286.0</v>
      </c>
      <c r="AH363" s="205">
        <v>292.0</v>
      </c>
      <c r="AI363" s="205">
        <v>1.0</v>
      </c>
      <c r="AJ363" s="205">
        <v>924.0</v>
      </c>
      <c r="AK363" s="205">
        <v>0.0</v>
      </c>
      <c r="AL363" s="205">
        <v>0.0</v>
      </c>
      <c r="AM363" s="205">
        <v>0.0</v>
      </c>
      <c r="AN363" s="205">
        <v>0.0</v>
      </c>
      <c r="AO363" s="208">
        <v>4.74114</v>
      </c>
      <c r="AP363" s="208">
        <v>5.36535</v>
      </c>
      <c r="AQ363" s="208">
        <v>7.39674</v>
      </c>
      <c r="AR363" s="208">
        <v>4.04227</v>
      </c>
      <c r="AT363" s="192" t="s">
        <v>646</v>
      </c>
      <c r="AU363" s="211" t="s">
        <v>704</v>
      </c>
      <c r="AV363" s="211" t="s">
        <v>2662</v>
      </c>
      <c r="AW363" s="211" t="s">
        <v>2663</v>
      </c>
      <c r="AX363" s="211" t="s">
        <v>646</v>
      </c>
      <c r="AY363" s="212">
        <v>2.0</v>
      </c>
      <c r="AZ363" s="213">
        <v>4.5</v>
      </c>
      <c r="BA363" s="213">
        <v>4.0</v>
      </c>
      <c r="BB363" s="213">
        <v>2.5</v>
      </c>
      <c r="BC363" s="212">
        <v>5.2</v>
      </c>
      <c r="BD363" s="213">
        <v>10.0</v>
      </c>
      <c r="BE363" s="213">
        <v>10.0</v>
      </c>
      <c r="BF363" s="213">
        <v>7.0</v>
      </c>
      <c r="BG363" s="212">
        <v>10.333333333333332</v>
      </c>
      <c r="BH363" s="213">
        <v>9.75</v>
      </c>
      <c r="BI363" s="213">
        <v>8.48765431631667E-4</v>
      </c>
      <c r="BJ363" s="213">
        <v>9.259259265187817E-4</v>
      </c>
      <c r="BK363" s="213">
        <v>265.5</v>
      </c>
      <c r="BL363" s="212">
        <v>7.0</v>
      </c>
      <c r="BM363" s="213">
        <v>5.375</v>
      </c>
      <c r="BN363" s="213">
        <v>0.001697530863263334</v>
      </c>
      <c r="BO363" s="213">
        <v>0.0018518518530375634</v>
      </c>
      <c r="BP363" s="213">
        <v>132.75</v>
      </c>
      <c r="BQ363" s="192"/>
      <c r="BR363" s="192"/>
    </row>
    <row r="364">
      <c r="A364" s="60"/>
      <c r="B364" s="205">
        <v>3557369.0</v>
      </c>
      <c r="C364" s="205">
        <v>1723318.0</v>
      </c>
      <c r="D364" s="205">
        <v>1.0</v>
      </c>
      <c r="E364" s="207">
        <v>44639.97392361111</v>
      </c>
      <c r="F364" s="207">
        <v>44962.32091435185</v>
      </c>
      <c r="G364" s="207">
        <v>44954.05342592593</v>
      </c>
      <c r="H364" s="63" t="s">
        <v>2664</v>
      </c>
      <c r="I364" s="205">
        <v>170.0</v>
      </c>
      <c r="J364" s="63" t="s">
        <v>2665</v>
      </c>
      <c r="K364" s="205">
        <v>1.3918392E7</v>
      </c>
      <c r="L364" s="208">
        <v>3.78472</v>
      </c>
      <c r="M364" s="208">
        <v>1.67698</v>
      </c>
      <c r="N364" s="208">
        <v>1.92576</v>
      </c>
      <c r="O364" s="209">
        <v>3.5</v>
      </c>
      <c r="P364" s="209">
        <v>7.8</v>
      </c>
      <c r="Q364" s="209">
        <v>5.6</v>
      </c>
      <c r="R364" s="209">
        <v>3.2</v>
      </c>
      <c r="S364" s="210">
        <v>0.0027199074065720197</v>
      </c>
      <c r="U364" s="205">
        <v>10.0</v>
      </c>
      <c r="V364" s="205">
        <v>3.0</v>
      </c>
      <c r="W364" s="63" t="s">
        <v>2666</v>
      </c>
      <c r="X364" s="210">
        <v>0.0029976851838000584</v>
      </c>
      <c r="Y364" s="63" t="s">
        <v>1443</v>
      </c>
      <c r="Z364" s="63" t="s">
        <v>2667</v>
      </c>
      <c r="AA364" s="205">
        <v>0.0</v>
      </c>
      <c r="AB364" s="63" t="s">
        <v>2668</v>
      </c>
      <c r="AC364" s="205">
        <v>89.0</v>
      </c>
      <c r="AD364" s="208">
        <v>8.73171</v>
      </c>
      <c r="AE364" s="205">
        <v>7615.0</v>
      </c>
      <c r="AF364" s="205">
        <v>1380.0</v>
      </c>
      <c r="AG364" s="205">
        <v>422.0</v>
      </c>
      <c r="AH364" s="205">
        <v>340.0</v>
      </c>
      <c r="AI364" s="205">
        <v>0.0</v>
      </c>
      <c r="AJ364" s="205">
        <v>1206.0</v>
      </c>
      <c r="AK364" s="205">
        <v>0.0</v>
      </c>
      <c r="AL364" s="205">
        <v>0.0</v>
      </c>
      <c r="AM364" s="205">
        <v>0.0</v>
      </c>
      <c r="AN364" s="205">
        <v>0.0</v>
      </c>
      <c r="AO364" s="208">
        <v>3.46153</v>
      </c>
      <c r="AP364" s="208">
        <v>3.9273</v>
      </c>
      <c r="AQ364" s="208">
        <v>5.33693</v>
      </c>
      <c r="AR364" s="208">
        <v>3.04705</v>
      </c>
      <c r="AT364" s="192" t="s">
        <v>2669</v>
      </c>
      <c r="AU364" s="211" t="s">
        <v>2670</v>
      </c>
      <c r="AV364" s="211" t="s">
        <v>2671</v>
      </c>
      <c r="AW364" s="211" t="s">
        <v>2672</v>
      </c>
      <c r="AX364" s="211" t="s">
        <v>2669</v>
      </c>
      <c r="AY364" s="212">
        <v>1.75</v>
      </c>
      <c r="AZ364" s="213">
        <v>3.9</v>
      </c>
      <c r="BA364" s="213">
        <v>2.8</v>
      </c>
      <c r="BB364" s="213">
        <v>1.6</v>
      </c>
      <c r="BC364" s="212">
        <v>4.55</v>
      </c>
      <c r="BD364" s="213">
        <v>10.0</v>
      </c>
      <c r="BE364" s="213">
        <v>7.839999999999999</v>
      </c>
      <c r="BF364" s="213">
        <v>4.4799999999999995</v>
      </c>
      <c r="BG364" s="212">
        <v>9.533333333333333</v>
      </c>
      <c r="BH364" s="213">
        <v>8.149999999999999</v>
      </c>
      <c r="BI364" s="213">
        <v>0.0018132716043813464</v>
      </c>
      <c r="BJ364" s="213">
        <v>0.001998456789200039</v>
      </c>
      <c r="BK364" s="213">
        <v>255.0</v>
      </c>
      <c r="BL364" s="212">
        <v>5.2</v>
      </c>
      <c r="BM364" s="213">
        <v>1.7749999999999986</v>
      </c>
      <c r="BN364" s="213">
        <v>0.0036265432087626928</v>
      </c>
      <c r="BO364" s="213">
        <v>0.003996913578400078</v>
      </c>
      <c r="BP364" s="213">
        <v>127.5</v>
      </c>
      <c r="BQ364" s="192"/>
      <c r="BR364" s="192"/>
    </row>
    <row r="365">
      <c r="A365" s="60"/>
      <c r="B365" s="205">
        <v>3499229.0</v>
      </c>
      <c r="C365" s="205">
        <v>1610294.0</v>
      </c>
      <c r="D365" s="205">
        <v>1.0</v>
      </c>
      <c r="E365" s="207">
        <v>44494.00133101852</v>
      </c>
      <c r="F365" s="207">
        <v>44697.53128472222</v>
      </c>
      <c r="G365" s="207">
        <v>44690.357453703706</v>
      </c>
      <c r="H365" s="63" t="s">
        <v>1022</v>
      </c>
      <c r="I365" s="205">
        <v>173.0</v>
      </c>
      <c r="J365" s="63" t="s">
        <v>678</v>
      </c>
      <c r="K365" s="205">
        <v>1943309.0</v>
      </c>
      <c r="L365" s="208">
        <v>5.12068</v>
      </c>
      <c r="M365" s="208">
        <v>2.49769</v>
      </c>
      <c r="N365" s="208">
        <v>2.40195</v>
      </c>
      <c r="O365" s="209">
        <v>3.8</v>
      </c>
      <c r="P365" s="209">
        <v>9.2</v>
      </c>
      <c r="Q365" s="209">
        <v>8.0</v>
      </c>
      <c r="R365" s="209">
        <v>5.0</v>
      </c>
      <c r="S365" s="210">
        <v>0.0018055555556202307</v>
      </c>
      <c r="U365" s="205">
        <v>10.0</v>
      </c>
      <c r="V365" s="205">
        <v>5.0</v>
      </c>
      <c r="W365" s="63" t="s">
        <v>2673</v>
      </c>
      <c r="X365" s="210">
        <v>0.002337962963792961</v>
      </c>
      <c r="Y365" s="63" t="s">
        <v>2674</v>
      </c>
      <c r="Z365" s="63" t="s">
        <v>2675</v>
      </c>
      <c r="AA365" s="205">
        <v>0.0</v>
      </c>
      <c r="AB365" s="63" t="s">
        <v>2676</v>
      </c>
      <c r="AC365" s="205">
        <v>320.0</v>
      </c>
      <c r="AD365" s="208">
        <v>9.61111</v>
      </c>
      <c r="AE365" s="205">
        <v>30907.0</v>
      </c>
      <c r="AF365" s="205">
        <v>8487.0</v>
      </c>
      <c r="AG365" s="205">
        <v>438.0</v>
      </c>
      <c r="AH365" s="205">
        <v>348.0</v>
      </c>
      <c r="AI365" s="205">
        <v>1.0</v>
      </c>
      <c r="AJ365" s="205">
        <v>1233.0</v>
      </c>
      <c r="AK365" s="205">
        <v>1.0</v>
      </c>
      <c r="AL365" s="205">
        <v>0.0</v>
      </c>
      <c r="AM365" s="205">
        <v>0.0</v>
      </c>
      <c r="AN365" s="205">
        <v>0.0</v>
      </c>
      <c r="AO365" s="208">
        <v>4.71475</v>
      </c>
      <c r="AP365" s="208">
        <v>5.3841</v>
      </c>
      <c r="AQ365" s="208">
        <v>7.35065</v>
      </c>
      <c r="AR365" s="208">
        <v>4.03401</v>
      </c>
      <c r="AT365" s="192" t="s">
        <v>677</v>
      </c>
      <c r="AU365" s="211" t="s">
        <v>706</v>
      </c>
      <c r="AV365" s="211" t="s">
        <v>2677</v>
      </c>
      <c r="AW365" s="211" t="s">
        <v>2678</v>
      </c>
      <c r="AX365" s="211" t="s">
        <v>677</v>
      </c>
      <c r="AY365" s="212">
        <v>1.9</v>
      </c>
      <c r="AZ365" s="213">
        <v>4.6</v>
      </c>
      <c r="BA365" s="213">
        <v>4.0</v>
      </c>
      <c r="BB365" s="213">
        <v>2.5</v>
      </c>
      <c r="BC365" s="212">
        <v>4.9399999999999995</v>
      </c>
      <c r="BD365" s="213">
        <v>10.0</v>
      </c>
      <c r="BE365" s="213">
        <v>10.0</v>
      </c>
      <c r="BF365" s="213">
        <v>7.0</v>
      </c>
      <c r="BG365" s="212">
        <v>10.466666666666667</v>
      </c>
      <c r="BH365" s="213">
        <v>9.75</v>
      </c>
      <c r="BI365" s="213">
        <v>0.0012037037037468206</v>
      </c>
      <c r="BJ365" s="213">
        <v>0.001558641975861974</v>
      </c>
      <c r="BK365" s="213">
        <v>259.5</v>
      </c>
      <c r="BL365" s="212">
        <v>7.299999999999999</v>
      </c>
      <c r="BM365" s="213">
        <v>5.375</v>
      </c>
      <c r="BN365" s="213">
        <v>0.002407407407493641</v>
      </c>
      <c r="BO365" s="213">
        <v>0.003117283951723948</v>
      </c>
      <c r="BP365" s="213">
        <v>129.75</v>
      </c>
      <c r="BQ365" s="192"/>
      <c r="BR365" s="192"/>
    </row>
    <row r="366">
      <c r="A366" s="60"/>
      <c r="B366" s="205">
        <v>3499229.0</v>
      </c>
      <c r="C366" s="205">
        <v>1610294.0</v>
      </c>
      <c r="D366" s="205">
        <v>1.0</v>
      </c>
      <c r="E366" s="207">
        <v>44494.00133101852</v>
      </c>
      <c r="F366" s="207">
        <v>44697.53128472222</v>
      </c>
      <c r="G366" s="207">
        <v>44690.357453703706</v>
      </c>
      <c r="H366" s="63" t="s">
        <v>1022</v>
      </c>
      <c r="I366" s="205">
        <v>173.0</v>
      </c>
      <c r="J366" s="63" t="s">
        <v>678</v>
      </c>
      <c r="K366" s="205">
        <v>1943309.0</v>
      </c>
      <c r="L366" s="208">
        <v>5.12068</v>
      </c>
      <c r="M366" s="208">
        <v>2.49769</v>
      </c>
      <c r="N366" s="208">
        <v>2.40195</v>
      </c>
      <c r="O366" s="209">
        <v>3.8</v>
      </c>
      <c r="P366" s="209">
        <v>9.2</v>
      </c>
      <c r="Q366" s="209">
        <v>8.0</v>
      </c>
      <c r="R366" s="209">
        <v>5.0</v>
      </c>
      <c r="S366" s="210">
        <v>0.0018055555556202307</v>
      </c>
      <c r="U366" s="205">
        <v>10.0</v>
      </c>
      <c r="V366" s="205">
        <v>5.0</v>
      </c>
      <c r="W366" s="63" t="s">
        <v>2673</v>
      </c>
      <c r="X366" s="210">
        <v>0.002337962963792961</v>
      </c>
      <c r="Y366" s="63" t="s">
        <v>2674</v>
      </c>
      <c r="Z366" s="63" t="s">
        <v>2675</v>
      </c>
      <c r="AA366" s="205">
        <v>0.0</v>
      </c>
      <c r="AB366" s="63" t="s">
        <v>2676</v>
      </c>
      <c r="AC366" s="205">
        <v>320.0</v>
      </c>
      <c r="AD366" s="208">
        <v>9.61111</v>
      </c>
      <c r="AE366" s="205">
        <v>30907.0</v>
      </c>
      <c r="AF366" s="205">
        <v>8487.0</v>
      </c>
      <c r="AG366" s="205">
        <v>438.0</v>
      </c>
      <c r="AH366" s="205">
        <v>348.0</v>
      </c>
      <c r="AI366" s="205">
        <v>1.0</v>
      </c>
      <c r="AJ366" s="205">
        <v>1233.0</v>
      </c>
      <c r="AK366" s="205">
        <v>1.0</v>
      </c>
      <c r="AL366" s="205">
        <v>0.0</v>
      </c>
      <c r="AM366" s="205">
        <v>0.0</v>
      </c>
      <c r="AN366" s="205">
        <v>0.0</v>
      </c>
      <c r="AO366" s="208">
        <v>4.71475</v>
      </c>
      <c r="AP366" s="208">
        <v>5.3841</v>
      </c>
      <c r="AQ366" s="208">
        <v>7.35065</v>
      </c>
      <c r="AR366" s="208">
        <v>4.03401</v>
      </c>
      <c r="AT366" s="192" t="s">
        <v>677</v>
      </c>
      <c r="AU366" s="211" t="s">
        <v>706</v>
      </c>
      <c r="AV366" s="211" t="s">
        <v>2677</v>
      </c>
      <c r="AW366" s="211" t="s">
        <v>2678</v>
      </c>
      <c r="AX366" s="211" t="s">
        <v>677</v>
      </c>
      <c r="AY366" s="212">
        <v>1.9</v>
      </c>
      <c r="AZ366" s="213">
        <v>4.6</v>
      </c>
      <c r="BA366" s="213">
        <v>4.0</v>
      </c>
      <c r="BB366" s="213">
        <v>2.5</v>
      </c>
      <c r="BC366" s="212">
        <v>4.9399999999999995</v>
      </c>
      <c r="BD366" s="213">
        <v>10.0</v>
      </c>
      <c r="BE366" s="213">
        <v>10.0</v>
      </c>
      <c r="BF366" s="213">
        <v>7.0</v>
      </c>
      <c r="BG366" s="212">
        <v>10.466666666666667</v>
      </c>
      <c r="BH366" s="213">
        <v>9.75</v>
      </c>
      <c r="BI366" s="213">
        <v>0.0012037037037468206</v>
      </c>
      <c r="BJ366" s="213">
        <v>0.001558641975861974</v>
      </c>
      <c r="BK366" s="213">
        <v>259.5</v>
      </c>
      <c r="BL366" s="212">
        <v>7.299999999999999</v>
      </c>
      <c r="BM366" s="213">
        <v>5.375</v>
      </c>
      <c r="BN366" s="213">
        <v>0.002407407407493641</v>
      </c>
      <c r="BO366" s="213">
        <v>0.003117283951723948</v>
      </c>
      <c r="BP366" s="213">
        <v>129.75</v>
      </c>
      <c r="BQ366" s="192"/>
      <c r="BR366" s="192"/>
    </row>
    <row r="367">
      <c r="A367" s="60"/>
      <c r="B367" s="205">
        <v>4197268.0</v>
      </c>
      <c r="C367" s="205">
        <v>1954230.0</v>
      </c>
      <c r="D367" s="205">
        <v>0.0</v>
      </c>
      <c r="E367" s="207">
        <v>44995.98829861111</v>
      </c>
      <c r="F367" s="215"/>
      <c r="G367" s="207">
        <v>45150.767280092594</v>
      </c>
      <c r="H367" s="63" t="s">
        <v>1021</v>
      </c>
      <c r="I367" s="205">
        <v>204.0</v>
      </c>
      <c r="J367" s="63" t="s">
        <v>671</v>
      </c>
      <c r="K367" s="205">
        <v>1.240516E7</v>
      </c>
      <c r="L367" s="208">
        <v>5.02118</v>
      </c>
      <c r="M367" s="208">
        <v>2.47085</v>
      </c>
      <c r="N367" s="208">
        <v>2.33096</v>
      </c>
      <c r="O367" s="209">
        <v>3.0</v>
      </c>
      <c r="P367" s="209">
        <v>9.0</v>
      </c>
      <c r="Q367" s="209">
        <v>8.0</v>
      </c>
      <c r="R367" s="209">
        <v>4.5</v>
      </c>
      <c r="S367" s="210">
        <v>0.0021064814827695955</v>
      </c>
      <c r="T367" s="63" t="s">
        <v>2679</v>
      </c>
      <c r="U367" s="205">
        <v>3.0</v>
      </c>
      <c r="V367" s="205">
        <v>3.0</v>
      </c>
      <c r="W367" s="63" t="s">
        <v>2680</v>
      </c>
      <c r="X367" s="210">
        <v>0.0022106481483206153</v>
      </c>
      <c r="Y367" s="63" t="s">
        <v>2681</v>
      </c>
      <c r="Z367" s="63" t="s">
        <v>2682</v>
      </c>
      <c r="AA367" s="205">
        <v>0.0</v>
      </c>
      <c r="AB367" s="63" t="s">
        <v>2683</v>
      </c>
      <c r="AC367" s="205">
        <v>12.0</v>
      </c>
      <c r="AD367" s="208">
        <v>0.0</v>
      </c>
      <c r="AE367" s="205">
        <v>6.0</v>
      </c>
      <c r="AF367" s="205">
        <v>0.0</v>
      </c>
      <c r="AG367" s="205">
        <v>338.0</v>
      </c>
      <c r="AH367" s="205">
        <v>361.0</v>
      </c>
      <c r="AI367" s="205">
        <v>1.0</v>
      </c>
      <c r="AJ367" s="205">
        <v>1134.0</v>
      </c>
      <c r="AK367" s="205">
        <v>0.0</v>
      </c>
      <c r="AL367" s="205">
        <v>0.0</v>
      </c>
      <c r="AM367" s="205">
        <v>0.0</v>
      </c>
      <c r="AN367" s="205">
        <v>0.0</v>
      </c>
      <c r="AO367" s="208">
        <v>4.71786</v>
      </c>
      <c r="AP367" s="208">
        <v>5.20306</v>
      </c>
      <c r="AQ367" s="208">
        <v>7.17504</v>
      </c>
      <c r="AR367" s="208">
        <v>3.98393</v>
      </c>
      <c r="AT367" s="192" t="s">
        <v>670</v>
      </c>
      <c r="AU367" s="211" t="s">
        <v>707</v>
      </c>
      <c r="AV367" s="211" t="s">
        <v>2684</v>
      </c>
      <c r="AW367" s="211" t="s">
        <v>2685</v>
      </c>
      <c r="AX367" s="211" t="s">
        <v>670</v>
      </c>
      <c r="AY367" s="212">
        <v>1.5</v>
      </c>
      <c r="AZ367" s="213">
        <v>4.5</v>
      </c>
      <c r="BA367" s="213">
        <v>4.0</v>
      </c>
      <c r="BB367" s="213">
        <v>2.25</v>
      </c>
      <c r="BC367" s="212">
        <v>3.9000000000000004</v>
      </c>
      <c r="BD367" s="213">
        <v>10.0</v>
      </c>
      <c r="BE367" s="213">
        <v>10.0</v>
      </c>
      <c r="BF367" s="213">
        <v>6.3</v>
      </c>
      <c r="BG367" s="212">
        <v>10.333333333333332</v>
      </c>
      <c r="BH367" s="213">
        <v>9.75</v>
      </c>
      <c r="BI367" s="213">
        <v>0.0014043209885130636</v>
      </c>
      <c r="BJ367" s="213">
        <v>0.0014737654322137435</v>
      </c>
      <c r="BK367" s="213">
        <v>306.0</v>
      </c>
      <c r="BL367" s="212">
        <v>7.0</v>
      </c>
      <c r="BM367" s="213">
        <v>5.375</v>
      </c>
      <c r="BN367" s="213">
        <v>0.0028086419770261273</v>
      </c>
      <c r="BO367" s="213">
        <v>0.002947530864427487</v>
      </c>
      <c r="BP367" s="213">
        <v>153.0</v>
      </c>
      <c r="BQ367" s="192"/>
      <c r="BR367" s="192"/>
    </row>
    <row r="368">
      <c r="A368" s="60"/>
      <c r="B368" s="205">
        <v>4197268.0</v>
      </c>
      <c r="C368" s="205">
        <v>1954230.0</v>
      </c>
      <c r="D368" s="205">
        <v>0.0</v>
      </c>
      <c r="E368" s="207">
        <v>44995.98829861111</v>
      </c>
      <c r="F368" s="215"/>
      <c r="G368" s="207">
        <v>45150.767280092594</v>
      </c>
      <c r="H368" s="63" t="s">
        <v>1021</v>
      </c>
      <c r="I368" s="205">
        <v>204.0</v>
      </c>
      <c r="J368" s="63" t="s">
        <v>671</v>
      </c>
      <c r="K368" s="205">
        <v>1.240516E7</v>
      </c>
      <c r="L368" s="208">
        <v>5.02118</v>
      </c>
      <c r="M368" s="208">
        <v>2.47085</v>
      </c>
      <c r="N368" s="208">
        <v>2.33096</v>
      </c>
      <c r="O368" s="209">
        <v>3.0</v>
      </c>
      <c r="P368" s="209">
        <v>9.0</v>
      </c>
      <c r="Q368" s="209">
        <v>8.0</v>
      </c>
      <c r="R368" s="209">
        <v>4.5</v>
      </c>
      <c r="S368" s="210">
        <v>0.0021064814827695955</v>
      </c>
      <c r="T368" s="63" t="s">
        <v>2679</v>
      </c>
      <c r="U368" s="205">
        <v>3.0</v>
      </c>
      <c r="V368" s="205">
        <v>3.0</v>
      </c>
      <c r="W368" s="63" t="s">
        <v>2680</v>
      </c>
      <c r="X368" s="210">
        <v>0.0022106481483206153</v>
      </c>
      <c r="Y368" s="63" t="s">
        <v>2681</v>
      </c>
      <c r="Z368" s="63" t="s">
        <v>2682</v>
      </c>
      <c r="AA368" s="205">
        <v>0.0</v>
      </c>
      <c r="AB368" s="63" t="s">
        <v>2683</v>
      </c>
      <c r="AC368" s="205">
        <v>12.0</v>
      </c>
      <c r="AD368" s="208">
        <v>0.0</v>
      </c>
      <c r="AE368" s="205">
        <v>6.0</v>
      </c>
      <c r="AF368" s="205">
        <v>0.0</v>
      </c>
      <c r="AG368" s="205">
        <v>338.0</v>
      </c>
      <c r="AH368" s="205">
        <v>361.0</v>
      </c>
      <c r="AI368" s="205">
        <v>1.0</v>
      </c>
      <c r="AJ368" s="205">
        <v>1134.0</v>
      </c>
      <c r="AK368" s="205">
        <v>0.0</v>
      </c>
      <c r="AL368" s="205">
        <v>0.0</v>
      </c>
      <c r="AM368" s="205">
        <v>0.0</v>
      </c>
      <c r="AN368" s="205">
        <v>0.0</v>
      </c>
      <c r="AO368" s="208">
        <v>4.71786</v>
      </c>
      <c r="AP368" s="208">
        <v>5.20306</v>
      </c>
      <c r="AQ368" s="208">
        <v>7.17504</v>
      </c>
      <c r="AR368" s="208">
        <v>3.98393</v>
      </c>
      <c r="AT368" s="192" t="s">
        <v>670</v>
      </c>
      <c r="AU368" s="211" t="s">
        <v>707</v>
      </c>
      <c r="AV368" s="211" t="s">
        <v>2684</v>
      </c>
      <c r="AW368" s="211" t="s">
        <v>2685</v>
      </c>
      <c r="AX368" s="211" t="s">
        <v>670</v>
      </c>
      <c r="AY368" s="212">
        <v>1.5</v>
      </c>
      <c r="AZ368" s="213">
        <v>4.5</v>
      </c>
      <c r="BA368" s="213">
        <v>4.0</v>
      </c>
      <c r="BB368" s="213">
        <v>2.25</v>
      </c>
      <c r="BC368" s="212">
        <v>3.9000000000000004</v>
      </c>
      <c r="BD368" s="213">
        <v>10.0</v>
      </c>
      <c r="BE368" s="213">
        <v>10.0</v>
      </c>
      <c r="BF368" s="213">
        <v>6.3</v>
      </c>
      <c r="BG368" s="212">
        <v>10.333333333333332</v>
      </c>
      <c r="BH368" s="213">
        <v>9.75</v>
      </c>
      <c r="BI368" s="213">
        <v>0.0014043209885130636</v>
      </c>
      <c r="BJ368" s="213">
        <v>0.0014737654322137435</v>
      </c>
      <c r="BK368" s="213">
        <v>306.0</v>
      </c>
      <c r="BL368" s="212">
        <v>7.0</v>
      </c>
      <c r="BM368" s="213">
        <v>5.375</v>
      </c>
      <c r="BN368" s="213">
        <v>0.0028086419770261273</v>
      </c>
      <c r="BO368" s="213">
        <v>0.002947530864427487</v>
      </c>
      <c r="BP368" s="213">
        <v>153.0</v>
      </c>
      <c r="BQ368" s="192"/>
      <c r="BR368" s="192"/>
    </row>
    <row r="369">
      <c r="A369" s="60"/>
      <c r="B369" s="205">
        <v>86079.0</v>
      </c>
      <c r="C369" s="205">
        <v>25392.0</v>
      </c>
      <c r="D369" s="205">
        <v>1.0</v>
      </c>
      <c r="E369" s="207">
        <v>40571.52795138889</v>
      </c>
      <c r="F369" s="207">
        <v>40581.89996527778</v>
      </c>
      <c r="G369" s="207">
        <v>40576.785833333335</v>
      </c>
      <c r="H369" s="63" t="s">
        <v>2686</v>
      </c>
      <c r="I369" s="205">
        <v>160.0</v>
      </c>
      <c r="J369" s="63" t="s">
        <v>2687</v>
      </c>
      <c r="K369" s="205">
        <v>33599.0</v>
      </c>
      <c r="L369" s="208">
        <v>4.59283</v>
      </c>
      <c r="M369" s="208">
        <v>2.12453</v>
      </c>
      <c r="N369" s="208">
        <v>2.26661</v>
      </c>
      <c r="O369" s="209">
        <v>5.0</v>
      </c>
      <c r="P369" s="209">
        <v>8.0</v>
      </c>
      <c r="Q369" s="209">
        <v>8.0</v>
      </c>
      <c r="R369" s="209">
        <v>7.0</v>
      </c>
      <c r="S369" s="210">
        <v>0.0014467592591245193</v>
      </c>
      <c r="T369" s="63" t="s">
        <v>1123</v>
      </c>
      <c r="U369" s="205">
        <v>2.0</v>
      </c>
      <c r="V369" s="205">
        <v>5.0</v>
      </c>
      <c r="W369" s="63" t="s">
        <v>2688</v>
      </c>
      <c r="X369" s="210">
        <v>0.0015393518515338656</v>
      </c>
      <c r="Y369" s="63" t="s">
        <v>1125</v>
      </c>
      <c r="Z369" s="63" t="s">
        <v>2689</v>
      </c>
      <c r="AA369" s="205">
        <v>0.0</v>
      </c>
      <c r="AB369" s="63" t="s">
        <v>2690</v>
      </c>
      <c r="AC369" s="205">
        <v>198.0</v>
      </c>
      <c r="AD369" s="208">
        <v>9.37362</v>
      </c>
      <c r="AE369" s="205">
        <v>111970.0</v>
      </c>
      <c r="AF369" s="205">
        <v>20388.0</v>
      </c>
      <c r="AG369" s="205">
        <v>274.0</v>
      </c>
      <c r="AH369" s="205">
        <v>108.0</v>
      </c>
      <c r="AI369" s="205">
        <v>7.0</v>
      </c>
      <c r="AJ369" s="205">
        <v>610.0</v>
      </c>
      <c r="AK369" s="205">
        <v>0.0</v>
      </c>
      <c r="AL369" s="205">
        <v>0.0</v>
      </c>
      <c r="AM369" s="205">
        <v>0.0</v>
      </c>
      <c r="AN369" s="205">
        <v>0.0</v>
      </c>
      <c r="AO369" s="208">
        <v>4.15356</v>
      </c>
      <c r="AP369" s="208">
        <v>5.11211</v>
      </c>
      <c r="AQ369" s="208">
        <v>6.44543</v>
      </c>
      <c r="AR369" s="208">
        <v>3.64201</v>
      </c>
      <c r="AT369" s="192" t="s">
        <v>591</v>
      </c>
      <c r="AU369" s="211" t="s">
        <v>590</v>
      </c>
      <c r="AV369" s="211" t="s">
        <v>2691</v>
      </c>
      <c r="AW369" s="211" t="s">
        <v>2692</v>
      </c>
      <c r="AX369" s="211" t="s">
        <v>591</v>
      </c>
      <c r="AY369" s="212">
        <v>2.5</v>
      </c>
      <c r="AZ369" s="213">
        <v>4.0</v>
      </c>
      <c r="BA369" s="213">
        <v>4.0</v>
      </c>
      <c r="BB369" s="213">
        <v>3.5</v>
      </c>
      <c r="BC369" s="212">
        <v>6.5</v>
      </c>
      <c r="BD369" s="213">
        <v>10.0</v>
      </c>
      <c r="BE369" s="213">
        <v>10.0</v>
      </c>
      <c r="BF369" s="213">
        <v>9.799999999999999</v>
      </c>
      <c r="BG369" s="212">
        <v>9.666666666666668</v>
      </c>
      <c r="BH369" s="213">
        <v>9.75</v>
      </c>
      <c r="BI369" s="213">
        <v>9.645061727496795E-4</v>
      </c>
      <c r="BJ369" s="213">
        <v>0.0010262345676892437</v>
      </c>
      <c r="BK369" s="213">
        <v>240.0</v>
      </c>
      <c r="BL369" s="212">
        <v>5.5</v>
      </c>
      <c r="BM369" s="213">
        <v>5.375</v>
      </c>
      <c r="BN369" s="213">
        <v>0.001929012345499359</v>
      </c>
      <c r="BO369" s="213">
        <v>0.0020524691353784874</v>
      </c>
      <c r="BP369" s="213">
        <v>120.0</v>
      </c>
      <c r="BQ369" s="192"/>
      <c r="BR369" s="192"/>
    </row>
    <row r="370">
      <c r="A370" s="60"/>
      <c r="B370" s="205">
        <v>86079.0</v>
      </c>
      <c r="C370" s="205">
        <v>25392.0</v>
      </c>
      <c r="D370" s="205">
        <v>1.0</v>
      </c>
      <c r="E370" s="207">
        <v>40571.52795138889</v>
      </c>
      <c r="F370" s="207">
        <v>40581.89996527778</v>
      </c>
      <c r="G370" s="207">
        <v>40576.785833333335</v>
      </c>
      <c r="H370" s="63" t="s">
        <v>2686</v>
      </c>
      <c r="I370" s="205">
        <v>160.0</v>
      </c>
      <c r="J370" s="63" t="s">
        <v>2687</v>
      </c>
      <c r="K370" s="205">
        <v>33599.0</v>
      </c>
      <c r="L370" s="208">
        <v>4.59283</v>
      </c>
      <c r="M370" s="208">
        <v>2.12453</v>
      </c>
      <c r="N370" s="208">
        <v>2.26661</v>
      </c>
      <c r="O370" s="209">
        <v>5.0</v>
      </c>
      <c r="P370" s="209">
        <v>8.0</v>
      </c>
      <c r="Q370" s="209">
        <v>8.0</v>
      </c>
      <c r="R370" s="209">
        <v>7.0</v>
      </c>
      <c r="S370" s="210">
        <v>0.0014467592591245193</v>
      </c>
      <c r="T370" s="63" t="s">
        <v>1123</v>
      </c>
      <c r="U370" s="205">
        <v>2.0</v>
      </c>
      <c r="V370" s="205">
        <v>5.0</v>
      </c>
      <c r="W370" s="63" t="s">
        <v>2688</v>
      </c>
      <c r="X370" s="210">
        <v>0.0015393518515338656</v>
      </c>
      <c r="Y370" s="63" t="s">
        <v>1125</v>
      </c>
      <c r="Z370" s="63" t="s">
        <v>2689</v>
      </c>
      <c r="AA370" s="205">
        <v>0.0</v>
      </c>
      <c r="AB370" s="63" t="s">
        <v>2690</v>
      </c>
      <c r="AC370" s="205">
        <v>198.0</v>
      </c>
      <c r="AD370" s="208">
        <v>9.37362</v>
      </c>
      <c r="AE370" s="205">
        <v>111970.0</v>
      </c>
      <c r="AF370" s="205">
        <v>20388.0</v>
      </c>
      <c r="AG370" s="205">
        <v>274.0</v>
      </c>
      <c r="AH370" s="205">
        <v>108.0</v>
      </c>
      <c r="AI370" s="205">
        <v>7.0</v>
      </c>
      <c r="AJ370" s="205">
        <v>610.0</v>
      </c>
      <c r="AK370" s="205">
        <v>0.0</v>
      </c>
      <c r="AL370" s="205">
        <v>0.0</v>
      </c>
      <c r="AM370" s="205">
        <v>0.0</v>
      </c>
      <c r="AN370" s="205">
        <v>0.0</v>
      </c>
      <c r="AO370" s="208">
        <v>4.15356</v>
      </c>
      <c r="AP370" s="208">
        <v>5.11211</v>
      </c>
      <c r="AQ370" s="208">
        <v>6.44543</v>
      </c>
      <c r="AR370" s="208">
        <v>3.64201</v>
      </c>
      <c r="AT370" s="192" t="s">
        <v>591</v>
      </c>
      <c r="AU370" s="211" t="s">
        <v>590</v>
      </c>
      <c r="AV370" s="211" t="s">
        <v>2691</v>
      </c>
      <c r="AW370" s="211" t="s">
        <v>2692</v>
      </c>
      <c r="AX370" s="211" t="s">
        <v>591</v>
      </c>
      <c r="AY370" s="212">
        <v>2.5</v>
      </c>
      <c r="AZ370" s="213">
        <v>4.0</v>
      </c>
      <c r="BA370" s="213">
        <v>4.0</v>
      </c>
      <c r="BB370" s="213">
        <v>3.5</v>
      </c>
      <c r="BC370" s="212">
        <v>6.5</v>
      </c>
      <c r="BD370" s="213">
        <v>10.0</v>
      </c>
      <c r="BE370" s="213">
        <v>10.0</v>
      </c>
      <c r="BF370" s="213">
        <v>9.799999999999999</v>
      </c>
      <c r="BG370" s="212">
        <v>9.666666666666668</v>
      </c>
      <c r="BH370" s="213">
        <v>9.75</v>
      </c>
      <c r="BI370" s="213">
        <v>9.645061727496795E-4</v>
      </c>
      <c r="BJ370" s="213">
        <v>0.0010262345676892437</v>
      </c>
      <c r="BK370" s="213">
        <v>240.0</v>
      </c>
      <c r="BL370" s="212">
        <v>5.5</v>
      </c>
      <c r="BM370" s="213">
        <v>5.375</v>
      </c>
      <c r="BN370" s="213">
        <v>0.001929012345499359</v>
      </c>
      <c r="BO370" s="213">
        <v>0.0020524691353784874</v>
      </c>
      <c r="BP370" s="213">
        <v>120.0</v>
      </c>
      <c r="BQ370" s="192"/>
      <c r="BR370" s="192"/>
    </row>
    <row r="371">
      <c r="A371" s="60"/>
      <c r="B371" s="205">
        <v>2849167.0</v>
      </c>
      <c r="C371" s="205">
        <v>1360537.0</v>
      </c>
      <c r="D371" s="205">
        <v>1.0</v>
      </c>
      <c r="E371" s="207">
        <v>44225.66856481481</v>
      </c>
      <c r="F371" s="207">
        <v>44335.75269675926</v>
      </c>
      <c r="G371" s="207">
        <v>44327.67765046297</v>
      </c>
      <c r="H371" s="63" t="s">
        <v>1618</v>
      </c>
      <c r="I371" s="205">
        <v>128.0</v>
      </c>
      <c r="J371" s="63" t="s">
        <v>1332</v>
      </c>
      <c r="K371" s="205">
        <v>7326908.0</v>
      </c>
      <c r="L371" s="208">
        <v>3.71069</v>
      </c>
      <c r="M371" s="208">
        <v>1.82934</v>
      </c>
      <c r="N371" s="208">
        <v>1.71867</v>
      </c>
      <c r="O371" s="209">
        <v>3.6</v>
      </c>
      <c r="P371" s="209">
        <v>8.0</v>
      </c>
      <c r="Q371" s="209">
        <v>6.6</v>
      </c>
      <c r="R371" s="209">
        <v>4.0</v>
      </c>
      <c r="S371" s="210">
        <v>0.002766203702776693</v>
      </c>
      <c r="U371" s="205">
        <v>10.0</v>
      </c>
      <c r="V371" s="205">
        <v>3.0</v>
      </c>
      <c r="W371" s="63" t="s">
        <v>2693</v>
      </c>
      <c r="X371" s="210">
        <v>0.0030439814800047316</v>
      </c>
      <c r="Y371" s="63" t="s">
        <v>2694</v>
      </c>
      <c r="Z371" s="63" t="s">
        <v>2695</v>
      </c>
      <c r="AA371" s="205">
        <v>0.0</v>
      </c>
      <c r="AB371" s="63" t="s">
        <v>2696</v>
      </c>
      <c r="AC371" s="205">
        <v>800.0</v>
      </c>
      <c r="AD371" s="208">
        <v>8.84615</v>
      </c>
      <c r="AE371" s="205">
        <v>95509.0</v>
      </c>
      <c r="AF371" s="205">
        <v>21511.0</v>
      </c>
      <c r="AG371" s="205">
        <v>315.0</v>
      </c>
      <c r="AH371" s="205">
        <v>336.0</v>
      </c>
      <c r="AI371" s="205">
        <v>6.0</v>
      </c>
      <c r="AJ371" s="205">
        <v>1059.0</v>
      </c>
      <c r="AK371" s="205">
        <v>0.0</v>
      </c>
      <c r="AL371" s="205">
        <v>0.0</v>
      </c>
      <c r="AM371" s="205">
        <v>0.0</v>
      </c>
      <c r="AN371" s="205">
        <v>0.0</v>
      </c>
      <c r="AO371" s="208">
        <v>3.33353</v>
      </c>
      <c r="AP371" s="208">
        <v>3.92476</v>
      </c>
      <c r="AQ371" s="208">
        <v>5.24754</v>
      </c>
      <c r="AR371" s="208">
        <v>3.01443</v>
      </c>
      <c r="AT371" s="192" t="s">
        <v>709</v>
      </c>
      <c r="AU371" s="211" t="s">
        <v>708</v>
      </c>
      <c r="AV371" s="211" t="s">
        <v>2697</v>
      </c>
      <c r="AW371" s="211" t="s">
        <v>2698</v>
      </c>
      <c r="AX371" s="211" t="s">
        <v>709</v>
      </c>
      <c r="AY371" s="212">
        <v>1.8</v>
      </c>
      <c r="AZ371" s="213">
        <v>4.0</v>
      </c>
      <c r="BA371" s="213">
        <v>3.3</v>
      </c>
      <c r="BB371" s="213">
        <v>2.0</v>
      </c>
      <c r="BC371" s="212">
        <v>4.680000000000001</v>
      </c>
      <c r="BD371" s="213">
        <v>10.0</v>
      </c>
      <c r="BE371" s="213">
        <v>9.239999999999998</v>
      </c>
      <c r="BF371" s="213">
        <v>5.6</v>
      </c>
      <c r="BG371" s="212">
        <v>9.666666666666668</v>
      </c>
      <c r="BH371" s="213">
        <v>8.816666666666665</v>
      </c>
      <c r="BI371" s="213">
        <v>0.0018441358018511285</v>
      </c>
      <c r="BJ371" s="213">
        <v>0.002029320986669821</v>
      </c>
      <c r="BK371" s="213">
        <v>192.0</v>
      </c>
      <c r="BL371" s="212">
        <v>5.5</v>
      </c>
      <c r="BM371" s="213">
        <v>3.2749999999999986</v>
      </c>
      <c r="BN371" s="213">
        <v>0.003688271603702257</v>
      </c>
      <c r="BO371" s="213">
        <v>0.004058641973339642</v>
      </c>
      <c r="BP371" s="213">
        <v>96.0</v>
      </c>
      <c r="BQ371" s="192"/>
      <c r="BR371" s="192"/>
    </row>
    <row r="372">
      <c r="A372" s="60"/>
      <c r="B372" s="205">
        <v>4150885.0</v>
      </c>
      <c r="C372" s="205">
        <v>1997114.0</v>
      </c>
      <c r="D372" s="205">
        <v>1.0</v>
      </c>
      <c r="E372" s="207">
        <v>45069.22253472223</v>
      </c>
      <c r="F372" s="207">
        <v>45140.04266203704</v>
      </c>
      <c r="G372" s="207">
        <v>45132.98945601852</v>
      </c>
      <c r="H372" s="63" t="s">
        <v>1020</v>
      </c>
      <c r="I372" s="205">
        <v>155.0</v>
      </c>
      <c r="J372" s="63" t="s">
        <v>666</v>
      </c>
      <c r="K372" s="205">
        <v>1.1199892E7</v>
      </c>
      <c r="L372" s="208">
        <v>3.40909</v>
      </c>
      <c r="M372" s="208">
        <v>1.50922</v>
      </c>
      <c r="N372" s="208">
        <v>1.73553</v>
      </c>
      <c r="O372" s="209">
        <v>5.0</v>
      </c>
      <c r="P372" s="209">
        <v>5.0</v>
      </c>
      <c r="Q372" s="209">
        <v>5.0</v>
      </c>
      <c r="R372" s="209">
        <v>5.0</v>
      </c>
      <c r="S372" s="210">
        <v>0.0014930555553291924</v>
      </c>
      <c r="T372" s="63" t="s">
        <v>2699</v>
      </c>
      <c r="U372" s="205">
        <v>2.0</v>
      </c>
      <c r="V372" s="205">
        <v>3.0</v>
      </c>
      <c r="W372" s="63" t="s">
        <v>2700</v>
      </c>
      <c r="X372" s="210">
        <v>0.0018865740748879034</v>
      </c>
      <c r="Y372" s="63" t="s">
        <v>1443</v>
      </c>
      <c r="Z372" s="63" t="s">
        <v>2701</v>
      </c>
      <c r="AA372" s="205">
        <v>0.0</v>
      </c>
      <c r="AB372" s="63" t="s">
        <v>2702</v>
      </c>
      <c r="AC372" s="205">
        <v>29.0</v>
      </c>
      <c r="AD372" s="208">
        <v>8.37838</v>
      </c>
      <c r="AE372" s="205">
        <v>1909.0</v>
      </c>
      <c r="AF372" s="205">
        <v>244.0</v>
      </c>
      <c r="AG372" s="205">
        <v>244.0</v>
      </c>
      <c r="AH372" s="205">
        <v>130.0</v>
      </c>
      <c r="AI372" s="205">
        <v>5.0</v>
      </c>
      <c r="AJ372" s="205">
        <v>574.0</v>
      </c>
      <c r="AK372" s="205">
        <v>0.0</v>
      </c>
      <c r="AL372" s="205">
        <v>0.0</v>
      </c>
      <c r="AM372" s="205">
        <v>0.0</v>
      </c>
      <c r="AN372" s="205">
        <v>0.0</v>
      </c>
      <c r="AO372" s="208">
        <v>3.03967</v>
      </c>
      <c r="AP372" s="208">
        <v>3.81023</v>
      </c>
      <c r="AQ372" s="208">
        <v>4.76974</v>
      </c>
      <c r="AR372" s="208">
        <v>2.72051</v>
      </c>
      <c r="AT372" s="192" t="s">
        <v>665</v>
      </c>
      <c r="AU372" s="211" t="s">
        <v>710</v>
      </c>
      <c r="AV372" s="211" t="s">
        <v>2703</v>
      </c>
      <c r="AW372" s="211" t="s">
        <v>2704</v>
      </c>
      <c r="AX372" s="211" t="s">
        <v>665</v>
      </c>
      <c r="AY372" s="212">
        <v>2.5</v>
      </c>
      <c r="AZ372" s="213">
        <v>2.5</v>
      </c>
      <c r="BA372" s="213">
        <v>2.5</v>
      </c>
      <c r="BB372" s="213">
        <v>2.5</v>
      </c>
      <c r="BC372" s="212">
        <v>6.5</v>
      </c>
      <c r="BD372" s="213">
        <v>7.0</v>
      </c>
      <c r="BE372" s="213">
        <v>7.0</v>
      </c>
      <c r="BF372" s="213">
        <v>7.0</v>
      </c>
      <c r="BG372" s="212">
        <v>8.333333333333334</v>
      </c>
      <c r="BH372" s="213">
        <v>7.75</v>
      </c>
      <c r="BI372" s="213">
        <v>9.953703702194616E-4</v>
      </c>
      <c r="BJ372" s="213">
        <v>0.0012577160499252689</v>
      </c>
      <c r="BK372" s="213">
        <v>232.5</v>
      </c>
      <c r="BL372" s="212">
        <v>0.0</v>
      </c>
      <c r="BM372" s="213">
        <v>0.875</v>
      </c>
      <c r="BN372" s="213">
        <v>0.0019907407404389232</v>
      </c>
      <c r="BO372" s="213">
        <v>0.0025154320998505377</v>
      </c>
      <c r="BP372" s="213">
        <v>116.25</v>
      </c>
      <c r="BQ372" s="192"/>
      <c r="BR372" s="192"/>
    </row>
    <row r="373">
      <c r="A373" s="60"/>
      <c r="B373" s="205">
        <v>4150885.0</v>
      </c>
      <c r="C373" s="205">
        <v>1997114.0</v>
      </c>
      <c r="D373" s="205">
        <v>1.0</v>
      </c>
      <c r="E373" s="207">
        <v>45069.22253472223</v>
      </c>
      <c r="F373" s="207">
        <v>45140.04266203704</v>
      </c>
      <c r="G373" s="207">
        <v>45132.98945601852</v>
      </c>
      <c r="H373" s="63" t="s">
        <v>1020</v>
      </c>
      <c r="I373" s="205">
        <v>155.0</v>
      </c>
      <c r="J373" s="63" t="s">
        <v>666</v>
      </c>
      <c r="K373" s="205">
        <v>1.1199892E7</v>
      </c>
      <c r="L373" s="208">
        <v>3.40909</v>
      </c>
      <c r="M373" s="208">
        <v>1.50922</v>
      </c>
      <c r="N373" s="208">
        <v>1.73553</v>
      </c>
      <c r="O373" s="209">
        <v>5.0</v>
      </c>
      <c r="P373" s="209">
        <v>5.0</v>
      </c>
      <c r="Q373" s="209">
        <v>5.0</v>
      </c>
      <c r="R373" s="209">
        <v>5.0</v>
      </c>
      <c r="S373" s="210">
        <v>0.0014930555553291924</v>
      </c>
      <c r="T373" s="63" t="s">
        <v>2699</v>
      </c>
      <c r="U373" s="205">
        <v>2.0</v>
      </c>
      <c r="V373" s="205">
        <v>3.0</v>
      </c>
      <c r="W373" s="63" t="s">
        <v>2700</v>
      </c>
      <c r="X373" s="210">
        <v>0.0018865740748879034</v>
      </c>
      <c r="Y373" s="63" t="s">
        <v>1443</v>
      </c>
      <c r="Z373" s="63" t="s">
        <v>2701</v>
      </c>
      <c r="AA373" s="205">
        <v>0.0</v>
      </c>
      <c r="AB373" s="63" t="s">
        <v>2702</v>
      </c>
      <c r="AC373" s="205">
        <v>29.0</v>
      </c>
      <c r="AD373" s="208">
        <v>8.37838</v>
      </c>
      <c r="AE373" s="205">
        <v>1909.0</v>
      </c>
      <c r="AF373" s="205">
        <v>244.0</v>
      </c>
      <c r="AG373" s="205">
        <v>244.0</v>
      </c>
      <c r="AH373" s="205">
        <v>130.0</v>
      </c>
      <c r="AI373" s="205">
        <v>5.0</v>
      </c>
      <c r="AJ373" s="205">
        <v>574.0</v>
      </c>
      <c r="AK373" s="205">
        <v>0.0</v>
      </c>
      <c r="AL373" s="205">
        <v>0.0</v>
      </c>
      <c r="AM373" s="205">
        <v>0.0</v>
      </c>
      <c r="AN373" s="205">
        <v>0.0</v>
      </c>
      <c r="AO373" s="208">
        <v>3.03967</v>
      </c>
      <c r="AP373" s="208">
        <v>3.81023</v>
      </c>
      <c r="AQ373" s="208">
        <v>4.76974</v>
      </c>
      <c r="AR373" s="208">
        <v>2.72051</v>
      </c>
      <c r="AT373" s="192" t="s">
        <v>665</v>
      </c>
      <c r="AU373" s="211" t="s">
        <v>710</v>
      </c>
      <c r="AV373" s="211" t="s">
        <v>2703</v>
      </c>
      <c r="AW373" s="211" t="s">
        <v>2704</v>
      </c>
      <c r="AX373" s="211" t="s">
        <v>665</v>
      </c>
      <c r="AY373" s="212">
        <v>2.5</v>
      </c>
      <c r="AZ373" s="213">
        <v>2.5</v>
      </c>
      <c r="BA373" s="213">
        <v>2.5</v>
      </c>
      <c r="BB373" s="213">
        <v>2.5</v>
      </c>
      <c r="BC373" s="212">
        <v>6.5</v>
      </c>
      <c r="BD373" s="213">
        <v>7.0</v>
      </c>
      <c r="BE373" s="213">
        <v>7.0</v>
      </c>
      <c r="BF373" s="213">
        <v>7.0</v>
      </c>
      <c r="BG373" s="212">
        <v>8.333333333333334</v>
      </c>
      <c r="BH373" s="213">
        <v>7.75</v>
      </c>
      <c r="BI373" s="213">
        <v>9.953703702194616E-4</v>
      </c>
      <c r="BJ373" s="213">
        <v>0.0012577160499252689</v>
      </c>
      <c r="BK373" s="213">
        <v>232.5</v>
      </c>
      <c r="BL373" s="212">
        <v>0.0</v>
      </c>
      <c r="BM373" s="213">
        <v>0.875</v>
      </c>
      <c r="BN373" s="213">
        <v>0.0019907407404389232</v>
      </c>
      <c r="BO373" s="213">
        <v>0.0025154320998505377</v>
      </c>
      <c r="BP373" s="213">
        <v>116.25</v>
      </c>
      <c r="BQ373" s="192"/>
      <c r="BR373" s="192"/>
    </row>
    <row r="374">
      <c r="A374" s="60"/>
      <c r="B374" s="205">
        <v>3798371.0</v>
      </c>
      <c r="C374" s="205">
        <v>1522116.0</v>
      </c>
      <c r="D374" s="205">
        <v>1.0</v>
      </c>
      <c r="E374" s="207">
        <v>44394.063993055555</v>
      </c>
      <c r="F374" s="207">
        <v>44949.85290509259</v>
      </c>
      <c r="G374" s="207">
        <v>44942.72369212963</v>
      </c>
      <c r="H374" s="63" t="s">
        <v>2705</v>
      </c>
      <c r="I374" s="205">
        <v>174.0</v>
      </c>
      <c r="J374" s="63" t="s">
        <v>2706</v>
      </c>
      <c r="K374" s="205">
        <v>5309909.0</v>
      </c>
      <c r="L374" s="208">
        <v>3.68795</v>
      </c>
      <c r="M374" s="208">
        <v>1.61054</v>
      </c>
      <c r="N374" s="208">
        <v>1.89302</v>
      </c>
      <c r="O374" s="209">
        <v>3.8</v>
      </c>
      <c r="P374" s="209">
        <v>8.2</v>
      </c>
      <c r="Q374" s="209">
        <v>7.0</v>
      </c>
      <c r="R374" s="209">
        <v>3.5</v>
      </c>
      <c r="S374" s="210">
        <v>0.0025462962948950008</v>
      </c>
      <c r="U374" s="205">
        <v>10.0</v>
      </c>
      <c r="V374" s="205">
        <v>2.0</v>
      </c>
      <c r="W374" s="63" t="s">
        <v>2707</v>
      </c>
      <c r="X374" s="210">
        <v>0.002708333333430346</v>
      </c>
      <c r="Y374" s="63" t="s">
        <v>2708</v>
      </c>
      <c r="Z374" s="63" t="s">
        <v>2709</v>
      </c>
      <c r="AA374" s="205">
        <v>0.0</v>
      </c>
      <c r="AB374" s="63" t="s">
        <v>2710</v>
      </c>
      <c r="AC374" s="205">
        <v>382.0</v>
      </c>
      <c r="AD374" s="208">
        <v>9.34082</v>
      </c>
      <c r="AE374" s="205">
        <v>18784.0</v>
      </c>
      <c r="AF374" s="205">
        <v>5438.0</v>
      </c>
      <c r="AG374" s="205">
        <v>316.0</v>
      </c>
      <c r="AH374" s="205">
        <v>370.0</v>
      </c>
      <c r="AI374" s="205">
        <v>3.0</v>
      </c>
      <c r="AJ374" s="205">
        <v>1197.0</v>
      </c>
      <c r="AK374" s="205">
        <v>1.0</v>
      </c>
      <c r="AL374" s="205">
        <v>0.0</v>
      </c>
      <c r="AM374" s="205">
        <v>0.0</v>
      </c>
      <c r="AN374" s="205">
        <v>0.0</v>
      </c>
      <c r="AO374" s="208">
        <v>3.24893</v>
      </c>
      <c r="AP374" s="208">
        <v>3.81715</v>
      </c>
      <c r="AQ374" s="208">
        <v>5.28912</v>
      </c>
      <c r="AR374" s="208">
        <v>2.94239</v>
      </c>
      <c r="AT374" s="192" t="s">
        <v>712</v>
      </c>
      <c r="AU374" s="211" t="s">
        <v>711</v>
      </c>
      <c r="AV374" s="211" t="s">
        <v>2711</v>
      </c>
      <c r="AW374" s="211" t="s">
        <v>2712</v>
      </c>
      <c r="AX374" s="211" t="s">
        <v>712</v>
      </c>
      <c r="AY374" s="212">
        <v>1.9</v>
      </c>
      <c r="AZ374" s="213">
        <v>4.1</v>
      </c>
      <c r="BA374" s="213">
        <v>3.5</v>
      </c>
      <c r="BB374" s="213">
        <v>1.75</v>
      </c>
      <c r="BC374" s="212">
        <v>4.9399999999999995</v>
      </c>
      <c r="BD374" s="213">
        <v>10.0</v>
      </c>
      <c r="BE374" s="213">
        <v>9.799999999999999</v>
      </c>
      <c r="BF374" s="213">
        <v>4.8999999999999995</v>
      </c>
      <c r="BG374" s="212">
        <v>9.8</v>
      </c>
      <c r="BH374" s="213">
        <v>9.083333333333334</v>
      </c>
      <c r="BI374" s="213">
        <v>0.001697530863263334</v>
      </c>
      <c r="BJ374" s="213">
        <v>0.0018055555556202307</v>
      </c>
      <c r="BK374" s="213">
        <v>261.0</v>
      </c>
      <c r="BL374" s="212">
        <v>5.799999999999999</v>
      </c>
      <c r="BM374" s="213">
        <v>3.875</v>
      </c>
      <c r="BN374" s="213">
        <v>0.003395061726526668</v>
      </c>
      <c r="BO374" s="213">
        <v>0.0036111111112404615</v>
      </c>
      <c r="BP374" s="213">
        <v>130.5</v>
      </c>
      <c r="BQ374" s="192"/>
      <c r="BR374" s="192"/>
    </row>
    <row r="375">
      <c r="A375" s="60"/>
      <c r="B375" s="205">
        <v>3798371.0</v>
      </c>
      <c r="C375" s="205">
        <v>1522116.0</v>
      </c>
      <c r="D375" s="205">
        <v>1.0</v>
      </c>
      <c r="E375" s="207">
        <v>44394.063993055555</v>
      </c>
      <c r="F375" s="207">
        <v>44949.85290509259</v>
      </c>
      <c r="G375" s="207">
        <v>44942.72369212963</v>
      </c>
      <c r="H375" s="63" t="s">
        <v>2705</v>
      </c>
      <c r="I375" s="205">
        <v>174.0</v>
      </c>
      <c r="J375" s="63" t="s">
        <v>2706</v>
      </c>
      <c r="K375" s="205">
        <v>5309909.0</v>
      </c>
      <c r="L375" s="208">
        <v>3.68795</v>
      </c>
      <c r="M375" s="208">
        <v>1.61054</v>
      </c>
      <c r="N375" s="208">
        <v>1.89302</v>
      </c>
      <c r="O375" s="209">
        <v>3.8</v>
      </c>
      <c r="P375" s="209">
        <v>8.2</v>
      </c>
      <c r="Q375" s="209">
        <v>7.0</v>
      </c>
      <c r="R375" s="209">
        <v>3.5</v>
      </c>
      <c r="S375" s="210">
        <v>0.0025462962948950008</v>
      </c>
      <c r="U375" s="205">
        <v>10.0</v>
      </c>
      <c r="V375" s="205">
        <v>2.0</v>
      </c>
      <c r="W375" s="63" t="s">
        <v>2707</v>
      </c>
      <c r="X375" s="210">
        <v>0.002708333333430346</v>
      </c>
      <c r="Y375" s="63" t="s">
        <v>2708</v>
      </c>
      <c r="Z375" s="63" t="s">
        <v>2709</v>
      </c>
      <c r="AA375" s="205">
        <v>0.0</v>
      </c>
      <c r="AB375" s="63" t="s">
        <v>2710</v>
      </c>
      <c r="AC375" s="205">
        <v>382.0</v>
      </c>
      <c r="AD375" s="208">
        <v>9.34082</v>
      </c>
      <c r="AE375" s="205">
        <v>18784.0</v>
      </c>
      <c r="AF375" s="205">
        <v>5438.0</v>
      </c>
      <c r="AG375" s="205">
        <v>316.0</v>
      </c>
      <c r="AH375" s="205">
        <v>370.0</v>
      </c>
      <c r="AI375" s="205">
        <v>3.0</v>
      </c>
      <c r="AJ375" s="205">
        <v>1197.0</v>
      </c>
      <c r="AK375" s="205">
        <v>1.0</v>
      </c>
      <c r="AL375" s="205">
        <v>0.0</v>
      </c>
      <c r="AM375" s="205">
        <v>0.0</v>
      </c>
      <c r="AN375" s="205">
        <v>0.0</v>
      </c>
      <c r="AO375" s="208">
        <v>3.24893</v>
      </c>
      <c r="AP375" s="208">
        <v>3.81715</v>
      </c>
      <c r="AQ375" s="208">
        <v>5.28912</v>
      </c>
      <c r="AR375" s="208">
        <v>2.94239</v>
      </c>
      <c r="AT375" s="192" t="s">
        <v>712</v>
      </c>
      <c r="AU375" s="211" t="s">
        <v>711</v>
      </c>
      <c r="AV375" s="211" t="s">
        <v>2711</v>
      </c>
      <c r="AW375" s="211" t="s">
        <v>2712</v>
      </c>
      <c r="AX375" s="211" t="s">
        <v>712</v>
      </c>
      <c r="AY375" s="212">
        <v>1.9</v>
      </c>
      <c r="AZ375" s="213">
        <v>4.1</v>
      </c>
      <c r="BA375" s="213">
        <v>3.5</v>
      </c>
      <c r="BB375" s="213">
        <v>1.75</v>
      </c>
      <c r="BC375" s="212">
        <v>4.9399999999999995</v>
      </c>
      <c r="BD375" s="213">
        <v>10.0</v>
      </c>
      <c r="BE375" s="213">
        <v>9.799999999999999</v>
      </c>
      <c r="BF375" s="213">
        <v>4.8999999999999995</v>
      </c>
      <c r="BG375" s="212">
        <v>9.8</v>
      </c>
      <c r="BH375" s="213">
        <v>9.083333333333334</v>
      </c>
      <c r="BI375" s="213">
        <v>0.001697530863263334</v>
      </c>
      <c r="BJ375" s="213">
        <v>0.0018055555556202307</v>
      </c>
      <c r="BK375" s="213">
        <v>261.0</v>
      </c>
      <c r="BL375" s="212">
        <v>5.799999999999999</v>
      </c>
      <c r="BM375" s="213">
        <v>3.875</v>
      </c>
      <c r="BN375" s="213">
        <v>0.003395061726526668</v>
      </c>
      <c r="BO375" s="213">
        <v>0.0036111111112404615</v>
      </c>
      <c r="BP375" s="213">
        <v>130.5</v>
      </c>
      <c r="BQ375" s="192"/>
      <c r="BR375" s="192"/>
    </row>
    <row r="376">
      <c r="A376" s="60"/>
      <c r="B376" s="205">
        <v>4134134.0</v>
      </c>
      <c r="C376" s="205">
        <v>1985409.0</v>
      </c>
      <c r="D376" s="205">
        <v>-2.0</v>
      </c>
      <c r="E376" s="207">
        <v>45048.18844907408</v>
      </c>
      <c r="F376" s="215"/>
      <c r="G376" s="207">
        <v>45056.28547453704</v>
      </c>
      <c r="H376" s="63" t="s">
        <v>1030</v>
      </c>
      <c r="I376" s="205">
        <v>181.0</v>
      </c>
      <c r="J376" s="63" t="s">
        <v>430</v>
      </c>
      <c r="K376" s="205">
        <v>1.1194087E7</v>
      </c>
      <c r="L376" s="208">
        <v>5.22745</v>
      </c>
      <c r="M376" s="208">
        <v>2.51099</v>
      </c>
      <c r="N376" s="208">
        <v>2.49298</v>
      </c>
      <c r="O376" s="209">
        <v>4.0</v>
      </c>
      <c r="P376" s="209">
        <v>8.0</v>
      </c>
      <c r="Q376" s="209">
        <v>8.0</v>
      </c>
      <c r="R376" s="209">
        <v>5.0</v>
      </c>
      <c r="S376" s="210">
        <v>0.001747685186273884</v>
      </c>
      <c r="U376" s="205">
        <v>10.0</v>
      </c>
      <c r="V376" s="205">
        <v>3.0</v>
      </c>
      <c r="W376" s="63" t="s">
        <v>2713</v>
      </c>
      <c r="X376" s="210">
        <v>0.0018518518518249039</v>
      </c>
      <c r="Y376" s="63" t="s">
        <v>2714</v>
      </c>
      <c r="Z376" s="63" t="s">
        <v>2715</v>
      </c>
      <c r="AA376" s="205">
        <v>0.0</v>
      </c>
      <c r="AB376" s="63" t="s">
        <v>2716</v>
      </c>
      <c r="AC376" s="205">
        <v>5.0</v>
      </c>
      <c r="AD376" s="208">
        <v>0.0</v>
      </c>
      <c r="AE376" s="205">
        <v>2053.0</v>
      </c>
      <c r="AF376" s="205">
        <v>876.0</v>
      </c>
      <c r="AG376" s="205">
        <v>512.0</v>
      </c>
      <c r="AH376" s="205">
        <v>229.0</v>
      </c>
      <c r="AI376" s="205">
        <v>0.0</v>
      </c>
      <c r="AJ376" s="205">
        <v>1013.0</v>
      </c>
      <c r="AK376" s="205">
        <v>0.0</v>
      </c>
      <c r="AL376" s="205">
        <v>0.0</v>
      </c>
      <c r="AM376" s="205">
        <v>0.0</v>
      </c>
      <c r="AN376" s="205">
        <v>0.0</v>
      </c>
      <c r="AO376" s="208">
        <v>4.8133</v>
      </c>
      <c r="AP376" s="208">
        <v>5.51413</v>
      </c>
      <c r="AQ376" s="208">
        <v>7.52353</v>
      </c>
      <c r="AR376" s="208">
        <v>4.11406</v>
      </c>
      <c r="AT376" s="192" t="s">
        <v>772</v>
      </c>
      <c r="AU376" s="211" t="s">
        <v>771</v>
      </c>
      <c r="AV376" s="211" t="s">
        <v>2717</v>
      </c>
      <c r="AW376" s="211" t="s">
        <v>2718</v>
      </c>
      <c r="AX376" s="211" t="s">
        <v>772</v>
      </c>
      <c r="AY376" s="212">
        <v>2.0</v>
      </c>
      <c r="AZ376" s="213">
        <v>4.0</v>
      </c>
      <c r="BA376" s="213">
        <v>4.0</v>
      </c>
      <c r="BB376" s="213">
        <v>2.5</v>
      </c>
      <c r="BC376" s="212">
        <v>5.2</v>
      </c>
      <c r="BD376" s="213">
        <v>10.0</v>
      </c>
      <c r="BE376" s="213">
        <v>10.0</v>
      </c>
      <c r="BF376" s="213">
        <v>7.0</v>
      </c>
      <c r="BG376" s="212">
        <v>9.666666666666668</v>
      </c>
      <c r="BH376" s="213">
        <v>9.75</v>
      </c>
      <c r="BI376" s="213">
        <v>0.0011651234575159226</v>
      </c>
      <c r="BJ376" s="213">
        <v>0.0012345679012166026</v>
      </c>
      <c r="BK376" s="213">
        <v>271.5</v>
      </c>
      <c r="BL376" s="212">
        <v>5.5</v>
      </c>
      <c r="BM376" s="213">
        <v>5.375</v>
      </c>
      <c r="BN376" s="213">
        <v>0.0023302469150318452</v>
      </c>
      <c r="BO376" s="213">
        <v>0.0024691358024332053</v>
      </c>
      <c r="BP376" s="213">
        <v>135.75</v>
      </c>
      <c r="BQ376" s="192"/>
      <c r="BR376" s="192"/>
    </row>
    <row r="377">
      <c r="A377" s="60"/>
      <c r="B377" s="205">
        <v>34211.0</v>
      </c>
      <c r="C377" s="205">
        <v>8284.0</v>
      </c>
      <c r="D377" s="205">
        <v>1.0</v>
      </c>
      <c r="E377" s="207">
        <v>40020.38008101852</v>
      </c>
      <c r="F377" s="207">
        <v>40058.47144675926</v>
      </c>
      <c r="G377" s="207">
        <v>40056.6946875</v>
      </c>
      <c r="H377" s="63" t="s">
        <v>1653</v>
      </c>
      <c r="I377" s="205">
        <v>240.0</v>
      </c>
      <c r="J377" s="63" t="s">
        <v>2719</v>
      </c>
      <c r="K377" s="205">
        <v>2363.0</v>
      </c>
      <c r="L377" s="208">
        <v>5.27767</v>
      </c>
      <c r="M377" s="208">
        <v>2.19424</v>
      </c>
      <c r="N377" s="208">
        <v>2.77861</v>
      </c>
      <c r="O377" s="209">
        <v>5.0</v>
      </c>
      <c r="P377" s="209">
        <v>8.0</v>
      </c>
      <c r="Q377" s="209">
        <v>8.0</v>
      </c>
      <c r="R377" s="209">
        <v>5.0</v>
      </c>
      <c r="S377" s="210">
        <v>0.001354166666715173</v>
      </c>
      <c r="T377" s="63" t="s">
        <v>2720</v>
      </c>
      <c r="U377" s="205">
        <v>4.0</v>
      </c>
      <c r="V377" s="205">
        <v>3.0</v>
      </c>
      <c r="W377" s="63" t="s">
        <v>2721</v>
      </c>
      <c r="X377" s="210">
        <v>0.0016550925938645378</v>
      </c>
      <c r="Y377" s="63" t="s">
        <v>2722</v>
      </c>
      <c r="Z377" s="63" t="s">
        <v>2723</v>
      </c>
      <c r="AA377" s="205">
        <v>0.0</v>
      </c>
      <c r="AB377" s="63" t="s">
        <v>2724</v>
      </c>
      <c r="AC377" s="205">
        <v>6558.0</v>
      </c>
      <c r="AD377" s="208">
        <v>9.02775</v>
      </c>
      <c r="AE377" s="205">
        <v>1554822.0</v>
      </c>
      <c r="AF377" s="205">
        <v>346921.0</v>
      </c>
      <c r="AG377" s="205">
        <v>326.0</v>
      </c>
      <c r="AH377" s="205">
        <v>221.0</v>
      </c>
      <c r="AI377" s="205">
        <v>1.0</v>
      </c>
      <c r="AJ377" s="205">
        <v>899.0</v>
      </c>
      <c r="AK377" s="205">
        <v>0.0</v>
      </c>
      <c r="AL377" s="205">
        <v>1.0</v>
      </c>
      <c r="AM377" s="205">
        <v>0.0</v>
      </c>
      <c r="AN377" s="205">
        <v>0.0</v>
      </c>
      <c r="AO377" s="208">
        <v>4.88022</v>
      </c>
      <c r="AP377" s="208">
        <v>5.67615</v>
      </c>
      <c r="AQ377" s="208">
        <v>7.86309</v>
      </c>
      <c r="AR377" s="208">
        <v>4.10575</v>
      </c>
      <c r="AT377" s="192" t="s">
        <v>774</v>
      </c>
      <c r="AU377" s="211" t="s">
        <v>773</v>
      </c>
      <c r="AV377" s="211" t="s">
        <v>2725</v>
      </c>
      <c r="AW377" s="211" t="s">
        <v>2726</v>
      </c>
      <c r="AX377" s="211" t="s">
        <v>774</v>
      </c>
      <c r="AY377" s="212">
        <v>2.5</v>
      </c>
      <c r="AZ377" s="213">
        <v>4.0</v>
      </c>
      <c r="BA377" s="213">
        <v>4.0</v>
      </c>
      <c r="BB377" s="213">
        <v>2.5</v>
      </c>
      <c r="BC377" s="212">
        <v>6.5</v>
      </c>
      <c r="BD377" s="213">
        <v>10.0</v>
      </c>
      <c r="BE377" s="213">
        <v>10.0</v>
      </c>
      <c r="BF377" s="213">
        <v>7.0</v>
      </c>
      <c r="BG377" s="212">
        <v>9.666666666666668</v>
      </c>
      <c r="BH377" s="213">
        <v>9.75</v>
      </c>
      <c r="BI377" s="213">
        <v>9.027777778101154E-4</v>
      </c>
      <c r="BJ377" s="213">
        <v>0.0011033950625763584</v>
      </c>
      <c r="BK377" s="213">
        <v>360.0</v>
      </c>
      <c r="BL377" s="212">
        <v>5.5</v>
      </c>
      <c r="BM377" s="213">
        <v>5.375</v>
      </c>
      <c r="BN377" s="213">
        <v>0.0018055555556202307</v>
      </c>
      <c r="BO377" s="213">
        <v>0.002206790125152717</v>
      </c>
      <c r="BP377" s="213">
        <v>180.0</v>
      </c>
      <c r="BQ377" s="192"/>
      <c r="BR377" s="192"/>
    </row>
    <row r="378">
      <c r="A378" s="60"/>
      <c r="B378" s="205">
        <v>1567978.0</v>
      </c>
      <c r="C378" s="205">
        <v>734135.0</v>
      </c>
      <c r="D378" s="205">
        <v>1.0</v>
      </c>
      <c r="E378" s="207">
        <v>43143.76903935186</v>
      </c>
      <c r="F378" s="207">
        <v>43222.958599537036</v>
      </c>
      <c r="G378" s="207">
        <v>43214.73033564815</v>
      </c>
      <c r="H378" s="63" t="s">
        <v>2727</v>
      </c>
      <c r="I378" s="205">
        <v>170.0</v>
      </c>
      <c r="J378" s="63" t="s">
        <v>2420</v>
      </c>
      <c r="K378" s="205">
        <v>5377178.0</v>
      </c>
      <c r="L378" s="208">
        <v>3.86713</v>
      </c>
      <c r="M378" s="208">
        <v>1.87351</v>
      </c>
      <c r="N378" s="208">
        <v>1.82768</v>
      </c>
      <c r="O378" s="209">
        <v>4.2</v>
      </c>
      <c r="P378" s="209">
        <v>8.0</v>
      </c>
      <c r="Q378" s="209">
        <v>7.0</v>
      </c>
      <c r="R378" s="209">
        <v>5.0</v>
      </c>
      <c r="S378" s="210">
        <v>0.0019328703710925765</v>
      </c>
      <c r="T378" s="63" t="s">
        <v>2728</v>
      </c>
      <c r="U378" s="205">
        <v>3.0</v>
      </c>
      <c r="V378" s="205">
        <v>3.0</v>
      </c>
      <c r="W378" s="63" t="s">
        <v>2729</v>
      </c>
      <c r="X378" s="210">
        <v>0.002025462963501923</v>
      </c>
      <c r="Y378" s="63" t="s">
        <v>2730</v>
      </c>
      <c r="Z378" s="63" t="s">
        <v>2731</v>
      </c>
      <c r="AA378" s="205">
        <v>0.0</v>
      </c>
      <c r="AB378" s="63" t="s">
        <v>2732</v>
      </c>
      <c r="AC378" s="205">
        <v>1061.0</v>
      </c>
      <c r="AD378" s="208">
        <v>9.45913</v>
      </c>
      <c r="AE378" s="205">
        <v>276165.0</v>
      </c>
      <c r="AF378" s="205">
        <v>62181.0</v>
      </c>
      <c r="AG378" s="205">
        <v>234.0</v>
      </c>
      <c r="AH378" s="205">
        <v>332.0</v>
      </c>
      <c r="AI378" s="205">
        <v>3.0</v>
      </c>
      <c r="AJ378" s="205">
        <v>990.0</v>
      </c>
      <c r="AK378" s="205">
        <v>0.0</v>
      </c>
      <c r="AL378" s="205">
        <v>0.0</v>
      </c>
      <c r="AM378" s="205">
        <v>0.0</v>
      </c>
      <c r="AN378" s="205">
        <v>0.0</v>
      </c>
      <c r="AO378" s="208">
        <v>3.41034</v>
      </c>
      <c r="AP378" s="208">
        <v>4.10391</v>
      </c>
      <c r="AQ378" s="208">
        <v>5.45063</v>
      </c>
      <c r="AR378" s="208">
        <v>3.09455</v>
      </c>
      <c r="AT378" s="192" t="s">
        <v>779</v>
      </c>
      <c r="AU378" s="211" t="s">
        <v>778</v>
      </c>
      <c r="AV378" s="211" t="s">
        <v>2733</v>
      </c>
      <c r="AW378" s="211" t="s">
        <v>2734</v>
      </c>
      <c r="AX378" s="211" t="s">
        <v>779</v>
      </c>
      <c r="AY378" s="212">
        <v>2.1</v>
      </c>
      <c r="AZ378" s="213">
        <v>4.0</v>
      </c>
      <c r="BA378" s="213">
        <v>3.5</v>
      </c>
      <c r="BB378" s="213">
        <v>2.5</v>
      </c>
      <c r="BC378" s="212">
        <v>5.460000000000001</v>
      </c>
      <c r="BD378" s="213">
        <v>10.0</v>
      </c>
      <c r="BE378" s="213">
        <v>9.799999999999999</v>
      </c>
      <c r="BF378" s="213">
        <v>7.0</v>
      </c>
      <c r="BG378" s="212">
        <v>9.666666666666668</v>
      </c>
      <c r="BH378" s="213">
        <v>9.083333333333334</v>
      </c>
      <c r="BI378" s="213">
        <v>0.001288580247395051</v>
      </c>
      <c r="BJ378" s="213">
        <v>0.0013503086423346151</v>
      </c>
      <c r="BK378" s="213">
        <v>255.0</v>
      </c>
      <c r="BL378" s="212">
        <v>5.5</v>
      </c>
      <c r="BM378" s="213">
        <v>3.875</v>
      </c>
      <c r="BN378" s="213">
        <v>0.002577160494790102</v>
      </c>
      <c r="BO378" s="213">
        <v>0.0027006172846692302</v>
      </c>
      <c r="BP378" s="213">
        <v>127.5</v>
      </c>
      <c r="BQ378" s="192"/>
      <c r="BR378" s="192"/>
    </row>
    <row r="379">
      <c r="A379" s="60"/>
      <c r="B379" s="205">
        <v>1045757.0</v>
      </c>
      <c r="C379" s="205">
        <v>490662.0</v>
      </c>
      <c r="D379" s="205">
        <v>1.0</v>
      </c>
      <c r="E379" s="207">
        <v>42585.365532407406</v>
      </c>
      <c r="F379" s="207">
        <v>42680.56966435185</v>
      </c>
      <c r="G379" s="207">
        <v>42673.512812500005</v>
      </c>
      <c r="H379" s="63" t="s">
        <v>2735</v>
      </c>
      <c r="I379" s="205">
        <v>170.0</v>
      </c>
      <c r="J379" s="63" t="s">
        <v>2736</v>
      </c>
      <c r="K379" s="205">
        <v>2127359.0</v>
      </c>
      <c r="L379" s="208">
        <v>5.89465</v>
      </c>
      <c r="M379" s="208">
        <v>2.84305</v>
      </c>
      <c r="N379" s="208">
        <v>2.79929</v>
      </c>
      <c r="O379" s="209">
        <v>4.0</v>
      </c>
      <c r="P379" s="209">
        <v>9.2</v>
      </c>
      <c r="Q379" s="209">
        <v>8.5</v>
      </c>
      <c r="R379" s="209">
        <v>6.0</v>
      </c>
      <c r="S379" s="210">
        <v>0.003402777776500443</v>
      </c>
      <c r="T379" s="63" t="s">
        <v>2737</v>
      </c>
      <c r="U379" s="205">
        <v>2.0</v>
      </c>
      <c r="V379" s="205">
        <v>3.0</v>
      </c>
      <c r="W379" s="63" t="s">
        <v>2738</v>
      </c>
      <c r="X379" s="210">
        <v>0.003402777776500443</v>
      </c>
      <c r="Y379" s="63" t="s">
        <v>2739</v>
      </c>
      <c r="Z379" s="63" t="s">
        <v>2740</v>
      </c>
      <c r="AA379" s="205">
        <v>0.0</v>
      </c>
      <c r="AB379" s="63" t="s">
        <v>2741</v>
      </c>
      <c r="AC379" s="205">
        <v>1875.0</v>
      </c>
      <c r="AD379" s="208">
        <v>9.79497</v>
      </c>
      <c r="AE379" s="205">
        <v>1022668.0</v>
      </c>
      <c r="AF379" s="205">
        <v>121858.0</v>
      </c>
      <c r="AG379" s="205">
        <v>1088.0</v>
      </c>
      <c r="AH379" s="205">
        <v>543.0</v>
      </c>
      <c r="AI379" s="205">
        <v>1.0</v>
      </c>
      <c r="AJ379" s="205">
        <v>2257.0</v>
      </c>
      <c r="AK379" s="205">
        <v>0.0</v>
      </c>
      <c r="AL379" s="205">
        <v>0.0</v>
      </c>
      <c r="AM379" s="205">
        <v>0.0</v>
      </c>
      <c r="AN379" s="205">
        <v>0.0</v>
      </c>
      <c r="AO379" s="208">
        <v>5.42845</v>
      </c>
      <c r="AP379" s="208">
        <v>6.22098</v>
      </c>
      <c r="AQ379" s="208">
        <v>8.63111</v>
      </c>
      <c r="AR379" s="208">
        <v>4.59178</v>
      </c>
      <c r="AT379" s="192" t="s">
        <v>783</v>
      </c>
      <c r="AU379" s="211" t="s">
        <v>782</v>
      </c>
      <c r="AV379" s="211" t="s">
        <v>2742</v>
      </c>
      <c r="AW379" s="211" t="s">
        <v>2743</v>
      </c>
      <c r="AX379" s="211" t="s">
        <v>783</v>
      </c>
      <c r="AY379" s="212">
        <v>2.0</v>
      </c>
      <c r="AZ379" s="213">
        <v>4.6</v>
      </c>
      <c r="BA379" s="213">
        <v>4.25</v>
      </c>
      <c r="BB379" s="213">
        <v>3.0</v>
      </c>
      <c r="BC379" s="212">
        <v>5.2</v>
      </c>
      <c r="BD379" s="213">
        <v>10.0</v>
      </c>
      <c r="BE379" s="213">
        <v>10.0</v>
      </c>
      <c r="BF379" s="213">
        <v>8.399999999999999</v>
      </c>
      <c r="BG379" s="212">
        <v>10.466666666666667</v>
      </c>
      <c r="BH379" s="213">
        <v>10.083333333333334</v>
      </c>
      <c r="BI379" s="213">
        <v>0.002268518517666962</v>
      </c>
      <c r="BJ379" s="213">
        <v>0.002268518517666962</v>
      </c>
      <c r="BK379" s="213">
        <v>255.0</v>
      </c>
      <c r="BL379" s="212">
        <v>7.299999999999999</v>
      </c>
      <c r="BM379" s="213">
        <v>6.125</v>
      </c>
      <c r="BN379" s="213">
        <v>0.004537037035333924</v>
      </c>
      <c r="BO379" s="213">
        <v>0.004537037035333924</v>
      </c>
      <c r="BP379" s="213">
        <v>127.5</v>
      </c>
      <c r="BQ379" s="192"/>
      <c r="BR379" s="192"/>
    </row>
    <row r="380">
      <c r="A380" s="60"/>
      <c r="B380" s="205">
        <v>3412490.0</v>
      </c>
      <c r="C380" s="205">
        <v>1670825.0</v>
      </c>
      <c r="D380" s="205">
        <v>-2.0</v>
      </c>
      <c r="E380" s="207">
        <v>44570.945439814815</v>
      </c>
      <c r="F380" s="215"/>
      <c r="G380" s="207">
        <v>45019.39701388888</v>
      </c>
      <c r="H380" s="63" t="s">
        <v>2744</v>
      </c>
      <c r="I380" s="205">
        <v>205.0</v>
      </c>
      <c r="J380" s="63" t="s">
        <v>2745</v>
      </c>
      <c r="K380" s="205">
        <v>1886722.0</v>
      </c>
      <c r="L380" s="208">
        <v>5.7563</v>
      </c>
      <c r="M380" s="208">
        <v>3.00569</v>
      </c>
      <c r="N380" s="208">
        <v>2.4355</v>
      </c>
      <c r="O380" s="209">
        <v>4.0</v>
      </c>
      <c r="P380" s="209">
        <v>9.2</v>
      </c>
      <c r="Q380" s="209">
        <v>8.5</v>
      </c>
      <c r="R380" s="209">
        <v>6.0</v>
      </c>
      <c r="S380" s="210">
        <v>0.0014236111128411721</v>
      </c>
      <c r="U380" s="205">
        <v>5.0</v>
      </c>
      <c r="V380" s="205">
        <v>2.0</v>
      </c>
      <c r="W380" s="63" t="s">
        <v>2746</v>
      </c>
      <c r="X380" s="210">
        <v>0.0015393518515338656</v>
      </c>
      <c r="Y380" s="63" t="s">
        <v>2747</v>
      </c>
      <c r="Z380" s="63" t="s">
        <v>2748</v>
      </c>
      <c r="AA380" s="205">
        <v>0.0</v>
      </c>
      <c r="AB380" s="63" t="s">
        <v>2749</v>
      </c>
      <c r="AC380" s="205">
        <v>345.0</v>
      </c>
      <c r="AD380" s="208">
        <v>0.0</v>
      </c>
      <c r="AE380" s="205">
        <v>2485.0</v>
      </c>
      <c r="AF380" s="205">
        <v>613.0</v>
      </c>
      <c r="AG380" s="205">
        <v>276.0</v>
      </c>
      <c r="AH380" s="205">
        <v>268.0</v>
      </c>
      <c r="AI380" s="205">
        <v>0.0</v>
      </c>
      <c r="AJ380" s="205">
        <v>821.0</v>
      </c>
      <c r="AK380" s="205">
        <v>1.0</v>
      </c>
      <c r="AL380" s="205">
        <v>0.0</v>
      </c>
      <c r="AM380" s="205">
        <v>0.0</v>
      </c>
      <c r="AN380" s="205">
        <v>0.0</v>
      </c>
      <c r="AO380" s="208">
        <v>5.30061</v>
      </c>
      <c r="AP380" s="208">
        <v>6.11261</v>
      </c>
      <c r="AQ380" s="208">
        <v>8.22662</v>
      </c>
      <c r="AR380" s="208">
        <v>4.53433</v>
      </c>
      <c r="AT380" s="192" t="s">
        <v>786</v>
      </c>
      <c r="AU380" s="211" t="s">
        <v>785</v>
      </c>
      <c r="AV380" s="211" t="s">
        <v>2750</v>
      </c>
      <c r="AW380" s="211" t="s">
        <v>2751</v>
      </c>
      <c r="AX380" s="211" t="s">
        <v>786</v>
      </c>
      <c r="AY380" s="212">
        <v>2.0</v>
      </c>
      <c r="AZ380" s="213">
        <v>4.6</v>
      </c>
      <c r="BA380" s="213">
        <v>4.25</v>
      </c>
      <c r="BB380" s="213">
        <v>3.0</v>
      </c>
      <c r="BC380" s="212">
        <v>5.2</v>
      </c>
      <c r="BD380" s="213">
        <v>10.0</v>
      </c>
      <c r="BE380" s="213">
        <v>10.0</v>
      </c>
      <c r="BF380" s="213">
        <v>8.399999999999999</v>
      </c>
      <c r="BG380" s="212">
        <v>10.466666666666667</v>
      </c>
      <c r="BH380" s="213">
        <v>10.083333333333334</v>
      </c>
      <c r="BI380" s="213">
        <v>9.490740752274481E-4</v>
      </c>
      <c r="BJ380" s="213">
        <v>0.0010262345676892437</v>
      </c>
      <c r="BK380" s="213">
        <v>307.5</v>
      </c>
      <c r="BL380" s="212">
        <v>7.299999999999999</v>
      </c>
      <c r="BM380" s="213">
        <v>6.125</v>
      </c>
      <c r="BN380" s="213">
        <v>0.0018981481504548963</v>
      </c>
      <c r="BO380" s="213">
        <v>0.0020524691353784874</v>
      </c>
      <c r="BP380" s="213">
        <v>153.75</v>
      </c>
      <c r="BQ380" s="192"/>
      <c r="BR380" s="192"/>
    </row>
    <row r="381">
      <c r="A381" s="60"/>
      <c r="B381" s="205">
        <v>2015481.0</v>
      </c>
      <c r="C381" s="205">
        <v>962568.0</v>
      </c>
      <c r="D381" s="205">
        <v>1.0</v>
      </c>
      <c r="E381" s="207">
        <v>43581.83505787037</v>
      </c>
      <c r="F381" s="207">
        <v>43618.18056712963</v>
      </c>
      <c r="G381" s="207">
        <v>43617.01302083333</v>
      </c>
      <c r="H381" s="63" t="s">
        <v>2515</v>
      </c>
      <c r="I381" s="205">
        <v>170.0</v>
      </c>
      <c r="J381" s="63" t="s">
        <v>2752</v>
      </c>
      <c r="K381" s="205">
        <v>4696296.0</v>
      </c>
      <c r="L381" s="208">
        <v>5.00712</v>
      </c>
      <c r="M381" s="208">
        <v>2.48856</v>
      </c>
      <c r="N381" s="208">
        <v>2.29542</v>
      </c>
      <c r="O381" s="209">
        <v>5.0</v>
      </c>
      <c r="P381" s="209">
        <v>9.0</v>
      </c>
      <c r="Q381" s="209">
        <v>8.6</v>
      </c>
      <c r="R381" s="209">
        <v>6.0</v>
      </c>
      <c r="S381" s="210">
        <v>0.0022569444445252884</v>
      </c>
      <c r="T381" s="63" t="s">
        <v>1200</v>
      </c>
      <c r="U381" s="205">
        <v>2.0</v>
      </c>
      <c r="V381" s="205">
        <v>3.0</v>
      </c>
      <c r="W381" s="63" t="s">
        <v>2753</v>
      </c>
      <c r="X381" s="210">
        <v>0.0023726851868559606</v>
      </c>
      <c r="Y381" s="63" t="s">
        <v>2754</v>
      </c>
      <c r="Z381" s="63" t="s">
        <v>2755</v>
      </c>
      <c r="AA381" s="205">
        <v>0.0</v>
      </c>
      <c r="AB381" s="63" t="s">
        <v>2756</v>
      </c>
      <c r="AC381" s="205">
        <v>384.0</v>
      </c>
      <c r="AD381" s="208">
        <v>9.37408</v>
      </c>
      <c r="AE381" s="205">
        <v>32157.0</v>
      </c>
      <c r="AF381" s="205">
        <v>3771.0</v>
      </c>
      <c r="AG381" s="205">
        <v>650.0</v>
      </c>
      <c r="AH381" s="205">
        <v>203.0</v>
      </c>
      <c r="AI381" s="205">
        <v>1.0</v>
      </c>
      <c r="AJ381" s="205">
        <v>1108.0</v>
      </c>
      <c r="AK381" s="205">
        <v>0.0</v>
      </c>
      <c r="AL381" s="205">
        <v>0.0</v>
      </c>
      <c r="AM381" s="205">
        <v>0.0</v>
      </c>
      <c r="AN381" s="205">
        <v>0.0</v>
      </c>
      <c r="AO381" s="208">
        <v>4.53107</v>
      </c>
      <c r="AP381" s="208">
        <v>5.59746</v>
      </c>
      <c r="AQ381" s="208">
        <v>7.14293</v>
      </c>
      <c r="AR381" s="208">
        <v>3.94193</v>
      </c>
      <c r="AT381" s="192" t="s">
        <v>790</v>
      </c>
      <c r="AU381" s="211" t="s">
        <v>789</v>
      </c>
      <c r="AV381" s="211" t="s">
        <v>2757</v>
      </c>
      <c r="AW381" s="211" t="s">
        <v>2758</v>
      </c>
      <c r="AX381" s="211" t="s">
        <v>790</v>
      </c>
      <c r="AY381" s="212">
        <v>2.5</v>
      </c>
      <c r="AZ381" s="213">
        <v>4.5</v>
      </c>
      <c r="BA381" s="213">
        <v>4.3</v>
      </c>
      <c r="BB381" s="213">
        <v>3.0</v>
      </c>
      <c r="BC381" s="212">
        <v>6.5</v>
      </c>
      <c r="BD381" s="213">
        <v>10.0</v>
      </c>
      <c r="BE381" s="213">
        <v>10.0</v>
      </c>
      <c r="BF381" s="213">
        <v>8.399999999999999</v>
      </c>
      <c r="BG381" s="212">
        <v>10.333333333333332</v>
      </c>
      <c r="BH381" s="213">
        <v>10.149999999999999</v>
      </c>
      <c r="BI381" s="213">
        <v>0.0015046296296835255</v>
      </c>
      <c r="BJ381" s="213">
        <v>0.0015817901245706405</v>
      </c>
      <c r="BK381" s="213">
        <v>255.0</v>
      </c>
      <c r="BL381" s="212">
        <v>7.0</v>
      </c>
      <c r="BM381" s="213">
        <v>6.274999999999999</v>
      </c>
      <c r="BN381" s="213">
        <v>0.003009259259367051</v>
      </c>
      <c r="BO381" s="213">
        <v>0.003163580249141281</v>
      </c>
      <c r="BP381" s="213">
        <v>127.5</v>
      </c>
      <c r="BQ381" s="192"/>
      <c r="BR381" s="192"/>
    </row>
    <row r="382">
      <c r="A382" s="60"/>
      <c r="B382" s="205">
        <v>3333734.0</v>
      </c>
      <c r="C382" s="205">
        <v>1633242.0</v>
      </c>
      <c r="D382" s="205">
        <v>-2.0</v>
      </c>
      <c r="E382" s="207">
        <v>44521.90012731482</v>
      </c>
      <c r="F382" s="215"/>
      <c r="G382" s="207">
        <v>44521.900231481486</v>
      </c>
      <c r="H382" s="63" t="s">
        <v>1009</v>
      </c>
      <c r="I382" s="205">
        <v>128.0</v>
      </c>
      <c r="J382" s="63" t="s">
        <v>139</v>
      </c>
      <c r="K382" s="205">
        <v>918297.0</v>
      </c>
      <c r="L382" s="208">
        <v>4.95585</v>
      </c>
      <c r="M382" s="208">
        <v>2.51381</v>
      </c>
      <c r="N382" s="208">
        <v>2.20689</v>
      </c>
      <c r="O382" s="209">
        <v>4.0</v>
      </c>
      <c r="P382" s="209">
        <v>8.7</v>
      </c>
      <c r="Q382" s="209">
        <v>7.5</v>
      </c>
      <c r="R382" s="209">
        <v>5.0</v>
      </c>
      <c r="S382" s="210">
        <v>0.0021874999983992893</v>
      </c>
      <c r="T382" s="63" t="s">
        <v>2759</v>
      </c>
      <c r="U382" s="205">
        <v>10.0</v>
      </c>
      <c r="V382" s="205">
        <v>5.0</v>
      </c>
      <c r="W382" s="63" t="s">
        <v>2760</v>
      </c>
      <c r="X382" s="210">
        <v>0.002442129629343981</v>
      </c>
      <c r="Y382" s="63" t="s">
        <v>2761</v>
      </c>
      <c r="Z382" s="63" t="s">
        <v>2762</v>
      </c>
      <c r="AA382" s="205">
        <v>0.0</v>
      </c>
      <c r="AB382" s="63" t="s">
        <v>2763</v>
      </c>
      <c r="AC382" s="205">
        <v>24.0</v>
      </c>
      <c r="AD382" s="208">
        <v>0.0</v>
      </c>
      <c r="AE382" s="205">
        <v>12007.0</v>
      </c>
      <c r="AF382" s="205">
        <v>1629.0</v>
      </c>
      <c r="AG382" s="205">
        <v>498.0</v>
      </c>
      <c r="AH382" s="205">
        <v>405.0</v>
      </c>
      <c r="AI382" s="205">
        <v>0.0</v>
      </c>
      <c r="AJ382" s="205">
        <v>1349.0</v>
      </c>
      <c r="AK382" s="205">
        <v>0.0</v>
      </c>
      <c r="AL382" s="205">
        <v>0.0</v>
      </c>
      <c r="AM382" s="205">
        <v>0.0</v>
      </c>
      <c r="AN382" s="205">
        <v>0.0</v>
      </c>
      <c r="AO382" s="208">
        <v>4.48329</v>
      </c>
      <c r="AP382" s="208">
        <v>5.41149</v>
      </c>
      <c r="AQ382" s="208">
        <v>7.03219</v>
      </c>
      <c r="AR382" s="208">
        <v>3.89699</v>
      </c>
      <c r="AT382" s="192" t="s">
        <v>797</v>
      </c>
      <c r="AU382" s="211" t="s">
        <v>802</v>
      </c>
      <c r="AV382" s="211" t="s">
        <v>2764</v>
      </c>
      <c r="AW382" s="211" t="s">
        <v>2765</v>
      </c>
      <c r="AX382" s="211" t="s">
        <v>797</v>
      </c>
      <c r="AY382" s="212">
        <v>2.0</v>
      </c>
      <c r="AZ382" s="213">
        <v>4.35</v>
      </c>
      <c r="BA382" s="213">
        <v>3.75</v>
      </c>
      <c r="BB382" s="213">
        <v>2.5</v>
      </c>
      <c r="BC382" s="212">
        <v>5.2</v>
      </c>
      <c r="BD382" s="213">
        <v>10.0</v>
      </c>
      <c r="BE382" s="213">
        <v>10.0</v>
      </c>
      <c r="BF382" s="213">
        <v>7.0</v>
      </c>
      <c r="BG382" s="212">
        <v>10.133333333333333</v>
      </c>
      <c r="BH382" s="213">
        <v>9.416666666666666</v>
      </c>
      <c r="BI382" s="213">
        <v>0.0014583333322661929</v>
      </c>
      <c r="BJ382" s="213">
        <v>0.0016280864195626539</v>
      </c>
      <c r="BK382" s="213">
        <v>192.0</v>
      </c>
      <c r="BL382" s="212">
        <v>6.549999999999999</v>
      </c>
      <c r="BM382" s="213">
        <v>4.625</v>
      </c>
      <c r="BN382" s="213">
        <v>0.0029166666645323858</v>
      </c>
      <c r="BO382" s="213">
        <v>0.0032561728391253078</v>
      </c>
      <c r="BP382" s="213">
        <v>96.0</v>
      </c>
      <c r="BQ382" s="192"/>
      <c r="BR382" s="192"/>
    </row>
    <row r="383">
      <c r="A383" s="60"/>
      <c r="B383" s="205">
        <v>2839573.0</v>
      </c>
      <c r="C383" s="205">
        <v>769346.0</v>
      </c>
      <c r="D383" s="205">
        <v>1.0</v>
      </c>
      <c r="E383" s="207">
        <v>43212.80373842592</v>
      </c>
      <c r="F383" s="207">
        <v>44705.78184027778</v>
      </c>
      <c r="G383" s="207">
        <v>44685.75545138889</v>
      </c>
      <c r="H383" s="63" t="s">
        <v>2766</v>
      </c>
      <c r="I383" s="205">
        <v>225.0</v>
      </c>
      <c r="J383" s="63" t="s">
        <v>2767</v>
      </c>
      <c r="K383" s="205">
        <v>7024544.0</v>
      </c>
      <c r="L383" s="208">
        <v>5.46302</v>
      </c>
      <c r="M383" s="208">
        <v>2.54798</v>
      </c>
      <c r="N383" s="208">
        <v>2.6778</v>
      </c>
      <c r="O383" s="209">
        <v>4.0</v>
      </c>
      <c r="P383" s="209">
        <v>9.2</v>
      </c>
      <c r="Q383" s="209">
        <v>8.3</v>
      </c>
      <c r="R383" s="209">
        <v>5.2</v>
      </c>
      <c r="S383" s="210">
        <v>0.0027199074065720197</v>
      </c>
      <c r="U383" s="205">
        <v>11.0</v>
      </c>
      <c r="V383" s="205">
        <v>2.0</v>
      </c>
      <c r="W383" s="63" t="s">
        <v>2768</v>
      </c>
      <c r="X383" s="210">
        <v>0.002881944445107365</v>
      </c>
      <c r="Y383" s="63" t="s">
        <v>2769</v>
      </c>
      <c r="Z383" s="63" t="s">
        <v>2770</v>
      </c>
      <c r="AA383" s="205">
        <v>0.0</v>
      </c>
      <c r="AB383" s="63" t="s">
        <v>2771</v>
      </c>
      <c r="AC383" s="205">
        <v>291.0</v>
      </c>
      <c r="AD383" s="208">
        <v>9.64807</v>
      </c>
      <c r="AE383" s="205">
        <v>55630.0</v>
      </c>
      <c r="AF383" s="205">
        <v>12284.0</v>
      </c>
      <c r="AG383" s="205">
        <v>670.0</v>
      </c>
      <c r="AH383" s="205">
        <v>430.0</v>
      </c>
      <c r="AI383" s="205">
        <v>0.0</v>
      </c>
      <c r="AJ383" s="205">
        <v>1820.0</v>
      </c>
      <c r="AK383" s="205">
        <v>1.0</v>
      </c>
      <c r="AL383" s="205">
        <v>0.0</v>
      </c>
      <c r="AM383" s="205">
        <v>0.0</v>
      </c>
      <c r="AN383" s="205">
        <v>0.0</v>
      </c>
      <c r="AO383" s="208">
        <v>4.87643</v>
      </c>
      <c r="AP383" s="208">
        <v>5.72175</v>
      </c>
      <c r="AQ383" s="208">
        <v>8.24726</v>
      </c>
      <c r="AR383" s="208">
        <v>4.29342</v>
      </c>
      <c r="AT383" s="192" t="s">
        <v>714</v>
      </c>
      <c r="AU383" s="211" t="s">
        <v>713</v>
      </c>
      <c r="AV383" s="211" t="s">
        <v>2772</v>
      </c>
      <c r="AW383" s="211" t="s">
        <v>2773</v>
      </c>
      <c r="AX383" s="211" t="s">
        <v>714</v>
      </c>
      <c r="AY383" s="212">
        <v>2.0</v>
      </c>
      <c r="AZ383" s="213">
        <v>4.6</v>
      </c>
      <c r="BA383" s="213">
        <v>4.15</v>
      </c>
      <c r="BB383" s="213">
        <v>2.6</v>
      </c>
      <c r="BC383" s="212">
        <v>5.2</v>
      </c>
      <c r="BD383" s="213">
        <v>10.0</v>
      </c>
      <c r="BE383" s="213">
        <v>10.0</v>
      </c>
      <c r="BF383" s="213">
        <v>7.279999999999999</v>
      </c>
      <c r="BG383" s="212">
        <v>10.466666666666667</v>
      </c>
      <c r="BH383" s="213">
        <v>9.950000000000001</v>
      </c>
      <c r="BI383" s="213">
        <v>0.0018132716043813464</v>
      </c>
      <c r="BJ383" s="213">
        <v>0.0019212962967382434</v>
      </c>
      <c r="BK383" s="213">
        <v>337.5</v>
      </c>
      <c r="BL383" s="212">
        <v>7.299999999999999</v>
      </c>
      <c r="BM383" s="213">
        <v>5.825</v>
      </c>
      <c r="BN383" s="213">
        <v>0.0036265432087626928</v>
      </c>
      <c r="BO383" s="213">
        <v>0.003842592593476487</v>
      </c>
      <c r="BP383" s="213">
        <v>168.75</v>
      </c>
      <c r="BQ383" s="192"/>
      <c r="BR383" s="192"/>
    </row>
    <row r="384">
      <c r="A384" s="60"/>
      <c r="B384" s="205">
        <v>3711739.0</v>
      </c>
      <c r="C384" s="205">
        <v>1809661.0</v>
      </c>
      <c r="D384" s="205">
        <v>-2.0</v>
      </c>
      <c r="E384" s="207">
        <v>44760.693240740744</v>
      </c>
      <c r="F384" s="215"/>
      <c r="G384" s="207">
        <v>44760.69375</v>
      </c>
      <c r="H384" s="63" t="s">
        <v>1028</v>
      </c>
      <c r="I384" s="205">
        <v>230.0</v>
      </c>
      <c r="J384" s="63" t="s">
        <v>364</v>
      </c>
      <c r="K384" s="205">
        <v>1.0660777E7</v>
      </c>
      <c r="L384" s="208">
        <v>5.57368</v>
      </c>
      <c r="M384" s="208">
        <v>2.22961</v>
      </c>
      <c r="N384" s="208">
        <v>2.9818</v>
      </c>
      <c r="O384" s="209">
        <v>4.0</v>
      </c>
      <c r="P384" s="209">
        <v>9.0</v>
      </c>
      <c r="Q384" s="209">
        <v>8.0</v>
      </c>
      <c r="R384" s="209">
        <v>5.0</v>
      </c>
      <c r="S384" s="210">
        <v>0.0013773148129985202</v>
      </c>
      <c r="U384" s="205">
        <v>10.0</v>
      </c>
      <c r="V384" s="205">
        <v>5.0</v>
      </c>
      <c r="W384" s="63" t="s">
        <v>2774</v>
      </c>
      <c r="X384" s="210">
        <v>0.0017592592594155576</v>
      </c>
      <c r="Y384" s="63" t="s">
        <v>2253</v>
      </c>
      <c r="Z384" s="63" t="s">
        <v>2775</v>
      </c>
      <c r="AA384" s="205">
        <v>0.0</v>
      </c>
      <c r="AB384" s="63" t="s">
        <v>2776</v>
      </c>
      <c r="AC384" s="205">
        <v>1.0</v>
      </c>
      <c r="AD384" s="208">
        <v>0.0</v>
      </c>
      <c r="AE384" s="205">
        <v>2134.0</v>
      </c>
      <c r="AF384" s="205">
        <v>936.0</v>
      </c>
      <c r="AG384" s="205">
        <v>486.0</v>
      </c>
      <c r="AH384" s="205">
        <v>235.0</v>
      </c>
      <c r="AI384" s="205">
        <v>0.0</v>
      </c>
      <c r="AJ384" s="205">
        <v>1323.0</v>
      </c>
      <c r="AK384" s="205">
        <v>0.0</v>
      </c>
      <c r="AL384" s="205">
        <v>0.0</v>
      </c>
      <c r="AM384" s="205">
        <v>0.0</v>
      </c>
      <c r="AN384" s="205">
        <v>0.0</v>
      </c>
      <c r="AO384" s="208">
        <v>5.05205</v>
      </c>
      <c r="AP384" s="208">
        <v>5.73998</v>
      </c>
      <c r="AQ384" s="208">
        <v>8.7487</v>
      </c>
      <c r="AR384" s="208">
        <v>4.35123</v>
      </c>
      <c r="AT384" s="192" t="s">
        <v>717</v>
      </c>
      <c r="AU384" s="211" t="s">
        <v>716</v>
      </c>
      <c r="AV384" s="211" t="s">
        <v>2777</v>
      </c>
      <c r="AW384" s="211" t="s">
        <v>2778</v>
      </c>
      <c r="AX384" s="211" t="s">
        <v>717</v>
      </c>
      <c r="AY384" s="212">
        <v>2.0</v>
      </c>
      <c r="AZ384" s="213">
        <v>4.5</v>
      </c>
      <c r="BA384" s="213">
        <v>4.0</v>
      </c>
      <c r="BB384" s="213">
        <v>2.5</v>
      </c>
      <c r="BC384" s="212">
        <v>5.2</v>
      </c>
      <c r="BD384" s="213">
        <v>10.0</v>
      </c>
      <c r="BE384" s="213">
        <v>10.0</v>
      </c>
      <c r="BF384" s="213">
        <v>7.0</v>
      </c>
      <c r="BG384" s="212">
        <v>10.333333333333332</v>
      </c>
      <c r="BH384" s="213">
        <v>9.75</v>
      </c>
      <c r="BI384" s="213">
        <v>9.182098753323468E-4</v>
      </c>
      <c r="BJ384" s="213">
        <v>0.0011728395062770385</v>
      </c>
      <c r="BK384" s="213">
        <v>345.0</v>
      </c>
      <c r="BL384" s="212">
        <v>7.0</v>
      </c>
      <c r="BM384" s="213">
        <v>5.375</v>
      </c>
      <c r="BN384" s="213">
        <v>0.0018364197506646935</v>
      </c>
      <c r="BO384" s="213">
        <v>0.002345679012554077</v>
      </c>
      <c r="BP384" s="213">
        <v>172.5</v>
      </c>
      <c r="BQ384" s="192"/>
      <c r="BR384" s="192"/>
    </row>
    <row r="385">
      <c r="A385" s="60"/>
      <c r="B385" s="205">
        <v>3711739.0</v>
      </c>
      <c r="C385" s="205">
        <v>1809661.0</v>
      </c>
      <c r="D385" s="205">
        <v>-2.0</v>
      </c>
      <c r="E385" s="207">
        <v>44760.693240740744</v>
      </c>
      <c r="F385" s="215"/>
      <c r="G385" s="207">
        <v>44760.69375</v>
      </c>
      <c r="H385" s="63" t="s">
        <v>1028</v>
      </c>
      <c r="I385" s="205">
        <v>230.0</v>
      </c>
      <c r="J385" s="63" t="s">
        <v>364</v>
      </c>
      <c r="K385" s="205">
        <v>1.0660777E7</v>
      </c>
      <c r="L385" s="208">
        <v>5.57368</v>
      </c>
      <c r="M385" s="208">
        <v>2.22961</v>
      </c>
      <c r="N385" s="208">
        <v>2.9818</v>
      </c>
      <c r="O385" s="209">
        <v>4.0</v>
      </c>
      <c r="P385" s="209">
        <v>9.0</v>
      </c>
      <c r="Q385" s="209">
        <v>8.0</v>
      </c>
      <c r="R385" s="209">
        <v>5.0</v>
      </c>
      <c r="S385" s="210">
        <v>0.0013773148129985202</v>
      </c>
      <c r="U385" s="205">
        <v>10.0</v>
      </c>
      <c r="V385" s="205">
        <v>5.0</v>
      </c>
      <c r="W385" s="63" t="s">
        <v>2774</v>
      </c>
      <c r="X385" s="210">
        <v>0.0017592592594155576</v>
      </c>
      <c r="Y385" s="63" t="s">
        <v>2253</v>
      </c>
      <c r="Z385" s="63" t="s">
        <v>2775</v>
      </c>
      <c r="AA385" s="205">
        <v>0.0</v>
      </c>
      <c r="AB385" s="63" t="s">
        <v>2776</v>
      </c>
      <c r="AC385" s="205">
        <v>1.0</v>
      </c>
      <c r="AD385" s="208">
        <v>0.0</v>
      </c>
      <c r="AE385" s="205">
        <v>2134.0</v>
      </c>
      <c r="AF385" s="205">
        <v>936.0</v>
      </c>
      <c r="AG385" s="205">
        <v>486.0</v>
      </c>
      <c r="AH385" s="205">
        <v>235.0</v>
      </c>
      <c r="AI385" s="205">
        <v>0.0</v>
      </c>
      <c r="AJ385" s="205">
        <v>1323.0</v>
      </c>
      <c r="AK385" s="205">
        <v>0.0</v>
      </c>
      <c r="AL385" s="205">
        <v>0.0</v>
      </c>
      <c r="AM385" s="205">
        <v>0.0</v>
      </c>
      <c r="AN385" s="205">
        <v>0.0</v>
      </c>
      <c r="AO385" s="208">
        <v>5.05205</v>
      </c>
      <c r="AP385" s="208">
        <v>5.73998</v>
      </c>
      <c r="AQ385" s="208">
        <v>8.7487</v>
      </c>
      <c r="AR385" s="208">
        <v>4.35123</v>
      </c>
      <c r="AT385" s="192" t="s">
        <v>717</v>
      </c>
      <c r="AU385" s="211" t="s">
        <v>716</v>
      </c>
      <c r="AV385" s="211" t="s">
        <v>2777</v>
      </c>
      <c r="AW385" s="211" t="s">
        <v>2778</v>
      </c>
      <c r="AX385" s="211" t="s">
        <v>717</v>
      </c>
      <c r="AY385" s="212">
        <v>2.0</v>
      </c>
      <c r="AZ385" s="213">
        <v>4.5</v>
      </c>
      <c r="BA385" s="213">
        <v>4.0</v>
      </c>
      <c r="BB385" s="213">
        <v>2.5</v>
      </c>
      <c r="BC385" s="212">
        <v>5.2</v>
      </c>
      <c r="BD385" s="213">
        <v>10.0</v>
      </c>
      <c r="BE385" s="213">
        <v>10.0</v>
      </c>
      <c r="BF385" s="213">
        <v>7.0</v>
      </c>
      <c r="BG385" s="212">
        <v>10.333333333333332</v>
      </c>
      <c r="BH385" s="213">
        <v>9.75</v>
      </c>
      <c r="BI385" s="213">
        <v>9.182098753323468E-4</v>
      </c>
      <c r="BJ385" s="213">
        <v>0.0011728395062770385</v>
      </c>
      <c r="BK385" s="213">
        <v>345.0</v>
      </c>
      <c r="BL385" s="212">
        <v>7.0</v>
      </c>
      <c r="BM385" s="213">
        <v>5.375</v>
      </c>
      <c r="BN385" s="213">
        <v>0.0018364197506646935</v>
      </c>
      <c r="BO385" s="213">
        <v>0.002345679012554077</v>
      </c>
      <c r="BP385" s="213">
        <v>172.5</v>
      </c>
      <c r="BQ385" s="192"/>
      <c r="BR385" s="192"/>
    </row>
    <row r="386">
      <c r="A386" s="60"/>
      <c r="B386" s="205">
        <v>2405667.0</v>
      </c>
      <c r="C386" s="205">
        <v>1152554.0</v>
      </c>
      <c r="D386" s="205">
        <v>1.0</v>
      </c>
      <c r="E386" s="207">
        <v>43941.25425925926</v>
      </c>
      <c r="F386" s="207">
        <v>44080.708773148144</v>
      </c>
      <c r="G386" s="207">
        <v>44076.74351851852</v>
      </c>
      <c r="H386" s="63" t="s">
        <v>2779</v>
      </c>
      <c r="I386" s="205">
        <v>190.0</v>
      </c>
      <c r="J386" s="63" t="s">
        <v>85</v>
      </c>
      <c r="K386" s="205">
        <v>4966334.0</v>
      </c>
      <c r="L386" s="208">
        <v>5.63019</v>
      </c>
      <c r="M386" s="208">
        <v>2.56822</v>
      </c>
      <c r="N386" s="208">
        <v>2.80877</v>
      </c>
      <c r="O386" s="209">
        <v>3.8</v>
      </c>
      <c r="P386" s="209">
        <v>8.0</v>
      </c>
      <c r="Q386" s="209">
        <v>8.0</v>
      </c>
      <c r="R386" s="209">
        <v>6.0</v>
      </c>
      <c r="S386" s="210">
        <v>0.0021990740751789417</v>
      </c>
      <c r="T386" s="63" t="s">
        <v>2780</v>
      </c>
      <c r="U386" s="205">
        <v>4.0</v>
      </c>
      <c r="V386" s="205">
        <v>5.0</v>
      </c>
      <c r="W386" s="63" t="s">
        <v>2781</v>
      </c>
      <c r="X386" s="210">
        <v>0.0024074074062809814</v>
      </c>
      <c r="Y386" s="63" t="s">
        <v>2253</v>
      </c>
      <c r="Z386" s="63" t="s">
        <v>2782</v>
      </c>
      <c r="AA386" s="205">
        <v>0.0</v>
      </c>
      <c r="AB386" s="63" t="s">
        <v>2783</v>
      </c>
      <c r="AC386" s="205">
        <v>555.0</v>
      </c>
      <c r="AD386" s="208">
        <v>9.41445</v>
      </c>
      <c r="AE386" s="205">
        <v>120781.0</v>
      </c>
      <c r="AF386" s="205">
        <v>8546.0</v>
      </c>
      <c r="AG386" s="205">
        <v>613.0</v>
      </c>
      <c r="AH386" s="205">
        <v>162.0</v>
      </c>
      <c r="AI386" s="205">
        <v>5.0</v>
      </c>
      <c r="AJ386" s="205">
        <v>1050.0</v>
      </c>
      <c r="AK386" s="205">
        <v>0.0</v>
      </c>
      <c r="AL386" s="205">
        <v>0.0</v>
      </c>
      <c r="AM386" s="205">
        <v>0.0</v>
      </c>
      <c r="AN386" s="205">
        <v>0.0</v>
      </c>
      <c r="AO386" s="208">
        <v>5.22044</v>
      </c>
      <c r="AP386" s="208">
        <v>5.86906</v>
      </c>
      <c r="AQ386" s="208">
        <v>8.14221</v>
      </c>
      <c r="AR386" s="208">
        <v>4.45764</v>
      </c>
      <c r="AT386" s="192" t="s">
        <v>808</v>
      </c>
      <c r="AU386" s="211" t="s">
        <v>807</v>
      </c>
      <c r="AV386" s="211" t="s">
        <v>2784</v>
      </c>
      <c r="AW386" s="211" t="s">
        <v>2785</v>
      </c>
      <c r="AX386" s="211" t="s">
        <v>808</v>
      </c>
      <c r="AY386" s="212">
        <v>1.9</v>
      </c>
      <c r="AZ386" s="213">
        <v>4.0</v>
      </c>
      <c r="BA386" s="213">
        <v>4.0</v>
      </c>
      <c r="BB386" s="213">
        <v>3.0</v>
      </c>
      <c r="BC386" s="212">
        <v>4.9399999999999995</v>
      </c>
      <c r="BD386" s="213">
        <v>10.0</v>
      </c>
      <c r="BE386" s="213">
        <v>10.0</v>
      </c>
      <c r="BF386" s="213">
        <v>8.399999999999999</v>
      </c>
      <c r="BG386" s="212">
        <v>9.666666666666668</v>
      </c>
      <c r="BH386" s="213">
        <v>9.75</v>
      </c>
      <c r="BI386" s="213">
        <v>0.0014660493834526278</v>
      </c>
      <c r="BJ386" s="213">
        <v>0.0016049382708539877</v>
      </c>
      <c r="BK386" s="213">
        <v>285.0</v>
      </c>
      <c r="BL386" s="212">
        <v>5.5</v>
      </c>
      <c r="BM386" s="213">
        <v>5.375</v>
      </c>
      <c r="BN386" s="213">
        <v>0.0029320987669052556</v>
      </c>
      <c r="BO386" s="213">
        <v>0.0032098765417079753</v>
      </c>
      <c r="BP386" s="213">
        <v>142.5</v>
      </c>
      <c r="BQ386" s="192"/>
      <c r="BR386" s="192"/>
    </row>
    <row r="387">
      <c r="A387" s="60"/>
      <c r="B387" s="205">
        <v>1717844.0</v>
      </c>
      <c r="C387" s="205">
        <v>819349.0</v>
      </c>
      <c r="D387" s="205">
        <v>1.0</v>
      </c>
      <c r="E387" s="207">
        <v>43305.30001157407</v>
      </c>
      <c r="F387" s="207">
        <v>43429.77783564814</v>
      </c>
      <c r="G387" s="207">
        <v>43427.67023148148</v>
      </c>
      <c r="H387" s="63" t="s">
        <v>992</v>
      </c>
      <c r="I387" s="205">
        <v>178.0</v>
      </c>
      <c r="J387" s="63" t="s">
        <v>2786</v>
      </c>
      <c r="K387" s="205">
        <v>3388410.0</v>
      </c>
      <c r="L387" s="208">
        <v>5.37201</v>
      </c>
      <c r="M387" s="208">
        <v>2.7263</v>
      </c>
      <c r="N387" s="208">
        <v>2.39038</v>
      </c>
      <c r="O387" s="209">
        <v>4.0</v>
      </c>
      <c r="P387" s="209">
        <v>9.0</v>
      </c>
      <c r="Q387" s="209">
        <v>8.0</v>
      </c>
      <c r="R387" s="209">
        <v>6.0</v>
      </c>
      <c r="S387" s="210">
        <v>0.0026041666678793263</v>
      </c>
      <c r="U387" s="205">
        <v>10.0</v>
      </c>
      <c r="V387" s="205">
        <v>3.0</v>
      </c>
      <c r="W387" s="63" t="s">
        <v>2787</v>
      </c>
      <c r="X387" s="210">
        <v>0.0027199074065720197</v>
      </c>
      <c r="Y387" s="63" t="s">
        <v>2788</v>
      </c>
      <c r="Z387" s="63" t="s">
        <v>2789</v>
      </c>
      <c r="AA387" s="205">
        <v>0.0</v>
      </c>
      <c r="AB387" s="63" t="s">
        <v>2790</v>
      </c>
      <c r="AC387" s="205">
        <v>1688.0</v>
      </c>
      <c r="AD387" s="208">
        <v>9.55072</v>
      </c>
      <c r="AE387" s="205">
        <v>610326.0</v>
      </c>
      <c r="AF387" s="205">
        <v>92736.0</v>
      </c>
      <c r="AG387" s="205">
        <v>515.0</v>
      </c>
      <c r="AH387" s="205">
        <v>443.0</v>
      </c>
      <c r="AI387" s="205">
        <v>0.0</v>
      </c>
      <c r="AJ387" s="205">
        <v>1447.0</v>
      </c>
      <c r="AK387" s="205">
        <v>1.0</v>
      </c>
      <c r="AL387" s="205">
        <v>0.0</v>
      </c>
      <c r="AM387" s="205">
        <v>0.0</v>
      </c>
      <c r="AN387" s="205">
        <v>0.0</v>
      </c>
      <c r="AO387" s="208">
        <v>4.98878</v>
      </c>
      <c r="AP387" s="208">
        <v>5.67119</v>
      </c>
      <c r="AQ387" s="208">
        <v>7.62373</v>
      </c>
      <c r="AR387" s="208">
        <v>4.24585</v>
      </c>
      <c r="AT387" s="192" t="s">
        <v>593</v>
      </c>
      <c r="AU387" s="211" t="s">
        <v>592</v>
      </c>
      <c r="AV387" s="211" t="s">
        <v>2791</v>
      </c>
      <c r="AW387" s="211" t="s">
        <v>2792</v>
      </c>
      <c r="AX387" s="211" t="s">
        <v>593</v>
      </c>
      <c r="AY387" s="212">
        <v>2.0</v>
      </c>
      <c r="AZ387" s="213">
        <v>4.5</v>
      </c>
      <c r="BA387" s="213">
        <v>4.0</v>
      </c>
      <c r="BB387" s="213">
        <v>3.0</v>
      </c>
      <c r="BC387" s="212">
        <v>5.2</v>
      </c>
      <c r="BD387" s="213">
        <v>10.0</v>
      </c>
      <c r="BE387" s="213">
        <v>10.0</v>
      </c>
      <c r="BF387" s="213">
        <v>8.399999999999999</v>
      </c>
      <c r="BG387" s="212">
        <v>10.333333333333332</v>
      </c>
      <c r="BH387" s="213">
        <v>9.75</v>
      </c>
      <c r="BI387" s="213">
        <v>0.001736111111919551</v>
      </c>
      <c r="BJ387" s="213">
        <v>0.0018132716043813464</v>
      </c>
      <c r="BK387" s="213">
        <v>267.0</v>
      </c>
      <c r="BL387" s="212">
        <v>7.0</v>
      </c>
      <c r="BM387" s="213">
        <v>5.375</v>
      </c>
      <c r="BN387" s="213">
        <v>0.003472222223839102</v>
      </c>
      <c r="BO387" s="213">
        <v>0.0036265432087626928</v>
      </c>
      <c r="BP387" s="213">
        <v>133.5</v>
      </c>
      <c r="BQ387" s="192"/>
      <c r="BR387" s="192"/>
    </row>
    <row r="388">
      <c r="A388" s="60"/>
      <c r="B388" s="205">
        <v>2835894.0</v>
      </c>
      <c r="C388" s="205">
        <v>1066757.0</v>
      </c>
      <c r="D388" s="205">
        <v>-2.0</v>
      </c>
      <c r="E388" s="207">
        <v>43786.37702546296</v>
      </c>
      <c r="F388" s="215"/>
      <c r="G388" s="207">
        <v>44238.01650462963</v>
      </c>
      <c r="H388" s="63" t="s">
        <v>1889</v>
      </c>
      <c r="I388" s="205">
        <v>136.0</v>
      </c>
      <c r="J388" s="63" t="s">
        <v>259</v>
      </c>
      <c r="K388" s="205">
        <v>4785223.0</v>
      </c>
      <c r="L388" s="208">
        <v>5.4159</v>
      </c>
      <c r="M388" s="208">
        <v>2.73953</v>
      </c>
      <c r="N388" s="208">
        <v>2.4221</v>
      </c>
      <c r="O388" s="209">
        <v>4.0</v>
      </c>
      <c r="P388" s="209">
        <v>9.4</v>
      </c>
      <c r="Q388" s="209">
        <v>8.2</v>
      </c>
      <c r="R388" s="209">
        <v>5.0</v>
      </c>
      <c r="S388" s="210">
        <v>0.0025694444448163267</v>
      </c>
      <c r="U388" s="205">
        <v>1.0</v>
      </c>
      <c r="V388" s="205">
        <v>1.0</v>
      </c>
      <c r="W388" s="63" t="s">
        <v>2793</v>
      </c>
      <c r="X388" s="210">
        <v>0.0027199074065720197</v>
      </c>
      <c r="Y388" s="63" t="s">
        <v>2794</v>
      </c>
      <c r="Z388" s="63" t="s">
        <v>2795</v>
      </c>
      <c r="AA388" s="205">
        <v>0.0</v>
      </c>
      <c r="AB388" s="63" t="s">
        <v>2796</v>
      </c>
      <c r="AC388" s="205">
        <v>216.0</v>
      </c>
      <c r="AD388" s="208">
        <v>0.0</v>
      </c>
      <c r="AE388" s="205">
        <v>10864.0</v>
      </c>
      <c r="AF388" s="205">
        <v>2033.0</v>
      </c>
      <c r="AG388" s="205">
        <v>440.0</v>
      </c>
      <c r="AH388" s="205">
        <v>502.0</v>
      </c>
      <c r="AI388" s="205">
        <v>2.0</v>
      </c>
      <c r="AJ388" s="205">
        <v>1485.0</v>
      </c>
      <c r="AK388" s="205">
        <v>0.0</v>
      </c>
      <c r="AL388" s="205">
        <v>1.0</v>
      </c>
      <c r="AM388" s="205">
        <v>0.0</v>
      </c>
      <c r="AN388" s="205">
        <v>0.0</v>
      </c>
      <c r="AO388" s="208">
        <v>4.87787</v>
      </c>
      <c r="AP388" s="208">
        <v>5.85464</v>
      </c>
      <c r="AQ388" s="208">
        <v>7.75706</v>
      </c>
      <c r="AR388" s="208">
        <v>4.26611</v>
      </c>
      <c r="AT388" s="192" t="s">
        <v>720</v>
      </c>
      <c r="AU388" s="211" t="s">
        <v>719</v>
      </c>
      <c r="AV388" s="211" t="s">
        <v>2797</v>
      </c>
      <c r="AW388" s="211" t="s">
        <v>2798</v>
      </c>
      <c r="AX388" s="211" t="s">
        <v>720</v>
      </c>
      <c r="AY388" s="212">
        <v>2.0</v>
      </c>
      <c r="AZ388" s="213">
        <v>4.7</v>
      </c>
      <c r="BA388" s="213">
        <v>4.1</v>
      </c>
      <c r="BB388" s="213">
        <v>2.5</v>
      </c>
      <c r="BC388" s="212">
        <v>5.2</v>
      </c>
      <c r="BD388" s="213">
        <v>10.0</v>
      </c>
      <c r="BE388" s="213">
        <v>10.0</v>
      </c>
      <c r="BF388" s="213">
        <v>7.0</v>
      </c>
      <c r="BG388" s="212">
        <v>10.6</v>
      </c>
      <c r="BH388" s="213">
        <v>9.883333333333333</v>
      </c>
      <c r="BI388" s="213">
        <v>0.0017129629632108845</v>
      </c>
      <c r="BJ388" s="213">
        <v>0.0018132716043813464</v>
      </c>
      <c r="BK388" s="213">
        <v>204.0</v>
      </c>
      <c r="BL388" s="212">
        <v>7.6</v>
      </c>
      <c r="BM388" s="213">
        <v>5.675</v>
      </c>
      <c r="BN388" s="213">
        <v>0.003425925926421769</v>
      </c>
      <c r="BO388" s="213">
        <v>0.0036265432087626928</v>
      </c>
      <c r="BP388" s="213">
        <v>102.0</v>
      </c>
      <c r="BQ388" s="192"/>
      <c r="BR388" s="192"/>
    </row>
    <row r="389">
      <c r="A389" s="60"/>
      <c r="B389" s="205">
        <v>3404589.0</v>
      </c>
      <c r="C389" s="205">
        <v>1665981.0</v>
      </c>
      <c r="D389" s="205">
        <v>-2.0</v>
      </c>
      <c r="E389" s="207">
        <v>44564.61765046296</v>
      </c>
      <c r="F389" s="215"/>
      <c r="G389" s="207">
        <v>44698.435266203705</v>
      </c>
      <c r="H389" s="63" t="s">
        <v>2799</v>
      </c>
      <c r="I389" s="205">
        <v>175.0</v>
      </c>
      <c r="J389" s="63" t="s">
        <v>2800</v>
      </c>
      <c r="K389" s="205">
        <v>3054130.0</v>
      </c>
      <c r="L389" s="208">
        <v>5.31531</v>
      </c>
      <c r="M389" s="208">
        <v>2.84713</v>
      </c>
      <c r="N389" s="208">
        <v>2.11899</v>
      </c>
      <c r="O389" s="209">
        <v>4.0</v>
      </c>
      <c r="P389" s="209">
        <v>9.4</v>
      </c>
      <c r="Q389" s="209">
        <v>8.8</v>
      </c>
      <c r="R389" s="209">
        <v>4.5</v>
      </c>
      <c r="S389" s="210">
        <v>0.0014004629629198462</v>
      </c>
      <c r="U389" s="205">
        <v>6.0</v>
      </c>
      <c r="V389" s="205">
        <v>13.0</v>
      </c>
      <c r="W389" s="63" t="s">
        <v>2801</v>
      </c>
      <c r="X389" s="210">
        <v>0.0014004629629198462</v>
      </c>
      <c r="Y389" s="63" t="s">
        <v>2802</v>
      </c>
      <c r="Z389" s="63" t="s">
        <v>2803</v>
      </c>
      <c r="AA389" s="205">
        <v>0.0</v>
      </c>
      <c r="AB389" s="63" t="s">
        <v>2804</v>
      </c>
      <c r="AC389" s="205">
        <v>12.0</v>
      </c>
      <c r="AD389" s="208">
        <v>0.0</v>
      </c>
      <c r="AE389" s="205">
        <v>1522.0</v>
      </c>
      <c r="AF389" s="205">
        <v>553.0</v>
      </c>
      <c r="AG389" s="205">
        <v>182.0</v>
      </c>
      <c r="AH389" s="205">
        <v>336.0</v>
      </c>
      <c r="AI389" s="205">
        <v>0.0</v>
      </c>
      <c r="AJ389" s="205">
        <v>887.0</v>
      </c>
      <c r="AK389" s="205">
        <v>0.0</v>
      </c>
      <c r="AL389" s="205">
        <v>0.0</v>
      </c>
      <c r="AM389" s="205">
        <v>0.0</v>
      </c>
      <c r="AN389" s="205">
        <v>0.0</v>
      </c>
      <c r="AO389" s="208">
        <v>4.86726</v>
      </c>
      <c r="AP389" s="208">
        <v>5.67533</v>
      </c>
      <c r="AQ389" s="208">
        <v>7.43699</v>
      </c>
      <c r="AR389" s="208">
        <v>4.1995</v>
      </c>
      <c r="AT389" s="192" t="s">
        <v>723</v>
      </c>
      <c r="AU389" s="211" t="s">
        <v>722</v>
      </c>
      <c r="AV389" s="211" t="s">
        <v>2805</v>
      </c>
      <c r="AW389" s="211" t="s">
        <v>2806</v>
      </c>
      <c r="AX389" s="211" t="s">
        <v>723</v>
      </c>
      <c r="AY389" s="212">
        <v>2.0</v>
      </c>
      <c r="AZ389" s="213">
        <v>4.7</v>
      </c>
      <c r="BA389" s="213">
        <v>4.4</v>
      </c>
      <c r="BB389" s="213">
        <v>2.25</v>
      </c>
      <c r="BC389" s="212">
        <v>5.2</v>
      </c>
      <c r="BD389" s="213">
        <v>10.0</v>
      </c>
      <c r="BE389" s="213">
        <v>10.0</v>
      </c>
      <c r="BF389" s="213">
        <v>6.3</v>
      </c>
      <c r="BG389" s="212">
        <v>10.6</v>
      </c>
      <c r="BH389" s="213">
        <v>10.283333333333333</v>
      </c>
      <c r="BI389" s="213">
        <v>9.336419752798975E-4</v>
      </c>
      <c r="BJ389" s="213">
        <v>9.336419752798975E-4</v>
      </c>
      <c r="BK389" s="213">
        <v>262.5</v>
      </c>
      <c r="BL389" s="212">
        <v>7.6</v>
      </c>
      <c r="BM389" s="213">
        <v>6.575</v>
      </c>
      <c r="BN389" s="213">
        <v>0.001867283950559795</v>
      </c>
      <c r="BO389" s="213">
        <v>0.001867283950559795</v>
      </c>
      <c r="BP389" s="213">
        <v>131.25</v>
      </c>
      <c r="BQ389" s="192"/>
      <c r="BR389" s="192"/>
    </row>
    <row r="390">
      <c r="A390" s="60"/>
      <c r="B390" s="205">
        <v>3404589.0</v>
      </c>
      <c r="C390" s="205">
        <v>1665981.0</v>
      </c>
      <c r="D390" s="205">
        <v>-2.0</v>
      </c>
      <c r="E390" s="207">
        <v>44564.61765046296</v>
      </c>
      <c r="F390" s="215"/>
      <c r="G390" s="207">
        <v>44698.435266203705</v>
      </c>
      <c r="H390" s="63" t="s">
        <v>2799</v>
      </c>
      <c r="I390" s="205">
        <v>175.0</v>
      </c>
      <c r="J390" s="63" t="s">
        <v>2800</v>
      </c>
      <c r="K390" s="205">
        <v>3054130.0</v>
      </c>
      <c r="L390" s="208">
        <v>5.31531</v>
      </c>
      <c r="M390" s="208">
        <v>2.84713</v>
      </c>
      <c r="N390" s="208">
        <v>2.11899</v>
      </c>
      <c r="O390" s="209">
        <v>4.0</v>
      </c>
      <c r="P390" s="209">
        <v>9.4</v>
      </c>
      <c r="Q390" s="209">
        <v>8.8</v>
      </c>
      <c r="R390" s="209">
        <v>4.5</v>
      </c>
      <c r="S390" s="210">
        <v>0.0014004629629198462</v>
      </c>
      <c r="U390" s="205">
        <v>6.0</v>
      </c>
      <c r="V390" s="205">
        <v>13.0</v>
      </c>
      <c r="W390" s="63" t="s">
        <v>2801</v>
      </c>
      <c r="X390" s="210">
        <v>0.0014004629629198462</v>
      </c>
      <c r="Y390" s="63" t="s">
        <v>2802</v>
      </c>
      <c r="Z390" s="63" t="s">
        <v>2803</v>
      </c>
      <c r="AA390" s="205">
        <v>0.0</v>
      </c>
      <c r="AB390" s="63" t="s">
        <v>2804</v>
      </c>
      <c r="AC390" s="205">
        <v>12.0</v>
      </c>
      <c r="AD390" s="208">
        <v>0.0</v>
      </c>
      <c r="AE390" s="205">
        <v>1522.0</v>
      </c>
      <c r="AF390" s="205">
        <v>553.0</v>
      </c>
      <c r="AG390" s="205">
        <v>182.0</v>
      </c>
      <c r="AH390" s="205">
        <v>336.0</v>
      </c>
      <c r="AI390" s="205">
        <v>0.0</v>
      </c>
      <c r="AJ390" s="205">
        <v>887.0</v>
      </c>
      <c r="AK390" s="205">
        <v>0.0</v>
      </c>
      <c r="AL390" s="205">
        <v>0.0</v>
      </c>
      <c r="AM390" s="205">
        <v>0.0</v>
      </c>
      <c r="AN390" s="205">
        <v>0.0</v>
      </c>
      <c r="AO390" s="208">
        <v>4.86726</v>
      </c>
      <c r="AP390" s="208">
        <v>5.67533</v>
      </c>
      <c r="AQ390" s="208">
        <v>7.43699</v>
      </c>
      <c r="AR390" s="208">
        <v>4.1995</v>
      </c>
      <c r="AT390" s="192" t="s">
        <v>723</v>
      </c>
      <c r="AU390" s="211" t="s">
        <v>722</v>
      </c>
      <c r="AV390" s="211" t="s">
        <v>2805</v>
      </c>
      <c r="AW390" s="211" t="s">
        <v>2806</v>
      </c>
      <c r="AX390" s="211" t="s">
        <v>723</v>
      </c>
      <c r="AY390" s="212">
        <v>2.0</v>
      </c>
      <c r="AZ390" s="213">
        <v>4.7</v>
      </c>
      <c r="BA390" s="213">
        <v>4.4</v>
      </c>
      <c r="BB390" s="213">
        <v>2.25</v>
      </c>
      <c r="BC390" s="212">
        <v>5.2</v>
      </c>
      <c r="BD390" s="213">
        <v>10.0</v>
      </c>
      <c r="BE390" s="213">
        <v>10.0</v>
      </c>
      <c r="BF390" s="213">
        <v>6.3</v>
      </c>
      <c r="BG390" s="212">
        <v>10.6</v>
      </c>
      <c r="BH390" s="213">
        <v>10.283333333333333</v>
      </c>
      <c r="BI390" s="213">
        <v>9.336419752798975E-4</v>
      </c>
      <c r="BJ390" s="213">
        <v>9.336419752798975E-4</v>
      </c>
      <c r="BK390" s="213">
        <v>262.5</v>
      </c>
      <c r="BL390" s="212">
        <v>7.6</v>
      </c>
      <c r="BM390" s="213">
        <v>6.575</v>
      </c>
      <c r="BN390" s="213">
        <v>0.001867283950559795</v>
      </c>
      <c r="BO390" s="213">
        <v>0.001867283950559795</v>
      </c>
      <c r="BP390" s="213">
        <v>131.25</v>
      </c>
      <c r="BQ390" s="192"/>
      <c r="BR390" s="192"/>
    </row>
    <row r="391">
      <c r="A391" s="60"/>
      <c r="B391" s="205">
        <v>345642.0</v>
      </c>
      <c r="C391" s="205">
        <v>87188.0</v>
      </c>
      <c r="D391" s="205">
        <v>1.0</v>
      </c>
      <c r="E391" s="207">
        <v>41371.32439814815</v>
      </c>
      <c r="F391" s="207">
        <v>41699.849398148144</v>
      </c>
      <c r="G391" s="207">
        <v>41692.83517361111</v>
      </c>
      <c r="H391" s="63" t="s">
        <v>1019</v>
      </c>
      <c r="I391" s="205">
        <v>160.0</v>
      </c>
      <c r="J391" s="63" t="s">
        <v>658</v>
      </c>
      <c r="K391" s="205">
        <v>85000.0</v>
      </c>
      <c r="L391" s="208">
        <v>3.95061</v>
      </c>
      <c r="M391" s="208">
        <v>1.83544</v>
      </c>
      <c r="N391" s="208">
        <v>1.94274</v>
      </c>
      <c r="O391" s="209">
        <v>4.0</v>
      </c>
      <c r="P391" s="209">
        <v>8.0</v>
      </c>
      <c r="Q391" s="209">
        <v>6.0</v>
      </c>
      <c r="R391" s="209">
        <v>5.0</v>
      </c>
      <c r="S391" s="210">
        <v>0.0012384259243845008</v>
      </c>
      <c r="T391" s="63" t="s">
        <v>2807</v>
      </c>
      <c r="U391" s="205">
        <v>2.0</v>
      </c>
      <c r="V391" s="205">
        <v>5.0</v>
      </c>
      <c r="W391" s="63" t="s">
        <v>2808</v>
      </c>
      <c r="X391" s="210">
        <v>0.0014120370360615198</v>
      </c>
      <c r="Y391" s="63" t="s">
        <v>2809</v>
      </c>
      <c r="Z391" s="63" t="s">
        <v>2810</v>
      </c>
      <c r="AA391" s="205">
        <v>0.0</v>
      </c>
      <c r="AB391" s="63" t="s">
        <v>2811</v>
      </c>
      <c r="AC391" s="205">
        <v>261.0</v>
      </c>
      <c r="AD391" s="208">
        <v>9.42393</v>
      </c>
      <c r="AE391" s="205">
        <v>134369.0</v>
      </c>
      <c r="AF391" s="205">
        <v>41930.0</v>
      </c>
      <c r="AG391" s="205">
        <v>185.0</v>
      </c>
      <c r="AH391" s="205">
        <v>187.0</v>
      </c>
      <c r="AI391" s="205">
        <v>5.0</v>
      </c>
      <c r="AJ391" s="205">
        <v>660.0</v>
      </c>
      <c r="AK391" s="205">
        <v>0.0</v>
      </c>
      <c r="AL391" s="205">
        <v>0.0</v>
      </c>
      <c r="AM391" s="205">
        <v>0.0</v>
      </c>
      <c r="AN391" s="205">
        <v>0.0</v>
      </c>
      <c r="AO391" s="208">
        <v>3.59903</v>
      </c>
      <c r="AP391" s="208">
        <v>4.14352</v>
      </c>
      <c r="AQ391" s="208">
        <v>5.50915</v>
      </c>
      <c r="AR391" s="208">
        <v>3.14944</v>
      </c>
      <c r="AT391" s="192" t="s">
        <v>657</v>
      </c>
      <c r="AU391" s="211" t="s">
        <v>724</v>
      </c>
      <c r="AV391" s="211" t="s">
        <v>2812</v>
      </c>
      <c r="AW391" s="211" t="s">
        <v>2813</v>
      </c>
      <c r="AX391" s="211" t="s">
        <v>657</v>
      </c>
      <c r="AY391" s="212">
        <v>2.0</v>
      </c>
      <c r="AZ391" s="213">
        <v>4.0</v>
      </c>
      <c r="BA391" s="213">
        <v>3.0</v>
      </c>
      <c r="BB391" s="213">
        <v>2.5</v>
      </c>
      <c r="BC391" s="212">
        <v>5.2</v>
      </c>
      <c r="BD391" s="213">
        <v>10.0</v>
      </c>
      <c r="BE391" s="213">
        <v>8.399999999999999</v>
      </c>
      <c r="BF391" s="213">
        <v>7.0</v>
      </c>
      <c r="BG391" s="212">
        <v>9.666666666666668</v>
      </c>
      <c r="BH391" s="213">
        <v>8.416666666666666</v>
      </c>
      <c r="BI391" s="213">
        <v>8.256172829230005E-4</v>
      </c>
      <c r="BJ391" s="213">
        <v>9.413580240410132E-4</v>
      </c>
      <c r="BK391" s="213">
        <v>240.0</v>
      </c>
      <c r="BL391" s="212">
        <v>5.5</v>
      </c>
      <c r="BM391" s="213">
        <v>2.375</v>
      </c>
      <c r="BN391" s="213">
        <v>0.001651234565846001</v>
      </c>
      <c r="BO391" s="213">
        <v>0.0018827160480820264</v>
      </c>
      <c r="BP391" s="213">
        <v>120.0</v>
      </c>
      <c r="BQ391" s="192"/>
      <c r="BR391" s="192"/>
    </row>
    <row r="392">
      <c r="A392" s="60"/>
      <c r="B392" s="205">
        <v>345642.0</v>
      </c>
      <c r="C392" s="205">
        <v>87188.0</v>
      </c>
      <c r="D392" s="205">
        <v>1.0</v>
      </c>
      <c r="E392" s="207">
        <v>41371.32439814815</v>
      </c>
      <c r="F392" s="207">
        <v>41699.849398148144</v>
      </c>
      <c r="G392" s="207">
        <v>41692.83517361111</v>
      </c>
      <c r="H392" s="63" t="s">
        <v>1019</v>
      </c>
      <c r="I392" s="205">
        <v>160.0</v>
      </c>
      <c r="J392" s="63" t="s">
        <v>658</v>
      </c>
      <c r="K392" s="205">
        <v>85000.0</v>
      </c>
      <c r="L392" s="208">
        <v>3.95061</v>
      </c>
      <c r="M392" s="208">
        <v>1.83544</v>
      </c>
      <c r="N392" s="208">
        <v>1.94274</v>
      </c>
      <c r="O392" s="209">
        <v>4.0</v>
      </c>
      <c r="P392" s="209">
        <v>8.0</v>
      </c>
      <c r="Q392" s="209">
        <v>6.0</v>
      </c>
      <c r="R392" s="209">
        <v>5.0</v>
      </c>
      <c r="S392" s="210">
        <v>0.0012384259243845008</v>
      </c>
      <c r="T392" s="63" t="s">
        <v>2807</v>
      </c>
      <c r="U392" s="205">
        <v>2.0</v>
      </c>
      <c r="V392" s="205">
        <v>5.0</v>
      </c>
      <c r="W392" s="63" t="s">
        <v>2808</v>
      </c>
      <c r="X392" s="210">
        <v>0.0014120370360615198</v>
      </c>
      <c r="Y392" s="63" t="s">
        <v>2809</v>
      </c>
      <c r="Z392" s="63" t="s">
        <v>2810</v>
      </c>
      <c r="AA392" s="205">
        <v>0.0</v>
      </c>
      <c r="AB392" s="63" t="s">
        <v>2811</v>
      </c>
      <c r="AC392" s="205">
        <v>261.0</v>
      </c>
      <c r="AD392" s="208">
        <v>9.42393</v>
      </c>
      <c r="AE392" s="205">
        <v>134369.0</v>
      </c>
      <c r="AF392" s="205">
        <v>41930.0</v>
      </c>
      <c r="AG392" s="205">
        <v>185.0</v>
      </c>
      <c r="AH392" s="205">
        <v>187.0</v>
      </c>
      <c r="AI392" s="205">
        <v>5.0</v>
      </c>
      <c r="AJ392" s="205">
        <v>660.0</v>
      </c>
      <c r="AK392" s="205">
        <v>0.0</v>
      </c>
      <c r="AL392" s="205">
        <v>0.0</v>
      </c>
      <c r="AM392" s="205">
        <v>0.0</v>
      </c>
      <c r="AN392" s="205">
        <v>0.0</v>
      </c>
      <c r="AO392" s="208">
        <v>3.59903</v>
      </c>
      <c r="AP392" s="208">
        <v>4.14352</v>
      </c>
      <c r="AQ392" s="208">
        <v>5.50915</v>
      </c>
      <c r="AR392" s="208">
        <v>3.14944</v>
      </c>
      <c r="AT392" s="192" t="s">
        <v>657</v>
      </c>
      <c r="AU392" s="211" t="s">
        <v>724</v>
      </c>
      <c r="AV392" s="211" t="s">
        <v>2812</v>
      </c>
      <c r="AW392" s="211" t="s">
        <v>2813</v>
      </c>
      <c r="AX392" s="211" t="s">
        <v>657</v>
      </c>
      <c r="AY392" s="212">
        <v>2.0</v>
      </c>
      <c r="AZ392" s="213">
        <v>4.0</v>
      </c>
      <c r="BA392" s="213">
        <v>3.0</v>
      </c>
      <c r="BB392" s="213">
        <v>2.5</v>
      </c>
      <c r="BC392" s="212">
        <v>5.2</v>
      </c>
      <c r="BD392" s="213">
        <v>10.0</v>
      </c>
      <c r="BE392" s="213">
        <v>8.399999999999999</v>
      </c>
      <c r="BF392" s="213">
        <v>7.0</v>
      </c>
      <c r="BG392" s="212">
        <v>9.666666666666668</v>
      </c>
      <c r="BH392" s="213">
        <v>8.416666666666666</v>
      </c>
      <c r="BI392" s="213">
        <v>8.256172829230005E-4</v>
      </c>
      <c r="BJ392" s="213">
        <v>9.413580240410132E-4</v>
      </c>
      <c r="BK392" s="213">
        <v>240.0</v>
      </c>
      <c r="BL392" s="212">
        <v>5.5</v>
      </c>
      <c r="BM392" s="213">
        <v>2.375</v>
      </c>
      <c r="BN392" s="213">
        <v>0.001651234565846001</v>
      </c>
      <c r="BO392" s="213">
        <v>0.0018827160480820264</v>
      </c>
      <c r="BP392" s="213">
        <v>120.0</v>
      </c>
      <c r="BQ392" s="192"/>
      <c r="BR392" s="192"/>
    </row>
    <row r="393">
      <c r="A393" s="60"/>
      <c r="B393" s="205">
        <v>2970566.0</v>
      </c>
      <c r="C393" s="205">
        <v>1301388.0</v>
      </c>
      <c r="D393" s="205">
        <v>1.0</v>
      </c>
      <c r="E393" s="207">
        <v>44150.73497685185</v>
      </c>
      <c r="F393" s="207">
        <v>44417.93229166667</v>
      </c>
      <c r="G393" s="207">
        <v>44409.79268518518</v>
      </c>
      <c r="H393" s="63" t="s">
        <v>2814</v>
      </c>
      <c r="I393" s="205">
        <v>191.0</v>
      </c>
      <c r="J393" s="63" t="s">
        <v>139</v>
      </c>
      <c r="K393" s="205">
        <v>918297.0</v>
      </c>
      <c r="L393" s="208">
        <v>3.75409</v>
      </c>
      <c r="M393" s="208">
        <v>1.74615</v>
      </c>
      <c r="N393" s="208">
        <v>1.84432</v>
      </c>
      <c r="O393" s="209">
        <v>3.5</v>
      </c>
      <c r="P393" s="209">
        <v>8.3</v>
      </c>
      <c r="Q393" s="209">
        <v>7.0</v>
      </c>
      <c r="R393" s="209">
        <v>4.5</v>
      </c>
      <c r="S393" s="210">
        <v>0.0021527777789742686</v>
      </c>
      <c r="U393" s="205">
        <v>10.0</v>
      </c>
      <c r="V393" s="205">
        <v>5.0</v>
      </c>
      <c r="W393" s="63" t="s">
        <v>2815</v>
      </c>
      <c r="X393" s="210">
        <v>0.0023263888906512875</v>
      </c>
      <c r="Y393" s="63" t="s">
        <v>2816</v>
      </c>
      <c r="Z393" s="63" t="s">
        <v>2817</v>
      </c>
      <c r="AA393" s="205">
        <v>0.0</v>
      </c>
      <c r="AB393" s="63" t="s">
        <v>2818</v>
      </c>
      <c r="AC393" s="205">
        <v>142.0</v>
      </c>
      <c r="AD393" s="208">
        <v>9.10897</v>
      </c>
      <c r="AE393" s="205">
        <v>17947.0</v>
      </c>
      <c r="AF393" s="205">
        <v>3530.0</v>
      </c>
      <c r="AG393" s="205">
        <v>271.0</v>
      </c>
      <c r="AH393" s="205">
        <v>364.0</v>
      </c>
      <c r="AI393" s="205">
        <v>1.0</v>
      </c>
      <c r="AJ393" s="205">
        <v>1042.0</v>
      </c>
      <c r="AK393" s="205">
        <v>0.0</v>
      </c>
      <c r="AL393" s="205">
        <v>0.0</v>
      </c>
      <c r="AM393" s="205">
        <v>0.0</v>
      </c>
      <c r="AN393" s="205">
        <v>0.0</v>
      </c>
      <c r="AO393" s="208">
        <v>3.42253</v>
      </c>
      <c r="AP393" s="208">
        <v>3.94138</v>
      </c>
      <c r="AQ393" s="208">
        <v>5.38136</v>
      </c>
      <c r="AR393" s="208">
        <v>3.01328</v>
      </c>
      <c r="AT393" s="192" t="s">
        <v>727</v>
      </c>
      <c r="AU393" s="211" t="s">
        <v>726</v>
      </c>
      <c r="AV393" s="211" t="s">
        <v>2819</v>
      </c>
      <c r="AW393" s="211" t="s">
        <v>2820</v>
      </c>
      <c r="AX393" s="211" t="s">
        <v>727</v>
      </c>
      <c r="AY393" s="212">
        <v>1.75</v>
      </c>
      <c r="AZ393" s="213">
        <v>4.15</v>
      </c>
      <c r="BA393" s="213">
        <v>3.5</v>
      </c>
      <c r="BB393" s="213">
        <v>2.25</v>
      </c>
      <c r="BC393" s="212">
        <v>4.55</v>
      </c>
      <c r="BD393" s="213">
        <v>10.0</v>
      </c>
      <c r="BE393" s="213">
        <v>9.799999999999999</v>
      </c>
      <c r="BF393" s="213">
        <v>6.3</v>
      </c>
      <c r="BG393" s="212">
        <v>9.866666666666667</v>
      </c>
      <c r="BH393" s="213">
        <v>9.083333333333334</v>
      </c>
      <c r="BI393" s="213">
        <v>0.0014351851859828457</v>
      </c>
      <c r="BJ393" s="213">
        <v>0.0015509259271008584</v>
      </c>
      <c r="BK393" s="213">
        <v>286.5</v>
      </c>
      <c r="BL393" s="212">
        <v>5.950000000000001</v>
      </c>
      <c r="BM393" s="213">
        <v>3.875</v>
      </c>
      <c r="BN393" s="213">
        <v>0.0028703703719656914</v>
      </c>
      <c r="BO393" s="213">
        <v>0.003101851854201717</v>
      </c>
      <c r="BP393" s="213">
        <v>143.25</v>
      </c>
      <c r="BQ393" s="192"/>
      <c r="BR393" s="192"/>
    </row>
    <row r="394">
      <c r="A394" s="60"/>
      <c r="B394" s="205">
        <v>1035068.0</v>
      </c>
      <c r="C394" s="205">
        <v>408745.0</v>
      </c>
      <c r="D394" s="205">
        <v>1.0</v>
      </c>
      <c r="E394" s="207">
        <v>42393.59414351852</v>
      </c>
      <c r="F394" s="207">
        <v>43017.944513888884</v>
      </c>
      <c r="G394" s="207">
        <v>43009.26049768519</v>
      </c>
      <c r="H394" s="63" t="s">
        <v>1034</v>
      </c>
      <c r="I394" s="205">
        <v>170.0</v>
      </c>
      <c r="J394" s="63" t="s">
        <v>801</v>
      </c>
      <c r="K394" s="205">
        <v>1269067.0</v>
      </c>
      <c r="L394" s="208">
        <v>3.99236</v>
      </c>
      <c r="M394" s="208">
        <v>1.8022</v>
      </c>
      <c r="N394" s="208">
        <v>2.00661</v>
      </c>
      <c r="O394" s="209">
        <v>3.8</v>
      </c>
      <c r="P394" s="209">
        <v>8.3</v>
      </c>
      <c r="Q394" s="209">
        <v>7.0</v>
      </c>
      <c r="R394" s="209">
        <v>5.5</v>
      </c>
      <c r="S394" s="210">
        <v>0.0023032407407299615</v>
      </c>
      <c r="U394" s="205">
        <v>5.0</v>
      </c>
      <c r="V394" s="205">
        <v>3.0</v>
      </c>
      <c r="W394" s="63" t="s">
        <v>2821</v>
      </c>
      <c r="X394" s="210">
        <v>0.0023032407407299615</v>
      </c>
      <c r="Y394" s="63" t="s">
        <v>2822</v>
      </c>
      <c r="Z394" s="63" t="s">
        <v>2823</v>
      </c>
      <c r="AA394" s="205">
        <v>0.0</v>
      </c>
      <c r="AB394" s="63" t="s">
        <v>2824</v>
      </c>
      <c r="AC394" s="205">
        <v>159.0</v>
      </c>
      <c r="AD394" s="208">
        <v>9.34606</v>
      </c>
      <c r="AE394" s="205">
        <v>33723.0</v>
      </c>
      <c r="AF394" s="205">
        <v>9315.0</v>
      </c>
      <c r="AG394" s="205">
        <v>273.0</v>
      </c>
      <c r="AH394" s="205">
        <v>348.0</v>
      </c>
      <c r="AI394" s="205">
        <v>5.0</v>
      </c>
      <c r="AJ394" s="205">
        <v>1020.0</v>
      </c>
      <c r="AK394" s="205">
        <v>0.0</v>
      </c>
      <c r="AL394" s="205">
        <v>0.0</v>
      </c>
      <c r="AM394" s="205">
        <v>0.0</v>
      </c>
      <c r="AN394" s="205">
        <v>0.0</v>
      </c>
      <c r="AO394" s="208">
        <v>3.57568</v>
      </c>
      <c r="AP394" s="208">
        <v>4.14826</v>
      </c>
      <c r="AQ394" s="208">
        <v>5.68312</v>
      </c>
      <c r="AR394" s="208">
        <v>3.17463</v>
      </c>
      <c r="AT394" s="192" t="s">
        <v>730</v>
      </c>
      <c r="AU394" s="211" t="s">
        <v>904</v>
      </c>
      <c r="AV394" s="211" t="s">
        <v>2825</v>
      </c>
      <c r="AW394" s="211" t="s">
        <v>2826</v>
      </c>
      <c r="AX394" s="211" t="s">
        <v>730</v>
      </c>
      <c r="AY394" s="212">
        <v>1.9</v>
      </c>
      <c r="AZ394" s="213">
        <v>4.15</v>
      </c>
      <c r="BA394" s="213">
        <v>3.5</v>
      </c>
      <c r="BB394" s="213">
        <v>2.75</v>
      </c>
      <c r="BC394" s="212">
        <v>4.9399999999999995</v>
      </c>
      <c r="BD394" s="213">
        <v>10.0</v>
      </c>
      <c r="BE394" s="213">
        <v>9.799999999999999</v>
      </c>
      <c r="BF394" s="213">
        <v>7.699999999999999</v>
      </c>
      <c r="BG394" s="212">
        <v>9.866666666666667</v>
      </c>
      <c r="BH394" s="213">
        <v>9.083333333333334</v>
      </c>
      <c r="BI394" s="213">
        <v>0.0015354938271533076</v>
      </c>
      <c r="BJ394" s="213">
        <v>0.0015354938271533076</v>
      </c>
      <c r="BK394" s="213">
        <v>255.0</v>
      </c>
      <c r="BL394" s="212">
        <v>5.950000000000001</v>
      </c>
      <c r="BM394" s="213">
        <v>3.875</v>
      </c>
      <c r="BN394" s="213">
        <v>0.0030709876543066152</v>
      </c>
      <c r="BO394" s="213">
        <v>0.0030709876543066152</v>
      </c>
      <c r="BP394" s="213">
        <v>127.5</v>
      </c>
      <c r="BQ394" s="192"/>
      <c r="BR394" s="192"/>
    </row>
    <row r="395">
      <c r="A395" s="60"/>
      <c r="B395" s="205">
        <v>1035068.0</v>
      </c>
      <c r="C395" s="205">
        <v>408745.0</v>
      </c>
      <c r="D395" s="205">
        <v>1.0</v>
      </c>
      <c r="E395" s="207">
        <v>42393.59414351852</v>
      </c>
      <c r="F395" s="207">
        <v>43017.944513888884</v>
      </c>
      <c r="G395" s="207">
        <v>43009.26049768519</v>
      </c>
      <c r="H395" s="63" t="s">
        <v>1034</v>
      </c>
      <c r="I395" s="205">
        <v>170.0</v>
      </c>
      <c r="J395" s="63" t="s">
        <v>801</v>
      </c>
      <c r="K395" s="205">
        <v>1269067.0</v>
      </c>
      <c r="L395" s="208">
        <v>3.99236</v>
      </c>
      <c r="M395" s="208">
        <v>1.8022</v>
      </c>
      <c r="N395" s="208">
        <v>2.00661</v>
      </c>
      <c r="O395" s="209">
        <v>3.8</v>
      </c>
      <c r="P395" s="209">
        <v>8.3</v>
      </c>
      <c r="Q395" s="209">
        <v>7.0</v>
      </c>
      <c r="R395" s="209">
        <v>5.5</v>
      </c>
      <c r="S395" s="210">
        <v>0.0023032407407299615</v>
      </c>
      <c r="U395" s="205">
        <v>5.0</v>
      </c>
      <c r="V395" s="205">
        <v>3.0</v>
      </c>
      <c r="W395" s="63" t="s">
        <v>2821</v>
      </c>
      <c r="X395" s="210">
        <v>0.0023032407407299615</v>
      </c>
      <c r="Y395" s="63" t="s">
        <v>2822</v>
      </c>
      <c r="Z395" s="63" t="s">
        <v>2823</v>
      </c>
      <c r="AA395" s="205">
        <v>0.0</v>
      </c>
      <c r="AB395" s="63" t="s">
        <v>2824</v>
      </c>
      <c r="AC395" s="205">
        <v>159.0</v>
      </c>
      <c r="AD395" s="208">
        <v>9.34606</v>
      </c>
      <c r="AE395" s="205">
        <v>33723.0</v>
      </c>
      <c r="AF395" s="205">
        <v>9315.0</v>
      </c>
      <c r="AG395" s="205">
        <v>273.0</v>
      </c>
      <c r="AH395" s="205">
        <v>348.0</v>
      </c>
      <c r="AI395" s="205">
        <v>5.0</v>
      </c>
      <c r="AJ395" s="205">
        <v>1020.0</v>
      </c>
      <c r="AK395" s="205">
        <v>0.0</v>
      </c>
      <c r="AL395" s="205">
        <v>0.0</v>
      </c>
      <c r="AM395" s="205">
        <v>0.0</v>
      </c>
      <c r="AN395" s="205">
        <v>0.0</v>
      </c>
      <c r="AO395" s="208">
        <v>3.57568</v>
      </c>
      <c r="AP395" s="208">
        <v>4.14826</v>
      </c>
      <c r="AQ395" s="208">
        <v>5.68312</v>
      </c>
      <c r="AR395" s="208">
        <v>3.17463</v>
      </c>
      <c r="AT395" s="192" t="s">
        <v>730</v>
      </c>
      <c r="AU395" s="211" t="s">
        <v>904</v>
      </c>
      <c r="AV395" s="211" t="s">
        <v>2825</v>
      </c>
      <c r="AW395" s="211" t="s">
        <v>2826</v>
      </c>
      <c r="AX395" s="211" t="s">
        <v>730</v>
      </c>
      <c r="AY395" s="212">
        <v>1.9</v>
      </c>
      <c r="AZ395" s="213">
        <v>4.15</v>
      </c>
      <c r="BA395" s="213">
        <v>3.5</v>
      </c>
      <c r="BB395" s="213">
        <v>2.75</v>
      </c>
      <c r="BC395" s="212">
        <v>4.9399999999999995</v>
      </c>
      <c r="BD395" s="213">
        <v>10.0</v>
      </c>
      <c r="BE395" s="213">
        <v>9.799999999999999</v>
      </c>
      <c r="BF395" s="213">
        <v>7.699999999999999</v>
      </c>
      <c r="BG395" s="212">
        <v>9.866666666666667</v>
      </c>
      <c r="BH395" s="213">
        <v>9.083333333333334</v>
      </c>
      <c r="BI395" s="213">
        <v>0.0015354938271533076</v>
      </c>
      <c r="BJ395" s="213">
        <v>0.0015354938271533076</v>
      </c>
      <c r="BK395" s="213">
        <v>255.0</v>
      </c>
      <c r="BL395" s="212">
        <v>5.950000000000001</v>
      </c>
      <c r="BM395" s="213">
        <v>3.875</v>
      </c>
      <c r="BN395" s="213">
        <v>0.0030709876543066152</v>
      </c>
      <c r="BO395" s="213">
        <v>0.0030709876543066152</v>
      </c>
      <c r="BP395" s="213">
        <v>127.5</v>
      </c>
      <c r="BQ395" s="192"/>
      <c r="BR395" s="192"/>
    </row>
    <row r="396">
      <c r="A396" s="60"/>
      <c r="B396" s="205">
        <v>824390.0</v>
      </c>
      <c r="C396" s="205">
        <v>376552.0</v>
      </c>
      <c r="D396" s="205">
        <v>1.0</v>
      </c>
      <c r="E396" s="207">
        <v>42322.28953703704</v>
      </c>
      <c r="F396" s="207">
        <v>42342.20880787037</v>
      </c>
      <c r="G396" s="207">
        <v>42333.593564814815</v>
      </c>
      <c r="H396" s="63" t="s">
        <v>1034</v>
      </c>
      <c r="I396" s="205">
        <v>180.0</v>
      </c>
      <c r="J396" s="63" t="s">
        <v>2827</v>
      </c>
      <c r="K396" s="205">
        <v>5549697.0</v>
      </c>
      <c r="L396" s="208">
        <v>3.90469</v>
      </c>
      <c r="M396" s="208">
        <v>1.93246</v>
      </c>
      <c r="N396" s="208">
        <v>1.79979</v>
      </c>
      <c r="O396" s="209">
        <v>3.8</v>
      </c>
      <c r="P396" s="209">
        <v>8.5</v>
      </c>
      <c r="Q396" s="209">
        <v>6.0</v>
      </c>
      <c r="R396" s="209">
        <v>5.0</v>
      </c>
      <c r="S396" s="210">
        <v>0.0024074074062809814</v>
      </c>
      <c r="T396" s="63" t="s">
        <v>2828</v>
      </c>
      <c r="U396" s="205">
        <v>2.0</v>
      </c>
      <c r="V396" s="205">
        <v>3.0</v>
      </c>
      <c r="W396" s="63" t="s">
        <v>2829</v>
      </c>
      <c r="X396" s="210">
        <v>0.0026736111103673466</v>
      </c>
      <c r="Y396" s="63" t="s">
        <v>2830</v>
      </c>
      <c r="Z396" s="63" t="s">
        <v>2831</v>
      </c>
      <c r="AA396" s="205">
        <v>0.0</v>
      </c>
      <c r="AB396" s="63" t="s">
        <v>2832</v>
      </c>
      <c r="AC396" s="205">
        <v>3335.0</v>
      </c>
      <c r="AD396" s="208">
        <v>9.58876</v>
      </c>
      <c r="AE396" s="205">
        <v>821288.0</v>
      </c>
      <c r="AF396" s="205">
        <v>146202.0</v>
      </c>
      <c r="AG396" s="205">
        <v>228.0</v>
      </c>
      <c r="AH396" s="205">
        <v>428.0</v>
      </c>
      <c r="AI396" s="205">
        <v>2.0</v>
      </c>
      <c r="AJ396" s="205">
        <v>1105.0</v>
      </c>
      <c r="AK396" s="205">
        <v>0.0</v>
      </c>
      <c r="AL396" s="205">
        <v>0.0</v>
      </c>
      <c r="AM396" s="205">
        <v>0.0</v>
      </c>
      <c r="AN396" s="205">
        <v>1.0</v>
      </c>
      <c r="AO396" s="208">
        <v>3.59867</v>
      </c>
      <c r="AP396" s="208">
        <v>4.1387</v>
      </c>
      <c r="AQ396" s="208">
        <v>5.43505</v>
      </c>
      <c r="AR396" s="208">
        <v>3.14761</v>
      </c>
      <c r="AT396" s="192" t="s">
        <v>732</v>
      </c>
      <c r="AU396" s="211" t="s">
        <v>731</v>
      </c>
      <c r="AV396" s="211" t="s">
        <v>2833</v>
      </c>
      <c r="AW396" s="211" t="s">
        <v>2834</v>
      </c>
      <c r="AX396" s="211" t="s">
        <v>732</v>
      </c>
      <c r="AY396" s="212">
        <v>1.9</v>
      </c>
      <c r="AZ396" s="213">
        <v>4.25</v>
      </c>
      <c r="BA396" s="213">
        <v>3.0</v>
      </c>
      <c r="BB396" s="213">
        <v>2.5</v>
      </c>
      <c r="BC396" s="212">
        <v>4.9399999999999995</v>
      </c>
      <c r="BD396" s="213">
        <v>10.0</v>
      </c>
      <c r="BE396" s="213">
        <v>8.399999999999999</v>
      </c>
      <c r="BF396" s="213">
        <v>7.0</v>
      </c>
      <c r="BG396" s="212">
        <v>10.0</v>
      </c>
      <c r="BH396" s="213">
        <v>8.416666666666666</v>
      </c>
      <c r="BI396" s="213">
        <v>0.0016049382708539877</v>
      </c>
      <c r="BJ396" s="213">
        <v>0.0017824074069115643</v>
      </c>
      <c r="BK396" s="213">
        <v>270.0</v>
      </c>
      <c r="BL396" s="212">
        <v>6.25</v>
      </c>
      <c r="BM396" s="213">
        <v>2.375</v>
      </c>
      <c r="BN396" s="213">
        <v>0.0032098765417079753</v>
      </c>
      <c r="BO396" s="213">
        <v>0.0035648148138231286</v>
      </c>
      <c r="BP396" s="213">
        <v>135.0</v>
      </c>
      <c r="BQ396" s="192"/>
      <c r="BR396" s="192"/>
    </row>
    <row r="397">
      <c r="A397" s="60"/>
      <c r="B397" s="205">
        <v>824390.0</v>
      </c>
      <c r="C397" s="205">
        <v>376552.0</v>
      </c>
      <c r="D397" s="205">
        <v>1.0</v>
      </c>
      <c r="E397" s="207">
        <v>42322.28953703704</v>
      </c>
      <c r="F397" s="207">
        <v>42342.20880787037</v>
      </c>
      <c r="G397" s="207">
        <v>42333.593564814815</v>
      </c>
      <c r="H397" s="63" t="s">
        <v>1034</v>
      </c>
      <c r="I397" s="205">
        <v>180.0</v>
      </c>
      <c r="J397" s="63" t="s">
        <v>2827</v>
      </c>
      <c r="K397" s="205">
        <v>5549697.0</v>
      </c>
      <c r="L397" s="208">
        <v>3.90469</v>
      </c>
      <c r="M397" s="208">
        <v>1.93246</v>
      </c>
      <c r="N397" s="208">
        <v>1.79979</v>
      </c>
      <c r="O397" s="209">
        <v>3.8</v>
      </c>
      <c r="P397" s="209">
        <v>8.5</v>
      </c>
      <c r="Q397" s="209">
        <v>6.0</v>
      </c>
      <c r="R397" s="209">
        <v>5.0</v>
      </c>
      <c r="S397" s="210">
        <v>0.0024074074062809814</v>
      </c>
      <c r="T397" s="63" t="s">
        <v>2828</v>
      </c>
      <c r="U397" s="205">
        <v>2.0</v>
      </c>
      <c r="V397" s="205">
        <v>3.0</v>
      </c>
      <c r="W397" s="63" t="s">
        <v>2829</v>
      </c>
      <c r="X397" s="210">
        <v>0.0026736111103673466</v>
      </c>
      <c r="Y397" s="63" t="s">
        <v>2830</v>
      </c>
      <c r="Z397" s="63" t="s">
        <v>2831</v>
      </c>
      <c r="AA397" s="205">
        <v>0.0</v>
      </c>
      <c r="AB397" s="63" t="s">
        <v>2832</v>
      </c>
      <c r="AC397" s="205">
        <v>3335.0</v>
      </c>
      <c r="AD397" s="208">
        <v>9.58876</v>
      </c>
      <c r="AE397" s="205">
        <v>821288.0</v>
      </c>
      <c r="AF397" s="205">
        <v>146202.0</v>
      </c>
      <c r="AG397" s="205">
        <v>228.0</v>
      </c>
      <c r="AH397" s="205">
        <v>428.0</v>
      </c>
      <c r="AI397" s="205">
        <v>2.0</v>
      </c>
      <c r="AJ397" s="205">
        <v>1105.0</v>
      </c>
      <c r="AK397" s="205">
        <v>0.0</v>
      </c>
      <c r="AL397" s="205">
        <v>0.0</v>
      </c>
      <c r="AM397" s="205">
        <v>0.0</v>
      </c>
      <c r="AN397" s="205">
        <v>1.0</v>
      </c>
      <c r="AO397" s="208">
        <v>3.59867</v>
      </c>
      <c r="AP397" s="208">
        <v>4.1387</v>
      </c>
      <c r="AQ397" s="208">
        <v>5.43505</v>
      </c>
      <c r="AR397" s="208">
        <v>3.14761</v>
      </c>
      <c r="AT397" s="192" t="s">
        <v>732</v>
      </c>
      <c r="AU397" s="211" t="s">
        <v>731</v>
      </c>
      <c r="AV397" s="211" t="s">
        <v>2833</v>
      </c>
      <c r="AW397" s="211" t="s">
        <v>2834</v>
      </c>
      <c r="AX397" s="211" t="s">
        <v>732</v>
      </c>
      <c r="AY397" s="212">
        <v>1.9</v>
      </c>
      <c r="AZ397" s="213">
        <v>4.25</v>
      </c>
      <c r="BA397" s="213">
        <v>3.0</v>
      </c>
      <c r="BB397" s="213">
        <v>2.5</v>
      </c>
      <c r="BC397" s="212">
        <v>4.9399999999999995</v>
      </c>
      <c r="BD397" s="213">
        <v>10.0</v>
      </c>
      <c r="BE397" s="213">
        <v>8.399999999999999</v>
      </c>
      <c r="BF397" s="213">
        <v>7.0</v>
      </c>
      <c r="BG397" s="212">
        <v>10.0</v>
      </c>
      <c r="BH397" s="213">
        <v>8.416666666666666</v>
      </c>
      <c r="BI397" s="213">
        <v>0.0016049382708539877</v>
      </c>
      <c r="BJ397" s="213">
        <v>0.0017824074069115643</v>
      </c>
      <c r="BK397" s="213">
        <v>270.0</v>
      </c>
      <c r="BL397" s="212">
        <v>6.25</v>
      </c>
      <c r="BM397" s="213">
        <v>2.375</v>
      </c>
      <c r="BN397" s="213">
        <v>0.0032098765417079753</v>
      </c>
      <c r="BO397" s="213">
        <v>0.0035648148138231286</v>
      </c>
      <c r="BP397" s="213">
        <v>135.0</v>
      </c>
      <c r="BQ397" s="192"/>
      <c r="BR397" s="192"/>
    </row>
    <row r="398">
      <c r="A398" s="60"/>
      <c r="B398" s="205">
        <v>3256307.0</v>
      </c>
      <c r="C398" s="205">
        <v>1519388.0</v>
      </c>
      <c r="D398" s="205">
        <v>1.0</v>
      </c>
      <c r="E398" s="207">
        <v>44391.069652777776</v>
      </c>
      <c r="F398" s="207">
        <v>44490.86546296296</v>
      </c>
      <c r="G398" s="207">
        <v>44483.65282407407</v>
      </c>
      <c r="H398" s="63" t="s">
        <v>1011</v>
      </c>
      <c r="I398" s="205">
        <v>96.5</v>
      </c>
      <c r="J398" s="63" t="s">
        <v>2835</v>
      </c>
      <c r="K398" s="205">
        <v>3053382.0</v>
      </c>
      <c r="L398" s="208">
        <v>5.64826</v>
      </c>
      <c r="M398" s="208">
        <v>3.00491</v>
      </c>
      <c r="N398" s="208">
        <v>2.29195</v>
      </c>
      <c r="O398" s="209">
        <v>4.1</v>
      </c>
      <c r="P398" s="209">
        <v>9.4</v>
      </c>
      <c r="Q398" s="209">
        <v>8.8</v>
      </c>
      <c r="R398" s="209">
        <v>5.4</v>
      </c>
      <c r="S398" s="210">
        <v>0.00402777777708252</v>
      </c>
      <c r="U398" s="205">
        <v>10.0</v>
      </c>
      <c r="V398" s="205">
        <v>3.0</v>
      </c>
      <c r="W398" s="63" t="s">
        <v>2836</v>
      </c>
      <c r="X398" s="210">
        <v>0.004097222223208519</v>
      </c>
      <c r="Y398" s="63" t="s">
        <v>2837</v>
      </c>
      <c r="Z398" s="63" t="s">
        <v>2838</v>
      </c>
      <c r="AA398" s="205">
        <v>0.0</v>
      </c>
      <c r="AB398" s="63" t="s">
        <v>2839</v>
      </c>
      <c r="AC398" s="205">
        <v>1344.0</v>
      </c>
      <c r="AD398" s="208">
        <v>9.74013</v>
      </c>
      <c r="AE398" s="205">
        <v>219700.0</v>
      </c>
      <c r="AF398" s="205">
        <v>26072.0</v>
      </c>
      <c r="AG398" s="205">
        <v>874.0</v>
      </c>
      <c r="AH398" s="205">
        <v>535.0</v>
      </c>
      <c r="AI398" s="205">
        <v>0.0</v>
      </c>
      <c r="AJ398" s="205">
        <v>2042.0</v>
      </c>
      <c r="AK398" s="205">
        <v>1.0</v>
      </c>
      <c r="AL398" s="205">
        <v>0.0</v>
      </c>
      <c r="AM398" s="205">
        <v>0.0</v>
      </c>
      <c r="AN398" s="205">
        <v>0.0</v>
      </c>
      <c r="AO398" s="208">
        <v>5.1588</v>
      </c>
      <c r="AP398" s="208">
        <v>6.05457</v>
      </c>
      <c r="AQ398" s="208">
        <v>8.01146</v>
      </c>
      <c r="AR398" s="208">
        <v>4.47665</v>
      </c>
      <c r="AT398" s="192" t="s">
        <v>617</v>
      </c>
      <c r="AU398" s="211" t="s">
        <v>616</v>
      </c>
      <c r="AV398" s="211" t="s">
        <v>2840</v>
      </c>
      <c r="AW398" s="211" t="s">
        <v>2841</v>
      </c>
      <c r="AX398" s="211" t="s">
        <v>617</v>
      </c>
      <c r="AY398" s="212">
        <v>2.05</v>
      </c>
      <c r="AZ398" s="213">
        <v>4.7</v>
      </c>
      <c r="BA398" s="213">
        <v>4.4</v>
      </c>
      <c r="BB398" s="213">
        <v>2.7</v>
      </c>
      <c r="BC398" s="212">
        <v>5.33</v>
      </c>
      <c r="BD398" s="213">
        <v>10.0</v>
      </c>
      <c r="BE398" s="213">
        <v>10.0</v>
      </c>
      <c r="BF398" s="213">
        <v>7.56</v>
      </c>
      <c r="BG398" s="212">
        <v>10.6</v>
      </c>
      <c r="BH398" s="213">
        <v>10.283333333333333</v>
      </c>
      <c r="BI398" s="213">
        <v>0.00268518518472168</v>
      </c>
      <c r="BJ398" s="213">
        <v>0.0027314814821390123</v>
      </c>
      <c r="BK398" s="213">
        <v>144.75</v>
      </c>
      <c r="BL398" s="212">
        <v>7.6</v>
      </c>
      <c r="BM398" s="213">
        <v>6.575</v>
      </c>
      <c r="BN398" s="213">
        <v>0.00537037036944336</v>
      </c>
      <c r="BO398" s="213">
        <v>0.005462962964278025</v>
      </c>
      <c r="BP398" s="213">
        <v>72.375</v>
      </c>
      <c r="BQ398" s="192"/>
      <c r="BR398" s="192"/>
    </row>
    <row r="399">
      <c r="A399" s="60"/>
      <c r="B399" s="205">
        <v>3256307.0</v>
      </c>
      <c r="C399" s="205">
        <v>1519388.0</v>
      </c>
      <c r="D399" s="205">
        <v>1.0</v>
      </c>
      <c r="E399" s="207">
        <v>44391.069652777776</v>
      </c>
      <c r="F399" s="207">
        <v>44490.86546296296</v>
      </c>
      <c r="G399" s="207">
        <v>44483.65282407407</v>
      </c>
      <c r="H399" s="63" t="s">
        <v>1011</v>
      </c>
      <c r="I399" s="205">
        <v>96.5</v>
      </c>
      <c r="J399" s="63" t="s">
        <v>2835</v>
      </c>
      <c r="K399" s="205">
        <v>3053382.0</v>
      </c>
      <c r="L399" s="208">
        <v>5.64826</v>
      </c>
      <c r="M399" s="208">
        <v>3.00491</v>
      </c>
      <c r="N399" s="208">
        <v>2.29195</v>
      </c>
      <c r="O399" s="209">
        <v>4.1</v>
      </c>
      <c r="P399" s="209">
        <v>9.4</v>
      </c>
      <c r="Q399" s="209">
        <v>8.8</v>
      </c>
      <c r="R399" s="209">
        <v>5.4</v>
      </c>
      <c r="S399" s="210">
        <v>0.00402777777708252</v>
      </c>
      <c r="U399" s="205">
        <v>10.0</v>
      </c>
      <c r="V399" s="205">
        <v>3.0</v>
      </c>
      <c r="W399" s="63" t="s">
        <v>2836</v>
      </c>
      <c r="X399" s="210">
        <v>0.004097222223208519</v>
      </c>
      <c r="Y399" s="63" t="s">
        <v>2837</v>
      </c>
      <c r="Z399" s="63" t="s">
        <v>2838</v>
      </c>
      <c r="AA399" s="205">
        <v>0.0</v>
      </c>
      <c r="AB399" s="63" t="s">
        <v>2839</v>
      </c>
      <c r="AC399" s="205">
        <v>1344.0</v>
      </c>
      <c r="AD399" s="208">
        <v>9.74013</v>
      </c>
      <c r="AE399" s="205">
        <v>219700.0</v>
      </c>
      <c r="AF399" s="205">
        <v>26072.0</v>
      </c>
      <c r="AG399" s="205">
        <v>874.0</v>
      </c>
      <c r="AH399" s="205">
        <v>535.0</v>
      </c>
      <c r="AI399" s="205">
        <v>0.0</v>
      </c>
      <c r="AJ399" s="205">
        <v>2042.0</v>
      </c>
      <c r="AK399" s="205">
        <v>1.0</v>
      </c>
      <c r="AL399" s="205">
        <v>0.0</v>
      </c>
      <c r="AM399" s="205">
        <v>0.0</v>
      </c>
      <c r="AN399" s="205">
        <v>0.0</v>
      </c>
      <c r="AO399" s="208">
        <v>5.1588</v>
      </c>
      <c r="AP399" s="208">
        <v>6.05457</v>
      </c>
      <c r="AQ399" s="208">
        <v>8.01146</v>
      </c>
      <c r="AR399" s="208">
        <v>4.47665</v>
      </c>
      <c r="AT399" s="192" t="s">
        <v>617</v>
      </c>
      <c r="AU399" s="211" t="s">
        <v>616</v>
      </c>
      <c r="AV399" s="211" t="s">
        <v>2840</v>
      </c>
      <c r="AW399" s="211" t="s">
        <v>2841</v>
      </c>
      <c r="AX399" s="211" t="s">
        <v>617</v>
      </c>
      <c r="AY399" s="212">
        <v>2.05</v>
      </c>
      <c r="AZ399" s="213">
        <v>4.7</v>
      </c>
      <c r="BA399" s="213">
        <v>4.4</v>
      </c>
      <c r="BB399" s="213">
        <v>2.7</v>
      </c>
      <c r="BC399" s="212">
        <v>5.33</v>
      </c>
      <c r="BD399" s="213">
        <v>10.0</v>
      </c>
      <c r="BE399" s="213">
        <v>10.0</v>
      </c>
      <c r="BF399" s="213">
        <v>7.56</v>
      </c>
      <c r="BG399" s="212">
        <v>10.6</v>
      </c>
      <c r="BH399" s="213">
        <v>10.283333333333333</v>
      </c>
      <c r="BI399" s="213">
        <v>0.00268518518472168</v>
      </c>
      <c r="BJ399" s="213">
        <v>0.0027314814821390123</v>
      </c>
      <c r="BK399" s="213">
        <v>144.75</v>
      </c>
      <c r="BL399" s="212">
        <v>7.6</v>
      </c>
      <c r="BM399" s="213">
        <v>6.575</v>
      </c>
      <c r="BN399" s="213">
        <v>0.00537037036944336</v>
      </c>
      <c r="BO399" s="213">
        <v>0.005462962964278025</v>
      </c>
      <c r="BP399" s="213">
        <v>72.375</v>
      </c>
      <c r="BQ399" s="192"/>
      <c r="BR399" s="192"/>
    </row>
    <row r="400">
      <c r="A400" s="60"/>
      <c r="B400" s="205">
        <v>646609.0</v>
      </c>
      <c r="C400" s="205">
        <v>286414.0</v>
      </c>
      <c r="D400" s="205">
        <v>1.0</v>
      </c>
      <c r="E400" s="207">
        <v>42053.614016203705</v>
      </c>
      <c r="F400" s="207">
        <v>42158.72238425926</v>
      </c>
      <c r="G400" s="207">
        <v>42150.74607638889</v>
      </c>
      <c r="H400" s="63" t="s">
        <v>996</v>
      </c>
      <c r="I400" s="205">
        <v>174.0</v>
      </c>
      <c r="J400" s="63" t="s">
        <v>1957</v>
      </c>
      <c r="K400" s="205">
        <v>873961.0</v>
      </c>
      <c r="L400" s="208">
        <v>5.74562</v>
      </c>
      <c r="M400" s="208">
        <v>2.8067</v>
      </c>
      <c r="N400" s="208">
        <v>2.6905</v>
      </c>
      <c r="O400" s="209">
        <v>4.3</v>
      </c>
      <c r="P400" s="209">
        <v>9.3</v>
      </c>
      <c r="Q400" s="209">
        <v>8.3</v>
      </c>
      <c r="R400" s="209">
        <v>6.3</v>
      </c>
      <c r="S400" s="210">
        <v>0.0035648148150357883</v>
      </c>
      <c r="U400" s="205">
        <v>10.0</v>
      </c>
      <c r="V400" s="205">
        <v>5.0</v>
      </c>
      <c r="W400" s="63" t="s">
        <v>2842</v>
      </c>
      <c r="X400" s="210">
        <v>0.0036574074074451346</v>
      </c>
      <c r="Y400" s="63" t="s">
        <v>2843</v>
      </c>
      <c r="Z400" s="63" t="s">
        <v>2844</v>
      </c>
      <c r="AA400" s="205">
        <v>0.0</v>
      </c>
      <c r="AB400" s="63" t="s">
        <v>2845</v>
      </c>
      <c r="AC400" s="205">
        <v>745.0</v>
      </c>
      <c r="AD400" s="208">
        <v>9.57319</v>
      </c>
      <c r="AE400" s="205">
        <v>379355.0</v>
      </c>
      <c r="AF400" s="205">
        <v>52361.0</v>
      </c>
      <c r="AG400" s="205">
        <v>447.0</v>
      </c>
      <c r="AH400" s="205">
        <v>662.0</v>
      </c>
      <c r="AI400" s="205">
        <v>0.0</v>
      </c>
      <c r="AJ400" s="205">
        <v>1948.0</v>
      </c>
      <c r="AK400" s="205">
        <v>0.0</v>
      </c>
      <c r="AL400" s="205">
        <v>0.0</v>
      </c>
      <c r="AM400" s="205">
        <v>0.0</v>
      </c>
      <c r="AN400" s="205">
        <v>0.0</v>
      </c>
      <c r="AO400" s="208">
        <v>5.18381</v>
      </c>
      <c r="AP400" s="208">
        <v>6.21258</v>
      </c>
      <c r="AQ400" s="208">
        <v>8.27924</v>
      </c>
      <c r="AR400" s="208">
        <v>4.53364</v>
      </c>
      <c r="AT400" s="192" t="s">
        <v>2846</v>
      </c>
      <c r="AU400" s="211" t="s">
        <v>595</v>
      </c>
      <c r="AV400" s="211" t="s">
        <v>2847</v>
      </c>
      <c r="AW400" s="211" t="s">
        <v>2848</v>
      </c>
      <c r="AX400" s="211" t="s">
        <v>2846</v>
      </c>
      <c r="AY400" s="212">
        <v>2.15</v>
      </c>
      <c r="AZ400" s="213">
        <v>4.65</v>
      </c>
      <c r="BA400" s="213">
        <v>4.15</v>
      </c>
      <c r="BB400" s="213">
        <v>3.15</v>
      </c>
      <c r="BC400" s="212">
        <v>5.59</v>
      </c>
      <c r="BD400" s="213">
        <v>10.0</v>
      </c>
      <c r="BE400" s="213">
        <v>10.0</v>
      </c>
      <c r="BF400" s="213">
        <v>8.819999999999999</v>
      </c>
      <c r="BG400" s="212">
        <v>10.533333333333333</v>
      </c>
      <c r="BH400" s="213">
        <v>9.950000000000001</v>
      </c>
      <c r="BI400" s="213">
        <v>0.002376543210023859</v>
      </c>
      <c r="BJ400" s="213">
        <v>0.002438271604963423</v>
      </c>
      <c r="BK400" s="213">
        <v>261.0</v>
      </c>
      <c r="BL400" s="212">
        <v>7.450000000000001</v>
      </c>
      <c r="BM400" s="213">
        <v>5.825</v>
      </c>
      <c r="BN400" s="213">
        <v>0.004753086420047718</v>
      </c>
      <c r="BO400" s="213">
        <v>0.004876543209926846</v>
      </c>
      <c r="BP400" s="213">
        <v>130.5</v>
      </c>
      <c r="BQ400" s="192"/>
      <c r="BR400" s="192"/>
    </row>
    <row r="401">
      <c r="A401" s="60"/>
      <c r="B401" s="205">
        <v>646609.0</v>
      </c>
      <c r="C401" s="205">
        <v>286414.0</v>
      </c>
      <c r="D401" s="205">
        <v>1.0</v>
      </c>
      <c r="E401" s="207">
        <v>42053.614016203705</v>
      </c>
      <c r="F401" s="207">
        <v>42158.72238425926</v>
      </c>
      <c r="G401" s="207">
        <v>42150.74607638889</v>
      </c>
      <c r="H401" s="63" t="s">
        <v>996</v>
      </c>
      <c r="I401" s="205">
        <v>174.0</v>
      </c>
      <c r="J401" s="63" t="s">
        <v>1957</v>
      </c>
      <c r="K401" s="205">
        <v>873961.0</v>
      </c>
      <c r="L401" s="208">
        <v>5.74562</v>
      </c>
      <c r="M401" s="208">
        <v>2.8067</v>
      </c>
      <c r="N401" s="208">
        <v>2.6905</v>
      </c>
      <c r="O401" s="209">
        <v>4.3</v>
      </c>
      <c r="P401" s="209">
        <v>9.3</v>
      </c>
      <c r="Q401" s="209">
        <v>8.3</v>
      </c>
      <c r="R401" s="209">
        <v>6.3</v>
      </c>
      <c r="S401" s="210">
        <v>0.0035648148150357883</v>
      </c>
      <c r="U401" s="205">
        <v>10.0</v>
      </c>
      <c r="V401" s="205">
        <v>5.0</v>
      </c>
      <c r="W401" s="63" t="s">
        <v>2842</v>
      </c>
      <c r="X401" s="210">
        <v>0.0036574074074451346</v>
      </c>
      <c r="Y401" s="63" t="s">
        <v>2843</v>
      </c>
      <c r="Z401" s="63" t="s">
        <v>2844</v>
      </c>
      <c r="AA401" s="205">
        <v>0.0</v>
      </c>
      <c r="AB401" s="63" t="s">
        <v>2845</v>
      </c>
      <c r="AC401" s="205">
        <v>745.0</v>
      </c>
      <c r="AD401" s="208">
        <v>9.57319</v>
      </c>
      <c r="AE401" s="205">
        <v>379355.0</v>
      </c>
      <c r="AF401" s="205">
        <v>52361.0</v>
      </c>
      <c r="AG401" s="205">
        <v>447.0</v>
      </c>
      <c r="AH401" s="205">
        <v>662.0</v>
      </c>
      <c r="AI401" s="205">
        <v>0.0</v>
      </c>
      <c r="AJ401" s="205">
        <v>1948.0</v>
      </c>
      <c r="AK401" s="205">
        <v>0.0</v>
      </c>
      <c r="AL401" s="205">
        <v>0.0</v>
      </c>
      <c r="AM401" s="205">
        <v>0.0</v>
      </c>
      <c r="AN401" s="205">
        <v>0.0</v>
      </c>
      <c r="AO401" s="208">
        <v>5.18381</v>
      </c>
      <c r="AP401" s="208">
        <v>6.21258</v>
      </c>
      <c r="AQ401" s="208">
        <v>8.27924</v>
      </c>
      <c r="AR401" s="208">
        <v>4.53364</v>
      </c>
      <c r="AT401" s="192" t="s">
        <v>2846</v>
      </c>
      <c r="AU401" s="211" t="s">
        <v>595</v>
      </c>
      <c r="AV401" s="211" t="s">
        <v>2847</v>
      </c>
      <c r="AW401" s="211" t="s">
        <v>2848</v>
      </c>
      <c r="AX401" s="211" t="s">
        <v>2846</v>
      </c>
      <c r="AY401" s="212">
        <v>2.15</v>
      </c>
      <c r="AZ401" s="213">
        <v>4.65</v>
      </c>
      <c r="BA401" s="213">
        <v>4.15</v>
      </c>
      <c r="BB401" s="213">
        <v>3.15</v>
      </c>
      <c r="BC401" s="212">
        <v>5.59</v>
      </c>
      <c r="BD401" s="213">
        <v>10.0</v>
      </c>
      <c r="BE401" s="213">
        <v>10.0</v>
      </c>
      <c r="BF401" s="213">
        <v>8.819999999999999</v>
      </c>
      <c r="BG401" s="212">
        <v>10.533333333333333</v>
      </c>
      <c r="BH401" s="213">
        <v>9.950000000000001</v>
      </c>
      <c r="BI401" s="213">
        <v>0.002376543210023859</v>
      </c>
      <c r="BJ401" s="213">
        <v>0.002438271604963423</v>
      </c>
      <c r="BK401" s="213">
        <v>261.0</v>
      </c>
      <c r="BL401" s="212">
        <v>7.450000000000001</v>
      </c>
      <c r="BM401" s="213">
        <v>5.825</v>
      </c>
      <c r="BN401" s="213">
        <v>0.004753086420047718</v>
      </c>
      <c r="BO401" s="213">
        <v>0.004876543209926846</v>
      </c>
      <c r="BP401" s="213">
        <v>130.5</v>
      </c>
      <c r="BQ401" s="192"/>
      <c r="BR401" s="192"/>
    </row>
    <row r="402">
      <c r="A402" s="60"/>
      <c r="B402" s="205">
        <v>2111279.0</v>
      </c>
      <c r="C402" s="205">
        <v>761026.0</v>
      </c>
      <c r="D402" s="205">
        <v>1.0</v>
      </c>
      <c r="E402" s="207">
        <v>43196.60861111111</v>
      </c>
      <c r="F402" s="207">
        <v>44418.628645833334</v>
      </c>
      <c r="G402" s="207">
        <v>44411.61201388889</v>
      </c>
      <c r="H402" s="63" t="s">
        <v>2849</v>
      </c>
      <c r="I402" s="205">
        <v>220.0</v>
      </c>
      <c r="J402" s="63" t="s">
        <v>2850</v>
      </c>
      <c r="K402" s="205">
        <v>6924298.0</v>
      </c>
      <c r="L402" s="208">
        <v>5.42437</v>
      </c>
      <c r="M402" s="208">
        <v>2.50734</v>
      </c>
      <c r="N402" s="208">
        <v>2.67859</v>
      </c>
      <c r="O402" s="209">
        <v>4.0</v>
      </c>
      <c r="P402" s="209">
        <v>9.2</v>
      </c>
      <c r="Q402" s="209">
        <v>8.2</v>
      </c>
      <c r="R402" s="209">
        <v>5.0</v>
      </c>
      <c r="S402" s="210">
        <v>0.0024999999986903276</v>
      </c>
      <c r="U402" s="205">
        <v>11.0</v>
      </c>
      <c r="V402" s="205">
        <v>2.0</v>
      </c>
      <c r="W402" s="63" t="s">
        <v>2851</v>
      </c>
      <c r="X402" s="210">
        <v>0.0026273148141626734</v>
      </c>
      <c r="Y402" s="63" t="s">
        <v>2852</v>
      </c>
      <c r="Z402" s="63" t="s">
        <v>2853</v>
      </c>
      <c r="AA402" s="205">
        <v>0.0</v>
      </c>
      <c r="AB402" s="63" t="s">
        <v>2854</v>
      </c>
      <c r="AC402" s="205">
        <v>774.0</v>
      </c>
      <c r="AD402" s="208">
        <v>9.56792</v>
      </c>
      <c r="AE402" s="205">
        <v>196372.0</v>
      </c>
      <c r="AF402" s="205">
        <v>44305.0</v>
      </c>
      <c r="AG402" s="205">
        <v>554.0</v>
      </c>
      <c r="AH402" s="205">
        <v>401.0</v>
      </c>
      <c r="AI402" s="205">
        <v>1.0</v>
      </c>
      <c r="AJ402" s="205">
        <v>1931.0</v>
      </c>
      <c r="AK402" s="205">
        <v>0.0</v>
      </c>
      <c r="AL402" s="205">
        <v>0.0</v>
      </c>
      <c r="AM402" s="205">
        <v>0.0</v>
      </c>
      <c r="AN402" s="205">
        <v>0.0</v>
      </c>
      <c r="AO402" s="208">
        <v>4.93398</v>
      </c>
      <c r="AP402" s="208">
        <v>5.64659</v>
      </c>
      <c r="AQ402" s="208">
        <v>8.21129</v>
      </c>
      <c r="AR402" s="208">
        <v>4.31632</v>
      </c>
      <c r="AT402" s="192" t="s">
        <v>734</v>
      </c>
      <c r="AU402" s="211" t="s">
        <v>733</v>
      </c>
      <c r="AV402" s="211" t="s">
        <v>2855</v>
      </c>
      <c r="AW402" s="211" t="s">
        <v>2856</v>
      </c>
      <c r="AX402" s="211" t="s">
        <v>734</v>
      </c>
      <c r="AY402" s="212">
        <v>2.0</v>
      </c>
      <c r="AZ402" s="213">
        <v>4.6</v>
      </c>
      <c r="BA402" s="213">
        <v>4.1</v>
      </c>
      <c r="BB402" s="213">
        <v>2.5</v>
      </c>
      <c r="BC402" s="212">
        <v>5.2</v>
      </c>
      <c r="BD402" s="213">
        <v>10.0</v>
      </c>
      <c r="BE402" s="213">
        <v>10.0</v>
      </c>
      <c r="BF402" s="213">
        <v>7.0</v>
      </c>
      <c r="BG402" s="212">
        <v>10.466666666666667</v>
      </c>
      <c r="BH402" s="213">
        <v>9.883333333333333</v>
      </c>
      <c r="BI402" s="213">
        <v>0.0016666666657935518</v>
      </c>
      <c r="BJ402" s="213">
        <v>0.0017515432094417822</v>
      </c>
      <c r="BK402" s="213">
        <v>330.0</v>
      </c>
      <c r="BL402" s="212">
        <v>7.299999999999999</v>
      </c>
      <c r="BM402" s="213">
        <v>5.675</v>
      </c>
      <c r="BN402" s="213">
        <v>0.0033333333315871037</v>
      </c>
      <c r="BO402" s="213">
        <v>0.0035030864188835644</v>
      </c>
      <c r="BP402" s="213">
        <v>165.0</v>
      </c>
      <c r="BQ402" s="192"/>
      <c r="BR402" s="192"/>
    </row>
    <row r="403">
      <c r="A403" s="60"/>
      <c r="B403" s="205">
        <v>2417645.0</v>
      </c>
      <c r="C403" s="205">
        <v>1158494.0</v>
      </c>
      <c r="D403" s="205">
        <v>1.0</v>
      </c>
      <c r="E403" s="207">
        <v>43949.55744212963</v>
      </c>
      <c r="F403" s="207">
        <v>44207.61224537037</v>
      </c>
      <c r="G403" s="207">
        <v>44197.70025462963</v>
      </c>
      <c r="H403" s="63" t="s">
        <v>2857</v>
      </c>
      <c r="I403" s="205">
        <v>133.0</v>
      </c>
      <c r="J403" s="63" t="s">
        <v>2858</v>
      </c>
      <c r="K403" s="205">
        <v>1.0562853E7</v>
      </c>
      <c r="L403" s="208">
        <v>5.50673</v>
      </c>
      <c r="M403" s="208">
        <v>2.81534</v>
      </c>
      <c r="N403" s="208">
        <v>2.42154</v>
      </c>
      <c r="O403" s="209">
        <v>4.0</v>
      </c>
      <c r="P403" s="209">
        <v>9.2</v>
      </c>
      <c r="Q403" s="209">
        <v>8.3</v>
      </c>
      <c r="R403" s="209">
        <v>5.0</v>
      </c>
      <c r="S403" s="210">
        <v>0.0023726851868559606</v>
      </c>
      <c r="U403" s="205">
        <v>5.0</v>
      </c>
      <c r="V403" s="205">
        <v>3.0</v>
      </c>
      <c r="W403" s="63" t="s">
        <v>2859</v>
      </c>
      <c r="X403" s="210">
        <v>0.0023842592599976342</v>
      </c>
      <c r="Y403" s="63" t="s">
        <v>2860</v>
      </c>
      <c r="Z403" s="63" t="s">
        <v>2861</v>
      </c>
      <c r="AA403" s="205">
        <v>0.0</v>
      </c>
      <c r="AB403" s="63" t="s">
        <v>2862</v>
      </c>
      <c r="AC403" s="205">
        <v>1981.0</v>
      </c>
      <c r="AD403" s="208">
        <v>9.372</v>
      </c>
      <c r="AE403" s="205">
        <v>292312.0</v>
      </c>
      <c r="AF403" s="205">
        <v>29794.0</v>
      </c>
      <c r="AG403" s="205">
        <v>414.0</v>
      </c>
      <c r="AH403" s="205">
        <v>446.0</v>
      </c>
      <c r="AI403" s="205">
        <v>0.0</v>
      </c>
      <c r="AJ403" s="205">
        <v>1321.0</v>
      </c>
      <c r="AK403" s="205">
        <v>0.0</v>
      </c>
      <c r="AL403" s="205">
        <v>1.0</v>
      </c>
      <c r="AM403" s="205">
        <v>0.0</v>
      </c>
      <c r="AN403" s="205">
        <v>0.0</v>
      </c>
      <c r="AO403" s="208">
        <v>5.04422</v>
      </c>
      <c r="AP403" s="208">
        <v>5.88091</v>
      </c>
      <c r="AQ403" s="208">
        <v>7.82742</v>
      </c>
      <c r="AR403" s="208">
        <v>4.32752</v>
      </c>
      <c r="AT403" s="192" t="s">
        <v>736</v>
      </c>
      <c r="AU403" s="211" t="s">
        <v>735</v>
      </c>
      <c r="AV403" s="211" t="s">
        <v>2863</v>
      </c>
      <c r="AW403" s="211" t="s">
        <v>2864</v>
      </c>
      <c r="AX403" s="211" t="s">
        <v>736</v>
      </c>
      <c r="AY403" s="212">
        <v>2.0</v>
      </c>
      <c r="AZ403" s="213">
        <v>4.6</v>
      </c>
      <c r="BA403" s="213">
        <v>4.15</v>
      </c>
      <c r="BB403" s="213">
        <v>2.5</v>
      </c>
      <c r="BC403" s="212">
        <v>5.2</v>
      </c>
      <c r="BD403" s="213">
        <v>10.0</v>
      </c>
      <c r="BE403" s="213">
        <v>10.0</v>
      </c>
      <c r="BF403" s="213">
        <v>7.0</v>
      </c>
      <c r="BG403" s="212">
        <v>10.466666666666667</v>
      </c>
      <c r="BH403" s="213">
        <v>9.950000000000001</v>
      </c>
      <c r="BI403" s="213">
        <v>0.0015817901245706405</v>
      </c>
      <c r="BJ403" s="213">
        <v>0.0015895061733317561</v>
      </c>
      <c r="BK403" s="213">
        <v>199.5</v>
      </c>
      <c r="BL403" s="212">
        <v>7.299999999999999</v>
      </c>
      <c r="BM403" s="213">
        <v>5.825</v>
      </c>
      <c r="BN403" s="213">
        <v>0.003163580249141281</v>
      </c>
      <c r="BO403" s="213">
        <v>0.0031790123466635123</v>
      </c>
      <c r="BP403" s="213">
        <v>99.75</v>
      </c>
      <c r="BQ403" s="192"/>
      <c r="BR403" s="192"/>
    </row>
    <row r="404">
      <c r="A404" s="60"/>
      <c r="B404" s="205">
        <v>2417645.0</v>
      </c>
      <c r="C404" s="205">
        <v>1158494.0</v>
      </c>
      <c r="D404" s="205">
        <v>1.0</v>
      </c>
      <c r="E404" s="207">
        <v>43949.55744212963</v>
      </c>
      <c r="F404" s="207">
        <v>44207.61224537037</v>
      </c>
      <c r="G404" s="207">
        <v>44197.70025462963</v>
      </c>
      <c r="H404" s="63" t="s">
        <v>2857</v>
      </c>
      <c r="I404" s="205">
        <v>133.0</v>
      </c>
      <c r="J404" s="63" t="s">
        <v>2858</v>
      </c>
      <c r="K404" s="205">
        <v>1.0562853E7</v>
      </c>
      <c r="L404" s="208">
        <v>5.50673</v>
      </c>
      <c r="M404" s="208">
        <v>2.81534</v>
      </c>
      <c r="N404" s="208">
        <v>2.42154</v>
      </c>
      <c r="O404" s="209">
        <v>4.0</v>
      </c>
      <c r="P404" s="209">
        <v>9.2</v>
      </c>
      <c r="Q404" s="209">
        <v>8.3</v>
      </c>
      <c r="R404" s="209">
        <v>5.0</v>
      </c>
      <c r="S404" s="210">
        <v>0.0023726851868559606</v>
      </c>
      <c r="U404" s="205">
        <v>5.0</v>
      </c>
      <c r="V404" s="205">
        <v>3.0</v>
      </c>
      <c r="W404" s="63" t="s">
        <v>2859</v>
      </c>
      <c r="X404" s="210">
        <v>0.0023842592599976342</v>
      </c>
      <c r="Y404" s="63" t="s">
        <v>2860</v>
      </c>
      <c r="Z404" s="63" t="s">
        <v>2861</v>
      </c>
      <c r="AA404" s="205">
        <v>0.0</v>
      </c>
      <c r="AB404" s="63" t="s">
        <v>2862</v>
      </c>
      <c r="AC404" s="205">
        <v>1981.0</v>
      </c>
      <c r="AD404" s="208">
        <v>9.372</v>
      </c>
      <c r="AE404" s="205">
        <v>292312.0</v>
      </c>
      <c r="AF404" s="205">
        <v>29794.0</v>
      </c>
      <c r="AG404" s="205">
        <v>414.0</v>
      </c>
      <c r="AH404" s="205">
        <v>446.0</v>
      </c>
      <c r="AI404" s="205">
        <v>0.0</v>
      </c>
      <c r="AJ404" s="205">
        <v>1321.0</v>
      </c>
      <c r="AK404" s="205">
        <v>0.0</v>
      </c>
      <c r="AL404" s="205">
        <v>1.0</v>
      </c>
      <c r="AM404" s="205">
        <v>0.0</v>
      </c>
      <c r="AN404" s="205">
        <v>0.0</v>
      </c>
      <c r="AO404" s="208">
        <v>5.04422</v>
      </c>
      <c r="AP404" s="208">
        <v>5.88091</v>
      </c>
      <c r="AQ404" s="208">
        <v>7.82742</v>
      </c>
      <c r="AR404" s="208">
        <v>4.32752</v>
      </c>
      <c r="AT404" s="192" t="s">
        <v>736</v>
      </c>
      <c r="AU404" s="211" t="s">
        <v>735</v>
      </c>
      <c r="AV404" s="211" t="s">
        <v>2863</v>
      </c>
      <c r="AW404" s="211" t="s">
        <v>2864</v>
      </c>
      <c r="AX404" s="211" t="s">
        <v>736</v>
      </c>
      <c r="AY404" s="212">
        <v>2.0</v>
      </c>
      <c r="AZ404" s="213">
        <v>4.6</v>
      </c>
      <c r="BA404" s="213">
        <v>4.15</v>
      </c>
      <c r="BB404" s="213">
        <v>2.5</v>
      </c>
      <c r="BC404" s="212">
        <v>5.2</v>
      </c>
      <c r="BD404" s="213">
        <v>10.0</v>
      </c>
      <c r="BE404" s="213">
        <v>10.0</v>
      </c>
      <c r="BF404" s="213">
        <v>7.0</v>
      </c>
      <c r="BG404" s="212">
        <v>10.466666666666667</v>
      </c>
      <c r="BH404" s="213">
        <v>9.950000000000001</v>
      </c>
      <c r="BI404" s="213">
        <v>0.0015817901245706405</v>
      </c>
      <c r="BJ404" s="213">
        <v>0.0015895061733317561</v>
      </c>
      <c r="BK404" s="213">
        <v>199.5</v>
      </c>
      <c r="BL404" s="212">
        <v>7.299999999999999</v>
      </c>
      <c r="BM404" s="213">
        <v>5.825</v>
      </c>
      <c r="BN404" s="213">
        <v>0.003163580249141281</v>
      </c>
      <c r="BO404" s="213">
        <v>0.0031790123466635123</v>
      </c>
      <c r="BP404" s="213">
        <v>99.75</v>
      </c>
      <c r="BQ404" s="192"/>
      <c r="BR404" s="192"/>
    </row>
    <row r="405">
      <c r="A405" s="60"/>
      <c r="B405" s="205">
        <v>765880.0</v>
      </c>
      <c r="C405" s="205">
        <v>347023.0</v>
      </c>
      <c r="D405" s="205">
        <v>1.0</v>
      </c>
      <c r="E405" s="207">
        <v>42234.94267361111</v>
      </c>
      <c r="F405" s="207">
        <v>42750.097546296296</v>
      </c>
      <c r="G405" s="207">
        <v>42741.70700231481</v>
      </c>
      <c r="H405" s="63" t="s">
        <v>1018</v>
      </c>
      <c r="I405" s="205">
        <v>130.0</v>
      </c>
      <c r="J405" s="63" t="s">
        <v>652</v>
      </c>
      <c r="K405" s="205">
        <v>1623405.0</v>
      </c>
      <c r="L405" s="208">
        <v>3.94454</v>
      </c>
      <c r="M405" s="208">
        <v>2.03828</v>
      </c>
      <c r="N405" s="208">
        <v>1.70235</v>
      </c>
      <c r="O405" s="209">
        <v>4.0</v>
      </c>
      <c r="P405" s="209">
        <v>8.3</v>
      </c>
      <c r="Q405" s="209">
        <v>7.0</v>
      </c>
      <c r="R405" s="209">
        <v>7.0</v>
      </c>
      <c r="S405" s="210">
        <v>0.003229166668461403</v>
      </c>
      <c r="T405" s="63" t="s">
        <v>2865</v>
      </c>
      <c r="U405" s="205">
        <v>3.0</v>
      </c>
      <c r="V405" s="205">
        <v>3.0</v>
      </c>
      <c r="W405" s="63" t="s">
        <v>2866</v>
      </c>
      <c r="X405" s="210">
        <v>0.003321759260870749</v>
      </c>
      <c r="Y405" s="63" t="s">
        <v>1116</v>
      </c>
      <c r="Z405" s="63" t="s">
        <v>2867</v>
      </c>
      <c r="AA405" s="205">
        <v>0.0</v>
      </c>
      <c r="AB405" s="63" t="s">
        <v>2868</v>
      </c>
      <c r="AC405" s="205">
        <v>344.0</v>
      </c>
      <c r="AD405" s="208">
        <v>9.4</v>
      </c>
      <c r="AE405" s="205">
        <v>149315.0</v>
      </c>
      <c r="AF405" s="205">
        <v>15245.0</v>
      </c>
      <c r="AG405" s="205">
        <v>390.0</v>
      </c>
      <c r="AH405" s="205">
        <v>347.0</v>
      </c>
      <c r="AI405" s="205">
        <v>1.0</v>
      </c>
      <c r="AJ405" s="205">
        <v>1114.0</v>
      </c>
      <c r="AK405" s="205">
        <v>0.0</v>
      </c>
      <c r="AL405" s="205">
        <v>0.0</v>
      </c>
      <c r="AM405" s="205">
        <v>0.0</v>
      </c>
      <c r="AN405" s="205">
        <v>0.0</v>
      </c>
      <c r="AO405" s="208">
        <v>3.6547</v>
      </c>
      <c r="AP405" s="208">
        <v>4.19554</v>
      </c>
      <c r="AQ405" s="208">
        <v>5.44841</v>
      </c>
      <c r="AR405" s="208">
        <v>3.15831</v>
      </c>
      <c r="AT405" s="192" t="s">
        <v>651</v>
      </c>
      <c r="AU405" s="211" t="s">
        <v>737</v>
      </c>
      <c r="AV405" s="211" t="s">
        <v>2869</v>
      </c>
      <c r="AW405" s="211" t="s">
        <v>2870</v>
      </c>
      <c r="AX405" s="211" t="s">
        <v>651</v>
      </c>
      <c r="AY405" s="212">
        <v>2.0</v>
      </c>
      <c r="AZ405" s="213">
        <v>4.15</v>
      </c>
      <c r="BA405" s="213">
        <v>3.5</v>
      </c>
      <c r="BB405" s="213">
        <v>3.5</v>
      </c>
      <c r="BC405" s="212">
        <v>5.2</v>
      </c>
      <c r="BD405" s="213">
        <v>10.0</v>
      </c>
      <c r="BE405" s="213">
        <v>9.799999999999999</v>
      </c>
      <c r="BF405" s="213">
        <v>9.799999999999999</v>
      </c>
      <c r="BG405" s="212">
        <v>9.866666666666667</v>
      </c>
      <c r="BH405" s="213">
        <v>9.083333333333334</v>
      </c>
      <c r="BI405" s="213">
        <v>0.0021527777789742686</v>
      </c>
      <c r="BJ405" s="213">
        <v>0.0022145061739138328</v>
      </c>
      <c r="BK405" s="213">
        <v>195.0</v>
      </c>
      <c r="BL405" s="212">
        <v>5.950000000000001</v>
      </c>
      <c r="BM405" s="213">
        <v>3.875</v>
      </c>
      <c r="BN405" s="213">
        <v>0.004305555557948537</v>
      </c>
      <c r="BO405" s="213">
        <v>0.0044290123478276655</v>
      </c>
      <c r="BP405" s="213">
        <v>97.5</v>
      </c>
      <c r="BQ405" s="192"/>
      <c r="BR405" s="192"/>
    </row>
    <row r="406">
      <c r="A406" s="60"/>
      <c r="B406" s="205">
        <v>765880.0</v>
      </c>
      <c r="C406" s="205">
        <v>347023.0</v>
      </c>
      <c r="D406" s="205">
        <v>1.0</v>
      </c>
      <c r="E406" s="207">
        <v>42234.94267361111</v>
      </c>
      <c r="F406" s="207">
        <v>42750.097546296296</v>
      </c>
      <c r="G406" s="207">
        <v>42741.70700231481</v>
      </c>
      <c r="H406" s="63" t="s">
        <v>1018</v>
      </c>
      <c r="I406" s="205">
        <v>130.0</v>
      </c>
      <c r="J406" s="63" t="s">
        <v>652</v>
      </c>
      <c r="K406" s="205">
        <v>1623405.0</v>
      </c>
      <c r="L406" s="208">
        <v>3.94454</v>
      </c>
      <c r="M406" s="208">
        <v>2.03828</v>
      </c>
      <c r="N406" s="208">
        <v>1.70235</v>
      </c>
      <c r="O406" s="209">
        <v>4.0</v>
      </c>
      <c r="P406" s="209">
        <v>8.3</v>
      </c>
      <c r="Q406" s="209">
        <v>7.0</v>
      </c>
      <c r="R406" s="209">
        <v>7.0</v>
      </c>
      <c r="S406" s="210">
        <v>0.003229166668461403</v>
      </c>
      <c r="T406" s="63" t="s">
        <v>2865</v>
      </c>
      <c r="U406" s="205">
        <v>3.0</v>
      </c>
      <c r="V406" s="205">
        <v>3.0</v>
      </c>
      <c r="W406" s="63" t="s">
        <v>2866</v>
      </c>
      <c r="X406" s="210">
        <v>0.003321759260870749</v>
      </c>
      <c r="Y406" s="63" t="s">
        <v>1116</v>
      </c>
      <c r="Z406" s="63" t="s">
        <v>2867</v>
      </c>
      <c r="AA406" s="205">
        <v>0.0</v>
      </c>
      <c r="AB406" s="63" t="s">
        <v>2868</v>
      </c>
      <c r="AC406" s="205">
        <v>344.0</v>
      </c>
      <c r="AD406" s="208">
        <v>9.4</v>
      </c>
      <c r="AE406" s="205">
        <v>149315.0</v>
      </c>
      <c r="AF406" s="205">
        <v>15245.0</v>
      </c>
      <c r="AG406" s="205">
        <v>390.0</v>
      </c>
      <c r="AH406" s="205">
        <v>347.0</v>
      </c>
      <c r="AI406" s="205">
        <v>1.0</v>
      </c>
      <c r="AJ406" s="205">
        <v>1114.0</v>
      </c>
      <c r="AK406" s="205">
        <v>0.0</v>
      </c>
      <c r="AL406" s="205">
        <v>0.0</v>
      </c>
      <c r="AM406" s="205">
        <v>0.0</v>
      </c>
      <c r="AN406" s="205">
        <v>0.0</v>
      </c>
      <c r="AO406" s="208">
        <v>3.6547</v>
      </c>
      <c r="AP406" s="208">
        <v>4.19554</v>
      </c>
      <c r="AQ406" s="208">
        <v>5.44841</v>
      </c>
      <c r="AR406" s="208">
        <v>3.15831</v>
      </c>
      <c r="AT406" s="192" t="s">
        <v>651</v>
      </c>
      <c r="AU406" s="211" t="s">
        <v>737</v>
      </c>
      <c r="AV406" s="211" t="s">
        <v>2869</v>
      </c>
      <c r="AW406" s="211" t="s">
        <v>2870</v>
      </c>
      <c r="AX406" s="211" t="s">
        <v>651</v>
      </c>
      <c r="AY406" s="212">
        <v>2.0</v>
      </c>
      <c r="AZ406" s="213">
        <v>4.15</v>
      </c>
      <c r="BA406" s="213">
        <v>3.5</v>
      </c>
      <c r="BB406" s="213">
        <v>3.5</v>
      </c>
      <c r="BC406" s="212">
        <v>5.2</v>
      </c>
      <c r="BD406" s="213">
        <v>10.0</v>
      </c>
      <c r="BE406" s="213">
        <v>9.799999999999999</v>
      </c>
      <c r="BF406" s="213">
        <v>9.799999999999999</v>
      </c>
      <c r="BG406" s="212">
        <v>9.866666666666667</v>
      </c>
      <c r="BH406" s="213">
        <v>9.083333333333334</v>
      </c>
      <c r="BI406" s="213">
        <v>0.0021527777789742686</v>
      </c>
      <c r="BJ406" s="213">
        <v>0.0022145061739138328</v>
      </c>
      <c r="BK406" s="213">
        <v>195.0</v>
      </c>
      <c r="BL406" s="212">
        <v>5.950000000000001</v>
      </c>
      <c r="BM406" s="213">
        <v>3.875</v>
      </c>
      <c r="BN406" s="213">
        <v>0.004305555557948537</v>
      </c>
      <c r="BO406" s="213">
        <v>0.0044290123478276655</v>
      </c>
      <c r="BP406" s="213">
        <v>97.5</v>
      </c>
      <c r="BQ406" s="192"/>
      <c r="BR406" s="192"/>
    </row>
    <row r="407">
      <c r="A407" s="60"/>
      <c r="B407" s="205">
        <v>2134906.0</v>
      </c>
      <c r="C407" s="205">
        <v>1020335.0</v>
      </c>
      <c r="D407" s="205">
        <v>1.0</v>
      </c>
      <c r="E407" s="207">
        <v>43691.48063657407</v>
      </c>
      <c r="F407" s="207">
        <v>44032.68289351852</v>
      </c>
      <c r="G407" s="207">
        <v>44025.65846064815</v>
      </c>
      <c r="H407" s="63" t="s">
        <v>2871</v>
      </c>
      <c r="I407" s="205">
        <v>132.0</v>
      </c>
      <c r="J407" s="63" t="s">
        <v>517</v>
      </c>
      <c r="K407" s="205">
        <v>2841009.0</v>
      </c>
      <c r="L407" s="208">
        <v>5.45286</v>
      </c>
      <c r="M407" s="208">
        <v>2.69828</v>
      </c>
      <c r="N407" s="208">
        <v>2.5139</v>
      </c>
      <c r="O407" s="209">
        <v>4.0</v>
      </c>
      <c r="P407" s="209">
        <v>9.0</v>
      </c>
      <c r="Q407" s="209">
        <v>8.0</v>
      </c>
      <c r="R407" s="209">
        <v>7.0</v>
      </c>
      <c r="S407" s="210">
        <v>0.002118055555911269</v>
      </c>
      <c r="U407" s="205">
        <v>4.0</v>
      </c>
      <c r="V407" s="205">
        <v>3.0</v>
      </c>
      <c r="W407" s="63" t="s">
        <v>2872</v>
      </c>
      <c r="X407" s="210">
        <v>0.0023032407407299615</v>
      </c>
      <c r="Y407" s="63" t="s">
        <v>2253</v>
      </c>
      <c r="Z407" s="63" t="s">
        <v>2873</v>
      </c>
      <c r="AA407" s="205">
        <v>0.0</v>
      </c>
      <c r="AB407" s="63" t="s">
        <v>2874</v>
      </c>
      <c r="AC407" s="205">
        <v>190.0</v>
      </c>
      <c r="AD407" s="208">
        <v>9.07009</v>
      </c>
      <c r="AE407" s="205">
        <v>60075.0</v>
      </c>
      <c r="AF407" s="205">
        <v>3177.0</v>
      </c>
      <c r="AG407" s="205">
        <v>684.0</v>
      </c>
      <c r="AH407" s="205">
        <v>211.0</v>
      </c>
      <c r="AI407" s="205">
        <v>0.0</v>
      </c>
      <c r="AJ407" s="205">
        <v>1304.0</v>
      </c>
      <c r="AK407" s="205">
        <v>1.0</v>
      </c>
      <c r="AL407" s="205">
        <v>0.0</v>
      </c>
      <c r="AM407" s="205">
        <v>0.0</v>
      </c>
      <c r="AN407" s="205">
        <v>0.0</v>
      </c>
      <c r="AO407" s="208">
        <v>4.89621</v>
      </c>
      <c r="AP407" s="208">
        <v>5.84003</v>
      </c>
      <c r="AQ407" s="208">
        <v>7.68276</v>
      </c>
      <c r="AR407" s="208">
        <v>4.29471</v>
      </c>
      <c r="AT407" s="192" t="s">
        <v>815</v>
      </c>
      <c r="AU407" s="211" t="s">
        <v>814</v>
      </c>
      <c r="AV407" s="211" t="s">
        <v>2875</v>
      </c>
      <c r="AW407" s="211" t="s">
        <v>2876</v>
      </c>
      <c r="AX407" s="211" t="s">
        <v>815</v>
      </c>
      <c r="AY407" s="212">
        <v>2.0</v>
      </c>
      <c r="AZ407" s="213">
        <v>4.5</v>
      </c>
      <c r="BA407" s="213">
        <v>4.0</v>
      </c>
      <c r="BB407" s="213">
        <v>3.5</v>
      </c>
      <c r="BC407" s="212">
        <v>5.2</v>
      </c>
      <c r="BD407" s="213">
        <v>10.0</v>
      </c>
      <c r="BE407" s="213">
        <v>10.0</v>
      </c>
      <c r="BF407" s="213">
        <v>9.799999999999999</v>
      </c>
      <c r="BG407" s="212">
        <v>10.333333333333332</v>
      </c>
      <c r="BH407" s="213">
        <v>9.75</v>
      </c>
      <c r="BI407" s="213">
        <v>0.0014120370372741793</v>
      </c>
      <c r="BJ407" s="213">
        <v>0.0015354938271533076</v>
      </c>
      <c r="BK407" s="213">
        <v>198.0</v>
      </c>
      <c r="BL407" s="212">
        <v>7.0</v>
      </c>
      <c r="BM407" s="213">
        <v>5.375</v>
      </c>
      <c r="BN407" s="213">
        <v>0.0028240740745483586</v>
      </c>
      <c r="BO407" s="213">
        <v>0.0030709876543066152</v>
      </c>
      <c r="BP407" s="213">
        <v>99.0</v>
      </c>
      <c r="BQ407" s="192"/>
      <c r="BR407" s="192"/>
    </row>
    <row r="408">
      <c r="A408" s="60"/>
      <c r="B408" s="205">
        <v>1258993.0</v>
      </c>
      <c r="C408" s="205">
        <v>586144.0</v>
      </c>
      <c r="D408" s="205">
        <v>1.0</v>
      </c>
      <c r="E408" s="207">
        <v>42809.480266203704</v>
      </c>
      <c r="F408" s="207">
        <v>42885.02837962963</v>
      </c>
      <c r="G408" s="207">
        <v>42878.016539351855</v>
      </c>
      <c r="H408" s="63" t="s">
        <v>1031</v>
      </c>
      <c r="I408" s="205">
        <v>200.0</v>
      </c>
      <c r="J408" s="63" t="s">
        <v>792</v>
      </c>
      <c r="K408" s="205">
        <v>1953876.0</v>
      </c>
      <c r="L408" s="208">
        <v>5.15009</v>
      </c>
      <c r="M408" s="208">
        <v>2.7403</v>
      </c>
      <c r="N408" s="208">
        <v>2.08873</v>
      </c>
      <c r="O408" s="209">
        <v>4.0</v>
      </c>
      <c r="P408" s="209">
        <v>9.2</v>
      </c>
      <c r="Q408" s="209">
        <v>8.0</v>
      </c>
      <c r="R408" s="209">
        <v>5.6</v>
      </c>
      <c r="S408" s="210">
        <v>0.00204861110978527</v>
      </c>
      <c r="U408" s="205">
        <v>4.0</v>
      </c>
      <c r="V408" s="205">
        <v>6.0</v>
      </c>
      <c r="W408" s="63" t="s">
        <v>2877</v>
      </c>
      <c r="X408" s="210">
        <v>0.002164351852115942</v>
      </c>
      <c r="Y408" s="63" t="s">
        <v>2747</v>
      </c>
      <c r="Z408" s="63" t="s">
        <v>2878</v>
      </c>
      <c r="AA408" s="205">
        <v>0.0</v>
      </c>
      <c r="AB408" s="63" t="s">
        <v>2879</v>
      </c>
      <c r="AC408" s="205">
        <v>1970.0</v>
      </c>
      <c r="AD408" s="208">
        <v>9.43601</v>
      </c>
      <c r="AE408" s="205">
        <v>772720.0</v>
      </c>
      <c r="AF408" s="205">
        <v>157043.0</v>
      </c>
      <c r="AG408" s="205">
        <v>309.0</v>
      </c>
      <c r="AH408" s="205">
        <v>323.0</v>
      </c>
      <c r="AI408" s="205">
        <v>1.0</v>
      </c>
      <c r="AJ408" s="205">
        <v>993.0</v>
      </c>
      <c r="AK408" s="205">
        <v>0.0</v>
      </c>
      <c r="AL408" s="205">
        <v>1.0</v>
      </c>
      <c r="AM408" s="205">
        <v>0.0</v>
      </c>
      <c r="AN408" s="205">
        <v>0.0</v>
      </c>
      <c r="AO408" s="208">
        <v>4.71973</v>
      </c>
      <c r="AP408" s="208">
        <v>5.49537</v>
      </c>
      <c r="AQ408" s="208">
        <v>7.1543</v>
      </c>
      <c r="AR408" s="208">
        <v>4.13579</v>
      </c>
      <c r="AT408" s="192" t="s">
        <v>791</v>
      </c>
      <c r="AU408" s="211" t="s">
        <v>793</v>
      </c>
      <c r="AV408" s="211" t="s">
        <v>2880</v>
      </c>
      <c r="AW408" s="211" t="s">
        <v>2881</v>
      </c>
      <c r="AX408" s="211" t="s">
        <v>791</v>
      </c>
      <c r="AY408" s="212">
        <v>2.0</v>
      </c>
      <c r="AZ408" s="213">
        <v>4.6</v>
      </c>
      <c r="BA408" s="213">
        <v>4.0</v>
      </c>
      <c r="BB408" s="213">
        <v>2.8</v>
      </c>
      <c r="BC408" s="212">
        <v>5.2</v>
      </c>
      <c r="BD408" s="213">
        <v>10.0</v>
      </c>
      <c r="BE408" s="213">
        <v>10.0</v>
      </c>
      <c r="BF408" s="213">
        <v>7.839999999999999</v>
      </c>
      <c r="BG408" s="212">
        <v>10.466666666666667</v>
      </c>
      <c r="BH408" s="213">
        <v>9.75</v>
      </c>
      <c r="BI408" s="213">
        <v>0.0013657407398568466</v>
      </c>
      <c r="BJ408" s="213">
        <v>0.0014429012347439614</v>
      </c>
      <c r="BK408" s="213">
        <v>300.0</v>
      </c>
      <c r="BL408" s="212">
        <v>7.299999999999999</v>
      </c>
      <c r="BM408" s="213">
        <v>5.375</v>
      </c>
      <c r="BN408" s="213">
        <v>0.0027314814797136933</v>
      </c>
      <c r="BO408" s="213">
        <v>0.0028858024694879227</v>
      </c>
      <c r="BP408" s="213">
        <v>150.0</v>
      </c>
      <c r="BQ408" s="192"/>
      <c r="BR408" s="192"/>
    </row>
    <row r="409">
      <c r="A409" s="60"/>
      <c r="B409" s="205">
        <v>3396297.0</v>
      </c>
      <c r="C409" s="205">
        <v>1650533.0</v>
      </c>
      <c r="D409" s="205">
        <v>1.0</v>
      </c>
      <c r="E409" s="207">
        <v>44544.47314814814</v>
      </c>
      <c r="F409" s="207">
        <v>44831.68216435185</v>
      </c>
      <c r="G409" s="207">
        <v>44828.46287037037</v>
      </c>
      <c r="H409" s="63" t="s">
        <v>2882</v>
      </c>
      <c r="I409" s="205">
        <v>170.0</v>
      </c>
      <c r="J409" s="63" t="s">
        <v>1936</v>
      </c>
      <c r="K409" s="205">
        <v>416662.0</v>
      </c>
      <c r="L409" s="208">
        <v>4.98813</v>
      </c>
      <c r="M409" s="208">
        <v>2.53319</v>
      </c>
      <c r="N409" s="208">
        <v>2.21717</v>
      </c>
      <c r="O409" s="209">
        <v>5.0</v>
      </c>
      <c r="P409" s="209">
        <v>8.0</v>
      </c>
      <c r="Q409" s="209">
        <v>8.0</v>
      </c>
      <c r="R409" s="209">
        <v>5.0</v>
      </c>
      <c r="S409" s="210">
        <v>0.002013888890360249</v>
      </c>
      <c r="U409" s="205">
        <v>10.0</v>
      </c>
      <c r="V409" s="205">
        <v>5.0</v>
      </c>
      <c r="W409" s="63" t="s">
        <v>2883</v>
      </c>
      <c r="X409" s="210">
        <v>0.002013888890360249</v>
      </c>
      <c r="Y409" s="63" t="s">
        <v>2884</v>
      </c>
      <c r="Z409" s="63" t="s">
        <v>2885</v>
      </c>
      <c r="AA409" s="205">
        <v>0.0</v>
      </c>
      <c r="AB409" s="63" t="s">
        <v>2886</v>
      </c>
      <c r="AC409" s="205">
        <v>203.0</v>
      </c>
      <c r="AD409" s="208">
        <v>9.14706</v>
      </c>
      <c r="AE409" s="205">
        <v>15931.0</v>
      </c>
      <c r="AF409" s="205">
        <v>2999.0</v>
      </c>
      <c r="AG409" s="205">
        <v>499.0</v>
      </c>
      <c r="AH409" s="205">
        <v>268.0</v>
      </c>
      <c r="AI409" s="205">
        <v>1.0</v>
      </c>
      <c r="AJ409" s="205">
        <v>1113.0</v>
      </c>
      <c r="AK409" s="205">
        <v>0.0</v>
      </c>
      <c r="AL409" s="205">
        <v>0.0</v>
      </c>
      <c r="AM409" s="205">
        <v>0.0</v>
      </c>
      <c r="AN409" s="205">
        <v>0.0</v>
      </c>
      <c r="AO409" s="208">
        <v>4.42412</v>
      </c>
      <c r="AP409" s="208">
        <v>5.57703</v>
      </c>
      <c r="AQ409" s="208">
        <v>7.10334</v>
      </c>
      <c r="AR409" s="208">
        <v>3.91905</v>
      </c>
      <c r="AT409" s="192" t="s">
        <v>739</v>
      </c>
      <c r="AU409" s="211" t="s">
        <v>738</v>
      </c>
      <c r="AV409" s="211" t="s">
        <v>2887</v>
      </c>
      <c r="AW409" s="211" t="s">
        <v>2888</v>
      </c>
      <c r="AX409" s="211" t="s">
        <v>739</v>
      </c>
      <c r="AY409" s="212">
        <v>2.5</v>
      </c>
      <c r="AZ409" s="213">
        <v>4.0</v>
      </c>
      <c r="BA409" s="213">
        <v>4.0</v>
      </c>
      <c r="BB409" s="213">
        <v>2.5</v>
      </c>
      <c r="BC409" s="212">
        <v>6.5</v>
      </c>
      <c r="BD409" s="213">
        <v>10.0</v>
      </c>
      <c r="BE409" s="213">
        <v>10.0</v>
      </c>
      <c r="BF409" s="213">
        <v>7.0</v>
      </c>
      <c r="BG409" s="212">
        <v>9.666666666666668</v>
      </c>
      <c r="BH409" s="213">
        <v>9.75</v>
      </c>
      <c r="BI409" s="213">
        <v>0.0013425925935734995</v>
      </c>
      <c r="BJ409" s="213">
        <v>0.0013425925935734995</v>
      </c>
      <c r="BK409" s="213">
        <v>255.0</v>
      </c>
      <c r="BL409" s="212">
        <v>5.5</v>
      </c>
      <c r="BM409" s="213">
        <v>5.375</v>
      </c>
      <c r="BN409" s="213">
        <v>0.002685185187146999</v>
      </c>
      <c r="BO409" s="213">
        <v>0.002685185187146999</v>
      </c>
      <c r="BP409" s="213">
        <v>127.5</v>
      </c>
      <c r="BQ409" s="192"/>
      <c r="BR409" s="192"/>
    </row>
    <row r="410">
      <c r="A410" s="60"/>
      <c r="B410" s="205">
        <v>2691754.0</v>
      </c>
      <c r="C410" s="205">
        <v>1280207.0</v>
      </c>
      <c r="D410" s="205">
        <v>1.0</v>
      </c>
      <c r="E410" s="207">
        <v>44121.61908564815</v>
      </c>
      <c r="F410" s="207">
        <v>44183.37824074074</v>
      </c>
      <c r="G410" s="207">
        <v>44175.4633449074</v>
      </c>
      <c r="H410" s="63" t="s">
        <v>1016</v>
      </c>
      <c r="I410" s="205">
        <v>170.0</v>
      </c>
      <c r="J410" s="63" t="s">
        <v>148</v>
      </c>
      <c r="K410" s="205">
        <v>7777875.0</v>
      </c>
      <c r="L410" s="208">
        <v>4.542</v>
      </c>
      <c r="M410" s="208">
        <v>2.26716</v>
      </c>
      <c r="N410" s="208">
        <v>2.07022</v>
      </c>
      <c r="O410" s="209">
        <v>5.0</v>
      </c>
      <c r="P410" s="209">
        <v>8.0</v>
      </c>
      <c r="Q410" s="209">
        <v>7.0</v>
      </c>
      <c r="R410" s="209">
        <v>6.0</v>
      </c>
      <c r="S410" s="210">
        <v>0.0018518518518249039</v>
      </c>
      <c r="T410" s="63" t="s">
        <v>1473</v>
      </c>
      <c r="U410" s="205">
        <v>4.0</v>
      </c>
      <c r="V410" s="205">
        <v>3.0</v>
      </c>
      <c r="W410" s="63" t="s">
        <v>2889</v>
      </c>
      <c r="X410" s="210">
        <v>0.0018634259249665774</v>
      </c>
      <c r="Y410" s="63" t="s">
        <v>2890</v>
      </c>
      <c r="Z410" s="63" t="s">
        <v>2891</v>
      </c>
      <c r="AA410" s="205">
        <v>0.0</v>
      </c>
      <c r="AB410" s="63" t="s">
        <v>2892</v>
      </c>
      <c r="AC410" s="205">
        <v>173.0</v>
      </c>
      <c r="AD410" s="208">
        <v>9.27309</v>
      </c>
      <c r="AE410" s="205">
        <v>53686.0</v>
      </c>
      <c r="AF410" s="205">
        <v>2465.0</v>
      </c>
      <c r="AG410" s="205">
        <v>219.0</v>
      </c>
      <c r="AH410" s="205">
        <v>310.0</v>
      </c>
      <c r="AI410" s="205">
        <v>0.0</v>
      </c>
      <c r="AJ410" s="205">
        <v>949.0</v>
      </c>
      <c r="AK410" s="205">
        <v>0.0</v>
      </c>
      <c r="AL410" s="205">
        <v>0.0</v>
      </c>
      <c r="AM410" s="205">
        <v>0.0</v>
      </c>
      <c r="AN410" s="205">
        <v>0.0</v>
      </c>
      <c r="AO410" s="208">
        <v>4.02171</v>
      </c>
      <c r="AP410" s="208">
        <v>5.20036</v>
      </c>
      <c r="AQ410" s="208">
        <v>6.33354</v>
      </c>
      <c r="AR410" s="208">
        <v>3.67178</v>
      </c>
      <c r="AT410" s="192" t="s">
        <v>642</v>
      </c>
      <c r="AU410" s="211" t="s">
        <v>740</v>
      </c>
      <c r="AV410" s="211" t="s">
        <v>2893</v>
      </c>
      <c r="AW410" s="211" t="s">
        <v>2894</v>
      </c>
      <c r="AX410" s="211" t="s">
        <v>642</v>
      </c>
      <c r="AY410" s="212">
        <v>2.5</v>
      </c>
      <c r="AZ410" s="213">
        <v>4.0</v>
      </c>
      <c r="BA410" s="213">
        <v>3.5</v>
      </c>
      <c r="BB410" s="213">
        <v>3.0</v>
      </c>
      <c r="BC410" s="212">
        <v>6.5</v>
      </c>
      <c r="BD410" s="213">
        <v>10.0</v>
      </c>
      <c r="BE410" s="213">
        <v>9.799999999999999</v>
      </c>
      <c r="BF410" s="213">
        <v>8.399999999999999</v>
      </c>
      <c r="BG410" s="212">
        <v>9.666666666666668</v>
      </c>
      <c r="BH410" s="213">
        <v>9.083333333333334</v>
      </c>
      <c r="BI410" s="213">
        <v>0.0012345679012166026</v>
      </c>
      <c r="BJ410" s="213">
        <v>0.0012422839499777183</v>
      </c>
      <c r="BK410" s="213">
        <v>255.0</v>
      </c>
      <c r="BL410" s="212">
        <v>5.5</v>
      </c>
      <c r="BM410" s="213">
        <v>3.875</v>
      </c>
      <c r="BN410" s="213">
        <v>0.0024691358024332053</v>
      </c>
      <c r="BO410" s="213">
        <v>0.0024845678999554366</v>
      </c>
      <c r="BP410" s="213">
        <v>127.5</v>
      </c>
      <c r="BQ410" s="192"/>
      <c r="BR410" s="192"/>
    </row>
    <row r="411">
      <c r="A411" s="60"/>
      <c r="B411" s="205">
        <v>2691754.0</v>
      </c>
      <c r="C411" s="205">
        <v>1280207.0</v>
      </c>
      <c r="D411" s="205">
        <v>1.0</v>
      </c>
      <c r="E411" s="207">
        <v>44121.61908564815</v>
      </c>
      <c r="F411" s="207">
        <v>44183.37824074074</v>
      </c>
      <c r="G411" s="207">
        <v>44175.4633449074</v>
      </c>
      <c r="H411" s="63" t="s">
        <v>1016</v>
      </c>
      <c r="I411" s="205">
        <v>170.0</v>
      </c>
      <c r="J411" s="63" t="s">
        <v>148</v>
      </c>
      <c r="K411" s="205">
        <v>7777875.0</v>
      </c>
      <c r="L411" s="208">
        <v>4.542</v>
      </c>
      <c r="M411" s="208">
        <v>2.26716</v>
      </c>
      <c r="N411" s="208">
        <v>2.07022</v>
      </c>
      <c r="O411" s="209">
        <v>5.0</v>
      </c>
      <c r="P411" s="209">
        <v>8.0</v>
      </c>
      <c r="Q411" s="209">
        <v>7.0</v>
      </c>
      <c r="R411" s="209">
        <v>6.0</v>
      </c>
      <c r="S411" s="210">
        <v>0.0018518518518249039</v>
      </c>
      <c r="T411" s="63" t="s">
        <v>1473</v>
      </c>
      <c r="U411" s="205">
        <v>4.0</v>
      </c>
      <c r="V411" s="205">
        <v>3.0</v>
      </c>
      <c r="W411" s="63" t="s">
        <v>2889</v>
      </c>
      <c r="X411" s="210">
        <v>0.0018634259249665774</v>
      </c>
      <c r="Y411" s="63" t="s">
        <v>2890</v>
      </c>
      <c r="Z411" s="63" t="s">
        <v>2891</v>
      </c>
      <c r="AA411" s="205">
        <v>0.0</v>
      </c>
      <c r="AB411" s="63" t="s">
        <v>2892</v>
      </c>
      <c r="AC411" s="205">
        <v>173.0</v>
      </c>
      <c r="AD411" s="208">
        <v>9.27309</v>
      </c>
      <c r="AE411" s="205">
        <v>53686.0</v>
      </c>
      <c r="AF411" s="205">
        <v>2465.0</v>
      </c>
      <c r="AG411" s="205">
        <v>219.0</v>
      </c>
      <c r="AH411" s="205">
        <v>310.0</v>
      </c>
      <c r="AI411" s="205">
        <v>0.0</v>
      </c>
      <c r="AJ411" s="205">
        <v>949.0</v>
      </c>
      <c r="AK411" s="205">
        <v>0.0</v>
      </c>
      <c r="AL411" s="205">
        <v>0.0</v>
      </c>
      <c r="AM411" s="205">
        <v>0.0</v>
      </c>
      <c r="AN411" s="205">
        <v>0.0</v>
      </c>
      <c r="AO411" s="208">
        <v>4.02171</v>
      </c>
      <c r="AP411" s="208">
        <v>5.20036</v>
      </c>
      <c r="AQ411" s="208">
        <v>6.33354</v>
      </c>
      <c r="AR411" s="208">
        <v>3.67178</v>
      </c>
      <c r="AT411" s="192" t="s">
        <v>642</v>
      </c>
      <c r="AU411" s="211" t="s">
        <v>740</v>
      </c>
      <c r="AV411" s="211" t="s">
        <v>2893</v>
      </c>
      <c r="AW411" s="211" t="s">
        <v>2894</v>
      </c>
      <c r="AX411" s="211" t="s">
        <v>642</v>
      </c>
      <c r="AY411" s="212">
        <v>2.5</v>
      </c>
      <c r="AZ411" s="213">
        <v>4.0</v>
      </c>
      <c r="BA411" s="213">
        <v>3.5</v>
      </c>
      <c r="BB411" s="213">
        <v>3.0</v>
      </c>
      <c r="BC411" s="212">
        <v>6.5</v>
      </c>
      <c r="BD411" s="213">
        <v>10.0</v>
      </c>
      <c r="BE411" s="213">
        <v>9.799999999999999</v>
      </c>
      <c r="BF411" s="213">
        <v>8.399999999999999</v>
      </c>
      <c r="BG411" s="212">
        <v>9.666666666666668</v>
      </c>
      <c r="BH411" s="213">
        <v>9.083333333333334</v>
      </c>
      <c r="BI411" s="213">
        <v>0.0012345679012166026</v>
      </c>
      <c r="BJ411" s="213">
        <v>0.0012422839499777183</v>
      </c>
      <c r="BK411" s="213">
        <v>255.0</v>
      </c>
      <c r="BL411" s="212">
        <v>5.5</v>
      </c>
      <c r="BM411" s="213">
        <v>3.875</v>
      </c>
      <c r="BN411" s="213">
        <v>0.0024691358024332053</v>
      </c>
      <c r="BO411" s="213">
        <v>0.0024845678999554366</v>
      </c>
      <c r="BP411" s="213">
        <v>127.5</v>
      </c>
      <c r="BQ411" s="192"/>
      <c r="BR411" s="192"/>
    </row>
    <row r="412">
      <c r="A412" s="60"/>
      <c r="B412" s="205">
        <v>3802110.0</v>
      </c>
      <c r="C412" s="205">
        <v>1850818.0</v>
      </c>
      <c r="D412" s="205">
        <v>-2.0</v>
      </c>
      <c r="E412" s="207">
        <v>44822.683969907404</v>
      </c>
      <c r="F412" s="215"/>
      <c r="G412" s="207">
        <v>44827.12432870371</v>
      </c>
      <c r="H412" s="63" t="s">
        <v>1009</v>
      </c>
      <c r="I412" s="205">
        <v>128.0</v>
      </c>
      <c r="J412" s="63" t="s">
        <v>609</v>
      </c>
      <c r="K412" s="205">
        <v>1.0914582E7</v>
      </c>
      <c r="L412" s="208">
        <v>5.28144</v>
      </c>
      <c r="M412" s="208">
        <v>2.72065</v>
      </c>
      <c r="N412" s="208">
        <v>2.29252</v>
      </c>
      <c r="O412" s="209">
        <v>3.7</v>
      </c>
      <c r="P412" s="209">
        <v>9.0</v>
      </c>
      <c r="Q412" s="209">
        <v>8.0</v>
      </c>
      <c r="R412" s="209">
        <v>5.0</v>
      </c>
      <c r="S412" s="210">
        <v>0.001898148148029577</v>
      </c>
      <c r="U412" s="205">
        <v>10.0</v>
      </c>
      <c r="V412" s="205">
        <v>5.0</v>
      </c>
      <c r="W412" s="63" t="s">
        <v>2895</v>
      </c>
      <c r="X412" s="210">
        <v>0.002002314813580597</v>
      </c>
      <c r="Y412" s="63" t="s">
        <v>2253</v>
      </c>
      <c r="Z412" s="63" t="s">
        <v>2896</v>
      </c>
      <c r="AA412" s="205">
        <v>0.0</v>
      </c>
      <c r="AB412" s="63" t="s">
        <v>2897</v>
      </c>
      <c r="AC412" s="205">
        <v>2.0</v>
      </c>
      <c r="AD412" s="208">
        <v>0.0</v>
      </c>
      <c r="AE412" s="205">
        <v>1891.0</v>
      </c>
      <c r="AF412" s="205">
        <v>753.0</v>
      </c>
      <c r="AG412" s="205">
        <v>322.0</v>
      </c>
      <c r="AH412" s="205">
        <v>341.0</v>
      </c>
      <c r="AI412" s="205">
        <v>1.0</v>
      </c>
      <c r="AJ412" s="205">
        <v>1091.0</v>
      </c>
      <c r="AK412" s="205">
        <v>0.0</v>
      </c>
      <c r="AL412" s="205">
        <v>0.0</v>
      </c>
      <c r="AM412" s="205">
        <v>0.0</v>
      </c>
      <c r="AN412" s="205">
        <v>0.0</v>
      </c>
      <c r="AO412" s="208">
        <v>4.71755</v>
      </c>
      <c r="AP412" s="208">
        <v>5.77491</v>
      </c>
      <c r="AQ412" s="208">
        <v>7.41786</v>
      </c>
      <c r="AR412" s="208">
        <v>4.23852</v>
      </c>
      <c r="AT412" s="192" t="s">
        <v>608</v>
      </c>
      <c r="AU412" s="211" t="s">
        <v>741</v>
      </c>
      <c r="AV412" s="211" t="s">
        <v>2898</v>
      </c>
      <c r="AW412" s="211" t="s">
        <v>2899</v>
      </c>
      <c r="AX412" s="211" t="s">
        <v>608</v>
      </c>
      <c r="AY412" s="212">
        <v>1.85</v>
      </c>
      <c r="AZ412" s="213">
        <v>4.5</v>
      </c>
      <c r="BA412" s="213">
        <v>4.0</v>
      </c>
      <c r="BB412" s="213">
        <v>2.5</v>
      </c>
      <c r="BC412" s="212">
        <v>4.8100000000000005</v>
      </c>
      <c r="BD412" s="213">
        <v>10.0</v>
      </c>
      <c r="BE412" s="213">
        <v>10.0</v>
      </c>
      <c r="BF412" s="213">
        <v>7.0</v>
      </c>
      <c r="BG412" s="212">
        <v>10.333333333333332</v>
      </c>
      <c r="BH412" s="213">
        <v>9.75</v>
      </c>
      <c r="BI412" s="213">
        <v>0.0012654320986863847</v>
      </c>
      <c r="BJ412" s="213">
        <v>0.0013348765423870645</v>
      </c>
      <c r="BK412" s="213">
        <v>192.0</v>
      </c>
      <c r="BL412" s="212">
        <v>7.0</v>
      </c>
      <c r="BM412" s="213">
        <v>5.375</v>
      </c>
      <c r="BN412" s="213">
        <v>0.0025308641973727695</v>
      </c>
      <c r="BO412" s="213">
        <v>0.002669753084774129</v>
      </c>
      <c r="BP412" s="213">
        <v>96.0</v>
      </c>
      <c r="BQ412" s="192"/>
      <c r="BR412" s="192"/>
    </row>
    <row r="413">
      <c r="A413" s="60"/>
      <c r="B413" s="205">
        <v>3802110.0</v>
      </c>
      <c r="C413" s="205">
        <v>1850818.0</v>
      </c>
      <c r="D413" s="205">
        <v>-2.0</v>
      </c>
      <c r="E413" s="207">
        <v>44822.683969907404</v>
      </c>
      <c r="F413" s="215"/>
      <c r="G413" s="207">
        <v>44827.12432870371</v>
      </c>
      <c r="H413" s="63" t="s">
        <v>1009</v>
      </c>
      <c r="I413" s="205">
        <v>128.0</v>
      </c>
      <c r="J413" s="63" t="s">
        <v>609</v>
      </c>
      <c r="K413" s="205">
        <v>1.0914582E7</v>
      </c>
      <c r="L413" s="208">
        <v>5.28144</v>
      </c>
      <c r="M413" s="208">
        <v>2.72065</v>
      </c>
      <c r="N413" s="208">
        <v>2.29252</v>
      </c>
      <c r="O413" s="209">
        <v>3.7</v>
      </c>
      <c r="P413" s="209">
        <v>9.0</v>
      </c>
      <c r="Q413" s="209">
        <v>8.0</v>
      </c>
      <c r="R413" s="209">
        <v>5.0</v>
      </c>
      <c r="S413" s="210">
        <v>0.001898148148029577</v>
      </c>
      <c r="U413" s="205">
        <v>10.0</v>
      </c>
      <c r="V413" s="205">
        <v>5.0</v>
      </c>
      <c r="W413" s="63" t="s">
        <v>2895</v>
      </c>
      <c r="X413" s="210">
        <v>0.002002314813580597</v>
      </c>
      <c r="Y413" s="63" t="s">
        <v>2253</v>
      </c>
      <c r="Z413" s="63" t="s">
        <v>2896</v>
      </c>
      <c r="AA413" s="205">
        <v>0.0</v>
      </c>
      <c r="AB413" s="63" t="s">
        <v>2897</v>
      </c>
      <c r="AC413" s="205">
        <v>2.0</v>
      </c>
      <c r="AD413" s="208">
        <v>0.0</v>
      </c>
      <c r="AE413" s="205">
        <v>1891.0</v>
      </c>
      <c r="AF413" s="205">
        <v>753.0</v>
      </c>
      <c r="AG413" s="205">
        <v>322.0</v>
      </c>
      <c r="AH413" s="205">
        <v>341.0</v>
      </c>
      <c r="AI413" s="205">
        <v>1.0</v>
      </c>
      <c r="AJ413" s="205">
        <v>1091.0</v>
      </c>
      <c r="AK413" s="205">
        <v>0.0</v>
      </c>
      <c r="AL413" s="205">
        <v>0.0</v>
      </c>
      <c r="AM413" s="205">
        <v>0.0</v>
      </c>
      <c r="AN413" s="205">
        <v>0.0</v>
      </c>
      <c r="AO413" s="208">
        <v>4.71755</v>
      </c>
      <c r="AP413" s="208">
        <v>5.77491</v>
      </c>
      <c r="AQ413" s="208">
        <v>7.41786</v>
      </c>
      <c r="AR413" s="208">
        <v>4.23852</v>
      </c>
      <c r="AT413" s="192" t="s">
        <v>608</v>
      </c>
      <c r="AU413" s="211" t="s">
        <v>741</v>
      </c>
      <c r="AV413" s="211" t="s">
        <v>2898</v>
      </c>
      <c r="AW413" s="211" t="s">
        <v>2899</v>
      </c>
      <c r="AX413" s="211" t="s">
        <v>608</v>
      </c>
      <c r="AY413" s="212">
        <v>1.85</v>
      </c>
      <c r="AZ413" s="213">
        <v>4.5</v>
      </c>
      <c r="BA413" s="213">
        <v>4.0</v>
      </c>
      <c r="BB413" s="213">
        <v>2.5</v>
      </c>
      <c r="BC413" s="212">
        <v>4.8100000000000005</v>
      </c>
      <c r="BD413" s="213">
        <v>10.0</v>
      </c>
      <c r="BE413" s="213">
        <v>10.0</v>
      </c>
      <c r="BF413" s="213">
        <v>7.0</v>
      </c>
      <c r="BG413" s="212">
        <v>10.333333333333332</v>
      </c>
      <c r="BH413" s="213">
        <v>9.75</v>
      </c>
      <c r="BI413" s="213">
        <v>0.0012654320986863847</v>
      </c>
      <c r="BJ413" s="213">
        <v>0.0013348765423870645</v>
      </c>
      <c r="BK413" s="213">
        <v>192.0</v>
      </c>
      <c r="BL413" s="212">
        <v>7.0</v>
      </c>
      <c r="BM413" s="213">
        <v>5.375</v>
      </c>
      <c r="BN413" s="213">
        <v>0.0025308641973727695</v>
      </c>
      <c r="BO413" s="213">
        <v>0.002669753084774129</v>
      </c>
      <c r="BP413" s="213">
        <v>96.0</v>
      </c>
      <c r="BQ413" s="192"/>
      <c r="BR413" s="192"/>
    </row>
    <row r="414">
      <c r="A414" s="60"/>
      <c r="B414" s="205">
        <v>2671858.0</v>
      </c>
      <c r="C414" s="205">
        <v>1268030.0</v>
      </c>
      <c r="D414" s="205">
        <v>1.0</v>
      </c>
      <c r="E414" s="207">
        <v>44102.95532407408</v>
      </c>
      <c r="F414" s="207">
        <v>44217.959444444445</v>
      </c>
      <c r="G414" s="207">
        <v>44214.83253472223</v>
      </c>
      <c r="H414" s="63" t="s">
        <v>996</v>
      </c>
      <c r="I414" s="205">
        <v>165.0</v>
      </c>
      <c r="J414" s="63" t="s">
        <v>662</v>
      </c>
      <c r="K414" s="205">
        <v>8840398.0</v>
      </c>
      <c r="L414" s="208">
        <v>3.79746</v>
      </c>
      <c r="M414" s="208">
        <v>1.73702</v>
      </c>
      <c r="N414" s="208">
        <v>1.89047</v>
      </c>
      <c r="O414" s="209">
        <v>3.7</v>
      </c>
      <c r="P414" s="209">
        <v>8.0</v>
      </c>
      <c r="Q414" s="209">
        <v>7.0</v>
      </c>
      <c r="R414" s="209">
        <v>4.0</v>
      </c>
      <c r="S414" s="210">
        <v>0.002615740741021</v>
      </c>
      <c r="U414" s="205">
        <v>10.0</v>
      </c>
      <c r="V414" s="205">
        <v>5.0</v>
      </c>
      <c r="W414" s="63" t="s">
        <v>2900</v>
      </c>
      <c r="X414" s="210">
        <v>0.0029629629643750377</v>
      </c>
      <c r="Y414" s="63" t="s">
        <v>2901</v>
      </c>
      <c r="Z414" s="63" t="s">
        <v>2902</v>
      </c>
      <c r="AA414" s="205">
        <v>0.0</v>
      </c>
      <c r="AB414" s="63" t="s">
        <v>2903</v>
      </c>
      <c r="AC414" s="205">
        <v>1108.0</v>
      </c>
      <c r="AD414" s="208">
        <v>9.43126</v>
      </c>
      <c r="AE414" s="205">
        <v>133777.0</v>
      </c>
      <c r="AF414" s="205">
        <v>33223.0</v>
      </c>
      <c r="AG414" s="205">
        <v>320.0</v>
      </c>
      <c r="AH414" s="205">
        <v>419.0</v>
      </c>
      <c r="AI414" s="205">
        <v>7.0</v>
      </c>
      <c r="AJ414" s="205">
        <v>1349.0</v>
      </c>
      <c r="AK414" s="205">
        <v>0.0</v>
      </c>
      <c r="AL414" s="205">
        <v>0.0</v>
      </c>
      <c r="AM414" s="205">
        <v>0.0</v>
      </c>
      <c r="AN414" s="205">
        <v>0.0</v>
      </c>
      <c r="AO414" s="208">
        <v>3.51124</v>
      </c>
      <c r="AP414" s="208">
        <v>3.94382</v>
      </c>
      <c r="AQ414" s="208">
        <v>5.36977</v>
      </c>
      <c r="AR414" s="208">
        <v>3.04375</v>
      </c>
      <c r="AT414" s="192" t="s">
        <v>661</v>
      </c>
      <c r="AU414" s="211" t="s">
        <v>742</v>
      </c>
      <c r="AV414" s="211" t="s">
        <v>2904</v>
      </c>
      <c r="AW414" s="211" t="s">
        <v>2905</v>
      </c>
      <c r="AX414" s="211" t="s">
        <v>661</v>
      </c>
      <c r="AY414" s="212">
        <v>1.85</v>
      </c>
      <c r="AZ414" s="213">
        <v>4.0</v>
      </c>
      <c r="BA414" s="213">
        <v>3.5</v>
      </c>
      <c r="BB414" s="213">
        <v>2.0</v>
      </c>
      <c r="BC414" s="212">
        <v>4.8100000000000005</v>
      </c>
      <c r="BD414" s="213">
        <v>10.0</v>
      </c>
      <c r="BE414" s="213">
        <v>9.799999999999999</v>
      </c>
      <c r="BF414" s="213">
        <v>5.6</v>
      </c>
      <c r="BG414" s="212">
        <v>9.666666666666668</v>
      </c>
      <c r="BH414" s="213">
        <v>9.083333333333334</v>
      </c>
      <c r="BI414" s="213">
        <v>0.0017438271606806666</v>
      </c>
      <c r="BJ414" s="213">
        <v>0.001975308642916692</v>
      </c>
      <c r="BK414" s="213">
        <v>247.5</v>
      </c>
      <c r="BL414" s="212">
        <v>5.5</v>
      </c>
      <c r="BM414" s="213">
        <v>3.875</v>
      </c>
      <c r="BN414" s="213">
        <v>0.003487654321361333</v>
      </c>
      <c r="BO414" s="213">
        <v>0.003950617285833384</v>
      </c>
      <c r="BP414" s="213">
        <v>123.75</v>
      </c>
      <c r="BQ414" s="192"/>
      <c r="BR414" s="192"/>
    </row>
    <row r="415">
      <c r="A415" s="60"/>
      <c r="B415" s="205">
        <v>2671858.0</v>
      </c>
      <c r="C415" s="205">
        <v>1268030.0</v>
      </c>
      <c r="D415" s="205">
        <v>1.0</v>
      </c>
      <c r="E415" s="207">
        <v>44102.95532407408</v>
      </c>
      <c r="F415" s="207">
        <v>44217.959444444445</v>
      </c>
      <c r="G415" s="207">
        <v>44214.83253472223</v>
      </c>
      <c r="H415" s="63" t="s">
        <v>996</v>
      </c>
      <c r="I415" s="205">
        <v>165.0</v>
      </c>
      <c r="J415" s="63" t="s">
        <v>662</v>
      </c>
      <c r="K415" s="205">
        <v>8840398.0</v>
      </c>
      <c r="L415" s="208">
        <v>3.79746</v>
      </c>
      <c r="M415" s="208">
        <v>1.73702</v>
      </c>
      <c r="N415" s="208">
        <v>1.89047</v>
      </c>
      <c r="O415" s="209">
        <v>3.7</v>
      </c>
      <c r="P415" s="209">
        <v>8.0</v>
      </c>
      <c r="Q415" s="209">
        <v>7.0</v>
      </c>
      <c r="R415" s="209">
        <v>4.0</v>
      </c>
      <c r="S415" s="210">
        <v>0.002615740741021</v>
      </c>
      <c r="U415" s="205">
        <v>10.0</v>
      </c>
      <c r="V415" s="205">
        <v>5.0</v>
      </c>
      <c r="W415" s="63" t="s">
        <v>2900</v>
      </c>
      <c r="X415" s="210">
        <v>0.0029629629643750377</v>
      </c>
      <c r="Y415" s="63" t="s">
        <v>2901</v>
      </c>
      <c r="Z415" s="63" t="s">
        <v>2902</v>
      </c>
      <c r="AA415" s="205">
        <v>0.0</v>
      </c>
      <c r="AB415" s="63" t="s">
        <v>2903</v>
      </c>
      <c r="AC415" s="205">
        <v>1108.0</v>
      </c>
      <c r="AD415" s="208">
        <v>9.43126</v>
      </c>
      <c r="AE415" s="205">
        <v>133777.0</v>
      </c>
      <c r="AF415" s="205">
        <v>33223.0</v>
      </c>
      <c r="AG415" s="205">
        <v>320.0</v>
      </c>
      <c r="AH415" s="205">
        <v>419.0</v>
      </c>
      <c r="AI415" s="205">
        <v>7.0</v>
      </c>
      <c r="AJ415" s="205">
        <v>1349.0</v>
      </c>
      <c r="AK415" s="205">
        <v>0.0</v>
      </c>
      <c r="AL415" s="205">
        <v>0.0</v>
      </c>
      <c r="AM415" s="205">
        <v>0.0</v>
      </c>
      <c r="AN415" s="205">
        <v>0.0</v>
      </c>
      <c r="AO415" s="208">
        <v>3.51124</v>
      </c>
      <c r="AP415" s="208">
        <v>3.94382</v>
      </c>
      <c r="AQ415" s="208">
        <v>5.36977</v>
      </c>
      <c r="AR415" s="208">
        <v>3.04375</v>
      </c>
      <c r="AT415" s="192" t="s">
        <v>661</v>
      </c>
      <c r="AU415" s="211" t="s">
        <v>742</v>
      </c>
      <c r="AV415" s="211" t="s">
        <v>2904</v>
      </c>
      <c r="AW415" s="211" t="s">
        <v>2905</v>
      </c>
      <c r="AX415" s="211" t="s">
        <v>661</v>
      </c>
      <c r="AY415" s="212">
        <v>1.85</v>
      </c>
      <c r="AZ415" s="213">
        <v>4.0</v>
      </c>
      <c r="BA415" s="213">
        <v>3.5</v>
      </c>
      <c r="BB415" s="213">
        <v>2.0</v>
      </c>
      <c r="BC415" s="212">
        <v>4.8100000000000005</v>
      </c>
      <c r="BD415" s="213">
        <v>10.0</v>
      </c>
      <c r="BE415" s="213">
        <v>9.799999999999999</v>
      </c>
      <c r="BF415" s="213">
        <v>5.6</v>
      </c>
      <c r="BG415" s="212">
        <v>9.666666666666668</v>
      </c>
      <c r="BH415" s="213">
        <v>9.083333333333334</v>
      </c>
      <c r="BI415" s="213">
        <v>0.0017438271606806666</v>
      </c>
      <c r="BJ415" s="213">
        <v>0.001975308642916692</v>
      </c>
      <c r="BK415" s="213">
        <v>247.5</v>
      </c>
      <c r="BL415" s="212">
        <v>5.5</v>
      </c>
      <c r="BM415" s="213">
        <v>3.875</v>
      </c>
      <c r="BN415" s="213">
        <v>0.003487654321361333</v>
      </c>
      <c r="BO415" s="213">
        <v>0.003950617285833384</v>
      </c>
      <c r="BP415" s="213">
        <v>123.75</v>
      </c>
      <c r="BQ415" s="192"/>
      <c r="BR415" s="192"/>
    </row>
    <row r="416">
      <c r="A416" s="60"/>
      <c r="B416" s="205">
        <v>3326410.0</v>
      </c>
      <c r="C416" s="205">
        <v>1629444.0</v>
      </c>
      <c r="D416" s="205">
        <v>1.0</v>
      </c>
      <c r="E416" s="207">
        <v>44517.50665509259</v>
      </c>
      <c r="F416" s="207">
        <v>44661.65482638888</v>
      </c>
      <c r="G416" s="207">
        <v>44654.466886574075</v>
      </c>
      <c r="H416" s="63" t="s">
        <v>2906</v>
      </c>
      <c r="I416" s="205">
        <v>85.5</v>
      </c>
      <c r="J416" s="63" t="s">
        <v>2907</v>
      </c>
      <c r="K416" s="205">
        <v>1.1825206E7</v>
      </c>
      <c r="L416" s="208">
        <v>3.769</v>
      </c>
      <c r="M416" s="208">
        <v>1.87698</v>
      </c>
      <c r="N416" s="208">
        <v>1.72317</v>
      </c>
      <c r="O416" s="209">
        <v>3.0</v>
      </c>
      <c r="P416" s="209">
        <v>2.0</v>
      </c>
      <c r="Q416" s="209">
        <v>7.0</v>
      </c>
      <c r="R416" s="209">
        <v>7.0</v>
      </c>
      <c r="S416" s="210">
        <v>0.0024537037024856545</v>
      </c>
      <c r="U416" s="205">
        <v>5.0</v>
      </c>
      <c r="V416" s="205">
        <v>2.0</v>
      </c>
      <c r="W416" s="63" t="s">
        <v>2908</v>
      </c>
      <c r="X416" s="210">
        <v>0.002534722221753327</v>
      </c>
      <c r="Y416" s="63" t="s">
        <v>2908</v>
      </c>
      <c r="Z416" s="63" t="s">
        <v>2909</v>
      </c>
      <c r="AA416" s="205">
        <v>0.0</v>
      </c>
      <c r="AB416" s="63" t="s">
        <v>2910</v>
      </c>
      <c r="AC416" s="205">
        <v>408.0</v>
      </c>
      <c r="AD416" s="208">
        <v>8.9875</v>
      </c>
      <c r="AE416" s="205">
        <v>26524.0</v>
      </c>
      <c r="AF416" s="205">
        <v>2087.0</v>
      </c>
      <c r="AG416" s="205">
        <v>334.0</v>
      </c>
      <c r="AH416" s="205">
        <v>165.0</v>
      </c>
      <c r="AI416" s="205">
        <v>4.0</v>
      </c>
      <c r="AJ416" s="205">
        <v>713.0</v>
      </c>
      <c r="AK416" s="205">
        <v>0.0</v>
      </c>
      <c r="AL416" s="205">
        <v>0.0</v>
      </c>
      <c r="AM416" s="205">
        <v>0.0</v>
      </c>
      <c r="AN416" s="205">
        <v>0.0</v>
      </c>
      <c r="AO416" s="208">
        <v>3.47001</v>
      </c>
      <c r="AP416" s="208">
        <v>3.91502</v>
      </c>
      <c r="AQ416" s="208">
        <v>5.25092</v>
      </c>
      <c r="AR416" s="208">
        <v>3.00923</v>
      </c>
      <c r="AT416" s="192" t="s">
        <v>819</v>
      </c>
      <c r="AU416" s="211" t="s">
        <v>818</v>
      </c>
      <c r="AV416" s="211" t="s">
        <v>2911</v>
      </c>
      <c r="AW416" s="211" t="s">
        <v>2912</v>
      </c>
      <c r="AX416" s="211" t="s">
        <v>819</v>
      </c>
      <c r="AY416" s="212">
        <v>1.5</v>
      </c>
      <c r="AZ416" s="213">
        <v>1.0</v>
      </c>
      <c r="BA416" s="213">
        <v>3.5</v>
      </c>
      <c r="BB416" s="213">
        <v>3.5</v>
      </c>
      <c r="BC416" s="212">
        <v>3.9000000000000004</v>
      </c>
      <c r="BD416" s="213">
        <v>2.8</v>
      </c>
      <c r="BE416" s="213">
        <v>9.799999999999999</v>
      </c>
      <c r="BF416" s="213">
        <v>9.799999999999999</v>
      </c>
      <c r="BG416" s="212">
        <v>6.333333333333333</v>
      </c>
      <c r="BH416" s="213">
        <v>9.083333333333334</v>
      </c>
      <c r="BI416" s="213">
        <v>0.0016358024683237697</v>
      </c>
      <c r="BJ416" s="213">
        <v>0.001689814814502218</v>
      </c>
      <c r="BK416" s="213">
        <v>128.25</v>
      </c>
      <c r="BL416" s="212">
        <v>-4.5</v>
      </c>
      <c r="BM416" s="213">
        <v>3.875</v>
      </c>
      <c r="BN416" s="213">
        <v>0.0032716049366475395</v>
      </c>
      <c r="BO416" s="213">
        <v>0.003379629629004436</v>
      </c>
      <c r="BP416" s="213">
        <v>64.125</v>
      </c>
      <c r="BQ416" s="192"/>
      <c r="BR416" s="192"/>
    </row>
    <row r="417">
      <c r="A417" s="60"/>
      <c r="B417" s="205">
        <v>3326410.0</v>
      </c>
      <c r="C417" s="205">
        <v>1629444.0</v>
      </c>
      <c r="D417" s="205">
        <v>1.0</v>
      </c>
      <c r="E417" s="207">
        <v>44517.50665509259</v>
      </c>
      <c r="F417" s="207">
        <v>44661.65482638888</v>
      </c>
      <c r="G417" s="207">
        <v>44654.466886574075</v>
      </c>
      <c r="H417" s="63" t="s">
        <v>2906</v>
      </c>
      <c r="I417" s="205">
        <v>85.5</v>
      </c>
      <c r="J417" s="63" t="s">
        <v>2907</v>
      </c>
      <c r="K417" s="205">
        <v>1.1825206E7</v>
      </c>
      <c r="L417" s="208">
        <v>3.769</v>
      </c>
      <c r="M417" s="208">
        <v>1.87698</v>
      </c>
      <c r="N417" s="208">
        <v>1.72317</v>
      </c>
      <c r="O417" s="209">
        <v>3.0</v>
      </c>
      <c r="P417" s="209">
        <v>2.0</v>
      </c>
      <c r="Q417" s="209">
        <v>7.0</v>
      </c>
      <c r="R417" s="209">
        <v>7.0</v>
      </c>
      <c r="S417" s="210">
        <v>0.0024537037024856545</v>
      </c>
      <c r="U417" s="205">
        <v>5.0</v>
      </c>
      <c r="V417" s="205">
        <v>2.0</v>
      </c>
      <c r="W417" s="63" t="s">
        <v>2908</v>
      </c>
      <c r="X417" s="210">
        <v>0.002534722221753327</v>
      </c>
      <c r="Y417" s="63" t="s">
        <v>2908</v>
      </c>
      <c r="Z417" s="63" t="s">
        <v>2909</v>
      </c>
      <c r="AA417" s="205">
        <v>0.0</v>
      </c>
      <c r="AB417" s="63" t="s">
        <v>2910</v>
      </c>
      <c r="AC417" s="205">
        <v>408.0</v>
      </c>
      <c r="AD417" s="208">
        <v>8.9875</v>
      </c>
      <c r="AE417" s="205">
        <v>26524.0</v>
      </c>
      <c r="AF417" s="205">
        <v>2087.0</v>
      </c>
      <c r="AG417" s="205">
        <v>334.0</v>
      </c>
      <c r="AH417" s="205">
        <v>165.0</v>
      </c>
      <c r="AI417" s="205">
        <v>4.0</v>
      </c>
      <c r="AJ417" s="205">
        <v>713.0</v>
      </c>
      <c r="AK417" s="205">
        <v>0.0</v>
      </c>
      <c r="AL417" s="205">
        <v>0.0</v>
      </c>
      <c r="AM417" s="205">
        <v>0.0</v>
      </c>
      <c r="AN417" s="205">
        <v>0.0</v>
      </c>
      <c r="AO417" s="208">
        <v>3.47001</v>
      </c>
      <c r="AP417" s="208">
        <v>3.91502</v>
      </c>
      <c r="AQ417" s="208">
        <v>5.25092</v>
      </c>
      <c r="AR417" s="208">
        <v>3.00923</v>
      </c>
      <c r="AT417" s="192" t="s">
        <v>819</v>
      </c>
      <c r="AU417" s="211" t="s">
        <v>818</v>
      </c>
      <c r="AV417" s="211" t="s">
        <v>2911</v>
      </c>
      <c r="AW417" s="211" t="s">
        <v>2912</v>
      </c>
      <c r="AX417" s="211" t="s">
        <v>819</v>
      </c>
      <c r="AY417" s="212">
        <v>1.5</v>
      </c>
      <c r="AZ417" s="213">
        <v>1.0</v>
      </c>
      <c r="BA417" s="213">
        <v>3.5</v>
      </c>
      <c r="BB417" s="213">
        <v>3.5</v>
      </c>
      <c r="BC417" s="212">
        <v>3.9000000000000004</v>
      </c>
      <c r="BD417" s="213">
        <v>2.8</v>
      </c>
      <c r="BE417" s="213">
        <v>9.799999999999999</v>
      </c>
      <c r="BF417" s="213">
        <v>9.799999999999999</v>
      </c>
      <c r="BG417" s="212">
        <v>6.333333333333333</v>
      </c>
      <c r="BH417" s="213">
        <v>9.083333333333334</v>
      </c>
      <c r="BI417" s="213">
        <v>0.0016358024683237697</v>
      </c>
      <c r="BJ417" s="213">
        <v>0.001689814814502218</v>
      </c>
      <c r="BK417" s="213">
        <v>128.25</v>
      </c>
      <c r="BL417" s="212">
        <v>-4.5</v>
      </c>
      <c r="BM417" s="213">
        <v>3.875</v>
      </c>
      <c r="BN417" s="213">
        <v>0.0032716049366475395</v>
      </c>
      <c r="BO417" s="213">
        <v>0.003379629629004436</v>
      </c>
      <c r="BP417" s="213">
        <v>64.125</v>
      </c>
      <c r="BQ417" s="192"/>
      <c r="BR417" s="192"/>
    </row>
    <row r="418">
      <c r="A418" s="60"/>
      <c r="B418" s="205">
        <v>2288966.0</v>
      </c>
      <c r="C418" s="205">
        <v>1093430.0</v>
      </c>
      <c r="D418" s="205">
        <v>1.0</v>
      </c>
      <c r="E418" s="207">
        <v>43842.547118055554</v>
      </c>
      <c r="F418" s="207">
        <v>43877.02869212963</v>
      </c>
      <c r="G418" s="207">
        <v>43857.52171296296</v>
      </c>
      <c r="H418" s="63" t="s">
        <v>1015</v>
      </c>
      <c r="I418" s="205">
        <v>180.0</v>
      </c>
      <c r="J418" s="63" t="s">
        <v>210</v>
      </c>
      <c r="K418" s="205">
        <v>896613.0</v>
      </c>
      <c r="L418" s="208">
        <v>5.17784</v>
      </c>
      <c r="M418" s="208">
        <v>2.47081</v>
      </c>
      <c r="N418" s="208">
        <v>2.4857</v>
      </c>
      <c r="O418" s="209">
        <v>4.0</v>
      </c>
      <c r="P418" s="209">
        <v>9.0</v>
      </c>
      <c r="Q418" s="209">
        <v>8.0</v>
      </c>
      <c r="R418" s="209">
        <v>5.0</v>
      </c>
      <c r="S418" s="210">
        <v>0.002592592591099674</v>
      </c>
      <c r="U418" s="205">
        <v>4.0</v>
      </c>
      <c r="V418" s="205">
        <v>3.0</v>
      </c>
      <c r="W418" s="63" t="s">
        <v>2913</v>
      </c>
      <c r="X418" s="210">
        <v>0.0026041666678793263</v>
      </c>
      <c r="Y418" s="63" t="s">
        <v>1116</v>
      </c>
      <c r="Z418" s="63" t="s">
        <v>2914</v>
      </c>
      <c r="AA418" s="205">
        <v>0.0</v>
      </c>
      <c r="AB418" s="63" t="s">
        <v>2915</v>
      </c>
      <c r="AC418" s="205">
        <v>395.0</v>
      </c>
      <c r="AD418" s="208">
        <v>9.58979</v>
      </c>
      <c r="AE418" s="205">
        <v>109404.0</v>
      </c>
      <c r="AF418" s="205">
        <v>19242.0</v>
      </c>
      <c r="AG418" s="205">
        <v>703.0</v>
      </c>
      <c r="AH418" s="205">
        <v>315.0</v>
      </c>
      <c r="AI418" s="205">
        <v>0.0</v>
      </c>
      <c r="AJ418" s="205">
        <v>1362.0</v>
      </c>
      <c r="AK418" s="205">
        <v>0.0</v>
      </c>
      <c r="AL418" s="205">
        <v>0.0</v>
      </c>
      <c r="AM418" s="205">
        <v>0.0</v>
      </c>
      <c r="AN418" s="205">
        <v>0.0</v>
      </c>
      <c r="AO418" s="208">
        <v>4.79504</v>
      </c>
      <c r="AP418" s="208">
        <v>5.42869</v>
      </c>
      <c r="AQ418" s="208">
        <v>7.4508</v>
      </c>
      <c r="AR418" s="208">
        <v>4.06505</v>
      </c>
      <c r="AT418" s="192" t="s">
        <v>638</v>
      </c>
      <c r="AU418" s="211" t="s">
        <v>743</v>
      </c>
      <c r="AV418" s="211" t="s">
        <v>2916</v>
      </c>
      <c r="AW418" s="211" t="s">
        <v>2917</v>
      </c>
      <c r="AX418" s="211" t="s">
        <v>638</v>
      </c>
      <c r="AY418" s="212">
        <v>2.0</v>
      </c>
      <c r="AZ418" s="213">
        <v>4.5</v>
      </c>
      <c r="BA418" s="213">
        <v>4.0</v>
      </c>
      <c r="BB418" s="213">
        <v>2.5</v>
      </c>
      <c r="BC418" s="212">
        <v>5.2</v>
      </c>
      <c r="BD418" s="213">
        <v>10.0</v>
      </c>
      <c r="BE418" s="213">
        <v>10.0</v>
      </c>
      <c r="BF418" s="213">
        <v>7.0</v>
      </c>
      <c r="BG418" s="212">
        <v>10.333333333333332</v>
      </c>
      <c r="BH418" s="213">
        <v>9.75</v>
      </c>
      <c r="BI418" s="213">
        <v>0.001728395060733116</v>
      </c>
      <c r="BJ418" s="213">
        <v>0.001736111111919551</v>
      </c>
      <c r="BK418" s="213">
        <v>270.0</v>
      </c>
      <c r="BL418" s="212">
        <v>7.0</v>
      </c>
      <c r="BM418" s="213">
        <v>5.375</v>
      </c>
      <c r="BN418" s="213">
        <v>0.003456790121466232</v>
      </c>
      <c r="BO418" s="213">
        <v>0.003472222223839102</v>
      </c>
      <c r="BP418" s="213">
        <v>135.0</v>
      </c>
      <c r="BQ418" s="192"/>
      <c r="BR418" s="192"/>
    </row>
    <row r="419">
      <c r="A419" s="60"/>
      <c r="B419" s="205">
        <v>2288966.0</v>
      </c>
      <c r="C419" s="205">
        <v>1093430.0</v>
      </c>
      <c r="D419" s="205">
        <v>1.0</v>
      </c>
      <c r="E419" s="207">
        <v>43842.547118055554</v>
      </c>
      <c r="F419" s="207">
        <v>43877.02869212963</v>
      </c>
      <c r="G419" s="207">
        <v>43857.52171296296</v>
      </c>
      <c r="H419" s="63" t="s">
        <v>1015</v>
      </c>
      <c r="I419" s="205">
        <v>180.0</v>
      </c>
      <c r="J419" s="63" t="s">
        <v>210</v>
      </c>
      <c r="K419" s="205">
        <v>896613.0</v>
      </c>
      <c r="L419" s="208">
        <v>5.17784</v>
      </c>
      <c r="M419" s="208">
        <v>2.47081</v>
      </c>
      <c r="N419" s="208">
        <v>2.4857</v>
      </c>
      <c r="O419" s="209">
        <v>4.0</v>
      </c>
      <c r="P419" s="209">
        <v>9.0</v>
      </c>
      <c r="Q419" s="209">
        <v>8.0</v>
      </c>
      <c r="R419" s="209">
        <v>5.0</v>
      </c>
      <c r="S419" s="210">
        <v>0.002592592591099674</v>
      </c>
      <c r="U419" s="205">
        <v>4.0</v>
      </c>
      <c r="V419" s="205">
        <v>3.0</v>
      </c>
      <c r="W419" s="63" t="s">
        <v>2913</v>
      </c>
      <c r="X419" s="210">
        <v>0.0026041666678793263</v>
      </c>
      <c r="Y419" s="63" t="s">
        <v>1116</v>
      </c>
      <c r="Z419" s="63" t="s">
        <v>2914</v>
      </c>
      <c r="AA419" s="205">
        <v>0.0</v>
      </c>
      <c r="AB419" s="63" t="s">
        <v>2915</v>
      </c>
      <c r="AC419" s="205">
        <v>395.0</v>
      </c>
      <c r="AD419" s="208">
        <v>9.58979</v>
      </c>
      <c r="AE419" s="205">
        <v>109404.0</v>
      </c>
      <c r="AF419" s="205">
        <v>19242.0</v>
      </c>
      <c r="AG419" s="205">
        <v>703.0</v>
      </c>
      <c r="AH419" s="205">
        <v>315.0</v>
      </c>
      <c r="AI419" s="205">
        <v>0.0</v>
      </c>
      <c r="AJ419" s="205">
        <v>1362.0</v>
      </c>
      <c r="AK419" s="205">
        <v>0.0</v>
      </c>
      <c r="AL419" s="205">
        <v>0.0</v>
      </c>
      <c r="AM419" s="205">
        <v>0.0</v>
      </c>
      <c r="AN419" s="205">
        <v>0.0</v>
      </c>
      <c r="AO419" s="208">
        <v>4.79504</v>
      </c>
      <c r="AP419" s="208">
        <v>5.42869</v>
      </c>
      <c r="AQ419" s="208">
        <v>7.4508</v>
      </c>
      <c r="AR419" s="208">
        <v>4.06505</v>
      </c>
      <c r="AT419" s="192" t="s">
        <v>638</v>
      </c>
      <c r="AU419" s="211" t="s">
        <v>743</v>
      </c>
      <c r="AV419" s="211" t="s">
        <v>2916</v>
      </c>
      <c r="AW419" s="211" t="s">
        <v>2917</v>
      </c>
      <c r="AX419" s="211" t="s">
        <v>638</v>
      </c>
      <c r="AY419" s="212">
        <v>2.0</v>
      </c>
      <c r="AZ419" s="213">
        <v>4.5</v>
      </c>
      <c r="BA419" s="213">
        <v>4.0</v>
      </c>
      <c r="BB419" s="213">
        <v>2.5</v>
      </c>
      <c r="BC419" s="212">
        <v>5.2</v>
      </c>
      <c r="BD419" s="213">
        <v>10.0</v>
      </c>
      <c r="BE419" s="213">
        <v>10.0</v>
      </c>
      <c r="BF419" s="213">
        <v>7.0</v>
      </c>
      <c r="BG419" s="212">
        <v>10.333333333333332</v>
      </c>
      <c r="BH419" s="213">
        <v>9.75</v>
      </c>
      <c r="BI419" s="213">
        <v>0.001728395060733116</v>
      </c>
      <c r="BJ419" s="213">
        <v>0.001736111111919551</v>
      </c>
      <c r="BK419" s="213">
        <v>270.0</v>
      </c>
      <c r="BL419" s="212">
        <v>7.0</v>
      </c>
      <c r="BM419" s="213">
        <v>5.375</v>
      </c>
      <c r="BN419" s="213">
        <v>0.003456790121466232</v>
      </c>
      <c r="BO419" s="213">
        <v>0.003472222223839102</v>
      </c>
      <c r="BP419" s="213">
        <v>135.0</v>
      </c>
      <c r="BQ419" s="192"/>
      <c r="BR419" s="192"/>
    </row>
    <row r="420">
      <c r="A420" s="60"/>
      <c r="B420" s="205">
        <v>2348578.0</v>
      </c>
      <c r="C420" s="205">
        <v>1123944.0</v>
      </c>
      <c r="D420" s="205">
        <v>1.0</v>
      </c>
      <c r="E420" s="207">
        <v>43902.91612268519</v>
      </c>
      <c r="F420" s="207">
        <v>43988.601643518516</v>
      </c>
      <c r="G420" s="207">
        <v>43981.32508101852</v>
      </c>
      <c r="H420" s="63" t="s">
        <v>1029</v>
      </c>
      <c r="I420" s="205">
        <v>186.0</v>
      </c>
      <c r="J420" s="63" t="s">
        <v>781</v>
      </c>
      <c r="K420" s="205">
        <v>6984103.0</v>
      </c>
      <c r="L420" s="208">
        <v>5.68607</v>
      </c>
      <c r="M420" s="208">
        <v>2.82698</v>
      </c>
      <c r="N420" s="208">
        <v>2.60552</v>
      </c>
      <c r="O420" s="209">
        <v>4.0</v>
      </c>
      <c r="P420" s="209">
        <v>9.2</v>
      </c>
      <c r="Q420" s="209">
        <v>8.9</v>
      </c>
      <c r="R420" s="209">
        <v>6.5</v>
      </c>
      <c r="S420" s="210">
        <v>0.0022569444445252884</v>
      </c>
      <c r="U420" s="205">
        <v>5.0</v>
      </c>
      <c r="V420" s="205">
        <v>3.0</v>
      </c>
      <c r="W420" s="63" t="s">
        <v>2918</v>
      </c>
      <c r="X420" s="210">
        <v>0.0023495370369346347</v>
      </c>
      <c r="Y420" s="63" t="s">
        <v>2253</v>
      </c>
      <c r="Z420" s="63" t="s">
        <v>2919</v>
      </c>
      <c r="AA420" s="205">
        <v>0.0</v>
      </c>
      <c r="AB420" s="63" t="s">
        <v>2920</v>
      </c>
      <c r="AC420" s="205">
        <v>1387.0</v>
      </c>
      <c r="AD420" s="208">
        <v>9.52251</v>
      </c>
      <c r="AE420" s="205">
        <v>154476.0</v>
      </c>
      <c r="AF420" s="205">
        <v>12600.0</v>
      </c>
      <c r="AG420" s="205">
        <v>577.0</v>
      </c>
      <c r="AH420" s="205">
        <v>351.0</v>
      </c>
      <c r="AI420" s="205">
        <v>1.0</v>
      </c>
      <c r="AJ420" s="205">
        <v>1293.0</v>
      </c>
      <c r="AK420" s="205">
        <v>1.0</v>
      </c>
      <c r="AL420" s="205">
        <v>0.0</v>
      </c>
      <c r="AM420" s="205">
        <v>0.0</v>
      </c>
      <c r="AN420" s="205">
        <v>0.0</v>
      </c>
      <c r="AO420" s="208">
        <v>5.24284</v>
      </c>
      <c r="AP420" s="208">
        <v>5.99199</v>
      </c>
      <c r="AQ420" s="208">
        <v>8.21647</v>
      </c>
      <c r="AR420" s="208">
        <v>4.49234</v>
      </c>
      <c r="AT420" s="192" t="s">
        <v>780</v>
      </c>
      <c r="AU420" s="211" t="s">
        <v>821</v>
      </c>
      <c r="AV420" s="211" t="s">
        <v>2921</v>
      </c>
      <c r="AW420" s="211" t="s">
        <v>2922</v>
      </c>
      <c r="AX420" s="211" t="s">
        <v>780</v>
      </c>
      <c r="AY420" s="212">
        <v>2.0</v>
      </c>
      <c r="AZ420" s="213">
        <v>4.6</v>
      </c>
      <c r="BA420" s="213">
        <v>4.45</v>
      </c>
      <c r="BB420" s="213">
        <v>3.25</v>
      </c>
      <c r="BC420" s="212">
        <v>5.2</v>
      </c>
      <c r="BD420" s="213">
        <v>10.0</v>
      </c>
      <c r="BE420" s="213">
        <v>10.0</v>
      </c>
      <c r="BF420" s="213">
        <v>9.1</v>
      </c>
      <c r="BG420" s="212">
        <v>10.466666666666667</v>
      </c>
      <c r="BH420" s="213">
        <v>10.350000000000001</v>
      </c>
      <c r="BI420" s="213">
        <v>0.0015046296296835255</v>
      </c>
      <c r="BJ420" s="213">
        <v>0.0015663580246230897</v>
      </c>
      <c r="BK420" s="213">
        <v>279.0</v>
      </c>
      <c r="BL420" s="212">
        <v>7.299999999999999</v>
      </c>
      <c r="BM420" s="213">
        <v>6.725000000000001</v>
      </c>
      <c r="BN420" s="213">
        <v>0.003009259259367051</v>
      </c>
      <c r="BO420" s="213">
        <v>0.0031327160492461794</v>
      </c>
      <c r="BP420" s="213">
        <v>139.5</v>
      </c>
      <c r="BQ420" s="192"/>
      <c r="BR420" s="192"/>
    </row>
    <row r="421">
      <c r="A421" s="60"/>
      <c r="B421" s="205">
        <v>2348578.0</v>
      </c>
      <c r="C421" s="205">
        <v>1123944.0</v>
      </c>
      <c r="D421" s="205">
        <v>1.0</v>
      </c>
      <c r="E421" s="207">
        <v>43902.91612268519</v>
      </c>
      <c r="F421" s="207">
        <v>43988.601643518516</v>
      </c>
      <c r="G421" s="207">
        <v>43981.32508101852</v>
      </c>
      <c r="H421" s="63" t="s">
        <v>1029</v>
      </c>
      <c r="I421" s="205">
        <v>186.0</v>
      </c>
      <c r="J421" s="63" t="s">
        <v>781</v>
      </c>
      <c r="K421" s="205">
        <v>6984103.0</v>
      </c>
      <c r="L421" s="208">
        <v>5.68607</v>
      </c>
      <c r="M421" s="208">
        <v>2.82698</v>
      </c>
      <c r="N421" s="208">
        <v>2.60552</v>
      </c>
      <c r="O421" s="209">
        <v>4.0</v>
      </c>
      <c r="P421" s="209">
        <v>9.2</v>
      </c>
      <c r="Q421" s="209">
        <v>8.9</v>
      </c>
      <c r="R421" s="209">
        <v>6.5</v>
      </c>
      <c r="S421" s="210">
        <v>0.0022569444445252884</v>
      </c>
      <c r="U421" s="205">
        <v>5.0</v>
      </c>
      <c r="V421" s="205">
        <v>3.0</v>
      </c>
      <c r="W421" s="63" t="s">
        <v>2918</v>
      </c>
      <c r="X421" s="210">
        <v>0.0023495370369346347</v>
      </c>
      <c r="Y421" s="63" t="s">
        <v>2253</v>
      </c>
      <c r="Z421" s="63" t="s">
        <v>2919</v>
      </c>
      <c r="AA421" s="205">
        <v>0.0</v>
      </c>
      <c r="AB421" s="63" t="s">
        <v>2920</v>
      </c>
      <c r="AC421" s="205">
        <v>1387.0</v>
      </c>
      <c r="AD421" s="208">
        <v>9.52251</v>
      </c>
      <c r="AE421" s="205">
        <v>154476.0</v>
      </c>
      <c r="AF421" s="205">
        <v>12600.0</v>
      </c>
      <c r="AG421" s="205">
        <v>577.0</v>
      </c>
      <c r="AH421" s="205">
        <v>351.0</v>
      </c>
      <c r="AI421" s="205">
        <v>1.0</v>
      </c>
      <c r="AJ421" s="205">
        <v>1293.0</v>
      </c>
      <c r="AK421" s="205">
        <v>1.0</v>
      </c>
      <c r="AL421" s="205">
        <v>0.0</v>
      </c>
      <c r="AM421" s="205">
        <v>0.0</v>
      </c>
      <c r="AN421" s="205">
        <v>0.0</v>
      </c>
      <c r="AO421" s="208">
        <v>5.24284</v>
      </c>
      <c r="AP421" s="208">
        <v>5.99199</v>
      </c>
      <c r="AQ421" s="208">
        <v>8.21647</v>
      </c>
      <c r="AR421" s="208">
        <v>4.49234</v>
      </c>
      <c r="AT421" s="192" t="s">
        <v>780</v>
      </c>
      <c r="AU421" s="211" t="s">
        <v>821</v>
      </c>
      <c r="AV421" s="211" t="s">
        <v>2921</v>
      </c>
      <c r="AW421" s="211" t="s">
        <v>2922</v>
      </c>
      <c r="AX421" s="211" t="s">
        <v>780</v>
      </c>
      <c r="AY421" s="212">
        <v>2.0</v>
      </c>
      <c r="AZ421" s="213">
        <v>4.6</v>
      </c>
      <c r="BA421" s="213">
        <v>4.45</v>
      </c>
      <c r="BB421" s="213">
        <v>3.25</v>
      </c>
      <c r="BC421" s="212">
        <v>5.2</v>
      </c>
      <c r="BD421" s="213">
        <v>10.0</v>
      </c>
      <c r="BE421" s="213">
        <v>10.0</v>
      </c>
      <c r="BF421" s="213">
        <v>9.1</v>
      </c>
      <c r="BG421" s="212">
        <v>10.466666666666667</v>
      </c>
      <c r="BH421" s="213">
        <v>10.350000000000001</v>
      </c>
      <c r="BI421" s="213">
        <v>0.0015046296296835255</v>
      </c>
      <c r="BJ421" s="213">
        <v>0.0015663580246230897</v>
      </c>
      <c r="BK421" s="213">
        <v>279.0</v>
      </c>
      <c r="BL421" s="212">
        <v>7.299999999999999</v>
      </c>
      <c r="BM421" s="213">
        <v>6.725000000000001</v>
      </c>
      <c r="BN421" s="213">
        <v>0.003009259259367051</v>
      </c>
      <c r="BO421" s="213">
        <v>0.0031327160492461794</v>
      </c>
      <c r="BP421" s="213">
        <v>139.5</v>
      </c>
      <c r="BQ421" s="192"/>
      <c r="BR421" s="192"/>
    </row>
    <row r="422">
      <c r="A422" s="60"/>
      <c r="B422" s="205">
        <v>3752605.0</v>
      </c>
      <c r="C422" s="205">
        <v>1248914.0</v>
      </c>
      <c r="D422" s="205">
        <v>1.0</v>
      </c>
      <c r="E422" s="207">
        <v>44075.21861111111</v>
      </c>
      <c r="F422" s="207">
        <v>45162.36381944444</v>
      </c>
      <c r="G422" s="207">
        <v>45155.26422453704</v>
      </c>
      <c r="H422" s="63" t="s">
        <v>2923</v>
      </c>
      <c r="I422" s="205">
        <v>236.0</v>
      </c>
      <c r="J422" s="63" t="s">
        <v>2924</v>
      </c>
      <c r="K422" s="205">
        <v>3812234.0</v>
      </c>
      <c r="L422" s="208">
        <v>5.5631</v>
      </c>
      <c r="M422" s="208">
        <v>2.81053</v>
      </c>
      <c r="N422" s="208">
        <v>2.49256</v>
      </c>
      <c r="O422" s="209">
        <v>4.0</v>
      </c>
      <c r="P422" s="209">
        <v>9.2</v>
      </c>
      <c r="Q422" s="209">
        <v>8.8</v>
      </c>
      <c r="R422" s="209">
        <v>5.0</v>
      </c>
      <c r="S422" s="210">
        <v>0.0023032407407299615</v>
      </c>
      <c r="U422" s="205">
        <v>4.0</v>
      </c>
      <c r="V422" s="205">
        <v>3.0</v>
      </c>
      <c r="W422" s="63" t="s">
        <v>2925</v>
      </c>
      <c r="X422" s="210">
        <v>0.0023495370369346347</v>
      </c>
      <c r="Y422" s="63" t="s">
        <v>2926</v>
      </c>
      <c r="Z422" s="63" t="s">
        <v>2927</v>
      </c>
      <c r="AA422" s="205">
        <v>0.0</v>
      </c>
      <c r="AB422" s="63" t="s">
        <v>2928</v>
      </c>
      <c r="AC422" s="205">
        <v>392.0</v>
      </c>
      <c r="AD422" s="208">
        <v>9.1</v>
      </c>
      <c r="AE422" s="205">
        <v>5014.0</v>
      </c>
      <c r="AF422" s="205">
        <v>526.0</v>
      </c>
      <c r="AG422" s="205">
        <v>570.0</v>
      </c>
      <c r="AH422" s="205">
        <v>403.0</v>
      </c>
      <c r="AI422" s="205">
        <v>0.0</v>
      </c>
      <c r="AJ422" s="205">
        <v>1387.0</v>
      </c>
      <c r="AK422" s="205">
        <v>1.0</v>
      </c>
      <c r="AL422" s="205">
        <v>0.0</v>
      </c>
      <c r="AM422" s="205">
        <v>0.0</v>
      </c>
      <c r="AN422" s="205">
        <v>0.0</v>
      </c>
      <c r="AO422" s="208">
        <v>5.10579</v>
      </c>
      <c r="AP422" s="208">
        <v>5.8737</v>
      </c>
      <c r="AQ422" s="208">
        <v>8.09693</v>
      </c>
      <c r="AR422" s="208">
        <v>4.41521</v>
      </c>
      <c r="AT422" s="192" t="s">
        <v>745</v>
      </c>
      <c r="AU422" s="211" t="s">
        <v>744</v>
      </c>
      <c r="AV422" s="211" t="s">
        <v>2929</v>
      </c>
      <c r="AW422" s="211" t="s">
        <v>2930</v>
      </c>
      <c r="AX422" s="211" t="s">
        <v>745</v>
      </c>
      <c r="AY422" s="212">
        <v>2.0</v>
      </c>
      <c r="AZ422" s="213">
        <v>4.6</v>
      </c>
      <c r="BA422" s="213">
        <v>4.4</v>
      </c>
      <c r="BB422" s="213">
        <v>2.5</v>
      </c>
      <c r="BC422" s="212">
        <v>5.2</v>
      </c>
      <c r="BD422" s="213">
        <v>10.0</v>
      </c>
      <c r="BE422" s="213">
        <v>10.0</v>
      </c>
      <c r="BF422" s="213">
        <v>7.0</v>
      </c>
      <c r="BG422" s="212">
        <v>10.466666666666667</v>
      </c>
      <c r="BH422" s="213">
        <v>10.283333333333333</v>
      </c>
      <c r="BI422" s="213">
        <v>0.0015354938271533076</v>
      </c>
      <c r="BJ422" s="213">
        <v>0.0015663580246230897</v>
      </c>
      <c r="BK422" s="213">
        <v>354.0</v>
      </c>
      <c r="BL422" s="212">
        <v>7.299999999999999</v>
      </c>
      <c r="BM422" s="213">
        <v>6.575</v>
      </c>
      <c r="BN422" s="213">
        <v>0.0030709876543066152</v>
      </c>
      <c r="BO422" s="213">
        <v>0.0031327160492461794</v>
      </c>
      <c r="BP422" s="213">
        <v>177.0</v>
      </c>
      <c r="BQ422" s="192"/>
      <c r="BR422" s="192"/>
    </row>
    <row r="423">
      <c r="A423" s="60"/>
      <c r="B423" s="205">
        <v>3752605.0</v>
      </c>
      <c r="C423" s="205">
        <v>1248914.0</v>
      </c>
      <c r="D423" s="205">
        <v>1.0</v>
      </c>
      <c r="E423" s="207">
        <v>44075.21861111111</v>
      </c>
      <c r="F423" s="207">
        <v>45162.36381944444</v>
      </c>
      <c r="G423" s="207">
        <v>45155.26422453704</v>
      </c>
      <c r="H423" s="63" t="s">
        <v>2923</v>
      </c>
      <c r="I423" s="205">
        <v>236.0</v>
      </c>
      <c r="J423" s="63" t="s">
        <v>2924</v>
      </c>
      <c r="K423" s="205">
        <v>3812234.0</v>
      </c>
      <c r="L423" s="208">
        <v>5.5631</v>
      </c>
      <c r="M423" s="208">
        <v>2.81053</v>
      </c>
      <c r="N423" s="208">
        <v>2.49256</v>
      </c>
      <c r="O423" s="209">
        <v>4.0</v>
      </c>
      <c r="P423" s="209">
        <v>9.2</v>
      </c>
      <c r="Q423" s="209">
        <v>8.8</v>
      </c>
      <c r="R423" s="209">
        <v>5.0</v>
      </c>
      <c r="S423" s="210">
        <v>0.0023032407407299615</v>
      </c>
      <c r="U423" s="205">
        <v>4.0</v>
      </c>
      <c r="V423" s="205">
        <v>3.0</v>
      </c>
      <c r="W423" s="63" t="s">
        <v>2925</v>
      </c>
      <c r="X423" s="210">
        <v>0.0023495370369346347</v>
      </c>
      <c r="Y423" s="63" t="s">
        <v>2926</v>
      </c>
      <c r="Z423" s="63" t="s">
        <v>2927</v>
      </c>
      <c r="AA423" s="205">
        <v>0.0</v>
      </c>
      <c r="AB423" s="63" t="s">
        <v>2928</v>
      </c>
      <c r="AC423" s="205">
        <v>392.0</v>
      </c>
      <c r="AD423" s="208">
        <v>9.1</v>
      </c>
      <c r="AE423" s="205">
        <v>5014.0</v>
      </c>
      <c r="AF423" s="205">
        <v>526.0</v>
      </c>
      <c r="AG423" s="205">
        <v>570.0</v>
      </c>
      <c r="AH423" s="205">
        <v>403.0</v>
      </c>
      <c r="AI423" s="205">
        <v>0.0</v>
      </c>
      <c r="AJ423" s="205">
        <v>1387.0</v>
      </c>
      <c r="AK423" s="205">
        <v>1.0</v>
      </c>
      <c r="AL423" s="205">
        <v>0.0</v>
      </c>
      <c r="AM423" s="205">
        <v>0.0</v>
      </c>
      <c r="AN423" s="205">
        <v>0.0</v>
      </c>
      <c r="AO423" s="208">
        <v>5.10579</v>
      </c>
      <c r="AP423" s="208">
        <v>5.8737</v>
      </c>
      <c r="AQ423" s="208">
        <v>8.09693</v>
      </c>
      <c r="AR423" s="208">
        <v>4.41521</v>
      </c>
      <c r="AT423" s="192" t="s">
        <v>745</v>
      </c>
      <c r="AU423" s="211" t="s">
        <v>744</v>
      </c>
      <c r="AV423" s="211" t="s">
        <v>2929</v>
      </c>
      <c r="AW423" s="211" t="s">
        <v>2930</v>
      </c>
      <c r="AX423" s="211" t="s">
        <v>745</v>
      </c>
      <c r="AY423" s="212">
        <v>2.0</v>
      </c>
      <c r="AZ423" s="213">
        <v>4.6</v>
      </c>
      <c r="BA423" s="213">
        <v>4.4</v>
      </c>
      <c r="BB423" s="213">
        <v>2.5</v>
      </c>
      <c r="BC423" s="212">
        <v>5.2</v>
      </c>
      <c r="BD423" s="213">
        <v>10.0</v>
      </c>
      <c r="BE423" s="213">
        <v>10.0</v>
      </c>
      <c r="BF423" s="213">
        <v>7.0</v>
      </c>
      <c r="BG423" s="212">
        <v>10.466666666666667</v>
      </c>
      <c r="BH423" s="213">
        <v>10.283333333333333</v>
      </c>
      <c r="BI423" s="213">
        <v>0.0015354938271533076</v>
      </c>
      <c r="BJ423" s="213">
        <v>0.0015663580246230897</v>
      </c>
      <c r="BK423" s="213">
        <v>354.0</v>
      </c>
      <c r="BL423" s="212">
        <v>7.299999999999999</v>
      </c>
      <c r="BM423" s="213">
        <v>6.575</v>
      </c>
      <c r="BN423" s="213">
        <v>0.0030709876543066152</v>
      </c>
      <c r="BO423" s="213">
        <v>0.0031327160492461794</v>
      </c>
      <c r="BP423" s="213">
        <v>177.0</v>
      </c>
      <c r="BQ423" s="192"/>
      <c r="BR423" s="192"/>
    </row>
    <row r="424">
      <c r="A424" s="60"/>
      <c r="B424" s="205">
        <v>3953905.0</v>
      </c>
      <c r="C424" s="205">
        <v>1670825.0</v>
      </c>
      <c r="D424" s="205">
        <v>-2.0</v>
      </c>
      <c r="E424" s="207">
        <v>44570.945439814815</v>
      </c>
      <c r="F424" s="215"/>
      <c r="G424" s="207">
        <v>45019.39701388888</v>
      </c>
      <c r="H424" s="63" t="s">
        <v>2744</v>
      </c>
      <c r="I424" s="205">
        <v>205.0</v>
      </c>
      <c r="J424" s="63" t="s">
        <v>2745</v>
      </c>
      <c r="K424" s="205">
        <v>1886722.0</v>
      </c>
      <c r="L424" s="208">
        <v>5.40206</v>
      </c>
      <c r="M424" s="208">
        <v>2.79668</v>
      </c>
      <c r="N424" s="208">
        <v>2.32379</v>
      </c>
      <c r="O424" s="209">
        <v>3.7</v>
      </c>
      <c r="P424" s="209">
        <v>9.0</v>
      </c>
      <c r="Q424" s="209">
        <v>8.0</v>
      </c>
      <c r="R424" s="209">
        <v>4.0</v>
      </c>
      <c r="S424" s="210">
        <v>0.0014467592591245193</v>
      </c>
      <c r="U424" s="205">
        <v>5.0</v>
      </c>
      <c r="V424" s="205">
        <v>2.0</v>
      </c>
      <c r="W424" s="63" t="s">
        <v>2746</v>
      </c>
      <c r="X424" s="210">
        <v>0.0015393518515338656</v>
      </c>
      <c r="Y424" s="63" t="s">
        <v>2931</v>
      </c>
      <c r="Z424" s="63" t="s">
        <v>2932</v>
      </c>
      <c r="AA424" s="205">
        <v>0.0</v>
      </c>
      <c r="AB424" s="63" t="s">
        <v>2749</v>
      </c>
      <c r="AC424" s="205">
        <v>346.0</v>
      </c>
      <c r="AD424" s="208">
        <v>0.0</v>
      </c>
      <c r="AE424" s="205">
        <v>1675.0</v>
      </c>
      <c r="AF424" s="205">
        <v>544.0</v>
      </c>
      <c r="AG424" s="205">
        <v>267.0</v>
      </c>
      <c r="AH424" s="205">
        <v>251.0</v>
      </c>
      <c r="AI424" s="205">
        <v>1.0</v>
      </c>
      <c r="AJ424" s="205">
        <v>797.0</v>
      </c>
      <c r="AK424" s="205">
        <v>1.0</v>
      </c>
      <c r="AL424" s="205">
        <v>0.0</v>
      </c>
      <c r="AM424" s="205">
        <v>0.0</v>
      </c>
      <c r="AN424" s="205">
        <v>0.0</v>
      </c>
      <c r="AO424" s="208">
        <v>5.01214</v>
      </c>
      <c r="AP424" s="208">
        <v>5.6913</v>
      </c>
      <c r="AQ424" s="208">
        <v>7.71682</v>
      </c>
      <c r="AR424" s="208">
        <v>4.29771</v>
      </c>
      <c r="AT424" s="192" t="s">
        <v>747</v>
      </c>
      <c r="AU424" s="211" t="s">
        <v>746</v>
      </c>
      <c r="AV424" s="211" t="s">
        <v>2750</v>
      </c>
      <c r="AW424" s="211" t="s">
        <v>2751</v>
      </c>
      <c r="AX424" s="211" t="s">
        <v>747</v>
      </c>
      <c r="AY424" s="212">
        <v>1.85</v>
      </c>
      <c r="AZ424" s="213">
        <v>4.5</v>
      </c>
      <c r="BA424" s="213">
        <v>4.0</v>
      </c>
      <c r="BB424" s="213">
        <v>2.0</v>
      </c>
      <c r="BC424" s="212">
        <v>4.8100000000000005</v>
      </c>
      <c r="BD424" s="213">
        <v>10.0</v>
      </c>
      <c r="BE424" s="213">
        <v>10.0</v>
      </c>
      <c r="BF424" s="213">
        <v>5.6</v>
      </c>
      <c r="BG424" s="212">
        <v>10.333333333333332</v>
      </c>
      <c r="BH424" s="213">
        <v>9.75</v>
      </c>
      <c r="BI424" s="213">
        <v>9.645061727496795E-4</v>
      </c>
      <c r="BJ424" s="213">
        <v>0.0010262345676892437</v>
      </c>
      <c r="BK424" s="213">
        <v>307.5</v>
      </c>
      <c r="BL424" s="212">
        <v>7.0</v>
      </c>
      <c r="BM424" s="213">
        <v>5.375</v>
      </c>
      <c r="BN424" s="213">
        <v>0.001929012345499359</v>
      </c>
      <c r="BO424" s="213">
        <v>0.0020524691353784874</v>
      </c>
      <c r="BP424" s="213">
        <v>153.75</v>
      </c>
      <c r="BQ424" s="192"/>
      <c r="BR424" s="192"/>
    </row>
    <row r="425">
      <c r="A425" s="60"/>
      <c r="B425" s="205">
        <v>929118.0</v>
      </c>
      <c r="C425" s="205">
        <v>411990.0</v>
      </c>
      <c r="D425" s="205">
        <v>-2.0</v>
      </c>
      <c r="E425" s="207">
        <v>42401.62505787037</v>
      </c>
      <c r="F425" s="215"/>
      <c r="G425" s="207">
        <v>42572.47980324074</v>
      </c>
      <c r="H425" s="63" t="s">
        <v>2933</v>
      </c>
      <c r="I425" s="205">
        <v>235.0</v>
      </c>
      <c r="J425" s="63" t="s">
        <v>2934</v>
      </c>
      <c r="K425" s="205">
        <v>2167433.0</v>
      </c>
      <c r="L425" s="208">
        <v>5.60668</v>
      </c>
      <c r="M425" s="208">
        <v>2.66729</v>
      </c>
      <c r="N425" s="208">
        <v>2.69956</v>
      </c>
      <c r="O425" s="209">
        <v>4.0</v>
      </c>
      <c r="P425" s="209">
        <v>9.5</v>
      </c>
      <c r="Q425" s="209">
        <v>8.2</v>
      </c>
      <c r="R425" s="209">
        <v>5.5</v>
      </c>
      <c r="S425" s="210">
        <v>6.944444430700969E-4</v>
      </c>
      <c r="U425" s="205">
        <v>1.0</v>
      </c>
      <c r="V425" s="205">
        <v>1.0</v>
      </c>
      <c r="W425" s="63" t="s">
        <v>2935</v>
      </c>
      <c r="X425" s="210">
        <v>0.0013657407398568466</v>
      </c>
      <c r="Y425" s="63" t="s">
        <v>2936</v>
      </c>
      <c r="Z425" s="63" t="s">
        <v>2937</v>
      </c>
      <c r="AA425" s="205">
        <v>0.0</v>
      </c>
      <c r="AC425" s="205">
        <v>15.0</v>
      </c>
      <c r="AD425" s="208">
        <v>0.0</v>
      </c>
      <c r="AE425" s="205">
        <v>1144.0</v>
      </c>
      <c r="AF425" s="205">
        <v>328.0</v>
      </c>
      <c r="AG425" s="205">
        <v>172.0</v>
      </c>
      <c r="AH425" s="205">
        <v>152.0</v>
      </c>
      <c r="AI425" s="205">
        <v>0.0</v>
      </c>
      <c r="AJ425" s="205">
        <v>520.0</v>
      </c>
      <c r="AK425" s="205">
        <v>0.0</v>
      </c>
      <c r="AL425" s="205">
        <v>0.0</v>
      </c>
      <c r="AM425" s="205">
        <v>0.0</v>
      </c>
      <c r="AN425" s="205">
        <v>0.0</v>
      </c>
      <c r="AO425" s="208">
        <v>5.13459</v>
      </c>
      <c r="AP425" s="208">
        <v>5.8682</v>
      </c>
      <c r="AQ425" s="208">
        <v>8.39552</v>
      </c>
      <c r="AR425" s="208">
        <v>4.41842</v>
      </c>
      <c r="AT425" s="192" t="s">
        <v>823</v>
      </c>
      <c r="AU425" s="211" t="s">
        <v>822</v>
      </c>
      <c r="AV425" s="211" t="s">
        <v>2938</v>
      </c>
      <c r="AW425" s="211" t="s">
        <v>2939</v>
      </c>
      <c r="AX425" s="211" t="s">
        <v>823</v>
      </c>
      <c r="AY425" s="212">
        <v>2.0</v>
      </c>
      <c r="AZ425" s="213">
        <v>4.75</v>
      </c>
      <c r="BA425" s="213">
        <v>4.1</v>
      </c>
      <c r="BB425" s="213">
        <v>2.75</v>
      </c>
      <c r="BC425" s="212">
        <v>5.2</v>
      </c>
      <c r="BD425" s="213">
        <v>10.0</v>
      </c>
      <c r="BE425" s="213">
        <v>10.0</v>
      </c>
      <c r="BF425" s="213">
        <v>7.699999999999999</v>
      </c>
      <c r="BG425" s="212">
        <v>10.666666666666668</v>
      </c>
      <c r="BH425" s="213">
        <v>9.883333333333333</v>
      </c>
      <c r="BI425" s="213">
        <v>4.6296296204673126E-4</v>
      </c>
      <c r="BJ425" s="213">
        <v>9.104938265712311E-4</v>
      </c>
      <c r="BK425" s="213">
        <v>352.5</v>
      </c>
      <c r="BL425" s="212">
        <v>7.75</v>
      </c>
      <c r="BM425" s="213">
        <v>5.675</v>
      </c>
      <c r="BN425" s="213">
        <v>9.259259240934625E-4</v>
      </c>
      <c r="BO425" s="213">
        <v>0.0018209876531424622</v>
      </c>
      <c r="BP425" s="213">
        <v>176.25</v>
      </c>
      <c r="BQ425" s="192"/>
      <c r="BR425" s="192"/>
    </row>
    <row r="426">
      <c r="A426" s="60"/>
      <c r="B426" s="205">
        <v>3953905.0</v>
      </c>
      <c r="C426" s="205">
        <v>1670825.0</v>
      </c>
      <c r="D426" s="205">
        <v>-2.0</v>
      </c>
      <c r="E426" s="207">
        <v>44570.945439814815</v>
      </c>
      <c r="F426" s="215"/>
      <c r="G426" s="207">
        <v>45019.39701388888</v>
      </c>
      <c r="H426" s="63" t="s">
        <v>2744</v>
      </c>
      <c r="I426" s="205">
        <v>205.0</v>
      </c>
      <c r="J426" s="63" t="s">
        <v>2745</v>
      </c>
      <c r="K426" s="205">
        <v>1886722.0</v>
      </c>
      <c r="L426" s="208">
        <v>5.40206</v>
      </c>
      <c r="M426" s="208">
        <v>2.79668</v>
      </c>
      <c r="N426" s="208">
        <v>2.32379</v>
      </c>
      <c r="O426" s="209">
        <v>3.7</v>
      </c>
      <c r="P426" s="209">
        <v>9.0</v>
      </c>
      <c r="Q426" s="209">
        <v>8.0</v>
      </c>
      <c r="R426" s="209">
        <v>4.0</v>
      </c>
      <c r="S426" s="210">
        <v>0.0014467592591245193</v>
      </c>
      <c r="U426" s="205">
        <v>5.0</v>
      </c>
      <c r="V426" s="205">
        <v>2.0</v>
      </c>
      <c r="W426" s="63" t="s">
        <v>2746</v>
      </c>
      <c r="X426" s="210">
        <v>0.0015393518515338656</v>
      </c>
      <c r="Y426" s="63" t="s">
        <v>2931</v>
      </c>
      <c r="Z426" s="63" t="s">
        <v>2932</v>
      </c>
      <c r="AA426" s="205">
        <v>0.0</v>
      </c>
      <c r="AB426" s="63" t="s">
        <v>2749</v>
      </c>
      <c r="AC426" s="205">
        <v>346.0</v>
      </c>
      <c r="AD426" s="208">
        <v>0.0</v>
      </c>
      <c r="AE426" s="205">
        <v>1675.0</v>
      </c>
      <c r="AF426" s="205">
        <v>544.0</v>
      </c>
      <c r="AG426" s="205">
        <v>267.0</v>
      </c>
      <c r="AH426" s="205">
        <v>251.0</v>
      </c>
      <c r="AI426" s="205">
        <v>1.0</v>
      </c>
      <c r="AJ426" s="205">
        <v>797.0</v>
      </c>
      <c r="AK426" s="205">
        <v>1.0</v>
      </c>
      <c r="AL426" s="205">
        <v>0.0</v>
      </c>
      <c r="AM426" s="205">
        <v>0.0</v>
      </c>
      <c r="AN426" s="205">
        <v>0.0</v>
      </c>
      <c r="AO426" s="208">
        <v>5.01214</v>
      </c>
      <c r="AP426" s="208">
        <v>5.6913</v>
      </c>
      <c r="AQ426" s="208">
        <v>7.71682</v>
      </c>
      <c r="AR426" s="208">
        <v>4.29771</v>
      </c>
      <c r="AT426" s="192" t="s">
        <v>747</v>
      </c>
      <c r="AU426" s="211" t="s">
        <v>746</v>
      </c>
      <c r="AV426" s="211" t="s">
        <v>2750</v>
      </c>
      <c r="AW426" s="211" t="s">
        <v>2751</v>
      </c>
      <c r="AX426" s="211" t="s">
        <v>747</v>
      </c>
      <c r="AY426" s="212">
        <v>1.85</v>
      </c>
      <c r="AZ426" s="213">
        <v>4.5</v>
      </c>
      <c r="BA426" s="213">
        <v>4.0</v>
      </c>
      <c r="BB426" s="213">
        <v>2.0</v>
      </c>
      <c r="BC426" s="212">
        <v>4.8100000000000005</v>
      </c>
      <c r="BD426" s="213">
        <v>10.0</v>
      </c>
      <c r="BE426" s="213">
        <v>10.0</v>
      </c>
      <c r="BF426" s="213">
        <v>5.6</v>
      </c>
      <c r="BG426" s="212">
        <v>10.333333333333332</v>
      </c>
      <c r="BH426" s="213">
        <v>9.75</v>
      </c>
      <c r="BI426" s="213">
        <v>9.645061727496795E-4</v>
      </c>
      <c r="BJ426" s="213">
        <v>0.0010262345676892437</v>
      </c>
      <c r="BK426" s="213">
        <v>307.5</v>
      </c>
      <c r="BL426" s="212">
        <v>7.0</v>
      </c>
      <c r="BM426" s="213">
        <v>5.375</v>
      </c>
      <c r="BN426" s="213">
        <v>0.001929012345499359</v>
      </c>
      <c r="BO426" s="213">
        <v>0.0020524691353784874</v>
      </c>
      <c r="BP426" s="213">
        <v>153.75</v>
      </c>
      <c r="BQ426" s="192"/>
      <c r="BR426" s="192"/>
    </row>
    <row r="427">
      <c r="A427" s="60"/>
      <c r="B427" s="205">
        <v>929118.0</v>
      </c>
      <c r="C427" s="205">
        <v>411990.0</v>
      </c>
      <c r="D427" s="205">
        <v>-2.0</v>
      </c>
      <c r="E427" s="207">
        <v>42401.62505787037</v>
      </c>
      <c r="F427" s="215"/>
      <c r="G427" s="207">
        <v>42572.47980324074</v>
      </c>
      <c r="H427" s="63" t="s">
        <v>2933</v>
      </c>
      <c r="I427" s="205">
        <v>235.0</v>
      </c>
      <c r="J427" s="63" t="s">
        <v>2934</v>
      </c>
      <c r="K427" s="205">
        <v>2167433.0</v>
      </c>
      <c r="L427" s="208">
        <v>5.60668</v>
      </c>
      <c r="M427" s="208">
        <v>2.66729</v>
      </c>
      <c r="N427" s="208">
        <v>2.69956</v>
      </c>
      <c r="O427" s="209">
        <v>4.0</v>
      </c>
      <c r="P427" s="209">
        <v>9.5</v>
      </c>
      <c r="Q427" s="209">
        <v>8.2</v>
      </c>
      <c r="R427" s="209">
        <v>5.5</v>
      </c>
      <c r="S427" s="210">
        <v>6.944444430700969E-4</v>
      </c>
      <c r="U427" s="205">
        <v>1.0</v>
      </c>
      <c r="V427" s="205">
        <v>1.0</v>
      </c>
      <c r="W427" s="63" t="s">
        <v>2935</v>
      </c>
      <c r="X427" s="210">
        <v>0.0013657407398568466</v>
      </c>
      <c r="Y427" s="63" t="s">
        <v>2936</v>
      </c>
      <c r="Z427" s="63" t="s">
        <v>2937</v>
      </c>
      <c r="AA427" s="205">
        <v>0.0</v>
      </c>
      <c r="AC427" s="205">
        <v>15.0</v>
      </c>
      <c r="AD427" s="208">
        <v>0.0</v>
      </c>
      <c r="AE427" s="205">
        <v>1144.0</v>
      </c>
      <c r="AF427" s="205">
        <v>328.0</v>
      </c>
      <c r="AG427" s="205">
        <v>172.0</v>
      </c>
      <c r="AH427" s="205">
        <v>152.0</v>
      </c>
      <c r="AI427" s="205">
        <v>0.0</v>
      </c>
      <c r="AJ427" s="205">
        <v>520.0</v>
      </c>
      <c r="AK427" s="205">
        <v>0.0</v>
      </c>
      <c r="AL427" s="205">
        <v>0.0</v>
      </c>
      <c r="AM427" s="205">
        <v>0.0</v>
      </c>
      <c r="AN427" s="205">
        <v>0.0</v>
      </c>
      <c r="AO427" s="208">
        <v>5.13459</v>
      </c>
      <c r="AP427" s="208">
        <v>5.8682</v>
      </c>
      <c r="AQ427" s="208">
        <v>8.39552</v>
      </c>
      <c r="AR427" s="208">
        <v>4.41842</v>
      </c>
      <c r="AT427" s="192" t="s">
        <v>823</v>
      </c>
      <c r="AU427" s="211" t="s">
        <v>822</v>
      </c>
      <c r="AV427" s="211" t="s">
        <v>2938</v>
      </c>
      <c r="AW427" s="211" t="s">
        <v>2939</v>
      </c>
      <c r="AX427" s="211" t="s">
        <v>823</v>
      </c>
      <c r="AY427" s="212">
        <v>2.0</v>
      </c>
      <c r="AZ427" s="213">
        <v>4.75</v>
      </c>
      <c r="BA427" s="213">
        <v>4.1</v>
      </c>
      <c r="BB427" s="213">
        <v>2.75</v>
      </c>
      <c r="BC427" s="212">
        <v>5.2</v>
      </c>
      <c r="BD427" s="213">
        <v>10.0</v>
      </c>
      <c r="BE427" s="213">
        <v>10.0</v>
      </c>
      <c r="BF427" s="213">
        <v>7.699999999999999</v>
      </c>
      <c r="BG427" s="212">
        <v>10.666666666666668</v>
      </c>
      <c r="BH427" s="213">
        <v>9.883333333333333</v>
      </c>
      <c r="BI427" s="213">
        <v>4.6296296204673126E-4</v>
      </c>
      <c r="BJ427" s="213">
        <v>9.104938265712311E-4</v>
      </c>
      <c r="BK427" s="213">
        <v>352.5</v>
      </c>
      <c r="BL427" s="212">
        <v>7.75</v>
      </c>
      <c r="BM427" s="213">
        <v>5.675</v>
      </c>
      <c r="BN427" s="213">
        <v>9.259259240934625E-4</v>
      </c>
      <c r="BO427" s="213">
        <v>0.0018209876531424622</v>
      </c>
      <c r="BP427" s="213">
        <v>176.25</v>
      </c>
      <c r="BQ427" s="192"/>
      <c r="BR427" s="192"/>
    </row>
    <row r="428">
      <c r="A428" s="60"/>
      <c r="B428" s="205">
        <v>309899.0</v>
      </c>
      <c r="C428" s="205">
        <v>120987.0</v>
      </c>
      <c r="D428" s="205">
        <v>-2.0</v>
      </c>
      <c r="E428" s="207">
        <v>41554.32423611111</v>
      </c>
      <c r="F428" s="215"/>
      <c r="G428" s="207">
        <v>41554.32460648148</v>
      </c>
      <c r="H428" s="63" t="s">
        <v>1010</v>
      </c>
      <c r="I428" s="205">
        <v>220.0</v>
      </c>
      <c r="J428" s="63" t="s">
        <v>615</v>
      </c>
      <c r="K428" s="205">
        <v>1945171.0</v>
      </c>
      <c r="L428" s="208">
        <v>5.51842</v>
      </c>
      <c r="M428" s="208">
        <v>2.53227</v>
      </c>
      <c r="N428" s="208">
        <v>2.74066</v>
      </c>
      <c r="O428" s="209">
        <v>4.0</v>
      </c>
      <c r="P428" s="209">
        <v>10.0</v>
      </c>
      <c r="Q428" s="209">
        <v>7.0</v>
      </c>
      <c r="R428" s="209">
        <v>6.0</v>
      </c>
      <c r="S428" s="210">
        <v>0.0012152777781011537</v>
      </c>
      <c r="T428" s="63" t="s">
        <v>2940</v>
      </c>
      <c r="U428" s="205">
        <v>1.0</v>
      </c>
      <c r="V428" s="205">
        <v>1.0</v>
      </c>
      <c r="W428" s="63" t="s">
        <v>2941</v>
      </c>
      <c r="X428" s="210">
        <v>0.001284722220589174</v>
      </c>
      <c r="Y428" s="63" t="s">
        <v>2942</v>
      </c>
      <c r="Z428" s="63" t="s">
        <v>2943</v>
      </c>
      <c r="AA428" s="205">
        <v>0.0</v>
      </c>
      <c r="AB428" s="63" t="s">
        <v>2944</v>
      </c>
      <c r="AC428" s="205">
        <v>107.0</v>
      </c>
      <c r="AD428" s="208">
        <v>0.0</v>
      </c>
      <c r="AE428" s="205">
        <v>22879.0</v>
      </c>
      <c r="AF428" s="205">
        <v>7474.0</v>
      </c>
      <c r="AG428" s="205">
        <v>356.0</v>
      </c>
      <c r="AH428" s="205">
        <v>240.0</v>
      </c>
      <c r="AI428" s="205">
        <v>1.0</v>
      </c>
      <c r="AJ428" s="205">
        <v>997.0</v>
      </c>
      <c r="AK428" s="205">
        <v>0.0</v>
      </c>
      <c r="AL428" s="205">
        <v>0.0</v>
      </c>
      <c r="AM428" s="205">
        <v>0.0</v>
      </c>
      <c r="AN428" s="205">
        <v>0.0</v>
      </c>
      <c r="AO428" s="208">
        <v>5.11741</v>
      </c>
      <c r="AP428" s="208">
        <v>5.88371</v>
      </c>
      <c r="AQ428" s="208">
        <v>8.31711</v>
      </c>
      <c r="AR428" s="208">
        <v>4.41657</v>
      </c>
      <c r="AT428" s="192" t="s">
        <v>749</v>
      </c>
      <c r="AU428" s="211" t="s">
        <v>748</v>
      </c>
      <c r="AV428" s="211" t="s">
        <v>2945</v>
      </c>
      <c r="AW428" s="211" t="s">
        <v>2946</v>
      </c>
      <c r="AX428" s="211" t="s">
        <v>749</v>
      </c>
      <c r="AY428" s="212">
        <v>2.0</v>
      </c>
      <c r="AZ428" s="213">
        <v>5.0</v>
      </c>
      <c r="BA428" s="213">
        <v>3.5</v>
      </c>
      <c r="BB428" s="213">
        <v>3.0</v>
      </c>
      <c r="BC428" s="212">
        <v>5.2</v>
      </c>
      <c r="BD428" s="213">
        <v>10.0</v>
      </c>
      <c r="BE428" s="213">
        <v>9.799999999999999</v>
      </c>
      <c r="BF428" s="213">
        <v>8.399999999999999</v>
      </c>
      <c r="BG428" s="212">
        <v>11.0</v>
      </c>
      <c r="BH428" s="213">
        <v>9.083333333333334</v>
      </c>
      <c r="BI428" s="213">
        <v>8.101851854007691E-4</v>
      </c>
      <c r="BJ428" s="213">
        <v>8.564814803927826E-4</v>
      </c>
      <c r="BK428" s="213">
        <v>330.0</v>
      </c>
      <c r="BL428" s="212">
        <v>8.5</v>
      </c>
      <c r="BM428" s="213">
        <v>3.875</v>
      </c>
      <c r="BN428" s="213">
        <v>0.0016203703708015382</v>
      </c>
      <c r="BO428" s="213">
        <v>0.0017129629607855652</v>
      </c>
      <c r="BP428" s="213">
        <v>165.0</v>
      </c>
      <c r="BQ428" s="192"/>
      <c r="BR428" s="192"/>
    </row>
    <row r="429">
      <c r="A429" s="60"/>
      <c r="B429" s="205">
        <v>309900.0</v>
      </c>
      <c r="C429" s="205">
        <v>120987.0</v>
      </c>
      <c r="D429" s="205">
        <v>-2.0</v>
      </c>
      <c r="E429" s="207">
        <v>41554.32423611111</v>
      </c>
      <c r="F429" s="215"/>
      <c r="G429" s="207">
        <v>41554.32460648148</v>
      </c>
      <c r="H429" s="63" t="s">
        <v>1010</v>
      </c>
      <c r="I429" s="205">
        <v>220.0</v>
      </c>
      <c r="J429" s="63" t="s">
        <v>615</v>
      </c>
      <c r="K429" s="205">
        <v>1945171.0</v>
      </c>
      <c r="L429" s="208">
        <v>5.51825</v>
      </c>
      <c r="M429" s="208">
        <v>2.5321</v>
      </c>
      <c r="N429" s="208">
        <v>2.74066</v>
      </c>
      <c r="O429" s="209">
        <v>4.0</v>
      </c>
      <c r="P429" s="209">
        <v>9.0</v>
      </c>
      <c r="Q429" s="209">
        <v>7.0</v>
      </c>
      <c r="R429" s="209">
        <v>6.0</v>
      </c>
      <c r="S429" s="210">
        <v>0.0012268518512428273</v>
      </c>
      <c r="T429" s="63" t="s">
        <v>2940</v>
      </c>
      <c r="U429" s="205">
        <v>1.0</v>
      </c>
      <c r="V429" s="205">
        <v>1.0</v>
      </c>
      <c r="W429" s="63" t="s">
        <v>2941</v>
      </c>
      <c r="X429" s="210">
        <v>0.001284722220589174</v>
      </c>
      <c r="Y429" s="63" t="s">
        <v>2947</v>
      </c>
      <c r="Z429" s="63" t="s">
        <v>2948</v>
      </c>
      <c r="AA429" s="205">
        <v>0.0</v>
      </c>
      <c r="AB429" s="63" t="s">
        <v>2944</v>
      </c>
      <c r="AC429" s="205">
        <v>107.0</v>
      </c>
      <c r="AD429" s="208">
        <v>0.0</v>
      </c>
      <c r="AE429" s="205">
        <v>28765.0</v>
      </c>
      <c r="AF429" s="205">
        <v>6861.0</v>
      </c>
      <c r="AG429" s="205">
        <v>356.0</v>
      </c>
      <c r="AH429" s="205">
        <v>240.0</v>
      </c>
      <c r="AI429" s="205">
        <v>1.0</v>
      </c>
      <c r="AJ429" s="205">
        <v>997.0</v>
      </c>
      <c r="AK429" s="205">
        <v>0.0</v>
      </c>
      <c r="AL429" s="205">
        <v>0.0</v>
      </c>
      <c r="AM429" s="205">
        <v>0.0</v>
      </c>
      <c r="AN429" s="205">
        <v>0.0</v>
      </c>
      <c r="AO429" s="208">
        <v>5.11741</v>
      </c>
      <c r="AP429" s="208">
        <v>5.88371</v>
      </c>
      <c r="AQ429" s="208">
        <v>8.31669</v>
      </c>
      <c r="AR429" s="208">
        <v>4.41645</v>
      </c>
      <c r="AT429" s="192" t="s">
        <v>614</v>
      </c>
      <c r="AU429" s="211" t="s">
        <v>750</v>
      </c>
      <c r="AV429" s="211" t="s">
        <v>2945</v>
      </c>
      <c r="AW429" s="211" t="s">
        <v>2946</v>
      </c>
      <c r="AX429" s="211" t="s">
        <v>614</v>
      </c>
      <c r="AY429" s="212">
        <v>2.0</v>
      </c>
      <c r="AZ429" s="213">
        <v>4.5</v>
      </c>
      <c r="BA429" s="213">
        <v>3.5</v>
      </c>
      <c r="BB429" s="213">
        <v>3.0</v>
      </c>
      <c r="BC429" s="212">
        <v>5.2</v>
      </c>
      <c r="BD429" s="213">
        <v>10.0</v>
      </c>
      <c r="BE429" s="213">
        <v>9.799999999999999</v>
      </c>
      <c r="BF429" s="213">
        <v>8.399999999999999</v>
      </c>
      <c r="BG429" s="212">
        <v>10.333333333333332</v>
      </c>
      <c r="BH429" s="213">
        <v>9.083333333333334</v>
      </c>
      <c r="BI429" s="213">
        <v>8.179012341618849E-4</v>
      </c>
      <c r="BJ429" s="213">
        <v>8.564814803927826E-4</v>
      </c>
      <c r="BK429" s="213">
        <v>330.0</v>
      </c>
      <c r="BL429" s="212">
        <v>7.0</v>
      </c>
      <c r="BM429" s="213">
        <v>3.875</v>
      </c>
      <c r="BN429" s="213">
        <v>0.0016358024683237697</v>
      </c>
      <c r="BO429" s="213">
        <v>0.0017129629607855652</v>
      </c>
      <c r="BP429" s="213">
        <v>165.0</v>
      </c>
      <c r="BQ429" s="192"/>
      <c r="BR429" s="192"/>
    </row>
    <row r="430">
      <c r="A430" s="60"/>
      <c r="B430" s="205">
        <v>1248147.0</v>
      </c>
      <c r="C430" s="205">
        <v>589697.0</v>
      </c>
      <c r="D430" s="205">
        <v>-2.0</v>
      </c>
      <c r="E430" s="207">
        <v>42817.86524305555</v>
      </c>
      <c r="F430" s="215"/>
      <c r="G430" s="207">
        <v>42827.54252314815</v>
      </c>
      <c r="H430" s="63" t="s">
        <v>996</v>
      </c>
      <c r="I430" s="205">
        <v>170.0</v>
      </c>
      <c r="J430" s="63" t="s">
        <v>557</v>
      </c>
      <c r="K430" s="205">
        <v>1802262.0</v>
      </c>
      <c r="L430" s="208">
        <v>5.47932</v>
      </c>
      <c r="M430" s="208">
        <v>2.74113</v>
      </c>
      <c r="N430" s="208">
        <v>2.4899</v>
      </c>
      <c r="O430" s="209">
        <v>4.0</v>
      </c>
      <c r="P430" s="209">
        <v>9.4</v>
      </c>
      <c r="Q430" s="209">
        <v>8.0</v>
      </c>
      <c r="R430" s="209">
        <v>6.0</v>
      </c>
      <c r="S430" s="210">
        <v>0.0035648148150357883</v>
      </c>
      <c r="U430" s="205">
        <v>1.0</v>
      </c>
      <c r="V430" s="205">
        <v>1.0</v>
      </c>
      <c r="W430" s="63" t="s">
        <v>2949</v>
      </c>
      <c r="X430" s="210">
        <v>0.0037847222229174804</v>
      </c>
      <c r="Y430" s="63" t="s">
        <v>2950</v>
      </c>
      <c r="Z430" s="63" t="s">
        <v>2951</v>
      </c>
      <c r="AA430" s="205">
        <v>0.0</v>
      </c>
      <c r="AB430" s="63" t="s">
        <v>2952</v>
      </c>
      <c r="AC430" s="205">
        <v>7.0</v>
      </c>
      <c r="AD430" s="208">
        <v>0.0</v>
      </c>
      <c r="AE430" s="205">
        <v>2710.0</v>
      </c>
      <c r="AF430" s="205">
        <v>562.0</v>
      </c>
      <c r="AG430" s="205">
        <v>674.0</v>
      </c>
      <c r="AH430" s="205">
        <v>557.0</v>
      </c>
      <c r="AI430" s="205">
        <v>2.0</v>
      </c>
      <c r="AJ430" s="205">
        <v>2031.0</v>
      </c>
      <c r="AK430" s="205">
        <v>0.0</v>
      </c>
      <c r="AL430" s="205">
        <v>0.0</v>
      </c>
      <c r="AM430" s="205">
        <v>0.0</v>
      </c>
      <c r="AN430" s="205">
        <v>0.0</v>
      </c>
      <c r="AO430" s="208">
        <v>5.00125</v>
      </c>
      <c r="AP430" s="208">
        <v>5.8326</v>
      </c>
      <c r="AQ430" s="208">
        <v>7.83821</v>
      </c>
      <c r="AR430" s="208">
        <v>4.32024</v>
      </c>
      <c r="AT430" s="192" t="s">
        <v>556</v>
      </c>
      <c r="AU430" s="211" t="s">
        <v>594</v>
      </c>
      <c r="AV430" s="211" t="s">
        <v>2953</v>
      </c>
      <c r="AW430" s="211" t="s">
        <v>2954</v>
      </c>
      <c r="AX430" s="211" t="s">
        <v>556</v>
      </c>
      <c r="AY430" s="212">
        <v>2.0</v>
      </c>
      <c r="AZ430" s="213">
        <v>4.7</v>
      </c>
      <c r="BA430" s="213">
        <v>4.0</v>
      </c>
      <c r="BB430" s="213">
        <v>3.0</v>
      </c>
      <c r="BC430" s="212">
        <v>5.2</v>
      </c>
      <c r="BD430" s="213">
        <v>10.0</v>
      </c>
      <c r="BE430" s="213">
        <v>10.0</v>
      </c>
      <c r="BF430" s="213">
        <v>8.399999999999999</v>
      </c>
      <c r="BG430" s="212">
        <v>10.6</v>
      </c>
      <c r="BH430" s="213">
        <v>9.75</v>
      </c>
      <c r="BI430" s="213">
        <v>0.002376543210023859</v>
      </c>
      <c r="BJ430" s="213">
        <v>0.0025231481486116536</v>
      </c>
      <c r="BK430" s="213">
        <v>255.0</v>
      </c>
      <c r="BL430" s="212">
        <v>7.6</v>
      </c>
      <c r="BM430" s="213">
        <v>5.375</v>
      </c>
      <c r="BN430" s="213">
        <v>0.004753086420047718</v>
      </c>
      <c r="BO430" s="213">
        <v>0.005046296297223307</v>
      </c>
      <c r="BP430" s="213">
        <v>127.5</v>
      </c>
      <c r="BQ430" s="192"/>
      <c r="BR430" s="192"/>
    </row>
    <row r="431">
      <c r="A431" s="60"/>
      <c r="B431" s="205">
        <v>1248147.0</v>
      </c>
      <c r="C431" s="205">
        <v>589697.0</v>
      </c>
      <c r="D431" s="205">
        <v>-2.0</v>
      </c>
      <c r="E431" s="207">
        <v>42817.86524305555</v>
      </c>
      <c r="F431" s="215"/>
      <c r="G431" s="207">
        <v>42827.54252314815</v>
      </c>
      <c r="H431" s="63" t="s">
        <v>996</v>
      </c>
      <c r="I431" s="205">
        <v>170.0</v>
      </c>
      <c r="J431" s="63" t="s">
        <v>557</v>
      </c>
      <c r="K431" s="205">
        <v>1802262.0</v>
      </c>
      <c r="L431" s="208">
        <v>5.47932</v>
      </c>
      <c r="M431" s="208">
        <v>2.74113</v>
      </c>
      <c r="N431" s="208">
        <v>2.4899</v>
      </c>
      <c r="O431" s="209">
        <v>4.0</v>
      </c>
      <c r="P431" s="209">
        <v>9.4</v>
      </c>
      <c r="Q431" s="209">
        <v>8.0</v>
      </c>
      <c r="R431" s="209">
        <v>6.0</v>
      </c>
      <c r="S431" s="210">
        <v>0.0035648148150357883</v>
      </c>
      <c r="U431" s="205">
        <v>1.0</v>
      </c>
      <c r="V431" s="205">
        <v>1.0</v>
      </c>
      <c r="W431" s="63" t="s">
        <v>2949</v>
      </c>
      <c r="X431" s="210">
        <v>0.0037847222229174804</v>
      </c>
      <c r="Y431" s="63" t="s">
        <v>2950</v>
      </c>
      <c r="Z431" s="63" t="s">
        <v>2951</v>
      </c>
      <c r="AA431" s="205">
        <v>0.0</v>
      </c>
      <c r="AB431" s="63" t="s">
        <v>2952</v>
      </c>
      <c r="AC431" s="205">
        <v>7.0</v>
      </c>
      <c r="AD431" s="208">
        <v>0.0</v>
      </c>
      <c r="AE431" s="205">
        <v>2710.0</v>
      </c>
      <c r="AF431" s="205">
        <v>562.0</v>
      </c>
      <c r="AG431" s="205">
        <v>674.0</v>
      </c>
      <c r="AH431" s="205">
        <v>557.0</v>
      </c>
      <c r="AI431" s="205">
        <v>2.0</v>
      </c>
      <c r="AJ431" s="205">
        <v>2031.0</v>
      </c>
      <c r="AK431" s="205">
        <v>0.0</v>
      </c>
      <c r="AL431" s="205">
        <v>0.0</v>
      </c>
      <c r="AM431" s="205">
        <v>0.0</v>
      </c>
      <c r="AN431" s="205">
        <v>0.0</v>
      </c>
      <c r="AO431" s="208">
        <v>5.00125</v>
      </c>
      <c r="AP431" s="208">
        <v>5.8326</v>
      </c>
      <c r="AQ431" s="208">
        <v>7.83821</v>
      </c>
      <c r="AR431" s="208">
        <v>4.32024</v>
      </c>
      <c r="AT431" s="192" t="s">
        <v>556</v>
      </c>
      <c r="AU431" s="211" t="s">
        <v>594</v>
      </c>
      <c r="AV431" s="211" t="s">
        <v>2953</v>
      </c>
      <c r="AW431" s="211" t="s">
        <v>2954</v>
      </c>
      <c r="AX431" s="211" t="s">
        <v>556</v>
      </c>
      <c r="AY431" s="212">
        <v>2.0</v>
      </c>
      <c r="AZ431" s="213">
        <v>4.7</v>
      </c>
      <c r="BA431" s="213">
        <v>4.0</v>
      </c>
      <c r="BB431" s="213">
        <v>3.0</v>
      </c>
      <c r="BC431" s="212">
        <v>5.2</v>
      </c>
      <c r="BD431" s="213">
        <v>10.0</v>
      </c>
      <c r="BE431" s="213">
        <v>10.0</v>
      </c>
      <c r="BF431" s="213">
        <v>8.399999999999999</v>
      </c>
      <c r="BG431" s="212">
        <v>10.6</v>
      </c>
      <c r="BH431" s="213">
        <v>9.75</v>
      </c>
      <c r="BI431" s="213">
        <v>0.002376543210023859</v>
      </c>
      <c r="BJ431" s="213">
        <v>0.0025231481486116536</v>
      </c>
      <c r="BK431" s="213">
        <v>255.0</v>
      </c>
      <c r="BL431" s="212">
        <v>7.6</v>
      </c>
      <c r="BM431" s="213">
        <v>5.375</v>
      </c>
      <c r="BN431" s="213">
        <v>0.004753086420047718</v>
      </c>
      <c r="BO431" s="213">
        <v>0.005046296297223307</v>
      </c>
      <c r="BP431" s="213">
        <v>127.5</v>
      </c>
      <c r="BQ431" s="192"/>
      <c r="BR431" s="192"/>
    </row>
    <row r="432">
      <c r="A432" s="60"/>
      <c r="B432" s="205">
        <v>1494828.0</v>
      </c>
      <c r="C432" s="205">
        <v>707032.0</v>
      </c>
      <c r="D432" s="205">
        <v>1.0</v>
      </c>
      <c r="E432" s="207">
        <v>43086.40645833334</v>
      </c>
      <c r="F432" s="207">
        <v>43195.083449074074</v>
      </c>
      <c r="G432" s="207">
        <v>43185.1156712963</v>
      </c>
      <c r="H432" s="63" t="s">
        <v>2955</v>
      </c>
      <c r="I432" s="205">
        <v>180.0</v>
      </c>
      <c r="J432" s="63" t="s">
        <v>1566</v>
      </c>
      <c r="K432" s="205">
        <v>1872496.0</v>
      </c>
      <c r="L432" s="208">
        <v>6.41916</v>
      </c>
      <c r="M432" s="208">
        <v>3.19884</v>
      </c>
      <c r="N432" s="208">
        <v>2.93249</v>
      </c>
      <c r="O432" s="209">
        <v>4.0</v>
      </c>
      <c r="P432" s="209">
        <v>9.5</v>
      </c>
      <c r="Q432" s="209">
        <v>9.0</v>
      </c>
      <c r="R432" s="209">
        <v>6.0</v>
      </c>
      <c r="S432" s="210">
        <v>0.0036342592575238086</v>
      </c>
      <c r="U432" s="205">
        <v>10.0</v>
      </c>
      <c r="V432" s="205">
        <v>5.0</v>
      </c>
      <c r="W432" s="63" t="s">
        <v>2956</v>
      </c>
      <c r="X432" s="210">
        <v>0.0037037037036498077</v>
      </c>
      <c r="Y432" s="63" t="s">
        <v>2957</v>
      </c>
      <c r="Z432" s="63" t="s">
        <v>2958</v>
      </c>
      <c r="AA432" s="205">
        <v>0.0</v>
      </c>
      <c r="AB432" s="63" t="s">
        <v>2959</v>
      </c>
      <c r="AC432" s="205">
        <v>3025.0</v>
      </c>
      <c r="AD432" s="208">
        <v>9.72134</v>
      </c>
      <c r="AE432" s="205">
        <v>3508479.0</v>
      </c>
      <c r="AF432" s="205">
        <v>230202.0</v>
      </c>
      <c r="AG432" s="205">
        <v>1143.0</v>
      </c>
      <c r="AH432" s="205">
        <v>559.0</v>
      </c>
      <c r="AI432" s="205">
        <v>2.0</v>
      </c>
      <c r="AJ432" s="205">
        <v>2362.0</v>
      </c>
      <c r="AK432" s="205">
        <v>0.0</v>
      </c>
      <c r="AL432" s="205">
        <v>0.0</v>
      </c>
      <c r="AM432" s="205">
        <v>0.0</v>
      </c>
      <c r="AN432" s="205">
        <v>0.0</v>
      </c>
      <c r="AO432" s="208">
        <v>5.87701</v>
      </c>
      <c r="AP432" s="208">
        <v>6.80661</v>
      </c>
      <c r="AQ432" s="208">
        <v>9.46209</v>
      </c>
      <c r="AR432" s="208">
        <v>4.98597</v>
      </c>
      <c r="AT432" s="192" t="s">
        <v>2960</v>
      </c>
      <c r="AU432" s="211" t="s">
        <v>2961</v>
      </c>
      <c r="AV432" s="211" t="s">
        <v>2962</v>
      </c>
      <c r="AW432" s="211" t="s">
        <v>2963</v>
      </c>
      <c r="AX432" s="211" t="s">
        <v>2960</v>
      </c>
      <c r="AY432" s="212">
        <v>2.0</v>
      </c>
      <c r="AZ432" s="213">
        <v>4.75</v>
      </c>
      <c r="BA432" s="213">
        <v>4.5</v>
      </c>
      <c r="BB432" s="213">
        <v>3.0</v>
      </c>
      <c r="BC432" s="212">
        <v>5.2</v>
      </c>
      <c r="BD432" s="213">
        <v>10.0</v>
      </c>
      <c r="BE432" s="213">
        <v>10.0</v>
      </c>
      <c r="BF432" s="213">
        <v>8.399999999999999</v>
      </c>
      <c r="BG432" s="212">
        <v>10.666666666666668</v>
      </c>
      <c r="BH432" s="213">
        <v>10.416666666666666</v>
      </c>
      <c r="BI432" s="213">
        <v>0.0024228395050158724</v>
      </c>
      <c r="BJ432" s="213">
        <v>0.0024691358024332053</v>
      </c>
      <c r="BK432" s="213">
        <v>270.0</v>
      </c>
      <c r="BL432" s="212">
        <v>7.75</v>
      </c>
      <c r="BM432" s="213">
        <v>6.875</v>
      </c>
      <c r="BN432" s="213">
        <v>0.004845679010031745</v>
      </c>
      <c r="BO432" s="213">
        <v>0.004938271604866411</v>
      </c>
      <c r="BP432" s="213">
        <v>135.0</v>
      </c>
      <c r="BQ432" s="192"/>
      <c r="BR432" s="192"/>
    </row>
    <row r="433">
      <c r="A433" s="60"/>
      <c r="B433" s="205">
        <v>975342.0</v>
      </c>
      <c r="C433" s="205">
        <v>454987.0</v>
      </c>
      <c r="D433" s="205">
        <v>-2.0</v>
      </c>
      <c r="E433" s="207">
        <v>42502.39346064815</v>
      </c>
      <c r="F433" s="215"/>
      <c r="G433" s="207">
        <v>42868.51793981482</v>
      </c>
      <c r="H433" s="63" t="s">
        <v>2964</v>
      </c>
      <c r="I433" s="205">
        <v>176.0</v>
      </c>
      <c r="J433" s="63" t="s">
        <v>2965</v>
      </c>
      <c r="K433" s="205">
        <v>6486735.0</v>
      </c>
      <c r="L433" s="208">
        <v>4.22068</v>
      </c>
      <c r="M433" s="208">
        <v>2.18733</v>
      </c>
      <c r="N433" s="208">
        <v>1.81179</v>
      </c>
      <c r="O433" s="209">
        <v>4.0</v>
      </c>
      <c r="P433" s="209">
        <v>9.0</v>
      </c>
      <c r="Q433" s="209">
        <v>8.0</v>
      </c>
      <c r="R433" s="209">
        <v>7.0</v>
      </c>
      <c r="S433" s="210">
        <v>6.597222236450762E-4</v>
      </c>
      <c r="U433" s="205">
        <v>1.0</v>
      </c>
      <c r="V433" s="205">
        <v>1.0</v>
      </c>
      <c r="W433" s="63" t="s">
        <v>2966</v>
      </c>
      <c r="X433" s="210">
        <v>6.597222236450762E-4</v>
      </c>
      <c r="Y433" s="63" t="s">
        <v>2967</v>
      </c>
      <c r="Z433" s="63" t="s">
        <v>2968</v>
      </c>
      <c r="AA433" s="205">
        <v>0.0</v>
      </c>
      <c r="AB433" s="63" t="s">
        <v>2969</v>
      </c>
      <c r="AC433" s="205">
        <v>23.0</v>
      </c>
      <c r="AD433" s="208">
        <v>0.0</v>
      </c>
      <c r="AE433" s="205">
        <v>13843.0</v>
      </c>
      <c r="AF433" s="205">
        <v>2820.0</v>
      </c>
      <c r="AG433" s="205">
        <v>118.0</v>
      </c>
      <c r="AH433" s="205">
        <v>110.0</v>
      </c>
      <c r="AI433" s="205">
        <v>0.0</v>
      </c>
      <c r="AJ433" s="205">
        <v>341.0</v>
      </c>
      <c r="AK433" s="205">
        <v>0.0</v>
      </c>
      <c r="AL433" s="205">
        <v>0.0</v>
      </c>
      <c r="AM433" s="205">
        <v>0.0</v>
      </c>
      <c r="AN433" s="205">
        <v>0.0</v>
      </c>
      <c r="AO433" s="208">
        <v>3.89805</v>
      </c>
      <c r="AP433" s="208">
        <v>4.47728</v>
      </c>
      <c r="AQ433" s="208">
        <v>5.86224</v>
      </c>
      <c r="AR433" s="208">
        <v>3.38084</v>
      </c>
      <c r="AT433" s="192" t="s">
        <v>753</v>
      </c>
      <c r="AU433" s="211" t="s">
        <v>2970</v>
      </c>
      <c r="AV433" s="211" t="s">
        <v>2971</v>
      </c>
      <c r="AW433" s="211" t="s">
        <v>2972</v>
      </c>
      <c r="AX433" s="211" t="s">
        <v>753</v>
      </c>
      <c r="AY433" s="212">
        <v>2.0</v>
      </c>
      <c r="AZ433" s="213">
        <v>4.5</v>
      </c>
      <c r="BA433" s="213">
        <v>4.0</v>
      </c>
      <c r="BB433" s="213">
        <v>3.5</v>
      </c>
      <c r="BC433" s="212">
        <v>5.2</v>
      </c>
      <c r="BD433" s="213">
        <v>10.0</v>
      </c>
      <c r="BE433" s="213">
        <v>10.0</v>
      </c>
      <c r="BF433" s="213">
        <v>9.799999999999999</v>
      </c>
      <c r="BG433" s="212">
        <v>10.333333333333332</v>
      </c>
      <c r="BH433" s="213">
        <v>9.75</v>
      </c>
      <c r="BI433" s="213">
        <v>4.398148157633841E-4</v>
      </c>
      <c r="BJ433" s="213">
        <v>4.398148157633841E-4</v>
      </c>
      <c r="BK433" s="213">
        <v>264.0</v>
      </c>
      <c r="BL433" s="212">
        <v>7.0</v>
      </c>
      <c r="BM433" s="213">
        <v>5.375</v>
      </c>
      <c r="BN433" s="213">
        <v>8.796296315267682E-4</v>
      </c>
      <c r="BO433" s="213">
        <v>8.796296315267682E-4</v>
      </c>
      <c r="BP433" s="213">
        <v>132.0</v>
      </c>
      <c r="BQ433" s="192"/>
      <c r="BR433" s="192"/>
    </row>
    <row r="434">
      <c r="A434" s="60"/>
      <c r="B434" s="205">
        <v>3271290.0</v>
      </c>
      <c r="C434" s="205">
        <v>1601852.0</v>
      </c>
      <c r="D434" s="205">
        <v>1.0</v>
      </c>
      <c r="E434" s="207">
        <v>44483.72278935185</v>
      </c>
      <c r="F434" s="207">
        <v>44565.92082175926</v>
      </c>
      <c r="G434" s="207">
        <v>44556.39399305556</v>
      </c>
      <c r="H434" s="63" t="s">
        <v>2973</v>
      </c>
      <c r="I434" s="205">
        <v>200.0</v>
      </c>
      <c r="J434" s="63" t="s">
        <v>2974</v>
      </c>
      <c r="K434" s="205">
        <v>2849992.0</v>
      </c>
      <c r="L434" s="208">
        <v>6.62242</v>
      </c>
      <c r="M434" s="208">
        <v>3.33267</v>
      </c>
      <c r="N434" s="208">
        <v>2.98435</v>
      </c>
      <c r="O434" s="209">
        <v>4.2</v>
      </c>
      <c r="P434" s="209">
        <v>9.5</v>
      </c>
      <c r="Q434" s="209">
        <v>9.0</v>
      </c>
      <c r="R434" s="209">
        <v>5.0</v>
      </c>
      <c r="S434" s="210">
        <v>0.0029513888875953853</v>
      </c>
      <c r="U434" s="205">
        <v>10.0</v>
      </c>
      <c r="V434" s="205">
        <v>3.0</v>
      </c>
      <c r="W434" s="63" t="s">
        <v>2975</v>
      </c>
      <c r="X434" s="210">
        <v>0.003055555556784384</v>
      </c>
      <c r="Y434" s="63" t="s">
        <v>2976</v>
      </c>
      <c r="Z434" s="63" t="s">
        <v>2977</v>
      </c>
      <c r="AA434" s="205">
        <v>0.0</v>
      </c>
      <c r="AB434" s="63" t="s">
        <v>2978</v>
      </c>
      <c r="AC434" s="205">
        <v>649.0</v>
      </c>
      <c r="AD434" s="208">
        <v>9.6179</v>
      </c>
      <c r="AE434" s="205">
        <v>104149.0</v>
      </c>
      <c r="AF434" s="205">
        <v>14155.0</v>
      </c>
      <c r="AG434" s="205">
        <v>877.0</v>
      </c>
      <c r="AH434" s="205">
        <v>546.0</v>
      </c>
      <c r="AI434" s="205">
        <v>0.0</v>
      </c>
      <c r="AJ434" s="205">
        <v>2026.0</v>
      </c>
      <c r="AK434" s="205">
        <v>0.0</v>
      </c>
      <c r="AL434" s="205">
        <v>0.0</v>
      </c>
      <c r="AM434" s="205">
        <v>0.0</v>
      </c>
      <c r="AN434" s="205">
        <v>0.0</v>
      </c>
      <c r="AO434" s="208">
        <v>6.02613</v>
      </c>
      <c r="AP434" s="208">
        <v>7.07819</v>
      </c>
      <c r="AQ434" s="208">
        <v>9.65478</v>
      </c>
      <c r="AR434" s="208">
        <v>5.23721</v>
      </c>
      <c r="AT434" s="192" t="s">
        <v>2979</v>
      </c>
      <c r="AU434" s="211" t="s">
        <v>2980</v>
      </c>
      <c r="AV434" s="211" t="s">
        <v>2981</v>
      </c>
      <c r="AW434" s="211" t="s">
        <v>2982</v>
      </c>
      <c r="AX434" s="211" t="s">
        <v>2979</v>
      </c>
      <c r="AY434" s="212">
        <v>2.1</v>
      </c>
      <c r="AZ434" s="213">
        <v>4.75</v>
      </c>
      <c r="BA434" s="213">
        <v>4.5</v>
      </c>
      <c r="BB434" s="213">
        <v>2.5</v>
      </c>
      <c r="BC434" s="212">
        <v>5.460000000000001</v>
      </c>
      <c r="BD434" s="213">
        <v>10.0</v>
      </c>
      <c r="BE434" s="213">
        <v>10.0</v>
      </c>
      <c r="BF434" s="213">
        <v>7.0</v>
      </c>
      <c r="BG434" s="212">
        <v>10.666666666666668</v>
      </c>
      <c r="BH434" s="213">
        <v>10.416666666666666</v>
      </c>
      <c r="BI434" s="213">
        <v>0.001967592591730257</v>
      </c>
      <c r="BJ434" s="213">
        <v>0.002037037037856256</v>
      </c>
      <c r="BK434" s="213">
        <v>300.0</v>
      </c>
      <c r="BL434" s="212">
        <v>7.75</v>
      </c>
      <c r="BM434" s="213">
        <v>6.875</v>
      </c>
      <c r="BN434" s="213">
        <v>0.003935185183460514</v>
      </c>
      <c r="BO434" s="213">
        <v>0.004074074075712512</v>
      </c>
      <c r="BP434" s="213">
        <v>150.0</v>
      </c>
      <c r="BQ434" s="192"/>
      <c r="BR434" s="192"/>
    </row>
    <row r="435">
      <c r="A435" s="60"/>
      <c r="B435" s="205">
        <v>2718270.0</v>
      </c>
      <c r="C435" s="205">
        <v>1299595.0</v>
      </c>
      <c r="D435" s="205">
        <v>1.0</v>
      </c>
      <c r="E435" s="207">
        <v>44148.57585648148</v>
      </c>
      <c r="F435" s="207">
        <v>44470.30755787037</v>
      </c>
      <c r="G435" s="207">
        <v>44459.15715277778</v>
      </c>
      <c r="H435" s="63" t="s">
        <v>988</v>
      </c>
      <c r="I435" s="205">
        <v>180.0</v>
      </c>
      <c r="J435" s="63" t="s">
        <v>2983</v>
      </c>
      <c r="K435" s="205">
        <v>4967662.0</v>
      </c>
      <c r="L435" s="208">
        <v>5.74242</v>
      </c>
      <c r="M435" s="208">
        <v>2.94392</v>
      </c>
      <c r="N435" s="208">
        <v>2.51362</v>
      </c>
      <c r="O435" s="209">
        <v>4.0</v>
      </c>
      <c r="P435" s="209">
        <v>9.3</v>
      </c>
      <c r="Q435" s="209">
        <v>8.7</v>
      </c>
      <c r="R435" s="209">
        <v>5.0</v>
      </c>
      <c r="S435" s="210">
        <v>0.0020370370366435964</v>
      </c>
      <c r="T435" s="63" t="s">
        <v>2984</v>
      </c>
      <c r="U435" s="205">
        <v>5.0</v>
      </c>
      <c r="V435" s="205">
        <v>3.0</v>
      </c>
      <c r="W435" s="63" t="s">
        <v>2985</v>
      </c>
      <c r="X435" s="210">
        <v>0.0021990740751789417</v>
      </c>
      <c r="Y435" s="63" t="s">
        <v>2986</v>
      </c>
      <c r="Z435" s="63" t="s">
        <v>2987</v>
      </c>
      <c r="AA435" s="205">
        <v>0.0</v>
      </c>
      <c r="AB435" s="63" t="s">
        <v>2988</v>
      </c>
      <c r="AC435" s="205">
        <v>408.0</v>
      </c>
      <c r="AD435" s="208">
        <v>9.16443</v>
      </c>
      <c r="AE435" s="205">
        <v>38197.0</v>
      </c>
      <c r="AF435" s="205">
        <v>2730.0</v>
      </c>
      <c r="AG435" s="205">
        <v>533.0</v>
      </c>
      <c r="AH435" s="205">
        <v>372.0</v>
      </c>
      <c r="AI435" s="205">
        <v>0.0</v>
      </c>
      <c r="AJ435" s="205">
        <v>1390.0</v>
      </c>
      <c r="AK435" s="205">
        <v>0.0</v>
      </c>
      <c r="AL435" s="205">
        <v>0.0</v>
      </c>
      <c r="AM435" s="205">
        <v>0.0</v>
      </c>
      <c r="AN435" s="205">
        <v>0.0</v>
      </c>
      <c r="AO435" s="208">
        <v>5.24548</v>
      </c>
      <c r="AP435" s="208">
        <v>6.10693</v>
      </c>
      <c r="AQ435" s="208">
        <v>8.24956</v>
      </c>
      <c r="AR435" s="208">
        <v>4.55034</v>
      </c>
      <c r="AT435" s="192" t="s">
        <v>825</v>
      </c>
      <c r="AU435" s="211" t="s">
        <v>824</v>
      </c>
      <c r="AV435" s="211" t="s">
        <v>2989</v>
      </c>
      <c r="AW435" s="211" t="s">
        <v>2990</v>
      </c>
      <c r="AX435" s="211" t="s">
        <v>825</v>
      </c>
      <c r="AY435" s="212">
        <v>2.0</v>
      </c>
      <c r="AZ435" s="213">
        <v>4.65</v>
      </c>
      <c r="BA435" s="213">
        <v>4.35</v>
      </c>
      <c r="BB435" s="213">
        <v>2.5</v>
      </c>
      <c r="BC435" s="212">
        <v>5.2</v>
      </c>
      <c r="BD435" s="213">
        <v>10.0</v>
      </c>
      <c r="BE435" s="213">
        <v>10.0</v>
      </c>
      <c r="BF435" s="213">
        <v>7.0</v>
      </c>
      <c r="BG435" s="212">
        <v>10.533333333333333</v>
      </c>
      <c r="BH435" s="213">
        <v>10.216666666666667</v>
      </c>
      <c r="BI435" s="213">
        <v>0.001358024691095731</v>
      </c>
      <c r="BJ435" s="213">
        <v>0.0014660493834526278</v>
      </c>
      <c r="BK435" s="213">
        <v>270.0</v>
      </c>
      <c r="BL435" s="212">
        <v>7.450000000000001</v>
      </c>
      <c r="BM435" s="213">
        <v>6.425</v>
      </c>
      <c r="BN435" s="213">
        <v>0.002716049382191462</v>
      </c>
      <c r="BO435" s="213">
        <v>0.0029320987669052556</v>
      </c>
      <c r="BP435" s="213">
        <v>135.0</v>
      </c>
      <c r="BQ435" s="192"/>
      <c r="BR435" s="192"/>
    </row>
    <row r="436">
      <c r="A436" s="60"/>
      <c r="B436" s="205">
        <v>1744385.0</v>
      </c>
      <c r="C436" s="205">
        <v>311328.0</v>
      </c>
      <c r="D436" s="205">
        <v>1.0</v>
      </c>
      <c r="E436" s="207">
        <v>42134.81090277778</v>
      </c>
      <c r="F436" s="207">
        <v>43491.6668287037</v>
      </c>
      <c r="G436" s="207">
        <v>43483.43153935185</v>
      </c>
      <c r="H436" s="63" t="s">
        <v>2991</v>
      </c>
      <c r="I436" s="205">
        <v>183.0</v>
      </c>
      <c r="J436" s="63" t="s">
        <v>2992</v>
      </c>
      <c r="K436" s="205">
        <v>4830261.0</v>
      </c>
      <c r="L436" s="208">
        <v>5.67284</v>
      </c>
      <c r="M436" s="208">
        <v>2.74997</v>
      </c>
      <c r="N436" s="208">
        <v>2.67935</v>
      </c>
      <c r="O436" s="209">
        <v>4.0</v>
      </c>
      <c r="P436" s="209">
        <v>9.3</v>
      </c>
      <c r="Q436" s="209">
        <v>8.5</v>
      </c>
      <c r="R436" s="209">
        <v>6.0</v>
      </c>
      <c r="S436" s="210">
        <v>0.0023842592599976342</v>
      </c>
      <c r="U436" s="205">
        <v>4.0</v>
      </c>
      <c r="V436" s="205">
        <v>3.0</v>
      </c>
      <c r="W436" s="63" t="s">
        <v>2993</v>
      </c>
      <c r="X436" s="210">
        <v>0.0026041666678793263</v>
      </c>
      <c r="Y436" s="63" t="s">
        <v>2994</v>
      </c>
      <c r="Z436" s="63" t="s">
        <v>2995</v>
      </c>
      <c r="AA436" s="205">
        <v>0.0</v>
      </c>
      <c r="AB436" s="63" t="s">
        <v>2996</v>
      </c>
      <c r="AC436" s="205">
        <v>3072.0</v>
      </c>
      <c r="AD436" s="208">
        <v>9.58592</v>
      </c>
      <c r="AE436" s="205">
        <v>1761372.0</v>
      </c>
      <c r="AF436" s="205">
        <v>218493.0</v>
      </c>
      <c r="AG436" s="205">
        <v>578.0</v>
      </c>
      <c r="AH436" s="205">
        <v>342.0</v>
      </c>
      <c r="AI436" s="205">
        <v>1.0</v>
      </c>
      <c r="AJ436" s="205">
        <v>1287.0</v>
      </c>
      <c r="AK436" s="205">
        <v>0.0</v>
      </c>
      <c r="AL436" s="205">
        <v>0.0</v>
      </c>
      <c r="AM436" s="205">
        <v>0.0</v>
      </c>
      <c r="AN436" s="205">
        <v>0.0</v>
      </c>
      <c r="AO436" s="208">
        <v>5.2159</v>
      </c>
      <c r="AP436" s="208">
        <v>6.0276</v>
      </c>
      <c r="AQ436" s="208">
        <v>8.33482</v>
      </c>
      <c r="AR436" s="208">
        <v>4.45426</v>
      </c>
      <c r="AT436" s="192" t="s">
        <v>827</v>
      </c>
      <c r="AU436" s="211" t="s">
        <v>826</v>
      </c>
      <c r="AV436" s="211" t="s">
        <v>2997</v>
      </c>
      <c r="AW436" s="211" t="s">
        <v>2998</v>
      </c>
      <c r="AX436" s="211" t="s">
        <v>827</v>
      </c>
      <c r="AY436" s="212">
        <v>2.0</v>
      </c>
      <c r="AZ436" s="213">
        <v>4.65</v>
      </c>
      <c r="BA436" s="213">
        <v>4.25</v>
      </c>
      <c r="BB436" s="213">
        <v>3.0</v>
      </c>
      <c r="BC436" s="212">
        <v>5.2</v>
      </c>
      <c r="BD436" s="213">
        <v>10.0</v>
      </c>
      <c r="BE436" s="213">
        <v>10.0</v>
      </c>
      <c r="BF436" s="213">
        <v>8.399999999999999</v>
      </c>
      <c r="BG436" s="212">
        <v>10.533333333333333</v>
      </c>
      <c r="BH436" s="213">
        <v>10.083333333333334</v>
      </c>
      <c r="BI436" s="213">
        <v>0.0015895061733317561</v>
      </c>
      <c r="BJ436" s="213">
        <v>0.001736111111919551</v>
      </c>
      <c r="BK436" s="213">
        <v>274.5</v>
      </c>
      <c r="BL436" s="212">
        <v>7.450000000000001</v>
      </c>
      <c r="BM436" s="213">
        <v>6.125</v>
      </c>
      <c r="BN436" s="213">
        <v>0.0031790123466635123</v>
      </c>
      <c r="BO436" s="213">
        <v>0.003472222223839102</v>
      </c>
      <c r="BP436" s="213">
        <v>137.25</v>
      </c>
      <c r="BQ436" s="192"/>
      <c r="BR436" s="192"/>
    </row>
    <row r="437">
      <c r="A437" s="60"/>
      <c r="B437" s="205">
        <v>3186407.0</v>
      </c>
      <c r="C437" s="205">
        <v>1318545.0</v>
      </c>
      <c r="D437" s="205">
        <v>1.0</v>
      </c>
      <c r="E437" s="207">
        <v>44173.20998842592</v>
      </c>
      <c r="F437" s="207">
        <v>44442.906319444446</v>
      </c>
      <c r="G437" s="207">
        <v>44435.87230324074</v>
      </c>
      <c r="H437" s="63" t="s">
        <v>1038</v>
      </c>
      <c r="I437" s="205">
        <v>170.0</v>
      </c>
      <c r="J437" s="63" t="s">
        <v>72</v>
      </c>
      <c r="K437" s="205">
        <v>3087506.0</v>
      </c>
      <c r="L437" s="208">
        <v>5.24735</v>
      </c>
      <c r="M437" s="208">
        <v>2.47584</v>
      </c>
      <c r="N437" s="208">
        <v>2.54611</v>
      </c>
      <c r="O437" s="209">
        <v>3.5</v>
      </c>
      <c r="P437" s="209">
        <v>9.2</v>
      </c>
      <c r="Q437" s="209">
        <v>8.0</v>
      </c>
      <c r="R437" s="209">
        <v>5.0</v>
      </c>
      <c r="S437" s="210">
        <v>0.0025694444448163267</v>
      </c>
      <c r="U437" s="205">
        <v>10.0</v>
      </c>
      <c r="V437" s="205">
        <v>5.0</v>
      </c>
      <c r="W437" s="63" t="s">
        <v>2999</v>
      </c>
      <c r="X437" s="210">
        <v>0.00268518518350902</v>
      </c>
      <c r="Y437" s="63" t="s">
        <v>3000</v>
      </c>
      <c r="Z437" s="63" t="s">
        <v>3001</v>
      </c>
      <c r="AA437" s="205">
        <v>0.0</v>
      </c>
      <c r="AB437" s="63" t="s">
        <v>3002</v>
      </c>
      <c r="AC437" s="205">
        <v>1395.0</v>
      </c>
      <c r="AD437" s="208">
        <v>9.41754</v>
      </c>
      <c r="AE437" s="205">
        <v>269011.0</v>
      </c>
      <c r="AF437" s="205">
        <v>36516.0</v>
      </c>
      <c r="AG437" s="205">
        <v>602.0</v>
      </c>
      <c r="AH437" s="205">
        <v>486.0</v>
      </c>
      <c r="AI437" s="205">
        <v>2.0</v>
      </c>
      <c r="AJ437" s="205">
        <v>1650.0</v>
      </c>
      <c r="AK437" s="205">
        <v>0.0</v>
      </c>
      <c r="AL437" s="205">
        <v>0.0</v>
      </c>
      <c r="AM437" s="205">
        <v>0.0</v>
      </c>
      <c r="AN437" s="205">
        <v>0.0</v>
      </c>
      <c r="AO437" s="208">
        <v>4.86957</v>
      </c>
      <c r="AP437" s="208">
        <v>5.46671</v>
      </c>
      <c r="AQ437" s="208">
        <v>7.60392</v>
      </c>
      <c r="AR437" s="208">
        <v>4.0995</v>
      </c>
      <c r="AT437" s="192" t="s">
        <v>829</v>
      </c>
      <c r="AU437" s="211" t="s">
        <v>828</v>
      </c>
      <c r="AV437" s="211" t="s">
        <v>3003</v>
      </c>
      <c r="AW437" s="211" t="s">
        <v>3004</v>
      </c>
      <c r="AX437" s="211" t="s">
        <v>829</v>
      </c>
      <c r="AY437" s="212">
        <v>1.75</v>
      </c>
      <c r="AZ437" s="213">
        <v>4.6</v>
      </c>
      <c r="BA437" s="213">
        <v>4.0</v>
      </c>
      <c r="BB437" s="213">
        <v>2.5</v>
      </c>
      <c r="BC437" s="212">
        <v>4.55</v>
      </c>
      <c r="BD437" s="213">
        <v>10.0</v>
      </c>
      <c r="BE437" s="213">
        <v>10.0</v>
      </c>
      <c r="BF437" s="213">
        <v>7.0</v>
      </c>
      <c r="BG437" s="212">
        <v>10.466666666666667</v>
      </c>
      <c r="BH437" s="213">
        <v>9.75</v>
      </c>
      <c r="BI437" s="213">
        <v>0.0017129629632108845</v>
      </c>
      <c r="BJ437" s="213">
        <v>0.0017901234556726802</v>
      </c>
      <c r="BK437" s="213">
        <v>255.0</v>
      </c>
      <c r="BL437" s="212">
        <v>7.299999999999999</v>
      </c>
      <c r="BM437" s="213">
        <v>5.375</v>
      </c>
      <c r="BN437" s="213">
        <v>0.003425925926421769</v>
      </c>
      <c r="BO437" s="213">
        <v>0.0035802469113453603</v>
      </c>
      <c r="BP437" s="213">
        <v>127.5</v>
      </c>
      <c r="BQ437" s="192"/>
      <c r="BR437" s="192"/>
    </row>
    <row r="438">
      <c r="A438" s="60"/>
      <c r="B438" s="205">
        <v>243487.0</v>
      </c>
      <c r="C438" s="205">
        <v>85802.0</v>
      </c>
      <c r="D438" s="205">
        <v>1.0</v>
      </c>
      <c r="E438" s="207">
        <v>41363.96172453704</v>
      </c>
      <c r="F438" s="207">
        <v>41600.72373842593</v>
      </c>
      <c r="G438" s="207">
        <v>41600.72152777778</v>
      </c>
      <c r="H438" s="63" t="s">
        <v>3005</v>
      </c>
      <c r="I438" s="205">
        <v>190.0</v>
      </c>
      <c r="J438" s="63" t="s">
        <v>3006</v>
      </c>
      <c r="K438" s="205">
        <v>1635091.0</v>
      </c>
      <c r="L438" s="208">
        <v>5.79535</v>
      </c>
      <c r="M438" s="208">
        <v>2.63921</v>
      </c>
      <c r="N438" s="208">
        <v>2.89468</v>
      </c>
      <c r="O438" s="209">
        <v>4.0</v>
      </c>
      <c r="P438" s="209">
        <v>9.0</v>
      </c>
      <c r="Q438" s="209">
        <v>7.0</v>
      </c>
      <c r="R438" s="209">
        <v>7.0</v>
      </c>
      <c r="S438" s="210">
        <v>0.001284722220589174</v>
      </c>
      <c r="T438" s="63" t="s">
        <v>2451</v>
      </c>
      <c r="U438" s="205">
        <v>2.0</v>
      </c>
      <c r="V438" s="205">
        <v>5.0</v>
      </c>
      <c r="W438" s="63" t="s">
        <v>3007</v>
      </c>
      <c r="X438" s="210">
        <v>0.0013078703705105</v>
      </c>
      <c r="Y438" s="63" t="s">
        <v>1907</v>
      </c>
      <c r="Z438" s="63" t="s">
        <v>3008</v>
      </c>
      <c r="AA438" s="205">
        <v>0.0</v>
      </c>
      <c r="AB438" s="63" t="s">
        <v>3009</v>
      </c>
      <c r="AC438" s="205">
        <v>555.0</v>
      </c>
      <c r="AD438" s="208">
        <v>9.34753</v>
      </c>
      <c r="AE438" s="205">
        <v>885972.0</v>
      </c>
      <c r="AF438" s="205">
        <v>90800.0</v>
      </c>
      <c r="AG438" s="205">
        <v>471.0</v>
      </c>
      <c r="AH438" s="205">
        <v>189.0</v>
      </c>
      <c r="AI438" s="205">
        <v>2.0</v>
      </c>
      <c r="AJ438" s="205">
        <v>991.0</v>
      </c>
      <c r="AK438" s="205">
        <v>0.0</v>
      </c>
      <c r="AL438" s="205">
        <v>0.0</v>
      </c>
      <c r="AM438" s="205">
        <v>0.0</v>
      </c>
      <c r="AN438" s="205">
        <v>0.0</v>
      </c>
      <c r="AO438" s="208">
        <v>5.4019</v>
      </c>
      <c r="AP438" s="208">
        <v>6.02205</v>
      </c>
      <c r="AQ438" s="208">
        <v>8.59397</v>
      </c>
      <c r="AR438" s="208">
        <v>4.57876</v>
      </c>
      <c r="AT438" s="192" t="s">
        <v>832</v>
      </c>
      <c r="AU438" s="211" t="s">
        <v>831</v>
      </c>
      <c r="AV438" s="211" t="s">
        <v>3010</v>
      </c>
      <c r="AW438" s="211" t="s">
        <v>3011</v>
      </c>
      <c r="AX438" s="211" t="s">
        <v>832</v>
      </c>
      <c r="AY438" s="212">
        <v>2.0</v>
      </c>
      <c r="AZ438" s="213">
        <v>4.5</v>
      </c>
      <c r="BA438" s="213">
        <v>3.5</v>
      </c>
      <c r="BB438" s="213">
        <v>3.5</v>
      </c>
      <c r="BC438" s="212">
        <v>5.2</v>
      </c>
      <c r="BD438" s="213">
        <v>10.0</v>
      </c>
      <c r="BE438" s="213">
        <v>9.799999999999999</v>
      </c>
      <c r="BF438" s="213">
        <v>9.799999999999999</v>
      </c>
      <c r="BG438" s="212">
        <v>10.333333333333332</v>
      </c>
      <c r="BH438" s="213">
        <v>9.083333333333334</v>
      </c>
      <c r="BI438" s="213">
        <v>8.564814803927826E-4</v>
      </c>
      <c r="BJ438" s="213">
        <v>8.719135803403333E-4</v>
      </c>
      <c r="BK438" s="213">
        <v>285.0</v>
      </c>
      <c r="BL438" s="212">
        <v>7.0</v>
      </c>
      <c r="BM438" s="213">
        <v>3.875</v>
      </c>
      <c r="BN438" s="213">
        <v>0.0017129629607855652</v>
      </c>
      <c r="BO438" s="213">
        <v>0.0017438271606806666</v>
      </c>
      <c r="BP438" s="213">
        <v>142.5</v>
      </c>
      <c r="BQ438" s="192"/>
      <c r="BR438" s="192"/>
    </row>
    <row r="439">
      <c r="A439" s="60"/>
      <c r="B439" s="205">
        <v>243487.0</v>
      </c>
      <c r="C439" s="205">
        <v>85802.0</v>
      </c>
      <c r="D439" s="205">
        <v>1.0</v>
      </c>
      <c r="E439" s="207">
        <v>41363.96172453704</v>
      </c>
      <c r="F439" s="207">
        <v>41600.72373842593</v>
      </c>
      <c r="G439" s="207">
        <v>41600.72152777778</v>
      </c>
      <c r="H439" s="63" t="s">
        <v>3005</v>
      </c>
      <c r="I439" s="205">
        <v>190.0</v>
      </c>
      <c r="J439" s="63" t="s">
        <v>3006</v>
      </c>
      <c r="K439" s="205">
        <v>1635091.0</v>
      </c>
      <c r="L439" s="208">
        <v>5.79535</v>
      </c>
      <c r="M439" s="208">
        <v>2.63921</v>
      </c>
      <c r="N439" s="208">
        <v>2.89468</v>
      </c>
      <c r="O439" s="209">
        <v>4.0</v>
      </c>
      <c r="P439" s="209">
        <v>9.0</v>
      </c>
      <c r="Q439" s="209">
        <v>7.0</v>
      </c>
      <c r="R439" s="209">
        <v>7.0</v>
      </c>
      <c r="S439" s="210">
        <v>0.001284722220589174</v>
      </c>
      <c r="T439" s="63" t="s">
        <v>2451</v>
      </c>
      <c r="U439" s="205">
        <v>2.0</v>
      </c>
      <c r="V439" s="205">
        <v>5.0</v>
      </c>
      <c r="W439" s="63" t="s">
        <v>3007</v>
      </c>
      <c r="X439" s="210">
        <v>0.0013078703705105</v>
      </c>
      <c r="Y439" s="63" t="s">
        <v>1907</v>
      </c>
      <c r="Z439" s="63" t="s">
        <v>3008</v>
      </c>
      <c r="AA439" s="205">
        <v>0.0</v>
      </c>
      <c r="AB439" s="63" t="s">
        <v>3009</v>
      </c>
      <c r="AC439" s="205">
        <v>555.0</v>
      </c>
      <c r="AD439" s="208">
        <v>9.34753</v>
      </c>
      <c r="AE439" s="205">
        <v>885972.0</v>
      </c>
      <c r="AF439" s="205">
        <v>90800.0</v>
      </c>
      <c r="AG439" s="205">
        <v>471.0</v>
      </c>
      <c r="AH439" s="205">
        <v>189.0</v>
      </c>
      <c r="AI439" s="205">
        <v>2.0</v>
      </c>
      <c r="AJ439" s="205">
        <v>991.0</v>
      </c>
      <c r="AK439" s="205">
        <v>0.0</v>
      </c>
      <c r="AL439" s="205">
        <v>0.0</v>
      </c>
      <c r="AM439" s="205">
        <v>0.0</v>
      </c>
      <c r="AN439" s="205">
        <v>0.0</v>
      </c>
      <c r="AO439" s="208">
        <v>5.4019</v>
      </c>
      <c r="AP439" s="208">
        <v>6.02205</v>
      </c>
      <c r="AQ439" s="208">
        <v>8.59397</v>
      </c>
      <c r="AR439" s="208">
        <v>4.57876</v>
      </c>
      <c r="AT439" s="192" t="s">
        <v>832</v>
      </c>
      <c r="AU439" s="211" t="s">
        <v>831</v>
      </c>
      <c r="AV439" s="211" t="s">
        <v>3010</v>
      </c>
      <c r="AW439" s="211" t="s">
        <v>3011</v>
      </c>
      <c r="AX439" s="211" t="s">
        <v>832</v>
      </c>
      <c r="AY439" s="212">
        <v>2.0</v>
      </c>
      <c r="AZ439" s="213">
        <v>4.5</v>
      </c>
      <c r="BA439" s="213">
        <v>3.5</v>
      </c>
      <c r="BB439" s="213">
        <v>3.5</v>
      </c>
      <c r="BC439" s="212">
        <v>5.2</v>
      </c>
      <c r="BD439" s="213">
        <v>10.0</v>
      </c>
      <c r="BE439" s="213">
        <v>9.799999999999999</v>
      </c>
      <c r="BF439" s="213">
        <v>9.799999999999999</v>
      </c>
      <c r="BG439" s="212">
        <v>10.333333333333332</v>
      </c>
      <c r="BH439" s="213">
        <v>9.083333333333334</v>
      </c>
      <c r="BI439" s="213">
        <v>8.564814803927826E-4</v>
      </c>
      <c r="BJ439" s="213">
        <v>8.719135803403333E-4</v>
      </c>
      <c r="BK439" s="213">
        <v>285.0</v>
      </c>
      <c r="BL439" s="212">
        <v>7.0</v>
      </c>
      <c r="BM439" s="213">
        <v>3.875</v>
      </c>
      <c r="BN439" s="213">
        <v>0.0017129629607855652</v>
      </c>
      <c r="BO439" s="213">
        <v>0.0017438271606806666</v>
      </c>
      <c r="BP439" s="213">
        <v>142.5</v>
      </c>
      <c r="BQ439" s="192"/>
      <c r="BR439" s="192"/>
    </row>
    <row r="440">
      <c r="A440" s="60"/>
      <c r="B440" s="205">
        <v>3614024.0</v>
      </c>
      <c r="C440" s="205">
        <v>1764690.0</v>
      </c>
      <c r="D440" s="205">
        <v>1.0</v>
      </c>
      <c r="E440" s="207">
        <v>44696.800671296296</v>
      </c>
      <c r="F440" s="207">
        <v>44816.82071759259</v>
      </c>
      <c r="G440" s="207">
        <v>44808.16564814815</v>
      </c>
      <c r="H440" s="63" t="s">
        <v>3012</v>
      </c>
      <c r="I440" s="205">
        <v>154.0</v>
      </c>
      <c r="J440" s="63" t="s">
        <v>1147</v>
      </c>
      <c r="K440" s="205">
        <v>9416836.0</v>
      </c>
      <c r="L440" s="208">
        <v>5.08025</v>
      </c>
      <c r="M440" s="208">
        <v>2.3531</v>
      </c>
      <c r="N440" s="208">
        <v>2.50449</v>
      </c>
      <c r="O440" s="209">
        <v>4.4</v>
      </c>
      <c r="P440" s="209">
        <v>7.5</v>
      </c>
      <c r="Q440" s="209">
        <v>7.0</v>
      </c>
      <c r="R440" s="209">
        <v>4.0</v>
      </c>
      <c r="S440" s="210">
        <v>0.0014120370360615198</v>
      </c>
      <c r="U440" s="205">
        <v>10.0</v>
      </c>
      <c r="V440" s="205">
        <v>2.0</v>
      </c>
      <c r="W440" s="63" t="s">
        <v>3013</v>
      </c>
      <c r="X440" s="210">
        <v>0.0014814814821875188</v>
      </c>
      <c r="Y440" s="63" t="s">
        <v>3014</v>
      </c>
      <c r="Z440" s="63" t="s">
        <v>3015</v>
      </c>
      <c r="AA440" s="205">
        <v>0.0</v>
      </c>
      <c r="AB440" s="63" t="s">
        <v>3016</v>
      </c>
      <c r="AC440" s="205">
        <v>116.0</v>
      </c>
      <c r="AD440" s="208">
        <v>8.47872</v>
      </c>
      <c r="AE440" s="205">
        <v>10693.0</v>
      </c>
      <c r="AF440" s="205">
        <v>1390.0</v>
      </c>
      <c r="AG440" s="205">
        <v>241.0</v>
      </c>
      <c r="AH440" s="205">
        <v>182.0</v>
      </c>
      <c r="AI440" s="205">
        <v>1.0</v>
      </c>
      <c r="AJ440" s="205">
        <v>647.0</v>
      </c>
      <c r="AK440" s="205">
        <v>0.0</v>
      </c>
      <c r="AL440" s="205">
        <v>0.0</v>
      </c>
      <c r="AM440" s="205">
        <v>0.0</v>
      </c>
      <c r="AN440" s="205">
        <v>0.0</v>
      </c>
      <c r="AO440" s="208">
        <v>4.54249</v>
      </c>
      <c r="AP440" s="208">
        <v>5.52158</v>
      </c>
      <c r="AQ440" s="208">
        <v>7.32997</v>
      </c>
      <c r="AR440" s="208">
        <v>3.91714</v>
      </c>
      <c r="AT440" s="192" t="s">
        <v>834</v>
      </c>
      <c r="AU440" s="211" t="s">
        <v>833</v>
      </c>
      <c r="AV440" s="211" t="s">
        <v>3017</v>
      </c>
      <c r="AW440" s="211" t="s">
        <v>3018</v>
      </c>
      <c r="AX440" s="211" t="s">
        <v>834</v>
      </c>
      <c r="AY440" s="212">
        <v>2.2</v>
      </c>
      <c r="AZ440" s="213">
        <v>3.75</v>
      </c>
      <c r="BA440" s="213">
        <v>3.5</v>
      </c>
      <c r="BB440" s="213">
        <v>2.0</v>
      </c>
      <c r="BC440" s="212">
        <v>5.720000000000001</v>
      </c>
      <c r="BD440" s="213">
        <v>10.0</v>
      </c>
      <c r="BE440" s="213">
        <v>9.799999999999999</v>
      </c>
      <c r="BF440" s="213">
        <v>5.6</v>
      </c>
      <c r="BG440" s="212">
        <v>9.333333333333332</v>
      </c>
      <c r="BH440" s="213">
        <v>9.083333333333334</v>
      </c>
      <c r="BI440" s="213">
        <v>9.413580240410132E-4</v>
      </c>
      <c r="BJ440" s="213">
        <v>9.87654321458346E-4</v>
      </c>
      <c r="BK440" s="213">
        <v>231.0</v>
      </c>
      <c r="BL440" s="212">
        <v>4.75</v>
      </c>
      <c r="BM440" s="213">
        <v>3.875</v>
      </c>
      <c r="BN440" s="213">
        <v>0.0018827160480820264</v>
      </c>
      <c r="BO440" s="213">
        <v>0.001975308642916692</v>
      </c>
      <c r="BP440" s="213">
        <v>115.5</v>
      </c>
      <c r="BQ440" s="192"/>
      <c r="BR440" s="192"/>
    </row>
    <row r="441">
      <c r="A441" s="60"/>
      <c r="B441" s="205">
        <v>3257641.0</v>
      </c>
      <c r="C441" s="205">
        <v>1536850.0</v>
      </c>
      <c r="D441" s="205">
        <v>1.0</v>
      </c>
      <c r="E441" s="207">
        <v>44409.77342592593</v>
      </c>
      <c r="F441" s="207">
        <v>44597.33547453704</v>
      </c>
      <c r="G441" s="207">
        <v>44586.81966435185</v>
      </c>
      <c r="H441" s="63" t="s">
        <v>3019</v>
      </c>
      <c r="I441" s="205">
        <v>193.0</v>
      </c>
      <c r="J441" s="63" t="s">
        <v>3020</v>
      </c>
      <c r="K441" s="205">
        <v>2166762.0</v>
      </c>
      <c r="L441" s="208">
        <v>4.80033</v>
      </c>
      <c r="M441" s="208">
        <v>2.25715</v>
      </c>
      <c r="N441" s="208">
        <v>2.33642</v>
      </c>
      <c r="O441" s="209">
        <v>5.0</v>
      </c>
      <c r="P441" s="209">
        <v>8.6</v>
      </c>
      <c r="Q441" s="209">
        <v>8.0</v>
      </c>
      <c r="R441" s="209">
        <v>5.0</v>
      </c>
      <c r="S441" s="210">
        <v>0.0014583333322661929</v>
      </c>
      <c r="U441" s="205">
        <v>10.0</v>
      </c>
      <c r="V441" s="205">
        <v>2.0</v>
      </c>
      <c r="W441" s="63" t="s">
        <v>3021</v>
      </c>
      <c r="X441" s="210">
        <v>0.0014814814821875188</v>
      </c>
      <c r="Y441" s="63" t="s">
        <v>3022</v>
      </c>
      <c r="Z441" s="63" t="s">
        <v>3023</v>
      </c>
      <c r="AA441" s="205">
        <v>0.0</v>
      </c>
      <c r="AB441" s="63" t="s">
        <v>3024</v>
      </c>
      <c r="AC441" s="205">
        <v>508.0</v>
      </c>
      <c r="AD441" s="208">
        <v>8.96262</v>
      </c>
      <c r="AE441" s="205">
        <v>36334.0</v>
      </c>
      <c r="AF441" s="205">
        <v>3644.0</v>
      </c>
      <c r="AG441" s="205">
        <v>210.0</v>
      </c>
      <c r="AH441" s="205">
        <v>266.0</v>
      </c>
      <c r="AI441" s="205">
        <v>1.0</v>
      </c>
      <c r="AJ441" s="205">
        <v>897.0</v>
      </c>
      <c r="AK441" s="205">
        <v>0.0</v>
      </c>
      <c r="AL441" s="205">
        <v>0.0</v>
      </c>
      <c r="AM441" s="205">
        <v>0.0</v>
      </c>
      <c r="AN441" s="205">
        <v>0.0</v>
      </c>
      <c r="AO441" s="208">
        <v>4.18182</v>
      </c>
      <c r="AP441" s="208">
        <v>5.37863</v>
      </c>
      <c r="AQ441" s="208">
        <v>7.00643</v>
      </c>
      <c r="AR441" s="208">
        <v>3.80206</v>
      </c>
      <c r="AT441" s="192" t="s">
        <v>836</v>
      </c>
      <c r="AU441" s="211" t="s">
        <v>835</v>
      </c>
      <c r="AV441" s="211" t="s">
        <v>3025</v>
      </c>
      <c r="AW441" s="211" t="s">
        <v>3026</v>
      </c>
      <c r="AX441" s="211" t="s">
        <v>836</v>
      </c>
      <c r="AY441" s="212">
        <v>2.5</v>
      </c>
      <c r="AZ441" s="213">
        <v>4.3</v>
      </c>
      <c r="BA441" s="213">
        <v>4.0</v>
      </c>
      <c r="BB441" s="213">
        <v>2.5</v>
      </c>
      <c r="BC441" s="212">
        <v>6.5</v>
      </c>
      <c r="BD441" s="213">
        <v>10.0</v>
      </c>
      <c r="BE441" s="213">
        <v>10.0</v>
      </c>
      <c r="BF441" s="213">
        <v>7.0</v>
      </c>
      <c r="BG441" s="212">
        <v>10.066666666666666</v>
      </c>
      <c r="BH441" s="213">
        <v>9.75</v>
      </c>
      <c r="BI441" s="213">
        <v>9.722222215107953E-4</v>
      </c>
      <c r="BJ441" s="213">
        <v>9.87654321458346E-4</v>
      </c>
      <c r="BK441" s="213">
        <v>289.5</v>
      </c>
      <c r="BL441" s="212">
        <v>6.4</v>
      </c>
      <c r="BM441" s="213">
        <v>5.375</v>
      </c>
      <c r="BN441" s="213">
        <v>0.0019444444430215906</v>
      </c>
      <c r="BO441" s="213">
        <v>0.001975308642916692</v>
      </c>
      <c r="BP441" s="213">
        <v>144.75</v>
      </c>
      <c r="BQ441" s="192"/>
      <c r="BR441" s="192"/>
    </row>
    <row r="442">
      <c r="A442" s="60"/>
      <c r="B442" s="205">
        <v>3182052.0</v>
      </c>
      <c r="C442" s="205">
        <v>1557716.0</v>
      </c>
      <c r="D442" s="205">
        <v>1.0</v>
      </c>
      <c r="E442" s="207">
        <v>44431.32907407408</v>
      </c>
      <c r="F442" s="207">
        <v>44608.3662037037</v>
      </c>
      <c r="G442" s="207">
        <v>44600.000821759255</v>
      </c>
      <c r="H442" s="63" t="s">
        <v>3027</v>
      </c>
      <c r="I442" s="205">
        <v>128.0</v>
      </c>
      <c r="J442" s="63" t="s">
        <v>3028</v>
      </c>
      <c r="K442" s="205">
        <v>5745865.0</v>
      </c>
      <c r="L442" s="208">
        <v>5.22477</v>
      </c>
      <c r="M442" s="208">
        <v>2.74841</v>
      </c>
      <c r="N442" s="208">
        <v>2.17631</v>
      </c>
      <c r="O442" s="209">
        <v>3.0</v>
      </c>
      <c r="P442" s="209">
        <v>9.1</v>
      </c>
      <c r="Q442" s="209">
        <v>8.1</v>
      </c>
      <c r="R442" s="209">
        <v>6.0</v>
      </c>
      <c r="S442" s="210">
        <v>0.0018402777786832303</v>
      </c>
      <c r="U442" s="205">
        <v>10.0</v>
      </c>
      <c r="V442" s="205">
        <v>2.0</v>
      </c>
      <c r="W442" s="63" t="s">
        <v>3029</v>
      </c>
      <c r="X442" s="210">
        <v>0.0018865740748879034</v>
      </c>
      <c r="Y442" s="63" t="s">
        <v>3030</v>
      </c>
      <c r="Z442" s="63" t="s">
        <v>3031</v>
      </c>
      <c r="AA442" s="205">
        <v>0.0</v>
      </c>
      <c r="AB442" s="63" t="s">
        <v>3032</v>
      </c>
      <c r="AC442" s="205">
        <v>276.0</v>
      </c>
      <c r="AD442" s="208">
        <v>8.90456</v>
      </c>
      <c r="AE442" s="205">
        <v>57745.0</v>
      </c>
      <c r="AF442" s="205">
        <v>10970.0</v>
      </c>
      <c r="AG442" s="205">
        <v>288.0</v>
      </c>
      <c r="AH442" s="205">
        <v>370.0</v>
      </c>
      <c r="AI442" s="205">
        <v>0.0</v>
      </c>
      <c r="AJ442" s="205">
        <v>1146.0</v>
      </c>
      <c r="AK442" s="205">
        <v>0.0</v>
      </c>
      <c r="AL442" s="205">
        <v>0.0</v>
      </c>
      <c r="AM442" s="205">
        <v>0.0</v>
      </c>
      <c r="AN442" s="205">
        <v>0.0</v>
      </c>
      <c r="AO442" s="208">
        <v>4.81868</v>
      </c>
      <c r="AP442" s="208">
        <v>5.55644</v>
      </c>
      <c r="AQ442" s="208">
        <v>7.37592</v>
      </c>
      <c r="AR442" s="208">
        <v>4.09301</v>
      </c>
      <c r="AT442" s="192" t="s">
        <v>838</v>
      </c>
      <c r="AU442" s="211" t="s">
        <v>837</v>
      </c>
      <c r="AV442" s="211" t="s">
        <v>3033</v>
      </c>
      <c r="AW442" s="211" t="s">
        <v>3034</v>
      </c>
      <c r="AX442" s="211" t="s">
        <v>838</v>
      </c>
      <c r="AY442" s="212">
        <v>1.5</v>
      </c>
      <c r="AZ442" s="213">
        <v>4.55</v>
      </c>
      <c r="BA442" s="213">
        <v>4.05</v>
      </c>
      <c r="BB442" s="213">
        <v>3.0</v>
      </c>
      <c r="BC442" s="212">
        <v>3.9000000000000004</v>
      </c>
      <c r="BD442" s="213">
        <v>10.0</v>
      </c>
      <c r="BE442" s="213">
        <v>10.0</v>
      </c>
      <c r="BF442" s="213">
        <v>8.399999999999999</v>
      </c>
      <c r="BG442" s="212">
        <v>10.4</v>
      </c>
      <c r="BH442" s="213">
        <v>9.816666666666665</v>
      </c>
      <c r="BI442" s="213">
        <v>0.0012268518524554868</v>
      </c>
      <c r="BJ442" s="213">
        <v>0.0012577160499252689</v>
      </c>
      <c r="BK442" s="213">
        <v>192.0</v>
      </c>
      <c r="BL442" s="212">
        <v>7.15</v>
      </c>
      <c r="BM442" s="213">
        <v>5.524999999999999</v>
      </c>
      <c r="BN442" s="213">
        <v>0.0024537037049109736</v>
      </c>
      <c r="BO442" s="213">
        <v>0.0025154320998505377</v>
      </c>
      <c r="BP442" s="213">
        <v>96.0</v>
      </c>
      <c r="BQ442" s="192"/>
      <c r="BR442" s="192"/>
    </row>
    <row r="443">
      <c r="A443" s="60"/>
      <c r="B443" s="205">
        <v>3182052.0</v>
      </c>
      <c r="C443" s="205">
        <v>1557716.0</v>
      </c>
      <c r="D443" s="205">
        <v>1.0</v>
      </c>
      <c r="E443" s="207">
        <v>44431.32907407408</v>
      </c>
      <c r="F443" s="207">
        <v>44608.3662037037</v>
      </c>
      <c r="G443" s="207">
        <v>44600.000821759255</v>
      </c>
      <c r="H443" s="63" t="s">
        <v>3027</v>
      </c>
      <c r="I443" s="205">
        <v>128.0</v>
      </c>
      <c r="J443" s="63" t="s">
        <v>3028</v>
      </c>
      <c r="K443" s="205">
        <v>5745865.0</v>
      </c>
      <c r="L443" s="208">
        <v>5.22477</v>
      </c>
      <c r="M443" s="208">
        <v>2.74841</v>
      </c>
      <c r="N443" s="208">
        <v>2.17631</v>
      </c>
      <c r="O443" s="209">
        <v>3.0</v>
      </c>
      <c r="P443" s="209">
        <v>9.1</v>
      </c>
      <c r="Q443" s="209">
        <v>8.1</v>
      </c>
      <c r="R443" s="209">
        <v>6.0</v>
      </c>
      <c r="S443" s="210">
        <v>0.0018402777786832303</v>
      </c>
      <c r="U443" s="205">
        <v>10.0</v>
      </c>
      <c r="V443" s="205">
        <v>2.0</v>
      </c>
      <c r="W443" s="63" t="s">
        <v>3029</v>
      </c>
      <c r="X443" s="210">
        <v>0.0018865740748879034</v>
      </c>
      <c r="Y443" s="63" t="s">
        <v>3030</v>
      </c>
      <c r="Z443" s="63" t="s">
        <v>3031</v>
      </c>
      <c r="AA443" s="205">
        <v>0.0</v>
      </c>
      <c r="AB443" s="63" t="s">
        <v>3032</v>
      </c>
      <c r="AC443" s="205">
        <v>276.0</v>
      </c>
      <c r="AD443" s="208">
        <v>8.90456</v>
      </c>
      <c r="AE443" s="205">
        <v>57745.0</v>
      </c>
      <c r="AF443" s="205">
        <v>10970.0</v>
      </c>
      <c r="AG443" s="205">
        <v>288.0</v>
      </c>
      <c r="AH443" s="205">
        <v>370.0</v>
      </c>
      <c r="AI443" s="205">
        <v>0.0</v>
      </c>
      <c r="AJ443" s="205">
        <v>1146.0</v>
      </c>
      <c r="AK443" s="205">
        <v>0.0</v>
      </c>
      <c r="AL443" s="205">
        <v>0.0</v>
      </c>
      <c r="AM443" s="205">
        <v>0.0</v>
      </c>
      <c r="AN443" s="205">
        <v>0.0</v>
      </c>
      <c r="AO443" s="208">
        <v>4.81868</v>
      </c>
      <c r="AP443" s="208">
        <v>5.55644</v>
      </c>
      <c r="AQ443" s="208">
        <v>7.37592</v>
      </c>
      <c r="AR443" s="208">
        <v>4.09301</v>
      </c>
      <c r="AT443" s="192" t="s">
        <v>838</v>
      </c>
      <c r="AU443" s="211" t="s">
        <v>837</v>
      </c>
      <c r="AV443" s="211" t="s">
        <v>3033</v>
      </c>
      <c r="AW443" s="211" t="s">
        <v>3034</v>
      </c>
      <c r="AX443" s="211" t="s">
        <v>838</v>
      </c>
      <c r="AY443" s="212">
        <v>1.5</v>
      </c>
      <c r="AZ443" s="213">
        <v>4.55</v>
      </c>
      <c r="BA443" s="213">
        <v>4.05</v>
      </c>
      <c r="BB443" s="213">
        <v>3.0</v>
      </c>
      <c r="BC443" s="212">
        <v>3.9000000000000004</v>
      </c>
      <c r="BD443" s="213">
        <v>10.0</v>
      </c>
      <c r="BE443" s="213">
        <v>10.0</v>
      </c>
      <c r="BF443" s="213">
        <v>8.399999999999999</v>
      </c>
      <c r="BG443" s="212">
        <v>10.4</v>
      </c>
      <c r="BH443" s="213">
        <v>9.816666666666665</v>
      </c>
      <c r="BI443" s="213">
        <v>0.0012268518524554868</v>
      </c>
      <c r="BJ443" s="213">
        <v>0.0012577160499252689</v>
      </c>
      <c r="BK443" s="213">
        <v>192.0</v>
      </c>
      <c r="BL443" s="212">
        <v>7.15</v>
      </c>
      <c r="BM443" s="213">
        <v>5.524999999999999</v>
      </c>
      <c r="BN443" s="213">
        <v>0.0024537037049109736</v>
      </c>
      <c r="BO443" s="213">
        <v>0.0025154320998505377</v>
      </c>
      <c r="BP443" s="213">
        <v>96.0</v>
      </c>
      <c r="BQ443" s="192"/>
      <c r="BR443" s="192"/>
    </row>
    <row r="444">
      <c r="A444" s="60"/>
      <c r="B444" s="205">
        <v>3071429.0</v>
      </c>
      <c r="C444" s="205">
        <v>1493511.0</v>
      </c>
      <c r="D444" s="205">
        <v>1.0</v>
      </c>
      <c r="E444" s="207">
        <v>44363.41747685186</v>
      </c>
      <c r="F444" s="207">
        <v>44481.585381944446</v>
      </c>
      <c r="G444" s="207">
        <v>44474.5486574074</v>
      </c>
      <c r="H444" s="63" t="s">
        <v>3035</v>
      </c>
      <c r="I444" s="205">
        <v>158.0</v>
      </c>
      <c r="J444" s="63" t="s">
        <v>3036</v>
      </c>
      <c r="K444" s="205">
        <v>1.5823344E7</v>
      </c>
      <c r="L444" s="208">
        <v>4.04953</v>
      </c>
      <c r="M444" s="208">
        <v>2.03575</v>
      </c>
      <c r="N444" s="208">
        <v>1.82749</v>
      </c>
      <c r="O444" s="209">
        <v>3.6</v>
      </c>
      <c r="P444" s="209">
        <v>8.5</v>
      </c>
      <c r="Q444" s="209">
        <v>7.2</v>
      </c>
      <c r="R444" s="209">
        <v>4.4</v>
      </c>
      <c r="S444" s="210">
        <v>0.0015509259246755391</v>
      </c>
      <c r="U444" s="205">
        <v>4.0</v>
      </c>
      <c r="V444" s="205">
        <v>3.0</v>
      </c>
      <c r="W444" s="63" t="s">
        <v>3037</v>
      </c>
      <c r="X444" s="210">
        <v>0.0016319444439432118</v>
      </c>
      <c r="Y444" s="63" t="s">
        <v>3038</v>
      </c>
      <c r="Z444" s="63" t="s">
        <v>3039</v>
      </c>
      <c r="AA444" s="205">
        <v>0.0</v>
      </c>
      <c r="AB444" s="63" t="s">
        <v>3040</v>
      </c>
      <c r="AC444" s="205">
        <v>1168.0</v>
      </c>
      <c r="AD444" s="208">
        <v>9.33683</v>
      </c>
      <c r="AE444" s="205">
        <v>376804.0</v>
      </c>
      <c r="AF444" s="205">
        <v>92335.0</v>
      </c>
      <c r="AG444" s="205">
        <v>253.0</v>
      </c>
      <c r="AH444" s="205">
        <v>201.0</v>
      </c>
      <c r="AI444" s="205">
        <v>0.0</v>
      </c>
      <c r="AJ444" s="205">
        <v>678.0</v>
      </c>
      <c r="AK444" s="205">
        <v>0.0</v>
      </c>
      <c r="AL444" s="205">
        <v>0.0</v>
      </c>
      <c r="AM444" s="205">
        <v>0.0</v>
      </c>
      <c r="AN444" s="205">
        <v>0.0</v>
      </c>
      <c r="AO444" s="208">
        <v>3.75585</v>
      </c>
      <c r="AP444" s="208">
        <v>4.25142</v>
      </c>
      <c r="AQ444" s="208">
        <v>5.67681</v>
      </c>
      <c r="AR444" s="208">
        <v>3.22625</v>
      </c>
      <c r="AT444" s="192" t="s">
        <v>840</v>
      </c>
      <c r="AU444" s="211" t="s">
        <v>839</v>
      </c>
      <c r="AV444" s="211" t="s">
        <v>3041</v>
      </c>
      <c r="AW444" s="211" t="s">
        <v>3042</v>
      </c>
      <c r="AX444" s="211" t="s">
        <v>840</v>
      </c>
      <c r="AY444" s="212">
        <v>1.8</v>
      </c>
      <c r="AZ444" s="213">
        <v>4.25</v>
      </c>
      <c r="BA444" s="213">
        <v>3.6</v>
      </c>
      <c r="BB444" s="213">
        <v>2.2</v>
      </c>
      <c r="BC444" s="212">
        <v>4.680000000000001</v>
      </c>
      <c r="BD444" s="213">
        <v>10.0</v>
      </c>
      <c r="BE444" s="213">
        <v>10.0</v>
      </c>
      <c r="BF444" s="213">
        <v>6.16</v>
      </c>
      <c r="BG444" s="212">
        <v>10.0</v>
      </c>
      <c r="BH444" s="213">
        <v>9.216666666666667</v>
      </c>
      <c r="BI444" s="213">
        <v>0.0010339506164503594</v>
      </c>
      <c r="BJ444" s="213">
        <v>0.0010879629626288079</v>
      </c>
      <c r="BK444" s="213">
        <v>237.0</v>
      </c>
      <c r="BL444" s="212">
        <v>6.25</v>
      </c>
      <c r="BM444" s="213">
        <v>4.175000000000001</v>
      </c>
      <c r="BN444" s="213">
        <v>0.0020679012329007187</v>
      </c>
      <c r="BO444" s="213">
        <v>0.0021759259252576157</v>
      </c>
      <c r="BP444" s="213">
        <v>118.5</v>
      </c>
      <c r="BQ444" s="192"/>
      <c r="BR444" s="192"/>
    </row>
    <row r="445">
      <c r="A445" s="60"/>
      <c r="B445" s="205">
        <v>3071429.0</v>
      </c>
      <c r="C445" s="205">
        <v>1493511.0</v>
      </c>
      <c r="D445" s="205">
        <v>1.0</v>
      </c>
      <c r="E445" s="207">
        <v>44363.41747685186</v>
      </c>
      <c r="F445" s="207">
        <v>44481.585381944446</v>
      </c>
      <c r="G445" s="207">
        <v>44474.5486574074</v>
      </c>
      <c r="H445" s="63" t="s">
        <v>3035</v>
      </c>
      <c r="I445" s="205">
        <v>158.0</v>
      </c>
      <c r="J445" s="63" t="s">
        <v>3036</v>
      </c>
      <c r="K445" s="205">
        <v>1.5823344E7</v>
      </c>
      <c r="L445" s="208">
        <v>4.04953</v>
      </c>
      <c r="M445" s="208">
        <v>2.03575</v>
      </c>
      <c r="N445" s="208">
        <v>1.82749</v>
      </c>
      <c r="O445" s="209">
        <v>3.6</v>
      </c>
      <c r="P445" s="209">
        <v>8.5</v>
      </c>
      <c r="Q445" s="209">
        <v>7.2</v>
      </c>
      <c r="R445" s="209">
        <v>4.4</v>
      </c>
      <c r="S445" s="210">
        <v>0.0015509259246755391</v>
      </c>
      <c r="U445" s="205">
        <v>4.0</v>
      </c>
      <c r="V445" s="205">
        <v>3.0</v>
      </c>
      <c r="W445" s="63" t="s">
        <v>3037</v>
      </c>
      <c r="X445" s="210">
        <v>0.0016319444439432118</v>
      </c>
      <c r="Y445" s="63" t="s">
        <v>3038</v>
      </c>
      <c r="Z445" s="63" t="s">
        <v>3039</v>
      </c>
      <c r="AA445" s="205">
        <v>0.0</v>
      </c>
      <c r="AB445" s="63" t="s">
        <v>3040</v>
      </c>
      <c r="AC445" s="205">
        <v>1168.0</v>
      </c>
      <c r="AD445" s="208">
        <v>9.33683</v>
      </c>
      <c r="AE445" s="205">
        <v>376804.0</v>
      </c>
      <c r="AF445" s="205">
        <v>92335.0</v>
      </c>
      <c r="AG445" s="205">
        <v>253.0</v>
      </c>
      <c r="AH445" s="205">
        <v>201.0</v>
      </c>
      <c r="AI445" s="205">
        <v>0.0</v>
      </c>
      <c r="AJ445" s="205">
        <v>678.0</v>
      </c>
      <c r="AK445" s="205">
        <v>0.0</v>
      </c>
      <c r="AL445" s="205">
        <v>0.0</v>
      </c>
      <c r="AM445" s="205">
        <v>0.0</v>
      </c>
      <c r="AN445" s="205">
        <v>0.0</v>
      </c>
      <c r="AO445" s="208">
        <v>3.75585</v>
      </c>
      <c r="AP445" s="208">
        <v>4.25142</v>
      </c>
      <c r="AQ445" s="208">
        <v>5.67681</v>
      </c>
      <c r="AR445" s="208">
        <v>3.22625</v>
      </c>
      <c r="AT445" s="192" t="s">
        <v>840</v>
      </c>
      <c r="AU445" s="211" t="s">
        <v>839</v>
      </c>
      <c r="AV445" s="211" t="s">
        <v>3041</v>
      </c>
      <c r="AW445" s="211" t="s">
        <v>3042</v>
      </c>
      <c r="AX445" s="211" t="s">
        <v>840</v>
      </c>
      <c r="AY445" s="212">
        <v>1.8</v>
      </c>
      <c r="AZ445" s="213">
        <v>4.25</v>
      </c>
      <c r="BA445" s="213">
        <v>3.6</v>
      </c>
      <c r="BB445" s="213">
        <v>2.2</v>
      </c>
      <c r="BC445" s="212">
        <v>4.680000000000001</v>
      </c>
      <c r="BD445" s="213">
        <v>10.0</v>
      </c>
      <c r="BE445" s="213">
        <v>10.0</v>
      </c>
      <c r="BF445" s="213">
        <v>6.16</v>
      </c>
      <c r="BG445" s="212">
        <v>10.0</v>
      </c>
      <c r="BH445" s="213">
        <v>9.216666666666667</v>
      </c>
      <c r="BI445" s="213">
        <v>0.0010339506164503594</v>
      </c>
      <c r="BJ445" s="213">
        <v>0.0010879629626288079</v>
      </c>
      <c r="BK445" s="213">
        <v>237.0</v>
      </c>
      <c r="BL445" s="212">
        <v>6.25</v>
      </c>
      <c r="BM445" s="213">
        <v>4.175000000000001</v>
      </c>
      <c r="BN445" s="213">
        <v>0.0020679012329007187</v>
      </c>
      <c r="BO445" s="213">
        <v>0.0021759259252576157</v>
      </c>
      <c r="BP445" s="213">
        <v>118.5</v>
      </c>
      <c r="BQ445" s="192"/>
      <c r="BR445" s="192"/>
    </row>
    <row r="446">
      <c r="A446" s="60"/>
      <c r="B446" s="205">
        <v>1653270.0</v>
      </c>
      <c r="C446" s="205">
        <v>763406.0</v>
      </c>
      <c r="D446" s="205">
        <v>1.0</v>
      </c>
      <c r="E446" s="207">
        <v>43201.29628472222</v>
      </c>
      <c r="F446" s="207">
        <v>43522.09730324074</v>
      </c>
      <c r="G446" s="207">
        <v>43515.08697916666</v>
      </c>
      <c r="H446" s="63" t="s">
        <v>3043</v>
      </c>
      <c r="I446" s="205">
        <v>190.0</v>
      </c>
      <c r="J446" s="63" t="s">
        <v>3044</v>
      </c>
      <c r="K446" s="205">
        <v>2099102.0</v>
      </c>
      <c r="L446" s="208">
        <v>4.01284</v>
      </c>
      <c r="M446" s="208">
        <v>2.02163</v>
      </c>
      <c r="N446" s="208">
        <v>1.80531</v>
      </c>
      <c r="O446" s="209">
        <v>4.0</v>
      </c>
      <c r="P446" s="209">
        <v>8.5</v>
      </c>
      <c r="Q446" s="209">
        <v>7.0</v>
      </c>
      <c r="R446" s="209">
        <v>5.0</v>
      </c>
      <c r="S446" s="210">
        <v>0.002337962963792961</v>
      </c>
      <c r="T446" s="63" t="s">
        <v>3045</v>
      </c>
      <c r="U446" s="205">
        <v>3.0</v>
      </c>
      <c r="V446" s="205">
        <v>3.0</v>
      </c>
      <c r="W446" s="63" t="s">
        <v>3046</v>
      </c>
      <c r="X446" s="210">
        <v>0.0023842592599976342</v>
      </c>
      <c r="Y446" s="63" t="s">
        <v>3047</v>
      </c>
      <c r="Z446" s="63" t="s">
        <v>3048</v>
      </c>
      <c r="AA446" s="205">
        <v>0.0</v>
      </c>
      <c r="AB446" s="63" t="s">
        <v>3049</v>
      </c>
      <c r="AC446" s="205">
        <v>139.0</v>
      </c>
      <c r="AD446" s="208">
        <v>9.35185</v>
      </c>
      <c r="AE446" s="205">
        <v>44370.0</v>
      </c>
      <c r="AF446" s="205">
        <v>9369.0</v>
      </c>
      <c r="AG446" s="205">
        <v>240.0</v>
      </c>
      <c r="AH446" s="205">
        <v>403.0</v>
      </c>
      <c r="AI446" s="205">
        <v>2.0</v>
      </c>
      <c r="AJ446" s="205">
        <v>1159.0</v>
      </c>
      <c r="AK446" s="205">
        <v>0.0</v>
      </c>
      <c r="AL446" s="205">
        <v>0.0</v>
      </c>
      <c r="AM446" s="205">
        <v>0.0</v>
      </c>
      <c r="AN446" s="205">
        <v>0.0</v>
      </c>
      <c r="AO446" s="208">
        <v>3.66465</v>
      </c>
      <c r="AP446" s="208">
        <v>4.26131</v>
      </c>
      <c r="AQ446" s="208">
        <v>5.6432</v>
      </c>
      <c r="AR446" s="208">
        <v>3.20462</v>
      </c>
      <c r="AT446" s="192" t="s">
        <v>842</v>
      </c>
      <c r="AU446" s="211" t="s">
        <v>841</v>
      </c>
      <c r="AV446" s="211" t="s">
        <v>3050</v>
      </c>
      <c r="AW446" s="211" t="s">
        <v>3051</v>
      </c>
      <c r="AX446" s="211" t="s">
        <v>842</v>
      </c>
      <c r="AY446" s="212">
        <v>2.0</v>
      </c>
      <c r="AZ446" s="213">
        <v>4.25</v>
      </c>
      <c r="BA446" s="213">
        <v>3.5</v>
      </c>
      <c r="BB446" s="213">
        <v>2.5</v>
      </c>
      <c r="BC446" s="212">
        <v>5.2</v>
      </c>
      <c r="BD446" s="213">
        <v>10.0</v>
      </c>
      <c r="BE446" s="213">
        <v>9.799999999999999</v>
      </c>
      <c r="BF446" s="213">
        <v>7.0</v>
      </c>
      <c r="BG446" s="212">
        <v>10.0</v>
      </c>
      <c r="BH446" s="213">
        <v>9.083333333333334</v>
      </c>
      <c r="BI446" s="213">
        <v>0.001558641975861974</v>
      </c>
      <c r="BJ446" s="213">
        <v>0.0015895061733317561</v>
      </c>
      <c r="BK446" s="213">
        <v>285.0</v>
      </c>
      <c r="BL446" s="212">
        <v>6.25</v>
      </c>
      <c r="BM446" s="213">
        <v>3.875</v>
      </c>
      <c r="BN446" s="213">
        <v>0.003117283951723948</v>
      </c>
      <c r="BO446" s="213">
        <v>0.0031790123466635123</v>
      </c>
      <c r="BP446" s="213">
        <v>142.5</v>
      </c>
      <c r="BQ446" s="192"/>
      <c r="BR446" s="192"/>
    </row>
    <row r="447">
      <c r="A447" s="60"/>
      <c r="B447" s="205">
        <v>1653270.0</v>
      </c>
      <c r="C447" s="205">
        <v>763406.0</v>
      </c>
      <c r="D447" s="205">
        <v>1.0</v>
      </c>
      <c r="E447" s="207">
        <v>43201.29628472222</v>
      </c>
      <c r="F447" s="207">
        <v>43522.09730324074</v>
      </c>
      <c r="G447" s="207">
        <v>43515.08697916666</v>
      </c>
      <c r="H447" s="63" t="s">
        <v>3043</v>
      </c>
      <c r="I447" s="205">
        <v>190.0</v>
      </c>
      <c r="J447" s="63" t="s">
        <v>3044</v>
      </c>
      <c r="K447" s="205">
        <v>2099102.0</v>
      </c>
      <c r="L447" s="208">
        <v>4.01284</v>
      </c>
      <c r="M447" s="208">
        <v>2.02163</v>
      </c>
      <c r="N447" s="208">
        <v>1.80531</v>
      </c>
      <c r="O447" s="209">
        <v>4.0</v>
      </c>
      <c r="P447" s="209">
        <v>8.5</v>
      </c>
      <c r="Q447" s="209">
        <v>7.0</v>
      </c>
      <c r="R447" s="209">
        <v>5.0</v>
      </c>
      <c r="S447" s="210">
        <v>0.002337962963792961</v>
      </c>
      <c r="T447" s="63" t="s">
        <v>3045</v>
      </c>
      <c r="U447" s="205">
        <v>3.0</v>
      </c>
      <c r="V447" s="205">
        <v>3.0</v>
      </c>
      <c r="W447" s="63" t="s">
        <v>3046</v>
      </c>
      <c r="X447" s="210">
        <v>0.0023842592599976342</v>
      </c>
      <c r="Y447" s="63" t="s">
        <v>3047</v>
      </c>
      <c r="Z447" s="63" t="s">
        <v>3048</v>
      </c>
      <c r="AA447" s="205">
        <v>0.0</v>
      </c>
      <c r="AB447" s="63" t="s">
        <v>3049</v>
      </c>
      <c r="AC447" s="205">
        <v>139.0</v>
      </c>
      <c r="AD447" s="208">
        <v>9.35185</v>
      </c>
      <c r="AE447" s="205">
        <v>44370.0</v>
      </c>
      <c r="AF447" s="205">
        <v>9369.0</v>
      </c>
      <c r="AG447" s="205">
        <v>240.0</v>
      </c>
      <c r="AH447" s="205">
        <v>403.0</v>
      </c>
      <c r="AI447" s="205">
        <v>2.0</v>
      </c>
      <c r="AJ447" s="205">
        <v>1159.0</v>
      </c>
      <c r="AK447" s="205">
        <v>0.0</v>
      </c>
      <c r="AL447" s="205">
        <v>0.0</v>
      </c>
      <c r="AM447" s="205">
        <v>0.0</v>
      </c>
      <c r="AN447" s="205">
        <v>0.0</v>
      </c>
      <c r="AO447" s="208">
        <v>3.66465</v>
      </c>
      <c r="AP447" s="208">
        <v>4.26131</v>
      </c>
      <c r="AQ447" s="208">
        <v>5.6432</v>
      </c>
      <c r="AR447" s="208">
        <v>3.20462</v>
      </c>
      <c r="AT447" s="192" t="s">
        <v>842</v>
      </c>
      <c r="AU447" s="211" t="s">
        <v>841</v>
      </c>
      <c r="AV447" s="211" t="s">
        <v>3050</v>
      </c>
      <c r="AW447" s="211" t="s">
        <v>3051</v>
      </c>
      <c r="AX447" s="211" t="s">
        <v>842</v>
      </c>
      <c r="AY447" s="212">
        <v>2.0</v>
      </c>
      <c r="AZ447" s="213">
        <v>4.25</v>
      </c>
      <c r="BA447" s="213">
        <v>3.5</v>
      </c>
      <c r="BB447" s="213">
        <v>2.5</v>
      </c>
      <c r="BC447" s="212">
        <v>5.2</v>
      </c>
      <c r="BD447" s="213">
        <v>10.0</v>
      </c>
      <c r="BE447" s="213">
        <v>9.799999999999999</v>
      </c>
      <c r="BF447" s="213">
        <v>7.0</v>
      </c>
      <c r="BG447" s="212">
        <v>10.0</v>
      </c>
      <c r="BH447" s="213">
        <v>9.083333333333334</v>
      </c>
      <c r="BI447" s="213">
        <v>0.001558641975861974</v>
      </c>
      <c r="BJ447" s="213">
        <v>0.0015895061733317561</v>
      </c>
      <c r="BK447" s="213">
        <v>285.0</v>
      </c>
      <c r="BL447" s="212">
        <v>6.25</v>
      </c>
      <c r="BM447" s="213">
        <v>3.875</v>
      </c>
      <c r="BN447" s="213">
        <v>0.003117283951723948</v>
      </c>
      <c r="BO447" s="213">
        <v>0.0031790123466635123</v>
      </c>
      <c r="BP447" s="213">
        <v>142.5</v>
      </c>
      <c r="BQ447" s="192"/>
      <c r="BR447" s="192"/>
    </row>
    <row r="448">
      <c r="A448" s="60"/>
      <c r="B448" s="205">
        <v>117424.0</v>
      </c>
      <c r="C448" s="205">
        <v>33651.0</v>
      </c>
      <c r="D448" s="205">
        <v>1.0</v>
      </c>
      <c r="E448" s="207">
        <v>40745.602743055555</v>
      </c>
      <c r="F448" s="207">
        <v>40882.39465277777</v>
      </c>
      <c r="G448" s="207">
        <v>40880.699525462966</v>
      </c>
      <c r="H448" s="63" t="s">
        <v>1653</v>
      </c>
      <c r="I448" s="205">
        <v>174.0</v>
      </c>
      <c r="J448" s="63" t="s">
        <v>3052</v>
      </c>
      <c r="K448" s="205">
        <v>74313.0</v>
      </c>
      <c r="L448" s="208">
        <v>4.90065</v>
      </c>
      <c r="M448" s="208">
        <v>2.40107</v>
      </c>
      <c r="N448" s="208">
        <v>2.28687</v>
      </c>
      <c r="O448" s="209">
        <v>5.0</v>
      </c>
      <c r="P448" s="209">
        <v>8.0</v>
      </c>
      <c r="Q448" s="209">
        <v>7.0</v>
      </c>
      <c r="R448" s="209">
        <v>6.0</v>
      </c>
      <c r="S448" s="210">
        <v>0.0018518518518249039</v>
      </c>
      <c r="T448" s="63" t="s">
        <v>3053</v>
      </c>
      <c r="U448" s="205">
        <v>4.0</v>
      </c>
      <c r="V448" s="205">
        <v>3.0</v>
      </c>
      <c r="W448" s="63" t="s">
        <v>3054</v>
      </c>
      <c r="X448" s="210">
        <v>0.001967592594155576</v>
      </c>
      <c r="Y448" s="63" t="s">
        <v>3055</v>
      </c>
      <c r="Z448" s="63" t="s">
        <v>3056</v>
      </c>
      <c r="AA448" s="205">
        <v>0.0</v>
      </c>
      <c r="AB448" s="63" t="s">
        <v>3057</v>
      </c>
      <c r="AC448" s="205">
        <v>7276.0</v>
      </c>
      <c r="AD448" s="208">
        <v>9.4136</v>
      </c>
      <c r="AE448" s="205">
        <v>2324529.0</v>
      </c>
      <c r="AF448" s="205">
        <v>163589.0</v>
      </c>
      <c r="AG448" s="205">
        <v>365.0</v>
      </c>
      <c r="AH448" s="205">
        <v>267.0</v>
      </c>
      <c r="AI448" s="205">
        <v>1.0</v>
      </c>
      <c r="AJ448" s="205">
        <v>996.0</v>
      </c>
      <c r="AK448" s="205">
        <v>0.0</v>
      </c>
      <c r="AL448" s="205">
        <v>0.0</v>
      </c>
      <c r="AM448" s="205">
        <v>0.0</v>
      </c>
      <c r="AN448" s="205">
        <v>0.0</v>
      </c>
      <c r="AO448" s="208">
        <v>4.38774</v>
      </c>
      <c r="AP448" s="208">
        <v>5.45073</v>
      </c>
      <c r="AQ448" s="208">
        <v>6.96542</v>
      </c>
      <c r="AR448" s="208">
        <v>3.9035</v>
      </c>
      <c r="AT448" s="192" t="s">
        <v>844</v>
      </c>
      <c r="AU448" s="211" t="s">
        <v>843</v>
      </c>
      <c r="AV448" s="211" t="s">
        <v>3058</v>
      </c>
      <c r="AW448" s="211" t="s">
        <v>3059</v>
      </c>
      <c r="AX448" s="211" t="s">
        <v>844</v>
      </c>
      <c r="AY448" s="212">
        <v>2.5</v>
      </c>
      <c r="AZ448" s="213">
        <v>4.0</v>
      </c>
      <c r="BA448" s="213">
        <v>3.5</v>
      </c>
      <c r="BB448" s="213">
        <v>3.0</v>
      </c>
      <c r="BC448" s="212">
        <v>6.5</v>
      </c>
      <c r="BD448" s="213">
        <v>10.0</v>
      </c>
      <c r="BE448" s="213">
        <v>9.799999999999999</v>
      </c>
      <c r="BF448" s="213">
        <v>8.399999999999999</v>
      </c>
      <c r="BG448" s="212">
        <v>9.666666666666668</v>
      </c>
      <c r="BH448" s="213">
        <v>9.083333333333334</v>
      </c>
      <c r="BI448" s="213">
        <v>0.0012345679012166026</v>
      </c>
      <c r="BJ448" s="213">
        <v>0.0013117283961037174</v>
      </c>
      <c r="BK448" s="213">
        <v>261.0</v>
      </c>
      <c r="BL448" s="212">
        <v>5.5</v>
      </c>
      <c r="BM448" s="213">
        <v>3.875</v>
      </c>
      <c r="BN448" s="213">
        <v>0.0024691358024332053</v>
      </c>
      <c r="BO448" s="213">
        <v>0.0026234567922074348</v>
      </c>
      <c r="BP448" s="213">
        <v>130.5</v>
      </c>
      <c r="BQ448" s="192"/>
      <c r="BR448" s="192"/>
    </row>
    <row r="449">
      <c r="A449" s="60"/>
      <c r="B449" s="205">
        <v>117424.0</v>
      </c>
      <c r="C449" s="205">
        <v>33651.0</v>
      </c>
      <c r="D449" s="205">
        <v>1.0</v>
      </c>
      <c r="E449" s="207">
        <v>40745.602743055555</v>
      </c>
      <c r="F449" s="207">
        <v>40882.39465277777</v>
      </c>
      <c r="G449" s="207">
        <v>40880.699525462966</v>
      </c>
      <c r="H449" s="63" t="s">
        <v>1653</v>
      </c>
      <c r="I449" s="205">
        <v>174.0</v>
      </c>
      <c r="J449" s="63" t="s">
        <v>3052</v>
      </c>
      <c r="K449" s="205">
        <v>74313.0</v>
      </c>
      <c r="L449" s="208">
        <v>4.90065</v>
      </c>
      <c r="M449" s="208">
        <v>2.40107</v>
      </c>
      <c r="N449" s="208">
        <v>2.28687</v>
      </c>
      <c r="O449" s="209">
        <v>5.0</v>
      </c>
      <c r="P449" s="209">
        <v>8.0</v>
      </c>
      <c r="Q449" s="209">
        <v>7.0</v>
      </c>
      <c r="R449" s="209">
        <v>6.0</v>
      </c>
      <c r="S449" s="210">
        <v>0.0018518518518249039</v>
      </c>
      <c r="T449" s="63" t="s">
        <v>3053</v>
      </c>
      <c r="U449" s="205">
        <v>4.0</v>
      </c>
      <c r="V449" s="205">
        <v>3.0</v>
      </c>
      <c r="W449" s="63" t="s">
        <v>3054</v>
      </c>
      <c r="X449" s="210">
        <v>0.001967592594155576</v>
      </c>
      <c r="Y449" s="63" t="s">
        <v>3055</v>
      </c>
      <c r="Z449" s="63" t="s">
        <v>3056</v>
      </c>
      <c r="AA449" s="205">
        <v>0.0</v>
      </c>
      <c r="AB449" s="63" t="s">
        <v>3057</v>
      </c>
      <c r="AC449" s="205">
        <v>7276.0</v>
      </c>
      <c r="AD449" s="208">
        <v>9.4136</v>
      </c>
      <c r="AE449" s="205">
        <v>2324529.0</v>
      </c>
      <c r="AF449" s="205">
        <v>163589.0</v>
      </c>
      <c r="AG449" s="205">
        <v>365.0</v>
      </c>
      <c r="AH449" s="205">
        <v>267.0</v>
      </c>
      <c r="AI449" s="205">
        <v>1.0</v>
      </c>
      <c r="AJ449" s="205">
        <v>996.0</v>
      </c>
      <c r="AK449" s="205">
        <v>0.0</v>
      </c>
      <c r="AL449" s="205">
        <v>0.0</v>
      </c>
      <c r="AM449" s="205">
        <v>0.0</v>
      </c>
      <c r="AN449" s="205">
        <v>0.0</v>
      </c>
      <c r="AO449" s="208">
        <v>4.38774</v>
      </c>
      <c r="AP449" s="208">
        <v>5.45073</v>
      </c>
      <c r="AQ449" s="208">
        <v>6.96542</v>
      </c>
      <c r="AR449" s="208">
        <v>3.9035</v>
      </c>
      <c r="AT449" s="192" t="s">
        <v>844</v>
      </c>
      <c r="AU449" s="211" t="s">
        <v>843</v>
      </c>
      <c r="AV449" s="211" t="s">
        <v>3058</v>
      </c>
      <c r="AW449" s="211" t="s">
        <v>3059</v>
      </c>
      <c r="AX449" s="211" t="s">
        <v>844</v>
      </c>
      <c r="AY449" s="212">
        <v>2.5</v>
      </c>
      <c r="AZ449" s="213">
        <v>4.0</v>
      </c>
      <c r="BA449" s="213">
        <v>3.5</v>
      </c>
      <c r="BB449" s="213">
        <v>3.0</v>
      </c>
      <c r="BC449" s="212">
        <v>6.5</v>
      </c>
      <c r="BD449" s="213">
        <v>10.0</v>
      </c>
      <c r="BE449" s="213">
        <v>9.799999999999999</v>
      </c>
      <c r="BF449" s="213">
        <v>8.399999999999999</v>
      </c>
      <c r="BG449" s="212">
        <v>9.666666666666668</v>
      </c>
      <c r="BH449" s="213">
        <v>9.083333333333334</v>
      </c>
      <c r="BI449" s="213">
        <v>0.0012345679012166026</v>
      </c>
      <c r="BJ449" s="213">
        <v>0.0013117283961037174</v>
      </c>
      <c r="BK449" s="213">
        <v>261.0</v>
      </c>
      <c r="BL449" s="212">
        <v>5.5</v>
      </c>
      <c r="BM449" s="213">
        <v>3.875</v>
      </c>
      <c r="BN449" s="213">
        <v>0.0024691358024332053</v>
      </c>
      <c r="BO449" s="213">
        <v>0.0026234567922074348</v>
      </c>
      <c r="BP449" s="213">
        <v>130.5</v>
      </c>
      <c r="BQ449" s="192"/>
      <c r="BR449" s="192"/>
    </row>
    <row r="450">
      <c r="A450" s="60"/>
      <c r="B450" s="205">
        <v>2855311.0</v>
      </c>
      <c r="C450" s="205">
        <v>1312343.0</v>
      </c>
      <c r="D450" s="205">
        <v>1.0</v>
      </c>
      <c r="E450" s="207">
        <v>44164.99570601852</v>
      </c>
      <c r="F450" s="207">
        <v>44609.377013888894</v>
      </c>
      <c r="G450" s="207">
        <v>44594.88712962963</v>
      </c>
      <c r="H450" s="63" t="s">
        <v>3060</v>
      </c>
      <c r="I450" s="205">
        <v>166.0</v>
      </c>
      <c r="J450" s="63" t="s">
        <v>1598</v>
      </c>
      <c r="K450" s="205">
        <v>4420014.0</v>
      </c>
      <c r="L450" s="208">
        <v>3.94331</v>
      </c>
      <c r="M450" s="208">
        <v>1.63482</v>
      </c>
      <c r="N450" s="208">
        <v>2.07839</v>
      </c>
      <c r="O450" s="209">
        <v>3.0</v>
      </c>
      <c r="P450" s="209">
        <v>8.0</v>
      </c>
      <c r="Q450" s="209">
        <v>7.0</v>
      </c>
      <c r="R450" s="209">
        <v>4.0</v>
      </c>
      <c r="S450" s="210">
        <v>0.002465277779265307</v>
      </c>
      <c r="U450" s="205">
        <v>10.0</v>
      </c>
      <c r="V450" s="205">
        <v>3.0</v>
      </c>
      <c r="W450" s="63" t="s">
        <v>3061</v>
      </c>
      <c r="X450" s="210">
        <v>0.0024768518524069805</v>
      </c>
      <c r="Y450" s="63" t="s">
        <v>1443</v>
      </c>
      <c r="Z450" s="63" t="s">
        <v>3062</v>
      </c>
      <c r="AA450" s="205">
        <v>0.0</v>
      </c>
      <c r="AB450" s="63" t="s">
        <v>3063</v>
      </c>
      <c r="AC450" s="205">
        <v>873.0</v>
      </c>
      <c r="AD450" s="208">
        <v>9.55221</v>
      </c>
      <c r="AE450" s="205">
        <v>211789.0</v>
      </c>
      <c r="AF450" s="205">
        <v>61458.0</v>
      </c>
      <c r="AG450" s="205">
        <v>418.0</v>
      </c>
      <c r="AH450" s="205">
        <v>373.0</v>
      </c>
      <c r="AI450" s="205">
        <v>3.0</v>
      </c>
      <c r="AJ450" s="205">
        <v>1490.0</v>
      </c>
      <c r="AK450" s="205">
        <v>0.0</v>
      </c>
      <c r="AL450" s="205">
        <v>0.0</v>
      </c>
      <c r="AM450" s="205">
        <v>0.0</v>
      </c>
      <c r="AN450" s="205">
        <v>0.0</v>
      </c>
      <c r="AO450" s="208">
        <v>3.61503</v>
      </c>
      <c r="AP450" s="208">
        <v>4.02466</v>
      </c>
      <c r="AQ450" s="208">
        <v>5.65377</v>
      </c>
      <c r="AR450" s="208">
        <v>3.12179</v>
      </c>
      <c r="AT450" s="192" t="s">
        <v>846</v>
      </c>
      <c r="AU450" s="211" t="s">
        <v>845</v>
      </c>
      <c r="AV450" s="211" t="s">
        <v>3064</v>
      </c>
      <c r="AW450" s="211" t="s">
        <v>3065</v>
      </c>
      <c r="AX450" s="211" t="s">
        <v>846</v>
      </c>
      <c r="AY450" s="212">
        <v>1.5</v>
      </c>
      <c r="AZ450" s="213">
        <v>4.0</v>
      </c>
      <c r="BA450" s="213">
        <v>3.5</v>
      </c>
      <c r="BB450" s="213">
        <v>2.0</v>
      </c>
      <c r="BC450" s="212">
        <v>3.9000000000000004</v>
      </c>
      <c r="BD450" s="213">
        <v>10.0</v>
      </c>
      <c r="BE450" s="213">
        <v>9.799999999999999</v>
      </c>
      <c r="BF450" s="213">
        <v>5.6</v>
      </c>
      <c r="BG450" s="212">
        <v>9.666666666666668</v>
      </c>
      <c r="BH450" s="213">
        <v>9.083333333333334</v>
      </c>
      <c r="BI450" s="213">
        <v>0.0016435185195102047</v>
      </c>
      <c r="BJ450" s="213">
        <v>0.0016512345682713203</v>
      </c>
      <c r="BK450" s="213">
        <v>249.0</v>
      </c>
      <c r="BL450" s="212">
        <v>5.5</v>
      </c>
      <c r="BM450" s="213">
        <v>3.875</v>
      </c>
      <c r="BN450" s="213">
        <v>0.0032870370390204093</v>
      </c>
      <c r="BO450" s="213">
        <v>0.0033024691365426406</v>
      </c>
      <c r="BP450" s="213">
        <v>124.5</v>
      </c>
      <c r="BQ450" s="192"/>
      <c r="BR450" s="192"/>
    </row>
    <row r="451">
      <c r="A451" s="60"/>
      <c r="B451" s="205">
        <v>2855311.0</v>
      </c>
      <c r="C451" s="205">
        <v>1312343.0</v>
      </c>
      <c r="D451" s="205">
        <v>1.0</v>
      </c>
      <c r="E451" s="207">
        <v>44164.99570601852</v>
      </c>
      <c r="F451" s="207">
        <v>44609.377013888894</v>
      </c>
      <c r="G451" s="207">
        <v>44594.88712962963</v>
      </c>
      <c r="H451" s="63" t="s">
        <v>3060</v>
      </c>
      <c r="I451" s="205">
        <v>166.0</v>
      </c>
      <c r="J451" s="63" t="s">
        <v>1598</v>
      </c>
      <c r="K451" s="205">
        <v>4420014.0</v>
      </c>
      <c r="L451" s="208">
        <v>3.94331</v>
      </c>
      <c r="M451" s="208">
        <v>1.63482</v>
      </c>
      <c r="N451" s="208">
        <v>2.07839</v>
      </c>
      <c r="O451" s="209">
        <v>3.0</v>
      </c>
      <c r="P451" s="209">
        <v>8.0</v>
      </c>
      <c r="Q451" s="209">
        <v>7.0</v>
      </c>
      <c r="R451" s="209">
        <v>4.0</v>
      </c>
      <c r="S451" s="210">
        <v>0.002465277779265307</v>
      </c>
      <c r="U451" s="205">
        <v>10.0</v>
      </c>
      <c r="V451" s="205">
        <v>3.0</v>
      </c>
      <c r="W451" s="63" t="s">
        <v>3061</v>
      </c>
      <c r="X451" s="210">
        <v>0.0024768518524069805</v>
      </c>
      <c r="Y451" s="63" t="s">
        <v>1443</v>
      </c>
      <c r="Z451" s="63" t="s">
        <v>3062</v>
      </c>
      <c r="AA451" s="205">
        <v>0.0</v>
      </c>
      <c r="AB451" s="63" t="s">
        <v>3063</v>
      </c>
      <c r="AC451" s="205">
        <v>873.0</v>
      </c>
      <c r="AD451" s="208">
        <v>9.55221</v>
      </c>
      <c r="AE451" s="205">
        <v>211789.0</v>
      </c>
      <c r="AF451" s="205">
        <v>61458.0</v>
      </c>
      <c r="AG451" s="205">
        <v>418.0</v>
      </c>
      <c r="AH451" s="205">
        <v>373.0</v>
      </c>
      <c r="AI451" s="205">
        <v>3.0</v>
      </c>
      <c r="AJ451" s="205">
        <v>1490.0</v>
      </c>
      <c r="AK451" s="205">
        <v>0.0</v>
      </c>
      <c r="AL451" s="205">
        <v>0.0</v>
      </c>
      <c r="AM451" s="205">
        <v>0.0</v>
      </c>
      <c r="AN451" s="205">
        <v>0.0</v>
      </c>
      <c r="AO451" s="208">
        <v>3.61503</v>
      </c>
      <c r="AP451" s="208">
        <v>4.02466</v>
      </c>
      <c r="AQ451" s="208">
        <v>5.65377</v>
      </c>
      <c r="AR451" s="208">
        <v>3.12179</v>
      </c>
      <c r="AT451" s="192" t="s">
        <v>846</v>
      </c>
      <c r="AU451" s="211" t="s">
        <v>845</v>
      </c>
      <c r="AV451" s="211" t="s">
        <v>3064</v>
      </c>
      <c r="AW451" s="211" t="s">
        <v>3065</v>
      </c>
      <c r="AX451" s="211" t="s">
        <v>846</v>
      </c>
      <c r="AY451" s="212">
        <v>1.5</v>
      </c>
      <c r="AZ451" s="213">
        <v>4.0</v>
      </c>
      <c r="BA451" s="213">
        <v>3.5</v>
      </c>
      <c r="BB451" s="213">
        <v>2.0</v>
      </c>
      <c r="BC451" s="212">
        <v>3.9000000000000004</v>
      </c>
      <c r="BD451" s="213">
        <v>10.0</v>
      </c>
      <c r="BE451" s="213">
        <v>9.799999999999999</v>
      </c>
      <c r="BF451" s="213">
        <v>5.6</v>
      </c>
      <c r="BG451" s="212">
        <v>9.666666666666668</v>
      </c>
      <c r="BH451" s="213">
        <v>9.083333333333334</v>
      </c>
      <c r="BI451" s="213">
        <v>0.0016435185195102047</v>
      </c>
      <c r="BJ451" s="213">
        <v>0.0016512345682713203</v>
      </c>
      <c r="BK451" s="213">
        <v>249.0</v>
      </c>
      <c r="BL451" s="212">
        <v>5.5</v>
      </c>
      <c r="BM451" s="213">
        <v>3.875</v>
      </c>
      <c r="BN451" s="213">
        <v>0.0032870370390204093</v>
      </c>
      <c r="BO451" s="213">
        <v>0.0033024691365426406</v>
      </c>
      <c r="BP451" s="213">
        <v>124.5</v>
      </c>
      <c r="BQ451" s="192"/>
      <c r="BR451" s="192"/>
    </row>
    <row r="452">
      <c r="A452" s="60"/>
      <c r="B452" s="205">
        <v>3883278.0</v>
      </c>
      <c r="C452" s="205">
        <v>1885986.0</v>
      </c>
      <c r="D452" s="205">
        <v>1.0</v>
      </c>
      <c r="E452" s="207">
        <v>44880.744618055556</v>
      </c>
      <c r="F452" s="207">
        <v>44939.59931712963</v>
      </c>
      <c r="G452" s="207">
        <v>44930.31202546296</v>
      </c>
      <c r="H452" s="63" t="s">
        <v>1036</v>
      </c>
      <c r="I452" s="205">
        <v>180.0</v>
      </c>
      <c r="J452" s="63" t="s">
        <v>811</v>
      </c>
      <c r="K452" s="205">
        <v>4485933.0</v>
      </c>
      <c r="L452" s="208">
        <v>5.29251</v>
      </c>
      <c r="M452" s="208">
        <v>2.60897</v>
      </c>
      <c r="N452" s="208">
        <v>2.45162</v>
      </c>
      <c r="O452" s="209">
        <v>3.0</v>
      </c>
      <c r="P452" s="209">
        <v>9.0</v>
      </c>
      <c r="Q452" s="209">
        <v>7.5</v>
      </c>
      <c r="R452" s="209">
        <v>5.5</v>
      </c>
      <c r="S452" s="210">
        <v>0.002025462963501923</v>
      </c>
      <c r="U452" s="205">
        <v>5.0</v>
      </c>
      <c r="V452" s="205">
        <v>3.0</v>
      </c>
      <c r="W452" s="63" t="s">
        <v>3066</v>
      </c>
      <c r="X452" s="210">
        <v>0.002245370371383615</v>
      </c>
      <c r="Y452" s="63" t="s">
        <v>1116</v>
      </c>
      <c r="Z452" s="63" t="s">
        <v>3067</v>
      </c>
      <c r="AA452" s="205">
        <v>0.0</v>
      </c>
      <c r="AB452" s="63" t="s">
        <v>3068</v>
      </c>
      <c r="AC452" s="205">
        <v>149.0</v>
      </c>
      <c r="AD452" s="208">
        <v>9.31193</v>
      </c>
      <c r="AE452" s="205">
        <v>35542.0</v>
      </c>
      <c r="AF452" s="205">
        <v>7236.0</v>
      </c>
      <c r="AG452" s="205">
        <v>397.0</v>
      </c>
      <c r="AH452" s="205">
        <v>217.0</v>
      </c>
      <c r="AI452" s="205">
        <v>14.0</v>
      </c>
      <c r="AJ452" s="205">
        <v>990.0</v>
      </c>
      <c r="AK452" s="205">
        <v>0.0</v>
      </c>
      <c r="AL452" s="205">
        <v>1.0</v>
      </c>
      <c r="AM452" s="205">
        <v>0.0</v>
      </c>
      <c r="AN452" s="205">
        <v>0.0</v>
      </c>
      <c r="AO452" s="208">
        <v>4.88977</v>
      </c>
      <c r="AP452" s="208">
        <v>5.51391</v>
      </c>
      <c r="AQ452" s="208">
        <v>7.58833</v>
      </c>
      <c r="AR452" s="208">
        <v>4.21056</v>
      </c>
      <c r="AT452" s="192" t="s">
        <v>810</v>
      </c>
      <c r="AU452" s="211" t="s">
        <v>847</v>
      </c>
      <c r="AV452" s="211" t="s">
        <v>3069</v>
      </c>
      <c r="AW452" s="211" t="s">
        <v>3070</v>
      </c>
      <c r="AX452" s="211" t="s">
        <v>810</v>
      </c>
      <c r="AY452" s="212">
        <v>1.5</v>
      </c>
      <c r="AZ452" s="213">
        <v>4.5</v>
      </c>
      <c r="BA452" s="213">
        <v>3.75</v>
      </c>
      <c r="BB452" s="213">
        <v>2.75</v>
      </c>
      <c r="BC452" s="212">
        <v>3.9000000000000004</v>
      </c>
      <c r="BD452" s="213">
        <v>10.0</v>
      </c>
      <c r="BE452" s="213">
        <v>10.0</v>
      </c>
      <c r="BF452" s="213">
        <v>7.699999999999999</v>
      </c>
      <c r="BG452" s="212">
        <v>10.333333333333332</v>
      </c>
      <c r="BH452" s="213">
        <v>9.416666666666666</v>
      </c>
      <c r="BI452" s="213">
        <v>0.0013503086423346151</v>
      </c>
      <c r="BJ452" s="213">
        <v>0.00149691358092241</v>
      </c>
      <c r="BK452" s="213">
        <v>270.0</v>
      </c>
      <c r="BL452" s="212">
        <v>7.0</v>
      </c>
      <c r="BM452" s="213">
        <v>4.625</v>
      </c>
      <c r="BN452" s="213">
        <v>0.0027006172846692302</v>
      </c>
      <c r="BO452" s="213">
        <v>0.00299382716184482</v>
      </c>
      <c r="BP452" s="213">
        <v>135.0</v>
      </c>
      <c r="BQ452" s="192"/>
      <c r="BR452" s="192"/>
    </row>
    <row r="453">
      <c r="A453" s="60"/>
      <c r="B453" s="205">
        <v>3883278.0</v>
      </c>
      <c r="C453" s="205">
        <v>1885986.0</v>
      </c>
      <c r="D453" s="205">
        <v>1.0</v>
      </c>
      <c r="E453" s="207">
        <v>44880.744618055556</v>
      </c>
      <c r="F453" s="207">
        <v>44939.59931712963</v>
      </c>
      <c r="G453" s="207">
        <v>44930.31202546296</v>
      </c>
      <c r="H453" s="63" t="s">
        <v>1036</v>
      </c>
      <c r="I453" s="205">
        <v>180.0</v>
      </c>
      <c r="J453" s="63" t="s">
        <v>811</v>
      </c>
      <c r="K453" s="205">
        <v>4485933.0</v>
      </c>
      <c r="L453" s="208">
        <v>5.29251</v>
      </c>
      <c r="M453" s="208">
        <v>2.60897</v>
      </c>
      <c r="N453" s="208">
        <v>2.45162</v>
      </c>
      <c r="O453" s="209">
        <v>3.0</v>
      </c>
      <c r="P453" s="209">
        <v>9.0</v>
      </c>
      <c r="Q453" s="209">
        <v>7.5</v>
      </c>
      <c r="R453" s="209">
        <v>5.5</v>
      </c>
      <c r="S453" s="210">
        <v>0.002025462963501923</v>
      </c>
      <c r="U453" s="205">
        <v>5.0</v>
      </c>
      <c r="V453" s="205">
        <v>3.0</v>
      </c>
      <c r="W453" s="63" t="s">
        <v>3066</v>
      </c>
      <c r="X453" s="210">
        <v>0.002245370371383615</v>
      </c>
      <c r="Y453" s="63" t="s">
        <v>1116</v>
      </c>
      <c r="Z453" s="63" t="s">
        <v>3067</v>
      </c>
      <c r="AA453" s="205">
        <v>0.0</v>
      </c>
      <c r="AB453" s="63" t="s">
        <v>3068</v>
      </c>
      <c r="AC453" s="205">
        <v>149.0</v>
      </c>
      <c r="AD453" s="208">
        <v>9.31193</v>
      </c>
      <c r="AE453" s="205">
        <v>35542.0</v>
      </c>
      <c r="AF453" s="205">
        <v>7236.0</v>
      </c>
      <c r="AG453" s="205">
        <v>397.0</v>
      </c>
      <c r="AH453" s="205">
        <v>217.0</v>
      </c>
      <c r="AI453" s="205">
        <v>14.0</v>
      </c>
      <c r="AJ453" s="205">
        <v>990.0</v>
      </c>
      <c r="AK453" s="205">
        <v>0.0</v>
      </c>
      <c r="AL453" s="205">
        <v>1.0</v>
      </c>
      <c r="AM453" s="205">
        <v>0.0</v>
      </c>
      <c r="AN453" s="205">
        <v>0.0</v>
      </c>
      <c r="AO453" s="208">
        <v>4.88977</v>
      </c>
      <c r="AP453" s="208">
        <v>5.51391</v>
      </c>
      <c r="AQ453" s="208">
        <v>7.58833</v>
      </c>
      <c r="AR453" s="208">
        <v>4.21056</v>
      </c>
      <c r="AT453" s="192" t="s">
        <v>810</v>
      </c>
      <c r="AU453" s="211" t="s">
        <v>847</v>
      </c>
      <c r="AV453" s="211" t="s">
        <v>3069</v>
      </c>
      <c r="AW453" s="211" t="s">
        <v>3070</v>
      </c>
      <c r="AX453" s="211" t="s">
        <v>810</v>
      </c>
      <c r="AY453" s="212">
        <v>1.5</v>
      </c>
      <c r="AZ453" s="213">
        <v>4.5</v>
      </c>
      <c r="BA453" s="213">
        <v>3.75</v>
      </c>
      <c r="BB453" s="213">
        <v>2.75</v>
      </c>
      <c r="BC453" s="212">
        <v>3.9000000000000004</v>
      </c>
      <c r="BD453" s="213">
        <v>10.0</v>
      </c>
      <c r="BE453" s="213">
        <v>10.0</v>
      </c>
      <c r="BF453" s="213">
        <v>7.699999999999999</v>
      </c>
      <c r="BG453" s="212">
        <v>10.333333333333332</v>
      </c>
      <c r="BH453" s="213">
        <v>9.416666666666666</v>
      </c>
      <c r="BI453" s="213">
        <v>0.0013503086423346151</v>
      </c>
      <c r="BJ453" s="213">
        <v>0.00149691358092241</v>
      </c>
      <c r="BK453" s="213">
        <v>270.0</v>
      </c>
      <c r="BL453" s="212">
        <v>7.0</v>
      </c>
      <c r="BM453" s="213">
        <v>4.625</v>
      </c>
      <c r="BN453" s="213">
        <v>0.0027006172846692302</v>
      </c>
      <c r="BO453" s="213">
        <v>0.00299382716184482</v>
      </c>
      <c r="BP453" s="213">
        <v>135.0</v>
      </c>
      <c r="BQ453" s="192"/>
      <c r="BR453" s="192"/>
    </row>
    <row r="454">
      <c r="A454" s="60"/>
      <c r="B454" s="205">
        <v>1592403.0</v>
      </c>
      <c r="C454" s="205">
        <v>749323.0</v>
      </c>
      <c r="D454" s="205">
        <v>1.0</v>
      </c>
      <c r="E454" s="207">
        <v>43174.787569444445</v>
      </c>
      <c r="F454" s="207">
        <v>43411.81947916667</v>
      </c>
      <c r="G454" s="207">
        <v>43408.08726851852</v>
      </c>
      <c r="H454" s="63" t="s">
        <v>1032</v>
      </c>
      <c r="I454" s="205">
        <v>160.0</v>
      </c>
      <c r="J454" s="63" t="s">
        <v>796</v>
      </c>
      <c r="K454" s="205">
        <v>5960077.0</v>
      </c>
      <c r="L454" s="208">
        <v>4.58528</v>
      </c>
      <c r="M454" s="208">
        <v>2.33746</v>
      </c>
      <c r="N454" s="208">
        <v>2.02578</v>
      </c>
      <c r="O454" s="209">
        <v>5.0</v>
      </c>
      <c r="P454" s="209">
        <v>9.0</v>
      </c>
      <c r="Q454" s="209">
        <v>8.0</v>
      </c>
      <c r="R454" s="209">
        <v>4.5</v>
      </c>
      <c r="S454" s="210">
        <v>0.0017592592594155576</v>
      </c>
      <c r="U454" s="205">
        <v>10.0</v>
      </c>
      <c r="V454" s="205">
        <v>5.0</v>
      </c>
      <c r="W454" s="63" t="s">
        <v>3071</v>
      </c>
      <c r="X454" s="210">
        <v>0.002071759259706596</v>
      </c>
      <c r="Y454" s="63" t="s">
        <v>1116</v>
      </c>
      <c r="Z454" s="63" t="s">
        <v>3072</v>
      </c>
      <c r="AA454" s="205">
        <v>0.0</v>
      </c>
      <c r="AB454" s="63" t="s">
        <v>3073</v>
      </c>
      <c r="AC454" s="205">
        <v>189.0</v>
      </c>
      <c r="AD454" s="208">
        <v>9.14489</v>
      </c>
      <c r="AE454" s="205">
        <v>51183.0</v>
      </c>
      <c r="AF454" s="205">
        <v>11223.0</v>
      </c>
      <c r="AG454" s="205">
        <v>181.0</v>
      </c>
      <c r="AH454" s="205">
        <v>250.0</v>
      </c>
      <c r="AI454" s="205">
        <v>1.0</v>
      </c>
      <c r="AJ454" s="205">
        <v>757.0</v>
      </c>
      <c r="AK454" s="205">
        <v>0.0</v>
      </c>
      <c r="AL454" s="205">
        <v>0.0</v>
      </c>
      <c r="AM454" s="205">
        <v>0.0</v>
      </c>
      <c r="AN454" s="205">
        <v>0.0</v>
      </c>
      <c r="AO454" s="208">
        <v>3.9372</v>
      </c>
      <c r="AP454" s="208">
        <v>5.31905</v>
      </c>
      <c r="AQ454" s="208">
        <v>6.39743</v>
      </c>
      <c r="AR454" s="208">
        <v>3.66805</v>
      </c>
      <c r="AT454" s="192" t="s">
        <v>795</v>
      </c>
      <c r="AU454" s="211" t="s">
        <v>848</v>
      </c>
      <c r="AV454" s="211" t="s">
        <v>3074</v>
      </c>
      <c r="AW454" s="211" t="s">
        <v>3075</v>
      </c>
      <c r="AX454" s="211" t="s">
        <v>795</v>
      </c>
      <c r="AY454" s="212">
        <v>2.5</v>
      </c>
      <c r="AZ454" s="213">
        <v>4.5</v>
      </c>
      <c r="BA454" s="213">
        <v>4.0</v>
      </c>
      <c r="BB454" s="213">
        <v>2.25</v>
      </c>
      <c r="BC454" s="212">
        <v>6.5</v>
      </c>
      <c r="BD454" s="213">
        <v>10.0</v>
      </c>
      <c r="BE454" s="213">
        <v>10.0</v>
      </c>
      <c r="BF454" s="213">
        <v>6.3</v>
      </c>
      <c r="BG454" s="212">
        <v>10.333333333333332</v>
      </c>
      <c r="BH454" s="213">
        <v>9.75</v>
      </c>
      <c r="BI454" s="213">
        <v>0.0011728395062770385</v>
      </c>
      <c r="BJ454" s="213">
        <v>0.0013811728398043972</v>
      </c>
      <c r="BK454" s="213">
        <v>240.0</v>
      </c>
      <c r="BL454" s="212">
        <v>7.0</v>
      </c>
      <c r="BM454" s="213">
        <v>5.375</v>
      </c>
      <c r="BN454" s="213">
        <v>0.002345679012554077</v>
      </c>
      <c r="BO454" s="213">
        <v>0.0027623456796087944</v>
      </c>
      <c r="BP454" s="213">
        <v>120.0</v>
      </c>
      <c r="BQ454" s="192"/>
      <c r="BR454" s="192"/>
    </row>
    <row r="455">
      <c r="A455" s="60"/>
      <c r="B455" s="205">
        <v>1592403.0</v>
      </c>
      <c r="C455" s="205">
        <v>749323.0</v>
      </c>
      <c r="D455" s="205">
        <v>1.0</v>
      </c>
      <c r="E455" s="207">
        <v>43174.787569444445</v>
      </c>
      <c r="F455" s="207">
        <v>43411.81947916667</v>
      </c>
      <c r="G455" s="207">
        <v>43408.08726851852</v>
      </c>
      <c r="H455" s="63" t="s">
        <v>1032</v>
      </c>
      <c r="I455" s="205">
        <v>160.0</v>
      </c>
      <c r="J455" s="63" t="s">
        <v>796</v>
      </c>
      <c r="K455" s="205">
        <v>5960077.0</v>
      </c>
      <c r="L455" s="208">
        <v>4.58528</v>
      </c>
      <c r="M455" s="208">
        <v>2.33746</v>
      </c>
      <c r="N455" s="208">
        <v>2.02578</v>
      </c>
      <c r="O455" s="209">
        <v>5.0</v>
      </c>
      <c r="P455" s="209">
        <v>9.0</v>
      </c>
      <c r="Q455" s="209">
        <v>8.0</v>
      </c>
      <c r="R455" s="209">
        <v>4.5</v>
      </c>
      <c r="S455" s="210">
        <v>0.0017592592594155576</v>
      </c>
      <c r="U455" s="205">
        <v>10.0</v>
      </c>
      <c r="V455" s="205">
        <v>5.0</v>
      </c>
      <c r="W455" s="63" t="s">
        <v>3071</v>
      </c>
      <c r="X455" s="210">
        <v>0.002071759259706596</v>
      </c>
      <c r="Y455" s="63" t="s">
        <v>1116</v>
      </c>
      <c r="Z455" s="63" t="s">
        <v>3072</v>
      </c>
      <c r="AA455" s="205">
        <v>0.0</v>
      </c>
      <c r="AB455" s="63" t="s">
        <v>3073</v>
      </c>
      <c r="AC455" s="205">
        <v>189.0</v>
      </c>
      <c r="AD455" s="208">
        <v>9.14489</v>
      </c>
      <c r="AE455" s="205">
        <v>51183.0</v>
      </c>
      <c r="AF455" s="205">
        <v>11223.0</v>
      </c>
      <c r="AG455" s="205">
        <v>181.0</v>
      </c>
      <c r="AH455" s="205">
        <v>250.0</v>
      </c>
      <c r="AI455" s="205">
        <v>1.0</v>
      </c>
      <c r="AJ455" s="205">
        <v>757.0</v>
      </c>
      <c r="AK455" s="205">
        <v>0.0</v>
      </c>
      <c r="AL455" s="205">
        <v>0.0</v>
      </c>
      <c r="AM455" s="205">
        <v>0.0</v>
      </c>
      <c r="AN455" s="205">
        <v>0.0</v>
      </c>
      <c r="AO455" s="208">
        <v>3.9372</v>
      </c>
      <c r="AP455" s="208">
        <v>5.31905</v>
      </c>
      <c r="AQ455" s="208">
        <v>6.39743</v>
      </c>
      <c r="AR455" s="208">
        <v>3.66805</v>
      </c>
      <c r="AT455" s="192" t="s">
        <v>795</v>
      </c>
      <c r="AU455" s="211" t="s">
        <v>848</v>
      </c>
      <c r="AV455" s="211" t="s">
        <v>3074</v>
      </c>
      <c r="AW455" s="211" t="s">
        <v>3075</v>
      </c>
      <c r="AX455" s="211" t="s">
        <v>795</v>
      </c>
      <c r="AY455" s="212">
        <v>2.5</v>
      </c>
      <c r="AZ455" s="213">
        <v>4.5</v>
      </c>
      <c r="BA455" s="213">
        <v>4.0</v>
      </c>
      <c r="BB455" s="213">
        <v>2.25</v>
      </c>
      <c r="BC455" s="212">
        <v>6.5</v>
      </c>
      <c r="BD455" s="213">
        <v>10.0</v>
      </c>
      <c r="BE455" s="213">
        <v>10.0</v>
      </c>
      <c r="BF455" s="213">
        <v>6.3</v>
      </c>
      <c r="BG455" s="212">
        <v>10.333333333333332</v>
      </c>
      <c r="BH455" s="213">
        <v>9.75</v>
      </c>
      <c r="BI455" s="213">
        <v>0.0011728395062770385</v>
      </c>
      <c r="BJ455" s="213">
        <v>0.0013811728398043972</v>
      </c>
      <c r="BK455" s="213">
        <v>240.0</v>
      </c>
      <c r="BL455" s="212">
        <v>7.0</v>
      </c>
      <c r="BM455" s="213">
        <v>5.375</v>
      </c>
      <c r="BN455" s="213">
        <v>0.002345679012554077</v>
      </c>
      <c r="BO455" s="213">
        <v>0.0027623456796087944</v>
      </c>
      <c r="BP455" s="213">
        <v>120.0</v>
      </c>
      <c r="BQ455" s="192"/>
      <c r="BR455" s="192"/>
    </row>
    <row r="456">
      <c r="A456" s="60"/>
      <c r="B456" s="205">
        <v>2111658.0</v>
      </c>
      <c r="C456" s="205">
        <v>1007796.0</v>
      </c>
      <c r="D456" s="205">
        <v>1.0</v>
      </c>
      <c r="E456" s="207">
        <v>43669.18619212963</v>
      </c>
      <c r="F456" s="207">
        <v>43741.69753472222</v>
      </c>
      <c r="G456" s="207">
        <v>43732.29070601852</v>
      </c>
      <c r="H456" s="63" t="s">
        <v>3076</v>
      </c>
      <c r="I456" s="205">
        <v>145.0</v>
      </c>
      <c r="J456" s="63" t="s">
        <v>181</v>
      </c>
      <c r="K456" s="205">
        <v>5052899.0</v>
      </c>
      <c r="L456" s="208">
        <v>4.85532</v>
      </c>
      <c r="M456" s="208">
        <v>2.24703</v>
      </c>
      <c r="N456" s="208">
        <v>2.39523</v>
      </c>
      <c r="O456" s="209">
        <v>5.0</v>
      </c>
      <c r="P456" s="209">
        <v>8.0</v>
      </c>
      <c r="Q456" s="209">
        <v>8.0</v>
      </c>
      <c r="R456" s="209">
        <v>5.0</v>
      </c>
      <c r="S456" s="210">
        <v>0.0013078703705105</v>
      </c>
      <c r="T456" s="63" t="s">
        <v>2451</v>
      </c>
      <c r="U456" s="205">
        <v>2.0</v>
      </c>
      <c r="V456" s="205">
        <v>5.0</v>
      </c>
      <c r="W456" s="63" t="s">
        <v>3077</v>
      </c>
      <c r="X456" s="210">
        <v>0.001331018516793847</v>
      </c>
      <c r="Y456" s="63" t="s">
        <v>1116</v>
      </c>
      <c r="Z456" s="63" t="s">
        <v>3078</v>
      </c>
      <c r="AA456" s="205">
        <v>0.0</v>
      </c>
      <c r="AB456" s="63" t="s">
        <v>3079</v>
      </c>
      <c r="AC456" s="205">
        <v>127.0</v>
      </c>
      <c r="AD456" s="208">
        <v>9.18987</v>
      </c>
      <c r="AE456" s="205">
        <v>106263.0</v>
      </c>
      <c r="AF456" s="205">
        <v>9108.0</v>
      </c>
      <c r="AG456" s="205">
        <v>443.0</v>
      </c>
      <c r="AH456" s="205">
        <v>140.0</v>
      </c>
      <c r="AI456" s="205">
        <v>0.0</v>
      </c>
      <c r="AJ456" s="205">
        <v>769.0</v>
      </c>
      <c r="AK456" s="205">
        <v>0.0</v>
      </c>
      <c r="AL456" s="205">
        <v>0.0</v>
      </c>
      <c r="AM456" s="205">
        <v>0.0</v>
      </c>
      <c r="AN456" s="205">
        <v>0.0</v>
      </c>
      <c r="AO456" s="208">
        <v>4.49724</v>
      </c>
      <c r="AP456" s="208">
        <v>5.44909</v>
      </c>
      <c r="AQ456" s="208">
        <v>6.97606</v>
      </c>
      <c r="AR456" s="208">
        <v>3.77564</v>
      </c>
      <c r="AT456" s="192" t="s">
        <v>852</v>
      </c>
      <c r="AU456" s="211" t="s">
        <v>851</v>
      </c>
      <c r="AV456" s="211" t="s">
        <v>3080</v>
      </c>
      <c r="AW456" s="211" t="s">
        <v>3081</v>
      </c>
      <c r="AX456" s="211" t="s">
        <v>852</v>
      </c>
      <c r="AY456" s="212">
        <v>2.5</v>
      </c>
      <c r="AZ456" s="213">
        <v>4.0</v>
      </c>
      <c r="BA456" s="213">
        <v>4.0</v>
      </c>
      <c r="BB456" s="213">
        <v>2.5</v>
      </c>
      <c r="BC456" s="212">
        <v>6.5</v>
      </c>
      <c r="BD456" s="213">
        <v>10.0</v>
      </c>
      <c r="BE456" s="213">
        <v>10.0</v>
      </c>
      <c r="BF456" s="213">
        <v>7.0</v>
      </c>
      <c r="BG456" s="212">
        <v>9.666666666666668</v>
      </c>
      <c r="BH456" s="213">
        <v>9.75</v>
      </c>
      <c r="BI456" s="213">
        <v>8.719135803403333E-4</v>
      </c>
      <c r="BJ456" s="213">
        <v>8.873456778625647E-4</v>
      </c>
      <c r="BK456" s="213">
        <v>217.5</v>
      </c>
      <c r="BL456" s="212">
        <v>5.5</v>
      </c>
      <c r="BM456" s="213">
        <v>5.375</v>
      </c>
      <c r="BN456" s="213">
        <v>0.0017438271606806666</v>
      </c>
      <c r="BO456" s="213">
        <v>0.0017746913557251294</v>
      </c>
      <c r="BP456" s="213">
        <v>108.75</v>
      </c>
      <c r="BQ456" s="192"/>
      <c r="BR456" s="192"/>
    </row>
    <row r="457">
      <c r="A457" s="60"/>
      <c r="B457" s="205">
        <v>26436.0</v>
      </c>
      <c r="C457" s="205">
        <v>5285.0</v>
      </c>
      <c r="D457" s="205">
        <v>2.0</v>
      </c>
      <c r="E457" s="207">
        <v>39859.86938657407</v>
      </c>
      <c r="F457" s="207">
        <v>39876.90721064815</v>
      </c>
      <c r="G457" s="207">
        <v>39876.59174768518</v>
      </c>
      <c r="H457" s="63" t="s">
        <v>1037</v>
      </c>
      <c r="I457" s="205">
        <v>175.0</v>
      </c>
      <c r="J457" s="63" t="s">
        <v>3082</v>
      </c>
      <c r="K457" s="205">
        <v>6794.0</v>
      </c>
      <c r="L457" s="208">
        <v>4.96396</v>
      </c>
      <c r="M457" s="208">
        <v>2.0772</v>
      </c>
      <c r="N457" s="208">
        <v>2.60561</v>
      </c>
      <c r="O457" s="209">
        <v>5.0</v>
      </c>
      <c r="P457" s="209">
        <v>8.0</v>
      </c>
      <c r="Q457" s="209">
        <v>8.0</v>
      </c>
      <c r="R457" s="209">
        <v>5.0</v>
      </c>
      <c r="S457" s="210">
        <v>0.0012731481474475004</v>
      </c>
      <c r="T457" s="63" t="s">
        <v>1123</v>
      </c>
      <c r="U457" s="205">
        <v>2.0</v>
      </c>
      <c r="V457" s="205">
        <v>3.0</v>
      </c>
      <c r="W457" s="63" t="s">
        <v>3083</v>
      </c>
      <c r="X457" s="210">
        <v>0.0014120370360615198</v>
      </c>
      <c r="Y457" s="63" t="s">
        <v>3084</v>
      </c>
      <c r="Z457" s="63" t="s">
        <v>3085</v>
      </c>
      <c r="AA457" s="205">
        <v>0.0</v>
      </c>
      <c r="AB457" s="63" t="s">
        <v>1123</v>
      </c>
      <c r="AC457" s="205">
        <v>715.0</v>
      </c>
      <c r="AD457" s="208">
        <v>9.26703</v>
      </c>
      <c r="AE457" s="205">
        <v>739066.0</v>
      </c>
      <c r="AF457" s="205">
        <v>104386.0</v>
      </c>
      <c r="AG457" s="205">
        <v>490.0</v>
      </c>
      <c r="AH457" s="205">
        <v>97.0</v>
      </c>
      <c r="AI457" s="205">
        <v>0.0</v>
      </c>
      <c r="AJ457" s="205">
        <v>766.0</v>
      </c>
      <c r="AK457" s="205">
        <v>0.0</v>
      </c>
      <c r="AL457" s="205">
        <v>0.0</v>
      </c>
      <c r="AM457" s="205">
        <v>0.0</v>
      </c>
      <c r="AN457" s="205">
        <v>0.0</v>
      </c>
      <c r="AO457" s="208">
        <v>4.52786</v>
      </c>
      <c r="AP457" s="208">
        <v>5.3859</v>
      </c>
      <c r="AQ457" s="208">
        <v>7.25</v>
      </c>
      <c r="AR457" s="208">
        <v>3.90815</v>
      </c>
      <c r="AT457" s="192" t="s">
        <v>850</v>
      </c>
      <c r="AU457" s="211" t="s">
        <v>849</v>
      </c>
      <c r="AV457" s="211" t="s">
        <v>3086</v>
      </c>
      <c r="AW457" s="211" t="s">
        <v>3087</v>
      </c>
      <c r="AX457" s="211" t="s">
        <v>850</v>
      </c>
      <c r="AY457" s="212">
        <v>2.5</v>
      </c>
      <c r="AZ457" s="213">
        <v>4.0</v>
      </c>
      <c r="BA457" s="213">
        <v>4.0</v>
      </c>
      <c r="BB457" s="213">
        <v>2.5</v>
      </c>
      <c r="BC457" s="212">
        <v>6.5</v>
      </c>
      <c r="BD457" s="213">
        <v>10.0</v>
      </c>
      <c r="BE457" s="213">
        <v>10.0</v>
      </c>
      <c r="BF457" s="213">
        <v>7.0</v>
      </c>
      <c r="BG457" s="212">
        <v>9.666666666666668</v>
      </c>
      <c r="BH457" s="213">
        <v>9.75</v>
      </c>
      <c r="BI457" s="213">
        <v>8.48765431631667E-4</v>
      </c>
      <c r="BJ457" s="213">
        <v>9.413580240410132E-4</v>
      </c>
      <c r="BK457" s="213">
        <v>262.5</v>
      </c>
      <c r="BL457" s="212">
        <v>5.5</v>
      </c>
      <c r="BM457" s="213">
        <v>5.375</v>
      </c>
      <c r="BN457" s="213">
        <v>0.001697530863263334</v>
      </c>
      <c r="BO457" s="213">
        <v>0.0018827160480820264</v>
      </c>
      <c r="BP457" s="213">
        <v>131.25</v>
      </c>
      <c r="BQ457" s="192"/>
      <c r="BR457" s="192"/>
    </row>
    <row r="458">
      <c r="A458" s="60"/>
      <c r="B458" s="205">
        <v>26436.0</v>
      </c>
      <c r="C458" s="205">
        <v>5285.0</v>
      </c>
      <c r="D458" s="205">
        <v>2.0</v>
      </c>
      <c r="E458" s="207">
        <v>39859.86938657407</v>
      </c>
      <c r="F458" s="207">
        <v>39876.90721064815</v>
      </c>
      <c r="G458" s="207">
        <v>39876.59174768518</v>
      </c>
      <c r="H458" s="63" t="s">
        <v>1037</v>
      </c>
      <c r="I458" s="205">
        <v>175.0</v>
      </c>
      <c r="J458" s="63" t="s">
        <v>3082</v>
      </c>
      <c r="K458" s="205">
        <v>6794.0</v>
      </c>
      <c r="L458" s="208">
        <v>4.96396</v>
      </c>
      <c r="M458" s="208">
        <v>2.0772</v>
      </c>
      <c r="N458" s="208">
        <v>2.60561</v>
      </c>
      <c r="O458" s="209">
        <v>5.0</v>
      </c>
      <c r="P458" s="209">
        <v>8.0</v>
      </c>
      <c r="Q458" s="209">
        <v>8.0</v>
      </c>
      <c r="R458" s="209">
        <v>5.0</v>
      </c>
      <c r="S458" s="210">
        <v>0.0012731481474475004</v>
      </c>
      <c r="T458" s="63" t="s">
        <v>1123</v>
      </c>
      <c r="U458" s="205">
        <v>2.0</v>
      </c>
      <c r="V458" s="205">
        <v>3.0</v>
      </c>
      <c r="W458" s="63" t="s">
        <v>3083</v>
      </c>
      <c r="X458" s="210">
        <v>0.0014120370360615198</v>
      </c>
      <c r="Y458" s="63" t="s">
        <v>3084</v>
      </c>
      <c r="Z458" s="63" t="s">
        <v>3085</v>
      </c>
      <c r="AA458" s="205">
        <v>0.0</v>
      </c>
      <c r="AB458" s="63" t="s">
        <v>1123</v>
      </c>
      <c r="AC458" s="205">
        <v>715.0</v>
      </c>
      <c r="AD458" s="208">
        <v>9.26703</v>
      </c>
      <c r="AE458" s="205">
        <v>739066.0</v>
      </c>
      <c r="AF458" s="205">
        <v>104386.0</v>
      </c>
      <c r="AG458" s="205">
        <v>490.0</v>
      </c>
      <c r="AH458" s="205">
        <v>97.0</v>
      </c>
      <c r="AI458" s="205">
        <v>0.0</v>
      </c>
      <c r="AJ458" s="205">
        <v>766.0</v>
      </c>
      <c r="AK458" s="205">
        <v>0.0</v>
      </c>
      <c r="AL458" s="205">
        <v>0.0</v>
      </c>
      <c r="AM458" s="205">
        <v>0.0</v>
      </c>
      <c r="AN458" s="205">
        <v>0.0</v>
      </c>
      <c r="AO458" s="208">
        <v>4.52786</v>
      </c>
      <c r="AP458" s="208">
        <v>5.3859</v>
      </c>
      <c r="AQ458" s="208">
        <v>7.25</v>
      </c>
      <c r="AR458" s="208">
        <v>3.90815</v>
      </c>
      <c r="AT458" s="192" t="s">
        <v>850</v>
      </c>
      <c r="AU458" s="211" t="s">
        <v>849</v>
      </c>
      <c r="AV458" s="211" t="s">
        <v>3086</v>
      </c>
      <c r="AW458" s="211" t="s">
        <v>3087</v>
      </c>
      <c r="AX458" s="211" t="s">
        <v>850</v>
      </c>
      <c r="AY458" s="212">
        <v>2.5</v>
      </c>
      <c r="AZ458" s="213">
        <v>4.0</v>
      </c>
      <c r="BA458" s="213">
        <v>4.0</v>
      </c>
      <c r="BB458" s="213">
        <v>2.5</v>
      </c>
      <c r="BC458" s="212">
        <v>6.5</v>
      </c>
      <c r="BD458" s="213">
        <v>10.0</v>
      </c>
      <c r="BE458" s="213">
        <v>10.0</v>
      </c>
      <c r="BF458" s="213">
        <v>7.0</v>
      </c>
      <c r="BG458" s="212">
        <v>9.666666666666668</v>
      </c>
      <c r="BH458" s="213">
        <v>9.75</v>
      </c>
      <c r="BI458" s="213">
        <v>8.48765431631667E-4</v>
      </c>
      <c r="BJ458" s="213">
        <v>9.413580240410132E-4</v>
      </c>
      <c r="BK458" s="213">
        <v>262.5</v>
      </c>
      <c r="BL458" s="212">
        <v>5.5</v>
      </c>
      <c r="BM458" s="213">
        <v>5.375</v>
      </c>
      <c r="BN458" s="213">
        <v>0.001697530863263334</v>
      </c>
      <c r="BO458" s="213">
        <v>0.0018827160480820264</v>
      </c>
      <c r="BP458" s="213">
        <v>131.25</v>
      </c>
      <c r="BQ458" s="192"/>
      <c r="BR458" s="192"/>
    </row>
    <row r="459">
      <c r="A459" s="60"/>
      <c r="B459" s="205">
        <v>424554.0</v>
      </c>
      <c r="C459" s="205">
        <v>171676.0</v>
      </c>
      <c r="D459" s="205">
        <v>1.0</v>
      </c>
      <c r="E459" s="207">
        <v>41761.53680555556</v>
      </c>
      <c r="F459" s="207">
        <v>41968.764803240745</v>
      </c>
      <c r="G459" s="207">
        <v>41961.757106481484</v>
      </c>
      <c r="H459" s="63" t="s">
        <v>2133</v>
      </c>
      <c r="I459" s="205">
        <v>140.0</v>
      </c>
      <c r="J459" s="63" t="s">
        <v>3088</v>
      </c>
      <c r="K459" s="205">
        <v>1964251.0</v>
      </c>
      <c r="L459" s="208">
        <v>4.65581</v>
      </c>
      <c r="M459" s="208">
        <v>2.22305</v>
      </c>
      <c r="N459" s="208">
        <v>2.23376</v>
      </c>
      <c r="O459" s="209">
        <v>5.0</v>
      </c>
      <c r="P459" s="209">
        <v>8.5</v>
      </c>
      <c r="Q459" s="209">
        <v>7.0</v>
      </c>
      <c r="R459" s="209">
        <v>6.0</v>
      </c>
      <c r="S459" s="210">
        <v>0.0013773148129985202</v>
      </c>
      <c r="T459" s="63" t="s">
        <v>3089</v>
      </c>
      <c r="U459" s="205">
        <v>2.0</v>
      </c>
      <c r="V459" s="205">
        <v>5.0</v>
      </c>
      <c r="W459" s="63" t="s">
        <v>3090</v>
      </c>
      <c r="X459" s="210">
        <v>0.0014583333322661929</v>
      </c>
      <c r="Y459" s="63" t="s">
        <v>3091</v>
      </c>
      <c r="Z459" s="63" t="s">
        <v>3092</v>
      </c>
      <c r="AA459" s="205">
        <v>0.0</v>
      </c>
      <c r="AB459" s="63" t="s">
        <v>3093</v>
      </c>
      <c r="AC459" s="205">
        <v>115.0</v>
      </c>
      <c r="AD459" s="208">
        <v>9.45124</v>
      </c>
      <c r="AE459" s="205">
        <v>89904.0</v>
      </c>
      <c r="AF459" s="205">
        <v>18862.0</v>
      </c>
      <c r="AG459" s="205">
        <v>358.0</v>
      </c>
      <c r="AH459" s="205">
        <v>160.0</v>
      </c>
      <c r="AI459" s="205">
        <v>1.0</v>
      </c>
      <c r="AJ459" s="205">
        <v>719.0</v>
      </c>
      <c r="AK459" s="205">
        <v>0.0</v>
      </c>
      <c r="AL459" s="205">
        <v>0.0</v>
      </c>
      <c r="AM459" s="205">
        <v>0.0</v>
      </c>
      <c r="AN459" s="205">
        <v>0.0</v>
      </c>
      <c r="AO459" s="208">
        <v>4.26848</v>
      </c>
      <c r="AP459" s="208">
        <v>5.23524</v>
      </c>
      <c r="AQ459" s="208">
        <v>6.45846</v>
      </c>
      <c r="AR459" s="208">
        <v>3.70261</v>
      </c>
      <c r="AT459" s="192" t="s">
        <v>854</v>
      </c>
      <c r="AU459" s="211" t="s">
        <v>853</v>
      </c>
      <c r="AV459" s="211" t="s">
        <v>3094</v>
      </c>
      <c r="AW459" s="211" t="s">
        <v>3095</v>
      </c>
      <c r="AX459" s="211" t="s">
        <v>854</v>
      </c>
      <c r="AY459" s="212">
        <v>2.5</v>
      </c>
      <c r="AZ459" s="213">
        <v>4.25</v>
      </c>
      <c r="BA459" s="213">
        <v>3.5</v>
      </c>
      <c r="BB459" s="213">
        <v>3.0</v>
      </c>
      <c r="BC459" s="212">
        <v>6.5</v>
      </c>
      <c r="BD459" s="213">
        <v>10.0</v>
      </c>
      <c r="BE459" s="213">
        <v>9.799999999999999</v>
      </c>
      <c r="BF459" s="213">
        <v>8.399999999999999</v>
      </c>
      <c r="BG459" s="212">
        <v>10.0</v>
      </c>
      <c r="BH459" s="213">
        <v>9.083333333333334</v>
      </c>
      <c r="BI459" s="213">
        <v>9.182098753323468E-4</v>
      </c>
      <c r="BJ459" s="213">
        <v>9.722222215107953E-4</v>
      </c>
      <c r="BK459" s="213">
        <v>210.0</v>
      </c>
      <c r="BL459" s="212">
        <v>6.25</v>
      </c>
      <c r="BM459" s="213">
        <v>3.875</v>
      </c>
      <c r="BN459" s="213">
        <v>0.0018364197506646935</v>
      </c>
      <c r="BO459" s="213">
        <v>0.0019444444430215906</v>
      </c>
      <c r="BP459" s="213">
        <v>105.0</v>
      </c>
      <c r="BQ459" s="192"/>
      <c r="BR459" s="192"/>
    </row>
    <row r="460">
      <c r="A460" s="60"/>
      <c r="B460" s="205">
        <v>2559136.0</v>
      </c>
      <c r="C460" s="205">
        <v>1225001.0</v>
      </c>
      <c r="D460" s="205">
        <v>1.0</v>
      </c>
      <c r="E460" s="207">
        <v>44042.10425925926</v>
      </c>
      <c r="F460" s="207">
        <v>44152.87726851852</v>
      </c>
      <c r="G460" s="207">
        <v>44145.10438657408</v>
      </c>
      <c r="H460" s="63" t="s">
        <v>958</v>
      </c>
      <c r="I460" s="205">
        <v>170.0</v>
      </c>
      <c r="J460" s="63" t="s">
        <v>169</v>
      </c>
      <c r="K460" s="205">
        <v>197805.0</v>
      </c>
      <c r="L460" s="208">
        <v>4.89965</v>
      </c>
      <c r="M460" s="208">
        <v>2.33642</v>
      </c>
      <c r="N460" s="208">
        <v>2.35376</v>
      </c>
      <c r="O460" s="209">
        <v>5.0</v>
      </c>
      <c r="P460" s="209">
        <v>9.2</v>
      </c>
      <c r="Q460" s="209">
        <v>8.0</v>
      </c>
      <c r="R460" s="209">
        <v>6.0</v>
      </c>
      <c r="S460" s="210">
        <v>0.002337962963792961</v>
      </c>
      <c r="U460" s="205">
        <v>10.0</v>
      </c>
      <c r="V460" s="205">
        <v>5.0</v>
      </c>
      <c r="W460" s="63" t="s">
        <v>3096</v>
      </c>
      <c r="X460" s="210">
        <v>0.0024189814830606338</v>
      </c>
      <c r="Y460" s="63" t="s">
        <v>3097</v>
      </c>
      <c r="Z460" s="63" t="s">
        <v>3098</v>
      </c>
      <c r="AA460" s="205">
        <v>0.0</v>
      </c>
      <c r="AB460" s="63" t="s">
        <v>3099</v>
      </c>
      <c r="AC460" s="205">
        <v>109.0</v>
      </c>
      <c r="AD460" s="208">
        <v>9.2392</v>
      </c>
      <c r="AE460" s="205">
        <v>47413.0</v>
      </c>
      <c r="AF460" s="205">
        <v>10287.0</v>
      </c>
      <c r="AG460" s="205">
        <v>240.0</v>
      </c>
      <c r="AH460" s="205">
        <v>356.0</v>
      </c>
      <c r="AI460" s="205">
        <v>0.0</v>
      </c>
      <c r="AJ460" s="205">
        <v>1105.0</v>
      </c>
      <c r="AK460" s="205">
        <v>0.0</v>
      </c>
      <c r="AL460" s="205">
        <v>0.0</v>
      </c>
      <c r="AM460" s="205">
        <v>0.0</v>
      </c>
      <c r="AN460" s="205">
        <v>0.0</v>
      </c>
      <c r="AO460" s="208">
        <v>4.44466</v>
      </c>
      <c r="AP460" s="208">
        <v>5.42466</v>
      </c>
      <c r="AQ460" s="208">
        <v>6.83709</v>
      </c>
      <c r="AR460" s="208">
        <v>3.9182</v>
      </c>
      <c r="AT460" s="192" t="s">
        <v>856</v>
      </c>
      <c r="AU460" s="211" t="s">
        <v>855</v>
      </c>
      <c r="AV460" s="211" t="s">
        <v>3100</v>
      </c>
      <c r="AW460" s="211" t="s">
        <v>3101</v>
      </c>
      <c r="AX460" s="211" t="s">
        <v>856</v>
      </c>
      <c r="AY460" s="212">
        <v>2.5</v>
      </c>
      <c r="AZ460" s="213">
        <v>4.6</v>
      </c>
      <c r="BA460" s="213">
        <v>4.0</v>
      </c>
      <c r="BB460" s="213">
        <v>3.0</v>
      </c>
      <c r="BC460" s="212">
        <v>6.5</v>
      </c>
      <c r="BD460" s="213">
        <v>10.0</v>
      </c>
      <c r="BE460" s="213">
        <v>10.0</v>
      </c>
      <c r="BF460" s="213">
        <v>8.399999999999999</v>
      </c>
      <c r="BG460" s="212">
        <v>10.466666666666667</v>
      </c>
      <c r="BH460" s="213">
        <v>9.75</v>
      </c>
      <c r="BI460" s="213">
        <v>0.001558641975861974</v>
      </c>
      <c r="BJ460" s="213">
        <v>0.0016126543220404226</v>
      </c>
      <c r="BK460" s="213">
        <v>255.0</v>
      </c>
      <c r="BL460" s="212">
        <v>7.299999999999999</v>
      </c>
      <c r="BM460" s="213">
        <v>5.375</v>
      </c>
      <c r="BN460" s="213">
        <v>0.003117283951723948</v>
      </c>
      <c r="BO460" s="213">
        <v>0.003225308644080845</v>
      </c>
      <c r="BP460" s="213">
        <v>127.5</v>
      </c>
      <c r="BQ460" s="192"/>
      <c r="BR460" s="192"/>
    </row>
    <row r="461">
      <c r="A461" s="60"/>
      <c r="B461" s="205">
        <v>2559136.0</v>
      </c>
      <c r="C461" s="205">
        <v>1225001.0</v>
      </c>
      <c r="D461" s="205">
        <v>1.0</v>
      </c>
      <c r="E461" s="207">
        <v>44042.10425925926</v>
      </c>
      <c r="F461" s="207">
        <v>44152.87726851852</v>
      </c>
      <c r="G461" s="207">
        <v>44145.10438657408</v>
      </c>
      <c r="H461" s="63" t="s">
        <v>958</v>
      </c>
      <c r="I461" s="205">
        <v>170.0</v>
      </c>
      <c r="J461" s="63" t="s">
        <v>169</v>
      </c>
      <c r="K461" s="205">
        <v>197805.0</v>
      </c>
      <c r="L461" s="208">
        <v>4.89965</v>
      </c>
      <c r="M461" s="208">
        <v>2.33642</v>
      </c>
      <c r="N461" s="208">
        <v>2.35376</v>
      </c>
      <c r="O461" s="209">
        <v>5.0</v>
      </c>
      <c r="P461" s="209">
        <v>9.2</v>
      </c>
      <c r="Q461" s="209">
        <v>8.0</v>
      </c>
      <c r="R461" s="209">
        <v>6.0</v>
      </c>
      <c r="S461" s="210">
        <v>0.002337962963792961</v>
      </c>
      <c r="U461" s="205">
        <v>10.0</v>
      </c>
      <c r="V461" s="205">
        <v>5.0</v>
      </c>
      <c r="W461" s="63" t="s">
        <v>3096</v>
      </c>
      <c r="X461" s="210">
        <v>0.0024189814830606338</v>
      </c>
      <c r="Y461" s="63" t="s">
        <v>3097</v>
      </c>
      <c r="Z461" s="63" t="s">
        <v>3098</v>
      </c>
      <c r="AA461" s="205">
        <v>0.0</v>
      </c>
      <c r="AB461" s="63" t="s">
        <v>3099</v>
      </c>
      <c r="AC461" s="205">
        <v>109.0</v>
      </c>
      <c r="AD461" s="208">
        <v>9.2392</v>
      </c>
      <c r="AE461" s="205">
        <v>47413.0</v>
      </c>
      <c r="AF461" s="205">
        <v>10287.0</v>
      </c>
      <c r="AG461" s="205">
        <v>240.0</v>
      </c>
      <c r="AH461" s="205">
        <v>356.0</v>
      </c>
      <c r="AI461" s="205">
        <v>0.0</v>
      </c>
      <c r="AJ461" s="205">
        <v>1105.0</v>
      </c>
      <c r="AK461" s="205">
        <v>0.0</v>
      </c>
      <c r="AL461" s="205">
        <v>0.0</v>
      </c>
      <c r="AM461" s="205">
        <v>0.0</v>
      </c>
      <c r="AN461" s="205">
        <v>0.0</v>
      </c>
      <c r="AO461" s="208">
        <v>4.44466</v>
      </c>
      <c r="AP461" s="208">
        <v>5.42466</v>
      </c>
      <c r="AQ461" s="208">
        <v>6.83709</v>
      </c>
      <c r="AR461" s="208">
        <v>3.9182</v>
      </c>
      <c r="AT461" s="192" t="s">
        <v>856</v>
      </c>
      <c r="AU461" s="211" t="s">
        <v>855</v>
      </c>
      <c r="AV461" s="211" t="s">
        <v>3100</v>
      </c>
      <c r="AW461" s="211" t="s">
        <v>3101</v>
      </c>
      <c r="AX461" s="211" t="s">
        <v>856</v>
      </c>
      <c r="AY461" s="212">
        <v>2.5</v>
      </c>
      <c r="AZ461" s="213">
        <v>4.6</v>
      </c>
      <c r="BA461" s="213">
        <v>4.0</v>
      </c>
      <c r="BB461" s="213">
        <v>3.0</v>
      </c>
      <c r="BC461" s="212">
        <v>6.5</v>
      </c>
      <c r="BD461" s="213">
        <v>10.0</v>
      </c>
      <c r="BE461" s="213">
        <v>10.0</v>
      </c>
      <c r="BF461" s="213">
        <v>8.399999999999999</v>
      </c>
      <c r="BG461" s="212">
        <v>10.466666666666667</v>
      </c>
      <c r="BH461" s="213">
        <v>9.75</v>
      </c>
      <c r="BI461" s="213">
        <v>0.001558641975861974</v>
      </c>
      <c r="BJ461" s="213">
        <v>0.0016126543220404226</v>
      </c>
      <c r="BK461" s="213">
        <v>255.0</v>
      </c>
      <c r="BL461" s="212">
        <v>7.299999999999999</v>
      </c>
      <c r="BM461" s="213">
        <v>5.375</v>
      </c>
      <c r="BN461" s="213">
        <v>0.003117283951723948</v>
      </c>
      <c r="BO461" s="213">
        <v>0.003225308644080845</v>
      </c>
      <c r="BP461" s="213">
        <v>127.5</v>
      </c>
      <c r="BQ461" s="192"/>
      <c r="BR461" s="192"/>
    </row>
    <row r="462">
      <c r="A462" s="60"/>
      <c r="B462" s="205">
        <v>2792506.0</v>
      </c>
      <c r="C462" s="205">
        <v>1321446.0</v>
      </c>
      <c r="D462" s="205">
        <v>-2.0</v>
      </c>
      <c r="E462" s="207">
        <v>44177.28733796296</v>
      </c>
      <c r="F462" s="215"/>
      <c r="G462" s="207">
        <v>44877.62671296296</v>
      </c>
      <c r="H462" s="63" t="s">
        <v>1024</v>
      </c>
      <c r="I462" s="205">
        <v>175.0</v>
      </c>
      <c r="J462" s="63" t="s">
        <v>2038</v>
      </c>
      <c r="K462" s="205">
        <v>2286528.0</v>
      </c>
      <c r="L462" s="208">
        <v>5.67773</v>
      </c>
      <c r="M462" s="208">
        <v>2.86009</v>
      </c>
      <c r="N462" s="208">
        <v>2.55489</v>
      </c>
      <c r="O462" s="209">
        <v>4.2</v>
      </c>
      <c r="P462" s="209">
        <v>9.3</v>
      </c>
      <c r="Q462" s="209">
        <v>8.0</v>
      </c>
      <c r="R462" s="209">
        <v>5.5</v>
      </c>
      <c r="S462" s="210">
        <v>0.002905092591390712</v>
      </c>
      <c r="T462" s="63" t="s">
        <v>3102</v>
      </c>
      <c r="U462" s="205">
        <v>10.0</v>
      </c>
      <c r="V462" s="205">
        <v>3.0</v>
      </c>
      <c r="W462" s="63" t="s">
        <v>3103</v>
      </c>
      <c r="X462" s="210">
        <v>0.0031134259261307307</v>
      </c>
      <c r="Y462" s="63" t="s">
        <v>3104</v>
      </c>
      <c r="Z462" s="63" t="s">
        <v>3105</v>
      </c>
      <c r="AA462" s="205">
        <v>0.0</v>
      </c>
      <c r="AB462" s="63" t="s">
        <v>3106</v>
      </c>
      <c r="AC462" s="205">
        <v>72.0</v>
      </c>
      <c r="AD462" s="208">
        <v>0.0</v>
      </c>
      <c r="AE462" s="205">
        <v>657.0</v>
      </c>
      <c r="AF462" s="205">
        <v>207.0</v>
      </c>
      <c r="AG462" s="205">
        <v>694.0</v>
      </c>
      <c r="AH462" s="205">
        <v>372.0</v>
      </c>
      <c r="AI462" s="205">
        <v>5.0</v>
      </c>
      <c r="AJ462" s="205">
        <v>1532.0</v>
      </c>
      <c r="AK462" s="205">
        <v>0.0</v>
      </c>
      <c r="AL462" s="205">
        <v>0.0</v>
      </c>
      <c r="AM462" s="205">
        <v>0.0</v>
      </c>
      <c r="AN462" s="205">
        <v>0.0</v>
      </c>
      <c r="AO462" s="208">
        <v>5.21227</v>
      </c>
      <c r="AP462" s="208">
        <v>6.02842</v>
      </c>
      <c r="AQ462" s="208">
        <v>8.10269</v>
      </c>
      <c r="AR462" s="208">
        <v>4.48294</v>
      </c>
      <c r="AT462" s="192" t="s">
        <v>859</v>
      </c>
      <c r="AU462" s="211" t="s">
        <v>858</v>
      </c>
      <c r="AV462" s="211" t="s">
        <v>3107</v>
      </c>
      <c r="AW462" s="211" t="s">
        <v>3108</v>
      </c>
      <c r="AX462" s="211" t="s">
        <v>859</v>
      </c>
      <c r="AY462" s="212">
        <v>2.1</v>
      </c>
      <c r="AZ462" s="213">
        <v>4.65</v>
      </c>
      <c r="BA462" s="213">
        <v>4.0</v>
      </c>
      <c r="BB462" s="213">
        <v>2.75</v>
      </c>
      <c r="BC462" s="212">
        <v>5.460000000000001</v>
      </c>
      <c r="BD462" s="213">
        <v>10.0</v>
      </c>
      <c r="BE462" s="213">
        <v>10.0</v>
      </c>
      <c r="BF462" s="213">
        <v>7.699999999999999</v>
      </c>
      <c r="BG462" s="212">
        <v>10.533333333333333</v>
      </c>
      <c r="BH462" s="213">
        <v>9.75</v>
      </c>
      <c r="BI462" s="213">
        <v>0.0019367283942604747</v>
      </c>
      <c r="BJ462" s="213">
        <v>0.0020756172840871536</v>
      </c>
      <c r="BK462" s="213">
        <v>262.5</v>
      </c>
      <c r="BL462" s="212">
        <v>7.450000000000001</v>
      </c>
      <c r="BM462" s="213">
        <v>5.375</v>
      </c>
      <c r="BN462" s="213">
        <v>0.0038734567885209494</v>
      </c>
      <c r="BO462" s="213">
        <v>0.004151234568174307</v>
      </c>
      <c r="BP462" s="213">
        <v>131.25</v>
      </c>
      <c r="BQ462" s="192"/>
      <c r="BR462" s="192"/>
    </row>
    <row r="463">
      <c r="A463" s="60"/>
      <c r="B463" s="205">
        <v>3686559.0</v>
      </c>
      <c r="C463" s="205">
        <v>1790018.0</v>
      </c>
      <c r="D463" s="205">
        <v>1.0</v>
      </c>
      <c r="E463" s="207">
        <v>44732.687303240746</v>
      </c>
      <c r="F463" s="207">
        <v>44791.58427083334</v>
      </c>
      <c r="G463" s="207">
        <v>44784.54898148148</v>
      </c>
      <c r="H463" s="63" t="s">
        <v>2067</v>
      </c>
      <c r="I463" s="205">
        <v>178.0</v>
      </c>
      <c r="J463" s="63" t="s">
        <v>800</v>
      </c>
      <c r="K463" s="205">
        <v>5875419.0</v>
      </c>
      <c r="L463" s="208">
        <v>4.5395</v>
      </c>
      <c r="M463" s="208">
        <v>2.21424</v>
      </c>
      <c r="N463" s="208">
        <v>2.1293</v>
      </c>
      <c r="O463" s="209">
        <v>4.0</v>
      </c>
      <c r="P463" s="209">
        <v>7.0</v>
      </c>
      <c r="Q463" s="209">
        <v>7.0</v>
      </c>
      <c r="R463" s="209">
        <v>5.0</v>
      </c>
      <c r="S463" s="210">
        <v>0.002662037037225673</v>
      </c>
      <c r="U463" s="205">
        <v>5.0</v>
      </c>
      <c r="V463" s="205">
        <v>3.0</v>
      </c>
      <c r="W463" s="63" t="s">
        <v>3109</v>
      </c>
      <c r="X463" s="210">
        <v>0.0027546296296350192</v>
      </c>
      <c r="Y463" s="63" t="s">
        <v>3110</v>
      </c>
      <c r="Z463" s="63" t="s">
        <v>3111</v>
      </c>
      <c r="AA463" s="205">
        <v>0.0</v>
      </c>
      <c r="AB463" s="63" t="s">
        <v>3112</v>
      </c>
      <c r="AC463" s="205">
        <v>93.0</v>
      </c>
      <c r="AD463" s="208">
        <v>8.70909</v>
      </c>
      <c r="AE463" s="205">
        <v>8857.0</v>
      </c>
      <c r="AF463" s="205">
        <v>1095.0</v>
      </c>
      <c r="AG463" s="205">
        <v>489.0</v>
      </c>
      <c r="AH463" s="205">
        <v>348.0</v>
      </c>
      <c r="AI463" s="205">
        <v>0.0</v>
      </c>
      <c r="AJ463" s="205">
        <v>1222.0</v>
      </c>
      <c r="AK463" s="205">
        <v>0.0</v>
      </c>
      <c r="AL463" s="205">
        <v>0.0</v>
      </c>
      <c r="AM463" s="205">
        <v>0.0</v>
      </c>
      <c r="AN463" s="205">
        <v>0.0</v>
      </c>
      <c r="AO463" s="208">
        <v>4.11254</v>
      </c>
      <c r="AP463" s="208">
        <v>4.85155</v>
      </c>
      <c r="AQ463" s="208">
        <v>6.35344</v>
      </c>
      <c r="AR463" s="208">
        <v>3.64012</v>
      </c>
      <c r="AT463" s="192" t="s">
        <v>862</v>
      </c>
      <c r="AU463" s="211" t="s">
        <v>861</v>
      </c>
      <c r="AV463" s="211" t="s">
        <v>3113</v>
      </c>
      <c r="AW463" s="211" t="s">
        <v>3114</v>
      </c>
      <c r="AX463" s="211" t="s">
        <v>862</v>
      </c>
      <c r="AY463" s="212">
        <v>2.0</v>
      </c>
      <c r="AZ463" s="213">
        <v>3.5</v>
      </c>
      <c r="BA463" s="213">
        <v>3.5</v>
      </c>
      <c r="BB463" s="213">
        <v>2.5</v>
      </c>
      <c r="BC463" s="212">
        <v>5.2</v>
      </c>
      <c r="BD463" s="213">
        <v>9.799999999999999</v>
      </c>
      <c r="BE463" s="213">
        <v>9.799999999999999</v>
      </c>
      <c r="BF463" s="213">
        <v>7.0</v>
      </c>
      <c r="BG463" s="212">
        <v>9.0</v>
      </c>
      <c r="BH463" s="213">
        <v>9.083333333333334</v>
      </c>
      <c r="BI463" s="213">
        <v>0.0017746913581504487</v>
      </c>
      <c r="BJ463" s="213">
        <v>0.0018364197530900128</v>
      </c>
      <c r="BK463" s="213">
        <v>267.0</v>
      </c>
      <c r="BL463" s="212">
        <v>4.0</v>
      </c>
      <c r="BM463" s="213">
        <v>3.875</v>
      </c>
      <c r="BN463" s="213">
        <v>0.0035493827163008973</v>
      </c>
      <c r="BO463" s="213">
        <v>0.0036728395061800256</v>
      </c>
      <c r="BP463" s="213">
        <v>133.5</v>
      </c>
      <c r="BQ463" s="192"/>
      <c r="BR463" s="192"/>
    </row>
    <row r="464">
      <c r="A464" s="60"/>
      <c r="B464" s="205">
        <v>1938365.0</v>
      </c>
      <c r="C464" s="205">
        <v>824205.0</v>
      </c>
      <c r="D464" s="205">
        <v>1.0</v>
      </c>
      <c r="E464" s="207">
        <v>43312.972604166665</v>
      </c>
      <c r="F464" s="207">
        <v>43539.16679398148</v>
      </c>
      <c r="G464" s="207">
        <v>43532.128171296295</v>
      </c>
      <c r="H464" s="63" t="s">
        <v>3115</v>
      </c>
      <c r="I464" s="205">
        <v>181.0</v>
      </c>
      <c r="J464" s="63" t="s">
        <v>3116</v>
      </c>
      <c r="K464" s="205">
        <v>9531903.0</v>
      </c>
      <c r="L464" s="208">
        <v>5.7203</v>
      </c>
      <c r="M464" s="208">
        <v>2.72538</v>
      </c>
      <c r="N464" s="208">
        <v>2.75032</v>
      </c>
      <c r="O464" s="209">
        <v>4.2</v>
      </c>
      <c r="P464" s="209">
        <v>9.2</v>
      </c>
      <c r="Q464" s="209">
        <v>8.5</v>
      </c>
      <c r="R464" s="209">
        <v>5.6</v>
      </c>
      <c r="S464" s="210">
        <v>0.00120370370495948</v>
      </c>
      <c r="T464" s="63" t="s">
        <v>3117</v>
      </c>
      <c r="U464" s="205">
        <v>2.0</v>
      </c>
      <c r="V464" s="205">
        <v>3.0</v>
      </c>
      <c r="W464" s="63" t="s">
        <v>3118</v>
      </c>
      <c r="X464" s="210">
        <v>0.00120370370495948</v>
      </c>
      <c r="Y464" s="63" t="s">
        <v>3119</v>
      </c>
      <c r="Z464" s="63" t="s">
        <v>3120</v>
      </c>
      <c r="AA464" s="205">
        <v>0.0</v>
      </c>
      <c r="AB464" s="63" t="s">
        <v>3121</v>
      </c>
      <c r="AC464" s="205">
        <v>555.0</v>
      </c>
      <c r="AD464" s="208">
        <v>9.49893</v>
      </c>
      <c r="AE464" s="205">
        <v>631998.0</v>
      </c>
      <c r="AF464" s="205">
        <v>70929.0</v>
      </c>
      <c r="AG464" s="205">
        <v>452.0</v>
      </c>
      <c r="AH464" s="205">
        <v>147.0</v>
      </c>
      <c r="AI464" s="205">
        <v>0.0</v>
      </c>
      <c r="AJ464" s="205">
        <v>790.0</v>
      </c>
      <c r="AK464" s="205">
        <v>0.0</v>
      </c>
      <c r="AL464" s="205">
        <v>0.0</v>
      </c>
      <c r="AM464" s="205">
        <v>0.0</v>
      </c>
      <c r="AN464" s="205">
        <v>0.0</v>
      </c>
      <c r="AO464" s="208">
        <v>5.18093</v>
      </c>
      <c r="AP464" s="208">
        <v>6.11762</v>
      </c>
      <c r="AQ464" s="208">
        <v>8.32298</v>
      </c>
      <c r="AR464" s="208">
        <v>4.50866</v>
      </c>
      <c r="AT464" s="192" t="s">
        <v>865</v>
      </c>
      <c r="AU464" s="211" t="s">
        <v>864</v>
      </c>
      <c r="AV464" s="211" t="s">
        <v>3122</v>
      </c>
      <c r="AW464" s="211" t="s">
        <v>3123</v>
      </c>
      <c r="AX464" s="211" t="s">
        <v>865</v>
      </c>
      <c r="AY464" s="212">
        <v>2.1</v>
      </c>
      <c r="AZ464" s="213">
        <v>4.6</v>
      </c>
      <c r="BA464" s="213">
        <v>4.25</v>
      </c>
      <c r="BB464" s="213">
        <v>2.8</v>
      </c>
      <c r="BC464" s="212">
        <v>5.460000000000001</v>
      </c>
      <c r="BD464" s="213">
        <v>10.0</v>
      </c>
      <c r="BE464" s="213">
        <v>10.0</v>
      </c>
      <c r="BF464" s="213">
        <v>7.839999999999999</v>
      </c>
      <c r="BG464" s="212">
        <v>10.466666666666667</v>
      </c>
      <c r="BH464" s="213">
        <v>10.083333333333334</v>
      </c>
      <c r="BI464" s="213">
        <v>8.024691366396534E-4</v>
      </c>
      <c r="BJ464" s="213">
        <v>8.024691366396534E-4</v>
      </c>
      <c r="BK464" s="213">
        <v>271.5</v>
      </c>
      <c r="BL464" s="212">
        <v>7.299999999999999</v>
      </c>
      <c r="BM464" s="213">
        <v>6.125</v>
      </c>
      <c r="BN464" s="213">
        <v>0.0016049382732793067</v>
      </c>
      <c r="BO464" s="213">
        <v>0.0016049382732793067</v>
      </c>
      <c r="BP464" s="213">
        <v>135.75</v>
      </c>
      <c r="BQ464" s="192"/>
      <c r="BR464" s="192"/>
    </row>
    <row r="465">
      <c r="A465" s="60"/>
      <c r="B465" s="205">
        <v>1699306.0</v>
      </c>
      <c r="C465" s="205">
        <v>787583.0</v>
      </c>
      <c r="D465" s="205">
        <v>1.0</v>
      </c>
      <c r="E465" s="207">
        <v>43246.849699074075</v>
      </c>
      <c r="F465" s="207">
        <v>43403.47246527778</v>
      </c>
      <c r="G465" s="207">
        <v>43395.704918981486</v>
      </c>
      <c r="H465" s="63" t="s">
        <v>3124</v>
      </c>
      <c r="I465" s="205">
        <v>200.0</v>
      </c>
      <c r="J465" s="63" t="s">
        <v>3125</v>
      </c>
      <c r="K465" s="205">
        <v>5200881.0</v>
      </c>
      <c r="L465" s="208">
        <v>5.56615</v>
      </c>
      <c r="M465" s="208">
        <v>2.75026</v>
      </c>
      <c r="N465" s="208">
        <v>2.57094</v>
      </c>
      <c r="O465" s="209">
        <v>3.8</v>
      </c>
      <c r="P465" s="209">
        <v>9.2</v>
      </c>
      <c r="Q465" s="209">
        <v>8.0</v>
      </c>
      <c r="R465" s="209">
        <v>4.0</v>
      </c>
      <c r="S465" s="210">
        <v>0.0012500000011641532</v>
      </c>
      <c r="U465" s="205">
        <v>10.0</v>
      </c>
      <c r="V465" s="205">
        <v>5.0</v>
      </c>
      <c r="W465" s="63" t="s">
        <v>3126</v>
      </c>
      <c r="X465" s="210">
        <v>0.0014236111128411721</v>
      </c>
      <c r="Y465" s="63" t="s">
        <v>1116</v>
      </c>
      <c r="Z465" s="63" t="s">
        <v>3127</v>
      </c>
      <c r="AA465" s="205">
        <v>0.0</v>
      </c>
      <c r="AB465" s="63" t="s">
        <v>3128</v>
      </c>
      <c r="AC465" s="205">
        <v>478.0</v>
      </c>
      <c r="AD465" s="208">
        <v>9.40095</v>
      </c>
      <c r="AE465" s="205">
        <v>289845.0</v>
      </c>
      <c r="AF465" s="205">
        <v>66051.0</v>
      </c>
      <c r="AG465" s="205">
        <v>204.0</v>
      </c>
      <c r="AH465" s="205">
        <v>226.0</v>
      </c>
      <c r="AI465" s="205">
        <v>0.0</v>
      </c>
      <c r="AJ465" s="205">
        <v>890.0</v>
      </c>
      <c r="AK465" s="205">
        <v>0.0</v>
      </c>
      <c r="AL465" s="205">
        <v>0.0</v>
      </c>
      <c r="AM465" s="205">
        <v>0.0</v>
      </c>
      <c r="AN465" s="205">
        <v>0.0</v>
      </c>
      <c r="AO465" s="208">
        <v>5.02025</v>
      </c>
      <c r="AP465" s="208">
        <v>5.9281</v>
      </c>
      <c r="AQ465" s="208">
        <v>8.04321</v>
      </c>
      <c r="AR465" s="208">
        <v>4.4173</v>
      </c>
      <c r="AT465" s="192" t="s">
        <v>867</v>
      </c>
      <c r="AU465" s="211" t="s">
        <v>866</v>
      </c>
      <c r="AV465" s="211" t="s">
        <v>3129</v>
      </c>
      <c r="AW465" s="211" t="s">
        <v>3130</v>
      </c>
      <c r="AX465" s="211" t="s">
        <v>867</v>
      </c>
      <c r="AY465" s="212">
        <v>1.9</v>
      </c>
      <c r="AZ465" s="213">
        <v>4.6</v>
      </c>
      <c r="BA465" s="213">
        <v>4.0</v>
      </c>
      <c r="BB465" s="213">
        <v>2.0</v>
      </c>
      <c r="BC465" s="212">
        <v>4.9399999999999995</v>
      </c>
      <c r="BD465" s="213">
        <v>10.0</v>
      </c>
      <c r="BE465" s="213">
        <v>10.0</v>
      </c>
      <c r="BF465" s="213">
        <v>5.6</v>
      </c>
      <c r="BG465" s="212">
        <v>10.466666666666667</v>
      </c>
      <c r="BH465" s="213">
        <v>9.75</v>
      </c>
      <c r="BI465" s="213">
        <v>8.333333341094354E-4</v>
      </c>
      <c r="BJ465" s="213">
        <v>9.490740752274481E-4</v>
      </c>
      <c r="BK465" s="213">
        <v>300.0</v>
      </c>
      <c r="BL465" s="212">
        <v>7.299999999999999</v>
      </c>
      <c r="BM465" s="213">
        <v>5.375</v>
      </c>
      <c r="BN465" s="213">
        <v>0.0016666666682188709</v>
      </c>
      <c r="BO465" s="213">
        <v>0.0018981481504548963</v>
      </c>
      <c r="BP465" s="213">
        <v>150.0</v>
      </c>
      <c r="BQ465" s="192"/>
      <c r="BR465" s="192"/>
    </row>
    <row r="466">
      <c r="A466" s="60"/>
      <c r="B466" s="205">
        <v>789815.0</v>
      </c>
      <c r="C466" s="205">
        <v>359191.0</v>
      </c>
      <c r="D466" s="205">
        <v>1.0</v>
      </c>
      <c r="E466" s="207">
        <v>42272.379953703705</v>
      </c>
      <c r="F466" s="207">
        <v>42501.36177083333</v>
      </c>
      <c r="G466" s="207">
        <v>42494.23137731482</v>
      </c>
      <c r="H466" s="63" t="s">
        <v>959</v>
      </c>
      <c r="I466" s="205">
        <v>183.5</v>
      </c>
      <c r="J466" s="63" t="s">
        <v>3131</v>
      </c>
      <c r="K466" s="205">
        <v>3620963.0</v>
      </c>
      <c r="L466" s="208">
        <v>5.71702</v>
      </c>
      <c r="M466" s="208">
        <v>2.62705</v>
      </c>
      <c r="N466" s="208">
        <v>2.83627</v>
      </c>
      <c r="O466" s="209">
        <v>4.0</v>
      </c>
      <c r="P466" s="209">
        <v>9.3</v>
      </c>
      <c r="Q466" s="209">
        <v>8.3</v>
      </c>
      <c r="R466" s="209">
        <v>6.5</v>
      </c>
      <c r="S466" s="210">
        <v>0.0012731481474475004</v>
      </c>
      <c r="T466" s="63" t="s">
        <v>1976</v>
      </c>
      <c r="U466" s="205">
        <v>2.0</v>
      </c>
      <c r="V466" s="205">
        <v>5.0</v>
      </c>
      <c r="W466" s="63" t="s">
        <v>3132</v>
      </c>
      <c r="X466" s="210">
        <v>0.001284722220589174</v>
      </c>
      <c r="Y466" s="63" t="s">
        <v>3133</v>
      </c>
      <c r="Z466" s="63" t="s">
        <v>3134</v>
      </c>
      <c r="AA466" s="205">
        <v>0.0</v>
      </c>
      <c r="AB466" s="63" t="s">
        <v>3135</v>
      </c>
      <c r="AC466" s="205">
        <v>795.0</v>
      </c>
      <c r="AD466" s="208">
        <v>9.43132</v>
      </c>
      <c r="AE466" s="205">
        <v>947347.0</v>
      </c>
      <c r="AF466" s="205">
        <v>149189.0</v>
      </c>
      <c r="AG466" s="205">
        <v>420.0</v>
      </c>
      <c r="AH466" s="205">
        <v>214.0</v>
      </c>
      <c r="AI466" s="205">
        <v>1.0</v>
      </c>
      <c r="AJ466" s="205">
        <v>965.0</v>
      </c>
      <c r="AK466" s="205">
        <v>0.0</v>
      </c>
      <c r="AL466" s="205">
        <v>0.0</v>
      </c>
      <c r="AM466" s="205">
        <v>0.0</v>
      </c>
      <c r="AN466" s="205">
        <v>0.0</v>
      </c>
      <c r="AO466" s="208">
        <v>5.25701</v>
      </c>
      <c r="AP466" s="208">
        <v>6.0556</v>
      </c>
      <c r="AQ466" s="208">
        <v>8.4191</v>
      </c>
      <c r="AR466" s="208">
        <v>4.46686</v>
      </c>
      <c r="AT466" s="192" t="s">
        <v>869</v>
      </c>
      <c r="AU466" s="211" t="s">
        <v>868</v>
      </c>
      <c r="AV466" s="211" t="s">
        <v>3136</v>
      </c>
      <c r="AW466" s="211" t="s">
        <v>3137</v>
      </c>
      <c r="AX466" s="211" t="s">
        <v>869</v>
      </c>
      <c r="AY466" s="212">
        <v>2.0</v>
      </c>
      <c r="AZ466" s="213">
        <v>4.65</v>
      </c>
      <c r="BA466" s="213">
        <v>4.15</v>
      </c>
      <c r="BB466" s="213">
        <v>3.25</v>
      </c>
      <c r="BC466" s="212">
        <v>5.2</v>
      </c>
      <c r="BD466" s="213">
        <v>10.0</v>
      </c>
      <c r="BE466" s="213">
        <v>10.0</v>
      </c>
      <c r="BF466" s="213">
        <v>9.1</v>
      </c>
      <c r="BG466" s="212">
        <v>10.533333333333333</v>
      </c>
      <c r="BH466" s="213">
        <v>9.950000000000001</v>
      </c>
      <c r="BI466" s="213">
        <v>8.48765431631667E-4</v>
      </c>
      <c r="BJ466" s="213">
        <v>8.564814803927826E-4</v>
      </c>
      <c r="BK466" s="213">
        <v>275.25</v>
      </c>
      <c r="BL466" s="212">
        <v>7.450000000000001</v>
      </c>
      <c r="BM466" s="213">
        <v>5.825</v>
      </c>
      <c r="BN466" s="213">
        <v>0.001697530863263334</v>
      </c>
      <c r="BO466" s="213">
        <v>0.0017129629607855652</v>
      </c>
      <c r="BP466" s="213">
        <v>137.625</v>
      </c>
      <c r="BQ466" s="192"/>
      <c r="BR466" s="192"/>
    </row>
    <row r="467">
      <c r="A467" s="60"/>
      <c r="B467" s="205">
        <v>1631406.0</v>
      </c>
      <c r="C467" s="205">
        <v>732280.0</v>
      </c>
      <c r="D467" s="205">
        <v>1.0</v>
      </c>
      <c r="E467" s="207">
        <v>43140.58459490741</v>
      </c>
      <c r="F467" s="207">
        <v>44206.47486111111</v>
      </c>
      <c r="G467" s="207">
        <v>44196.43042824074</v>
      </c>
      <c r="H467" s="63" t="s">
        <v>2228</v>
      </c>
      <c r="I467" s="205">
        <v>184.0</v>
      </c>
      <c r="J467" s="63" t="s">
        <v>804</v>
      </c>
      <c r="K467" s="205">
        <v>4930630.0</v>
      </c>
      <c r="L467" s="208">
        <v>5.57385</v>
      </c>
      <c r="M467" s="208">
        <v>2.69166</v>
      </c>
      <c r="N467" s="208">
        <v>2.64347</v>
      </c>
      <c r="O467" s="209">
        <v>4.0</v>
      </c>
      <c r="P467" s="209">
        <v>9.2</v>
      </c>
      <c r="Q467" s="209">
        <v>8.4</v>
      </c>
      <c r="R467" s="209">
        <v>5.0</v>
      </c>
      <c r="S467" s="210">
        <v>0.0021990740751789417</v>
      </c>
      <c r="T467" s="63" t="s">
        <v>3138</v>
      </c>
      <c r="U467" s="205">
        <v>10.0</v>
      </c>
      <c r="V467" s="205">
        <v>5.0</v>
      </c>
      <c r="W467" s="63" t="s">
        <v>3139</v>
      </c>
      <c r="X467" s="210">
        <v>0.002557870371674653</v>
      </c>
      <c r="Y467" s="63" t="s">
        <v>3140</v>
      </c>
      <c r="Z467" s="63" t="s">
        <v>3141</v>
      </c>
      <c r="AA467" s="205">
        <v>0.0</v>
      </c>
      <c r="AB467" s="63" t="s">
        <v>3142</v>
      </c>
      <c r="AC467" s="205">
        <v>322.0</v>
      </c>
      <c r="AD467" s="208">
        <v>9.34177</v>
      </c>
      <c r="AE467" s="205">
        <v>67339.0</v>
      </c>
      <c r="AF467" s="205">
        <v>5485.0</v>
      </c>
      <c r="AG467" s="205">
        <v>546.0</v>
      </c>
      <c r="AH467" s="205">
        <v>392.0</v>
      </c>
      <c r="AI467" s="205">
        <v>0.0</v>
      </c>
      <c r="AJ467" s="205">
        <v>1477.0</v>
      </c>
      <c r="AK467" s="205">
        <v>0.0</v>
      </c>
      <c r="AL467" s="205">
        <v>0.0</v>
      </c>
      <c r="AM467" s="205">
        <v>0.0</v>
      </c>
      <c r="AN467" s="205">
        <v>0.0</v>
      </c>
      <c r="AO467" s="208">
        <v>5.09405</v>
      </c>
      <c r="AP467" s="208">
        <v>5.91274</v>
      </c>
      <c r="AQ467" s="208">
        <v>8.12775</v>
      </c>
      <c r="AR467" s="208">
        <v>4.39697</v>
      </c>
      <c r="AT467" s="192" t="s">
        <v>872</v>
      </c>
      <c r="AU467" s="211" t="s">
        <v>871</v>
      </c>
      <c r="AV467" s="211" t="s">
        <v>3143</v>
      </c>
      <c r="AW467" s="211" t="s">
        <v>3144</v>
      </c>
      <c r="AX467" s="211" t="s">
        <v>872</v>
      </c>
      <c r="AY467" s="212">
        <v>2.0</v>
      </c>
      <c r="AZ467" s="213">
        <v>4.6</v>
      </c>
      <c r="BA467" s="213">
        <v>4.2</v>
      </c>
      <c r="BB467" s="213">
        <v>2.5</v>
      </c>
      <c r="BC467" s="212">
        <v>5.2</v>
      </c>
      <c r="BD467" s="213">
        <v>10.0</v>
      </c>
      <c r="BE467" s="213">
        <v>10.0</v>
      </c>
      <c r="BF467" s="213">
        <v>7.0</v>
      </c>
      <c r="BG467" s="212">
        <v>10.466666666666667</v>
      </c>
      <c r="BH467" s="213">
        <v>10.016666666666667</v>
      </c>
      <c r="BI467" s="213">
        <v>0.0014660493834526278</v>
      </c>
      <c r="BJ467" s="213">
        <v>0.0017052469144497688</v>
      </c>
      <c r="BK467" s="213">
        <v>276.0</v>
      </c>
      <c r="BL467" s="212">
        <v>7.299999999999999</v>
      </c>
      <c r="BM467" s="213">
        <v>5.975000000000001</v>
      </c>
      <c r="BN467" s="213">
        <v>0.0029320987669052556</v>
      </c>
      <c r="BO467" s="213">
        <v>0.0034104938288995377</v>
      </c>
      <c r="BP467" s="213">
        <v>138.0</v>
      </c>
      <c r="BQ467" s="192"/>
      <c r="BR467" s="192"/>
    </row>
    <row r="468">
      <c r="A468" s="60"/>
      <c r="B468" s="205">
        <v>2961839.0</v>
      </c>
      <c r="C468" s="205">
        <v>1239626.0</v>
      </c>
      <c r="D468" s="205">
        <v>1.0</v>
      </c>
      <c r="E468" s="207">
        <v>44062.58168981482</v>
      </c>
      <c r="F468" s="207">
        <v>44323.18231481481</v>
      </c>
      <c r="G468" s="207">
        <v>44313.167858796296</v>
      </c>
      <c r="H468" s="63" t="s">
        <v>3145</v>
      </c>
      <c r="I468" s="205">
        <v>132.0</v>
      </c>
      <c r="J468" s="63" t="s">
        <v>3146</v>
      </c>
      <c r="K468" s="205">
        <v>5580983.0</v>
      </c>
      <c r="L468" s="208">
        <v>4.06271</v>
      </c>
      <c r="M468" s="208">
        <v>2.1015</v>
      </c>
      <c r="N468" s="208">
        <v>1.75006</v>
      </c>
      <c r="O468" s="209">
        <v>4.2</v>
      </c>
      <c r="P468" s="209">
        <v>8.5</v>
      </c>
      <c r="Q468" s="209">
        <v>8.0</v>
      </c>
      <c r="R468" s="209">
        <v>5.0</v>
      </c>
      <c r="S468" s="210">
        <v>0.00251157407546998</v>
      </c>
      <c r="U468" s="205">
        <v>5.0</v>
      </c>
      <c r="V468" s="205">
        <v>3.0</v>
      </c>
      <c r="W468" s="63" t="s">
        <v>3147</v>
      </c>
      <c r="X468" s="210">
        <v>0.00268518518350902</v>
      </c>
      <c r="Y468" s="63" t="s">
        <v>3148</v>
      </c>
      <c r="Z468" s="63" t="s">
        <v>3149</v>
      </c>
      <c r="AA468" s="205">
        <v>0.0</v>
      </c>
      <c r="AB468" s="63" t="s">
        <v>3150</v>
      </c>
      <c r="AC468" s="205">
        <v>2745.0</v>
      </c>
      <c r="AD468" s="208">
        <v>9.09001</v>
      </c>
      <c r="AE468" s="205">
        <v>510868.0</v>
      </c>
      <c r="AF468" s="205">
        <v>50866.0</v>
      </c>
      <c r="AG468" s="205">
        <v>439.0</v>
      </c>
      <c r="AH468" s="205">
        <v>317.0</v>
      </c>
      <c r="AI468" s="205">
        <v>1.0</v>
      </c>
      <c r="AJ468" s="205">
        <v>1082.0</v>
      </c>
      <c r="AK468" s="205">
        <v>0.0</v>
      </c>
      <c r="AL468" s="205">
        <v>1.0</v>
      </c>
      <c r="AM468" s="205">
        <v>0.0</v>
      </c>
      <c r="AN468" s="205">
        <v>0.0</v>
      </c>
      <c r="AO468" s="208">
        <v>3.7385</v>
      </c>
      <c r="AP468" s="208">
        <v>4.3392</v>
      </c>
      <c r="AQ468" s="208">
        <v>5.70943</v>
      </c>
      <c r="AR468" s="208">
        <v>3.22493</v>
      </c>
      <c r="AT468" s="192" t="s">
        <v>874</v>
      </c>
      <c r="AU468" s="211" t="s">
        <v>873</v>
      </c>
      <c r="AV468" s="211" t="s">
        <v>3151</v>
      </c>
      <c r="AW468" s="211" t="s">
        <v>3152</v>
      </c>
      <c r="AX468" s="211" t="s">
        <v>874</v>
      </c>
      <c r="AY468" s="212">
        <v>2.1</v>
      </c>
      <c r="AZ468" s="213">
        <v>4.25</v>
      </c>
      <c r="BA468" s="213">
        <v>4.0</v>
      </c>
      <c r="BB468" s="213">
        <v>2.5</v>
      </c>
      <c r="BC468" s="212">
        <v>5.460000000000001</v>
      </c>
      <c r="BD468" s="213">
        <v>10.0</v>
      </c>
      <c r="BE468" s="213">
        <v>10.0</v>
      </c>
      <c r="BF468" s="213">
        <v>7.0</v>
      </c>
      <c r="BG468" s="212">
        <v>10.0</v>
      </c>
      <c r="BH468" s="213">
        <v>9.75</v>
      </c>
      <c r="BI468" s="213">
        <v>0.0016743827169799867</v>
      </c>
      <c r="BJ468" s="213">
        <v>0.0017901234556726802</v>
      </c>
      <c r="BK468" s="213">
        <v>198.0</v>
      </c>
      <c r="BL468" s="212">
        <v>6.25</v>
      </c>
      <c r="BM468" s="213">
        <v>5.375</v>
      </c>
      <c r="BN468" s="213">
        <v>0.0033487654339599735</v>
      </c>
      <c r="BO468" s="213">
        <v>0.0035802469113453603</v>
      </c>
      <c r="BP468" s="213">
        <v>99.0</v>
      </c>
      <c r="BQ468" s="192"/>
      <c r="BR468" s="192"/>
    </row>
    <row r="469">
      <c r="A469" s="60"/>
      <c r="B469" s="205">
        <v>3716151.0</v>
      </c>
      <c r="C469" s="205">
        <v>1811658.0</v>
      </c>
      <c r="D469" s="205">
        <v>1.0</v>
      </c>
      <c r="E469" s="207">
        <v>44763.717685185184</v>
      </c>
      <c r="F469" s="207">
        <v>44781.127175925925</v>
      </c>
      <c r="G469" s="207">
        <v>44774.10925925926</v>
      </c>
      <c r="H469" s="63" t="s">
        <v>1027</v>
      </c>
      <c r="I469" s="205">
        <v>170.0</v>
      </c>
      <c r="J469" s="63" t="s">
        <v>3153</v>
      </c>
      <c r="K469" s="205">
        <v>4564285.0</v>
      </c>
      <c r="L469" s="208">
        <v>5.2279</v>
      </c>
      <c r="M469" s="208">
        <v>2.6154</v>
      </c>
      <c r="N469" s="208">
        <v>2.37558</v>
      </c>
      <c r="O469" s="209">
        <v>4.2</v>
      </c>
      <c r="P469" s="209">
        <v>8.0</v>
      </c>
      <c r="Q469" s="209">
        <v>8.0</v>
      </c>
      <c r="R469" s="209">
        <v>5.5</v>
      </c>
      <c r="S469" s="210">
        <v>0.0010648148163454607</v>
      </c>
      <c r="T469" s="63" t="s">
        <v>2807</v>
      </c>
      <c r="U469" s="205">
        <v>10.0</v>
      </c>
      <c r="V469" s="205">
        <v>5.0</v>
      </c>
      <c r="W469" s="63" t="s">
        <v>3154</v>
      </c>
      <c r="X469" s="210">
        <v>0.00120370370495948</v>
      </c>
      <c r="Y469" s="63" t="s">
        <v>3155</v>
      </c>
      <c r="Z469" s="63" t="s">
        <v>3156</v>
      </c>
      <c r="AA469" s="205">
        <v>0.0</v>
      </c>
      <c r="AB469" s="63" t="s">
        <v>3157</v>
      </c>
      <c r="AC469" s="205">
        <v>184.0</v>
      </c>
      <c r="AD469" s="208">
        <v>9.02016</v>
      </c>
      <c r="AE469" s="205">
        <v>14365.0</v>
      </c>
      <c r="AF469" s="205">
        <v>1267.0</v>
      </c>
      <c r="AG469" s="205">
        <v>237.0</v>
      </c>
      <c r="AH469" s="205">
        <v>232.0</v>
      </c>
      <c r="AI469" s="205">
        <v>1.0</v>
      </c>
      <c r="AJ469" s="205">
        <v>742.0</v>
      </c>
      <c r="AK469" s="205">
        <v>0.0</v>
      </c>
      <c r="AL469" s="205">
        <v>0.0</v>
      </c>
      <c r="AM469" s="205">
        <v>0.0</v>
      </c>
      <c r="AN469" s="205">
        <v>0.0</v>
      </c>
      <c r="AO469" s="208">
        <v>4.7131</v>
      </c>
      <c r="AP469" s="208">
        <v>5.59758</v>
      </c>
      <c r="AQ469" s="208">
        <v>7.41363</v>
      </c>
      <c r="AR469" s="208">
        <v>4.13065</v>
      </c>
      <c r="AT469" s="192" t="s">
        <v>769</v>
      </c>
      <c r="AU469" s="211" t="s">
        <v>3158</v>
      </c>
      <c r="AV469" s="211" t="s">
        <v>3159</v>
      </c>
      <c r="AW469" s="211" t="s">
        <v>3160</v>
      </c>
      <c r="AX469" s="211" t="s">
        <v>769</v>
      </c>
      <c r="AY469" s="212">
        <v>2.1</v>
      </c>
      <c r="AZ469" s="213">
        <v>4.0</v>
      </c>
      <c r="BA469" s="213">
        <v>4.0</v>
      </c>
      <c r="BB469" s="213">
        <v>2.75</v>
      </c>
      <c r="BC469" s="212">
        <v>5.460000000000001</v>
      </c>
      <c r="BD469" s="213">
        <v>10.0</v>
      </c>
      <c r="BE469" s="213">
        <v>10.0</v>
      </c>
      <c r="BF469" s="213">
        <v>7.699999999999999</v>
      </c>
      <c r="BG469" s="212">
        <v>9.666666666666668</v>
      </c>
      <c r="BH469" s="213">
        <v>9.75</v>
      </c>
      <c r="BI469" s="213">
        <v>7.098765442303071E-4</v>
      </c>
      <c r="BJ469" s="213">
        <v>8.024691366396534E-4</v>
      </c>
      <c r="BK469" s="213">
        <v>255.0</v>
      </c>
      <c r="BL469" s="212">
        <v>5.5</v>
      </c>
      <c r="BM469" s="213">
        <v>5.375</v>
      </c>
      <c r="BN469" s="213">
        <v>0.0014197530884606142</v>
      </c>
      <c r="BO469" s="213">
        <v>0.0016049382732793067</v>
      </c>
      <c r="BP469" s="213">
        <v>127.5</v>
      </c>
      <c r="BQ469" s="192"/>
      <c r="BR469" s="192"/>
    </row>
    <row r="470">
      <c r="A470" s="60"/>
      <c r="B470" s="205">
        <v>3716151.0</v>
      </c>
      <c r="C470" s="205">
        <v>1811658.0</v>
      </c>
      <c r="D470" s="205">
        <v>1.0</v>
      </c>
      <c r="E470" s="207">
        <v>44763.717685185184</v>
      </c>
      <c r="F470" s="207">
        <v>44781.127175925925</v>
      </c>
      <c r="G470" s="207">
        <v>44774.10925925926</v>
      </c>
      <c r="H470" s="63" t="s">
        <v>1027</v>
      </c>
      <c r="I470" s="205">
        <v>170.0</v>
      </c>
      <c r="J470" s="63" t="s">
        <v>3153</v>
      </c>
      <c r="K470" s="205">
        <v>4564285.0</v>
      </c>
      <c r="L470" s="208">
        <v>5.2279</v>
      </c>
      <c r="M470" s="208">
        <v>2.6154</v>
      </c>
      <c r="N470" s="208">
        <v>2.37558</v>
      </c>
      <c r="O470" s="209">
        <v>4.2</v>
      </c>
      <c r="P470" s="209">
        <v>8.0</v>
      </c>
      <c r="Q470" s="209">
        <v>8.0</v>
      </c>
      <c r="R470" s="209">
        <v>5.5</v>
      </c>
      <c r="S470" s="210">
        <v>0.0010648148163454607</v>
      </c>
      <c r="T470" s="63" t="s">
        <v>2807</v>
      </c>
      <c r="U470" s="205">
        <v>10.0</v>
      </c>
      <c r="V470" s="205">
        <v>5.0</v>
      </c>
      <c r="W470" s="63" t="s">
        <v>3154</v>
      </c>
      <c r="X470" s="210">
        <v>0.00120370370495948</v>
      </c>
      <c r="Y470" s="63" t="s">
        <v>3155</v>
      </c>
      <c r="Z470" s="63" t="s">
        <v>3156</v>
      </c>
      <c r="AA470" s="205">
        <v>0.0</v>
      </c>
      <c r="AB470" s="63" t="s">
        <v>3157</v>
      </c>
      <c r="AC470" s="205">
        <v>184.0</v>
      </c>
      <c r="AD470" s="208">
        <v>9.02016</v>
      </c>
      <c r="AE470" s="205">
        <v>14365.0</v>
      </c>
      <c r="AF470" s="205">
        <v>1267.0</v>
      </c>
      <c r="AG470" s="205">
        <v>237.0</v>
      </c>
      <c r="AH470" s="205">
        <v>232.0</v>
      </c>
      <c r="AI470" s="205">
        <v>1.0</v>
      </c>
      <c r="AJ470" s="205">
        <v>742.0</v>
      </c>
      <c r="AK470" s="205">
        <v>0.0</v>
      </c>
      <c r="AL470" s="205">
        <v>0.0</v>
      </c>
      <c r="AM470" s="205">
        <v>0.0</v>
      </c>
      <c r="AN470" s="205">
        <v>0.0</v>
      </c>
      <c r="AO470" s="208">
        <v>4.7131</v>
      </c>
      <c r="AP470" s="208">
        <v>5.59758</v>
      </c>
      <c r="AQ470" s="208">
        <v>7.41363</v>
      </c>
      <c r="AR470" s="208">
        <v>4.13065</v>
      </c>
      <c r="AT470" s="192" t="s">
        <v>769</v>
      </c>
      <c r="AU470" s="211" t="s">
        <v>3158</v>
      </c>
      <c r="AV470" s="211" t="s">
        <v>3159</v>
      </c>
      <c r="AW470" s="211" t="s">
        <v>3160</v>
      </c>
      <c r="AX470" s="211" t="s">
        <v>769</v>
      </c>
      <c r="AY470" s="212">
        <v>2.1</v>
      </c>
      <c r="AZ470" s="213">
        <v>4.0</v>
      </c>
      <c r="BA470" s="213">
        <v>4.0</v>
      </c>
      <c r="BB470" s="213">
        <v>2.75</v>
      </c>
      <c r="BC470" s="212">
        <v>5.460000000000001</v>
      </c>
      <c r="BD470" s="213">
        <v>10.0</v>
      </c>
      <c r="BE470" s="213">
        <v>10.0</v>
      </c>
      <c r="BF470" s="213">
        <v>7.699999999999999</v>
      </c>
      <c r="BG470" s="212">
        <v>9.666666666666668</v>
      </c>
      <c r="BH470" s="213">
        <v>9.75</v>
      </c>
      <c r="BI470" s="213">
        <v>7.098765442303071E-4</v>
      </c>
      <c r="BJ470" s="213">
        <v>8.024691366396534E-4</v>
      </c>
      <c r="BK470" s="213">
        <v>255.0</v>
      </c>
      <c r="BL470" s="212">
        <v>5.5</v>
      </c>
      <c r="BM470" s="213">
        <v>5.375</v>
      </c>
      <c r="BN470" s="213">
        <v>0.0014197530884606142</v>
      </c>
      <c r="BO470" s="213">
        <v>0.0016049382732793067</v>
      </c>
      <c r="BP470" s="213">
        <v>127.5</v>
      </c>
      <c r="BQ470" s="192"/>
      <c r="BR470" s="192"/>
    </row>
    <row r="471">
      <c r="A471" s="60"/>
      <c r="B471" s="205">
        <v>1737928.0</v>
      </c>
      <c r="C471" s="205">
        <v>821587.0</v>
      </c>
      <c r="D471" s="205">
        <v>-2.0</v>
      </c>
      <c r="E471" s="207">
        <v>43308.605208333334</v>
      </c>
      <c r="F471" s="215"/>
      <c r="G471" s="207">
        <v>44500.79248842593</v>
      </c>
      <c r="H471" s="63" t="s">
        <v>1027</v>
      </c>
      <c r="I471" s="205">
        <v>170.0</v>
      </c>
      <c r="J471" s="63" t="s">
        <v>770</v>
      </c>
      <c r="K471" s="205">
        <v>5918561.0</v>
      </c>
      <c r="L471" s="208">
        <v>5.21701</v>
      </c>
      <c r="M471" s="208">
        <v>2.60579</v>
      </c>
      <c r="N471" s="208">
        <v>2.37582</v>
      </c>
      <c r="O471" s="209">
        <v>4.2</v>
      </c>
      <c r="P471" s="209">
        <v>9.0</v>
      </c>
      <c r="Q471" s="209">
        <v>9.0</v>
      </c>
      <c r="R471" s="209">
        <v>5.5</v>
      </c>
      <c r="S471" s="210">
        <v>0.0010648148163454607</v>
      </c>
      <c r="T471" s="63" t="s">
        <v>2807</v>
      </c>
      <c r="U471" s="205">
        <v>10.0</v>
      </c>
      <c r="V471" s="205">
        <v>5.0</v>
      </c>
      <c r="W471" s="63" t="s">
        <v>3154</v>
      </c>
      <c r="X471" s="210">
        <v>0.00120370370495948</v>
      </c>
      <c r="Y471" s="63" t="s">
        <v>3155</v>
      </c>
      <c r="Z471" s="63" t="s">
        <v>3161</v>
      </c>
      <c r="AA471" s="205">
        <v>0.0</v>
      </c>
      <c r="AB471" s="63" t="s">
        <v>3162</v>
      </c>
      <c r="AC471" s="205">
        <v>96.0</v>
      </c>
      <c r="AD471" s="208">
        <v>0.0</v>
      </c>
      <c r="AE471" s="205">
        <v>2899.0</v>
      </c>
      <c r="AF471" s="205">
        <v>485.0</v>
      </c>
      <c r="AG471" s="205">
        <v>237.0</v>
      </c>
      <c r="AH471" s="205">
        <v>232.0</v>
      </c>
      <c r="AI471" s="205">
        <v>1.0</v>
      </c>
      <c r="AJ471" s="205">
        <v>742.0</v>
      </c>
      <c r="AK471" s="205">
        <v>0.0</v>
      </c>
      <c r="AL471" s="205">
        <v>0.0</v>
      </c>
      <c r="AM471" s="205">
        <v>0.0</v>
      </c>
      <c r="AN471" s="205">
        <v>0.0</v>
      </c>
      <c r="AO471" s="208">
        <v>4.71014</v>
      </c>
      <c r="AP471" s="208">
        <v>5.58596</v>
      </c>
      <c r="AQ471" s="208">
        <v>7.41188</v>
      </c>
      <c r="AR471" s="208">
        <v>4.12885</v>
      </c>
      <c r="AT471" s="192" t="s">
        <v>769</v>
      </c>
      <c r="AU471" s="211" t="s">
        <v>875</v>
      </c>
      <c r="AV471" s="211" t="s">
        <v>3163</v>
      </c>
      <c r="AW471" s="211" t="s">
        <v>3164</v>
      </c>
      <c r="AX471" s="211" t="s">
        <v>769</v>
      </c>
      <c r="AY471" s="212">
        <v>2.1</v>
      </c>
      <c r="AZ471" s="213">
        <v>4.5</v>
      </c>
      <c r="BA471" s="213">
        <v>4.5</v>
      </c>
      <c r="BB471" s="213">
        <v>2.75</v>
      </c>
      <c r="BC471" s="212">
        <v>5.460000000000001</v>
      </c>
      <c r="BD471" s="213">
        <v>10.0</v>
      </c>
      <c r="BE471" s="213">
        <v>10.0</v>
      </c>
      <c r="BF471" s="213">
        <v>7.699999999999999</v>
      </c>
      <c r="BG471" s="212">
        <v>10.333333333333332</v>
      </c>
      <c r="BH471" s="213">
        <v>10.416666666666666</v>
      </c>
      <c r="BI471" s="213">
        <v>7.098765442303071E-4</v>
      </c>
      <c r="BJ471" s="213">
        <v>8.024691366396534E-4</v>
      </c>
      <c r="BK471" s="213">
        <v>255.0</v>
      </c>
      <c r="BL471" s="212">
        <v>7.0</v>
      </c>
      <c r="BM471" s="213">
        <v>6.875</v>
      </c>
      <c r="BN471" s="213">
        <v>0.0014197530884606142</v>
      </c>
      <c r="BO471" s="213">
        <v>0.0016049382732793067</v>
      </c>
      <c r="BP471" s="213">
        <v>127.5</v>
      </c>
      <c r="BQ471" s="192"/>
      <c r="BR471" s="192"/>
    </row>
    <row r="472">
      <c r="A472" s="60"/>
      <c r="B472" s="205">
        <v>2577703.0</v>
      </c>
      <c r="C472" s="205">
        <v>1239841.0</v>
      </c>
      <c r="D472" s="205">
        <v>-2.0</v>
      </c>
      <c r="E472" s="207">
        <v>44062.84826388889</v>
      </c>
      <c r="F472" s="215"/>
      <c r="G472" s="207">
        <v>44062.84833333333</v>
      </c>
      <c r="H472" s="63" t="s">
        <v>3165</v>
      </c>
      <c r="I472" s="205">
        <v>172.0</v>
      </c>
      <c r="J472" s="63" t="s">
        <v>139</v>
      </c>
      <c r="K472" s="205">
        <v>918297.0</v>
      </c>
      <c r="L472" s="208">
        <v>5.31593</v>
      </c>
      <c r="M472" s="208">
        <v>2.89657</v>
      </c>
      <c r="N472" s="208">
        <v>2.01268</v>
      </c>
      <c r="O472" s="209">
        <v>4.0</v>
      </c>
      <c r="P472" s="209">
        <v>9.3</v>
      </c>
      <c r="Q472" s="209">
        <v>8.0</v>
      </c>
      <c r="R472" s="209">
        <v>5.0</v>
      </c>
      <c r="S472" s="210">
        <v>0.0027314814797136933</v>
      </c>
      <c r="U472" s="205">
        <v>1.0</v>
      </c>
      <c r="V472" s="205">
        <v>1.0</v>
      </c>
      <c r="W472" s="63" t="s">
        <v>3166</v>
      </c>
      <c r="X472" s="210">
        <v>0.0028472222220443655</v>
      </c>
      <c r="Y472" s="63" t="s">
        <v>3167</v>
      </c>
      <c r="Z472" s="63" t="s">
        <v>3168</v>
      </c>
      <c r="AA472" s="205">
        <v>0.0</v>
      </c>
      <c r="AB472" s="63" t="s">
        <v>3169</v>
      </c>
      <c r="AC472" s="205">
        <v>2.0</v>
      </c>
      <c r="AD472" s="208">
        <v>0.0</v>
      </c>
      <c r="AE472" s="205">
        <v>259.0</v>
      </c>
      <c r="AF472" s="205">
        <v>56.0</v>
      </c>
      <c r="AG472" s="205">
        <v>99.0</v>
      </c>
      <c r="AH472" s="205">
        <v>528.0</v>
      </c>
      <c r="AI472" s="205">
        <v>2.0</v>
      </c>
      <c r="AJ472" s="205">
        <v>1506.0</v>
      </c>
      <c r="AK472" s="205">
        <v>0.0</v>
      </c>
      <c r="AL472" s="205">
        <v>0.0</v>
      </c>
      <c r="AM472" s="205">
        <v>0.0</v>
      </c>
      <c r="AN472" s="205">
        <v>0.0</v>
      </c>
      <c r="AO472" s="208">
        <v>4.79452</v>
      </c>
      <c r="AP472" s="208">
        <v>5.85263</v>
      </c>
      <c r="AQ472" s="208">
        <v>7.46851</v>
      </c>
      <c r="AR472" s="208">
        <v>4.22816</v>
      </c>
      <c r="AT472" s="192" t="s">
        <v>877</v>
      </c>
      <c r="AU472" s="211" t="s">
        <v>876</v>
      </c>
      <c r="AV472" s="211" t="s">
        <v>3170</v>
      </c>
      <c r="AW472" s="211" t="s">
        <v>3171</v>
      </c>
      <c r="AX472" s="211" t="s">
        <v>877</v>
      </c>
      <c r="AY472" s="212">
        <v>2.0</v>
      </c>
      <c r="AZ472" s="213">
        <v>4.65</v>
      </c>
      <c r="BA472" s="213">
        <v>4.0</v>
      </c>
      <c r="BB472" s="213">
        <v>2.5</v>
      </c>
      <c r="BC472" s="212">
        <v>5.2</v>
      </c>
      <c r="BD472" s="213">
        <v>10.0</v>
      </c>
      <c r="BE472" s="213">
        <v>10.0</v>
      </c>
      <c r="BF472" s="213">
        <v>7.0</v>
      </c>
      <c r="BG472" s="212">
        <v>10.533333333333333</v>
      </c>
      <c r="BH472" s="213">
        <v>9.75</v>
      </c>
      <c r="BI472" s="213">
        <v>0.0018209876531424622</v>
      </c>
      <c r="BJ472" s="213">
        <v>0.001898148148029577</v>
      </c>
      <c r="BK472" s="213">
        <v>258.0</v>
      </c>
      <c r="BL472" s="212">
        <v>7.450000000000001</v>
      </c>
      <c r="BM472" s="213">
        <v>5.375</v>
      </c>
      <c r="BN472" s="213">
        <v>0.0036419753062849245</v>
      </c>
      <c r="BO472" s="213">
        <v>0.003796296296059154</v>
      </c>
      <c r="BP472" s="213">
        <v>129.0</v>
      </c>
      <c r="BQ472" s="192"/>
      <c r="BR472" s="192"/>
    </row>
    <row r="473">
      <c r="A473" s="60"/>
      <c r="B473" s="205">
        <v>25341.0</v>
      </c>
      <c r="C473" s="205">
        <v>4907.0</v>
      </c>
      <c r="D473" s="205">
        <v>1.0</v>
      </c>
      <c r="E473" s="207">
        <v>39839.848078703704</v>
      </c>
      <c r="F473" s="207">
        <v>39871.95070601852</v>
      </c>
      <c r="G473" s="207">
        <v>39871.90795138889</v>
      </c>
      <c r="H473" s="63" t="s">
        <v>1035</v>
      </c>
      <c r="I473" s="205">
        <v>152.0</v>
      </c>
      <c r="J473" s="63" t="s">
        <v>806</v>
      </c>
      <c r="K473" s="205">
        <v>5352.0</v>
      </c>
      <c r="L473" s="208">
        <v>3.65365</v>
      </c>
      <c r="M473" s="208">
        <v>1.7428</v>
      </c>
      <c r="N473" s="208">
        <v>1.75466</v>
      </c>
      <c r="O473" s="209">
        <v>5.0</v>
      </c>
      <c r="P473" s="209">
        <v>5.0</v>
      </c>
      <c r="Q473" s="209">
        <v>5.0</v>
      </c>
      <c r="R473" s="209">
        <v>5.0</v>
      </c>
      <c r="S473" s="210">
        <v>0.0019560185173759237</v>
      </c>
      <c r="U473" s="205">
        <v>5.0</v>
      </c>
      <c r="V473" s="205">
        <v>2.0</v>
      </c>
      <c r="W473" s="63" t="s">
        <v>3172</v>
      </c>
      <c r="X473" s="210">
        <v>0.0021296296290529426</v>
      </c>
      <c r="Y473" s="63" t="s">
        <v>3173</v>
      </c>
      <c r="Z473" s="63" t="s">
        <v>3174</v>
      </c>
      <c r="AA473" s="205">
        <v>0.0</v>
      </c>
      <c r="AB473" s="63" t="s">
        <v>3175</v>
      </c>
      <c r="AC473" s="205">
        <v>21.0</v>
      </c>
      <c r="AD473" s="208">
        <v>8.46179</v>
      </c>
      <c r="AE473" s="205">
        <v>15191.0</v>
      </c>
      <c r="AF473" s="205">
        <v>1543.0</v>
      </c>
      <c r="AG473" s="205">
        <v>320.0</v>
      </c>
      <c r="AH473" s="205">
        <v>73.0</v>
      </c>
      <c r="AI473" s="205">
        <v>9.0</v>
      </c>
      <c r="AJ473" s="205">
        <v>592.0</v>
      </c>
      <c r="AK473" s="205">
        <v>1.0</v>
      </c>
      <c r="AL473" s="205">
        <v>0.0</v>
      </c>
      <c r="AM473" s="205">
        <v>0.0</v>
      </c>
      <c r="AN473" s="205">
        <v>0.0</v>
      </c>
      <c r="AO473" s="208">
        <v>3.22069</v>
      </c>
      <c r="AP473" s="208">
        <v>4.08445</v>
      </c>
      <c r="AQ473" s="208">
        <v>5.00306</v>
      </c>
      <c r="AR473" s="208">
        <v>2.93524</v>
      </c>
      <c r="AT473" s="192" t="s">
        <v>805</v>
      </c>
      <c r="AU473" s="211" t="s">
        <v>878</v>
      </c>
      <c r="AV473" s="211" t="s">
        <v>3176</v>
      </c>
      <c r="AW473" s="211" t="s">
        <v>3177</v>
      </c>
      <c r="AX473" s="211" t="s">
        <v>805</v>
      </c>
      <c r="AY473" s="212">
        <v>2.5</v>
      </c>
      <c r="AZ473" s="213">
        <v>2.5</v>
      </c>
      <c r="BA473" s="213">
        <v>2.5</v>
      </c>
      <c r="BB473" s="213">
        <v>2.5</v>
      </c>
      <c r="BC473" s="212">
        <v>6.5</v>
      </c>
      <c r="BD473" s="213">
        <v>7.0</v>
      </c>
      <c r="BE473" s="213">
        <v>7.0</v>
      </c>
      <c r="BF473" s="213">
        <v>7.0</v>
      </c>
      <c r="BG473" s="212">
        <v>8.333333333333334</v>
      </c>
      <c r="BH473" s="213">
        <v>7.75</v>
      </c>
      <c r="BI473" s="213">
        <v>0.0013040123449172825</v>
      </c>
      <c r="BJ473" s="213">
        <v>0.0014197530860352952</v>
      </c>
      <c r="BK473" s="213">
        <v>228.0</v>
      </c>
      <c r="BL473" s="212">
        <v>0.0</v>
      </c>
      <c r="BM473" s="213">
        <v>0.875</v>
      </c>
      <c r="BN473" s="213">
        <v>0.002608024689834565</v>
      </c>
      <c r="BO473" s="213">
        <v>0.0028395061720705903</v>
      </c>
      <c r="BP473" s="213">
        <v>114.0</v>
      </c>
      <c r="BQ473" s="192"/>
      <c r="BR473" s="192"/>
    </row>
    <row r="474">
      <c r="A474" s="60"/>
      <c r="B474" s="205">
        <v>25341.0</v>
      </c>
      <c r="C474" s="205">
        <v>4907.0</v>
      </c>
      <c r="D474" s="205">
        <v>1.0</v>
      </c>
      <c r="E474" s="207">
        <v>39839.848078703704</v>
      </c>
      <c r="F474" s="207">
        <v>39871.95070601852</v>
      </c>
      <c r="G474" s="207">
        <v>39871.90795138889</v>
      </c>
      <c r="H474" s="63" t="s">
        <v>1035</v>
      </c>
      <c r="I474" s="205">
        <v>152.0</v>
      </c>
      <c r="J474" s="63" t="s">
        <v>806</v>
      </c>
      <c r="K474" s="205">
        <v>5352.0</v>
      </c>
      <c r="L474" s="208">
        <v>3.65365</v>
      </c>
      <c r="M474" s="208">
        <v>1.7428</v>
      </c>
      <c r="N474" s="208">
        <v>1.75466</v>
      </c>
      <c r="O474" s="209">
        <v>5.0</v>
      </c>
      <c r="P474" s="209">
        <v>5.0</v>
      </c>
      <c r="Q474" s="209">
        <v>5.0</v>
      </c>
      <c r="R474" s="209">
        <v>5.0</v>
      </c>
      <c r="S474" s="210">
        <v>0.0019560185173759237</v>
      </c>
      <c r="U474" s="205">
        <v>5.0</v>
      </c>
      <c r="V474" s="205">
        <v>2.0</v>
      </c>
      <c r="W474" s="63" t="s">
        <v>3172</v>
      </c>
      <c r="X474" s="210">
        <v>0.0021296296290529426</v>
      </c>
      <c r="Y474" s="63" t="s">
        <v>3173</v>
      </c>
      <c r="Z474" s="63" t="s">
        <v>3174</v>
      </c>
      <c r="AA474" s="205">
        <v>0.0</v>
      </c>
      <c r="AB474" s="63" t="s">
        <v>3175</v>
      </c>
      <c r="AC474" s="205">
        <v>21.0</v>
      </c>
      <c r="AD474" s="208">
        <v>8.46179</v>
      </c>
      <c r="AE474" s="205">
        <v>15191.0</v>
      </c>
      <c r="AF474" s="205">
        <v>1543.0</v>
      </c>
      <c r="AG474" s="205">
        <v>320.0</v>
      </c>
      <c r="AH474" s="205">
        <v>73.0</v>
      </c>
      <c r="AI474" s="205">
        <v>9.0</v>
      </c>
      <c r="AJ474" s="205">
        <v>592.0</v>
      </c>
      <c r="AK474" s="205">
        <v>1.0</v>
      </c>
      <c r="AL474" s="205">
        <v>0.0</v>
      </c>
      <c r="AM474" s="205">
        <v>0.0</v>
      </c>
      <c r="AN474" s="205">
        <v>0.0</v>
      </c>
      <c r="AO474" s="208">
        <v>3.22069</v>
      </c>
      <c r="AP474" s="208">
        <v>4.08445</v>
      </c>
      <c r="AQ474" s="208">
        <v>5.00306</v>
      </c>
      <c r="AR474" s="208">
        <v>2.93524</v>
      </c>
      <c r="AT474" s="192" t="s">
        <v>805</v>
      </c>
      <c r="AU474" s="211" t="s">
        <v>878</v>
      </c>
      <c r="AV474" s="211" t="s">
        <v>3176</v>
      </c>
      <c r="AW474" s="211" t="s">
        <v>3177</v>
      </c>
      <c r="AX474" s="211" t="s">
        <v>805</v>
      </c>
      <c r="AY474" s="212">
        <v>2.5</v>
      </c>
      <c r="AZ474" s="213">
        <v>2.5</v>
      </c>
      <c r="BA474" s="213">
        <v>2.5</v>
      </c>
      <c r="BB474" s="213">
        <v>2.5</v>
      </c>
      <c r="BC474" s="212">
        <v>6.5</v>
      </c>
      <c r="BD474" s="213">
        <v>7.0</v>
      </c>
      <c r="BE474" s="213">
        <v>7.0</v>
      </c>
      <c r="BF474" s="213">
        <v>7.0</v>
      </c>
      <c r="BG474" s="212">
        <v>8.333333333333334</v>
      </c>
      <c r="BH474" s="213">
        <v>7.75</v>
      </c>
      <c r="BI474" s="213">
        <v>0.0013040123449172825</v>
      </c>
      <c r="BJ474" s="213">
        <v>0.0014197530860352952</v>
      </c>
      <c r="BK474" s="213">
        <v>228.0</v>
      </c>
      <c r="BL474" s="212">
        <v>0.0</v>
      </c>
      <c r="BM474" s="213">
        <v>0.875</v>
      </c>
      <c r="BN474" s="213">
        <v>0.002608024689834565</v>
      </c>
      <c r="BO474" s="213">
        <v>0.0028395061720705903</v>
      </c>
      <c r="BP474" s="213">
        <v>114.0</v>
      </c>
      <c r="BQ474" s="192"/>
      <c r="BR474" s="192"/>
    </row>
    <row r="475">
      <c r="A475" s="60"/>
      <c r="B475" s="205">
        <v>2565268.0</v>
      </c>
      <c r="C475" s="205">
        <v>1228132.0</v>
      </c>
      <c r="D475" s="205">
        <v>1.0</v>
      </c>
      <c r="E475" s="207">
        <v>44046.39964120371</v>
      </c>
      <c r="F475" s="207">
        <v>44144.710868055554</v>
      </c>
      <c r="G475" s="207">
        <v>44136.081979166665</v>
      </c>
      <c r="H475" s="63" t="s">
        <v>996</v>
      </c>
      <c r="I475" s="205">
        <v>191.0</v>
      </c>
      <c r="J475" s="63" t="s">
        <v>788</v>
      </c>
      <c r="K475" s="205">
        <v>419954.0</v>
      </c>
      <c r="L475" s="208">
        <v>5.299</v>
      </c>
      <c r="M475" s="208">
        <v>2.58045</v>
      </c>
      <c r="N475" s="208">
        <v>2.4902</v>
      </c>
      <c r="O475" s="209">
        <v>4.5</v>
      </c>
      <c r="P475" s="209">
        <v>9.2</v>
      </c>
      <c r="Q475" s="209">
        <v>8.0</v>
      </c>
      <c r="R475" s="209">
        <v>5.0</v>
      </c>
      <c r="S475" s="210">
        <v>0.0017824074056989048</v>
      </c>
      <c r="T475" s="63" t="s">
        <v>3178</v>
      </c>
      <c r="U475" s="205">
        <v>10.0</v>
      </c>
      <c r="V475" s="205">
        <v>5.0</v>
      </c>
      <c r="W475" s="63" t="s">
        <v>3179</v>
      </c>
      <c r="X475" s="210">
        <v>0.0019097222211712506</v>
      </c>
      <c r="Y475" s="63" t="s">
        <v>1116</v>
      </c>
      <c r="Z475" s="63" t="s">
        <v>3180</v>
      </c>
      <c r="AA475" s="205">
        <v>0.0</v>
      </c>
      <c r="AB475" s="63" t="s">
        <v>3181</v>
      </c>
      <c r="AC475" s="205">
        <v>238.0</v>
      </c>
      <c r="AD475" s="208">
        <v>9.21807</v>
      </c>
      <c r="AE475" s="205">
        <v>154126.0</v>
      </c>
      <c r="AF475" s="205">
        <v>24118.0</v>
      </c>
      <c r="AG475" s="205">
        <v>311.0</v>
      </c>
      <c r="AH475" s="205">
        <v>295.0</v>
      </c>
      <c r="AI475" s="205">
        <v>0.0</v>
      </c>
      <c r="AJ475" s="205">
        <v>1067.0</v>
      </c>
      <c r="AK475" s="205">
        <v>0.0</v>
      </c>
      <c r="AL475" s="205">
        <v>0.0</v>
      </c>
      <c r="AM475" s="205">
        <v>0.0</v>
      </c>
      <c r="AN475" s="205">
        <v>0.0</v>
      </c>
      <c r="AO475" s="208">
        <v>4.78957</v>
      </c>
      <c r="AP475" s="208">
        <v>5.7854</v>
      </c>
      <c r="AQ475" s="208">
        <v>7.59078</v>
      </c>
      <c r="AR475" s="208">
        <v>4.2179</v>
      </c>
      <c r="AT475" s="192" t="s">
        <v>787</v>
      </c>
      <c r="AU475" s="211" t="s">
        <v>879</v>
      </c>
      <c r="AV475" s="211" t="s">
        <v>3182</v>
      </c>
      <c r="AW475" s="211" t="s">
        <v>3183</v>
      </c>
      <c r="AX475" s="211" t="s">
        <v>787</v>
      </c>
      <c r="AY475" s="212">
        <v>2.25</v>
      </c>
      <c r="AZ475" s="213">
        <v>4.6</v>
      </c>
      <c r="BA475" s="213">
        <v>4.0</v>
      </c>
      <c r="BB475" s="213">
        <v>2.5</v>
      </c>
      <c r="BC475" s="212">
        <v>5.8500000000000005</v>
      </c>
      <c r="BD475" s="213">
        <v>10.0</v>
      </c>
      <c r="BE475" s="213">
        <v>10.0</v>
      </c>
      <c r="BF475" s="213">
        <v>7.0</v>
      </c>
      <c r="BG475" s="212">
        <v>10.466666666666667</v>
      </c>
      <c r="BH475" s="213">
        <v>9.75</v>
      </c>
      <c r="BI475" s="213">
        <v>0.0011882716037992698</v>
      </c>
      <c r="BJ475" s="213">
        <v>0.0012731481474475004</v>
      </c>
      <c r="BK475" s="213">
        <v>286.5</v>
      </c>
      <c r="BL475" s="212">
        <v>7.299999999999999</v>
      </c>
      <c r="BM475" s="213">
        <v>5.375</v>
      </c>
      <c r="BN475" s="213">
        <v>0.0023765432075985395</v>
      </c>
      <c r="BO475" s="213">
        <v>0.0025462962948950008</v>
      </c>
      <c r="BP475" s="213">
        <v>143.25</v>
      </c>
      <c r="BQ475" s="192"/>
      <c r="BR475" s="192"/>
    </row>
    <row r="476">
      <c r="A476" s="60"/>
      <c r="B476" s="205">
        <v>3802071.0</v>
      </c>
      <c r="C476" s="205">
        <v>1842709.0</v>
      </c>
      <c r="D476" s="205">
        <v>1.0</v>
      </c>
      <c r="E476" s="207">
        <v>44808.871342592596</v>
      </c>
      <c r="F476" s="207">
        <v>44923.64368055556</v>
      </c>
      <c r="G476" s="207">
        <v>44915.92228009259</v>
      </c>
      <c r="H476" s="63" t="s">
        <v>3184</v>
      </c>
      <c r="I476" s="205">
        <v>175.0</v>
      </c>
      <c r="J476" s="63" t="s">
        <v>148</v>
      </c>
      <c r="K476" s="205">
        <v>7777875.0</v>
      </c>
      <c r="L476" s="208">
        <v>4.56157</v>
      </c>
      <c r="M476" s="208">
        <v>2.18208</v>
      </c>
      <c r="N476" s="208">
        <v>2.18454</v>
      </c>
      <c r="O476" s="209">
        <v>4.5</v>
      </c>
      <c r="P476" s="209">
        <v>6.0</v>
      </c>
      <c r="Q476" s="209">
        <v>7.2</v>
      </c>
      <c r="R476" s="209">
        <v>6.0</v>
      </c>
      <c r="S476" s="210">
        <v>0.0017708333325572312</v>
      </c>
      <c r="U476" s="205">
        <v>5.0</v>
      </c>
      <c r="V476" s="205">
        <v>3.0</v>
      </c>
      <c r="W476" s="63" t="s">
        <v>3185</v>
      </c>
      <c r="X476" s="210">
        <v>0.0017939814824785572</v>
      </c>
      <c r="Y476" s="63" t="s">
        <v>3186</v>
      </c>
      <c r="Z476" s="63" t="s">
        <v>3187</v>
      </c>
      <c r="AA476" s="205">
        <v>0.0</v>
      </c>
      <c r="AB476" s="63" t="s">
        <v>3188</v>
      </c>
      <c r="AC476" s="205">
        <v>122.0</v>
      </c>
      <c r="AD476" s="208">
        <v>8.85075</v>
      </c>
      <c r="AE476" s="205">
        <v>4087.0</v>
      </c>
      <c r="AF476" s="205">
        <v>530.0</v>
      </c>
      <c r="AG476" s="205">
        <v>441.0</v>
      </c>
      <c r="AH476" s="205">
        <v>184.0</v>
      </c>
      <c r="AI476" s="205">
        <v>1.0</v>
      </c>
      <c r="AJ476" s="205">
        <v>874.0</v>
      </c>
      <c r="AK476" s="205">
        <v>0.0</v>
      </c>
      <c r="AL476" s="205">
        <v>0.0</v>
      </c>
      <c r="AM476" s="205">
        <v>0.0</v>
      </c>
      <c r="AN476" s="205">
        <v>0.0</v>
      </c>
      <c r="AO476" s="208">
        <v>4.13262</v>
      </c>
      <c r="AP476" s="208">
        <v>4.9328</v>
      </c>
      <c r="AQ476" s="208">
        <v>6.48215</v>
      </c>
      <c r="AR476" s="208">
        <v>3.59761</v>
      </c>
      <c r="AT476" s="192" t="s">
        <v>881</v>
      </c>
      <c r="AU476" s="211" t="s">
        <v>880</v>
      </c>
      <c r="AV476" s="211" t="s">
        <v>3189</v>
      </c>
      <c r="AW476" s="211" t="s">
        <v>3190</v>
      </c>
      <c r="AX476" s="211" t="s">
        <v>881</v>
      </c>
      <c r="AY476" s="212">
        <v>2.25</v>
      </c>
      <c r="AZ476" s="213">
        <v>3.0</v>
      </c>
      <c r="BA476" s="213">
        <v>3.6</v>
      </c>
      <c r="BB476" s="213">
        <v>3.0</v>
      </c>
      <c r="BC476" s="212">
        <v>5.8500000000000005</v>
      </c>
      <c r="BD476" s="213">
        <v>8.399999999999999</v>
      </c>
      <c r="BE476" s="213">
        <v>10.0</v>
      </c>
      <c r="BF476" s="213">
        <v>8.399999999999999</v>
      </c>
      <c r="BG476" s="212">
        <v>8.333333333333334</v>
      </c>
      <c r="BH476" s="213">
        <v>9.216666666666667</v>
      </c>
      <c r="BI476" s="213">
        <v>0.0011805555550381541</v>
      </c>
      <c r="BJ476" s="213">
        <v>0.0011959876549857047</v>
      </c>
      <c r="BK476" s="213">
        <v>262.5</v>
      </c>
      <c r="BL476" s="212">
        <v>2.5</v>
      </c>
      <c r="BM476" s="213">
        <v>4.175000000000001</v>
      </c>
      <c r="BN476" s="213">
        <v>0.0023611111100763083</v>
      </c>
      <c r="BO476" s="213">
        <v>0.0023919753099714094</v>
      </c>
      <c r="BP476" s="213">
        <v>131.25</v>
      </c>
      <c r="BQ476" s="192"/>
      <c r="BR476" s="192"/>
    </row>
    <row r="477">
      <c r="A477" s="60"/>
      <c r="B477" s="205">
        <v>3700933.0</v>
      </c>
      <c r="C477" s="205">
        <v>1804775.0</v>
      </c>
      <c r="D477" s="205">
        <v>1.0</v>
      </c>
      <c r="E477" s="207">
        <v>44753.67487268518</v>
      </c>
      <c r="F477" s="207">
        <v>44818.86359953704</v>
      </c>
      <c r="G477" s="207">
        <v>44811.6358912037</v>
      </c>
      <c r="H477" s="63" t="s">
        <v>3191</v>
      </c>
      <c r="I477" s="205">
        <v>124.0</v>
      </c>
      <c r="J477" s="63" t="s">
        <v>635</v>
      </c>
      <c r="K477" s="205">
        <v>9327302.0</v>
      </c>
      <c r="L477" s="208">
        <v>5.3122</v>
      </c>
      <c r="M477" s="208">
        <v>2.73562</v>
      </c>
      <c r="N477" s="208">
        <v>2.30719</v>
      </c>
      <c r="O477" s="209">
        <v>3.2</v>
      </c>
      <c r="P477" s="209">
        <v>8.7</v>
      </c>
      <c r="Q477" s="209">
        <v>8.7</v>
      </c>
      <c r="R477" s="209">
        <v>5.0</v>
      </c>
      <c r="S477" s="210">
        <v>0.0013194444436521735</v>
      </c>
      <c r="U477" s="205">
        <v>9.0</v>
      </c>
      <c r="V477" s="205">
        <v>2.0</v>
      </c>
      <c r="W477" s="63" t="s">
        <v>3192</v>
      </c>
      <c r="X477" s="210">
        <v>0.001504629628470866</v>
      </c>
      <c r="Y477" s="63" t="s">
        <v>3193</v>
      </c>
      <c r="Z477" s="63" t="s">
        <v>3194</v>
      </c>
      <c r="AA477" s="205">
        <v>0.0</v>
      </c>
      <c r="AB477" s="63" t="s">
        <v>3195</v>
      </c>
      <c r="AC477" s="205">
        <v>3501.0</v>
      </c>
      <c r="AD477" s="208">
        <v>8.99366</v>
      </c>
      <c r="AE477" s="205">
        <v>134983.0</v>
      </c>
      <c r="AF477" s="205">
        <v>4595.0</v>
      </c>
      <c r="AG477" s="205">
        <v>222.0</v>
      </c>
      <c r="AH477" s="205">
        <v>223.0</v>
      </c>
      <c r="AI477" s="205">
        <v>0.0</v>
      </c>
      <c r="AJ477" s="205">
        <v>676.0</v>
      </c>
      <c r="AK477" s="205">
        <v>0.0</v>
      </c>
      <c r="AL477" s="205">
        <v>0.0</v>
      </c>
      <c r="AM477" s="205">
        <v>0.0</v>
      </c>
      <c r="AN477" s="205">
        <v>0.0</v>
      </c>
      <c r="AO477" s="208">
        <v>4.97704</v>
      </c>
      <c r="AP477" s="208">
        <v>5.58512</v>
      </c>
      <c r="AQ477" s="208">
        <v>7.63963</v>
      </c>
      <c r="AR477" s="208">
        <v>4.17041</v>
      </c>
      <c r="AT477" s="192" t="s">
        <v>883</v>
      </c>
      <c r="AU477" s="211" t="s">
        <v>882</v>
      </c>
      <c r="AV477" s="211" t="s">
        <v>3196</v>
      </c>
      <c r="AW477" s="211" t="s">
        <v>3197</v>
      </c>
      <c r="AX477" s="211" t="s">
        <v>883</v>
      </c>
      <c r="AY477" s="212">
        <v>1.6</v>
      </c>
      <c r="AZ477" s="213">
        <v>4.35</v>
      </c>
      <c r="BA477" s="213">
        <v>4.35</v>
      </c>
      <c r="BB477" s="213">
        <v>2.5</v>
      </c>
      <c r="BC477" s="212">
        <v>4.16</v>
      </c>
      <c r="BD477" s="213">
        <v>10.0</v>
      </c>
      <c r="BE477" s="213">
        <v>10.0</v>
      </c>
      <c r="BF477" s="213">
        <v>7.0</v>
      </c>
      <c r="BG477" s="212">
        <v>10.133333333333333</v>
      </c>
      <c r="BH477" s="213">
        <v>10.216666666666667</v>
      </c>
      <c r="BI477" s="213">
        <v>8.79629629101449E-4</v>
      </c>
      <c r="BJ477" s="213">
        <v>0.0010030864189805773</v>
      </c>
      <c r="BK477" s="213">
        <v>186.0</v>
      </c>
      <c r="BL477" s="212">
        <v>6.549999999999999</v>
      </c>
      <c r="BM477" s="213">
        <v>6.425</v>
      </c>
      <c r="BN477" s="213">
        <v>0.001759259258202898</v>
      </c>
      <c r="BO477" s="213">
        <v>0.0020061728379611545</v>
      </c>
      <c r="BP477" s="213">
        <v>93.0</v>
      </c>
      <c r="BQ477" s="192"/>
      <c r="BR477" s="192"/>
    </row>
    <row r="478">
      <c r="A478" s="60"/>
      <c r="B478" s="205">
        <v>3700933.0</v>
      </c>
      <c r="C478" s="205">
        <v>1804775.0</v>
      </c>
      <c r="D478" s="205">
        <v>1.0</v>
      </c>
      <c r="E478" s="207">
        <v>44753.67487268518</v>
      </c>
      <c r="F478" s="207">
        <v>44818.86359953704</v>
      </c>
      <c r="G478" s="207">
        <v>44811.6358912037</v>
      </c>
      <c r="H478" s="63" t="s">
        <v>3191</v>
      </c>
      <c r="I478" s="205">
        <v>124.0</v>
      </c>
      <c r="J478" s="63" t="s">
        <v>635</v>
      </c>
      <c r="K478" s="205">
        <v>9327302.0</v>
      </c>
      <c r="L478" s="208">
        <v>5.3122</v>
      </c>
      <c r="M478" s="208">
        <v>2.73562</v>
      </c>
      <c r="N478" s="208">
        <v>2.30719</v>
      </c>
      <c r="O478" s="209">
        <v>3.2</v>
      </c>
      <c r="P478" s="209">
        <v>8.7</v>
      </c>
      <c r="Q478" s="209">
        <v>8.7</v>
      </c>
      <c r="R478" s="209">
        <v>5.0</v>
      </c>
      <c r="S478" s="210">
        <v>0.0013194444436521735</v>
      </c>
      <c r="U478" s="205">
        <v>9.0</v>
      </c>
      <c r="V478" s="205">
        <v>2.0</v>
      </c>
      <c r="W478" s="63" t="s">
        <v>3192</v>
      </c>
      <c r="X478" s="210">
        <v>0.001504629628470866</v>
      </c>
      <c r="Y478" s="63" t="s">
        <v>3193</v>
      </c>
      <c r="Z478" s="63" t="s">
        <v>3194</v>
      </c>
      <c r="AA478" s="205">
        <v>0.0</v>
      </c>
      <c r="AB478" s="63" t="s">
        <v>3195</v>
      </c>
      <c r="AC478" s="205">
        <v>3501.0</v>
      </c>
      <c r="AD478" s="208">
        <v>8.99366</v>
      </c>
      <c r="AE478" s="205">
        <v>134983.0</v>
      </c>
      <c r="AF478" s="205">
        <v>4595.0</v>
      </c>
      <c r="AG478" s="205">
        <v>222.0</v>
      </c>
      <c r="AH478" s="205">
        <v>223.0</v>
      </c>
      <c r="AI478" s="205">
        <v>0.0</v>
      </c>
      <c r="AJ478" s="205">
        <v>676.0</v>
      </c>
      <c r="AK478" s="205">
        <v>0.0</v>
      </c>
      <c r="AL478" s="205">
        <v>0.0</v>
      </c>
      <c r="AM478" s="205">
        <v>0.0</v>
      </c>
      <c r="AN478" s="205">
        <v>0.0</v>
      </c>
      <c r="AO478" s="208">
        <v>4.97704</v>
      </c>
      <c r="AP478" s="208">
        <v>5.58512</v>
      </c>
      <c r="AQ478" s="208">
        <v>7.63963</v>
      </c>
      <c r="AR478" s="208">
        <v>4.17041</v>
      </c>
      <c r="AT478" s="192" t="s">
        <v>883</v>
      </c>
      <c r="AU478" s="211" t="s">
        <v>882</v>
      </c>
      <c r="AV478" s="211" t="s">
        <v>3196</v>
      </c>
      <c r="AW478" s="211" t="s">
        <v>3197</v>
      </c>
      <c r="AX478" s="211" t="s">
        <v>883</v>
      </c>
      <c r="AY478" s="212">
        <v>1.6</v>
      </c>
      <c r="AZ478" s="213">
        <v>4.35</v>
      </c>
      <c r="BA478" s="213">
        <v>4.35</v>
      </c>
      <c r="BB478" s="213">
        <v>2.5</v>
      </c>
      <c r="BC478" s="212">
        <v>4.16</v>
      </c>
      <c r="BD478" s="213">
        <v>10.0</v>
      </c>
      <c r="BE478" s="213">
        <v>10.0</v>
      </c>
      <c r="BF478" s="213">
        <v>7.0</v>
      </c>
      <c r="BG478" s="212">
        <v>10.133333333333333</v>
      </c>
      <c r="BH478" s="213">
        <v>10.216666666666667</v>
      </c>
      <c r="BI478" s="213">
        <v>8.79629629101449E-4</v>
      </c>
      <c r="BJ478" s="213">
        <v>0.0010030864189805773</v>
      </c>
      <c r="BK478" s="213">
        <v>186.0</v>
      </c>
      <c r="BL478" s="212">
        <v>6.549999999999999</v>
      </c>
      <c r="BM478" s="213">
        <v>6.425</v>
      </c>
      <c r="BN478" s="213">
        <v>0.001759259258202898</v>
      </c>
      <c r="BO478" s="213">
        <v>0.0020061728379611545</v>
      </c>
      <c r="BP478" s="213">
        <v>93.0</v>
      </c>
      <c r="BQ478" s="192"/>
      <c r="BR478" s="192"/>
    </row>
    <row r="479">
      <c r="A479" s="60"/>
      <c r="B479" s="205">
        <v>3853742.0</v>
      </c>
      <c r="C479" s="205">
        <v>1865291.0</v>
      </c>
      <c r="D479" s="205">
        <v>1.0</v>
      </c>
      <c r="E479" s="207">
        <v>44847.305659722224</v>
      </c>
      <c r="F479" s="207">
        <v>44937.99041666667</v>
      </c>
      <c r="G479" s="207">
        <v>44930.94925925926</v>
      </c>
      <c r="H479" s="63" t="s">
        <v>1038</v>
      </c>
      <c r="I479" s="205">
        <v>130.0</v>
      </c>
      <c r="J479" s="63" t="s">
        <v>817</v>
      </c>
      <c r="K479" s="205">
        <v>1.0526814E7</v>
      </c>
      <c r="L479" s="208">
        <v>5.05375</v>
      </c>
      <c r="M479" s="208">
        <v>2.51111</v>
      </c>
      <c r="N479" s="208">
        <v>2.31756</v>
      </c>
      <c r="O479" s="209">
        <v>3.5</v>
      </c>
      <c r="P479" s="209">
        <v>8.8</v>
      </c>
      <c r="Q479" s="209">
        <v>8.0</v>
      </c>
      <c r="R479" s="209">
        <v>5.0</v>
      </c>
      <c r="S479" s="210">
        <v>0.0016203703708015382</v>
      </c>
      <c r="U479" s="205">
        <v>10.0</v>
      </c>
      <c r="V479" s="205">
        <v>5.0</v>
      </c>
      <c r="W479" s="63" t="s">
        <v>3198</v>
      </c>
      <c r="X479" s="210">
        <v>0.0016319444439432118</v>
      </c>
      <c r="Y479" s="63" t="s">
        <v>3199</v>
      </c>
      <c r="Z479" s="63" t="s">
        <v>3200</v>
      </c>
      <c r="AA479" s="205">
        <v>0.0</v>
      </c>
      <c r="AB479" s="63" t="s">
        <v>3201</v>
      </c>
      <c r="AC479" s="205">
        <v>232.0</v>
      </c>
      <c r="AD479" s="208">
        <v>9.06493</v>
      </c>
      <c r="AE479" s="205">
        <v>27334.0</v>
      </c>
      <c r="AF479" s="205">
        <v>4007.0</v>
      </c>
      <c r="AG479" s="205">
        <v>487.0</v>
      </c>
      <c r="AH479" s="205">
        <v>242.0</v>
      </c>
      <c r="AI479" s="205">
        <v>0.0</v>
      </c>
      <c r="AJ479" s="205">
        <v>1005.0</v>
      </c>
      <c r="AK479" s="205">
        <v>0.0</v>
      </c>
      <c r="AL479" s="205">
        <v>0.0</v>
      </c>
      <c r="AM479" s="205">
        <v>0.0</v>
      </c>
      <c r="AN479" s="205">
        <v>0.0</v>
      </c>
      <c r="AO479" s="208">
        <v>4.63782</v>
      </c>
      <c r="AP479" s="208">
        <v>5.39342</v>
      </c>
      <c r="AQ479" s="208">
        <v>7.2466</v>
      </c>
      <c r="AR479" s="208">
        <v>3.96769</v>
      </c>
      <c r="AT479" s="192" t="s">
        <v>816</v>
      </c>
      <c r="AU479" s="211" t="s">
        <v>3202</v>
      </c>
      <c r="AV479" s="211" t="s">
        <v>3203</v>
      </c>
      <c r="AW479" s="211" t="s">
        <v>3204</v>
      </c>
      <c r="AX479" s="211" t="s">
        <v>816</v>
      </c>
      <c r="AY479" s="212">
        <v>1.75</v>
      </c>
      <c r="AZ479" s="213">
        <v>4.4</v>
      </c>
      <c r="BA479" s="213">
        <v>4.0</v>
      </c>
      <c r="BB479" s="213">
        <v>2.5</v>
      </c>
      <c r="BC479" s="212">
        <v>4.55</v>
      </c>
      <c r="BD479" s="213">
        <v>10.0</v>
      </c>
      <c r="BE479" s="213">
        <v>10.0</v>
      </c>
      <c r="BF479" s="213">
        <v>7.0</v>
      </c>
      <c r="BG479" s="212">
        <v>10.2</v>
      </c>
      <c r="BH479" s="213">
        <v>9.75</v>
      </c>
      <c r="BI479" s="213">
        <v>0.0010802469138676922</v>
      </c>
      <c r="BJ479" s="213">
        <v>0.0010879629626288079</v>
      </c>
      <c r="BK479" s="213">
        <v>195.0</v>
      </c>
      <c r="BL479" s="212">
        <v>6.700000000000001</v>
      </c>
      <c r="BM479" s="213">
        <v>5.375</v>
      </c>
      <c r="BN479" s="213">
        <v>0.0021604938277353844</v>
      </c>
      <c r="BO479" s="213">
        <v>0.0021759259252576157</v>
      </c>
      <c r="BP479" s="213">
        <v>97.5</v>
      </c>
      <c r="BQ479" s="192"/>
      <c r="BR479" s="192"/>
    </row>
    <row r="480">
      <c r="A480" s="60"/>
      <c r="B480" s="205">
        <v>3039329.0</v>
      </c>
      <c r="C480" s="205">
        <v>1481685.0</v>
      </c>
      <c r="D480" s="205">
        <v>-2.0</v>
      </c>
      <c r="E480" s="207">
        <v>44350.45395833333</v>
      </c>
      <c r="F480" s="215"/>
      <c r="G480" s="207">
        <v>44403.97782407407</v>
      </c>
      <c r="H480" s="63" t="s">
        <v>3205</v>
      </c>
      <c r="I480" s="205">
        <v>182.4</v>
      </c>
      <c r="J480" s="63" t="s">
        <v>3206</v>
      </c>
      <c r="K480" s="205">
        <v>7711945.0</v>
      </c>
      <c r="L480" s="208">
        <v>5.69057</v>
      </c>
      <c r="M480" s="208">
        <v>2.52439</v>
      </c>
      <c r="N480" s="208">
        <v>2.89363</v>
      </c>
      <c r="O480" s="209">
        <v>3.7</v>
      </c>
      <c r="P480" s="209">
        <v>9.3</v>
      </c>
      <c r="Q480" s="209">
        <v>8.4</v>
      </c>
      <c r="R480" s="209">
        <v>5.0</v>
      </c>
      <c r="S480" s="210">
        <v>0.0013194444436521735</v>
      </c>
      <c r="T480" s="63" t="s">
        <v>1976</v>
      </c>
      <c r="U480" s="205">
        <v>10.0</v>
      </c>
      <c r="V480" s="205">
        <v>5.0</v>
      </c>
      <c r="W480" s="63" t="s">
        <v>3207</v>
      </c>
      <c r="X480" s="210">
        <v>0.0014236111128411721</v>
      </c>
      <c r="Y480" s="63" t="s">
        <v>3208</v>
      </c>
      <c r="Z480" s="63" t="s">
        <v>3209</v>
      </c>
      <c r="AA480" s="205">
        <v>0.0</v>
      </c>
      <c r="AB480" s="63" t="s">
        <v>3210</v>
      </c>
      <c r="AC480" s="205">
        <v>7.0</v>
      </c>
      <c r="AD480" s="208">
        <v>0.0</v>
      </c>
      <c r="AE480" s="205">
        <v>4159.0</v>
      </c>
      <c r="AF480" s="205">
        <v>1162.0</v>
      </c>
      <c r="AG480" s="205">
        <v>536.0</v>
      </c>
      <c r="AH480" s="205">
        <v>162.0</v>
      </c>
      <c r="AI480" s="205">
        <v>1.0</v>
      </c>
      <c r="AJ480" s="205">
        <v>917.0</v>
      </c>
      <c r="AK480" s="205">
        <v>0.0</v>
      </c>
      <c r="AL480" s="205">
        <v>0.0</v>
      </c>
      <c r="AM480" s="205">
        <v>0.0</v>
      </c>
      <c r="AN480" s="205">
        <v>0.0</v>
      </c>
      <c r="AO480" s="208">
        <v>5.31376</v>
      </c>
      <c r="AP480" s="208">
        <v>5.90744</v>
      </c>
      <c r="AQ480" s="208">
        <v>8.51685</v>
      </c>
      <c r="AR480" s="208">
        <v>4.43715</v>
      </c>
      <c r="AT480" s="192" t="s">
        <v>886</v>
      </c>
      <c r="AU480" s="211" t="s">
        <v>3211</v>
      </c>
      <c r="AV480" s="211" t="s">
        <v>3212</v>
      </c>
      <c r="AW480" s="211" t="s">
        <v>3213</v>
      </c>
      <c r="AX480" s="211" t="s">
        <v>886</v>
      </c>
      <c r="AY480" s="212">
        <v>1.85</v>
      </c>
      <c r="AZ480" s="213">
        <v>4.65</v>
      </c>
      <c r="BA480" s="213">
        <v>4.2</v>
      </c>
      <c r="BB480" s="213">
        <v>2.5</v>
      </c>
      <c r="BC480" s="212">
        <v>4.8100000000000005</v>
      </c>
      <c r="BD480" s="213">
        <v>10.0</v>
      </c>
      <c r="BE480" s="213">
        <v>10.0</v>
      </c>
      <c r="BF480" s="213">
        <v>7.0</v>
      </c>
      <c r="BG480" s="212">
        <v>10.533333333333333</v>
      </c>
      <c r="BH480" s="213">
        <v>10.016666666666667</v>
      </c>
      <c r="BI480" s="213">
        <v>8.79629629101449E-4</v>
      </c>
      <c r="BJ480" s="213">
        <v>9.490740752274481E-4</v>
      </c>
      <c r="BK480" s="213">
        <v>273.6</v>
      </c>
      <c r="BL480" s="212">
        <v>7.450000000000001</v>
      </c>
      <c r="BM480" s="213">
        <v>5.975000000000001</v>
      </c>
      <c r="BN480" s="213">
        <v>0.001759259258202898</v>
      </c>
      <c r="BO480" s="213">
        <v>0.0018981481504548963</v>
      </c>
      <c r="BP480" s="213">
        <v>136.8</v>
      </c>
      <c r="BQ480" s="192"/>
      <c r="BR480" s="192"/>
    </row>
    <row r="481">
      <c r="A481" s="60"/>
      <c r="B481" s="205">
        <v>3714369.0</v>
      </c>
      <c r="C481" s="205">
        <v>1634320.0</v>
      </c>
      <c r="D481" s="205">
        <v>-2.0</v>
      </c>
      <c r="E481" s="207">
        <v>44523.31303240741</v>
      </c>
      <c r="F481" s="215"/>
      <c r="G481" s="207">
        <v>44762.58614583334</v>
      </c>
      <c r="H481" s="63" t="s">
        <v>1025</v>
      </c>
      <c r="I481" s="205">
        <v>185.0</v>
      </c>
      <c r="J481" s="63" t="s">
        <v>760</v>
      </c>
      <c r="K481" s="205">
        <v>5242158.0</v>
      </c>
      <c r="L481" s="208">
        <v>5.75189</v>
      </c>
      <c r="M481" s="208">
        <v>2.54</v>
      </c>
      <c r="N481" s="208">
        <v>2.93317</v>
      </c>
      <c r="O481" s="209">
        <v>4.0</v>
      </c>
      <c r="P481" s="209">
        <v>9.3</v>
      </c>
      <c r="Q481" s="209">
        <v>8.0</v>
      </c>
      <c r="R481" s="209">
        <v>6.0</v>
      </c>
      <c r="S481" s="210">
        <v>0.0014120370360615198</v>
      </c>
      <c r="T481" s="63" t="s">
        <v>1488</v>
      </c>
      <c r="U481" s="205">
        <v>2.0</v>
      </c>
      <c r="V481" s="205">
        <v>5.0</v>
      </c>
      <c r="W481" s="63" t="s">
        <v>3214</v>
      </c>
      <c r="X481" s="210">
        <v>0.0014467592591245193</v>
      </c>
      <c r="Y481" s="63" t="s">
        <v>3215</v>
      </c>
      <c r="Z481" s="63" t="s">
        <v>3216</v>
      </c>
      <c r="AA481" s="205">
        <v>0.0</v>
      </c>
      <c r="AB481" s="63" t="s">
        <v>3217</v>
      </c>
      <c r="AC481" s="205">
        <v>3.0</v>
      </c>
      <c r="AD481" s="208">
        <v>0.0</v>
      </c>
      <c r="AE481" s="205">
        <v>3709.0</v>
      </c>
      <c r="AF481" s="205">
        <v>1730.0</v>
      </c>
      <c r="AG481" s="205">
        <v>523.0</v>
      </c>
      <c r="AH481" s="205">
        <v>102.0</v>
      </c>
      <c r="AI481" s="205">
        <v>1.0</v>
      </c>
      <c r="AJ481" s="205">
        <v>804.0</v>
      </c>
      <c r="AK481" s="205">
        <v>0.0</v>
      </c>
      <c r="AL481" s="205">
        <v>0.0</v>
      </c>
      <c r="AM481" s="205">
        <v>0.0</v>
      </c>
      <c r="AN481" s="205">
        <v>0.0</v>
      </c>
      <c r="AO481" s="208">
        <v>5.30248</v>
      </c>
      <c r="AP481" s="208">
        <v>6.03503</v>
      </c>
      <c r="AQ481" s="208">
        <v>8.69733</v>
      </c>
      <c r="AR481" s="208">
        <v>4.45829</v>
      </c>
      <c r="AT481" s="192" t="s">
        <v>759</v>
      </c>
      <c r="AU481" s="211" t="s">
        <v>887</v>
      </c>
      <c r="AV481" s="211" t="s">
        <v>3218</v>
      </c>
      <c r="AW481" s="211" t="s">
        <v>3219</v>
      </c>
      <c r="AX481" s="211" t="s">
        <v>759</v>
      </c>
      <c r="AY481" s="212">
        <v>2.0</v>
      </c>
      <c r="AZ481" s="213">
        <v>4.65</v>
      </c>
      <c r="BA481" s="213">
        <v>4.0</v>
      </c>
      <c r="BB481" s="213">
        <v>3.0</v>
      </c>
      <c r="BC481" s="212">
        <v>5.2</v>
      </c>
      <c r="BD481" s="213">
        <v>10.0</v>
      </c>
      <c r="BE481" s="213">
        <v>10.0</v>
      </c>
      <c r="BF481" s="213">
        <v>8.399999999999999</v>
      </c>
      <c r="BG481" s="212">
        <v>10.533333333333333</v>
      </c>
      <c r="BH481" s="213">
        <v>9.75</v>
      </c>
      <c r="BI481" s="213">
        <v>9.413580240410132E-4</v>
      </c>
      <c r="BJ481" s="213">
        <v>9.645061727496795E-4</v>
      </c>
      <c r="BK481" s="213">
        <v>277.5</v>
      </c>
      <c r="BL481" s="212">
        <v>7.450000000000001</v>
      </c>
      <c r="BM481" s="213">
        <v>5.375</v>
      </c>
      <c r="BN481" s="213">
        <v>0.0018827160480820264</v>
      </c>
      <c r="BO481" s="213">
        <v>0.001929012345499359</v>
      </c>
      <c r="BP481" s="213">
        <v>138.75</v>
      </c>
      <c r="BQ481" s="192"/>
      <c r="BR481" s="192"/>
    </row>
    <row r="482">
      <c r="A482" s="60"/>
      <c r="B482" s="205">
        <v>3461206.0</v>
      </c>
      <c r="C482" s="205">
        <v>1547170.0</v>
      </c>
      <c r="D482" s="205">
        <v>-2.0</v>
      </c>
      <c r="E482" s="207">
        <v>44420.39226851852</v>
      </c>
      <c r="F482" s="215"/>
      <c r="G482" s="207">
        <v>44603.747465277775</v>
      </c>
      <c r="H482" s="63" t="s">
        <v>1026</v>
      </c>
      <c r="I482" s="205">
        <v>135.0</v>
      </c>
      <c r="J482" s="63" t="s">
        <v>765</v>
      </c>
      <c r="K482" s="205">
        <v>5074898.0</v>
      </c>
      <c r="L482" s="208">
        <v>5.42973</v>
      </c>
      <c r="M482" s="208">
        <v>2.76326</v>
      </c>
      <c r="N482" s="208">
        <v>2.40554</v>
      </c>
      <c r="O482" s="209">
        <v>4.2</v>
      </c>
      <c r="P482" s="209">
        <v>9.3</v>
      </c>
      <c r="Q482" s="209">
        <v>8.0</v>
      </c>
      <c r="R482" s="209">
        <v>6.0</v>
      </c>
      <c r="S482" s="210">
        <v>0.002766203702776693</v>
      </c>
      <c r="U482" s="205">
        <v>5.0</v>
      </c>
      <c r="V482" s="205">
        <v>3.0</v>
      </c>
      <c r="W482" s="63" t="s">
        <v>3220</v>
      </c>
      <c r="X482" s="210">
        <v>0.002777777779556345</v>
      </c>
      <c r="Y482" s="63" t="s">
        <v>3221</v>
      </c>
      <c r="Z482" s="63" t="s">
        <v>3222</v>
      </c>
      <c r="AA482" s="205">
        <v>0.0</v>
      </c>
      <c r="AB482" s="63" t="s">
        <v>3223</v>
      </c>
      <c r="AC482" s="205">
        <v>11.0</v>
      </c>
      <c r="AD482" s="208">
        <v>0.0</v>
      </c>
      <c r="AE482" s="205">
        <v>1216.0</v>
      </c>
      <c r="AF482" s="205">
        <v>524.0</v>
      </c>
      <c r="AG482" s="205">
        <v>656.0</v>
      </c>
      <c r="AH482" s="205">
        <v>479.0</v>
      </c>
      <c r="AI482" s="205">
        <v>0.0</v>
      </c>
      <c r="AJ482" s="205">
        <v>1695.0</v>
      </c>
      <c r="AK482" s="205">
        <v>0.0</v>
      </c>
      <c r="AL482" s="205">
        <v>0.0</v>
      </c>
      <c r="AM482" s="205">
        <v>0.0</v>
      </c>
      <c r="AN482" s="205">
        <v>0.0</v>
      </c>
      <c r="AO482" s="208">
        <v>4.89998</v>
      </c>
      <c r="AP482" s="208">
        <v>5.90961</v>
      </c>
      <c r="AQ482" s="208">
        <v>7.65853</v>
      </c>
      <c r="AR482" s="208">
        <v>4.28515</v>
      </c>
      <c r="AT482" s="192" t="s">
        <v>764</v>
      </c>
      <c r="AU482" s="211" t="s">
        <v>890</v>
      </c>
      <c r="AV482" s="211" t="s">
        <v>3224</v>
      </c>
      <c r="AW482" s="211" t="s">
        <v>3225</v>
      </c>
      <c r="AX482" s="211" t="s">
        <v>764</v>
      </c>
      <c r="AY482" s="212">
        <v>2.1</v>
      </c>
      <c r="AZ482" s="213">
        <v>4.65</v>
      </c>
      <c r="BA482" s="213">
        <v>4.0</v>
      </c>
      <c r="BB482" s="213">
        <v>3.0</v>
      </c>
      <c r="BC482" s="212">
        <v>5.460000000000001</v>
      </c>
      <c r="BD482" s="213">
        <v>10.0</v>
      </c>
      <c r="BE482" s="213">
        <v>10.0</v>
      </c>
      <c r="BF482" s="213">
        <v>8.399999999999999</v>
      </c>
      <c r="BG482" s="212">
        <v>10.533333333333333</v>
      </c>
      <c r="BH482" s="213">
        <v>9.75</v>
      </c>
      <c r="BI482" s="213">
        <v>0.0018441358018511285</v>
      </c>
      <c r="BJ482" s="213">
        <v>0.0018518518530375634</v>
      </c>
      <c r="BK482" s="213">
        <v>202.5</v>
      </c>
      <c r="BL482" s="212">
        <v>7.450000000000001</v>
      </c>
      <c r="BM482" s="213">
        <v>5.375</v>
      </c>
      <c r="BN482" s="213">
        <v>0.003688271603702257</v>
      </c>
      <c r="BO482" s="213">
        <v>0.0037037037060751268</v>
      </c>
      <c r="BP482" s="213">
        <v>101.25</v>
      </c>
      <c r="BQ482" s="192"/>
      <c r="BR482" s="192"/>
    </row>
    <row r="483">
      <c r="A483" s="60"/>
      <c r="B483" s="205">
        <v>3461206.0</v>
      </c>
      <c r="C483" s="205">
        <v>1547170.0</v>
      </c>
      <c r="D483" s="205">
        <v>-2.0</v>
      </c>
      <c r="E483" s="207">
        <v>44420.39226851852</v>
      </c>
      <c r="F483" s="215"/>
      <c r="G483" s="207">
        <v>44603.747465277775</v>
      </c>
      <c r="H483" s="63" t="s">
        <v>1026</v>
      </c>
      <c r="I483" s="205">
        <v>135.0</v>
      </c>
      <c r="J483" s="63" t="s">
        <v>765</v>
      </c>
      <c r="K483" s="205">
        <v>5074898.0</v>
      </c>
      <c r="L483" s="208">
        <v>5.42973</v>
      </c>
      <c r="M483" s="208">
        <v>2.76326</v>
      </c>
      <c r="N483" s="208">
        <v>2.40554</v>
      </c>
      <c r="O483" s="209">
        <v>4.2</v>
      </c>
      <c r="P483" s="209">
        <v>9.3</v>
      </c>
      <c r="Q483" s="209">
        <v>8.0</v>
      </c>
      <c r="R483" s="209">
        <v>6.0</v>
      </c>
      <c r="S483" s="210">
        <v>0.002766203702776693</v>
      </c>
      <c r="U483" s="205">
        <v>5.0</v>
      </c>
      <c r="V483" s="205">
        <v>3.0</v>
      </c>
      <c r="W483" s="63" t="s">
        <v>3220</v>
      </c>
      <c r="X483" s="210">
        <v>0.002777777779556345</v>
      </c>
      <c r="Y483" s="63" t="s">
        <v>3221</v>
      </c>
      <c r="Z483" s="63" t="s">
        <v>3222</v>
      </c>
      <c r="AA483" s="205">
        <v>0.0</v>
      </c>
      <c r="AB483" s="63" t="s">
        <v>3223</v>
      </c>
      <c r="AC483" s="205">
        <v>11.0</v>
      </c>
      <c r="AD483" s="208">
        <v>0.0</v>
      </c>
      <c r="AE483" s="205">
        <v>1216.0</v>
      </c>
      <c r="AF483" s="205">
        <v>524.0</v>
      </c>
      <c r="AG483" s="205">
        <v>656.0</v>
      </c>
      <c r="AH483" s="205">
        <v>479.0</v>
      </c>
      <c r="AI483" s="205">
        <v>0.0</v>
      </c>
      <c r="AJ483" s="205">
        <v>1695.0</v>
      </c>
      <c r="AK483" s="205">
        <v>0.0</v>
      </c>
      <c r="AL483" s="205">
        <v>0.0</v>
      </c>
      <c r="AM483" s="205">
        <v>0.0</v>
      </c>
      <c r="AN483" s="205">
        <v>0.0</v>
      </c>
      <c r="AO483" s="208">
        <v>4.89998</v>
      </c>
      <c r="AP483" s="208">
        <v>5.90961</v>
      </c>
      <c r="AQ483" s="208">
        <v>7.65853</v>
      </c>
      <c r="AR483" s="208">
        <v>4.28515</v>
      </c>
      <c r="AT483" s="192" t="s">
        <v>764</v>
      </c>
      <c r="AU483" s="211" t="s">
        <v>890</v>
      </c>
      <c r="AV483" s="211" t="s">
        <v>3224</v>
      </c>
      <c r="AW483" s="211" t="s">
        <v>3225</v>
      </c>
      <c r="AX483" s="211" t="s">
        <v>764</v>
      </c>
      <c r="AY483" s="212">
        <v>2.1</v>
      </c>
      <c r="AZ483" s="213">
        <v>4.65</v>
      </c>
      <c r="BA483" s="213">
        <v>4.0</v>
      </c>
      <c r="BB483" s="213">
        <v>3.0</v>
      </c>
      <c r="BC483" s="212">
        <v>5.460000000000001</v>
      </c>
      <c r="BD483" s="213">
        <v>10.0</v>
      </c>
      <c r="BE483" s="213">
        <v>10.0</v>
      </c>
      <c r="BF483" s="213">
        <v>8.399999999999999</v>
      </c>
      <c r="BG483" s="212">
        <v>10.533333333333333</v>
      </c>
      <c r="BH483" s="213">
        <v>9.75</v>
      </c>
      <c r="BI483" s="213">
        <v>0.0018441358018511285</v>
      </c>
      <c r="BJ483" s="213">
        <v>0.0018518518530375634</v>
      </c>
      <c r="BK483" s="213">
        <v>202.5</v>
      </c>
      <c r="BL483" s="212">
        <v>7.450000000000001</v>
      </c>
      <c r="BM483" s="213">
        <v>5.375</v>
      </c>
      <c r="BN483" s="213">
        <v>0.003688271603702257</v>
      </c>
      <c r="BO483" s="213">
        <v>0.0037037037060751268</v>
      </c>
      <c r="BP483" s="213">
        <v>101.25</v>
      </c>
      <c r="BQ483" s="192"/>
      <c r="BR483" s="192"/>
    </row>
    <row r="484">
      <c r="A484" s="60"/>
      <c r="B484" s="205">
        <v>2690998.0</v>
      </c>
      <c r="C484" s="205">
        <v>1291579.0</v>
      </c>
      <c r="D484" s="205">
        <v>1.0</v>
      </c>
      <c r="E484" s="207">
        <v>44137.30724537037</v>
      </c>
      <c r="F484" s="207">
        <v>44200.1125</v>
      </c>
      <c r="G484" s="207">
        <v>44190.68800925926</v>
      </c>
      <c r="H484" s="63" t="s">
        <v>1752</v>
      </c>
      <c r="I484" s="205">
        <v>140.0</v>
      </c>
      <c r="J484" s="63" t="s">
        <v>3226</v>
      </c>
      <c r="K484" s="205">
        <v>3626063.0</v>
      </c>
      <c r="L484" s="208">
        <v>5.69039</v>
      </c>
      <c r="M484" s="208">
        <v>2.84863</v>
      </c>
      <c r="N484" s="208">
        <v>2.58344</v>
      </c>
      <c r="O484" s="209">
        <v>4.0</v>
      </c>
      <c r="P484" s="209">
        <v>9.2</v>
      </c>
      <c r="Q484" s="209">
        <v>8.0</v>
      </c>
      <c r="R484" s="209">
        <v>4.0</v>
      </c>
      <c r="S484" s="210">
        <v>0.002592592591099674</v>
      </c>
      <c r="U484" s="205">
        <v>5.0</v>
      </c>
      <c r="V484" s="205">
        <v>3.0</v>
      </c>
      <c r="W484" s="63" t="s">
        <v>3227</v>
      </c>
      <c r="X484" s="210">
        <v>0.0028703703719656914</v>
      </c>
      <c r="Y484" s="63" t="s">
        <v>3228</v>
      </c>
      <c r="Z484" s="63" t="s">
        <v>3229</v>
      </c>
      <c r="AA484" s="205">
        <v>0.0</v>
      </c>
      <c r="AB484" s="63" t="s">
        <v>3230</v>
      </c>
      <c r="AC484" s="205">
        <v>210.0</v>
      </c>
      <c r="AD484" s="208">
        <v>9.53261</v>
      </c>
      <c r="AE484" s="205">
        <v>30700.0</v>
      </c>
      <c r="AF484" s="205">
        <v>4074.0</v>
      </c>
      <c r="AG484" s="205">
        <v>611.0</v>
      </c>
      <c r="AH484" s="205">
        <v>396.0</v>
      </c>
      <c r="AI484" s="205">
        <v>2.0</v>
      </c>
      <c r="AJ484" s="205">
        <v>1427.0</v>
      </c>
      <c r="AK484" s="205">
        <v>1.0</v>
      </c>
      <c r="AL484" s="205">
        <v>0.0</v>
      </c>
      <c r="AM484" s="205">
        <v>0.0</v>
      </c>
      <c r="AN484" s="205">
        <v>0.0</v>
      </c>
      <c r="AO484" s="208">
        <v>5.12244</v>
      </c>
      <c r="AP484" s="208">
        <v>6.11454</v>
      </c>
      <c r="AQ484" s="208">
        <v>7.94821</v>
      </c>
      <c r="AR484" s="208">
        <v>4.48887</v>
      </c>
      <c r="AT484" s="192" t="s">
        <v>889</v>
      </c>
      <c r="AU484" s="211" t="s">
        <v>3231</v>
      </c>
      <c r="AV484" s="211" t="s">
        <v>3232</v>
      </c>
      <c r="AW484" s="211" t="s">
        <v>3233</v>
      </c>
      <c r="AX484" s="211" t="s">
        <v>889</v>
      </c>
      <c r="AY484" s="212">
        <v>2.0</v>
      </c>
      <c r="AZ484" s="213">
        <v>4.6</v>
      </c>
      <c r="BA484" s="213">
        <v>4.0</v>
      </c>
      <c r="BB484" s="213">
        <v>2.0</v>
      </c>
      <c r="BC484" s="212">
        <v>5.2</v>
      </c>
      <c r="BD484" s="213">
        <v>10.0</v>
      </c>
      <c r="BE484" s="213">
        <v>10.0</v>
      </c>
      <c r="BF484" s="213">
        <v>5.6</v>
      </c>
      <c r="BG484" s="212">
        <v>10.466666666666667</v>
      </c>
      <c r="BH484" s="213">
        <v>9.75</v>
      </c>
      <c r="BI484" s="213">
        <v>0.001728395060733116</v>
      </c>
      <c r="BJ484" s="213">
        <v>0.0019135802479771276</v>
      </c>
      <c r="BK484" s="213">
        <v>210.0</v>
      </c>
      <c r="BL484" s="212">
        <v>7.299999999999999</v>
      </c>
      <c r="BM484" s="213">
        <v>5.375</v>
      </c>
      <c r="BN484" s="213">
        <v>0.003456790121466232</v>
      </c>
      <c r="BO484" s="213">
        <v>0.003827160495954255</v>
      </c>
      <c r="BP484" s="213">
        <v>105.0</v>
      </c>
      <c r="BQ484" s="192"/>
      <c r="BR484" s="192"/>
    </row>
    <row r="485">
      <c r="A485" s="60"/>
      <c r="B485" s="205">
        <v>3461206.0</v>
      </c>
      <c r="C485" s="205">
        <v>1547170.0</v>
      </c>
      <c r="D485" s="205">
        <v>-2.0</v>
      </c>
      <c r="E485" s="207">
        <v>44420.39226851852</v>
      </c>
      <c r="F485" s="215"/>
      <c r="G485" s="207">
        <v>44603.747465277775</v>
      </c>
      <c r="H485" s="63" t="s">
        <v>1026</v>
      </c>
      <c r="I485" s="205">
        <v>135.0</v>
      </c>
      <c r="J485" s="63" t="s">
        <v>765</v>
      </c>
      <c r="K485" s="205">
        <v>5074898.0</v>
      </c>
      <c r="L485" s="208">
        <v>5.42973</v>
      </c>
      <c r="M485" s="208">
        <v>2.76326</v>
      </c>
      <c r="N485" s="208">
        <v>2.40554</v>
      </c>
      <c r="O485" s="209">
        <v>4.2</v>
      </c>
      <c r="P485" s="209">
        <v>9.3</v>
      </c>
      <c r="Q485" s="209">
        <v>8.0</v>
      </c>
      <c r="R485" s="209">
        <v>6.0</v>
      </c>
      <c r="S485" s="210">
        <v>0.002766203702776693</v>
      </c>
      <c r="U485" s="205">
        <v>5.0</v>
      </c>
      <c r="V485" s="205">
        <v>3.0</v>
      </c>
      <c r="W485" s="63" t="s">
        <v>3220</v>
      </c>
      <c r="X485" s="210">
        <v>0.002777777779556345</v>
      </c>
      <c r="Y485" s="63" t="s">
        <v>3221</v>
      </c>
      <c r="Z485" s="63" t="s">
        <v>3222</v>
      </c>
      <c r="AA485" s="205">
        <v>0.0</v>
      </c>
      <c r="AB485" s="63" t="s">
        <v>3223</v>
      </c>
      <c r="AC485" s="205">
        <v>11.0</v>
      </c>
      <c r="AD485" s="208">
        <v>0.0</v>
      </c>
      <c r="AE485" s="205">
        <v>1216.0</v>
      </c>
      <c r="AF485" s="205">
        <v>524.0</v>
      </c>
      <c r="AG485" s="205">
        <v>656.0</v>
      </c>
      <c r="AH485" s="205">
        <v>479.0</v>
      </c>
      <c r="AI485" s="205">
        <v>0.0</v>
      </c>
      <c r="AJ485" s="205">
        <v>1695.0</v>
      </c>
      <c r="AK485" s="205">
        <v>0.0</v>
      </c>
      <c r="AL485" s="205">
        <v>0.0</v>
      </c>
      <c r="AM485" s="205">
        <v>0.0</v>
      </c>
      <c r="AN485" s="205">
        <v>0.0</v>
      </c>
      <c r="AO485" s="208">
        <v>4.89998</v>
      </c>
      <c r="AP485" s="208">
        <v>5.90961</v>
      </c>
      <c r="AQ485" s="208">
        <v>7.65853</v>
      </c>
      <c r="AR485" s="208">
        <v>4.28515</v>
      </c>
      <c r="AT485" s="192" t="s">
        <v>764</v>
      </c>
      <c r="AU485" s="211" t="s">
        <v>890</v>
      </c>
      <c r="AV485" s="211" t="s">
        <v>3224</v>
      </c>
      <c r="AW485" s="211" t="s">
        <v>3225</v>
      </c>
      <c r="AX485" s="211" t="s">
        <v>764</v>
      </c>
      <c r="AY485" s="212">
        <v>2.1</v>
      </c>
      <c r="AZ485" s="213">
        <v>4.65</v>
      </c>
      <c r="BA485" s="213">
        <v>4.0</v>
      </c>
      <c r="BB485" s="213">
        <v>3.0</v>
      </c>
      <c r="BC485" s="212">
        <v>5.460000000000001</v>
      </c>
      <c r="BD485" s="213">
        <v>10.0</v>
      </c>
      <c r="BE485" s="213">
        <v>10.0</v>
      </c>
      <c r="BF485" s="213">
        <v>8.399999999999999</v>
      </c>
      <c r="BG485" s="212">
        <v>10.533333333333333</v>
      </c>
      <c r="BH485" s="213">
        <v>9.75</v>
      </c>
      <c r="BI485" s="213">
        <v>0.0018441358018511285</v>
      </c>
      <c r="BJ485" s="213">
        <v>0.0018518518530375634</v>
      </c>
      <c r="BK485" s="213">
        <v>202.5</v>
      </c>
      <c r="BL485" s="212">
        <v>7.450000000000001</v>
      </c>
      <c r="BM485" s="213">
        <v>5.375</v>
      </c>
      <c r="BN485" s="213">
        <v>0.003688271603702257</v>
      </c>
      <c r="BO485" s="213">
        <v>0.0037037037060751268</v>
      </c>
      <c r="BP485" s="213">
        <v>101.25</v>
      </c>
      <c r="BQ485" s="192"/>
      <c r="BR485" s="192"/>
    </row>
    <row r="486">
      <c r="A486" s="60"/>
      <c r="B486" s="205">
        <v>2279885.0</v>
      </c>
      <c r="C486" s="205">
        <v>1090567.0</v>
      </c>
      <c r="D486" s="205">
        <v>1.0</v>
      </c>
      <c r="E486" s="207">
        <v>43837.58075231481</v>
      </c>
      <c r="F486" s="207">
        <v>44669.309224537035</v>
      </c>
      <c r="G486" s="207">
        <v>44661.96486111111</v>
      </c>
      <c r="H486" s="63" t="s">
        <v>3234</v>
      </c>
      <c r="I486" s="205">
        <v>140.0</v>
      </c>
      <c r="J486" s="63" t="s">
        <v>1566</v>
      </c>
      <c r="K486" s="205">
        <v>1872496.0</v>
      </c>
      <c r="L486" s="208">
        <v>5.65755</v>
      </c>
      <c r="M486" s="208">
        <v>2.89526</v>
      </c>
      <c r="N486" s="208">
        <v>2.48388</v>
      </c>
      <c r="O486" s="209">
        <v>3.9</v>
      </c>
      <c r="P486" s="209">
        <v>9.4</v>
      </c>
      <c r="Q486" s="209">
        <v>8.0</v>
      </c>
      <c r="R486" s="209">
        <v>7.0</v>
      </c>
      <c r="S486" s="210">
        <v>0.002488425925548654</v>
      </c>
      <c r="T486" s="63" t="s">
        <v>3235</v>
      </c>
      <c r="U486" s="205">
        <v>3.0</v>
      </c>
      <c r="V486" s="205">
        <v>3.0</v>
      </c>
      <c r="W486" s="63" t="s">
        <v>3236</v>
      </c>
      <c r="X486" s="210">
        <v>0.002638888887304347</v>
      </c>
      <c r="Y486" s="63" t="s">
        <v>2747</v>
      </c>
      <c r="Z486" s="63" t="s">
        <v>3237</v>
      </c>
      <c r="AA486" s="205">
        <v>0.0</v>
      </c>
      <c r="AB486" s="63" t="s">
        <v>3238</v>
      </c>
      <c r="AC486" s="205">
        <v>1337.0</v>
      </c>
      <c r="AD486" s="208">
        <v>9.68831</v>
      </c>
      <c r="AE486" s="205">
        <v>201043.0</v>
      </c>
      <c r="AF486" s="205">
        <v>33897.0</v>
      </c>
      <c r="AG486" s="205">
        <v>523.0</v>
      </c>
      <c r="AH486" s="205">
        <v>537.0</v>
      </c>
      <c r="AI486" s="205">
        <v>2.0</v>
      </c>
      <c r="AJ486" s="205">
        <v>1642.0</v>
      </c>
      <c r="AK486" s="205">
        <v>0.0</v>
      </c>
      <c r="AL486" s="205">
        <v>0.0</v>
      </c>
      <c r="AM486" s="205">
        <v>0.0</v>
      </c>
      <c r="AN486" s="205">
        <v>0.0</v>
      </c>
      <c r="AO486" s="208">
        <v>5.07841</v>
      </c>
      <c r="AP486" s="208">
        <v>6.09634</v>
      </c>
      <c r="AQ486" s="208">
        <v>7.99708</v>
      </c>
      <c r="AR486" s="208">
        <v>4.4515</v>
      </c>
      <c r="AT486" s="192" t="s">
        <v>892</v>
      </c>
      <c r="AU486" s="211" t="s">
        <v>891</v>
      </c>
      <c r="AV486" s="211" t="s">
        <v>3239</v>
      </c>
      <c r="AW486" s="211" t="s">
        <v>3240</v>
      </c>
      <c r="AX486" s="211" t="s">
        <v>892</v>
      </c>
      <c r="AY486" s="212">
        <v>1.95</v>
      </c>
      <c r="AZ486" s="213">
        <v>4.7</v>
      </c>
      <c r="BA486" s="213">
        <v>4.0</v>
      </c>
      <c r="BB486" s="213">
        <v>3.5</v>
      </c>
      <c r="BC486" s="212">
        <v>5.07</v>
      </c>
      <c r="BD486" s="213">
        <v>10.0</v>
      </c>
      <c r="BE486" s="213">
        <v>10.0</v>
      </c>
      <c r="BF486" s="213">
        <v>9.799999999999999</v>
      </c>
      <c r="BG486" s="212">
        <v>10.6</v>
      </c>
      <c r="BH486" s="213">
        <v>9.75</v>
      </c>
      <c r="BI486" s="213">
        <v>0.001658950617032436</v>
      </c>
      <c r="BJ486" s="213">
        <v>0.001759259258202898</v>
      </c>
      <c r="BK486" s="213">
        <v>210.0</v>
      </c>
      <c r="BL486" s="212">
        <v>7.6</v>
      </c>
      <c r="BM486" s="213">
        <v>5.375</v>
      </c>
      <c r="BN486" s="213">
        <v>0.003317901234064872</v>
      </c>
      <c r="BO486" s="213">
        <v>0.003518518516405796</v>
      </c>
      <c r="BP486" s="213">
        <v>105.0</v>
      </c>
      <c r="BQ486" s="192"/>
      <c r="BR486" s="192"/>
    </row>
    <row r="487">
      <c r="A487" s="60"/>
      <c r="B487" s="205">
        <v>3563737.0</v>
      </c>
      <c r="C487" s="205">
        <v>1670118.0</v>
      </c>
      <c r="D487" s="205">
        <v>1.0</v>
      </c>
      <c r="E487" s="207">
        <v>44570.12650462963</v>
      </c>
      <c r="F487" s="207">
        <v>44806.87769675926</v>
      </c>
      <c r="G487" s="207">
        <v>44799.69966435185</v>
      </c>
      <c r="H487" s="63" t="s">
        <v>1013</v>
      </c>
      <c r="I487" s="205">
        <v>170.0</v>
      </c>
      <c r="J487" s="63" t="s">
        <v>631</v>
      </c>
      <c r="K487" s="205">
        <v>7989480.0</v>
      </c>
      <c r="L487" s="208">
        <v>5.05513</v>
      </c>
      <c r="M487" s="208">
        <v>2.48266</v>
      </c>
      <c r="N487" s="208">
        <v>2.3523</v>
      </c>
      <c r="O487" s="209">
        <v>4.0</v>
      </c>
      <c r="P487" s="209">
        <v>8.0</v>
      </c>
      <c r="Q487" s="209">
        <v>8.0</v>
      </c>
      <c r="R487" s="209">
        <v>5.0</v>
      </c>
      <c r="S487" s="210">
        <v>0.00204861110978527</v>
      </c>
      <c r="U487" s="205">
        <v>10.0</v>
      </c>
      <c r="V487" s="205">
        <v>3.0</v>
      </c>
      <c r="W487" s="63" t="s">
        <v>3241</v>
      </c>
      <c r="X487" s="210">
        <v>0.0022106481483206153</v>
      </c>
      <c r="Y487" s="63" t="s">
        <v>1116</v>
      </c>
      <c r="Z487" s="63" t="s">
        <v>3242</v>
      </c>
      <c r="AA487" s="205">
        <v>0.0</v>
      </c>
      <c r="AB487" s="63" t="s">
        <v>3243</v>
      </c>
      <c r="AC487" s="205">
        <v>91.0</v>
      </c>
      <c r="AD487" s="208">
        <v>9.11594</v>
      </c>
      <c r="AE487" s="205">
        <v>18604.0</v>
      </c>
      <c r="AF487" s="205">
        <v>2395.0</v>
      </c>
      <c r="AG487" s="205">
        <v>604.0</v>
      </c>
      <c r="AH487" s="205">
        <v>240.0</v>
      </c>
      <c r="AI487" s="205">
        <v>1.0</v>
      </c>
      <c r="AJ487" s="205">
        <v>1122.0</v>
      </c>
      <c r="AK487" s="205">
        <v>0.0</v>
      </c>
      <c r="AL487" s="205">
        <v>0.0</v>
      </c>
      <c r="AM487" s="205">
        <v>0.0</v>
      </c>
      <c r="AN487" s="205">
        <v>0.0</v>
      </c>
      <c r="AO487" s="208">
        <v>4.66711</v>
      </c>
      <c r="AP487" s="208">
        <v>5.31055</v>
      </c>
      <c r="AQ487" s="208">
        <v>7.11491</v>
      </c>
      <c r="AR487" s="208">
        <v>3.99942</v>
      </c>
      <c r="AT487" s="192" t="s">
        <v>630</v>
      </c>
      <c r="AU487" s="211" t="s">
        <v>751</v>
      </c>
      <c r="AV487" s="211" t="s">
        <v>3244</v>
      </c>
      <c r="AW487" s="211" t="s">
        <v>3245</v>
      </c>
      <c r="AX487" s="211" t="s">
        <v>630</v>
      </c>
      <c r="AY487" s="212">
        <v>2.0</v>
      </c>
      <c r="AZ487" s="213">
        <v>4.0</v>
      </c>
      <c r="BA487" s="213">
        <v>4.0</v>
      </c>
      <c r="BB487" s="213">
        <v>2.5</v>
      </c>
      <c r="BC487" s="212">
        <v>5.2</v>
      </c>
      <c r="BD487" s="213">
        <v>10.0</v>
      </c>
      <c r="BE487" s="213">
        <v>10.0</v>
      </c>
      <c r="BF487" s="213">
        <v>7.0</v>
      </c>
      <c r="BG487" s="212">
        <v>9.666666666666668</v>
      </c>
      <c r="BH487" s="213">
        <v>9.75</v>
      </c>
      <c r="BI487" s="213">
        <v>0.0013657407398568466</v>
      </c>
      <c r="BJ487" s="213">
        <v>0.0014737654322137435</v>
      </c>
      <c r="BK487" s="213">
        <v>255.0</v>
      </c>
      <c r="BL487" s="212">
        <v>5.5</v>
      </c>
      <c r="BM487" s="213">
        <v>5.375</v>
      </c>
      <c r="BN487" s="213">
        <v>0.0027314814797136933</v>
      </c>
      <c r="BO487" s="213">
        <v>0.002947530864427487</v>
      </c>
      <c r="BP487" s="213">
        <v>127.5</v>
      </c>
      <c r="BQ487" s="192"/>
      <c r="BR487" s="192"/>
    </row>
    <row r="488">
      <c r="A488" s="60"/>
      <c r="B488" s="205">
        <v>571620.0</v>
      </c>
      <c r="C488" s="205">
        <v>83560.0</v>
      </c>
      <c r="D488" s="205">
        <v>1.0</v>
      </c>
      <c r="E488" s="207">
        <v>41350.61143518519</v>
      </c>
      <c r="F488" s="207">
        <v>42094.750173611115</v>
      </c>
      <c r="G488" s="207">
        <v>42087.73761574074</v>
      </c>
      <c r="H488" s="63" t="s">
        <v>1012</v>
      </c>
      <c r="I488" s="205">
        <v>175.0</v>
      </c>
      <c r="J488" s="63" t="s">
        <v>625</v>
      </c>
      <c r="K488" s="205">
        <v>515967.0</v>
      </c>
      <c r="L488" s="208">
        <v>5.50651</v>
      </c>
      <c r="M488" s="208">
        <v>2.91679</v>
      </c>
      <c r="N488" s="208">
        <v>2.25795</v>
      </c>
      <c r="O488" s="209">
        <v>4.2</v>
      </c>
      <c r="P488" s="209">
        <v>9.1</v>
      </c>
      <c r="Q488" s="209">
        <v>8.0</v>
      </c>
      <c r="R488" s="209">
        <v>6.0</v>
      </c>
      <c r="S488" s="210">
        <v>0.0018750000017462298</v>
      </c>
      <c r="U488" s="205">
        <v>10.0</v>
      </c>
      <c r="V488" s="205">
        <v>2.0</v>
      </c>
      <c r="W488" s="63" t="s">
        <v>3246</v>
      </c>
      <c r="X488" s="210">
        <v>0.0020833333328482695</v>
      </c>
      <c r="Y488" s="63" t="s">
        <v>3247</v>
      </c>
      <c r="Z488" s="63" t="s">
        <v>3248</v>
      </c>
      <c r="AA488" s="205">
        <v>0.0</v>
      </c>
      <c r="AB488" s="63" t="s">
        <v>3249</v>
      </c>
      <c r="AC488" s="205">
        <v>4015.0</v>
      </c>
      <c r="AD488" s="208">
        <v>9.24944</v>
      </c>
      <c r="AE488" s="205">
        <v>1696858.0</v>
      </c>
      <c r="AF488" s="205">
        <v>139796.0</v>
      </c>
      <c r="AG488" s="205">
        <v>432.0</v>
      </c>
      <c r="AH488" s="205">
        <v>239.0</v>
      </c>
      <c r="AI488" s="205">
        <v>0.0</v>
      </c>
      <c r="AJ488" s="205">
        <v>921.0</v>
      </c>
      <c r="AK488" s="205">
        <v>1.0</v>
      </c>
      <c r="AL488" s="205">
        <v>0.0</v>
      </c>
      <c r="AM488" s="205">
        <v>0.0</v>
      </c>
      <c r="AN488" s="205">
        <v>0.0</v>
      </c>
      <c r="AO488" s="208">
        <v>4.9963</v>
      </c>
      <c r="AP488" s="208">
        <v>5.89572</v>
      </c>
      <c r="AQ488" s="208">
        <v>7.78155</v>
      </c>
      <c r="AR488" s="208">
        <v>4.33796</v>
      </c>
      <c r="AT488" s="192" t="s">
        <v>624</v>
      </c>
      <c r="AU488" s="211" t="s">
        <v>752</v>
      </c>
      <c r="AV488" s="211" t="s">
        <v>3250</v>
      </c>
      <c r="AW488" s="211" t="s">
        <v>3251</v>
      </c>
      <c r="AX488" s="211" t="s">
        <v>624</v>
      </c>
      <c r="AY488" s="212">
        <v>2.1</v>
      </c>
      <c r="AZ488" s="213">
        <v>4.55</v>
      </c>
      <c r="BA488" s="213">
        <v>4.0</v>
      </c>
      <c r="BB488" s="213">
        <v>3.0</v>
      </c>
      <c r="BC488" s="212">
        <v>5.460000000000001</v>
      </c>
      <c r="BD488" s="213">
        <v>10.0</v>
      </c>
      <c r="BE488" s="213">
        <v>10.0</v>
      </c>
      <c r="BF488" s="213">
        <v>8.399999999999999</v>
      </c>
      <c r="BG488" s="212">
        <v>10.4</v>
      </c>
      <c r="BH488" s="213">
        <v>9.75</v>
      </c>
      <c r="BI488" s="213">
        <v>0.0012500000011641532</v>
      </c>
      <c r="BJ488" s="213">
        <v>0.001388888888565513</v>
      </c>
      <c r="BK488" s="213">
        <v>262.5</v>
      </c>
      <c r="BL488" s="212">
        <v>7.15</v>
      </c>
      <c r="BM488" s="213">
        <v>5.375</v>
      </c>
      <c r="BN488" s="213">
        <v>0.0025000000023283064</v>
      </c>
      <c r="BO488" s="213">
        <v>0.002777777777131026</v>
      </c>
      <c r="BP488" s="213">
        <v>131.25</v>
      </c>
      <c r="BQ488" s="192"/>
      <c r="BR488" s="192"/>
    </row>
    <row r="489">
      <c r="A489" s="60"/>
      <c r="B489" s="205">
        <v>847315.0</v>
      </c>
      <c r="C489" s="205">
        <v>128931.0</v>
      </c>
      <c r="D489" s="205">
        <v>1.0</v>
      </c>
      <c r="E489" s="207">
        <v>41595.80706018519</v>
      </c>
      <c r="F489" s="207">
        <v>42410.69547453704</v>
      </c>
      <c r="G489" s="207">
        <v>42403.68711805556</v>
      </c>
      <c r="H489" s="63" t="s">
        <v>3252</v>
      </c>
      <c r="I489" s="205">
        <v>175.0</v>
      </c>
      <c r="J489" s="63" t="s">
        <v>3253</v>
      </c>
      <c r="K489" s="205">
        <v>1014222.0</v>
      </c>
      <c r="L489" s="208">
        <v>3.80417</v>
      </c>
      <c r="M489" s="208">
        <v>1.59104</v>
      </c>
      <c r="N489" s="208">
        <v>1.99702</v>
      </c>
      <c r="O489" s="209">
        <v>3.8</v>
      </c>
      <c r="P489" s="209">
        <v>8.0</v>
      </c>
      <c r="Q489" s="209">
        <v>6.0</v>
      </c>
      <c r="R489" s="209">
        <v>5.0</v>
      </c>
      <c r="S489" s="210">
        <v>0.0017939814824785572</v>
      </c>
      <c r="U489" s="205">
        <v>10.0</v>
      </c>
      <c r="V489" s="205">
        <v>5.0</v>
      </c>
      <c r="W489" s="63" t="s">
        <v>3254</v>
      </c>
      <c r="X489" s="210">
        <v>0.0019097222211712506</v>
      </c>
      <c r="Y489" s="63" t="s">
        <v>1490</v>
      </c>
      <c r="Z489" s="63" t="s">
        <v>3255</v>
      </c>
      <c r="AA489" s="205">
        <v>0.0</v>
      </c>
      <c r="AB489" s="63" t="s">
        <v>3256</v>
      </c>
      <c r="AC489" s="205">
        <v>14065.0</v>
      </c>
      <c r="AD489" s="208">
        <v>9.3364</v>
      </c>
      <c r="AE489" s="205">
        <v>3964045.0</v>
      </c>
      <c r="AF489" s="205">
        <v>1333613.0</v>
      </c>
      <c r="AG489" s="205">
        <v>239.0</v>
      </c>
      <c r="AH489" s="205">
        <v>267.0</v>
      </c>
      <c r="AI489" s="205">
        <v>1.0</v>
      </c>
      <c r="AJ489" s="205">
        <v>863.0</v>
      </c>
      <c r="AK489" s="205">
        <v>0.0</v>
      </c>
      <c r="AL489" s="205">
        <v>0.0</v>
      </c>
      <c r="AM489" s="205">
        <v>0.0</v>
      </c>
      <c r="AN489" s="205">
        <v>0.0</v>
      </c>
      <c r="AO489" s="208">
        <v>3.45637</v>
      </c>
      <c r="AP489" s="208">
        <v>3.91437</v>
      </c>
      <c r="AQ489" s="208">
        <v>5.51842</v>
      </c>
      <c r="AR489" s="208">
        <v>3.03576</v>
      </c>
      <c r="AT489" s="192" t="s">
        <v>894</v>
      </c>
      <c r="AU489" s="211" t="s">
        <v>893</v>
      </c>
      <c r="AV489" s="211" t="s">
        <v>3257</v>
      </c>
      <c r="AW489" s="211" t="s">
        <v>3258</v>
      </c>
      <c r="AX489" s="211" t="s">
        <v>894</v>
      </c>
      <c r="AY489" s="212">
        <v>1.9</v>
      </c>
      <c r="AZ489" s="213">
        <v>4.0</v>
      </c>
      <c r="BA489" s="213">
        <v>3.0</v>
      </c>
      <c r="BB489" s="213">
        <v>2.5</v>
      </c>
      <c r="BC489" s="212">
        <v>4.9399999999999995</v>
      </c>
      <c r="BD489" s="213">
        <v>10.0</v>
      </c>
      <c r="BE489" s="213">
        <v>8.399999999999999</v>
      </c>
      <c r="BF489" s="213">
        <v>7.0</v>
      </c>
      <c r="BG489" s="212">
        <v>9.666666666666668</v>
      </c>
      <c r="BH489" s="213">
        <v>8.416666666666666</v>
      </c>
      <c r="BI489" s="213">
        <v>0.0011959876549857047</v>
      </c>
      <c r="BJ489" s="213">
        <v>0.0012731481474475004</v>
      </c>
      <c r="BK489" s="213">
        <v>262.5</v>
      </c>
      <c r="BL489" s="212">
        <v>5.5</v>
      </c>
      <c r="BM489" s="213">
        <v>2.375</v>
      </c>
      <c r="BN489" s="213">
        <v>0.0023919753099714094</v>
      </c>
      <c r="BO489" s="213">
        <v>0.0025462962948950008</v>
      </c>
      <c r="BP489" s="213">
        <v>131.25</v>
      </c>
      <c r="BQ489" s="192"/>
      <c r="BR489" s="192"/>
    </row>
    <row r="490">
      <c r="A490" s="60"/>
      <c r="B490" s="205">
        <v>99407.0</v>
      </c>
      <c r="C490" s="205">
        <v>28257.0</v>
      </c>
      <c r="D490" s="205">
        <v>1.0</v>
      </c>
      <c r="E490" s="207">
        <v>40635.011342592596</v>
      </c>
      <c r="F490" s="207">
        <v>40818.585810185185</v>
      </c>
      <c r="G490" s="207">
        <v>40812.088738425926</v>
      </c>
      <c r="H490" s="63" t="s">
        <v>3259</v>
      </c>
      <c r="I490" s="205">
        <v>119.0</v>
      </c>
      <c r="J490" s="63" t="s">
        <v>3260</v>
      </c>
      <c r="K490" s="205">
        <v>185422.0</v>
      </c>
      <c r="L490" s="208">
        <v>4.66739</v>
      </c>
      <c r="M490" s="208">
        <v>2.3097</v>
      </c>
      <c r="N490" s="208">
        <v>2.15164</v>
      </c>
      <c r="O490" s="209">
        <v>5.0</v>
      </c>
      <c r="P490" s="209">
        <v>8.0</v>
      </c>
      <c r="Q490" s="209">
        <v>8.0</v>
      </c>
      <c r="R490" s="209">
        <v>7.0</v>
      </c>
      <c r="S490" s="210">
        <v>9.490740740147885E-4</v>
      </c>
      <c r="T490" s="63" t="s">
        <v>3261</v>
      </c>
      <c r="U490" s="205">
        <v>2.0</v>
      </c>
      <c r="V490" s="205">
        <v>2.0</v>
      </c>
      <c r="W490" s="63" t="s">
        <v>3262</v>
      </c>
      <c r="X490" s="210">
        <v>9.606481471564621E-4</v>
      </c>
      <c r="Y490" s="63" t="s">
        <v>3263</v>
      </c>
      <c r="Z490" s="63" t="s">
        <v>3264</v>
      </c>
      <c r="AA490" s="205">
        <v>0.0</v>
      </c>
      <c r="AB490" s="63" t="s">
        <v>3265</v>
      </c>
      <c r="AC490" s="205">
        <v>415.0</v>
      </c>
      <c r="AD490" s="208">
        <v>9.14471</v>
      </c>
      <c r="AE490" s="205">
        <v>109955.0</v>
      </c>
      <c r="AF490" s="205">
        <v>14702.0</v>
      </c>
      <c r="AG490" s="205">
        <v>283.0</v>
      </c>
      <c r="AH490" s="205">
        <v>42.0</v>
      </c>
      <c r="AI490" s="205">
        <v>3.0</v>
      </c>
      <c r="AJ490" s="205">
        <v>373.0</v>
      </c>
      <c r="AK490" s="205">
        <v>0.0</v>
      </c>
      <c r="AL490" s="205">
        <v>1.0</v>
      </c>
      <c r="AM490" s="205">
        <v>0.0</v>
      </c>
      <c r="AN490" s="205">
        <v>0.0</v>
      </c>
      <c r="AO490" s="208">
        <v>4.08653</v>
      </c>
      <c r="AP490" s="208">
        <v>5.29278</v>
      </c>
      <c r="AQ490" s="208">
        <v>6.66144</v>
      </c>
      <c r="AR490" s="208">
        <v>3.69532</v>
      </c>
      <c r="AT490" s="192" t="s">
        <v>896</v>
      </c>
      <c r="AU490" s="211" t="s">
        <v>895</v>
      </c>
      <c r="AV490" s="211" t="s">
        <v>3266</v>
      </c>
      <c r="AW490" s="211" t="s">
        <v>3267</v>
      </c>
      <c r="AX490" s="211" t="s">
        <v>896</v>
      </c>
      <c r="AY490" s="212">
        <v>2.5</v>
      </c>
      <c r="AZ490" s="213">
        <v>4.0</v>
      </c>
      <c r="BA490" s="213">
        <v>4.0</v>
      </c>
      <c r="BB490" s="213">
        <v>3.5</v>
      </c>
      <c r="BC490" s="212">
        <v>6.5</v>
      </c>
      <c r="BD490" s="213">
        <v>10.0</v>
      </c>
      <c r="BE490" s="213">
        <v>10.0</v>
      </c>
      <c r="BF490" s="213">
        <v>9.799999999999999</v>
      </c>
      <c r="BG490" s="212">
        <v>9.666666666666668</v>
      </c>
      <c r="BH490" s="213">
        <v>9.75</v>
      </c>
      <c r="BI490" s="213">
        <v>6.327160493431924E-4</v>
      </c>
      <c r="BJ490" s="213">
        <v>6.40432098104308E-4</v>
      </c>
      <c r="BK490" s="213">
        <v>178.5</v>
      </c>
      <c r="BL490" s="212">
        <v>5.5</v>
      </c>
      <c r="BM490" s="213">
        <v>5.375</v>
      </c>
      <c r="BN490" s="213">
        <v>0.0012654320986863847</v>
      </c>
      <c r="BO490" s="213">
        <v>0.001280864196208616</v>
      </c>
      <c r="BP490" s="213">
        <v>89.25</v>
      </c>
      <c r="BQ490" s="192"/>
      <c r="BR490" s="192"/>
    </row>
    <row r="491">
      <c r="A491" s="60"/>
      <c r="B491" s="205">
        <v>99407.0</v>
      </c>
      <c r="C491" s="205">
        <v>28257.0</v>
      </c>
      <c r="D491" s="205">
        <v>1.0</v>
      </c>
      <c r="E491" s="207">
        <v>40635.011342592596</v>
      </c>
      <c r="F491" s="207">
        <v>40818.585810185185</v>
      </c>
      <c r="G491" s="207">
        <v>40812.088738425926</v>
      </c>
      <c r="H491" s="63" t="s">
        <v>3259</v>
      </c>
      <c r="I491" s="205">
        <v>119.0</v>
      </c>
      <c r="J491" s="63" t="s">
        <v>3260</v>
      </c>
      <c r="K491" s="205">
        <v>185422.0</v>
      </c>
      <c r="L491" s="208">
        <v>4.66739</v>
      </c>
      <c r="M491" s="208">
        <v>2.3097</v>
      </c>
      <c r="N491" s="208">
        <v>2.15164</v>
      </c>
      <c r="O491" s="209">
        <v>5.0</v>
      </c>
      <c r="P491" s="209">
        <v>8.0</v>
      </c>
      <c r="Q491" s="209">
        <v>8.0</v>
      </c>
      <c r="R491" s="209">
        <v>7.0</v>
      </c>
      <c r="S491" s="210">
        <v>9.490740740147885E-4</v>
      </c>
      <c r="T491" s="63" t="s">
        <v>3261</v>
      </c>
      <c r="U491" s="205">
        <v>2.0</v>
      </c>
      <c r="V491" s="205">
        <v>2.0</v>
      </c>
      <c r="W491" s="63" t="s">
        <v>3262</v>
      </c>
      <c r="X491" s="210">
        <v>9.606481471564621E-4</v>
      </c>
      <c r="Y491" s="63" t="s">
        <v>3263</v>
      </c>
      <c r="Z491" s="63" t="s">
        <v>3264</v>
      </c>
      <c r="AA491" s="205">
        <v>0.0</v>
      </c>
      <c r="AB491" s="63" t="s">
        <v>3265</v>
      </c>
      <c r="AC491" s="205">
        <v>415.0</v>
      </c>
      <c r="AD491" s="208">
        <v>9.14471</v>
      </c>
      <c r="AE491" s="205">
        <v>109955.0</v>
      </c>
      <c r="AF491" s="205">
        <v>14702.0</v>
      </c>
      <c r="AG491" s="205">
        <v>283.0</v>
      </c>
      <c r="AH491" s="205">
        <v>42.0</v>
      </c>
      <c r="AI491" s="205">
        <v>3.0</v>
      </c>
      <c r="AJ491" s="205">
        <v>373.0</v>
      </c>
      <c r="AK491" s="205">
        <v>0.0</v>
      </c>
      <c r="AL491" s="205">
        <v>1.0</v>
      </c>
      <c r="AM491" s="205">
        <v>0.0</v>
      </c>
      <c r="AN491" s="205">
        <v>0.0</v>
      </c>
      <c r="AO491" s="208">
        <v>4.08653</v>
      </c>
      <c r="AP491" s="208">
        <v>5.29278</v>
      </c>
      <c r="AQ491" s="208">
        <v>6.66144</v>
      </c>
      <c r="AR491" s="208">
        <v>3.69532</v>
      </c>
      <c r="AT491" s="192" t="s">
        <v>896</v>
      </c>
      <c r="AU491" s="211" t="s">
        <v>895</v>
      </c>
      <c r="AV491" s="211" t="s">
        <v>3266</v>
      </c>
      <c r="AW491" s="211" t="s">
        <v>3267</v>
      </c>
      <c r="AX491" s="211" t="s">
        <v>896</v>
      </c>
      <c r="AY491" s="212">
        <v>2.5</v>
      </c>
      <c r="AZ491" s="213">
        <v>4.0</v>
      </c>
      <c r="BA491" s="213">
        <v>4.0</v>
      </c>
      <c r="BB491" s="213">
        <v>3.5</v>
      </c>
      <c r="BC491" s="212">
        <v>6.5</v>
      </c>
      <c r="BD491" s="213">
        <v>10.0</v>
      </c>
      <c r="BE491" s="213">
        <v>10.0</v>
      </c>
      <c r="BF491" s="213">
        <v>9.799999999999999</v>
      </c>
      <c r="BG491" s="212">
        <v>9.666666666666668</v>
      </c>
      <c r="BH491" s="213">
        <v>9.75</v>
      </c>
      <c r="BI491" s="213">
        <v>6.327160493431924E-4</v>
      </c>
      <c r="BJ491" s="213">
        <v>6.40432098104308E-4</v>
      </c>
      <c r="BK491" s="213">
        <v>178.5</v>
      </c>
      <c r="BL491" s="212">
        <v>5.5</v>
      </c>
      <c r="BM491" s="213">
        <v>5.375</v>
      </c>
      <c r="BN491" s="213">
        <v>0.0012654320986863847</v>
      </c>
      <c r="BO491" s="213">
        <v>0.001280864196208616</v>
      </c>
      <c r="BP491" s="213">
        <v>89.25</v>
      </c>
      <c r="BQ491" s="192"/>
      <c r="BR491" s="192"/>
    </row>
    <row r="492">
      <c r="A492" s="60"/>
      <c r="B492" s="205">
        <v>58701.0</v>
      </c>
      <c r="C492" s="205">
        <v>16371.0</v>
      </c>
      <c r="D492" s="205">
        <v>1.0</v>
      </c>
      <c r="E492" s="207">
        <v>40327.25667824074</v>
      </c>
      <c r="F492" s="207">
        <v>40570.89674768518</v>
      </c>
      <c r="G492" s="207">
        <v>40538.495092592595</v>
      </c>
      <c r="H492" s="63" t="s">
        <v>1037</v>
      </c>
      <c r="I492" s="205">
        <v>155.0</v>
      </c>
      <c r="J492" s="63" t="s">
        <v>813</v>
      </c>
      <c r="K492" s="205">
        <v>107485.0</v>
      </c>
      <c r="L492" s="208">
        <v>5.0039</v>
      </c>
      <c r="M492" s="208">
        <v>2.49512</v>
      </c>
      <c r="N492" s="208">
        <v>2.28398</v>
      </c>
      <c r="O492" s="209">
        <v>5.0</v>
      </c>
      <c r="P492" s="209">
        <v>8.0</v>
      </c>
      <c r="Q492" s="209">
        <v>8.0</v>
      </c>
      <c r="R492" s="209">
        <v>6.0</v>
      </c>
      <c r="S492" s="210">
        <v>0.0018634259249665774</v>
      </c>
      <c r="T492" s="63" t="s">
        <v>1123</v>
      </c>
      <c r="U492" s="205">
        <v>2.0</v>
      </c>
      <c r="V492" s="205">
        <v>2.0</v>
      </c>
      <c r="W492" s="63" t="s">
        <v>3268</v>
      </c>
      <c r="X492" s="210">
        <v>0.0019791666672972497</v>
      </c>
      <c r="Y492" s="63" t="s">
        <v>1125</v>
      </c>
      <c r="Z492" s="63" t="s">
        <v>3269</v>
      </c>
      <c r="AA492" s="205">
        <v>0.0</v>
      </c>
      <c r="AB492" s="63" t="s">
        <v>3270</v>
      </c>
      <c r="AC492" s="205">
        <v>46.0</v>
      </c>
      <c r="AD492" s="208">
        <v>9.10688</v>
      </c>
      <c r="AE492" s="205">
        <v>123319.0</v>
      </c>
      <c r="AF492" s="205">
        <v>13550.0</v>
      </c>
      <c r="AG492" s="205">
        <v>403.0</v>
      </c>
      <c r="AH492" s="205">
        <v>164.0</v>
      </c>
      <c r="AI492" s="205">
        <v>6.0</v>
      </c>
      <c r="AJ492" s="205">
        <v>783.0</v>
      </c>
      <c r="AK492" s="205">
        <v>0.0</v>
      </c>
      <c r="AL492" s="205">
        <v>0.0</v>
      </c>
      <c r="AM492" s="205">
        <v>0.0</v>
      </c>
      <c r="AN492" s="205">
        <v>0.0</v>
      </c>
      <c r="AO492" s="208">
        <v>4.5059</v>
      </c>
      <c r="AP492" s="208">
        <v>5.57391</v>
      </c>
      <c r="AQ492" s="208">
        <v>6.94801</v>
      </c>
      <c r="AR492" s="208">
        <v>4.00158</v>
      </c>
      <c r="AT492" s="192" t="s">
        <v>812</v>
      </c>
      <c r="AU492" s="211" t="s">
        <v>897</v>
      </c>
      <c r="AV492" s="211" t="s">
        <v>3271</v>
      </c>
      <c r="AW492" s="211" t="s">
        <v>3272</v>
      </c>
      <c r="AX492" s="211" t="s">
        <v>812</v>
      </c>
      <c r="AY492" s="212">
        <v>2.5</v>
      </c>
      <c r="AZ492" s="213">
        <v>4.0</v>
      </c>
      <c r="BA492" s="213">
        <v>4.0</v>
      </c>
      <c r="BB492" s="213">
        <v>3.0</v>
      </c>
      <c r="BC492" s="212">
        <v>6.5</v>
      </c>
      <c r="BD492" s="213">
        <v>10.0</v>
      </c>
      <c r="BE492" s="213">
        <v>10.0</v>
      </c>
      <c r="BF492" s="213">
        <v>8.399999999999999</v>
      </c>
      <c r="BG492" s="212">
        <v>9.666666666666668</v>
      </c>
      <c r="BH492" s="213">
        <v>9.75</v>
      </c>
      <c r="BI492" s="213">
        <v>0.0012422839499777183</v>
      </c>
      <c r="BJ492" s="213">
        <v>0.001319444444864833</v>
      </c>
      <c r="BK492" s="213">
        <v>232.5</v>
      </c>
      <c r="BL492" s="212">
        <v>5.5</v>
      </c>
      <c r="BM492" s="213">
        <v>5.375</v>
      </c>
      <c r="BN492" s="213">
        <v>0.0024845678999554366</v>
      </c>
      <c r="BO492" s="213">
        <v>0.002638888889729666</v>
      </c>
      <c r="BP492" s="213">
        <v>116.25</v>
      </c>
      <c r="BQ492" s="192"/>
      <c r="BR492" s="192"/>
    </row>
    <row r="493">
      <c r="A493" s="60"/>
      <c r="B493" s="205">
        <v>1707909.0</v>
      </c>
      <c r="C493" s="205">
        <v>749304.0</v>
      </c>
      <c r="D493" s="205">
        <v>1.0</v>
      </c>
      <c r="E493" s="207">
        <v>43174.740173611106</v>
      </c>
      <c r="F493" s="207">
        <v>43565.09741898148</v>
      </c>
      <c r="G493" s="207">
        <v>43557.53084490741</v>
      </c>
      <c r="H493" s="63" t="s">
        <v>1009</v>
      </c>
      <c r="I493" s="205">
        <v>170.0</v>
      </c>
      <c r="J493" s="63" t="s">
        <v>804</v>
      </c>
      <c r="K493" s="205">
        <v>4930630.0</v>
      </c>
      <c r="L493" s="208">
        <v>3.88453</v>
      </c>
      <c r="M493" s="208">
        <v>1.79894</v>
      </c>
      <c r="N493" s="208">
        <v>1.91527</v>
      </c>
      <c r="O493" s="209">
        <v>4.0</v>
      </c>
      <c r="P493" s="209">
        <v>8.0</v>
      </c>
      <c r="Q493" s="209">
        <v>6.0</v>
      </c>
      <c r="R493" s="209">
        <v>5.0</v>
      </c>
      <c r="S493" s="210">
        <v>0.0024537037024856545</v>
      </c>
      <c r="T493" s="63" t="s">
        <v>3273</v>
      </c>
      <c r="U493" s="205">
        <v>2.0</v>
      </c>
      <c r="V493" s="205">
        <v>5.0</v>
      </c>
      <c r="W493" s="63" t="s">
        <v>3274</v>
      </c>
      <c r="X493" s="210">
        <v>0.00251157407546998</v>
      </c>
      <c r="Y493" s="63" t="s">
        <v>1443</v>
      </c>
      <c r="Z493" s="63" t="s">
        <v>3275</v>
      </c>
      <c r="AA493" s="205">
        <v>0.0</v>
      </c>
      <c r="AB493" s="63" t="s">
        <v>3276</v>
      </c>
      <c r="AC493" s="205">
        <v>671.0</v>
      </c>
      <c r="AD493" s="208">
        <v>9.49738</v>
      </c>
      <c r="AE493" s="205">
        <v>115074.0</v>
      </c>
      <c r="AF493" s="205">
        <v>32247.0</v>
      </c>
      <c r="AG493" s="205">
        <v>359.0</v>
      </c>
      <c r="AH493" s="205">
        <v>337.0</v>
      </c>
      <c r="AI493" s="205">
        <v>5.0</v>
      </c>
      <c r="AJ493" s="205">
        <v>1179.0</v>
      </c>
      <c r="AK493" s="205">
        <v>0.0</v>
      </c>
      <c r="AL493" s="205">
        <v>0.0</v>
      </c>
      <c r="AM493" s="205">
        <v>0.0</v>
      </c>
      <c r="AN493" s="205">
        <v>0.0</v>
      </c>
      <c r="AO493" s="208">
        <v>3.5351</v>
      </c>
      <c r="AP493" s="208">
        <v>4.0418</v>
      </c>
      <c r="AQ493" s="208">
        <v>5.48578</v>
      </c>
      <c r="AR493" s="208">
        <v>3.11596</v>
      </c>
      <c r="AT493" s="192" t="s">
        <v>803</v>
      </c>
      <c r="AU493" s="211" t="s">
        <v>898</v>
      </c>
      <c r="AV493" s="211" t="s">
        <v>3277</v>
      </c>
      <c r="AW493" s="211" t="s">
        <v>3278</v>
      </c>
      <c r="AX493" s="211" t="s">
        <v>803</v>
      </c>
      <c r="AY493" s="212">
        <v>2.0</v>
      </c>
      <c r="AZ493" s="213">
        <v>4.0</v>
      </c>
      <c r="BA493" s="213">
        <v>3.0</v>
      </c>
      <c r="BB493" s="213">
        <v>2.5</v>
      </c>
      <c r="BC493" s="212">
        <v>5.2</v>
      </c>
      <c r="BD493" s="213">
        <v>10.0</v>
      </c>
      <c r="BE493" s="213">
        <v>8.399999999999999</v>
      </c>
      <c r="BF493" s="213">
        <v>7.0</v>
      </c>
      <c r="BG493" s="212">
        <v>9.666666666666668</v>
      </c>
      <c r="BH493" s="213">
        <v>8.416666666666666</v>
      </c>
      <c r="BI493" s="213">
        <v>0.0016358024683237697</v>
      </c>
      <c r="BJ493" s="213">
        <v>0.0016743827169799867</v>
      </c>
      <c r="BK493" s="213">
        <v>255.0</v>
      </c>
      <c r="BL493" s="212">
        <v>5.5</v>
      </c>
      <c r="BM493" s="213">
        <v>2.375</v>
      </c>
      <c r="BN493" s="213">
        <v>0.0032716049366475395</v>
      </c>
      <c r="BO493" s="213">
        <v>0.0033487654339599735</v>
      </c>
      <c r="BP493" s="213">
        <v>127.5</v>
      </c>
      <c r="BQ493" s="192"/>
      <c r="BR493" s="192"/>
    </row>
    <row r="494">
      <c r="A494" s="60"/>
      <c r="B494" s="205">
        <v>3772514.0</v>
      </c>
      <c r="C494" s="205">
        <v>1817644.0</v>
      </c>
      <c r="D494" s="205">
        <v>1.0</v>
      </c>
      <c r="E494" s="207">
        <v>44772.125289351854</v>
      </c>
      <c r="F494" s="207">
        <v>44833.46265046296</v>
      </c>
      <c r="G494" s="207">
        <v>44826.42628472223</v>
      </c>
      <c r="H494" s="63" t="s">
        <v>3279</v>
      </c>
      <c r="I494" s="205">
        <v>160.0</v>
      </c>
      <c r="J494" s="63" t="s">
        <v>392</v>
      </c>
      <c r="K494" s="205">
        <v>3807986.0</v>
      </c>
      <c r="L494" s="208">
        <v>3.80256</v>
      </c>
      <c r="M494" s="208">
        <v>1.65728</v>
      </c>
      <c r="N494" s="208">
        <v>1.95411</v>
      </c>
      <c r="O494" s="209">
        <v>4.0</v>
      </c>
      <c r="P494" s="209">
        <v>8.0</v>
      </c>
      <c r="Q494" s="209">
        <v>7.0</v>
      </c>
      <c r="R494" s="209">
        <v>5.0</v>
      </c>
      <c r="S494" s="210">
        <v>0.0011458333319751546</v>
      </c>
      <c r="T494" s="63" t="s">
        <v>3280</v>
      </c>
      <c r="U494" s="205">
        <v>10.0</v>
      </c>
      <c r="V494" s="205">
        <v>5.0</v>
      </c>
      <c r="W494" s="63" t="s">
        <v>3281</v>
      </c>
      <c r="X494" s="210">
        <v>0.0013888888897781726</v>
      </c>
      <c r="Y494" s="63" t="s">
        <v>3282</v>
      </c>
      <c r="Z494" s="63" t="s">
        <v>3283</v>
      </c>
      <c r="AA494" s="205">
        <v>0.0</v>
      </c>
      <c r="AB494" s="63" t="s">
        <v>3284</v>
      </c>
      <c r="AC494" s="205">
        <v>203.0</v>
      </c>
      <c r="AD494" s="208">
        <v>9.05298</v>
      </c>
      <c r="AE494" s="205">
        <v>24247.0</v>
      </c>
      <c r="AF494" s="205">
        <v>5716.0</v>
      </c>
      <c r="AG494" s="205">
        <v>177.0</v>
      </c>
      <c r="AH494" s="205">
        <v>157.0</v>
      </c>
      <c r="AI494" s="205">
        <v>3.0</v>
      </c>
      <c r="AJ494" s="205">
        <v>526.0</v>
      </c>
      <c r="AK494" s="205">
        <v>0.0</v>
      </c>
      <c r="AL494" s="205">
        <v>0.0</v>
      </c>
      <c r="AM494" s="205">
        <v>0.0</v>
      </c>
      <c r="AN494" s="205">
        <v>0.0</v>
      </c>
      <c r="AO494" s="208">
        <v>3.51382</v>
      </c>
      <c r="AP494" s="208">
        <v>3.94961</v>
      </c>
      <c r="AQ494" s="208">
        <v>5.33606</v>
      </c>
      <c r="AR494" s="208">
        <v>2.99144</v>
      </c>
      <c r="AT494" s="192" t="s">
        <v>900</v>
      </c>
      <c r="AU494" s="211" t="s">
        <v>899</v>
      </c>
      <c r="AV494" s="211" t="s">
        <v>3285</v>
      </c>
      <c r="AW494" s="211" t="s">
        <v>3286</v>
      </c>
      <c r="AX494" s="211" t="s">
        <v>900</v>
      </c>
      <c r="AY494" s="212">
        <v>2.0</v>
      </c>
      <c r="AZ494" s="213">
        <v>4.0</v>
      </c>
      <c r="BA494" s="213">
        <v>3.5</v>
      </c>
      <c r="BB494" s="213">
        <v>2.5</v>
      </c>
      <c r="BC494" s="212">
        <v>5.2</v>
      </c>
      <c r="BD494" s="213">
        <v>10.0</v>
      </c>
      <c r="BE494" s="213">
        <v>9.799999999999999</v>
      </c>
      <c r="BF494" s="213">
        <v>7.0</v>
      </c>
      <c r="BG494" s="212">
        <v>9.666666666666668</v>
      </c>
      <c r="BH494" s="213">
        <v>9.083333333333334</v>
      </c>
      <c r="BI494" s="213">
        <v>7.638888879834363E-4</v>
      </c>
      <c r="BJ494" s="213">
        <v>9.259259265187817E-4</v>
      </c>
      <c r="BK494" s="213">
        <v>240.0</v>
      </c>
      <c r="BL494" s="212">
        <v>5.5</v>
      </c>
      <c r="BM494" s="213">
        <v>3.875</v>
      </c>
      <c r="BN494" s="213">
        <v>0.0015277777759668727</v>
      </c>
      <c r="BO494" s="213">
        <v>0.0018518518530375634</v>
      </c>
      <c r="BP494" s="213">
        <v>120.0</v>
      </c>
      <c r="BQ494" s="192"/>
      <c r="BR494" s="192"/>
    </row>
    <row r="495">
      <c r="A495" s="60"/>
      <c r="B495" s="205">
        <v>3772514.0</v>
      </c>
      <c r="C495" s="205">
        <v>1817644.0</v>
      </c>
      <c r="D495" s="205">
        <v>1.0</v>
      </c>
      <c r="E495" s="207">
        <v>44772.125289351854</v>
      </c>
      <c r="F495" s="207">
        <v>44833.46265046296</v>
      </c>
      <c r="G495" s="207">
        <v>44826.42628472223</v>
      </c>
      <c r="H495" s="63" t="s">
        <v>3279</v>
      </c>
      <c r="I495" s="205">
        <v>160.0</v>
      </c>
      <c r="J495" s="63" t="s">
        <v>392</v>
      </c>
      <c r="K495" s="205">
        <v>3807986.0</v>
      </c>
      <c r="L495" s="208">
        <v>3.80256</v>
      </c>
      <c r="M495" s="208">
        <v>1.65728</v>
      </c>
      <c r="N495" s="208">
        <v>1.95411</v>
      </c>
      <c r="O495" s="209">
        <v>4.0</v>
      </c>
      <c r="P495" s="209">
        <v>8.0</v>
      </c>
      <c r="Q495" s="209">
        <v>7.0</v>
      </c>
      <c r="R495" s="209">
        <v>5.0</v>
      </c>
      <c r="S495" s="210">
        <v>0.0011458333319751546</v>
      </c>
      <c r="T495" s="63" t="s">
        <v>3280</v>
      </c>
      <c r="U495" s="205">
        <v>10.0</v>
      </c>
      <c r="V495" s="205">
        <v>5.0</v>
      </c>
      <c r="W495" s="63" t="s">
        <v>3281</v>
      </c>
      <c r="X495" s="210">
        <v>0.0013888888897781726</v>
      </c>
      <c r="Y495" s="63" t="s">
        <v>3282</v>
      </c>
      <c r="Z495" s="63" t="s">
        <v>3283</v>
      </c>
      <c r="AA495" s="205">
        <v>0.0</v>
      </c>
      <c r="AB495" s="63" t="s">
        <v>3284</v>
      </c>
      <c r="AC495" s="205">
        <v>203.0</v>
      </c>
      <c r="AD495" s="208">
        <v>9.05298</v>
      </c>
      <c r="AE495" s="205">
        <v>24247.0</v>
      </c>
      <c r="AF495" s="205">
        <v>5716.0</v>
      </c>
      <c r="AG495" s="205">
        <v>177.0</v>
      </c>
      <c r="AH495" s="205">
        <v>157.0</v>
      </c>
      <c r="AI495" s="205">
        <v>3.0</v>
      </c>
      <c r="AJ495" s="205">
        <v>526.0</v>
      </c>
      <c r="AK495" s="205">
        <v>0.0</v>
      </c>
      <c r="AL495" s="205">
        <v>0.0</v>
      </c>
      <c r="AM495" s="205">
        <v>0.0</v>
      </c>
      <c r="AN495" s="205">
        <v>0.0</v>
      </c>
      <c r="AO495" s="208">
        <v>3.51382</v>
      </c>
      <c r="AP495" s="208">
        <v>3.94961</v>
      </c>
      <c r="AQ495" s="208">
        <v>5.33606</v>
      </c>
      <c r="AR495" s="208">
        <v>2.99144</v>
      </c>
      <c r="AT495" s="192" t="s">
        <v>900</v>
      </c>
      <c r="AU495" s="211" t="s">
        <v>899</v>
      </c>
      <c r="AV495" s="211" t="s">
        <v>3285</v>
      </c>
      <c r="AW495" s="211" t="s">
        <v>3286</v>
      </c>
      <c r="AX495" s="211" t="s">
        <v>900</v>
      </c>
      <c r="AY495" s="212">
        <v>2.0</v>
      </c>
      <c r="AZ495" s="213">
        <v>4.0</v>
      </c>
      <c r="BA495" s="213">
        <v>3.5</v>
      </c>
      <c r="BB495" s="213">
        <v>2.5</v>
      </c>
      <c r="BC495" s="212">
        <v>5.2</v>
      </c>
      <c r="BD495" s="213">
        <v>10.0</v>
      </c>
      <c r="BE495" s="213">
        <v>9.799999999999999</v>
      </c>
      <c r="BF495" s="213">
        <v>7.0</v>
      </c>
      <c r="BG495" s="212">
        <v>9.666666666666668</v>
      </c>
      <c r="BH495" s="213">
        <v>9.083333333333334</v>
      </c>
      <c r="BI495" s="213">
        <v>7.638888879834363E-4</v>
      </c>
      <c r="BJ495" s="213">
        <v>9.259259265187817E-4</v>
      </c>
      <c r="BK495" s="213">
        <v>240.0</v>
      </c>
      <c r="BL495" s="212">
        <v>5.5</v>
      </c>
      <c r="BM495" s="213">
        <v>3.875</v>
      </c>
      <c r="BN495" s="213">
        <v>0.0015277777759668727</v>
      </c>
      <c r="BO495" s="213">
        <v>0.0018518518530375634</v>
      </c>
      <c r="BP495" s="213">
        <v>120.0</v>
      </c>
      <c r="BQ495" s="192"/>
      <c r="BR495" s="192"/>
    </row>
    <row r="496">
      <c r="A496" s="60"/>
      <c r="B496" s="205">
        <v>862338.0</v>
      </c>
      <c r="C496" s="205">
        <v>396370.0</v>
      </c>
      <c r="D496" s="205">
        <v>1.0</v>
      </c>
      <c r="E496" s="207">
        <v>42363.12792824074</v>
      </c>
      <c r="F496" s="207">
        <v>42429.51414351852</v>
      </c>
      <c r="G496" s="207">
        <v>42421.559965277775</v>
      </c>
      <c r="H496" s="63" t="s">
        <v>996</v>
      </c>
      <c r="I496" s="205">
        <v>174.0</v>
      </c>
      <c r="J496" s="63" t="s">
        <v>682</v>
      </c>
      <c r="K496" s="205">
        <v>3250792.0</v>
      </c>
      <c r="L496" s="208">
        <v>6.01809</v>
      </c>
      <c r="M496" s="208">
        <v>2.98786</v>
      </c>
      <c r="N496" s="208">
        <v>2.76273</v>
      </c>
      <c r="O496" s="209">
        <v>4.0</v>
      </c>
      <c r="P496" s="209">
        <v>9.4</v>
      </c>
      <c r="Q496" s="209">
        <v>8.5</v>
      </c>
      <c r="R496" s="209">
        <v>6.0</v>
      </c>
      <c r="S496" s="210">
        <v>0.0033680555570754223</v>
      </c>
      <c r="U496" s="205">
        <v>10.0</v>
      </c>
      <c r="V496" s="205">
        <v>5.0</v>
      </c>
      <c r="W496" s="63" t="s">
        <v>3287</v>
      </c>
      <c r="X496" s="210">
        <v>0.0036111111112404615</v>
      </c>
      <c r="Y496" s="63" t="s">
        <v>3288</v>
      </c>
      <c r="Z496" s="63" t="s">
        <v>3289</v>
      </c>
      <c r="AA496" s="205">
        <v>0.0</v>
      </c>
      <c r="AB496" s="63" t="s">
        <v>3290</v>
      </c>
      <c r="AC496" s="205">
        <v>761.0</v>
      </c>
      <c r="AD496" s="208">
        <v>9.78167</v>
      </c>
      <c r="AE496" s="205">
        <v>757742.0</v>
      </c>
      <c r="AF496" s="205">
        <v>86156.0</v>
      </c>
      <c r="AG496" s="205">
        <v>694.0</v>
      </c>
      <c r="AH496" s="205">
        <v>629.0</v>
      </c>
      <c r="AI496" s="205">
        <v>3.0</v>
      </c>
      <c r="AJ496" s="205">
        <v>2186.0</v>
      </c>
      <c r="AK496" s="205">
        <v>1.0</v>
      </c>
      <c r="AL496" s="205">
        <v>0.0</v>
      </c>
      <c r="AM496" s="205">
        <v>0.0</v>
      </c>
      <c r="AN496" s="205">
        <v>0.0</v>
      </c>
      <c r="AO496" s="208">
        <v>5.47109</v>
      </c>
      <c r="AP496" s="208">
        <v>6.45862</v>
      </c>
      <c r="AQ496" s="208">
        <v>8.65928</v>
      </c>
      <c r="AR496" s="208">
        <v>4.73764</v>
      </c>
      <c r="AT496" s="192" t="s">
        <v>820</v>
      </c>
      <c r="AU496" s="211" t="s">
        <v>901</v>
      </c>
      <c r="AV496" s="211" t="s">
        <v>3291</v>
      </c>
      <c r="AW496" s="211" t="s">
        <v>3292</v>
      </c>
      <c r="AX496" s="211" t="s">
        <v>820</v>
      </c>
      <c r="AY496" s="212">
        <v>2.0</v>
      </c>
      <c r="AZ496" s="213">
        <v>4.7</v>
      </c>
      <c r="BA496" s="213">
        <v>4.25</v>
      </c>
      <c r="BB496" s="213">
        <v>3.0</v>
      </c>
      <c r="BC496" s="212">
        <v>5.2</v>
      </c>
      <c r="BD496" s="213">
        <v>10.0</v>
      </c>
      <c r="BE496" s="213">
        <v>10.0</v>
      </c>
      <c r="BF496" s="213">
        <v>8.399999999999999</v>
      </c>
      <c r="BG496" s="212">
        <v>10.6</v>
      </c>
      <c r="BH496" s="213">
        <v>10.083333333333334</v>
      </c>
      <c r="BI496" s="213">
        <v>0.002245370371383615</v>
      </c>
      <c r="BJ496" s="213">
        <v>0.002407407407493641</v>
      </c>
      <c r="BK496" s="213">
        <v>261.0</v>
      </c>
      <c r="BL496" s="212">
        <v>7.6</v>
      </c>
      <c r="BM496" s="213">
        <v>6.125</v>
      </c>
      <c r="BN496" s="213">
        <v>0.00449074074276723</v>
      </c>
      <c r="BO496" s="213">
        <v>0.004814814814987282</v>
      </c>
      <c r="BP496" s="213">
        <v>130.5</v>
      </c>
      <c r="BQ496" s="192"/>
      <c r="BR496" s="192"/>
    </row>
    <row r="497">
      <c r="A497" s="60"/>
      <c r="B497" s="205">
        <v>3711612.0</v>
      </c>
      <c r="C497" s="205">
        <v>1809604.0</v>
      </c>
      <c r="D497" s="205">
        <v>1.0</v>
      </c>
      <c r="E497" s="207">
        <v>44760.62954861111</v>
      </c>
      <c r="F497" s="207">
        <v>44835.07302083333</v>
      </c>
      <c r="G497" s="207">
        <v>44822.42192129629</v>
      </c>
      <c r="H497" s="63" t="s">
        <v>777</v>
      </c>
      <c r="I497" s="205">
        <v>163.0</v>
      </c>
      <c r="J497" s="63" t="s">
        <v>777</v>
      </c>
      <c r="K497" s="205">
        <v>7823498.0</v>
      </c>
      <c r="L497" s="208">
        <v>4.81674</v>
      </c>
      <c r="M497" s="208">
        <v>2.35223</v>
      </c>
      <c r="N497" s="208">
        <v>2.25631</v>
      </c>
      <c r="O497" s="209">
        <v>4.0</v>
      </c>
      <c r="P497" s="209">
        <v>7.0</v>
      </c>
      <c r="Q497" s="209">
        <v>8.0</v>
      </c>
      <c r="R497" s="209">
        <v>5.0</v>
      </c>
      <c r="S497" s="210">
        <v>0.0013194444436521735</v>
      </c>
      <c r="U497" s="205">
        <v>5.0</v>
      </c>
      <c r="V497" s="205">
        <v>3.0</v>
      </c>
      <c r="W497" s="63" t="s">
        <v>3293</v>
      </c>
      <c r="X497" s="210">
        <v>0.0013194444436521735</v>
      </c>
      <c r="Y497" s="63" t="s">
        <v>3294</v>
      </c>
      <c r="Z497" s="63" t="s">
        <v>3295</v>
      </c>
      <c r="AA497" s="205">
        <v>0.0</v>
      </c>
      <c r="AB497" s="63" t="s">
        <v>3296</v>
      </c>
      <c r="AC497" s="205">
        <v>375.0</v>
      </c>
      <c r="AD497" s="208">
        <v>8.6875</v>
      </c>
      <c r="AE497" s="205">
        <v>66205.0</v>
      </c>
      <c r="AF497" s="205">
        <v>9720.0</v>
      </c>
      <c r="AG497" s="205">
        <v>385.0</v>
      </c>
      <c r="AH497" s="205">
        <v>101.0</v>
      </c>
      <c r="AI497" s="205">
        <v>0.0</v>
      </c>
      <c r="AJ497" s="205">
        <v>588.0</v>
      </c>
      <c r="AK497" s="205">
        <v>0.0</v>
      </c>
      <c r="AL497" s="205">
        <v>0.0</v>
      </c>
      <c r="AM497" s="205">
        <v>0.0</v>
      </c>
      <c r="AN497" s="205">
        <v>0.0</v>
      </c>
      <c r="AO497" s="208">
        <v>4.48119</v>
      </c>
      <c r="AP497" s="208">
        <v>5.04282</v>
      </c>
      <c r="AQ497" s="208">
        <v>6.85162</v>
      </c>
      <c r="AR497" s="208">
        <v>3.74711</v>
      </c>
      <c r="AT497" s="192" t="s">
        <v>776</v>
      </c>
      <c r="AU497" s="211" t="s">
        <v>902</v>
      </c>
      <c r="AV497" s="211" t="s">
        <v>3297</v>
      </c>
      <c r="AW497" s="211" t="s">
        <v>3298</v>
      </c>
      <c r="AX497" s="211" t="s">
        <v>776</v>
      </c>
      <c r="AY497" s="212">
        <v>2.0</v>
      </c>
      <c r="AZ497" s="213">
        <v>3.5</v>
      </c>
      <c r="BA497" s="213">
        <v>4.0</v>
      </c>
      <c r="BB497" s="213">
        <v>2.5</v>
      </c>
      <c r="BC497" s="212">
        <v>5.2</v>
      </c>
      <c r="BD497" s="213">
        <v>9.799999999999999</v>
      </c>
      <c r="BE497" s="213">
        <v>10.0</v>
      </c>
      <c r="BF497" s="213">
        <v>7.0</v>
      </c>
      <c r="BG497" s="212">
        <v>9.0</v>
      </c>
      <c r="BH497" s="213">
        <v>9.75</v>
      </c>
      <c r="BI497" s="213">
        <v>8.79629629101449E-4</v>
      </c>
      <c r="BJ497" s="213">
        <v>8.79629629101449E-4</v>
      </c>
      <c r="BK497" s="213">
        <v>244.5</v>
      </c>
      <c r="BL497" s="212">
        <v>4.0</v>
      </c>
      <c r="BM497" s="213">
        <v>5.375</v>
      </c>
      <c r="BN497" s="213">
        <v>0.001759259258202898</v>
      </c>
      <c r="BO497" s="213">
        <v>0.001759259258202898</v>
      </c>
      <c r="BP497" s="213">
        <v>122.25</v>
      </c>
      <c r="BQ497" s="192"/>
      <c r="BR497" s="192"/>
    </row>
    <row r="498">
      <c r="A498" s="60"/>
      <c r="B498" s="205">
        <v>3711612.0</v>
      </c>
      <c r="C498" s="205">
        <v>1809604.0</v>
      </c>
      <c r="D498" s="205">
        <v>1.0</v>
      </c>
      <c r="E498" s="207">
        <v>44760.62954861111</v>
      </c>
      <c r="F498" s="207">
        <v>44835.07302083333</v>
      </c>
      <c r="G498" s="207">
        <v>44822.4219212963</v>
      </c>
      <c r="H498" s="63" t="s">
        <v>777</v>
      </c>
      <c r="I498" s="205">
        <v>163.0</v>
      </c>
      <c r="J498" s="63" t="s">
        <v>777</v>
      </c>
      <c r="K498" s="205">
        <v>7823498.0</v>
      </c>
      <c r="L498" s="208">
        <v>4.81674</v>
      </c>
      <c r="M498" s="208">
        <v>2.35223</v>
      </c>
      <c r="N498" s="208">
        <v>2.25631</v>
      </c>
      <c r="O498" s="209">
        <v>4.0</v>
      </c>
      <c r="P498" s="209">
        <v>7.0</v>
      </c>
      <c r="Q498" s="209">
        <v>8.0</v>
      </c>
      <c r="R498" s="209">
        <v>5.0</v>
      </c>
      <c r="S498" s="210">
        <v>0.0013194444444444445</v>
      </c>
      <c r="U498" s="205">
        <v>5.0</v>
      </c>
      <c r="V498" s="205">
        <v>3.0</v>
      </c>
      <c r="W498" s="63" t="s">
        <v>3293</v>
      </c>
      <c r="X498" s="210">
        <v>0.0013194444444444445</v>
      </c>
      <c r="Y498" s="63" t="s">
        <v>3294</v>
      </c>
      <c r="Z498" s="63" t="s">
        <v>3295</v>
      </c>
      <c r="AA498" s="205">
        <v>0.0</v>
      </c>
      <c r="AB498" s="63" t="s">
        <v>3296</v>
      </c>
      <c r="AC498" s="205">
        <v>375.0</v>
      </c>
      <c r="AD498" s="208">
        <v>8.6875</v>
      </c>
      <c r="AE498" s="205">
        <v>66205.0</v>
      </c>
      <c r="AF498" s="205">
        <v>9720.0</v>
      </c>
      <c r="AG498" s="205">
        <v>385.0</v>
      </c>
      <c r="AH498" s="205">
        <v>101.0</v>
      </c>
      <c r="AI498" s="205">
        <v>0.0</v>
      </c>
      <c r="AJ498" s="205">
        <v>588.0</v>
      </c>
      <c r="AK498" s="205">
        <v>0.0</v>
      </c>
      <c r="AL498" s="205">
        <v>0.0</v>
      </c>
      <c r="AM498" s="205">
        <v>0.0</v>
      </c>
      <c r="AN498" s="205">
        <v>0.0</v>
      </c>
      <c r="AO498" s="208">
        <v>4.48119</v>
      </c>
      <c r="AP498" s="208">
        <v>5.04282</v>
      </c>
      <c r="AQ498" s="208">
        <v>6.85162</v>
      </c>
      <c r="AR498" s="208">
        <v>3.74711</v>
      </c>
      <c r="AT498" s="192" t="s">
        <v>776</v>
      </c>
      <c r="AU498" s="211" t="s">
        <v>902</v>
      </c>
      <c r="AV498" s="211" t="s">
        <v>3297</v>
      </c>
      <c r="AW498" s="211" t="s">
        <v>3298</v>
      </c>
      <c r="AX498" s="211" t="s">
        <v>776</v>
      </c>
      <c r="AY498" s="212">
        <v>2.0</v>
      </c>
      <c r="AZ498" s="213">
        <v>3.5</v>
      </c>
      <c r="BA498" s="213">
        <v>4.0</v>
      </c>
      <c r="BB498" s="213">
        <v>2.5</v>
      </c>
      <c r="BC498" s="212">
        <v>5.2</v>
      </c>
      <c r="BD498" s="213">
        <v>9.799999999999999</v>
      </c>
      <c r="BE498" s="213">
        <v>10.0</v>
      </c>
      <c r="BF498" s="213">
        <v>7.0</v>
      </c>
      <c r="BG498" s="212">
        <v>9.0</v>
      </c>
      <c r="BH498" s="213">
        <v>9.75</v>
      </c>
      <c r="BI498" s="213">
        <v>8.796296296296296E-4</v>
      </c>
      <c r="BJ498" s="213">
        <v>8.796296296296296E-4</v>
      </c>
      <c r="BK498" s="213">
        <v>244.5</v>
      </c>
      <c r="BL498" s="212">
        <v>4.0</v>
      </c>
      <c r="BM498" s="213">
        <v>5.375</v>
      </c>
      <c r="BN498" s="213">
        <v>0.0017592592592592592</v>
      </c>
      <c r="BO498" s="213">
        <v>0.0017592592592592592</v>
      </c>
      <c r="BP498" s="213">
        <v>122.25</v>
      </c>
      <c r="BQ498" s="192"/>
      <c r="BR498" s="192"/>
    </row>
    <row r="499">
      <c r="A499" s="60"/>
      <c r="B499" s="205">
        <v>2519731.0</v>
      </c>
      <c r="C499" s="205">
        <v>1130251.0</v>
      </c>
      <c r="D499" s="205">
        <v>1.0</v>
      </c>
      <c r="E499" s="207">
        <v>43912.57310185185</v>
      </c>
      <c r="F499" s="207">
        <v>44030.58724537037</v>
      </c>
      <c r="G499" s="207">
        <v>44023.486979166664</v>
      </c>
      <c r="H499" s="63" t="s">
        <v>1033</v>
      </c>
      <c r="I499" s="205">
        <v>170.0</v>
      </c>
      <c r="J499" s="63" t="s">
        <v>800</v>
      </c>
      <c r="K499" s="205">
        <v>5875419.0</v>
      </c>
      <c r="L499" s="208">
        <v>4.08663</v>
      </c>
      <c r="M499" s="208">
        <v>1.95359</v>
      </c>
      <c r="N499" s="208">
        <v>1.95838</v>
      </c>
      <c r="O499" s="209">
        <v>4.0</v>
      </c>
      <c r="P499" s="209">
        <v>8.5</v>
      </c>
      <c r="Q499" s="209">
        <v>7.0</v>
      </c>
      <c r="R499" s="209">
        <v>5.0</v>
      </c>
      <c r="S499" s="210">
        <v>0.002638888888888889</v>
      </c>
      <c r="T499" s="63" t="s">
        <v>3299</v>
      </c>
      <c r="U499" s="205">
        <v>5.0</v>
      </c>
      <c r="V499" s="205">
        <v>3.0</v>
      </c>
      <c r="W499" s="63" t="s">
        <v>3300</v>
      </c>
      <c r="X499" s="210">
        <v>0.002766203703703704</v>
      </c>
      <c r="Y499" s="63" t="s">
        <v>2830</v>
      </c>
      <c r="Z499" s="63" t="s">
        <v>3301</v>
      </c>
      <c r="AA499" s="205">
        <v>0.0</v>
      </c>
      <c r="AB499" s="63" t="s">
        <v>3302</v>
      </c>
      <c r="AC499" s="205">
        <v>388.0</v>
      </c>
      <c r="AD499" s="208">
        <v>9.4051</v>
      </c>
      <c r="AE499" s="205">
        <v>172044.0</v>
      </c>
      <c r="AF499" s="205">
        <v>45945.0</v>
      </c>
      <c r="AG499" s="205">
        <v>376.0</v>
      </c>
      <c r="AH499" s="205">
        <v>337.0</v>
      </c>
      <c r="AI499" s="205">
        <v>2.0</v>
      </c>
      <c r="AJ499" s="205">
        <v>1107.0</v>
      </c>
      <c r="AK499" s="205">
        <v>0.0</v>
      </c>
      <c r="AL499" s="205">
        <v>0.0</v>
      </c>
      <c r="AM499" s="205">
        <v>0.0</v>
      </c>
      <c r="AN499" s="205">
        <v>0.0</v>
      </c>
      <c r="AO499" s="208">
        <v>3.72637</v>
      </c>
      <c r="AP499" s="208">
        <v>4.29636</v>
      </c>
      <c r="AQ499" s="208">
        <v>5.72936</v>
      </c>
      <c r="AR499" s="208">
        <v>3.28143</v>
      </c>
      <c r="AT499" s="192" t="s">
        <v>799</v>
      </c>
      <c r="AU499" s="211" t="s">
        <v>903</v>
      </c>
      <c r="AV499" s="211" t="s">
        <v>3303</v>
      </c>
      <c r="AW499" s="211" t="s">
        <v>3304</v>
      </c>
      <c r="AX499" s="211" t="s">
        <v>799</v>
      </c>
      <c r="AY499" s="212">
        <v>2.0</v>
      </c>
      <c r="AZ499" s="213">
        <v>4.25</v>
      </c>
      <c r="BA499" s="213">
        <v>3.5</v>
      </c>
      <c r="BB499" s="213">
        <v>2.5</v>
      </c>
      <c r="BC499" s="212">
        <v>5.2</v>
      </c>
      <c r="BD499" s="213">
        <v>10.0</v>
      </c>
      <c r="BE499" s="213">
        <v>9.799999999999999</v>
      </c>
      <c r="BF499" s="213">
        <v>7.0</v>
      </c>
      <c r="BG499" s="212">
        <v>10.0</v>
      </c>
      <c r="BH499" s="213">
        <v>9.083333333333334</v>
      </c>
      <c r="BI499" s="213">
        <v>0.0017592592592592592</v>
      </c>
      <c r="BJ499" s="213">
        <v>0.0018441358024691358</v>
      </c>
      <c r="BK499" s="213">
        <v>255.0</v>
      </c>
      <c r="BL499" s="212">
        <v>6.25</v>
      </c>
      <c r="BM499" s="213">
        <v>3.875</v>
      </c>
      <c r="BN499" s="213">
        <v>0.0035185185185185185</v>
      </c>
      <c r="BO499" s="213">
        <v>0.0036882716049382717</v>
      </c>
      <c r="BP499" s="213">
        <v>127.5</v>
      </c>
      <c r="BQ499" s="192"/>
      <c r="BR499" s="192"/>
    </row>
    <row r="500">
      <c r="A500" s="60"/>
      <c r="E500" s="215"/>
      <c r="F500" s="215"/>
      <c r="G500" s="215"/>
      <c r="L500" s="216"/>
      <c r="M500" s="216"/>
      <c r="N500" s="216"/>
      <c r="O500" s="217"/>
      <c r="P500" s="217"/>
      <c r="Q500" s="217"/>
      <c r="R500" s="217"/>
      <c r="S500" s="218"/>
      <c r="X500" s="218"/>
      <c r="AD500" s="216"/>
      <c r="AO500" s="216"/>
      <c r="AP500" s="216"/>
      <c r="AQ500" s="216"/>
      <c r="AR500" s="216"/>
      <c r="AT500" s="192"/>
      <c r="AU500" s="192"/>
      <c r="AV500" s="192"/>
      <c r="AW500" s="192"/>
      <c r="AX500" s="192"/>
      <c r="AY500" s="212"/>
      <c r="AZ500" s="213"/>
      <c r="BA500" s="213"/>
      <c r="BB500" s="213"/>
      <c r="BC500" s="212"/>
      <c r="BD500" s="213"/>
      <c r="BE500" s="213"/>
      <c r="BF500" s="213"/>
      <c r="BG500" s="212"/>
      <c r="BH500" s="213"/>
      <c r="BI500" s="213"/>
      <c r="BJ500" s="213"/>
      <c r="BK500" s="213"/>
      <c r="BL500" s="212"/>
      <c r="BM500" s="213"/>
      <c r="BN500" s="213"/>
      <c r="BO500" s="213"/>
      <c r="BP500" s="213"/>
      <c r="BQ500" s="192"/>
      <c r="BR500" s="192"/>
    </row>
    <row r="501">
      <c r="A501" s="60"/>
      <c r="E501" s="215"/>
      <c r="F501" s="215"/>
      <c r="G501" s="215"/>
      <c r="L501" s="216"/>
      <c r="M501" s="216"/>
      <c r="N501" s="216"/>
      <c r="O501" s="217"/>
      <c r="P501" s="217"/>
      <c r="Q501" s="217"/>
      <c r="R501" s="217"/>
      <c r="S501" s="218"/>
      <c r="X501" s="218"/>
      <c r="AD501" s="216"/>
      <c r="AO501" s="216"/>
      <c r="AP501" s="216"/>
      <c r="AQ501" s="216"/>
      <c r="AR501" s="216"/>
      <c r="AT501" s="192"/>
      <c r="AU501" s="192"/>
      <c r="AV501" s="192"/>
      <c r="AW501" s="192"/>
      <c r="AX501" s="192"/>
      <c r="AY501" s="212"/>
      <c r="AZ501" s="213"/>
      <c r="BA501" s="213"/>
      <c r="BB501" s="213"/>
      <c r="BC501" s="212"/>
      <c r="BD501" s="213"/>
      <c r="BE501" s="213"/>
      <c r="BF501" s="213"/>
      <c r="BG501" s="212"/>
      <c r="BH501" s="213"/>
      <c r="BI501" s="213"/>
      <c r="BJ501" s="213"/>
      <c r="BK501" s="213"/>
      <c r="BL501" s="212"/>
      <c r="BM501" s="213"/>
      <c r="BN501" s="213"/>
      <c r="BO501" s="213"/>
      <c r="BP501" s="213"/>
      <c r="BQ501" s="192"/>
      <c r="BR501" s="192"/>
    </row>
    <row r="502">
      <c r="A502" s="60"/>
      <c r="E502" s="215"/>
      <c r="F502" s="215"/>
      <c r="G502" s="215"/>
      <c r="L502" s="216"/>
      <c r="M502" s="216"/>
      <c r="N502" s="216"/>
      <c r="O502" s="217"/>
      <c r="P502" s="217"/>
      <c r="Q502" s="217"/>
      <c r="R502" s="217"/>
      <c r="S502" s="218"/>
      <c r="X502" s="218"/>
      <c r="AD502" s="216"/>
      <c r="AO502" s="216"/>
      <c r="AP502" s="216"/>
      <c r="AQ502" s="216"/>
      <c r="AR502" s="216"/>
      <c r="AT502" s="192"/>
      <c r="AU502" s="192"/>
      <c r="AV502" s="192"/>
      <c r="AW502" s="192"/>
      <c r="AX502" s="192"/>
      <c r="AY502" s="212"/>
      <c r="AZ502" s="213"/>
      <c r="BA502" s="213"/>
      <c r="BB502" s="213"/>
      <c r="BC502" s="212"/>
      <c r="BD502" s="213"/>
      <c r="BE502" s="213"/>
      <c r="BF502" s="213"/>
      <c r="BG502" s="212"/>
      <c r="BH502" s="213"/>
      <c r="BI502" s="213"/>
      <c r="BJ502" s="213"/>
      <c r="BK502" s="213"/>
      <c r="BL502" s="212"/>
      <c r="BM502" s="213"/>
      <c r="BN502" s="213"/>
      <c r="BO502" s="213"/>
      <c r="BP502" s="213"/>
      <c r="BQ502" s="192"/>
      <c r="BR502" s="192"/>
    </row>
    <row r="503">
      <c r="A503" s="60"/>
      <c r="E503" s="215"/>
      <c r="F503" s="215"/>
      <c r="G503" s="215"/>
      <c r="L503" s="216"/>
      <c r="M503" s="216"/>
      <c r="N503" s="216"/>
      <c r="O503" s="217"/>
      <c r="P503" s="217"/>
      <c r="Q503" s="217"/>
      <c r="R503" s="217"/>
      <c r="S503" s="218"/>
      <c r="X503" s="218"/>
      <c r="AD503" s="216"/>
      <c r="AO503" s="216"/>
      <c r="AP503" s="216"/>
      <c r="AQ503" s="216"/>
      <c r="AR503" s="216"/>
      <c r="AT503" s="192"/>
      <c r="AU503" s="192"/>
      <c r="AV503" s="192"/>
      <c r="AW503" s="192"/>
      <c r="AX503" s="192"/>
      <c r="AY503" s="212"/>
      <c r="AZ503" s="213"/>
      <c r="BA503" s="213"/>
      <c r="BB503" s="213"/>
      <c r="BC503" s="212"/>
      <c r="BD503" s="213"/>
      <c r="BE503" s="213"/>
      <c r="BF503" s="213"/>
      <c r="BG503" s="212"/>
      <c r="BH503" s="213"/>
      <c r="BI503" s="213"/>
      <c r="BJ503" s="213"/>
      <c r="BK503" s="213"/>
      <c r="BL503" s="212"/>
      <c r="BM503" s="213"/>
      <c r="BN503" s="213"/>
      <c r="BO503" s="213"/>
      <c r="BP503" s="213"/>
      <c r="BQ503" s="192"/>
      <c r="BR503" s="192"/>
    </row>
    <row r="504">
      <c r="A504" s="60"/>
      <c r="E504" s="215"/>
      <c r="F504" s="215"/>
      <c r="G504" s="215"/>
      <c r="L504" s="216"/>
      <c r="M504" s="216"/>
      <c r="N504" s="216"/>
      <c r="O504" s="217"/>
      <c r="P504" s="217"/>
      <c r="Q504" s="217"/>
      <c r="R504" s="217"/>
      <c r="S504" s="218"/>
      <c r="X504" s="218"/>
      <c r="AD504" s="216"/>
      <c r="AO504" s="216"/>
      <c r="AP504" s="216"/>
      <c r="AQ504" s="216"/>
      <c r="AR504" s="216"/>
      <c r="AT504" s="192"/>
      <c r="AU504" s="192"/>
      <c r="AV504" s="192"/>
      <c r="AW504" s="192"/>
      <c r="AX504" s="192"/>
      <c r="AY504" s="212"/>
      <c r="AZ504" s="213"/>
      <c r="BA504" s="213"/>
      <c r="BB504" s="213"/>
      <c r="BC504" s="212"/>
      <c r="BD504" s="213"/>
      <c r="BE504" s="213"/>
      <c r="BF504" s="213"/>
      <c r="BG504" s="212"/>
      <c r="BH504" s="213"/>
      <c r="BI504" s="213"/>
      <c r="BJ504" s="213"/>
      <c r="BK504" s="213"/>
      <c r="BL504" s="212"/>
      <c r="BM504" s="213"/>
      <c r="BN504" s="213"/>
      <c r="BO504" s="213"/>
      <c r="BP504" s="213"/>
      <c r="BQ504" s="192"/>
      <c r="BR504" s="192"/>
    </row>
    <row r="505">
      <c r="A505" s="60"/>
      <c r="E505" s="215"/>
      <c r="F505" s="215"/>
      <c r="G505" s="215"/>
      <c r="L505" s="216"/>
      <c r="M505" s="216"/>
      <c r="N505" s="216"/>
      <c r="O505" s="217"/>
      <c r="P505" s="217"/>
      <c r="Q505" s="217"/>
      <c r="R505" s="217"/>
      <c r="S505" s="218"/>
      <c r="X505" s="218"/>
      <c r="AD505" s="216"/>
      <c r="AO505" s="216"/>
      <c r="AP505" s="216"/>
      <c r="AQ505" s="216"/>
      <c r="AR505" s="216"/>
      <c r="AT505" s="192"/>
      <c r="AU505" s="192"/>
      <c r="AV505" s="192"/>
      <c r="AW505" s="192"/>
      <c r="AX505" s="192"/>
      <c r="AY505" s="212"/>
      <c r="AZ505" s="213"/>
      <c r="BA505" s="213"/>
      <c r="BB505" s="213"/>
      <c r="BC505" s="212"/>
      <c r="BD505" s="213"/>
      <c r="BE505" s="213"/>
      <c r="BF505" s="213"/>
      <c r="BG505" s="212"/>
      <c r="BH505" s="213"/>
      <c r="BI505" s="213"/>
      <c r="BJ505" s="213"/>
      <c r="BK505" s="213"/>
      <c r="BL505" s="212"/>
      <c r="BM505" s="213"/>
      <c r="BN505" s="213"/>
      <c r="BO505" s="213"/>
      <c r="BP505" s="213"/>
      <c r="BQ505" s="192"/>
      <c r="BR505" s="192"/>
    </row>
    <row r="506">
      <c r="A506" s="60"/>
      <c r="E506" s="215"/>
      <c r="F506" s="215"/>
      <c r="G506" s="215"/>
      <c r="L506" s="216"/>
      <c r="M506" s="216"/>
      <c r="N506" s="216"/>
      <c r="O506" s="217"/>
      <c r="P506" s="217"/>
      <c r="Q506" s="217"/>
      <c r="R506" s="217"/>
      <c r="S506" s="218"/>
      <c r="X506" s="218"/>
      <c r="AD506" s="216"/>
      <c r="AO506" s="216"/>
      <c r="AP506" s="216"/>
      <c r="AQ506" s="216"/>
      <c r="AR506" s="216"/>
      <c r="AT506" s="192"/>
      <c r="AU506" s="192"/>
      <c r="AV506" s="192"/>
      <c r="AW506" s="192"/>
      <c r="AX506" s="192"/>
      <c r="AY506" s="212"/>
      <c r="AZ506" s="213"/>
      <c r="BA506" s="213"/>
      <c r="BB506" s="213"/>
      <c r="BC506" s="212"/>
      <c r="BD506" s="213"/>
      <c r="BE506" s="213"/>
      <c r="BF506" s="213"/>
      <c r="BG506" s="212"/>
      <c r="BH506" s="213"/>
      <c r="BI506" s="213"/>
      <c r="BJ506" s="213"/>
      <c r="BK506" s="213"/>
      <c r="BL506" s="212"/>
      <c r="BM506" s="213"/>
      <c r="BN506" s="213"/>
      <c r="BO506" s="213"/>
      <c r="BP506" s="213"/>
      <c r="BQ506" s="192"/>
      <c r="BR506" s="192"/>
    </row>
    <row r="507">
      <c r="A507" s="60"/>
      <c r="E507" s="215"/>
      <c r="F507" s="215"/>
      <c r="G507" s="215"/>
      <c r="L507" s="216"/>
      <c r="M507" s="216"/>
      <c r="N507" s="216"/>
      <c r="O507" s="217"/>
      <c r="P507" s="217"/>
      <c r="Q507" s="217"/>
      <c r="R507" s="217"/>
      <c r="S507" s="218"/>
      <c r="X507" s="218"/>
      <c r="AD507" s="216"/>
      <c r="AO507" s="216"/>
      <c r="AP507" s="216"/>
      <c r="AQ507" s="216"/>
      <c r="AR507" s="216"/>
      <c r="AT507" s="192"/>
      <c r="AU507" s="192"/>
      <c r="AV507" s="192"/>
      <c r="AW507" s="192"/>
      <c r="AX507" s="192"/>
      <c r="AY507" s="212"/>
      <c r="AZ507" s="213"/>
      <c r="BA507" s="213"/>
      <c r="BB507" s="213"/>
      <c r="BC507" s="212"/>
      <c r="BD507" s="213"/>
      <c r="BE507" s="213"/>
      <c r="BF507" s="213"/>
      <c r="BG507" s="212"/>
      <c r="BH507" s="213"/>
      <c r="BI507" s="213"/>
      <c r="BJ507" s="213"/>
      <c r="BK507" s="213"/>
      <c r="BL507" s="212"/>
      <c r="BM507" s="213"/>
      <c r="BN507" s="213"/>
      <c r="BO507" s="213"/>
      <c r="BP507" s="213"/>
      <c r="BQ507" s="192"/>
      <c r="BR507" s="192"/>
    </row>
    <row r="508">
      <c r="A508" s="60"/>
      <c r="E508" s="215"/>
      <c r="F508" s="215"/>
      <c r="G508" s="215"/>
      <c r="L508" s="216"/>
      <c r="M508" s="216"/>
      <c r="N508" s="216"/>
      <c r="O508" s="217"/>
      <c r="P508" s="217"/>
      <c r="Q508" s="217"/>
      <c r="R508" s="217"/>
      <c r="S508" s="218"/>
      <c r="X508" s="218"/>
      <c r="AD508" s="216"/>
      <c r="AO508" s="216"/>
      <c r="AP508" s="216"/>
      <c r="AQ508" s="216"/>
      <c r="AR508" s="216"/>
      <c r="AT508" s="192"/>
      <c r="AU508" s="192"/>
      <c r="AV508" s="192"/>
      <c r="AW508" s="192"/>
      <c r="AX508" s="192"/>
      <c r="AY508" s="212"/>
      <c r="AZ508" s="213"/>
      <c r="BA508" s="213"/>
      <c r="BB508" s="213"/>
      <c r="BC508" s="212"/>
      <c r="BD508" s="213"/>
      <c r="BE508" s="213"/>
      <c r="BF508" s="213"/>
      <c r="BG508" s="212"/>
      <c r="BH508" s="213"/>
      <c r="BI508" s="213"/>
      <c r="BJ508" s="213"/>
      <c r="BK508" s="213"/>
      <c r="BL508" s="212"/>
      <c r="BM508" s="213"/>
      <c r="BN508" s="213"/>
      <c r="BO508" s="213"/>
      <c r="BP508" s="213"/>
      <c r="BQ508" s="192"/>
      <c r="BR508" s="192"/>
    </row>
    <row r="509">
      <c r="A509" s="60"/>
      <c r="E509" s="215"/>
      <c r="F509" s="215"/>
      <c r="G509" s="215"/>
      <c r="L509" s="216"/>
      <c r="M509" s="216"/>
      <c r="N509" s="216"/>
      <c r="O509" s="217"/>
      <c r="P509" s="217"/>
      <c r="Q509" s="217"/>
      <c r="R509" s="217"/>
      <c r="S509" s="218"/>
      <c r="X509" s="218"/>
      <c r="AD509" s="216"/>
      <c r="AO509" s="216"/>
      <c r="AP509" s="216"/>
      <c r="AQ509" s="216"/>
      <c r="AR509" s="216"/>
      <c r="AT509" s="192"/>
      <c r="AU509" s="192"/>
      <c r="AV509" s="192"/>
      <c r="AW509" s="192"/>
      <c r="AX509" s="192"/>
      <c r="AY509" s="212"/>
      <c r="AZ509" s="213"/>
      <c r="BA509" s="213"/>
      <c r="BB509" s="213"/>
      <c r="BC509" s="212"/>
      <c r="BD509" s="213"/>
      <c r="BE509" s="213"/>
      <c r="BF509" s="213"/>
      <c r="BG509" s="212"/>
      <c r="BH509" s="213"/>
      <c r="BI509" s="213"/>
      <c r="BJ509" s="213"/>
      <c r="BK509" s="213"/>
      <c r="BL509" s="212"/>
      <c r="BM509" s="213"/>
      <c r="BN509" s="213"/>
      <c r="BO509" s="213"/>
      <c r="BP509" s="213"/>
      <c r="BQ509" s="192"/>
      <c r="BR509" s="192"/>
    </row>
    <row r="510">
      <c r="A510" s="60"/>
      <c r="E510" s="215"/>
      <c r="F510" s="215"/>
      <c r="G510" s="215"/>
      <c r="L510" s="216"/>
      <c r="M510" s="216"/>
      <c r="N510" s="216"/>
      <c r="O510" s="217"/>
      <c r="P510" s="217"/>
      <c r="Q510" s="217"/>
      <c r="R510" s="217"/>
      <c r="S510" s="218"/>
      <c r="X510" s="218"/>
      <c r="AD510" s="216"/>
      <c r="AO510" s="216"/>
      <c r="AP510" s="216"/>
      <c r="AQ510" s="216"/>
      <c r="AR510" s="216"/>
      <c r="AT510" s="192"/>
      <c r="AU510" s="192"/>
      <c r="AV510" s="192"/>
      <c r="AW510" s="192"/>
      <c r="AX510" s="192"/>
      <c r="AY510" s="212"/>
      <c r="AZ510" s="213"/>
      <c r="BA510" s="213"/>
      <c r="BB510" s="213"/>
      <c r="BC510" s="212"/>
      <c r="BD510" s="213"/>
      <c r="BE510" s="213"/>
      <c r="BF510" s="213"/>
      <c r="BG510" s="212"/>
      <c r="BH510" s="213"/>
      <c r="BI510" s="213"/>
      <c r="BJ510" s="213"/>
      <c r="BK510" s="213"/>
      <c r="BL510" s="212"/>
      <c r="BM510" s="213"/>
      <c r="BN510" s="213"/>
      <c r="BO510" s="213"/>
      <c r="BP510" s="213"/>
      <c r="BQ510" s="192"/>
      <c r="BR510" s="192"/>
    </row>
    <row r="511">
      <c r="A511" s="60"/>
      <c r="E511" s="215"/>
      <c r="F511" s="215"/>
      <c r="G511" s="215"/>
      <c r="L511" s="216"/>
      <c r="M511" s="216"/>
      <c r="N511" s="216"/>
      <c r="O511" s="217"/>
      <c r="P511" s="217"/>
      <c r="Q511" s="217"/>
      <c r="R511" s="217"/>
      <c r="S511" s="218"/>
      <c r="X511" s="218"/>
      <c r="AD511" s="216"/>
      <c r="AO511" s="216"/>
      <c r="AP511" s="216"/>
      <c r="AQ511" s="216"/>
      <c r="AR511" s="216"/>
      <c r="AT511" s="192"/>
      <c r="AU511" s="192"/>
      <c r="AV511" s="192"/>
      <c r="AW511" s="192"/>
      <c r="AX511" s="192"/>
      <c r="AY511" s="212"/>
      <c r="AZ511" s="213"/>
      <c r="BA511" s="213"/>
      <c r="BB511" s="213"/>
      <c r="BC511" s="212"/>
      <c r="BD511" s="213"/>
      <c r="BE511" s="213"/>
      <c r="BF511" s="213"/>
      <c r="BG511" s="212"/>
      <c r="BH511" s="213"/>
      <c r="BI511" s="213"/>
      <c r="BJ511" s="213"/>
      <c r="BK511" s="213"/>
      <c r="BL511" s="212"/>
      <c r="BM511" s="213"/>
      <c r="BN511" s="213"/>
      <c r="BO511" s="213"/>
      <c r="BP511" s="213"/>
      <c r="BQ511" s="192"/>
      <c r="BR511" s="192"/>
    </row>
    <row r="512">
      <c r="A512" s="60"/>
      <c r="E512" s="215"/>
      <c r="F512" s="215"/>
      <c r="G512" s="215"/>
      <c r="L512" s="216"/>
      <c r="M512" s="216"/>
      <c r="N512" s="216"/>
      <c r="O512" s="217"/>
      <c r="P512" s="217"/>
      <c r="Q512" s="217"/>
      <c r="R512" s="217"/>
      <c r="S512" s="218"/>
      <c r="X512" s="218"/>
      <c r="AD512" s="216"/>
      <c r="AO512" s="216"/>
      <c r="AP512" s="216"/>
      <c r="AQ512" s="216"/>
      <c r="AR512" s="216"/>
      <c r="AT512" s="192"/>
      <c r="AU512" s="192"/>
      <c r="AV512" s="192"/>
      <c r="AW512" s="192"/>
      <c r="AX512" s="192"/>
      <c r="AY512" s="212"/>
      <c r="AZ512" s="213"/>
      <c r="BA512" s="213"/>
      <c r="BB512" s="213"/>
      <c r="BC512" s="212"/>
      <c r="BD512" s="213"/>
      <c r="BE512" s="213"/>
      <c r="BF512" s="213"/>
      <c r="BG512" s="212"/>
      <c r="BH512" s="213"/>
      <c r="BI512" s="213"/>
      <c r="BJ512" s="213"/>
      <c r="BK512" s="213"/>
      <c r="BL512" s="212"/>
      <c r="BM512" s="213"/>
      <c r="BN512" s="213"/>
      <c r="BO512" s="213"/>
      <c r="BP512" s="213"/>
      <c r="BQ512" s="192"/>
      <c r="BR512" s="192"/>
    </row>
    <row r="513">
      <c r="A513" s="60"/>
      <c r="E513" s="215"/>
      <c r="F513" s="215"/>
      <c r="G513" s="215"/>
      <c r="L513" s="216"/>
      <c r="M513" s="216"/>
      <c r="N513" s="216"/>
      <c r="O513" s="217"/>
      <c r="P513" s="217"/>
      <c r="Q513" s="217"/>
      <c r="R513" s="217"/>
      <c r="S513" s="218"/>
      <c r="X513" s="218"/>
      <c r="AD513" s="216"/>
      <c r="AO513" s="216"/>
      <c r="AP513" s="216"/>
      <c r="AQ513" s="216"/>
      <c r="AR513" s="216"/>
      <c r="AT513" s="192"/>
      <c r="AU513" s="192"/>
      <c r="AV513" s="192"/>
      <c r="AW513" s="192"/>
      <c r="AX513" s="192"/>
      <c r="AY513" s="212"/>
      <c r="AZ513" s="213"/>
      <c r="BA513" s="213"/>
      <c r="BB513" s="213"/>
      <c r="BC513" s="212"/>
      <c r="BD513" s="213"/>
      <c r="BE513" s="213"/>
      <c r="BF513" s="213"/>
      <c r="BG513" s="212"/>
      <c r="BH513" s="213"/>
      <c r="BI513" s="213"/>
      <c r="BJ513" s="213"/>
      <c r="BK513" s="213"/>
      <c r="BL513" s="212"/>
      <c r="BM513" s="213"/>
      <c r="BN513" s="213"/>
      <c r="BO513" s="213"/>
      <c r="BP513" s="213"/>
      <c r="BQ513" s="192"/>
      <c r="BR513" s="192"/>
    </row>
    <row r="514">
      <c r="A514" s="60"/>
      <c r="E514" s="215"/>
      <c r="F514" s="215"/>
      <c r="G514" s="215"/>
      <c r="L514" s="216"/>
      <c r="M514" s="216"/>
      <c r="N514" s="216"/>
      <c r="O514" s="217"/>
      <c r="P514" s="217"/>
      <c r="Q514" s="217"/>
      <c r="R514" s="217"/>
      <c r="S514" s="218"/>
      <c r="X514" s="218"/>
      <c r="AD514" s="216"/>
      <c r="AO514" s="216"/>
      <c r="AP514" s="216"/>
      <c r="AQ514" s="216"/>
      <c r="AR514" s="216"/>
      <c r="AT514" s="192"/>
      <c r="AU514" s="192"/>
      <c r="AV514" s="192"/>
      <c r="AW514" s="192"/>
      <c r="AX514" s="192"/>
      <c r="AY514" s="212"/>
      <c r="AZ514" s="213"/>
      <c r="BA514" s="213"/>
      <c r="BB514" s="213"/>
      <c r="BC514" s="212"/>
      <c r="BD514" s="213"/>
      <c r="BE514" s="213"/>
      <c r="BF514" s="213"/>
      <c r="BG514" s="212"/>
      <c r="BH514" s="213"/>
      <c r="BI514" s="213"/>
      <c r="BJ514" s="213"/>
      <c r="BK514" s="213"/>
      <c r="BL514" s="212"/>
      <c r="BM514" s="213"/>
      <c r="BN514" s="213"/>
      <c r="BO514" s="213"/>
      <c r="BP514" s="213"/>
      <c r="BQ514" s="192"/>
      <c r="BR514" s="192"/>
    </row>
    <row r="515">
      <c r="A515" s="60"/>
      <c r="E515" s="215"/>
      <c r="F515" s="215"/>
      <c r="G515" s="215"/>
      <c r="L515" s="216"/>
      <c r="M515" s="216"/>
      <c r="N515" s="216"/>
      <c r="O515" s="217"/>
      <c r="P515" s="217"/>
      <c r="Q515" s="217"/>
      <c r="R515" s="217"/>
      <c r="S515" s="218"/>
      <c r="X515" s="218"/>
      <c r="AD515" s="216"/>
      <c r="AO515" s="216"/>
      <c r="AP515" s="216"/>
      <c r="AQ515" s="216"/>
      <c r="AR515" s="216"/>
      <c r="AT515" s="192"/>
      <c r="AU515" s="192"/>
      <c r="AV515" s="192"/>
      <c r="AW515" s="192"/>
      <c r="AX515" s="192"/>
      <c r="AY515" s="212"/>
      <c r="AZ515" s="213"/>
      <c r="BA515" s="213"/>
      <c r="BB515" s="213"/>
      <c r="BC515" s="212"/>
      <c r="BD515" s="213"/>
      <c r="BE515" s="213"/>
      <c r="BF515" s="213"/>
      <c r="BG515" s="212"/>
      <c r="BH515" s="213"/>
      <c r="BI515" s="213"/>
      <c r="BJ515" s="213"/>
      <c r="BK515" s="213"/>
      <c r="BL515" s="212"/>
      <c r="BM515" s="213"/>
      <c r="BN515" s="213"/>
      <c r="BO515" s="213"/>
      <c r="BP515" s="213"/>
      <c r="BQ515" s="192"/>
      <c r="BR515" s="192"/>
    </row>
    <row r="516">
      <c r="A516" s="60"/>
      <c r="E516" s="215"/>
      <c r="F516" s="215"/>
      <c r="G516" s="215"/>
      <c r="L516" s="216"/>
      <c r="M516" s="216"/>
      <c r="N516" s="216"/>
      <c r="O516" s="217"/>
      <c r="P516" s="217"/>
      <c r="Q516" s="217"/>
      <c r="R516" s="217"/>
      <c r="S516" s="218"/>
      <c r="X516" s="218"/>
      <c r="AD516" s="216"/>
      <c r="AO516" s="216"/>
      <c r="AP516" s="216"/>
      <c r="AQ516" s="216"/>
      <c r="AR516" s="216"/>
      <c r="AT516" s="192"/>
      <c r="AU516" s="192"/>
      <c r="AV516" s="192"/>
      <c r="AW516" s="192"/>
      <c r="AX516" s="192"/>
      <c r="AY516" s="212"/>
      <c r="AZ516" s="213"/>
      <c r="BA516" s="213"/>
      <c r="BB516" s="213"/>
      <c r="BC516" s="212"/>
      <c r="BD516" s="213"/>
      <c r="BE516" s="213"/>
      <c r="BF516" s="213"/>
      <c r="BG516" s="212"/>
      <c r="BH516" s="213"/>
      <c r="BI516" s="213"/>
      <c r="BJ516" s="213"/>
      <c r="BK516" s="213"/>
      <c r="BL516" s="212"/>
      <c r="BM516" s="213"/>
      <c r="BN516" s="213"/>
      <c r="BO516" s="213"/>
      <c r="BP516" s="213"/>
      <c r="BQ516" s="192"/>
      <c r="BR516" s="192"/>
    </row>
    <row r="517">
      <c r="A517" s="60"/>
      <c r="E517" s="215"/>
      <c r="F517" s="215"/>
      <c r="G517" s="215"/>
      <c r="L517" s="216"/>
      <c r="M517" s="216"/>
      <c r="N517" s="216"/>
      <c r="O517" s="217"/>
      <c r="P517" s="217"/>
      <c r="Q517" s="217"/>
      <c r="R517" s="217"/>
      <c r="S517" s="218"/>
      <c r="X517" s="218"/>
      <c r="AD517" s="216"/>
      <c r="AO517" s="216"/>
      <c r="AP517" s="216"/>
      <c r="AQ517" s="216"/>
      <c r="AR517" s="216"/>
      <c r="AT517" s="192"/>
      <c r="AU517" s="192"/>
      <c r="AV517" s="192"/>
      <c r="AW517" s="192"/>
      <c r="AX517" s="192"/>
      <c r="AY517" s="212"/>
      <c r="AZ517" s="213"/>
      <c r="BA517" s="213"/>
      <c r="BB517" s="213"/>
      <c r="BC517" s="212"/>
      <c r="BD517" s="213"/>
      <c r="BE517" s="213"/>
      <c r="BF517" s="213"/>
      <c r="BG517" s="212"/>
      <c r="BH517" s="213"/>
      <c r="BI517" s="213"/>
      <c r="BJ517" s="213"/>
      <c r="BK517" s="213"/>
      <c r="BL517" s="212"/>
      <c r="BM517" s="213"/>
      <c r="BN517" s="213"/>
      <c r="BO517" s="213"/>
      <c r="BP517" s="213"/>
      <c r="BQ517" s="192"/>
      <c r="BR517" s="192"/>
    </row>
    <row r="518">
      <c r="A518" s="60"/>
      <c r="E518" s="215"/>
      <c r="F518" s="215"/>
      <c r="G518" s="215"/>
      <c r="L518" s="216"/>
      <c r="M518" s="216"/>
      <c r="N518" s="216"/>
      <c r="O518" s="217"/>
      <c r="P518" s="217"/>
      <c r="Q518" s="217"/>
      <c r="R518" s="217"/>
      <c r="S518" s="218"/>
      <c r="X518" s="218"/>
      <c r="AD518" s="216"/>
      <c r="AO518" s="216"/>
      <c r="AP518" s="216"/>
      <c r="AQ518" s="216"/>
      <c r="AR518" s="216"/>
      <c r="AT518" s="192"/>
      <c r="AU518" s="192"/>
      <c r="AV518" s="192"/>
      <c r="AW518" s="192"/>
      <c r="AX518" s="192"/>
      <c r="AY518" s="212"/>
      <c r="AZ518" s="213"/>
      <c r="BA518" s="213"/>
      <c r="BB518" s="213"/>
      <c r="BC518" s="212"/>
      <c r="BD518" s="213"/>
      <c r="BE518" s="213"/>
      <c r="BF518" s="213"/>
      <c r="BG518" s="212"/>
      <c r="BH518" s="213"/>
      <c r="BI518" s="213"/>
      <c r="BJ518" s="213"/>
      <c r="BK518" s="213"/>
      <c r="BL518" s="212"/>
      <c r="BM518" s="213"/>
      <c r="BN518" s="213"/>
      <c r="BO518" s="213"/>
      <c r="BP518" s="213"/>
      <c r="BQ518" s="192"/>
      <c r="BR518" s="192"/>
    </row>
    <row r="519">
      <c r="A519" s="60"/>
      <c r="E519" s="215"/>
      <c r="F519" s="215"/>
      <c r="G519" s="215"/>
      <c r="L519" s="216"/>
      <c r="M519" s="216"/>
      <c r="N519" s="216"/>
      <c r="O519" s="217"/>
      <c r="P519" s="217"/>
      <c r="Q519" s="217"/>
      <c r="R519" s="217"/>
      <c r="S519" s="218"/>
      <c r="X519" s="218"/>
      <c r="AD519" s="216"/>
      <c r="AO519" s="216"/>
      <c r="AP519" s="216"/>
      <c r="AQ519" s="216"/>
      <c r="AR519" s="216"/>
      <c r="AT519" s="192"/>
      <c r="AU519" s="192"/>
      <c r="AV519" s="192"/>
      <c r="AW519" s="192"/>
      <c r="AX519" s="192"/>
      <c r="AY519" s="212"/>
      <c r="AZ519" s="213"/>
      <c r="BA519" s="213"/>
      <c r="BB519" s="213"/>
      <c r="BC519" s="212"/>
      <c r="BD519" s="213"/>
      <c r="BE519" s="213"/>
      <c r="BF519" s="213"/>
      <c r="BG519" s="212"/>
      <c r="BH519" s="213"/>
      <c r="BI519" s="213"/>
      <c r="BJ519" s="213"/>
      <c r="BK519" s="213"/>
      <c r="BL519" s="212"/>
      <c r="BM519" s="213"/>
      <c r="BN519" s="213"/>
      <c r="BO519" s="213"/>
      <c r="BP519" s="213"/>
      <c r="BQ519" s="192"/>
      <c r="BR519" s="192"/>
    </row>
    <row r="520">
      <c r="A520" s="60"/>
      <c r="E520" s="215"/>
      <c r="F520" s="215"/>
      <c r="G520" s="215"/>
      <c r="L520" s="216"/>
      <c r="M520" s="216"/>
      <c r="N520" s="216"/>
      <c r="O520" s="217"/>
      <c r="P520" s="217"/>
      <c r="Q520" s="217"/>
      <c r="R520" s="217"/>
      <c r="S520" s="218"/>
      <c r="X520" s="218"/>
      <c r="AD520" s="216"/>
      <c r="AO520" s="216"/>
      <c r="AP520" s="216"/>
      <c r="AQ520" s="216"/>
      <c r="AR520" s="216"/>
      <c r="AT520" s="192"/>
      <c r="AU520" s="192"/>
      <c r="AV520" s="192"/>
      <c r="AW520" s="192"/>
      <c r="AX520" s="192"/>
      <c r="AY520" s="212"/>
      <c r="AZ520" s="213"/>
      <c r="BA520" s="213"/>
      <c r="BB520" s="213"/>
      <c r="BC520" s="212"/>
      <c r="BD520" s="213"/>
      <c r="BE520" s="213"/>
      <c r="BF520" s="213"/>
      <c r="BG520" s="212"/>
      <c r="BH520" s="213"/>
      <c r="BI520" s="213"/>
      <c r="BJ520" s="213"/>
      <c r="BK520" s="213"/>
      <c r="BL520" s="212"/>
      <c r="BM520" s="213"/>
      <c r="BN520" s="213"/>
      <c r="BO520" s="213"/>
      <c r="BP520" s="213"/>
      <c r="BQ520" s="192"/>
      <c r="BR520" s="192"/>
    </row>
    <row r="521">
      <c r="A521" s="60"/>
      <c r="E521" s="215"/>
      <c r="F521" s="215"/>
      <c r="G521" s="215"/>
      <c r="L521" s="216"/>
      <c r="M521" s="216"/>
      <c r="N521" s="216"/>
      <c r="O521" s="217"/>
      <c r="P521" s="217"/>
      <c r="Q521" s="217"/>
      <c r="R521" s="217"/>
      <c r="S521" s="218"/>
      <c r="X521" s="218"/>
      <c r="AD521" s="216"/>
      <c r="AO521" s="216"/>
      <c r="AP521" s="216"/>
      <c r="AQ521" s="216"/>
      <c r="AR521" s="216"/>
      <c r="AT521" s="192"/>
      <c r="AU521" s="192"/>
      <c r="AV521" s="192"/>
      <c r="AW521" s="192"/>
      <c r="AX521" s="192"/>
      <c r="AY521" s="212"/>
      <c r="AZ521" s="213"/>
      <c r="BA521" s="213"/>
      <c r="BB521" s="213"/>
      <c r="BC521" s="212"/>
      <c r="BD521" s="213"/>
      <c r="BE521" s="213"/>
      <c r="BF521" s="213"/>
      <c r="BG521" s="212"/>
      <c r="BH521" s="213"/>
      <c r="BI521" s="213"/>
      <c r="BJ521" s="213"/>
      <c r="BK521" s="213"/>
      <c r="BL521" s="212"/>
      <c r="BM521" s="213"/>
      <c r="BN521" s="213"/>
      <c r="BO521" s="213"/>
      <c r="BP521" s="213"/>
      <c r="BQ521" s="192"/>
      <c r="BR521" s="192"/>
    </row>
    <row r="522">
      <c r="A522" s="60"/>
      <c r="E522" s="215"/>
      <c r="F522" s="215"/>
      <c r="G522" s="215"/>
      <c r="L522" s="216"/>
      <c r="M522" s="216"/>
      <c r="N522" s="216"/>
      <c r="O522" s="217"/>
      <c r="P522" s="217"/>
      <c r="Q522" s="217"/>
      <c r="R522" s="217"/>
      <c r="S522" s="218"/>
      <c r="X522" s="218"/>
      <c r="AD522" s="216"/>
      <c r="AO522" s="216"/>
      <c r="AP522" s="216"/>
      <c r="AQ522" s="216"/>
      <c r="AR522" s="216"/>
      <c r="AT522" s="192"/>
      <c r="AU522" s="192"/>
      <c r="AV522" s="192"/>
      <c r="AW522" s="192"/>
      <c r="AX522" s="192"/>
      <c r="AY522" s="212"/>
      <c r="AZ522" s="213"/>
      <c r="BA522" s="213"/>
      <c r="BB522" s="213"/>
      <c r="BC522" s="212"/>
      <c r="BD522" s="213"/>
      <c r="BE522" s="213"/>
      <c r="BF522" s="213"/>
      <c r="BG522" s="212"/>
      <c r="BH522" s="213"/>
      <c r="BI522" s="213"/>
      <c r="BJ522" s="213"/>
      <c r="BK522" s="213"/>
      <c r="BL522" s="212"/>
      <c r="BM522" s="213"/>
      <c r="BN522" s="213"/>
      <c r="BO522" s="213"/>
      <c r="BP522" s="213"/>
      <c r="BQ522" s="192"/>
      <c r="BR522" s="192"/>
    </row>
    <row r="523">
      <c r="A523" s="60"/>
      <c r="E523" s="215"/>
      <c r="F523" s="215"/>
      <c r="G523" s="215"/>
      <c r="L523" s="216"/>
      <c r="M523" s="216"/>
      <c r="N523" s="216"/>
      <c r="O523" s="217"/>
      <c r="P523" s="217"/>
      <c r="Q523" s="217"/>
      <c r="R523" s="217"/>
      <c r="S523" s="218"/>
      <c r="X523" s="218"/>
      <c r="AD523" s="216"/>
      <c r="AO523" s="216"/>
      <c r="AP523" s="216"/>
      <c r="AQ523" s="216"/>
      <c r="AR523" s="216"/>
      <c r="AT523" s="192"/>
      <c r="AU523" s="192"/>
      <c r="AV523" s="192"/>
      <c r="AW523" s="192"/>
      <c r="AX523" s="192"/>
      <c r="AY523" s="212"/>
      <c r="AZ523" s="213"/>
      <c r="BA523" s="213"/>
      <c r="BB523" s="213"/>
      <c r="BC523" s="212"/>
      <c r="BD523" s="213"/>
      <c r="BE523" s="213"/>
      <c r="BF523" s="213"/>
      <c r="BG523" s="212"/>
      <c r="BH523" s="213"/>
      <c r="BI523" s="213"/>
      <c r="BJ523" s="213"/>
      <c r="BK523" s="213"/>
      <c r="BL523" s="212"/>
      <c r="BM523" s="213"/>
      <c r="BN523" s="213"/>
      <c r="BO523" s="213"/>
      <c r="BP523" s="213"/>
      <c r="BQ523" s="192"/>
      <c r="BR523" s="192"/>
    </row>
    <row r="524">
      <c r="A524" s="60"/>
      <c r="E524" s="215"/>
      <c r="F524" s="215"/>
      <c r="G524" s="215"/>
      <c r="L524" s="216"/>
      <c r="M524" s="216"/>
      <c r="N524" s="216"/>
      <c r="O524" s="217"/>
      <c r="P524" s="217"/>
      <c r="Q524" s="217"/>
      <c r="R524" s="217"/>
      <c r="S524" s="218"/>
      <c r="X524" s="218"/>
      <c r="AD524" s="216"/>
      <c r="AO524" s="216"/>
      <c r="AP524" s="216"/>
      <c r="AQ524" s="216"/>
      <c r="AR524" s="216"/>
      <c r="AT524" s="192"/>
      <c r="AU524" s="192"/>
      <c r="AV524" s="192"/>
      <c r="AW524" s="192"/>
      <c r="AX524" s="192"/>
      <c r="AY524" s="212"/>
      <c r="AZ524" s="213"/>
      <c r="BA524" s="213"/>
      <c r="BB524" s="213"/>
      <c r="BC524" s="212"/>
      <c r="BD524" s="213"/>
      <c r="BE524" s="213"/>
      <c r="BF524" s="213"/>
      <c r="BG524" s="212"/>
      <c r="BH524" s="213"/>
      <c r="BI524" s="213"/>
      <c r="BJ524" s="213"/>
      <c r="BK524" s="213"/>
      <c r="BL524" s="212"/>
      <c r="BM524" s="213"/>
      <c r="BN524" s="213"/>
      <c r="BO524" s="213"/>
      <c r="BP524" s="213"/>
      <c r="BQ524" s="192"/>
      <c r="BR524" s="192"/>
    </row>
    <row r="525">
      <c r="A525" s="60"/>
      <c r="E525" s="215"/>
      <c r="F525" s="215"/>
      <c r="G525" s="215"/>
      <c r="L525" s="216"/>
      <c r="M525" s="216"/>
      <c r="N525" s="216"/>
      <c r="O525" s="217"/>
      <c r="P525" s="217"/>
      <c r="Q525" s="217"/>
      <c r="R525" s="217"/>
      <c r="S525" s="218"/>
      <c r="X525" s="218"/>
      <c r="AD525" s="216"/>
      <c r="AO525" s="216"/>
      <c r="AP525" s="216"/>
      <c r="AQ525" s="216"/>
      <c r="AR525" s="216"/>
      <c r="AT525" s="192"/>
      <c r="AU525" s="192"/>
      <c r="AV525" s="192"/>
      <c r="AW525" s="192"/>
      <c r="AX525" s="192"/>
      <c r="AY525" s="212"/>
      <c r="AZ525" s="213"/>
      <c r="BA525" s="213"/>
      <c r="BB525" s="213"/>
      <c r="BC525" s="212"/>
      <c r="BD525" s="213"/>
      <c r="BE525" s="213"/>
      <c r="BF525" s="213"/>
      <c r="BG525" s="212"/>
      <c r="BH525" s="213"/>
      <c r="BI525" s="213"/>
      <c r="BJ525" s="213"/>
      <c r="BK525" s="213"/>
      <c r="BL525" s="212"/>
      <c r="BM525" s="213"/>
      <c r="BN525" s="213"/>
      <c r="BO525" s="213"/>
      <c r="BP525" s="213"/>
      <c r="BQ525" s="192"/>
      <c r="BR525" s="192"/>
    </row>
    <row r="526">
      <c r="A526" s="60"/>
      <c r="E526" s="215"/>
      <c r="F526" s="215"/>
      <c r="G526" s="215"/>
      <c r="L526" s="216"/>
      <c r="M526" s="216"/>
      <c r="N526" s="216"/>
      <c r="O526" s="217"/>
      <c r="P526" s="217"/>
      <c r="Q526" s="217"/>
      <c r="R526" s="217"/>
      <c r="S526" s="218"/>
      <c r="X526" s="218"/>
      <c r="AD526" s="216"/>
      <c r="AO526" s="216"/>
      <c r="AP526" s="216"/>
      <c r="AQ526" s="216"/>
      <c r="AR526" s="216"/>
      <c r="AT526" s="192"/>
      <c r="AU526" s="192"/>
      <c r="AV526" s="192"/>
      <c r="AW526" s="192"/>
      <c r="AX526" s="192"/>
      <c r="AY526" s="212"/>
      <c r="AZ526" s="213"/>
      <c r="BA526" s="213"/>
      <c r="BB526" s="213"/>
      <c r="BC526" s="212"/>
      <c r="BD526" s="213"/>
      <c r="BE526" s="213"/>
      <c r="BF526" s="213"/>
      <c r="BG526" s="212"/>
      <c r="BH526" s="213"/>
      <c r="BI526" s="213"/>
      <c r="BJ526" s="213"/>
      <c r="BK526" s="213"/>
      <c r="BL526" s="212"/>
      <c r="BM526" s="213"/>
      <c r="BN526" s="213"/>
      <c r="BO526" s="213"/>
      <c r="BP526" s="213"/>
      <c r="BQ526" s="192"/>
      <c r="BR526" s="192"/>
    </row>
    <row r="527">
      <c r="A527" s="60"/>
      <c r="E527" s="215"/>
      <c r="F527" s="215"/>
      <c r="G527" s="215"/>
      <c r="L527" s="216"/>
      <c r="M527" s="216"/>
      <c r="N527" s="216"/>
      <c r="O527" s="217"/>
      <c r="P527" s="217"/>
      <c r="Q527" s="217"/>
      <c r="R527" s="217"/>
      <c r="S527" s="218"/>
      <c r="X527" s="218"/>
      <c r="AD527" s="216"/>
      <c r="AO527" s="216"/>
      <c r="AP527" s="216"/>
      <c r="AQ527" s="216"/>
      <c r="AR527" s="216"/>
      <c r="AT527" s="192"/>
      <c r="AU527" s="192"/>
      <c r="AV527" s="192"/>
      <c r="AW527" s="192"/>
      <c r="AX527" s="192"/>
      <c r="AY527" s="212"/>
      <c r="AZ527" s="213"/>
      <c r="BA527" s="213"/>
      <c r="BB527" s="213"/>
      <c r="BC527" s="212"/>
      <c r="BD527" s="213"/>
      <c r="BE527" s="213"/>
      <c r="BF527" s="213"/>
      <c r="BG527" s="212"/>
      <c r="BH527" s="213"/>
      <c r="BI527" s="213"/>
      <c r="BJ527" s="213"/>
      <c r="BK527" s="213"/>
      <c r="BL527" s="212"/>
      <c r="BM527" s="213"/>
      <c r="BN527" s="213"/>
      <c r="BO527" s="213"/>
      <c r="BP527" s="213"/>
      <c r="BQ527" s="192"/>
      <c r="BR527" s="192"/>
    </row>
    <row r="528">
      <c r="A528" s="60"/>
      <c r="E528" s="215"/>
      <c r="F528" s="215"/>
      <c r="G528" s="215"/>
      <c r="L528" s="216"/>
      <c r="M528" s="216"/>
      <c r="N528" s="216"/>
      <c r="O528" s="217"/>
      <c r="P528" s="217"/>
      <c r="Q528" s="217"/>
      <c r="R528" s="217"/>
      <c r="S528" s="218"/>
      <c r="X528" s="218"/>
      <c r="AD528" s="216"/>
      <c r="AO528" s="216"/>
      <c r="AP528" s="216"/>
      <c r="AQ528" s="216"/>
      <c r="AR528" s="216"/>
      <c r="AT528" s="192"/>
      <c r="AU528" s="192"/>
      <c r="AV528" s="192"/>
      <c r="AW528" s="192"/>
      <c r="AX528" s="192"/>
      <c r="AY528" s="212"/>
      <c r="AZ528" s="213"/>
      <c r="BA528" s="213"/>
      <c r="BB528" s="213"/>
      <c r="BC528" s="212"/>
      <c r="BD528" s="213"/>
      <c r="BE528" s="213"/>
      <c r="BF528" s="213"/>
      <c r="BG528" s="212"/>
      <c r="BH528" s="213"/>
      <c r="BI528" s="213"/>
      <c r="BJ528" s="213"/>
      <c r="BK528" s="213"/>
      <c r="BL528" s="212"/>
      <c r="BM528" s="213"/>
      <c r="BN528" s="213"/>
      <c r="BO528" s="213"/>
      <c r="BP528" s="213"/>
      <c r="BQ528" s="192"/>
      <c r="BR528" s="192"/>
    </row>
    <row r="529">
      <c r="A529" s="60"/>
      <c r="E529" s="215"/>
      <c r="F529" s="215"/>
      <c r="G529" s="215"/>
      <c r="L529" s="216"/>
      <c r="M529" s="216"/>
      <c r="N529" s="216"/>
      <c r="O529" s="217"/>
      <c r="P529" s="217"/>
      <c r="Q529" s="217"/>
      <c r="R529" s="217"/>
      <c r="S529" s="218"/>
      <c r="X529" s="218"/>
      <c r="AD529" s="216"/>
      <c r="AO529" s="216"/>
      <c r="AP529" s="216"/>
      <c r="AQ529" s="216"/>
      <c r="AR529" s="216"/>
      <c r="AT529" s="192"/>
      <c r="AU529" s="192"/>
      <c r="AV529" s="192"/>
      <c r="AW529" s="192"/>
      <c r="AX529" s="192"/>
      <c r="AY529" s="212"/>
      <c r="AZ529" s="213"/>
      <c r="BA529" s="213"/>
      <c r="BB529" s="213"/>
      <c r="BC529" s="212"/>
      <c r="BD529" s="213"/>
      <c r="BE529" s="213"/>
      <c r="BF529" s="213"/>
      <c r="BG529" s="212"/>
      <c r="BH529" s="213"/>
      <c r="BI529" s="213"/>
      <c r="BJ529" s="213"/>
      <c r="BK529" s="213"/>
      <c r="BL529" s="212"/>
      <c r="BM529" s="213"/>
      <c r="BN529" s="213"/>
      <c r="BO529" s="213"/>
      <c r="BP529" s="213"/>
      <c r="BQ529" s="192"/>
      <c r="BR529" s="192"/>
    </row>
    <row r="530">
      <c r="A530" s="60"/>
      <c r="E530" s="215"/>
      <c r="F530" s="215"/>
      <c r="G530" s="215"/>
      <c r="L530" s="216"/>
      <c r="M530" s="216"/>
      <c r="N530" s="216"/>
      <c r="O530" s="217"/>
      <c r="P530" s="217"/>
      <c r="Q530" s="217"/>
      <c r="R530" s="217"/>
      <c r="S530" s="218"/>
      <c r="X530" s="218"/>
      <c r="AD530" s="216"/>
      <c r="AO530" s="216"/>
      <c r="AP530" s="216"/>
      <c r="AQ530" s="216"/>
      <c r="AR530" s="216"/>
      <c r="AT530" s="192"/>
      <c r="AU530" s="192"/>
      <c r="AV530" s="192"/>
      <c r="AW530" s="192"/>
      <c r="AX530" s="192"/>
      <c r="AY530" s="212"/>
      <c r="AZ530" s="213"/>
      <c r="BA530" s="213"/>
      <c r="BB530" s="213"/>
      <c r="BC530" s="212"/>
      <c r="BD530" s="213"/>
      <c r="BE530" s="213"/>
      <c r="BF530" s="213"/>
      <c r="BG530" s="212"/>
      <c r="BH530" s="213"/>
      <c r="BI530" s="213"/>
      <c r="BJ530" s="213"/>
      <c r="BK530" s="213"/>
      <c r="BL530" s="212"/>
      <c r="BM530" s="213"/>
      <c r="BN530" s="213"/>
      <c r="BO530" s="213"/>
      <c r="BP530" s="213"/>
      <c r="BQ530" s="192"/>
      <c r="BR530" s="192"/>
    </row>
    <row r="531">
      <c r="A531" s="60"/>
      <c r="E531" s="215"/>
      <c r="F531" s="215"/>
      <c r="G531" s="215"/>
      <c r="L531" s="216"/>
      <c r="M531" s="216"/>
      <c r="N531" s="216"/>
      <c r="O531" s="217"/>
      <c r="P531" s="217"/>
      <c r="Q531" s="217"/>
      <c r="R531" s="217"/>
      <c r="S531" s="218"/>
      <c r="X531" s="218"/>
      <c r="AD531" s="216"/>
      <c r="AO531" s="216"/>
      <c r="AP531" s="216"/>
      <c r="AQ531" s="216"/>
      <c r="AR531" s="216"/>
      <c r="AT531" s="192"/>
      <c r="AU531" s="192"/>
      <c r="AV531" s="192"/>
      <c r="AW531" s="192"/>
      <c r="AX531" s="192"/>
      <c r="AY531" s="212"/>
      <c r="AZ531" s="213"/>
      <c r="BA531" s="213"/>
      <c r="BB531" s="213"/>
      <c r="BC531" s="212"/>
      <c r="BD531" s="213"/>
      <c r="BE531" s="213"/>
      <c r="BF531" s="213"/>
      <c r="BG531" s="212"/>
      <c r="BH531" s="213"/>
      <c r="BI531" s="213"/>
      <c r="BJ531" s="213"/>
      <c r="BK531" s="213"/>
      <c r="BL531" s="212"/>
      <c r="BM531" s="213"/>
      <c r="BN531" s="213"/>
      <c r="BO531" s="213"/>
      <c r="BP531" s="213"/>
      <c r="BQ531" s="192"/>
      <c r="BR531" s="192"/>
    </row>
    <row r="532">
      <c r="A532" s="60"/>
      <c r="E532" s="215"/>
      <c r="F532" s="215"/>
      <c r="G532" s="215"/>
      <c r="L532" s="216"/>
      <c r="M532" s="216"/>
      <c r="N532" s="216"/>
      <c r="O532" s="217"/>
      <c r="P532" s="217"/>
      <c r="Q532" s="217"/>
      <c r="R532" s="217"/>
      <c r="S532" s="218"/>
      <c r="X532" s="218"/>
      <c r="AD532" s="216"/>
      <c r="AO532" s="216"/>
      <c r="AP532" s="216"/>
      <c r="AQ532" s="216"/>
      <c r="AR532" s="216"/>
      <c r="AT532" s="192"/>
      <c r="AU532" s="192"/>
      <c r="AV532" s="192"/>
      <c r="AW532" s="192"/>
      <c r="AX532" s="192"/>
      <c r="AY532" s="212"/>
      <c r="AZ532" s="213"/>
      <c r="BA532" s="213"/>
      <c r="BB532" s="213"/>
      <c r="BC532" s="212"/>
      <c r="BD532" s="213"/>
      <c r="BE532" s="213"/>
      <c r="BF532" s="213"/>
      <c r="BG532" s="212"/>
      <c r="BH532" s="213"/>
      <c r="BI532" s="213"/>
      <c r="BJ532" s="213"/>
      <c r="BK532" s="213"/>
      <c r="BL532" s="212"/>
      <c r="BM532" s="213"/>
      <c r="BN532" s="213"/>
      <c r="BO532" s="213"/>
      <c r="BP532" s="213"/>
      <c r="BQ532" s="192"/>
      <c r="BR532" s="192"/>
    </row>
    <row r="533">
      <c r="A533" s="60"/>
      <c r="E533" s="215"/>
      <c r="F533" s="215"/>
      <c r="G533" s="215"/>
      <c r="L533" s="216"/>
      <c r="M533" s="216"/>
      <c r="N533" s="216"/>
      <c r="O533" s="217"/>
      <c r="P533" s="217"/>
      <c r="Q533" s="217"/>
      <c r="R533" s="217"/>
      <c r="S533" s="218"/>
      <c r="X533" s="218"/>
      <c r="AD533" s="216"/>
      <c r="AO533" s="216"/>
      <c r="AP533" s="216"/>
      <c r="AQ533" s="216"/>
      <c r="AR533" s="216"/>
      <c r="AT533" s="192"/>
      <c r="AU533" s="192"/>
      <c r="AV533" s="192"/>
      <c r="AW533" s="192"/>
      <c r="AX533" s="192"/>
      <c r="AY533" s="212"/>
      <c r="AZ533" s="213"/>
      <c r="BA533" s="213"/>
      <c r="BB533" s="213"/>
      <c r="BC533" s="212"/>
      <c r="BD533" s="213"/>
      <c r="BE533" s="213"/>
      <c r="BF533" s="213"/>
      <c r="BG533" s="212"/>
      <c r="BH533" s="213"/>
      <c r="BI533" s="213"/>
      <c r="BJ533" s="213"/>
      <c r="BK533" s="213"/>
      <c r="BL533" s="212"/>
      <c r="BM533" s="213"/>
      <c r="BN533" s="213"/>
      <c r="BO533" s="213"/>
      <c r="BP533" s="213"/>
      <c r="BQ533" s="192"/>
      <c r="BR533" s="192"/>
    </row>
    <row r="534">
      <c r="A534" s="60"/>
      <c r="E534" s="215"/>
      <c r="F534" s="215"/>
      <c r="G534" s="215"/>
      <c r="L534" s="216"/>
      <c r="M534" s="216"/>
      <c r="N534" s="216"/>
      <c r="O534" s="217"/>
      <c r="P534" s="217"/>
      <c r="Q534" s="217"/>
      <c r="R534" s="217"/>
      <c r="S534" s="218"/>
      <c r="X534" s="218"/>
      <c r="AD534" s="216"/>
      <c r="AO534" s="216"/>
      <c r="AP534" s="216"/>
      <c r="AQ534" s="216"/>
      <c r="AR534" s="216"/>
      <c r="AT534" s="192"/>
      <c r="AU534" s="192"/>
      <c r="AV534" s="192"/>
      <c r="AW534" s="192"/>
      <c r="AX534" s="192"/>
      <c r="AY534" s="212"/>
      <c r="AZ534" s="213"/>
      <c r="BA534" s="213"/>
      <c r="BB534" s="213"/>
      <c r="BC534" s="212"/>
      <c r="BD534" s="213"/>
      <c r="BE534" s="213"/>
      <c r="BF534" s="213"/>
      <c r="BG534" s="212"/>
      <c r="BH534" s="213"/>
      <c r="BI534" s="213"/>
      <c r="BJ534" s="213"/>
      <c r="BK534" s="213"/>
      <c r="BL534" s="212"/>
      <c r="BM534" s="213"/>
      <c r="BN534" s="213"/>
      <c r="BO534" s="213"/>
      <c r="BP534" s="213"/>
      <c r="BQ534" s="192"/>
      <c r="BR534" s="192"/>
    </row>
    <row r="535">
      <c r="A535" s="60"/>
      <c r="E535" s="215"/>
      <c r="F535" s="215"/>
      <c r="G535" s="215"/>
      <c r="L535" s="216"/>
      <c r="M535" s="216"/>
      <c r="N535" s="216"/>
      <c r="O535" s="217"/>
      <c r="P535" s="217"/>
      <c r="Q535" s="217"/>
      <c r="R535" s="217"/>
      <c r="S535" s="218"/>
      <c r="X535" s="218"/>
      <c r="AD535" s="216"/>
      <c r="AO535" s="216"/>
      <c r="AP535" s="216"/>
      <c r="AQ535" s="216"/>
      <c r="AR535" s="216"/>
      <c r="AT535" s="192"/>
      <c r="AU535" s="192"/>
      <c r="AV535" s="192"/>
      <c r="AW535" s="192"/>
      <c r="AX535" s="192"/>
      <c r="AY535" s="212"/>
      <c r="AZ535" s="213"/>
      <c r="BA535" s="213"/>
      <c r="BB535" s="213"/>
      <c r="BC535" s="212"/>
      <c r="BD535" s="213"/>
      <c r="BE535" s="213"/>
      <c r="BF535" s="213"/>
      <c r="BG535" s="212"/>
      <c r="BH535" s="213"/>
      <c r="BI535" s="213"/>
      <c r="BJ535" s="213"/>
      <c r="BK535" s="213"/>
      <c r="BL535" s="212"/>
      <c r="BM535" s="213"/>
      <c r="BN535" s="213"/>
      <c r="BO535" s="213"/>
      <c r="BP535" s="213"/>
      <c r="BQ535" s="192"/>
      <c r="BR535" s="192"/>
    </row>
    <row r="536">
      <c r="A536" s="60"/>
      <c r="E536" s="215"/>
      <c r="F536" s="215"/>
      <c r="G536" s="215"/>
      <c r="L536" s="216"/>
      <c r="M536" s="216"/>
      <c r="N536" s="216"/>
      <c r="O536" s="217"/>
      <c r="P536" s="217"/>
      <c r="Q536" s="217"/>
      <c r="R536" s="217"/>
      <c r="S536" s="218"/>
      <c r="X536" s="218"/>
      <c r="AD536" s="216"/>
      <c r="AO536" s="216"/>
      <c r="AP536" s="216"/>
      <c r="AQ536" s="216"/>
      <c r="AR536" s="216"/>
      <c r="AT536" s="192"/>
      <c r="AU536" s="192"/>
      <c r="AV536" s="192"/>
      <c r="AW536" s="192"/>
      <c r="AX536" s="192"/>
      <c r="AY536" s="212"/>
      <c r="AZ536" s="213"/>
      <c r="BA536" s="213"/>
      <c r="BB536" s="213"/>
      <c r="BC536" s="212"/>
      <c r="BD536" s="213"/>
      <c r="BE536" s="213"/>
      <c r="BF536" s="213"/>
      <c r="BG536" s="212"/>
      <c r="BH536" s="213"/>
      <c r="BI536" s="213"/>
      <c r="BJ536" s="213"/>
      <c r="BK536" s="213"/>
      <c r="BL536" s="212"/>
      <c r="BM536" s="213"/>
      <c r="BN536" s="213"/>
      <c r="BO536" s="213"/>
      <c r="BP536" s="213"/>
      <c r="BQ536" s="192"/>
      <c r="BR536" s="192"/>
    </row>
    <row r="537">
      <c r="A537" s="60"/>
      <c r="E537" s="215"/>
      <c r="F537" s="215"/>
      <c r="G537" s="215"/>
      <c r="L537" s="216"/>
      <c r="M537" s="216"/>
      <c r="N537" s="216"/>
      <c r="O537" s="217"/>
      <c r="P537" s="217"/>
      <c r="Q537" s="217"/>
      <c r="R537" s="217"/>
      <c r="S537" s="218"/>
      <c r="X537" s="218"/>
      <c r="AD537" s="216"/>
      <c r="AO537" s="216"/>
      <c r="AP537" s="216"/>
      <c r="AQ537" s="216"/>
      <c r="AR537" s="216"/>
      <c r="AT537" s="192"/>
      <c r="AU537" s="192"/>
      <c r="AV537" s="192"/>
      <c r="AW537" s="192"/>
      <c r="AX537" s="192"/>
      <c r="AY537" s="212"/>
      <c r="AZ537" s="213"/>
      <c r="BA537" s="213"/>
      <c r="BB537" s="213"/>
      <c r="BC537" s="212"/>
      <c r="BD537" s="213"/>
      <c r="BE537" s="213"/>
      <c r="BF537" s="213"/>
      <c r="BG537" s="212"/>
      <c r="BH537" s="213"/>
      <c r="BI537" s="213"/>
      <c r="BJ537" s="213"/>
      <c r="BK537" s="213"/>
      <c r="BL537" s="212"/>
      <c r="BM537" s="213"/>
      <c r="BN537" s="213"/>
      <c r="BO537" s="213"/>
      <c r="BP537" s="213"/>
      <c r="BQ537" s="192"/>
      <c r="BR537" s="192"/>
    </row>
    <row r="538">
      <c r="A538" s="60"/>
      <c r="E538" s="215"/>
      <c r="F538" s="215"/>
      <c r="G538" s="215"/>
      <c r="L538" s="216"/>
      <c r="M538" s="216"/>
      <c r="N538" s="216"/>
      <c r="O538" s="217"/>
      <c r="P538" s="217"/>
      <c r="Q538" s="217"/>
      <c r="R538" s="217"/>
      <c r="S538" s="218"/>
      <c r="X538" s="218"/>
      <c r="AD538" s="216"/>
      <c r="AO538" s="216"/>
      <c r="AP538" s="216"/>
      <c r="AQ538" s="216"/>
      <c r="AR538" s="216"/>
      <c r="AT538" s="192"/>
      <c r="AU538" s="192"/>
      <c r="AV538" s="192"/>
      <c r="AW538" s="192"/>
      <c r="AX538" s="192"/>
      <c r="AY538" s="212"/>
      <c r="AZ538" s="213"/>
      <c r="BA538" s="213"/>
      <c r="BB538" s="213"/>
      <c r="BC538" s="212"/>
      <c r="BD538" s="213"/>
      <c r="BE538" s="213"/>
      <c r="BF538" s="213"/>
      <c r="BG538" s="212"/>
      <c r="BH538" s="213"/>
      <c r="BI538" s="213"/>
      <c r="BJ538" s="213"/>
      <c r="BK538" s="213"/>
      <c r="BL538" s="212"/>
      <c r="BM538" s="213"/>
      <c r="BN538" s="213"/>
      <c r="BO538" s="213"/>
      <c r="BP538" s="213"/>
      <c r="BQ538" s="192"/>
      <c r="BR538" s="192"/>
    </row>
    <row r="539">
      <c r="A539" s="60"/>
      <c r="E539" s="215"/>
      <c r="F539" s="215"/>
      <c r="G539" s="215"/>
      <c r="L539" s="216"/>
      <c r="M539" s="216"/>
      <c r="N539" s="216"/>
      <c r="O539" s="217"/>
      <c r="P539" s="217"/>
      <c r="Q539" s="217"/>
      <c r="R539" s="217"/>
      <c r="S539" s="218"/>
      <c r="X539" s="218"/>
      <c r="AD539" s="216"/>
      <c r="AO539" s="216"/>
      <c r="AP539" s="216"/>
      <c r="AQ539" s="216"/>
      <c r="AR539" s="216"/>
      <c r="AT539" s="192"/>
      <c r="AU539" s="192"/>
      <c r="AV539" s="192"/>
      <c r="AW539" s="192"/>
      <c r="AX539" s="192"/>
      <c r="AY539" s="212"/>
      <c r="AZ539" s="213"/>
      <c r="BA539" s="213"/>
      <c r="BB539" s="213"/>
      <c r="BC539" s="212"/>
      <c r="BD539" s="213"/>
      <c r="BE539" s="213"/>
      <c r="BF539" s="213"/>
      <c r="BG539" s="212"/>
      <c r="BH539" s="213"/>
      <c r="BI539" s="213"/>
      <c r="BJ539" s="213"/>
      <c r="BK539" s="213"/>
      <c r="BL539" s="212"/>
      <c r="BM539" s="213"/>
      <c r="BN539" s="213"/>
      <c r="BO539" s="213"/>
      <c r="BP539" s="213"/>
      <c r="BQ539" s="192"/>
      <c r="BR539" s="192"/>
    </row>
    <row r="540">
      <c r="A540" s="60"/>
      <c r="E540" s="215"/>
      <c r="F540" s="215"/>
      <c r="G540" s="215"/>
      <c r="L540" s="216"/>
      <c r="M540" s="216"/>
      <c r="N540" s="216"/>
      <c r="O540" s="217"/>
      <c r="P540" s="217"/>
      <c r="Q540" s="217"/>
      <c r="R540" s="217"/>
      <c r="S540" s="218"/>
      <c r="X540" s="218"/>
      <c r="AD540" s="216"/>
      <c r="AO540" s="216"/>
      <c r="AP540" s="216"/>
      <c r="AQ540" s="216"/>
      <c r="AR540" s="216"/>
      <c r="AT540" s="192"/>
      <c r="AU540" s="192"/>
      <c r="AV540" s="192"/>
      <c r="AW540" s="192"/>
      <c r="AX540" s="192"/>
      <c r="AY540" s="212"/>
      <c r="AZ540" s="213"/>
      <c r="BA540" s="213"/>
      <c r="BB540" s="213"/>
      <c r="BC540" s="212"/>
      <c r="BD540" s="213"/>
      <c r="BE540" s="213"/>
      <c r="BF540" s="213"/>
      <c r="BG540" s="212"/>
      <c r="BH540" s="213"/>
      <c r="BI540" s="213"/>
      <c r="BJ540" s="213"/>
      <c r="BK540" s="213"/>
      <c r="BL540" s="212"/>
      <c r="BM540" s="213"/>
      <c r="BN540" s="213"/>
      <c r="BO540" s="213"/>
      <c r="BP540" s="213"/>
      <c r="BQ540" s="192"/>
      <c r="BR540" s="192"/>
    </row>
    <row r="541">
      <c r="A541" s="60"/>
      <c r="E541" s="215"/>
      <c r="F541" s="215"/>
      <c r="G541" s="215"/>
      <c r="L541" s="216"/>
      <c r="M541" s="216"/>
      <c r="N541" s="216"/>
      <c r="O541" s="217"/>
      <c r="P541" s="217"/>
      <c r="Q541" s="217"/>
      <c r="R541" s="217"/>
      <c r="S541" s="218"/>
      <c r="X541" s="218"/>
      <c r="AD541" s="216"/>
      <c r="AO541" s="216"/>
      <c r="AP541" s="216"/>
      <c r="AQ541" s="216"/>
      <c r="AR541" s="216"/>
      <c r="AT541" s="192"/>
      <c r="AU541" s="192"/>
      <c r="AV541" s="192"/>
      <c r="AW541" s="192"/>
      <c r="AX541" s="192"/>
      <c r="AY541" s="212"/>
      <c r="AZ541" s="213"/>
      <c r="BA541" s="213"/>
      <c r="BB541" s="213"/>
      <c r="BC541" s="212"/>
      <c r="BD541" s="213"/>
      <c r="BE541" s="213"/>
      <c r="BF541" s="213"/>
      <c r="BG541" s="212"/>
      <c r="BH541" s="213"/>
      <c r="BI541" s="213"/>
      <c r="BJ541" s="213"/>
      <c r="BK541" s="213"/>
      <c r="BL541" s="212"/>
      <c r="BM541" s="213"/>
      <c r="BN541" s="213"/>
      <c r="BO541" s="213"/>
      <c r="BP541" s="213"/>
      <c r="BQ541" s="192"/>
      <c r="BR541" s="192"/>
    </row>
    <row r="542">
      <c r="A542" s="60"/>
      <c r="E542" s="215"/>
      <c r="F542" s="215"/>
      <c r="G542" s="215"/>
      <c r="L542" s="216"/>
      <c r="M542" s="216"/>
      <c r="N542" s="216"/>
      <c r="O542" s="217"/>
      <c r="P542" s="217"/>
      <c r="Q542" s="217"/>
      <c r="R542" s="217"/>
      <c r="S542" s="218"/>
      <c r="X542" s="218"/>
      <c r="AD542" s="216"/>
      <c r="AO542" s="216"/>
      <c r="AP542" s="216"/>
      <c r="AQ542" s="216"/>
      <c r="AR542" s="216"/>
      <c r="AT542" s="192"/>
      <c r="AU542" s="192"/>
      <c r="AV542" s="192"/>
      <c r="AW542" s="192"/>
      <c r="AX542" s="192"/>
      <c r="AY542" s="212"/>
      <c r="AZ542" s="213"/>
      <c r="BA542" s="213"/>
      <c r="BB542" s="213"/>
      <c r="BC542" s="212"/>
      <c r="BD542" s="213"/>
      <c r="BE542" s="213"/>
      <c r="BF542" s="213"/>
      <c r="BG542" s="212"/>
      <c r="BH542" s="213"/>
      <c r="BI542" s="213"/>
      <c r="BJ542" s="213"/>
      <c r="BK542" s="213"/>
      <c r="BL542" s="212"/>
      <c r="BM542" s="213"/>
      <c r="BN542" s="213"/>
      <c r="BO542" s="213"/>
      <c r="BP542" s="213"/>
      <c r="BQ542" s="192"/>
      <c r="BR542" s="192"/>
    </row>
    <row r="543">
      <c r="A543" s="60"/>
      <c r="E543" s="215"/>
      <c r="F543" s="215"/>
      <c r="G543" s="215"/>
      <c r="L543" s="216"/>
      <c r="M543" s="216"/>
      <c r="N543" s="216"/>
      <c r="O543" s="217"/>
      <c r="P543" s="217"/>
      <c r="Q543" s="217"/>
      <c r="R543" s="217"/>
      <c r="S543" s="218"/>
      <c r="X543" s="218"/>
      <c r="AD543" s="216"/>
      <c r="AO543" s="216"/>
      <c r="AP543" s="216"/>
      <c r="AQ543" s="216"/>
      <c r="AR543" s="216"/>
      <c r="AT543" s="192"/>
      <c r="AU543" s="192"/>
      <c r="AV543" s="192"/>
      <c r="AW543" s="192"/>
      <c r="AX543" s="192"/>
      <c r="AY543" s="212"/>
      <c r="AZ543" s="213"/>
      <c r="BA543" s="213"/>
      <c r="BB543" s="213"/>
      <c r="BC543" s="212"/>
      <c r="BD543" s="213"/>
      <c r="BE543" s="213"/>
      <c r="BF543" s="213"/>
      <c r="BG543" s="212"/>
      <c r="BH543" s="213"/>
      <c r="BI543" s="213"/>
      <c r="BJ543" s="213"/>
      <c r="BK543" s="213"/>
      <c r="BL543" s="212"/>
      <c r="BM543" s="213"/>
      <c r="BN543" s="213"/>
      <c r="BO543" s="213"/>
      <c r="BP543" s="213"/>
      <c r="BQ543" s="192"/>
      <c r="BR543" s="192"/>
    </row>
    <row r="544">
      <c r="A544" s="60"/>
      <c r="E544" s="215"/>
      <c r="F544" s="215"/>
      <c r="G544" s="215"/>
      <c r="L544" s="216"/>
      <c r="M544" s="216"/>
      <c r="N544" s="216"/>
      <c r="O544" s="217"/>
      <c r="P544" s="217"/>
      <c r="Q544" s="217"/>
      <c r="R544" s="217"/>
      <c r="S544" s="218"/>
      <c r="X544" s="218"/>
      <c r="AD544" s="216"/>
      <c r="AO544" s="216"/>
      <c r="AP544" s="216"/>
      <c r="AQ544" s="216"/>
      <c r="AR544" s="216"/>
      <c r="AT544" s="192"/>
      <c r="AU544" s="192"/>
      <c r="AV544" s="192"/>
      <c r="AW544" s="192"/>
      <c r="AX544" s="192"/>
      <c r="AY544" s="212"/>
      <c r="AZ544" s="213"/>
      <c r="BA544" s="213"/>
      <c r="BB544" s="213"/>
      <c r="BC544" s="212"/>
      <c r="BD544" s="213"/>
      <c r="BE544" s="213"/>
      <c r="BF544" s="213"/>
      <c r="BG544" s="212"/>
      <c r="BH544" s="213"/>
      <c r="BI544" s="213"/>
      <c r="BJ544" s="213"/>
      <c r="BK544" s="213"/>
      <c r="BL544" s="212"/>
      <c r="BM544" s="213"/>
      <c r="BN544" s="213"/>
      <c r="BO544" s="213"/>
      <c r="BP544" s="213"/>
      <c r="BQ544" s="192"/>
      <c r="BR544" s="192"/>
    </row>
    <row r="545">
      <c r="A545" s="60"/>
      <c r="E545" s="215"/>
      <c r="F545" s="215"/>
      <c r="G545" s="215"/>
      <c r="L545" s="216"/>
      <c r="M545" s="216"/>
      <c r="N545" s="216"/>
      <c r="O545" s="217"/>
      <c r="P545" s="217"/>
      <c r="Q545" s="217"/>
      <c r="R545" s="217"/>
      <c r="S545" s="218"/>
      <c r="X545" s="218"/>
      <c r="AD545" s="216"/>
      <c r="AO545" s="216"/>
      <c r="AP545" s="216"/>
      <c r="AQ545" s="216"/>
      <c r="AR545" s="216"/>
      <c r="AT545" s="192"/>
      <c r="AU545" s="192"/>
      <c r="AV545" s="192"/>
      <c r="AW545" s="192"/>
      <c r="AX545" s="192"/>
      <c r="AY545" s="212"/>
      <c r="AZ545" s="213"/>
      <c r="BA545" s="213"/>
      <c r="BB545" s="213"/>
      <c r="BC545" s="212"/>
      <c r="BD545" s="213"/>
      <c r="BE545" s="213"/>
      <c r="BF545" s="213"/>
      <c r="BG545" s="212"/>
      <c r="BH545" s="213"/>
      <c r="BI545" s="213"/>
      <c r="BJ545" s="213"/>
      <c r="BK545" s="213"/>
      <c r="BL545" s="212"/>
      <c r="BM545" s="213"/>
      <c r="BN545" s="213"/>
      <c r="BO545" s="213"/>
      <c r="BP545" s="213"/>
      <c r="BQ545" s="192"/>
      <c r="BR545" s="192"/>
    </row>
    <row r="546">
      <c r="A546" s="60"/>
      <c r="E546" s="215"/>
      <c r="F546" s="215"/>
      <c r="G546" s="215"/>
      <c r="L546" s="216"/>
      <c r="M546" s="216"/>
      <c r="N546" s="216"/>
      <c r="O546" s="217"/>
      <c r="P546" s="217"/>
      <c r="Q546" s="217"/>
      <c r="R546" s="217"/>
      <c r="S546" s="218"/>
      <c r="X546" s="218"/>
      <c r="AD546" s="216"/>
      <c r="AO546" s="216"/>
      <c r="AP546" s="216"/>
      <c r="AQ546" s="216"/>
      <c r="AR546" s="216"/>
      <c r="AT546" s="192"/>
      <c r="AU546" s="192"/>
      <c r="AV546" s="192"/>
      <c r="AW546" s="192"/>
      <c r="AX546" s="192"/>
      <c r="AY546" s="212"/>
      <c r="AZ546" s="213"/>
      <c r="BA546" s="213"/>
      <c r="BB546" s="213"/>
      <c r="BC546" s="212"/>
      <c r="BD546" s="213"/>
      <c r="BE546" s="213"/>
      <c r="BF546" s="213"/>
      <c r="BG546" s="212"/>
      <c r="BH546" s="213"/>
      <c r="BI546" s="213"/>
      <c r="BJ546" s="213"/>
      <c r="BK546" s="213"/>
      <c r="BL546" s="212"/>
      <c r="BM546" s="213"/>
      <c r="BN546" s="213"/>
      <c r="BO546" s="213"/>
      <c r="BP546" s="213"/>
      <c r="BQ546" s="192"/>
      <c r="BR546" s="192"/>
    </row>
    <row r="547">
      <c r="A547" s="60"/>
      <c r="E547" s="215"/>
      <c r="F547" s="215"/>
      <c r="G547" s="215"/>
      <c r="L547" s="216"/>
      <c r="M547" s="216"/>
      <c r="N547" s="216"/>
      <c r="O547" s="217"/>
      <c r="P547" s="217"/>
      <c r="Q547" s="217"/>
      <c r="R547" s="217"/>
      <c r="S547" s="218"/>
      <c r="X547" s="218"/>
      <c r="AD547" s="216"/>
      <c r="AO547" s="216"/>
      <c r="AP547" s="216"/>
      <c r="AQ547" s="216"/>
      <c r="AR547" s="216"/>
      <c r="AT547" s="192"/>
      <c r="AU547" s="192"/>
      <c r="AV547" s="192"/>
      <c r="AW547" s="192"/>
      <c r="AX547" s="192"/>
      <c r="AY547" s="212"/>
      <c r="AZ547" s="213"/>
      <c r="BA547" s="213"/>
      <c r="BB547" s="213"/>
      <c r="BC547" s="212"/>
      <c r="BD547" s="213"/>
      <c r="BE547" s="213"/>
      <c r="BF547" s="213"/>
      <c r="BG547" s="212"/>
      <c r="BH547" s="213"/>
      <c r="BI547" s="213"/>
      <c r="BJ547" s="213"/>
      <c r="BK547" s="213"/>
      <c r="BL547" s="212"/>
      <c r="BM547" s="213"/>
      <c r="BN547" s="213"/>
      <c r="BO547" s="213"/>
      <c r="BP547" s="213"/>
      <c r="BQ547" s="192"/>
      <c r="BR547" s="192"/>
    </row>
    <row r="548">
      <c r="A548" s="60"/>
      <c r="E548" s="215"/>
      <c r="F548" s="215"/>
      <c r="G548" s="215"/>
      <c r="L548" s="216"/>
      <c r="M548" s="216"/>
      <c r="N548" s="216"/>
      <c r="O548" s="217"/>
      <c r="P548" s="217"/>
      <c r="Q548" s="217"/>
      <c r="R548" s="217"/>
      <c r="S548" s="218"/>
      <c r="X548" s="218"/>
      <c r="AD548" s="216"/>
      <c r="AO548" s="216"/>
      <c r="AP548" s="216"/>
      <c r="AQ548" s="216"/>
      <c r="AR548" s="216"/>
      <c r="AT548" s="192"/>
      <c r="AU548" s="192"/>
      <c r="AV548" s="192"/>
      <c r="AW548" s="192"/>
      <c r="AX548" s="192"/>
      <c r="AY548" s="212"/>
      <c r="AZ548" s="213"/>
      <c r="BA548" s="213"/>
      <c r="BB548" s="213"/>
      <c r="BC548" s="212"/>
      <c r="BD548" s="213"/>
      <c r="BE548" s="213"/>
      <c r="BF548" s="213"/>
      <c r="BG548" s="212"/>
      <c r="BH548" s="213"/>
      <c r="BI548" s="213"/>
      <c r="BJ548" s="213"/>
      <c r="BK548" s="213"/>
      <c r="BL548" s="212"/>
      <c r="BM548" s="213"/>
      <c r="BN548" s="213"/>
      <c r="BO548" s="213"/>
      <c r="BP548" s="213"/>
      <c r="BQ548" s="192"/>
      <c r="BR548" s="192"/>
    </row>
    <row r="549">
      <c r="A549" s="60"/>
      <c r="E549" s="215"/>
      <c r="F549" s="215"/>
      <c r="G549" s="215"/>
      <c r="L549" s="216"/>
      <c r="M549" s="216"/>
      <c r="N549" s="216"/>
      <c r="O549" s="217"/>
      <c r="P549" s="217"/>
      <c r="Q549" s="217"/>
      <c r="R549" s="217"/>
      <c r="S549" s="218"/>
      <c r="X549" s="218"/>
      <c r="AD549" s="216"/>
      <c r="AO549" s="216"/>
      <c r="AP549" s="216"/>
      <c r="AQ549" s="216"/>
      <c r="AR549" s="216"/>
      <c r="AT549" s="192"/>
      <c r="AU549" s="192"/>
      <c r="AV549" s="192"/>
      <c r="AW549" s="192"/>
      <c r="AX549" s="192"/>
      <c r="AY549" s="212"/>
      <c r="AZ549" s="213"/>
      <c r="BA549" s="213"/>
      <c r="BB549" s="213"/>
      <c r="BC549" s="212"/>
      <c r="BD549" s="213"/>
      <c r="BE549" s="213"/>
      <c r="BF549" s="213"/>
      <c r="BG549" s="212"/>
      <c r="BH549" s="213"/>
      <c r="BI549" s="213"/>
      <c r="BJ549" s="213"/>
      <c r="BK549" s="213"/>
      <c r="BL549" s="212"/>
      <c r="BM549" s="213"/>
      <c r="BN549" s="213"/>
      <c r="BO549" s="213"/>
      <c r="BP549" s="213"/>
      <c r="BQ549" s="192"/>
      <c r="BR549" s="192"/>
    </row>
    <row r="550">
      <c r="A550" s="60"/>
      <c r="E550" s="215"/>
      <c r="F550" s="215"/>
      <c r="G550" s="215"/>
      <c r="L550" s="216"/>
      <c r="M550" s="216"/>
      <c r="N550" s="216"/>
      <c r="O550" s="217"/>
      <c r="P550" s="217"/>
      <c r="Q550" s="217"/>
      <c r="R550" s="217"/>
      <c r="S550" s="218"/>
      <c r="X550" s="218"/>
      <c r="AD550" s="216"/>
      <c r="AO550" s="216"/>
      <c r="AP550" s="216"/>
      <c r="AQ550" s="216"/>
      <c r="AR550" s="216"/>
      <c r="AT550" s="192"/>
      <c r="AU550" s="192"/>
      <c r="AV550" s="192"/>
      <c r="AW550" s="192"/>
      <c r="AX550" s="192"/>
      <c r="AY550" s="212"/>
      <c r="AZ550" s="213"/>
      <c r="BA550" s="213"/>
      <c r="BB550" s="213"/>
      <c r="BC550" s="212"/>
      <c r="BD550" s="213"/>
      <c r="BE550" s="213"/>
      <c r="BF550" s="213"/>
      <c r="BG550" s="212"/>
      <c r="BH550" s="213"/>
      <c r="BI550" s="213"/>
      <c r="BJ550" s="213"/>
      <c r="BK550" s="213"/>
      <c r="BL550" s="212"/>
      <c r="BM550" s="213"/>
      <c r="BN550" s="213"/>
      <c r="BO550" s="213"/>
      <c r="BP550" s="213"/>
      <c r="BQ550" s="192"/>
      <c r="BR550" s="192"/>
    </row>
    <row r="551">
      <c r="A551" s="60"/>
      <c r="E551" s="215"/>
      <c r="F551" s="215"/>
      <c r="G551" s="215"/>
      <c r="L551" s="216"/>
      <c r="M551" s="216"/>
      <c r="N551" s="216"/>
      <c r="O551" s="217"/>
      <c r="P551" s="217"/>
      <c r="Q551" s="217"/>
      <c r="R551" s="217"/>
      <c r="S551" s="218"/>
      <c r="X551" s="218"/>
      <c r="AD551" s="216"/>
      <c r="AO551" s="216"/>
      <c r="AP551" s="216"/>
      <c r="AQ551" s="216"/>
      <c r="AR551" s="216"/>
      <c r="AT551" s="192"/>
      <c r="AU551" s="192"/>
      <c r="AV551" s="192"/>
      <c r="AW551" s="192"/>
      <c r="AX551" s="192"/>
      <c r="AY551" s="212"/>
      <c r="AZ551" s="213"/>
      <c r="BA551" s="213"/>
      <c r="BB551" s="213"/>
      <c r="BC551" s="212"/>
      <c r="BD551" s="213"/>
      <c r="BE551" s="213"/>
      <c r="BF551" s="213"/>
      <c r="BG551" s="212"/>
      <c r="BH551" s="213"/>
      <c r="BI551" s="213"/>
      <c r="BJ551" s="213"/>
      <c r="BK551" s="213"/>
      <c r="BL551" s="212"/>
      <c r="BM551" s="213"/>
      <c r="BN551" s="213"/>
      <c r="BO551" s="213"/>
      <c r="BP551" s="213"/>
      <c r="BQ551" s="192"/>
      <c r="BR551" s="192"/>
    </row>
    <row r="552">
      <c r="A552" s="60"/>
      <c r="E552" s="215"/>
      <c r="F552" s="215"/>
      <c r="G552" s="215"/>
      <c r="L552" s="216"/>
      <c r="M552" s="216"/>
      <c r="N552" s="216"/>
      <c r="O552" s="217"/>
      <c r="P552" s="217"/>
      <c r="Q552" s="217"/>
      <c r="R552" s="217"/>
      <c r="S552" s="218"/>
      <c r="X552" s="218"/>
      <c r="AD552" s="216"/>
      <c r="AO552" s="216"/>
      <c r="AP552" s="216"/>
      <c r="AQ552" s="216"/>
      <c r="AR552" s="216"/>
      <c r="AT552" s="192"/>
      <c r="AU552" s="192"/>
      <c r="AV552" s="192"/>
      <c r="AW552" s="192"/>
      <c r="AX552" s="192"/>
      <c r="AY552" s="212"/>
      <c r="AZ552" s="213"/>
      <c r="BA552" s="213"/>
      <c r="BB552" s="213"/>
      <c r="BC552" s="212"/>
      <c r="BD552" s="213"/>
      <c r="BE552" s="213"/>
      <c r="BF552" s="213"/>
      <c r="BG552" s="212"/>
      <c r="BH552" s="213"/>
      <c r="BI552" s="213"/>
      <c r="BJ552" s="213"/>
      <c r="BK552" s="213"/>
      <c r="BL552" s="212"/>
      <c r="BM552" s="213"/>
      <c r="BN552" s="213"/>
      <c r="BO552" s="213"/>
      <c r="BP552" s="213"/>
      <c r="BQ552" s="192"/>
      <c r="BR552" s="192"/>
    </row>
    <row r="553">
      <c r="A553" s="60"/>
      <c r="E553" s="215"/>
      <c r="F553" s="215"/>
      <c r="G553" s="215"/>
      <c r="L553" s="216"/>
      <c r="M553" s="216"/>
      <c r="N553" s="216"/>
      <c r="O553" s="217"/>
      <c r="P553" s="217"/>
      <c r="Q553" s="217"/>
      <c r="R553" s="217"/>
      <c r="S553" s="218"/>
      <c r="X553" s="218"/>
      <c r="AD553" s="216"/>
      <c r="AO553" s="216"/>
      <c r="AP553" s="216"/>
      <c r="AQ553" s="216"/>
      <c r="AR553" s="216"/>
      <c r="AT553" s="192"/>
      <c r="AU553" s="192"/>
      <c r="AV553" s="192"/>
      <c r="AW553" s="192"/>
      <c r="AX553" s="192"/>
      <c r="AY553" s="212"/>
      <c r="AZ553" s="213"/>
      <c r="BA553" s="213"/>
      <c r="BB553" s="213"/>
      <c r="BC553" s="212"/>
      <c r="BD553" s="213"/>
      <c r="BE553" s="213"/>
      <c r="BF553" s="213"/>
      <c r="BG553" s="212"/>
      <c r="BH553" s="213"/>
      <c r="BI553" s="213"/>
      <c r="BJ553" s="213"/>
      <c r="BK553" s="213"/>
      <c r="BL553" s="212"/>
      <c r="BM553" s="213"/>
      <c r="BN553" s="213"/>
      <c r="BO553" s="213"/>
      <c r="BP553" s="213"/>
      <c r="BQ553" s="192"/>
      <c r="BR553" s="192"/>
    </row>
    <row r="554">
      <c r="A554" s="60"/>
      <c r="E554" s="215"/>
      <c r="F554" s="215"/>
      <c r="G554" s="215"/>
      <c r="L554" s="216"/>
      <c r="M554" s="216"/>
      <c r="N554" s="216"/>
      <c r="O554" s="217"/>
      <c r="P554" s="217"/>
      <c r="Q554" s="217"/>
      <c r="R554" s="217"/>
      <c r="S554" s="218"/>
      <c r="X554" s="218"/>
      <c r="AD554" s="216"/>
      <c r="AO554" s="216"/>
      <c r="AP554" s="216"/>
      <c r="AQ554" s="216"/>
      <c r="AR554" s="216"/>
      <c r="AT554" s="192"/>
      <c r="AU554" s="192"/>
      <c r="AV554" s="192"/>
      <c r="AW554" s="192"/>
      <c r="AX554" s="192"/>
      <c r="AY554" s="212"/>
      <c r="AZ554" s="213"/>
      <c r="BA554" s="213"/>
      <c r="BB554" s="213"/>
      <c r="BC554" s="212"/>
      <c r="BD554" s="213"/>
      <c r="BE554" s="213"/>
      <c r="BF554" s="213"/>
      <c r="BG554" s="212"/>
      <c r="BH554" s="213"/>
      <c r="BI554" s="213"/>
      <c r="BJ554" s="213"/>
      <c r="BK554" s="213"/>
      <c r="BL554" s="212"/>
      <c r="BM554" s="213"/>
      <c r="BN554" s="213"/>
      <c r="BO554" s="213"/>
      <c r="BP554" s="213"/>
      <c r="BQ554" s="192"/>
      <c r="BR554" s="192"/>
    </row>
    <row r="555">
      <c r="A555" s="60"/>
      <c r="E555" s="215"/>
      <c r="F555" s="215"/>
      <c r="G555" s="215"/>
      <c r="L555" s="216"/>
      <c r="M555" s="216"/>
      <c r="N555" s="216"/>
      <c r="O555" s="217"/>
      <c r="P555" s="217"/>
      <c r="Q555" s="217"/>
      <c r="R555" s="217"/>
      <c r="S555" s="218"/>
      <c r="X555" s="218"/>
      <c r="AD555" s="216"/>
      <c r="AO555" s="216"/>
      <c r="AP555" s="216"/>
      <c r="AQ555" s="216"/>
      <c r="AR555" s="216"/>
      <c r="AT555" s="192"/>
      <c r="AU555" s="192"/>
      <c r="AV555" s="192"/>
      <c r="AW555" s="192"/>
      <c r="AX555" s="192"/>
      <c r="AY555" s="212"/>
      <c r="AZ555" s="213"/>
      <c r="BA555" s="213"/>
      <c r="BB555" s="213"/>
      <c r="BC555" s="212"/>
      <c r="BD555" s="213"/>
      <c r="BE555" s="213"/>
      <c r="BF555" s="213"/>
      <c r="BG555" s="212"/>
      <c r="BH555" s="213"/>
      <c r="BI555" s="213"/>
      <c r="BJ555" s="213"/>
      <c r="BK555" s="213"/>
      <c r="BL555" s="212"/>
      <c r="BM555" s="213"/>
      <c r="BN555" s="213"/>
      <c r="BO555" s="213"/>
      <c r="BP555" s="213"/>
      <c r="BQ555" s="192"/>
      <c r="BR555" s="192"/>
    </row>
    <row r="556">
      <c r="A556" s="60"/>
      <c r="E556" s="215"/>
      <c r="F556" s="215"/>
      <c r="G556" s="215"/>
      <c r="L556" s="216"/>
      <c r="M556" s="216"/>
      <c r="N556" s="216"/>
      <c r="O556" s="217"/>
      <c r="P556" s="217"/>
      <c r="Q556" s="217"/>
      <c r="R556" s="217"/>
      <c r="S556" s="218"/>
      <c r="X556" s="218"/>
      <c r="AD556" s="216"/>
      <c r="AO556" s="216"/>
      <c r="AP556" s="216"/>
      <c r="AQ556" s="216"/>
      <c r="AR556" s="216"/>
      <c r="AT556" s="192"/>
      <c r="AU556" s="192"/>
      <c r="AV556" s="192"/>
      <c r="AW556" s="192"/>
      <c r="AX556" s="192"/>
      <c r="AY556" s="212"/>
      <c r="AZ556" s="213"/>
      <c r="BA556" s="213"/>
      <c r="BB556" s="213"/>
      <c r="BC556" s="212"/>
      <c r="BD556" s="213"/>
      <c r="BE556" s="213"/>
      <c r="BF556" s="213"/>
      <c r="BG556" s="212"/>
      <c r="BH556" s="213"/>
      <c r="BI556" s="213"/>
      <c r="BJ556" s="213"/>
      <c r="BK556" s="213"/>
      <c r="BL556" s="212"/>
      <c r="BM556" s="213"/>
      <c r="BN556" s="213"/>
      <c r="BO556" s="213"/>
      <c r="BP556" s="213"/>
      <c r="BQ556" s="192"/>
      <c r="BR556" s="192"/>
    </row>
    <row r="557">
      <c r="A557" s="60"/>
      <c r="E557" s="215"/>
      <c r="F557" s="215"/>
      <c r="G557" s="215"/>
      <c r="L557" s="216"/>
      <c r="M557" s="216"/>
      <c r="N557" s="216"/>
      <c r="O557" s="217"/>
      <c r="P557" s="217"/>
      <c r="Q557" s="217"/>
      <c r="R557" s="217"/>
      <c r="S557" s="218"/>
      <c r="X557" s="218"/>
      <c r="AD557" s="216"/>
      <c r="AO557" s="216"/>
      <c r="AP557" s="216"/>
      <c r="AQ557" s="216"/>
      <c r="AR557" s="216"/>
      <c r="AT557" s="192"/>
      <c r="AU557" s="192"/>
      <c r="AV557" s="192"/>
      <c r="AW557" s="192"/>
      <c r="AX557" s="192"/>
      <c r="AY557" s="212"/>
      <c r="AZ557" s="213"/>
      <c r="BA557" s="213"/>
      <c r="BB557" s="213"/>
      <c r="BC557" s="212"/>
      <c r="BD557" s="213"/>
      <c r="BE557" s="213"/>
      <c r="BF557" s="213"/>
      <c r="BG557" s="212"/>
      <c r="BH557" s="213"/>
      <c r="BI557" s="213"/>
      <c r="BJ557" s="213"/>
      <c r="BK557" s="213"/>
      <c r="BL557" s="212"/>
      <c r="BM557" s="213"/>
      <c r="BN557" s="213"/>
      <c r="BO557" s="213"/>
      <c r="BP557" s="213"/>
      <c r="BQ557" s="192"/>
      <c r="BR557" s="192"/>
    </row>
    <row r="558">
      <c r="A558" s="60"/>
      <c r="E558" s="215"/>
      <c r="F558" s="215"/>
      <c r="G558" s="215"/>
      <c r="L558" s="216"/>
      <c r="M558" s="216"/>
      <c r="N558" s="216"/>
      <c r="O558" s="217"/>
      <c r="P558" s="217"/>
      <c r="Q558" s="217"/>
      <c r="R558" s="217"/>
      <c r="S558" s="218"/>
      <c r="X558" s="218"/>
      <c r="AD558" s="216"/>
      <c r="AO558" s="216"/>
      <c r="AP558" s="216"/>
      <c r="AQ558" s="216"/>
      <c r="AR558" s="216"/>
      <c r="AT558" s="192"/>
      <c r="AU558" s="192"/>
      <c r="AV558" s="192"/>
      <c r="AW558" s="192"/>
      <c r="AX558" s="192"/>
      <c r="AY558" s="212"/>
      <c r="AZ558" s="213"/>
      <c r="BA558" s="213"/>
      <c r="BB558" s="213"/>
      <c r="BC558" s="212"/>
      <c r="BD558" s="213"/>
      <c r="BE558" s="213"/>
      <c r="BF558" s="213"/>
      <c r="BG558" s="212"/>
      <c r="BH558" s="213"/>
      <c r="BI558" s="213"/>
      <c r="BJ558" s="213"/>
      <c r="BK558" s="213"/>
      <c r="BL558" s="212"/>
      <c r="BM558" s="213"/>
      <c r="BN558" s="213"/>
      <c r="BO558" s="213"/>
      <c r="BP558" s="213"/>
      <c r="BQ558" s="192"/>
      <c r="BR558" s="192"/>
    </row>
    <row r="559">
      <c r="A559" s="60"/>
      <c r="E559" s="215"/>
      <c r="F559" s="215"/>
      <c r="G559" s="215"/>
      <c r="L559" s="216"/>
      <c r="M559" s="216"/>
      <c r="N559" s="216"/>
      <c r="O559" s="217"/>
      <c r="P559" s="217"/>
      <c r="Q559" s="217"/>
      <c r="R559" s="217"/>
      <c r="S559" s="218"/>
      <c r="X559" s="218"/>
      <c r="AD559" s="216"/>
      <c r="AO559" s="216"/>
      <c r="AP559" s="216"/>
      <c r="AQ559" s="216"/>
      <c r="AR559" s="216"/>
      <c r="AT559" s="192"/>
      <c r="AU559" s="192"/>
      <c r="AV559" s="192"/>
      <c r="AW559" s="192"/>
      <c r="AX559" s="192"/>
      <c r="AY559" s="212"/>
      <c r="AZ559" s="213"/>
      <c r="BA559" s="213"/>
      <c r="BB559" s="213"/>
      <c r="BC559" s="212"/>
      <c r="BD559" s="213"/>
      <c r="BE559" s="213"/>
      <c r="BF559" s="213"/>
      <c r="BG559" s="212"/>
      <c r="BH559" s="213"/>
      <c r="BI559" s="213"/>
      <c r="BJ559" s="213"/>
      <c r="BK559" s="213"/>
      <c r="BL559" s="212"/>
      <c r="BM559" s="213"/>
      <c r="BN559" s="213"/>
      <c r="BO559" s="213"/>
      <c r="BP559" s="213"/>
      <c r="BQ559" s="192"/>
      <c r="BR559" s="192"/>
    </row>
    <row r="560">
      <c r="A560" s="60"/>
      <c r="E560" s="215"/>
      <c r="F560" s="215"/>
      <c r="G560" s="215"/>
      <c r="L560" s="216"/>
      <c r="M560" s="216"/>
      <c r="N560" s="216"/>
      <c r="O560" s="217"/>
      <c r="P560" s="217"/>
      <c r="Q560" s="217"/>
      <c r="R560" s="217"/>
      <c r="S560" s="218"/>
      <c r="X560" s="218"/>
      <c r="AD560" s="216"/>
      <c r="AO560" s="216"/>
      <c r="AP560" s="216"/>
      <c r="AQ560" s="216"/>
      <c r="AR560" s="216"/>
      <c r="AT560" s="192"/>
      <c r="AU560" s="192"/>
      <c r="AV560" s="192"/>
      <c r="AW560" s="192"/>
      <c r="AX560" s="192"/>
      <c r="AY560" s="212"/>
      <c r="AZ560" s="213"/>
      <c r="BA560" s="213"/>
      <c r="BB560" s="213"/>
      <c r="BC560" s="212"/>
      <c r="BD560" s="213"/>
      <c r="BE560" s="213"/>
      <c r="BF560" s="213"/>
      <c r="BG560" s="212"/>
      <c r="BH560" s="213"/>
      <c r="BI560" s="213"/>
      <c r="BJ560" s="213"/>
      <c r="BK560" s="213"/>
      <c r="BL560" s="212"/>
      <c r="BM560" s="213"/>
      <c r="BN560" s="213"/>
      <c r="BO560" s="213"/>
      <c r="BP560" s="213"/>
      <c r="BQ560" s="192"/>
      <c r="BR560" s="192"/>
    </row>
    <row r="561">
      <c r="A561" s="60"/>
      <c r="E561" s="215"/>
      <c r="F561" s="215"/>
      <c r="G561" s="215"/>
      <c r="L561" s="216"/>
      <c r="M561" s="216"/>
      <c r="N561" s="216"/>
      <c r="O561" s="217"/>
      <c r="P561" s="217"/>
      <c r="Q561" s="217"/>
      <c r="R561" s="217"/>
      <c r="S561" s="218"/>
      <c r="X561" s="218"/>
      <c r="AD561" s="216"/>
      <c r="AO561" s="216"/>
      <c r="AP561" s="216"/>
      <c r="AQ561" s="216"/>
      <c r="AR561" s="216"/>
      <c r="AT561" s="192"/>
      <c r="AU561" s="192"/>
      <c r="AV561" s="192"/>
      <c r="AW561" s="192"/>
      <c r="AX561" s="192"/>
      <c r="AY561" s="212"/>
      <c r="AZ561" s="213"/>
      <c r="BA561" s="213"/>
      <c r="BB561" s="213"/>
      <c r="BC561" s="212"/>
      <c r="BD561" s="213"/>
      <c r="BE561" s="213"/>
      <c r="BF561" s="213"/>
      <c r="BG561" s="212"/>
      <c r="BH561" s="213"/>
      <c r="BI561" s="213"/>
      <c r="BJ561" s="213"/>
      <c r="BK561" s="213"/>
      <c r="BL561" s="212"/>
      <c r="BM561" s="213"/>
      <c r="BN561" s="213"/>
      <c r="BO561" s="213"/>
      <c r="BP561" s="213"/>
      <c r="BQ561" s="192"/>
      <c r="BR561" s="192"/>
    </row>
    <row r="562">
      <c r="A562" s="60"/>
      <c r="E562" s="215"/>
      <c r="F562" s="215"/>
      <c r="G562" s="215"/>
      <c r="L562" s="216"/>
      <c r="M562" s="216"/>
      <c r="N562" s="216"/>
      <c r="O562" s="217"/>
      <c r="P562" s="217"/>
      <c r="Q562" s="217"/>
      <c r="R562" s="217"/>
      <c r="S562" s="218"/>
      <c r="X562" s="218"/>
      <c r="AD562" s="216"/>
      <c r="AO562" s="216"/>
      <c r="AP562" s="216"/>
      <c r="AQ562" s="216"/>
      <c r="AR562" s="216"/>
      <c r="AT562" s="192"/>
      <c r="AU562" s="192"/>
      <c r="AV562" s="192"/>
      <c r="AW562" s="192"/>
      <c r="AX562" s="192"/>
      <c r="AY562" s="212"/>
      <c r="AZ562" s="213"/>
      <c r="BA562" s="213"/>
      <c r="BB562" s="213"/>
      <c r="BC562" s="212"/>
      <c r="BD562" s="213"/>
      <c r="BE562" s="213"/>
      <c r="BF562" s="213"/>
      <c r="BG562" s="212"/>
      <c r="BH562" s="213"/>
      <c r="BI562" s="213"/>
      <c r="BJ562" s="213"/>
      <c r="BK562" s="213"/>
      <c r="BL562" s="212"/>
      <c r="BM562" s="213"/>
      <c r="BN562" s="213"/>
      <c r="BO562" s="213"/>
      <c r="BP562" s="213"/>
      <c r="BQ562" s="192"/>
      <c r="BR562" s="192"/>
    </row>
    <row r="563">
      <c r="A563" s="60"/>
      <c r="E563" s="215"/>
      <c r="F563" s="215"/>
      <c r="G563" s="215"/>
      <c r="L563" s="216"/>
      <c r="M563" s="216"/>
      <c r="N563" s="216"/>
      <c r="O563" s="217"/>
      <c r="P563" s="217"/>
      <c r="Q563" s="217"/>
      <c r="R563" s="217"/>
      <c r="S563" s="218"/>
      <c r="X563" s="218"/>
      <c r="AD563" s="216"/>
      <c r="AO563" s="216"/>
      <c r="AP563" s="216"/>
      <c r="AQ563" s="216"/>
      <c r="AR563" s="216"/>
      <c r="AT563" s="192"/>
      <c r="AU563" s="192"/>
      <c r="AV563" s="192"/>
      <c r="AW563" s="192"/>
      <c r="AX563" s="192"/>
      <c r="AY563" s="212"/>
      <c r="AZ563" s="213"/>
      <c r="BA563" s="213"/>
      <c r="BB563" s="213"/>
      <c r="BC563" s="212"/>
      <c r="BD563" s="213"/>
      <c r="BE563" s="213"/>
      <c r="BF563" s="213"/>
      <c r="BG563" s="212"/>
      <c r="BH563" s="213"/>
      <c r="BI563" s="213"/>
      <c r="BJ563" s="213"/>
      <c r="BK563" s="213"/>
      <c r="BL563" s="212"/>
      <c r="BM563" s="213"/>
      <c r="BN563" s="213"/>
      <c r="BO563" s="213"/>
      <c r="BP563" s="213"/>
      <c r="BQ563" s="192"/>
      <c r="BR563" s="192"/>
    </row>
    <row r="564">
      <c r="A564" s="60"/>
      <c r="E564" s="215"/>
      <c r="F564" s="215"/>
      <c r="G564" s="215"/>
      <c r="L564" s="216"/>
      <c r="M564" s="216"/>
      <c r="N564" s="216"/>
      <c r="O564" s="217"/>
      <c r="P564" s="217"/>
      <c r="Q564" s="217"/>
      <c r="R564" s="217"/>
      <c r="S564" s="218"/>
      <c r="X564" s="218"/>
      <c r="AD564" s="216"/>
      <c r="AO564" s="216"/>
      <c r="AP564" s="216"/>
      <c r="AQ564" s="216"/>
      <c r="AR564" s="216"/>
      <c r="AT564" s="192"/>
      <c r="AU564" s="192"/>
      <c r="AV564" s="192"/>
      <c r="AW564" s="192"/>
      <c r="AX564" s="192"/>
      <c r="AY564" s="212"/>
      <c r="AZ564" s="213"/>
      <c r="BA564" s="213"/>
      <c r="BB564" s="213"/>
      <c r="BC564" s="212"/>
      <c r="BD564" s="213"/>
      <c r="BE564" s="213"/>
      <c r="BF564" s="213"/>
      <c r="BG564" s="212"/>
      <c r="BH564" s="213"/>
      <c r="BI564" s="213"/>
      <c r="BJ564" s="213"/>
      <c r="BK564" s="213"/>
      <c r="BL564" s="212"/>
      <c r="BM564" s="213"/>
      <c r="BN564" s="213"/>
      <c r="BO564" s="213"/>
      <c r="BP564" s="213"/>
      <c r="BQ564" s="192"/>
      <c r="BR564" s="192"/>
    </row>
    <row r="565">
      <c r="A565" s="60"/>
      <c r="E565" s="215"/>
      <c r="F565" s="215"/>
      <c r="G565" s="215"/>
      <c r="L565" s="216"/>
      <c r="M565" s="216"/>
      <c r="N565" s="216"/>
      <c r="O565" s="217"/>
      <c r="P565" s="217"/>
      <c r="Q565" s="217"/>
      <c r="R565" s="217"/>
      <c r="S565" s="218"/>
      <c r="X565" s="218"/>
      <c r="AD565" s="216"/>
      <c r="AO565" s="216"/>
      <c r="AP565" s="216"/>
      <c r="AQ565" s="216"/>
      <c r="AR565" s="216"/>
      <c r="AT565" s="192"/>
      <c r="AU565" s="192"/>
      <c r="AV565" s="192"/>
      <c r="AW565" s="192"/>
      <c r="AX565" s="192"/>
      <c r="AY565" s="212"/>
      <c r="AZ565" s="213"/>
      <c r="BA565" s="213"/>
      <c r="BB565" s="213"/>
      <c r="BC565" s="212"/>
      <c r="BD565" s="213"/>
      <c r="BE565" s="213"/>
      <c r="BF565" s="213"/>
      <c r="BG565" s="212"/>
      <c r="BH565" s="213"/>
      <c r="BI565" s="213"/>
      <c r="BJ565" s="213"/>
      <c r="BK565" s="213"/>
      <c r="BL565" s="212"/>
      <c r="BM565" s="213"/>
      <c r="BN565" s="213"/>
      <c r="BO565" s="213"/>
      <c r="BP565" s="213"/>
      <c r="BQ565" s="192"/>
      <c r="BR565" s="192"/>
    </row>
    <row r="566">
      <c r="A566" s="60"/>
      <c r="E566" s="215"/>
      <c r="F566" s="215"/>
      <c r="G566" s="215"/>
      <c r="L566" s="216"/>
      <c r="M566" s="216"/>
      <c r="N566" s="216"/>
      <c r="O566" s="217"/>
      <c r="P566" s="217"/>
      <c r="Q566" s="217"/>
      <c r="R566" s="217"/>
      <c r="S566" s="218"/>
      <c r="X566" s="218"/>
      <c r="AD566" s="216"/>
      <c r="AO566" s="216"/>
      <c r="AP566" s="216"/>
      <c r="AQ566" s="216"/>
      <c r="AR566" s="216"/>
      <c r="AT566" s="192"/>
      <c r="AU566" s="192"/>
      <c r="AV566" s="192"/>
      <c r="AW566" s="192"/>
      <c r="AX566" s="192"/>
      <c r="AY566" s="212"/>
      <c r="AZ566" s="213"/>
      <c r="BA566" s="213"/>
      <c r="BB566" s="213"/>
      <c r="BC566" s="212"/>
      <c r="BD566" s="213"/>
      <c r="BE566" s="213"/>
      <c r="BF566" s="213"/>
      <c r="BG566" s="212"/>
      <c r="BH566" s="213"/>
      <c r="BI566" s="213"/>
      <c r="BJ566" s="213"/>
      <c r="BK566" s="213"/>
      <c r="BL566" s="212"/>
      <c r="BM566" s="213"/>
      <c r="BN566" s="213"/>
      <c r="BO566" s="213"/>
      <c r="BP566" s="213"/>
      <c r="BQ566" s="192"/>
      <c r="BR566" s="192"/>
    </row>
    <row r="567">
      <c r="A567" s="60"/>
      <c r="E567" s="215"/>
      <c r="F567" s="215"/>
      <c r="G567" s="215"/>
      <c r="L567" s="216"/>
      <c r="M567" s="216"/>
      <c r="N567" s="216"/>
      <c r="O567" s="217"/>
      <c r="P567" s="217"/>
      <c r="Q567" s="217"/>
      <c r="R567" s="217"/>
      <c r="S567" s="218"/>
      <c r="X567" s="218"/>
      <c r="AD567" s="216"/>
      <c r="AO567" s="216"/>
      <c r="AP567" s="216"/>
      <c r="AQ567" s="216"/>
      <c r="AR567" s="216"/>
      <c r="AT567" s="192"/>
      <c r="AU567" s="192"/>
      <c r="AV567" s="192"/>
      <c r="AW567" s="192"/>
      <c r="AX567" s="192"/>
      <c r="AY567" s="212"/>
      <c r="AZ567" s="213"/>
      <c r="BA567" s="213"/>
      <c r="BB567" s="213"/>
      <c r="BC567" s="212"/>
      <c r="BD567" s="213"/>
      <c r="BE567" s="213"/>
      <c r="BF567" s="213"/>
      <c r="BG567" s="212"/>
      <c r="BH567" s="213"/>
      <c r="BI567" s="213"/>
      <c r="BJ567" s="213"/>
      <c r="BK567" s="213"/>
      <c r="BL567" s="212"/>
      <c r="BM567" s="213"/>
      <c r="BN567" s="213"/>
      <c r="BO567" s="213"/>
      <c r="BP567" s="213"/>
      <c r="BQ567" s="192"/>
      <c r="BR567" s="192"/>
    </row>
    <row r="568">
      <c r="A568" s="60"/>
      <c r="E568" s="215"/>
      <c r="F568" s="215"/>
      <c r="G568" s="215"/>
      <c r="L568" s="216"/>
      <c r="M568" s="216"/>
      <c r="N568" s="216"/>
      <c r="O568" s="217"/>
      <c r="P568" s="217"/>
      <c r="Q568" s="217"/>
      <c r="R568" s="217"/>
      <c r="S568" s="218"/>
      <c r="X568" s="218"/>
      <c r="AD568" s="216"/>
      <c r="AO568" s="216"/>
      <c r="AP568" s="216"/>
      <c r="AQ568" s="216"/>
      <c r="AR568" s="216"/>
      <c r="AT568" s="192"/>
      <c r="AU568" s="192"/>
      <c r="AV568" s="192"/>
      <c r="AW568" s="192"/>
      <c r="AX568" s="192"/>
      <c r="AY568" s="212"/>
      <c r="AZ568" s="213"/>
      <c r="BA568" s="213"/>
      <c r="BB568" s="213"/>
      <c r="BC568" s="212"/>
      <c r="BD568" s="213"/>
      <c r="BE568" s="213"/>
      <c r="BF568" s="213"/>
      <c r="BG568" s="212"/>
      <c r="BH568" s="213"/>
      <c r="BI568" s="213"/>
      <c r="BJ568" s="213"/>
      <c r="BK568" s="213"/>
      <c r="BL568" s="212"/>
      <c r="BM568" s="213"/>
      <c r="BN568" s="213"/>
      <c r="BO568" s="213"/>
      <c r="BP568" s="213"/>
      <c r="BQ568" s="192"/>
      <c r="BR568" s="192"/>
    </row>
    <row r="569">
      <c r="A569" s="60"/>
      <c r="E569" s="215"/>
      <c r="F569" s="215"/>
      <c r="G569" s="215"/>
      <c r="L569" s="216"/>
      <c r="M569" s="216"/>
      <c r="N569" s="216"/>
      <c r="O569" s="217"/>
      <c r="P569" s="217"/>
      <c r="Q569" s="217"/>
      <c r="R569" s="217"/>
      <c r="S569" s="218"/>
      <c r="X569" s="218"/>
      <c r="AD569" s="216"/>
      <c r="AO569" s="216"/>
      <c r="AP569" s="216"/>
      <c r="AQ569" s="216"/>
      <c r="AR569" s="216"/>
      <c r="AT569" s="192"/>
      <c r="AU569" s="192"/>
      <c r="AV569" s="192"/>
      <c r="AW569" s="192"/>
      <c r="AX569" s="192"/>
      <c r="AY569" s="212"/>
      <c r="AZ569" s="213"/>
      <c r="BA569" s="213"/>
      <c r="BB569" s="213"/>
      <c r="BC569" s="212"/>
      <c r="BD569" s="213"/>
      <c r="BE569" s="213"/>
      <c r="BF569" s="213"/>
      <c r="BG569" s="212"/>
      <c r="BH569" s="213"/>
      <c r="BI569" s="213"/>
      <c r="BJ569" s="213"/>
      <c r="BK569" s="213"/>
      <c r="BL569" s="212"/>
      <c r="BM569" s="213"/>
      <c r="BN569" s="213"/>
      <c r="BO569" s="213"/>
      <c r="BP569" s="213"/>
      <c r="BQ569" s="192"/>
      <c r="BR569" s="192"/>
    </row>
    <row r="570">
      <c r="A570" s="60"/>
      <c r="E570" s="215"/>
      <c r="F570" s="215"/>
      <c r="G570" s="215"/>
      <c r="L570" s="216"/>
      <c r="M570" s="216"/>
      <c r="N570" s="216"/>
      <c r="O570" s="217"/>
      <c r="P570" s="217"/>
      <c r="Q570" s="217"/>
      <c r="R570" s="217"/>
      <c r="S570" s="218"/>
      <c r="X570" s="218"/>
      <c r="AD570" s="216"/>
      <c r="AO570" s="216"/>
      <c r="AP570" s="216"/>
      <c r="AQ570" s="216"/>
      <c r="AR570" s="216"/>
      <c r="AT570" s="192"/>
      <c r="AU570" s="192"/>
      <c r="AV570" s="192"/>
      <c r="AW570" s="192"/>
      <c r="AX570" s="192"/>
      <c r="AY570" s="212"/>
      <c r="AZ570" s="213"/>
      <c r="BA570" s="213"/>
      <c r="BB570" s="213"/>
      <c r="BC570" s="212"/>
      <c r="BD570" s="213"/>
      <c r="BE570" s="213"/>
      <c r="BF570" s="213"/>
      <c r="BG570" s="212"/>
      <c r="BH570" s="213"/>
      <c r="BI570" s="213"/>
      <c r="BJ570" s="213"/>
      <c r="BK570" s="213"/>
      <c r="BL570" s="212"/>
      <c r="BM570" s="213"/>
      <c r="BN570" s="213"/>
      <c r="BO570" s="213"/>
      <c r="BP570" s="213"/>
      <c r="BQ570" s="192"/>
      <c r="BR570" s="192"/>
    </row>
    <row r="571">
      <c r="A571" s="60"/>
      <c r="E571" s="215"/>
      <c r="F571" s="215"/>
      <c r="G571" s="215"/>
      <c r="L571" s="216"/>
      <c r="M571" s="216"/>
      <c r="N571" s="216"/>
      <c r="O571" s="217"/>
      <c r="P571" s="217"/>
      <c r="Q571" s="217"/>
      <c r="R571" s="217"/>
      <c r="S571" s="218"/>
      <c r="X571" s="218"/>
      <c r="AD571" s="216"/>
      <c r="AO571" s="216"/>
      <c r="AP571" s="216"/>
      <c r="AQ571" s="216"/>
      <c r="AR571" s="216"/>
      <c r="AT571" s="192"/>
      <c r="AU571" s="192"/>
      <c r="AV571" s="192"/>
      <c r="AW571" s="192"/>
      <c r="AX571" s="192"/>
      <c r="AY571" s="212"/>
      <c r="AZ571" s="213"/>
      <c r="BA571" s="213"/>
      <c r="BB571" s="213"/>
      <c r="BC571" s="212"/>
      <c r="BD571" s="213"/>
      <c r="BE571" s="213"/>
      <c r="BF571" s="213"/>
      <c r="BG571" s="212"/>
      <c r="BH571" s="213"/>
      <c r="BI571" s="213"/>
      <c r="BJ571" s="213"/>
      <c r="BK571" s="213"/>
      <c r="BL571" s="212"/>
      <c r="BM571" s="213"/>
      <c r="BN571" s="213"/>
      <c r="BO571" s="213"/>
      <c r="BP571" s="213"/>
      <c r="BQ571" s="192"/>
      <c r="BR571" s="192"/>
    </row>
    <row r="572">
      <c r="A572" s="60"/>
      <c r="E572" s="215"/>
      <c r="F572" s="215"/>
      <c r="G572" s="215"/>
      <c r="L572" s="216"/>
      <c r="M572" s="216"/>
      <c r="N572" s="216"/>
      <c r="O572" s="217"/>
      <c r="P572" s="217"/>
      <c r="Q572" s="217"/>
      <c r="R572" s="217"/>
      <c r="S572" s="218"/>
      <c r="X572" s="218"/>
      <c r="AD572" s="216"/>
      <c r="AO572" s="216"/>
      <c r="AP572" s="216"/>
      <c r="AQ572" s="216"/>
      <c r="AR572" s="216"/>
      <c r="AT572" s="192"/>
      <c r="AU572" s="192"/>
      <c r="AV572" s="192"/>
      <c r="AW572" s="192"/>
      <c r="AX572" s="192"/>
      <c r="AY572" s="212"/>
      <c r="AZ572" s="213"/>
      <c r="BA572" s="213"/>
      <c r="BB572" s="213"/>
      <c r="BC572" s="212"/>
      <c r="BD572" s="213"/>
      <c r="BE572" s="213"/>
      <c r="BF572" s="213"/>
      <c r="BG572" s="212"/>
      <c r="BH572" s="213"/>
      <c r="BI572" s="213"/>
      <c r="BJ572" s="213"/>
      <c r="BK572" s="213"/>
      <c r="BL572" s="212"/>
      <c r="BM572" s="213"/>
      <c r="BN572" s="213"/>
      <c r="BO572" s="213"/>
      <c r="BP572" s="213"/>
      <c r="BQ572" s="192"/>
      <c r="BR572" s="192"/>
    </row>
    <row r="573">
      <c r="A573" s="60"/>
      <c r="E573" s="215"/>
      <c r="F573" s="215"/>
      <c r="G573" s="215"/>
      <c r="L573" s="216"/>
      <c r="M573" s="216"/>
      <c r="N573" s="216"/>
      <c r="O573" s="217"/>
      <c r="P573" s="217"/>
      <c r="Q573" s="217"/>
      <c r="R573" s="217"/>
      <c r="S573" s="218"/>
      <c r="X573" s="218"/>
      <c r="AD573" s="216"/>
      <c r="AO573" s="216"/>
      <c r="AP573" s="216"/>
      <c r="AQ573" s="216"/>
      <c r="AR573" s="216"/>
      <c r="AT573" s="192"/>
      <c r="AU573" s="192"/>
      <c r="AV573" s="192"/>
      <c r="AW573" s="192"/>
      <c r="AX573" s="192"/>
      <c r="AY573" s="212"/>
      <c r="AZ573" s="213"/>
      <c r="BA573" s="213"/>
      <c r="BB573" s="213"/>
      <c r="BC573" s="212"/>
      <c r="BD573" s="213"/>
      <c r="BE573" s="213"/>
      <c r="BF573" s="213"/>
      <c r="BG573" s="212"/>
      <c r="BH573" s="213"/>
      <c r="BI573" s="213"/>
      <c r="BJ573" s="213"/>
      <c r="BK573" s="213"/>
      <c r="BL573" s="212"/>
      <c r="BM573" s="213"/>
      <c r="BN573" s="213"/>
      <c r="BO573" s="213"/>
      <c r="BP573" s="213"/>
      <c r="BQ573" s="192"/>
      <c r="BR573" s="192"/>
    </row>
    <row r="574">
      <c r="A574" s="60"/>
      <c r="E574" s="215"/>
      <c r="F574" s="215"/>
      <c r="G574" s="215"/>
      <c r="L574" s="216"/>
      <c r="M574" s="216"/>
      <c r="N574" s="216"/>
      <c r="O574" s="217"/>
      <c r="P574" s="217"/>
      <c r="Q574" s="217"/>
      <c r="R574" s="217"/>
      <c r="S574" s="218"/>
      <c r="X574" s="218"/>
      <c r="AD574" s="216"/>
      <c r="AO574" s="216"/>
      <c r="AP574" s="216"/>
      <c r="AQ574" s="216"/>
      <c r="AR574" s="216"/>
      <c r="AT574" s="192"/>
      <c r="AU574" s="192"/>
      <c r="AV574" s="192"/>
      <c r="AW574" s="192"/>
      <c r="AX574" s="192"/>
      <c r="AY574" s="212"/>
      <c r="AZ574" s="213"/>
      <c r="BA574" s="213"/>
      <c r="BB574" s="213"/>
      <c r="BC574" s="212"/>
      <c r="BD574" s="213"/>
      <c r="BE574" s="213"/>
      <c r="BF574" s="213"/>
      <c r="BG574" s="212"/>
      <c r="BH574" s="213"/>
      <c r="BI574" s="213"/>
      <c r="BJ574" s="213"/>
      <c r="BK574" s="213"/>
      <c r="BL574" s="212"/>
      <c r="BM574" s="213"/>
      <c r="BN574" s="213"/>
      <c r="BO574" s="213"/>
      <c r="BP574" s="213"/>
      <c r="BQ574" s="192"/>
      <c r="BR574" s="192"/>
    </row>
    <row r="575">
      <c r="A575" s="60"/>
      <c r="E575" s="215"/>
      <c r="F575" s="215"/>
      <c r="G575" s="215"/>
      <c r="L575" s="216"/>
      <c r="M575" s="216"/>
      <c r="N575" s="216"/>
      <c r="O575" s="217"/>
      <c r="P575" s="217"/>
      <c r="Q575" s="217"/>
      <c r="R575" s="217"/>
      <c r="S575" s="218"/>
      <c r="X575" s="218"/>
      <c r="AD575" s="216"/>
      <c r="AO575" s="216"/>
      <c r="AP575" s="216"/>
      <c r="AQ575" s="216"/>
      <c r="AR575" s="216"/>
      <c r="AT575" s="192"/>
      <c r="AU575" s="192"/>
      <c r="AV575" s="192"/>
      <c r="AW575" s="192"/>
      <c r="AX575" s="192"/>
      <c r="AY575" s="212"/>
      <c r="AZ575" s="213"/>
      <c r="BA575" s="213"/>
      <c r="BB575" s="213"/>
      <c r="BC575" s="212"/>
      <c r="BD575" s="213"/>
      <c r="BE575" s="213"/>
      <c r="BF575" s="213"/>
      <c r="BG575" s="212"/>
      <c r="BH575" s="213"/>
      <c r="BI575" s="213"/>
      <c r="BJ575" s="213"/>
      <c r="BK575" s="213"/>
      <c r="BL575" s="212"/>
      <c r="BM575" s="213"/>
      <c r="BN575" s="213"/>
      <c r="BO575" s="213"/>
      <c r="BP575" s="213"/>
      <c r="BQ575" s="192"/>
      <c r="BR575" s="192"/>
    </row>
    <row r="576">
      <c r="A576" s="60"/>
      <c r="E576" s="215"/>
      <c r="F576" s="215"/>
      <c r="G576" s="215"/>
      <c r="L576" s="216"/>
      <c r="M576" s="216"/>
      <c r="N576" s="216"/>
      <c r="O576" s="217"/>
      <c r="P576" s="217"/>
      <c r="Q576" s="217"/>
      <c r="R576" s="217"/>
      <c r="S576" s="218"/>
      <c r="X576" s="218"/>
      <c r="AD576" s="216"/>
      <c r="AO576" s="216"/>
      <c r="AP576" s="216"/>
      <c r="AQ576" s="216"/>
      <c r="AR576" s="216"/>
      <c r="AT576" s="192"/>
      <c r="AU576" s="192"/>
      <c r="AV576" s="192"/>
      <c r="AW576" s="192"/>
      <c r="AX576" s="192"/>
      <c r="AY576" s="212"/>
      <c r="AZ576" s="213"/>
      <c r="BA576" s="213"/>
      <c r="BB576" s="213"/>
      <c r="BC576" s="212"/>
      <c r="BD576" s="213"/>
      <c r="BE576" s="213"/>
      <c r="BF576" s="213"/>
      <c r="BG576" s="212"/>
      <c r="BH576" s="213"/>
      <c r="BI576" s="213"/>
      <c r="BJ576" s="213"/>
      <c r="BK576" s="213"/>
      <c r="BL576" s="212"/>
      <c r="BM576" s="213"/>
      <c r="BN576" s="213"/>
      <c r="BO576" s="213"/>
      <c r="BP576" s="213"/>
      <c r="BQ576" s="192"/>
      <c r="BR576" s="192"/>
    </row>
    <row r="577">
      <c r="A577" s="60"/>
      <c r="E577" s="215"/>
      <c r="F577" s="215"/>
      <c r="G577" s="215"/>
      <c r="L577" s="216"/>
      <c r="M577" s="216"/>
      <c r="N577" s="216"/>
      <c r="O577" s="217"/>
      <c r="P577" s="217"/>
      <c r="Q577" s="217"/>
      <c r="R577" s="217"/>
      <c r="S577" s="218"/>
      <c r="X577" s="218"/>
      <c r="AD577" s="216"/>
      <c r="AO577" s="216"/>
      <c r="AP577" s="216"/>
      <c r="AQ577" s="216"/>
      <c r="AR577" s="216"/>
      <c r="AT577" s="192"/>
      <c r="AU577" s="192"/>
      <c r="AV577" s="192"/>
      <c r="AW577" s="192"/>
      <c r="AX577" s="192"/>
      <c r="AY577" s="212"/>
      <c r="AZ577" s="213"/>
      <c r="BA577" s="213"/>
      <c r="BB577" s="213"/>
      <c r="BC577" s="212"/>
      <c r="BD577" s="213"/>
      <c r="BE577" s="213"/>
      <c r="BF577" s="213"/>
      <c r="BG577" s="212"/>
      <c r="BH577" s="213"/>
      <c r="BI577" s="213"/>
      <c r="BJ577" s="213"/>
      <c r="BK577" s="213"/>
      <c r="BL577" s="212"/>
      <c r="BM577" s="213"/>
      <c r="BN577" s="213"/>
      <c r="BO577" s="213"/>
      <c r="BP577" s="213"/>
      <c r="BQ577" s="192"/>
      <c r="BR577" s="192"/>
    </row>
    <row r="578">
      <c r="A578" s="60"/>
      <c r="E578" s="215"/>
      <c r="F578" s="215"/>
      <c r="G578" s="215"/>
      <c r="L578" s="216"/>
      <c r="M578" s="216"/>
      <c r="N578" s="216"/>
      <c r="O578" s="217"/>
      <c r="P578" s="217"/>
      <c r="Q578" s="217"/>
      <c r="R578" s="217"/>
      <c r="S578" s="218"/>
      <c r="X578" s="218"/>
      <c r="AD578" s="216"/>
      <c r="AO578" s="216"/>
      <c r="AP578" s="216"/>
      <c r="AQ578" s="216"/>
      <c r="AR578" s="216"/>
      <c r="AT578" s="192"/>
      <c r="AU578" s="192"/>
      <c r="AV578" s="192"/>
      <c r="AW578" s="192"/>
      <c r="AX578" s="192"/>
      <c r="AY578" s="212"/>
      <c r="AZ578" s="213"/>
      <c r="BA578" s="213"/>
      <c r="BB578" s="213"/>
      <c r="BC578" s="212"/>
      <c r="BD578" s="213"/>
      <c r="BE578" s="213"/>
      <c r="BF578" s="213"/>
      <c r="BG578" s="212"/>
      <c r="BH578" s="213"/>
      <c r="BI578" s="213"/>
      <c r="BJ578" s="213"/>
      <c r="BK578" s="213"/>
      <c r="BL578" s="212"/>
      <c r="BM578" s="213"/>
      <c r="BN578" s="213"/>
      <c r="BO578" s="213"/>
      <c r="BP578" s="213"/>
      <c r="BQ578" s="192"/>
      <c r="BR578" s="192"/>
    </row>
    <row r="579">
      <c r="A579" s="60"/>
      <c r="E579" s="215"/>
      <c r="F579" s="215"/>
      <c r="G579" s="215"/>
      <c r="L579" s="216"/>
      <c r="M579" s="216"/>
      <c r="N579" s="216"/>
      <c r="O579" s="217"/>
      <c r="P579" s="217"/>
      <c r="Q579" s="217"/>
      <c r="R579" s="217"/>
      <c r="S579" s="218"/>
      <c r="X579" s="218"/>
      <c r="AD579" s="216"/>
      <c r="AO579" s="216"/>
      <c r="AP579" s="216"/>
      <c r="AQ579" s="216"/>
      <c r="AR579" s="216"/>
      <c r="AT579" s="192"/>
      <c r="AU579" s="192"/>
      <c r="AV579" s="192"/>
      <c r="AW579" s="192"/>
      <c r="AX579" s="192"/>
      <c r="AY579" s="212"/>
      <c r="AZ579" s="213"/>
      <c r="BA579" s="213"/>
      <c r="BB579" s="213"/>
      <c r="BC579" s="212"/>
      <c r="BD579" s="213"/>
      <c r="BE579" s="213"/>
      <c r="BF579" s="213"/>
      <c r="BG579" s="212"/>
      <c r="BH579" s="213"/>
      <c r="BI579" s="213"/>
      <c r="BJ579" s="213"/>
      <c r="BK579" s="213"/>
      <c r="BL579" s="212"/>
      <c r="BM579" s="213"/>
      <c r="BN579" s="213"/>
      <c r="BO579" s="213"/>
      <c r="BP579" s="213"/>
      <c r="BQ579" s="192"/>
      <c r="BR579" s="192"/>
    </row>
    <row r="580">
      <c r="A580" s="60"/>
      <c r="E580" s="215"/>
      <c r="F580" s="215"/>
      <c r="G580" s="215"/>
      <c r="L580" s="216"/>
      <c r="M580" s="216"/>
      <c r="N580" s="216"/>
      <c r="O580" s="217"/>
      <c r="P580" s="217"/>
      <c r="Q580" s="217"/>
      <c r="R580" s="217"/>
      <c r="S580" s="218"/>
      <c r="X580" s="218"/>
      <c r="AD580" s="216"/>
      <c r="AO580" s="216"/>
      <c r="AP580" s="216"/>
      <c r="AQ580" s="216"/>
      <c r="AR580" s="216"/>
      <c r="AT580" s="192"/>
      <c r="AU580" s="192"/>
      <c r="AV580" s="192"/>
      <c r="AW580" s="192"/>
      <c r="AX580" s="192"/>
      <c r="AY580" s="212"/>
      <c r="AZ580" s="213"/>
      <c r="BA580" s="213"/>
      <c r="BB580" s="213"/>
      <c r="BC580" s="212"/>
      <c r="BD580" s="213"/>
      <c r="BE580" s="213"/>
      <c r="BF580" s="213"/>
      <c r="BG580" s="212"/>
      <c r="BH580" s="213"/>
      <c r="BI580" s="213"/>
      <c r="BJ580" s="213"/>
      <c r="BK580" s="213"/>
      <c r="BL580" s="212"/>
      <c r="BM580" s="213"/>
      <c r="BN580" s="213"/>
      <c r="BO580" s="213"/>
      <c r="BP580" s="213"/>
      <c r="BQ580" s="192"/>
      <c r="BR580" s="192"/>
    </row>
    <row r="581">
      <c r="A581" s="60"/>
      <c r="E581" s="215"/>
      <c r="F581" s="215"/>
      <c r="G581" s="215"/>
      <c r="L581" s="216"/>
      <c r="M581" s="216"/>
      <c r="N581" s="216"/>
      <c r="O581" s="217"/>
      <c r="P581" s="217"/>
      <c r="Q581" s="217"/>
      <c r="R581" s="217"/>
      <c r="S581" s="218"/>
      <c r="X581" s="218"/>
      <c r="AD581" s="216"/>
      <c r="AO581" s="216"/>
      <c r="AP581" s="216"/>
      <c r="AQ581" s="216"/>
      <c r="AR581" s="216"/>
      <c r="AT581" s="192"/>
      <c r="AU581" s="192"/>
      <c r="AV581" s="192"/>
      <c r="AW581" s="192"/>
      <c r="AX581" s="192"/>
      <c r="AY581" s="212"/>
      <c r="AZ581" s="213"/>
      <c r="BA581" s="213"/>
      <c r="BB581" s="213"/>
      <c r="BC581" s="212"/>
      <c r="BD581" s="213"/>
      <c r="BE581" s="213"/>
      <c r="BF581" s="213"/>
      <c r="BG581" s="212"/>
      <c r="BH581" s="213"/>
      <c r="BI581" s="213"/>
      <c r="BJ581" s="213"/>
      <c r="BK581" s="213"/>
      <c r="BL581" s="212"/>
      <c r="BM581" s="213"/>
      <c r="BN581" s="213"/>
      <c r="BO581" s="213"/>
      <c r="BP581" s="213"/>
      <c r="BQ581" s="192"/>
      <c r="BR581" s="192"/>
    </row>
    <row r="582">
      <c r="A582" s="60"/>
      <c r="E582" s="215"/>
      <c r="F582" s="215"/>
      <c r="G582" s="215"/>
      <c r="L582" s="216"/>
      <c r="M582" s="216"/>
      <c r="N582" s="216"/>
      <c r="O582" s="217"/>
      <c r="P582" s="217"/>
      <c r="Q582" s="217"/>
      <c r="R582" s="217"/>
      <c r="S582" s="218"/>
      <c r="X582" s="218"/>
      <c r="AD582" s="216"/>
      <c r="AO582" s="216"/>
      <c r="AP582" s="216"/>
      <c r="AQ582" s="216"/>
      <c r="AR582" s="216"/>
      <c r="AT582" s="192"/>
      <c r="AU582" s="192"/>
      <c r="AV582" s="192"/>
      <c r="AW582" s="192"/>
      <c r="AX582" s="192"/>
      <c r="AY582" s="212"/>
      <c r="AZ582" s="213"/>
      <c r="BA582" s="213"/>
      <c r="BB582" s="213"/>
      <c r="BC582" s="212"/>
      <c r="BD582" s="213"/>
      <c r="BE582" s="213"/>
      <c r="BF582" s="213"/>
      <c r="BG582" s="212"/>
      <c r="BH582" s="213"/>
      <c r="BI582" s="213"/>
      <c r="BJ582" s="213"/>
      <c r="BK582" s="213"/>
      <c r="BL582" s="212"/>
      <c r="BM582" s="213"/>
      <c r="BN582" s="213"/>
      <c r="BO582" s="213"/>
      <c r="BP582" s="213"/>
      <c r="BQ582" s="192"/>
      <c r="BR582" s="192"/>
    </row>
    <row r="583">
      <c r="A583" s="60"/>
      <c r="E583" s="215"/>
      <c r="F583" s="215"/>
      <c r="G583" s="215"/>
      <c r="L583" s="216"/>
      <c r="M583" s="216"/>
      <c r="N583" s="216"/>
      <c r="O583" s="217"/>
      <c r="P583" s="217"/>
      <c r="Q583" s="217"/>
      <c r="R583" s="217"/>
      <c r="S583" s="218"/>
      <c r="X583" s="218"/>
      <c r="AD583" s="216"/>
      <c r="AO583" s="216"/>
      <c r="AP583" s="216"/>
      <c r="AQ583" s="216"/>
      <c r="AR583" s="216"/>
      <c r="AT583" s="192"/>
      <c r="AU583" s="192"/>
      <c r="AV583" s="192"/>
      <c r="AW583" s="192"/>
      <c r="AX583" s="192"/>
      <c r="AY583" s="212"/>
      <c r="AZ583" s="213"/>
      <c r="BA583" s="213"/>
      <c r="BB583" s="213"/>
      <c r="BC583" s="212"/>
      <c r="BD583" s="213"/>
      <c r="BE583" s="213"/>
      <c r="BF583" s="213"/>
      <c r="BG583" s="212"/>
      <c r="BH583" s="213"/>
      <c r="BI583" s="213"/>
      <c r="BJ583" s="213"/>
      <c r="BK583" s="213"/>
      <c r="BL583" s="212"/>
      <c r="BM583" s="213"/>
      <c r="BN583" s="213"/>
      <c r="BO583" s="213"/>
      <c r="BP583" s="213"/>
      <c r="BQ583" s="192"/>
      <c r="BR583" s="192"/>
    </row>
    <row r="584">
      <c r="A584" s="60"/>
      <c r="E584" s="215"/>
      <c r="F584" s="215"/>
      <c r="G584" s="215"/>
      <c r="L584" s="216"/>
      <c r="M584" s="216"/>
      <c r="N584" s="216"/>
      <c r="O584" s="217"/>
      <c r="P584" s="217"/>
      <c r="Q584" s="217"/>
      <c r="R584" s="217"/>
      <c r="S584" s="218"/>
      <c r="X584" s="218"/>
      <c r="AD584" s="216"/>
      <c r="AO584" s="216"/>
      <c r="AP584" s="216"/>
      <c r="AQ584" s="216"/>
      <c r="AR584" s="216"/>
      <c r="AT584" s="192"/>
      <c r="AU584" s="192"/>
      <c r="AV584" s="192"/>
      <c r="AW584" s="192"/>
      <c r="AX584" s="192"/>
      <c r="AY584" s="212"/>
      <c r="AZ584" s="213"/>
      <c r="BA584" s="213"/>
      <c r="BB584" s="213"/>
      <c r="BC584" s="212"/>
      <c r="BD584" s="213"/>
      <c r="BE584" s="213"/>
      <c r="BF584" s="213"/>
      <c r="BG584" s="212"/>
      <c r="BH584" s="213"/>
      <c r="BI584" s="213"/>
      <c r="BJ584" s="213"/>
      <c r="BK584" s="213"/>
      <c r="BL584" s="212"/>
      <c r="BM584" s="213"/>
      <c r="BN584" s="213"/>
      <c r="BO584" s="213"/>
      <c r="BP584" s="213"/>
      <c r="BQ584" s="192"/>
      <c r="BR584" s="192"/>
    </row>
    <row r="585">
      <c r="A585" s="60"/>
      <c r="E585" s="215"/>
      <c r="F585" s="215"/>
      <c r="G585" s="215"/>
      <c r="L585" s="216"/>
      <c r="M585" s="216"/>
      <c r="N585" s="216"/>
      <c r="O585" s="217"/>
      <c r="P585" s="217"/>
      <c r="Q585" s="217"/>
      <c r="R585" s="217"/>
      <c r="S585" s="218"/>
      <c r="X585" s="218"/>
      <c r="AD585" s="216"/>
      <c r="AO585" s="216"/>
      <c r="AP585" s="216"/>
      <c r="AQ585" s="216"/>
      <c r="AR585" s="216"/>
      <c r="AT585" s="192"/>
      <c r="AU585" s="192"/>
      <c r="AV585" s="192"/>
      <c r="AW585" s="192"/>
      <c r="AX585" s="192"/>
      <c r="AY585" s="212"/>
      <c r="AZ585" s="213"/>
      <c r="BA585" s="213"/>
      <c r="BB585" s="213"/>
      <c r="BC585" s="212"/>
      <c r="BD585" s="213"/>
      <c r="BE585" s="213"/>
      <c r="BF585" s="213"/>
      <c r="BG585" s="212"/>
      <c r="BH585" s="213"/>
      <c r="BI585" s="213"/>
      <c r="BJ585" s="213"/>
      <c r="BK585" s="213"/>
      <c r="BL585" s="212"/>
      <c r="BM585" s="213"/>
      <c r="BN585" s="213"/>
      <c r="BO585" s="213"/>
      <c r="BP585" s="213"/>
      <c r="BQ585" s="192"/>
      <c r="BR585" s="192"/>
    </row>
    <row r="586">
      <c r="A586" s="60"/>
      <c r="E586" s="215"/>
      <c r="F586" s="215"/>
      <c r="G586" s="215"/>
      <c r="L586" s="216"/>
      <c r="M586" s="216"/>
      <c r="N586" s="216"/>
      <c r="O586" s="217"/>
      <c r="P586" s="217"/>
      <c r="Q586" s="217"/>
      <c r="R586" s="217"/>
      <c r="S586" s="218"/>
      <c r="X586" s="218"/>
      <c r="AD586" s="216"/>
      <c r="AO586" s="216"/>
      <c r="AP586" s="216"/>
      <c r="AQ586" s="216"/>
      <c r="AR586" s="216"/>
      <c r="AT586" s="192"/>
      <c r="AU586" s="192"/>
      <c r="AV586" s="192"/>
      <c r="AW586" s="192"/>
      <c r="AX586" s="192"/>
      <c r="AY586" s="212"/>
      <c r="AZ586" s="213"/>
      <c r="BA586" s="213"/>
      <c r="BB586" s="213"/>
      <c r="BC586" s="212"/>
      <c r="BD586" s="213"/>
      <c r="BE586" s="213"/>
      <c r="BF586" s="213"/>
      <c r="BG586" s="212"/>
      <c r="BH586" s="213"/>
      <c r="BI586" s="213"/>
      <c r="BJ586" s="213"/>
      <c r="BK586" s="213"/>
      <c r="BL586" s="212"/>
      <c r="BM586" s="213"/>
      <c r="BN586" s="213"/>
      <c r="BO586" s="213"/>
      <c r="BP586" s="213"/>
      <c r="BQ586" s="192"/>
      <c r="BR586" s="192"/>
    </row>
    <row r="587">
      <c r="A587" s="60"/>
      <c r="E587" s="215"/>
      <c r="F587" s="215"/>
      <c r="G587" s="215"/>
      <c r="L587" s="216"/>
      <c r="M587" s="216"/>
      <c r="N587" s="216"/>
      <c r="O587" s="217"/>
      <c r="P587" s="217"/>
      <c r="Q587" s="217"/>
      <c r="R587" s="217"/>
      <c r="S587" s="218"/>
      <c r="X587" s="218"/>
      <c r="AD587" s="216"/>
      <c r="AO587" s="216"/>
      <c r="AP587" s="216"/>
      <c r="AQ587" s="216"/>
      <c r="AR587" s="216"/>
      <c r="AT587" s="192"/>
      <c r="AU587" s="192"/>
      <c r="AV587" s="192"/>
      <c r="AW587" s="192"/>
      <c r="AX587" s="192"/>
      <c r="AY587" s="212"/>
      <c r="AZ587" s="213"/>
      <c r="BA587" s="213"/>
      <c r="BB587" s="213"/>
      <c r="BC587" s="212"/>
      <c r="BD587" s="213"/>
      <c r="BE587" s="213"/>
      <c r="BF587" s="213"/>
      <c r="BG587" s="212"/>
      <c r="BH587" s="213"/>
      <c r="BI587" s="213"/>
      <c r="BJ587" s="213"/>
      <c r="BK587" s="213"/>
      <c r="BL587" s="212"/>
      <c r="BM587" s="213"/>
      <c r="BN587" s="213"/>
      <c r="BO587" s="213"/>
      <c r="BP587" s="213"/>
      <c r="BQ587" s="192"/>
      <c r="BR587" s="192"/>
    </row>
    <row r="588">
      <c r="A588" s="60"/>
      <c r="E588" s="215"/>
      <c r="F588" s="215"/>
      <c r="G588" s="215"/>
      <c r="L588" s="216"/>
      <c r="M588" s="216"/>
      <c r="N588" s="216"/>
      <c r="O588" s="217"/>
      <c r="P588" s="217"/>
      <c r="Q588" s="217"/>
      <c r="R588" s="217"/>
      <c r="S588" s="218"/>
      <c r="X588" s="218"/>
      <c r="AD588" s="216"/>
      <c r="AO588" s="216"/>
      <c r="AP588" s="216"/>
      <c r="AQ588" s="216"/>
      <c r="AR588" s="216"/>
      <c r="AT588" s="192"/>
      <c r="AU588" s="192"/>
      <c r="AV588" s="192"/>
      <c r="AW588" s="192"/>
      <c r="AX588" s="192"/>
      <c r="AY588" s="212"/>
      <c r="AZ588" s="213"/>
      <c r="BA588" s="213"/>
      <c r="BB588" s="213"/>
      <c r="BC588" s="212"/>
      <c r="BD588" s="213"/>
      <c r="BE588" s="213"/>
      <c r="BF588" s="213"/>
      <c r="BG588" s="212"/>
      <c r="BH588" s="213"/>
      <c r="BI588" s="213"/>
      <c r="BJ588" s="213"/>
      <c r="BK588" s="213"/>
      <c r="BL588" s="212"/>
      <c r="BM588" s="213"/>
      <c r="BN588" s="213"/>
      <c r="BO588" s="213"/>
      <c r="BP588" s="213"/>
      <c r="BQ588" s="192"/>
      <c r="BR588" s="192"/>
    </row>
    <row r="589">
      <c r="A589" s="60"/>
      <c r="E589" s="215"/>
      <c r="F589" s="215"/>
      <c r="G589" s="215"/>
      <c r="L589" s="216"/>
      <c r="M589" s="216"/>
      <c r="N589" s="216"/>
      <c r="O589" s="217"/>
      <c r="P589" s="217"/>
      <c r="Q589" s="217"/>
      <c r="R589" s="217"/>
      <c r="S589" s="218"/>
      <c r="X589" s="218"/>
      <c r="AD589" s="216"/>
      <c r="AO589" s="216"/>
      <c r="AP589" s="216"/>
      <c r="AQ589" s="216"/>
      <c r="AR589" s="216"/>
      <c r="AT589" s="192"/>
      <c r="AU589" s="192"/>
      <c r="AV589" s="192"/>
      <c r="AW589" s="192"/>
      <c r="AX589" s="192"/>
      <c r="AY589" s="212"/>
      <c r="AZ589" s="213"/>
      <c r="BA589" s="213"/>
      <c r="BB589" s="213"/>
      <c r="BC589" s="212"/>
      <c r="BD589" s="213"/>
      <c r="BE589" s="213"/>
      <c r="BF589" s="213"/>
      <c r="BG589" s="212"/>
      <c r="BH589" s="213"/>
      <c r="BI589" s="213"/>
      <c r="BJ589" s="213"/>
      <c r="BK589" s="213"/>
      <c r="BL589" s="212"/>
      <c r="BM589" s="213"/>
      <c r="BN589" s="213"/>
      <c r="BO589" s="213"/>
      <c r="BP589" s="213"/>
      <c r="BQ589" s="192"/>
      <c r="BR589" s="192"/>
    </row>
    <row r="590">
      <c r="A590" s="60"/>
      <c r="E590" s="215"/>
      <c r="F590" s="215"/>
      <c r="G590" s="215"/>
      <c r="L590" s="216"/>
      <c r="M590" s="216"/>
      <c r="N590" s="216"/>
      <c r="O590" s="217"/>
      <c r="P590" s="217"/>
      <c r="Q590" s="217"/>
      <c r="R590" s="217"/>
      <c r="S590" s="218"/>
      <c r="X590" s="218"/>
      <c r="AD590" s="216"/>
      <c r="AO590" s="216"/>
      <c r="AP590" s="216"/>
      <c r="AQ590" s="216"/>
      <c r="AR590" s="216"/>
      <c r="AT590" s="192"/>
      <c r="AU590" s="192"/>
      <c r="AV590" s="192"/>
      <c r="AW590" s="192"/>
      <c r="AX590" s="192"/>
      <c r="AY590" s="212"/>
      <c r="AZ590" s="213"/>
      <c r="BA590" s="213"/>
      <c r="BB590" s="213"/>
      <c r="BC590" s="212"/>
      <c r="BD590" s="213"/>
      <c r="BE590" s="213"/>
      <c r="BF590" s="213"/>
      <c r="BG590" s="212"/>
      <c r="BH590" s="213"/>
      <c r="BI590" s="213"/>
      <c r="BJ590" s="213"/>
      <c r="BK590" s="213"/>
      <c r="BL590" s="212"/>
      <c r="BM590" s="213"/>
      <c r="BN590" s="213"/>
      <c r="BO590" s="213"/>
      <c r="BP590" s="213"/>
      <c r="BQ590" s="192"/>
      <c r="BR590" s="192"/>
    </row>
    <row r="591">
      <c r="A591" s="60"/>
      <c r="E591" s="215"/>
      <c r="F591" s="215"/>
      <c r="G591" s="215"/>
      <c r="L591" s="216"/>
      <c r="M591" s="216"/>
      <c r="N591" s="216"/>
      <c r="O591" s="217"/>
      <c r="P591" s="217"/>
      <c r="Q591" s="217"/>
      <c r="R591" s="217"/>
      <c r="S591" s="218"/>
      <c r="X591" s="218"/>
      <c r="AD591" s="216"/>
      <c r="AO591" s="216"/>
      <c r="AP591" s="216"/>
      <c r="AQ591" s="216"/>
      <c r="AR591" s="216"/>
      <c r="AT591" s="192"/>
      <c r="AU591" s="192"/>
      <c r="AV591" s="192"/>
      <c r="AW591" s="192"/>
      <c r="AX591" s="192"/>
      <c r="AY591" s="212"/>
      <c r="AZ591" s="213"/>
      <c r="BA591" s="213"/>
      <c r="BB591" s="213"/>
      <c r="BC591" s="212"/>
      <c r="BD591" s="213"/>
      <c r="BE591" s="213"/>
      <c r="BF591" s="213"/>
      <c r="BG591" s="212"/>
      <c r="BH591" s="213"/>
      <c r="BI591" s="213"/>
      <c r="BJ591" s="213"/>
      <c r="BK591" s="213"/>
      <c r="BL591" s="212"/>
      <c r="BM591" s="213"/>
      <c r="BN591" s="213"/>
      <c r="BO591" s="213"/>
      <c r="BP591" s="213"/>
      <c r="BQ591" s="192"/>
      <c r="BR591" s="192"/>
    </row>
    <row r="592">
      <c r="A592" s="60"/>
      <c r="E592" s="215"/>
      <c r="F592" s="215"/>
      <c r="G592" s="215"/>
      <c r="L592" s="216"/>
      <c r="M592" s="216"/>
      <c r="N592" s="216"/>
      <c r="O592" s="217"/>
      <c r="P592" s="217"/>
      <c r="Q592" s="217"/>
      <c r="R592" s="217"/>
      <c r="S592" s="218"/>
      <c r="X592" s="218"/>
      <c r="AD592" s="216"/>
      <c r="AO592" s="216"/>
      <c r="AP592" s="216"/>
      <c r="AQ592" s="216"/>
      <c r="AR592" s="216"/>
      <c r="AT592" s="192"/>
      <c r="AU592" s="192"/>
      <c r="AV592" s="192"/>
      <c r="AW592" s="192"/>
      <c r="AX592" s="192"/>
      <c r="AY592" s="212"/>
      <c r="AZ592" s="213"/>
      <c r="BA592" s="213"/>
      <c r="BB592" s="213"/>
      <c r="BC592" s="212"/>
      <c r="BD592" s="213"/>
      <c r="BE592" s="213"/>
      <c r="BF592" s="213"/>
      <c r="BG592" s="212"/>
      <c r="BH592" s="213"/>
      <c r="BI592" s="213"/>
      <c r="BJ592" s="213"/>
      <c r="BK592" s="213"/>
      <c r="BL592" s="212"/>
      <c r="BM592" s="213"/>
      <c r="BN592" s="213"/>
      <c r="BO592" s="213"/>
      <c r="BP592" s="213"/>
      <c r="BQ592" s="192"/>
      <c r="BR592" s="192"/>
    </row>
    <row r="593">
      <c r="A593" s="60"/>
      <c r="E593" s="215"/>
      <c r="F593" s="215"/>
      <c r="G593" s="215"/>
      <c r="L593" s="216"/>
      <c r="M593" s="216"/>
      <c r="N593" s="216"/>
      <c r="O593" s="217"/>
      <c r="P593" s="217"/>
      <c r="Q593" s="217"/>
      <c r="R593" s="217"/>
      <c r="S593" s="218"/>
      <c r="X593" s="218"/>
      <c r="AD593" s="216"/>
      <c r="AO593" s="216"/>
      <c r="AP593" s="216"/>
      <c r="AQ593" s="216"/>
      <c r="AR593" s="216"/>
      <c r="AT593" s="192"/>
      <c r="AU593" s="192"/>
      <c r="AV593" s="192"/>
      <c r="AW593" s="192"/>
      <c r="AX593" s="192"/>
      <c r="AY593" s="212"/>
      <c r="AZ593" s="213"/>
      <c r="BA593" s="213"/>
      <c r="BB593" s="213"/>
      <c r="BC593" s="212"/>
      <c r="BD593" s="213"/>
      <c r="BE593" s="213"/>
      <c r="BF593" s="213"/>
      <c r="BG593" s="212"/>
      <c r="BH593" s="213"/>
      <c r="BI593" s="213"/>
      <c r="BJ593" s="213"/>
      <c r="BK593" s="213"/>
      <c r="BL593" s="212"/>
      <c r="BM593" s="213"/>
      <c r="BN593" s="213"/>
      <c r="BO593" s="213"/>
      <c r="BP593" s="213"/>
      <c r="BQ593" s="192"/>
      <c r="BR593" s="192"/>
    </row>
    <row r="594">
      <c r="A594" s="60"/>
      <c r="E594" s="215"/>
      <c r="F594" s="215"/>
      <c r="G594" s="215"/>
      <c r="L594" s="216"/>
      <c r="M594" s="216"/>
      <c r="N594" s="216"/>
      <c r="O594" s="217"/>
      <c r="P594" s="217"/>
      <c r="Q594" s="217"/>
      <c r="R594" s="217"/>
      <c r="S594" s="218"/>
      <c r="X594" s="218"/>
      <c r="AD594" s="216"/>
      <c r="AO594" s="216"/>
      <c r="AP594" s="216"/>
      <c r="AQ594" s="216"/>
      <c r="AR594" s="216"/>
      <c r="AT594" s="192"/>
      <c r="AU594" s="192"/>
      <c r="AV594" s="192"/>
      <c r="AW594" s="192"/>
      <c r="AX594" s="192"/>
      <c r="AY594" s="212"/>
      <c r="AZ594" s="213"/>
      <c r="BA594" s="213"/>
      <c r="BB594" s="213"/>
      <c r="BC594" s="212"/>
      <c r="BD594" s="213"/>
      <c r="BE594" s="213"/>
      <c r="BF594" s="213"/>
      <c r="BG594" s="212"/>
      <c r="BH594" s="213"/>
      <c r="BI594" s="213"/>
      <c r="BJ594" s="213"/>
      <c r="BK594" s="213"/>
      <c r="BL594" s="212"/>
      <c r="BM594" s="213"/>
      <c r="BN594" s="213"/>
      <c r="BO594" s="213"/>
      <c r="BP594" s="213"/>
      <c r="BQ594" s="192"/>
      <c r="BR594" s="192"/>
    </row>
    <row r="595">
      <c r="A595" s="60"/>
      <c r="E595" s="215"/>
      <c r="F595" s="215"/>
      <c r="G595" s="215"/>
      <c r="L595" s="216"/>
      <c r="M595" s="216"/>
      <c r="N595" s="216"/>
      <c r="O595" s="217"/>
      <c r="P595" s="217"/>
      <c r="Q595" s="217"/>
      <c r="R595" s="217"/>
      <c r="S595" s="218"/>
      <c r="X595" s="218"/>
      <c r="AD595" s="216"/>
      <c r="AO595" s="216"/>
      <c r="AP595" s="216"/>
      <c r="AQ595" s="216"/>
      <c r="AR595" s="216"/>
      <c r="AT595" s="192"/>
      <c r="AU595" s="192"/>
      <c r="AV595" s="192"/>
      <c r="AW595" s="192"/>
      <c r="AX595" s="192"/>
      <c r="AY595" s="212"/>
      <c r="AZ595" s="213"/>
      <c r="BA595" s="213"/>
      <c r="BB595" s="213"/>
      <c r="BC595" s="212"/>
      <c r="BD595" s="213"/>
      <c r="BE595" s="213"/>
      <c r="BF595" s="213"/>
      <c r="BG595" s="212"/>
      <c r="BH595" s="213"/>
      <c r="BI595" s="213"/>
      <c r="BJ595" s="213"/>
      <c r="BK595" s="213"/>
      <c r="BL595" s="212"/>
      <c r="BM595" s="213"/>
      <c r="BN595" s="213"/>
      <c r="BO595" s="213"/>
      <c r="BP595" s="213"/>
      <c r="BQ595" s="192"/>
      <c r="BR595" s="192"/>
    </row>
    <row r="596">
      <c r="A596" s="60"/>
      <c r="E596" s="215"/>
      <c r="F596" s="215"/>
      <c r="G596" s="215"/>
      <c r="L596" s="216"/>
      <c r="M596" s="216"/>
      <c r="N596" s="216"/>
      <c r="O596" s="217"/>
      <c r="P596" s="217"/>
      <c r="Q596" s="217"/>
      <c r="R596" s="217"/>
      <c r="S596" s="218"/>
      <c r="X596" s="218"/>
      <c r="AD596" s="216"/>
      <c r="AO596" s="216"/>
      <c r="AP596" s="216"/>
      <c r="AQ596" s="216"/>
      <c r="AR596" s="216"/>
      <c r="AT596" s="192"/>
      <c r="AU596" s="192"/>
      <c r="AV596" s="192"/>
      <c r="AW596" s="192"/>
      <c r="AX596" s="192"/>
      <c r="AY596" s="212"/>
      <c r="AZ596" s="213"/>
      <c r="BA596" s="213"/>
      <c r="BB596" s="213"/>
      <c r="BC596" s="212"/>
      <c r="BD596" s="213"/>
      <c r="BE596" s="213"/>
      <c r="BF596" s="213"/>
      <c r="BG596" s="212"/>
      <c r="BH596" s="213"/>
      <c r="BI596" s="213"/>
      <c r="BJ596" s="213"/>
      <c r="BK596" s="213"/>
      <c r="BL596" s="212"/>
      <c r="BM596" s="213"/>
      <c r="BN596" s="213"/>
      <c r="BO596" s="213"/>
      <c r="BP596" s="213"/>
      <c r="BQ596" s="192"/>
      <c r="BR596" s="192"/>
    </row>
    <row r="597">
      <c r="A597" s="60"/>
      <c r="E597" s="215"/>
      <c r="F597" s="215"/>
      <c r="G597" s="215"/>
      <c r="L597" s="216"/>
      <c r="M597" s="216"/>
      <c r="N597" s="216"/>
      <c r="O597" s="217"/>
      <c r="P597" s="217"/>
      <c r="Q597" s="217"/>
      <c r="R597" s="217"/>
      <c r="S597" s="218"/>
      <c r="X597" s="218"/>
      <c r="AD597" s="216"/>
      <c r="AO597" s="216"/>
      <c r="AP597" s="216"/>
      <c r="AQ597" s="216"/>
      <c r="AR597" s="216"/>
      <c r="AT597" s="192"/>
      <c r="AU597" s="192"/>
      <c r="AV597" s="192"/>
      <c r="AW597" s="192"/>
      <c r="AX597" s="192"/>
      <c r="AY597" s="212"/>
      <c r="AZ597" s="213"/>
      <c r="BA597" s="213"/>
      <c r="BB597" s="213"/>
      <c r="BC597" s="212"/>
      <c r="BD597" s="213"/>
      <c r="BE597" s="213"/>
      <c r="BF597" s="213"/>
      <c r="BG597" s="212"/>
      <c r="BH597" s="213"/>
      <c r="BI597" s="213"/>
      <c r="BJ597" s="213"/>
      <c r="BK597" s="213"/>
      <c r="BL597" s="212"/>
      <c r="BM597" s="213"/>
      <c r="BN597" s="213"/>
      <c r="BO597" s="213"/>
      <c r="BP597" s="213"/>
      <c r="BQ597" s="192"/>
      <c r="BR597" s="192"/>
    </row>
    <row r="598">
      <c r="A598" s="60"/>
      <c r="E598" s="215"/>
      <c r="F598" s="215"/>
      <c r="G598" s="215"/>
      <c r="L598" s="216"/>
      <c r="M598" s="216"/>
      <c r="N598" s="216"/>
      <c r="O598" s="217"/>
      <c r="P598" s="217"/>
      <c r="Q598" s="217"/>
      <c r="R598" s="217"/>
      <c r="S598" s="218"/>
      <c r="X598" s="218"/>
      <c r="AD598" s="216"/>
      <c r="AO598" s="216"/>
      <c r="AP598" s="216"/>
      <c r="AQ598" s="216"/>
      <c r="AR598" s="216"/>
      <c r="AT598" s="192"/>
      <c r="AU598" s="192"/>
      <c r="AV598" s="192"/>
      <c r="AW598" s="192"/>
      <c r="AX598" s="192"/>
      <c r="AY598" s="212"/>
      <c r="AZ598" s="213"/>
      <c r="BA598" s="213"/>
      <c r="BB598" s="213"/>
      <c r="BC598" s="212"/>
      <c r="BD598" s="213"/>
      <c r="BE598" s="213"/>
      <c r="BF598" s="213"/>
      <c r="BG598" s="212"/>
      <c r="BH598" s="213"/>
      <c r="BI598" s="213"/>
      <c r="BJ598" s="213"/>
      <c r="BK598" s="213"/>
      <c r="BL598" s="212"/>
      <c r="BM598" s="213"/>
      <c r="BN598" s="213"/>
      <c r="BO598" s="213"/>
      <c r="BP598" s="213"/>
      <c r="BQ598" s="192"/>
      <c r="BR598" s="192"/>
    </row>
    <row r="599">
      <c r="A599" s="60"/>
      <c r="E599" s="215"/>
      <c r="F599" s="215"/>
      <c r="G599" s="215"/>
      <c r="L599" s="216"/>
      <c r="M599" s="216"/>
      <c r="N599" s="216"/>
      <c r="O599" s="217"/>
      <c r="P599" s="217"/>
      <c r="Q599" s="217"/>
      <c r="R599" s="217"/>
      <c r="S599" s="218"/>
      <c r="X599" s="218"/>
      <c r="AD599" s="216"/>
      <c r="AO599" s="216"/>
      <c r="AP599" s="216"/>
      <c r="AQ599" s="216"/>
      <c r="AR599" s="216"/>
      <c r="AT599" s="192"/>
      <c r="AU599" s="192"/>
      <c r="AV599" s="192"/>
      <c r="AW599" s="192"/>
      <c r="AX599" s="192"/>
      <c r="AY599" s="212"/>
      <c r="AZ599" s="213"/>
      <c r="BA599" s="213"/>
      <c r="BB599" s="213"/>
      <c r="BC599" s="212"/>
      <c r="BD599" s="213"/>
      <c r="BE599" s="213"/>
      <c r="BF599" s="213"/>
      <c r="BG599" s="212"/>
      <c r="BH599" s="213"/>
      <c r="BI599" s="213"/>
      <c r="BJ599" s="213"/>
      <c r="BK599" s="213"/>
      <c r="BL599" s="212"/>
      <c r="BM599" s="213"/>
      <c r="BN599" s="213"/>
      <c r="BO599" s="213"/>
      <c r="BP599" s="213"/>
      <c r="BQ599" s="192"/>
      <c r="BR599" s="192"/>
    </row>
    <row r="600">
      <c r="A600" s="60"/>
      <c r="E600" s="215"/>
      <c r="F600" s="215"/>
      <c r="G600" s="215"/>
      <c r="L600" s="216"/>
      <c r="M600" s="216"/>
      <c r="N600" s="216"/>
      <c r="O600" s="217"/>
      <c r="P600" s="217"/>
      <c r="Q600" s="217"/>
      <c r="R600" s="217"/>
      <c r="S600" s="218"/>
      <c r="X600" s="218"/>
      <c r="AD600" s="216"/>
      <c r="AO600" s="216"/>
      <c r="AP600" s="216"/>
      <c r="AQ600" s="216"/>
      <c r="AR600" s="216"/>
      <c r="AT600" s="192"/>
      <c r="AU600" s="192"/>
      <c r="AV600" s="192"/>
      <c r="AW600" s="192"/>
      <c r="AX600" s="192"/>
      <c r="AY600" s="212"/>
      <c r="AZ600" s="213"/>
      <c r="BA600" s="213"/>
      <c r="BB600" s="213"/>
      <c r="BC600" s="212"/>
      <c r="BD600" s="213"/>
      <c r="BE600" s="213"/>
      <c r="BF600" s="213"/>
      <c r="BG600" s="212"/>
      <c r="BH600" s="213"/>
      <c r="BI600" s="213"/>
      <c r="BJ600" s="213"/>
      <c r="BK600" s="213"/>
      <c r="BL600" s="212"/>
      <c r="BM600" s="213"/>
      <c r="BN600" s="213"/>
      <c r="BO600" s="213"/>
      <c r="BP600" s="213"/>
      <c r="BQ600" s="192"/>
      <c r="BR600" s="192"/>
    </row>
    <row r="601">
      <c r="A601" s="60"/>
      <c r="E601" s="215"/>
      <c r="F601" s="215"/>
      <c r="G601" s="215"/>
      <c r="L601" s="216"/>
      <c r="M601" s="216"/>
      <c r="N601" s="216"/>
      <c r="O601" s="217"/>
      <c r="P601" s="217"/>
      <c r="Q601" s="217"/>
      <c r="R601" s="217"/>
      <c r="S601" s="218"/>
      <c r="X601" s="218"/>
      <c r="AD601" s="216"/>
      <c r="AO601" s="216"/>
      <c r="AP601" s="216"/>
      <c r="AQ601" s="216"/>
      <c r="AR601" s="216"/>
      <c r="AT601" s="192"/>
      <c r="AU601" s="192"/>
      <c r="AV601" s="192"/>
      <c r="AW601" s="192"/>
      <c r="AX601" s="192"/>
      <c r="AY601" s="212"/>
      <c r="AZ601" s="213"/>
      <c r="BA601" s="213"/>
      <c r="BB601" s="213"/>
      <c r="BC601" s="212"/>
      <c r="BD601" s="213"/>
      <c r="BE601" s="213"/>
      <c r="BF601" s="213"/>
      <c r="BG601" s="212"/>
      <c r="BH601" s="213"/>
      <c r="BI601" s="213"/>
      <c r="BJ601" s="213"/>
      <c r="BK601" s="213"/>
      <c r="BL601" s="212"/>
      <c r="BM601" s="213"/>
      <c r="BN601" s="213"/>
      <c r="BO601" s="213"/>
      <c r="BP601" s="213"/>
      <c r="BQ601" s="192"/>
      <c r="BR601" s="192"/>
    </row>
    <row r="602">
      <c r="A602" s="60"/>
      <c r="E602" s="215"/>
      <c r="F602" s="215"/>
      <c r="G602" s="215"/>
      <c r="L602" s="216"/>
      <c r="M602" s="216"/>
      <c r="N602" s="216"/>
      <c r="O602" s="217"/>
      <c r="P602" s="217"/>
      <c r="Q602" s="217"/>
      <c r="R602" s="217"/>
      <c r="S602" s="218"/>
      <c r="X602" s="218"/>
      <c r="AD602" s="216"/>
      <c r="AO602" s="216"/>
      <c r="AP602" s="216"/>
      <c r="AQ602" s="216"/>
      <c r="AR602" s="216"/>
      <c r="AT602" s="192"/>
      <c r="AU602" s="192"/>
      <c r="AV602" s="192"/>
      <c r="AW602" s="192"/>
      <c r="AX602" s="192"/>
      <c r="AY602" s="212"/>
      <c r="AZ602" s="213"/>
      <c r="BA602" s="213"/>
      <c r="BB602" s="213"/>
      <c r="BC602" s="212"/>
      <c r="BD602" s="213"/>
      <c r="BE602" s="213"/>
      <c r="BF602" s="213"/>
      <c r="BG602" s="212"/>
      <c r="BH602" s="213"/>
      <c r="BI602" s="213"/>
      <c r="BJ602" s="213"/>
      <c r="BK602" s="213"/>
      <c r="BL602" s="212"/>
      <c r="BM602" s="213"/>
      <c r="BN602" s="213"/>
      <c r="BO602" s="213"/>
      <c r="BP602" s="213"/>
      <c r="BQ602" s="192"/>
      <c r="BR602" s="192"/>
    </row>
    <row r="603">
      <c r="A603" s="60"/>
      <c r="E603" s="215"/>
      <c r="F603" s="215"/>
      <c r="G603" s="215"/>
      <c r="L603" s="216"/>
      <c r="M603" s="216"/>
      <c r="N603" s="216"/>
      <c r="O603" s="217"/>
      <c r="P603" s="217"/>
      <c r="Q603" s="217"/>
      <c r="R603" s="217"/>
      <c r="S603" s="218"/>
      <c r="X603" s="218"/>
      <c r="AD603" s="216"/>
      <c r="AO603" s="216"/>
      <c r="AP603" s="216"/>
      <c r="AQ603" s="216"/>
      <c r="AR603" s="216"/>
      <c r="AT603" s="192"/>
      <c r="AU603" s="192"/>
      <c r="AV603" s="192"/>
      <c r="AW603" s="192"/>
      <c r="AX603" s="192"/>
      <c r="AY603" s="212"/>
      <c r="AZ603" s="213"/>
      <c r="BA603" s="213"/>
      <c r="BB603" s="213"/>
      <c r="BC603" s="212"/>
      <c r="BD603" s="213"/>
      <c r="BE603" s="213"/>
      <c r="BF603" s="213"/>
      <c r="BG603" s="212"/>
      <c r="BH603" s="213"/>
      <c r="BI603" s="213"/>
      <c r="BJ603" s="213"/>
      <c r="BK603" s="213"/>
      <c r="BL603" s="212"/>
      <c r="BM603" s="213"/>
      <c r="BN603" s="213"/>
      <c r="BO603" s="213"/>
      <c r="BP603" s="213"/>
      <c r="BQ603" s="192"/>
      <c r="BR603" s="192"/>
    </row>
    <row r="604">
      <c r="A604" s="60"/>
      <c r="E604" s="215"/>
      <c r="F604" s="215"/>
      <c r="G604" s="215"/>
      <c r="L604" s="216"/>
      <c r="M604" s="216"/>
      <c r="N604" s="216"/>
      <c r="O604" s="217"/>
      <c r="P604" s="217"/>
      <c r="Q604" s="217"/>
      <c r="R604" s="217"/>
      <c r="S604" s="218"/>
      <c r="X604" s="218"/>
      <c r="AD604" s="216"/>
      <c r="AO604" s="216"/>
      <c r="AP604" s="216"/>
      <c r="AQ604" s="216"/>
      <c r="AR604" s="216"/>
      <c r="AT604" s="192"/>
      <c r="AU604" s="192"/>
      <c r="AV604" s="192"/>
      <c r="AW604" s="192"/>
      <c r="AX604" s="192"/>
      <c r="AY604" s="212"/>
      <c r="AZ604" s="213"/>
      <c r="BA604" s="213"/>
      <c r="BB604" s="213"/>
      <c r="BC604" s="212"/>
      <c r="BD604" s="213"/>
      <c r="BE604" s="213"/>
      <c r="BF604" s="213"/>
      <c r="BG604" s="212"/>
      <c r="BH604" s="213"/>
      <c r="BI604" s="213"/>
      <c r="BJ604" s="213"/>
      <c r="BK604" s="213"/>
      <c r="BL604" s="212"/>
      <c r="BM604" s="213"/>
      <c r="BN604" s="213"/>
      <c r="BO604" s="213"/>
      <c r="BP604" s="213"/>
      <c r="BQ604" s="192"/>
      <c r="BR604" s="192"/>
    </row>
    <row r="605">
      <c r="A605" s="60"/>
      <c r="E605" s="215"/>
      <c r="F605" s="215"/>
      <c r="G605" s="215"/>
      <c r="L605" s="216"/>
      <c r="M605" s="216"/>
      <c r="N605" s="216"/>
      <c r="O605" s="217"/>
      <c r="P605" s="217"/>
      <c r="Q605" s="217"/>
      <c r="R605" s="217"/>
      <c r="S605" s="218"/>
      <c r="X605" s="218"/>
      <c r="AD605" s="216"/>
      <c r="AO605" s="216"/>
      <c r="AP605" s="216"/>
      <c r="AQ605" s="216"/>
      <c r="AR605" s="216"/>
      <c r="AT605" s="192"/>
      <c r="AU605" s="192"/>
      <c r="AV605" s="192"/>
      <c r="AW605" s="192"/>
      <c r="AX605" s="192"/>
      <c r="AY605" s="212"/>
      <c r="AZ605" s="213"/>
      <c r="BA605" s="213"/>
      <c r="BB605" s="213"/>
      <c r="BC605" s="212"/>
      <c r="BD605" s="213"/>
      <c r="BE605" s="213"/>
      <c r="BF605" s="213"/>
      <c r="BG605" s="212"/>
      <c r="BH605" s="213"/>
      <c r="BI605" s="213"/>
      <c r="BJ605" s="213"/>
      <c r="BK605" s="213"/>
      <c r="BL605" s="212"/>
      <c r="BM605" s="213"/>
      <c r="BN605" s="213"/>
      <c r="BO605" s="213"/>
      <c r="BP605" s="213"/>
      <c r="BQ605" s="192"/>
      <c r="BR605" s="192"/>
    </row>
    <row r="606">
      <c r="A606" s="60"/>
      <c r="E606" s="215"/>
      <c r="F606" s="215"/>
      <c r="G606" s="215"/>
      <c r="L606" s="216"/>
      <c r="M606" s="216"/>
      <c r="N606" s="216"/>
      <c r="O606" s="217"/>
      <c r="P606" s="217"/>
      <c r="Q606" s="217"/>
      <c r="R606" s="217"/>
      <c r="S606" s="218"/>
      <c r="X606" s="218"/>
      <c r="AD606" s="216"/>
      <c r="AO606" s="216"/>
      <c r="AP606" s="216"/>
      <c r="AQ606" s="216"/>
      <c r="AR606" s="216"/>
      <c r="AT606" s="192"/>
      <c r="AU606" s="192"/>
      <c r="AV606" s="192"/>
      <c r="AW606" s="192"/>
      <c r="AX606" s="192"/>
      <c r="AY606" s="212"/>
      <c r="AZ606" s="213"/>
      <c r="BA606" s="213"/>
      <c r="BB606" s="213"/>
      <c r="BC606" s="212"/>
      <c r="BD606" s="213"/>
      <c r="BE606" s="213"/>
      <c r="BF606" s="213"/>
      <c r="BG606" s="212"/>
      <c r="BH606" s="213"/>
      <c r="BI606" s="213"/>
      <c r="BJ606" s="213"/>
      <c r="BK606" s="213"/>
      <c r="BL606" s="212"/>
      <c r="BM606" s="213"/>
      <c r="BN606" s="213"/>
      <c r="BO606" s="213"/>
      <c r="BP606" s="213"/>
      <c r="BQ606" s="192"/>
      <c r="BR606" s="192"/>
    </row>
    <row r="607">
      <c r="A607" s="60"/>
      <c r="E607" s="215"/>
      <c r="F607" s="215"/>
      <c r="G607" s="215"/>
      <c r="L607" s="216"/>
      <c r="M607" s="216"/>
      <c r="N607" s="216"/>
      <c r="O607" s="217"/>
      <c r="P607" s="217"/>
      <c r="Q607" s="217"/>
      <c r="R607" s="217"/>
      <c r="S607" s="218"/>
      <c r="X607" s="218"/>
      <c r="AD607" s="216"/>
      <c r="AO607" s="216"/>
      <c r="AP607" s="216"/>
      <c r="AQ607" s="216"/>
      <c r="AR607" s="216"/>
      <c r="AT607" s="192"/>
      <c r="AU607" s="192"/>
      <c r="AV607" s="192"/>
      <c r="AW607" s="192"/>
      <c r="AX607" s="192"/>
      <c r="AY607" s="212"/>
      <c r="AZ607" s="213"/>
      <c r="BA607" s="213"/>
      <c r="BB607" s="213"/>
      <c r="BC607" s="212"/>
      <c r="BD607" s="213"/>
      <c r="BE607" s="213"/>
      <c r="BF607" s="213"/>
      <c r="BG607" s="212"/>
      <c r="BH607" s="213"/>
      <c r="BI607" s="213"/>
      <c r="BJ607" s="213"/>
      <c r="BK607" s="213"/>
      <c r="BL607" s="212"/>
      <c r="BM607" s="213"/>
      <c r="BN607" s="213"/>
      <c r="BO607" s="213"/>
      <c r="BP607" s="213"/>
      <c r="BQ607" s="192"/>
      <c r="BR607" s="192"/>
    </row>
    <row r="608">
      <c r="A608" s="60"/>
      <c r="E608" s="215"/>
      <c r="F608" s="215"/>
      <c r="G608" s="215"/>
      <c r="L608" s="216"/>
      <c r="M608" s="216"/>
      <c r="N608" s="216"/>
      <c r="O608" s="217"/>
      <c r="P608" s="217"/>
      <c r="Q608" s="217"/>
      <c r="R608" s="217"/>
      <c r="S608" s="218"/>
      <c r="X608" s="218"/>
      <c r="AD608" s="216"/>
      <c r="AO608" s="216"/>
      <c r="AP608" s="216"/>
      <c r="AQ608" s="216"/>
      <c r="AR608" s="216"/>
      <c r="AT608" s="192"/>
      <c r="AU608" s="192"/>
      <c r="AV608" s="192"/>
      <c r="AW608" s="192"/>
      <c r="AX608" s="192"/>
      <c r="AY608" s="212"/>
      <c r="AZ608" s="213"/>
      <c r="BA608" s="213"/>
      <c r="BB608" s="213"/>
      <c r="BC608" s="212"/>
      <c r="BD608" s="213"/>
      <c r="BE608" s="213"/>
      <c r="BF608" s="213"/>
      <c r="BG608" s="212"/>
      <c r="BH608" s="213"/>
      <c r="BI608" s="213"/>
      <c r="BJ608" s="213"/>
      <c r="BK608" s="213"/>
      <c r="BL608" s="212"/>
      <c r="BM608" s="213"/>
      <c r="BN608" s="213"/>
      <c r="BO608" s="213"/>
      <c r="BP608" s="213"/>
      <c r="BQ608" s="192"/>
      <c r="BR608" s="192"/>
    </row>
    <row r="609">
      <c r="A609" s="60"/>
      <c r="E609" s="215"/>
      <c r="F609" s="215"/>
      <c r="G609" s="215"/>
      <c r="L609" s="216"/>
      <c r="M609" s="216"/>
      <c r="N609" s="216"/>
      <c r="O609" s="217"/>
      <c r="P609" s="217"/>
      <c r="Q609" s="217"/>
      <c r="R609" s="217"/>
      <c r="S609" s="218"/>
      <c r="X609" s="218"/>
      <c r="AD609" s="216"/>
      <c r="AO609" s="216"/>
      <c r="AP609" s="216"/>
      <c r="AQ609" s="216"/>
      <c r="AR609" s="216"/>
      <c r="AT609" s="192"/>
      <c r="AU609" s="192"/>
      <c r="AV609" s="192"/>
      <c r="AW609" s="192"/>
      <c r="AX609" s="192"/>
      <c r="AY609" s="212"/>
      <c r="AZ609" s="213"/>
      <c r="BA609" s="213"/>
      <c r="BB609" s="213"/>
      <c r="BC609" s="212"/>
      <c r="BD609" s="213"/>
      <c r="BE609" s="213"/>
      <c r="BF609" s="213"/>
      <c r="BG609" s="212"/>
      <c r="BH609" s="213"/>
      <c r="BI609" s="213"/>
      <c r="BJ609" s="213"/>
      <c r="BK609" s="213"/>
      <c r="BL609" s="212"/>
      <c r="BM609" s="213"/>
      <c r="BN609" s="213"/>
      <c r="BO609" s="213"/>
      <c r="BP609" s="213"/>
      <c r="BQ609" s="192"/>
      <c r="BR609" s="192"/>
    </row>
    <row r="610">
      <c r="A610" s="60"/>
      <c r="E610" s="215"/>
      <c r="F610" s="215"/>
      <c r="G610" s="215"/>
      <c r="L610" s="216"/>
      <c r="M610" s="216"/>
      <c r="N610" s="216"/>
      <c r="O610" s="217"/>
      <c r="P610" s="217"/>
      <c r="Q610" s="217"/>
      <c r="R610" s="217"/>
      <c r="S610" s="218"/>
      <c r="X610" s="218"/>
      <c r="AD610" s="216"/>
      <c r="AO610" s="216"/>
      <c r="AP610" s="216"/>
      <c r="AQ610" s="216"/>
      <c r="AR610" s="216"/>
      <c r="AT610" s="192"/>
      <c r="AU610" s="192"/>
      <c r="AV610" s="192"/>
      <c r="AW610" s="192"/>
      <c r="AX610" s="192"/>
      <c r="AY610" s="212"/>
      <c r="AZ610" s="213"/>
      <c r="BA610" s="213"/>
      <c r="BB610" s="213"/>
      <c r="BC610" s="212"/>
      <c r="BD610" s="213"/>
      <c r="BE610" s="213"/>
      <c r="BF610" s="213"/>
      <c r="BG610" s="212"/>
      <c r="BH610" s="213"/>
      <c r="BI610" s="213"/>
      <c r="BJ610" s="213"/>
      <c r="BK610" s="213"/>
      <c r="BL610" s="212"/>
      <c r="BM610" s="213"/>
      <c r="BN610" s="213"/>
      <c r="BO610" s="213"/>
      <c r="BP610" s="213"/>
      <c r="BQ610" s="192"/>
      <c r="BR610" s="192"/>
    </row>
    <row r="611">
      <c r="A611" s="60"/>
      <c r="E611" s="215"/>
      <c r="F611" s="215"/>
      <c r="G611" s="215"/>
      <c r="L611" s="216"/>
      <c r="M611" s="216"/>
      <c r="N611" s="216"/>
      <c r="O611" s="217"/>
      <c r="P611" s="217"/>
      <c r="Q611" s="217"/>
      <c r="R611" s="217"/>
      <c r="S611" s="218"/>
      <c r="X611" s="218"/>
      <c r="AD611" s="216"/>
      <c r="AO611" s="216"/>
      <c r="AP611" s="216"/>
      <c r="AQ611" s="216"/>
      <c r="AR611" s="216"/>
      <c r="AT611" s="192"/>
      <c r="AU611" s="192"/>
      <c r="AV611" s="192"/>
      <c r="AW611" s="192"/>
      <c r="AX611" s="192"/>
      <c r="AY611" s="212"/>
      <c r="AZ611" s="213"/>
      <c r="BA611" s="213"/>
      <c r="BB611" s="213"/>
      <c r="BC611" s="212"/>
      <c r="BD611" s="213"/>
      <c r="BE611" s="213"/>
      <c r="BF611" s="213"/>
      <c r="BG611" s="212"/>
      <c r="BH611" s="213"/>
      <c r="BI611" s="213"/>
      <c r="BJ611" s="213"/>
      <c r="BK611" s="213"/>
      <c r="BL611" s="212"/>
      <c r="BM611" s="213"/>
      <c r="BN611" s="213"/>
      <c r="BO611" s="213"/>
      <c r="BP611" s="213"/>
      <c r="BQ611" s="192"/>
      <c r="BR611" s="192"/>
    </row>
    <row r="612">
      <c r="A612" s="60"/>
      <c r="E612" s="215"/>
      <c r="F612" s="215"/>
      <c r="G612" s="215"/>
      <c r="L612" s="216"/>
      <c r="M612" s="216"/>
      <c r="N612" s="216"/>
      <c r="O612" s="217"/>
      <c r="P612" s="217"/>
      <c r="Q612" s="217"/>
      <c r="R612" s="217"/>
      <c r="S612" s="218"/>
      <c r="X612" s="218"/>
      <c r="AD612" s="216"/>
      <c r="AO612" s="216"/>
      <c r="AP612" s="216"/>
      <c r="AQ612" s="216"/>
      <c r="AR612" s="216"/>
      <c r="AT612" s="192"/>
      <c r="AU612" s="192"/>
      <c r="AV612" s="192"/>
      <c r="AW612" s="192"/>
      <c r="AX612" s="192"/>
      <c r="AY612" s="212"/>
      <c r="AZ612" s="213"/>
      <c r="BA612" s="213"/>
      <c r="BB612" s="213"/>
      <c r="BC612" s="212"/>
      <c r="BD612" s="213"/>
      <c r="BE612" s="213"/>
      <c r="BF612" s="213"/>
      <c r="BG612" s="212"/>
      <c r="BH612" s="213"/>
      <c r="BI612" s="213"/>
      <c r="BJ612" s="213"/>
      <c r="BK612" s="213"/>
      <c r="BL612" s="212"/>
      <c r="BM612" s="213"/>
      <c r="BN612" s="213"/>
      <c r="BO612" s="213"/>
      <c r="BP612" s="213"/>
      <c r="BQ612" s="192"/>
      <c r="BR612" s="192"/>
    </row>
    <row r="613">
      <c r="A613" s="60"/>
      <c r="E613" s="215"/>
      <c r="F613" s="215"/>
      <c r="G613" s="215"/>
      <c r="L613" s="216"/>
      <c r="M613" s="216"/>
      <c r="N613" s="216"/>
      <c r="O613" s="217"/>
      <c r="P613" s="217"/>
      <c r="Q613" s="217"/>
      <c r="R613" s="217"/>
      <c r="S613" s="218"/>
      <c r="X613" s="218"/>
      <c r="AD613" s="216"/>
      <c r="AO613" s="216"/>
      <c r="AP613" s="216"/>
      <c r="AQ613" s="216"/>
      <c r="AR613" s="216"/>
      <c r="AT613" s="192"/>
      <c r="AU613" s="192"/>
      <c r="AV613" s="192"/>
      <c r="AW613" s="192"/>
      <c r="AX613" s="192"/>
      <c r="AY613" s="212"/>
      <c r="AZ613" s="213"/>
      <c r="BA613" s="213"/>
      <c r="BB613" s="213"/>
      <c r="BC613" s="212"/>
      <c r="BD613" s="213"/>
      <c r="BE613" s="213"/>
      <c r="BF613" s="213"/>
      <c r="BG613" s="212"/>
      <c r="BH613" s="213"/>
      <c r="BI613" s="213"/>
      <c r="BJ613" s="213"/>
      <c r="BK613" s="213"/>
      <c r="BL613" s="212"/>
      <c r="BM613" s="213"/>
      <c r="BN613" s="213"/>
      <c r="BO613" s="213"/>
      <c r="BP613" s="213"/>
      <c r="BQ613" s="192"/>
      <c r="BR613" s="192"/>
    </row>
    <row r="614">
      <c r="A614" s="60"/>
      <c r="E614" s="215"/>
      <c r="F614" s="215"/>
      <c r="G614" s="215"/>
      <c r="L614" s="216"/>
      <c r="M614" s="216"/>
      <c r="N614" s="216"/>
      <c r="O614" s="217"/>
      <c r="P614" s="217"/>
      <c r="Q614" s="217"/>
      <c r="R614" s="217"/>
      <c r="S614" s="218"/>
      <c r="X614" s="218"/>
      <c r="AD614" s="216"/>
      <c r="AO614" s="216"/>
      <c r="AP614" s="216"/>
      <c r="AQ614" s="216"/>
      <c r="AR614" s="216"/>
      <c r="AT614" s="192"/>
      <c r="AU614" s="192"/>
      <c r="AV614" s="192"/>
      <c r="AW614" s="192"/>
      <c r="AX614" s="192"/>
      <c r="AY614" s="212"/>
      <c r="AZ614" s="213"/>
      <c r="BA614" s="213"/>
      <c r="BB614" s="213"/>
      <c r="BC614" s="212"/>
      <c r="BD614" s="213"/>
      <c r="BE614" s="213"/>
      <c r="BF614" s="213"/>
      <c r="BG614" s="212"/>
      <c r="BH614" s="213"/>
      <c r="BI614" s="213"/>
      <c r="BJ614" s="213"/>
      <c r="BK614" s="213"/>
      <c r="BL614" s="212"/>
      <c r="BM614" s="213"/>
      <c r="BN614" s="213"/>
      <c r="BO614" s="213"/>
      <c r="BP614" s="213"/>
      <c r="BQ614" s="192"/>
      <c r="BR614" s="192"/>
    </row>
    <row r="615">
      <c r="A615" s="60"/>
      <c r="E615" s="215"/>
      <c r="F615" s="215"/>
      <c r="G615" s="215"/>
      <c r="L615" s="216"/>
      <c r="M615" s="216"/>
      <c r="N615" s="216"/>
      <c r="O615" s="217"/>
      <c r="P615" s="217"/>
      <c r="Q615" s="217"/>
      <c r="R615" s="217"/>
      <c r="S615" s="218"/>
      <c r="X615" s="218"/>
      <c r="AD615" s="216"/>
      <c r="AO615" s="216"/>
      <c r="AP615" s="216"/>
      <c r="AQ615" s="216"/>
      <c r="AR615" s="216"/>
      <c r="AT615" s="192"/>
      <c r="AU615" s="192"/>
      <c r="AV615" s="192"/>
      <c r="AW615" s="192"/>
      <c r="AX615" s="192"/>
      <c r="AY615" s="212"/>
      <c r="AZ615" s="213"/>
      <c r="BA615" s="213"/>
      <c r="BB615" s="213"/>
      <c r="BC615" s="212"/>
      <c r="BD615" s="213"/>
      <c r="BE615" s="213"/>
      <c r="BF615" s="213"/>
      <c r="BG615" s="212"/>
      <c r="BH615" s="213"/>
      <c r="BI615" s="213"/>
      <c r="BJ615" s="213"/>
      <c r="BK615" s="213"/>
      <c r="BL615" s="212"/>
      <c r="BM615" s="213"/>
      <c r="BN615" s="213"/>
      <c r="BO615" s="213"/>
      <c r="BP615" s="213"/>
      <c r="BQ615" s="192"/>
      <c r="BR615" s="192"/>
    </row>
    <row r="616">
      <c r="A616" s="60"/>
      <c r="E616" s="215"/>
      <c r="F616" s="215"/>
      <c r="G616" s="215"/>
      <c r="L616" s="216"/>
      <c r="M616" s="216"/>
      <c r="N616" s="216"/>
      <c r="O616" s="217"/>
      <c r="P616" s="217"/>
      <c r="Q616" s="217"/>
      <c r="R616" s="217"/>
      <c r="S616" s="218"/>
      <c r="X616" s="218"/>
      <c r="AD616" s="216"/>
      <c r="AO616" s="216"/>
      <c r="AP616" s="216"/>
      <c r="AQ616" s="216"/>
      <c r="AR616" s="216"/>
      <c r="AT616" s="192"/>
      <c r="AU616" s="192"/>
      <c r="AV616" s="192"/>
      <c r="AW616" s="192"/>
      <c r="AX616" s="192"/>
      <c r="AY616" s="212"/>
      <c r="AZ616" s="213"/>
      <c r="BA616" s="213"/>
      <c r="BB616" s="213"/>
      <c r="BC616" s="212"/>
      <c r="BD616" s="213"/>
      <c r="BE616" s="213"/>
      <c r="BF616" s="213"/>
      <c r="BG616" s="212"/>
      <c r="BH616" s="213"/>
      <c r="BI616" s="213"/>
      <c r="BJ616" s="213"/>
      <c r="BK616" s="213"/>
      <c r="BL616" s="212"/>
      <c r="BM616" s="213"/>
      <c r="BN616" s="213"/>
      <c r="BO616" s="213"/>
      <c r="BP616" s="213"/>
      <c r="BQ616" s="192"/>
      <c r="BR616" s="192"/>
    </row>
    <row r="617">
      <c r="A617" s="60"/>
      <c r="E617" s="215"/>
      <c r="F617" s="215"/>
      <c r="G617" s="215"/>
      <c r="L617" s="216"/>
      <c r="M617" s="216"/>
      <c r="N617" s="216"/>
      <c r="O617" s="217"/>
      <c r="P617" s="217"/>
      <c r="Q617" s="217"/>
      <c r="R617" s="217"/>
      <c r="S617" s="218"/>
      <c r="X617" s="218"/>
      <c r="AD617" s="216"/>
      <c r="AO617" s="216"/>
      <c r="AP617" s="216"/>
      <c r="AQ617" s="216"/>
      <c r="AR617" s="216"/>
      <c r="AT617" s="192"/>
      <c r="AU617" s="192"/>
      <c r="AV617" s="192"/>
      <c r="AW617" s="192"/>
      <c r="AX617" s="192"/>
      <c r="AY617" s="212"/>
      <c r="AZ617" s="213"/>
      <c r="BA617" s="213"/>
      <c r="BB617" s="213"/>
      <c r="BC617" s="212"/>
      <c r="BD617" s="213"/>
      <c r="BE617" s="213"/>
      <c r="BF617" s="213"/>
      <c r="BG617" s="212"/>
      <c r="BH617" s="213"/>
      <c r="BI617" s="213"/>
      <c r="BJ617" s="213"/>
      <c r="BK617" s="213"/>
      <c r="BL617" s="212"/>
      <c r="BM617" s="213"/>
      <c r="BN617" s="213"/>
      <c r="BO617" s="213"/>
      <c r="BP617" s="213"/>
      <c r="BQ617" s="192"/>
      <c r="BR617" s="192"/>
    </row>
    <row r="618">
      <c r="A618" s="60"/>
      <c r="E618" s="215"/>
      <c r="F618" s="215"/>
      <c r="G618" s="215"/>
      <c r="L618" s="216"/>
      <c r="M618" s="216"/>
      <c r="N618" s="216"/>
      <c r="O618" s="217"/>
      <c r="P618" s="217"/>
      <c r="Q618" s="217"/>
      <c r="R618" s="217"/>
      <c r="S618" s="218"/>
      <c r="X618" s="218"/>
      <c r="AD618" s="216"/>
      <c r="AO618" s="216"/>
      <c r="AP618" s="216"/>
      <c r="AQ618" s="216"/>
      <c r="AR618" s="216"/>
      <c r="AT618" s="192"/>
      <c r="AU618" s="192"/>
      <c r="AV618" s="192"/>
      <c r="AW618" s="192"/>
      <c r="AX618" s="192"/>
      <c r="AY618" s="212"/>
      <c r="AZ618" s="213"/>
      <c r="BA618" s="213"/>
      <c r="BB618" s="213"/>
      <c r="BC618" s="212"/>
      <c r="BD618" s="213"/>
      <c r="BE618" s="213"/>
      <c r="BF618" s="213"/>
      <c r="BG618" s="212"/>
      <c r="BH618" s="213"/>
      <c r="BI618" s="213"/>
      <c r="BJ618" s="213"/>
      <c r="BK618" s="213"/>
      <c r="BL618" s="212"/>
      <c r="BM618" s="213"/>
      <c r="BN618" s="213"/>
      <c r="BO618" s="213"/>
      <c r="BP618" s="213"/>
      <c r="BQ618" s="192"/>
      <c r="BR618" s="192"/>
    </row>
    <row r="619">
      <c r="A619" s="60"/>
      <c r="E619" s="215"/>
      <c r="F619" s="215"/>
      <c r="G619" s="215"/>
      <c r="L619" s="216"/>
      <c r="M619" s="216"/>
      <c r="N619" s="216"/>
      <c r="O619" s="217"/>
      <c r="P619" s="217"/>
      <c r="Q619" s="217"/>
      <c r="R619" s="217"/>
      <c r="S619" s="218"/>
      <c r="X619" s="218"/>
      <c r="AD619" s="216"/>
      <c r="AO619" s="216"/>
      <c r="AP619" s="216"/>
      <c r="AQ619" s="216"/>
      <c r="AR619" s="216"/>
      <c r="AT619" s="192"/>
      <c r="AU619" s="192"/>
      <c r="AV619" s="192"/>
      <c r="AW619" s="192"/>
      <c r="AX619" s="192"/>
      <c r="AY619" s="212"/>
      <c r="AZ619" s="213"/>
      <c r="BA619" s="213"/>
      <c r="BB619" s="213"/>
      <c r="BC619" s="212"/>
      <c r="BD619" s="213"/>
      <c r="BE619" s="213"/>
      <c r="BF619" s="213"/>
      <c r="BG619" s="212"/>
      <c r="BH619" s="213"/>
      <c r="BI619" s="213"/>
      <c r="BJ619" s="213"/>
      <c r="BK619" s="213"/>
      <c r="BL619" s="212"/>
      <c r="BM619" s="213"/>
      <c r="BN619" s="213"/>
      <c r="BO619" s="213"/>
      <c r="BP619" s="213"/>
      <c r="BQ619" s="192"/>
      <c r="BR619" s="192"/>
    </row>
    <row r="620">
      <c r="A620" s="60"/>
      <c r="E620" s="215"/>
      <c r="F620" s="215"/>
      <c r="G620" s="215"/>
      <c r="L620" s="216"/>
      <c r="M620" s="216"/>
      <c r="N620" s="216"/>
      <c r="O620" s="217"/>
      <c r="P620" s="217"/>
      <c r="Q620" s="217"/>
      <c r="R620" s="217"/>
      <c r="S620" s="218"/>
      <c r="X620" s="218"/>
      <c r="AD620" s="216"/>
      <c r="AO620" s="216"/>
      <c r="AP620" s="216"/>
      <c r="AQ620" s="216"/>
      <c r="AR620" s="216"/>
      <c r="AT620" s="192"/>
      <c r="AU620" s="192"/>
      <c r="AV620" s="192"/>
      <c r="AW620" s="192"/>
      <c r="AX620" s="192"/>
      <c r="AY620" s="212"/>
      <c r="AZ620" s="213"/>
      <c r="BA620" s="213"/>
      <c r="BB620" s="213"/>
      <c r="BC620" s="212"/>
      <c r="BD620" s="213"/>
      <c r="BE620" s="213"/>
      <c r="BF620" s="213"/>
      <c r="BG620" s="212"/>
      <c r="BH620" s="213"/>
      <c r="BI620" s="213"/>
      <c r="BJ620" s="213"/>
      <c r="BK620" s="213"/>
      <c r="BL620" s="212"/>
      <c r="BM620" s="213"/>
      <c r="BN620" s="213"/>
      <c r="BO620" s="213"/>
      <c r="BP620" s="213"/>
      <c r="BQ620" s="192"/>
      <c r="BR620" s="192"/>
    </row>
    <row r="621">
      <c r="A621" s="60"/>
      <c r="E621" s="215"/>
      <c r="F621" s="215"/>
      <c r="G621" s="215"/>
      <c r="L621" s="216"/>
      <c r="M621" s="216"/>
      <c r="N621" s="216"/>
      <c r="O621" s="217"/>
      <c r="P621" s="217"/>
      <c r="Q621" s="217"/>
      <c r="R621" s="217"/>
      <c r="S621" s="218"/>
      <c r="X621" s="218"/>
      <c r="AD621" s="216"/>
      <c r="AO621" s="216"/>
      <c r="AP621" s="216"/>
      <c r="AQ621" s="216"/>
      <c r="AR621" s="216"/>
      <c r="AT621" s="192"/>
      <c r="AU621" s="192"/>
      <c r="AV621" s="192"/>
      <c r="AW621" s="192"/>
      <c r="AX621" s="192"/>
      <c r="AY621" s="212"/>
      <c r="AZ621" s="213"/>
      <c r="BA621" s="213"/>
      <c r="BB621" s="213"/>
      <c r="BC621" s="212"/>
      <c r="BD621" s="213"/>
      <c r="BE621" s="213"/>
      <c r="BF621" s="213"/>
      <c r="BG621" s="212"/>
      <c r="BH621" s="213"/>
      <c r="BI621" s="213"/>
      <c r="BJ621" s="213"/>
      <c r="BK621" s="213"/>
      <c r="BL621" s="212"/>
      <c r="BM621" s="213"/>
      <c r="BN621" s="213"/>
      <c r="BO621" s="213"/>
      <c r="BP621" s="213"/>
      <c r="BQ621" s="192"/>
      <c r="BR621" s="192"/>
    </row>
    <row r="622">
      <c r="A622" s="60"/>
      <c r="E622" s="215"/>
      <c r="F622" s="215"/>
      <c r="G622" s="215"/>
      <c r="L622" s="216"/>
      <c r="M622" s="216"/>
      <c r="N622" s="216"/>
      <c r="O622" s="217"/>
      <c r="P622" s="217"/>
      <c r="Q622" s="217"/>
      <c r="R622" s="217"/>
      <c r="S622" s="218"/>
      <c r="X622" s="218"/>
      <c r="AD622" s="216"/>
      <c r="AO622" s="216"/>
      <c r="AP622" s="216"/>
      <c r="AQ622" s="216"/>
      <c r="AR622" s="216"/>
      <c r="AT622" s="192"/>
      <c r="AU622" s="192"/>
      <c r="AV622" s="192"/>
      <c r="AW622" s="192"/>
      <c r="AX622" s="192"/>
      <c r="AY622" s="212"/>
      <c r="AZ622" s="213"/>
      <c r="BA622" s="213"/>
      <c r="BB622" s="213"/>
      <c r="BC622" s="212"/>
      <c r="BD622" s="213"/>
      <c r="BE622" s="213"/>
      <c r="BF622" s="213"/>
      <c r="BG622" s="212"/>
      <c r="BH622" s="213"/>
      <c r="BI622" s="213"/>
      <c r="BJ622" s="213"/>
      <c r="BK622" s="213"/>
      <c r="BL622" s="212"/>
      <c r="BM622" s="213"/>
      <c r="BN622" s="213"/>
      <c r="BO622" s="213"/>
      <c r="BP622" s="213"/>
      <c r="BQ622" s="192"/>
      <c r="BR622" s="192"/>
    </row>
    <row r="623">
      <c r="A623" s="60"/>
      <c r="E623" s="215"/>
      <c r="F623" s="215"/>
      <c r="G623" s="215"/>
      <c r="L623" s="216"/>
      <c r="M623" s="216"/>
      <c r="N623" s="216"/>
      <c r="O623" s="217"/>
      <c r="P623" s="217"/>
      <c r="Q623" s="217"/>
      <c r="R623" s="217"/>
      <c r="S623" s="218"/>
      <c r="X623" s="218"/>
      <c r="AD623" s="216"/>
      <c r="AO623" s="216"/>
      <c r="AP623" s="216"/>
      <c r="AQ623" s="216"/>
      <c r="AR623" s="216"/>
      <c r="AT623" s="192"/>
      <c r="AU623" s="192"/>
      <c r="AV623" s="192"/>
      <c r="AW623" s="192"/>
      <c r="AX623" s="192"/>
      <c r="AY623" s="212"/>
      <c r="AZ623" s="213"/>
      <c r="BA623" s="213"/>
      <c r="BB623" s="213"/>
      <c r="BC623" s="212"/>
      <c r="BD623" s="213"/>
      <c r="BE623" s="213"/>
      <c r="BF623" s="213"/>
      <c r="BG623" s="212"/>
      <c r="BH623" s="213"/>
      <c r="BI623" s="213"/>
      <c r="BJ623" s="213"/>
      <c r="BK623" s="213"/>
      <c r="BL623" s="212"/>
      <c r="BM623" s="213"/>
      <c r="BN623" s="213"/>
      <c r="BO623" s="213"/>
      <c r="BP623" s="213"/>
      <c r="BQ623" s="192"/>
      <c r="BR623" s="192"/>
    </row>
    <row r="624">
      <c r="A624" s="60"/>
      <c r="E624" s="215"/>
      <c r="F624" s="215"/>
      <c r="G624" s="215"/>
      <c r="L624" s="216"/>
      <c r="M624" s="216"/>
      <c r="N624" s="216"/>
      <c r="O624" s="217"/>
      <c r="P624" s="217"/>
      <c r="Q624" s="217"/>
      <c r="R624" s="217"/>
      <c r="S624" s="218"/>
      <c r="X624" s="218"/>
      <c r="AD624" s="216"/>
      <c r="AO624" s="216"/>
      <c r="AP624" s="216"/>
      <c r="AQ624" s="216"/>
      <c r="AR624" s="216"/>
      <c r="AT624" s="192"/>
      <c r="AU624" s="192"/>
      <c r="AV624" s="192"/>
      <c r="AW624" s="192"/>
      <c r="AX624" s="192"/>
      <c r="AY624" s="212"/>
      <c r="AZ624" s="213"/>
      <c r="BA624" s="213"/>
      <c r="BB624" s="213"/>
      <c r="BC624" s="212"/>
      <c r="BD624" s="213"/>
      <c r="BE624" s="213"/>
      <c r="BF624" s="213"/>
      <c r="BG624" s="212"/>
      <c r="BH624" s="213"/>
      <c r="BI624" s="213"/>
      <c r="BJ624" s="213"/>
      <c r="BK624" s="213"/>
      <c r="BL624" s="212"/>
      <c r="BM624" s="213"/>
      <c r="BN624" s="213"/>
      <c r="BO624" s="213"/>
      <c r="BP624" s="213"/>
      <c r="BQ624" s="192"/>
      <c r="BR624" s="192"/>
    </row>
    <row r="625">
      <c r="A625" s="60"/>
      <c r="E625" s="215"/>
      <c r="F625" s="215"/>
      <c r="G625" s="215"/>
      <c r="L625" s="216"/>
      <c r="M625" s="216"/>
      <c r="N625" s="216"/>
      <c r="O625" s="217"/>
      <c r="P625" s="217"/>
      <c r="Q625" s="217"/>
      <c r="R625" s="217"/>
      <c r="S625" s="218"/>
      <c r="X625" s="218"/>
      <c r="AD625" s="216"/>
      <c r="AO625" s="216"/>
      <c r="AP625" s="216"/>
      <c r="AQ625" s="216"/>
      <c r="AR625" s="216"/>
      <c r="AT625" s="192"/>
      <c r="AU625" s="192"/>
      <c r="AV625" s="192"/>
      <c r="AW625" s="192"/>
      <c r="AX625" s="192"/>
      <c r="AY625" s="212"/>
      <c r="AZ625" s="213"/>
      <c r="BA625" s="213"/>
      <c r="BB625" s="213"/>
      <c r="BC625" s="212"/>
      <c r="BD625" s="213"/>
      <c r="BE625" s="213"/>
      <c r="BF625" s="213"/>
      <c r="BG625" s="212"/>
      <c r="BH625" s="213"/>
      <c r="BI625" s="213"/>
      <c r="BJ625" s="213"/>
      <c r="BK625" s="213"/>
      <c r="BL625" s="212"/>
      <c r="BM625" s="213"/>
      <c r="BN625" s="213"/>
      <c r="BO625" s="213"/>
      <c r="BP625" s="213"/>
      <c r="BQ625" s="192"/>
      <c r="BR625" s="192"/>
    </row>
    <row r="626">
      <c r="A626" s="60"/>
      <c r="E626" s="215"/>
      <c r="F626" s="215"/>
      <c r="G626" s="215"/>
      <c r="L626" s="216"/>
      <c r="M626" s="216"/>
      <c r="N626" s="216"/>
      <c r="O626" s="217"/>
      <c r="P626" s="217"/>
      <c r="Q626" s="217"/>
      <c r="R626" s="217"/>
      <c r="S626" s="218"/>
      <c r="X626" s="218"/>
      <c r="AD626" s="216"/>
      <c r="AO626" s="216"/>
      <c r="AP626" s="216"/>
      <c r="AQ626" s="216"/>
      <c r="AR626" s="216"/>
      <c r="AT626" s="192"/>
      <c r="AU626" s="192"/>
      <c r="AV626" s="192"/>
      <c r="AW626" s="192"/>
      <c r="AX626" s="192"/>
      <c r="AY626" s="212"/>
      <c r="AZ626" s="213"/>
      <c r="BA626" s="213"/>
      <c r="BB626" s="213"/>
      <c r="BC626" s="212"/>
      <c r="BD626" s="213"/>
      <c r="BE626" s="213"/>
      <c r="BF626" s="213"/>
      <c r="BG626" s="212"/>
      <c r="BH626" s="213"/>
      <c r="BI626" s="213"/>
      <c r="BJ626" s="213"/>
      <c r="BK626" s="213"/>
      <c r="BL626" s="212"/>
      <c r="BM626" s="213"/>
      <c r="BN626" s="213"/>
      <c r="BO626" s="213"/>
      <c r="BP626" s="213"/>
      <c r="BQ626" s="192"/>
      <c r="BR626" s="192"/>
    </row>
    <row r="627">
      <c r="A627" s="60"/>
      <c r="E627" s="215"/>
      <c r="F627" s="215"/>
      <c r="G627" s="215"/>
      <c r="L627" s="216"/>
      <c r="M627" s="216"/>
      <c r="N627" s="216"/>
      <c r="O627" s="217"/>
      <c r="P627" s="217"/>
      <c r="Q627" s="217"/>
      <c r="R627" s="217"/>
      <c r="S627" s="218"/>
      <c r="X627" s="218"/>
      <c r="AD627" s="216"/>
      <c r="AO627" s="216"/>
      <c r="AP627" s="216"/>
      <c r="AQ627" s="216"/>
      <c r="AR627" s="216"/>
      <c r="AT627" s="192"/>
      <c r="AU627" s="192"/>
      <c r="AV627" s="192"/>
      <c r="AW627" s="192"/>
      <c r="AX627" s="192"/>
      <c r="AY627" s="212"/>
      <c r="AZ627" s="213"/>
      <c r="BA627" s="213"/>
      <c r="BB627" s="213"/>
      <c r="BC627" s="212"/>
      <c r="BD627" s="213"/>
      <c r="BE627" s="213"/>
      <c r="BF627" s="213"/>
      <c r="BG627" s="212"/>
      <c r="BH627" s="213"/>
      <c r="BI627" s="213"/>
      <c r="BJ627" s="213"/>
      <c r="BK627" s="213"/>
      <c r="BL627" s="212"/>
      <c r="BM627" s="213"/>
      <c r="BN627" s="213"/>
      <c r="BO627" s="213"/>
      <c r="BP627" s="213"/>
      <c r="BQ627" s="192"/>
      <c r="BR627" s="192"/>
    </row>
    <row r="628">
      <c r="A628" s="60"/>
      <c r="E628" s="215"/>
      <c r="F628" s="215"/>
      <c r="G628" s="215"/>
      <c r="L628" s="216"/>
      <c r="M628" s="216"/>
      <c r="N628" s="216"/>
      <c r="O628" s="217"/>
      <c r="P628" s="217"/>
      <c r="Q628" s="217"/>
      <c r="R628" s="217"/>
      <c r="S628" s="218"/>
      <c r="X628" s="218"/>
      <c r="AD628" s="216"/>
      <c r="AO628" s="216"/>
      <c r="AP628" s="216"/>
      <c r="AQ628" s="216"/>
      <c r="AR628" s="216"/>
      <c r="AT628" s="192"/>
      <c r="AU628" s="192"/>
      <c r="AV628" s="192"/>
      <c r="AW628" s="192"/>
      <c r="AX628" s="192"/>
      <c r="AY628" s="212"/>
      <c r="AZ628" s="213"/>
      <c r="BA628" s="213"/>
      <c r="BB628" s="213"/>
      <c r="BC628" s="212"/>
      <c r="BD628" s="213"/>
      <c r="BE628" s="213"/>
      <c r="BF628" s="213"/>
      <c r="BG628" s="212"/>
      <c r="BH628" s="213"/>
      <c r="BI628" s="213"/>
      <c r="BJ628" s="213"/>
      <c r="BK628" s="213"/>
      <c r="BL628" s="212"/>
      <c r="BM628" s="213"/>
      <c r="BN628" s="213"/>
      <c r="BO628" s="213"/>
      <c r="BP628" s="213"/>
      <c r="BQ628" s="192"/>
      <c r="BR628" s="192"/>
    </row>
    <row r="629">
      <c r="A629" s="60"/>
      <c r="E629" s="215"/>
      <c r="F629" s="215"/>
      <c r="G629" s="215"/>
      <c r="L629" s="216"/>
      <c r="M629" s="216"/>
      <c r="N629" s="216"/>
      <c r="O629" s="217"/>
      <c r="P629" s="217"/>
      <c r="Q629" s="217"/>
      <c r="R629" s="217"/>
      <c r="S629" s="218"/>
      <c r="X629" s="218"/>
      <c r="AD629" s="216"/>
      <c r="AO629" s="216"/>
      <c r="AP629" s="216"/>
      <c r="AQ629" s="216"/>
      <c r="AR629" s="216"/>
      <c r="AT629" s="192"/>
      <c r="AU629" s="192"/>
      <c r="AV629" s="192"/>
      <c r="AW629" s="192"/>
      <c r="AX629" s="192"/>
      <c r="AY629" s="212"/>
      <c r="AZ629" s="213"/>
      <c r="BA629" s="213"/>
      <c r="BB629" s="213"/>
      <c r="BC629" s="212"/>
      <c r="BD629" s="213"/>
      <c r="BE629" s="213"/>
      <c r="BF629" s="213"/>
      <c r="BG629" s="212"/>
      <c r="BH629" s="213"/>
      <c r="BI629" s="213"/>
      <c r="BJ629" s="213"/>
      <c r="BK629" s="213"/>
      <c r="BL629" s="212"/>
      <c r="BM629" s="213"/>
      <c r="BN629" s="213"/>
      <c r="BO629" s="213"/>
      <c r="BP629" s="213"/>
      <c r="BQ629" s="192"/>
      <c r="BR629" s="192"/>
    </row>
    <row r="630">
      <c r="A630" s="60"/>
      <c r="E630" s="215"/>
      <c r="F630" s="215"/>
      <c r="G630" s="215"/>
      <c r="L630" s="216"/>
      <c r="M630" s="216"/>
      <c r="N630" s="216"/>
      <c r="O630" s="217"/>
      <c r="P630" s="217"/>
      <c r="Q630" s="217"/>
      <c r="R630" s="217"/>
      <c r="S630" s="218"/>
      <c r="X630" s="218"/>
      <c r="AD630" s="216"/>
      <c r="AO630" s="216"/>
      <c r="AP630" s="216"/>
      <c r="AQ630" s="216"/>
      <c r="AR630" s="216"/>
      <c r="AT630" s="192"/>
      <c r="AU630" s="192"/>
      <c r="AV630" s="192"/>
      <c r="AW630" s="192"/>
      <c r="AX630" s="192"/>
      <c r="AY630" s="212"/>
      <c r="AZ630" s="213"/>
      <c r="BA630" s="213"/>
      <c r="BB630" s="213"/>
      <c r="BC630" s="212"/>
      <c r="BD630" s="213"/>
      <c r="BE630" s="213"/>
      <c r="BF630" s="213"/>
      <c r="BG630" s="212"/>
      <c r="BH630" s="213"/>
      <c r="BI630" s="213"/>
      <c r="BJ630" s="213"/>
      <c r="BK630" s="213"/>
      <c r="BL630" s="212"/>
      <c r="BM630" s="213"/>
      <c r="BN630" s="213"/>
      <c r="BO630" s="213"/>
      <c r="BP630" s="213"/>
      <c r="BQ630" s="192"/>
      <c r="BR630" s="192"/>
    </row>
    <row r="631">
      <c r="A631" s="60"/>
      <c r="E631" s="215"/>
      <c r="F631" s="215"/>
      <c r="G631" s="215"/>
      <c r="L631" s="216"/>
      <c r="M631" s="216"/>
      <c r="N631" s="216"/>
      <c r="O631" s="217"/>
      <c r="P631" s="217"/>
      <c r="Q631" s="217"/>
      <c r="R631" s="217"/>
      <c r="S631" s="218"/>
      <c r="X631" s="218"/>
      <c r="AD631" s="216"/>
      <c r="AO631" s="216"/>
      <c r="AP631" s="216"/>
      <c r="AQ631" s="216"/>
      <c r="AR631" s="216"/>
      <c r="AT631" s="192"/>
      <c r="AU631" s="192"/>
      <c r="AV631" s="192"/>
      <c r="AW631" s="192"/>
      <c r="AX631" s="192"/>
      <c r="AY631" s="212"/>
      <c r="AZ631" s="213"/>
      <c r="BA631" s="213"/>
      <c r="BB631" s="213"/>
      <c r="BC631" s="212"/>
      <c r="BD631" s="213"/>
      <c r="BE631" s="213"/>
      <c r="BF631" s="213"/>
      <c r="BG631" s="212"/>
      <c r="BH631" s="213"/>
      <c r="BI631" s="213"/>
      <c r="BJ631" s="213"/>
      <c r="BK631" s="213"/>
      <c r="BL631" s="212"/>
      <c r="BM631" s="213"/>
      <c r="BN631" s="213"/>
      <c r="BO631" s="213"/>
      <c r="BP631" s="213"/>
      <c r="BQ631" s="192"/>
      <c r="BR631" s="192"/>
    </row>
    <row r="632">
      <c r="A632" s="60"/>
      <c r="E632" s="215"/>
      <c r="F632" s="215"/>
      <c r="G632" s="215"/>
      <c r="L632" s="216"/>
      <c r="M632" s="216"/>
      <c r="N632" s="216"/>
      <c r="O632" s="217"/>
      <c r="P632" s="217"/>
      <c r="Q632" s="217"/>
      <c r="R632" s="217"/>
      <c r="S632" s="218"/>
      <c r="X632" s="218"/>
      <c r="AD632" s="216"/>
      <c r="AO632" s="216"/>
      <c r="AP632" s="216"/>
      <c r="AQ632" s="216"/>
      <c r="AR632" s="216"/>
      <c r="AT632" s="192"/>
      <c r="AU632" s="192"/>
      <c r="AV632" s="192"/>
      <c r="AW632" s="192"/>
      <c r="AX632" s="192"/>
      <c r="AY632" s="212"/>
      <c r="AZ632" s="213"/>
      <c r="BA632" s="213"/>
      <c r="BB632" s="213"/>
      <c r="BC632" s="212"/>
      <c r="BD632" s="213"/>
      <c r="BE632" s="213"/>
      <c r="BF632" s="213"/>
      <c r="BG632" s="212"/>
      <c r="BH632" s="213"/>
      <c r="BI632" s="213"/>
      <c r="BJ632" s="213"/>
      <c r="BK632" s="213"/>
      <c r="BL632" s="212"/>
      <c r="BM632" s="213"/>
      <c r="BN632" s="213"/>
      <c r="BO632" s="213"/>
      <c r="BP632" s="213"/>
      <c r="BQ632" s="192"/>
      <c r="BR632" s="192"/>
    </row>
    <row r="633">
      <c r="A633" s="60"/>
      <c r="E633" s="215"/>
      <c r="F633" s="215"/>
      <c r="G633" s="215"/>
      <c r="L633" s="216"/>
      <c r="M633" s="216"/>
      <c r="N633" s="216"/>
      <c r="O633" s="217"/>
      <c r="P633" s="217"/>
      <c r="Q633" s="217"/>
      <c r="R633" s="217"/>
      <c r="S633" s="218"/>
      <c r="X633" s="218"/>
      <c r="AD633" s="216"/>
      <c r="AO633" s="216"/>
      <c r="AP633" s="216"/>
      <c r="AQ633" s="216"/>
      <c r="AR633" s="216"/>
      <c r="AT633" s="192"/>
      <c r="AU633" s="192"/>
      <c r="AV633" s="192"/>
      <c r="AW633" s="192"/>
      <c r="AX633" s="192"/>
      <c r="AY633" s="212"/>
      <c r="AZ633" s="213"/>
      <c r="BA633" s="213"/>
      <c r="BB633" s="213"/>
      <c r="BC633" s="212"/>
      <c r="BD633" s="213"/>
      <c r="BE633" s="213"/>
      <c r="BF633" s="213"/>
      <c r="BG633" s="212"/>
      <c r="BH633" s="213"/>
      <c r="BI633" s="213"/>
      <c r="BJ633" s="213"/>
      <c r="BK633" s="213"/>
      <c r="BL633" s="212"/>
      <c r="BM633" s="213"/>
      <c r="BN633" s="213"/>
      <c r="BO633" s="213"/>
      <c r="BP633" s="213"/>
      <c r="BQ633" s="192"/>
      <c r="BR633" s="192"/>
    </row>
    <row r="634">
      <c r="A634" s="60"/>
      <c r="E634" s="215"/>
      <c r="F634" s="215"/>
      <c r="G634" s="215"/>
      <c r="L634" s="216"/>
      <c r="M634" s="216"/>
      <c r="N634" s="216"/>
      <c r="O634" s="217"/>
      <c r="P634" s="217"/>
      <c r="Q634" s="217"/>
      <c r="R634" s="217"/>
      <c r="S634" s="218"/>
      <c r="X634" s="218"/>
      <c r="AD634" s="216"/>
      <c r="AO634" s="216"/>
      <c r="AP634" s="216"/>
      <c r="AQ634" s="216"/>
      <c r="AR634" s="216"/>
      <c r="AT634" s="192"/>
      <c r="AU634" s="192"/>
      <c r="AV634" s="192"/>
      <c r="AW634" s="192"/>
      <c r="AX634" s="192"/>
      <c r="AY634" s="212"/>
      <c r="AZ634" s="213"/>
      <c r="BA634" s="213"/>
      <c r="BB634" s="213"/>
      <c r="BC634" s="212"/>
      <c r="BD634" s="213"/>
      <c r="BE634" s="213"/>
      <c r="BF634" s="213"/>
      <c r="BG634" s="212"/>
      <c r="BH634" s="213"/>
      <c r="BI634" s="213"/>
      <c r="BJ634" s="213"/>
      <c r="BK634" s="213"/>
      <c r="BL634" s="212"/>
      <c r="BM634" s="213"/>
      <c r="BN634" s="213"/>
      <c r="BO634" s="213"/>
      <c r="BP634" s="213"/>
      <c r="BQ634" s="192"/>
      <c r="BR634" s="192"/>
    </row>
    <row r="635">
      <c r="A635" s="60"/>
      <c r="E635" s="215"/>
      <c r="F635" s="215"/>
      <c r="G635" s="215"/>
      <c r="L635" s="216"/>
      <c r="M635" s="216"/>
      <c r="N635" s="216"/>
      <c r="O635" s="217"/>
      <c r="P635" s="217"/>
      <c r="Q635" s="217"/>
      <c r="R635" s="217"/>
      <c r="S635" s="218"/>
      <c r="X635" s="218"/>
      <c r="AD635" s="216"/>
      <c r="AO635" s="216"/>
      <c r="AP635" s="216"/>
      <c r="AQ635" s="216"/>
      <c r="AR635" s="216"/>
      <c r="AT635" s="192"/>
      <c r="AU635" s="192"/>
      <c r="AV635" s="192"/>
      <c r="AW635" s="192"/>
      <c r="AX635" s="192"/>
      <c r="AY635" s="212"/>
      <c r="AZ635" s="213"/>
      <c r="BA635" s="213"/>
      <c r="BB635" s="213"/>
      <c r="BC635" s="212"/>
      <c r="BD635" s="213"/>
      <c r="BE635" s="213"/>
      <c r="BF635" s="213"/>
      <c r="BG635" s="212"/>
      <c r="BH635" s="213"/>
      <c r="BI635" s="213"/>
      <c r="BJ635" s="213"/>
      <c r="BK635" s="213"/>
      <c r="BL635" s="212"/>
      <c r="BM635" s="213"/>
      <c r="BN635" s="213"/>
      <c r="BO635" s="213"/>
      <c r="BP635" s="213"/>
      <c r="BQ635" s="192"/>
      <c r="BR635" s="192"/>
    </row>
    <row r="636">
      <c r="A636" s="60"/>
      <c r="E636" s="215"/>
      <c r="F636" s="215"/>
      <c r="G636" s="215"/>
      <c r="L636" s="216"/>
      <c r="M636" s="216"/>
      <c r="N636" s="216"/>
      <c r="O636" s="217"/>
      <c r="P636" s="217"/>
      <c r="Q636" s="217"/>
      <c r="R636" s="217"/>
      <c r="S636" s="218"/>
      <c r="X636" s="218"/>
      <c r="AD636" s="216"/>
      <c r="AO636" s="216"/>
      <c r="AP636" s="216"/>
      <c r="AQ636" s="216"/>
      <c r="AR636" s="216"/>
      <c r="AT636" s="192"/>
      <c r="AU636" s="192"/>
      <c r="AV636" s="192"/>
      <c r="AW636" s="192"/>
      <c r="AX636" s="192"/>
      <c r="AY636" s="212"/>
      <c r="AZ636" s="213"/>
      <c r="BA636" s="213"/>
      <c r="BB636" s="213"/>
      <c r="BC636" s="212"/>
      <c r="BD636" s="213"/>
      <c r="BE636" s="213"/>
      <c r="BF636" s="213"/>
      <c r="BG636" s="212"/>
      <c r="BH636" s="213"/>
      <c r="BI636" s="213"/>
      <c r="BJ636" s="213"/>
      <c r="BK636" s="213"/>
      <c r="BL636" s="212"/>
      <c r="BM636" s="213"/>
      <c r="BN636" s="213"/>
      <c r="BO636" s="213"/>
      <c r="BP636" s="213"/>
      <c r="BQ636" s="192"/>
      <c r="BR636" s="192"/>
    </row>
    <row r="637">
      <c r="A637" s="60"/>
      <c r="E637" s="215"/>
      <c r="F637" s="215"/>
      <c r="G637" s="215"/>
      <c r="L637" s="216"/>
      <c r="M637" s="216"/>
      <c r="N637" s="216"/>
      <c r="O637" s="217"/>
      <c r="P637" s="217"/>
      <c r="Q637" s="217"/>
      <c r="R637" s="217"/>
      <c r="S637" s="218"/>
      <c r="X637" s="218"/>
      <c r="AD637" s="216"/>
      <c r="AO637" s="216"/>
      <c r="AP637" s="216"/>
      <c r="AQ637" s="216"/>
      <c r="AR637" s="216"/>
      <c r="AT637" s="192"/>
      <c r="AU637" s="192"/>
      <c r="AV637" s="192"/>
      <c r="AW637" s="192"/>
      <c r="AX637" s="192"/>
      <c r="AY637" s="212"/>
      <c r="AZ637" s="213"/>
      <c r="BA637" s="213"/>
      <c r="BB637" s="213"/>
      <c r="BC637" s="212"/>
      <c r="BD637" s="213"/>
      <c r="BE637" s="213"/>
      <c r="BF637" s="213"/>
      <c r="BG637" s="212"/>
      <c r="BH637" s="213"/>
      <c r="BI637" s="213"/>
      <c r="BJ637" s="213"/>
      <c r="BK637" s="213"/>
      <c r="BL637" s="212"/>
      <c r="BM637" s="213"/>
      <c r="BN637" s="213"/>
      <c r="BO637" s="213"/>
      <c r="BP637" s="213"/>
      <c r="BQ637" s="192"/>
      <c r="BR637" s="192"/>
    </row>
    <row r="638">
      <c r="A638" s="60"/>
      <c r="E638" s="215"/>
      <c r="F638" s="215"/>
      <c r="G638" s="215"/>
      <c r="L638" s="216"/>
      <c r="M638" s="216"/>
      <c r="N638" s="216"/>
      <c r="O638" s="217"/>
      <c r="P638" s="217"/>
      <c r="Q638" s="217"/>
      <c r="R638" s="217"/>
      <c r="S638" s="218"/>
      <c r="X638" s="218"/>
      <c r="AD638" s="216"/>
      <c r="AO638" s="216"/>
      <c r="AP638" s="216"/>
      <c r="AQ638" s="216"/>
      <c r="AR638" s="216"/>
      <c r="AT638" s="192"/>
      <c r="AU638" s="192"/>
      <c r="AV638" s="192"/>
      <c r="AW638" s="192"/>
      <c r="AX638" s="192"/>
      <c r="AY638" s="212"/>
      <c r="AZ638" s="213"/>
      <c r="BA638" s="213"/>
      <c r="BB638" s="213"/>
      <c r="BC638" s="212"/>
      <c r="BD638" s="213"/>
      <c r="BE638" s="213"/>
      <c r="BF638" s="213"/>
      <c r="BG638" s="212"/>
      <c r="BH638" s="213"/>
      <c r="BI638" s="213"/>
      <c r="BJ638" s="213"/>
      <c r="BK638" s="213"/>
      <c r="BL638" s="212"/>
      <c r="BM638" s="213"/>
      <c r="BN638" s="213"/>
      <c r="BO638" s="213"/>
      <c r="BP638" s="213"/>
      <c r="BQ638" s="192"/>
      <c r="BR638" s="192"/>
    </row>
    <row r="639">
      <c r="A639" s="60"/>
      <c r="E639" s="215"/>
      <c r="F639" s="215"/>
      <c r="G639" s="215"/>
      <c r="L639" s="216"/>
      <c r="M639" s="216"/>
      <c r="N639" s="216"/>
      <c r="O639" s="217"/>
      <c r="P639" s="217"/>
      <c r="Q639" s="217"/>
      <c r="R639" s="217"/>
      <c r="S639" s="218"/>
      <c r="X639" s="218"/>
      <c r="AD639" s="216"/>
      <c r="AO639" s="216"/>
      <c r="AP639" s="216"/>
      <c r="AQ639" s="216"/>
      <c r="AR639" s="216"/>
      <c r="AT639" s="192"/>
      <c r="AU639" s="192"/>
      <c r="AV639" s="192"/>
      <c r="AW639" s="192"/>
      <c r="AX639" s="192"/>
      <c r="AY639" s="212"/>
      <c r="AZ639" s="213"/>
      <c r="BA639" s="213"/>
      <c r="BB639" s="213"/>
      <c r="BC639" s="212"/>
      <c r="BD639" s="213"/>
      <c r="BE639" s="213"/>
      <c r="BF639" s="213"/>
      <c r="BG639" s="212"/>
      <c r="BH639" s="213"/>
      <c r="BI639" s="213"/>
      <c r="BJ639" s="213"/>
      <c r="BK639" s="213"/>
      <c r="BL639" s="212"/>
      <c r="BM639" s="213"/>
      <c r="BN639" s="213"/>
      <c r="BO639" s="213"/>
      <c r="BP639" s="213"/>
      <c r="BQ639" s="192"/>
      <c r="BR639" s="192"/>
    </row>
    <row r="640">
      <c r="A640" s="60"/>
      <c r="E640" s="215"/>
      <c r="F640" s="215"/>
      <c r="G640" s="215"/>
      <c r="L640" s="216"/>
      <c r="M640" s="216"/>
      <c r="N640" s="216"/>
      <c r="O640" s="217"/>
      <c r="P640" s="217"/>
      <c r="Q640" s="217"/>
      <c r="R640" s="217"/>
      <c r="S640" s="218"/>
      <c r="X640" s="218"/>
      <c r="AD640" s="216"/>
      <c r="AO640" s="216"/>
      <c r="AP640" s="216"/>
      <c r="AQ640" s="216"/>
      <c r="AR640" s="216"/>
      <c r="AT640" s="192"/>
      <c r="AU640" s="192"/>
      <c r="AV640" s="192"/>
      <c r="AW640" s="192"/>
      <c r="AX640" s="192"/>
      <c r="AY640" s="212"/>
      <c r="AZ640" s="213"/>
      <c r="BA640" s="213"/>
      <c r="BB640" s="213"/>
      <c r="BC640" s="212"/>
      <c r="BD640" s="213"/>
      <c r="BE640" s="213"/>
      <c r="BF640" s="213"/>
      <c r="BG640" s="212"/>
      <c r="BH640" s="213"/>
      <c r="BI640" s="213"/>
      <c r="BJ640" s="213"/>
      <c r="BK640" s="213"/>
      <c r="BL640" s="212"/>
      <c r="BM640" s="213"/>
      <c r="BN640" s="213"/>
      <c r="BO640" s="213"/>
      <c r="BP640" s="213"/>
      <c r="BQ640" s="192"/>
      <c r="BR640" s="192"/>
    </row>
    <row r="641">
      <c r="A641" s="60"/>
      <c r="E641" s="215"/>
      <c r="F641" s="215"/>
      <c r="G641" s="215"/>
      <c r="L641" s="216"/>
      <c r="M641" s="216"/>
      <c r="N641" s="216"/>
      <c r="O641" s="217"/>
      <c r="P641" s="217"/>
      <c r="Q641" s="217"/>
      <c r="R641" s="217"/>
      <c r="S641" s="218"/>
      <c r="X641" s="218"/>
      <c r="AD641" s="216"/>
      <c r="AO641" s="216"/>
      <c r="AP641" s="216"/>
      <c r="AQ641" s="216"/>
      <c r="AR641" s="216"/>
      <c r="AT641" s="192"/>
      <c r="AU641" s="192"/>
      <c r="AV641" s="192"/>
      <c r="AW641" s="192"/>
      <c r="AX641" s="192"/>
      <c r="AY641" s="212"/>
      <c r="AZ641" s="213"/>
      <c r="BA641" s="213"/>
      <c r="BB641" s="213"/>
      <c r="BC641" s="212"/>
      <c r="BD641" s="213"/>
      <c r="BE641" s="213"/>
      <c r="BF641" s="213"/>
      <c r="BG641" s="212"/>
      <c r="BH641" s="213"/>
      <c r="BI641" s="213"/>
      <c r="BJ641" s="213"/>
      <c r="BK641" s="213"/>
      <c r="BL641" s="212"/>
      <c r="BM641" s="213"/>
      <c r="BN641" s="213"/>
      <c r="BO641" s="213"/>
      <c r="BP641" s="213"/>
      <c r="BQ641" s="192"/>
      <c r="BR641" s="192"/>
    </row>
    <row r="642">
      <c r="A642" s="60"/>
      <c r="E642" s="215"/>
      <c r="F642" s="215"/>
      <c r="G642" s="215"/>
      <c r="L642" s="216"/>
      <c r="M642" s="216"/>
      <c r="N642" s="216"/>
      <c r="O642" s="217"/>
      <c r="P642" s="217"/>
      <c r="Q642" s="217"/>
      <c r="R642" s="217"/>
      <c r="S642" s="218"/>
      <c r="X642" s="218"/>
      <c r="AD642" s="216"/>
      <c r="AO642" s="216"/>
      <c r="AP642" s="216"/>
      <c r="AQ642" s="216"/>
      <c r="AR642" s="216"/>
      <c r="AT642" s="192"/>
      <c r="AU642" s="192"/>
      <c r="AV642" s="192"/>
      <c r="AW642" s="192"/>
      <c r="AX642" s="192"/>
      <c r="AY642" s="212"/>
      <c r="AZ642" s="213"/>
      <c r="BA642" s="213"/>
      <c r="BB642" s="213"/>
      <c r="BC642" s="212"/>
      <c r="BD642" s="213"/>
      <c r="BE642" s="213"/>
      <c r="BF642" s="213"/>
      <c r="BG642" s="212"/>
      <c r="BH642" s="213"/>
      <c r="BI642" s="213"/>
      <c r="BJ642" s="213"/>
      <c r="BK642" s="213"/>
      <c r="BL642" s="212"/>
      <c r="BM642" s="213"/>
      <c r="BN642" s="213"/>
      <c r="BO642" s="213"/>
      <c r="BP642" s="213"/>
      <c r="BQ642" s="192"/>
      <c r="BR642" s="192"/>
    </row>
    <row r="643">
      <c r="A643" s="60"/>
      <c r="E643" s="215"/>
      <c r="F643" s="215"/>
      <c r="G643" s="215"/>
      <c r="L643" s="216"/>
      <c r="M643" s="216"/>
      <c r="N643" s="216"/>
      <c r="O643" s="217"/>
      <c r="P643" s="217"/>
      <c r="Q643" s="217"/>
      <c r="R643" s="217"/>
      <c r="S643" s="218"/>
      <c r="X643" s="218"/>
      <c r="AD643" s="216"/>
      <c r="AO643" s="216"/>
      <c r="AP643" s="216"/>
      <c r="AQ643" s="216"/>
      <c r="AR643" s="216"/>
      <c r="AT643" s="192"/>
      <c r="AU643" s="192"/>
      <c r="AV643" s="192"/>
      <c r="AW643" s="192"/>
      <c r="AX643" s="192"/>
      <c r="AY643" s="212"/>
      <c r="AZ643" s="213"/>
      <c r="BA643" s="213"/>
      <c r="BB643" s="213"/>
      <c r="BC643" s="212"/>
      <c r="BD643" s="213"/>
      <c r="BE643" s="213"/>
      <c r="BF643" s="213"/>
      <c r="BG643" s="212"/>
      <c r="BH643" s="213"/>
      <c r="BI643" s="213"/>
      <c r="BJ643" s="213"/>
      <c r="BK643" s="213"/>
      <c r="BL643" s="212"/>
      <c r="BM643" s="213"/>
      <c r="BN643" s="213"/>
      <c r="BO643" s="213"/>
      <c r="BP643" s="213"/>
      <c r="BQ643" s="192"/>
      <c r="BR643" s="192"/>
    </row>
    <row r="644">
      <c r="A644" s="60"/>
      <c r="E644" s="215"/>
      <c r="F644" s="215"/>
      <c r="G644" s="215"/>
      <c r="L644" s="216"/>
      <c r="M644" s="216"/>
      <c r="N644" s="216"/>
      <c r="O644" s="217"/>
      <c r="P644" s="217"/>
      <c r="Q644" s="217"/>
      <c r="R644" s="217"/>
      <c r="S644" s="218"/>
      <c r="X644" s="218"/>
      <c r="AD644" s="216"/>
      <c r="AO644" s="216"/>
      <c r="AP644" s="216"/>
      <c r="AQ644" s="216"/>
      <c r="AR644" s="216"/>
      <c r="AT644" s="192"/>
      <c r="AU644" s="192"/>
      <c r="AV644" s="192"/>
      <c r="AW644" s="192"/>
      <c r="AX644" s="192"/>
      <c r="AY644" s="212"/>
      <c r="AZ644" s="213"/>
      <c r="BA644" s="213"/>
      <c r="BB644" s="213"/>
      <c r="BC644" s="212"/>
      <c r="BD644" s="213"/>
      <c r="BE644" s="213"/>
      <c r="BF644" s="213"/>
      <c r="BG644" s="212"/>
      <c r="BH644" s="213"/>
      <c r="BI644" s="213"/>
      <c r="BJ644" s="213"/>
      <c r="BK644" s="213"/>
      <c r="BL644" s="212"/>
      <c r="BM644" s="213"/>
      <c r="BN644" s="213"/>
      <c r="BO644" s="213"/>
      <c r="BP644" s="213"/>
      <c r="BQ644" s="192"/>
      <c r="BR644" s="192"/>
    </row>
    <row r="645">
      <c r="A645" s="60"/>
      <c r="E645" s="215"/>
      <c r="F645" s="215"/>
      <c r="G645" s="215"/>
      <c r="L645" s="216"/>
      <c r="M645" s="216"/>
      <c r="N645" s="216"/>
      <c r="O645" s="217"/>
      <c r="P645" s="217"/>
      <c r="Q645" s="217"/>
      <c r="R645" s="217"/>
      <c r="S645" s="218"/>
      <c r="X645" s="218"/>
      <c r="AD645" s="216"/>
      <c r="AO645" s="216"/>
      <c r="AP645" s="216"/>
      <c r="AQ645" s="216"/>
      <c r="AR645" s="216"/>
      <c r="AT645" s="192"/>
      <c r="AU645" s="192"/>
      <c r="AV645" s="192"/>
      <c r="AW645" s="192"/>
      <c r="AX645" s="192"/>
      <c r="AY645" s="212"/>
      <c r="AZ645" s="213"/>
      <c r="BA645" s="213"/>
      <c r="BB645" s="213"/>
      <c r="BC645" s="212"/>
      <c r="BD645" s="213"/>
      <c r="BE645" s="213"/>
      <c r="BF645" s="213"/>
      <c r="BG645" s="212"/>
      <c r="BH645" s="213"/>
      <c r="BI645" s="213"/>
      <c r="BJ645" s="213"/>
      <c r="BK645" s="213"/>
      <c r="BL645" s="212"/>
      <c r="BM645" s="213"/>
      <c r="BN645" s="213"/>
      <c r="BO645" s="213"/>
      <c r="BP645" s="213"/>
      <c r="BQ645" s="192"/>
      <c r="BR645" s="192"/>
    </row>
    <row r="646">
      <c r="A646" s="60"/>
      <c r="E646" s="215"/>
      <c r="F646" s="215"/>
      <c r="G646" s="215"/>
      <c r="L646" s="216"/>
      <c r="M646" s="216"/>
      <c r="N646" s="216"/>
      <c r="O646" s="217"/>
      <c r="P646" s="217"/>
      <c r="Q646" s="217"/>
      <c r="R646" s="217"/>
      <c r="S646" s="218"/>
      <c r="X646" s="218"/>
      <c r="AD646" s="216"/>
      <c r="AO646" s="216"/>
      <c r="AP646" s="216"/>
      <c r="AQ646" s="216"/>
      <c r="AR646" s="216"/>
      <c r="AT646" s="192"/>
      <c r="AU646" s="192"/>
      <c r="AV646" s="192"/>
      <c r="AW646" s="192"/>
      <c r="AX646" s="192"/>
      <c r="AY646" s="212"/>
      <c r="AZ646" s="213"/>
      <c r="BA646" s="213"/>
      <c r="BB646" s="213"/>
      <c r="BC646" s="212"/>
      <c r="BD646" s="213"/>
      <c r="BE646" s="213"/>
      <c r="BF646" s="213"/>
      <c r="BG646" s="212"/>
      <c r="BH646" s="213"/>
      <c r="BI646" s="213"/>
      <c r="BJ646" s="213"/>
      <c r="BK646" s="213"/>
      <c r="BL646" s="212"/>
      <c r="BM646" s="213"/>
      <c r="BN646" s="213"/>
      <c r="BO646" s="213"/>
      <c r="BP646" s="213"/>
      <c r="BQ646" s="192"/>
      <c r="BR646" s="192"/>
    </row>
    <row r="647">
      <c r="A647" s="60"/>
      <c r="E647" s="215"/>
      <c r="F647" s="215"/>
      <c r="G647" s="215"/>
      <c r="L647" s="216"/>
      <c r="M647" s="216"/>
      <c r="N647" s="216"/>
      <c r="O647" s="217"/>
      <c r="P647" s="217"/>
      <c r="Q647" s="217"/>
      <c r="R647" s="217"/>
      <c r="S647" s="218"/>
      <c r="X647" s="218"/>
      <c r="AD647" s="216"/>
      <c r="AO647" s="216"/>
      <c r="AP647" s="216"/>
      <c r="AQ647" s="216"/>
      <c r="AR647" s="216"/>
      <c r="AT647" s="192"/>
      <c r="AU647" s="192"/>
      <c r="AV647" s="192"/>
      <c r="AW647" s="192"/>
      <c r="AX647" s="192"/>
      <c r="AY647" s="212"/>
      <c r="AZ647" s="213"/>
      <c r="BA647" s="213"/>
      <c r="BB647" s="213"/>
      <c r="BC647" s="212"/>
      <c r="BD647" s="213"/>
      <c r="BE647" s="213"/>
      <c r="BF647" s="213"/>
      <c r="BG647" s="212"/>
      <c r="BH647" s="213"/>
      <c r="BI647" s="213"/>
      <c r="BJ647" s="213"/>
      <c r="BK647" s="213"/>
      <c r="BL647" s="212"/>
      <c r="BM647" s="213"/>
      <c r="BN647" s="213"/>
      <c r="BO647" s="213"/>
      <c r="BP647" s="213"/>
      <c r="BQ647" s="192"/>
      <c r="BR647" s="192"/>
    </row>
    <row r="648">
      <c r="A648" s="60"/>
      <c r="E648" s="215"/>
      <c r="F648" s="215"/>
      <c r="G648" s="215"/>
      <c r="L648" s="216"/>
      <c r="M648" s="216"/>
      <c r="N648" s="216"/>
      <c r="O648" s="217"/>
      <c r="P648" s="217"/>
      <c r="Q648" s="217"/>
      <c r="R648" s="217"/>
      <c r="S648" s="218"/>
      <c r="X648" s="218"/>
      <c r="AD648" s="216"/>
      <c r="AO648" s="216"/>
      <c r="AP648" s="216"/>
      <c r="AQ648" s="216"/>
      <c r="AR648" s="216"/>
      <c r="AT648" s="192"/>
      <c r="AU648" s="192"/>
      <c r="AV648" s="192"/>
      <c r="AW648" s="192"/>
      <c r="AX648" s="192"/>
      <c r="AY648" s="212"/>
      <c r="AZ648" s="213"/>
      <c r="BA648" s="213"/>
      <c r="BB648" s="213"/>
      <c r="BC648" s="212"/>
      <c r="BD648" s="213"/>
      <c r="BE648" s="213"/>
      <c r="BF648" s="213"/>
      <c r="BG648" s="212"/>
      <c r="BH648" s="213"/>
      <c r="BI648" s="213"/>
      <c r="BJ648" s="213"/>
      <c r="BK648" s="213"/>
      <c r="BL648" s="212"/>
      <c r="BM648" s="213"/>
      <c r="BN648" s="213"/>
      <c r="BO648" s="213"/>
      <c r="BP648" s="213"/>
      <c r="BQ648" s="192"/>
      <c r="BR648" s="192"/>
    </row>
    <row r="649">
      <c r="A649" s="60"/>
      <c r="E649" s="215"/>
      <c r="F649" s="215"/>
      <c r="G649" s="215"/>
      <c r="L649" s="216"/>
      <c r="M649" s="216"/>
      <c r="N649" s="216"/>
      <c r="O649" s="217"/>
      <c r="P649" s="217"/>
      <c r="Q649" s="217"/>
      <c r="R649" s="217"/>
      <c r="S649" s="218"/>
      <c r="X649" s="218"/>
      <c r="AD649" s="216"/>
      <c r="AO649" s="216"/>
      <c r="AP649" s="216"/>
      <c r="AQ649" s="216"/>
      <c r="AR649" s="216"/>
      <c r="AT649" s="192"/>
      <c r="AU649" s="192"/>
      <c r="AV649" s="192"/>
      <c r="AW649" s="192"/>
      <c r="AX649" s="192"/>
      <c r="AY649" s="212"/>
      <c r="AZ649" s="213"/>
      <c r="BA649" s="213"/>
      <c r="BB649" s="213"/>
      <c r="BC649" s="212"/>
      <c r="BD649" s="213"/>
      <c r="BE649" s="213"/>
      <c r="BF649" s="213"/>
      <c r="BG649" s="212"/>
      <c r="BH649" s="213"/>
      <c r="BI649" s="213"/>
      <c r="BJ649" s="213"/>
      <c r="BK649" s="213"/>
      <c r="BL649" s="212"/>
      <c r="BM649" s="213"/>
      <c r="BN649" s="213"/>
      <c r="BO649" s="213"/>
      <c r="BP649" s="213"/>
      <c r="BQ649" s="192"/>
      <c r="BR649" s="192"/>
    </row>
    <row r="650">
      <c r="A650" s="60"/>
      <c r="E650" s="215"/>
      <c r="F650" s="215"/>
      <c r="G650" s="215"/>
      <c r="L650" s="216"/>
      <c r="M650" s="216"/>
      <c r="N650" s="216"/>
      <c r="O650" s="217"/>
      <c r="P650" s="217"/>
      <c r="Q650" s="217"/>
      <c r="R650" s="217"/>
      <c r="S650" s="218"/>
      <c r="X650" s="218"/>
      <c r="AD650" s="216"/>
      <c r="AO650" s="216"/>
      <c r="AP650" s="216"/>
      <c r="AQ650" s="216"/>
      <c r="AR650" s="216"/>
      <c r="AT650" s="192"/>
      <c r="AU650" s="192"/>
      <c r="AV650" s="192"/>
      <c r="AW650" s="192"/>
      <c r="AX650" s="192"/>
      <c r="AY650" s="212"/>
      <c r="AZ650" s="213"/>
      <c r="BA650" s="213"/>
      <c r="BB650" s="213"/>
      <c r="BC650" s="212"/>
      <c r="BD650" s="213"/>
      <c r="BE650" s="213"/>
      <c r="BF650" s="213"/>
      <c r="BG650" s="212"/>
      <c r="BH650" s="213"/>
      <c r="BI650" s="213"/>
      <c r="BJ650" s="213"/>
      <c r="BK650" s="213"/>
      <c r="BL650" s="212"/>
      <c r="BM650" s="213"/>
      <c r="BN650" s="213"/>
      <c r="BO650" s="213"/>
      <c r="BP650" s="213"/>
      <c r="BQ650" s="192"/>
      <c r="BR650" s="192"/>
    </row>
    <row r="651">
      <c r="A651" s="60"/>
      <c r="E651" s="215"/>
      <c r="F651" s="215"/>
      <c r="G651" s="215"/>
      <c r="L651" s="216"/>
      <c r="M651" s="216"/>
      <c r="N651" s="216"/>
      <c r="O651" s="217"/>
      <c r="P651" s="217"/>
      <c r="Q651" s="217"/>
      <c r="R651" s="217"/>
      <c r="S651" s="218"/>
      <c r="X651" s="218"/>
      <c r="AD651" s="216"/>
      <c r="AO651" s="216"/>
      <c r="AP651" s="216"/>
      <c r="AQ651" s="216"/>
      <c r="AR651" s="216"/>
      <c r="AT651" s="192"/>
      <c r="AU651" s="192"/>
      <c r="AV651" s="192"/>
      <c r="AW651" s="192"/>
      <c r="AX651" s="192"/>
      <c r="AY651" s="212"/>
      <c r="AZ651" s="213"/>
      <c r="BA651" s="213"/>
      <c r="BB651" s="213"/>
      <c r="BC651" s="212"/>
      <c r="BD651" s="213"/>
      <c r="BE651" s="213"/>
      <c r="BF651" s="213"/>
      <c r="BG651" s="212"/>
      <c r="BH651" s="213"/>
      <c r="BI651" s="213"/>
      <c r="BJ651" s="213"/>
      <c r="BK651" s="213"/>
      <c r="BL651" s="212"/>
      <c r="BM651" s="213"/>
      <c r="BN651" s="213"/>
      <c r="BO651" s="213"/>
      <c r="BP651" s="213"/>
      <c r="BQ651" s="192"/>
      <c r="BR651" s="192"/>
    </row>
    <row r="652">
      <c r="A652" s="60"/>
      <c r="E652" s="215"/>
      <c r="F652" s="215"/>
      <c r="G652" s="215"/>
      <c r="L652" s="216"/>
      <c r="M652" s="216"/>
      <c r="N652" s="216"/>
      <c r="O652" s="217"/>
      <c r="P652" s="217"/>
      <c r="Q652" s="217"/>
      <c r="R652" s="217"/>
      <c r="S652" s="218"/>
      <c r="X652" s="218"/>
      <c r="AD652" s="216"/>
      <c r="AO652" s="216"/>
      <c r="AP652" s="216"/>
      <c r="AQ652" s="216"/>
      <c r="AR652" s="216"/>
      <c r="AT652" s="192"/>
      <c r="AU652" s="192"/>
      <c r="AV652" s="192"/>
      <c r="AW652" s="192"/>
      <c r="AX652" s="192"/>
      <c r="AY652" s="212"/>
      <c r="AZ652" s="213"/>
      <c r="BA652" s="213"/>
      <c r="BB652" s="213"/>
      <c r="BC652" s="212"/>
      <c r="BD652" s="213"/>
      <c r="BE652" s="213"/>
      <c r="BF652" s="213"/>
      <c r="BG652" s="212"/>
      <c r="BH652" s="213"/>
      <c r="BI652" s="213"/>
      <c r="BJ652" s="213"/>
      <c r="BK652" s="213"/>
      <c r="BL652" s="212"/>
      <c r="BM652" s="213"/>
      <c r="BN652" s="213"/>
      <c r="BO652" s="213"/>
      <c r="BP652" s="213"/>
      <c r="BQ652" s="192"/>
      <c r="BR652" s="192"/>
    </row>
    <row r="653">
      <c r="A653" s="60"/>
      <c r="E653" s="215"/>
      <c r="F653" s="215"/>
      <c r="G653" s="215"/>
      <c r="L653" s="216"/>
      <c r="M653" s="216"/>
      <c r="N653" s="216"/>
      <c r="O653" s="217"/>
      <c r="P653" s="217"/>
      <c r="Q653" s="217"/>
      <c r="R653" s="217"/>
      <c r="S653" s="218"/>
      <c r="X653" s="218"/>
      <c r="AD653" s="216"/>
      <c r="AO653" s="216"/>
      <c r="AP653" s="216"/>
      <c r="AQ653" s="216"/>
      <c r="AR653" s="216"/>
      <c r="AT653" s="192"/>
      <c r="AU653" s="192"/>
      <c r="AV653" s="192"/>
      <c r="AW653" s="192"/>
      <c r="AX653" s="192"/>
      <c r="AY653" s="212"/>
      <c r="AZ653" s="213"/>
      <c r="BA653" s="213"/>
      <c r="BB653" s="213"/>
      <c r="BC653" s="212"/>
      <c r="BD653" s="213"/>
      <c r="BE653" s="213"/>
      <c r="BF653" s="213"/>
      <c r="BG653" s="212"/>
      <c r="BH653" s="213"/>
      <c r="BI653" s="213"/>
      <c r="BJ653" s="213"/>
      <c r="BK653" s="213"/>
      <c r="BL653" s="212"/>
      <c r="BM653" s="213"/>
      <c r="BN653" s="213"/>
      <c r="BO653" s="213"/>
      <c r="BP653" s="213"/>
      <c r="BQ653" s="192"/>
      <c r="BR653" s="192"/>
    </row>
    <row r="654">
      <c r="A654" s="60"/>
      <c r="E654" s="215"/>
      <c r="F654" s="215"/>
      <c r="G654" s="215"/>
      <c r="L654" s="216"/>
      <c r="M654" s="216"/>
      <c r="N654" s="216"/>
      <c r="O654" s="217"/>
      <c r="P654" s="217"/>
      <c r="Q654" s="217"/>
      <c r="R654" s="217"/>
      <c r="S654" s="218"/>
      <c r="X654" s="218"/>
      <c r="AD654" s="216"/>
      <c r="AO654" s="216"/>
      <c r="AP654" s="216"/>
      <c r="AQ654" s="216"/>
      <c r="AR654" s="216"/>
      <c r="AT654" s="192"/>
      <c r="AU654" s="192"/>
      <c r="AV654" s="192"/>
      <c r="AW654" s="192"/>
      <c r="AX654" s="192"/>
      <c r="AY654" s="212"/>
      <c r="AZ654" s="213"/>
      <c r="BA654" s="213"/>
      <c r="BB654" s="213"/>
      <c r="BC654" s="212"/>
      <c r="BD654" s="213"/>
      <c r="BE654" s="213"/>
      <c r="BF654" s="213"/>
      <c r="BG654" s="212"/>
      <c r="BH654" s="213"/>
      <c r="BI654" s="213"/>
      <c r="BJ654" s="213"/>
      <c r="BK654" s="213"/>
      <c r="BL654" s="212"/>
      <c r="BM654" s="213"/>
      <c r="BN654" s="213"/>
      <c r="BO654" s="213"/>
      <c r="BP654" s="213"/>
      <c r="BQ654" s="192"/>
      <c r="BR654" s="192"/>
    </row>
    <row r="655">
      <c r="A655" s="60"/>
      <c r="E655" s="215"/>
      <c r="F655" s="215"/>
      <c r="G655" s="215"/>
      <c r="L655" s="216"/>
      <c r="M655" s="216"/>
      <c r="N655" s="216"/>
      <c r="O655" s="217"/>
      <c r="P655" s="217"/>
      <c r="Q655" s="217"/>
      <c r="R655" s="217"/>
      <c r="S655" s="218"/>
      <c r="X655" s="218"/>
      <c r="AD655" s="216"/>
      <c r="AO655" s="216"/>
      <c r="AP655" s="216"/>
      <c r="AQ655" s="216"/>
      <c r="AR655" s="216"/>
      <c r="AT655" s="192"/>
      <c r="AU655" s="192"/>
      <c r="AV655" s="192"/>
      <c r="AW655" s="192"/>
      <c r="AX655" s="192"/>
      <c r="AY655" s="212"/>
      <c r="AZ655" s="213"/>
      <c r="BA655" s="213"/>
      <c r="BB655" s="213"/>
      <c r="BC655" s="212"/>
      <c r="BD655" s="213"/>
      <c r="BE655" s="213"/>
      <c r="BF655" s="213"/>
      <c r="BG655" s="212"/>
      <c r="BH655" s="213"/>
      <c r="BI655" s="213"/>
      <c r="BJ655" s="213"/>
      <c r="BK655" s="213"/>
      <c r="BL655" s="212"/>
      <c r="BM655" s="213"/>
      <c r="BN655" s="213"/>
      <c r="BO655" s="213"/>
      <c r="BP655" s="213"/>
      <c r="BQ655" s="192"/>
      <c r="BR655" s="192"/>
    </row>
    <row r="656">
      <c r="A656" s="60"/>
      <c r="E656" s="215"/>
      <c r="F656" s="215"/>
      <c r="G656" s="215"/>
      <c r="L656" s="216"/>
      <c r="M656" s="216"/>
      <c r="N656" s="216"/>
      <c r="O656" s="217"/>
      <c r="P656" s="217"/>
      <c r="Q656" s="217"/>
      <c r="R656" s="217"/>
      <c r="S656" s="218"/>
      <c r="X656" s="218"/>
      <c r="AD656" s="216"/>
      <c r="AO656" s="216"/>
      <c r="AP656" s="216"/>
      <c r="AQ656" s="216"/>
      <c r="AR656" s="216"/>
      <c r="AT656" s="192"/>
      <c r="AU656" s="192"/>
      <c r="AV656" s="192"/>
      <c r="AW656" s="192"/>
      <c r="AX656" s="192"/>
      <c r="AY656" s="212"/>
      <c r="AZ656" s="213"/>
      <c r="BA656" s="213"/>
      <c r="BB656" s="213"/>
      <c r="BC656" s="212"/>
      <c r="BD656" s="213"/>
      <c r="BE656" s="213"/>
      <c r="BF656" s="213"/>
      <c r="BG656" s="212"/>
      <c r="BH656" s="213"/>
      <c r="BI656" s="213"/>
      <c r="BJ656" s="213"/>
      <c r="BK656" s="213"/>
      <c r="BL656" s="212"/>
      <c r="BM656" s="213"/>
      <c r="BN656" s="213"/>
      <c r="BO656" s="213"/>
      <c r="BP656" s="213"/>
      <c r="BQ656" s="192"/>
      <c r="BR656" s="192"/>
    </row>
    <row r="657">
      <c r="A657" s="60"/>
      <c r="E657" s="215"/>
      <c r="F657" s="215"/>
      <c r="G657" s="215"/>
      <c r="L657" s="216"/>
      <c r="M657" s="216"/>
      <c r="N657" s="216"/>
      <c r="O657" s="217"/>
      <c r="P657" s="217"/>
      <c r="Q657" s="217"/>
      <c r="R657" s="217"/>
      <c r="S657" s="218"/>
      <c r="X657" s="218"/>
      <c r="AD657" s="216"/>
      <c r="AO657" s="216"/>
      <c r="AP657" s="216"/>
      <c r="AQ657" s="216"/>
      <c r="AR657" s="216"/>
      <c r="AT657" s="192"/>
      <c r="AU657" s="192"/>
      <c r="AV657" s="192"/>
      <c r="AW657" s="192"/>
      <c r="AX657" s="192"/>
      <c r="AY657" s="212"/>
      <c r="AZ657" s="213"/>
      <c r="BA657" s="213"/>
      <c r="BB657" s="213"/>
      <c r="BC657" s="212"/>
      <c r="BD657" s="213"/>
      <c r="BE657" s="213"/>
      <c r="BF657" s="213"/>
      <c r="BG657" s="212"/>
      <c r="BH657" s="213"/>
      <c r="BI657" s="213"/>
      <c r="BJ657" s="213"/>
      <c r="BK657" s="213"/>
      <c r="BL657" s="212"/>
      <c r="BM657" s="213"/>
      <c r="BN657" s="213"/>
      <c r="BO657" s="213"/>
      <c r="BP657" s="213"/>
      <c r="BQ657" s="192"/>
      <c r="BR657" s="192"/>
    </row>
    <row r="658">
      <c r="A658" s="60"/>
      <c r="E658" s="215"/>
      <c r="F658" s="215"/>
      <c r="G658" s="215"/>
      <c r="L658" s="216"/>
      <c r="M658" s="216"/>
      <c r="N658" s="216"/>
      <c r="O658" s="217"/>
      <c r="P658" s="217"/>
      <c r="Q658" s="217"/>
      <c r="R658" s="217"/>
      <c r="S658" s="218"/>
      <c r="X658" s="218"/>
      <c r="AD658" s="216"/>
      <c r="AO658" s="216"/>
      <c r="AP658" s="216"/>
      <c r="AQ658" s="216"/>
      <c r="AR658" s="216"/>
      <c r="AT658" s="192"/>
      <c r="AU658" s="192"/>
      <c r="AV658" s="192"/>
      <c r="AW658" s="192"/>
      <c r="AX658" s="192"/>
      <c r="AY658" s="212"/>
      <c r="AZ658" s="213"/>
      <c r="BA658" s="213"/>
      <c r="BB658" s="213"/>
      <c r="BC658" s="212"/>
      <c r="BD658" s="213"/>
      <c r="BE658" s="213"/>
      <c r="BF658" s="213"/>
      <c r="BG658" s="212"/>
      <c r="BH658" s="213"/>
      <c r="BI658" s="213"/>
      <c r="BJ658" s="213"/>
      <c r="BK658" s="213"/>
      <c r="BL658" s="212"/>
      <c r="BM658" s="213"/>
      <c r="BN658" s="213"/>
      <c r="BO658" s="213"/>
      <c r="BP658" s="213"/>
      <c r="BQ658" s="192"/>
      <c r="BR658" s="192"/>
    </row>
    <row r="659">
      <c r="A659" s="60"/>
      <c r="E659" s="215"/>
      <c r="F659" s="215"/>
      <c r="G659" s="215"/>
      <c r="L659" s="216"/>
      <c r="M659" s="216"/>
      <c r="N659" s="216"/>
      <c r="O659" s="217"/>
      <c r="P659" s="217"/>
      <c r="Q659" s="217"/>
      <c r="R659" s="217"/>
      <c r="S659" s="218"/>
      <c r="X659" s="218"/>
      <c r="AD659" s="216"/>
      <c r="AO659" s="216"/>
      <c r="AP659" s="216"/>
      <c r="AQ659" s="216"/>
      <c r="AR659" s="216"/>
      <c r="AT659" s="192"/>
      <c r="AU659" s="192"/>
      <c r="AV659" s="192"/>
      <c r="AW659" s="192"/>
      <c r="AX659" s="192"/>
      <c r="AY659" s="212"/>
      <c r="AZ659" s="213"/>
      <c r="BA659" s="213"/>
      <c r="BB659" s="213"/>
      <c r="BC659" s="212"/>
      <c r="BD659" s="213"/>
      <c r="BE659" s="213"/>
      <c r="BF659" s="213"/>
      <c r="BG659" s="212"/>
      <c r="BH659" s="213"/>
      <c r="BI659" s="213"/>
      <c r="BJ659" s="213"/>
      <c r="BK659" s="213"/>
      <c r="BL659" s="212"/>
      <c r="BM659" s="213"/>
      <c r="BN659" s="213"/>
      <c r="BO659" s="213"/>
      <c r="BP659" s="213"/>
      <c r="BQ659" s="192"/>
      <c r="BR659" s="192"/>
    </row>
    <row r="660">
      <c r="A660" s="60"/>
      <c r="E660" s="215"/>
      <c r="F660" s="215"/>
      <c r="G660" s="215"/>
      <c r="L660" s="216"/>
      <c r="M660" s="216"/>
      <c r="N660" s="216"/>
      <c r="O660" s="217"/>
      <c r="P660" s="217"/>
      <c r="Q660" s="217"/>
      <c r="R660" s="217"/>
      <c r="S660" s="218"/>
      <c r="X660" s="218"/>
      <c r="AD660" s="216"/>
      <c r="AO660" s="216"/>
      <c r="AP660" s="216"/>
      <c r="AQ660" s="216"/>
      <c r="AR660" s="216"/>
      <c r="AT660" s="192"/>
      <c r="AU660" s="192"/>
      <c r="AV660" s="192"/>
      <c r="AW660" s="192"/>
      <c r="AX660" s="192"/>
      <c r="AY660" s="212"/>
      <c r="AZ660" s="213"/>
      <c r="BA660" s="213"/>
      <c r="BB660" s="213"/>
      <c r="BC660" s="212"/>
      <c r="BD660" s="213"/>
      <c r="BE660" s="213"/>
      <c r="BF660" s="213"/>
      <c r="BG660" s="212"/>
      <c r="BH660" s="213"/>
      <c r="BI660" s="213"/>
      <c r="BJ660" s="213"/>
      <c r="BK660" s="213"/>
      <c r="BL660" s="212"/>
      <c r="BM660" s="213"/>
      <c r="BN660" s="213"/>
      <c r="BO660" s="213"/>
      <c r="BP660" s="213"/>
      <c r="BQ660" s="192"/>
      <c r="BR660" s="192"/>
    </row>
    <row r="661">
      <c r="A661" s="60"/>
      <c r="E661" s="215"/>
      <c r="F661" s="215"/>
      <c r="G661" s="215"/>
      <c r="L661" s="216"/>
      <c r="M661" s="216"/>
      <c r="N661" s="216"/>
      <c r="O661" s="217"/>
      <c r="P661" s="217"/>
      <c r="Q661" s="217"/>
      <c r="R661" s="217"/>
      <c r="S661" s="218"/>
      <c r="X661" s="218"/>
      <c r="AD661" s="216"/>
      <c r="AO661" s="216"/>
      <c r="AP661" s="216"/>
      <c r="AQ661" s="216"/>
      <c r="AR661" s="216"/>
      <c r="AT661" s="192"/>
      <c r="AU661" s="192"/>
      <c r="AV661" s="192"/>
      <c r="AW661" s="192"/>
      <c r="AX661" s="192"/>
      <c r="AY661" s="212"/>
      <c r="AZ661" s="213"/>
      <c r="BA661" s="213"/>
      <c r="BB661" s="213"/>
      <c r="BC661" s="212"/>
      <c r="BD661" s="213"/>
      <c r="BE661" s="213"/>
      <c r="BF661" s="213"/>
      <c r="BG661" s="212"/>
      <c r="BH661" s="213"/>
      <c r="BI661" s="213"/>
      <c r="BJ661" s="213"/>
      <c r="BK661" s="213"/>
      <c r="BL661" s="212"/>
      <c r="BM661" s="213"/>
      <c r="BN661" s="213"/>
      <c r="BO661" s="213"/>
      <c r="BP661" s="213"/>
      <c r="BQ661" s="192"/>
      <c r="BR661" s="192"/>
    </row>
    <row r="662">
      <c r="A662" s="60"/>
      <c r="E662" s="215"/>
      <c r="F662" s="215"/>
      <c r="G662" s="215"/>
      <c r="L662" s="216"/>
      <c r="M662" s="216"/>
      <c r="N662" s="216"/>
      <c r="O662" s="217"/>
      <c r="P662" s="217"/>
      <c r="Q662" s="217"/>
      <c r="R662" s="217"/>
      <c r="S662" s="218"/>
      <c r="X662" s="218"/>
      <c r="AD662" s="216"/>
      <c r="AO662" s="216"/>
      <c r="AP662" s="216"/>
      <c r="AQ662" s="216"/>
      <c r="AR662" s="216"/>
      <c r="AT662" s="192"/>
      <c r="AU662" s="192"/>
      <c r="AV662" s="192"/>
      <c r="AW662" s="192"/>
      <c r="AX662" s="192"/>
      <c r="AY662" s="212"/>
      <c r="AZ662" s="213"/>
      <c r="BA662" s="213"/>
      <c r="BB662" s="213"/>
      <c r="BC662" s="212"/>
      <c r="BD662" s="213"/>
      <c r="BE662" s="213"/>
      <c r="BF662" s="213"/>
      <c r="BG662" s="212"/>
      <c r="BH662" s="213"/>
      <c r="BI662" s="213"/>
      <c r="BJ662" s="213"/>
      <c r="BK662" s="213"/>
      <c r="BL662" s="212"/>
      <c r="BM662" s="213"/>
      <c r="BN662" s="213"/>
      <c r="BO662" s="213"/>
      <c r="BP662" s="213"/>
      <c r="BQ662" s="192"/>
      <c r="BR662" s="192"/>
    </row>
    <row r="663">
      <c r="A663" s="60"/>
      <c r="E663" s="215"/>
      <c r="F663" s="215"/>
      <c r="G663" s="215"/>
      <c r="L663" s="216"/>
      <c r="M663" s="216"/>
      <c r="N663" s="216"/>
      <c r="O663" s="217"/>
      <c r="P663" s="217"/>
      <c r="Q663" s="217"/>
      <c r="R663" s="217"/>
      <c r="S663" s="218"/>
      <c r="X663" s="218"/>
      <c r="AD663" s="216"/>
      <c r="AO663" s="216"/>
      <c r="AP663" s="216"/>
      <c r="AQ663" s="216"/>
      <c r="AR663" s="216"/>
      <c r="AT663" s="192"/>
      <c r="AU663" s="192"/>
      <c r="AV663" s="192"/>
      <c r="AW663" s="192"/>
      <c r="AX663" s="192"/>
      <c r="AY663" s="212"/>
      <c r="AZ663" s="213"/>
      <c r="BA663" s="213"/>
      <c r="BB663" s="213"/>
      <c r="BC663" s="212"/>
      <c r="BD663" s="213"/>
      <c r="BE663" s="213"/>
      <c r="BF663" s="213"/>
      <c r="BG663" s="212"/>
      <c r="BH663" s="213"/>
      <c r="BI663" s="213"/>
      <c r="BJ663" s="213"/>
      <c r="BK663" s="213"/>
      <c r="BL663" s="212"/>
      <c r="BM663" s="213"/>
      <c r="BN663" s="213"/>
      <c r="BO663" s="213"/>
      <c r="BP663" s="213"/>
      <c r="BQ663" s="192"/>
      <c r="BR663" s="192"/>
    </row>
    <row r="664">
      <c r="A664" s="60"/>
      <c r="E664" s="215"/>
      <c r="F664" s="215"/>
      <c r="G664" s="215"/>
      <c r="L664" s="216"/>
      <c r="M664" s="216"/>
      <c r="N664" s="216"/>
      <c r="O664" s="217"/>
      <c r="P664" s="217"/>
      <c r="Q664" s="217"/>
      <c r="R664" s="217"/>
      <c r="S664" s="218"/>
      <c r="X664" s="218"/>
      <c r="AD664" s="216"/>
      <c r="AO664" s="216"/>
      <c r="AP664" s="216"/>
      <c r="AQ664" s="216"/>
      <c r="AR664" s="216"/>
      <c r="AT664" s="192"/>
      <c r="AU664" s="192"/>
      <c r="AV664" s="192"/>
      <c r="AW664" s="192"/>
      <c r="AX664" s="192"/>
      <c r="AY664" s="212"/>
      <c r="AZ664" s="213"/>
      <c r="BA664" s="213"/>
      <c r="BB664" s="213"/>
      <c r="BC664" s="212"/>
      <c r="BD664" s="213"/>
      <c r="BE664" s="213"/>
      <c r="BF664" s="213"/>
      <c r="BG664" s="212"/>
      <c r="BH664" s="213"/>
      <c r="BI664" s="213"/>
      <c r="BJ664" s="213"/>
      <c r="BK664" s="213"/>
      <c r="BL664" s="212"/>
      <c r="BM664" s="213"/>
      <c r="BN664" s="213"/>
      <c r="BO664" s="213"/>
      <c r="BP664" s="213"/>
      <c r="BQ664" s="192"/>
      <c r="BR664" s="192"/>
    </row>
    <row r="665">
      <c r="A665" s="60"/>
      <c r="E665" s="215"/>
      <c r="F665" s="215"/>
      <c r="G665" s="215"/>
      <c r="L665" s="216"/>
      <c r="M665" s="216"/>
      <c r="N665" s="216"/>
      <c r="O665" s="217"/>
      <c r="P665" s="217"/>
      <c r="Q665" s="217"/>
      <c r="R665" s="217"/>
      <c r="S665" s="218"/>
      <c r="X665" s="218"/>
      <c r="AD665" s="216"/>
      <c r="AO665" s="216"/>
      <c r="AP665" s="216"/>
      <c r="AQ665" s="216"/>
      <c r="AR665" s="216"/>
      <c r="AT665" s="192"/>
      <c r="AU665" s="192"/>
      <c r="AV665" s="192"/>
      <c r="AW665" s="192"/>
      <c r="AX665" s="192"/>
      <c r="AY665" s="212"/>
      <c r="AZ665" s="213"/>
      <c r="BA665" s="213"/>
      <c r="BB665" s="213"/>
      <c r="BC665" s="212"/>
      <c r="BD665" s="213"/>
      <c r="BE665" s="213"/>
      <c r="BF665" s="213"/>
      <c r="BG665" s="212"/>
      <c r="BH665" s="213"/>
      <c r="BI665" s="213"/>
      <c r="BJ665" s="213"/>
      <c r="BK665" s="213"/>
      <c r="BL665" s="212"/>
      <c r="BM665" s="213"/>
      <c r="BN665" s="213"/>
      <c r="BO665" s="213"/>
      <c r="BP665" s="213"/>
      <c r="BQ665" s="192"/>
      <c r="BR665" s="192"/>
    </row>
    <row r="666">
      <c r="A666" s="60"/>
      <c r="E666" s="215"/>
      <c r="F666" s="215"/>
      <c r="G666" s="215"/>
      <c r="L666" s="216"/>
      <c r="M666" s="216"/>
      <c r="N666" s="216"/>
      <c r="O666" s="217"/>
      <c r="P666" s="217"/>
      <c r="Q666" s="217"/>
      <c r="R666" s="217"/>
      <c r="S666" s="218"/>
      <c r="X666" s="218"/>
      <c r="AD666" s="216"/>
      <c r="AO666" s="216"/>
      <c r="AP666" s="216"/>
      <c r="AQ666" s="216"/>
      <c r="AR666" s="216"/>
      <c r="AT666" s="192"/>
      <c r="AU666" s="192"/>
      <c r="AV666" s="192"/>
      <c r="AW666" s="192"/>
      <c r="AX666" s="192"/>
      <c r="AY666" s="212"/>
      <c r="AZ666" s="213"/>
      <c r="BA666" s="213"/>
      <c r="BB666" s="213"/>
      <c r="BC666" s="212"/>
      <c r="BD666" s="213"/>
      <c r="BE666" s="213"/>
      <c r="BF666" s="213"/>
      <c r="BG666" s="212"/>
      <c r="BH666" s="213"/>
      <c r="BI666" s="213"/>
      <c r="BJ666" s="213"/>
      <c r="BK666" s="213"/>
      <c r="BL666" s="212"/>
      <c r="BM666" s="213"/>
      <c r="BN666" s="213"/>
      <c r="BO666" s="213"/>
      <c r="BP666" s="213"/>
      <c r="BQ666" s="192"/>
      <c r="BR666" s="192"/>
    </row>
    <row r="667">
      <c r="A667" s="60"/>
      <c r="E667" s="215"/>
      <c r="F667" s="215"/>
      <c r="G667" s="215"/>
      <c r="L667" s="216"/>
      <c r="M667" s="216"/>
      <c r="N667" s="216"/>
      <c r="O667" s="217"/>
      <c r="P667" s="217"/>
      <c r="Q667" s="217"/>
      <c r="R667" s="217"/>
      <c r="S667" s="218"/>
      <c r="X667" s="218"/>
      <c r="AD667" s="216"/>
      <c r="AO667" s="216"/>
      <c r="AP667" s="216"/>
      <c r="AQ667" s="216"/>
      <c r="AR667" s="216"/>
      <c r="AT667" s="192"/>
      <c r="AU667" s="192"/>
      <c r="AV667" s="192"/>
      <c r="AW667" s="192"/>
      <c r="AX667" s="192"/>
      <c r="AY667" s="212"/>
      <c r="AZ667" s="213"/>
      <c r="BA667" s="213"/>
      <c r="BB667" s="213"/>
      <c r="BC667" s="212"/>
      <c r="BD667" s="213"/>
      <c r="BE667" s="213"/>
      <c r="BF667" s="213"/>
      <c r="BG667" s="212"/>
      <c r="BH667" s="213"/>
      <c r="BI667" s="213"/>
      <c r="BJ667" s="213"/>
      <c r="BK667" s="213"/>
      <c r="BL667" s="212"/>
      <c r="BM667" s="213"/>
      <c r="BN667" s="213"/>
      <c r="BO667" s="213"/>
      <c r="BP667" s="213"/>
      <c r="BQ667" s="192"/>
      <c r="BR667" s="192"/>
    </row>
    <row r="668">
      <c r="A668" s="60"/>
      <c r="E668" s="215"/>
      <c r="F668" s="215"/>
      <c r="G668" s="215"/>
      <c r="L668" s="216"/>
      <c r="M668" s="216"/>
      <c r="N668" s="216"/>
      <c r="O668" s="217"/>
      <c r="P668" s="217"/>
      <c r="Q668" s="217"/>
      <c r="R668" s="217"/>
      <c r="S668" s="218"/>
      <c r="X668" s="218"/>
      <c r="AD668" s="216"/>
      <c r="AO668" s="216"/>
      <c r="AP668" s="216"/>
      <c r="AQ668" s="216"/>
      <c r="AR668" s="216"/>
      <c r="AT668" s="192"/>
      <c r="AU668" s="192"/>
      <c r="AV668" s="192"/>
      <c r="AW668" s="192"/>
      <c r="AX668" s="192"/>
      <c r="AY668" s="212"/>
      <c r="AZ668" s="213"/>
      <c r="BA668" s="213"/>
      <c r="BB668" s="213"/>
      <c r="BC668" s="212"/>
      <c r="BD668" s="213"/>
      <c r="BE668" s="213"/>
      <c r="BF668" s="213"/>
      <c r="BG668" s="212"/>
      <c r="BH668" s="213"/>
      <c r="BI668" s="213"/>
      <c r="BJ668" s="213"/>
      <c r="BK668" s="213"/>
      <c r="BL668" s="212"/>
      <c r="BM668" s="213"/>
      <c r="BN668" s="213"/>
      <c r="BO668" s="213"/>
      <c r="BP668" s="213"/>
      <c r="BQ668" s="192"/>
      <c r="BR668" s="192"/>
    </row>
    <row r="669">
      <c r="A669" s="60"/>
      <c r="E669" s="215"/>
      <c r="F669" s="215"/>
      <c r="G669" s="215"/>
      <c r="L669" s="216"/>
      <c r="M669" s="216"/>
      <c r="N669" s="216"/>
      <c r="O669" s="217"/>
      <c r="P669" s="217"/>
      <c r="Q669" s="217"/>
      <c r="R669" s="217"/>
      <c r="S669" s="218"/>
      <c r="X669" s="218"/>
      <c r="AD669" s="216"/>
      <c r="AO669" s="216"/>
      <c r="AP669" s="216"/>
      <c r="AQ669" s="216"/>
      <c r="AR669" s="216"/>
      <c r="AT669" s="192"/>
      <c r="AU669" s="192"/>
      <c r="AV669" s="192"/>
      <c r="AW669" s="192"/>
      <c r="AX669" s="192"/>
      <c r="AY669" s="212"/>
      <c r="AZ669" s="213"/>
      <c r="BA669" s="213"/>
      <c r="BB669" s="213"/>
      <c r="BC669" s="212"/>
      <c r="BD669" s="213"/>
      <c r="BE669" s="213"/>
      <c r="BF669" s="213"/>
      <c r="BG669" s="212"/>
      <c r="BH669" s="213"/>
      <c r="BI669" s="213"/>
      <c r="BJ669" s="213"/>
      <c r="BK669" s="213"/>
      <c r="BL669" s="212"/>
      <c r="BM669" s="213"/>
      <c r="BN669" s="213"/>
      <c r="BO669" s="213"/>
      <c r="BP669" s="213"/>
      <c r="BQ669" s="192"/>
      <c r="BR669" s="192"/>
    </row>
    <row r="670">
      <c r="A670" s="60"/>
      <c r="E670" s="215"/>
      <c r="F670" s="215"/>
      <c r="G670" s="215"/>
      <c r="L670" s="216"/>
      <c r="M670" s="216"/>
      <c r="N670" s="216"/>
      <c r="O670" s="217"/>
      <c r="P670" s="217"/>
      <c r="Q670" s="217"/>
      <c r="R670" s="217"/>
      <c r="S670" s="218"/>
      <c r="X670" s="218"/>
      <c r="AD670" s="216"/>
      <c r="AO670" s="216"/>
      <c r="AP670" s="216"/>
      <c r="AQ670" s="216"/>
      <c r="AR670" s="216"/>
      <c r="AT670" s="192"/>
      <c r="AU670" s="192"/>
      <c r="AV670" s="192"/>
      <c r="AW670" s="192"/>
      <c r="AX670" s="192"/>
      <c r="AY670" s="212"/>
      <c r="AZ670" s="213"/>
      <c r="BA670" s="213"/>
      <c r="BB670" s="213"/>
      <c r="BC670" s="212"/>
      <c r="BD670" s="213"/>
      <c r="BE670" s="213"/>
      <c r="BF670" s="213"/>
      <c r="BG670" s="212"/>
      <c r="BH670" s="213"/>
      <c r="BI670" s="213"/>
      <c r="BJ670" s="213"/>
      <c r="BK670" s="213"/>
      <c r="BL670" s="212"/>
      <c r="BM670" s="213"/>
      <c r="BN670" s="213"/>
      <c r="BO670" s="213"/>
      <c r="BP670" s="213"/>
      <c r="BQ670" s="192"/>
      <c r="BR670" s="192"/>
    </row>
    <row r="671">
      <c r="A671" s="60"/>
      <c r="E671" s="215"/>
      <c r="F671" s="215"/>
      <c r="G671" s="215"/>
      <c r="L671" s="216"/>
      <c r="M671" s="216"/>
      <c r="N671" s="216"/>
      <c r="O671" s="217"/>
      <c r="P671" s="217"/>
      <c r="Q671" s="217"/>
      <c r="R671" s="217"/>
      <c r="S671" s="218"/>
      <c r="X671" s="218"/>
      <c r="AD671" s="216"/>
      <c r="AO671" s="216"/>
      <c r="AP671" s="216"/>
      <c r="AQ671" s="216"/>
      <c r="AR671" s="216"/>
      <c r="AT671" s="192"/>
      <c r="AU671" s="192"/>
      <c r="AV671" s="192"/>
      <c r="AW671" s="192"/>
      <c r="AX671" s="192"/>
      <c r="AY671" s="212"/>
      <c r="AZ671" s="213"/>
      <c r="BA671" s="213"/>
      <c r="BB671" s="213"/>
      <c r="BC671" s="212"/>
      <c r="BD671" s="213"/>
      <c r="BE671" s="213"/>
      <c r="BF671" s="213"/>
      <c r="BG671" s="212"/>
      <c r="BH671" s="213"/>
      <c r="BI671" s="213"/>
      <c r="BJ671" s="213"/>
      <c r="BK671" s="213"/>
      <c r="BL671" s="212"/>
      <c r="BM671" s="213"/>
      <c r="BN671" s="213"/>
      <c r="BO671" s="213"/>
      <c r="BP671" s="213"/>
      <c r="BQ671" s="192"/>
      <c r="BR671" s="192"/>
    </row>
    <row r="672">
      <c r="A672" s="60"/>
      <c r="E672" s="215"/>
      <c r="F672" s="215"/>
      <c r="G672" s="215"/>
      <c r="L672" s="216"/>
      <c r="M672" s="216"/>
      <c r="N672" s="216"/>
      <c r="O672" s="217"/>
      <c r="P672" s="217"/>
      <c r="Q672" s="217"/>
      <c r="R672" s="217"/>
      <c r="S672" s="218"/>
      <c r="X672" s="218"/>
      <c r="AD672" s="216"/>
      <c r="AO672" s="216"/>
      <c r="AP672" s="216"/>
      <c r="AQ672" s="216"/>
      <c r="AR672" s="216"/>
      <c r="AT672" s="192"/>
      <c r="AU672" s="192"/>
      <c r="AV672" s="192"/>
      <c r="AW672" s="192"/>
      <c r="AX672" s="192"/>
      <c r="AY672" s="212"/>
      <c r="AZ672" s="213"/>
      <c r="BA672" s="213"/>
      <c r="BB672" s="213"/>
      <c r="BC672" s="212"/>
      <c r="BD672" s="213"/>
      <c r="BE672" s="213"/>
      <c r="BF672" s="213"/>
      <c r="BG672" s="212"/>
      <c r="BH672" s="213"/>
      <c r="BI672" s="213"/>
      <c r="BJ672" s="213"/>
      <c r="BK672" s="213"/>
      <c r="BL672" s="212"/>
      <c r="BM672" s="213"/>
      <c r="BN672" s="213"/>
      <c r="BO672" s="213"/>
      <c r="BP672" s="213"/>
      <c r="BQ672" s="192"/>
      <c r="BR672" s="192"/>
    </row>
    <row r="673">
      <c r="A673" s="60"/>
      <c r="E673" s="215"/>
      <c r="F673" s="215"/>
      <c r="G673" s="215"/>
      <c r="L673" s="216"/>
      <c r="M673" s="216"/>
      <c r="N673" s="216"/>
      <c r="O673" s="217"/>
      <c r="P673" s="217"/>
      <c r="Q673" s="217"/>
      <c r="R673" s="217"/>
      <c r="S673" s="218"/>
      <c r="X673" s="218"/>
      <c r="AD673" s="216"/>
      <c r="AO673" s="216"/>
      <c r="AP673" s="216"/>
      <c r="AQ673" s="216"/>
      <c r="AR673" s="216"/>
      <c r="AT673" s="192"/>
      <c r="AU673" s="192"/>
      <c r="AV673" s="192"/>
      <c r="AW673" s="192"/>
      <c r="AX673" s="192"/>
      <c r="AY673" s="212"/>
      <c r="AZ673" s="213"/>
      <c r="BA673" s="213"/>
      <c r="BB673" s="213"/>
      <c r="BC673" s="212"/>
      <c r="BD673" s="213"/>
      <c r="BE673" s="213"/>
      <c r="BF673" s="213"/>
      <c r="BG673" s="212"/>
      <c r="BH673" s="213"/>
      <c r="BI673" s="213"/>
      <c r="BJ673" s="213"/>
      <c r="BK673" s="213"/>
      <c r="BL673" s="212"/>
      <c r="BM673" s="213"/>
      <c r="BN673" s="213"/>
      <c r="BO673" s="213"/>
      <c r="BP673" s="213"/>
      <c r="BQ673" s="192"/>
      <c r="BR673" s="192"/>
    </row>
    <row r="674">
      <c r="A674" s="60"/>
      <c r="E674" s="215"/>
      <c r="F674" s="215"/>
      <c r="G674" s="215"/>
      <c r="L674" s="216"/>
      <c r="M674" s="216"/>
      <c r="N674" s="216"/>
      <c r="O674" s="217"/>
      <c r="P674" s="217"/>
      <c r="Q674" s="217"/>
      <c r="R674" s="217"/>
      <c r="S674" s="218"/>
      <c r="X674" s="218"/>
      <c r="AD674" s="216"/>
      <c r="AO674" s="216"/>
      <c r="AP674" s="216"/>
      <c r="AQ674" s="216"/>
      <c r="AR674" s="216"/>
      <c r="AT674" s="192"/>
      <c r="AU674" s="192"/>
      <c r="AV674" s="192"/>
      <c r="AW674" s="192"/>
      <c r="AX674" s="192"/>
      <c r="AY674" s="212"/>
      <c r="AZ674" s="213"/>
      <c r="BA674" s="213"/>
      <c r="BB674" s="213"/>
      <c r="BC674" s="212"/>
      <c r="BD674" s="213"/>
      <c r="BE674" s="213"/>
      <c r="BF674" s="213"/>
      <c r="BG674" s="212"/>
      <c r="BH674" s="213"/>
      <c r="BI674" s="213"/>
      <c r="BJ674" s="213"/>
      <c r="BK674" s="213"/>
      <c r="BL674" s="212"/>
      <c r="BM674" s="213"/>
      <c r="BN674" s="213"/>
      <c r="BO674" s="213"/>
      <c r="BP674" s="213"/>
      <c r="BQ674" s="192"/>
      <c r="BR674" s="192"/>
    </row>
    <row r="675">
      <c r="A675" s="60"/>
      <c r="E675" s="215"/>
      <c r="F675" s="215"/>
      <c r="G675" s="215"/>
      <c r="L675" s="216"/>
      <c r="M675" s="216"/>
      <c r="N675" s="216"/>
      <c r="O675" s="217"/>
      <c r="P675" s="217"/>
      <c r="Q675" s="217"/>
      <c r="R675" s="217"/>
      <c r="S675" s="218"/>
      <c r="X675" s="218"/>
      <c r="AD675" s="216"/>
      <c r="AO675" s="216"/>
      <c r="AP675" s="216"/>
      <c r="AQ675" s="216"/>
      <c r="AR675" s="216"/>
      <c r="AT675" s="192"/>
      <c r="AU675" s="192"/>
      <c r="AV675" s="192"/>
      <c r="AW675" s="192"/>
      <c r="AX675" s="192"/>
      <c r="AY675" s="212"/>
      <c r="AZ675" s="213"/>
      <c r="BA675" s="213"/>
      <c r="BB675" s="213"/>
      <c r="BC675" s="212"/>
      <c r="BD675" s="213"/>
      <c r="BE675" s="213"/>
      <c r="BF675" s="213"/>
      <c r="BG675" s="212"/>
      <c r="BH675" s="213"/>
      <c r="BI675" s="213"/>
      <c r="BJ675" s="213"/>
      <c r="BK675" s="213"/>
      <c r="BL675" s="212"/>
      <c r="BM675" s="213"/>
      <c r="BN675" s="213"/>
      <c r="BO675" s="213"/>
      <c r="BP675" s="213"/>
      <c r="BQ675" s="192"/>
      <c r="BR675" s="192"/>
    </row>
    <row r="676">
      <c r="A676" s="60"/>
      <c r="E676" s="215"/>
      <c r="F676" s="215"/>
      <c r="G676" s="215"/>
      <c r="L676" s="216"/>
      <c r="M676" s="216"/>
      <c r="N676" s="216"/>
      <c r="O676" s="217"/>
      <c r="P676" s="217"/>
      <c r="Q676" s="217"/>
      <c r="R676" s="217"/>
      <c r="S676" s="218"/>
      <c r="X676" s="218"/>
      <c r="AD676" s="216"/>
      <c r="AO676" s="216"/>
      <c r="AP676" s="216"/>
      <c r="AQ676" s="216"/>
      <c r="AR676" s="216"/>
      <c r="AT676" s="192"/>
      <c r="AU676" s="192"/>
      <c r="AV676" s="192"/>
      <c r="AW676" s="192"/>
      <c r="AX676" s="192"/>
      <c r="AY676" s="212"/>
      <c r="AZ676" s="213"/>
      <c r="BA676" s="213"/>
      <c r="BB676" s="213"/>
      <c r="BC676" s="212"/>
      <c r="BD676" s="213"/>
      <c r="BE676" s="213"/>
      <c r="BF676" s="213"/>
      <c r="BG676" s="212"/>
      <c r="BH676" s="213"/>
      <c r="BI676" s="213"/>
      <c r="BJ676" s="213"/>
      <c r="BK676" s="213"/>
      <c r="BL676" s="212"/>
      <c r="BM676" s="213"/>
      <c r="BN676" s="213"/>
      <c r="BO676" s="213"/>
      <c r="BP676" s="213"/>
      <c r="BQ676" s="192"/>
      <c r="BR676" s="192"/>
    </row>
    <row r="677">
      <c r="A677" s="60"/>
      <c r="E677" s="215"/>
      <c r="F677" s="215"/>
      <c r="G677" s="215"/>
      <c r="L677" s="216"/>
      <c r="M677" s="216"/>
      <c r="N677" s="216"/>
      <c r="O677" s="217"/>
      <c r="P677" s="217"/>
      <c r="Q677" s="217"/>
      <c r="R677" s="217"/>
      <c r="S677" s="218"/>
      <c r="X677" s="218"/>
      <c r="AD677" s="216"/>
      <c r="AO677" s="216"/>
      <c r="AP677" s="216"/>
      <c r="AQ677" s="216"/>
      <c r="AR677" s="216"/>
      <c r="AT677" s="192"/>
      <c r="AU677" s="192"/>
      <c r="AV677" s="192"/>
      <c r="AW677" s="192"/>
      <c r="AX677" s="192"/>
      <c r="AY677" s="212"/>
      <c r="AZ677" s="213"/>
      <c r="BA677" s="213"/>
      <c r="BB677" s="213"/>
      <c r="BC677" s="212"/>
      <c r="BD677" s="213"/>
      <c r="BE677" s="213"/>
      <c r="BF677" s="213"/>
      <c r="BG677" s="212"/>
      <c r="BH677" s="213"/>
      <c r="BI677" s="213"/>
      <c r="BJ677" s="213"/>
      <c r="BK677" s="213"/>
      <c r="BL677" s="212"/>
      <c r="BM677" s="213"/>
      <c r="BN677" s="213"/>
      <c r="BO677" s="213"/>
      <c r="BP677" s="213"/>
      <c r="BQ677" s="192"/>
      <c r="BR677" s="192"/>
    </row>
    <row r="678">
      <c r="A678" s="60"/>
      <c r="E678" s="215"/>
      <c r="F678" s="215"/>
      <c r="G678" s="215"/>
      <c r="L678" s="216"/>
      <c r="M678" s="216"/>
      <c r="N678" s="216"/>
      <c r="O678" s="217"/>
      <c r="P678" s="217"/>
      <c r="Q678" s="217"/>
      <c r="R678" s="217"/>
      <c r="S678" s="218"/>
      <c r="X678" s="218"/>
      <c r="AD678" s="216"/>
      <c r="AO678" s="216"/>
      <c r="AP678" s="216"/>
      <c r="AQ678" s="216"/>
      <c r="AR678" s="216"/>
      <c r="AT678" s="192"/>
      <c r="AU678" s="192"/>
      <c r="AV678" s="192"/>
      <c r="AW678" s="192"/>
      <c r="AX678" s="192"/>
      <c r="AY678" s="212"/>
      <c r="AZ678" s="213"/>
      <c r="BA678" s="213"/>
      <c r="BB678" s="213"/>
      <c r="BC678" s="212"/>
      <c r="BD678" s="213"/>
      <c r="BE678" s="213"/>
      <c r="BF678" s="213"/>
      <c r="BG678" s="212"/>
      <c r="BH678" s="213"/>
      <c r="BI678" s="213"/>
      <c r="BJ678" s="213"/>
      <c r="BK678" s="213"/>
      <c r="BL678" s="212"/>
      <c r="BM678" s="213"/>
      <c r="BN678" s="213"/>
      <c r="BO678" s="213"/>
      <c r="BP678" s="213"/>
      <c r="BQ678" s="192"/>
      <c r="BR678" s="192"/>
    </row>
    <row r="679">
      <c r="A679" s="60"/>
      <c r="E679" s="215"/>
      <c r="F679" s="215"/>
      <c r="G679" s="215"/>
      <c r="L679" s="216"/>
      <c r="M679" s="216"/>
      <c r="N679" s="216"/>
      <c r="O679" s="217"/>
      <c r="P679" s="217"/>
      <c r="Q679" s="217"/>
      <c r="R679" s="217"/>
      <c r="S679" s="218"/>
      <c r="X679" s="218"/>
      <c r="AD679" s="216"/>
      <c r="AO679" s="216"/>
      <c r="AP679" s="216"/>
      <c r="AQ679" s="216"/>
      <c r="AR679" s="216"/>
      <c r="AT679" s="192"/>
      <c r="AU679" s="192"/>
      <c r="AV679" s="192"/>
      <c r="AW679" s="192"/>
      <c r="AX679" s="192"/>
      <c r="AY679" s="212"/>
      <c r="AZ679" s="213"/>
      <c r="BA679" s="213"/>
      <c r="BB679" s="213"/>
      <c r="BC679" s="212"/>
      <c r="BD679" s="213"/>
      <c r="BE679" s="213"/>
      <c r="BF679" s="213"/>
      <c r="BG679" s="212"/>
      <c r="BH679" s="213"/>
      <c r="BI679" s="213"/>
      <c r="BJ679" s="213"/>
      <c r="BK679" s="213"/>
      <c r="BL679" s="212"/>
      <c r="BM679" s="213"/>
      <c r="BN679" s="213"/>
      <c r="BO679" s="213"/>
      <c r="BP679" s="213"/>
      <c r="BQ679" s="192"/>
      <c r="BR679" s="192"/>
    </row>
    <row r="680">
      <c r="A680" s="60"/>
      <c r="E680" s="215"/>
      <c r="F680" s="215"/>
      <c r="G680" s="215"/>
      <c r="L680" s="216"/>
      <c r="M680" s="216"/>
      <c r="N680" s="216"/>
      <c r="O680" s="217"/>
      <c r="P680" s="217"/>
      <c r="Q680" s="217"/>
      <c r="R680" s="217"/>
      <c r="S680" s="218"/>
      <c r="X680" s="218"/>
      <c r="AD680" s="216"/>
      <c r="AO680" s="216"/>
      <c r="AP680" s="216"/>
      <c r="AQ680" s="216"/>
      <c r="AR680" s="216"/>
      <c r="AT680" s="192"/>
      <c r="AU680" s="192"/>
      <c r="AV680" s="192"/>
      <c r="AW680" s="192"/>
      <c r="AX680" s="192"/>
      <c r="AY680" s="212"/>
      <c r="AZ680" s="213"/>
      <c r="BA680" s="213"/>
      <c r="BB680" s="213"/>
      <c r="BC680" s="212"/>
      <c r="BD680" s="213"/>
      <c r="BE680" s="213"/>
      <c r="BF680" s="213"/>
      <c r="BG680" s="212"/>
      <c r="BH680" s="213"/>
      <c r="BI680" s="213"/>
      <c r="BJ680" s="213"/>
      <c r="BK680" s="213"/>
      <c r="BL680" s="212"/>
      <c r="BM680" s="213"/>
      <c r="BN680" s="213"/>
      <c r="BO680" s="213"/>
      <c r="BP680" s="213"/>
      <c r="BQ680" s="192"/>
      <c r="BR680" s="192"/>
    </row>
    <row r="681">
      <c r="A681" s="60"/>
      <c r="E681" s="215"/>
      <c r="F681" s="215"/>
      <c r="G681" s="215"/>
      <c r="L681" s="216"/>
      <c r="M681" s="216"/>
      <c r="N681" s="216"/>
      <c r="O681" s="217"/>
      <c r="P681" s="217"/>
      <c r="Q681" s="217"/>
      <c r="R681" s="217"/>
      <c r="S681" s="218"/>
      <c r="X681" s="218"/>
      <c r="AD681" s="216"/>
      <c r="AO681" s="216"/>
      <c r="AP681" s="216"/>
      <c r="AQ681" s="216"/>
      <c r="AR681" s="216"/>
      <c r="AT681" s="192"/>
      <c r="AU681" s="192"/>
      <c r="AV681" s="192"/>
      <c r="AW681" s="192"/>
      <c r="AX681" s="192"/>
      <c r="AY681" s="212"/>
      <c r="AZ681" s="213"/>
      <c r="BA681" s="213"/>
      <c r="BB681" s="213"/>
      <c r="BC681" s="212"/>
      <c r="BD681" s="213"/>
      <c r="BE681" s="213"/>
      <c r="BF681" s="213"/>
      <c r="BG681" s="212"/>
      <c r="BH681" s="213"/>
      <c r="BI681" s="213"/>
      <c r="BJ681" s="213"/>
      <c r="BK681" s="213"/>
      <c r="BL681" s="212"/>
      <c r="BM681" s="213"/>
      <c r="BN681" s="213"/>
      <c r="BO681" s="213"/>
      <c r="BP681" s="213"/>
      <c r="BQ681" s="192"/>
      <c r="BR681" s="192"/>
    </row>
    <row r="682">
      <c r="A682" s="60"/>
      <c r="E682" s="215"/>
      <c r="F682" s="215"/>
      <c r="G682" s="215"/>
      <c r="L682" s="216"/>
      <c r="M682" s="216"/>
      <c r="N682" s="216"/>
      <c r="O682" s="217"/>
      <c r="P682" s="217"/>
      <c r="Q682" s="217"/>
      <c r="R682" s="217"/>
      <c r="S682" s="218"/>
      <c r="X682" s="218"/>
      <c r="AD682" s="216"/>
      <c r="AO682" s="216"/>
      <c r="AP682" s="216"/>
      <c r="AQ682" s="216"/>
      <c r="AR682" s="216"/>
      <c r="AT682" s="192"/>
      <c r="AU682" s="192"/>
      <c r="AV682" s="192"/>
      <c r="AW682" s="192"/>
      <c r="AX682" s="192"/>
      <c r="AY682" s="212"/>
      <c r="AZ682" s="213"/>
      <c r="BA682" s="213"/>
      <c r="BB682" s="213"/>
      <c r="BC682" s="212"/>
      <c r="BD682" s="213"/>
      <c r="BE682" s="213"/>
      <c r="BF682" s="213"/>
      <c r="BG682" s="212"/>
      <c r="BH682" s="213"/>
      <c r="BI682" s="213"/>
      <c r="BJ682" s="213"/>
      <c r="BK682" s="213"/>
      <c r="BL682" s="212"/>
      <c r="BM682" s="213"/>
      <c r="BN682" s="213"/>
      <c r="BO682" s="213"/>
      <c r="BP682" s="213"/>
      <c r="BQ682" s="192"/>
      <c r="BR682" s="192"/>
    </row>
    <row r="683">
      <c r="A683" s="60"/>
      <c r="E683" s="215"/>
      <c r="F683" s="215"/>
      <c r="G683" s="215"/>
      <c r="L683" s="216"/>
      <c r="M683" s="216"/>
      <c r="N683" s="216"/>
      <c r="O683" s="217"/>
      <c r="P683" s="217"/>
      <c r="Q683" s="217"/>
      <c r="R683" s="217"/>
      <c r="S683" s="218"/>
      <c r="X683" s="218"/>
      <c r="AD683" s="216"/>
      <c r="AO683" s="216"/>
      <c r="AP683" s="216"/>
      <c r="AQ683" s="216"/>
      <c r="AR683" s="216"/>
      <c r="AT683" s="192"/>
      <c r="AU683" s="192"/>
      <c r="AV683" s="192"/>
      <c r="AW683" s="192"/>
      <c r="AX683" s="192"/>
      <c r="AY683" s="212"/>
      <c r="AZ683" s="213"/>
      <c r="BA683" s="213"/>
      <c r="BB683" s="213"/>
      <c r="BC683" s="212"/>
      <c r="BD683" s="213"/>
      <c r="BE683" s="213"/>
      <c r="BF683" s="213"/>
      <c r="BG683" s="212"/>
      <c r="BH683" s="213"/>
      <c r="BI683" s="213"/>
      <c r="BJ683" s="213"/>
      <c r="BK683" s="213"/>
      <c r="BL683" s="212"/>
      <c r="BM683" s="213"/>
      <c r="BN683" s="213"/>
      <c r="BO683" s="213"/>
      <c r="BP683" s="213"/>
      <c r="BQ683" s="192"/>
      <c r="BR683" s="192"/>
    </row>
    <row r="684">
      <c r="A684" s="60"/>
      <c r="E684" s="215"/>
      <c r="F684" s="215"/>
      <c r="G684" s="215"/>
      <c r="L684" s="216"/>
      <c r="M684" s="216"/>
      <c r="N684" s="216"/>
      <c r="O684" s="217"/>
      <c r="P684" s="217"/>
      <c r="Q684" s="217"/>
      <c r="R684" s="217"/>
      <c r="S684" s="218"/>
      <c r="X684" s="218"/>
      <c r="AD684" s="216"/>
      <c r="AO684" s="216"/>
      <c r="AP684" s="216"/>
      <c r="AQ684" s="216"/>
      <c r="AR684" s="216"/>
      <c r="AT684" s="192"/>
      <c r="AU684" s="192"/>
      <c r="AV684" s="192"/>
      <c r="AW684" s="192"/>
      <c r="AX684" s="192"/>
      <c r="AY684" s="212"/>
      <c r="AZ684" s="213"/>
      <c r="BA684" s="213"/>
      <c r="BB684" s="213"/>
      <c r="BC684" s="212"/>
      <c r="BD684" s="213"/>
      <c r="BE684" s="213"/>
      <c r="BF684" s="213"/>
      <c r="BG684" s="212"/>
      <c r="BH684" s="213"/>
      <c r="BI684" s="213"/>
      <c r="BJ684" s="213"/>
      <c r="BK684" s="213"/>
      <c r="BL684" s="212"/>
      <c r="BM684" s="213"/>
      <c r="BN684" s="213"/>
      <c r="BO684" s="213"/>
      <c r="BP684" s="213"/>
      <c r="BQ684" s="192"/>
      <c r="BR684" s="192"/>
    </row>
    <row r="685">
      <c r="A685" s="60"/>
      <c r="E685" s="215"/>
      <c r="F685" s="215"/>
      <c r="G685" s="215"/>
      <c r="L685" s="216"/>
      <c r="M685" s="216"/>
      <c r="N685" s="216"/>
      <c r="O685" s="217"/>
      <c r="P685" s="217"/>
      <c r="Q685" s="217"/>
      <c r="R685" s="217"/>
      <c r="S685" s="218"/>
      <c r="X685" s="218"/>
      <c r="AD685" s="216"/>
      <c r="AO685" s="216"/>
      <c r="AP685" s="216"/>
      <c r="AQ685" s="216"/>
      <c r="AR685" s="216"/>
      <c r="AT685" s="192"/>
      <c r="AU685" s="192"/>
      <c r="AV685" s="192"/>
      <c r="AW685" s="192"/>
      <c r="AX685" s="192"/>
      <c r="AY685" s="212"/>
      <c r="AZ685" s="213"/>
      <c r="BA685" s="213"/>
      <c r="BB685" s="213"/>
      <c r="BC685" s="212"/>
      <c r="BD685" s="213"/>
      <c r="BE685" s="213"/>
      <c r="BF685" s="213"/>
      <c r="BG685" s="212"/>
      <c r="BH685" s="213"/>
      <c r="BI685" s="213"/>
      <c r="BJ685" s="213"/>
      <c r="BK685" s="213"/>
      <c r="BL685" s="212"/>
      <c r="BM685" s="213"/>
      <c r="BN685" s="213"/>
      <c r="BO685" s="213"/>
      <c r="BP685" s="213"/>
      <c r="BQ685" s="192"/>
      <c r="BR685" s="192"/>
    </row>
    <row r="686">
      <c r="A686" s="60"/>
      <c r="E686" s="215"/>
      <c r="F686" s="215"/>
      <c r="G686" s="215"/>
      <c r="L686" s="216"/>
      <c r="M686" s="216"/>
      <c r="N686" s="216"/>
      <c r="O686" s="217"/>
      <c r="P686" s="217"/>
      <c r="Q686" s="217"/>
      <c r="R686" s="217"/>
      <c r="S686" s="218"/>
      <c r="X686" s="218"/>
      <c r="AD686" s="216"/>
      <c r="AO686" s="216"/>
      <c r="AP686" s="216"/>
      <c r="AQ686" s="216"/>
      <c r="AR686" s="216"/>
      <c r="AT686" s="192"/>
      <c r="AU686" s="192"/>
      <c r="AV686" s="192"/>
      <c r="AW686" s="192"/>
      <c r="AX686" s="192"/>
      <c r="AY686" s="212"/>
      <c r="AZ686" s="213"/>
      <c r="BA686" s="213"/>
      <c r="BB686" s="213"/>
      <c r="BC686" s="212"/>
      <c r="BD686" s="213"/>
      <c r="BE686" s="213"/>
      <c r="BF686" s="213"/>
      <c r="BG686" s="212"/>
      <c r="BH686" s="213"/>
      <c r="BI686" s="213"/>
      <c r="BJ686" s="213"/>
      <c r="BK686" s="213"/>
      <c r="BL686" s="212"/>
      <c r="BM686" s="213"/>
      <c r="BN686" s="213"/>
      <c r="BO686" s="213"/>
      <c r="BP686" s="213"/>
      <c r="BQ686" s="192"/>
      <c r="BR686" s="192"/>
    </row>
    <row r="687">
      <c r="A687" s="60"/>
      <c r="E687" s="215"/>
      <c r="F687" s="215"/>
      <c r="G687" s="215"/>
      <c r="L687" s="216"/>
      <c r="M687" s="216"/>
      <c r="N687" s="216"/>
      <c r="O687" s="217"/>
      <c r="P687" s="217"/>
      <c r="Q687" s="217"/>
      <c r="R687" s="217"/>
      <c r="S687" s="218"/>
      <c r="X687" s="218"/>
      <c r="AD687" s="216"/>
      <c r="AO687" s="216"/>
      <c r="AP687" s="216"/>
      <c r="AQ687" s="216"/>
      <c r="AR687" s="216"/>
      <c r="AT687" s="192"/>
      <c r="AU687" s="192"/>
      <c r="AV687" s="192"/>
      <c r="AW687" s="192"/>
      <c r="AX687" s="192"/>
      <c r="AY687" s="212"/>
      <c r="AZ687" s="213"/>
      <c r="BA687" s="213"/>
      <c r="BB687" s="213"/>
      <c r="BC687" s="212"/>
      <c r="BD687" s="213"/>
      <c r="BE687" s="213"/>
      <c r="BF687" s="213"/>
      <c r="BG687" s="212"/>
      <c r="BH687" s="213"/>
      <c r="BI687" s="213"/>
      <c r="BJ687" s="213"/>
      <c r="BK687" s="213"/>
      <c r="BL687" s="212"/>
      <c r="BM687" s="213"/>
      <c r="BN687" s="213"/>
      <c r="BO687" s="213"/>
      <c r="BP687" s="213"/>
      <c r="BQ687" s="192"/>
      <c r="BR687" s="192"/>
    </row>
    <row r="688">
      <c r="A688" s="60"/>
      <c r="E688" s="215"/>
      <c r="F688" s="215"/>
      <c r="G688" s="215"/>
      <c r="L688" s="216"/>
      <c r="M688" s="216"/>
      <c r="N688" s="216"/>
      <c r="O688" s="217"/>
      <c r="P688" s="217"/>
      <c r="Q688" s="217"/>
      <c r="R688" s="217"/>
      <c r="S688" s="218"/>
      <c r="X688" s="218"/>
      <c r="AD688" s="216"/>
      <c r="AO688" s="216"/>
      <c r="AP688" s="216"/>
      <c r="AQ688" s="216"/>
      <c r="AR688" s="216"/>
      <c r="AT688" s="192"/>
      <c r="AU688" s="192"/>
      <c r="AV688" s="192"/>
      <c r="AW688" s="192"/>
      <c r="AX688" s="192"/>
      <c r="AY688" s="212"/>
      <c r="AZ688" s="213"/>
      <c r="BA688" s="213"/>
      <c r="BB688" s="213"/>
      <c r="BC688" s="212"/>
      <c r="BD688" s="213"/>
      <c r="BE688" s="213"/>
      <c r="BF688" s="213"/>
      <c r="BG688" s="212"/>
      <c r="BH688" s="213"/>
      <c r="BI688" s="213"/>
      <c r="BJ688" s="213"/>
      <c r="BK688" s="213"/>
      <c r="BL688" s="212"/>
      <c r="BM688" s="213"/>
      <c r="BN688" s="213"/>
      <c r="BO688" s="213"/>
      <c r="BP688" s="213"/>
      <c r="BQ688" s="192"/>
      <c r="BR688" s="192"/>
    </row>
    <row r="689">
      <c r="A689" s="60"/>
      <c r="E689" s="215"/>
      <c r="F689" s="215"/>
      <c r="G689" s="215"/>
      <c r="L689" s="216"/>
      <c r="M689" s="216"/>
      <c r="N689" s="216"/>
      <c r="O689" s="217"/>
      <c r="P689" s="217"/>
      <c r="Q689" s="217"/>
      <c r="R689" s="217"/>
      <c r="S689" s="218"/>
      <c r="X689" s="218"/>
      <c r="AD689" s="216"/>
      <c r="AO689" s="216"/>
      <c r="AP689" s="216"/>
      <c r="AQ689" s="216"/>
      <c r="AR689" s="216"/>
      <c r="AT689" s="192"/>
      <c r="AU689" s="192"/>
      <c r="AV689" s="192"/>
      <c r="AW689" s="192"/>
      <c r="AX689" s="192"/>
      <c r="AY689" s="212"/>
      <c r="AZ689" s="213"/>
      <c r="BA689" s="213"/>
      <c r="BB689" s="213"/>
      <c r="BC689" s="212"/>
      <c r="BD689" s="213"/>
      <c r="BE689" s="213"/>
      <c r="BF689" s="213"/>
      <c r="BG689" s="212"/>
      <c r="BH689" s="213"/>
      <c r="BI689" s="213"/>
      <c r="BJ689" s="213"/>
      <c r="BK689" s="213"/>
      <c r="BL689" s="212"/>
      <c r="BM689" s="213"/>
      <c r="BN689" s="213"/>
      <c r="BO689" s="213"/>
      <c r="BP689" s="213"/>
      <c r="BQ689" s="192"/>
      <c r="BR689" s="192"/>
    </row>
    <row r="690">
      <c r="A690" s="60"/>
      <c r="E690" s="215"/>
      <c r="F690" s="215"/>
      <c r="G690" s="215"/>
      <c r="L690" s="216"/>
      <c r="M690" s="216"/>
      <c r="N690" s="216"/>
      <c r="O690" s="217"/>
      <c r="P690" s="217"/>
      <c r="Q690" s="217"/>
      <c r="R690" s="217"/>
      <c r="S690" s="218"/>
      <c r="X690" s="218"/>
      <c r="AD690" s="216"/>
      <c r="AO690" s="216"/>
      <c r="AP690" s="216"/>
      <c r="AQ690" s="216"/>
      <c r="AR690" s="216"/>
      <c r="AT690" s="192"/>
      <c r="AU690" s="192"/>
      <c r="AV690" s="192"/>
      <c r="AW690" s="192"/>
      <c r="AX690" s="192"/>
      <c r="AY690" s="212"/>
      <c r="AZ690" s="213"/>
      <c r="BA690" s="213"/>
      <c r="BB690" s="213"/>
      <c r="BC690" s="212"/>
      <c r="BD690" s="213"/>
      <c r="BE690" s="213"/>
      <c r="BF690" s="213"/>
      <c r="BG690" s="212"/>
      <c r="BH690" s="213"/>
      <c r="BI690" s="213"/>
      <c r="BJ690" s="213"/>
      <c r="BK690" s="213"/>
      <c r="BL690" s="212"/>
      <c r="BM690" s="213"/>
      <c r="BN690" s="213"/>
      <c r="BO690" s="213"/>
      <c r="BP690" s="213"/>
      <c r="BQ690" s="192"/>
      <c r="BR690" s="192"/>
    </row>
    <row r="691">
      <c r="A691" s="60"/>
      <c r="E691" s="215"/>
      <c r="F691" s="215"/>
      <c r="G691" s="215"/>
      <c r="L691" s="216"/>
      <c r="M691" s="216"/>
      <c r="N691" s="216"/>
      <c r="O691" s="217"/>
      <c r="P691" s="217"/>
      <c r="Q691" s="217"/>
      <c r="R691" s="217"/>
      <c r="S691" s="218"/>
      <c r="X691" s="218"/>
      <c r="AD691" s="216"/>
      <c r="AO691" s="216"/>
      <c r="AP691" s="216"/>
      <c r="AQ691" s="216"/>
      <c r="AR691" s="216"/>
      <c r="AT691" s="192"/>
      <c r="AU691" s="192"/>
      <c r="AV691" s="192"/>
      <c r="AW691" s="192"/>
      <c r="AX691" s="192"/>
      <c r="AY691" s="212"/>
      <c r="AZ691" s="213"/>
      <c r="BA691" s="213"/>
      <c r="BB691" s="213"/>
      <c r="BC691" s="212"/>
      <c r="BD691" s="213"/>
      <c r="BE691" s="213"/>
      <c r="BF691" s="213"/>
      <c r="BG691" s="212"/>
      <c r="BH691" s="213"/>
      <c r="BI691" s="213"/>
      <c r="BJ691" s="213"/>
      <c r="BK691" s="213"/>
      <c r="BL691" s="212"/>
      <c r="BM691" s="213"/>
      <c r="BN691" s="213"/>
      <c r="BO691" s="213"/>
      <c r="BP691" s="213"/>
      <c r="BQ691" s="192"/>
      <c r="BR691" s="192"/>
    </row>
    <row r="692">
      <c r="A692" s="60"/>
      <c r="E692" s="215"/>
      <c r="F692" s="215"/>
      <c r="G692" s="215"/>
      <c r="L692" s="216"/>
      <c r="M692" s="216"/>
      <c r="N692" s="216"/>
      <c r="O692" s="217"/>
      <c r="P692" s="217"/>
      <c r="Q692" s="217"/>
      <c r="R692" s="217"/>
      <c r="S692" s="218"/>
      <c r="X692" s="218"/>
      <c r="AD692" s="216"/>
      <c r="AO692" s="216"/>
      <c r="AP692" s="216"/>
      <c r="AQ692" s="216"/>
      <c r="AR692" s="216"/>
      <c r="AT692" s="192"/>
      <c r="AU692" s="192"/>
      <c r="AV692" s="192"/>
      <c r="AW692" s="192"/>
      <c r="AX692" s="192"/>
      <c r="AY692" s="212"/>
      <c r="AZ692" s="213"/>
      <c r="BA692" s="213"/>
      <c r="BB692" s="213"/>
      <c r="BC692" s="212"/>
      <c r="BD692" s="213"/>
      <c r="BE692" s="213"/>
      <c r="BF692" s="213"/>
      <c r="BG692" s="212"/>
      <c r="BH692" s="213"/>
      <c r="BI692" s="213"/>
      <c r="BJ692" s="213"/>
      <c r="BK692" s="213"/>
      <c r="BL692" s="212"/>
      <c r="BM692" s="213"/>
      <c r="BN692" s="213"/>
      <c r="BO692" s="213"/>
      <c r="BP692" s="213"/>
      <c r="BQ692" s="192"/>
      <c r="BR692" s="192"/>
    </row>
    <row r="693">
      <c r="A693" s="60"/>
      <c r="E693" s="215"/>
      <c r="F693" s="215"/>
      <c r="G693" s="215"/>
      <c r="L693" s="216"/>
      <c r="M693" s="216"/>
      <c r="N693" s="216"/>
      <c r="O693" s="217"/>
      <c r="P693" s="217"/>
      <c r="Q693" s="217"/>
      <c r="R693" s="217"/>
      <c r="S693" s="218"/>
      <c r="X693" s="218"/>
      <c r="AD693" s="216"/>
      <c r="AO693" s="216"/>
      <c r="AP693" s="216"/>
      <c r="AQ693" s="216"/>
      <c r="AR693" s="216"/>
      <c r="AT693" s="192"/>
      <c r="AU693" s="192"/>
      <c r="AV693" s="192"/>
      <c r="AW693" s="192"/>
      <c r="AX693" s="192"/>
      <c r="AY693" s="212"/>
      <c r="AZ693" s="213"/>
      <c r="BA693" s="213"/>
      <c r="BB693" s="213"/>
      <c r="BC693" s="212"/>
      <c r="BD693" s="213"/>
      <c r="BE693" s="213"/>
      <c r="BF693" s="213"/>
      <c r="BG693" s="212"/>
      <c r="BH693" s="213"/>
      <c r="BI693" s="213"/>
      <c r="BJ693" s="213"/>
      <c r="BK693" s="213"/>
      <c r="BL693" s="212"/>
      <c r="BM693" s="213"/>
      <c r="BN693" s="213"/>
      <c r="BO693" s="213"/>
      <c r="BP693" s="213"/>
      <c r="BQ693" s="192"/>
      <c r="BR693" s="192"/>
    </row>
    <row r="694">
      <c r="A694" s="60"/>
      <c r="E694" s="215"/>
      <c r="F694" s="215"/>
      <c r="G694" s="215"/>
      <c r="L694" s="216"/>
      <c r="M694" s="216"/>
      <c r="N694" s="216"/>
      <c r="O694" s="217"/>
      <c r="P694" s="217"/>
      <c r="Q694" s="217"/>
      <c r="R694" s="217"/>
      <c r="S694" s="218"/>
      <c r="X694" s="218"/>
      <c r="AD694" s="216"/>
      <c r="AO694" s="216"/>
      <c r="AP694" s="216"/>
      <c r="AQ694" s="216"/>
      <c r="AR694" s="216"/>
      <c r="AT694" s="192"/>
      <c r="AU694" s="192"/>
      <c r="AV694" s="192"/>
      <c r="AW694" s="192"/>
      <c r="AX694" s="192"/>
      <c r="AY694" s="212"/>
      <c r="AZ694" s="213"/>
      <c r="BA694" s="213"/>
      <c r="BB694" s="213"/>
      <c r="BC694" s="212"/>
      <c r="BD694" s="213"/>
      <c r="BE694" s="213"/>
      <c r="BF694" s="213"/>
      <c r="BG694" s="212"/>
      <c r="BH694" s="213"/>
      <c r="BI694" s="213"/>
      <c r="BJ694" s="213"/>
      <c r="BK694" s="213"/>
      <c r="BL694" s="212"/>
      <c r="BM694" s="213"/>
      <c r="BN694" s="213"/>
      <c r="BO694" s="213"/>
      <c r="BP694" s="213"/>
      <c r="BQ694" s="192"/>
      <c r="BR694" s="192"/>
    </row>
    <row r="695">
      <c r="A695" s="60"/>
      <c r="E695" s="215"/>
      <c r="F695" s="215"/>
      <c r="G695" s="215"/>
      <c r="L695" s="216"/>
      <c r="M695" s="216"/>
      <c r="N695" s="216"/>
      <c r="O695" s="217"/>
      <c r="P695" s="217"/>
      <c r="Q695" s="217"/>
      <c r="R695" s="217"/>
      <c r="S695" s="218"/>
      <c r="X695" s="218"/>
      <c r="AD695" s="216"/>
      <c r="AO695" s="216"/>
      <c r="AP695" s="216"/>
      <c r="AQ695" s="216"/>
      <c r="AR695" s="216"/>
      <c r="AT695" s="192"/>
      <c r="AU695" s="192"/>
      <c r="AV695" s="192"/>
      <c r="AW695" s="192"/>
      <c r="AX695" s="192"/>
      <c r="AY695" s="212"/>
      <c r="AZ695" s="213"/>
      <c r="BA695" s="213"/>
      <c r="BB695" s="213"/>
      <c r="BC695" s="212"/>
      <c r="BD695" s="213"/>
      <c r="BE695" s="213"/>
      <c r="BF695" s="213"/>
      <c r="BG695" s="212"/>
      <c r="BH695" s="213"/>
      <c r="BI695" s="213"/>
      <c r="BJ695" s="213"/>
      <c r="BK695" s="213"/>
      <c r="BL695" s="212"/>
      <c r="BM695" s="213"/>
      <c r="BN695" s="213"/>
      <c r="BO695" s="213"/>
      <c r="BP695" s="213"/>
      <c r="BQ695" s="192"/>
      <c r="BR695" s="192"/>
    </row>
    <row r="696">
      <c r="A696" s="60"/>
      <c r="E696" s="215"/>
      <c r="F696" s="215"/>
      <c r="G696" s="215"/>
      <c r="L696" s="216"/>
      <c r="M696" s="216"/>
      <c r="N696" s="216"/>
      <c r="O696" s="217"/>
      <c r="P696" s="217"/>
      <c r="Q696" s="217"/>
      <c r="R696" s="217"/>
      <c r="S696" s="218"/>
      <c r="X696" s="218"/>
      <c r="AD696" s="216"/>
      <c r="AO696" s="216"/>
      <c r="AP696" s="216"/>
      <c r="AQ696" s="216"/>
      <c r="AR696" s="216"/>
      <c r="AT696" s="192"/>
      <c r="AU696" s="192"/>
      <c r="AV696" s="192"/>
      <c r="AW696" s="192"/>
      <c r="AX696" s="192"/>
      <c r="AY696" s="212"/>
      <c r="AZ696" s="213"/>
      <c r="BA696" s="213"/>
      <c r="BB696" s="213"/>
      <c r="BC696" s="212"/>
      <c r="BD696" s="213"/>
      <c r="BE696" s="213"/>
      <c r="BF696" s="213"/>
      <c r="BG696" s="212"/>
      <c r="BH696" s="213"/>
      <c r="BI696" s="213"/>
      <c r="BJ696" s="213"/>
      <c r="BK696" s="213"/>
      <c r="BL696" s="212"/>
      <c r="BM696" s="213"/>
      <c r="BN696" s="213"/>
      <c r="BO696" s="213"/>
      <c r="BP696" s="213"/>
      <c r="BQ696" s="192"/>
      <c r="BR696" s="192"/>
    </row>
    <row r="697">
      <c r="A697" s="60"/>
      <c r="E697" s="215"/>
      <c r="F697" s="215"/>
      <c r="G697" s="215"/>
      <c r="L697" s="216"/>
      <c r="M697" s="216"/>
      <c r="N697" s="216"/>
      <c r="O697" s="217"/>
      <c r="P697" s="217"/>
      <c r="Q697" s="217"/>
      <c r="R697" s="217"/>
      <c r="S697" s="218"/>
      <c r="X697" s="218"/>
      <c r="AD697" s="216"/>
      <c r="AO697" s="216"/>
      <c r="AP697" s="216"/>
      <c r="AQ697" s="216"/>
      <c r="AR697" s="216"/>
      <c r="AT697" s="192"/>
      <c r="AU697" s="192"/>
      <c r="AV697" s="192"/>
      <c r="AW697" s="192"/>
      <c r="AX697" s="192"/>
      <c r="AY697" s="212"/>
      <c r="AZ697" s="213"/>
      <c r="BA697" s="213"/>
      <c r="BB697" s="213"/>
      <c r="BC697" s="212"/>
      <c r="BD697" s="213"/>
      <c r="BE697" s="213"/>
      <c r="BF697" s="213"/>
      <c r="BG697" s="212"/>
      <c r="BH697" s="213"/>
      <c r="BI697" s="213"/>
      <c r="BJ697" s="213"/>
      <c r="BK697" s="213"/>
      <c r="BL697" s="212"/>
      <c r="BM697" s="213"/>
      <c r="BN697" s="213"/>
      <c r="BO697" s="213"/>
      <c r="BP697" s="213"/>
      <c r="BQ697" s="192"/>
      <c r="BR697" s="192"/>
    </row>
    <row r="698">
      <c r="A698" s="60"/>
      <c r="E698" s="215"/>
      <c r="F698" s="215"/>
      <c r="G698" s="215"/>
      <c r="L698" s="216"/>
      <c r="M698" s="216"/>
      <c r="N698" s="216"/>
      <c r="O698" s="217"/>
      <c r="P698" s="217"/>
      <c r="Q698" s="217"/>
      <c r="R698" s="217"/>
      <c r="S698" s="218"/>
      <c r="X698" s="218"/>
      <c r="AD698" s="216"/>
      <c r="AO698" s="216"/>
      <c r="AP698" s="216"/>
      <c r="AQ698" s="216"/>
      <c r="AR698" s="216"/>
      <c r="AT698" s="192"/>
      <c r="AU698" s="192"/>
      <c r="AV698" s="192"/>
      <c r="AW698" s="192"/>
      <c r="AX698" s="192"/>
      <c r="AY698" s="212"/>
      <c r="AZ698" s="213"/>
      <c r="BA698" s="213"/>
      <c r="BB698" s="213"/>
      <c r="BC698" s="212"/>
      <c r="BD698" s="213"/>
      <c r="BE698" s="213"/>
      <c r="BF698" s="213"/>
      <c r="BG698" s="212"/>
      <c r="BH698" s="213"/>
      <c r="BI698" s="213"/>
      <c r="BJ698" s="213"/>
      <c r="BK698" s="213"/>
      <c r="BL698" s="212"/>
      <c r="BM698" s="213"/>
      <c r="BN698" s="213"/>
      <c r="BO698" s="213"/>
      <c r="BP698" s="213"/>
      <c r="BQ698" s="192"/>
      <c r="BR698" s="192"/>
    </row>
    <row r="699">
      <c r="A699" s="60"/>
      <c r="E699" s="215"/>
      <c r="F699" s="215"/>
      <c r="G699" s="215"/>
      <c r="L699" s="216"/>
      <c r="M699" s="216"/>
      <c r="N699" s="216"/>
      <c r="O699" s="217"/>
      <c r="P699" s="217"/>
      <c r="Q699" s="217"/>
      <c r="R699" s="217"/>
      <c r="S699" s="218"/>
      <c r="X699" s="218"/>
      <c r="AD699" s="216"/>
      <c r="AO699" s="216"/>
      <c r="AP699" s="216"/>
      <c r="AQ699" s="216"/>
      <c r="AR699" s="216"/>
      <c r="AT699" s="192"/>
      <c r="AU699" s="192"/>
      <c r="AV699" s="192"/>
      <c r="AW699" s="192"/>
      <c r="AX699" s="192"/>
      <c r="AY699" s="212"/>
      <c r="AZ699" s="213"/>
      <c r="BA699" s="213"/>
      <c r="BB699" s="213"/>
      <c r="BC699" s="212"/>
      <c r="BD699" s="213"/>
      <c r="BE699" s="213"/>
      <c r="BF699" s="213"/>
      <c r="BG699" s="212"/>
      <c r="BH699" s="213"/>
      <c r="BI699" s="213"/>
      <c r="BJ699" s="213"/>
      <c r="BK699" s="213"/>
      <c r="BL699" s="212"/>
      <c r="BM699" s="213"/>
      <c r="BN699" s="213"/>
      <c r="BO699" s="213"/>
      <c r="BP699" s="213"/>
      <c r="BQ699" s="192"/>
      <c r="BR699" s="192"/>
    </row>
    <row r="700">
      <c r="A700" s="60"/>
      <c r="E700" s="215"/>
      <c r="F700" s="215"/>
      <c r="G700" s="215"/>
      <c r="L700" s="216"/>
      <c r="M700" s="216"/>
      <c r="N700" s="216"/>
      <c r="O700" s="217"/>
      <c r="P700" s="217"/>
      <c r="Q700" s="217"/>
      <c r="R700" s="217"/>
      <c r="S700" s="218"/>
      <c r="X700" s="218"/>
      <c r="AD700" s="216"/>
      <c r="AO700" s="216"/>
      <c r="AP700" s="216"/>
      <c r="AQ700" s="216"/>
      <c r="AR700" s="216"/>
      <c r="AT700" s="192"/>
      <c r="AU700" s="192"/>
      <c r="AV700" s="192"/>
      <c r="AW700" s="192"/>
      <c r="AX700" s="192"/>
      <c r="AY700" s="212"/>
      <c r="AZ700" s="213"/>
      <c r="BA700" s="213"/>
      <c r="BB700" s="213"/>
      <c r="BC700" s="212"/>
      <c r="BD700" s="213"/>
      <c r="BE700" s="213"/>
      <c r="BF700" s="213"/>
      <c r="BG700" s="212"/>
      <c r="BH700" s="213"/>
      <c r="BI700" s="213"/>
      <c r="BJ700" s="213"/>
      <c r="BK700" s="213"/>
      <c r="BL700" s="212"/>
      <c r="BM700" s="213"/>
      <c r="BN700" s="213"/>
      <c r="BO700" s="213"/>
      <c r="BP700" s="213"/>
      <c r="BQ700" s="192"/>
      <c r="BR700" s="192"/>
    </row>
    <row r="701">
      <c r="A701" s="60"/>
      <c r="E701" s="215"/>
      <c r="F701" s="215"/>
      <c r="G701" s="215"/>
      <c r="L701" s="216"/>
      <c r="M701" s="216"/>
      <c r="N701" s="216"/>
      <c r="O701" s="217"/>
      <c r="P701" s="217"/>
      <c r="Q701" s="217"/>
      <c r="R701" s="217"/>
      <c r="S701" s="218"/>
      <c r="X701" s="218"/>
      <c r="AD701" s="216"/>
      <c r="AO701" s="216"/>
      <c r="AP701" s="216"/>
      <c r="AQ701" s="216"/>
      <c r="AR701" s="216"/>
      <c r="AT701" s="192"/>
      <c r="AU701" s="192"/>
      <c r="AV701" s="192"/>
      <c r="AW701" s="192"/>
      <c r="AX701" s="192"/>
      <c r="AY701" s="212"/>
      <c r="AZ701" s="213"/>
      <c r="BA701" s="213"/>
      <c r="BB701" s="213"/>
      <c r="BC701" s="212"/>
      <c r="BD701" s="213"/>
      <c r="BE701" s="213"/>
      <c r="BF701" s="213"/>
      <c r="BG701" s="212"/>
      <c r="BH701" s="213"/>
      <c r="BI701" s="213"/>
      <c r="BJ701" s="213"/>
      <c r="BK701" s="213"/>
      <c r="BL701" s="212"/>
      <c r="BM701" s="213"/>
      <c r="BN701" s="213"/>
      <c r="BO701" s="213"/>
      <c r="BP701" s="213"/>
      <c r="BQ701" s="192"/>
      <c r="BR701" s="192"/>
    </row>
    <row r="702">
      <c r="A702" s="60"/>
      <c r="E702" s="215"/>
      <c r="F702" s="215"/>
      <c r="G702" s="215"/>
      <c r="L702" s="216"/>
      <c r="M702" s="216"/>
      <c r="N702" s="216"/>
      <c r="O702" s="217"/>
      <c r="P702" s="217"/>
      <c r="Q702" s="217"/>
      <c r="R702" s="217"/>
      <c r="S702" s="218"/>
      <c r="X702" s="218"/>
      <c r="AD702" s="216"/>
      <c r="AO702" s="216"/>
      <c r="AP702" s="216"/>
      <c r="AQ702" s="216"/>
      <c r="AR702" s="216"/>
      <c r="AT702" s="192"/>
      <c r="AU702" s="192"/>
      <c r="AV702" s="192"/>
      <c r="AW702" s="192"/>
      <c r="AX702" s="192"/>
      <c r="AY702" s="212"/>
      <c r="AZ702" s="213"/>
      <c r="BA702" s="213"/>
      <c r="BB702" s="213"/>
      <c r="BC702" s="212"/>
      <c r="BD702" s="213"/>
      <c r="BE702" s="213"/>
      <c r="BF702" s="213"/>
      <c r="BG702" s="212"/>
      <c r="BH702" s="213"/>
      <c r="BI702" s="213"/>
      <c r="BJ702" s="213"/>
      <c r="BK702" s="213"/>
      <c r="BL702" s="212"/>
      <c r="BM702" s="213"/>
      <c r="BN702" s="213"/>
      <c r="BO702" s="213"/>
      <c r="BP702" s="213"/>
      <c r="BQ702" s="192"/>
      <c r="BR702" s="192"/>
    </row>
    <row r="703">
      <c r="A703" s="60"/>
      <c r="E703" s="215"/>
      <c r="F703" s="215"/>
      <c r="G703" s="215"/>
      <c r="L703" s="216"/>
      <c r="M703" s="216"/>
      <c r="N703" s="216"/>
      <c r="O703" s="217"/>
      <c r="P703" s="217"/>
      <c r="Q703" s="217"/>
      <c r="R703" s="217"/>
      <c r="S703" s="218"/>
      <c r="X703" s="218"/>
      <c r="AD703" s="216"/>
      <c r="AO703" s="216"/>
      <c r="AP703" s="216"/>
      <c r="AQ703" s="216"/>
      <c r="AR703" s="216"/>
      <c r="AT703" s="192"/>
      <c r="AU703" s="192"/>
      <c r="AV703" s="192"/>
      <c r="AW703" s="192"/>
      <c r="AX703" s="192"/>
      <c r="AY703" s="212"/>
      <c r="AZ703" s="213"/>
      <c r="BA703" s="213"/>
      <c r="BB703" s="213"/>
      <c r="BC703" s="212"/>
      <c r="BD703" s="213"/>
      <c r="BE703" s="213"/>
      <c r="BF703" s="213"/>
      <c r="BG703" s="212"/>
      <c r="BH703" s="213"/>
      <c r="BI703" s="213"/>
      <c r="BJ703" s="213"/>
      <c r="BK703" s="213"/>
      <c r="BL703" s="212"/>
      <c r="BM703" s="213"/>
      <c r="BN703" s="213"/>
      <c r="BO703" s="213"/>
      <c r="BP703" s="213"/>
      <c r="BQ703" s="192"/>
      <c r="BR703" s="192"/>
    </row>
    <row r="704">
      <c r="A704" s="60"/>
      <c r="E704" s="215"/>
      <c r="F704" s="215"/>
      <c r="G704" s="215"/>
      <c r="L704" s="216"/>
      <c r="M704" s="216"/>
      <c r="N704" s="216"/>
      <c r="O704" s="217"/>
      <c r="P704" s="217"/>
      <c r="Q704" s="217"/>
      <c r="R704" s="217"/>
      <c r="S704" s="218"/>
      <c r="X704" s="218"/>
      <c r="AD704" s="216"/>
      <c r="AO704" s="216"/>
      <c r="AP704" s="216"/>
      <c r="AQ704" s="216"/>
      <c r="AR704" s="216"/>
      <c r="AT704" s="192"/>
      <c r="AU704" s="192"/>
      <c r="AV704" s="192"/>
      <c r="AW704" s="192"/>
      <c r="AX704" s="192"/>
      <c r="AY704" s="212"/>
      <c r="AZ704" s="213"/>
      <c r="BA704" s="213"/>
      <c r="BB704" s="213"/>
      <c r="BC704" s="212"/>
      <c r="BD704" s="213"/>
      <c r="BE704" s="213"/>
      <c r="BF704" s="213"/>
      <c r="BG704" s="212"/>
      <c r="BH704" s="213"/>
      <c r="BI704" s="213"/>
      <c r="BJ704" s="213"/>
      <c r="BK704" s="213"/>
      <c r="BL704" s="212"/>
      <c r="BM704" s="213"/>
      <c r="BN704" s="213"/>
      <c r="BO704" s="213"/>
      <c r="BP704" s="213"/>
      <c r="BQ704" s="192"/>
      <c r="BR704" s="192"/>
    </row>
    <row r="705">
      <c r="A705" s="60"/>
      <c r="E705" s="215"/>
      <c r="F705" s="215"/>
      <c r="G705" s="215"/>
      <c r="L705" s="216"/>
      <c r="M705" s="216"/>
      <c r="N705" s="216"/>
      <c r="O705" s="217"/>
      <c r="P705" s="217"/>
      <c r="Q705" s="217"/>
      <c r="R705" s="217"/>
      <c r="S705" s="218"/>
      <c r="X705" s="218"/>
      <c r="AD705" s="216"/>
      <c r="AO705" s="216"/>
      <c r="AP705" s="216"/>
      <c r="AQ705" s="216"/>
      <c r="AR705" s="216"/>
      <c r="AT705" s="192"/>
      <c r="AU705" s="192"/>
      <c r="AV705" s="192"/>
      <c r="AW705" s="192"/>
      <c r="AX705" s="192"/>
      <c r="AY705" s="212"/>
      <c r="AZ705" s="213"/>
      <c r="BA705" s="213"/>
      <c r="BB705" s="213"/>
      <c r="BC705" s="212"/>
      <c r="BD705" s="213"/>
      <c r="BE705" s="213"/>
      <c r="BF705" s="213"/>
      <c r="BG705" s="212"/>
      <c r="BH705" s="213"/>
      <c r="BI705" s="213"/>
      <c r="BJ705" s="213"/>
      <c r="BK705" s="213"/>
      <c r="BL705" s="212"/>
      <c r="BM705" s="213"/>
      <c r="BN705" s="213"/>
      <c r="BO705" s="213"/>
      <c r="BP705" s="213"/>
      <c r="BQ705" s="192"/>
      <c r="BR705" s="192"/>
    </row>
    <row r="706">
      <c r="A706" s="60"/>
      <c r="E706" s="215"/>
      <c r="F706" s="215"/>
      <c r="G706" s="215"/>
      <c r="L706" s="216"/>
      <c r="M706" s="216"/>
      <c r="N706" s="216"/>
      <c r="O706" s="217"/>
      <c r="P706" s="217"/>
      <c r="Q706" s="217"/>
      <c r="R706" s="217"/>
      <c r="S706" s="218"/>
      <c r="X706" s="218"/>
      <c r="AD706" s="216"/>
      <c r="AO706" s="216"/>
      <c r="AP706" s="216"/>
      <c r="AQ706" s="216"/>
      <c r="AR706" s="216"/>
      <c r="AT706" s="192"/>
      <c r="AU706" s="192"/>
      <c r="AV706" s="192"/>
      <c r="AW706" s="192"/>
      <c r="AX706" s="192"/>
      <c r="AY706" s="212"/>
      <c r="AZ706" s="213"/>
      <c r="BA706" s="213"/>
      <c r="BB706" s="213"/>
      <c r="BC706" s="212"/>
      <c r="BD706" s="213"/>
      <c r="BE706" s="213"/>
      <c r="BF706" s="213"/>
      <c r="BG706" s="212"/>
      <c r="BH706" s="213"/>
      <c r="BI706" s="213"/>
      <c r="BJ706" s="213"/>
      <c r="BK706" s="213"/>
      <c r="BL706" s="212"/>
      <c r="BM706" s="213"/>
      <c r="BN706" s="213"/>
      <c r="BO706" s="213"/>
      <c r="BP706" s="213"/>
      <c r="BQ706" s="192"/>
      <c r="BR706" s="192"/>
    </row>
    <row r="707">
      <c r="A707" s="60"/>
      <c r="E707" s="215"/>
      <c r="F707" s="215"/>
      <c r="G707" s="215"/>
      <c r="L707" s="216"/>
      <c r="M707" s="216"/>
      <c r="N707" s="216"/>
      <c r="O707" s="217"/>
      <c r="P707" s="217"/>
      <c r="Q707" s="217"/>
      <c r="R707" s="217"/>
      <c r="S707" s="218"/>
      <c r="X707" s="218"/>
      <c r="AD707" s="216"/>
      <c r="AO707" s="216"/>
      <c r="AP707" s="216"/>
      <c r="AQ707" s="216"/>
      <c r="AR707" s="216"/>
      <c r="AT707" s="192"/>
      <c r="AU707" s="192"/>
      <c r="AV707" s="192"/>
      <c r="AW707" s="192"/>
      <c r="AX707" s="192"/>
      <c r="AY707" s="212"/>
      <c r="AZ707" s="213"/>
      <c r="BA707" s="213"/>
      <c r="BB707" s="213"/>
      <c r="BC707" s="212"/>
      <c r="BD707" s="213"/>
      <c r="BE707" s="213"/>
      <c r="BF707" s="213"/>
      <c r="BG707" s="212"/>
      <c r="BH707" s="213"/>
      <c r="BI707" s="213"/>
      <c r="BJ707" s="213"/>
      <c r="BK707" s="213"/>
      <c r="BL707" s="212"/>
      <c r="BM707" s="213"/>
      <c r="BN707" s="213"/>
      <c r="BO707" s="213"/>
      <c r="BP707" s="213"/>
      <c r="BQ707" s="192"/>
      <c r="BR707" s="192"/>
    </row>
    <row r="708">
      <c r="A708" s="60"/>
      <c r="E708" s="215"/>
      <c r="F708" s="215"/>
      <c r="G708" s="215"/>
      <c r="L708" s="216"/>
      <c r="M708" s="216"/>
      <c r="N708" s="216"/>
      <c r="O708" s="217"/>
      <c r="P708" s="217"/>
      <c r="Q708" s="217"/>
      <c r="R708" s="217"/>
      <c r="S708" s="218"/>
      <c r="X708" s="218"/>
      <c r="AD708" s="216"/>
      <c r="AO708" s="216"/>
      <c r="AP708" s="216"/>
      <c r="AQ708" s="216"/>
      <c r="AR708" s="216"/>
      <c r="AT708" s="192"/>
      <c r="AU708" s="192"/>
      <c r="AV708" s="192"/>
      <c r="AW708" s="192"/>
      <c r="AX708" s="192"/>
      <c r="AY708" s="212"/>
      <c r="AZ708" s="213"/>
      <c r="BA708" s="213"/>
      <c r="BB708" s="213"/>
      <c r="BC708" s="212"/>
      <c r="BD708" s="213"/>
      <c r="BE708" s="213"/>
      <c r="BF708" s="213"/>
      <c r="BG708" s="212"/>
      <c r="BH708" s="213"/>
      <c r="BI708" s="213"/>
      <c r="BJ708" s="213"/>
      <c r="BK708" s="213"/>
      <c r="BL708" s="212"/>
      <c r="BM708" s="213"/>
      <c r="BN708" s="213"/>
      <c r="BO708" s="213"/>
      <c r="BP708" s="213"/>
      <c r="BQ708" s="192"/>
      <c r="BR708" s="192"/>
    </row>
    <row r="709">
      <c r="A709" s="60"/>
      <c r="E709" s="215"/>
      <c r="F709" s="215"/>
      <c r="G709" s="215"/>
      <c r="L709" s="216"/>
      <c r="M709" s="216"/>
      <c r="N709" s="216"/>
      <c r="O709" s="217"/>
      <c r="P709" s="217"/>
      <c r="Q709" s="217"/>
      <c r="R709" s="217"/>
      <c r="S709" s="218"/>
      <c r="X709" s="218"/>
      <c r="AD709" s="216"/>
      <c r="AO709" s="216"/>
      <c r="AP709" s="216"/>
      <c r="AQ709" s="216"/>
      <c r="AR709" s="216"/>
      <c r="AT709" s="192"/>
      <c r="AU709" s="192"/>
      <c r="AV709" s="192"/>
      <c r="AW709" s="192"/>
      <c r="AX709" s="192"/>
      <c r="AY709" s="212"/>
      <c r="AZ709" s="213"/>
      <c r="BA709" s="213"/>
      <c r="BB709" s="213"/>
      <c r="BC709" s="212"/>
      <c r="BD709" s="213"/>
      <c r="BE709" s="213"/>
      <c r="BF709" s="213"/>
      <c r="BG709" s="212"/>
      <c r="BH709" s="213"/>
      <c r="BI709" s="213"/>
      <c r="BJ709" s="213"/>
      <c r="BK709" s="213"/>
      <c r="BL709" s="212"/>
      <c r="BM709" s="213"/>
      <c r="BN709" s="213"/>
      <c r="BO709" s="213"/>
      <c r="BP709" s="213"/>
      <c r="BQ709" s="192"/>
      <c r="BR709" s="192"/>
    </row>
    <row r="710">
      <c r="A710" s="60"/>
      <c r="E710" s="215"/>
      <c r="F710" s="215"/>
      <c r="G710" s="215"/>
      <c r="L710" s="216"/>
      <c r="M710" s="216"/>
      <c r="N710" s="216"/>
      <c r="O710" s="217"/>
      <c r="P710" s="217"/>
      <c r="Q710" s="217"/>
      <c r="R710" s="217"/>
      <c r="S710" s="218"/>
      <c r="X710" s="218"/>
      <c r="AD710" s="216"/>
      <c r="AO710" s="216"/>
      <c r="AP710" s="216"/>
      <c r="AQ710" s="216"/>
      <c r="AR710" s="216"/>
      <c r="AT710" s="192"/>
      <c r="AU710" s="192"/>
      <c r="AV710" s="192"/>
      <c r="AW710" s="192"/>
      <c r="AX710" s="192"/>
      <c r="AY710" s="212"/>
      <c r="AZ710" s="213"/>
      <c r="BA710" s="213"/>
      <c r="BB710" s="213"/>
      <c r="BC710" s="212"/>
      <c r="BD710" s="213"/>
      <c r="BE710" s="213"/>
      <c r="BF710" s="213"/>
      <c r="BG710" s="212"/>
      <c r="BH710" s="213"/>
      <c r="BI710" s="213"/>
      <c r="BJ710" s="213"/>
      <c r="BK710" s="213"/>
      <c r="BL710" s="212"/>
      <c r="BM710" s="213"/>
      <c r="BN710" s="213"/>
      <c r="BO710" s="213"/>
      <c r="BP710" s="213"/>
      <c r="BQ710" s="192"/>
      <c r="BR710" s="192"/>
    </row>
    <row r="711">
      <c r="A711" s="60"/>
      <c r="E711" s="215"/>
      <c r="F711" s="215"/>
      <c r="G711" s="215"/>
      <c r="L711" s="216"/>
      <c r="M711" s="216"/>
      <c r="N711" s="216"/>
      <c r="O711" s="217"/>
      <c r="P711" s="217"/>
      <c r="Q711" s="217"/>
      <c r="R711" s="217"/>
      <c r="S711" s="218"/>
      <c r="X711" s="218"/>
      <c r="AD711" s="216"/>
      <c r="AO711" s="216"/>
      <c r="AP711" s="216"/>
      <c r="AQ711" s="216"/>
      <c r="AR711" s="216"/>
      <c r="AT711" s="192"/>
      <c r="AU711" s="192"/>
      <c r="AV711" s="192"/>
      <c r="AW711" s="192"/>
      <c r="AX711" s="192"/>
      <c r="AY711" s="212"/>
      <c r="AZ711" s="213"/>
      <c r="BA711" s="213"/>
      <c r="BB711" s="213"/>
      <c r="BC711" s="212"/>
      <c r="BD711" s="213"/>
      <c r="BE711" s="213"/>
      <c r="BF711" s="213"/>
      <c r="BG711" s="212"/>
      <c r="BH711" s="213"/>
      <c r="BI711" s="213"/>
      <c r="BJ711" s="213"/>
      <c r="BK711" s="213"/>
      <c r="BL711" s="212"/>
      <c r="BM711" s="213"/>
      <c r="BN711" s="213"/>
      <c r="BO711" s="213"/>
      <c r="BP711" s="213"/>
      <c r="BQ711" s="192"/>
      <c r="BR711" s="192"/>
    </row>
    <row r="712">
      <c r="A712" s="60"/>
      <c r="E712" s="215"/>
      <c r="F712" s="215"/>
      <c r="G712" s="215"/>
      <c r="L712" s="216"/>
      <c r="M712" s="216"/>
      <c r="N712" s="216"/>
      <c r="O712" s="217"/>
      <c r="P712" s="217"/>
      <c r="Q712" s="217"/>
      <c r="R712" s="217"/>
      <c r="S712" s="218"/>
      <c r="X712" s="218"/>
      <c r="AD712" s="216"/>
      <c r="AO712" s="216"/>
      <c r="AP712" s="216"/>
      <c r="AQ712" s="216"/>
      <c r="AR712" s="216"/>
      <c r="AT712" s="192"/>
      <c r="AU712" s="192"/>
      <c r="AV712" s="192"/>
      <c r="AW712" s="192"/>
      <c r="AX712" s="192"/>
      <c r="AY712" s="212"/>
      <c r="AZ712" s="213"/>
      <c r="BA712" s="213"/>
      <c r="BB712" s="213"/>
      <c r="BC712" s="212"/>
      <c r="BD712" s="213"/>
      <c r="BE712" s="213"/>
      <c r="BF712" s="213"/>
      <c r="BG712" s="212"/>
      <c r="BH712" s="213"/>
      <c r="BI712" s="213"/>
      <c r="BJ712" s="213"/>
      <c r="BK712" s="213"/>
      <c r="BL712" s="212"/>
      <c r="BM712" s="213"/>
      <c r="BN712" s="213"/>
      <c r="BO712" s="213"/>
      <c r="BP712" s="213"/>
      <c r="BQ712" s="192"/>
      <c r="BR712" s="192"/>
    </row>
    <row r="713">
      <c r="A713" s="60"/>
      <c r="E713" s="215"/>
      <c r="F713" s="215"/>
      <c r="G713" s="215"/>
      <c r="L713" s="216"/>
      <c r="M713" s="216"/>
      <c r="N713" s="216"/>
      <c r="O713" s="217"/>
      <c r="P713" s="217"/>
      <c r="Q713" s="217"/>
      <c r="R713" s="217"/>
      <c r="S713" s="218"/>
      <c r="X713" s="218"/>
      <c r="AD713" s="216"/>
      <c r="AO713" s="216"/>
      <c r="AP713" s="216"/>
      <c r="AQ713" s="216"/>
      <c r="AR713" s="216"/>
      <c r="AT713" s="192"/>
      <c r="AU713" s="192"/>
      <c r="AV713" s="192"/>
      <c r="AW713" s="192"/>
      <c r="AX713" s="192"/>
      <c r="AY713" s="212"/>
      <c r="AZ713" s="213"/>
      <c r="BA713" s="213"/>
      <c r="BB713" s="213"/>
      <c r="BC713" s="212"/>
      <c r="BD713" s="213"/>
      <c r="BE713" s="213"/>
      <c r="BF713" s="213"/>
      <c r="BG713" s="212"/>
      <c r="BH713" s="213"/>
      <c r="BI713" s="213"/>
      <c r="BJ713" s="213"/>
      <c r="BK713" s="213"/>
      <c r="BL713" s="212"/>
      <c r="BM713" s="213"/>
      <c r="BN713" s="213"/>
      <c r="BO713" s="213"/>
      <c r="BP713" s="213"/>
      <c r="BQ713" s="192"/>
      <c r="BR713" s="192"/>
    </row>
    <row r="714">
      <c r="A714" s="60"/>
      <c r="E714" s="215"/>
      <c r="F714" s="215"/>
      <c r="G714" s="215"/>
      <c r="L714" s="216"/>
      <c r="M714" s="216"/>
      <c r="N714" s="216"/>
      <c r="O714" s="217"/>
      <c r="P714" s="217"/>
      <c r="Q714" s="217"/>
      <c r="R714" s="217"/>
      <c r="S714" s="218"/>
      <c r="X714" s="218"/>
      <c r="AD714" s="216"/>
      <c r="AO714" s="216"/>
      <c r="AP714" s="216"/>
      <c r="AQ714" s="216"/>
      <c r="AR714" s="216"/>
      <c r="AT714" s="192"/>
      <c r="AU714" s="192"/>
      <c r="AV714" s="192"/>
      <c r="AW714" s="192"/>
      <c r="AX714" s="192"/>
      <c r="AY714" s="212"/>
      <c r="AZ714" s="213"/>
      <c r="BA714" s="213"/>
      <c r="BB714" s="213"/>
      <c r="BC714" s="212"/>
      <c r="BD714" s="213"/>
      <c r="BE714" s="213"/>
      <c r="BF714" s="213"/>
      <c r="BG714" s="212"/>
      <c r="BH714" s="213"/>
      <c r="BI714" s="213"/>
      <c r="BJ714" s="213"/>
      <c r="BK714" s="213"/>
      <c r="BL714" s="212"/>
      <c r="BM714" s="213"/>
      <c r="BN714" s="213"/>
      <c r="BO714" s="213"/>
      <c r="BP714" s="213"/>
      <c r="BQ714" s="192"/>
      <c r="BR714" s="192"/>
    </row>
    <row r="715">
      <c r="A715" s="60"/>
      <c r="E715" s="215"/>
      <c r="F715" s="215"/>
      <c r="G715" s="215"/>
      <c r="L715" s="216"/>
      <c r="M715" s="216"/>
      <c r="N715" s="216"/>
      <c r="O715" s="217"/>
      <c r="P715" s="217"/>
      <c r="Q715" s="217"/>
      <c r="R715" s="217"/>
      <c r="S715" s="218"/>
      <c r="X715" s="218"/>
      <c r="AD715" s="216"/>
      <c r="AO715" s="216"/>
      <c r="AP715" s="216"/>
      <c r="AQ715" s="216"/>
      <c r="AR715" s="216"/>
      <c r="AT715" s="192"/>
      <c r="AU715" s="192"/>
      <c r="AV715" s="192"/>
      <c r="AW715" s="192"/>
      <c r="AX715" s="192"/>
      <c r="AY715" s="212"/>
      <c r="AZ715" s="213"/>
      <c r="BA715" s="213"/>
      <c r="BB715" s="213"/>
      <c r="BC715" s="212"/>
      <c r="BD715" s="213"/>
      <c r="BE715" s="213"/>
      <c r="BF715" s="213"/>
      <c r="BG715" s="212"/>
      <c r="BH715" s="213"/>
      <c r="BI715" s="213"/>
      <c r="BJ715" s="213"/>
      <c r="BK715" s="213"/>
      <c r="BL715" s="212"/>
      <c r="BM715" s="213"/>
      <c r="BN715" s="213"/>
      <c r="BO715" s="213"/>
      <c r="BP715" s="213"/>
      <c r="BQ715" s="192"/>
      <c r="BR715" s="192"/>
    </row>
    <row r="716">
      <c r="A716" s="60"/>
      <c r="E716" s="215"/>
      <c r="F716" s="215"/>
      <c r="G716" s="215"/>
      <c r="L716" s="216"/>
      <c r="M716" s="216"/>
      <c r="N716" s="216"/>
      <c r="O716" s="217"/>
      <c r="P716" s="217"/>
      <c r="Q716" s="217"/>
      <c r="R716" s="217"/>
      <c r="S716" s="218"/>
      <c r="X716" s="218"/>
      <c r="AD716" s="216"/>
      <c r="AO716" s="216"/>
      <c r="AP716" s="216"/>
      <c r="AQ716" s="216"/>
      <c r="AR716" s="216"/>
      <c r="AT716" s="192"/>
      <c r="AU716" s="192"/>
      <c r="AV716" s="192"/>
      <c r="AW716" s="192"/>
      <c r="AX716" s="192"/>
      <c r="AY716" s="212"/>
      <c r="AZ716" s="213"/>
      <c r="BA716" s="213"/>
      <c r="BB716" s="213"/>
      <c r="BC716" s="212"/>
      <c r="BD716" s="213"/>
      <c r="BE716" s="213"/>
      <c r="BF716" s="213"/>
      <c r="BG716" s="212"/>
      <c r="BH716" s="213"/>
      <c r="BI716" s="213"/>
      <c r="BJ716" s="213"/>
      <c r="BK716" s="213"/>
      <c r="BL716" s="212"/>
      <c r="BM716" s="213"/>
      <c r="BN716" s="213"/>
      <c r="BO716" s="213"/>
      <c r="BP716" s="213"/>
      <c r="BQ716" s="192"/>
      <c r="BR716" s="192"/>
    </row>
    <row r="717">
      <c r="A717" s="60"/>
      <c r="E717" s="215"/>
      <c r="F717" s="215"/>
      <c r="G717" s="215"/>
      <c r="L717" s="216"/>
      <c r="M717" s="216"/>
      <c r="N717" s="216"/>
      <c r="O717" s="217"/>
      <c r="P717" s="217"/>
      <c r="Q717" s="217"/>
      <c r="R717" s="217"/>
      <c r="S717" s="218"/>
      <c r="X717" s="218"/>
      <c r="AD717" s="216"/>
      <c r="AO717" s="216"/>
      <c r="AP717" s="216"/>
      <c r="AQ717" s="216"/>
      <c r="AR717" s="216"/>
      <c r="AT717" s="192"/>
      <c r="AU717" s="192"/>
      <c r="AV717" s="192"/>
      <c r="AW717" s="192"/>
      <c r="AX717" s="192"/>
      <c r="AY717" s="212"/>
      <c r="AZ717" s="213"/>
      <c r="BA717" s="213"/>
      <c r="BB717" s="213"/>
      <c r="BC717" s="212"/>
      <c r="BD717" s="213"/>
      <c r="BE717" s="213"/>
      <c r="BF717" s="213"/>
      <c r="BG717" s="212"/>
      <c r="BH717" s="213"/>
      <c r="BI717" s="213"/>
      <c r="BJ717" s="213"/>
      <c r="BK717" s="213"/>
      <c r="BL717" s="212"/>
      <c r="BM717" s="213"/>
      <c r="BN717" s="213"/>
      <c r="BO717" s="213"/>
      <c r="BP717" s="213"/>
      <c r="BQ717" s="192"/>
      <c r="BR717" s="192"/>
    </row>
    <row r="718">
      <c r="A718" s="60"/>
      <c r="E718" s="215"/>
      <c r="F718" s="215"/>
      <c r="G718" s="215"/>
      <c r="L718" s="216"/>
      <c r="M718" s="216"/>
      <c r="N718" s="216"/>
      <c r="O718" s="217"/>
      <c r="P718" s="217"/>
      <c r="Q718" s="217"/>
      <c r="R718" s="217"/>
      <c r="S718" s="218"/>
      <c r="X718" s="218"/>
      <c r="AD718" s="216"/>
      <c r="AO718" s="216"/>
      <c r="AP718" s="216"/>
      <c r="AQ718" s="216"/>
      <c r="AR718" s="216"/>
      <c r="AT718" s="192"/>
      <c r="AU718" s="192"/>
      <c r="AV718" s="192"/>
      <c r="AW718" s="192"/>
      <c r="AX718" s="192"/>
      <c r="AY718" s="212"/>
      <c r="AZ718" s="213"/>
      <c r="BA718" s="213"/>
      <c r="BB718" s="213"/>
      <c r="BC718" s="212"/>
      <c r="BD718" s="213"/>
      <c r="BE718" s="213"/>
      <c r="BF718" s="213"/>
      <c r="BG718" s="212"/>
      <c r="BH718" s="213"/>
      <c r="BI718" s="213"/>
      <c r="BJ718" s="213"/>
      <c r="BK718" s="213"/>
      <c r="BL718" s="212"/>
      <c r="BM718" s="213"/>
      <c r="BN718" s="213"/>
      <c r="BO718" s="213"/>
      <c r="BP718" s="213"/>
      <c r="BQ718" s="192"/>
      <c r="BR718" s="192"/>
    </row>
    <row r="719">
      <c r="A719" s="60"/>
      <c r="E719" s="215"/>
      <c r="F719" s="215"/>
      <c r="G719" s="215"/>
      <c r="L719" s="216"/>
      <c r="M719" s="216"/>
      <c r="N719" s="216"/>
      <c r="O719" s="217"/>
      <c r="P719" s="217"/>
      <c r="Q719" s="217"/>
      <c r="R719" s="217"/>
      <c r="S719" s="218"/>
      <c r="X719" s="218"/>
      <c r="AD719" s="216"/>
      <c r="AO719" s="216"/>
      <c r="AP719" s="216"/>
      <c r="AQ719" s="216"/>
      <c r="AR719" s="216"/>
      <c r="AT719" s="192"/>
      <c r="AU719" s="192"/>
      <c r="AV719" s="192"/>
      <c r="AW719" s="192"/>
      <c r="AX719" s="192"/>
      <c r="AY719" s="212"/>
      <c r="AZ719" s="213"/>
      <c r="BA719" s="213"/>
      <c r="BB719" s="213"/>
      <c r="BC719" s="212"/>
      <c r="BD719" s="213"/>
      <c r="BE719" s="213"/>
      <c r="BF719" s="213"/>
      <c r="BG719" s="212"/>
      <c r="BH719" s="213"/>
      <c r="BI719" s="213"/>
      <c r="BJ719" s="213"/>
      <c r="BK719" s="213"/>
      <c r="BL719" s="212"/>
      <c r="BM719" s="213"/>
      <c r="BN719" s="213"/>
      <c r="BO719" s="213"/>
      <c r="BP719" s="213"/>
      <c r="BQ719" s="192"/>
      <c r="BR719" s="192"/>
    </row>
    <row r="720">
      <c r="A720" s="60"/>
      <c r="E720" s="215"/>
      <c r="F720" s="215"/>
      <c r="G720" s="215"/>
      <c r="L720" s="216"/>
      <c r="M720" s="216"/>
      <c r="N720" s="216"/>
      <c r="O720" s="217"/>
      <c r="P720" s="217"/>
      <c r="Q720" s="217"/>
      <c r="R720" s="217"/>
      <c r="S720" s="218"/>
      <c r="X720" s="218"/>
      <c r="AD720" s="216"/>
      <c r="AO720" s="216"/>
      <c r="AP720" s="216"/>
      <c r="AQ720" s="216"/>
      <c r="AR720" s="216"/>
      <c r="AT720" s="192"/>
      <c r="AU720" s="192"/>
      <c r="AV720" s="192"/>
      <c r="AW720" s="192"/>
      <c r="AX720" s="192"/>
      <c r="AY720" s="212"/>
      <c r="AZ720" s="213"/>
      <c r="BA720" s="213"/>
      <c r="BB720" s="213"/>
      <c r="BC720" s="212"/>
      <c r="BD720" s="213"/>
      <c r="BE720" s="213"/>
      <c r="BF720" s="213"/>
      <c r="BG720" s="212"/>
      <c r="BH720" s="213"/>
      <c r="BI720" s="213"/>
      <c r="BJ720" s="213"/>
      <c r="BK720" s="213"/>
      <c r="BL720" s="212"/>
      <c r="BM720" s="213"/>
      <c r="BN720" s="213"/>
      <c r="BO720" s="213"/>
      <c r="BP720" s="213"/>
      <c r="BQ720" s="192"/>
      <c r="BR720" s="192"/>
    </row>
    <row r="721">
      <c r="A721" s="60"/>
      <c r="E721" s="215"/>
      <c r="F721" s="215"/>
      <c r="G721" s="215"/>
      <c r="L721" s="216"/>
      <c r="M721" s="216"/>
      <c r="N721" s="216"/>
      <c r="O721" s="217"/>
      <c r="P721" s="217"/>
      <c r="Q721" s="217"/>
      <c r="R721" s="217"/>
      <c r="S721" s="218"/>
      <c r="X721" s="218"/>
      <c r="AD721" s="216"/>
      <c r="AO721" s="216"/>
      <c r="AP721" s="216"/>
      <c r="AQ721" s="216"/>
      <c r="AR721" s="216"/>
      <c r="AT721" s="192"/>
      <c r="AU721" s="192"/>
      <c r="AV721" s="192"/>
      <c r="AW721" s="192"/>
      <c r="AX721" s="192"/>
      <c r="AY721" s="212"/>
      <c r="AZ721" s="213"/>
      <c r="BA721" s="213"/>
      <c r="BB721" s="213"/>
      <c r="BC721" s="212"/>
      <c r="BD721" s="213"/>
      <c r="BE721" s="213"/>
      <c r="BF721" s="213"/>
      <c r="BG721" s="212"/>
      <c r="BH721" s="213"/>
      <c r="BI721" s="213"/>
      <c r="BJ721" s="213"/>
      <c r="BK721" s="213"/>
      <c r="BL721" s="212"/>
      <c r="BM721" s="213"/>
      <c r="BN721" s="213"/>
      <c r="BO721" s="213"/>
      <c r="BP721" s="213"/>
      <c r="BQ721" s="192"/>
      <c r="BR721" s="192"/>
    </row>
    <row r="722">
      <c r="A722" s="60"/>
      <c r="E722" s="215"/>
      <c r="F722" s="215"/>
      <c r="G722" s="215"/>
      <c r="L722" s="216"/>
      <c r="M722" s="216"/>
      <c r="N722" s="216"/>
      <c r="O722" s="217"/>
      <c r="P722" s="217"/>
      <c r="Q722" s="217"/>
      <c r="R722" s="217"/>
      <c r="S722" s="218"/>
      <c r="X722" s="218"/>
      <c r="AD722" s="216"/>
      <c r="AO722" s="216"/>
      <c r="AP722" s="216"/>
      <c r="AQ722" s="216"/>
      <c r="AR722" s="216"/>
      <c r="AT722" s="192"/>
      <c r="AU722" s="192"/>
      <c r="AV722" s="192"/>
      <c r="AW722" s="192"/>
      <c r="AX722" s="192"/>
      <c r="AY722" s="212"/>
      <c r="AZ722" s="213"/>
      <c r="BA722" s="213"/>
      <c r="BB722" s="213"/>
      <c r="BC722" s="212"/>
      <c r="BD722" s="213"/>
      <c r="BE722" s="213"/>
      <c r="BF722" s="213"/>
      <c r="BG722" s="212"/>
      <c r="BH722" s="213"/>
      <c r="BI722" s="213"/>
      <c r="BJ722" s="213"/>
      <c r="BK722" s="213"/>
      <c r="BL722" s="212"/>
      <c r="BM722" s="213"/>
      <c r="BN722" s="213"/>
      <c r="BO722" s="213"/>
      <c r="BP722" s="213"/>
      <c r="BQ722" s="192"/>
      <c r="BR722" s="192"/>
    </row>
    <row r="723">
      <c r="A723" s="60"/>
      <c r="E723" s="215"/>
      <c r="F723" s="215"/>
      <c r="G723" s="215"/>
      <c r="L723" s="216"/>
      <c r="M723" s="216"/>
      <c r="N723" s="216"/>
      <c r="O723" s="217"/>
      <c r="P723" s="217"/>
      <c r="Q723" s="217"/>
      <c r="R723" s="217"/>
      <c r="S723" s="218"/>
      <c r="X723" s="218"/>
      <c r="AD723" s="216"/>
      <c r="AO723" s="216"/>
      <c r="AP723" s="216"/>
      <c r="AQ723" s="216"/>
      <c r="AR723" s="216"/>
      <c r="AT723" s="192"/>
      <c r="AU723" s="192"/>
      <c r="AV723" s="192"/>
      <c r="AW723" s="192"/>
      <c r="AX723" s="192"/>
      <c r="AY723" s="212"/>
      <c r="AZ723" s="213"/>
      <c r="BA723" s="213"/>
      <c r="BB723" s="213"/>
      <c r="BC723" s="212"/>
      <c r="BD723" s="213"/>
      <c r="BE723" s="213"/>
      <c r="BF723" s="213"/>
      <c r="BG723" s="212"/>
      <c r="BH723" s="213"/>
      <c r="BI723" s="213"/>
      <c r="BJ723" s="213"/>
      <c r="BK723" s="213"/>
      <c r="BL723" s="212"/>
      <c r="BM723" s="213"/>
      <c r="BN723" s="213"/>
      <c r="BO723" s="213"/>
      <c r="BP723" s="213"/>
      <c r="BQ723" s="192"/>
      <c r="BR723" s="192"/>
    </row>
    <row r="724">
      <c r="A724" s="60"/>
      <c r="E724" s="215"/>
      <c r="F724" s="215"/>
      <c r="G724" s="215"/>
      <c r="L724" s="216"/>
      <c r="M724" s="216"/>
      <c r="N724" s="216"/>
      <c r="O724" s="217"/>
      <c r="P724" s="217"/>
      <c r="Q724" s="217"/>
      <c r="R724" s="217"/>
      <c r="S724" s="218"/>
      <c r="X724" s="218"/>
      <c r="AD724" s="216"/>
      <c r="AO724" s="216"/>
      <c r="AP724" s="216"/>
      <c r="AQ724" s="216"/>
      <c r="AR724" s="216"/>
      <c r="AT724" s="192"/>
      <c r="AU724" s="192"/>
      <c r="AV724" s="192"/>
      <c r="AW724" s="192"/>
      <c r="AX724" s="192"/>
      <c r="AY724" s="212"/>
      <c r="AZ724" s="213"/>
      <c r="BA724" s="213"/>
      <c r="BB724" s="213"/>
      <c r="BC724" s="212"/>
      <c r="BD724" s="213"/>
      <c r="BE724" s="213"/>
      <c r="BF724" s="213"/>
      <c r="BG724" s="212"/>
      <c r="BH724" s="213"/>
      <c r="BI724" s="213"/>
      <c r="BJ724" s="213"/>
      <c r="BK724" s="213"/>
      <c r="BL724" s="212"/>
      <c r="BM724" s="213"/>
      <c r="BN724" s="213"/>
      <c r="BO724" s="213"/>
      <c r="BP724" s="213"/>
      <c r="BQ724" s="192"/>
      <c r="BR724" s="192"/>
    </row>
    <row r="725">
      <c r="A725" s="60"/>
      <c r="E725" s="215"/>
      <c r="F725" s="215"/>
      <c r="G725" s="215"/>
      <c r="L725" s="216"/>
      <c r="M725" s="216"/>
      <c r="N725" s="216"/>
      <c r="O725" s="217"/>
      <c r="P725" s="217"/>
      <c r="Q725" s="217"/>
      <c r="R725" s="217"/>
      <c r="S725" s="218"/>
      <c r="X725" s="218"/>
      <c r="AD725" s="216"/>
      <c r="AO725" s="216"/>
      <c r="AP725" s="216"/>
      <c r="AQ725" s="216"/>
      <c r="AR725" s="216"/>
      <c r="AT725" s="192"/>
      <c r="AU725" s="192"/>
      <c r="AV725" s="192"/>
      <c r="AW725" s="192"/>
      <c r="AX725" s="192"/>
      <c r="AY725" s="212"/>
      <c r="AZ725" s="213"/>
      <c r="BA725" s="213"/>
      <c r="BB725" s="213"/>
      <c r="BC725" s="212"/>
      <c r="BD725" s="213"/>
      <c r="BE725" s="213"/>
      <c r="BF725" s="213"/>
      <c r="BG725" s="212"/>
      <c r="BH725" s="213"/>
      <c r="BI725" s="213"/>
      <c r="BJ725" s="213"/>
      <c r="BK725" s="213"/>
      <c r="BL725" s="212"/>
      <c r="BM725" s="213"/>
      <c r="BN725" s="213"/>
      <c r="BO725" s="213"/>
      <c r="BP725" s="213"/>
      <c r="BQ725" s="192"/>
      <c r="BR725" s="192"/>
    </row>
    <row r="726">
      <c r="A726" s="60"/>
      <c r="E726" s="215"/>
      <c r="F726" s="215"/>
      <c r="G726" s="215"/>
      <c r="L726" s="216"/>
      <c r="M726" s="216"/>
      <c r="N726" s="216"/>
      <c r="O726" s="217"/>
      <c r="P726" s="217"/>
      <c r="Q726" s="217"/>
      <c r="R726" s="217"/>
      <c r="S726" s="218"/>
      <c r="X726" s="218"/>
      <c r="AD726" s="216"/>
      <c r="AO726" s="216"/>
      <c r="AP726" s="216"/>
      <c r="AQ726" s="216"/>
      <c r="AR726" s="216"/>
      <c r="AT726" s="192"/>
      <c r="AU726" s="192"/>
      <c r="AV726" s="192"/>
      <c r="AW726" s="192"/>
      <c r="AX726" s="192"/>
      <c r="AY726" s="212"/>
      <c r="AZ726" s="213"/>
      <c r="BA726" s="213"/>
      <c r="BB726" s="213"/>
      <c r="BC726" s="212"/>
      <c r="BD726" s="213"/>
      <c r="BE726" s="213"/>
      <c r="BF726" s="213"/>
      <c r="BG726" s="212"/>
      <c r="BH726" s="213"/>
      <c r="BI726" s="213"/>
      <c r="BJ726" s="213"/>
      <c r="BK726" s="213"/>
      <c r="BL726" s="212"/>
      <c r="BM726" s="213"/>
      <c r="BN726" s="213"/>
      <c r="BO726" s="213"/>
      <c r="BP726" s="213"/>
      <c r="BQ726" s="192"/>
      <c r="BR726" s="192"/>
    </row>
    <row r="727">
      <c r="A727" s="60"/>
      <c r="E727" s="215"/>
      <c r="F727" s="215"/>
      <c r="G727" s="215"/>
      <c r="L727" s="216"/>
      <c r="M727" s="216"/>
      <c r="N727" s="216"/>
      <c r="O727" s="217"/>
      <c r="P727" s="217"/>
      <c r="Q727" s="217"/>
      <c r="R727" s="217"/>
      <c r="S727" s="218"/>
      <c r="X727" s="218"/>
      <c r="AD727" s="216"/>
      <c r="AO727" s="216"/>
      <c r="AP727" s="216"/>
      <c r="AQ727" s="216"/>
      <c r="AR727" s="216"/>
      <c r="AT727" s="192"/>
      <c r="AU727" s="192"/>
      <c r="AV727" s="192"/>
      <c r="AW727" s="192"/>
      <c r="AX727" s="192"/>
      <c r="AY727" s="212"/>
      <c r="AZ727" s="213"/>
      <c r="BA727" s="213"/>
      <c r="BB727" s="213"/>
      <c r="BC727" s="212"/>
      <c r="BD727" s="213"/>
      <c r="BE727" s="213"/>
      <c r="BF727" s="213"/>
      <c r="BG727" s="212"/>
      <c r="BH727" s="213"/>
      <c r="BI727" s="213"/>
      <c r="BJ727" s="213"/>
      <c r="BK727" s="213"/>
      <c r="BL727" s="212"/>
      <c r="BM727" s="213"/>
      <c r="BN727" s="213"/>
      <c r="BO727" s="213"/>
      <c r="BP727" s="213"/>
      <c r="BQ727" s="192"/>
      <c r="BR727" s="192"/>
    </row>
    <row r="728">
      <c r="A728" s="60"/>
      <c r="E728" s="215"/>
      <c r="F728" s="215"/>
      <c r="G728" s="215"/>
      <c r="L728" s="216"/>
      <c r="M728" s="216"/>
      <c r="N728" s="216"/>
      <c r="O728" s="217"/>
      <c r="P728" s="217"/>
      <c r="Q728" s="217"/>
      <c r="R728" s="217"/>
      <c r="S728" s="218"/>
      <c r="X728" s="218"/>
      <c r="AD728" s="216"/>
      <c r="AO728" s="216"/>
      <c r="AP728" s="216"/>
      <c r="AQ728" s="216"/>
      <c r="AR728" s="216"/>
      <c r="AT728" s="192"/>
      <c r="AU728" s="192"/>
      <c r="AV728" s="192"/>
      <c r="AW728" s="192"/>
      <c r="AX728" s="192"/>
      <c r="AY728" s="212"/>
      <c r="AZ728" s="213"/>
      <c r="BA728" s="213"/>
      <c r="BB728" s="213"/>
      <c r="BC728" s="212"/>
      <c r="BD728" s="213"/>
      <c r="BE728" s="213"/>
      <c r="BF728" s="213"/>
      <c r="BG728" s="212"/>
      <c r="BH728" s="213"/>
      <c r="BI728" s="213"/>
      <c r="BJ728" s="213"/>
      <c r="BK728" s="213"/>
      <c r="BL728" s="212"/>
      <c r="BM728" s="213"/>
      <c r="BN728" s="213"/>
      <c r="BO728" s="213"/>
      <c r="BP728" s="213"/>
      <c r="BQ728" s="192"/>
      <c r="BR728" s="192"/>
    </row>
    <row r="729">
      <c r="A729" s="60"/>
      <c r="E729" s="215"/>
      <c r="F729" s="215"/>
      <c r="G729" s="215"/>
      <c r="L729" s="216"/>
      <c r="M729" s="216"/>
      <c r="N729" s="216"/>
      <c r="O729" s="217"/>
      <c r="P729" s="217"/>
      <c r="Q729" s="217"/>
      <c r="R729" s="217"/>
      <c r="S729" s="218"/>
      <c r="X729" s="218"/>
      <c r="AD729" s="216"/>
      <c r="AO729" s="216"/>
      <c r="AP729" s="216"/>
      <c r="AQ729" s="216"/>
      <c r="AR729" s="216"/>
      <c r="AT729" s="192"/>
      <c r="AU729" s="192"/>
      <c r="AV729" s="192"/>
      <c r="AW729" s="192"/>
      <c r="AX729" s="192"/>
      <c r="AY729" s="212"/>
      <c r="AZ729" s="213"/>
      <c r="BA729" s="213"/>
      <c r="BB729" s="213"/>
      <c r="BC729" s="212"/>
      <c r="BD729" s="213"/>
      <c r="BE729" s="213"/>
      <c r="BF729" s="213"/>
      <c r="BG729" s="212"/>
      <c r="BH729" s="213"/>
      <c r="BI729" s="213"/>
      <c r="BJ729" s="213"/>
      <c r="BK729" s="213"/>
      <c r="BL729" s="212"/>
      <c r="BM729" s="213"/>
      <c r="BN729" s="213"/>
      <c r="BO729" s="213"/>
      <c r="BP729" s="213"/>
      <c r="BQ729" s="192"/>
      <c r="BR729" s="192"/>
    </row>
    <row r="730">
      <c r="A730" s="60"/>
      <c r="E730" s="215"/>
      <c r="F730" s="215"/>
      <c r="G730" s="215"/>
      <c r="L730" s="216"/>
      <c r="M730" s="216"/>
      <c r="N730" s="216"/>
      <c r="O730" s="217"/>
      <c r="P730" s="217"/>
      <c r="Q730" s="217"/>
      <c r="R730" s="217"/>
      <c r="S730" s="218"/>
      <c r="X730" s="218"/>
      <c r="AD730" s="216"/>
      <c r="AO730" s="216"/>
      <c r="AP730" s="216"/>
      <c r="AQ730" s="216"/>
      <c r="AR730" s="216"/>
      <c r="AT730" s="192"/>
      <c r="AU730" s="192"/>
      <c r="AV730" s="192"/>
      <c r="AW730" s="192"/>
      <c r="AX730" s="192"/>
      <c r="AY730" s="212"/>
      <c r="AZ730" s="213"/>
      <c r="BA730" s="213"/>
      <c r="BB730" s="213"/>
      <c r="BC730" s="212"/>
      <c r="BD730" s="213"/>
      <c r="BE730" s="213"/>
      <c r="BF730" s="213"/>
      <c r="BG730" s="212"/>
      <c r="BH730" s="213"/>
      <c r="BI730" s="213"/>
      <c r="BJ730" s="213"/>
      <c r="BK730" s="213"/>
      <c r="BL730" s="212"/>
      <c r="BM730" s="213"/>
      <c r="BN730" s="213"/>
      <c r="BO730" s="213"/>
      <c r="BP730" s="213"/>
      <c r="BQ730" s="192"/>
      <c r="BR730" s="192"/>
    </row>
    <row r="731">
      <c r="A731" s="60"/>
      <c r="E731" s="215"/>
      <c r="F731" s="215"/>
      <c r="G731" s="215"/>
      <c r="L731" s="216"/>
      <c r="M731" s="216"/>
      <c r="N731" s="216"/>
      <c r="O731" s="217"/>
      <c r="P731" s="217"/>
      <c r="Q731" s="217"/>
      <c r="R731" s="217"/>
      <c r="S731" s="218"/>
      <c r="X731" s="218"/>
      <c r="AD731" s="216"/>
      <c r="AO731" s="216"/>
      <c r="AP731" s="216"/>
      <c r="AQ731" s="216"/>
      <c r="AR731" s="216"/>
      <c r="AT731" s="192"/>
      <c r="AU731" s="192"/>
      <c r="AV731" s="192"/>
      <c r="AW731" s="192"/>
      <c r="AX731" s="192"/>
      <c r="AY731" s="212"/>
      <c r="AZ731" s="213"/>
      <c r="BA731" s="213"/>
      <c r="BB731" s="213"/>
      <c r="BC731" s="212"/>
      <c r="BD731" s="213"/>
      <c r="BE731" s="213"/>
      <c r="BF731" s="213"/>
      <c r="BG731" s="212"/>
      <c r="BH731" s="213"/>
      <c r="BI731" s="213"/>
      <c r="BJ731" s="213"/>
      <c r="BK731" s="213"/>
      <c r="BL731" s="212"/>
      <c r="BM731" s="213"/>
      <c r="BN731" s="213"/>
      <c r="BO731" s="213"/>
      <c r="BP731" s="213"/>
      <c r="BQ731" s="192"/>
      <c r="BR731" s="192"/>
    </row>
    <row r="732">
      <c r="A732" s="60"/>
      <c r="E732" s="215"/>
      <c r="F732" s="215"/>
      <c r="G732" s="215"/>
      <c r="L732" s="216"/>
      <c r="M732" s="216"/>
      <c r="N732" s="216"/>
      <c r="O732" s="217"/>
      <c r="P732" s="217"/>
      <c r="Q732" s="217"/>
      <c r="R732" s="217"/>
      <c r="S732" s="218"/>
      <c r="X732" s="218"/>
      <c r="AD732" s="216"/>
      <c r="AO732" s="216"/>
      <c r="AP732" s="216"/>
      <c r="AQ732" s="216"/>
      <c r="AR732" s="216"/>
      <c r="AT732" s="192"/>
      <c r="AU732" s="192"/>
      <c r="AV732" s="192"/>
      <c r="AW732" s="192"/>
      <c r="AX732" s="192"/>
      <c r="AY732" s="212"/>
      <c r="AZ732" s="213"/>
      <c r="BA732" s="213"/>
      <c r="BB732" s="213"/>
      <c r="BC732" s="212"/>
      <c r="BD732" s="213"/>
      <c r="BE732" s="213"/>
      <c r="BF732" s="213"/>
      <c r="BG732" s="212"/>
      <c r="BH732" s="213"/>
      <c r="BI732" s="213"/>
      <c r="BJ732" s="213"/>
      <c r="BK732" s="213"/>
      <c r="BL732" s="212"/>
      <c r="BM732" s="213"/>
      <c r="BN732" s="213"/>
      <c r="BO732" s="213"/>
      <c r="BP732" s="213"/>
      <c r="BQ732" s="192"/>
      <c r="BR732" s="192"/>
    </row>
    <row r="733">
      <c r="A733" s="60"/>
      <c r="E733" s="215"/>
      <c r="F733" s="215"/>
      <c r="G733" s="215"/>
      <c r="L733" s="216"/>
      <c r="M733" s="216"/>
      <c r="N733" s="216"/>
      <c r="O733" s="217"/>
      <c r="P733" s="217"/>
      <c r="Q733" s="217"/>
      <c r="R733" s="217"/>
      <c r="S733" s="218"/>
      <c r="X733" s="218"/>
      <c r="AD733" s="216"/>
      <c r="AO733" s="216"/>
      <c r="AP733" s="216"/>
      <c r="AQ733" s="216"/>
      <c r="AR733" s="216"/>
      <c r="AT733" s="192"/>
      <c r="AU733" s="192"/>
      <c r="AV733" s="192"/>
      <c r="AW733" s="192"/>
      <c r="AX733" s="192"/>
      <c r="AY733" s="212"/>
      <c r="AZ733" s="213"/>
      <c r="BA733" s="213"/>
      <c r="BB733" s="213"/>
      <c r="BC733" s="212"/>
      <c r="BD733" s="213"/>
      <c r="BE733" s="213"/>
      <c r="BF733" s="213"/>
      <c r="BG733" s="212"/>
      <c r="BH733" s="213"/>
      <c r="BI733" s="213"/>
      <c r="BJ733" s="213"/>
      <c r="BK733" s="213"/>
      <c r="BL733" s="212"/>
      <c r="BM733" s="213"/>
      <c r="BN733" s="213"/>
      <c r="BO733" s="213"/>
      <c r="BP733" s="213"/>
      <c r="BQ733" s="192"/>
      <c r="BR733" s="192"/>
    </row>
    <row r="734">
      <c r="A734" s="60"/>
      <c r="E734" s="215"/>
      <c r="F734" s="215"/>
      <c r="G734" s="215"/>
      <c r="L734" s="216"/>
      <c r="M734" s="216"/>
      <c r="N734" s="216"/>
      <c r="O734" s="217"/>
      <c r="P734" s="217"/>
      <c r="Q734" s="217"/>
      <c r="R734" s="217"/>
      <c r="S734" s="218"/>
      <c r="X734" s="218"/>
      <c r="AD734" s="216"/>
      <c r="AO734" s="216"/>
      <c r="AP734" s="216"/>
      <c r="AQ734" s="216"/>
      <c r="AR734" s="216"/>
      <c r="AT734" s="192"/>
      <c r="AU734" s="192"/>
      <c r="AV734" s="192"/>
      <c r="AW734" s="192"/>
      <c r="AX734" s="192"/>
      <c r="AY734" s="212"/>
      <c r="AZ734" s="213"/>
      <c r="BA734" s="213"/>
      <c r="BB734" s="213"/>
      <c r="BC734" s="212"/>
      <c r="BD734" s="213"/>
      <c r="BE734" s="213"/>
      <c r="BF734" s="213"/>
      <c r="BG734" s="212"/>
      <c r="BH734" s="213"/>
      <c r="BI734" s="213"/>
      <c r="BJ734" s="213"/>
      <c r="BK734" s="213"/>
      <c r="BL734" s="212"/>
      <c r="BM734" s="213"/>
      <c r="BN734" s="213"/>
      <c r="BO734" s="213"/>
      <c r="BP734" s="213"/>
      <c r="BQ734" s="192"/>
      <c r="BR734" s="192"/>
    </row>
    <row r="735">
      <c r="A735" s="60"/>
      <c r="E735" s="215"/>
      <c r="F735" s="215"/>
      <c r="G735" s="215"/>
      <c r="L735" s="216"/>
      <c r="M735" s="216"/>
      <c r="N735" s="216"/>
      <c r="O735" s="217"/>
      <c r="P735" s="217"/>
      <c r="Q735" s="217"/>
      <c r="R735" s="217"/>
      <c r="S735" s="218"/>
      <c r="X735" s="218"/>
      <c r="AD735" s="216"/>
      <c r="AO735" s="216"/>
      <c r="AP735" s="216"/>
      <c r="AQ735" s="216"/>
      <c r="AR735" s="216"/>
      <c r="AT735" s="192"/>
      <c r="AU735" s="192"/>
      <c r="AV735" s="192"/>
      <c r="AW735" s="192"/>
      <c r="AX735" s="192"/>
      <c r="AY735" s="212"/>
      <c r="AZ735" s="213"/>
      <c r="BA735" s="213"/>
      <c r="BB735" s="213"/>
      <c r="BC735" s="212"/>
      <c r="BD735" s="213"/>
      <c r="BE735" s="213"/>
      <c r="BF735" s="213"/>
      <c r="BG735" s="212"/>
      <c r="BH735" s="213"/>
      <c r="BI735" s="213"/>
      <c r="BJ735" s="213"/>
      <c r="BK735" s="213"/>
      <c r="BL735" s="212"/>
      <c r="BM735" s="213"/>
      <c r="BN735" s="213"/>
      <c r="BO735" s="213"/>
      <c r="BP735" s="213"/>
      <c r="BQ735" s="192"/>
      <c r="BR735" s="192"/>
    </row>
    <row r="736">
      <c r="A736" s="60"/>
      <c r="E736" s="215"/>
      <c r="F736" s="215"/>
      <c r="G736" s="215"/>
      <c r="L736" s="216"/>
      <c r="M736" s="216"/>
      <c r="N736" s="216"/>
      <c r="O736" s="217"/>
      <c r="P736" s="217"/>
      <c r="Q736" s="217"/>
      <c r="R736" s="217"/>
      <c r="S736" s="218"/>
      <c r="X736" s="218"/>
      <c r="AD736" s="216"/>
      <c r="AO736" s="216"/>
      <c r="AP736" s="216"/>
      <c r="AQ736" s="216"/>
      <c r="AR736" s="216"/>
      <c r="AT736" s="192"/>
      <c r="AU736" s="192"/>
      <c r="AV736" s="192"/>
      <c r="AW736" s="192"/>
      <c r="AX736" s="192"/>
      <c r="AY736" s="212"/>
      <c r="AZ736" s="213"/>
      <c r="BA736" s="213"/>
      <c r="BB736" s="213"/>
      <c r="BC736" s="212"/>
      <c r="BD736" s="213"/>
      <c r="BE736" s="213"/>
      <c r="BF736" s="213"/>
      <c r="BG736" s="212"/>
      <c r="BH736" s="213"/>
      <c r="BI736" s="213"/>
      <c r="BJ736" s="213"/>
      <c r="BK736" s="213"/>
      <c r="BL736" s="212"/>
      <c r="BM736" s="213"/>
      <c r="BN736" s="213"/>
      <c r="BO736" s="213"/>
      <c r="BP736" s="213"/>
      <c r="BQ736" s="192"/>
      <c r="BR736" s="192"/>
    </row>
    <row r="737">
      <c r="A737" s="60"/>
      <c r="E737" s="215"/>
      <c r="F737" s="215"/>
      <c r="G737" s="215"/>
      <c r="L737" s="216"/>
      <c r="M737" s="216"/>
      <c r="N737" s="216"/>
      <c r="O737" s="217"/>
      <c r="P737" s="217"/>
      <c r="Q737" s="217"/>
      <c r="R737" s="217"/>
      <c r="S737" s="218"/>
      <c r="X737" s="218"/>
      <c r="AD737" s="216"/>
      <c r="AO737" s="216"/>
      <c r="AP737" s="216"/>
      <c r="AQ737" s="216"/>
      <c r="AR737" s="216"/>
      <c r="AT737" s="192"/>
      <c r="AU737" s="192"/>
      <c r="AV737" s="192"/>
      <c r="AW737" s="192"/>
      <c r="AX737" s="192"/>
      <c r="AY737" s="212"/>
      <c r="AZ737" s="213"/>
      <c r="BA737" s="213"/>
      <c r="BB737" s="213"/>
      <c r="BC737" s="212"/>
      <c r="BD737" s="213"/>
      <c r="BE737" s="213"/>
      <c r="BF737" s="213"/>
      <c r="BG737" s="212"/>
      <c r="BH737" s="213"/>
      <c r="BI737" s="213"/>
      <c r="BJ737" s="213"/>
      <c r="BK737" s="213"/>
      <c r="BL737" s="212"/>
      <c r="BM737" s="213"/>
      <c r="BN737" s="213"/>
      <c r="BO737" s="213"/>
      <c r="BP737" s="213"/>
      <c r="BQ737" s="192"/>
      <c r="BR737" s="192"/>
    </row>
    <row r="738">
      <c r="A738" s="60"/>
      <c r="E738" s="215"/>
      <c r="F738" s="215"/>
      <c r="G738" s="215"/>
      <c r="L738" s="216"/>
      <c r="M738" s="216"/>
      <c r="N738" s="216"/>
      <c r="O738" s="217"/>
      <c r="P738" s="217"/>
      <c r="Q738" s="217"/>
      <c r="R738" s="217"/>
      <c r="S738" s="218"/>
      <c r="X738" s="218"/>
      <c r="AD738" s="216"/>
      <c r="AO738" s="216"/>
      <c r="AP738" s="216"/>
      <c r="AQ738" s="216"/>
      <c r="AR738" s="216"/>
      <c r="AT738" s="192"/>
      <c r="AU738" s="192"/>
      <c r="AV738" s="192"/>
      <c r="AW738" s="192"/>
      <c r="AX738" s="192"/>
      <c r="AY738" s="212"/>
      <c r="AZ738" s="213"/>
      <c r="BA738" s="213"/>
      <c r="BB738" s="213"/>
      <c r="BC738" s="212"/>
      <c r="BD738" s="213"/>
      <c r="BE738" s="213"/>
      <c r="BF738" s="213"/>
      <c r="BG738" s="212"/>
      <c r="BH738" s="213"/>
      <c r="BI738" s="213"/>
      <c r="BJ738" s="213"/>
      <c r="BK738" s="213"/>
      <c r="BL738" s="212"/>
      <c r="BM738" s="213"/>
      <c r="BN738" s="213"/>
      <c r="BO738" s="213"/>
      <c r="BP738" s="213"/>
      <c r="BQ738" s="192"/>
      <c r="BR738" s="192"/>
    </row>
    <row r="739">
      <c r="A739" s="60"/>
      <c r="E739" s="215"/>
      <c r="F739" s="215"/>
      <c r="G739" s="215"/>
      <c r="L739" s="216"/>
      <c r="M739" s="216"/>
      <c r="N739" s="216"/>
      <c r="O739" s="217"/>
      <c r="P739" s="217"/>
      <c r="Q739" s="217"/>
      <c r="R739" s="217"/>
      <c r="S739" s="218"/>
      <c r="X739" s="218"/>
      <c r="AD739" s="216"/>
      <c r="AO739" s="216"/>
      <c r="AP739" s="216"/>
      <c r="AQ739" s="216"/>
      <c r="AR739" s="216"/>
      <c r="AT739" s="192"/>
      <c r="AU739" s="192"/>
      <c r="AV739" s="192"/>
      <c r="AW739" s="192"/>
      <c r="AX739" s="192"/>
      <c r="AY739" s="212"/>
      <c r="AZ739" s="213"/>
      <c r="BA739" s="213"/>
      <c r="BB739" s="213"/>
      <c r="BC739" s="212"/>
      <c r="BD739" s="213"/>
      <c r="BE739" s="213"/>
      <c r="BF739" s="213"/>
      <c r="BG739" s="212"/>
      <c r="BH739" s="213"/>
      <c r="BI739" s="213"/>
      <c r="BJ739" s="213"/>
      <c r="BK739" s="213"/>
      <c r="BL739" s="212"/>
      <c r="BM739" s="213"/>
      <c r="BN739" s="213"/>
      <c r="BO739" s="213"/>
      <c r="BP739" s="213"/>
      <c r="BQ739" s="192"/>
      <c r="BR739" s="192"/>
    </row>
    <row r="740">
      <c r="A740" s="60"/>
      <c r="E740" s="215"/>
      <c r="F740" s="215"/>
      <c r="G740" s="215"/>
      <c r="L740" s="216"/>
      <c r="M740" s="216"/>
      <c r="N740" s="216"/>
      <c r="O740" s="217"/>
      <c r="P740" s="217"/>
      <c r="Q740" s="217"/>
      <c r="R740" s="217"/>
      <c r="S740" s="218"/>
      <c r="X740" s="218"/>
      <c r="AD740" s="216"/>
      <c r="AO740" s="216"/>
      <c r="AP740" s="216"/>
      <c r="AQ740" s="216"/>
      <c r="AR740" s="216"/>
      <c r="AT740" s="192"/>
      <c r="AU740" s="192"/>
      <c r="AV740" s="192"/>
      <c r="AW740" s="192"/>
      <c r="AX740" s="192"/>
      <c r="AY740" s="212"/>
      <c r="AZ740" s="213"/>
      <c r="BA740" s="213"/>
      <c r="BB740" s="213"/>
      <c r="BC740" s="212"/>
      <c r="BD740" s="213"/>
      <c r="BE740" s="213"/>
      <c r="BF740" s="213"/>
      <c r="BG740" s="212"/>
      <c r="BH740" s="213"/>
      <c r="BI740" s="213"/>
      <c r="BJ740" s="213"/>
      <c r="BK740" s="213"/>
      <c r="BL740" s="212"/>
      <c r="BM740" s="213"/>
      <c r="BN740" s="213"/>
      <c r="BO740" s="213"/>
      <c r="BP740" s="213"/>
      <c r="BQ740" s="192"/>
      <c r="BR740" s="192"/>
    </row>
    <row r="741">
      <c r="A741" s="60"/>
      <c r="E741" s="215"/>
      <c r="F741" s="215"/>
      <c r="G741" s="215"/>
      <c r="L741" s="216"/>
      <c r="M741" s="216"/>
      <c r="N741" s="216"/>
      <c r="O741" s="217"/>
      <c r="P741" s="217"/>
      <c r="Q741" s="217"/>
      <c r="R741" s="217"/>
      <c r="S741" s="218"/>
      <c r="X741" s="218"/>
      <c r="AD741" s="216"/>
      <c r="AO741" s="216"/>
      <c r="AP741" s="216"/>
      <c r="AQ741" s="216"/>
      <c r="AR741" s="216"/>
      <c r="AT741" s="192"/>
      <c r="AU741" s="192"/>
      <c r="AV741" s="192"/>
      <c r="AW741" s="192"/>
      <c r="AX741" s="192"/>
      <c r="AY741" s="212"/>
      <c r="AZ741" s="213"/>
      <c r="BA741" s="213"/>
      <c r="BB741" s="213"/>
      <c r="BC741" s="212"/>
      <c r="BD741" s="213"/>
      <c r="BE741" s="213"/>
      <c r="BF741" s="213"/>
      <c r="BG741" s="212"/>
      <c r="BH741" s="213"/>
      <c r="BI741" s="213"/>
      <c r="BJ741" s="213"/>
      <c r="BK741" s="213"/>
      <c r="BL741" s="212"/>
      <c r="BM741" s="213"/>
      <c r="BN741" s="213"/>
      <c r="BO741" s="213"/>
      <c r="BP741" s="213"/>
      <c r="BQ741" s="192"/>
      <c r="BR741" s="192"/>
    </row>
    <row r="742">
      <c r="A742" s="60"/>
      <c r="E742" s="215"/>
      <c r="F742" s="215"/>
      <c r="G742" s="215"/>
      <c r="L742" s="216"/>
      <c r="M742" s="216"/>
      <c r="N742" s="216"/>
      <c r="O742" s="217"/>
      <c r="P742" s="217"/>
      <c r="Q742" s="217"/>
      <c r="R742" s="217"/>
      <c r="S742" s="218"/>
      <c r="X742" s="218"/>
      <c r="AD742" s="216"/>
      <c r="AO742" s="216"/>
      <c r="AP742" s="216"/>
      <c r="AQ742" s="216"/>
      <c r="AR742" s="216"/>
      <c r="AT742" s="192"/>
      <c r="AU742" s="192"/>
      <c r="AV742" s="192"/>
      <c r="AW742" s="192"/>
      <c r="AX742" s="192"/>
      <c r="AY742" s="212"/>
      <c r="AZ742" s="213"/>
      <c r="BA742" s="213"/>
      <c r="BB742" s="213"/>
      <c r="BC742" s="212"/>
      <c r="BD742" s="213"/>
      <c r="BE742" s="213"/>
      <c r="BF742" s="213"/>
      <c r="BG742" s="212"/>
      <c r="BH742" s="213"/>
      <c r="BI742" s="213"/>
      <c r="BJ742" s="213"/>
      <c r="BK742" s="213"/>
      <c r="BL742" s="212"/>
      <c r="BM742" s="213"/>
      <c r="BN742" s="213"/>
      <c r="BO742" s="213"/>
      <c r="BP742" s="213"/>
      <c r="BQ742" s="192"/>
      <c r="BR742" s="192"/>
    </row>
    <row r="743">
      <c r="A743" s="60"/>
      <c r="E743" s="215"/>
      <c r="F743" s="215"/>
      <c r="G743" s="215"/>
      <c r="L743" s="216"/>
      <c r="M743" s="216"/>
      <c r="N743" s="216"/>
      <c r="O743" s="217"/>
      <c r="P743" s="217"/>
      <c r="Q743" s="217"/>
      <c r="R743" s="217"/>
      <c r="S743" s="218"/>
      <c r="X743" s="218"/>
      <c r="AD743" s="216"/>
      <c r="AO743" s="216"/>
      <c r="AP743" s="216"/>
      <c r="AQ743" s="216"/>
      <c r="AR743" s="216"/>
      <c r="AT743" s="192"/>
      <c r="AU743" s="192"/>
      <c r="AV743" s="192"/>
      <c r="AW743" s="192"/>
      <c r="AX743" s="192"/>
      <c r="AY743" s="212"/>
      <c r="AZ743" s="213"/>
      <c r="BA743" s="213"/>
      <c r="BB743" s="213"/>
      <c r="BC743" s="212"/>
      <c r="BD743" s="213"/>
      <c r="BE743" s="213"/>
      <c r="BF743" s="213"/>
      <c r="BG743" s="212"/>
      <c r="BH743" s="213"/>
      <c r="BI743" s="213"/>
      <c r="BJ743" s="213"/>
      <c r="BK743" s="213"/>
      <c r="BL743" s="212"/>
      <c r="BM743" s="213"/>
      <c r="BN743" s="213"/>
      <c r="BO743" s="213"/>
      <c r="BP743" s="213"/>
      <c r="BQ743" s="192"/>
      <c r="BR743" s="192"/>
    </row>
    <row r="744">
      <c r="A744" s="60"/>
      <c r="E744" s="215"/>
      <c r="F744" s="215"/>
      <c r="G744" s="215"/>
      <c r="L744" s="216"/>
      <c r="M744" s="216"/>
      <c r="N744" s="216"/>
      <c r="O744" s="217"/>
      <c r="P744" s="217"/>
      <c r="Q744" s="217"/>
      <c r="R744" s="217"/>
      <c r="S744" s="218"/>
      <c r="X744" s="218"/>
      <c r="AD744" s="216"/>
      <c r="AO744" s="216"/>
      <c r="AP744" s="216"/>
      <c r="AQ744" s="216"/>
      <c r="AR744" s="216"/>
      <c r="AT744" s="192"/>
      <c r="AU744" s="192"/>
      <c r="AV744" s="192"/>
      <c r="AW744" s="192"/>
      <c r="AX744" s="192"/>
      <c r="AY744" s="212"/>
      <c r="AZ744" s="213"/>
      <c r="BA744" s="213"/>
      <c r="BB744" s="213"/>
      <c r="BC744" s="212"/>
      <c r="BD744" s="213"/>
      <c r="BE744" s="213"/>
      <c r="BF744" s="213"/>
      <c r="BG744" s="212"/>
      <c r="BH744" s="213"/>
      <c r="BI744" s="213"/>
      <c r="BJ744" s="213"/>
      <c r="BK744" s="213"/>
      <c r="BL744" s="212"/>
      <c r="BM744" s="213"/>
      <c r="BN744" s="213"/>
      <c r="BO744" s="213"/>
      <c r="BP744" s="213"/>
      <c r="BQ744" s="192"/>
      <c r="BR744" s="192"/>
    </row>
    <row r="745">
      <c r="A745" s="60"/>
      <c r="E745" s="215"/>
      <c r="F745" s="215"/>
      <c r="G745" s="215"/>
      <c r="L745" s="216"/>
      <c r="M745" s="216"/>
      <c r="N745" s="216"/>
      <c r="O745" s="217"/>
      <c r="P745" s="217"/>
      <c r="Q745" s="217"/>
      <c r="R745" s="217"/>
      <c r="S745" s="218"/>
      <c r="X745" s="218"/>
      <c r="AD745" s="216"/>
      <c r="AO745" s="216"/>
      <c r="AP745" s="216"/>
      <c r="AQ745" s="216"/>
      <c r="AR745" s="216"/>
      <c r="AT745" s="192"/>
      <c r="AU745" s="192"/>
      <c r="AV745" s="192"/>
      <c r="AW745" s="192"/>
      <c r="AX745" s="192"/>
      <c r="AY745" s="212"/>
      <c r="AZ745" s="213"/>
      <c r="BA745" s="213"/>
      <c r="BB745" s="213"/>
      <c r="BC745" s="212"/>
      <c r="BD745" s="213"/>
      <c r="BE745" s="213"/>
      <c r="BF745" s="213"/>
      <c r="BG745" s="212"/>
      <c r="BH745" s="213"/>
      <c r="BI745" s="213"/>
      <c r="BJ745" s="213"/>
      <c r="BK745" s="213"/>
      <c r="BL745" s="212"/>
      <c r="BM745" s="213"/>
      <c r="BN745" s="213"/>
      <c r="BO745" s="213"/>
      <c r="BP745" s="213"/>
      <c r="BQ745" s="192"/>
      <c r="BR745" s="192"/>
    </row>
    <row r="746">
      <c r="A746" s="60"/>
      <c r="E746" s="215"/>
      <c r="F746" s="215"/>
      <c r="G746" s="215"/>
      <c r="L746" s="216"/>
      <c r="M746" s="216"/>
      <c r="N746" s="216"/>
      <c r="O746" s="217"/>
      <c r="P746" s="217"/>
      <c r="Q746" s="217"/>
      <c r="R746" s="217"/>
      <c r="S746" s="218"/>
      <c r="X746" s="218"/>
      <c r="AD746" s="216"/>
      <c r="AO746" s="216"/>
      <c r="AP746" s="216"/>
      <c r="AQ746" s="216"/>
      <c r="AR746" s="216"/>
      <c r="AT746" s="192"/>
      <c r="AU746" s="192"/>
      <c r="AV746" s="192"/>
      <c r="AW746" s="192"/>
      <c r="AX746" s="192"/>
      <c r="AY746" s="212"/>
      <c r="AZ746" s="213"/>
      <c r="BA746" s="213"/>
      <c r="BB746" s="213"/>
      <c r="BC746" s="212"/>
      <c r="BD746" s="213"/>
      <c r="BE746" s="213"/>
      <c r="BF746" s="213"/>
      <c r="BG746" s="212"/>
      <c r="BH746" s="213"/>
      <c r="BI746" s="213"/>
      <c r="BJ746" s="213"/>
      <c r="BK746" s="213"/>
      <c r="BL746" s="212"/>
      <c r="BM746" s="213"/>
      <c r="BN746" s="213"/>
      <c r="BO746" s="213"/>
      <c r="BP746" s="213"/>
      <c r="BQ746" s="192"/>
      <c r="BR746" s="192"/>
    </row>
    <row r="747">
      <c r="A747" s="60"/>
      <c r="E747" s="215"/>
      <c r="F747" s="215"/>
      <c r="G747" s="215"/>
      <c r="L747" s="216"/>
      <c r="M747" s="216"/>
      <c r="N747" s="216"/>
      <c r="O747" s="217"/>
      <c r="P747" s="217"/>
      <c r="Q747" s="217"/>
      <c r="R747" s="217"/>
      <c r="S747" s="218"/>
      <c r="X747" s="218"/>
      <c r="AD747" s="216"/>
      <c r="AO747" s="216"/>
      <c r="AP747" s="216"/>
      <c r="AQ747" s="216"/>
      <c r="AR747" s="216"/>
      <c r="AT747" s="192"/>
      <c r="AU747" s="192"/>
      <c r="AV747" s="192"/>
      <c r="AW747" s="192"/>
      <c r="AX747" s="192"/>
      <c r="AY747" s="212"/>
      <c r="AZ747" s="213"/>
      <c r="BA747" s="213"/>
      <c r="BB747" s="213"/>
      <c r="BC747" s="212"/>
      <c r="BD747" s="213"/>
      <c r="BE747" s="213"/>
      <c r="BF747" s="213"/>
      <c r="BG747" s="212"/>
      <c r="BH747" s="213"/>
      <c r="BI747" s="213"/>
      <c r="BJ747" s="213"/>
      <c r="BK747" s="213"/>
      <c r="BL747" s="212"/>
      <c r="BM747" s="213"/>
      <c r="BN747" s="213"/>
      <c r="BO747" s="213"/>
      <c r="BP747" s="213"/>
      <c r="BQ747" s="192"/>
      <c r="BR747" s="192"/>
    </row>
    <row r="748">
      <c r="A748" s="60"/>
      <c r="E748" s="215"/>
      <c r="F748" s="215"/>
      <c r="G748" s="215"/>
      <c r="L748" s="216"/>
      <c r="M748" s="216"/>
      <c r="N748" s="216"/>
      <c r="O748" s="217"/>
      <c r="P748" s="217"/>
      <c r="Q748" s="217"/>
      <c r="R748" s="217"/>
      <c r="S748" s="218"/>
      <c r="X748" s="218"/>
      <c r="AD748" s="216"/>
      <c r="AO748" s="216"/>
      <c r="AP748" s="216"/>
      <c r="AQ748" s="216"/>
      <c r="AR748" s="216"/>
      <c r="AT748" s="192"/>
      <c r="AU748" s="192"/>
      <c r="AV748" s="192"/>
      <c r="AW748" s="192"/>
      <c r="AX748" s="192"/>
      <c r="AY748" s="212"/>
      <c r="AZ748" s="213"/>
      <c r="BA748" s="213"/>
      <c r="BB748" s="213"/>
      <c r="BC748" s="212"/>
      <c r="BD748" s="213"/>
      <c r="BE748" s="213"/>
      <c r="BF748" s="213"/>
      <c r="BG748" s="212"/>
      <c r="BH748" s="213"/>
      <c r="BI748" s="213"/>
      <c r="BJ748" s="213"/>
      <c r="BK748" s="213"/>
      <c r="BL748" s="212"/>
      <c r="BM748" s="213"/>
      <c r="BN748" s="213"/>
      <c r="BO748" s="213"/>
      <c r="BP748" s="213"/>
      <c r="BQ748" s="192"/>
      <c r="BR748" s="192"/>
    </row>
    <row r="749">
      <c r="A749" s="60"/>
      <c r="E749" s="215"/>
      <c r="F749" s="215"/>
      <c r="G749" s="215"/>
      <c r="L749" s="216"/>
      <c r="M749" s="216"/>
      <c r="N749" s="216"/>
      <c r="O749" s="217"/>
      <c r="P749" s="217"/>
      <c r="Q749" s="217"/>
      <c r="R749" s="217"/>
      <c r="S749" s="218"/>
      <c r="X749" s="218"/>
      <c r="AD749" s="216"/>
      <c r="AO749" s="216"/>
      <c r="AP749" s="216"/>
      <c r="AQ749" s="216"/>
      <c r="AR749" s="216"/>
      <c r="AT749" s="192"/>
      <c r="AU749" s="192"/>
      <c r="AV749" s="192"/>
      <c r="AW749" s="192"/>
      <c r="AX749" s="192"/>
      <c r="AY749" s="212"/>
      <c r="AZ749" s="213"/>
      <c r="BA749" s="213"/>
      <c r="BB749" s="213"/>
      <c r="BC749" s="212"/>
      <c r="BD749" s="213"/>
      <c r="BE749" s="213"/>
      <c r="BF749" s="213"/>
      <c r="BG749" s="212"/>
      <c r="BH749" s="213"/>
      <c r="BI749" s="213"/>
      <c r="BJ749" s="213"/>
      <c r="BK749" s="213"/>
      <c r="BL749" s="212"/>
      <c r="BM749" s="213"/>
      <c r="BN749" s="213"/>
      <c r="BO749" s="213"/>
      <c r="BP749" s="213"/>
      <c r="BQ749" s="192"/>
      <c r="BR749" s="192"/>
    </row>
    <row r="750">
      <c r="A750" s="60"/>
      <c r="E750" s="215"/>
      <c r="F750" s="215"/>
      <c r="G750" s="215"/>
      <c r="L750" s="216"/>
      <c r="M750" s="216"/>
      <c r="N750" s="216"/>
      <c r="O750" s="217"/>
      <c r="P750" s="217"/>
      <c r="Q750" s="217"/>
      <c r="R750" s="217"/>
      <c r="S750" s="218"/>
      <c r="X750" s="218"/>
      <c r="AD750" s="216"/>
      <c r="AO750" s="216"/>
      <c r="AP750" s="216"/>
      <c r="AQ750" s="216"/>
      <c r="AR750" s="216"/>
      <c r="AT750" s="192"/>
      <c r="AU750" s="192"/>
      <c r="AV750" s="192"/>
      <c r="AW750" s="192"/>
      <c r="AX750" s="192"/>
      <c r="AY750" s="212"/>
      <c r="AZ750" s="213"/>
      <c r="BA750" s="213"/>
      <c r="BB750" s="213"/>
      <c r="BC750" s="212"/>
      <c r="BD750" s="213"/>
      <c r="BE750" s="213"/>
      <c r="BF750" s="213"/>
      <c r="BG750" s="212"/>
      <c r="BH750" s="213"/>
      <c r="BI750" s="213"/>
      <c r="BJ750" s="213"/>
      <c r="BK750" s="213"/>
      <c r="BL750" s="212"/>
      <c r="BM750" s="213"/>
      <c r="BN750" s="213"/>
      <c r="BO750" s="213"/>
      <c r="BP750" s="213"/>
      <c r="BQ750" s="192"/>
      <c r="BR750" s="192"/>
    </row>
    <row r="751">
      <c r="A751" s="60"/>
      <c r="E751" s="215"/>
      <c r="F751" s="215"/>
      <c r="G751" s="215"/>
      <c r="L751" s="216"/>
      <c r="M751" s="216"/>
      <c r="N751" s="216"/>
      <c r="O751" s="217"/>
      <c r="P751" s="217"/>
      <c r="Q751" s="217"/>
      <c r="R751" s="217"/>
      <c r="S751" s="218"/>
      <c r="X751" s="218"/>
      <c r="AD751" s="216"/>
      <c r="AO751" s="216"/>
      <c r="AP751" s="216"/>
      <c r="AQ751" s="216"/>
      <c r="AR751" s="216"/>
      <c r="AT751" s="192"/>
      <c r="AU751" s="192"/>
      <c r="AV751" s="192"/>
      <c r="AW751" s="192"/>
      <c r="AX751" s="192"/>
      <c r="AY751" s="212"/>
      <c r="AZ751" s="213"/>
      <c r="BA751" s="213"/>
      <c r="BB751" s="213"/>
      <c r="BC751" s="212"/>
      <c r="BD751" s="213"/>
      <c r="BE751" s="213"/>
      <c r="BF751" s="213"/>
      <c r="BG751" s="212"/>
      <c r="BH751" s="213"/>
      <c r="BI751" s="213"/>
      <c r="BJ751" s="213"/>
      <c r="BK751" s="213"/>
      <c r="BL751" s="212"/>
      <c r="BM751" s="213"/>
      <c r="BN751" s="213"/>
      <c r="BO751" s="213"/>
      <c r="BP751" s="213"/>
      <c r="BQ751" s="192"/>
      <c r="BR751" s="192"/>
    </row>
    <row r="752">
      <c r="A752" s="60"/>
      <c r="E752" s="215"/>
      <c r="F752" s="215"/>
      <c r="G752" s="215"/>
      <c r="L752" s="216"/>
      <c r="M752" s="216"/>
      <c r="N752" s="216"/>
      <c r="O752" s="217"/>
      <c r="P752" s="217"/>
      <c r="Q752" s="217"/>
      <c r="R752" s="217"/>
      <c r="S752" s="218"/>
      <c r="X752" s="218"/>
      <c r="AD752" s="216"/>
      <c r="AO752" s="216"/>
      <c r="AP752" s="216"/>
      <c r="AQ752" s="216"/>
      <c r="AR752" s="216"/>
      <c r="AT752" s="192"/>
      <c r="AU752" s="192"/>
      <c r="AV752" s="192"/>
      <c r="AW752" s="192"/>
      <c r="AX752" s="192"/>
      <c r="AY752" s="212"/>
      <c r="AZ752" s="213"/>
      <c r="BA752" s="213"/>
      <c r="BB752" s="213"/>
      <c r="BC752" s="212"/>
      <c r="BD752" s="213"/>
      <c r="BE752" s="213"/>
      <c r="BF752" s="213"/>
      <c r="BG752" s="212"/>
      <c r="BH752" s="213"/>
      <c r="BI752" s="213"/>
      <c r="BJ752" s="213"/>
      <c r="BK752" s="213"/>
      <c r="BL752" s="212"/>
      <c r="BM752" s="213"/>
      <c r="BN752" s="213"/>
      <c r="BO752" s="213"/>
      <c r="BP752" s="213"/>
      <c r="BQ752" s="192"/>
      <c r="BR752" s="192"/>
    </row>
    <row r="753">
      <c r="A753" s="60"/>
      <c r="E753" s="215"/>
      <c r="F753" s="215"/>
      <c r="G753" s="215"/>
      <c r="L753" s="216"/>
      <c r="M753" s="216"/>
      <c r="N753" s="216"/>
      <c r="O753" s="217"/>
      <c r="P753" s="217"/>
      <c r="Q753" s="217"/>
      <c r="R753" s="217"/>
      <c r="S753" s="218"/>
      <c r="X753" s="218"/>
      <c r="AD753" s="216"/>
      <c r="AO753" s="216"/>
      <c r="AP753" s="216"/>
      <c r="AQ753" s="216"/>
      <c r="AR753" s="216"/>
      <c r="AT753" s="192"/>
      <c r="AU753" s="192"/>
      <c r="AV753" s="192"/>
      <c r="AW753" s="192"/>
      <c r="AX753" s="192"/>
      <c r="AY753" s="212"/>
      <c r="AZ753" s="213"/>
      <c r="BA753" s="213"/>
      <c r="BB753" s="213"/>
      <c r="BC753" s="212"/>
      <c r="BD753" s="213"/>
      <c r="BE753" s="213"/>
      <c r="BF753" s="213"/>
      <c r="BG753" s="212"/>
      <c r="BH753" s="213"/>
      <c r="BI753" s="213"/>
      <c r="BJ753" s="213"/>
      <c r="BK753" s="213"/>
      <c r="BL753" s="212"/>
      <c r="BM753" s="213"/>
      <c r="BN753" s="213"/>
      <c r="BO753" s="213"/>
      <c r="BP753" s="213"/>
      <c r="BQ753" s="192"/>
      <c r="BR753" s="192"/>
    </row>
    <row r="754">
      <c r="A754" s="60"/>
      <c r="E754" s="215"/>
      <c r="F754" s="215"/>
      <c r="G754" s="215"/>
      <c r="L754" s="216"/>
      <c r="M754" s="216"/>
      <c r="N754" s="216"/>
      <c r="O754" s="217"/>
      <c r="P754" s="217"/>
      <c r="Q754" s="217"/>
      <c r="R754" s="217"/>
      <c r="S754" s="218"/>
      <c r="X754" s="218"/>
      <c r="AD754" s="216"/>
      <c r="AO754" s="216"/>
      <c r="AP754" s="216"/>
      <c r="AQ754" s="216"/>
      <c r="AR754" s="216"/>
      <c r="AT754" s="192"/>
      <c r="AU754" s="192"/>
      <c r="AV754" s="192"/>
      <c r="AW754" s="192"/>
      <c r="AX754" s="192"/>
      <c r="AY754" s="212"/>
      <c r="AZ754" s="213"/>
      <c r="BA754" s="213"/>
      <c r="BB754" s="213"/>
      <c r="BC754" s="212"/>
      <c r="BD754" s="213"/>
      <c r="BE754" s="213"/>
      <c r="BF754" s="213"/>
      <c r="BG754" s="212"/>
      <c r="BH754" s="213"/>
      <c r="BI754" s="213"/>
      <c r="BJ754" s="213"/>
      <c r="BK754" s="213"/>
      <c r="BL754" s="212"/>
      <c r="BM754" s="213"/>
      <c r="BN754" s="213"/>
      <c r="BO754" s="213"/>
      <c r="BP754" s="213"/>
      <c r="BQ754" s="192"/>
      <c r="BR754" s="192"/>
    </row>
    <row r="755">
      <c r="A755" s="60"/>
      <c r="E755" s="215"/>
      <c r="F755" s="215"/>
      <c r="G755" s="215"/>
      <c r="L755" s="216"/>
      <c r="M755" s="216"/>
      <c r="N755" s="216"/>
      <c r="O755" s="217"/>
      <c r="P755" s="217"/>
      <c r="Q755" s="217"/>
      <c r="R755" s="217"/>
      <c r="S755" s="218"/>
      <c r="X755" s="218"/>
      <c r="AD755" s="216"/>
      <c r="AO755" s="216"/>
      <c r="AP755" s="216"/>
      <c r="AQ755" s="216"/>
      <c r="AR755" s="216"/>
      <c r="AT755" s="192"/>
      <c r="AU755" s="192"/>
      <c r="AV755" s="192"/>
      <c r="AW755" s="192"/>
      <c r="AX755" s="192"/>
      <c r="AY755" s="212"/>
      <c r="AZ755" s="213"/>
      <c r="BA755" s="213"/>
      <c r="BB755" s="213"/>
      <c r="BC755" s="212"/>
      <c r="BD755" s="213"/>
      <c r="BE755" s="213"/>
      <c r="BF755" s="213"/>
      <c r="BG755" s="212"/>
      <c r="BH755" s="213"/>
      <c r="BI755" s="213"/>
      <c r="BJ755" s="213"/>
      <c r="BK755" s="213"/>
      <c r="BL755" s="212"/>
      <c r="BM755" s="213"/>
      <c r="BN755" s="213"/>
      <c r="BO755" s="213"/>
      <c r="BP755" s="213"/>
      <c r="BQ755" s="192"/>
      <c r="BR755" s="192"/>
    </row>
    <row r="756">
      <c r="A756" s="60"/>
      <c r="E756" s="215"/>
      <c r="F756" s="215"/>
      <c r="G756" s="215"/>
      <c r="L756" s="216"/>
      <c r="M756" s="216"/>
      <c r="N756" s="216"/>
      <c r="O756" s="217"/>
      <c r="P756" s="217"/>
      <c r="Q756" s="217"/>
      <c r="R756" s="217"/>
      <c r="S756" s="218"/>
      <c r="X756" s="218"/>
      <c r="AD756" s="216"/>
      <c r="AO756" s="216"/>
      <c r="AP756" s="216"/>
      <c r="AQ756" s="216"/>
      <c r="AR756" s="216"/>
      <c r="AT756" s="192"/>
      <c r="AU756" s="192"/>
      <c r="AV756" s="192"/>
      <c r="AW756" s="192"/>
      <c r="AX756" s="192"/>
      <c r="AY756" s="212"/>
      <c r="AZ756" s="213"/>
      <c r="BA756" s="213"/>
      <c r="BB756" s="213"/>
      <c r="BC756" s="212"/>
      <c r="BD756" s="213"/>
      <c r="BE756" s="213"/>
      <c r="BF756" s="213"/>
      <c r="BG756" s="212"/>
      <c r="BH756" s="213"/>
      <c r="BI756" s="213"/>
      <c r="BJ756" s="213"/>
      <c r="BK756" s="213"/>
      <c r="BL756" s="212"/>
      <c r="BM756" s="213"/>
      <c r="BN756" s="213"/>
      <c r="BO756" s="213"/>
      <c r="BP756" s="213"/>
      <c r="BQ756" s="192"/>
      <c r="BR756" s="192"/>
    </row>
    <row r="757">
      <c r="A757" s="60"/>
      <c r="E757" s="215"/>
      <c r="F757" s="215"/>
      <c r="G757" s="215"/>
      <c r="L757" s="216"/>
      <c r="M757" s="216"/>
      <c r="N757" s="216"/>
      <c r="O757" s="217"/>
      <c r="P757" s="217"/>
      <c r="Q757" s="217"/>
      <c r="R757" s="217"/>
      <c r="S757" s="218"/>
      <c r="X757" s="218"/>
      <c r="AD757" s="216"/>
      <c r="AO757" s="216"/>
      <c r="AP757" s="216"/>
      <c r="AQ757" s="216"/>
      <c r="AR757" s="216"/>
      <c r="AT757" s="192"/>
      <c r="AU757" s="192"/>
      <c r="AV757" s="192"/>
      <c r="AW757" s="192"/>
      <c r="AX757" s="192"/>
      <c r="AY757" s="212"/>
      <c r="AZ757" s="213"/>
      <c r="BA757" s="213"/>
      <c r="BB757" s="213"/>
      <c r="BC757" s="212"/>
      <c r="BD757" s="213"/>
      <c r="BE757" s="213"/>
      <c r="BF757" s="213"/>
      <c r="BG757" s="212"/>
      <c r="BH757" s="213"/>
      <c r="BI757" s="213"/>
      <c r="BJ757" s="213"/>
      <c r="BK757" s="213"/>
      <c r="BL757" s="212"/>
      <c r="BM757" s="213"/>
      <c r="BN757" s="213"/>
      <c r="BO757" s="213"/>
      <c r="BP757" s="213"/>
      <c r="BQ757" s="192"/>
      <c r="BR757" s="192"/>
    </row>
    <row r="758">
      <c r="A758" s="60"/>
      <c r="E758" s="215"/>
      <c r="F758" s="215"/>
      <c r="G758" s="215"/>
      <c r="L758" s="216"/>
      <c r="M758" s="216"/>
      <c r="N758" s="216"/>
      <c r="O758" s="217"/>
      <c r="P758" s="217"/>
      <c r="Q758" s="217"/>
      <c r="R758" s="217"/>
      <c r="S758" s="218"/>
      <c r="X758" s="218"/>
      <c r="AD758" s="216"/>
      <c r="AO758" s="216"/>
      <c r="AP758" s="216"/>
      <c r="AQ758" s="216"/>
      <c r="AR758" s="216"/>
      <c r="AT758" s="192"/>
      <c r="AU758" s="192"/>
      <c r="AV758" s="192"/>
      <c r="AW758" s="192"/>
      <c r="AX758" s="192"/>
      <c r="AY758" s="212"/>
      <c r="AZ758" s="213"/>
      <c r="BA758" s="213"/>
      <c r="BB758" s="213"/>
      <c r="BC758" s="212"/>
      <c r="BD758" s="213"/>
      <c r="BE758" s="213"/>
      <c r="BF758" s="213"/>
      <c r="BG758" s="212"/>
      <c r="BH758" s="213"/>
      <c r="BI758" s="213"/>
      <c r="BJ758" s="213"/>
      <c r="BK758" s="213"/>
      <c r="BL758" s="212"/>
      <c r="BM758" s="213"/>
      <c r="BN758" s="213"/>
      <c r="BO758" s="213"/>
      <c r="BP758" s="213"/>
      <c r="BQ758" s="192"/>
      <c r="BR758" s="192"/>
    </row>
    <row r="759">
      <c r="A759" s="60"/>
      <c r="E759" s="215"/>
      <c r="F759" s="215"/>
      <c r="G759" s="215"/>
      <c r="L759" s="216"/>
      <c r="M759" s="216"/>
      <c r="N759" s="216"/>
      <c r="O759" s="217"/>
      <c r="P759" s="217"/>
      <c r="Q759" s="217"/>
      <c r="R759" s="217"/>
      <c r="S759" s="218"/>
      <c r="X759" s="218"/>
      <c r="AD759" s="216"/>
      <c r="AO759" s="216"/>
      <c r="AP759" s="216"/>
      <c r="AQ759" s="216"/>
      <c r="AR759" s="216"/>
      <c r="AT759" s="192"/>
      <c r="AU759" s="192"/>
      <c r="AV759" s="192"/>
      <c r="AW759" s="192"/>
      <c r="AX759" s="192"/>
      <c r="AY759" s="212"/>
      <c r="AZ759" s="213"/>
      <c r="BA759" s="213"/>
      <c r="BB759" s="213"/>
      <c r="BC759" s="212"/>
      <c r="BD759" s="213"/>
      <c r="BE759" s="213"/>
      <c r="BF759" s="213"/>
      <c r="BG759" s="212"/>
      <c r="BH759" s="213"/>
      <c r="BI759" s="213"/>
      <c r="BJ759" s="213"/>
      <c r="BK759" s="213"/>
      <c r="BL759" s="212"/>
      <c r="BM759" s="213"/>
      <c r="BN759" s="213"/>
      <c r="BO759" s="213"/>
      <c r="BP759" s="213"/>
      <c r="BQ759" s="192"/>
      <c r="BR759" s="192"/>
    </row>
    <row r="760">
      <c r="A760" s="60"/>
      <c r="E760" s="215"/>
      <c r="F760" s="215"/>
      <c r="G760" s="215"/>
      <c r="L760" s="216"/>
      <c r="M760" s="216"/>
      <c r="N760" s="216"/>
      <c r="O760" s="217"/>
      <c r="P760" s="217"/>
      <c r="Q760" s="217"/>
      <c r="R760" s="217"/>
      <c r="S760" s="218"/>
      <c r="X760" s="218"/>
      <c r="AD760" s="216"/>
      <c r="AO760" s="216"/>
      <c r="AP760" s="216"/>
      <c r="AQ760" s="216"/>
      <c r="AR760" s="216"/>
      <c r="AT760" s="192"/>
      <c r="AU760" s="192"/>
      <c r="AV760" s="192"/>
      <c r="AW760" s="192"/>
      <c r="AX760" s="192"/>
      <c r="AY760" s="212"/>
      <c r="AZ760" s="213"/>
      <c r="BA760" s="213"/>
      <c r="BB760" s="213"/>
      <c r="BC760" s="212"/>
      <c r="BD760" s="213"/>
      <c r="BE760" s="213"/>
      <c r="BF760" s="213"/>
      <c r="BG760" s="212"/>
      <c r="BH760" s="213"/>
      <c r="BI760" s="213"/>
      <c r="BJ760" s="213"/>
      <c r="BK760" s="213"/>
      <c r="BL760" s="212"/>
      <c r="BM760" s="213"/>
      <c r="BN760" s="213"/>
      <c r="BO760" s="213"/>
      <c r="BP760" s="213"/>
      <c r="BQ760" s="192"/>
      <c r="BR760" s="192"/>
    </row>
    <row r="761">
      <c r="A761" s="60"/>
      <c r="E761" s="215"/>
      <c r="F761" s="215"/>
      <c r="G761" s="215"/>
      <c r="L761" s="216"/>
      <c r="M761" s="216"/>
      <c r="N761" s="216"/>
      <c r="O761" s="217"/>
      <c r="P761" s="217"/>
      <c r="Q761" s="217"/>
      <c r="R761" s="217"/>
      <c r="S761" s="218"/>
      <c r="X761" s="218"/>
      <c r="AD761" s="216"/>
      <c r="AO761" s="216"/>
      <c r="AP761" s="216"/>
      <c r="AQ761" s="216"/>
      <c r="AR761" s="216"/>
      <c r="AT761" s="192"/>
      <c r="AU761" s="192"/>
      <c r="AV761" s="192"/>
      <c r="AW761" s="192"/>
      <c r="AX761" s="192"/>
      <c r="AY761" s="212"/>
      <c r="AZ761" s="213"/>
      <c r="BA761" s="213"/>
      <c r="BB761" s="213"/>
      <c r="BC761" s="212"/>
      <c r="BD761" s="213"/>
      <c r="BE761" s="213"/>
      <c r="BF761" s="213"/>
      <c r="BG761" s="212"/>
      <c r="BH761" s="213"/>
      <c r="BI761" s="213"/>
      <c r="BJ761" s="213"/>
      <c r="BK761" s="213"/>
      <c r="BL761" s="212"/>
      <c r="BM761" s="213"/>
      <c r="BN761" s="213"/>
      <c r="BO761" s="213"/>
      <c r="BP761" s="213"/>
      <c r="BQ761" s="192"/>
      <c r="BR761" s="192"/>
    </row>
    <row r="762">
      <c r="A762" s="60"/>
      <c r="E762" s="215"/>
      <c r="F762" s="215"/>
      <c r="G762" s="215"/>
      <c r="L762" s="216"/>
      <c r="M762" s="216"/>
      <c r="N762" s="216"/>
      <c r="O762" s="217"/>
      <c r="P762" s="217"/>
      <c r="Q762" s="217"/>
      <c r="R762" s="217"/>
      <c r="S762" s="218"/>
      <c r="X762" s="218"/>
      <c r="AD762" s="216"/>
      <c r="AO762" s="216"/>
      <c r="AP762" s="216"/>
      <c r="AQ762" s="216"/>
      <c r="AR762" s="216"/>
      <c r="AT762" s="192"/>
      <c r="AU762" s="192"/>
      <c r="AV762" s="192"/>
      <c r="AW762" s="192"/>
      <c r="AX762" s="192"/>
      <c r="AY762" s="212"/>
      <c r="AZ762" s="213"/>
      <c r="BA762" s="213"/>
      <c r="BB762" s="213"/>
      <c r="BC762" s="212"/>
      <c r="BD762" s="213"/>
      <c r="BE762" s="213"/>
      <c r="BF762" s="213"/>
      <c r="BG762" s="212"/>
      <c r="BH762" s="213"/>
      <c r="BI762" s="213"/>
      <c r="BJ762" s="213"/>
      <c r="BK762" s="213"/>
      <c r="BL762" s="212"/>
      <c r="BM762" s="213"/>
      <c r="BN762" s="213"/>
      <c r="BO762" s="213"/>
      <c r="BP762" s="213"/>
      <c r="BQ762" s="192"/>
      <c r="BR762" s="192"/>
    </row>
    <row r="763">
      <c r="A763" s="60"/>
      <c r="E763" s="215"/>
      <c r="F763" s="215"/>
      <c r="G763" s="215"/>
      <c r="L763" s="216"/>
      <c r="M763" s="216"/>
      <c r="N763" s="216"/>
      <c r="O763" s="217"/>
      <c r="P763" s="217"/>
      <c r="Q763" s="217"/>
      <c r="R763" s="217"/>
      <c r="S763" s="218"/>
      <c r="X763" s="218"/>
      <c r="AD763" s="216"/>
      <c r="AO763" s="216"/>
      <c r="AP763" s="216"/>
      <c r="AQ763" s="216"/>
      <c r="AR763" s="216"/>
      <c r="AT763" s="192"/>
      <c r="AU763" s="192"/>
      <c r="AV763" s="192"/>
      <c r="AW763" s="192"/>
      <c r="AX763" s="192"/>
      <c r="AY763" s="212"/>
      <c r="AZ763" s="213"/>
      <c r="BA763" s="213"/>
      <c r="BB763" s="213"/>
      <c r="BC763" s="212"/>
      <c r="BD763" s="213"/>
      <c r="BE763" s="213"/>
      <c r="BF763" s="213"/>
      <c r="BG763" s="212"/>
      <c r="BH763" s="213"/>
      <c r="BI763" s="213"/>
      <c r="BJ763" s="213"/>
      <c r="BK763" s="213"/>
      <c r="BL763" s="212"/>
      <c r="BM763" s="213"/>
      <c r="BN763" s="213"/>
      <c r="BO763" s="213"/>
      <c r="BP763" s="213"/>
      <c r="BQ763" s="192"/>
      <c r="BR763" s="192"/>
    </row>
    <row r="764">
      <c r="A764" s="60"/>
      <c r="E764" s="215"/>
      <c r="F764" s="215"/>
      <c r="G764" s="215"/>
      <c r="L764" s="216"/>
      <c r="M764" s="216"/>
      <c r="N764" s="216"/>
      <c r="O764" s="217"/>
      <c r="P764" s="217"/>
      <c r="Q764" s="217"/>
      <c r="R764" s="217"/>
      <c r="S764" s="218"/>
      <c r="X764" s="218"/>
      <c r="AD764" s="216"/>
      <c r="AO764" s="216"/>
      <c r="AP764" s="216"/>
      <c r="AQ764" s="216"/>
      <c r="AR764" s="216"/>
      <c r="AT764" s="192"/>
      <c r="AU764" s="192"/>
      <c r="AV764" s="192"/>
      <c r="AW764" s="192"/>
      <c r="AX764" s="192"/>
      <c r="AY764" s="212"/>
      <c r="AZ764" s="213"/>
      <c r="BA764" s="213"/>
      <c r="BB764" s="213"/>
      <c r="BC764" s="212"/>
      <c r="BD764" s="213"/>
      <c r="BE764" s="213"/>
      <c r="BF764" s="213"/>
      <c r="BG764" s="212"/>
      <c r="BH764" s="213"/>
      <c r="BI764" s="213"/>
      <c r="BJ764" s="213"/>
      <c r="BK764" s="213"/>
      <c r="BL764" s="212"/>
      <c r="BM764" s="213"/>
      <c r="BN764" s="213"/>
      <c r="BO764" s="213"/>
      <c r="BP764" s="213"/>
      <c r="BQ764" s="192"/>
      <c r="BR764" s="192"/>
    </row>
    <row r="765">
      <c r="A765" s="60"/>
      <c r="E765" s="215"/>
      <c r="F765" s="215"/>
      <c r="G765" s="215"/>
      <c r="L765" s="216"/>
      <c r="M765" s="216"/>
      <c r="N765" s="216"/>
      <c r="O765" s="217"/>
      <c r="P765" s="217"/>
      <c r="Q765" s="217"/>
      <c r="R765" s="217"/>
      <c r="S765" s="218"/>
      <c r="X765" s="218"/>
      <c r="AD765" s="216"/>
      <c r="AO765" s="216"/>
      <c r="AP765" s="216"/>
      <c r="AQ765" s="216"/>
      <c r="AR765" s="216"/>
      <c r="AT765" s="192"/>
      <c r="AU765" s="192"/>
      <c r="AV765" s="192"/>
      <c r="AW765" s="192"/>
      <c r="AX765" s="192"/>
      <c r="AY765" s="212"/>
      <c r="AZ765" s="213"/>
      <c r="BA765" s="213"/>
      <c r="BB765" s="213"/>
      <c r="BC765" s="212"/>
      <c r="BD765" s="213"/>
      <c r="BE765" s="213"/>
      <c r="BF765" s="213"/>
      <c r="BG765" s="212"/>
      <c r="BH765" s="213"/>
      <c r="BI765" s="213"/>
      <c r="BJ765" s="213"/>
      <c r="BK765" s="213"/>
      <c r="BL765" s="212"/>
      <c r="BM765" s="213"/>
      <c r="BN765" s="213"/>
      <c r="BO765" s="213"/>
      <c r="BP765" s="213"/>
      <c r="BQ765" s="192"/>
      <c r="BR765" s="192"/>
    </row>
    <row r="766">
      <c r="A766" s="60"/>
      <c r="E766" s="215"/>
      <c r="F766" s="215"/>
      <c r="G766" s="215"/>
      <c r="L766" s="216"/>
      <c r="M766" s="216"/>
      <c r="N766" s="216"/>
      <c r="O766" s="217"/>
      <c r="P766" s="217"/>
      <c r="Q766" s="217"/>
      <c r="R766" s="217"/>
      <c r="S766" s="218"/>
      <c r="X766" s="218"/>
      <c r="AD766" s="216"/>
      <c r="AO766" s="216"/>
      <c r="AP766" s="216"/>
      <c r="AQ766" s="216"/>
      <c r="AR766" s="216"/>
      <c r="AT766" s="192"/>
      <c r="AU766" s="192"/>
      <c r="AV766" s="192"/>
      <c r="AW766" s="192"/>
      <c r="AX766" s="192"/>
      <c r="AY766" s="212"/>
      <c r="AZ766" s="213"/>
      <c r="BA766" s="213"/>
      <c r="BB766" s="213"/>
      <c r="BC766" s="212"/>
      <c r="BD766" s="213"/>
      <c r="BE766" s="213"/>
      <c r="BF766" s="213"/>
      <c r="BG766" s="212"/>
      <c r="BH766" s="213"/>
      <c r="BI766" s="213"/>
      <c r="BJ766" s="213"/>
      <c r="BK766" s="213"/>
      <c r="BL766" s="212"/>
      <c r="BM766" s="213"/>
      <c r="BN766" s="213"/>
      <c r="BO766" s="213"/>
      <c r="BP766" s="213"/>
      <c r="BQ766" s="192"/>
      <c r="BR766" s="192"/>
    </row>
    <row r="767">
      <c r="A767" s="60"/>
      <c r="E767" s="215"/>
      <c r="F767" s="215"/>
      <c r="G767" s="215"/>
      <c r="L767" s="216"/>
      <c r="M767" s="216"/>
      <c r="N767" s="216"/>
      <c r="O767" s="217"/>
      <c r="P767" s="217"/>
      <c r="Q767" s="217"/>
      <c r="R767" s="217"/>
      <c r="S767" s="218"/>
      <c r="X767" s="218"/>
      <c r="AD767" s="216"/>
      <c r="AO767" s="216"/>
      <c r="AP767" s="216"/>
      <c r="AQ767" s="216"/>
      <c r="AR767" s="216"/>
      <c r="AT767" s="192"/>
      <c r="AU767" s="192"/>
      <c r="AV767" s="192"/>
      <c r="AW767" s="192"/>
      <c r="AX767" s="192"/>
      <c r="AY767" s="212"/>
      <c r="AZ767" s="213"/>
      <c r="BA767" s="213"/>
      <c r="BB767" s="213"/>
      <c r="BC767" s="212"/>
      <c r="BD767" s="213"/>
      <c r="BE767" s="213"/>
      <c r="BF767" s="213"/>
      <c r="BG767" s="212"/>
      <c r="BH767" s="213"/>
      <c r="BI767" s="213"/>
      <c r="BJ767" s="213"/>
      <c r="BK767" s="213"/>
      <c r="BL767" s="212"/>
      <c r="BM767" s="213"/>
      <c r="BN767" s="213"/>
      <c r="BO767" s="213"/>
      <c r="BP767" s="213"/>
      <c r="BQ767" s="192"/>
      <c r="BR767" s="192"/>
    </row>
    <row r="768">
      <c r="A768" s="60"/>
      <c r="E768" s="215"/>
      <c r="F768" s="215"/>
      <c r="G768" s="215"/>
      <c r="L768" s="216"/>
      <c r="M768" s="216"/>
      <c r="N768" s="216"/>
      <c r="O768" s="217"/>
      <c r="P768" s="217"/>
      <c r="Q768" s="217"/>
      <c r="R768" s="217"/>
      <c r="S768" s="218"/>
      <c r="X768" s="218"/>
      <c r="AD768" s="216"/>
      <c r="AO768" s="216"/>
      <c r="AP768" s="216"/>
      <c r="AQ768" s="216"/>
      <c r="AR768" s="216"/>
      <c r="AT768" s="192"/>
      <c r="AU768" s="192"/>
      <c r="AV768" s="192"/>
      <c r="AW768" s="192"/>
      <c r="AX768" s="192"/>
      <c r="AY768" s="212"/>
      <c r="AZ768" s="213"/>
      <c r="BA768" s="213"/>
      <c r="BB768" s="213"/>
      <c r="BC768" s="212"/>
      <c r="BD768" s="213"/>
      <c r="BE768" s="213"/>
      <c r="BF768" s="213"/>
      <c r="BG768" s="212"/>
      <c r="BH768" s="213"/>
      <c r="BI768" s="213"/>
      <c r="BJ768" s="213"/>
      <c r="BK768" s="213"/>
      <c r="BL768" s="212"/>
      <c r="BM768" s="213"/>
      <c r="BN768" s="213"/>
      <c r="BO768" s="213"/>
      <c r="BP768" s="213"/>
      <c r="BQ768" s="192"/>
      <c r="BR768" s="192"/>
    </row>
    <row r="769">
      <c r="A769" s="60"/>
      <c r="E769" s="215"/>
      <c r="F769" s="215"/>
      <c r="G769" s="215"/>
      <c r="L769" s="216"/>
      <c r="M769" s="216"/>
      <c r="N769" s="216"/>
      <c r="O769" s="217"/>
      <c r="P769" s="217"/>
      <c r="Q769" s="217"/>
      <c r="R769" s="217"/>
      <c r="S769" s="218"/>
      <c r="X769" s="218"/>
      <c r="AD769" s="216"/>
      <c r="AO769" s="216"/>
      <c r="AP769" s="216"/>
      <c r="AQ769" s="216"/>
      <c r="AR769" s="216"/>
      <c r="AT769" s="192"/>
      <c r="AU769" s="192"/>
      <c r="AV769" s="192"/>
      <c r="AW769" s="192"/>
      <c r="AX769" s="192"/>
      <c r="AY769" s="212"/>
      <c r="AZ769" s="213"/>
      <c r="BA769" s="213"/>
      <c r="BB769" s="213"/>
      <c r="BC769" s="212"/>
      <c r="BD769" s="213"/>
      <c r="BE769" s="213"/>
      <c r="BF769" s="213"/>
      <c r="BG769" s="212"/>
      <c r="BH769" s="213"/>
      <c r="BI769" s="213"/>
      <c r="BJ769" s="213"/>
      <c r="BK769" s="213"/>
      <c r="BL769" s="212"/>
      <c r="BM769" s="213"/>
      <c r="BN769" s="213"/>
      <c r="BO769" s="213"/>
      <c r="BP769" s="213"/>
      <c r="BQ769" s="192"/>
      <c r="BR769" s="192"/>
    </row>
    <row r="770">
      <c r="A770" s="60"/>
      <c r="E770" s="215"/>
      <c r="F770" s="215"/>
      <c r="G770" s="215"/>
      <c r="L770" s="216"/>
      <c r="M770" s="216"/>
      <c r="N770" s="216"/>
      <c r="O770" s="217"/>
      <c r="P770" s="217"/>
      <c r="Q770" s="217"/>
      <c r="R770" s="217"/>
      <c r="S770" s="218"/>
      <c r="X770" s="218"/>
      <c r="AD770" s="216"/>
      <c r="AO770" s="216"/>
      <c r="AP770" s="216"/>
      <c r="AQ770" s="216"/>
      <c r="AR770" s="216"/>
      <c r="AT770" s="192"/>
      <c r="AU770" s="192"/>
      <c r="AV770" s="192"/>
      <c r="AW770" s="192"/>
      <c r="AX770" s="192"/>
      <c r="AY770" s="212"/>
      <c r="AZ770" s="213"/>
      <c r="BA770" s="213"/>
      <c r="BB770" s="213"/>
      <c r="BC770" s="212"/>
      <c r="BD770" s="213"/>
      <c r="BE770" s="213"/>
      <c r="BF770" s="213"/>
      <c r="BG770" s="212"/>
      <c r="BH770" s="213"/>
      <c r="BI770" s="213"/>
      <c r="BJ770" s="213"/>
      <c r="BK770" s="213"/>
      <c r="BL770" s="212"/>
      <c r="BM770" s="213"/>
      <c r="BN770" s="213"/>
      <c r="BO770" s="213"/>
      <c r="BP770" s="213"/>
      <c r="BQ770" s="192"/>
      <c r="BR770" s="192"/>
    </row>
    <row r="771">
      <c r="A771" s="60"/>
      <c r="E771" s="215"/>
      <c r="F771" s="215"/>
      <c r="G771" s="215"/>
      <c r="L771" s="216"/>
      <c r="M771" s="216"/>
      <c r="N771" s="216"/>
      <c r="O771" s="217"/>
      <c r="P771" s="217"/>
      <c r="Q771" s="217"/>
      <c r="R771" s="217"/>
      <c r="S771" s="218"/>
      <c r="X771" s="218"/>
      <c r="AD771" s="216"/>
      <c r="AO771" s="216"/>
      <c r="AP771" s="216"/>
      <c r="AQ771" s="216"/>
      <c r="AR771" s="216"/>
      <c r="AT771" s="192"/>
      <c r="AU771" s="192"/>
      <c r="AV771" s="192"/>
      <c r="AW771" s="192"/>
      <c r="AX771" s="192"/>
      <c r="AY771" s="212"/>
      <c r="AZ771" s="213"/>
      <c r="BA771" s="213"/>
      <c r="BB771" s="213"/>
      <c r="BC771" s="212"/>
      <c r="BD771" s="213"/>
      <c r="BE771" s="213"/>
      <c r="BF771" s="213"/>
      <c r="BG771" s="212"/>
      <c r="BH771" s="213"/>
      <c r="BI771" s="213"/>
      <c r="BJ771" s="213"/>
      <c r="BK771" s="213"/>
      <c r="BL771" s="212"/>
      <c r="BM771" s="213"/>
      <c r="BN771" s="213"/>
      <c r="BO771" s="213"/>
      <c r="BP771" s="213"/>
      <c r="BQ771" s="192"/>
      <c r="BR771" s="192"/>
    </row>
    <row r="772">
      <c r="A772" s="60"/>
      <c r="E772" s="215"/>
      <c r="F772" s="215"/>
      <c r="G772" s="215"/>
      <c r="L772" s="216"/>
      <c r="M772" s="216"/>
      <c r="N772" s="216"/>
      <c r="O772" s="217"/>
      <c r="P772" s="217"/>
      <c r="Q772" s="217"/>
      <c r="R772" s="217"/>
      <c r="S772" s="218"/>
      <c r="X772" s="218"/>
      <c r="AD772" s="216"/>
      <c r="AO772" s="216"/>
      <c r="AP772" s="216"/>
      <c r="AQ772" s="216"/>
      <c r="AR772" s="216"/>
      <c r="AT772" s="192"/>
      <c r="AU772" s="192"/>
      <c r="AV772" s="192"/>
      <c r="AW772" s="192"/>
      <c r="AX772" s="192"/>
      <c r="AY772" s="212"/>
      <c r="AZ772" s="213"/>
      <c r="BA772" s="213"/>
      <c r="BB772" s="213"/>
      <c r="BC772" s="212"/>
      <c r="BD772" s="213"/>
      <c r="BE772" s="213"/>
      <c r="BF772" s="213"/>
      <c r="BG772" s="212"/>
      <c r="BH772" s="213"/>
      <c r="BI772" s="213"/>
      <c r="BJ772" s="213"/>
      <c r="BK772" s="213"/>
      <c r="BL772" s="212"/>
      <c r="BM772" s="213"/>
      <c r="BN772" s="213"/>
      <c r="BO772" s="213"/>
      <c r="BP772" s="213"/>
      <c r="BQ772" s="192"/>
      <c r="BR772" s="192"/>
    </row>
    <row r="773">
      <c r="A773" s="60"/>
      <c r="E773" s="215"/>
      <c r="F773" s="215"/>
      <c r="G773" s="215"/>
      <c r="L773" s="216"/>
      <c r="M773" s="216"/>
      <c r="N773" s="216"/>
      <c r="O773" s="217"/>
      <c r="P773" s="217"/>
      <c r="Q773" s="217"/>
      <c r="R773" s="217"/>
      <c r="S773" s="218"/>
      <c r="X773" s="218"/>
      <c r="AD773" s="216"/>
      <c r="AO773" s="216"/>
      <c r="AP773" s="216"/>
      <c r="AQ773" s="216"/>
      <c r="AR773" s="216"/>
      <c r="AT773" s="192"/>
      <c r="AU773" s="192"/>
      <c r="AV773" s="192"/>
      <c r="AW773" s="192"/>
      <c r="AX773" s="192"/>
      <c r="AY773" s="212"/>
      <c r="AZ773" s="213"/>
      <c r="BA773" s="213"/>
      <c r="BB773" s="213"/>
      <c r="BC773" s="212"/>
      <c r="BD773" s="213"/>
      <c r="BE773" s="213"/>
      <c r="BF773" s="213"/>
      <c r="BG773" s="212"/>
      <c r="BH773" s="213"/>
      <c r="BI773" s="213"/>
      <c r="BJ773" s="213"/>
      <c r="BK773" s="213"/>
      <c r="BL773" s="212"/>
      <c r="BM773" s="213"/>
      <c r="BN773" s="213"/>
      <c r="BO773" s="213"/>
      <c r="BP773" s="213"/>
      <c r="BQ773" s="192"/>
      <c r="BR773" s="192"/>
    </row>
    <row r="774">
      <c r="A774" s="60"/>
      <c r="E774" s="215"/>
      <c r="F774" s="215"/>
      <c r="G774" s="215"/>
      <c r="L774" s="216"/>
      <c r="M774" s="216"/>
      <c r="N774" s="216"/>
      <c r="O774" s="217"/>
      <c r="P774" s="217"/>
      <c r="Q774" s="217"/>
      <c r="R774" s="217"/>
      <c r="S774" s="218"/>
      <c r="X774" s="218"/>
      <c r="AD774" s="216"/>
      <c r="AO774" s="216"/>
      <c r="AP774" s="216"/>
      <c r="AQ774" s="216"/>
      <c r="AR774" s="216"/>
      <c r="AT774" s="192"/>
      <c r="AU774" s="192"/>
      <c r="AV774" s="192"/>
      <c r="AW774" s="192"/>
      <c r="AX774" s="192"/>
      <c r="AY774" s="212"/>
      <c r="AZ774" s="213"/>
      <c r="BA774" s="213"/>
      <c r="BB774" s="213"/>
      <c r="BC774" s="212"/>
      <c r="BD774" s="213"/>
      <c r="BE774" s="213"/>
      <c r="BF774" s="213"/>
      <c r="BG774" s="212"/>
      <c r="BH774" s="213"/>
      <c r="BI774" s="213"/>
      <c r="BJ774" s="213"/>
      <c r="BK774" s="213"/>
      <c r="BL774" s="212"/>
      <c r="BM774" s="213"/>
      <c r="BN774" s="213"/>
      <c r="BO774" s="213"/>
      <c r="BP774" s="213"/>
      <c r="BQ774" s="192"/>
      <c r="BR774" s="192"/>
    </row>
    <row r="775">
      <c r="A775" s="60"/>
      <c r="E775" s="215"/>
      <c r="F775" s="215"/>
      <c r="G775" s="215"/>
      <c r="L775" s="216"/>
      <c r="M775" s="216"/>
      <c r="N775" s="216"/>
      <c r="O775" s="217"/>
      <c r="P775" s="217"/>
      <c r="Q775" s="217"/>
      <c r="R775" s="217"/>
      <c r="S775" s="218"/>
      <c r="X775" s="218"/>
      <c r="AD775" s="216"/>
      <c r="AO775" s="216"/>
      <c r="AP775" s="216"/>
      <c r="AQ775" s="216"/>
      <c r="AR775" s="216"/>
      <c r="AT775" s="192"/>
      <c r="AU775" s="192"/>
      <c r="AV775" s="192"/>
      <c r="AW775" s="192"/>
      <c r="AX775" s="192"/>
      <c r="AY775" s="212"/>
      <c r="AZ775" s="213"/>
      <c r="BA775" s="213"/>
      <c r="BB775" s="213"/>
      <c r="BC775" s="212"/>
      <c r="BD775" s="213"/>
      <c r="BE775" s="213"/>
      <c r="BF775" s="213"/>
      <c r="BG775" s="212"/>
      <c r="BH775" s="213"/>
      <c r="BI775" s="213"/>
      <c r="BJ775" s="213"/>
      <c r="BK775" s="213"/>
      <c r="BL775" s="212"/>
      <c r="BM775" s="213"/>
      <c r="BN775" s="213"/>
      <c r="BO775" s="213"/>
      <c r="BP775" s="213"/>
      <c r="BQ775" s="192"/>
      <c r="BR775" s="192"/>
    </row>
    <row r="776">
      <c r="A776" s="60"/>
      <c r="E776" s="215"/>
      <c r="F776" s="215"/>
      <c r="G776" s="215"/>
      <c r="L776" s="216"/>
      <c r="M776" s="216"/>
      <c r="N776" s="216"/>
      <c r="O776" s="217"/>
      <c r="P776" s="217"/>
      <c r="Q776" s="217"/>
      <c r="R776" s="217"/>
      <c r="S776" s="218"/>
      <c r="X776" s="218"/>
      <c r="AD776" s="216"/>
      <c r="AO776" s="216"/>
      <c r="AP776" s="216"/>
      <c r="AQ776" s="216"/>
      <c r="AR776" s="216"/>
      <c r="AT776" s="192"/>
      <c r="AU776" s="192"/>
      <c r="AV776" s="192"/>
      <c r="AW776" s="192"/>
      <c r="AX776" s="192"/>
      <c r="AY776" s="212"/>
      <c r="AZ776" s="213"/>
      <c r="BA776" s="213"/>
      <c r="BB776" s="213"/>
      <c r="BC776" s="212"/>
      <c r="BD776" s="213"/>
      <c r="BE776" s="213"/>
      <c r="BF776" s="213"/>
      <c r="BG776" s="212"/>
      <c r="BH776" s="213"/>
      <c r="BI776" s="213"/>
      <c r="BJ776" s="213"/>
      <c r="BK776" s="213"/>
      <c r="BL776" s="212"/>
      <c r="BM776" s="213"/>
      <c r="BN776" s="213"/>
      <c r="BO776" s="213"/>
      <c r="BP776" s="213"/>
      <c r="BQ776" s="192"/>
      <c r="BR776" s="192"/>
    </row>
    <row r="777">
      <c r="A777" s="60"/>
      <c r="E777" s="215"/>
      <c r="F777" s="215"/>
      <c r="G777" s="215"/>
      <c r="L777" s="216"/>
      <c r="M777" s="216"/>
      <c r="N777" s="216"/>
      <c r="O777" s="217"/>
      <c r="P777" s="217"/>
      <c r="Q777" s="217"/>
      <c r="R777" s="217"/>
      <c r="S777" s="218"/>
      <c r="X777" s="218"/>
      <c r="AD777" s="216"/>
      <c r="AO777" s="216"/>
      <c r="AP777" s="216"/>
      <c r="AQ777" s="216"/>
      <c r="AR777" s="216"/>
      <c r="AT777" s="192"/>
      <c r="AU777" s="192"/>
      <c r="AV777" s="192"/>
      <c r="AW777" s="192"/>
      <c r="AX777" s="192"/>
      <c r="AY777" s="212"/>
      <c r="AZ777" s="213"/>
      <c r="BA777" s="213"/>
      <c r="BB777" s="213"/>
      <c r="BC777" s="212"/>
      <c r="BD777" s="213"/>
      <c r="BE777" s="213"/>
      <c r="BF777" s="213"/>
      <c r="BG777" s="212"/>
      <c r="BH777" s="213"/>
      <c r="BI777" s="213"/>
      <c r="BJ777" s="213"/>
      <c r="BK777" s="213"/>
      <c r="BL777" s="212"/>
      <c r="BM777" s="213"/>
      <c r="BN777" s="213"/>
      <c r="BO777" s="213"/>
      <c r="BP777" s="213"/>
      <c r="BQ777" s="192"/>
      <c r="BR777" s="192"/>
    </row>
    <row r="778">
      <c r="A778" s="60"/>
      <c r="E778" s="215"/>
      <c r="F778" s="215"/>
      <c r="G778" s="215"/>
      <c r="L778" s="216"/>
      <c r="M778" s="216"/>
      <c r="N778" s="216"/>
      <c r="O778" s="217"/>
      <c r="P778" s="217"/>
      <c r="Q778" s="217"/>
      <c r="R778" s="217"/>
      <c r="S778" s="218"/>
      <c r="X778" s="218"/>
      <c r="AD778" s="216"/>
      <c r="AO778" s="216"/>
      <c r="AP778" s="216"/>
      <c r="AQ778" s="216"/>
      <c r="AR778" s="216"/>
      <c r="AT778" s="192"/>
      <c r="AU778" s="192"/>
      <c r="AV778" s="192"/>
      <c r="AW778" s="192"/>
      <c r="AX778" s="192"/>
      <c r="AY778" s="212"/>
      <c r="AZ778" s="213"/>
      <c r="BA778" s="213"/>
      <c r="BB778" s="213"/>
      <c r="BC778" s="212"/>
      <c r="BD778" s="213"/>
      <c r="BE778" s="213"/>
      <c r="BF778" s="213"/>
      <c r="BG778" s="212"/>
      <c r="BH778" s="213"/>
      <c r="BI778" s="213"/>
      <c r="BJ778" s="213"/>
      <c r="BK778" s="213"/>
      <c r="BL778" s="212"/>
      <c r="BM778" s="213"/>
      <c r="BN778" s="213"/>
      <c r="BO778" s="213"/>
      <c r="BP778" s="213"/>
      <c r="BQ778" s="192"/>
      <c r="BR778" s="192"/>
    </row>
    <row r="779">
      <c r="A779" s="60"/>
      <c r="E779" s="215"/>
      <c r="F779" s="215"/>
      <c r="G779" s="215"/>
      <c r="L779" s="216"/>
      <c r="M779" s="216"/>
      <c r="N779" s="216"/>
      <c r="O779" s="217"/>
      <c r="P779" s="217"/>
      <c r="Q779" s="217"/>
      <c r="R779" s="217"/>
      <c r="S779" s="218"/>
      <c r="X779" s="218"/>
      <c r="AD779" s="216"/>
      <c r="AO779" s="216"/>
      <c r="AP779" s="216"/>
      <c r="AQ779" s="216"/>
      <c r="AR779" s="216"/>
      <c r="AT779" s="192"/>
      <c r="AU779" s="192"/>
      <c r="AV779" s="192"/>
      <c r="AW779" s="192"/>
      <c r="AX779" s="192"/>
      <c r="AY779" s="212"/>
      <c r="AZ779" s="213"/>
      <c r="BA779" s="213"/>
      <c r="BB779" s="213"/>
      <c r="BC779" s="212"/>
      <c r="BD779" s="213"/>
      <c r="BE779" s="213"/>
      <c r="BF779" s="213"/>
      <c r="BG779" s="212"/>
      <c r="BH779" s="213"/>
      <c r="BI779" s="213"/>
      <c r="BJ779" s="213"/>
      <c r="BK779" s="213"/>
      <c r="BL779" s="212"/>
      <c r="BM779" s="213"/>
      <c r="BN779" s="213"/>
      <c r="BO779" s="213"/>
      <c r="BP779" s="213"/>
      <c r="BQ779" s="192"/>
      <c r="BR779" s="192"/>
    </row>
    <row r="780">
      <c r="A780" s="60"/>
      <c r="E780" s="215"/>
      <c r="F780" s="215"/>
      <c r="G780" s="215"/>
      <c r="L780" s="216"/>
      <c r="M780" s="216"/>
      <c r="N780" s="216"/>
      <c r="O780" s="217"/>
      <c r="P780" s="217"/>
      <c r="Q780" s="217"/>
      <c r="R780" s="217"/>
      <c r="S780" s="218"/>
      <c r="X780" s="218"/>
      <c r="AD780" s="216"/>
      <c r="AO780" s="216"/>
      <c r="AP780" s="216"/>
      <c r="AQ780" s="216"/>
      <c r="AR780" s="216"/>
      <c r="AT780" s="192"/>
      <c r="AU780" s="192"/>
      <c r="AV780" s="192"/>
      <c r="AW780" s="192"/>
      <c r="AX780" s="192"/>
      <c r="AY780" s="212"/>
      <c r="AZ780" s="213"/>
      <c r="BA780" s="213"/>
      <c r="BB780" s="213"/>
      <c r="BC780" s="212"/>
      <c r="BD780" s="213"/>
      <c r="BE780" s="213"/>
      <c r="BF780" s="213"/>
      <c r="BG780" s="212"/>
      <c r="BH780" s="213"/>
      <c r="BI780" s="213"/>
      <c r="BJ780" s="213"/>
      <c r="BK780" s="213"/>
      <c r="BL780" s="212"/>
      <c r="BM780" s="213"/>
      <c r="BN780" s="213"/>
      <c r="BO780" s="213"/>
      <c r="BP780" s="213"/>
      <c r="BQ780" s="192"/>
      <c r="BR780" s="192"/>
    </row>
    <row r="781">
      <c r="A781" s="60"/>
      <c r="E781" s="215"/>
      <c r="F781" s="215"/>
      <c r="G781" s="215"/>
      <c r="L781" s="216"/>
      <c r="M781" s="216"/>
      <c r="N781" s="216"/>
      <c r="O781" s="217"/>
      <c r="P781" s="217"/>
      <c r="Q781" s="217"/>
      <c r="R781" s="217"/>
      <c r="S781" s="218"/>
      <c r="X781" s="218"/>
      <c r="AD781" s="216"/>
      <c r="AO781" s="216"/>
      <c r="AP781" s="216"/>
      <c r="AQ781" s="216"/>
      <c r="AR781" s="216"/>
      <c r="AT781" s="192"/>
      <c r="AU781" s="192"/>
      <c r="AV781" s="192"/>
      <c r="AW781" s="192"/>
      <c r="AX781" s="192"/>
      <c r="AY781" s="212"/>
      <c r="AZ781" s="213"/>
      <c r="BA781" s="213"/>
      <c r="BB781" s="213"/>
      <c r="BC781" s="212"/>
      <c r="BD781" s="213"/>
      <c r="BE781" s="213"/>
      <c r="BF781" s="213"/>
      <c r="BG781" s="212"/>
      <c r="BH781" s="213"/>
      <c r="BI781" s="213"/>
      <c r="BJ781" s="213"/>
      <c r="BK781" s="213"/>
      <c r="BL781" s="212"/>
      <c r="BM781" s="213"/>
      <c r="BN781" s="213"/>
      <c r="BO781" s="213"/>
      <c r="BP781" s="213"/>
      <c r="BQ781" s="192"/>
      <c r="BR781" s="192"/>
    </row>
    <row r="782">
      <c r="A782" s="60"/>
      <c r="E782" s="215"/>
      <c r="F782" s="215"/>
      <c r="G782" s="215"/>
      <c r="L782" s="216"/>
      <c r="M782" s="216"/>
      <c r="N782" s="216"/>
      <c r="O782" s="217"/>
      <c r="P782" s="217"/>
      <c r="Q782" s="217"/>
      <c r="R782" s="217"/>
      <c r="S782" s="218"/>
      <c r="X782" s="218"/>
      <c r="AD782" s="216"/>
      <c r="AO782" s="216"/>
      <c r="AP782" s="216"/>
      <c r="AQ782" s="216"/>
      <c r="AR782" s="216"/>
      <c r="AT782" s="192"/>
      <c r="AU782" s="192"/>
      <c r="AV782" s="192"/>
      <c r="AW782" s="192"/>
      <c r="AX782" s="192"/>
      <c r="AY782" s="212"/>
      <c r="AZ782" s="213"/>
      <c r="BA782" s="213"/>
      <c r="BB782" s="213"/>
      <c r="BC782" s="212"/>
      <c r="BD782" s="213"/>
      <c r="BE782" s="213"/>
      <c r="BF782" s="213"/>
      <c r="BG782" s="212"/>
      <c r="BH782" s="213"/>
      <c r="BI782" s="213"/>
      <c r="BJ782" s="213"/>
      <c r="BK782" s="213"/>
      <c r="BL782" s="212"/>
      <c r="BM782" s="213"/>
      <c r="BN782" s="213"/>
      <c r="BO782" s="213"/>
      <c r="BP782" s="213"/>
      <c r="BQ782" s="192"/>
      <c r="BR782" s="192"/>
    </row>
    <row r="783">
      <c r="A783" s="60"/>
      <c r="E783" s="215"/>
      <c r="F783" s="215"/>
      <c r="G783" s="215"/>
      <c r="L783" s="216"/>
      <c r="M783" s="216"/>
      <c r="N783" s="216"/>
      <c r="O783" s="217"/>
      <c r="P783" s="217"/>
      <c r="Q783" s="217"/>
      <c r="R783" s="217"/>
      <c r="S783" s="218"/>
      <c r="X783" s="218"/>
      <c r="AD783" s="216"/>
      <c r="AO783" s="216"/>
      <c r="AP783" s="216"/>
      <c r="AQ783" s="216"/>
      <c r="AR783" s="216"/>
      <c r="AT783" s="192"/>
      <c r="AU783" s="192"/>
      <c r="AV783" s="192"/>
      <c r="AW783" s="192"/>
      <c r="AX783" s="192"/>
      <c r="AY783" s="212"/>
      <c r="AZ783" s="213"/>
      <c r="BA783" s="213"/>
      <c r="BB783" s="213"/>
      <c r="BC783" s="212"/>
      <c r="BD783" s="213"/>
      <c r="BE783" s="213"/>
      <c r="BF783" s="213"/>
      <c r="BG783" s="212"/>
      <c r="BH783" s="213"/>
      <c r="BI783" s="213"/>
      <c r="BJ783" s="213"/>
      <c r="BK783" s="213"/>
      <c r="BL783" s="212"/>
      <c r="BM783" s="213"/>
      <c r="BN783" s="213"/>
      <c r="BO783" s="213"/>
      <c r="BP783" s="213"/>
      <c r="BQ783" s="192"/>
      <c r="BR783" s="192"/>
    </row>
    <row r="784">
      <c r="A784" s="60"/>
      <c r="E784" s="215"/>
      <c r="F784" s="215"/>
      <c r="G784" s="215"/>
      <c r="L784" s="216"/>
      <c r="M784" s="216"/>
      <c r="N784" s="216"/>
      <c r="O784" s="217"/>
      <c r="P784" s="217"/>
      <c r="Q784" s="217"/>
      <c r="R784" s="217"/>
      <c r="S784" s="218"/>
      <c r="X784" s="218"/>
      <c r="AD784" s="216"/>
      <c r="AO784" s="216"/>
      <c r="AP784" s="216"/>
      <c r="AQ784" s="216"/>
      <c r="AR784" s="216"/>
      <c r="AT784" s="192"/>
      <c r="AU784" s="192"/>
      <c r="AV784" s="192"/>
      <c r="AW784" s="192"/>
      <c r="AX784" s="192"/>
      <c r="AY784" s="212"/>
      <c r="AZ784" s="213"/>
      <c r="BA784" s="213"/>
      <c r="BB784" s="213"/>
      <c r="BC784" s="212"/>
      <c r="BD784" s="213"/>
      <c r="BE784" s="213"/>
      <c r="BF784" s="213"/>
      <c r="BG784" s="212"/>
      <c r="BH784" s="213"/>
      <c r="BI784" s="213"/>
      <c r="BJ784" s="213"/>
      <c r="BK784" s="213"/>
      <c r="BL784" s="212"/>
      <c r="BM784" s="213"/>
      <c r="BN784" s="213"/>
      <c r="BO784" s="213"/>
      <c r="BP784" s="213"/>
      <c r="BQ784" s="192"/>
      <c r="BR784" s="192"/>
    </row>
    <row r="785">
      <c r="A785" s="60"/>
      <c r="E785" s="215"/>
      <c r="F785" s="215"/>
      <c r="G785" s="215"/>
      <c r="L785" s="216"/>
      <c r="M785" s="216"/>
      <c r="N785" s="216"/>
      <c r="O785" s="217"/>
      <c r="P785" s="217"/>
      <c r="Q785" s="217"/>
      <c r="R785" s="217"/>
      <c r="S785" s="218"/>
      <c r="X785" s="218"/>
      <c r="AD785" s="216"/>
      <c r="AO785" s="216"/>
      <c r="AP785" s="216"/>
      <c r="AQ785" s="216"/>
      <c r="AR785" s="216"/>
      <c r="AT785" s="192"/>
      <c r="AU785" s="192"/>
      <c r="AV785" s="192"/>
      <c r="AW785" s="192"/>
      <c r="AX785" s="192"/>
      <c r="AY785" s="212"/>
      <c r="AZ785" s="213"/>
      <c r="BA785" s="213"/>
      <c r="BB785" s="213"/>
      <c r="BC785" s="212"/>
      <c r="BD785" s="213"/>
      <c r="BE785" s="213"/>
      <c r="BF785" s="213"/>
      <c r="BG785" s="212"/>
      <c r="BH785" s="213"/>
      <c r="BI785" s="213"/>
      <c r="BJ785" s="213"/>
      <c r="BK785" s="213"/>
      <c r="BL785" s="212"/>
      <c r="BM785" s="213"/>
      <c r="BN785" s="213"/>
      <c r="BO785" s="213"/>
      <c r="BP785" s="213"/>
      <c r="BQ785" s="192"/>
      <c r="BR785" s="192"/>
    </row>
    <row r="786">
      <c r="A786" s="60"/>
      <c r="E786" s="215"/>
      <c r="F786" s="215"/>
      <c r="G786" s="215"/>
      <c r="L786" s="216"/>
      <c r="M786" s="216"/>
      <c r="N786" s="216"/>
      <c r="O786" s="217"/>
      <c r="P786" s="217"/>
      <c r="Q786" s="217"/>
      <c r="R786" s="217"/>
      <c r="S786" s="218"/>
      <c r="X786" s="218"/>
      <c r="AD786" s="216"/>
      <c r="AO786" s="216"/>
      <c r="AP786" s="216"/>
      <c r="AQ786" s="216"/>
      <c r="AR786" s="216"/>
      <c r="AT786" s="192"/>
      <c r="AU786" s="192"/>
      <c r="AV786" s="192"/>
      <c r="AW786" s="192"/>
      <c r="AX786" s="192"/>
      <c r="AY786" s="212"/>
      <c r="AZ786" s="213"/>
      <c r="BA786" s="213"/>
      <c r="BB786" s="213"/>
      <c r="BC786" s="212"/>
      <c r="BD786" s="213"/>
      <c r="BE786" s="213"/>
      <c r="BF786" s="213"/>
      <c r="BG786" s="212"/>
      <c r="BH786" s="213"/>
      <c r="BI786" s="213"/>
      <c r="BJ786" s="213"/>
      <c r="BK786" s="213"/>
      <c r="BL786" s="212"/>
      <c r="BM786" s="213"/>
      <c r="BN786" s="213"/>
      <c r="BO786" s="213"/>
      <c r="BP786" s="213"/>
      <c r="BQ786" s="192"/>
      <c r="BR786" s="192"/>
    </row>
    <row r="787">
      <c r="A787" s="60"/>
      <c r="E787" s="215"/>
      <c r="F787" s="215"/>
      <c r="G787" s="215"/>
      <c r="L787" s="216"/>
      <c r="M787" s="216"/>
      <c r="N787" s="216"/>
      <c r="O787" s="217"/>
      <c r="P787" s="217"/>
      <c r="Q787" s="217"/>
      <c r="R787" s="217"/>
      <c r="S787" s="218"/>
      <c r="X787" s="218"/>
      <c r="AD787" s="216"/>
      <c r="AO787" s="216"/>
      <c r="AP787" s="216"/>
      <c r="AQ787" s="216"/>
      <c r="AR787" s="216"/>
      <c r="AT787" s="192"/>
      <c r="AU787" s="192"/>
      <c r="AV787" s="192"/>
      <c r="AW787" s="192"/>
      <c r="AX787" s="192"/>
      <c r="AY787" s="212"/>
      <c r="AZ787" s="213"/>
      <c r="BA787" s="213"/>
      <c r="BB787" s="213"/>
      <c r="BC787" s="212"/>
      <c r="BD787" s="213"/>
      <c r="BE787" s="213"/>
      <c r="BF787" s="213"/>
      <c r="BG787" s="212"/>
      <c r="BH787" s="213"/>
      <c r="BI787" s="213"/>
      <c r="BJ787" s="213"/>
      <c r="BK787" s="213"/>
      <c r="BL787" s="212"/>
      <c r="BM787" s="213"/>
      <c r="BN787" s="213"/>
      <c r="BO787" s="213"/>
      <c r="BP787" s="213"/>
      <c r="BQ787" s="192"/>
      <c r="BR787" s="192"/>
    </row>
    <row r="788">
      <c r="A788" s="60"/>
      <c r="E788" s="215"/>
      <c r="F788" s="215"/>
      <c r="G788" s="215"/>
      <c r="L788" s="216"/>
      <c r="M788" s="216"/>
      <c r="N788" s="216"/>
      <c r="O788" s="217"/>
      <c r="P788" s="217"/>
      <c r="Q788" s="217"/>
      <c r="R788" s="217"/>
      <c r="S788" s="218"/>
      <c r="X788" s="218"/>
      <c r="AD788" s="216"/>
      <c r="AO788" s="216"/>
      <c r="AP788" s="216"/>
      <c r="AQ788" s="216"/>
      <c r="AR788" s="216"/>
      <c r="AT788" s="192"/>
      <c r="AU788" s="192"/>
      <c r="AV788" s="192"/>
      <c r="AW788" s="192"/>
      <c r="AX788" s="192"/>
      <c r="AY788" s="212"/>
      <c r="AZ788" s="213"/>
      <c r="BA788" s="213"/>
      <c r="BB788" s="213"/>
      <c r="BC788" s="212"/>
      <c r="BD788" s="213"/>
      <c r="BE788" s="213"/>
      <c r="BF788" s="213"/>
      <c r="BG788" s="212"/>
      <c r="BH788" s="213"/>
      <c r="BI788" s="213"/>
      <c r="BJ788" s="213"/>
      <c r="BK788" s="213"/>
      <c r="BL788" s="212"/>
      <c r="BM788" s="213"/>
      <c r="BN788" s="213"/>
      <c r="BO788" s="213"/>
      <c r="BP788" s="213"/>
      <c r="BQ788" s="192"/>
      <c r="BR788" s="192"/>
    </row>
    <row r="789">
      <c r="A789" s="60"/>
      <c r="E789" s="215"/>
      <c r="F789" s="215"/>
      <c r="G789" s="215"/>
      <c r="L789" s="216"/>
      <c r="M789" s="216"/>
      <c r="N789" s="216"/>
      <c r="O789" s="217"/>
      <c r="P789" s="217"/>
      <c r="Q789" s="217"/>
      <c r="R789" s="217"/>
      <c r="S789" s="218"/>
      <c r="X789" s="218"/>
      <c r="AD789" s="216"/>
      <c r="AO789" s="216"/>
      <c r="AP789" s="216"/>
      <c r="AQ789" s="216"/>
      <c r="AR789" s="216"/>
      <c r="AT789" s="192"/>
      <c r="AU789" s="192"/>
      <c r="AV789" s="192"/>
      <c r="AW789" s="192"/>
      <c r="AX789" s="192"/>
      <c r="AY789" s="212"/>
      <c r="AZ789" s="213"/>
      <c r="BA789" s="213"/>
      <c r="BB789" s="213"/>
      <c r="BC789" s="212"/>
      <c r="BD789" s="213"/>
      <c r="BE789" s="213"/>
      <c r="BF789" s="213"/>
      <c r="BG789" s="212"/>
      <c r="BH789" s="213"/>
      <c r="BI789" s="213"/>
      <c r="BJ789" s="213"/>
      <c r="BK789" s="213"/>
      <c r="BL789" s="212"/>
      <c r="BM789" s="213"/>
      <c r="BN789" s="213"/>
      <c r="BO789" s="213"/>
      <c r="BP789" s="213"/>
      <c r="BQ789" s="192"/>
      <c r="BR789" s="192"/>
    </row>
    <row r="790">
      <c r="A790" s="60"/>
      <c r="E790" s="215"/>
      <c r="F790" s="215"/>
      <c r="G790" s="215"/>
      <c r="L790" s="216"/>
      <c r="M790" s="216"/>
      <c r="N790" s="216"/>
      <c r="O790" s="217"/>
      <c r="P790" s="217"/>
      <c r="Q790" s="217"/>
      <c r="R790" s="217"/>
      <c r="S790" s="218"/>
      <c r="X790" s="218"/>
      <c r="AD790" s="216"/>
      <c r="AO790" s="216"/>
      <c r="AP790" s="216"/>
      <c r="AQ790" s="216"/>
      <c r="AR790" s="216"/>
      <c r="AT790" s="192"/>
      <c r="AU790" s="192"/>
      <c r="AV790" s="192"/>
      <c r="AW790" s="192"/>
      <c r="AX790" s="192"/>
      <c r="AY790" s="212"/>
      <c r="AZ790" s="213"/>
      <c r="BA790" s="213"/>
      <c r="BB790" s="213"/>
      <c r="BC790" s="212"/>
      <c r="BD790" s="213"/>
      <c r="BE790" s="213"/>
      <c r="BF790" s="213"/>
      <c r="BG790" s="212"/>
      <c r="BH790" s="213"/>
      <c r="BI790" s="213"/>
      <c r="BJ790" s="213"/>
      <c r="BK790" s="213"/>
      <c r="BL790" s="212"/>
      <c r="BM790" s="213"/>
      <c r="BN790" s="213"/>
      <c r="BO790" s="213"/>
      <c r="BP790" s="213"/>
      <c r="BQ790" s="192"/>
      <c r="BR790" s="192"/>
    </row>
    <row r="791">
      <c r="A791" s="60"/>
      <c r="E791" s="215"/>
      <c r="F791" s="215"/>
      <c r="G791" s="215"/>
      <c r="L791" s="216"/>
      <c r="M791" s="216"/>
      <c r="N791" s="216"/>
      <c r="O791" s="217"/>
      <c r="P791" s="217"/>
      <c r="Q791" s="217"/>
      <c r="R791" s="217"/>
      <c r="S791" s="218"/>
      <c r="X791" s="218"/>
      <c r="AD791" s="216"/>
      <c r="AO791" s="216"/>
      <c r="AP791" s="216"/>
      <c r="AQ791" s="216"/>
      <c r="AR791" s="216"/>
      <c r="AT791" s="192"/>
      <c r="AU791" s="192"/>
      <c r="AV791" s="192"/>
      <c r="AW791" s="192"/>
      <c r="AX791" s="192"/>
      <c r="AY791" s="212"/>
      <c r="AZ791" s="213"/>
      <c r="BA791" s="213"/>
      <c r="BB791" s="213"/>
      <c r="BC791" s="212"/>
      <c r="BD791" s="213"/>
      <c r="BE791" s="213"/>
      <c r="BF791" s="213"/>
      <c r="BG791" s="212"/>
      <c r="BH791" s="213"/>
      <c r="BI791" s="213"/>
      <c r="BJ791" s="213"/>
      <c r="BK791" s="213"/>
      <c r="BL791" s="212"/>
      <c r="BM791" s="213"/>
      <c r="BN791" s="213"/>
      <c r="BO791" s="213"/>
      <c r="BP791" s="213"/>
      <c r="BQ791" s="192"/>
      <c r="BR791" s="192"/>
    </row>
    <row r="792">
      <c r="A792" s="60"/>
      <c r="E792" s="215"/>
      <c r="F792" s="215"/>
      <c r="G792" s="215"/>
      <c r="L792" s="216"/>
      <c r="M792" s="216"/>
      <c r="N792" s="216"/>
      <c r="O792" s="217"/>
      <c r="P792" s="217"/>
      <c r="Q792" s="217"/>
      <c r="R792" s="217"/>
      <c r="S792" s="218"/>
      <c r="X792" s="218"/>
      <c r="AD792" s="216"/>
      <c r="AO792" s="216"/>
      <c r="AP792" s="216"/>
      <c r="AQ792" s="216"/>
      <c r="AR792" s="216"/>
      <c r="AT792" s="192"/>
      <c r="AU792" s="192"/>
      <c r="AV792" s="192"/>
      <c r="AW792" s="192"/>
      <c r="AX792" s="192"/>
      <c r="AY792" s="212"/>
      <c r="AZ792" s="213"/>
      <c r="BA792" s="213"/>
      <c r="BB792" s="213"/>
      <c r="BC792" s="212"/>
      <c r="BD792" s="213"/>
      <c r="BE792" s="213"/>
      <c r="BF792" s="213"/>
      <c r="BG792" s="212"/>
      <c r="BH792" s="213"/>
      <c r="BI792" s="213"/>
      <c r="BJ792" s="213"/>
      <c r="BK792" s="213"/>
      <c r="BL792" s="212"/>
      <c r="BM792" s="213"/>
      <c r="BN792" s="213"/>
      <c r="BO792" s="213"/>
      <c r="BP792" s="213"/>
      <c r="BQ792" s="192"/>
      <c r="BR792" s="192"/>
    </row>
    <row r="793">
      <c r="A793" s="60"/>
      <c r="E793" s="215"/>
      <c r="F793" s="215"/>
      <c r="G793" s="215"/>
      <c r="L793" s="216"/>
      <c r="M793" s="216"/>
      <c r="N793" s="216"/>
      <c r="O793" s="217"/>
      <c r="P793" s="217"/>
      <c r="Q793" s="217"/>
      <c r="R793" s="217"/>
      <c r="S793" s="218"/>
      <c r="X793" s="218"/>
      <c r="AD793" s="216"/>
      <c r="AO793" s="216"/>
      <c r="AP793" s="216"/>
      <c r="AQ793" s="216"/>
      <c r="AR793" s="216"/>
      <c r="AT793" s="192"/>
      <c r="AU793" s="192"/>
      <c r="AV793" s="192"/>
      <c r="AW793" s="192"/>
      <c r="AX793" s="192"/>
      <c r="AY793" s="212"/>
      <c r="AZ793" s="213"/>
      <c r="BA793" s="213"/>
      <c r="BB793" s="213"/>
      <c r="BC793" s="212"/>
      <c r="BD793" s="213"/>
      <c r="BE793" s="213"/>
      <c r="BF793" s="213"/>
      <c r="BG793" s="212"/>
      <c r="BH793" s="213"/>
      <c r="BI793" s="213"/>
      <c r="BJ793" s="213"/>
      <c r="BK793" s="213"/>
      <c r="BL793" s="212"/>
      <c r="BM793" s="213"/>
      <c r="BN793" s="213"/>
      <c r="BO793" s="213"/>
      <c r="BP793" s="213"/>
      <c r="BQ793" s="192"/>
      <c r="BR793" s="192"/>
    </row>
    <row r="794">
      <c r="A794" s="60"/>
      <c r="E794" s="215"/>
      <c r="F794" s="215"/>
      <c r="G794" s="215"/>
      <c r="L794" s="216"/>
      <c r="M794" s="216"/>
      <c r="N794" s="216"/>
      <c r="O794" s="217"/>
      <c r="P794" s="217"/>
      <c r="Q794" s="217"/>
      <c r="R794" s="217"/>
      <c r="S794" s="218"/>
      <c r="X794" s="218"/>
      <c r="AD794" s="216"/>
      <c r="AO794" s="216"/>
      <c r="AP794" s="216"/>
      <c r="AQ794" s="216"/>
      <c r="AR794" s="216"/>
      <c r="AT794" s="192"/>
      <c r="AU794" s="192"/>
      <c r="AV794" s="192"/>
      <c r="AW794" s="192"/>
      <c r="AX794" s="192"/>
      <c r="AY794" s="212"/>
      <c r="AZ794" s="213"/>
      <c r="BA794" s="213"/>
      <c r="BB794" s="213"/>
      <c r="BC794" s="212"/>
      <c r="BD794" s="213"/>
      <c r="BE794" s="213"/>
      <c r="BF794" s="213"/>
      <c r="BG794" s="212"/>
      <c r="BH794" s="213"/>
      <c r="BI794" s="213"/>
      <c r="BJ794" s="213"/>
      <c r="BK794" s="213"/>
      <c r="BL794" s="212"/>
      <c r="BM794" s="213"/>
      <c r="BN794" s="213"/>
      <c r="BO794" s="213"/>
      <c r="BP794" s="213"/>
      <c r="BQ794" s="192"/>
      <c r="BR794" s="192"/>
    </row>
    <row r="795">
      <c r="A795" s="60"/>
      <c r="E795" s="215"/>
      <c r="F795" s="215"/>
      <c r="G795" s="215"/>
      <c r="L795" s="216"/>
      <c r="M795" s="216"/>
      <c r="N795" s="216"/>
      <c r="O795" s="217"/>
      <c r="P795" s="217"/>
      <c r="Q795" s="217"/>
      <c r="R795" s="217"/>
      <c r="S795" s="218"/>
      <c r="X795" s="218"/>
      <c r="AD795" s="216"/>
      <c r="AO795" s="216"/>
      <c r="AP795" s="216"/>
      <c r="AQ795" s="216"/>
      <c r="AR795" s="216"/>
      <c r="AT795" s="192"/>
      <c r="AU795" s="192"/>
      <c r="AV795" s="192"/>
      <c r="AW795" s="192"/>
      <c r="AX795" s="192"/>
      <c r="AY795" s="212"/>
      <c r="AZ795" s="213"/>
      <c r="BA795" s="213"/>
      <c r="BB795" s="213"/>
      <c r="BC795" s="212"/>
      <c r="BD795" s="213"/>
      <c r="BE795" s="213"/>
      <c r="BF795" s="213"/>
      <c r="BG795" s="212"/>
      <c r="BH795" s="213"/>
      <c r="BI795" s="213"/>
      <c r="BJ795" s="213"/>
      <c r="BK795" s="213"/>
      <c r="BL795" s="212"/>
      <c r="BM795" s="213"/>
      <c r="BN795" s="213"/>
      <c r="BO795" s="213"/>
      <c r="BP795" s="213"/>
      <c r="BQ795" s="192"/>
      <c r="BR795" s="192"/>
    </row>
    <row r="796">
      <c r="A796" s="60"/>
      <c r="E796" s="215"/>
      <c r="F796" s="215"/>
      <c r="G796" s="215"/>
      <c r="L796" s="216"/>
      <c r="M796" s="216"/>
      <c r="N796" s="216"/>
      <c r="O796" s="217"/>
      <c r="P796" s="217"/>
      <c r="Q796" s="217"/>
      <c r="R796" s="217"/>
      <c r="S796" s="218"/>
      <c r="X796" s="218"/>
      <c r="AD796" s="216"/>
      <c r="AO796" s="216"/>
      <c r="AP796" s="216"/>
      <c r="AQ796" s="216"/>
      <c r="AR796" s="216"/>
      <c r="AT796" s="192"/>
      <c r="AU796" s="192"/>
      <c r="AV796" s="192"/>
      <c r="AW796" s="192"/>
      <c r="AX796" s="192"/>
      <c r="AY796" s="212"/>
      <c r="AZ796" s="213"/>
      <c r="BA796" s="213"/>
      <c r="BB796" s="213"/>
      <c r="BC796" s="212"/>
      <c r="BD796" s="213"/>
      <c r="BE796" s="213"/>
      <c r="BF796" s="213"/>
      <c r="BG796" s="212"/>
      <c r="BH796" s="213"/>
      <c r="BI796" s="213"/>
      <c r="BJ796" s="213"/>
      <c r="BK796" s="213"/>
      <c r="BL796" s="212"/>
      <c r="BM796" s="213"/>
      <c r="BN796" s="213"/>
      <c r="BO796" s="213"/>
      <c r="BP796" s="213"/>
      <c r="BQ796" s="192"/>
      <c r="BR796" s="192"/>
    </row>
    <row r="797">
      <c r="A797" s="60"/>
      <c r="E797" s="215"/>
      <c r="F797" s="215"/>
      <c r="G797" s="215"/>
      <c r="L797" s="216"/>
      <c r="M797" s="216"/>
      <c r="N797" s="216"/>
      <c r="O797" s="217"/>
      <c r="P797" s="217"/>
      <c r="Q797" s="217"/>
      <c r="R797" s="217"/>
      <c r="S797" s="218"/>
      <c r="X797" s="218"/>
      <c r="AD797" s="216"/>
      <c r="AO797" s="216"/>
      <c r="AP797" s="216"/>
      <c r="AQ797" s="216"/>
      <c r="AR797" s="216"/>
      <c r="AT797" s="192"/>
      <c r="AU797" s="192"/>
      <c r="AV797" s="192"/>
      <c r="AW797" s="192"/>
      <c r="AX797" s="192"/>
      <c r="AY797" s="212"/>
      <c r="AZ797" s="213"/>
      <c r="BA797" s="213"/>
      <c r="BB797" s="213"/>
      <c r="BC797" s="212"/>
      <c r="BD797" s="213"/>
      <c r="BE797" s="213"/>
      <c r="BF797" s="213"/>
      <c r="BG797" s="212"/>
      <c r="BH797" s="213"/>
      <c r="BI797" s="213"/>
      <c r="BJ797" s="213"/>
      <c r="BK797" s="213"/>
      <c r="BL797" s="212"/>
      <c r="BM797" s="213"/>
      <c r="BN797" s="213"/>
      <c r="BO797" s="213"/>
      <c r="BP797" s="213"/>
      <c r="BQ797" s="192"/>
      <c r="BR797" s="192"/>
    </row>
    <row r="798">
      <c r="A798" s="60"/>
      <c r="E798" s="215"/>
      <c r="F798" s="215"/>
      <c r="G798" s="215"/>
      <c r="L798" s="216"/>
      <c r="M798" s="216"/>
      <c r="N798" s="216"/>
      <c r="O798" s="217"/>
      <c r="P798" s="217"/>
      <c r="Q798" s="217"/>
      <c r="R798" s="217"/>
      <c r="S798" s="218"/>
      <c r="X798" s="218"/>
      <c r="AD798" s="216"/>
      <c r="AO798" s="216"/>
      <c r="AP798" s="216"/>
      <c r="AQ798" s="216"/>
      <c r="AR798" s="216"/>
      <c r="AT798" s="192"/>
      <c r="AU798" s="192"/>
      <c r="AV798" s="192"/>
      <c r="AW798" s="192"/>
      <c r="AX798" s="192"/>
      <c r="AY798" s="212"/>
      <c r="AZ798" s="213"/>
      <c r="BA798" s="213"/>
      <c r="BB798" s="213"/>
      <c r="BC798" s="212"/>
      <c r="BD798" s="213"/>
      <c r="BE798" s="213"/>
      <c r="BF798" s="213"/>
      <c r="BG798" s="212"/>
      <c r="BH798" s="213"/>
      <c r="BI798" s="213"/>
      <c r="BJ798" s="213"/>
      <c r="BK798" s="213"/>
      <c r="BL798" s="212"/>
      <c r="BM798" s="213"/>
      <c r="BN798" s="213"/>
      <c r="BO798" s="213"/>
      <c r="BP798" s="213"/>
      <c r="BQ798" s="192"/>
      <c r="BR798" s="192"/>
    </row>
    <row r="799">
      <c r="A799" s="60"/>
      <c r="E799" s="215"/>
      <c r="F799" s="215"/>
      <c r="G799" s="215"/>
      <c r="L799" s="216"/>
      <c r="M799" s="216"/>
      <c r="N799" s="216"/>
      <c r="O799" s="217"/>
      <c r="P799" s="217"/>
      <c r="Q799" s="217"/>
      <c r="R799" s="217"/>
      <c r="S799" s="218"/>
      <c r="X799" s="218"/>
      <c r="AD799" s="216"/>
      <c r="AO799" s="216"/>
      <c r="AP799" s="216"/>
      <c r="AQ799" s="216"/>
      <c r="AR799" s="216"/>
      <c r="AT799" s="192"/>
      <c r="AU799" s="192"/>
      <c r="AV799" s="192"/>
      <c r="AW799" s="192"/>
      <c r="AX799" s="192"/>
      <c r="AY799" s="212"/>
      <c r="AZ799" s="213"/>
      <c r="BA799" s="213"/>
      <c r="BB799" s="213"/>
      <c r="BC799" s="212"/>
      <c r="BD799" s="213"/>
      <c r="BE799" s="213"/>
      <c r="BF799" s="213"/>
      <c r="BG799" s="212"/>
      <c r="BH799" s="213"/>
      <c r="BI799" s="213"/>
      <c r="BJ799" s="213"/>
      <c r="BK799" s="213"/>
      <c r="BL799" s="212"/>
      <c r="BM799" s="213"/>
      <c r="BN799" s="213"/>
      <c r="BO799" s="213"/>
      <c r="BP799" s="213"/>
      <c r="BQ799" s="192"/>
      <c r="BR799" s="192"/>
    </row>
    <row r="800">
      <c r="A800" s="60"/>
      <c r="E800" s="215"/>
      <c r="F800" s="215"/>
      <c r="G800" s="215"/>
      <c r="L800" s="216"/>
      <c r="M800" s="216"/>
      <c r="N800" s="216"/>
      <c r="O800" s="217"/>
      <c r="P800" s="217"/>
      <c r="Q800" s="217"/>
      <c r="R800" s="217"/>
      <c r="S800" s="218"/>
      <c r="X800" s="218"/>
      <c r="AD800" s="216"/>
      <c r="AO800" s="216"/>
      <c r="AP800" s="216"/>
      <c r="AQ800" s="216"/>
      <c r="AR800" s="216"/>
      <c r="AT800" s="192"/>
      <c r="AU800" s="192"/>
      <c r="AV800" s="192"/>
      <c r="AW800" s="192"/>
      <c r="AX800" s="192"/>
      <c r="AY800" s="212"/>
      <c r="AZ800" s="213"/>
      <c r="BA800" s="213"/>
      <c r="BB800" s="213"/>
      <c r="BC800" s="212"/>
      <c r="BD800" s="213"/>
      <c r="BE800" s="213"/>
      <c r="BF800" s="213"/>
      <c r="BG800" s="212"/>
      <c r="BH800" s="213"/>
      <c r="BI800" s="213"/>
      <c r="BJ800" s="213"/>
      <c r="BK800" s="213"/>
      <c r="BL800" s="212"/>
      <c r="BM800" s="213"/>
      <c r="BN800" s="213"/>
      <c r="BO800" s="213"/>
      <c r="BP800" s="213"/>
      <c r="BQ800" s="192"/>
      <c r="BR800" s="192"/>
    </row>
    <row r="801">
      <c r="A801" s="60"/>
      <c r="E801" s="215"/>
      <c r="F801" s="215"/>
      <c r="G801" s="215"/>
      <c r="L801" s="216"/>
      <c r="M801" s="216"/>
      <c r="N801" s="216"/>
      <c r="O801" s="217"/>
      <c r="P801" s="217"/>
      <c r="Q801" s="217"/>
      <c r="R801" s="217"/>
      <c r="S801" s="218"/>
      <c r="X801" s="218"/>
      <c r="AD801" s="216"/>
      <c r="AO801" s="216"/>
      <c r="AP801" s="216"/>
      <c r="AQ801" s="216"/>
      <c r="AR801" s="216"/>
      <c r="AT801" s="192"/>
      <c r="AU801" s="192"/>
      <c r="AV801" s="192"/>
      <c r="AW801" s="192"/>
      <c r="AX801" s="192"/>
      <c r="AY801" s="212"/>
      <c r="AZ801" s="213"/>
      <c r="BA801" s="213"/>
      <c r="BB801" s="213"/>
      <c r="BC801" s="212"/>
      <c r="BD801" s="213"/>
      <c r="BE801" s="213"/>
      <c r="BF801" s="213"/>
      <c r="BG801" s="212"/>
      <c r="BH801" s="213"/>
      <c r="BI801" s="213"/>
      <c r="BJ801" s="213"/>
      <c r="BK801" s="213"/>
      <c r="BL801" s="212"/>
      <c r="BM801" s="213"/>
      <c r="BN801" s="213"/>
      <c r="BO801" s="213"/>
      <c r="BP801" s="213"/>
      <c r="BQ801" s="192"/>
      <c r="BR801" s="192"/>
    </row>
    <row r="802">
      <c r="A802" s="60"/>
      <c r="E802" s="215"/>
      <c r="F802" s="215"/>
      <c r="G802" s="215"/>
      <c r="L802" s="216"/>
      <c r="M802" s="216"/>
      <c r="N802" s="216"/>
      <c r="O802" s="217"/>
      <c r="P802" s="217"/>
      <c r="Q802" s="217"/>
      <c r="R802" s="217"/>
      <c r="S802" s="218"/>
      <c r="X802" s="218"/>
      <c r="AD802" s="216"/>
      <c r="AO802" s="216"/>
      <c r="AP802" s="216"/>
      <c r="AQ802" s="216"/>
      <c r="AR802" s="216"/>
      <c r="AT802" s="192"/>
      <c r="AU802" s="192"/>
      <c r="AV802" s="192"/>
      <c r="AW802" s="192"/>
      <c r="AX802" s="192"/>
      <c r="AY802" s="212"/>
      <c r="AZ802" s="213"/>
      <c r="BA802" s="213"/>
      <c r="BB802" s="213"/>
      <c r="BC802" s="212"/>
      <c r="BD802" s="213"/>
      <c r="BE802" s="213"/>
      <c r="BF802" s="213"/>
      <c r="BG802" s="212"/>
      <c r="BH802" s="213"/>
      <c r="BI802" s="213"/>
      <c r="BJ802" s="213"/>
      <c r="BK802" s="213"/>
      <c r="BL802" s="212"/>
      <c r="BM802" s="213"/>
      <c r="BN802" s="213"/>
      <c r="BO802" s="213"/>
      <c r="BP802" s="213"/>
      <c r="BQ802" s="192"/>
      <c r="BR802" s="192"/>
    </row>
    <row r="803">
      <c r="A803" s="60"/>
      <c r="E803" s="215"/>
      <c r="F803" s="215"/>
      <c r="G803" s="215"/>
      <c r="L803" s="216"/>
      <c r="M803" s="216"/>
      <c r="N803" s="216"/>
      <c r="O803" s="217"/>
      <c r="P803" s="217"/>
      <c r="Q803" s="217"/>
      <c r="R803" s="217"/>
      <c r="S803" s="218"/>
      <c r="X803" s="218"/>
      <c r="AD803" s="216"/>
      <c r="AO803" s="216"/>
      <c r="AP803" s="216"/>
      <c r="AQ803" s="216"/>
      <c r="AR803" s="216"/>
      <c r="AT803" s="192"/>
      <c r="AU803" s="192"/>
      <c r="AV803" s="192"/>
      <c r="AW803" s="192"/>
      <c r="AX803" s="192"/>
      <c r="AY803" s="212"/>
      <c r="AZ803" s="213"/>
      <c r="BA803" s="213"/>
      <c r="BB803" s="213"/>
      <c r="BC803" s="212"/>
      <c r="BD803" s="213"/>
      <c r="BE803" s="213"/>
      <c r="BF803" s="213"/>
      <c r="BG803" s="212"/>
      <c r="BH803" s="213"/>
      <c r="BI803" s="213"/>
      <c r="BJ803" s="213"/>
      <c r="BK803" s="213"/>
      <c r="BL803" s="212"/>
      <c r="BM803" s="213"/>
      <c r="BN803" s="213"/>
      <c r="BO803" s="213"/>
      <c r="BP803" s="213"/>
      <c r="BQ803" s="192"/>
      <c r="BR803" s="192"/>
    </row>
    <row r="804">
      <c r="A804" s="60"/>
      <c r="E804" s="215"/>
      <c r="F804" s="215"/>
      <c r="G804" s="215"/>
      <c r="L804" s="216"/>
      <c r="M804" s="216"/>
      <c r="N804" s="216"/>
      <c r="O804" s="217"/>
      <c r="P804" s="217"/>
      <c r="Q804" s="217"/>
      <c r="R804" s="217"/>
      <c r="S804" s="218"/>
      <c r="X804" s="218"/>
      <c r="AD804" s="216"/>
      <c r="AO804" s="216"/>
      <c r="AP804" s="216"/>
      <c r="AQ804" s="216"/>
      <c r="AR804" s="216"/>
      <c r="AT804" s="192"/>
      <c r="AU804" s="192"/>
      <c r="AV804" s="192"/>
      <c r="AW804" s="192"/>
      <c r="AX804" s="192"/>
      <c r="AY804" s="212"/>
      <c r="AZ804" s="213"/>
      <c r="BA804" s="213"/>
      <c r="BB804" s="213"/>
      <c r="BC804" s="212"/>
      <c r="BD804" s="213"/>
      <c r="BE804" s="213"/>
      <c r="BF804" s="213"/>
      <c r="BG804" s="212"/>
      <c r="BH804" s="213"/>
      <c r="BI804" s="213"/>
      <c r="BJ804" s="213"/>
      <c r="BK804" s="213"/>
      <c r="BL804" s="212"/>
      <c r="BM804" s="213"/>
      <c r="BN804" s="213"/>
      <c r="BO804" s="213"/>
      <c r="BP804" s="213"/>
      <c r="BQ804" s="192"/>
      <c r="BR804" s="192"/>
    </row>
    <row r="805">
      <c r="A805" s="60"/>
      <c r="E805" s="215"/>
      <c r="F805" s="215"/>
      <c r="G805" s="215"/>
      <c r="L805" s="216"/>
      <c r="M805" s="216"/>
      <c r="N805" s="216"/>
      <c r="O805" s="217"/>
      <c r="P805" s="217"/>
      <c r="Q805" s="217"/>
      <c r="R805" s="217"/>
      <c r="S805" s="218"/>
      <c r="X805" s="218"/>
      <c r="AD805" s="216"/>
      <c r="AO805" s="216"/>
      <c r="AP805" s="216"/>
      <c r="AQ805" s="216"/>
      <c r="AR805" s="216"/>
      <c r="AT805" s="192"/>
      <c r="AU805" s="192"/>
      <c r="AV805" s="192"/>
      <c r="AW805" s="192"/>
      <c r="AX805" s="192"/>
      <c r="AY805" s="212"/>
      <c r="AZ805" s="213"/>
      <c r="BA805" s="213"/>
      <c r="BB805" s="213"/>
      <c r="BC805" s="212"/>
      <c r="BD805" s="213"/>
      <c r="BE805" s="213"/>
      <c r="BF805" s="213"/>
      <c r="BG805" s="212"/>
      <c r="BH805" s="213"/>
      <c r="BI805" s="213"/>
      <c r="BJ805" s="213"/>
      <c r="BK805" s="213"/>
      <c r="BL805" s="212"/>
      <c r="BM805" s="213"/>
      <c r="BN805" s="213"/>
      <c r="BO805" s="213"/>
      <c r="BP805" s="213"/>
      <c r="BQ805" s="192"/>
      <c r="BR805" s="192"/>
    </row>
    <row r="806">
      <c r="A806" s="60"/>
      <c r="E806" s="215"/>
      <c r="F806" s="215"/>
      <c r="G806" s="215"/>
      <c r="L806" s="216"/>
      <c r="M806" s="216"/>
      <c r="N806" s="216"/>
      <c r="O806" s="217"/>
      <c r="P806" s="217"/>
      <c r="Q806" s="217"/>
      <c r="R806" s="217"/>
      <c r="S806" s="218"/>
      <c r="X806" s="218"/>
      <c r="AD806" s="216"/>
      <c r="AO806" s="216"/>
      <c r="AP806" s="216"/>
      <c r="AQ806" s="216"/>
      <c r="AR806" s="216"/>
      <c r="AT806" s="192"/>
      <c r="AU806" s="192"/>
      <c r="AV806" s="192"/>
      <c r="AW806" s="192"/>
      <c r="AX806" s="192"/>
      <c r="AY806" s="212"/>
      <c r="AZ806" s="213"/>
      <c r="BA806" s="213"/>
      <c r="BB806" s="213"/>
      <c r="BC806" s="212"/>
      <c r="BD806" s="213"/>
      <c r="BE806" s="213"/>
      <c r="BF806" s="213"/>
      <c r="BG806" s="212"/>
      <c r="BH806" s="213"/>
      <c r="BI806" s="213"/>
      <c r="BJ806" s="213"/>
      <c r="BK806" s="213"/>
      <c r="BL806" s="212"/>
      <c r="BM806" s="213"/>
      <c r="BN806" s="213"/>
      <c r="BO806" s="213"/>
      <c r="BP806" s="213"/>
      <c r="BQ806" s="192"/>
      <c r="BR806" s="192"/>
    </row>
    <row r="807">
      <c r="A807" s="60"/>
      <c r="E807" s="215"/>
      <c r="F807" s="215"/>
      <c r="G807" s="215"/>
      <c r="L807" s="216"/>
      <c r="M807" s="216"/>
      <c r="N807" s="216"/>
      <c r="O807" s="217"/>
      <c r="P807" s="217"/>
      <c r="Q807" s="217"/>
      <c r="R807" s="217"/>
      <c r="S807" s="218"/>
      <c r="X807" s="218"/>
      <c r="AD807" s="216"/>
      <c r="AO807" s="216"/>
      <c r="AP807" s="216"/>
      <c r="AQ807" s="216"/>
      <c r="AR807" s="216"/>
      <c r="AT807" s="192"/>
      <c r="AU807" s="192"/>
      <c r="AV807" s="192"/>
      <c r="AW807" s="192"/>
      <c r="AX807" s="192"/>
      <c r="AY807" s="212"/>
      <c r="AZ807" s="213"/>
      <c r="BA807" s="213"/>
      <c r="BB807" s="213"/>
      <c r="BC807" s="212"/>
      <c r="BD807" s="213"/>
      <c r="BE807" s="213"/>
      <c r="BF807" s="213"/>
      <c r="BG807" s="212"/>
      <c r="BH807" s="213"/>
      <c r="BI807" s="213"/>
      <c r="BJ807" s="213"/>
      <c r="BK807" s="213"/>
      <c r="BL807" s="212"/>
      <c r="BM807" s="213"/>
      <c r="BN807" s="213"/>
      <c r="BO807" s="213"/>
      <c r="BP807" s="213"/>
      <c r="BQ807" s="192"/>
      <c r="BR807" s="192"/>
    </row>
    <row r="808">
      <c r="A808" s="60"/>
      <c r="E808" s="215"/>
      <c r="F808" s="215"/>
      <c r="G808" s="215"/>
      <c r="L808" s="216"/>
      <c r="M808" s="216"/>
      <c r="N808" s="216"/>
      <c r="O808" s="217"/>
      <c r="P808" s="217"/>
      <c r="Q808" s="217"/>
      <c r="R808" s="217"/>
      <c r="S808" s="218"/>
      <c r="X808" s="218"/>
      <c r="AD808" s="216"/>
      <c r="AO808" s="216"/>
      <c r="AP808" s="216"/>
      <c r="AQ808" s="216"/>
      <c r="AR808" s="216"/>
      <c r="AT808" s="192"/>
      <c r="AU808" s="192"/>
      <c r="AV808" s="192"/>
      <c r="AW808" s="192"/>
      <c r="AX808" s="192"/>
      <c r="AY808" s="212"/>
      <c r="AZ808" s="213"/>
      <c r="BA808" s="213"/>
      <c r="BB808" s="213"/>
      <c r="BC808" s="212"/>
      <c r="BD808" s="213"/>
      <c r="BE808" s="213"/>
      <c r="BF808" s="213"/>
      <c r="BG808" s="212"/>
      <c r="BH808" s="213"/>
      <c r="BI808" s="213"/>
      <c r="BJ808" s="213"/>
      <c r="BK808" s="213"/>
      <c r="BL808" s="212"/>
      <c r="BM808" s="213"/>
      <c r="BN808" s="213"/>
      <c r="BO808" s="213"/>
      <c r="BP808" s="213"/>
      <c r="BQ808" s="192"/>
      <c r="BR808" s="192"/>
    </row>
    <row r="809">
      <c r="A809" s="60"/>
      <c r="E809" s="215"/>
      <c r="F809" s="215"/>
      <c r="G809" s="215"/>
      <c r="L809" s="216"/>
      <c r="M809" s="216"/>
      <c r="N809" s="216"/>
      <c r="O809" s="217"/>
      <c r="P809" s="217"/>
      <c r="Q809" s="217"/>
      <c r="R809" s="217"/>
      <c r="S809" s="218"/>
      <c r="X809" s="218"/>
      <c r="AD809" s="216"/>
      <c r="AO809" s="216"/>
      <c r="AP809" s="216"/>
      <c r="AQ809" s="216"/>
      <c r="AR809" s="216"/>
      <c r="AT809" s="192"/>
      <c r="AU809" s="192"/>
      <c r="AV809" s="192"/>
      <c r="AW809" s="192"/>
      <c r="AX809" s="192"/>
      <c r="AY809" s="212"/>
      <c r="AZ809" s="213"/>
      <c r="BA809" s="213"/>
      <c r="BB809" s="213"/>
      <c r="BC809" s="212"/>
      <c r="BD809" s="213"/>
      <c r="BE809" s="213"/>
      <c r="BF809" s="213"/>
      <c r="BG809" s="212"/>
      <c r="BH809" s="213"/>
      <c r="BI809" s="213"/>
      <c r="BJ809" s="213"/>
      <c r="BK809" s="213"/>
      <c r="BL809" s="212"/>
      <c r="BM809" s="213"/>
      <c r="BN809" s="213"/>
      <c r="BO809" s="213"/>
      <c r="BP809" s="213"/>
      <c r="BQ809" s="192"/>
      <c r="BR809" s="192"/>
    </row>
    <row r="810">
      <c r="A810" s="60"/>
      <c r="E810" s="215"/>
      <c r="F810" s="215"/>
      <c r="G810" s="215"/>
      <c r="L810" s="216"/>
      <c r="M810" s="216"/>
      <c r="N810" s="216"/>
      <c r="O810" s="217"/>
      <c r="P810" s="217"/>
      <c r="Q810" s="217"/>
      <c r="R810" s="217"/>
      <c r="S810" s="218"/>
      <c r="X810" s="218"/>
      <c r="AD810" s="216"/>
      <c r="AO810" s="216"/>
      <c r="AP810" s="216"/>
      <c r="AQ810" s="216"/>
      <c r="AR810" s="216"/>
      <c r="AT810" s="192"/>
      <c r="AU810" s="192"/>
      <c r="AV810" s="192"/>
      <c r="AW810" s="192"/>
      <c r="AX810" s="192"/>
      <c r="AY810" s="212"/>
      <c r="AZ810" s="213"/>
      <c r="BA810" s="213"/>
      <c r="BB810" s="213"/>
      <c r="BC810" s="212"/>
      <c r="BD810" s="213"/>
      <c r="BE810" s="213"/>
      <c r="BF810" s="213"/>
      <c r="BG810" s="212"/>
      <c r="BH810" s="213"/>
      <c r="BI810" s="213"/>
      <c r="BJ810" s="213"/>
      <c r="BK810" s="213"/>
      <c r="BL810" s="212"/>
      <c r="BM810" s="213"/>
      <c r="BN810" s="213"/>
      <c r="BO810" s="213"/>
      <c r="BP810" s="213"/>
      <c r="BQ810" s="192"/>
      <c r="BR810" s="192"/>
    </row>
    <row r="811">
      <c r="A811" s="60"/>
      <c r="E811" s="215"/>
      <c r="F811" s="215"/>
      <c r="G811" s="215"/>
      <c r="L811" s="216"/>
      <c r="M811" s="216"/>
      <c r="N811" s="216"/>
      <c r="O811" s="217"/>
      <c r="P811" s="217"/>
      <c r="Q811" s="217"/>
      <c r="R811" s="217"/>
      <c r="S811" s="218"/>
      <c r="X811" s="218"/>
      <c r="AD811" s="216"/>
      <c r="AO811" s="216"/>
      <c r="AP811" s="216"/>
      <c r="AQ811" s="216"/>
      <c r="AR811" s="216"/>
      <c r="AT811" s="192"/>
      <c r="AU811" s="192"/>
      <c r="AV811" s="192"/>
      <c r="AW811" s="192"/>
      <c r="AX811" s="192"/>
      <c r="AY811" s="212"/>
      <c r="AZ811" s="213"/>
      <c r="BA811" s="213"/>
      <c r="BB811" s="213"/>
      <c r="BC811" s="212"/>
      <c r="BD811" s="213"/>
      <c r="BE811" s="213"/>
      <c r="BF811" s="213"/>
      <c r="BG811" s="212"/>
      <c r="BH811" s="213"/>
      <c r="BI811" s="213"/>
      <c r="BJ811" s="213"/>
      <c r="BK811" s="213"/>
      <c r="BL811" s="212"/>
      <c r="BM811" s="213"/>
      <c r="BN811" s="213"/>
      <c r="BO811" s="213"/>
      <c r="BP811" s="213"/>
      <c r="BQ811" s="192"/>
      <c r="BR811" s="192"/>
    </row>
    <row r="812">
      <c r="A812" s="60"/>
      <c r="E812" s="215"/>
      <c r="F812" s="215"/>
      <c r="G812" s="215"/>
      <c r="L812" s="216"/>
      <c r="M812" s="216"/>
      <c r="N812" s="216"/>
      <c r="O812" s="217"/>
      <c r="P812" s="217"/>
      <c r="Q812" s="217"/>
      <c r="R812" s="217"/>
      <c r="S812" s="218"/>
      <c r="X812" s="218"/>
      <c r="AD812" s="216"/>
      <c r="AO812" s="216"/>
      <c r="AP812" s="216"/>
      <c r="AQ812" s="216"/>
      <c r="AR812" s="216"/>
      <c r="AT812" s="192"/>
      <c r="AU812" s="192"/>
      <c r="AV812" s="192"/>
      <c r="AW812" s="192"/>
      <c r="AX812" s="192"/>
      <c r="AY812" s="212"/>
      <c r="AZ812" s="213"/>
      <c r="BA812" s="213"/>
      <c r="BB812" s="213"/>
      <c r="BC812" s="212"/>
      <c r="BD812" s="213"/>
      <c r="BE812" s="213"/>
      <c r="BF812" s="213"/>
      <c r="BG812" s="212"/>
      <c r="BH812" s="213"/>
      <c r="BI812" s="213"/>
      <c r="BJ812" s="213"/>
      <c r="BK812" s="213"/>
      <c r="BL812" s="212"/>
      <c r="BM812" s="213"/>
      <c r="BN812" s="213"/>
      <c r="BO812" s="213"/>
      <c r="BP812" s="213"/>
      <c r="BQ812" s="192"/>
      <c r="BR812" s="192"/>
    </row>
    <row r="813">
      <c r="A813" s="60"/>
      <c r="E813" s="215"/>
      <c r="F813" s="215"/>
      <c r="G813" s="215"/>
      <c r="L813" s="216"/>
      <c r="M813" s="216"/>
      <c r="N813" s="216"/>
      <c r="O813" s="217"/>
      <c r="P813" s="217"/>
      <c r="Q813" s="217"/>
      <c r="R813" s="217"/>
      <c r="S813" s="218"/>
      <c r="X813" s="218"/>
      <c r="AD813" s="216"/>
      <c r="AO813" s="216"/>
      <c r="AP813" s="216"/>
      <c r="AQ813" s="216"/>
      <c r="AR813" s="216"/>
      <c r="AT813" s="192"/>
      <c r="AU813" s="192"/>
      <c r="AV813" s="192"/>
      <c r="AW813" s="192"/>
      <c r="AX813" s="192"/>
      <c r="AY813" s="212"/>
      <c r="AZ813" s="213"/>
      <c r="BA813" s="213"/>
      <c r="BB813" s="213"/>
      <c r="BC813" s="212"/>
      <c r="BD813" s="213"/>
      <c r="BE813" s="213"/>
      <c r="BF813" s="213"/>
      <c r="BG813" s="212"/>
      <c r="BH813" s="213"/>
      <c r="BI813" s="213"/>
      <c r="BJ813" s="213"/>
      <c r="BK813" s="213"/>
      <c r="BL813" s="212"/>
      <c r="BM813" s="213"/>
      <c r="BN813" s="213"/>
      <c r="BO813" s="213"/>
      <c r="BP813" s="213"/>
      <c r="BQ813" s="192"/>
      <c r="BR813" s="192"/>
    </row>
    <row r="814">
      <c r="A814" s="60"/>
      <c r="E814" s="215"/>
      <c r="F814" s="215"/>
      <c r="G814" s="215"/>
      <c r="L814" s="216"/>
      <c r="M814" s="216"/>
      <c r="N814" s="216"/>
      <c r="O814" s="217"/>
      <c r="P814" s="217"/>
      <c r="Q814" s="217"/>
      <c r="R814" s="217"/>
      <c r="S814" s="218"/>
      <c r="X814" s="218"/>
      <c r="AD814" s="216"/>
      <c r="AO814" s="216"/>
      <c r="AP814" s="216"/>
      <c r="AQ814" s="216"/>
      <c r="AR814" s="216"/>
      <c r="AT814" s="192"/>
      <c r="AU814" s="192"/>
      <c r="AV814" s="192"/>
      <c r="AW814" s="192"/>
      <c r="AX814" s="192"/>
      <c r="AY814" s="212"/>
      <c r="AZ814" s="213"/>
      <c r="BA814" s="213"/>
      <c r="BB814" s="213"/>
      <c r="BC814" s="212"/>
      <c r="BD814" s="213"/>
      <c r="BE814" s="213"/>
      <c r="BF814" s="213"/>
      <c r="BG814" s="212"/>
      <c r="BH814" s="213"/>
      <c r="BI814" s="213"/>
      <c r="BJ814" s="213"/>
      <c r="BK814" s="213"/>
      <c r="BL814" s="212"/>
      <c r="BM814" s="213"/>
      <c r="BN814" s="213"/>
      <c r="BO814" s="213"/>
      <c r="BP814" s="213"/>
      <c r="BQ814" s="192"/>
      <c r="BR814" s="192"/>
    </row>
    <row r="815">
      <c r="A815" s="60"/>
      <c r="E815" s="215"/>
      <c r="F815" s="215"/>
      <c r="G815" s="215"/>
      <c r="L815" s="216"/>
      <c r="M815" s="216"/>
      <c r="N815" s="216"/>
      <c r="O815" s="217"/>
      <c r="P815" s="217"/>
      <c r="Q815" s="217"/>
      <c r="R815" s="217"/>
      <c r="S815" s="218"/>
      <c r="X815" s="218"/>
      <c r="AD815" s="216"/>
      <c r="AO815" s="216"/>
      <c r="AP815" s="216"/>
      <c r="AQ815" s="216"/>
      <c r="AR815" s="216"/>
      <c r="AT815" s="192"/>
      <c r="AU815" s="192"/>
      <c r="AV815" s="192"/>
      <c r="AW815" s="192"/>
      <c r="AX815" s="192"/>
      <c r="AY815" s="212"/>
      <c r="AZ815" s="213"/>
      <c r="BA815" s="213"/>
      <c r="BB815" s="213"/>
      <c r="BC815" s="212"/>
      <c r="BD815" s="213"/>
      <c r="BE815" s="213"/>
      <c r="BF815" s="213"/>
      <c r="BG815" s="212"/>
      <c r="BH815" s="213"/>
      <c r="BI815" s="213"/>
      <c r="BJ815" s="213"/>
      <c r="BK815" s="213"/>
      <c r="BL815" s="212"/>
      <c r="BM815" s="213"/>
      <c r="BN815" s="213"/>
      <c r="BO815" s="213"/>
      <c r="BP815" s="213"/>
      <c r="BQ815" s="192"/>
      <c r="BR815" s="192"/>
    </row>
    <row r="816">
      <c r="A816" s="60"/>
      <c r="E816" s="215"/>
      <c r="F816" s="215"/>
      <c r="G816" s="215"/>
      <c r="L816" s="216"/>
      <c r="M816" s="216"/>
      <c r="N816" s="216"/>
      <c r="O816" s="217"/>
      <c r="P816" s="217"/>
      <c r="Q816" s="217"/>
      <c r="R816" s="217"/>
      <c r="S816" s="218"/>
      <c r="X816" s="218"/>
      <c r="AD816" s="216"/>
      <c r="AO816" s="216"/>
      <c r="AP816" s="216"/>
      <c r="AQ816" s="216"/>
      <c r="AR816" s="216"/>
      <c r="AT816" s="192"/>
      <c r="AU816" s="192"/>
      <c r="AV816" s="192"/>
      <c r="AW816" s="192"/>
      <c r="AX816" s="192"/>
      <c r="AY816" s="212"/>
      <c r="AZ816" s="213"/>
      <c r="BA816" s="213"/>
      <c r="BB816" s="213"/>
      <c r="BC816" s="212"/>
      <c r="BD816" s="213"/>
      <c r="BE816" s="213"/>
      <c r="BF816" s="213"/>
      <c r="BG816" s="212"/>
      <c r="BH816" s="213"/>
      <c r="BI816" s="213"/>
      <c r="BJ816" s="213"/>
      <c r="BK816" s="213"/>
      <c r="BL816" s="212"/>
      <c r="BM816" s="213"/>
      <c r="BN816" s="213"/>
      <c r="BO816" s="213"/>
      <c r="BP816" s="213"/>
      <c r="BQ816" s="192"/>
      <c r="BR816" s="192"/>
    </row>
    <row r="817">
      <c r="A817" s="60"/>
      <c r="E817" s="215"/>
      <c r="F817" s="215"/>
      <c r="G817" s="215"/>
      <c r="L817" s="216"/>
      <c r="M817" s="216"/>
      <c r="N817" s="216"/>
      <c r="O817" s="217"/>
      <c r="P817" s="217"/>
      <c r="Q817" s="217"/>
      <c r="R817" s="217"/>
      <c r="S817" s="218"/>
      <c r="X817" s="218"/>
      <c r="AD817" s="216"/>
      <c r="AO817" s="216"/>
      <c r="AP817" s="216"/>
      <c r="AQ817" s="216"/>
      <c r="AR817" s="216"/>
      <c r="AT817" s="192"/>
      <c r="AU817" s="192"/>
      <c r="AV817" s="192"/>
      <c r="AW817" s="192"/>
      <c r="AX817" s="192"/>
      <c r="AY817" s="212"/>
      <c r="AZ817" s="213"/>
      <c r="BA817" s="213"/>
      <c r="BB817" s="213"/>
      <c r="BC817" s="212"/>
      <c r="BD817" s="213"/>
      <c r="BE817" s="213"/>
      <c r="BF817" s="213"/>
      <c r="BG817" s="212"/>
      <c r="BH817" s="213"/>
      <c r="BI817" s="213"/>
      <c r="BJ817" s="213"/>
      <c r="BK817" s="213"/>
      <c r="BL817" s="212"/>
      <c r="BM817" s="213"/>
      <c r="BN817" s="213"/>
      <c r="BO817" s="213"/>
      <c r="BP817" s="213"/>
      <c r="BQ817" s="192"/>
      <c r="BR817" s="192"/>
    </row>
    <row r="818">
      <c r="A818" s="60"/>
      <c r="E818" s="215"/>
      <c r="F818" s="215"/>
      <c r="G818" s="215"/>
      <c r="L818" s="216"/>
      <c r="M818" s="216"/>
      <c r="N818" s="216"/>
      <c r="O818" s="217"/>
      <c r="P818" s="217"/>
      <c r="Q818" s="217"/>
      <c r="R818" s="217"/>
      <c r="S818" s="218"/>
      <c r="X818" s="218"/>
      <c r="AD818" s="216"/>
      <c r="AO818" s="216"/>
      <c r="AP818" s="216"/>
      <c r="AQ818" s="216"/>
      <c r="AR818" s="216"/>
      <c r="AT818" s="192"/>
      <c r="AU818" s="192"/>
      <c r="AV818" s="192"/>
      <c r="AW818" s="192"/>
      <c r="AX818" s="192"/>
      <c r="AY818" s="212"/>
      <c r="AZ818" s="213"/>
      <c r="BA818" s="213"/>
      <c r="BB818" s="213"/>
      <c r="BC818" s="212"/>
      <c r="BD818" s="213"/>
      <c r="BE818" s="213"/>
      <c r="BF818" s="213"/>
      <c r="BG818" s="212"/>
      <c r="BH818" s="213"/>
      <c r="BI818" s="213"/>
      <c r="BJ818" s="213"/>
      <c r="BK818" s="213"/>
      <c r="BL818" s="212"/>
      <c r="BM818" s="213"/>
      <c r="BN818" s="213"/>
      <c r="BO818" s="213"/>
      <c r="BP818" s="213"/>
      <c r="BQ818" s="192"/>
      <c r="BR818" s="192"/>
    </row>
    <row r="819">
      <c r="A819" s="60"/>
      <c r="E819" s="215"/>
      <c r="F819" s="215"/>
      <c r="G819" s="215"/>
      <c r="L819" s="216"/>
      <c r="M819" s="216"/>
      <c r="N819" s="216"/>
      <c r="O819" s="217"/>
      <c r="P819" s="217"/>
      <c r="Q819" s="217"/>
      <c r="R819" s="217"/>
      <c r="S819" s="218"/>
      <c r="X819" s="218"/>
      <c r="AD819" s="216"/>
      <c r="AO819" s="216"/>
      <c r="AP819" s="216"/>
      <c r="AQ819" s="216"/>
      <c r="AR819" s="216"/>
      <c r="AT819" s="192"/>
      <c r="AU819" s="192"/>
      <c r="AV819" s="192"/>
      <c r="AW819" s="192"/>
      <c r="AX819" s="192"/>
      <c r="AY819" s="212"/>
      <c r="AZ819" s="213"/>
      <c r="BA819" s="213"/>
      <c r="BB819" s="213"/>
      <c r="BC819" s="212"/>
      <c r="BD819" s="213"/>
      <c r="BE819" s="213"/>
      <c r="BF819" s="213"/>
      <c r="BG819" s="212"/>
      <c r="BH819" s="213"/>
      <c r="BI819" s="213"/>
      <c r="BJ819" s="213"/>
      <c r="BK819" s="213"/>
      <c r="BL819" s="212"/>
      <c r="BM819" s="213"/>
      <c r="BN819" s="213"/>
      <c r="BO819" s="213"/>
      <c r="BP819" s="213"/>
      <c r="BQ819" s="192"/>
      <c r="BR819" s="192"/>
    </row>
    <row r="820">
      <c r="A820" s="60"/>
      <c r="E820" s="215"/>
      <c r="F820" s="215"/>
      <c r="G820" s="215"/>
      <c r="L820" s="216"/>
      <c r="M820" s="216"/>
      <c r="N820" s="216"/>
      <c r="O820" s="217"/>
      <c r="P820" s="217"/>
      <c r="Q820" s="217"/>
      <c r="R820" s="217"/>
      <c r="S820" s="218"/>
      <c r="X820" s="218"/>
      <c r="AD820" s="216"/>
      <c r="AO820" s="216"/>
      <c r="AP820" s="216"/>
      <c r="AQ820" s="216"/>
      <c r="AR820" s="216"/>
      <c r="AT820" s="192"/>
      <c r="AU820" s="192"/>
      <c r="AV820" s="192"/>
      <c r="AW820" s="192"/>
      <c r="AX820" s="192"/>
      <c r="AY820" s="212"/>
      <c r="AZ820" s="213"/>
      <c r="BA820" s="213"/>
      <c r="BB820" s="213"/>
      <c r="BC820" s="212"/>
      <c r="BD820" s="213"/>
      <c r="BE820" s="213"/>
      <c r="BF820" s="213"/>
      <c r="BG820" s="212"/>
      <c r="BH820" s="213"/>
      <c r="BI820" s="213"/>
      <c r="BJ820" s="213"/>
      <c r="BK820" s="213"/>
      <c r="BL820" s="212"/>
      <c r="BM820" s="213"/>
      <c r="BN820" s="213"/>
      <c r="BO820" s="213"/>
      <c r="BP820" s="213"/>
      <c r="BQ820" s="192"/>
      <c r="BR820" s="192"/>
    </row>
    <row r="821">
      <c r="A821" s="60"/>
      <c r="E821" s="215"/>
      <c r="F821" s="215"/>
      <c r="G821" s="215"/>
      <c r="L821" s="216"/>
      <c r="M821" s="216"/>
      <c r="N821" s="216"/>
      <c r="O821" s="217"/>
      <c r="P821" s="217"/>
      <c r="Q821" s="217"/>
      <c r="R821" s="217"/>
      <c r="S821" s="218"/>
      <c r="X821" s="218"/>
      <c r="AD821" s="216"/>
      <c r="AO821" s="216"/>
      <c r="AP821" s="216"/>
      <c r="AQ821" s="216"/>
      <c r="AR821" s="216"/>
      <c r="AT821" s="192"/>
      <c r="AU821" s="192"/>
      <c r="AV821" s="192"/>
      <c r="AW821" s="192"/>
      <c r="AX821" s="192"/>
      <c r="AY821" s="212"/>
      <c r="AZ821" s="213"/>
      <c r="BA821" s="213"/>
      <c r="BB821" s="213"/>
      <c r="BC821" s="212"/>
      <c r="BD821" s="213"/>
      <c r="BE821" s="213"/>
      <c r="BF821" s="213"/>
      <c r="BG821" s="212"/>
      <c r="BH821" s="213"/>
      <c r="BI821" s="213"/>
      <c r="BJ821" s="213"/>
      <c r="BK821" s="213"/>
      <c r="BL821" s="212"/>
      <c r="BM821" s="213"/>
      <c r="BN821" s="213"/>
      <c r="BO821" s="213"/>
      <c r="BP821" s="213"/>
      <c r="BQ821" s="192"/>
      <c r="BR821" s="192"/>
    </row>
    <row r="822">
      <c r="A822" s="60"/>
      <c r="E822" s="215"/>
      <c r="F822" s="215"/>
      <c r="G822" s="215"/>
      <c r="L822" s="216"/>
      <c r="M822" s="216"/>
      <c r="N822" s="216"/>
      <c r="O822" s="217"/>
      <c r="P822" s="217"/>
      <c r="Q822" s="217"/>
      <c r="R822" s="217"/>
      <c r="S822" s="218"/>
      <c r="X822" s="218"/>
      <c r="AD822" s="216"/>
      <c r="AO822" s="216"/>
      <c r="AP822" s="216"/>
      <c r="AQ822" s="216"/>
      <c r="AR822" s="216"/>
      <c r="AT822" s="192"/>
      <c r="AU822" s="192"/>
      <c r="AV822" s="192"/>
      <c r="AW822" s="192"/>
      <c r="AX822" s="192"/>
      <c r="AY822" s="212"/>
      <c r="AZ822" s="213"/>
      <c r="BA822" s="213"/>
      <c r="BB822" s="213"/>
      <c r="BC822" s="212"/>
      <c r="BD822" s="213"/>
      <c r="BE822" s="213"/>
      <c r="BF822" s="213"/>
      <c r="BG822" s="212"/>
      <c r="BH822" s="213"/>
      <c r="BI822" s="213"/>
      <c r="BJ822" s="213"/>
      <c r="BK822" s="213"/>
      <c r="BL822" s="212"/>
      <c r="BM822" s="213"/>
      <c r="BN822" s="213"/>
      <c r="BO822" s="213"/>
      <c r="BP822" s="213"/>
      <c r="BQ822" s="192"/>
      <c r="BR822" s="192"/>
    </row>
    <row r="823">
      <c r="A823" s="60"/>
      <c r="E823" s="215"/>
      <c r="F823" s="215"/>
      <c r="G823" s="215"/>
      <c r="L823" s="216"/>
      <c r="M823" s="216"/>
      <c r="N823" s="216"/>
      <c r="O823" s="217"/>
      <c r="P823" s="217"/>
      <c r="Q823" s="217"/>
      <c r="R823" s="217"/>
      <c r="S823" s="218"/>
      <c r="X823" s="218"/>
      <c r="AD823" s="216"/>
      <c r="AO823" s="216"/>
      <c r="AP823" s="216"/>
      <c r="AQ823" s="216"/>
      <c r="AR823" s="216"/>
      <c r="AT823" s="192"/>
      <c r="AU823" s="192"/>
      <c r="AV823" s="192"/>
      <c r="AW823" s="192"/>
      <c r="AX823" s="192"/>
      <c r="AY823" s="212"/>
      <c r="AZ823" s="213"/>
      <c r="BA823" s="213"/>
      <c r="BB823" s="213"/>
      <c r="BC823" s="212"/>
      <c r="BD823" s="213"/>
      <c r="BE823" s="213"/>
      <c r="BF823" s="213"/>
      <c r="BG823" s="212"/>
      <c r="BH823" s="213"/>
      <c r="BI823" s="213"/>
      <c r="BJ823" s="213"/>
      <c r="BK823" s="213"/>
      <c r="BL823" s="212"/>
      <c r="BM823" s="213"/>
      <c r="BN823" s="213"/>
      <c r="BO823" s="213"/>
      <c r="BP823" s="213"/>
      <c r="BQ823" s="192"/>
      <c r="BR823" s="192"/>
    </row>
    <row r="824">
      <c r="A824" s="60"/>
      <c r="E824" s="215"/>
      <c r="F824" s="215"/>
      <c r="G824" s="215"/>
      <c r="L824" s="216"/>
      <c r="M824" s="216"/>
      <c r="N824" s="216"/>
      <c r="O824" s="217"/>
      <c r="P824" s="217"/>
      <c r="Q824" s="217"/>
      <c r="R824" s="217"/>
      <c r="S824" s="218"/>
      <c r="X824" s="218"/>
      <c r="AD824" s="216"/>
      <c r="AO824" s="216"/>
      <c r="AP824" s="216"/>
      <c r="AQ824" s="216"/>
      <c r="AR824" s="216"/>
      <c r="AT824" s="192"/>
      <c r="AU824" s="192"/>
      <c r="AV824" s="192"/>
      <c r="AW824" s="192"/>
      <c r="AX824" s="192"/>
      <c r="AY824" s="212"/>
      <c r="AZ824" s="213"/>
      <c r="BA824" s="213"/>
      <c r="BB824" s="213"/>
      <c r="BC824" s="212"/>
      <c r="BD824" s="213"/>
      <c r="BE824" s="213"/>
      <c r="BF824" s="213"/>
      <c r="BG824" s="212"/>
      <c r="BH824" s="213"/>
      <c r="BI824" s="213"/>
      <c r="BJ824" s="213"/>
      <c r="BK824" s="213"/>
      <c r="BL824" s="212"/>
      <c r="BM824" s="213"/>
      <c r="BN824" s="213"/>
      <c r="BO824" s="213"/>
      <c r="BP824" s="213"/>
      <c r="BQ824" s="192"/>
      <c r="BR824" s="192"/>
    </row>
    <row r="825">
      <c r="A825" s="60"/>
      <c r="E825" s="215"/>
      <c r="F825" s="215"/>
      <c r="G825" s="215"/>
      <c r="L825" s="216"/>
      <c r="M825" s="216"/>
      <c r="N825" s="216"/>
      <c r="O825" s="217"/>
      <c r="P825" s="217"/>
      <c r="Q825" s="217"/>
      <c r="R825" s="217"/>
      <c r="S825" s="218"/>
      <c r="X825" s="218"/>
      <c r="AD825" s="216"/>
      <c r="AO825" s="216"/>
      <c r="AP825" s="216"/>
      <c r="AQ825" s="216"/>
      <c r="AR825" s="216"/>
      <c r="AT825" s="192"/>
      <c r="AU825" s="192"/>
      <c r="AV825" s="192"/>
      <c r="AW825" s="192"/>
      <c r="AX825" s="192"/>
      <c r="AY825" s="212"/>
      <c r="AZ825" s="213"/>
      <c r="BA825" s="213"/>
      <c r="BB825" s="213"/>
      <c r="BC825" s="212"/>
      <c r="BD825" s="213"/>
      <c r="BE825" s="213"/>
      <c r="BF825" s="213"/>
      <c r="BG825" s="212"/>
      <c r="BH825" s="213"/>
      <c r="BI825" s="213"/>
      <c r="BJ825" s="213"/>
      <c r="BK825" s="213"/>
      <c r="BL825" s="212"/>
      <c r="BM825" s="213"/>
      <c r="BN825" s="213"/>
      <c r="BO825" s="213"/>
      <c r="BP825" s="213"/>
      <c r="BQ825" s="192"/>
      <c r="BR825" s="192"/>
    </row>
    <row r="826">
      <c r="A826" s="60"/>
      <c r="E826" s="215"/>
      <c r="F826" s="215"/>
      <c r="G826" s="215"/>
      <c r="L826" s="216"/>
      <c r="M826" s="216"/>
      <c r="N826" s="216"/>
      <c r="O826" s="217"/>
      <c r="P826" s="217"/>
      <c r="Q826" s="217"/>
      <c r="R826" s="217"/>
      <c r="S826" s="218"/>
      <c r="X826" s="218"/>
      <c r="AD826" s="216"/>
      <c r="AO826" s="216"/>
      <c r="AP826" s="216"/>
      <c r="AQ826" s="216"/>
      <c r="AR826" s="216"/>
      <c r="AT826" s="192"/>
      <c r="AU826" s="192"/>
      <c r="AV826" s="192"/>
      <c r="AW826" s="192"/>
      <c r="AX826" s="192"/>
      <c r="AY826" s="212"/>
      <c r="AZ826" s="213"/>
      <c r="BA826" s="213"/>
      <c r="BB826" s="213"/>
      <c r="BC826" s="212"/>
      <c r="BD826" s="213"/>
      <c r="BE826" s="213"/>
      <c r="BF826" s="213"/>
      <c r="BG826" s="212"/>
      <c r="BH826" s="213"/>
      <c r="BI826" s="213"/>
      <c r="BJ826" s="213"/>
      <c r="BK826" s="213"/>
      <c r="BL826" s="212"/>
      <c r="BM826" s="213"/>
      <c r="BN826" s="213"/>
      <c r="BO826" s="213"/>
      <c r="BP826" s="213"/>
      <c r="BQ826" s="192"/>
      <c r="BR826" s="192"/>
    </row>
    <row r="827">
      <c r="A827" s="60"/>
      <c r="E827" s="215"/>
      <c r="F827" s="215"/>
      <c r="G827" s="215"/>
      <c r="L827" s="216"/>
      <c r="M827" s="216"/>
      <c r="N827" s="216"/>
      <c r="O827" s="217"/>
      <c r="P827" s="217"/>
      <c r="Q827" s="217"/>
      <c r="R827" s="217"/>
      <c r="S827" s="218"/>
      <c r="X827" s="218"/>
      <c r="AD827" s="216"/>
      <c r="AO827" s="216"/>
      <c r="AP827" s="216"/>
      <c r="AQ827" s="216"/>
      <c r="AR827" s="216"/>
      <c r="AT827" s="192"/>
      <c r="AU827" s="192"/>
      <c r="AV827" s="192"/>
      <c r="AW827" s="192"/>
      <c r="AX827" s="192"/>
      <c r="AY827" s="212"/>
      <c r="AZ827" s="213"/>
      <c r="BA827" s="213"/>
      <c r="BB827" s="213"/>
      <c r="BC827" s="212"/>
      <c r="BD827" s="213"/>
      <c r="BE827" s="213"/>
      <c r="BF827" s="213"/>
      <c r="BG827" s="212"/>
      <c r="BH827" s="213"/>
      <c r="BI827" s="213"/>
      <c r="BJ827" s="213"/>
      <c r="BK827" s="213"/>
      <c r="BL827" s="212"/>
      <c r="BM827" s="213"/>
      <c r="BN827" s="213"/>
      <c r="BO827" s="213"/>
      <c r="BP827" s="213"/>
      <c r="BQ827" s="192"/>
      <c r="BR827" s="192"/>
    </row>
    <row r="828">
      <c r="A828" s="60"/>
      <c r="E828" s="215"/>
      <c r="F828" s="215"/>
      <c r="G828" s="215"/>
      <c r="L828" s="216"/>
      <c r="M828" s="216"/>
      <c r="N828" s="216"/>
      <c r="O828" s="217"/>
      <c r="P828" s="217"/>
      <c r="Q828" s="217"/>
      <c r="R828" s="217"/>
      <c r="S828" s="218"/>
      <c r="X828" s="218"/>
      <c r="AD828" s="216"/>
      <c r="AO828" s="216"/>
      <c r="AP828" s="216"/>
      <c r="AQ828" s="216"/>
      <c r="AR828" s="216"/>
      <c r="AT828" s="192"/>
      <c r="AU828" s="192"/>
      <c r="AV828" s="192"/>
      <c r="AW828" s="192"/>
      <c r="AX828" s="192"/>
      <c r="AY828" s="212"/>
      <c r="AZ828" s="213"/>
      <c r="BA828" s="213"/>
      <c r="BB828" s="213"/>
      <c r="BC828" s="212"/>
      <c r="BD828" s="213"/>
      <c r="BE828" s="213"/>
      <c r="BF828" s="213"/>
      <c r="BG828" s="212"/>
      <c r="BH828" s="213"/>
      <c r="BI828" s="213"/>
      <c r="BJ828" s="213"/>
      <c r="BK828" s="213"/>
      <c r="BL828" s="212"/>
      <c r="BM828" s="213"/>
      <c r="BN828" s="213"/>
      <c r="BO828" s="213"/>
      <c r="BP828" s="213"/>
      <c r="BQ828" s="192"/>
      <c r="BR828" s="192"/>
    </row>
    <row r="829">
      <c r="A829" s="60"/>
      <c r="E829" s="215"/>
      <c r="F829" s="215"/>
      <c r="G829" s="215"/>
      <c r="L829" s="216"/>
      <c r="M829" s="216"/>
      <c r="N829" s="216"/>
      <c r="O829" s="217"/>
      <c r="P829" s="217"/>
      <c r="Q829" s="217"/>
      <c r="R829" s="217"/>
      <c r="S829" s="218"/>
      <c r="X829" s="218"/>
      <c r="AD829" s="216"/>
      <c r="AO829" s="216"/>
      <c r="AP829" s="216"/>
      <c r="AQ829" s="216"/>
      <c r="AR829" s="216"/>
      <c r="AT829" s="192"/>
      <c r="AU829" s="192"/>
      <c r="AV829" s="192"/>
      <c r="AW829" s="192"/>
      <c r="AX829" s="192"/>
      <c r="AY829" s="212"/>
      <c r="AZ829" s="213"/>
      <c r="BA829" s="213"/>
      <c r="BB829" s="213"/>
      <c r="BC829" s="212"/>
      <c r="BD829" s="213"/>
      <c r="BE829" s="213"/>
      <c r="BF829" s="213"/>
      <c r="BG829" s="212"/>
      <c r="BH829" s="213"/>
      <c r="BI829" s="213"/>
      <c r="BJ829" s="213"/>
      <c r="BK829" s="213"/>
      <c r="BL829" s="212"/>
      <c r="BM829" s="213"/>
      <c r="BN829" s="213"/>
      <c r="BO829" s="213"/>
      <c r="BP829" s="213"/>
      <c r="BQ829" s="192"/>
      <c r="BR829" s="192"/>
    </row>
    <row r="830">
      <c r="A830" s="60"/>
      <c r="E830" s="215"/>
      <c r="F830" s="215"/>
      <c r="G830" s="215"/>
      <c r="L830" s="216"/>
      <c r="M830" s="216"/>
      <c r="N830" s="216"/>
      <c r="O830" s="217"/>
      <c r="P830" s="217"/>
      <c r="Q830" s="217"/>
      <c r="R830" s="217"/>
      <c r="S830" s="218"/>
      <c r="X830" s="218"/>
      <c r="AD830" s="216"/>
      <c r="AO830" s="216"/>
      <c r="AP830" s="216"/>
      <c r="AQ830" s="216"/>
      <c r="AR830" s="216"/>
      <c r="AT830" s="192"/>
      <c r="AU830" s="192"/>
      <c r="AV830" s="192"/>
      <c r="AW830" s="192"/>
      <c r="AX830" s="192"/>
      <c r="AY830" s="212"/>
      <c r="AZ830" s="213"/>
      <c r="BA830" s="213"/>
      <c r="BB830" s="213"/>
      <c r="BC830" s="212"/>
      <c r="BD830" s="213"/>
      <c r="BE830" s="213"/>
      <c r="BF830" s="213"/>
      <c r="BG830" s="212"/>
      <c r="BH830" s="213"/>
      <c r="BI830" s="213"/>
      <c r="BJ830" s="213"/>
      <c r="BK830" s="213"/>
      <c r="BL830" s="212"/>
      <c r="BM830" s="213"/>
      <c r="BN830" s="213"/>
      <c r="BO830" s="213"/>
      <c r="BP830" s="213"/>
      <c r="BQ830" s="192"/>
      <c r="BR830" s="192"/>
    </row>
    <row r="831">
      <c r="A831" s="60"/>
      <c r="E831" s="215"/>
      <c r="F831" s="215"/>
      <c r="G831" s="215"/>
      <c r="L831" s="216"/>
      <c r="M831" s="216"/>
      <c r="N831" s="216"/>
      <c r="O831" s="217"/>
      <c r="P831" s="217"/>
      <c r="Q831" s="217"/>
      <c r="R831" s="217"/>
      <c r="S831" s="218"/>
      <c r="X831" s="218"/>
      <c r="AD831" s="216"/>
      <c r="AO831" s="216"/>
      <c r="AP831" s="216"/>
      <c r="AQ831" s="216"/>
      <c r="AR831" s="216"/>
      <c r="AT831" s="192"/>
      <c r="AU831" s="192"/>
      <c r="AV831" s="192"/>
      <c r="AW831" s="192"/>
      <c r="AX831" s="192"/>
      <c r="AY831" s="212"/>
      <c r="AZ831" s="213"/>
      <c r="BA831" s="213"/>
      <c r="BB831" s="213"/>
      <c r="BC831" s="212"/>
      <c r="BD831" s="213"/>
      <c r="BE831" s="213"/>
      <c r="BF831" s="213"/>
      <c r="BG831" s="212"/>
      <c r="BH831" s="213"/>
      <c r="BI831" s="213"/>
      <c r="BJ831" s="213"/>
      <c r="BK831" s="213"/>
      <c r="BL831" s="212"/>
      <c r="BM831" s="213"/>
      <c r="BN831" s="213"/>
      <c r="BO831" s="213"/>
      <c r="BP831" s="213"/>
      <c r="BQ831" s="192"/>
      <c r="BR831" s="192"/>
    </row>
    <row r="832">
      <c r="A832" s="60"/>
      <c r="E832" s="215"/>
      <c r="F832" s="215"/>
      <c r="G832" s="215"/>
      <c r="L832" s="216"/>
      <c r="M832" s="216"/>
      <c r="N832" s="216"/>
      <c r="O832" s="217"/>
      <c r="P832" s="217"/>
      <c r="Q832" s="217"/>
      <c r="R832" s="217"/>
      <c r="S832" s="218"/>
      <c r="X832" s="218"/>
      <c r="AD832" s="216"/>
      <c r="AO832" s="216"/>
      <c r="AP832" s="216"/>
      <c r="AQ832" s="216"/>
      <c r="AR832" s="216"/>
      <c r="AT832" s="192"/>
      <c r="AU832" s="192"/>
      <c r="AV832" s="192"/>
      <c r="AW832" s="192"/>
      <c r="AX832" s="192"/>
      <c r="AY832" s="212"/>
      <c r="AZ832" s="213"/>
      <c r="BA832" s="213"/>
      <c r="BB832" s="213"/>
      <c r="BC832" s="212"/>
      <c r="BD832" s="213"/>
      <c r="BE832" s="213"/>
      <c r="BF832" s="213"/>
      <c r="BG832" s="212"/>
      <c r="BH832" s="213"/>
      <c r="BI832" s="213"/>
      <c r="BJ832" s="213"/>
      <c r="BK832" s="213"/>
      <c r="BL832" s="212"/>
      <c r="BM832" s="213"/>
      <c r="BN832" s="213"/>
      <c r="BO832" s="213"/>
      <c r="BP832" s="213"/>
      <c r="BQ832" s="192"/>
      <c r="BR832" s="192"/>
    </row>
    <row r="833">
      <c r="A833" s="60"/>
      <c r="E833" s="215"/>
      <c r="F833" s="215"/>
      <c r="G833" s="215"/>
      <c r="L833" s="216"/>
      <c r="M833" s="216"/>
      <c r="N833" s="216"/>
      <c r="O833" s="217"/>
      <c r="P833" s="217"/>
      <c r="Q833" s="217"/>
      <c r="R833" s="217"/>
      <c r="S833" s="218"/>
      <c r="X833" s="218"/>
      <c r="AD833" s="216"/>
      <c r="AO833" s="216"/>
      <c r="AP833" s="216"/>
      <c r="AQ833" s="216"/>
      <c r="AR833" s="216"/>
      <c r="AT833" s="192"/>
      <c r="AU833" s="192"/>
      <c r="AV833" s="192"/>
      <c r="AW833" s="192"/>
      <c r="AX833" s="192"/>
      <c r="AY833" s="212"/>
      <c r="AZ833" s="213"/>
      <c r="BA833" s="213"/>
      <c r="BB833" s="213"/>
      <c r="BC833" s="212"/>
      <c r="BD833" s="213"/>
      <c r="BE833" s="213"/>
      <c r="BF833" s="213"/>
      <c r="BG833" s="212"/>
      <c r="BH833" s="213"/>
      <c r="BI833" s="213"/>
      <c r="BJ833" s="213"/>
      <c r="BK833" s="213"/>
      <c r="BL833" s="212"/>
      <c r="BM833" s="213"/>
      <c r="BN833" s="213"/>
      <c r="BO833" s="213"/>
      <c r="BP833" s="213"/>
      <c r="BQ833" s="192"/>
      <c r="BR833" s="192"/>
    </row>
    <row r="834">
      <c r="A834" s="60"/>
      <c r="E834" s="215"/>
      <c r="F834" s="215"/>
      <c r="G834" s="215"/>
      <c r="L834" s="216"/>
      <c r="M834" s="216"/>
      <c r="N834" s="216"/>
      <c r="O834" s="217"/>
      <c r="P834" s="217"/>
      <c r="Q834" s="217"/>
      <c r="R834" s="217"/>
      <c r="S834" s="218"/>
      <c r="X834" s="218"/>
      <c r="AD834" s="216"/>
      <c r="AO834" s="216"/>
      <c r="AP834" s="216"/>
      <c r="AQ834" s="216"/>
      <c r="AR834" s="216"/>
      <c r="AT834" s="192"/>
      <c r="AU834" s="192"/>
      <c r="AV834" s="192"/>
      <c r="AW834" s="192"/>
      <c r="AX834" s="192"/>
      <c r="AY834" s="212"/>
      <c r="AZ834" s="213"/>
      <c r="BA834" s="213"/>
      <c r="BB834" s="213"/>
      <c r="BC834" s="212"/>
      <c r="BD834" s="213"/>
      <c r="BE834" s="213"/>
      <c r="BF834" s="213"/>
      <c r="BG834" s="212"/>
      <c r="BH834" s="213"/>
      <c r="BI834" s="213"/>
      <c r="BJ834" s="213"/>
      <c r="BK834" s="213"/>
      <c r="BL834" s="212"/>
      <c r="BM834" s="213"/>
      <c r="BN834" s="213"/>
      <c r="BO834" s="213"/>
      <c r="BP834" s="213"/>
      <c r="BQ834" s="192"/>
      <c r="BR834" s="192"/>
    </row>
    <row r="835">
      <c r="A835" s="60"/>
      <c r="E835" s="215"/>
      <c r="F835" s="215"/>
      <c r="G835" s="215"/>
      <c r="L835" s="216"/>
      <c r="M835" s="216"/>
      <c r="N835" s="216"/>
      <c r="O835" s="217"/>
      <c r="P835" s="217"/>
      <c r="Q835" s="217"/>
      <c r="R835" s="217"/>
      <c r="S835" s="218"/>
      <c r="X835" s="218"/>
      <c r="AD835" s="216"/>
      <c r="AO835" s="216"/>
      <c r="AP835" s="216"/>
      <c r="AQ835" s="216"/>
      <c r="AR835" s="216"/>
      <c r="AT835" s="192"/>
      <c r="AU835" s="192"/>
      <c r="AV835" s="192"/>
      <c r="AW835" s="192"/>
      <c r="AX835" s="192"/>
      <c r="AY835" s="212"/>
      <c r="AZ835" s="213"/>
      <c r="BA835" s="213"/>
      <c r="BB835" s="213"/>
      <c r="BC835" s="212"/>
      <c r="BD835" s="213"/>
      <c r="BE835" s="213"/>
      <c r="BF835" s="213"/>
      <c r="BG835" s="212"/>
      <c r="BH835" s="213"/>
      <c r="BI835" s="213"/>
      <c r="BJ835" s="213"/>
      <c r="BK835" s="213"/>
      <c r="BL835" s="212"/>
      <c r="BM835" s="213"/>
      <c r="BN835" s="213"/>
      <c r="BO835" s="213"/>
      <c r="BP835" s="213"/>
      <c r="BQ835" s="192"/>
      <c r="BR835" s="192"/>
    </row>
    <row r="836">
      <c r="A836" s="60"/>
      <c r="E836" s="215"/>
      <c r="F836" s="215"/>
      <c r="G836" s="215"/>
      <c r="L836" s="216"/>
      <c r="M836" s="216"/>
      <c r="N836" s="216"/>
      <c r="O836" s="217"/>
      <c r="P836" s="217"/>
      <c r="Q836" s="217"/>
      <c r="R836" s="217"/>
      <c r="S836" s="218"/>
      <c r="X836" s="218"/>
      <c r="AD836" s="216"/>
      <c r="AO836" s="216"/>
      <c r="AP836" s="216"/>
      <c r="AQ836" s="216"/>
      <c r="AR836" s="216"/>
      <c r="AT836" s="192"/>
      <c r="AU836" s="192"/>
      <c r="AV836" s="192"/>
      <c r="AW836" s="192"/>
      <c r="AX836" s="192"/>
      <c r="AY836" s="212"/>
      <c r="AZ836" s="213"/>
      <c r="BA836" s="213"/>
      <c r="BB836" s="213"/>
      <c r="BC836" s="212"/>
      <c r="BD836" s="213"/>
      <c r="BE836" s="213"/>
      <c r="BF836" s="213"/>
      <c r="BG836" s="212"/>
      <c r="BH836" s="213"/>
      <c r="BI836" s="213"/>
      <c r="BJ836" s="213"/>
      <c r="BK836" s="213"/>
      <c r="BL836" s="212"/>
      <c r="BM836" s="213"/>
      <c r="BN836" s="213"/>
      <c r="BO836" s="213"/>
      <c r="BP836" s="213"/>
      <c r="BQ836" s="192"/>
      <c r="BR836" s="192"/>
    </row>
    <row r="837">
      <c r="A837" s="60"/>
      <c r="E837" s="215"/>
      <c r="F837" s="215"/>
      <c r="G837" s="215"/>
      <c r="L837" s="216"/>
      <c r="M837" s="216"/>
      <c r="N837" s="216"/>
      <c r="O837" s="217"/>
      <c r="P837" s="217"/>
      <c r="Q837" s="217"/>
      <c r="R837" s="217"/>
      <c r="S837" s="218"/>
      <c r="X837" s="218"/>
      <c r="AD837" s="216"/>
      <c r="AO837" s="216"/>
      <c r="AP837" s="216"/>
      <c r="AQ837" s="216"/>
      <c r="AR837" s="216"/>
      <c r="AT837" s="192"/>
      <c r="AU837" s="192"/>
      <c r="AV837" s="192"/>
      <c r="AW837" s="192"/>
      <c r="AX837" s="192"/>
      <c r="AY837" s="212"/>
      <c r="AZ837" s="213"/>
      <c r="BA837" s="213"/>
      <c r="BB837" s="213"/>
      <c r="BC837" s="212"/>
      <c r="BD837" s="213"/>
      <c r="BE837" s="213"/>
      <c r="BF837" s="213"/>
      <c r="BG837" s="212"/>
      <c r="BH837" s="213"/>
      <c r="BI837" s="213"/>
      <c r="BJ837" s="213"/>
      <c r="BK837" s="213"/>
      <c r="BL837" s="212"/>
      <c r="BM837" s="213"/>
      <c r="BN837" s="213"/>
      <c r="BO837" s="213"/>
      <c r="BP837" s="213"/>
      <c r="BQ837" s="192"/>
      <c r="BR837" s="192"/>
    </row>
    <row r="838">
      <c r="A838" s="60"/>
      <c r="E838" s="215"/>
      <c r="F838" s="215"/>
      <c r="G838" s="215"/>
      <c r="L838" s="216"/>
      <c r="M838" s="216"/>
      <c r="N838" s="216"/>
      <c r="O838" s="217"/>
      <c r="P838" s="217"/>
      <c r="Q838" s="217"/>
      <c r="R838" s="217"/>
      <c r="S838" s="218"/>
      <c r="X838" s="218"/>
      <c r="AD838" s="216"/>
      <c r="AO838" s="216"/>
      <c r="AP838" s="216"/>
      <c r="AQ838" s="216"/>
      <c r="AR838" s="216"/>
      <c r="AT838" s="192"/>
      <c r="AU838" s="192"/>
      <c r="AV838" s="192"/>
      <c r="AW838" s="192"/>
      <c r="AX838" s="192"/>
      <c r="AY838" s="212"/>
      <c r="AZ838" s="213"/>
      <c r="BA838" s="213"/>
      <c r="BB838" s="213"/>
      <c r="BC838" s="212"/>
      <c r="BD838" s="213"/>
      <c r="BE838" s="213"/>
      <c r="BF838" s="213"/>
      <c r="BG838" s="212"/>
      <c r="BH838" s="213"/>
      <c r="BI838" s="213"/>
      <c r="BJ838" s="213"/>
      <c r="BK838" s="213"/>
      <c r="BL838" s="212"/>
      <c r="BM838" s="213"/>
      <c r="BN838" s="213"/>
      <c r="BO838" s="213"/>
      <c r="BP838" s="213"/>
      <c r="BQ838" s="192"/>
      <c r="BR838" s="192"/>
    </row>
    <row r="839">
      <c r="A839" s="60"/>
      <c r="E839" s="215"/>
      <c r="F839" s="215"/>
      <c r="G839" s="215"/>
      <c r="L839" s="216"/>
      <c r="M839" s="216"/>
      <c r="N839" s="216"/>
      <c r="O839" s="217"/>
      <c r="P839" s="217"/>
      <c r="Q839" s="217"/>
      <c r="R839" s="217"/>
      <c r="S839" s="218"/>
      <c r="X839" s="218"/>
      <c r="AD839" s="216"/>
      <c r="AO839" s="216"/>
      <c r="AP839" s="216"/>
      <c r="AQ839" s="216"/>
      <c r="AR839" s="216"/>
      <c r="AT839" s="192"/>
      <c r="AU839" s="192"/>
      <c r="AV839" s="192"/>
      <c r="AW839" s="192"/>
      <c r="AX839" s="192"/>
      <c r="AY839" s="212"/>
      <c r="AZ839" s="213"/>
      <c r="BA839" s="213"/>
      <c r="BB839" s="213"/>
      <c r="BC839" s="212"/>
      <c r="BD839" s="213"/>
      <c r="BE839" s="213"/>
      <c r="BF839" s="213"/>
      <c r="BG839" s="212"/>
      <c r="BH839" s="213"/>
      <c r="BI839" s="213"/>
      <c r="BJ839" s="213"/>
      <c r="BK839" s="213"/>
      <c r="BL839" s="212"/>
      <c r="BM839" s="213"/>
      <c r="BN839" s="213"/>
      <c r="BO839" s="213"/>
      <c r="BP839" s="213"/>
      <c r="BQ839" s="192"/>
      <c r="BR839" s="192"/>
    </row>
    <row r="840">
      <c r="A840" s="60"/>
      <c r="E840" s="215"/>
      <c r="F840" s="215"/>
      <c r="G840" s="215"/>
      <c r="L840" s="216"/>
      <c r="M840" s="216"/>
      <c r="N840" s="216"/>
      <c r="O840" s="217"/>
      <c r="P840" s="217"/>
      <c r="Q840" s="217"/>
      <c r="R840" s="217"/>
      <c r="S840" s="218"/>
      <c r="X840" s="218"/>
      <c r="AD840" s="216"/>
      <c r="AO840" s="216"/>
      <c r="AP840" s="216"/>
      <c r="AQ840" s="216"/>
      <c r="AR840" s="216"/>
      <c r="AT840" s="192"/>
      <c r="AU840" s="192"/>
      <c r="AV840" s="192"/>
      <c r="AW840" s="192"/>
      <c r="AX840" s="192"/>
      <c r="AY840" s="212"/>
      <c r="AZ840" s="213"/>
      <c r="BA840" s="213"/>
      <c r="BB840" s="213"/>
      <c r="BC840" s="212"/>
      <c r="BD840" s="213"/>
      <c r="BE840" s="213"/>
      <c r="BF840" s="213"/>
      <c r="BG840" s="212"/>
      <c r="BH840" s="213"/>
      <c r="BI840" s="213"/>
      <c r="BJ840" s="213"/>
      <c r="BK840" s="213"/>
      <c r="BL840" s="212"/>
      <c r="BM840" s="213"/>
      <c r="BN840" s="213"/>
      <c r="BO840" s="213"/>
      <c r="BP840" s="213"/>
      <c r="BQ840" s="192"/>
      <c r="BR840" s="192"/>
    </row>
    <row r="841">
      <c r="A841" s="60"/>
      <c r="E841" s="215"/>
      <c r="F841" s="215"/>
      <c r="G841" s="215"/>
      <c r="L841" s="216"/>
      <c r="M841" s="216"/>
      <c r="N841" s="216"/>
      <c r="O841" s="217"/>
      <c r="P841" s="217"/>
      <c r="Q841" s="217"/>
      <c r="R841" s="217"/>
      <c r="S841" s="218"/>
      <c r="X841" s="218"/>
      <c r="AD841" s="216"/>
      <c r="AO841" s="216"/>
      <c r="AP841" s="216"/>
      <c r="AQ841" s="216"/>
      <c r="AR841" s="216"/>
      <c r="AT841" s="192"/>
      <c r="AU841" s="192"/>
      <c r="AV841" s="192"/>
      <c r="AW841" s="192"/>
      <c r="AX841" s="192"/>
      <c r="AY841" s="212"/>
      <c r="AZ841" s="213"/>
      <c r="BA841" s="213"/>
      <c r="BB841" s="213"/>
      <c r="BC841" s="212"/>
      <c r="BD841" s="213"/>
      <c r="BE841" s="213"/>
      <c r="BF841" s="213"/>
      <c r="BG841" s="212"/>
      <c r="BH841" s="213"/>
      <c r="BI841" s="213"/>
      <c r="BJ841" s="213"/>
      <c r="BK841" s="213"/>
      <c r="BL841" s="212"/>
      <c r="BM841" s="213"/>
      <c r="BN841" s="213"/>
      <c r="BO841" s="213"/>
      <c r="BP841" s="213"/>
      <c r="BQ841" s="192"/>
      <c r="BR841" s="192"/>
    </row>
    <row r="842">
      <c r="A842" s="60"/>
      <c r="E842" s="215"/>
      <c r="F842" s="215"/>
      <c r="G842" s="215"/>
      <c r="L842" s="216"/>
      <c r="M842" s="216"/>
      <c r="N842" s="216"/>
      <c r="O842" s="217"/>
      <c r="P842" s="217"/>
      <c r="Q842" s="217"/>
      <c r="R842" s="217"/>
      <c r="S842" s="218"/>
      <c r="X842" s="218"/>
      <c r="AD842" s="216"/>
      <c r="AO842" s="216"/>
      <c r="AP842" s="216"/>
      <c r="AQ842" s="216"/>
      <c r="AR842" s="216"/>
      <c r="AT842" s="192"/>
      <c r="AU842" s="192"/>
      <c r="AV842" s="192"/>
      <c r="AW842" s="192"/>
      <c r="AX842" s="192"/>
      <c r="AY842" s="212"/>
      <c r="AZ842" s="213"/>
      <c r="BA842" s="213"/>
      <c r="BB842" s="213"/>
      <c r="BC842" s="212"/>
      <c r="BD842" s="213"/>
      <c r="BE842" s="213"/>
      <c r="BF842" s="213"/>
      <c r="BG842" s="212"/>
      <c r="BH842" s="213"/>
      <c r="BI842" s="213"/>
      <c r="BJ842" s="213"/>
      <c r="BK842" s="213"/>
      <c r="BL842" s="212"/>
      <c r="BM842" s="213"/>
      <c r="BN842" s="213"/>
      <c r="BO842" s="213"/>
      <c r="BP842" s="213"/>
      <c r="BQ842" s="192"/>
      <c r="BR842" s="192"/>
    </row>
    <row r="843">
      <c r="A843" s="60"/>
      <c r="E843" s="215"/>
      <c r="F843" s="215"/>
      <c r="G843" s="215"/>
      <c r="L843" s="216"/>
      <c r="M843" s="216"/>
      <c r="N843" s="216"/>
      <c r="O843" s="217"/>
      <c r="P843" s="217"/>
      <c r="Q843" s="217"/>
      <c r="R843" s="217"/>
      <c r="S843" s="218"/>
      <c r="X843" s="218"/>
      <c r="AD843" s="216"/>
      <c r="AO843" s="216"/>
      <c r="AP843" s="216"/>
      <c r="AQ843" s="216"/>
      <c r="AR843" s="216"/>
      <c r="AT843" s="192"/>
      <c r="AU843" s="192"/>
      <c r="AV843" s="192"/>
      <c r="AW843" s="192"/>
      <c r="AX843" s="192"/>
      <c r="AY843" s="212"/>
      <c r="AZ843" s="213"/>
      <c r="BA843" s="213"/>
      <c r="BB843" s="213"/>
      <c r="BC843" s="212"/>
      <c r="BD843" s="213"/>
      <c r="BE843" s="213"/>
      <c r="BF843" s="213"/>
      <c r="BG843" s="212"/>
      <c r="BH843" s="213"/>
      <c r="BI843" s="213"/>
      <c r="BJ843" s="213"/>
      <c r="BK843" s="213"/>
      <c r="BL843" s="212"/>
      <c r="BM843" s="213"/>
      <c r="BN843" s="213"/>
      <c r="BO843" s="213"/>
      <c r="BP843" s="213"/>
      <c r="BQ843" s="192"/>
      <c r="BR843" s="192"/>
    </row>
    <row r="844">
      <c r="A844" s="60"/>
      <c r="E844" s="215"/>
      <c r="F844" s="215"/>
      <c r="G844" s="215"/>
      <c r="L844" s="216"/>
      <c r="M844" s="216"/>
      <c r="N844" s="216"/>
      <c r="O844" s="217"/>
      <c r="P844" s="217"/>
      <c r="Q844" s="217"/>
      <c r="R844" s="217"/>
      <c r="S844" s="218"/>
      <c r="X844" s="218"/>
      <c r="AD844" s="216"/>
      <c r="AO844" s="216"/>
      <c r="AP844" s="216"/>
      <c r="AQ844" s="216"/>
      <c r="AR844" s="216"/>
      <c r="AT844" s="192"/>
      <c r="AU844" s="192"/>
      <c r="AV844" s="192"/>
      <c r="AW844" s="192"/>
      <c r="AX844" s="192"/>
      <c r="AY844" s="212"/>
      <c r="AZ844" s="213"/>
      <c r="BA844" s="213"/>
      <c r="BB844" s="213"/>
      <c r="BC844" s="212"/>
      <c r="BD844" s="213"/>
      <c r="BE844" s="213"/>
      <c r="BF844" s="213"/>
      <c r="BG844" s="212"/>
      <c r="BH844" s="213"/>
      <c r="BI844" s="213"/>
      <c r="BJ844" s="213"/>
      <c r="BK844" s="213"/>
      <c r="BL844" s="212"/>
      <c r="BM844" s="213"/>
      <c r="BN844" s="213"/>
      <c r="BO844" s="213"/>
      <c r="BP844" s="213"/>
      <c r="BQ844" s="192"/>
      <c r="BR844" s="192"/>
    </row>
    <row r="845">
      <c r="A845" s="60"/>
      <c r="E845" s="215"/>
      <c r="F845" s="215"/>
      <c r="G845" s="215"/>
      <c r="L845" s="216"/>
      <c r="M845" s="216"/>
      <c r="N845" s="216"/>
      <c r="O845" s="217"/>
      <c r="P845" s="217"/>
      <c r="Q845" s="217"/>
      <c r="R845" s="217"/>
      <c r="S845" s="218"/>
      <c r="X845" s="218"/>
      <c r="AD845" s="216"/>
      <c r="AO845" s="216"/>
      <c r="AP845" s="216"/>
      <c r="AQ845" s="216"/>
      <c r="AR845" s="216"/>
      <c r="AT845" s="192"/>
      <c r="AU845" s="192"/>
      <c r="AV845" s="192"/>
      <c r="AW845" s="192"/>
      <c r="AX845" s="192"/>
      <c r="AY845" s="212"/>
      <c r="AZ845" s="213"/>
      <c r="BA845" s="213"/>
      <c r="BB845" s="213"/>
      <c r="BC845" s="212"/>
      <c r="BD845" s="213"/>
      <c r="BE845" s="213"/>
      <c r="BF845" s="213"/>
      <c r="BG845" s="212"/>
      <c r="BH845" s="213"/>
      <c r="BI845" s="213"/>
      <c r="BJ845" s="213"/>
      <c r="BK845" s="213"/>
      <c r="BL845" s="212"/>
      <c r="BM845" s="213"/>
      <c r="BN845" s="213"/>
      <c r="BO845" s="213"/>
      <c r="BP845" s="213"/>
      <c r="BQ845" s="192"/>
      <c r="BR845" s="192"/>
    </row>
    <row r="846">
      <c r="A846" s="60"/>
      <c r="E846" s="215"/>
      <c r="F846" s="215"/>
      <c r="G846" s="215"/>
      <c r="L846" s="216"/>
      <c r="M846" s="216"/>
      <c r="N846" s="216"/>
      <c r="O846" s="217"/>
      <c r="P846" s="217"/>
      <c r="Q846" s="217"/>
      <c r="R846" s="217"/>
      <c r="S846" s="218"/>
      <c r="X846" s="218"/>
      <c r="AD846" s="216"/>
      <c r="AO846" s="216"/>
      <c r="AP846" s="216"/>
      <c r="AQ846" s="216"/>
      <c r="AR846" s="216"/>
      <c r="AT846" s="192"/>
      <c r="AU846" s="192"/>
      <c r="AV846" s="192"/>
      <c r="AW846" s="192"/>
      <c r="AX846" s="192"/>
      <c r="AY846" s="212"/>
      <c r="AZ846" s="213"/>
      <c r="BA846" s="213"/>
      <c r="BB846" s="213"/>
      <c r="BC846" s="212"/>
      <c r="BD846" s="213"/>
      <c r="BE846" s="213"/>
      <c r="BF846" s="213"/>
      <c r="BG846" s="212"/>
      <c r="BH846" s="213"/>
      <c r="BI846" s="213"/>
      <c r="BJ846" s="213"/>
      <c r="BK846" s="213"/>
      <c r="BL846" s="212"/>
      <c r="BM846" s="213"/>
      <c r="BN846" s="213"/>
      <c r="BO846" s="213"/>
      <c r="BP846" s="213"/>
      <c r="BQ846" s="192"/>
      <c r="BR846" s="192"/>
    </row>
    <row r="847">
      <c r="A847" s="60"/>
      <c r="E847" s="215"/>
      <c r="F847" s="215"/>
      <c r="G847" s="215"/>
      <c r="L847" s="216"/>
      <c r="M847" s="216"/>
      <c r="N847" s="216"/>
      <c r="O847" s="217"/>
      <c r="P847" s="217"/>
      <c r="Q847" s="217"/>
      <c r="R847" s="217"/>
      <c r="S847" s="218"/>
      <c r="X847" s="218"/>
      <c r="AD847" s="216"/>
      <c r="AO847" s="216"/>
      <c r="AP847" s="216"/>
      <c r="AQ847" s="216"/>
      <c r="AR847" s="216"/>
      <c r="AT847" s="192"/>
      <c r="AU847" s="192"/>
      <c r="AV847" s="192"/>
      <c r="AW847" s="192"/>
      <c r="AX847" s="192"/>
      <c r="AY847" s="212"/>
      <c r="AZ847" s="213"/>
      <c r="BA847" s="213"/>
      <c r="BB847" s="213"/>
      <c r="BC847" s="212"/>
      <c r="BD847" s="213"/>
      <c r="BE847" s="213"/>
      <c r="BF847" s="213"/>
      <c r="BG847" s="212"/>
      <c r="BH847" s="213"/>
      <c r="BI847" s="213"/>
      <c r="BJ847" s="213"/>
      <c r="BK847" s="213"/>
      <c r="BL847" s="212"/>
      <c r="BM847" s="213"/>
      <c r="BN847" s="213"/>
      <c r="BO847" s="213"/>
      <c r="BP847" s="213"/>
      <c r="BQ847" s="192"/>
      <c r="BR847" s="192"/>
    </row>
    <row r="848">
      <c r="A848" s="60"/>
      <c r="E848" s="215"/>
      <c r="F848" s="215"/>
      <c r="G848" s="215"/>
      <c r="L848" s="216"/>
      <c r="M848" s="216"/>
      <c r="N848" s="216"/>
      <c r="O848" s="217"/>
      <c r="P848" s="217"/>
      <c r="Q848" s="217"/>
      <c r="R848" s="217"/>
      <c r="S848" s="218"/>
      <c r="X848" s="218"/>
      <c r="AD848" s="216"/>
      <c r="AO848" s="216"/>
      <c r="AP848" s="216"/>
      <c r="AQ848" s="216"/>
      <c r="AR848" s="216"/>
      <c r="AT848" s="192"/>
      <c r="AU848" s="192"/>
      <c r="AV848" s="192"/>
      <c r="AW848" s="192"/>
      <c r="AX848" s="192"/>
      <c r="AY848" s="212"/>
      <c r="AZ848" s="213"/>
      <c r="BA848" s="213"/>
      <c r="BB848" s="213"/>
      <c r="BC848" s="212"/>
      <c r="BD848" s="213"/>
      <c r="BE848" s="213"/>
      <c r="BF848" s="213"/>
      <c r="BG848" s="212"/>
      <c r="BH848" s="213"/>
      <c r="BI848" s="213"/>
      <c r="BJ848" s="213"/>
      <c r="BK848" s="213"/>
      <c r="BL848" s="212"/>
      <c r="BM848" s="213"/>
      <c r="BN848" s="213"/>
      <c r="BO848" s="213"/>
      <c r="BP848" s="213"/>
      <c r="BQ848" s="192"/>
      <c r="BR848" s="192"/>
    </row>
    <row r="849">
      <c r="A849" s="60"/>
      <c r="E849" s="215"/>
      <c r="F849" s="215"/>
      <c r="G849" s="215"/>
      <c r="L849" s="216"/>
      <c r="M849" s="216"/>
      <c r="N849" s="216"/>
      <c r="O849" s="217"/>
      <c r="P849" s="217"/>
      <c r="Q849" s="217"/>
      <c r="R849" s="217"/>
      <c r="S849" s="218"/>
      <c r="X849" s="218"/>
      <c r="AD849" s="216"/>
      <c r="AO849" s="216"/>
      <c r="AP849" s="216"/>
      <c r="AQ849" s="216"/>
      <c r="AR849" s="216"/>
      <c r="AT849" s="192"/>
      <c r="AU849" s="192"/>
      <c r="AV849" s="192"/>
      <c r="AW849" s="192"/>
      <c r="AX849" s="192"/>
      <c r="AY849" s="212"/>
      <c r="AZ849" s="213"/>
      <c r="BA849" s="213"/>
      <c r="BB849" s="213"/>
      <c r="BC849" s="212"/>
      <c r="BD849" s="213"/>
      <c r="BE849" s="213"/>
      <c r="BF849" s="213"/>
      <c r="BG849" s="212"/>
      <c r="BH849" s="213"/>
      <c r="BI849" s="213"/>
      <c r="BJ849" s="213"/>
      <c r="BK849" s="213"/>
      <c r="BL849" s="212"/>
      <c r="BM849" s="213"/>
      <c r="BN849" s="213"/>
      <c r="BO849" s="213"/>
      <c r="BP849" s="213"/>
      <c r="BQ849" s="192"/>
      <c r="BR849" s="192"/>
    </row>
    <row r="850">
      <c r="A850" s="60"/>
      <c r="E850" s="215"/>
      <c r="F850" s="215"/>
      <c r="G850" s="215"/>
      <c r="L850" s="216"/>
      <c r="M850" s="216"/>
      <c r="N850" s="216"/>
      <c r="O850" s="217"/>
      <c r="P850" s="217"/>
      <c r="Q850" s="217"/>
      <c r="R850" s="217"/>
      <c r="S850" s="218"/>
      <c r="X850" s="218"/>
      <c r="AD850" s="216"/>
      <c r="AO850" s="216"/>
      <c r="AP850" s="216"/>
      <c r="AQ850" s="216"/>
      <c r="AR850" s="216"/>
      <c r="AT850" s="192"/>
      <c r="AU850" s="192"/>
      <c r="AV850" s="192"/>
      <c r="AW850" s="192"/>
      <c r="AX850" s="192"/>
      <c r="AY850" s="212"/>
      <c r="AZ850" s="213"/>
      <c r="BA850" s="213"/>
      <c r="BB850" s="213"/>
      <c r="BC850" s="212"/>
      <c r="BD850" s="213"/>
      <c r="BE850" s="213"/>
      <c r="BF850" s="213"/>
      <c r="BG850" s="212"/>
      <c r="BH850" s="213"/>
      <c r="BI850" s="213"/>
      <c r="BJ850" s="213"/>
      <c r="BK850" s="213"/>
      <c r="BL850" s="212"/>
      <c r="BM850" s="213"/>
      <c r="BN850" s="213"/>
      <c r="BO850" s="213"/>
      <c r="BP850" s="213"/>
      <c r="BQ850" s="192"/>
      <c r="BR850" s="192"/>
    </row>
    <row r="851">
      <c r="A851" s="60"/>
      <c r="E851" s="215"/>
      <c r="F851" s="215"/>
      <c r="G851" s="215"/>
      <c r="L851" s="216"/>
      <c r="M851" s="216"/>
      <c r="N851" s="216"/>
      <c r="O851" s="217"/>
      <c r="P851" s="217"/>
      <c r="Q851" s="217"/>
      <c r="R851" s="217"/>
      <c r="S851" s="218"/>
      <c r="X851" s="218"/>
      <c r="AD851" s="216"/>
      <c r="AO851" s="216"/>
      <c r="AP851" s="216"/>
      <c r="AQ851" s="216"/>
      <c r="AR851" s="216"/>
      <c r="AT851" s="192"/>
      <c r="AU851" s="192"/>
      <c r="AV851" s="192"/>
      <c r="AW851" s="192"/>
      <c r="AX851" s="192"/>
      <c r="AY851" s="212"/>
      <c r="AZ851" s="213"/>
      <c r="BA851" s="213"/>
      <c r="BB851" s="213"/>
      <c r="BC851" s="212"/>
      <c r="BD851" s="213"/>
      <c r="BE851" s="213"/>
      <c r="BF851" s="213"/>
      <c r="BG851" s="212"/>
      <c r="BH851" s="213"/>
      <c r="BI851" s="213"/>
      <c r="BJ851" s="213"/>
      <c r="BK851" s="213"/>
      <c r="BL851" s="212"/>
      <c r="BM851" s="213"/>
      <c r="BN851" s="213"/>
      <c r="BO851" s="213"/>
      <c r="BP851" s="213"/>
      <c r="BQ851" s="192"/>
      <c r="BR851" s="192"/>
    </row>
    <row r="852">
      <c r="A852" s="60"/>
      <c r="E852" s="215"/>
      <c r="F852" s="215"/>
      <c r="G852" s="215"/>
      <c r="L852" s="216"/>
      <c r="M852" s="216"/>
      <c r="N852" s="216"/>
      <c r="O852" s="217"/>
      <c r="P852" s="217"/>
      <c r="Q852" s="217"/>
      <c r="R852" s="217"/>
      <c r="S852" s="218"/>
      <c r="X852" s="218"/>
      <c r="AD852" s="216"/>
      <c r="AO852" s="216"/>
      <c r="AP852" s="216"/>
      <c r="AQ852" s="216"/>
      <c r="AR852" s="216"/>
      <c r="AT852" s="192"/>
      <c r="AU852" s="192"/>
      <c r="AV852" s="192"/>
      <c r="AW852" s="192"/>
      <c r="AX852" s="192"/>
      <c r="AY852" s="212"/>
      <c r="AZ852" s="213"/>
      <c r="BA852" s="213"/>
      <c r="BB852" s="213"/>
      <c r="BC852" s="212"/>
      <c r="BD852" s="213"/>
      <c r="BE852" s="213"/>
      <c r="BF852" s="213"/>
      <c r="BG852" s="212"/>
      <c r="BH852" s="213"/>
      <c r="BI852" s="213"/>
      <c r="BJ852" s="213"/>
      <c r="BK852" s="213"/>
      <c r="BL852" s="212"/>
      <c r="BM852" s="213"/>
      <c r="BN852" s="213"/>
      <c r="BO852" s="213"/>
      <c r="BP852" s="213"/>
      <c r="BQ852" s="192"/>
      <c r="BR852" s="192"/>
    </row>
    <row r="853">
      <c r="A853" s="60"/>
      <c r="E853" s="215"/>
      <c r="F853" s="215"/>
      <c r="G853" s="215"/>
      <c r="L853" s="216"/>
      <c r="M853" s="216"/>
      <c r="N853" s="216"/>
      <c r="O853" s="217"/>
      <c r="P853" s="217"/>
      <c r="Q853" s="217"/>
      <c r="R853" s="217"/>
      <c r="S853" s="218"/>
      <c r="X853" s="218"/>
      <c r="AD853" s="216"/>
      <c r="AO853" s="216"/>
      <c r="AP853" s="216"/>
      <c r="AQ853" s="216"/>
      <c r="AR853" s="216"/>
      <c r="AT853" s="192"/>
      <c r="AU853" s="192"/>
      <c r="AV853" s="192"/>
      <c r="AW853" s="192"/>
      <c r="AX853" s="192"/>
      <c r="AY853" s="212"/>
      <c r="AZ853" s="213"/>
      <c r="BA853" s="213"/>
      <c r="BB853" s="213"/>
      <c r="BC853" s="212"/>
      <c r="BD853" s="213"/>
      <c r="BE853" s="213"/>
      <c r="BF853" s="213"/>
      <c r="BG853" s="212"/>
      <c r="BH853" s="213"/>
      <c r="BI853" s="213"/>
      <c r="BJ853" s="213"/>
      <c r="BK853" s="213"/>
      <c r="BL853" s="212"/>
      <c r="BM853" s="213"/>
      <c r="BN853" s="213"/>
      <c r="BO853" s="213"/>
      <c r="BP853" s="213"/>
      <c r="BQ853" s="192"/>
      <c r="BR853" s="192"/>
    </row>
    <row r="854">
      <c r="A854" s="60"/>
      <c r="E854" s="215"/>
      <c r="F854" s="215"/>
      <c r="G854" s="215"/>
      <c r="L854" s="216"/>
      <c r="M854" s="216"/>
      <c r="N854" s="216"/>
      <c r="O854" s="217"/>
      <c r="P854" s="217"/>
      <c r="Q854" s="217"/>
      <c r="R854" s="217"/>
      <c r="S854" s="218"/>
      <c r="X854" s="218"/>
      <c r="AD854" s="216"/>
      <c r="AO854" s="216"/>
      <c r="AP854" s="216"/>
      <c r="AQ854" s="216"/>
      <c r="AR854" s="216"/>
      <c r="AT854" s="192"/>
      <c r="AU854" s="192"/>
      <c r="AV854" s="192"/>
      <c r="AW854" s="192"/>
      <c r="AX854" s="192"/>
      <c r="AY854" s="212"/>
      <c r="AZ854" s="213"/>
      <c r="BA854" s="213"/>
      <c r="BB854" s="213"/>
      <c r="BC854" s="212"/>
      <c r="BD854" s="213"/>
      <c r="BE854" s="213"/>
      <c r="BF854" s="213"/>
      <c r="BG854" s="212"/>
      <c r="BH854" s="213"/>
      <c r="BI854" s="213"/>
      <c r="BJ854" s="213"/>
      <c r="BK854" s="213"/>
      <c r="BL854" s="212"/>
      <c r="BM854" s="213"/>
      <c r="BN854" s="213"/>
      <c r="BO854" s="213"/>
      <c r="BP854" s="213"/>
      <c r="BQ854" s="192"/>
      <c r="BR854" s="192"/>
    </row>
    <row r="855">
      <c r="A855" s="60"/>
      <c r="E855" s="215"/>
      <c r="F855" s="215"/>
      <c r="G855" s="215"/>
      <c r="L855" s="216"/>
      <c r="M855" s="216"/>
      <c r="N855" s="216"/>
      <c r="O855" s="217"/>
      <c r="P855" s="217"/>
      <c r="Q855" s="217"/>
      <c r="R855" s="217"/>
      <c r="S855" s="218"/>
      <c r="X855" s="218"/>
      <c r="AD855" s="216"/>
      <c r="AO855" s="216"/>
      <c r="AP855" s="216"/>
      <c r="AQ855" s="216"/>
      <c r="AR855" s="216"/>
      <c r="AT855" s="192"/>
      <c r="AU855" s="192"/>
      <c r="AV855" s="192"/>
      <c r="AW855" s="192"/>
      <c r="AX855" s="192"/>
      <c r="AY855" s="212"/>
      <c r="AZ855" s="213"/>
      <c r="BA855" s="213"/>
      <c r="BB855" s="213"/>
      <c r="BC855" s="212"/>
      <c r="BD855" s="213"/>
      <c r="BE855" s="213"/>
      <c r="BF855" s="213"/>
      <c r="BG855" s="212"/>
      <c r="BH855" s="213"/>
      <c r="BI855" s="213"/>
      <c r="BJ855" s="213"/>
      <c r="BK855" s="213"/>
      <c r="BL855" s="212"/>
      <c r="BM855" s="213"/>
      <c r="BN855" s="213"/>
      <c r="BO855" s="213"/>
      <c r="BP855" s="213"/>
      <c r="BQ855" s="192"/>
      <c r="BR855" s="192"/>
    </row>
    <row r="856">
      <c r="A856" s="60"/>
      <c r="E856" s="215"/>
      <c r="F856" s="215"/>
      <c r="G856" s="215"/>
      <c r="L856" s="216"/>
      <c r="M856" s="216"/>
      <c r="N856" s="216"/>
      <c r="O856" s="217"/>
      <c r="P856" s="217"/>
      <c r="Q856" s="217"/>
      <c r="R856" s="217"/>
      <c r="S856" s="218"/>
      <c r="X856" s="218"/>
      <c r="AD856" s="216"/>
      <c r="AO856" s="216"/>
      <c r="AP856" s="216"/>
      <c r="AQ856" s="216"/>
      <c r="AR856" s="216"/>
      <c r="AT856" s="192"/>
      <c r="AU856" s="192"/>
      <c r="AV856" s="192"/>
      <c r="AW856" s="192"/>
      <c r="AX856" s="192"/>
      <c r="AY856" s="212"/>
      <c r="AZ856" s="213"/>
      <c r="BA856" s="213"/>
      <c r="BB856" s="213"/>
      <c r="BC856" s="212"/>
      <c r="BD856" s="213"/>
      <c r="BE856" s="213"/>
      <c r="BF856" s="213"/>
      <c r="BG856" s="212"/>
      <c r="BH856" s="213"/>
      <c r="BI856" s="213"/>
      <c r="BJ856" s="213"/>
      <c r="BK856" s="213"/>
      <c r="BL856" s="212"/>
      <c r="BM856" s="213"/>
      <c r="BN856" s="213"/>
      <c r="BO856" s="213"/>
      <c r="BP856" s="213"/>
      <c r="BQ856" s="192"/>
      <c r="BR856" s="192"/>
    </row>
    <row r="857">
      <c r="A857" s="60"/>
      <c r="E857" s="215"/>
      <c r="F857" s="215"/>
      <c r="G857" s="215"/>
      <c r="L857" s="216"/>
      <c r="M857" s="216"/>
      <c r="N857" s="216"/>
      <c r="O857" s="217"/>
      <c r="P857" s="217"/>
      <c r="Q857" s="217"/>
      <c r="R857" s="217"/>
      <c r="S857" s="218"/>
      <c r="X857" s="218"/>
      <c r="AD857" s="216"/>
      <c r="AO857" s="216"/>
      <c r="AP857" s="216"/>
      <c r="AQ857" s="216"/>
      <c r="AR857" s="216"/>
      <c r="AT857" s="192"/>
      <c r="AU857" s="192"/>
      <c r="AV857" s="192"/>
      <c r="AW857" s="192"/>
      <c r="AX857" s="192"/>
      <c r="AY857" s="212"/>
      <c r="AZ857" s="213"/>
      <c r="BA857" s="213"/>
      <c r="BB857" s="213"/>
      <c r="BC857" s="212"/>
      <c r="BD857" s="213"/>
      <c r="BE857" s="213"/>
      <c r="BF857" s="213"/>
      <c r="BG857" s="212"/>
      <c r="BH857" s="213"/>
      <c r="BI857" s="213"/>
      <c r="BJ857" s="213"/>
      <c r="BK857" s="213"/>
      <c r="BL857" s="212"/>
      <c r="BM857" s="213"/>
      <c r="BN857" s="213"/>
      <c r="BO857" s="213"/>
      <c r="BP857" s="213"/>
      <c r="BQ857" s="192"/>
      <c r="BR857" s="192"/>
    </row>
    <row r="858">
      <c r="A858" s="60"/>
      <c r="E858" s="215"/>
      <c r="F858" s="215"/>
      <c r="G858" s="215"/>
      <c r="L858" s="216"/>
      <c r="M858" s="216"/>
      <c r="N858" s="216"/>
      <c r="O858" s="217"/>
      <c r="P858" s="217"/>
      <c r="Q858" s="217"/>
      <c r="R858" s="217"/>
      <c r="S858" s="218"/>
      <c r="X858" s="218"/>
      <c r="AD858" s="216"/>
      <c r="AO858" s="216"/>
      <c r="AP858" s="216"/>
      <c r="AQ858" s="216"/>
      <c r="AR858" s="216"/>
      <c r="AT858" s="192"/>
      <c r="AU858" s="192"/>
      <c r="AV858" s="192"/>
      <c r="AW858" s="192"/>
      <c r="AX858" s="192"/>
      <c r="AY858" s="212"/>
      <c r="AZ858" s="213"/>
      <c r="BA858" s="213"/>
      <c r="BB858" s="213"/>
      <c r="BC858" s="212"/>
      <c r="BD858" s="213"/>
      <c r="BE858" s="213"/>
      <c r="BF858" s="213"/>
      <c r="BG858" s="212"/>
      <c r="BH858" s="213"/>
      <c r="BI858" s="213"/>
      <c r="BJ858" s="213"/>
      <c r="BK858" s="213"/>
      <c r="BL858" s="212"/>
      <c r="BM858" s="213"/>
      <c r="BN858" s="213"/>
      <c r="BO858" s="213"/>
      <c r="BP858" s="213"/>
      <c r="BQ858" s="192"/>
      <c r="BR858" s="192"/>
    </row>
    <row r="859">
      <c r="A859" s="60"/>
      <c r="E859" s="215"/>
      <c r="F859" s="215"/>
      <c r="G859" s="215"/>
      <c r="L859" s="216"/>
      <c r="M859" s="216"/>
      <c r="N859" s="216"/>
      <c r="O859" s="217"/>
      <c r="P859" s="217"/>
      <c r="Q859" s="217"/>
      <c r="R859" s="217"/>
      <c r="S859" s="218"/>
      <c r="X859" s="218"/>
      <c r="AD859" s="216"/>
      <c r="AO859" s="216"/>
      <c r="AP859" s="216"/>
      <c r="AQ859" s="216"/>
      <c r="AR859" s="216"/>
      <c r="AT859" s="192"/>
      <c r="AU859" s="192"/>
      <c r="AV859" s="192"/>
      <c r="AW859" s="192"/>
      <c r="AX859" s="192"/>
      <c r="AY859" s="212"/>
      <c r="AZ859" s="213"/>
      <c r="BA859" s="213"/>
      <c r="BB859" s="213"/>
      <c r="BC859" s="212"/>
      <c r="BD859" s="213"/>
      <c r="BE859" s="213"/>
      <c r="BF859" s="213"/>
      <c r="BG859" s="212"/>
      <c r="BH859" s="213"/>
      <c r="BI859" s="213"/>
      <c r="BJ859" s="213"/>
      <c r="BK859" s="213"/>
      <c r="BL859" s="212"/>
      <c r="BM859" s="213"/>
      <c r="BN859" s="213"/>
      <c r="BO859" s="213"/>
      <c r="BP859" s="213"/>
      <c r="BQ859" s="192"/>
      <c r="BR859" s="192"/>
    </row>
    <row r="860">
      <c r="A860" s="60"/>
      <c r="E860" s="215"/>
      <c r="F860" s="215"/>
      <c r="G860" s="215"/>
      <c r="L860" s="216"/>
      <c r="M860" s="216"/>
      <c r="N860" s="216"/>
      <c r="O860" s="217"/>
      <c r="P860" s="217"/>
      <c r="Q860" s="217"/>
      <c r="R860" s="217"/>
      <c r="S860" s="218"/>
      <c r="X860" s="218"/>
      <c r="AD860" s="216"/>
      <c r="AO860" s="216"/>
      <c r="AP860" s="216"/>
      <c r="AQ860" s="216"/>
      <c r="AR860" s="216"/>
      <c r="AT860" s="192"/>
      <c r="AU860" s="192"/>
      <c r="AV860" s="192"/>
      <c r="AW860" s="192"/>
      <c r="AX860" s="192"/>
      <c r="AY860" s="212"/>
      <c r="AZ860" s="213"/>
      <c r="BA860" s="213"/>
      <c r="BB860" s="213"/>
      <c r="BC860" s="212"/>
      <c r="BD860" s="213"/>
      <c r="BE860" s="213"/>
      <c r="BF860" s="213"/>
      <c r="BG860" s="212"/>
      <c r="BH860" s="213"/>
      <c r="BI860" s="213"/>
      <c r="BJ860" s="213"/>
      <c r="BK860" s="213"/>
      <c r="BL860" s="212"/>
      <c r="BM860" s="213"/>
      <c r="BN860" s="213"/>
      <c r="BO860" s="213"/>
      <c r="BP860" s="213"/>
      <c r="BQ860" s="192"/>
      <c r="BR860" s="192"/>
    </row>
    <row r="861">
      <c r="A861" s="60"/>
      <c r="E861" s="215"/>
      <c r="F861" s="215"/>
      <c r="G861" s="215"/>
      <c r="L861" s="216"/>
      <c r="M861" s="216"/>
      <c r="N861" s="216"/>
      <c r="O861" s="217"/>
      <c r="P861" s="217"/>
      <c r="Q861" s="217"/>
      <c r="R861" s="217"/>
      <c r="S861" s="218"/>
      <c r="X861" s="218"/>
      <c r="AD861" s="216"/>
      <c r="AO861" s="216"/>
      <c r="AP861" s="216"/>
      <c r="AQ861" s="216"/>
      <c r="AR861" s="216"/>
      <c r="AT861" s="192"/>
      <c r="AU861" s="192"/>
      <c r="AV861" s="192"/>
      <c r="AW861" s="192"/>
      <c r="AX861" s="192"/>
      <c r="AY861" s="212"/>
      <c r="AZ861" s="213"/>
      <c r="BA861" s="213"/>
      <c r="BB861" s="213"/>
      <c r="BC861" s="212"/>
      <c r="BD861" s="213"/>
      <c r="BE861" s="213"/>
      <c r="BF861" s="213"/>
      <c r="BG861" s="212"/>
      <c r="BH861" s="213"/>
      <c r="BI861" s="213"/>
      <c r="BJ861" s="213"/>
      <c r="BK861" s="213"/>
      <c r="BL861" s="212"/>
      <c r="BM861" s="213"/>
      <c r="BN861" s="213"/>
      <c r="BO861" s="213"/>
      <c r="BP861" s="213"/>
      <c r="BQ861" s="192"/>
      <c r="BR861" s="192"/>
    </row>
    <row r="862">
      <c r="A862" s="60"/>
      <c r="E862" s="215"/>
      <c r="F862" s="215"/>
      <c r="G862" s="215"/>
      <c r="L862" s="216"/>
      <c r="M862" s="216"/>
      <c r="N862" s="216"/>
      <c r="O862" s="217"/>
      <c r="P862" s="217"/>
      <c r="Q862" s="217"/>
      <c r="R862" s="217"/>
      <c r="S862" s="218"/>
      <c r="X862" s="218"/>
      <c r="AD862" s="216"/>
      <c r="AO862" s="216"/>
      <c r="AP862" s="216"/>
      <c r="AQ862" s="216"/>
      <c r="AR862" s="216"/>
      <c r="AT862" s="192"/>
      <c r="AU862" s="192"/>
      <c r="AV862" s="192"/>
      <c r="AW862" s="192"/>
      <c r="AX862" s="192"/>
      <c r="AY862" s="212"/>
      <c r="AZ862" s="213"/>
      <c r="BA862" s="213"/>
      <c r="BB862" s="213"/>
      <c r="BC862" s="212"/>
      <c r="BD862" s="213"/>
      <c r="BE862" s="213"/>
      <c r="BF862" s="213"/>
      <c r="BG862" s="212"/>
      <c r="BH862" s="213"/>
      <c r="BI862" s="213"/>
      <c r="BJ862" s="213"/>
      <c r="BK862" s="213"/>
      <c r="BL862" s="212"/>
      <c r="BM862" s="213"/>
      <c r="BN862" s="213"/>
      <c r="BO862" s="213"/>
      <c r="BP862" s="213"/>
      <c r="BQ862" s="192"/>
      <c r="BR862" s="192"/>
    </row>
    <row r="863">
      <c r="A863" s="60"/>
      <c r="E863" s="215"/>
      <c r="F863" s="215"/>
      <c r="G863" s="215"/>
      <c r="L863" s="216"/>
      <c r="M863" s="216"/>
      <c r="N863" s="216"/>
      <c r="O863" s="217"/>
      <c r="P863" s="217"/>
      <c r="Q863" s="217"/>
      <c r="R863" s="217"/>
      <c r="S863" s="218"/>
      <c r="X863" s="218"/>
      <c r="AD863" s="216"/>
      <c r="AO863" s="216"/>
      <c r="AP863" s="216"/>
      <c r="AQ863" s="216"/>
      <c r="AR863" s="216"/>
      <c r="AT863" s="192"/>
      <c r="AU863" s="192"/>
      <c r="AV863" s="192"/>
      <c r="AW863" s="192"/>
      <c r="AX863" s="192"/>
      <c r="AY863" s="212"/>
      <c r="AZ863" s="213"/>
      <c r="BA863" s="213"/>
      <c r="BB863" s="213"/>
      <c r="BC863" s="212"/>
      <c r="BD863" s="213"/>
      <c r="BE863" s="213"/>
      <c r="BF863" s="213"/>
      <c r="BG863" s="212"/>
      <c r="BH863" s="213"/>
      <c r="BI863" s="213"/>
      <c r="BJ863" s="213"/>
      <c r="BK863" s="213"/>
      <c r="BL863" s="212"/>
      <c r="BM863" s="213"/>
      <c r="BN863" s="213"/>
      <c r="BO863" s="213"/>
      <c r="BP863" s="213"/>
      <c r="BQ863" s="192"/>
      <c r="BR863" s="192"/>
    </row>
    <row r="864">
      <c r="A864" s="60"/>
      <c r="E864" s="215"/>
      <c r="F864" s="215"/>
      <c r="G864" s="215"/>
      <c r="L864" s="216"/>
      <c r="M864" s="216"/>
      <c r="N864" s="216"/>
      <c r="O864" s="217"/>
      <c r="P864" s="217"/>
      <c r="Q864" s="217"/>
      <c r="R864" s="217"/>
      <c r="S864" s="218"/>
      <c r="X864" s="218"/>
      <c r="AD864" s="216"/>
      <c r="AO864" s="216"/>
      <c r="AP864" s="216"/>
      <c r="AQ864" s="216"/>
      <c r="AR864" s="216"/>
      <c r="AT864" s="192"/>
      <c r="AU864" s="192"/>
      <c r="AV864" s="192"/>
      <c r="AW864" s="192"/>
      <c r="AX864" s="192"/>
      <c r="AY864" s="212"/>
      <c r="AZ864" s="213"/>
      <c r="BA864" s="213"/>
      <c r="BB864" s="213"/>
      <c r="BC864" s="212"/>
      <c r="BD864" s="213"/>
      <c r="BE864" s="213"/>
      <c r="BF864" s="213"/>
      <c r="BG864" s="212"/>
      <c r="BH864" s="213"/>
      <c r="BI864" s="213"/>
      <c r="BJ864" s="213"/>
      <c r="BK864" s="213"/>
      <c r="BL864" s="212"/>
      <c r="BM864" s="213"/>
      <c r="BN864" s="213"/>
      <c r="BO864" s="213"/>
      <c r="BP864" s="213"/>
      <c r="BQ864" s="192"/>
      <c r="BR864" s="192"/>
    </row>
    <row r="865">
      <c r="A865" s="60"/>
      <c r="E865" s="215"/>
      <c r="F865" s="215"/>
      <c r="G865" s="215"/>
      <c r="L865" s="216"/>
      <c r="M865" s="216"/>
      <c r="N865" s="216"/>
      <c r="O865" s="217"/>
      <c r="P865" s="217"/>
      <c r="Q865" s="217"/>
      <c r="R865" s="217"/>
      <c r="S865" s="218"/>
      <c r="X865" s="218"/>
      <c r="AD865" s="216"/>
      <c r="AO865" s="216"/>
      <c r="AP865" s="216"/>
      <c r="AQ865" s="216"/>
      <c r="AR865" s="216"/>
      <c r="AT865" s="192"/>
      <c r="AU865" s="192"/>
      <c r="AV865" s="192"/>
      <c r="AW865" s="192"/>
      <c r="AX865" s="192"/>
      <c r="AY865" s="212"/>
      <c r="AZ865" s="213"/>
      <c r="BA865" s="213"/>
      <c r="BB865" s="213"/>
      <c r="BC865" s="212"/>
      <c r="BD865" s="213"/>
      <c r="BE865" s="213"/>
      <c r="BF865" s="213"/>
      <c r="BG865" s="212"/>
      <c r="BH865" s="213"/>
      <c r="BI865" s="213"/>
      <c r="BJ865" s="213"/>
      <c r="BK865" s="213"/>
      <c r="BL865" s="212"/>
      <c r="BM865" s="213"/>
      <c r="BN865" s="213"/>
      <c r="BO865" s="213"/>
      <c r="BP865" s="213"/>
      <c r="BQ865" s="192"/>
      <c r="BR865" s="192"/>
    </row>
    <row r="866">
      <c r="A866" s="60"/>
      <c r="E866" s="215"/>
      <c r="F866" s="215"/>
      <c r="G866" s="215"/>
      <c r="L866" s="216"/>
      <c r="M866" s="216"/>
      <c r="N866" s="216"/>
      <c r="O866" s="217"/>
      <c r="P866" s="217"/>
      <c r="Q866" s="217"/>
      <c r="R866" s="217"/>
      <c r="S866" s="218"/>
      <c r="X866" s="218"/>
      <c r="AD866" s="216"/>
      <c r="AO866" s="216"/>
      <c r="AP866" s="216"/>
      <c r="AQ866" s="216"/>
      <c r="AR866" s="216"/>
      <c r="AT866" s="192"/>
      <c r="AU866" s="192"/>
      <c r="AV866" s="192"/>
      <c r="AW866" s="192"/>
      <c r="AX866" s="192"/>
      <c r="AY866" s="212"/>
      <c r="AZ866" s="213"/>
      <c r="BA866" s="213"/>
      <c r="BB866" s="213"/>
      <c r="BC866" s="212"/>
      <c r="BD866" s="213"/>
      <c r="BE866" s="213"/>
      <c r="BF866" s="213"/>
      <c r="BG866" s="212"/>
      <c r="BH866" s="213"/>
      <c r="BI866" s="213"/>
      <c r="BJ866" s="213"/>
      <c r="BK866" s="213"/>
      <c r="BL866" s="212"/>
      <c r="BM866" s="213"/>
      <c r="BN866" s="213"/>
      <c r="BO866" s="213"/>
      <c r="BP866" s="213"/>
      <c r="BQ866" s="192"/>
      <c r="BR866" s="192"/>
    </row>
    <row r="867">
      <c r="A867" s="60"/>
      <c r="E867" s="215"/>
      <c r="F867" s="215"/>
      <c r="G867" s="215"/>
      <c r="L867" s="216"/>
      <c r="M867" s="216"/>
      <c r="N867" s="216"/>
      <c r="O867" s="217"/>
      <c r="P867" s="217"/>
      <c r="Q867" s="217"/>
      <c r="R867" s="217"/>
      <c r="S867" s="218"/>
      <c r="X867" s="218"/>
      <c r="AD867" s="216"/>
      <c r="AO867" s="216"/>
      <c r="AP867" s="216"/>
      <c r="AQ867" s="216"/>
      <c r="AR867" s="216"/>
      <c r="AT867" s="192"/>
      <c r="AU867" s="192"/>
      <c r="AV867" s="192"/>
      <c r="AW867" s="192"/>
      <c r="AX867" s="192"/>
      <c r="AY867" s="212"/>
      <c r="AZ867" s="213"/>
      <c r="BA867" s="213"/>
      <c r="BB867" s="213"/>
      <c r="BC867" s="212"/>
      <c r="BD867" s="213"/>
      <c r="BE867" s="213"/>
      <c r="BF867" s="213"/>
      <c r="BG867" s="212"/>
      <c r="BH867" s="213"/>
      <c r="BI867" s="213"/>
      <c r="BJ867" s="213"/>
      <c r="BK867" s="213"/>
      <c r="BL867" s="212"/>
      <c r="BM867" s="213"/>
      <c r="BN867" s="213"/>
      <c r="BO867" s="213"/>
      <c r="BP867" s="213"/>
      <c r="BQ867" s="192"/>
      <c r="BR867" s="192"/>
    </row>
    <row r="868">
      <c r="A868" s="60"/>
      <c r="E868" s="215"/>
      <c r="F868" s="215"/>
      <c r="G868" s="215"/>
      <c r="L868" s="216"/>
      <c r="M868" s="216"/>
      <c r="N868" s="216"/>
      <c r="O868" s="217"/>
      <c r="P868" s="217"/>
      <c r="Q868" s="217"/>
      <c r="R868" s="217"/>
      <c r="S868" s="218"/>
      <c r="X868" s="218"/>
      <c r="AD868" s="216"/>
      <c r="AO868" s="216"/>
      <c r="AP868" s="216"/>
      <c r="AQ868" s="216"/>
      <c r="AR868" s="216"/>
      <c r="AT868" s="192"/>
      <c r="AU868" s="192"/>
      <c r="AV868" s="192"/>
      <c r="AW868" s="192"/>
      <c r="AX868" s="192"/>
      <c r="AY868" s="212"/>
      <c r="AZ868" s="213"/>
      <c r="BA868" s="213"/>
      <c r="BB868" s="213"/>
      <c r="BC868" s="212"/>
      <c r="BD868" s="213"/>
      <c r="BE868" s="213"/>
      <c r="BF868" s="213"/>
      <c r="BG868" s="212"/>
      <c r="BH868" s="213"/>
      <c r="BI868" s="213"/>
      <c r="BJ868" s="213"/>
      <c r="BK868" s="213"/>
      <c r="BL868" s="212"/>
      <c r="BM868" s="213"/>
      <c r="BN868" s="213"/>
      <c r="BO868" s="213"/>
      <c r="BP868" s="213"/>
      <c r="BQ868" s="192"/>
      <c r="BR868" s="192"/>
    </row>
    <row r="869">
      <c r="A869" s="60"/>
      <c r="E869" s="215"/>
      <c r="F869" s="215"/>
      <c r="G869" s="215"/>
      <c r="L869" s="216"/>
      <c r="M869" s="216"/>
      <c r="N869" s="216"/>
      <c r="O869" s="217"/>
      <c r="P869" s="217"/>
      <c r="Q869" s="217"/>
      <c r="R869" s="217"/>
      <c r="S869" s="218"/>
      <c r="X869" s="218"/>
      <c r="AD869" s="216"/>
      <c r="AO869" s="216"/>
      <c r="AP869" s="216"/>
      <c r="AQ869" s="216"/>
      <c r="AR869" s="216"/>
      <c r="AT869" s="192"/>
      <c r="AU869" s="192"/>
      <c r="AV869" s="192"/>
      <c r="AW869" s="192"/>
      <c r="AX869" s="192"/>
      <c r="AY869" s="212"/>
      <c r="AZ869" s="213"/>
      <c r="BA869" s="213"/>
      <c r="BB869" s="213"/>
      <c r="BC869" s="212"/>
      <c r="BD869" s="213"/>
      <c r="BE869" s="213"/>
      <c r="BF869" s="213"/>
      <c r="BG869" s="212"/>
      <c r="BH869" s="213"/>
      <c r="BI869" s="213"/>
      <c r="BJ869" s="213"/>
      <c r="BK869" s="213"/>
      <c r="BL869" s="212"/>
      <c r="BM869" s="213"/>
      <c r="BN869" s="213"/>
      <c r="BO869" s="213"/>
      <c r="BP869" s="213"/>
      <c r="BQ869" s="192"/>
      <c r="BR869" s="192"/>
    </row>
    <row r="870">
      <c r="A870" s="60"/>
      <c r="E870" s="215"/>
      <c r="F870" s="215"/>
      <c r="G870" s="215"/>
      <c r="L870" s="216"/>
      <c r="M870" s="216"/>
      <c r="N870" s="216"/>
      <c r="O870" s="217"/>
      <c r="P870" s="217"/>
      <c r="Q870" s="217"/>
      <c r="R870" s="217"/>
      <c r="S870" s="218"/>
      <c r="X870" s="218"/>
      <c r="AD870" s="216"/>
      <c r="AO870" s="216"/>
      <c r="AP870" s="216"/>
      <c r="AQ870" s="216"/>
      <c r="AR870" s="216"/>
      <c r="AT870" s="192"/>
      <c r="AU870" s="192"/>
      <c r="AV870" s="192"/>
      <c r="AW870" s="192"/>
      <c r="AX870" s="192"/>
      <c r="AY870" s="212"/>
      <c r="AZ870" s="213"/>
      <c r="BA870" s="213"/>
      <c r="BB870" s="213"/>
      <c r="BC870" s="212"/>
      <c r="BD870" s="213"/>
      <c r="BE870" s="213"/>
      <c r="BF870" s="213"/>
      <c r="BG870" s="212"/>
      <c r="BH870" s="213"/>
      <c r="BI870" s="213"/>
      <c r="BJ870" s="213"/>
      <c r="BK870" s="213"/>
      <c r="BL870" s="212"/>
      <c r="BM870" s="213"/>
      <c r="BN870" s="213"/>
      <c r="BO870" s="213"/>
      <c r="BP870" s="213"/>
      <c r="BQ870" s="192"/>
      <c r="BR870" s="192"/>
    </row>
    <row r="871">
      <c r="A871" s="60"/>
      <c r="E871" s="215"/>
      <c r="F871" s="215"/>
      <c r="G871" s="215"/>
      <c r="L871" s="216"/>
      <c r="M871" s="216"/>
      <c r="N871" s="216"/>
      <c r="O871" s="217"/>
      <c r="P871" s="217"/>
      <c r="Q871" s="217"/>
      <c r="R871" s="217"/>
      <c r="S871" s="218"/>
      <c r="X871" s="218"/>
      <c r="AD871" s="216"/>
      <c r="AO871" s="216"/>
      <c r="AP871" s="216"/>
      <c r="AQ871" s="216"/>
      <c r="AR871" s="216"/>
      <c r="AT871" s="192"/>
      <c r="AU871" s="192"/>
      <c r="AV871" s="192"/>
      <c r="AW871" s="192"/>
      <c r="AX871" s="192"/>
      <c r="AY871" s="212"/>
      <c r="AZ871" s="213"/>
      <c r="BA871" s="213"/>
      <c r="BB871" s="213"/>
      <c r="BC871" s="212"/>
      <c r="BD871" s="213"/>
      <c r="BE871" s="213"/>
      <c r="BF871" s="213"/>
      <c r="BG871" s="212"/>
      <c r="BH871" s="213"/>
      <c r="BI871" s="213"/>
      <c r="BJ871" s="213"/>
      <c r="BK871" s="213"/>
      <c r="BL871" s="212"/>
      <c r="BM871" s="213"/>
      <c r="BN871" s="213"/>
      <c r="BO871" s="213"/>
      <c r="BP871" s="213"/>
      <c r="BQ871" s="192"/>
      <c r="BR871" s="192"/>
    </row>
    <row r="872">
      <c r="A872" s="60"/>
      <c r="E872" s="215"/>
      <c r="F872" s="215"/>
      <c r="G872" s="215"/>
      <c r="L872" s="216"/>
      <c r="M872" s="216"/>
      <c r="N872" s="216"/>
      <c r="O872" s="217"/>
      <c r="P872" s="217"/>
      <c r="Q872" s="217"/>
      <c r="R872" s="217"/>
      <c r="S872" s="218"/>
      <c r="X872" s="218"/>
      <c r="AD872" s="216"/>
      <c r="AO872" s="216"/>
      <c r="AP872" s="216"/>
      <c r="AQ872" s="216"/>
      <c r="AR872" s="216"/>
      <c r="AT872" s="192"/>
      <c r="AU872" s="192"/>
      <c r="AV872" s="192"/>
      <c r="AW872" s="192"/>
      <c r="AX872" s="192"/>
      <c r="AY872" s="212"/>
      <c r="AZ872" s="213"/>
      <c r="BA872" s="213"/>
      <c r="BB872" s="213"/>
      <c r="BC872" s="212"/>
      <c r="BD872" s="213"/>
      <c r="BE872" s="213"/>
      <c r="BF872" s="213"/>
      <c r="BG872" s="212"/>
      <c r="BH872" s="213"/>
      <c r="BI872" s="213"/>
      <c r="BJ872" s="213"/>
      <c r="BK872" s="213"/>
      <c r="BL872" s="212"/>
      <c r="BM872" s="213"/>
      <c r="BN872" s="213"/>
      <c r="BO872" s="213"/>
      <c r="BP872" s="213"/>
      <c r="BQ872" s="192"/>
      <c r="BR872" s="192"/>
    </row>
    <row r="873">
      <c r="A873" s="60"/>
      <c r="E873" s="215"/>
      <c r="F873" s="215"/>
      <c r="G873" s="215"/>
      <c r="L873" s="216"/>
      <c r="M873" s="216"/>
      <c r="N873" s="216"/>
      <c r="O873" s="217"/>
      <c r="P873" s="217"/>
      <c r="Q873" s="217"/>
      <c r="R873" s="217"/>
      <c r="S873" s="218"/>
      <c r="X873" s="218"/>
      <c r="AD873" s="216"/>
      <c r="AO873" s="216"/>
      <c r="AP873" s="216"/>
      <c r="AQ873" s="216"/>
      <c r="AR873" s="216"/>
      <c r="AT873" s="192"/>
      <c r="AU873" s="192"/>
      <c r="AV873" s="192"/>
      <c r="AW873" s="192"/>
      <c r="AX873" s="192"/>
      <c r="AY873" s="212"/>
      <c r="AZ873" s="213"/>
      <c r="BA873" s="213"/>
      <c r="BB873" s="213"/>
      <c r="BC873" s="212"/>
      <c r="BD873" s="213"/>
      <c r="BE873" s="213"/>
      <c r="BF873" s="213"/>
      <c r="BG873" s="212"/>
      <c r="BH873" s="213"/>
      <c r="BI873" s="213"/>
      <c r="BJ873" s="213"/>
      <c r="BK873" s="213"/>
      <c r="BL873" s="212"/>
      <c r="BM873" s="213"/>
      <c r="BN873" s="213"/>
      <c r="BO873" s="213"/>
      <c r="BP873" s="213"/>
      <c r="BQ873" s="192"/>
      <c r="BR873" s="192"/>
    </row>
    <row r="874">
      <c r="A874" s="60"/>
      <c r="E874" s="215"/>
      <c r="F874" s="215"/>
      <c r="G874" s="215"/>
      <c r="L874" s="216"/>
      <c r="M874" s="216"/>
      <c r="N874" s="216"/>
      <c r="O874" s="217"/>
      <c r="P874" s="217"/>
      <c r="Q874" s="217"/>
      <c r="R874" s="217"/>
      <c r="S874" s="218"/>
      <c r="X874" s="218"/>
      <c r="AD874" s="216"/>
      <c r="AO874" s="216"/>
      <c r="AP874" s="216"/>
      <c r="AQ874" s="216"/>
      <c r="AR874" s="216"/>
      <c r="AT874" s="192"/>
      <c r="AU874" s="192"/>
      <c r="AV874" s="192"/>
      <c r="AW874" s="192"/>
      <c r="AX874" s="192"/>
      <c r="AY874" s="212"/>
      <c r="AZ874" s="213"/>
      <c r="BA874" s="213"/>
      <c r="BB874" s="213"/>
      <c r="BC874" s="212"/>
      <c r="BD874" s="213"/>
      <c r="BE874" s="213"/>
      <c r="BF874" s="213"/>
      <c r="BG874" s="212"/>
      <c r="BH874" s="213"/>
      <c r="BI874" s="213"/>
      <c r="BJ874" s="213"/>
      <c r="BK874" s="213"/>
      <c r="BL874" s="212"/>
      <c r="BM874" s="213"/>
      <c r="BN874" s="213"/>
      <c r="BO874" s="213"/>
      <c r="BP874" s="213"/>
      <c r="BQ874" s="192"/>
      <c r="BR874" s="192"/>
    </row>
    <row r="875">
      <c r="A875" s="60"/>
      <c r="E875" s="215"/>
      <c r="F875" s="215"/>
      <c r="G875" s="215"/>
      <c r="L875" s="216"/>
      <c r="M875" s="216"/>
      <c r="N875" s="216"/>
      <c r="O875" s="217"/>
      <c r="P875" s="217"/>
      <c r="Q875" s="217"/>
      <c r="R875" s="217"/>
      <c r="S875" s="218"/>
      <c r="X875" s="218"/>
      <c r="AD875" s="216"/>
      <c r="AO875" s="216"/>
      <c r="AP875" s="216"/>
      <c r="AQ875" s="216"/>
      <c r="AR875" s="216"/>
      <c r="AT875" s="192"/>
      <c r="AU875" s="192"/>
      <c r="AV875" s="192"/>
      <c r="AW875" s="192"/>
      <c r="AX875" s="192"/>
      <c r="AY875" s="212"/>
      <c r="AZ875" s="213"/>
      <c r="BA875" s="213"/>
      <c r="BB875" s="213"/>
      <c r="BC875" s="212"/>
      <c r="BD875" s="213"/>
      <c r="BE875" s="213"/>
      <c r="BF875" s="213"/>
      <c r="BG875" s="212"/>
      <c r="BH875" s="213"/>
      <c r="BI875" s="213"/>
      <c r="BJ875" s="213"/>
      <c r="BK875" s="213"/>
      <c r="BL875" s="212"/>
      <c r="BM875" s="213"/>
      <c r="BN875" s="213"/>
      <c r="BO875" s="213"/>
      <c r="BP875" s="213"/>
      <c r="BQ875" s="192"/>
      <c r="BR875" s="192"/>
    </row>
    <row r="876">
      <c r="A876" s="60"/>
      <c r="E876" s="215"/>
      <c r="F876" s="215"/>
      <c r="G876" s="215"/>
      <c r="L876" s="216"/>
      <c r="M876" s="216"/>
      <c r="N876" s="216"/>
      <c r="O876" s="217"/>
      <c r="P876" s="217"/>
      <c r="Q876" s="217"/>
      <c r="R876" s="217"/>
      <c r="S876" s="218"/>
      <c r="X876" s="218"/>
      <c r="AD876" s="216"/>
      <c r="AO876" s="216"/>
      <c r="AP876" s="216"/>
      <c r="AQ876" s="216"/>
      <c r="AR876" s="216"/>
      <c r="AT876" s="192"/>
      <c r="AU876" s="192"/>
      <c r="AV876" s="192"/>
      <c r="AW876" s="192"/>
      <c r="AX876" s="192"/>
      <c r="AY876" s="212"/>
      <c r="AZ876" s="213"/>
      <c r="BA876" s="213"/>
      <c r="BB876" s="213"/>
      <c r="BC876" s="212"/>
      <c r="BD876" s="213"/>
      <c r="BE876" s="213"/>
      <c r="BF876" s="213"/>
      <c r="BG876" s="212"/>
      <c r="BH876" s="213"/>
      <c r="BI876" s="213"/>
      <c r="BJ876" s="213"/>
      <c r="BK876" s="213"/>
      <c r="BL876" s="212"/>
      <c r="BM876" s="213"/>
      <c r="BN876" s="213"/>
      <c r="BO876" s="213"/>
      <c r="BP876" s="213"/>
      <c r="BQ876" s="192"/>
      <c r="BR876" s="192"/>
    </row>
    <row r="877">
      <c r="A877" s="60"/>
      <c r="E877" s="215"/>
      <c r="F877" s="215"/>
      <c r="G877" s="215"/>
      <c r="L877" s="216"/>
      <c r="M877" s="216"/>
      <c r="N877" s="216"/>
      <c r="O877" s="217"/>
      <c r="P877" s="217"/>
      <c r="Q877" s="217"/>
      <c r="R877" s="217"/>
      <c r="S877" s="218"/>
      <c r="X877" s="218"/>
      <c r="AD877" s="216"/>
      <c r="AO877" s="216"/>
      <c r="AP877" s="216"/>
      <c r="AQ877" s="216"/>
      <c r="AR877" s="216"/>
      <c r="AT877" s="192"/>
      <c r="AU877" s="192"/>
      <c r="AV877" s="192"/>
      <c r="AW877" s="192"/>
      <c r="AX877" s="192"/>
      <c r="AY877" s="212"/>
      <c r="AZ877" s="213"/>
      <c r="BA877" s="213"/>
      <c r="BB877" s="213"/>
      <c r="BC877" s="212"/>
      <c r="BD877" s="213"/>
      <c r="BE877" s="213"/>
      <c r="BF877" s="213"/>
      <c r="BG877" s="212"/>
      <c r="BH877" s="213"/>
      <c r="BI877" s="213"/>
      <c r="BJ877" s="213"/>
      <c r="BK877" s="213"/>
      <c r="BL877" s="212"/>
      <c r="BM877" s="213"/>
      <c r="BN877" s="213"/>
      <c r="BO877" s="213"/>
      <c r="BP877" s="213"/>
      <c r="BQ877" s="192"/>
      <c r="BR877" s="192"/>
    </row>
    <row r="878">
      <c r="A878" s="60"/>
      <c r="E878" s="215"/>
      <c r="F878" s="215"/>
      <c r="G878" s="215"/>
      <c r="L878" s="216"/>
      <c r="M878" s="216"/>
      <c r="N878" s="216"/>
      <c r="O878" s="217"/>
      <c r="P878" s="217"/>
      <c r="Q878" s="217"/>
      <c r="R878" s="217"/>
      <c r="S878" s="218"/>
      <c r="X878" s="218"/>
      <c r="AD878" s="216"/>
      <c r="AO878" s="216"/>
      <c r="AP878" s="216"/>
      <c r="AQ878" s="216"/>
      <c r="AR878" s="216"/>
      <c r="AT878" s="192"/>
      <c r="AU878" s="192"/>
      <c r="AV878" s="192"/>
      <c r="AW878" s="192"/>
      <c r="AX878" s="192"/>
      <c r="AY878" s="212"/>
      <c r="AZ878" s="213"/>
      <c r="BA878" s="213"/>
      <c r="BB878" s="213"/>
      <c r="BC878" s="212"/>
      <c r="BD878" s="213"/>
      <c r="BE878" s="213"/>
      <c r="BF878" s="213"/>
      <c r="BG878" s="212"/>
      <c r="BH878" s="213"/>
      <c r="BI878" s="213"/>
      <c r="BJ878" s="213"/>
      <c r="BK878" s="213"/>
      <c r="BL878" s="212"/>
      <c r="BM878" s="213"/>
      <c r="BN878" s="213"/>
      <c r="BO878" s="213"/>
      <c r="BP878" s="213"/>
      <c r="BQ878" s="192"/>
      <c r="BR878" s="192"/>
    </row>
    <row r="879">
      <c r="A879" s="60"/>
      <c r="E879" s="215"/>
      <c r="F879" s="215"/>
      <c r="G879" s="215"/>
      <c r="L879" s="216"/>
      <c r="M879" s="216"/>
      <c r="N879" s="216"/>
      <c r="O879" s="217"/>
      <c r="P879" s="217"/>
      <c r="Q879" s="217"/>
      <c r="R879" s="217"/>
      <c r="S879" s="218"/>
      <c r="X879" s="218"/>
      <c r="AD879" s="216"/>
      <c r="AO879" s="216"/>
      <c r="AP879" s="216"/>
      <c r="AQ879" s="216"/>
      <c r="AR879" s="216"/>
      <c r="AT879" s="192"/>
      <c r="AU879" s="192"/>
      <c r="AV879" s="192"/>
      <c r="AW879" s="192"/>
      <c r="AX879" s="192"/>
      <c r="AY879" s="212"/>
      <c r="AZ879" s="213"/>
      <c r="BA879" s="213"/>
      <c r="BB879" s="213"/>
      <c r="BC879" s="212"/>
      <c r="BD879" s="213"/>
      <c r="BE879" s="213"/>
      <c r="BF879" s="213"/>
      <c r="BG879" s="212"/>
      <c r="BH879" s="213"/>
      <c r="BI879" s="213"/>
      <c r="BJ879" s="213"/>
      <c r="BK879" s="213"/>
      <c r="BL879" s="212"/>
      <c r="BM879" s="213"/>
      <c r="BN879" s="213"/>
      <c r="BO879" s="213"/>
      <c r="BP879" s="213"/>
      <c r="BQ879" s="192"/>
      <c r="BR879" s="192"/>
    </row>
    <row r="880">
      <c r="A880" s="60"/>
      <c r="E880" s="215"/>
      <c r="F880" s="215"/>
      <c r="G880" s="215"/>
      <c r="L880" s="216"/>
      <c r="M880" s="216"/>
      <c r="N880" s="216"/>
      <c r="O880" s="217"/>
      <c r="P880" s="217"/>
      <c r="Q880" s="217"/>
      <c r="R880" s="217"/>
      <c r="S880" s="218"/>
      <c r="X880" s="218"/>
      <c r="AD880" s="216"/>
      <c r="AO880" s="216"/>
      <c r="AP880" s="216"/>
      <c r="AQ880" s="216"/>
      <c r="AR880" s="216"/>
      <c r="AT880" s="192"/>
      <c r="AU880" s="192"/>
      <c r="AV880" s="192"/>
      <c r="AW880" s="192"/>
      <c r="AX880" s="192"/>
      <c r="AY880" s="212"/>
      <c r="AZ880" s="213"/>
      <c r="BA880" s="213"/>
      <c r="BB880" s="213"/>
      <c r="BC880" s="212"/>
      <c r="BD880" s="213"/>
      <c r="BE880" s="213"/>
      <c r="BF880" s="213"/>
      <c r="BG880" s="212"/>
      <c r="BH880" s="213"/>
      <c r="BI880" s="213"/>
      <c r="BJ880" s="213"/>
      <c r="BK880" s="213"/>
      <c r="BL880" s="212"/>
      <c r="BM880" s="213"/>
      <c r="BN880" s="213"/>
      <c r="BO880" s="213"/>
      <c r="BP880" s="213"/>
      <c r="BQ880" s="192"/>
      <c r="BR880" s="192"/>
    </row>
    <row r="881">
      <c r="A881" s="60"/>
      <c r="E881" s="215"/>
      <c r="F881" s="215"/>
      <c r="G881" s="215"/>
      <c r="L881" s="216"/>
      <c r="M881" s="216"/>
      <c r="N881" s="216"/>
      <c r="O881" s="217"/>
      <c r="P881" s="217"/>
      <c r="Q881" s="217"/>
      <c r="R881" s="217"/>
      <c r="S881" s="218"/>
      <c r="X881" s="218"/>
      <c r="AD881" s="216"/>
      <c r="AO881" s="216"/>
      <c r="AP881" s="216"/>
      <c r="AQ881" s="216"/>
      <c r="AR881" s="216"/>
      <c r="AT881" s="192"/>
      <c r="AU881" s="192"/>
      <c r="AV881" s="192"/>
      <c r="AW881" s="192"/>
      <c r="AX881" s="192"/>
      <c r="AY881" s="212"/>
      <c r="AZ881" s="213"/>
      <c r="BA881" s="213"/>
      <c r="BB881" s="213"/>
      <c r="BC881" s="212"/>
      <c r="BD881" s="213"/>
      <c r="BE881" s="213"/>
      <c r="BF881" s="213"/>
      <c r="BG881" s="212"/>
      <c r="BH881" s="213"/>
      <c r="BI881" s="213"/>
      <c r="BJ881" s="213"/>
      <c r="BK881" s="213"/>
      <c r="BL881" s="212"/>
      <c r="BM881" s="213"/>
      <c r="BN881" s="213"/>
      <c r="BO881" s="213"/>
      <c r="BP881" s="213"/>
      <c r="BQ881" s="192"/>
      <c r="BR881" s="192"/>
    </row>
    <row r="882">
      <c r="A882" s="60"/>
      <c r="E882" s="215"/>
      <c r="F882" s="215"/>
      <c r="G882" s="215"/>
      <c r="L882" s="216"/>
      <c r="M882" s="216"/>
      <c r="N882" s="216"/>
      <c r="O882" s="217"/>
      <c r="P882" s="217"/>
      <c r="Q882" s="217"/>
      <c r="R882" s="217"/>
      <c r="S882" s="218"/>
      <c r="X882" s="218"/>
      <c r="AD882" s="216"/>
      <c r="AO882" s="216"/>
      <c r="AP882" s="216"/>
      <c r="AQ882" s="216"/>
      <c r="AR882" s="216"/>
      <c r="AT882" s="192"/>
      <c r="AU882" s="192"/>
      <c r="AV882" s="192"/>
      <c r="AW882" s="192"/>
      <c r="AX882" s="192"/>
      <c r="AY882" s="212"/>
      <c r="AZ882" s="213"/>
      <c r="BA882" s="213"/>
      <c r="BB882" s="213"/>
      <c r="BC882" s="212"/>
      <c r="BD882" s="213"/>
      <c r="BE882" s="213"/>
      <c r="BF882" s="213"/>
      <c r="BG882" s="212"/>
      <c r="BH882" s="213"/>
      <c r="BI882" s="213"/>
      <c r="BJ882" s="213"/>
      <c r="BK882" s="213"/>
      <c r="BL882" s="212"/>
      <c r="BM882" s="213"/>
      <c r="BN882" s="213"/>
      <c r="BO882" s="213"/>
      <c r="BP882" s="213"/>
      <c r="BQ882" s="192"/>
      <c r="BR882" s="192"/>
    </row>
    <row r="883">
      <c r="A883" s="60"/>
      <c r="E883" s="215"/>
      <c r="F883" s="215"/>
      <c r="G883" s="215"/>
      <c r="L883" s="216"/>
      <c r="M883" s="216"/>
      <c r="N883" s="216"/>
      <c r="O883" s="217"/>
      <c r="P883" s="217"/>
      <c r="Q883" s="217"/>
      <c r="R883" s="217"/>
      <c r="S883" s="218"/>
      <c r="X883" s="218"/>
      <c r="AD883" s="216"/>
      <c r="AO883" s="216"/>
      <c r="AP883" s="216"/>
      <c r="AQ883" s="216"/>
      <c r="AR883" s="216"/>
      <c r="AT883" s="192"/>
      <c r="AU883" s="192"/>
      <c r="AV883" s="192"/>
      <c r="AW883" s="192"/>
      <c r="AX883" s="192"/>
      <c r="AY883" s="212"/>
      <c r="AZ883" s="213"/>
      <c r="BA883" s="213"/>
      <c r="BB883" s="213"/>
      <c r="BC883" s="212"/>
      <c r="BD883" s="213"/>
      <c r="BE883" s="213"/>
      <c r="BF883" s="213"/>
      <c r="BG883" s="212"/>
      <c r="BH883" s="213"/>
      <c r="BI883" s="213"/>
      <c r="BJ883" s="213"/>
      <c r="BK883" s="213"/>
      <c r="BL883" s="212"/>
      <c r="BM883" s="213"/>
      <c r="BN883" s="213"/>
      <c r="BO883" s="213"/>
      <c r="BP883" s="213"/>
      <c r="BQ883" s="192"/>
      <c r="BR883" s="192"/>
    </row>
    <row r="884">
      <c r="A884" s="60"/>
      <c r="E884" s="215"/>
      <c r="F884" s="215"/>
      <c r="G884" s="215"/>
      <c r="L884" s="216"/>
      <c r="M884" s="216"/>
      <c r="N884" s="216"/>
      <c r="O884" s="217"/>
      <c r="P884" s="217"/>
      <c r="Q884" s="217"/>
      <c r="R884" s="217"/>
      <c r="S884" s="218"/>
      <c r="X884" s="218"/>
      <c r="AD884" s="216"/>
      <c r="AO884" s="216"/>
      <c r="AP884" s="216"/>
      <c r="AQ884" s="216"/>
      <c r="AR884" s="216"/>
      <c r="AT884" s="192"/>
      <c r="AU884" s="192"/>
      <c r="AV884" s="192"/>
      <c r="AW884" s="192"/>
      <c r="AX884" s="192"/>
      <c r="AY884" s="212"/>
      <c r="AZ884" s="213"/>
      <c r="BA884" s="213"/>
      <c r="BB884" s="213"/>
      <c r="BC884" s="212"/>
      <c r="BD884" s="213"/>
      <c r="BE884" s="213"/>
      <c r="BF884" s="213"/>
      <c r="BG884" s="212"/>
      <c r="BH884" s="213"/>
      <c r="BI884" s="213"/>
      <c r="BJ884" s="213"/>
      <c r="BK884" s="213"/>
      <c r="BL884" s="212"/>
      <c r="BM884" s="213"/>
      <c r="BN884" s="213"/>
      <c r="BO884" s="213"/>
      <c r="BP884" s="213"/>
      <c r="BQ884" s="192"/>
      <c r="BR884" s="192"/>
    </row>
    <row r="885">
      <c r="A885" s="60"/>
      <c r="E885" s="215"/>
      <c r="F885" s="215"/>
      <c r="G885" s="215"/>
      <c r="L885" s="216"/>
      <c r="M885" s="216"/>
      <c r="N885" s="216"/>
      <c r="O885" s="217"/>
      <c r="P885" s="217"/>
      <c r="Q885" s="217"/>
      <c r="R885" s="217"/>
      <c r="S885" s="218"/>
      <c r="X885" s="218"/>
      <c r="AD885" s="216"/>
      <c r="AO885" s="216"/>
      <c r="AP885" s="216"/>
      <c r="AQ885" s="216"/>
      <c r="AR885" s="216"/>
      <c r="AT885" s="192"/>
      <c r="AU885" s="192"/>
      <c r="AV885" s="192"/>
      <c r="AW885" s="192"/>
      <c r="AX885" s="192"/>
      <c r="AY885" s="212"/>
      <c r="AZ885" s="213"/>
      <c r="BA885" s="213"/>
      <c r="BB885" s="213"/>
      <c r="BC885" s="212"/>
      <c r="BD885" s="213"/>
      <c r="BE885" s="213"/>
      <c r="BF885" s="213"/>
      <c r="BG885" s="212"/>
      <c r="BH885" s="213"/>
      <c r="BI885" s="213"/>
      <c r="BJ885" s="213"/>
      <c r="BK885" s="213"/>
      <c r="BL885" s="212"/>
      <c r="BM885" s="213"/>
      <c r="BN885" s="213"/>
      <c r="BO885" s="213"/>
      <c r="BP885" s="213"/>
      <c r="BQ885" s="192"/>
      <c r="BR885" s="192"/>
    </row>
    <row r="886">
      <c r="A886" s="60"/>
      <c r="E886" s="215"/>
      <c r="F886" s="215"/>
      <c r="G886" s="215"/>
      <c r="L886" s="216"/>
      <c r="M886" s="216"/>
      <c r="N886" s="216"/>
      <c r="O886" s="217"/>
      <c r="P886" s="217"/>
      <c r="Q886" s="217"/>
      <c r="R886" s="217"/>
      <c r="S886" s="218"/>
      <c r="X886" s="218"/>
      <c r="AD886" s="216"/>
      <c r="AO886" s="216"/>
      <c r="AP886" s="216"/>
      <c r="AQ886" s="216"/>
      <c r="AR886" s="216"/>
      <c r="AT886" s="192"/>
      <c r="AU886" s="192"/>
      <c r="AV886" s="192"/>
      <c r="AW886" s="192"/>
      <c r="AX886" s="192"/>
      <c r="AY886" s="212"/>
      <c r="AZ886" s="213"/>
      <c r="BA886" s="213"/>
      <c r="BB886" s="213"/>
      <c r="BC886" s="212"/>
      <c r="BD886" s="213"/>
      <c r="BE886" s="213"/>
      <c r="BF886" s="213"/>
      <c r="BG886" s="212"/>
      <c r="BH886" s="213"/>
      <c r="BI886" s="213"/>
      <c r="BJ886" s="213"/>
      <c r="BK886" s="213"/>
      <c r="BL886" s="212"/>
      <c r="BM886" s="213"/>
      <c r="BN886" s="213"/>
      <c r="BO886" s="213"/>
      <c r="BP886" s="213"/>
      <c r="BQ886" s="192"/>
      <c r="BR886" s="192"/>
    </row>
    <row r="887">
      <c r="A887" s="60"/>
      <c r="E887" s="215"/>
      <c r="F887" s="215"/>
      <c r="G887" s="215"/>
      <c r="L887" s="216"/>
      <c r="M887" s="216"/>
      <c r="N887" s="216"/>
      <c r="O887" s="217"/>
      <c r="P887" s="217"/>
      <c r="Q887" s="217"/>
      <c r="R887" s="217"/>
      <c r="S887" s="218"/>
      <c r="X887" s="218"/>
      <c r="AD887" s="216"/>
      <c r="AO887" s="216"/>
      <c r="AP887" s="216"/>
      <c r="AQ887" s="216"/>
      <c r="AR887" s="216"/>
      <c r="AT887" s="192"/>
      <c r="AU887" s="192"/>
      <c r="AV887" s="192"/>
      <c r="AW887" s="192"/>
      <c r="AX887" s="192"/>
      <c r="AY887" s="212"/>
      <c r="AZ887" s="213"/>
      <c r="BA887" s="213"/>
      <c r="BB887" s="213"/>
      <c r="BC887" s="212"/>
      <c r="BD887" s="213"/>
      <c r="BE887" s="213"/>
      <c r="BF887" s="213"/>
      <c r="BG887" s="212"/>
      <c r="BH887" s="213"/>
      <c r="BI887" s="213"/>
      <c r="BJ887" s="213"/>
      <c r="BK887" s="213"/>
      <c r="BL887" s="212"/>
      <c r="BM887" s="213"/>
      <c r="BN887" s="213"/>
      <c r="BO887" s="213"/>
      <c r="BP887" s="213"/>
      <c r="BQ887" s="192"/>
      <c r="BR887" s="192"/>
    </row>
    <row r="888">
      <c r="A888" s="60"/>
      <c r="E888" s="215"/>
      <c r="F888" s="215"/>
      <c r="G888" s="215"/>
      <c r="L888" s="216"/>
      <c r="M888" s="216"/>
      <c r="N888" s="216"/>
      <c r="O888" s="217"/>
      <c r="P888" s="217"/>
      <c r="Q888" s="217"/>
      <c r="R888" s="217"/>
      <c r="S888" s="218"/>
      <c r="X888" s="218"/>
      <c r="AD888" s="216"/>
      <c r="AO888" s="216"/>
      <c r="AP888" s="216"/>
      <c r="AQ888" s="216"/>
      <c r="AR888" s="216"/>
      <c r="AT888" s="192"/>
      <c r="AU888" s="192"/>
      <c r="AV888" s="192"/>
      <c r="AW888" s="192"/>
      <c r="AX888" s="192"/>
      <c r="AY888" s="212"/>
      <c r="AZ888" s="213"/>
      <c r="BA888" s="213"/>
      <c r="BB888" s="213"/>
      <c r="BC888" s="212"/>
      <c r="BD888" s="213"/>
      <c r="BE888" s="213"/>
      <c r="BF888" s="213"/>
      <c r="BG888" s="212"/>
      <c r="BH888" s="213"/>
      <c r="BI888" s="213"/>
      <c r="BJ888" s="213"/>
      <c r="BK888" s="213"/>
      <c r="BL888" s="212"/>
      <c r="BM888" s="213"/>
      <c r="BN888" s="213"/>
      <c r="BO888" s="213"/>
      <c r="BP888" s="213"/>
      <c r="BQ888" s="192"/>
      <c r="BR888" s="192"/>
    </row>
    <row r="889">
      <c r="A889" s="60"/>
      <c r="E889" s="215"/>
      <c r="F889" s="215"/>
      <c r="G889" s="215"/>
      <c r="L889" s="216"/>
      <c r="M889" s="216"/>
      <c r="N889" s="216"/>
      <c r="O889" s="217"/>
      <c r="P889" s="217"/>
      <c r="Q889" s="217"/>
      <c r="R889" s="217"/>
      <c r="S889" s="218"/>
      <c r="X889" s="218"/>
      <c r="AD889" s="216"/>
      <c r="AO889" s="216"/>
      <c r="AP889" s="216"/>
      <c r="AQ889" s="216"/>
      <c r="AR889" s="216"/>
      <c r="AT889" s="192"/>
      <c r="AU889" s="192"/>
      <c r="AV889" s="192"/>
      <c r="AW889" s="192"/>
      <c r="AX889" s="192"/>
      <c r="AY889" s="212"/>
      <c r="AZ889" s="213"/>
      <c r="BA889" s="213"/>
      <c r="BB889" s="213"/>
      <c r="BC889" s="212"/>
      <c r="BD889" s="213"/>
      <c r="BE889" s="213"/>
      <c r="BF889" s="213"/>
      <c r="BG889" s="212"/>
      <c r="BH889" s="213"/>
      <c r="BI889" s="213"/>
      <c r="BJ889" s="213"/>
      <c r="BK889" s="213"/>
      <c r="BL889" s="212"/>
      <c r="BM889" s="213"/>
      <c r="BN889" s="213"/>
      <c r="BO889" s="213"/>
      <c r="BP889" s="213"/>
      <c r="BQ889" s="192"/>
      <c r="BR889" s="192"/>
    </row>
    <row r="890">
      <c r="A890" s="60"/>
      <c r="E890" s="215"/>
      <c r="F890" s="215"/>
      <c r="G890" s="215"/>
      <c r="L890" s="216"/>
      <c r="M890" s="216"/>
      <c r="N890" s="216"/>
      <c r="O890" s="217"/>
      <c r="P890" s="217"/>
      <c r="Q890" s="217"/>
      <c r="R890" s="217"/>
      <c r="S890" s="218"/>
      <c r="X890" s="218"/>
      <c r="AD890" s="216"/>
      <c r="AO890" s="216"/>
      <c r="AP890" s="216"/>
      <c r="AQ890" s="216"/>
      <c r="AR890" s="216"/>
      <c r="AT890" s="192"/>
      <c r="AU890" s="192"/>
      <c r="AV890" s="192"/>
      <c r="AW890" s="192"/>
      <c r="AX890" s="192"/>
      <c r="AY890" s="212"/>
      <c r="AZ890" s="213"/>
      <c r="BA890" s="213"/>
      <c r="BB890" s="213"/>
      <c r="BC890" s="212"/>
      <c r="BD890" s="213"/>
      <c r="BE890" s="213"/>
      <c r="BF890" s="213"/>
      <c r="BG890" s="212"/>
      <c r="BH890" s="213"/>
      <c r="BI890" s="213"/>
      <c r="BJ890" s="213"/>
      <c r="BK890" s="213"/>
      <c r="BL890" s="212"/>
      <c r="BM890" s="213"/>
      <c r="BN890" s="213"/>
      <c r="BO890" s="213"/>
      <c r="BP890" s="213"/>
      <c r="BQ890" s="192"/>
      <c r="BR890" s="192"/>
    </row>
    <row r="891">
      <c r="A891" s="60"/>
      <c r="E891" s="215"/>
      <c r="F891" s="215"/>
      <c r="G891" s="215"/>
      <c r="L891" s="216"/>
      <c r="M891" s="216"/>
      <c r="N891" s="216"/>
      <c r="O891" s="217"/>
      <c r="P891" s="217"/>
      <c r="Q891" s="217"/>
      <c r="R891" s="217"/>
      <c r="S891" s="218"/>
      <c r="X891" s="218"/>
      <c r="AD891" s="216"/>
      <c r="AO891" s="216"/>
      <c r="AP891" s="216"/>
      <c r="AQ891" s="216"/>
      <c r="AR891" s="216"/>
      <c r="AT891" s="192"/>
      <c r="AU891" s="192"/>
      <c r="AV891" s="192"/>
      <c r="AW891" s="192"/>
      <c r="AX891" s="192"/>
      <c r="AY891" s="212"/>
      <c r="AZ891" s="213"/>
      <c r="BA891" s="213"/>
      <c r="BB891" s="213"/>
      <c r="BC891" s="212"/>
      <c r="BD891" s="213"/>
      <c r="BE891" s="213"/>
      <c r="BF891" s="213"/>
      <c r="BG891" s="212"/>
      <c r="BH891" s="213"/>
      <c r="BI891" s="213"/>
      <c r="BJ891" s="213"/>
      <c r="BK891" s="213"/>
      <c r="BL891" s="212"/>
      <c r="BM891" s="213"/>
      <c r="BN891" s="213"/>
      <c r="BO891" s="213"/>
      <c r="BP891" s="213"/>
      <c r="BQ891" s="192"/>
      <c r="BR891" s="192"/>
    </row>
    <row r="892">
      <c r="A892" s="60"/>
      <c r="E892" s="215"/>
      <c r="F892" s="215"/>
      <c r="G892" s="215"/>
      <c r="L892" s="216"/>
      <c r="M892" s="216"/>
      <c r="N892" s="216"/>
      <c r="O892" s="217"/>
      <c r="P892" s="217"/>
      <c r="Q892" s="217"/>
      <c r="R892" s="217"/>
      <c r="S892" s="218"/>
      <c r="X892" s="218"/>
      <c r="AD892" s="216"/>
      <c r="AO892" s="216"/>
      <c r="AP892" s="216"/>
      <c r="AQ892" s="216"/>
      <c r="AR892" s="216"/>
      <c r="AT892" s="192"/>
      <c r="AU892" s="192"/>
      <c r="AV892" s="192"/>
      <c r="AW892" s="192"/>
      <c r="AX892" s="192"/>
      <c r="AY892" s="212"/>
      <c r="AZ892" s="213"/>
      <c r="BA892" s="213"/>
      <c r="BB892" s="213"/>
      <c r="BC892" s="212"/>
      <c r="BD892" s="213"/>
      <c r="BE892" s="213"/>
      <c r="BF892" s="213"/>
      <c r="BG892" s="212"/>
      <c r="BH892" s="213"/>
      <c r="BI892" s="213"/>
      <c r="BJ892" s="213"/>
      <c r="BK892" s="213"/>
      <c r="BL892" s="212"/>
      <c r="BM892" s="213"/>
      <c r="BN892" s="213"/>
      <c r="BO892" s="213"/>
      <c r="BP892" s="213"/>
      <c r="BQ892" s="192"/>
      <c r="BR892" s="192"/>
    </row>
    <row r="893">
      <c r="A893" s="60"/>
      <c r="E893" s="215"/>
      <c r="F893" s="215"/>
      <c r="G893" s="215"/>
      <c r="L893" s="216"/>
      <c r="M893" s="216"/>
      <c r="N893" s="216"/>
      <c r="O893" s="217"/>
      <c r="P893" s="217"/>
      <c r="Q893" s="217"/>
      <c r="R893" s="217"/>
      <c r="S893" s="218"/>
      <c r="X893" s="218"/>
      <c r="AD893" s="216"/>
      <c r="AO893" s="216"/>
      <c r="AP893" s="216"/>
      <c r="AQ893" s="216"/>
      <c r="AR893" s="216"/>
      <c r="AT893" s="192"/>
      <c r="AU893" s="192"/>
      <c r="AV893" s="192"/>
      <c r="AW893" s="192"/>
      <c r="AX893" s="192"/>
      <c r="AY893" s="212"/>
      <c r="AZ893" s="213"/>
      <c r="BA893" s="213"/>
      <c r="BB893" s="213"/>
      <c r="BC893" s="212"/>
      <c r="BD893" s="213"/>
      <c r="BE893" s="213"/>
      <c r="BF893" s="213"/>
      <c r="BG893" s="212"/>
      <c r="BH893" s="213"/>
      <c r="BI893" s="213"/>
      <c r="BJ893" s="213"/>
      <c r="BK893" s="213"/>
      <c r="BL893" s="212"/>
      <c r="BM893" s="213"/>
      <c r="BN893" s="213"/>
      <c r="BO893" s="213"/>
      <c r="BP893" s="213"/>
      <c r="BQ893" s="192"/>
      <c r="BR893" s="192"/>
    </row>
    <row r="894">
      <c r="A894" s="60"/>
      <c r="E894" s="215"/>
      <c r="F894" s="215"/>
      <c r="G894" s="215"/>
      <c r="L894" s="216"/>
      <c r="M894" s="216"/>
      <c r="N894" s="216"/>
      <c r="O894" s="217"/>
      <c r="P894" s="217"/>
      <c r="Q894" s="217"/>
      <c r="R894" s="217"/>
      <c r="S894" s="218"/>
      <c r="X894" s="218"/>
      <c r="AD894" s="216"/>
      <c r="AO894" s="216"/>
      <c r="AP894" s="216"/>
      <c r="AQ894" s="216"/>
      <c r="AR894" s="216"/>
      <c r="AT894" s="192"/>
      <c r="AU894" s="192"/>
      <c r="AV894" s="192"/>
      <c r="AW894" s="192"/>
      <c r="AX894" s="192"/>
      <c r="AY894" s="212"/>
      <c r="AZ894" s="213"/>
      <c r="BA894" s="213"/>
      <c r="BB894" s="213"/>
      <c r="BC894" s="212"/>
      <c r="BD894" s="213"/>
      <c r="BE894" s="213"/>
      <c r="BF894" s="213"/>
      <c r="BG894" s="212"/>
      <c r="BH894" s="213"/>
      <c r="BI894" s="213"/>
      <c r="BJ894" s="213"/>
      <c r="BK894" s="213"/>
      <c r="BL894" s="212"/>
      <c r="BM894" s="213"/>
      <c r="BN894" s="213"/>
      <c r="BO894" s="213"/>
      <c r="BP894" s="213"/>
      <c r="BQ894" s="192"/>
      <c r="BR894" s="192"/>
    </row>
    <row r="895">
      <c r="A895" s="60"/>
      <c r="E895" s="215"/>
      <c r="F895" s="215"/>
      <c r="G895" s="215"/>
      <c r="L895" s="216"/>
      <c r="M895" s="216"/>
      <c r="N895" s="216"/>
      <c r="O895" s="217"/>
      <c r="P895" s="217"/>
      <c r="Q895" s="217"/>
      <c r="R895" s="217"/>
      <c r="S895" s="218"/>
      <c r="X895" s="218"/>
      <c r="AD895" s="216"/>
      <c r="AO895" s="216"/>
      <c r="AP895" s="216"/>
      <c r="AQ895" s="216"/>
      <c r="AR895" s="216"/>
      <c r="AT895" s="192"/>
      <c r="AU895" s="192"/>
      <c r="AV895" s="192"/>
      <c r="AW895" s="192"/>
      <c r="AX895" s="192"/>
      <c r="AY895" s="212"/>
      <c r="AZ895" s="213"/>
      <c r="BA895" s="213"/>
      <c r="BB895" s="213"/>
      <c r="BC895" s="212"/>
      <c r="BD895" s="213"/>
      <c r="BE895" s="213"/>
      <c r="BF895" s="213"/>
      <c r="BG895" s="212"/>
      <c r="BH895" s="213"/>
      <c r="BI895" s="213"/>
      <c r="BJ895" s="213"/>
      <c r="BK895" s="213"/>
      <c r="BL895" s="212"/>
      <c r="BM895" s="213"/>
      <c r="BN895" s="213"/>
      <c r="BO895" s="213"/>
      <c r="BP895" s="213"/>
      <c r="BQ895" s="192"/>
      <c r="BR895" s="192"/>
    </row>
    <row r="896">
      <c r="A896" s="60"/>
      <c r="E896" s="215"/>
      <c r="F896" s="215"/>
      <c r="G896" s="215"/>
      <c r="L896" s="216"/>
      <c r="M896" s="216"/>
      <c r="N896" s="216"/>
      <c r="O896" s="217"/>
      <c r="P896" s="217"/>
      <c r="Q896" s="217"/>
      <c r="R896" s="217"/>
      <c r="S896" s="218"/>
      <c r="X896" s="218"/>
      <c r="AD896" s="216"/>
      <c r="AO896" s="216"/>
      <c r="AP896" s="216"/>
      <c r="AQ896" s="216"/>
      <c r="AR896" s="216"/>
      <c r="AT896" s="192"/>
      <c r="AU896" s="192"/>
      <c r="AV896" s="192"/>
      <c r="AW896" s="192"/>
      <c r="AX896" s="192"/>
      <c r="AY896" s="212"/>
      <c r="AZ896" s="213"/>
      <c r="BA896" s="213"/>
      <c r="BB896" s="213"/>
      <c r="BC896" s="212"/>
      <c r="BD896" s="213"/>
      <c r="BE896" s="213"/>
      <c r="BF896" s="213"/>
      <c r="BG896" s="212"/>
      <c r="BH896" s="213"/>
      <c r="BI896" s="213"/>
      <c r="BJ896" s="213"/>
      <c r="BK896" s="213"/>
      <c r="BL896" s="212"/>
      <c r="BM896" s="213"/>
      <c r="BN896" s="213"/>
      <c r="BO896" s="213"/>
      <c r="BP896" s="213"/>
      <c r="BQ896" s="192"/>
      <c r="BR896" s="192"/>
    </row>
    <row r="897">
      <c r="A897" s="60"/>
      <c r="E897" s="215"/>
      <c r="F897" s="215"/>
      <c r="G897" s="215"/>
      <c r="L897" s="216"/>
      <c r="M897" s="216"/>
      <c r="N897" s="216"/>
      <c r="O897" s="217"/>
      <c r="P897" s="217"/>
      <c r="Q897" s="217"/>
      <c r="R897" s="217"/>
      <c r="S897" s="218"/>
      <c r="X897" s="218"/>
      <c r="AD897" s="216"/>
      <c r="AO897" s="216"/>
      <c r="AP897" s="216"/>
      <c r="AQ897" s="216"/>
      <c r="AR897" s="216"/>
      <c r="AT897" s="192"/>
      <c r="AU897" s="192"/>
      <c r="AV897" s="192"/>
      <c r="AW897" s="192"/>
      <c r="AX897" s="192"/>
      <c r="AY897" s="212"/>
      <c r="AZ897" s="213"/>
      <c r="BA897" s="213"/>
      <c r="BB897" s="213"/>
      <c r="BC897" s="212"/>
      <c r="BD897" s="213"/>
      <c r="BE897" s="213"/>
      <c r="BF897" s="213"/>
      <c r="BG897" s="212"/>
      <c r="BH897" s="213"/>
      <c r="BI897" s="213"/>
      <c r="BJ897" s="213"/>
      <c r="BK897" s="213"/>
      <c r="BL897" s="212"/>
      <c r="BM897" s="213"/>
      <c r="BN897" s="213"/>
      <c r="BO897" s="213"/>
      <c r="BP897" s="213"/>
      <c r="BQ897" s="192"/>
      <c r="BR897" s="192"/>
    </row>
    <row r="898">
      <c r="A898" s="60"/>
      <c r="E898" s="215"/>
      <c r="F898" s="215"/>
      <c r="G898" s="215"/>
      <c r="L898" s="216"/>
      <c r="M898" s="216"/>
      <c r="N898" s="216"/>
      <c r="O898" s="217"/>
      <c r="P898" s="217"/>
      <c r="Q898" s="217"/>
      <c r="R898" s="217"/>
      <c r="S898" s="218"/>
      <c r="X898" s="218"/>
      <c r="AD898" s="216"/>
      <c r="AO898" s="216"/>
      <c r="AP898" s="216"/>
      <c r="AQ898" s="216"/>
      <c r="AR898" s="216"/>
      <c r="AT898" s="192"/>
      <c r="AU898" s="192"/>
      <c r="AV898" s="192"/>
      <c r="AW898" s="192"/>
      <c r="AX898" s="192"/>
      <c r="AY898" s="212"/>
      <c r="AZ898" s="213"/>
      <c r="BA898" s="213"/>
      <c r="BB898" s="213"/>
      <c r="BC898" s="212"/>
      <c r="BD898" s="213"/>
      <c r="BE898" s="213"/>
      <c r="BF898" s="213"/>
      <c r="BG898" s="212"/>
      <c r="BH898" s="213"/>
      <c r="BI898" s="213"/>
      <c r="BJ898" s="213"/>
      <c r="BK898" s="213"/>
      <c r="BL898" s="212"/>
      <c r="BM898" s="213"/>
      <c r="BN898" s="213"/>
      <c r="BO898" s="213"/>
      <c r="BP898" s="213"/>
      <c r="BQ898" s="192"/>
      <c r="BR898" s="192"/>
    </row>
    <row r="899">
      <c r="A899" s="60"/>
      <c r="E899" s="215"/>
      <c r="F899" s="215"/>
      <c r="G899" s="215"/>
      <c r="L899" s="216"/>
      <c r="M899" s="216"/>
      <c r="N899" s="216"/>
      <c r="O899" s="217"/>
      <c r="P899" s="217"/>
      <c r="Q899" s="217"/>
      <c r="R899" s="217"/>
      <c r="S899" s="218"/>
      <c r="X899" s="218"/>
      <c r="AD899" s="216"/>
      <c r="AO899" s="216"/>
      <c r="AP899" s="216"/>
      <c r="AQ899" s="216"/>
      <c r="AR899" s="216"/>
      <c r="AT899" s="192"/>
      <c r="AU899" s="192"/>
      <c r="AV899" s="192"/>
      <c r="AW899" s="192"/>
      <c r="AX899" s="192"/>
      <c r="AY899" s="212"/>
      <c r="AZ899" s="213"/>
      <c r="BA899" s="213"/>
      <c r="BB899" s="213"/>
      <c r="BC899" s="212"/>
      <c r="BD899" s="213"/>
      <c r="BE899" s="213"/>
      <c r="BF899" s="213"/>
      <c r="BG899" s="212"/>
      <c r="BH899" s="213"/>
      <c r="BI899" s="213"/>
      <c r="BJ899" s="213"/>
      <c r="BK899" s="213"/>
      <c r="BL899" s="212"/>
      <c r="BM899" s="213"/>
      <c r="BN899" s="213"/>
      <c r="BO899" s="213"/>
      <c r="BP899" s="213"/>
      <c r="BQ899" s="192"/>
      <c r="BR899" s="192"/>
    </row>
    <row r="900">
      <c r="A900" s="60"/>
      <c r="E900" s="215"/>
      <c r="F900" s="215"/>
      <c r="G900" s="215"/>
      <c r="L900" s="216"/>
      <c r="M900" s="216"/>
      <c r="N900" s="216"/>
      <c r="O900" s="217"/>
      <c r="P900" s="217"/>
      <c r="Q900" s="217"/>
      <c r="R900" s="217"/>
      <c r="S900" s="218"/>
      <c r="X900" s="218"/>
      <c r="AD900" s="216"/>
      <c r="AO900" s="216"/>
      <c r="AP900" s="216"/>
      <c r="AQ900" s="216"/>
      <c r="AR900" s="216"/>
      <c r="AT900" s="192"/>
      <c r="AU900" s="192"/>
      <c r="AV900" s="192"/>
      <c r="AW900" s="192"/>
      <c r="AX900" s="192"/>
      <c r="AY900" s="212"/>
      <c r="AZ900" s="213"/>
      <c r="BA900" s="213"/>
      <c r="BB900" s="213"/>
      <c r="BC900" s="212"/>
      <c r="BD900" s="213"/>
      <c r="BE900" s="213"/>
      <c r="BF900" s="213"/>
      <c r="BG900" s="212"/>
      <c r="BH900" s="213"/>
      <c r="BI900" s="213"/>
      <c r="BJ900" s="213"/>
      <c r="BK900" s="213"/>
      <c r="BL900" s="212"/>
      <c r="BM900" s="213"/>
      <c r="BN900" s="213"/>
      <c r="BO900" s="213"/>
      <c r="BP900" s="213"/>
      <c r="BQ900" s="192"/>
      <c r="BR900" s="192"/>
    </row>
    <row r="901">
      <c r="A901" s="60"/>
      <c r="E901" s="215"/>
      <c r="F901" s="215"/>
      <c r="G901" s="215"/>
      <c r="L901" s="216"/>
      <c r="M901" s="216"/>
      <c r="N901" s="216"/>
      <c r="O901" s="217"/>
      <c r="P901" s="217"/>
      <c r="Q901" s="217"/>
      <c r="R901" s="217"/>
      <c r="S901" s="218"/>
      <c r="X901" s="218"/>
      <c r="AD901" s="216"/>
      <c r="AO901" s="216"/>
      <c r="AP901" s="216"/>
      <c r="AQ901" s="216"/>
      <c r="AR901" s="216"/>
      <c r="AT901" s="192"/>
      <c r="AU901" s="192"/>
      <c r="AV901" s="192"/>
      <c r="AW901" s="192"/>
      <c r="AX901" s="192"/>
      <c r="AY901" s="212"/>
      <c r="AZ901" s="213"/>
      <c r="BA901" s="213"/>
      <c r="BB901" s="213"/>
      <c r="BC901" s="212"/>
      <c r="BD901" s="213"/>
      <c r="BE901" s="213"/>
      <c r="BF901" s="213"/>
      <c r="BG901" s="212"/>
      <c r="BH901" s="213"/>
      <c r="BI901" s="213"/>
      <c r="BJ901" s="213"/>
      <c r="BK901" s="213"/>
      <c r="BL901" s="212"/>
      <c r="BM901" s="213"/>
      <c r="BN901" s="213"/>
      <c r="BO901" s="213"/>
      <c r="BP901" s="213"/>
      <c r="BQ901" s="192"/>
      <c r="BR901" s="192"/>
    </row>
    <row r="902">
      <c r="A902" s="60"/>
      <c r="E902" s="215"/>
      <c r="F902" s="215"/>
      <c r="G902" s="215"/>
      <c r="L902" s="216"/>
      <c r="M902" s="216"/>
      <c r="N902" s="216"/>
      <c r="O902" s="217"/>
      <c r="P902" s="217"/>
      <c r="Q902" s="217"/>
      <c r="R902" s="217"/>
      <c r="S902" s="218"/>
      <c r="X902" s="218"/>
      <c r="AD902" s="216"/>
      <c r="AO902" s="216"/>
      <c r="AP902" s="216"/>
      <c r="AQ902" s="216"/>
      <c r="AR902" s="216"/>
      <c r="AT902" s="192"/>
      <c r="AU902" s="192"/>
      <c r="AV902" s="192"/>
      <c r="AW902" s="192"/>
      <c r="AX902" s="192"/>
      <c r="AY902" s="212"/>
      <c r="AZ902" s="213"/>
      <c r="BA902" s="213"/>
      <c r="BB902" s="213"/>
      <c r="BC902" s="212"/>
      <c r="BD902" s="213"/>
      <c r="BE902" s="213"/>
      <c r="BF902" s="213"/>
      <c r="BG902" s="212"/>
      <c r="BH902" s="213"/>
      <c r="BI902" s="213"/>
      <c r="BJ902" s="213"/>
      <c r="BK902" s="213"/>
      <c r="BL902" s="212"/>
      <c r="BM902" s="213"/>
      <c r="BN902" s="213"/>
      <c r="BO902" s="213"/>
      <c r="BP902" s="213"/>
      <c r="BQ902" s="192"/>
      <c r="BR902" s="192"/>
    </row>
    <row r="903">
      <c r="A903" s="60"/>
      <c r="E903" s="215"/>
      <c r="F903" s="215"/>
      <c r="G903" s="215"/>
      <c r="L903" s="216"/>
      <c r="M903" s="216"/>
      <c r="N903" s="216"/>
      <c r="O903" s="217"/>
      <c r="P903" s="217"/>
      <c r="Q903" s="217"/>
      <c r="R903" s="217"/>
      <c r="S903" s="218"/>
      <c r="X903" s="218"/>
      <c r="AD903" s="216"/>
      <c r="AO903" s="216"/>
      <c r="AP903" s="216"/>
      <c r="AQ903" s="216"/>
      <c r="AR903" s="216"/>
      <c r="AT903" s="192"/>
      <c r="AU903" s="192"/>
      <c r="AV903" s="192"/>
      <c r="AW903" s="192"/>
      <c r="AX903" s="192"/>
      <c r="AY903" s="212"/>
      <c r="AZ903" s="213"/>
      <c r="BA903" s="213"/>
      <c r="BB903" s="213"/>
      <c r="BC903" s="212"/>
      <c r="BD903" s="213"/>
      <c r="BE903" s="213"/>
      <c r="BF903" s="213"/>
      <c r="BG903" s="212"/>
      <c r="BH903" s="213"/>
      <c r="BI903" s="213"/>
      <c r="BJ903" s="213"/>
      <c r="BK903" s="213"/>
      <c r="BL903" s="212"/>
      <c r="BM903" s="213"/>
      <c r="BN903" s="213"/>
      <c r="BO903" s="213"/>
      <c r="BP903" s="213"/>
      <c r="BQ903" s="192"/>
      <c r="BR903" s="192"/>
    </row>
    <row r="904">
      <c r="A904" s="60"/>
      <c r="E904" s="215"/>
      <c r="F904" s="215"/>
      <c r="G904" s="215"/>
      <c r="L904" s="216"/>
      <c r="M904" s="216"/>
      <c r="N904" s="216"/>
      <c r="O904" s="217"/>
      <c r="P904" s="217"/>
      <c r="Q904" s="217"/>
      <c r="R904" s="217"/>
      <c r="S904" s="218"/>
      <c r="X904" s="218"/>
      <c r="AD904" s="216"/>
      <c r="AO904" s="216"/>
      <c r="AP904" s="216"/>
      <c r="AQ904" s="216"/>
      <c r="AR904" s="216"/>
      <c r="AT904" s="192"/>
      <c r="AU904" s="192"/>
      <c r="AV904" s="192"/>
      <c r="AW904" s="192"/>
      <c r="AX904" s="192"/>
      <c r="AY904" s="212"/>
      <c r="AZ904" s="213"/>
      <c r="BA904" s="213"/>
      <c r="BB904" s="213"/>
      <c r="BC904" s="212"/>
      <c r="BD904" s="213"/>
      <c r="BE904" s="213"/>
      <c r="BF904" s="213"/>
      <c r="BG904" s="212"/>
      <c r="BH904" s="213"/>
      <c r="BI904" s="213"/>
      <c r="BJ904" s="213"/>
      <c r="BK904" s="213"/>
      <c r="BL904" s="212"/>
      <c r="BM904" s="213"/>
      <c r="BN904" s="213"/>
      <c r="BO904" s="213"/>
      <c r="BP904" s="213"/>
      <c r="BQ904" s="192"/>
      <c r="BR904" s="192"/>
    </row>
    <row r="905">
      <c r="A905" s="60"/>
      <c r="E905" s="215"/>
      <c r="F905" s="215"/>
      <c r="G905" s="215"/>
      <c r="L905" s="216"/>
      <c r="M905" s="216"/>
      <c r="N905" s="216"/>
      <c r="O905" s="217"/>
      <c r="P905" s="217"/>
      <c r="Q905" s="217"/>
      <c r="R905" s="217"/>
      <c r="S905" s="218"/>
      <c r="X905" s="218"/>
      <c r="AD905" s="216"/>
      <c r="AO905" s="216"/>
      <c r="AP905" s="216"/>
      <c r="AQ905" s="216"/>
      <c r="AR905" s="216"/>
      <c r="AT905" s="192"/>
      <c r="AU905" s="192"/>
      <c r="AV905" s="192"/>
      <c r="AW905" s="192"/>
      <c r="AX905" s="192"/>
      <c r="AY905" s="212"/>
      <c r="AZ905" s="213"/>
      <c r="BA905" s="213"/>
      <c r="BB905" s="213"/>
      <c r="BC905" s="212"/>
      <c r="BD905" s="213"/>
      <c r="BE905" s="213"/>
      <c r="BF905" s="213"/>
      <c r="BG905" s="212"/>
      <c r="BH905" s="213"/>
      <c r="BI905" s="213"/>
      <c r="BJ905" s="213"/>
      <c r="BK905" s="213"/>
      <c r="BL905" s="212"/>
      <c r="BM905" s="213"/>
      <c r="BN905" s="213"/>
      <c r="BO905" s="213"/>
      <c r="BP905" s="213"/>
      <c r="BQ905" s="192"/>
      <c r="BR905" s="192"/>
    </row>
    <row r="906">
      <c r="A906" s="60"/>
      <c r="E906" s="215"/>
      <c r="F906" s="215"/>
      <c r="G906" s="215"/>
      <c r="L906" s="216"/>
      <c r="M906" s="216"/>
      <c r="N906" s="216"/>
      <c r="O906" s="217"/>
      <c r="P906" s="217"/>
      <c r="Q906" s="217"/>
      <c r="R906" s="217"/>
      <c r="S906" s="218"/>
      <c r="X906" s="218"/>
      <c r="AD906" s="216"/>
      <c r="AO906" s="216"/>
      <c r="AP906" s="216"/>
      <c r="AQ906" s="216"/>
      <c r="AR906" s="216"/>
      <c r="AT906" s="192"/>
      <c r="AU906" s="192"/>
      <c r="AV906" s="192"/>
      <c r="AW906" s="192"/>
      <c r="AX906" s="192"/>
      <c r="AY906" s="212"/>
      <c r="AZ906" s="213"/>
      <c r="BA906" s="213"/>
      <c r="BB906" s="213"/>
      <c r="BC906" s="212"/>
      <c r="BD906" s="213"/>
      <c r="BE906" s="213"/>
      <c r="BF906" s="213"/>
      <c r="BG906" s="212"/>
      <c r="BH906" s="213"/>
      <c r="BI906" s="213"/>
      <c r="BJ906" s="213"/>
      <c r="BK906" s="213"/>
      <c r="BL906" s="212"/>
      <c r="BM906" s="213"/>
      <c r="BN906" s="213"/>
      <c r="BO906" s="213"/>
      <c r="BP906" s="213"/>
      <c r="BQ906" s="192"/>
      <c r="BR906" s="192"/>
    </row>
    <row r="907">
      <c r="A907" s="60"/>
      <c r="E907" s="215"/>
      <c r="F907" s="215"/>
      <c r="G907" s="215"/>
      <c r="L907" s="216"/>
      <c r="M907" s="216"/>
      <c r="N907" s="216"/>
      <c r="O907" s="217"/>
      <c r="P907" s="217"/>
      <c r="Q907" s="217"/>
      <c r="R907" s="217"/>
      <c r="S907" s="218"/>
      <c r="X907" s="218"/>
      <c r="AD907" s="216"/>
      <c r="AO907" s="216"/>
      <c r="AP907" s="216"/>
      <c r="AQ907" s="216"/>
      <c r="AR907" s="216"/>
      <c r="AT907" s="192"/>
      <c r="AU907" s="192"/>
      <c r="AV907" s="192"/>
      <c r="AW907" s="192"/>
      <c r="AX907" s="192"/>
      <c r="AY907" s="212"/>
      <c r="AZ907" s="213"/>
      <c r="BA907" s="213"/>
      <c r="BB907" s="213"/>
      <c r="BC907" s="212"/>
      <c r="BD907" s="213"/>
      <c r="BE907" s="213"/>
      <c r="BF907" s="213"/>
      <c r="BG907" s="212"/>
      <c r="BH907" s="213"/>
      <c r="BI907" s="213"/>
      <c r="BJ907" s="213"/>
      <c r="BK907" s="213"/>
      <c r="BL907" s="212"/>
      <c r="BM907" s="213"/>
      <c r="BN907" s="213"/>
      <c r="BO907" s="213"/>
      <c r="BP907" s="213"/>
      <c r="BQ907" s="192"/>
      <c r="BR907" s="192"/>
    </row>
    <row r="908">
      <c r="A908" s="60"/>
      <c r="E908" s="215"/>
      <c r="F908" s="215"/>
      <c r="G908" s="215"/>
      <c r="L908" s="216"/>
      <c r="M908" s="216"/>
      <c r="N908" s="216"/>
      <c r="O908" s="217"/>
      <c r="P908" s="217"/>
      <c r="Q908" s="217"/>
      <c r="R908" s="217"/>
      <c r="S908" s="218"/>
      <c r="X908" s="218"/>
      <c r="AD908" s="216"/>
      <c r="AO908" s="216"/>
      <c r="AP908" s="216"/>
      <c r="AQ908" s="216"/>
      <c r="AR908" s="216"/>
      <c r="AT908" s="192"/>
      <c r="AU908" s="192"/>
      <c r="AV908" s="192"/>
      <c r="AW908" s="192"/>
      <c r="AX908" s="192"/>
      <c r="AY908" s="212"/>
      <c r="AZ908" s="213"/>
      <c r="BA908" s="213"/>
      <c r="BB908" s="213"/>
      <c r="BC908" s="212"/>
      <c r="BD908" s="213"/>
      <c r="BE908" s="213"/>
      <c r="BF908" s="213"/>
      <c r="BG908" s="212"/>
      <c r="BH908" s="213"/>
      <c r="BI908" s="213"/>
      <c r="BJ908" s="213"/>
      <c r="BK908" s="213"/>
      <c r="BL908" s="212"/>
      <c r="BM908" s="213"/>
      <c r="BN908" s="213"/>
      <c r="BO908" s="213"/>
      <c r="BP908" s="213"/>
      <c r="BQ908" s="192"/>
      <c r="BR908" s="192"/>
    </row>
    <row r="909">
      <c r="A909" s="60"/>
      <c r="E909" s="215"/>
      <c r="F909" s="215"/>
      <c r="G909" s="215"/>
      <c r="L909" s="216"/>
      <c r="M909" s="216"/>
      <c r="N909" s="216"/>
      <c r="O909" s="217"/>
      <c r="P909" s="217"/>
      <c r="Q909" s="217"/>
      <c r="R909" s="217"/>
      <c r="S909" s="218"/>
      <c r="X909" s="218"/>
      <c r="AD909" s="216"/>
      <c r="AO909" s="216"/>
      <c r="AP909" s="216"/>
      <c r="AQ909" s="216"/>
      <c r="AR909" s="216"/>
      <c r="AT909" s="192"/>
      <c r="AU909" s="192"/>
      <c r="AV909" s="192"/>
      <c r="AW909" s="192"/>
      <c r="AX909" s="192"/>
      <c r="AY909" s="212"/>
      <c r="AZ909" s="213"/>
      <c r="BA909" s="213"/>
      <c r="BB909" s="213"/>
      <c r="BC909" s="212"/>
      <c r="BD909" s="213"/>
      <c r="BE909" s="213"/>
      <c r="BF909" s="213"/>
      <c r="BG909" s="212"/>
      <c r="BH909" s="213"/>
      <c r="BI909" s="213"/>
      <c r="BJ909" s="213"/>
      <c r="BK909" s="213"/>
      <c r="BL909" s="212"/>
      <c r="BM909" s="213"/>
      <c r="BN909" s="213"/>
      <c r="BO909" s="213"/>
      <c r="BP909" s="213"/>
      <c r="BQ909" s="192"/>
      <c r="BR909" s="192"/>
    </row>
    <row r="910">
      <c r="A910" s="60"/>
      <c r="E910" s="215"/>
      <c r="F910" s="215"/>
      <c r="G910" s="215"/>
      <c r="L910" s="216"/>
      <c r="M910" s="216"/>
      <c r="N910" s="216"/>
      <c r="O910" s="217"/>
      <c r="P910" s="217"/>
      <c r="Q910" s="217"/>
      <c r="R910" s="217"/>
      <c r="S910" s="218"/>
      <c r="X910" s="218"/>
      <c r="AD910" s="216"/>
      <c r="AO910" s="216"/>
      <c r="AP910" s="216"/>
      <c r="AQ910" s="216"/>
      <c r="AR910" s="216"/>
      <c r="AT910" s="192"/>
      <c r="AU910" s="192"/>
      <c r="AV910" s="192"/>
      <c r="AW910" s="192"/>
      <c r="AX910" s="192"/>
      <c r="AY910" s="212"/>
      <c r="AZ910" s="213"/>
      <c r="BA910" s="213"/>
      <c r="BB910" s="213"/>
      <c r="BC910" s="212"/>
      <c r="BD910" s="213"/>
      <c r="BE910" s="213"/>
      <c r="BF910" s="213"/>
      <c r="BG910" s="212"/>
      <c r="BH910" s="213"/>
      <c r="BI910" s="213"/>
      <c r="BJ910" s="213"/>
      <c r="BK910" s="213"/>
      <c r="BL910" s="212"/>
      <c r="BM910" s="213"/>
      <c r="BN910" s="213"/>
      <c r="BO910" s="213"/>
      <c r="BP910" s="213"/>
      <c r="BQ910" s="192"/>
      <c r="BR910" s="192"/>
    </row>
    <row r="911">
      <c r="A911" s="60"/>
      <c r="E911" s="215"/>
      <c r="F911" s="215"/>
      <c r="G911" s="215"/>
      <c r="L911" s="216"/>
      <c r="M911" s="216"/>
      <c r="N911" s="216"/>
      <c r="O911" s="217"/>
      <c r="P911" s="217"/>
      <c r="Q911" s="217"/>
      <c r="R911" s="217"/>
      <c r="S911" s="218"/>
      <c r="X911" s="218"/>
      <c r="AD911" s="216"/>
      <c r="AO911" s="216"/>
      <c r="AP911" s="216"/>
      <c r="AQ911" s="216"/>
      <c r="AR911" s="216"/>
      <c r="AT911" s="192"/>
      <c r="AU911" s="192"/>
      <c r="AV911" s="192"/>
      <c r="AW911" s="192"/>
      <c r="AX911" s="192"/>
      <c r="AY911" s="212"/>
      <c r="AZ911" s="213"/>
      <c r="BA911" s="213"/>
      <c r="BB911" s="213"/>
      <c r="BC911" s="212"/>
      <c r="BD911" s="213"/>
      <c r="BE911" s="213"/>
      <c r="BF911" s="213"/>
      <c r="BG911" s="212"/>
      <c r="BH911" s="213"/>
      <c r="BI911" s="213"/>
      <c r="BJ911" s="213"/>
      <c r="BK911" s="213"/>
      <c r="BL911" s="212"/>
      <c r="BM911" s="213"/>
      <c r="BN911" s="213"/>
      <c r="BO911" s="213"/>
      <c r="BP911" s="213"/>
      <c r="BQ911" s="192"/>
      <c r="BR911" s="192"/>
    </row>
    <row r="912">
      <c r="A912" s="60"/>
      <c r="E912" s="215"/>
      <c r="F912" s="215"/>
      <c r="G912" s="215"/>
      <c r="L912" s="216"/>
      <c r="M912" s="216"/>
      <c r="N912" s="216"/>
      <c r="O912" s="217"/>
      <c r="P912" s="217"/>
      <c r="Q912" s="217"/>
      <c r="R912" s="217"/>
      <c r="S912" s="218"/>
      <c r="X912" s="218"/>
      <c r="AD912" s="216"/>
      <c r="AO912" s="216"/>
      <c r="AP912" s="216"/>
      <c r="AQ912" s="216"/>
      <c r="AR912" s="216"/>
      <c r="AT912" s="192"/>
      <c r="AU912" s="192"/>
      <c r="AV912" s="192"/>
      <c r="AW912" s="192"/>
      <c r="AX912" s="192"/>
      <c r="AY912" s="212"/>
      <c r="AZ912" s="213"/>
      <c r="BA912" s="213"/>
      <c r="BB912" s="213"/>
      <c r="BC912" s="212"/>
      <c r="BD912" s="213"/>
      <c r="BE912" s="213"/>
      <c r="BF912" s="213"/>
      <c r="BG912" s="212"/>
      <c r="BH912" s="213"/>
      <c r="BI912" s="213"/>
      <c r="BJ912" s="213"/>
      <c r="BK912" s="213"/>
      <c r="BL912" s="212"/>
      <c r="BM912" s="213"/>
      <c r="BN912" s="213"/>
      <c r="BO912" s="213"/>
      <c r="BP912" s="213"/>
      <c r="BQ912" s="192"/>
      <c r="BR912" s="192"/>
    </row>
    <row r="913">
      <c r="A913" s="60"/>
      <c r="E913" s="215"/>
      <c r="F913" s="215"/>
      <c r="G913" s="215"/>
      <c r="L913" s="216"/>
      <c r="M913" s="216"/>
      <c r="N913" s="216"/>
      <c r="O913" s="217"/>
      <c r="P913" s="217"/>
      <c r="Q913" s="217"/>
      <c r="R913" s="217"/>
      <c r="S913" s="218"/>
      <c r="X913" s="218"/>
      <c r="AD913" s="216"/>
      <c r="AO913" s="216"/>
      <c r="AP913" s="216"/>
      <c r="AQ913" s="216"/>
      <c r="AR913" s="216"/>
      <c r="AT913" s="192"/>
      <c r="AU913" s="192"/>
      <c r="AV913" s="192"/>
      <c r="AW913" s="192"/>
      <c r="AX913" s="192"/>
      <c r="AY913" s="212"/>
      <c r="AZ913" s="213"/>
      <c r="BA913" s="213"/>
      <c r="BB913" s="213"/>
      <c r="BC913" s="212"/>
      <c r="BD913" s="213"/>
      <c r="BE913" s="213"/>
      <c r="BF913" s="213"/>
      <c r="BG913" s="212"/>
      <c r="BH913" s="213"/>
      <c r="BI913" s="213"/>
      <c r="BJ913" s="213"/>
      <c r="BK913" s="213"/>
      <c r="BL913" s="212"/>
      <c r="BM913" s="213"/>
      <c r="BN913" s="213"/>
      <c r="BO913" s="213"/>
      <c r="BP913" s="213"/>
      <c r="BQ913" s="192"/>
      <c r="BR913" s="192"/>
    </row>
    <row r="914">
      <c r="A914" s="60"/>
      <c r="E914" s="215"/>
      <c r="F914" s="215"/>
      <c r="G914" s="215"/>
      <c r="L914" s="216"/>
      <c r="M914" s="216"/>
      <c r="N914" s="216"/>
      <c r="O914" s="217"/>
      <c r="P914" s="217"/>
      <c r="Q914" s="217"/>
      <c r="R914" s="217"/>
      <c r="S914" s="218"/>
      <c r="X914" s="218"/>
      <c r="AD914" s="216"/>
      <c r="AO914" s="216"/>
      <c r="AP914" s="216"/>
      <c r="AQ914" s="216"/>
      <c r="AR914" s="216"/>
      <c r="AT914" s="192"/>
      <c r="AU914" s="192"/>
      <c r="AV914" s="192"/>
      <c r="AW914" s="192"/>
      <c r="AX914" s="192"/>
      <c r="AY914" s="212"/>
      <c r="AZ914" s="213"/>
      <c r="BA914" s="213"/>
      <c r="BB914" s="213"/>
      <c r="BC914" s="212"/>
      <c r="BD914" s="213"/>
      <c r="BE914" s="213"/>
      <c r="BF914" s="213"/>
      <c r="BG914" s="212"/>
      <c r="BH914" s="213"/>
      <c r="BI914" s="213"/>
      <c r="BJ914" s="213"/>
      <c r="BK914" s="213"/>
      <c r="BL914" s="212"/>
      <c r="BM914" s="213"/>
      <c r="BN914" s="213"/>
      <c r="BO914" s="213"/>
      <c r="BP914" s="213"/>
      <c r="BQ914" s="192"/>
      <c r="BR914" s="192"/>
    </row>
    <row r="915">
      <c r="A915" s="60"/>
      <c r="E915" s="215"/>
      <c r="F915" s="215"/>
      <c r="G915" s="215"/>
      <c r="L915" s="216"/>
      <c r="M915" s="216"/>
      <c r="N915" s="216"/>
      <c r="O915" s="217"/>
      <c r="P915" s="217"/>
      <c r="Q915" s="217"/>
      <c r="R915" s="217"/>
      <c r="S915" s="218"/>
      <c r="X915" s="218"/>
      <c r="AD915" s="216"/>
      <c r="AO915" s="216"/>
      <c r="AP915" s="216"/>
      <c r="AQ915" s="216"/>
      <c r="AR915" s="216"/>
      <c r="AT915" s="192"/>
      <c r="AU915" s="192"/>
      <c r="AV915" s="192"/>
      <c r="AW915" s="192"/>
      <c r="AX915" s="192"/>
      <c r="AY915" s="212"/>
      <c r="AZ915" s="213"/>
      <c r="BA915" s="213"/>
      <c r="BB915" s="213"/>
      <c r="BC915" s="212"/>
      <c r="BD915" s="213"/>
      <c r="BE915" s="213"/>
      <c r="BF915" s="213"/>
      <c r="BG915" s="212"/>
      <c r="BH915" s="213"/>
      <c r="BI915" s="213"/>
      <c r="BJ915" s="213"/>
      <c r="BK915" s="213"/>
      <c r="BL915" s="212"/>
      <c r="BM915" s="213"/>
      <c r="BN915" s="213"/>
      <c r="BO915" s="213"/>
      <c r="BP915" s="213"/>
      <c r="BQ915" s="192"/>
      <c r="BR915" s="192"/>
    </row>
    <row r="916">
      <c r="A916" s="60"/>
      <c r="E916" s="215"/>
      <c r="F916" s="215"/>
      <c r="G916" s="215"/>
      <c r="L916" s="216"/>
      <c r="M916" s="216"/>
      <c r="N916" s="216"/>
      <c r="O916" s="217"/>
      <c r="P916" s="217"/>
      <c r="Q916" s="217"/>
      <c r="R916" s="217"/>
      <c r="S916" s="218"/>
      <c r="X916" s="218"/>
      <c r="AD916" s="216"/>
      <c r="AO916" s="216"/>
      <c r="AP916" s="216"/>
      <c r="AQ916" s="216"/>
      <c r="AR916" s="216"/>
      <c r="AT916" s="192"/>
      <c r="AU916" s="192"/>
      <c r="AV916" s="192"/>
      <c r="AW916" s="192"/>
      <c r="AX916" s="192"/>
      <c r="AY916" s="212"/>
      <c r="AZ916" s="213"/>
      <c r="BA916" s="213"/>
      <c r="BB916" s="213"/>
      <c r="BC916" s="212"/>
      <c r="BD916" s="213"/>
      <c r="BE916" s="213"/>
      <c r="BF916" s="213"/>
      <c r="BG916" s="212"/>
      <c r="BH916" s="213"/>
      <c r="BI916" s="213"/>
      <c r="BJ916" s="213"/>
      <c r="BK916" s="213"/>
      <c r="BL916" s="212"/>
      <c r="BM916" s="213"/>
      <c r="BN916" s="213"/>
      <c r="BO916" s="213"/>
      <c r="BP916" s="213"/>
      <c r="BQ916" s="192"/>
      <c r="BR916" s="192"/>
    </row>
    <row r="917">
      <c r="A917" s="60"/>
      <c r="E917" s="215"/>
      <c r="F917" s="215"/>
      <c r="G917" s="215"/>
      <c r="L917" s="216"/>
      <c r="M917" s="216"/>
      <c r="N917" s="216"/>
      <c r="O917" s="217"/>
      <c r="P917" s="217"/>
      <c r="Q917" s="217"/>
      <c r="R917" s="217"/>
      <c r="S917" s="218"/>
      <c r="X917" s="218"/>
      <c r="AD917" s="216"/>
      <c r="AO917" s="216"/>
      <c r="AP917" s="216"/>
      <c r="AQ917" s="216"/>
      <c r="AR917" s="216"/>
      <c r="AT917" s="192"/>
      <c r="AU917" s="192"/>
      <c r="AV917" s="192"/>
      <c r="AW917" s="192"/>
      <c r="AX917" s="192"/>
      <c r="AY917" s="212"/>
      <c r="AZ917" s="213"/>
      <c r="BA917" s="213"/>
      <c r="BB917" s="213"/>
      <c r="BC917" s="212"/>
      <c r="BD917" s="213"/>
      <c r="BE917" s="213"/>
      <c r="BF917" s="213"/>
      <c r="BG917" s="212"/>
      <c r="BH917" s="213"/>
      <c r="BI917" s="213"/>
      <c r="BJ917" s="213"/>
      <c r="BK917" s="213"/>
      <c r="BL917" s="212"/>
      <c r="BM917" s="213"/>
      <c r="BN917" s="213"/>
      <c r="BO917" s="213"/>
      <c r="BP917" s="213"/>
      <c r="BQ917" s="192"/>
      <c r="BR917" s="192"/>
    </row>
    <row r="918">
      <c r="A918" s="60"/>
      <c r="E918" s="215"/>
      <c r="F918" s="215"/>
      <c r="G918" s="215"/>
      <c r="L918" s="216"/>
      <c r="M918" s="216"/>
      <c r="N918" s="216"/>
      <c r="O918" s="217"/>
      <c r="P918" s="217"/>
      <c r="Q918" s="217"/>
      <c r="R918" s="217"/>
      <c r="S918" s="218"/>
      <c r="X918" s="218"/>
      <c r="AD918" s="216"/>
      <c r="AO918" s="216"/>
      <c r="AP918" s="216"/>
      <c r="AQ918" s="216"/>
      <c r="AR918" s="216"/>
      <c r="AT918" s="192"/>
      <c r="AU918" s="192"/>
      <c r="AV918" s="192"/>
      <c r="AW918" s="192"/>
      <c r="AX918" s="192"/>
      <c r="AY918" s="212"/>
      <c r="AZ918" s="213"/>
      <c r="BA918" s="213"/>
      <c r="BB918" s="213"/>
      <c r="BC918" s="212"/>
      <c r="BD918" s="213"/>
      <c r="BE918" s="213"/>
      <c r="BF918" s="213"/>
      <c r="BG918" s="212"/>
      <c r="BH918" s="213"/>
      <c r="BI918" s="213"/>
      <c r="BJ918" s="213"/>
      <c r="BK918" s="213"/>
      <c r="BL918" s="212"/>
      <c r="BM918" s="213"/>
      <c r="BN918" s="213"/>
      <c r="BO918" s="213"/>
      <c r="BP918" s="213"/>
      <c r="BQ918" s="192"/>
      <c r="BR918" s="192"/>
    </row>
    <row r="919">
      <c r="A919" s="60"/>
      <c r="E919" s="215"/>
      <c r="F919" s="215"/>
      <c r="G919" s="215"/>
      <c r="L919" s="216"/>
      <c r="M919" s="216"/>
      <c r="N919" s="216"/>
      <c r="O919" s="217"/>
      <c r="P919" s="217"/>
      <c r="Q919" s="217"/>
      <c r="R919" s="217"/>
      <c r="S919" s="218"/>
      <c r="X919" s="218"/>
      <c r="AD919" s="216"/>
      <c r="AO919" s="216"/>
      <c r="AP919" s="216"/>
      <c r="AQ919" s="216"/>
      <c r="AR919" s="216"/>
      <c r="AT919" s="192"/>
      <c r="AU919" s="192"/>
      <c r="AV919" s="192"/>
      <c r="AW919" s="192"/>
      <c r="AX919" s="192"/>
      <c r="AY919" s="212"/>
      <c r="AZ919" s="213"/>
      <c r="BA919" s="213"/>
      <c r="BB919" s="213"/>
      <c r="BC919" s="212"/>
      <c r="BD919" s="213"/>
      <c r="BE919" s="213"/>
      <c r="BF919" s="213"/>
      <c r="BG919" s="212"/>
      <c r="BH919" s="213"/>
      <c r="BI919" s="213"/>
      <c r="BJ919" s="213"/>
      <c r="BK919" s="213"/>
      <c r="BL919" s="212"/>
      <c r="BM919" s="213"/>
      <c r="BN919" s="213"/>
      <c r="BO919" s="213"/>
      <c r="BP919" s="213"/>
      <c r="BQ919" s="192"/>
      <c r="BR919" s="192"/>
    </row>
    <row r="920">
      <c r="A920" s="60"/>
      <c r="E920" s="215"/>
      <c r="F920" s="215"/>
      <c r="G920" s="215"/>
      <c r="L920" s="216"/>
      <c r="M920" s="216"/>
      <c r="N920" s="216"/>
      <c r="O920" s="217"/>
      <c r="P920" s="217"/>
      <c r="Q920" s="217"/>
      <c r="R920" s="217"/>
      <c r="S920" s="218"/>
      <c r="X920" s="218"/>
      <c r="AD920" s="216"/>
      <c r="AO920" s="216"/>
      <c r="AP920" s="216"/>
      <c r="AQ920" s="216"/>
      <c r="AR920" s="216"/>
      <c r="AT920" s="192"/>
      <c r="AU920" s="192"/>
      <c r="AV920" s="192"/>
      <c r="AW920" s="192"/>
      <c r="AX920" s="192"/>
      <c r="AY920" s="212"/>
      <c r="AZ920" s="213"/>
      <c r="BA920" s="213"/>
      <c r="BB920" s="213"/>
      <c r="BC920" s="212"/>
      <c r="BD920" s="213"/>
      <c r="BE920" s="213"/>
      <c r="BF920" s="213"/>
      <c r="BG920" s="212"/>
      <c r="BH920" s="213"/>
      <c r="BI920" s="213"/>
      <c r="BJ920" s="213"/>
      <c r="BK920" s="213"/>
      <c r="BL920" s="212"/>
      <c r="BM920" s="213"/>
      <c r="BN920" s="213"/>
      <c r="BO920" s="213"/>
      <c r="BP920" s="213"/>
      <c r="BQ920" s="192"/>
      <c r="BR920" s="192"/>
    </row>
    <row r="921">
      <c r="A921" s="60"/>
      <c r="E921" s="215"/>
      <c r="F921" s="215"/>
      <c r="G921" s="215"/>
      <c r="L921" s="216"/>
      <c r="M921" s="216"/>
      <c r="N921" s="216"/>
      <c r="O921" s="217"/>
      <c r="P921" s="217"/>
      <c r="Q921" s="217"/>
      <c r="R921" s="217"/>
      <c r="S921" s="218"/>
      <c r="X921" s="218"/>
      <c r="AD921" s="216"/>
      <c r="AO921" s="216"/>
      <c r="AP921" s="216"/>
      <c r="AQ921" s="216"/>
      <c r="AR921" s="216"/>
      <c r="AT921" s="192"/>
      <c r="AU921" s="192"/>
      <c r="AV921" s="192"/>
      <c r="AW921" s="192"/>
      <c r="AX921" s="192"/>
      <c r="AY921" s="212"/>
      <c r="AZ921" s="213"/>
      <c r="BA921" s="213"/>
      <c r="BB921" s="213"/>
      <c r="BC921" s="212"/>
      <c r="BD921" s="213"/>
      <c r="BE921" s="213"/>
      <c r="BF921" s="213"/>
      <c r="BG921" s="212"/>
      <c r="BH921" s="213"/>
      <c r="BI921" s="213"/>
      <c r="BJ921" s="213"/>
      <c r="BK921" s="213"/>
      <c r="BL921" s="212"/>
      <c r="BM921" s="213"/>
      <c r="BN921" s="213"/>
      <c r="BO921" s="213"/>
      <c r="BP921" s="213"/>
      <c r="BQ921" s="192"/>
      <c r="BR921" s="192"/>
    </row>
    <row r="922">
      <c r="A922" s="60"/>
      <c r="E922" s="215"/>
      <c r="F922" s="215"/>
      <c r="G922" s="215"/>
      <c r="L922" s="216"/>
      <c r="M922" s="216"/>
      <c r="N922" s="216"/>
      <c r="O922" s="217"/>
      <c r="P922" s="217"/>
      <c r="Q922" s="217"/>
      <c r="R922" s="217"/>
      <c r="S922" s="218"/>
      <c r="X922" s="218"/>
      <c r="AD922" s="216"/>
      <c r="AO922" s="216"/>
      <c r="AP922" s="216"/>
      <c r="AQ922" s="216"/>
      <c r="AR922" s="216"/>
      <c r="AT922" s="192"/>
      <c r="AU922" s="192"/>
      <c r="AV922" s="192"/>
      <c r="AW922" s="192"/>
      <c r="AX922" s="192"/>
      <c r="AY922" s="212"/>
      <c r="AZ922" s="213"/>
      <c r="BA922" s="213"/>
      <c r="BB922" s="213"/>
      <c r="BC922" s="212"/>
      <c r="BD922" s="213"/>
      <c r="BE922" s="213"/>
      <c r="BF922" s="213"/>
      <c r="BG922" s="212"/>
      <c r="BH922" s="213"/>
      <c r="BI922" s="213"/>
      <c r="BJ922" s="213"/>
      <c r="BK922" s="213"/>
      <c r="BL922" s="212"/>
      <c r="BM922" s="213"/>
      <c r="BN922" s="213"/>
      <c r="BO922" s="213"/>
      <c r="BP922" s="213"/>
      <c r="BQ922" s="192"/>
      <c r="BR922" s="192"/>
    </row>
    <row r="923">
      <c r="A923" s="60"/>
      <c r="E923" s="215"/>
      <c r="F923" s="215"/>
      <c r="G923" s="215"/>
      <c r="L923" s="216"/>
      <c r="M923" s="216"/>
      <c r="N923" s="216"/>
      <c r="O923" s="217"/>
      <c r="P923" s="217"/>
      <c r="Q923" s="217"/>
      <c r="R923" s="217"/>
      <c r="S923" s="218"/>
      <c r="X923" s="218"/>
      <c r="AD923" s="216"/>
      <c r="AO923" s="216"/>
      <c r="AP923" s="216"/>
      <c r="AQ923" s="216"/>
      <c r="AR923" s="216"/>
      <c r="AT923" s="192"/>
      <c r="AU923" s="192"/>
      <c r="AV923" s="192"/>
      <c r="AW923" s="192"/>
      <c r="AX923" s="192"/>
      <c r="AY923" s="212"/>
      <c r="AZ923" s="213"/>
      <c r="BA923" s="213"/>
      <c r="BB923" s="213"/>
      <c r="BC923" s="212"/>
      <c r="BD923" s="213"/>
      <c r="BE923" s="213"/>
      <c r="BF923" s="213"/>
      <c r="BG923" s="212"/>
      <c r="BH923" s="213"/>
      <c r="BI923" s="213"/>
      <c r="BJ923" s="213"/>
      <c r="BK923" s="213"/>
      <c r="BL923" s="212"/>
      <c r="BM923" s="213"/>
      <c r="BN923" s="213"/>
      <c r="BO923" s="213"/>
      <c r="BP923" s="213"/>
      <c r="BQ923" s="192"/>
      <c r="BR923" s="192"/>
    </row>
    <row r="924">
      <c r="A924" s="60"/>
      <c r="E924" s="215"/>
      <c r="F924" s="215"/>
      <c r="G924" s="215"/>
      <c r="L924" s="216"/>
      <c r="M924" s="216"/>
      <c r="N924" s="216"/>
      <c r="O924" s="217"/>
      <c r="P924" s="217"/>
      <c r="Q924" s="217"/>
      <c r="R924" s="217"/>
      <c r="S924" s="218"/>
      <c r="X924" s="218"/>
      <c r="AD924" s="216"/>
      <c r="AO924" s="216"/>
      <c r="AP924" s="216"/>
      <c r="AQ924" s="216"/>
      <c r="AR924" s="216"/>
      <c r="AT924" s="192"/>
      <c r="AU924" s="192"/>
      <c r="AV924" s="192"/>
      <c r="AW924" s="192"/>
      <c r="AX924" s="192"/>
      <c r="AY924" s="212"/>
      <c r="AZ924" s="213"/>
      <c r="BA924" s="213"/>
      <c r="BB924" s="213"/>
      <c r="BC924" s="212"/>
      <c r="BD924" s="213"/>
      <c r="BE924" s="213"/>
      <c r="BF924" s="213"/>
      <c r="BG924" s="212"/>
      <c r="BH924" s="213"/>
      <c r="BI924" s="213"/>
      <c r="BJ924" s="213"/>
      <c r="BK924" s="213"/>
      <c r="BL924" s="212"/>
      <c r="BM924" s="213"/>
      <c r="BN924" s="213"/>
      <c r="BO924" s="213"/>
      <c r="BP924" s="213"/>
      <c r="BQ924" s="192"/>
      <c r="BR924" s="192"/>
    </row>
    <row r="925">
      <c r="A925" s="60"/>
      <c r="E925" s="215"/>
      <c r="F925" s="215"/>
      <c r="G925" s="215"/>
      <c r="L925" s="216"/>
      <c r="M925" s="216"/>
      <c r="N925" s="216"/>
      <c r="O925" s="217"/>
      <c r="P925" s="217"/>
      <c r="Q925" s="217"/>
      <c r="R925" s="217"/>
      <c r="S925" s="218"/>
      <c r="X925" s="218"/>
      <c r="AD925" s="216"/>
      <c r="AO925" s="216"/>
      <c r="AP925" s="216"/>
      <c r="AQ925" s="216"/>
      <c r="AR925" s="216"/>
      <c r="AT925" s="192"/>
      <c r="AU925" s="192"/>
      <c r="AV925" s="192"/>
      <c r="AW925" s="192"/>
      <c r="AX925" s="192"/>
      <c r="AY925" s="212"/>
      <c r="AZ925" s="213"/>
      <c r="BA925" s="213"/>
      <c r="BB925" s="213"/>
      <c r="BC925" s="212"/>
      <c r="BD925" s="213"/>
      <c r="BE925" s="213"/>
      <c r="BF925" s="213"/>
      <c r="BG925" s="212"/>
      <c r="BH925" s="213"/>
      <c r="BI925" s="213"/>
      <c r="BJ925" s="213"/>
      <c r="BK925" s="213"/>
      <c r="BL925" s="212"/>
      <c r="BM925" s="213"/>
      <c r="BN925" s="213"/>
      <c r="BO925" s="213"/>
      <c r="BP925" s="213"/>
      <c r="BQ925" s="192"/>
      <c r="BR925" s="192"/>
    </row>
    <row r="926">
      <c r="A926" s="60"/>
      <c r="E926" s="215"/>
      <c r="F926" s="215"/>
      <c r="G926" s="215"/>
      <c r="L926" s="216"/>
      <c r="M926" s="216"/>
      <c r="N926" s="216"/>
      <c r="O926" s="217"/>
      <c r="P926" s="217"/>
      <c r="Q926" s="217"/>
      <c r="R926" s="217"/>
      <c r="S926" s="218"/>
      <c r="X926" s="218"/>
      <c r="AD926" s="216"/>
      <c r="AO926" s="216"/>
      <c r="AP926" s="216"/>
      <c r="AQ926" s="216"/>
      <c r="AR926" s="216"/>
      <c r="AT926" s="192"/>
      <c r="AU926" s="192"/>
      <c r="AV926" s="192"/>
      <c r="AW926" s="192"/>
      <c r="AX926" s="192"/>
      <c r="AY926" s="212"/>
      <c r="AZ926" s="213"/>
      <c r="BA926" s="213"/>
      <c r="BB926" s="213"/>
      <c r="BC926" s="212"/>
      <c r="BD926" s="213"/>
      <c r="BE926" s="213"/>
      <c r="BF926" s="213"/>
      <c r="BG926" s="212"/>
      <c r="BH926" s="213"/>
      <c r="BI926" s="213"/>
      <c r="BJ926" s="213"/>
      <c r="BK926" s="213"/>
      <c r="BL926" s="212"/>
      <c r="BM926" s="213"/>
      <c r="BN926" s="213"/>
      <c r="BO926" s="213"/>
      <c r="BP926" s="213"/>
      <c r="BQ926" s="192"/>
      <c r="BR926" s="192"/>
    </row>
    <row r="927">
      <c r="A927" s="60"/>
      <c r="E927" s="215"/>
      <c r="F927" s="215"/>
      <c r="G927" s="215"/>
      <c r="L927" s="216"/>
      <c r="M927" s="216"/>
      <c r="N927" s="216"/>
      <c r="O927" s="217"/>
      <c r="P927" s="217"/>
      <c r="Q927" s="217"/>
      <c r="R927" s="217"/>
      <c r="S927" s="218"/>
      <c r="X927" s="218"/>
      <c r="AD927" s="216"/>
      <c r="AO927" s="216"/>
      <c r="AP927" s="216"/>
      <c r="AQ927" s="216"/>
      <c r="AR927" s="216"/>
      <c r="AT927" s="192"/>
      <c r="AU927" s="192"/>
      <c r="AV927" s="192"/>
      <c r="AW927" s="192"/>
      <c r="AX927" s="192"/>
      <c r="AY927" s="212"/>
      <c r="AZ927" s="213"/>
      <c r="BA927" s="213"/>
      <c r="BB927" s="213"/>
      <c r="BC927" s="212"/>
      <c r="BD927" s="213"/>
      <c r="BE927" s="213"/>
      <c r="BF927" s="213"/>
      <c r="BG927" s="212"/>
      <c r="BH927" s="213"/>
      <c r="BI927" s="213"/>
      <c r="BJ927" s="213"/>
      <c r="BK927" s="213"/>
      <c r="BL927" s="212"/>
      <c r="BM927" s="213"/>
      <c r="BN927" s="213"/>
      <c r="BO927" s="213"/>
      <c r="BP927" s="213"/>
      <c r="BQ927" s="192"/>
      <c r="BR927" s="192"/>
    </row>
    <row r="928">
      <c r="A928" s="60"/>
      <c r="E928" s="215"/>
      <c r="F928" s="215"/>
      <c r="G928" s="215"/>
      <c r="L928" s="216"/>
      <c r="M928" s="216"/>
      <c r="N928" s="216"/>
      <c r="O928" s="217"/>
      <c r="P928" s="217"/>
      <c r="Q928" s="217"/>
      <c r="R928" s="217"/>
      <c r="S928" s="218"/>
      <c r="X928" s="218"/>
      <c r="AD928" s="216"/>
      <c r="AO928" s="216"/>
      <c r="AP928" s="216"/>
      <c r="AQ928" s="216"/>
      <c r="AR928" s="216"/>
      <c r="AT928" s="192"/>
      <c r="AU928" s="192"/>
      <c r="AV928" s="192"/>
      <c r="AW928" s="192"/>
      <c r="AX928" s="192"/>
      <c r="AY928" s="212"/>
      <c r="AZ928" s="213"/>
      <c r="BA928" s="213"/>
      <c r="BB928" s="213"/>
      <c r="BC928" s="212"/>
      <c r="BD928" s="213"/>
      <c r="BE928" s="213"/>
      <c r="BF928" s="213"/>
      <c r="BG928" s="212"/>
      <c r="BH928" s="213"/>
      <c r="BI928" s="213"/>
      <c r="BJ928" s="213"/>
      <c r="BK928" s="213"/>
      <c r="BL928" s="212"/>
      <c r="BM928" s="213"/>
      <c r="BN928" s="213"/>
      <c r="BO928" s="213"/>
      <c r="BP928" s="213"/>
      <c r="BQ928" s="192"/>
      <c r="BR928" s="192"/>
    </row>
    <row r="929">
      <c r="A929" s="60"/>
      <c r="E929" s="215"/>
      <c r="F929" s="215"/>
      <c r="G929" s="215"/>
      <c r="L929" s="216"/>
      <c r="M929" s="216"/>
      <c r="N929" s="216"/>
      <c r="O929" s="217"/>
      <c r="P929" s="217"/>
      <c r="Q929" s="217"/>
      <c r="R929" s="217"/>
      <c r="S929" s="218"/>
      <c r="X929" s="218"/>
      <c r="AD929" s="216"/>
      <c r="AO929" s="216"/>
      <c r="AP929" s="216"/>
      <c r="AQ929" s="216"/>
      <c r="AR929" s="216"/>
      <c r="AT929" s="192"/>
      <c r="AU929" s="192"/>
      <c r="AV929" s="192"/>
      <c r="AW929" s="192"/>
      <c r="AX929" s="192"/>
      <c r="AY929" s="212"/>
      <c r="AZ929" s="213"/>
      <c r="BA929" s="213"/>
      <c r="BB929" s="213"/>
      <c r="BC929" s="212"/>
      <c r="BD929" s="213"/>
      <c r="BE929" s="213"/>
      <c r="BF929" s="213"/>
      <c r="BG929" s="212"/>
      <c r="BH929" s="213"/>
      <c r="BI929" s="213"/>
      <c r="BJ929" s="213"/>
      <c r="BK929" s="213"/>
      <c r="BL929" s="212"/>
      <c r="BM929" s="213"/>
      <c r="BN929" s="213"/>
      <c r="BO929" s="213"/>
      <c r="BP929" s="213"/>
      <c r="BQ929" s="192"/>
      <c r="BR929" s="192"/>
    </row>
    <row r="930">
      <c r="A930" s="60"/>
      <c r="E930" s="215"/>
      <c r="F930" s="215"/>
      <c r="G930" s="215"/>
      <c r="L930" s="216"/>
      <c r="M930" s="216"/>
      <c r="N930" s="216"/>
      <c r="O930" s="217"/>
      <c r="P930" s="217"/>
      <c r="Q930" s="217"/>
      <c r="R930" s="217"/>
      <c r="S930" s="218"/>
      <c r="X930" s="218"/>
      <c r="AD930" s="216"/>
      <c r="AO930" s="216"/>
      <c r="AP930" s="216"/>
      <c r="AQ930" s="216"/>
      <c r="AR930" s="216"/>
      <c r="AT930" s="192"/>
      <c r="AU930" s="192"/>
      <c r="AV930" s="192"/>
      <c r="AW930" s="192"/>
      <c r="AX930" s="192"/>
      <c r="AY930" s="212"/>
      <c r="AZ930" s="213"/>
      <c r="BA930" s="213"/>
      <c r="BB930" s="213"/>
      <c r="BC930" s="212"/>
      <c r="BD930" s="213"/>
      <c r="BE930" s="213"/>
      <c r="BF930" s="213"/>
      <c r="BG930" s="212"/>
      <c r="BH930" s="213"/>
      <c r="BI930" s="213"/>
      <c r="BJ930" s="213"/>
      <c r="BK930" s="213"/>
      <c r="BL930" s="212"/>
      <c r="BM930" s="213"/>
      <c r="BN930" s="213"/>
      <c r="BO930" s="213"/>
      <c r="BP930" s="213"/>
      <c r="BQ930" s="192"/>
      <c r="BR930" s="192"/>
    </row>
    <row r="931">
      <c r="A931" s="60"/>
      <c r="E931" s="215"/>
      <c r="F931" s="215"/>
      <c r="G931" s="215"/>
      <c r="L931" s="216"/>
      <c r="M931" s="216"/>
      <c r="N931" s="216"/>
      <c r="O931" s="217"/>
      <c r="P931" s="217"/>
      <c r="Q931" s="217"/>
      <c r="R931" s="217"/>
      <c r="S931" s="218"/>
      <c r="X931" s="218"/>
      <c r="AD931" s="216"/>
      <c r="AO931" s="216"/>
      <c r="AP931" s="216"/>
      <c r="AQ931" s="216"/>
      <c r="AR931" s="216"/>
      <c r="AT931" s="192"/>
      <c r="AU931" s="192"/>
      <c r="AV931" s="192"/>
      <c r="AW931" s="192"/>
      <c r="AX931" s="192"/>
      <c r="AY931" s="212"/>
      <c r="AZ931" s="213"/>
      <c r="BA931" s="213"/>
      <c r="BB931" s="213"/>
      <c r="BC931" s="212"/>
      <c r="BD931" s="213"/>
      <c r="BE931" s="213"/>
      <c r="BF931" s="213"/>
      <c r="BG931" s="212"/>
      <c r="BH931" s="213"/>
      <c r="BI931" s="213"/>
      <c r="BJ931" s="213"/>
      <c r="BK931" s="213"/>
      <c r="BL931" s="212"/>
      <c r="BM931" s="213"/>
      <c r="BN931" s="213"/>
      <c r="BO931" s="213"/>
      <c r="BP931" s="213"/>
      <c r="BQ931" s="192"/>
      <c r="BR931" s="192"/>
    </row>
    <row r="932">
      <c r="A932" s="60"/>
      <c r="E932" s="215"/>
      <c r="F932" s="215"/>
      <c r="G932" s="215"/>
      <c r="L932" s="216"/>
      <c r="M932" s="216"/>
      <c r="N932" s="216"/>
      <c r="O932" s="217"/>
      <c r="P932" s="217"/>
      <c r="Q932" s="217"/>
      <c r="R932" s="217"/>
      <c r="S932" s="218"/>
      <c r="X932" s="218"/>
      <c r="AD932" s="216"/>
      <c r="AO932" s="216"/>
      <c r="AP932" s="216"/>
      <c r="AQ932" s="216"/>
      <c r="AR932" s="216"/>
      <c r="AT932" s="192"/>
      <c r="AU932" s="192"/>
      <c r="AV932" s="192"/>
      <c r="AW932" s="192"/>
      <c r="AX932" s="192"/>
      <c r="AY932" s="212"/>
      <c r="AZ932" s="213"/>
      <c r="BA932" s="213"/>
      <c r="BB932" s="213"/>
      <c r="BC932" s="212"/>
      <c r="BD932" s="213"/>
      <c r="BE932" s="213"/>
      <c r="BF932" s="213"/>
      <c r="BG932" s="212"/>
      <c r="BH932" s="213"/>
      <c r="BI932" s="213"/>
      <c r="BJ932" s="213"/>
      <c r="BK932" s="213"/>
      <c r="BL932" s="212"/>
      <c r="BM932" s="213"/>
      <c r="BN932" s="213"/>
      <c r="BO932" s="213"/>
      <c r="BP932" s="213"/>
      <c r="BQ932" s="192"/>
      <c r="BR932" s="192"/>
    </row>
    <row r="933">
      <c r="A933" s="60"/>
      <c r="E933" s="215"/>
      <c r="F933" s="215"/>
      <c r="G933" s="215"/>
      <c r="L933" s="216"/>
      <c r="M933" s="216"/>
      <c r="N933" s="216"/>
      <c r="O933" s="217"/>
      <c r="P933" s="217"/>
      <c r="Q933" s="217"/>
      <c r="R933" s="217"/>
      <c r="S933" s="218"/>
      <c r="X933" s="218"/>
      <c r="AD933" s="216"/>
      <c r="AO933" s="216"/>
      <c r="AP933" s="216"/>
      <c r="AQ933" s="216"/>
      <c r="AR933" s="216"/>
      <c r="AT933" s="192"/>
      <c r="AU933" s="192"/>
      <c r="AV933" s="192"/>
      <c r="AW933" s="192"/>
      <c r="AX933" s="192"/>
      <c r="AY933" s="212"/>
      <c r="AZ933" s="213"/>
      <c r="BA933" s="213"/>
      <c r="BB933" s="213"/>
      <c r="BC933" s="212"/>
      <c r="BD933" s="213"/>
      <c r="BE933" s="213"/>
      <c r="BF933" s="213"/>
      <c r="BG933" s="212"/>
      <c r="BH933" s="213"/>
      <c r="BI933" s="213"/>
      <c r="BJ933" s="213"/>
      <c r="BK933" s="213"/>
      <c r="BL933" s="212"/>
      <c r="BM933" s="213"/>
      <c r="BN933" s="213"/>
      <c r="BO933" s="213"/>
      <c r="BP933" s="213"/>
      <c r="BQ933" s="192"/>
      <c r="BR933" s="192"/>
    </row>
    <row r="934">
      <c r="A934" s="60"/>
      <c r="E934" s="215"/>
      <c r="F934" s="215"/>
      <c r="G934" s="215"/>
      <c r="L934" s="216"/>
      <c r="M934" s="216"/>
      <c r="N934" s="216"/>
      <c r="O934" s="217"/>
      <c r="P934" s="217"/>
      <c r="Q934" s="217"/>
      <c r="R934" s="217"/>
      <c r="S934" s="218"/>
      <c r="X934" s="218"/>
      <c r="AD934" s="216"/>
      <c r="AO934" s="216"/>
      <c r="AP934" s="216"/>
      <c r="AQ934" s="216"/>
      <c r="AR934" s="216"/>
      <c r="AT934" s="192"/>
      <c r="AU934" s="192"/>
      <c r="AV934" s="192"/>
      <c r="AW934" s="192"/>
      <c r="AX934" s="192"/>
      <c r="AY934" s="212"/>
      <c r="AZ934" s="213"/>
      <c r="BA934" s="213"/>
      <c r="BB934" s="213"/>
      <c r="BC934" s="212"/>
      <c r="BD934" s="213"/>
      <c r="BE934" s="213"/>
      <c r="BF934" s="213"/>
      <c r="BG934" s="212"/>
      <c r="BH934" s="213"/>
      <c r="BI934" s="213"/>
      <c r="BJ934" s="213"/>
      <c r="BK934" s="213"/>
      <c r="BL934" s="212"/>
      <c r="BM934" s="213"/>
      <c r="BN934" s="213"/>
      <c r="BO934" s="213"/>
      <c r="BP934" s="213"/>
      <c r="BQ934" s="192"/>
      <c r="BR934" s="192"/>
    </row>
    <row r="935">
      <c r="A935" s="60"/>
      <c r="E935" s="215"/>
      <c r="F935" s="215"/>
      <c r="G935" s="215"/>
      <c r="L935" s="216"/>
      <c r="M935" s="216"/>
      <c r="N935" s="216"/>
      <c r="O935" s="217"/>
      <c r="P935" s="217"/>
      <c r="Q935" s="217"/>
      <c r="R935" s="217"/>
      <c r="S935" s="218"/>
      <c r="X935" s="218"/>
      <c r="AD935" s="216"/>
      <c r="AO935" s="216"/>
      <c r="AP935" s="216"/>
      <c r="AQ935" s="216"/>
      <c r="AR935" s="216"/>
      <c r="AT935" s="192"/>
      <c r="AU935" s="192"/>
      <c r="AV935" s="192"/>
      <c r="AW935" s="192"/>
      <c r="AX935" s="192"/>
      <c r="AY935" s="212"/>
      <c r="AZ935" s="213"/>
      <c r="BA935" s="213"/>
      <c r="BB935" s="213"/>
      <c r="BC935" s="212"/>
      <c r="BD935" s="213"/>
      <c r="BE935" s="213"/>
      <c r="BF935" s="213"/>
      <c r="BG935" s="212"/>
      <c r="BH935" s="213"/>
      <c r="BI935" s="213"/>
      <c r="BJ935" s="213"/>
      <c r="BK935" s="213"/>
      <c r="BL935" s="212"/>
      <c r="BM935" s="213"/>
      <c r="BN935" s="213"/>
      <c r="BO935" s="213"/>
      <c r="BP935" s="213"/>
      <c r="BQ935" s="192"/>
      <c r="BR935" s="192"/>
    </row>
    <row r="936">
      <c r="A936" s="60"/>
      <c r="E936" s="215"/>
      <c r="F936" s="215"/>
      <c r="G936" s="215"/>
      <c r="L936" s="216"/>
      <c r="M936" s="216"/>
      <c r="N936" s="216"/>
      <c r="O936" s="217"/>
      <c r="P936" s="217"/>
      <c r="Q936" s="217"/>
      <c r="R936" s="217"/>
      <c r="S936" s="218"/>
      <c r="X936" s="218"/>
      <c r="AD936" s="216"/>
      <c r="AO936" s="216"/>
      <c r="AP936" s="216"/>
      <c r="AQ936" s="216"/>
      <c r="AR936" s="216"/>
      <c r="AT936" s="192"/>
      <c r="AU936" s="192"/>
      <c r="AV936" s="192"/>
      <c r="AW936" s="192"/>
      <c r="AX936" s="192"/>
      <c r="AY936" s="212"/>
      <c r="AZ936" s="213"/>
      <c r="BA936" s="213"/>
      <c r="BB936" s="213"/>
      <c r="BC936" s="212"/>
      <c r="BD936" s="213"/>
      <c r="BE936" s="213"/>
      <c r="BF936" s="213"/>
      <c r="BG936" s="212"/>
      <c r="BH936" s="213"/>
      <c r="BI936" s="213"/>
      <c r="BJ936" s="213"/>
      <c r="BK936" s="213"/>
      <c r="BL936" s="212"/>
      <c r="BM936" s="213"/>
      <c r="BN936" s="213"/>
      <c r="BO936" s="213"/>
      <c r="BP936" s="213"/>
      <c r="BQ936" s="192"/>
      <c r="BR936" s="192"/>
    </row>
    <row r="937">
      <c r="A937" s="60"/>
      <c r="E937" s="215"/>
      <c r="F937" s="215"/>
      <c r="G937" s="215"/>
      <c r="L937" s="216"/>
      <c r="M937" s="216"/>
      <c r="N937" s="216"/>
      <c r="O937" s="217"/>
      <c r="P937" s="217"/>
      <c r="Q937" s="217"/>
      <c r="R937" s="217"/>
      <c r="S937" s="218"/>
      <c r="X937" s="218"/>
      <c r="AD937" s="216"/>
      <c r="AO937" s="216"/>
      <c r="AP937" s="216"/>
      <c r="AQ937" s="216"/>
      <c r="AR937" s="216"/>
      <c r="AT937" s="192"/>
      <c r="AU937" s="192"/>
      <c r="AV937" s="192"/>
      <c r="AW937" s="192"/>
      <c r="AX937" s="192"/>
      <c r="AY937" s="212"/>
      <c r="AZ937" s="213"/>
      <c r="BA937" s="213"/>
      <c r="BB937" s="213"/>
      <c r="BC937" s="212"/>
      <c r="BD937" s="213"/>
      <c r="BE937" s="213"/>
      <c r="BF937" s="213"/>
      <c r="BG937" s="212"/>
      <c r="BH937" s="213"/>
      <c r="BI937" s="213"/>
      <c r="BJ937" s="213"/>
      <c r="BK937" s="213"/>
      <c r="BL937" s="212"/>
      <c r="BM937" s="213"/>
      <c r="BN937" s="213"/>
      <c r="BO937" s="213"/>
      <c r="BP937" s="213"/>
      <c r="BQ937" s="192"/>
      <c r="BR937" s="192"/>
    </row>
    <row r="938">
      <c r="A938" s="60"/>
      <c r="E938" s="215"/>
      <c r="F938" s="215"/>
      <c r="G938" s="215"/>
      <c r="L938" s="216"/>
      <c r="M938" s="216"/>
      <c r="N938" s="216"/>
      <c r="O938" s="217"/>
      <c r="P938" s="217"/>
      <c r="Q938" s="217"/>
      <c r="R938" s="217"/>
      <c r="S938" s="218"/>
      <c r="X938" s="218"/>
      <c r="AD938" s="216"/>
      <c r="AO938" s="216"/>
      <c r="AP938" s="216"/>
      <c r="AQ938" s="216"/>
      <c r="AR938" s="216"/>
      <c r="AT938" s="192"/>
      <c r="AU938" s="192"/>
      <c r="AV938" s="192"/>
      <c r="AW938" s="192"/>
      <c r="AX938" s="192"/>
      <c r="AY938" s="212"/>
      <c r="AZ938" s="213"/>
      <c r="BA938" s="213"/>
      <c r="BB938" s="213"/>
      <c r="BC938" s="212"/>
      <c r="BD938" s="213"/>
      <c r="BE938" s="213"/>
      <c r="BF938" s="213"/>
      <c r="BG938" s="212"/>
      <c r="BH938" s="213"/>
      <c r="BI938" s="213"/>
      <c r="BJ938" s="213"/>
      <c r="BK938" s="213"/>
      <c r="BL938" s="212"/>
      <c r="BM938" s="213"/>
      <c r="BN938" s="213"/>
      <c r="BO938" s="213"/>
      <c r="BP938" s="213"/>
      <c r="BQ938" s="192"/>
      <c r="BR938" s="192"/>
    </row>
    <row r="939">
      <c r="A939" s="60"/>
      <c r="E939" s="215"/>
      <c r="F939" s="215"/>
      <c r="G939" s="215"/>
      <c r="L939" s="216"/>
      <c r="M939" s="216"/>
      <c r="N939" s="216"/>
      <c r="O939" s="217"/>
      <c r="P939" s="217"/>
      <c r="Q939" s="217"/>
      <c r="R939" s="217"/>
      <c r="S939" s="218"/>
      <c r="X939" s="218"/>
      <c r="AD939" s="216"/>
      <c r="AO939" s="216"/>
      <c r="AP939" s="216"/>
      <c r="AQ939" s="216"/>
      <c r="AR939" s="216"/>
      <c r="AT939" s="192"/>
      <c r="AU939" s="192"/>
      <c r="AV939" s="192"/>
      <c r="AW939" s="192"/>
      <c r="AX939" s="192"/>
      <c r="AY939" s="212"/>
      <c r="AZ939" s="213"/>
      <c r="BA939" s="213"/>
      <c r="BB939" s="213"/>
      <c r="BC939" s="212"/>
      <c r="BD939" s="213"/>
      <c r="BE939" s="213"/>
      <c r="BF939" s="213"/>
      <c r="BG939" s="212"/>
      <c r="BH939" s="213"/>
      <c r="BI939" s="213"/>
      <c r="BJ939" s="213"/>
      <c r="BK939" s="213"/>
      <c r="BL939" s="212"/>
      <c r="BM939" s="213"/>
      <c r="BN939" s="213"/>
      <c r="BO939" s="213"/>
      <c r="BP939" s="213"/>
      <c r="BQ939" s="192"/>
      <c r="BR939" s="192"/>
    </row>
    <row r="940">
      <c r="A940" s="60"/>
      <c r="E940" s="215"/>
      <c r="F940" s="215"/>
      <c r="G940" s="215"/>
      <c r="L940" s="216"/>
      <c r="M940" s="216"/>
      <c r="N940" s="216"/>
      <c r="O940" s="217"/>
      <c r="P940" s="217"/>
      <c r="Q940" s="217"/>
      <c r="R940" s="217"/>
      <c r="S940" s="218"/>
      <c r="X940" s="218"/>
      <c r="AD940" s="216"/>
      <c r="AO940" s="216"/>
      <c r="AP940" s="216"/>
      <c r="AQ940" s="216"/>
      <c r="AR940" s="216"/>
      <c r="AT940" s="192"/>
      <c r="AU940" s="192"/>
      <c r="AV940" s="192"/>
      <c r="AW940" s="192"/>
      <c r="AX940" s="192"/>
      <c r="AY940" s="212"/>
      <c r="AZ940" s="213"/>
      <c r="BA940" s="213"/>
      <c r="BB940" s="213"/>
      <c r="BC940" s="212"/>
      <c r="BD940" s="213"/>
      <c r="BE940" s="213"/>
      <c r="BF940" s="213"/>
      <c r="BG940" s="212"/>
      <c r="BH940" s="213"/>
      <c r="BI940" s="213"/>
      <c r="BJ940" s="213"/>
      <c r="BK940" s="213"/>
      <c r="BL940" s="212"/>
      <c r="BM940" s="213"/>
      <c r="BN940" s="213"/>
      <c r="BO940" s="213"/>
      <c r="BP940" s="213"/>
      <c r="BQ940" s="192"/>
      <c r="BR940" s="192"/>
    </row>
    <row r="941">
      <c r="A941" s="60"/>
      <c r="E941" s="215"/>
      <c r="F941" s="215"/>
      <c r="G941" s="215"/>
      <c r="L941" s="216"/>
      <c r="M941" s="216"/>
      <c r="N941" s="216"/>
      <c r="O941" s="217"/>
      <c r="P941" s="217"/>
      <c r="Q941" s="217"/>
      <c r="R941" s="217"/>
      <c r="S941" s="218"/>
      <c r="X941" s="218"/>
      <c r="AD941" s="216"/>
      <c r="AO941" s="216"/>
      <c r="AP941" s="216"/>
      <c r="AQ941" s="216"/>
      <c r="AR941" s="216"/>
      <c r="AT941" s="192"/>
      <c r="AU941" s="192"/>
      <c r="AV941" s="192"/>
      <c r="AW941" s="192"/>
      <c r="AX941" s="192"/>
      <c r="AY941" s="212"/>
      <c r="AZ941" s="213"/>
      <c r="BA941" s="213"/>
      <c r="BB941" s="213"/>
      <c r="BC941" s="212"/>
      <c r="BD941" s="213"/>
      <c r="BE941" s="213"/>
      <c r="BF941" s="213"/>
      <c r="BG941" s="212"/>
      <c r="BH941" s="213"/>
      <c r="BI941" s="213"/>
      <c r="BJ941" s="213"/>
      <c r="BK941" s="213"/>
      <c r="BL941" s="212"/>
      <c r="BM941" s="213"/>
      <c r="BN941" s="213"/>
      <c r="BO941" s="213"/>
      <c r="BP941" s="213"/>
      <c r="BQ941" s="192"/>
      <c r="BR941" s="192"/>
    </row>
    <row r="942">
      <c r="A942" s="60"/>
      <c r="E942" s="215"/>
      <c r="F942" s="215"/>
      <c r="G942" s="215"/>
      <c r="L942" s="216"/>
      <c r="M942" s="216"/>
      <c r="N942" s="216"/>
      <c r="O942" s="217"/>
      <c r="P942" s="217"/>
      <c r="Q942" s="217"/>
      <c r="R942" s="217"/>
      <c r="S942" s="218"/>
      <c r="X942" s="218"/>
      <c r="AD942" s="216"/>
      <c r="AO942" s="216"/>
      <c r="AP942" s="216"/>
      <c r="AQ942" s="216"/>
      <c r="AR942" s="216"/>
      <c r="AT942" s="192"/>
      <c r="AU942" s="192"/>
      <c r="AV942" s="192"/>
      <c r="AW942" s="192"/>
      <c r="AX942" s="192"/>
      <c r="AY942" s="212"/>
      <c r="AZ942" s="213"/>
      <c r="BA942" s="213"/>
      <c r="BB942" s="213"/>
      <c r="BC942" s="212"/>
      <c r="BD942" s="213"/>
      <c r="BE942" s="213"/>
      <c r="BF942" s="213"/>
      <c r="BG942" s="212"/>
      <c r="BH942" s="213"/>
      <c r="BI942" s="213"/>
      <c r="BJ942" s="213"/>
      <c r="BK942" s="213"/>
      <c r="BL942" s="212"/>
      <c r="BM942" s="213"/>
      <c r="BN942" s="213"/>
      <c r="BO942" s="213"/>
      <c r="BP942" s="213"/>
      <c r="BQ942" s="192"/>
      <c r="BR942" s="192"/>
    </row>
    <row r="943">
      <c r="A943" s="60"/>
      <c r="E943" s="215"/>
      <c r="F943" s="215"/>
      <c r="G943" s="215"/>
      <c r="L943" s="216"/>
      <c r="M943" s="216"/>
      <c r="N943" s="216"/>
      <c r="O943" s="217"/>
      <c r="P943" s="217"/>
      <c r="Q943" s="217"/>
      <c r="R943" s="217"/>
      <c r="S943" s="218"/>
      <c r="X943" s="218"/>
      <c r="AD943" s="216"/>
      <c r="AO943" s="216"/>
      <c r="AP943" s="216"/>
      <c r="AQ943" s="216"/>
      <c r="AR943" s="216"/>
      <c r="AT943" s="192"/>
      <c r="AU943" s="192"/>
      <c r="AV943" s="192"/>
      <c r="AW943" s="192"/>
      <c r="AX943" s="192"/>
      <c r="AY943" s="212"/>
      <c r="AZ943" s="213"/>
      <c r="BA943" s="213"/>
      <c r="BB943" s="213"/>
      <c r="BC943" s="212"/>
      <c r="BD943" s="213"/>
      <c r="BE943" s="213"/>
      <c r="BF943" s="213"/>
      <c r="BG943" s="212"/>
      <c r="BH943" s="213"/>
      <c r="BI943" s="213"/>
      <c r="BJ943" s="213"/>
      <c r="BK943" s="213"/>
      <c r="BL943" s="212"/>
      <c r="BM943" s="213"/>
      <c r="BN943" s="213"/>
      <c r="BO943" s="213"/>
      <c r="BP943" s="213"/>
      <c r="BQ943" s="192"/>
      <c r="BR943" s="192"/>
    </row>
    <row r="944">
      <c r="A944" s="60"/>
      <c r="E944" s="215"/>
      <c r="F944" s="215"/>
      <c r="G944" s="215"/>
      <c r="L944" s="216"/>
      <c r="M944" s="216"/>
      <c r="N944" s="216"/>
      <c r="O944" s="217"/>
      <c r="P944" s="217"/>
      <c r="Q944" s="217"/>
      <c r="R944" s="217"/>
      <c r="S944" s="218"/>
      <c r="X944" s="218"/>
      <c r="AD944" s="216"/>
      <c r="AO944" s="216"/>
      <c r="AP944" s="216"/>
      <c r="AQ944" s="216"/>
      <c r="AR944" s="216"/>
      <c r="AT944" s="192"/>
      <c r="AU944" s="192"/>
      <c r="AV944" s="192"/>
      <c r="AW944" s="192"/>
      <c r="AX944" s="192"/>
      <c r="AY944" s="212"/>
      <c r="AZ944" s="213"/>
      <c r="BA944" s="213"/>
      <c r="BB944" s="213"/>
      <c r="BC944" s="212"/>
      <c r="BD944" s="213"/>
      <c r="BE944" s="213"/>
      <c r="BF944" s="213"/>
      <c r="BG944" s="212"/>
      <c r="BH944" s="213"/>
      <c r="BI944" s="213"/>
      <c r="BJ944" s="213"/>
      <c r="BK944" s="213"/>
      <c r="BL944" s="212"/>
      <c r="BM944" s="213"/>
      <c r="BN944" s="213"/>
      <c r="BO944" s="213"/>
      <c r="BP944" s="213"/>
      <c r="BQ944" s="192"/>
      <c r="BR944" s="192"/>
    </row>
    <row r="945">
      <c r="A945" s="60"/>
      <c r="E945" s="215"/>
      <c r="F945" s="215"/>
      <c r="G945" s="215"/>
      <c r="L945" s="216"/>
      <c r="M945" s="216"/>
      <c r="N945" s="216"/>
      <c r="O945" s="217"/>
      <c r="P945" s="217"/>
      <c r="Q945" s="217"/>
      <c r="R945" s="217"/>
      <c r="S945" s="218"/>
      <c r="X945" s="218"/>
      <c r="AD945" s="216"/>
      <c r="AO945" s="216"/>
      <c r="AP945" s="216"/>
      <c r="AQ945" s="216"/>
      <c r="AR945" s="216"/>
      <c r="AT945" s="192"/>
      <c r="AU945" s="192"/>
      <c r="AV945" s="192"/>
      <c r="AW945" s="192"/>
      <c r="AX945" s="192"/>
      <c r="AY945" s="212"/>
      <c r="AZ945" s="213"/>
      <c r="BA945" s="213"/>
      <c r="BB945" s="213"/>
      <c r="BC945" s="212"/>
      <c r="BD945" s="213"/>
      <c r="BE945" s="213"/>
      <c r="BF945" s="213"/>
      <c r="BG945" s="212"/>
      <c r="BH945" s="213"/>
      <c r="BI945" s="213"/>
      <c r="BJ945" s="213"/>
      <c r="BK945" s="213"/>
      <c r="BL945" s="212"/>
      <c r="BM945" s="213"/>
      <c r="BN945" s="213"/>
      <c r="BO945" s="213"/>
      <c r="BP945" s="213"/>
      <c r="BQ945" s="192"/>
      <c r="BR945" s="192"/>
    </row>
    <row r="946">
      <c r="A946" s="60"/>
      <c r="E946" s="215"/>
      <c r="F946" s="215"/>
      <c r="G946" s="215"/>
      <c r="L946" s="216"/>
      <c r="M946" s="216"/>
      <c r="N946" s="216"/>
      <c r="O946" s="217"/>
      <c r="P946" s="217"/>
      <c r="Q946" s="217"/>
      <c r="R946" s="217"/>
      <c r="S946" s="218"/>
      <c r="X946" s="218"/>
      <c r="AD946" s="216"/>
      <c r="AO946" s="216"/>
      <c r="AP946" s="216"/>
      <c r="AQ946" s="216"/>
      <c r="AR946" s="216"/>
      <c r="AT946" s="192"/>
      <c r="AU946" s="192"/>
      <c r="AV946" s="192"/>
      <c r="AW946" s="192"/>
      <c r="AX946" s="192"/>
      <c r="AY946" s="212"/>
      <c r="AZ946" s="213"/>
      <c r="BA946" s="213"/>
      <c r="BB946" s="213"/>
      <c r="BC946" s="212"/>
      <c r="BD946" s="213"/>
      <c r="BE946" s="213"/>
      <c r="BF946" s="213"/>
      <c r="BG946" s="212"/>
      <c r="BH946" s="213"/>
      <c r="BI946" s="213"/>
      <c r="BJ946" s="213"/>
      <c r="BK946" s="213"/>
      <c r="BL946" s="212"/>
      <c r="BM946" s="213"/>
      <c r="BN946" s="213"/>
      <c r="BO946" s="213"/>
      <c r="BP946" s="213"/>
      <c r="BQ946" s="192"/>
      <c r="BR946" s="192"/>
    </row>
    <row r="947">
      <c r="A947" s="60"/>
      <c r="E947" s="215"/>
      <c r="F947" s="215"/>
      <c r="G947" s="215"/>
      <c r="L947" s="216"/>
      <c r="M947" s="216"/>
      <c r="N947" s="216"/>
      <c r="O947" s="217"/>
      <c r="P947" s="217"/>
      <c r="Q947" s="217"/>
      <c r="R947" s="217"/>
      <c r="S947" s="218"/>
      <c r="X947" s="218"/>
      <c r="AD947" s="216"/>
      <c r="AO947" s="216"/>
      <c r="AP947" s="216"/>
      <c r="AQ947" s="216"/>
      <c r="AR947" s="216"/>
      <c r="AT947" s="192"/>
      <c r="AU947" s="192"/>
      <c r="AV947" s="192"/>
      <c r="AW947" s="192"/>
      <c r="AX947" s="192"/>
      <c r="AY947" s="212"/>
      <c r="AZ947" s="213"/>
      <c r="BA947" s="213"/>
      <c r="BB947" s="213"/>
      <c r="BC947" s="212"/>
      <c r="BD947" s="213"/>
      <c r="BE947" s="213"/>
      <c r="BF947" s="213"/>
      <c r="BG947" s="212"/>
      <c r="BH947" s="213"/>
      <c r="BI947" s="213"/>
      <c r="BJ947" s="213"/>
      <c r="BK947" s="213"/>
      <c r="BL947" s="212"/>
      <c r="BM947" s="213"/>
      <c r="BN947" s="213"/>
      <c r="BO947" s="213"/>
      <c r="BP947" s="213"/>
      <c r="BQ947" s="192"/>
      <c r="BR947" s="192"/>
    </row>
    <row r="948">
      <c r="A948" s="60"/>
      <c r="E948" s="215"/>
      <c r="F948" s="215"/>
      <c r="G948" s="215"/>
      <c r="L948" s="216"/>
      <c r="M948" s="216"/>
      <c r="N948" s="216"/>
      <c r="O948" s="217"/>
      <c r="P948" s="217"/>
      <c r="Q948" s="217"/>
      <c r="R948" s="217"/>
      <c r="S948" s="218"/>
      <c r="X948" s="218"/>
      <c r="AD948" s="216"/>
      <c r="AO948" s="216"/>
      <c r="AP948" s="216"/>
      <c r="AQ948" s="216"/>
      <c r="AR948" s="216"/>
      <c r="AT948" s="192"/>
      <c r="AU948" s="192"/>
      <c r="AV948" s="192"/>
      <c r="AW948" s="192"/>
      <c r="AX948" s="192"/>
      <c r="AY948" s="212"/>
      <c r="AZ948" s="213"/>
      <c r="BA948" s="213"/>
      <c r="BB948" s="213"/>
      <c r="BC948" s="212"/>
      <c r="BD948" s="213"/>
      <c r="BE948" s="213"/>
      <c r="BF948" s="213"/>
      <c r="BG948" s="212"/>
      <c r="BH948" s="213"/>
      <c r="BI948" s="213"/>
      <c r="BJ948" s="213"/>
      <c r="BK948" s="213"/>
      <c r="BL948" s="212"/>
      <c r="BM948" s="213"/>
      <c r="BN948" s="213"/>
      <c r="BO948" s="213"/>
      <c r="BP948" s="213"/>
      <c r="BQ948" s="192"/>
      <c r="BR948" s="192"/>
    </row>
    <row r="949">
      <c r="A949" s="60"/>
      <c r="E949" s="215"/>
      <c r="F949" s="215"/>
      <c r="G949" s="215"/>
      <c r="L949" s="216"/>
      <c r="M949" s="216"/>
      <c r="N949" s="216"/>
      <c r="O949" s="217"/>
      <c r="P949" s="217"/>
      <c r="Q949" s="217"/>
      <c r="R949" s="217"/>
      <c r="S949" s="218"/>
      <c r="X949" s="218"/>
      <c r="AD949" s="216"/>
      <c r="AO949" s="216"/>
      <c r="AP949" s="216"/>
      <c r="AQ949" s="216"/>
      <c r="AR949" s="216"/>
      <c r="AT949" s="192"/>
      <c r="AU949" s="192"/>
      <c r="AV949" s="192"/>
      <c r="AW949" s="192"/>
      <c r="AX949" s="192"/>
      <c r="AY949" s="212"/>
      <c r="AZ949" s="213"/>
      <c r="BA949" s="213"/>
      <c r="BB949" s="213"/>
      <c r="BC949" s="212"/>
      <c r="BD949" s="213"/>
      <c r="BE949" s="213"/>
      <c r="BF949" s="213"/>
      <c r="BG949" s="212"/>
      <c r="BH949" s="213"/>
      <c r="BI949" s="213"/>
      <c r="BJ949" s="213"/>
      <c r="BK949" s="213"/>
      <c r="BL949" s="212"/>
      <c r="BM949" s="213"/>
      <c r="BN949" s="213"/>
      <c r="BO949" s="213"/>
      <c r="BP949" s="213"/>
      <c r="BQ949" s="192"/>
      <c r="BR949" s="192"/>
    </row>
    <row r="950">
      <c r="A950" s="60"/>
      <c r="E950" s="215"/>
      <c r="F950" s="215"/>
      <c r="G950" s="215"/>
      <c r="L950" s="216"/>
      <c r="M950" s="216"/>
      <c r="N950" s="216"/>
      <c r="O950" s="217"/>
      <c r="P950" s="217"/>
      <c r="Q950" s="217"/>
      <c r="R950" s="217"/>
      <c r="S950" s="218"/>
      <c r="X950" s="218"/>
      <c r="AD950" s="216"/>
      <c r="AO950" s="216"/>
      <c r="AP950" s="216"/>
      <c r="AQ950" s="216"/>
      <c r="AR950" s="216"/>
      <c r="AT950" s="192"/>
      <c r="AU950" s="192"/>
      <c r="AV950" s="192"/>
      <c r="AW950" s="192"/>
      <c r="AX950" s="192"/>
      <c r="AY950" s="212"/>
      <c r="AZ950" s="213"/>
      <c r="BA950" s="213"/>
      <c r="BB950" s="213"/>
      <c r="BC950" s="212"/>
      <c r="BD950" s="213"/>
      <c r="BE950" s="213"/>
      <c r="BF950" s="213"/>
      <c r="BG950" s="212"/>
      <c r="BH950" s="213"/>
      <c r="BI950" s="213"/>
      <c r="BJ950" s="213"/>
      <c r="BK950" s="213"/>
      <c r="BL950" s="212"/>
      <c r="BM950" s="213"/>
      <c r="BN950" s="213"/>
      <c r="BO950" s="213"/>
      <c r="BP950" s="213"/>
      <c r="BQ950" s="192"/>
      <c r="BR950" s="192"/>
    </row>
    <row r="951">
      <c r="A951" s="60"/>
      <c r="E951" s="215"/>
      <c r="F951" s="215"/>
      <c r="G951" s="215"/>
      <c r="L951" s="216"/>
      <c r="M951" s="216"/>
      <c r="N951" s="216"/>
      <c r="O951" s="217"/>
      <c r="P951" s="217"/>
      <c r="Q951" s="217"/>
      <c r="R951" s="217"/>
      <c r="S951" s="218"/>
      <c r="X951" s="218"/>
      <c r="AD951" s="216"/>
      <c r="AO951" s="216"/>
      <c r="AP951" s="216"/>
      <c r="AQ951" s="216"/>
      <c r="AR951" s="216"/>
      <c r="AT951" s="192"/>
      <c r="AU951" s="192"/>
      <c r="AV951" s="192"/>
      <c r="AW951" s="192"/>
      <c r="AX951" s="192"/>
      <c r="AY951" s="212"/>
      <c r="AZ951" s="213"/>
      <c r="BA951" s="213"/>
      <c r="BB951" s="213"/>
      <c r="BC951" s="212"/>
      <c r="BD951" s="213"/>
      <c r="BE951" s="213"/>
      <c r="BF951" s="213"/>
      <c r="BG951" s="212"/>
      <c r="BH951" s="213"/>
      <c r="BI951" s="213"/>
      <c r="BJ951" s="213"/>
      <c r="BK951" s="213"/>
      <c r="BL951" s="212"/>
      <c r="BM951" s="213"/>
      <c r="BN951" s="213"/>
      <c r="BO951" s="213"/>
      <c r="BP951" s="213"/>
      <c r="BQ951" s="192"/>
      <c r="BR951" s="192"/>
    </row>
    <row r="952">
      <c r="A952" s="60"/>
      <c r="E952" s="215"/>
      <c r="F952" s="215"/>
      <c r="G952" s="215"/>
      <c r="L952" s="216"/>
      <c r="M952" s="216"/>
      <c r="N952" s="216"/>
      <c r="O952" s="217"/>
      <c r="P952" s="217"/>
      <c r="Q952" s="217"/>
      <c r="R952" s="217"/>
      <c r="S952" s="218"/>
      <c r="X952" s="218"/>
      <c r="AD952" s="216"/>
      <c r="AO952" s="216"/>
      <c r="AP952" s="216"/>
      <c r="AQ952" s="216"/>
      <c r="AR952" s="216"/>
      <c r="AT952" s="192"/>
      <c r="AU952" s="192"/>
      <c r="AV952" s="192"/>
      <c r="AW952" s="192"/>
      <c r="AX952" s="192"/>
      <c r="AY952" s="212"/>
      <c r="AZ952" s="213"/>
      <c r="BA952" s="213"/>
      <c r="BB952" s="213"/>
      <c r="BC952" s="212"/>
      <c r="BD952" s="213"/>
      <c r="BE952" s="213"/>
      <c r="BF952" s="213"/>
      <c r="BG952" s="212"/>
      <c r="BH952" s="213"/>
      <c r="BI952" s="213"/>
      <c r="BJ952" s="213"/>
      <c r="BK952" s="213"/>
      <c r="BL952" s="212"/>
      <c r="BM952" s="213"/>
      <c r="BN952" s="213"/>
      <c r="BO952" s="213"/>
      <c r="BP952" s="213"/>
      <c r="BQ952" s="192"/>
      <c r="BR952" s="192"/>
    </row>
    <row r="953">
      <c r="A953" s="60"/>
      <c r="E953" s="215"/>
      <c r="F953" s="215"/>
      <c r="G953" s="215"/>
      <c r="L953" s="216"/>
      <c r="M953" s="216"/>
      <c r="N953" s="216"/>
      <c r="O953" s="217"/>
      <c r="P953" s="217"/>
      <c r="Q953" s="217"/>
      <c r="R953" s="217"/>
      <c r="S953" s="218"/>
      <c r="X953" s="218"/>
      <c r="AD953" s="216"/>
      <c r="AO953" s="216"/>
      <c r="AP953" s="216"/>
      <c r="AQ953" s="216"/>
      <c r="AR953" s="216"/>
      <c r="AT953" s="192"/>
      <c r="AU953" s="192"/>
      <c r="AV953" s="192"/>
      <c r="AW953" s="192"/>
      <c r="AX953" s="192"/>
      <c r="AY953" s="212"/>
      <c r="AZ953" s="213"/>
      <c r="BA953" s="213"/>
      <c r="BB953" s="213"/>
      <c r="BC953" s="212"/>
      <c r="BD953" s="213"/>
      <c r="BE953" s="213"/>
      <c r="BF953" s="213"/>
      <c r="BG953" s="212"/>
      <c r="BH953" s="213"/>
      <c r="BI953" s="213"/>
      <c r="BJ953" s="213"/>
      <c r="BK953" s="213"/>
      <c r="BL953" s="212"/>
      <c r="BM953" s="213"/>
      <c r="BN953" s="213"/>
      <c r="BO953" s="213"/>
      <c r="BP953" s="213"/>
      <c r="BQ953" s="192"/>
      <c r="BR953" s="192"/>
    </row>
    <row r="954">
      <c r="A954" s="60"/>
      <c r="E954" s="215"/>
      <c r="F954" s="215"/>
      <c r="G954" s="215"/>
      <c r="L954" s="216"/>
      <c r="M954" s="216"/>
      <c r="N954" s="216"/>
      <c r="O954" s="217"/>
      <c r="P954" s="217"/>
      <c r="Q954" s="217"/>
      <c r="R954" s="217"/>
      <c r="S954" s="218"/>
      <c r="X954" s="218"/>
      <c r="AD954" s="216"/>
      <c r="AO954" s="216"/>
      <c r="AP954" s="216"/>
      <c r="AQ954" s="216"/>
      <c r="AR954" s="216"/>
      <c r="AT954" s="192"/>
      <c r="AU954" s="192"/>
      <c r="AV954" s="192"/>
      <c r="AW954" s="192"/>
      <c r="AX954" s="192"/>
      <c r="AY954" s="212"/>
      <c r="AZ954" s="213"/>
      <c r="BA954" s="213"/>
      <c r="BB954" s="213"/>
      <c r="BC954" s="212"/>
      <c r="BD954" s="213"/>
      <c r="BE954" s="213"/>
      <c r="BF954" s="213"/>
      <c r="BG954" s="212"/>
      <c r="BH954" s="213"/>
      <c r="BI954" s="213"/>
      <c r="BJ954" s="213"/>
      <c r="BK954" s="213"/>
      <c r="BL954" s="212"/>
      <c r="BM954" s="213"/>
      <c r="BN954" s="213"/>
      <c r="BO954" s="213"/>
      <c r="BP954" s="213"/>
      <c r="BQ954" s="192"/>
      <c r="BR954" s="192"/>
    </row>
    <row r="955">
      <c r="A955" s="60"/>
      <c r="E955" s="215"/>
      <c r="F955" s="215"/>
      <c r="G955" s="215"/>
      <c r="L955" s="216"/>
      <c r="M955" s="216"/>
      <c r="N955" s="216"/>
      <c r="O955" s="217"/>
      <c r="P955" s="217"/>
      <c r="Q955" s="217"/>
      <c r="R955" s="217"/>
      <c r="S955" s="218"/>
      <c r="X955" s="218"/>
      <c r="AD955" s="216"/>
      <c r="AO955" s="216"/>
      <c r="AP955" s="216"/>
      <c r="AQ955" s="216"/>
      <c r="AR955" s="216"/>
      <c r="AT955" s="192"/>
      <c r="AU955" s="192"/>
      <c r="AV955" s="192"/>
      <c r="AW955" s="192"/>
      <c r="AX955" s="192"/>
      <c r="AY955" s="212"/>
      <c r="AZ955" s="213"/>
      <c r="BA955" s="213"/>
      <c r="BB955" s="213"/>
      <c r="BC955" s="212"/>
      <c r="BD955" s="213"/>
      <c r="BE955" s="213"/>
      <c r="BF955" s="213"/>
      <c r="BG955" s="212"/>
      <c r="BH955" s="213"/>
      <c r="BI955" s="213"/>
      <c r="BJ955" s="213"/>
      <c r="BK955" s="213"/>
      <c r="BL955" s="212"/>
      <c r="BM955" s="213"/>
      <c r="BN955" s="213"/>
      <c r="BO955" s="213"/>
      <c r="BP955" s="213"/>
      <c r="BQ955" s="192"/>
      <c r="BR955" s="192"/>
    </row>
    <row r="956">
      <c r="A956" s="60"/>
      <c r="E956" s="215"/>
      <c r="F956" s="215"/>
      <c r="G956" s="215"/>
      <c r="L956" s="216"/>
      <c r="M956" s="216"/>
      <c r="N956" s="216"/>
      <c r="O956" s="217"/>
      <c r="P956" s="217"/>
      <c r="Q956" s="217"/>
      <c r="R956" s="217"/>
      <c r="S956" s="218"/>
      <c r="X956" s="218"/>
      <c r="AD956" s="216"/>
      <c r="AO956" s="216"/>
      <c r="AP956" s="216"/>
      <c r="AQ956" s="216"/>
      <c r="AR956" s="216"/>
      <c r="AT956" s="192"/>
      <c r="AU956" s="192"/>
      <c r="AV956" s="192"/>
      <c r="AW956" s="192"/>
      <c r="AX956" s="192"/>
      <c r="AY956" s="212"/>
      <c r="AZ956" s="213"/>
      <c r="BA956" s="213"/>
      <c r="BB956" s="213"/>
      <c r="BC956" s="212"/>
      <c r="BD956" s="213"/>
      <c r="BE956" s="213"/>
      <c r="BF956" s="213"/>
      <c r="BG956" s="212"/>
      <c r="BH956" s="213"/>
      <c r="BI956" s="213"/>
      <c r="BJ956" s="213"/>
      <c r="BK956" s="213"/>
      <c r="BL956" s="212"/>
      <c r="BM956" s="213"/>
      <c r="BN956" s="213"/>
      <c r="BO956" s="213"/>
      <c r="BP956" s="213"/>
      <c r="BQ956" s="192"/>
      <c r="BR956" s="192"/>
    </row>
    <row r="957">
      <c r="A957" s="60"/>
      <c r="E957" s="215"/>
      <c r="F957" s="215"/>
      <c r="G957" s="215"/>
      <c r="L957" s="216"/>
      <c r="M957" s="216"/>
      <c r="N957" s="216"/>
      <c r="O957" s="217"/>
      <c r="P957" s="217"/>
      <c r="Q957" s="217"/>
      <c r="R957" s="217"/>
      <c r="S957" s="218"/>
      <c r="X957" s="218"/>
      <c r="AD957" s="216"/>
      <c r="AO957" s="216"/>
      <c r="AP957" s="216"/>
      <c r="AQ957" s="216"/>
      <c r="AR957" s="216"/>
      <c r="AT957" s="192"/>
      <c r="AU957" s="192"/>
      <c r="AV957" s="192"/>
      <c r="AW957" s="192"/>
      <c r="AX957" s="192"/>
      <c r="AY957" s="212"/>
      <c r="AZ957" s="213"/>
      <c r="BA957" s="213"/>
      <c r="BB957" s="213"/>
      <c r="BC957" s="212"/>
      <c r="BD957" s="213"/>
      <c r="BE957" s="213"/>
      <c r="BF957" s="213"/>
      <c r="BG957" s="212"/>
      <c r="BH957" s="213"/>
      <c r="BI957" s="213"/>
      <c r="BJ957" s="213"/>
      <c r="BK957" s="213"/>
      <c r="BL957" s="212"/>
      <c r="BM957" s="213"/>
      <c r="BN957" s="213"/>
      <c r="BO957" s="213"/>
      <c r="BP957" s="213"/>
      <c r="BQ957" s="192"/>
      <c r="BR957" s="192"/>
    </row>
    <row r="958">
      <c r="A958" s="60"/>
      <c r="E958" s="215"/>
      <c r="F958" s="215"/>
      <c r="G958" s="215"/>
      <c r="L958" s="216"/>
      <c r="M958" s="216"/>
      <c r="N958" s="216"/>
      <c r="O958" s="217"/>
      <c r="P958" s="217"/>
      <c r="Q958" s="217"/>
      <c r="R958" s="217"/>
      <c r="S958" s="218"/>
      <c r="X958" s="218"/>
      <c r="AD958" s="216"/>
      <c r="AO958" s="216"/>
      <c r="AP958" s="216"/>
      <c r="AQ958" s="216"/>
      <c r="AR958" s="216"/>
      <c r="AT958" s="192"/>
      <c r="AU958" s="192"/>
      <c r="AV958" s="192"/>
      <c r="AW958" s="192"/>
      <c r="AX958" s="192"/>
      <c r="AY958" s="212"/>
      <c r="AZ958" s="213"/>
      <c r="BA958" s="213"/>
      <c r="BB958" s="213"/>
      <c r="BC958" s="212"/>
      <c r="BD958" s="213"/>
      <c r="BE958" s="213"/>
      <c r="BF958" s="213"/>
      <c r="BG958" s="212"/>
      <c r="BH958" s="213"/>
      <c r="BI958" s="213"/>
      <c r="BJ958" s="213"/>
      <c r="BK958" s="213"/>
      <c r="BL958" s="212"/>
      <c r="BM958" s="213"/>
      <c r="BN958" s="213"/>
      <c r="BO958" s="213"/>
      <c r="BP958" s="213"/>
      <c r="BQ958" s="192"/>
      <c r="BR958" s="192"/>
    </row>
    <row r="959">
      <c r="A959" s="60"/>
      <c r="E959" s="215"/>
      <c r="F959" s="215"/>
      <c r="G959" s="215"/>
      <c r="L959" s="216"/>
      <c r="M959" s="216"/>
      <c r="N959" s="216"/>
      <c r="O959" s="217"/>
      <c r="P959" s="217"/>
      <c r="Q959" s="217"/>
      <c r="R959" s="217"/>
      <c r="S959" s="218"/>
      <c r="X959" s="218"/>
      <c r="AD959" s="216"/>
      <c r="AO959" s="216"/>
      <c r="AP959" s="216"/>
      <c r="AQ959" s="216"/>
      <c r="AR959" s="216"/>
      <c r="AT959" s="192"/>
      <c r="AU959" s="192"/>
      <c r="AV959" s="192"/>
      <c r="AW959" s="192"/>
      <c r="AX959" s="192"/>
      <c r="AY959" s="212"/>
      <c r="AZ959" s="213"/>
      <c r="BA959" s="213"/>
      <c r="BB959" s="213"/>
      <c r="BC959" s="212"/>
      <c r="BD959" s="213"/>
      <c r="BE959" s="213"/>
      <c r="BF959" s="213"/>
      <c r="BG959" s="212"/>
      <c r="BH959" s="213"/>
      <c r="BI959" s="213"/>
      <c r="BJ959" s="213"/>
      <c r="BK959" s="213"/>
      <c r="BL959" s="212"/>
      <c r="BM959" s="213"/>
      <c r="BN959" s="213"/>
      <c r="BO959" s="213"/>
      <c r="BP959" s="213"/>
      <c r="BQ959" s="192"/>
      <c r="BR959" s="192"/>
    </row>
    <row r="960">
      <c r="A960" s="60"/>
      <c r="E960" s="215"/>
      <c r="F960" s="215"/>
      <c r="G960" s="215"/>
      <c r="L960" s="216"/>
      <c r="M960" s="216"/>
      <c r="N960" s="216"/>
      <c r="O960" s="217"/>
      <c r="P960" s="217"/>
      <c r="Q960" s="217"/>
      <c r="R960" s="217"/>
      <c r="S960" s="218"/>
      <c r="X960" s="218"/>
      <c r="AD960" s="216"/>
      <c r="AO960" s="216"/>
      <c r="AP960" s="216"/>
      <c r="AQ960" s="216"/>
      <c r="AR960" s="216"/>
      <c r="AT960" s="192"/>
      <c r="AU960" s="192"/>
      <c r="AV960" s="192"/>
      <c r="AW960" s="192"/>
      <c r="AX960" s="192"/>
      <c r="AY960" s="212"/>
      <c r="AZ960" s="213"/>
      <c r="BA960" s="213"/>
      <c r="BB960" s="213"/>
      <c r="BC960" s="212"/>
      <c r="BD960" s="213"/>
      <c r="BE960" s="213"/>
      <c r="BF960" s="213"/>
      <c r="BG960" s="212"/>
      <c r="BH960" s="213"/>
      <c r="BI960" s="213"/>
      <c r="BJ960" s="213"/>
      <c r="BK960" s="213"/>
      <c r="BL960" s="212"/>
      <c r="BM960" s="213"/>
      <c r="BN960" s="213"/>
      <c r="BO960" s="213"/>
      <c r="BP960" s="213"/>
      <c r="BQ960" s="192"/>
      <c r="BR960" s="192"/>
    </row>
    <row r="961">
      <c r="A961" s="60"/>
      <c r="E961" s="215"/>
      <c r="F961" s="215"/>
      <c r="G961" s="215"/>
      <c r="L961" s="216"/>
      <c r="M961" s="216"/>
      <c r="N961" s="216"/>
      <c r="O961" s="217"/>
      <c r="P961" s="217"/>
      <c r="Q961" s="217"/>
      <c r="R961" s="217"/>
      <c r="S961" s="218"/>
      <c r="X961" s="218"/>
      <c r="AD961" s="216"/>
      <c r="AO961" s="216"/>
      <c r="AP961" s="216"/>
      <c r="AQ961" s="216"/>
      <c r="AR961" s="216"/>
      <c r="AT961" s="192"/>
      <c r="AU961" s="192"/>
      <c r="AV961" s="192"/>
      <c r="AW961" s="192"/>
      <c r="AX961" s="192"/>
      <c r="AY961" s="212"/>
      <c r="AZ961" s="213"/>
      <c r="BA961" s="213"/>
      <c r="BB961" s="213"/>
      <c r="BC961" s="212"/>
      <c r="BD961" s="213"/>
      <c r="BE961" s="213"/>
      <c r="BF961" s="213"/>
      <c r="BG961" s="212"/>
      <c r="BH961" s="213"/>
      <c r="BI961" s="213"/>
      <c r="BJ961" s="213"/>
      <c r="BK961" s="213"/>
      <c r="BL961" s="212"/>
      <c r="BM961" s="213"/>
      <c r="BN961" s="213"/>
      <c r="BO961" s="213"/>
      <c r="BP961" s="213"/>
      <c r="BQ961" s="192"/>
      <c r="BR961" s="192"/>
    </row>
    <row r="962">
      <c r="A962" s="60"/>
      <c r="E962" s="215"/>
      <c r="F962" s="215"/>
      <c r="G962" s="215"/>
      <c r="L962" s="216"/>
      <c r="M962" s="216"/>
      <c r="N962" s="216"/>
      <c r="O962" s="217"/>
      <c r="P962" s="217"/>
      <c r="Q962" s="217"/>
      <c r="R962" s="217"/>
      <c r="S962" s="218"/>
      <c r="X962" s="218"/>
      <c r="AD962" s="216"/>
      <c r="AO962" s="216"/>
      <c r="AP962" s="216"/>
      <c r="AQ962" s="216"/>
      <c r="AR962" s="216"/>
      <c r="AT962" s="192"/>
      <c r="AU962" s="192"/>
      <c r="AV962" s="192"/>
      <c r="AW962" s="192"/>
      <c r="AX962" s="192"/>
      <c r="AY962" s="212"/>
      <c r="AZ962" s="213"/>
      <c r="BA962" s="213"/>
      <c r="BB962" s="213"/>
      <c r="BC962" s="212"/>
      <c r="BD962" s="213"/>
      <c r="BE962" s="213"/>
      <c r="BF962" s="213"/>
      <c r="BG962" s="212"/>
      <c r="BH962" s="213"/>
      <c r="BI962" s="213"/>
      <c r="BJ962" s="213"/>
      <c r="BK962" s="213"/>
      <c r="BL962" s="212"/>
      <c r="BM962" s="213"/>
      <c r="BN962" s="213"/>
      <c r="BO962" s="213"/>
      <c r="BP962" s="213"/>
      <c r="BQ962" s="192"/>
      <c r="BR962" s="192"/>
    </row>
    <row r="963">
      <c r="A963" s="60"/>
      <c r="E963" s="215"/>
      <c r="F963" s="215"/>
      <c r="G963" s="215"/>
      <c r="L963" s="216"/>
      <c r="M963" s="216"/>
      <c r="N963" s="216"/>
      <c r="O963" s="217"/>
      <c r="P963" s="217"/>
      <c r="Q963" s="217"/>
      <c r="R963" s="217"/>
      <c r="S963" s="218"/>
      <c r="X963" s="218"/>
      <c r="AD963" s="216"/>
      <c r="AO963" s="216"/>
      <c r="AP963" s="216"/>
      <c r="AQ963" s="216"/>
      <c r="AR963" s="216"/>
      <c r="AT963" s="192"/>
      <c r="AU963" s="192"/>
      <c r="AV963" s="192"/>
      <c r="AW963" s="192"/>
      <c r="AX963" s="192"/>
      <c r="AY963" s="212"/>
      <c r="AZ963" s="213"/>
      <c r="BA963" s="213"/>
      <c r="BB963" s="213"/>
      <c r="BC963" s="212"/>
      <c r="BD963" s="213"/>
      <c r="BE963" s="213"/>
      <c r="BF963" s="213"/>
      <c r="BG963" s="212"/>
      <c r="BH963" s="213"/>
      <c r="BI963" s="213"/>
      <c r="BJ963" s="213"/>
      <c r="BK963" s="213"/>
      <c r="BL963" s="212"/>
      <c r="BM963" s="213"/>
      <c r="BN963" s="213"/>
      <c r="BO963" s="213"/>
      <c r="BP963" s="213"/>
      <c r="BQ963" s="192"/>
      <c r="BR963" s="192"/>
    </row>
    <row r="964">
      <c r="A964" s="60"/>
      <c r="E964" s="215"/>
      <c r="F964" s="215"/>
      <c r="G964" s="215"/>
      <c r="L964" s="216"/>
      <c r="M964" s="216"/>
      <c r="N964" s="216"/>
      <c r="O964" s="217"/>
      <c r="P964" s="217"/>
      <c r="Q964" s="217"/>
      <c r="R964" s="217"/>
      <c r="S964" s="218"/>
      <c r="X964" s="218"/>
      <c r="AD964" s="216"/>
      <c r="AO964" s="216"/>
      <c r="AP964" s="216"/>
      <c r="AQ964" s="216"/>
      <c r="AR964" s="216"/>
      <c r="AT964" s="192"/>
      <c r="AU964" s="192"/>
      <c r="AV964" s="192"/>
      <c r="AW964" s="192"/>
      <c r="AX964" s="192"/>
      <c r="AY964" s="212"/>
      <c r="AZ964" s="213"/>
      <c r="BA964" s="213"/>
      <c r="BB964" s="213"/>
      <c r="BC964" s="212"/>
      <c r="BD964" s="213"/>
      <c r="BE964" s="213"/>
      <c r="BF964" s="213"/>
      <c r="BG964" s="212"/>
      <c r="BH964" s="213"/>
      <c r="BI964" s="213"/>
      <c r="BJ964" s="213"/>
      <c r="BK964" s="213"/>
      <c r="BL964" s="212"/>
      <c r="BM964" s="213"/>
      <c r="BN964" s="213"/>
      <c r="BO964" s="213"/>
      <c r="BP964" s="213"/>
      <c r="BQ964" s="192"/>
      <c r="BR964" s="192"/>
    </row>
    <row r="965">
      <c r="A965" s="60"/>
      <c r="E965" s="215"/>
      <c r="F965" s="215"/>
      <c r="G965" s="215"/>
      <c r="L965" s="216"/>
      <c r="M965" s="216"/>
      <c r="N965" s="216"/>
      <c r="O965" s="217"/>
      <c r="P965" s="217"/>
      <c r="Q965" s="217"/>
      <c r="R965" s="217"/>
      <c r="S965" s="218"/>
      <c r="X965" s="218"/>
      <c r="AD965" s="216"/>
      <c r="AO965" s="216"/>
      <c r="AP965" s="216"/>
      <c r="AQ965" s="216"/>
      <c r="AR965" s="216"/>
      <c r="AT965" s="192"/>
      <c r="AU965" s="192"/>
      <c r="AV965" s="192"/>
      <c r="AW965" s="192"/>
      <c r="AX965" s="192"/>
      <c r="AY965" s="212"/>
      <c r="AZ965" s="213"/>
      <c r="BA965" s="213"/>
      <c r="BB965" s="213"/>
      <c r="BC965" s="212"/>
      <c r="BD965" s="213"/>
      <c r="BE965" s="213"/>
      <c r="BF965" s="213"/>
      <c r="BG965" s="212"/>
      <c r="BH965" s="213"/>
      <c r="BI965" s="213"/>
      <c r="BJ965" s="213"/>
      <c r="BK965" s="213"/>
      <c r="BL965" s="212"/>
      <c r="BM965" s="213"/>
      <c r="BN965" s="213"/>
      <c r="BO965" s="213"/>
      <c r="BP965" s="213"/>
      <c r="BQ965" s="192"/>
      <c r="BR965" s="192"/>
    </row>
    <row r="966">
      <c r="A966" s="60"/>
      <c r="E966" s="215"/>
      <c r="F966" s="215"/>
      <c r="G966" s="215"/>
      <c r="L966" s="216"/>
      <c r="M966" s="216"/>
      <c r="N966" s="216"/>
      <c r="O966" s="217"/>
      <c r="P966" s="217"/>
      <c r="Q966" s="217"/>
      <c r="R966" s="217"/>
      <c r="S966" s="218"/>
      <c r="X966" s="218"/>
      <c r="AD966" s="216"/>
      <c r="AO966" s="216"/>
      <c r="AP966" s="216"/>
      <c r="AQ966" s="216"/>
      <c r="AR966" s="216"/>
      <c r="AT966" s="192"/>
      <c r="AU966" s="192"/>
      <c r="AV966" s="192"/>
      <c r="AW966" s="192"/>
      <c r="AX966" s="192"/>
      <c r="AY966" s="212"/>
      <c r="AZ966" s="213"/>
      <c r="BA966" s="213"/>
      <c r="BB966" s="213"/>
      <c r="BC966" s="212"/>
      <c r="BD966" s="213"/>
      <c r="BE966" s="213"/>
      <c r="BF966" s="213"/>
      <c r="BG966" s="212"/>
      <c r="BH966" s="213"/>
      <c r="BI966" s="213"/>
      <c r="BJ966" s="213"/>
      <c r="BK966" s="213"/>
      <c r="BL966" s="212"/>
      <c r="BM966" s="213"/>
      <c r="BN966" s="213"/>
      <c r="BO966" s="213"/>
      <c r="BP966" s="213"/>
      <c r="BQ966" s="192"/>
      <c r="BR966" s="192"/>
    </row>
    <row r="967">
      <c r="A967" s="60"/>
      <c r="E967" s="215"/>
      <c r="F967" s="215"/>
      <c r="G967" s="215"/>
      <c r="L967" s="216"/>
      <c r="M967" s="216"/>
      <c r="N967" s="216"/>
      <c r="O967" s="217"/>
      <c r="P967" s="217"/>
      <c r="Q967" s="217"/>
      <c r="R967" s="217"/>
      <c r="S967" s="218"/>
      <c r="X967" s="218"/>
      <c r="AD967" s="216"/>
      <c r="AO967" s="216"/>
      <c r="AP967" s="216"/>
      <c r="AQ967" s="216"/>
      <c r="AR967" s="216"/>
      <c r="AT967" s="192"/>
      <c r="AU967" s="192"/>
      <c r="AV967" s="192"/>
      <c r="AW967" s="192"/>
      <c r="AX967" s="192"/>
      <c r="AY967" s="212"/>
      <c r="AZ967" s="213"/>
      <c r="BA967" s="213"/>
      <c r="BB967" s="213"/>
      <c r="BC967" s="212"/>
      <c r="BD967" s="213"/>
      <c r="BE967" s="213"/>
      <c r="BF967" s="213"/>
      <c r="BG967" s="212"/>
      <c r="BH967" s="213"/>
      <c r="BI967" s="213"/>
      <c r="BJ967" s="213"/>
      <c r="BK967" s="213"/>
      <c r="BL967" s="212"/>
      <c r="BM967" s="213"/>
      <c r="BN967" s="213"/>
      <c r="BO967" s="213"/>
      <c r="BP967" s="213"/>
      <c r="BQ967" s="192"/>
      <c r="BR967" s="192"/>
    </row>
    <row r="968">
      <c r="A968" s="60"/>
      <c r="E968" s="215"/>
      <c r="F968" s="215"/>
      <c r="G968" s="215"/>
      <c r="L968" s="216"/>
      <c r="M968" s="216"/>
      <c r="N968" s="216"/>
      <c r="O968" s="217"/>
      <c r="P968" s="217"/>
      <c r="Q968" s="217"/>
      <c r="R968" s="217"/>
      <c r="S968" s="218"/>
      <c r="X968" s="218"/>
      <c r="AD968" s="216"/>
      <c r="AO968" s="216"/>
      <c r="AP968" s="216"/>
      <c r="AQ968" s="216"/>
      <c r="AR968" s="216"/>
      <c r="AT968" s="192"/>
      <c r="AU968" s="192"/>
      <c r="AV968" s="192"/>
      <c r="AW968" s="192"/>
      <c r="AX968" s="192"/>
      <c r="AY968" s="212"/>
      <c r="AZ968" s="213"/>
      <c r="BA968" s="213"/>
      <c r="BB968" s="213"/>
      <c r="BC968" s="212"/>
      <c r="BD968" s="213"/>
      <c r="BE968" s="213"/>
      <c r="BF968" s="213"/>
      <c r="BG968" s="212"/>
      <c r="BH968" s="213"/>
      <c r="BI968" s="213"/>
      <c r="BJ968" s="213"/>
      <c r="BK968" s="213"/>
      <c r="BL968" s="212"/>
      <c r="BM968" s="213"/>
      <c r="BN968" s="213"/>
      <c r="BO968" s="213"/>
      <c r="BP968" s="213"/>
      <c r="BQ968" s="192"/>
      <c r="BR968" s="192"/>
    </row>
    <row r="969">
      <c r="A969" s="60"/>
      <c r="E969" s="215"/>
      <c r="F969" s="215"/>
      <c r="G969" s="215"/>
      <c r="L969" s="216"/>
      <c r="M969" s="216"/>
      <c r="N969" s="216"/>
      <c r="O969" s="217"/>
      <c r="P969" s="217"/>
      <c r="Q969" s="217"/>
      <c r="R969" s="217"/>
      <c r="S969" s="218"/>
      <c r="X969" s="218"/>
      <c r="AD969" s="216"/>
      <c r="AO969" s="216"/>
      <c r="AP969" s="216"/>
      <c r="AQ969" s="216"/>
      <c r="AR969" s="216"/>
      <c r="AT969" s="192"/>
      <c r="AU969" s="192"/>
      <c r="AV969" s="192"/>
      <c r="AW969" s="192"/>
      <c r="AX969" s="192"/>
      <c r="AY969" s="212"/>
      <c r="AZ969" s="213"/>
      <c r="BA969" s="213"/>
      <c r="BB969" s="213"/>
      <c r="BC969" s="212"/>
      <c r="BD969" s="213"/>
      <c r="BE969" s="213"/>
      <c r="BF969" s="213"/>
      <c r="BG969" s="212"/>
      <c r="BH969" s="213"/>
      <c r="BI969" s="213"/>
      <c r="BJ969" s="213"/>
      <c r="BK969" s="213"/>
      <c r="BL969" s="212"/>
      <c r="BM969" s="213"/>
      <c r="BN969" s="213"/>
      <c r="BO969" s="213"/>
      <c r="BP969" s="213"/>
      <c r="BQ969" s="192"/>
      <c r="BR969" s="192"/>
    </row>
    <row r="970">
      <c r="A970" s="60"/>
      <c r="E970" s="215"/>
      <c r="F970" s="215"/>
      <c r="G970" s="215"/>
      <c r="L970" s="216"/>
      <c r="M970" s="216"/>
      <c r="N970" s="216"/>
      <c r="O970" s="217"/>
      <c r="P970" s="217"/>
      <c r="Q970" s="217"/>
      <c r="R970" s="217"/>
      <c r="S970" s="218"/>
      <c r="X970" s="218"/>
      <c r="AD970" s="216"/>
      <c r="AO970" s="216"/>
      <c r="AP970" s="216"/>
      <c r="AQ970" s="216"/>
      <c r="AR970" s="216"/>
      <c r="AT970" s="192"/>
      <c r="AU970" s="192"/>
      <c r="AV970" s="192"/>
      <c r="AW970" s="192"/>
      <c r="AX970" s="192"/>
      <c r="AY970" s="212"/>
      <c r="AZ970" s="213"/>
      <c r="BA970" s="213"/>
      <c r="BB970" s="213"/>
      <c r="BC970" s="212"/>
      <c r="BD970" s="213"/>
      <c r="BE970" s="213"/>
      <c r="BF970" s="213"/>
      <c r="BG970" s="212"/>
      <c r="BH970" s="213"/>
      <c r="BI970" s="213"/>
      <c r="BJ970" s="213"/>
      <c r="BK970" s="213"/>
      <c r="BL970" s="212"/>
      <c r="BM970" s="213"/>
      <c r="BN970" s="213"/>
      <c r="BO970" s="213"/>
      <c r="BP970" s="213"/>
      <c r="BQ970" s="192"/>
      <c r="BR970" s="192"/>
    </row>
    <row r="971">
      <c r="A971" s="60"/>
      <c r="E971" s="215"/>
      <c r="F971" s="215"/>
      <c r="G971" s="215"/>
      <c r="L971" s="216"/>
      <c r="M971" s="216"/>
      <c r="N971" s="216"/>
      <c r="O971" s="217"/>
      <c r="P971" s="217"/>
      <c r="Q971" s="217"/>
      <c r="R971" s="217"/>
      <c r="S971" s="218"/>
      <c r="X971" s="218"/>
      <c r="AD971" s="216"/>
      <c r="AO971" s="216"/>
      <c r="AP971" s="216"/>
      <c r="AQ971" s="216"/>
      <c r="AR971" s="216"/>
      <c r="AT971" s="192"/>
      <c r="AU971" s="192"/>
      <c r="AV971" s="192"/>
      <c r="AW971" s="192"/>
      <c r="AX971" s="192"/>
      <c r="AY971" s="212"/>
      <c r="AZ971" s="213"/>
      <c r="BA971" s="213"/>
      <c r="BB971" s="213"/>
      <c r="BC971" s="212"/>
      <c r="BD971" s="213"/>
      <c r="BE971" s="213"/>
      <c r="BF971" s="213"/>
      <c r="BG971" s="212"/>
      <c r="BH971" s="213"/>
      <c r="BI971" s="213"/>
      <c r="BJ971" s="213"/>
      <c r="BK971" s="213"/>
      <c r="BL971" s="212"/>
      <c r="BM971" s="213"/>
      <c r="BN971" s="213"/>
      <c r="BO971" s="213"/>
      <c r="BP971" s="213"/>
      <c r="BQ971" s="192"/>
      <c r="BR971" s="192"/>
    </row>
    <row r="972">
      <c r="A972" s="60"/>
      <c r="E972" s="215"/>
      <c r="F972" s="215"/>
      <c r="G972" s="215"/>
      <c r="L972" s="216"/>
      <c r="M972" s="216"/>
      <c r="N972" s="216"/>
      <c r="O972" s="217"/>
      <c r="P972" s="217"/>
      <c r="Q972" s="217"/>
      <c r="R972" s="217"/>
      <c r="S972" s="218"/>
      <c r="X972" s="218"/>
      <c r="AD972" s="216"/>
      <c r="AO972" s="216"/>
      <c r="AP972" s="216"/>
      <c r="AQ972" s="216"/>
      <c r="AR972" s="216"/>
      <c r="AT972" s="192"/>
      <c r="AU972" s="192"/>
      <c r="AV972" s="192"/>
      <c r="AW972" s="192"/>
      <c r="AX972" s="192"/>
      <c r="AY972" s="212"/>
      <c r="AZ972" s="213"/>
      <c r="BA972" s="213"/>
      <c r="BB972" s="213"/>
      <c r="BC972" s="212"/>
      <c r="BD972" s="213"/>
      <c r="BE972" s="213"/>
      <c r="BF972" s="213"/>
      <c r="BG972" s="212"/>
      <c r="BH972" s="213"/>
      <c r="BI972" s="213"/>
      <c r="BJ972" s="213"/>
      <c r="BK972" s="213"/>
      <c r="BL972" s="212"/>
      <c r="BM972" s="213"/>
      <c r="BN972" s="213"/>
      <c r="BO972" s="213"/>
      <c r="BP972" s="213"/>
      <c r="BQ972" s="192"/>
      <c r="BR972" s="192"/>
    </row>
    <row r="973">
      <c r="A973" s="60"/>
      <c r="E973" s="215"/>
      <c r="F973" s="215"/>
      <c r="G973" s="215"/>
      <c r="L973" s="216"/>
      <c r="M973" s="216"/>
      <c r="N973" s="216"/>
      <c r="O973" s="217"/>
      <c r="P973" s="217"/>
      <c r="Q973" s="217"/>
      <c r="R973" s="217"/>
      <c r="S973" s="218"/>
      <c r="X973" s="218"/>
      <c r="AD973" s="216"/>
      <c r="AO973" s="216"/>
      <c r="AP973" s="216"/>
      <c r="AQ973" s="216"/>
      <c r="AR973" s="216"/>
      <c r="AT973" s="192"/>
      <c r="AU973" s="192"/>
      <c r="AV973" s="192"/>
      <c r="AW973" s="192"/>
      <c r="AX973" s="192"/>
      <c r="AY973" s="212"/>
      <c r="AZ973" s="213"/>
      <c r="BA973" s="213"/>
      <c r="BB973" s="213"/>
      <c r="BC973" s="212"/>
      <c r="BD973" s="213"/>
      <c r="BE973" s="213"/>
      <c r="BF973" s="213"/>
      <c r="BG973" s="212"/>
      <c r="BH973" s="213"/>
      <c r="BI973" s="213"/>
      <c r="BJ973" s="213"/>
      <c r="BK973" s="213"/>
      <c r="BL973" s="212"/>
      <c r="BM973" s="213"/>
      <c r="BN973" s="213"/>
      <c r="BO973" s="213"/>
      <c r="BP973" s="213"/>
      <c r="BQ973" s="192"/>
      <c r="BR973" s="192"/>
    </row>
    <row r="974">
      <c r="A974" s="60"/>
      <c r="E974" s="215"/>
      <c r="F974" s="215"/>
      <c r="G974" s="215"/>
      <c r="L974" s="216"/>
      <c r="M974" s="216"/>
      <c r="N974" s="216"/>
      <c r="O974" s="217"/>
      <c r="P974" s="217"/>
      <c r="Q974" s="217"/>
      <c r="R974" s="217"/>
      <c r="S974" s="218"/>
      <c r="X974" s="218"/>
      <c r="AD974" s="216"/>
      <c r="AO974" s="216"/>
      <c r="AP974" s="216"/>
      <c r="AQ974" s="216"/>
      <c r="AR974" s="216"/>
      <c r="AT974" s="192"/>
      <c r="AU974" s="192"/>
      <c r="AV974" s="192"/>
      <c r="AW974" s="192"/>
      <c r="AX974" s="192"/>
      <c r="AY974" s="212"/>
      <c r="AZ974" s="213"/>
      <c r="BA974" s="213"/>
      <c r="BB974" s="213"/>
      <c r="BC974" s="212"/>
      <c r="BD974" s="213"/>
      <c r="BE974" s="213"/>
      <c r="BF974" s="213"/>
      <c r="BG974" s="212"/>
      <c r="BH974" s="213"/>
      <c r="BI974" s="213"/>
      <c r="BJ974" s="213"/>
      <c r="BK974" s="213"/>
      <c r="BL974" s="212"/>
      <c r="BM974" s="213"/>
      <c r="BN974" s="213"/>
      <c r="BO974" s="213"/>
      <c r="BP974" s="213"/>
      <c r="BQ974" s="192"/>
      <c r="BR974" s="192"/>
    </row>
    <row r="975">
      <c r="A975" s="60"/>
      <c r="E975" s="215"/>
      <c r="F975" s="215"/>
      <c r="G975" s="215"/>
      <c r="L975" s="216"/>
      <c r="M975" s="216"/>
      <c r="N975" s="216"/>
      <c r="O975" s="217"/>
      <c r="P975" s="217"/>
      <c r="Q975" s="217"/>
      <c r="R975" s="217"/>
      <c r="S975" s="218"/>
      <c r="X975" s="218"/>
      <c r="AD975" s="216"/>
      <c r="AO975" s="216"/>
      <c r="AP975" s="216"/>
      <c r="AQ975" s="216"/>
      <c r="AR975" s="216"/>
      <c r="AT975" s="192"/>
      <c r="AU975" s="192"/>
      <c r="AV975" s="192"/>
      <c r="AW975" s="192"/>
      <c r="AX975" s="192"/>
      <c r="AY975" s="212"/>
      <c r="AZ975" s="213"/>
      <c r="BA975" s="213"/>
      <c r="BB975" s="213"/>
      <c r="BC975" s="212"/>
      <c r="BD975" s="213"/>
      <c r="BE975" s="213"/>
      <c r="BF975" s="213"/>
      <c r="BG975" s="212"/>
      <c r="BH975" s="213"/>
      <c r="BI975" s="213"/>
      <c r="BJ975" s="213"/>
      <c r="BK975" s="213"/>
      <c r="BL975" s="212"/>
      <c r="BM975" s="213"/>
      <c r="BN975" s="213"/>
      <c r="BO975" s="213"/>
      <c r="BP975" s="213"/>
      <c r="BQ975" s="192"/>
      <c r="BR975" s="192"/>
    </row>
    <row r="976">
      <c r="A976" s="60"/>
      <c r="E976" s="215"/>
      <c r="F976" s="215"/>
      <c r="G976" s="215"/>
      <c r="L976" s="216"/>
      <c r="M976" s="216"/>
      <c r="N976" s="216"/>
      <c r="O976" s="217"/>
      <c r="P976" s="217"/>
      <c r="Q976" s="217"/>
      <c r="R976" s="217"/>
      <c r="S976" s="218"/>
      <c r="X976" s="218"/>
      <c r="AD976" s="216"/>
      <c r="AO976" s="216"/>
      <c r="AP976" s="216"/>
      <c r="AQ976" s="216"/>
      <c r="AR976" s="216"/>
      <c r="AT976" s="192"/>
      <c r="AU976" s="192"/>
      <c r="AV976" s="192"/>
      <c r="AW976" s="192"/>
      <c r="AX976" s="192"/>
      <c r="AY976" s="212"/>
      <c r="AZ976" s="213"/>
      <c r="BA976" s="213"/>
      <c r="BB976" s="213"/>
      <c r="BC976" s="212"/>
      <c r="BD976" s="213"/>
      <c r="BE976" s="213"/>
      <c r="BF976" s="213"/>
      <c r="BG976" s="212"/>
      <c r="BH976" s="213"/>
      <c r="BI976" s="213"/>
      <c r="BJ976" s="213"/>
      <c r="BK976" s="213"/>
      <c r="BL976" s="212"/>
      <c r="BM976" s="213"/>
      <c r="BN976" s="213"/>
      <c r="BO976" s="213"/>
      <c r="BP976" s="213"/>
      <c r="BQ976" s="192"/>
      <c r="BR976" s="192"/>
    </row>
    <row r="977">
      <c r="A977" s="60"/>
      <c r="E977" s="215"/>
      <c r="F977" s="215"/>
      <c r="G977" s="215"/>
      <c r="L977" s="216"/>
      <c r="M977" s="216"/>
      <c r="N977" s="216"/>
      <c r="O977" s="217"/>
      <c r="P977" s="217"/>
      <c r="Q977" s="217"/>
      <c r="R977" s="217"/>
      <c r="S977" s="218"/>
      <c r="X977" s="218"/>
      <c r="AD977" s="216"/>
      <c r="AO977" s="216"/>
      <c r="AP977" s="216"/>
      <c r="AQ977" s="216"/>
      <c r="AR977" s="216"/>
      <c r="AT977" s="192"/>
      <c r="AU977" s="192"/>
      <c r="AV977" s="192"/>
      <c r="AW977" s="192"/>
      <c r="AX977" s="192"/>
      <c r="AY977" s="212"/>
      <c r="AZ977" s="213"/>
      <c r="BA977" s="213"/>
      <c r="BB977" s="213"/>
      <c r="BC977" s="212"/>
      <c r="BD977" s="213"/>
      <c r="BE977" s="213"/>
      <c r="BF977" s="213"/>
      <c r="BG977" s="212"/>
      <c r="BH977" s="213"/>
      <c r="BI977" s="213"/>
      <c r="BJ977" s="213"/>
      <c r="BK977" s="213"/>
      <c r="BL977" s="212"/>
      <c r="BM977" s="213"/>
      <c r="BN977" s="213"/>
      <c r="BO977" s="213"/>
      <c r="BP977" s="213"/>
      <c r="BQ977" s="192"/>
      <c r="BR977" s="192"/>
    </row>
    <row r="978">
      <c r="A978" s="60"/>
      <c r="E978" s="215"/>
      <c r="F978" s="215"/>
      <c r="G978" s="215"/>
      <c r="L978" s="216"/>
      <c r="M978" s="216"/>
      <c r="N978" s="216"/>
      <c r="O978" s="217"/>
      <c r="P978" s="217"/>
      <c r="Q978" s="217"/>
      <c r="R978" s="217"/>
      <c r="S978" s="218"/>
      <c r="X978" s="218"/>
      <c r="AD978" s="216"/>
      <c r="AO978" s="216"/>
      <c r="AP978" s="216"/>
      <c r="AQ978" s="216"/>
      <c r="AR978" s="216"/>
      <c r="AT978" s="192"/>
      <c r="AU978" s="192"/>
      <c r="AV978" s="192"/>
      <c r="AW978" s="192"/>
      <c r="AX978" s="192"/>
      <c r="AY978" s="212"/>
      <c r="AZ978" s="213"/>
      <c r="BA978" s="213"/>
      <c r="BB978" s="213"/>
      <c r="BC978" s="212"/>
      <c r="BD978" s="213"/>
      <c r="BE978" s="213"/>
      <c r="BF978" s="213"/>
      <c r="BG978" s="212"/>
      <c r="BH978" s="213"/>
      <c r="BI978" s="213"/>
      <c r="BJ978" s="213"/>
      <c r="BK978" s="213"/>
      <c r="BL978" s="212"/>
      <c r="BM978" s="213"/>
      <c r="BN978" s="213"/>
      <c r="BO978" s="213"/>
      <c r="BP978" s="213"/>
      <c r="BQ978" s="192"/>
      <c r="BR978" s="192"/>
    </row>
    <row r="979">
      <c r="A979" s="60"/>
      <c r="E979" s="215"/>
      <c r="F979" s="215"/>
      <c r="G979" s="215"/>
      <c r="L979" s="216"/>
      <c r="M979" s="216"/>
      <c r="N979" s="216"/>
      <c r="O979" s="217"/>
      <c r="P979" s="217"/>
      <c r="Q979" s="217"/>
      <c r="R979" s="217"/>
      <c r="S979" s="218"/>
      <c r="X979" s="218"/>
      <c r="AD979" s="216"/>
      <c r="AO979" s="216"/>
      <c r="AP979" s="216"/>
      <c r="AQ979" s="216"/>
      <c r="AR979" s="216"/>
      <c r="AT979" s="192"/>
      <c r="AU979" s="192"/>
      <c r="AV979" s="192"/>
      <c r="AW979" s="192"/>
      <c r="AX979" s="192"/>
      <c r="AY979" s="212"/>
      <c r="AZ979" s="213"/>
      <c r="BA979" s="213"/>
      <c r="BB979" s="213"/>
      <c r="BC979" s="212"/>
      <c r="BD979" s="213"/>
      <c r="BE979" s="213"/>
      <c r="BF979" s="213"/>
      <c r="BG979" s="212"/>
      <c r="BH979" s="213"/>
      <c r="BI979" s="213"/>
      <c r="BJ979" s="213"/>
      <c r="BK979" s="213"/>
      <c r="BL979" s="212"/>
      <c r="BM979" s="213"/>
      <c r="BN979" s="213"/>
      <c r="BO979" s="213"/>
      <c r="BP979" s="213"/>
      <c r="BQ979" s="192"/>
      <c r="BR979" s="192"/>
    </row>
    <row r="980">
      <c r="A980" s="60"/>
      <c r="E980" s="215"/>
      <c r="F980" s="215"/>
      <c r="G980" s="215"/>
      <c r="L980" s="216"/>
      <c r="M980" s="216"/>
      <c r="N980" s="216"/>
      <c r="O980" s="217"/>
      <c r="P980" s="217"/>
      <c r="Q980" s="217"/>
      <c r="R980" s="217"/>
      <c r="S980" s="218"/>
      <c r="X980" s="218"/>
      <c r="AD980" s="216"/>
      <c r="AO980" s="216"/>
      <c r="AP980" s="216"/>
      <c r="AQ980" s="216"/>
      <c r="AR980" s="216"/>
      <c r="AT980" s="192"/>
      <c r="AU980" s="192"/>
      <c r="AV980" s="192"/>
      <c r="AW980" s="192"/>
      <c r="AX980" s="192"/>
      <c r="AY980" s="212"/>
      <c r="AZ980" s="213"/>
      <c r="BA980" s="213"/>
      <c r="BB980" s="213"/>
      <c r="BC980" s="212"/>
      <c r="BD980" s="213"/>
      <c r="BE980" s="213"/>
      <c r="BF980" s="213"/>
      <c r="BG980" s="212"/>
      <c r="BH980" s="213"/>
      <c r="BI980" s="213"/>
      <c r="BJ980" s="213"/>
      <c r="BK980" s="213"/>
      <c r="BL980" s="212"/>
      <c r="BM980" s="213"/>
      <c r="BN980" s="213"/>
      <c r="BO980" s="213"/>
      <c r="BP980" s="213"/>
      <c r="BQ980" s="192"/>
      <c r="BR980" s="192"/>
    </row>
    <row r="981">
      <c r="A981" s="60"/>
      <c r="E981" s="215"/>
      <c r="F981" s="215"/>
      <c r="G981" s="215"/>
      <c r="L981" s="216"/>
      <c r="M981" s="216"/>
      <c r="N981" s="216"/>
      <c r="O981" s="217"/>
      <c r="P981" s="217"/>
      <c r="Q981" s="217"/>
      <c r="R981" s="217"/>
      <c r="S981" s="218"/>
      <c r="X981" s="218"/>
      <c r="AD981" s="216"/>
      <c r="AO981" s="216"/>
      <c r="AP981" s="216"/>
      <c r="AQ981" s="216"/>
      <c r="AR981" s="216"/>
      <c r="AT981" s="192"/>
      <c r="AU981" s="192"/>
      <c r="AV981" s="192"/>
      <c r="AW981" s="192"/>
      <c r="AX981" s="192"/>
      <c r="AY981" s="212"/>
      <c r="AZ981" s="213"/>
      <c r="BA981" s="213"/>
      <c r="BB981" s="213"/>
      <c r="BC981" s="212"/>
      <c r="BD981" s="213"/>
      <c r="BE981" s="213"/>
      <c r="BF981" s="213"/>
      <c r="BG981" s="212"/>
      <c r="BH981" s="213"/>
      <c r="BI981" s="213"/>
      <c r="BJ981" s="213"/>
      <c r="BK981" s="213"/>
      <c r="BL981" s="212"/>
      <c r="BM981" s="213"/>
      <c r="BN981" s="213"/>
      <c r="BO981" s="213"/>
      <c r="BP981" s="213"/>
      <c r="BQ981" s="192"/>
      <c r="BR981" s="192"/>
    </row>
    <row r="982">
      <c r="A982" s="60"/>
      <c r="E982" s="215"/>
      <c r="F982" s="215"/>
      <c r="G982" s="215"/>
      <c r="L982" s="216"/>
      <c r="M982" s="216"/>
      <c r="N982" s="216"/>
      <c r="O982" s="217"/>
      <c r="P982" s="217"/>
      <c r="Q982" s="217"/>
      <c r="R982" s="217"/>
      <c r="S982" s="218"/>
      <c r="X982" s="218"/>
      <c r="AD982" s="216"/>
      <c r="AO982" s="216"/>
      <c r="AP982" s="216"/>
      <c r="AQ982" s="216"/>
      <c r="AR982" s="216"/>
      <c r="AT982" s="192"/>
      <c r="AU982" s="192"/>
      <c r="AV982" s="192"/>
      <c r="AW982" s="192"/>
      <c r="AX982" s="192"/>
      <c r="AY982" s="212"/>
      <c r="AZ982" s="213"/>
      <c r="BA982" s="213"/>
      <c r="BB982" s="213"/>
      <c r="BC982" s="212"/>
      <c r="BD982" s="213"/>
      <c r="BE982" s="213"/>
      <c r="BF982" s="213"/>
      <c r="BG982" s="212"/>
      <c r="BH982" s="213"/>
      <c r="BI982" s="213"/>
      <c r="BJ982" s="213"/>
      <c r="BK982" s="213"/>
      <c r="BL982" s="212"/>
      <c r="BM982" s="213"/>
      <c r="BN982" s="213"/>
      <c r="BO982" s="213"/>
      <c r="BP982" s="213"/>
      <c r="BQ982" s="192"/>
      <c r="BR982" s="192"/>
    </row>
    <row r="983">
      <c r="A983" s="60"/>
      <c r="E983" s="215"/>
      <c r="F983" s="215"/>
      <c r="G983" s="215"/>
      <c r="L983" s="216"/>
      <c r="M983" s="216"/>
      <c r="N983" s="216"/>
      <c r="O983" s="217"/>
      <c r="P983" s="217"/>
      <c r="Q983" s="217"/>
      <c r="R983" s="217"/>
      <c r="S983" s="218"/>
      <c r="X983" s="218"/>
      <c r="AD983" s="216"/>
      <c r="AO983" s="216"/>
      <c r="AP983" s="216"/>
      <c r="AQ983" s="216"/>
      <c r="AR983" s="216"/>
      <c r="AT983" s="192"/>
      <c r="AU983" s="192"/>
      <c r="AV983" s="192"/>
      <c r="AW983" s="192"/>
      <c r="AX983" s="192"/>
      <c r="AY983" s="212"/>
      <c r="AZ983" s="213"/>
      <c r="BA983" s="213"/>
      <c r="BB983" s="213"/>
      <c r="BC983" s="212"/>
      <c r="BD983" s="213"/>
      <c r="BE983" s="213"/>
      <c r="BF983" s="213"/>
      <c r="BG983" s="212"/>
      <c r="BH983" s="213"/>
      <c r="BI983" s="213"/>
      <c r="BJ983" s="213"/>
      <c r="BK983" s="213"/>
      <c r="BL983" s="212"/>
      <c r="BM983" s="213"/>
      <c r="BN983" s="213"/>
      <c r="BO983" s="213"/>
      <c r="BP983" s="213"/>
      <c r="BQ983" s="192"/>
      <c r="BR983" s="192"/>
    </row>
    <row r="984">
      <c r="A984" s="60"/>
      <c r="E984" s="215"/>
      <c r="F984" s="215"/>
      <c r="G984" s="215"/>
      <c r="L984" s="216"/>
      <c r="M984" s="216"/>
      <c r="N984" s="216"/>
      <c r="O984" s="217"/>
      <c r="P984" s="217"/>
      <c r="Q984" s="217"/>
      <c r="R984" s="217"/>
      <c r="S984" s="218"/>
      <c r="X984" s="218"/>
      <c r="AD984" s="216"/>
      <c r="AO984" s="216"/>
      <c r="AP984" s="216"/>
      <c r="AQ984" s="216"/>
      <c r="AR984" s="216"/>
      <c r="AT984" s="192"/>
      <c r="AU984" s="192"/>
      <c r="AV984" s="192"/>
      <c r="AW984" s="192"/>
      <c r="AX984" s="192"/>
      <c r="AY984" s="212"/>
      <c r="AZ984" s="213"/>
      <c r="BA984" s="213"/>
      <c r="BB984" s="213"/>
      <c r="BC984" s="212"/>
      <c r="BD984" s="213"/>
      <c r="BE984" s="213"/>
      <c r="BF984" s="213"/>
      <c r="BG984" s="212"/>
      <c r="BH984" s="213"/>
      <c r="BI984" s="213"/>
      <c r="BJ984" s="213"/>
      <c r="BK984" s="213"/>
      <c r="BL984" s="212"/>
      <c r="BM984" s="213"/>
      <c r="BN984" s="213"/>
      <c r="BO984" s="213"/>
      <c r="BP984" s="213"/>
      <c r="BQ984" s="192"/>
      <c r="BR984" s="192"/>
    </row>
    <row r="985">
      <c r="A985" s="60"/>
      <c r="E985" s="215"/>
      <c r="F985" s="215"/>
      <c r="G985" s="215"/>
      <c r="L985" s="216"/>
      <c r="M985" s="216"/>
      <c r="N985" s="216"/>
      <c r="O985" s="217"/>
      <c r="P985" s="217"/>
      <c r="Q985" s="217"/>
      <c r="R985" s="217"/>
      <c r="S985" s="218"/>
      <c r="X985" s="218"/>
      <c r="AD985" s="216"/>
      <c r="AO985" s="216"/>
      <c r="AP985" s="216"/>
      <c r="AQ985" s="216"/>
      <c r="AR985" s="216"/>
      <c r="AT985" s="192"/>
      <c r="AU985" s="192"/>
      <c r="AV985" s="192"/>
      <c r="AW985" s="192"/>
      <c r="AX985" s="192"/>
      <c r="AY985" s="212"/>
      <c r="AZ985" s="213"/>
      <c r="BA985" s="213"/>
      <c r="BB985" s="213"/>
      <c r="BC985" s="212"/>
      <c r="BD985" s="213"/>
      <c r="BE985" s="213"/>
      <c r="BF985" s="213"/>
      <c r="BG985" s="212"/>
      <c r="BH985" s="213"/>
      <c r="BI985" s="213"/>
      <c r="BJ985" s="213"/>
      <c r="BK985" s="213"/>
      <c r="BL985" s="212"/>
      <c r="BM985" s="213"/>
      <c r="BN985" s="213"/>
      <c r="BO985" s="213"/>
      <c r="BP985" s="213"/>
      <c r="BQ985" s="192"/>
      <c r="BR985" s="192"/>
    </row>
    <row r="986">
      <c r="A986" s="60"/>
      <c r="E986" s="215"/>
      <c r="F986" s="215"/>
      <c r="G986" s="215"/>
      <c r="L986" s="216"/>
      <c r="M986" s="216"/>
      <c r="N986" s="216"/>
      <c r="O986" s="217"/>
      <c r="P986" s="217"/>
      <c r="Q986" s="217"/>
      <c r="R986" s="217"/>
      <c r="S986" s="218"/>
      <c r="X986" s="218"/>
      <c r="AD986" s="216"/>
      <c r="AO986" s="216"/>
      <c r="AP986" s="216"/>
      <c r="AQ986" s="216"/>
      <c r="AR986" s="216"/>
      <c r="AT986" s="192"/>
      <c r="AU986" s="192"/>
      <c r="AV986" s="192"/>
      <c r="AW986" s="192"/>
      <c r="AX986" s="192"/>
      <c r="AY986" s="212"/>
      <c r="AZ986" s="213"/>
      <c r="BA986" s="213"/>
      <c r="BB986" s="213"/>
      <c r="BC986" s="212"/>
      <c r="BD986" s="213"/>
      <c r="BE986" s="213"/>
      <c r="BF986" s="213"/>
      <c r="BG986" s="212"/>
      <c r="BH986" s="213"/>
      <c r="BI986" s="213"/>
      <c r="BJ986" s="213"/>
      <c r="BK986" s="213"/>
      <c r="BL986" s="212"/>
      <c r="BM986" s="213"/>
      <c r="BN986" s="213"/>
      <c r="BO986" s="213"/>
      <c r="BP986" s="213"/>
      <c r="BQ986" s="192"/>
      <c r="BR986" s="192"/>
    </row>
    <row r="987">
      <c r="A987" s="60"/>
      <c r="E987" s="215"/>
      <c r="F987" s="215"/>
      <c r="G987" s="215"/>
      <c r="L987" s="216"/>
      <c r="M987" s="216"/>
      <c r="N987" s="216"/>
      <c r="O987" s="217"/>
      <c r="P987" s="217"/>
      <c r="Q987" s="217"/>
      <c r="R987" s="217"/>
      <c r="S987" s="218"/>
      <c r="X987" s="218"/>
      <c r="AD987" s="216"/>
      <c r="AO987" s="216"/>
      <c r="AP987" s="216"/>
      <c r="AQ987" s="216"/>
      <c r="AR987" s="216"/>
      <c r="AT987" s="192"/>
      <c r="AU987" s="192"/>
      <c r="AV987" s="192"/>
      <c r="AW987" s="192"/>
      <c r="AX987" s="192"/>
      <c r="AY987" s="212"/>
      <c r="AZ987" s="213"/>
      <c r="BA987" s="213"/>
      <c r="BB987" s="213"/>
      <c r="BC987" s="212"/>
      <c r="BD987" s="213"/>
      <c r="BE987" s="213"/>
      <c r="BF987" s="213"/>
      <c r="BG987" s="212"/>
      <c r="BH987" s="213"/>
      <c r="BI987" s="213"/>
      <c r="BJ987" s="213"/>
      <c r="BK987" s="213"/>
      <c r="BL987" s="212"/>
      <c r="BM987" s="213"/>
      <c r="BN987" s="213"/>
      <c r="BO987" s="213"/>
      <c r="BP987" s="213"/>
      <c r="BQ987" s="192"/>
      <c r="BR987" s="192"/>
    </row>
    <row r="988">
      <c r="A988" s="60"/>
      <c r="E988" s="215"/>
      <c r="F988" s="215"/>
      <c r="G988" s="215"/>
      <c r="L988" s="216"/>
      <c r="M988" s="216"/>
      <c r="N988" s="216"/>
      <c r="O988" s="217"/>
      <c r="P988" s="217"/>
      <c r="Q988" s="217"/>
      <c r="R988" s="217"/>
      <c r="S988" s="218"/>
      <c r="X988" s="218"/>
      <c r="AD988" s="216"/>
      <c r="AO988" s="216"/>
      <c r="AP988" s="216"/>
      <c r="AQ988" s="216"/>
      <c r="AR988" s="216"/>
      <c r="AT988" s="192"/>
      <c r="AU988" s="192"/>
      <c r="AV988" s="192"/>
      <c r="AW988" s="192"/>
      <c r="AX988" s="192"/>
      <c r="AY988" s="212"/>
      <c r="AZ988" s="213"/>
      <c r="BA988" s="213"/>
      <c r="BB988" s="213"/>
      <c r="BC988" s="212"/>
      <c r="BD988" s="213"/>
      <c r="BE988" s="213"/>
      <c r="BF988" s="213"/>
      <c r="BG988" s="212"/>
      <c r="BH988" s="213"/>
      <c r="BI988" s="213"/>
      <c r="BJ988" s="213"/>
      <c r="BK988" s="213"/>
      <c r="BL988" s="212"/>
      <c r="BM988" s="213"/>
      <c r="BN988" s="213"/>
      <c r="BO988" s="213"/>
      <c r="BP988" s="213"/>
      <c r="BQ988" s="192"/>
      <c r="BR988" s="192"/>
    </row>
    <row r="989">
      <c r="A989" s="60"/>
      <c r="E989" s="215"/>
      <c r="F989" s="215"/>
      <c r="G989" s="215"/>
      <c r="L989" s="216"/>
      <c r="M989" s="216"/>
      <c r="N989" s="216"/>
      <c r="O989" s="217"/>
      <c r="P989" s="217"/>
      <c r="Q989" s="217"/>
      <c r="R989" s="217"/>
      <c r="S989" s="218"/>
      <c r="X989" s="218"/>
      <c r="AD989" s="216"/>
      <c r="AO989" s="216"/>
      <c r="AP989" s="216"/>
      <c r="AQ989" s="216"/>
      <c r="AR989" s="216"/>
      <c r="AT989" s="192"/>
      <c r="AU989" s="192"/>
      <c r="AV989" s="192"/>
      <c r="AW989" s="192"/>
      <c r="AX989" s="192"/>
      <c r="AY989" s="212"/>
      <c r="AZ989" s="213"/>
      <c r="BA989" s="213"/>
      <c r="BB989" s="213"/>
      <c r="BC989" s="212"/>
      <c r="BD989" s="213"/>
      <c r="BE989" s="213"/>
      <c r="BF989" s="213"/>
      <c r="BG989" s="212"/>
      <c r="BH989" s="213"/>
      <c r="BI989" s="213"/>
      <c r="BJ989" s="213"/>
      <c r="BK989" s="213"/>
      <c r="BL989" s="212"/>
      <c r="BM989" s="213"/>
      <c r="BN989" s="213"/>
      <c r="BO989" s="213"/>
      <c r="BP989" s="213"/>
      <c r="BQ989" s="192"/>
      <c r="BR989" s="192"/>
    </row>
    <row r="990">
      <c r="A990" s="60"/>
      <c r="E990" s="215"/>
      <c r="F990" s="215"/>
      <c r="G990" s="215"/>
      <c r="L990" s="216"/>
      <c r="M990" s="216"/>
      <c r="N990" s="216"/>
      <c r="O990" s="217"/>
      <c r="P990" s="217"/>
      <c r="Q990" s="217"/>
      <c r="R990" s="217"/>
      <c r="S990" s="218"/>
      <c r="X990" s="218"/>
      <c r="AD990" s="216"/>
      <c r="AO990" s="216"/>
      <c r="AP990" s="216"/>
      <c r="AQ990" s="216"/>
      <c r="AR990" s="216"/>
      <c r="AT990" s="192"/>
      <c r="AU990" s="192"/>
      <c r="AV990" s="192"/>
      <c r="AW990" s="192"/>
      <c r="AX990" s="192"/>
      <c r="AY990" s="212"/>
      <c r="AZ990" s="213"/>
      <c r="BA990" s="213"/>
      <c r="BB990" s="213"/>
      <c r="BC990" s="212"/>
      <c r="BD990" s="213"/>
      <c r="BE990" s="213"/>
      <c r="BF990" s="213"/>
      <c r="BG990" s="212"/>
      <c r="BH990" s="213"/>
      <c r="BI990" s="213"/>
      <c r="BJ990" s="213"/>
      <c r="BK990" s="213"/>
      <c r="BL990" s="212"/>
      <c r="BM990" s="213"/>
      <c r="BN990" s="213"/>
      <c r="BO990" s="213"/>
      <c r="BP990" s="213"/>
      <c r="BQ990" s="192"/>
      <c r="BR990" s="192"/>
    </row>
    <row r="991">
      <c r="A991" s="60"/>
      <c r="E991" s="215"/>
      <c r="F991" s="215"/>
      <c r="G991" s="215"/>
      <c r="L991" s="216"/>
      <c r="M991" s="216"/>
      <c r="N991" s="216"/>
      <c r="O991" s="217"/>
      <c r="P991" s="217"/>
      <c r="Q991" s="217"/>
      <c r="R991" s="217"/>
      <c r="S991" s="218"/>
      <c r="X991" s="218"/>
      <c r="AD991" s="216"/>
      <c r="AO991" s="216"/>
      <c r="AP991" s="216"/>
      <c r="AQ991" s="216"/>
      <c r="AR991" s="216"/>
      <c r="AT991" s="192"/>
      <c r="AU991" s="192"/>
      <c r="AV991" s="192"/>
      <c r="AW991" s="192"/>
      <c r="AX991" s="192"/>
      <c r="AY991" s="212"/>
      <c r="AZ991" s="213"/>
      <c r="BA991" s="213"/>
      <c r="BB991" s="213"/>
      <c r="BC991" s="212"/>
      <c r="BD991" s="213"/>
      <c r="BE991" s="213"/>
      <c r="BF991" s="213"/>
      <c r="BG991" s="212"/>
      <c r="BH991" s="213"/>
      <c r="BI991" s="213"/>
      <c r="BJ991" s="213"/>
      <c r="BK991" s="213"/>
      <c r="BL991" s="212"/>
      <c r="BM991" s="213"/>
      <c r="BN991" s="213"/>
      <c r="BO991" s="213"/>
      <c r="BP991" s="213"/>
      <c r="BQ991" s="192"/>
      <c r="BR991" s="192"/>
    </row>
    <row r="992">
      <c r="A992" s="60"/>
      <c r="E992" s="215"/>
      <c r="F992" s="215"/>
      <c r="G992" s="215"/>
      <c r="L992" s="216"/>
      <c r="M992" s="216"/>
      <c r="N992" s="216"/>
      <c r="O992" s="217"/>
      <c r="P992" s="217"/>
      <c r="Q992" s="217"/>
      <c r="R992" s="217"/>
      <c r="S992" s="218"/>
      <c r="X992" s="218"/>
      <c r="AD992" s="216"/>
      <c r="AO992" s="216"/>
      <c r="AP992" s="216"/>
      <c r="AQ992" s="216"/>
      <c r="AR992" s="216"/>
      <c r="AT992" s="192"/>
      <c r="AU992" s="192"/>
      <c r="AV992" s="192"/>
      <c r="AW992" s="192"/>
      <c r="AX992" s="192"/>
      <c r="AY992" s="212"/>
      <c r="AZ992" s="213"/>
      <c r="BA992" s="213"/>
      <c r="BB992" s="213"/>
      <c r="BC992" s="212"/>
      <c r="BD992" s="213"/>
      <c r="BE992" s="213"/>
      <c r="BF992" s="213"/>
      <c r="BG992" s="212"/>
      <c r="BH992" s="213"/>
      <c r="BI992" s="213"/>
      <c r="BJ992" s="213"/>
      <c r="BK992" s="213"/>
      <c r="BL992" s="212"/>
      <c r="BM992" s="213"/>
      <c r="BN992" s="213"/>
      <c r="BO992" s="213"/>
      <c r="BP992" s="213"/>
      <c r="BQ992" s="192"/>
      <c r="BR992" s="192"/>
    </row>
    <row r="993">
      <c r="A993" s="60"/>
      <c r="E993" s="215"/>
      <c r="F993" s="215"/>
      <c r="G993" s="215"/>
      <c r="L993" s="216"/>
      <c r="M993" s="216"/>
      <c r="N993" s="216"/>
      <c r="O993" s="217"/>
      <c r="P993" s="217"/>
      <c r="Q993" s="217"/>
      <c r="R993" s="217"/>
      <c r="S993" s="218"/>
      <c r="X993" s="218"/>
      <c r="AD993" s="216"/>
      <c r="AO993" s="216"/>
      <c r="AP993" s="216"/>
      <c r="AQ993" s="216"/>
      <c r="AR993" s="216"/>
      <c r="AT993" s="192"/>
      <c r="AU993" s="192"/>
      <c r="AV993" s="192"/>
      <c r="AW993" s="192"/>
      <c r="AX993" s="192"/>
      <c r="AY993" s="212"/>
      <c r="AZ993" s="213"/>
      <c r="BA993" s="213"/>
      <c r="BB993" s="213"/>
      <c r="BC993" s="212"/>
      <c r="BD993" s="213"/>
      <c r="BE993" s="213"/>
      <c r="BF993" s="213"/>
      <c r="BG993" s="212"/>
      <c r="BH993" s="213"/>
      <c r="BI993" s="213"/>
      <c r="BJ993" s="213"/>
      <c r="BK993" s="213"/>
      <c r="BL993" s="212"/>
      <c r="BM993" s="213"/>
      <c r="BN993" s="213"/>
      <c r="BO993" s="213"/>
      <c r="BP993" s="213"/>
      <c r="BQ993" s="192"/>
      <c r="BR993" s="192"/>
    </row>
    <row r="994">
      <c r="A994" s="60"/>
      <c r="E994" s="215"/>
      <c r="F994" s="215"/>
      <c r="G994" s="215"/>
      <c r="L994" s="216"/>
      <c r="M994" s="216"/>
      <c r="N994" s="216"/>
      <c r="O994" s="217"/>
      <c r="P994" s="217"/>
      <c r="Q994" s="217"/>
      <c r="R994" s="217"/>
      <c r="S994" s="218"/>
      <c r="X994" s="218"/>
      <c r="AD994" s="216"/>
      <c r="AO994" s="216"/>
      <c r="AP994" s="216"/>
      <c r="AQ994" s="216"/>
      <c r="AR994" s="216"/>
      <c r="AT994" s="192"/>
      <c r="AU994" s="192"/>
      <c r="AV994" s="192"/>
      <c r="AW994" s="192"/>
      <c r="AX994" s="192"/>
      <c r="AY994" s="212"/>
      <c r="AZ994" s="213"/>
      <c r="BA994" s="213"/>
      <c r="BB994" s="213"/>
      <c r="BC994" s="212"/>
      <c r="BD994" s="213"/>
      <c r="BE994" s="213"/>
      <c r="BF994" s="213"/>
      <c r="BG994" s="212"/>
      <c r="BH994" s="213"/>
      <c r="BI994" s="213"/>
      <c r="BJ994" s="213"/>
      <c r="BK994" s="213"/>
      <c r="BL994" s="212"/>
      <c r="BM994" s="213"/>
      <c r="BN994" s="213"/>
      <c r="BO994" s="213"/>
      <c r="BP994" s="213"/>
      <c r="BQ994" s="192"/>
      <c r="BR994" s="192"/>
    </row>
    <row r="995">
      <c r="A995" s="60"/>
      <c r="E995" s="215"/>
      <c r="F995" s="215"/>
      <c r="G995" s="215"/>
      <c r="L995" s="216"/>
      <c r="M995" s="216"/>
      <c r="N995" s="216"/>
      <c r="O995" s="217"/>
      <c r="P995" s="217"/>
      <c r="Q995" s="217"/>
      <c r="R995" s="217"/>
      <c r="S995" s="218"/>
      <c r="X995" s="218"/>
      <c r="AD995" s="216"/>
      <c r="AO995" s="216"/>
      <c r="AP995" s="216"/>
      <c r="AQ995" s="216"/>
      <c r="AR995" s="216"/>
      <c r="AT995" s="192"/>
      <c r="AU995" s="192"/>
      <c r="AV995" s="192"/>
      <c r="AW995" s="192"/>
      <c r="AX995" s="192"/>
      <c r="AY995" s="212"/>
      <c r="AZ995" s="213"/>
      <c r="BA995" s="213"/>
      <c r="BB995" s="213"/>
      <c r="BC995" s="212"/>
      <c r="BD995" s="213"/>
      <c r="BE995" s="213"/>
      <c r="BF995" s="213"/>
      <c r="BG995" s="212"/>
      <c r="BH995" s="213"/>
      <c r="BI995" s="213"/>
      <c r="BJ995" s="213"/>
      <c r="BK995" s="213"/>
      <c r="BL995" s="212"/>
      <c r="BM995" s="213"/>
      <c r="BN995" s="213"/>
      <c r="BO995" s="213"/>
      <c r="BP995" s="213"/>
      <c r="BQ995" s="192"/>
      <c r="BR995" s="192"/>
    </row>
    <row r="996">
      <c r="A996" s="60"/>
      <c r="E996" s="215"/>
      <c r="F996" s="215"/>
      <c r="G996" s="215"/>
      <c r="L996" s="216"/>
      <c r="M996" s="216"/>
      <c r="N996" s="216"/>
      <c r="O996" s="217"/>
      <c r="P996" s="217"/>
      <c r="Q996" s="217"/>
      <c r="R996" s="217"/>
      <c r="S996" s="218"/>
      <c r="X996" s="218"/>
      <c r="AD996" s="216"/>
      <c r="AO996" s="216"/>
      <c r="AP996" s="216"/>
      <c r="AQ996" s="216"/>
      <c r="AR996" s="216"/>
      <c r="AT996" s="192"/>
      <c r="AU996" s="192"/>
      <c r="AV996" s="192"/>
      <c r="AW996" s="192"/>
      <c r="AX996" s="192"/>
      <c r="AY996" s="212"/>
      <c r="AZ996" s="213"/>
      <c r="BA996" s="213"/>
      <c r="BB996" s="213"/>
      <c r="BC996" s="212"/>
      <c r="BD996" s="213"/>
      <c r="BE996" s="213"/>
      <c r="BF996" s="213"/>
      <c r="BG996" s="212"/>
      <c r="BH996" s="213"/>
      <c r="BI996" s="213"/>
      <c r="BJ996" s="213"/>
      <c r="BK996" s="213"/>
      <c r="BL996" s="212"/>
      <c r="BM996" s="213"/>
      <c r="BN996" s="213"/>
      <c r="BO996" s="213"/>
      <c r="BP996" s="213"/>
      <c r="BQ996" s="192"/>
      <c r="BR996" s="192"/>
    </row>
    <row r="997">
      <c r="A997" s="60"/>
      <c r="E997" s="215"/>
      <c r="F997" s="215"/>
      <c r="G997" s="215"/>
      <c r="L997" s="216"/>
      <c r="M997" s="216"/>
      <c r="N997" s="216"/>
      <c r="O997" s="217"/>
      <c r="P997" s="217"/>
      <c r="Q997" s="217"/>
      <c r="R997" s="217"/>
      <c r="S997" s="218"/>
      <c r="X997" s="218"/>
      <c r="AD997" s="216"/>
      <c r="AO997" s="216"/>
      <c r="AP997" s="216"/>
      <c r="AQ997" s="216"/>
      <c r="AR997" s="216"/>
      <c r="AT997" s="192"/>
      <c r="AU997" s="192"/>
      <c r="AV997" s="192"/>
      <c r="AW997" s="192"/>
      <c r="AX997" s="192"/>
      <c r="AY997" s="212"/>
      <c r="AZ997" s="213"/>
      <c r="BA997" s="213"/>
      <c r="BB997" s="213"/>
      <c r="BC997" s="212"/>
      <c r="BD997" s="213"/>
      <c r="BE997" s="213"/>
      <c r="BF997" s="213"/>
      <c r="BG997" s="212"/>
      <c r="BH997" s="213"/>
      <c r="BI997" s="213"/>
      <c r="BJ997" s="213"/>
      <c r="BK997" s="213"/>
      <c r="BL997" s="212"/>
      <c r="BM997" s="213"/>
      <c r="BN997" s="213"/>
      <c r="BO997" s="213"/>
      <c r="BP997" s="213"/>
      <c r="BQ997" s="192"/>
      <c r="BR997" s="192"/>
    </row>
    <row r="998">
      <c r="A998" s="60"/>
      <c r="E998" s="215"/>
      <c r="F998" s="215"/>
      <c r="G998" s="215"/>
      <c r="L998" s="216"/>
      <c r="M998" s="216"/>
      <c r="N998" s="216"/>
      <c r="O998" s="217"/>
      <c r="P998" s="217"/>
      <c r="Q998" s="217"/>
      <c r="R998" s="217"/>
      <c r="S998" s="218"/>
      <c r="X998" s="218"/>
      <c r="AD998" s="216"/>
      <c r="AO998" s="216"/>
      <c r="AP998" s="216"/>
      <c r="AQ998" s="216"/>
      <c r="AR998" s="216"/>
      <c r="AT998" s="192"/>
      <c r="AU998" s="192"/>
      <c r="AV998" s="192"/>
      <c r="AW998" s="192"/>
      <c r="AX998" s="192"/>
      <c r="AY998" s="212"/>
      <c r="AZ998" s="213"/>
      <c r="BA998" s="213"/>
      <c r="BB998" s="213"/>
      <c r="BC998" s="212"/>
      <c r="BD998" s="213"/>
      <c r="BE998" s="213"/>
      <c r="BF998" s="213"/>
      <c r="BG998" s="212"/>
      <c r="BH998" s="213"/>
      <c r="BI998" s="213"/>
      <c r="BJ998" s="213"/>
      <c r="BK998" s="213"/>
      <c r="BL998" s="212"/>
      <c r="BM998" s="213"/>
      <c r="BN998" s="213"/>
      <c r="BO998" s="213"/>
      <c r="BP998" s="213"/>
      <c r="BQ998" s="192"/>
      <c r="BR998" s="192"/>
    </row>
    <row r="999">
      <c r="A999" s="60"/>
      <c r="E999" s="215"/>
      <c r="F999" s="215"/>
      <c r="G999" s="215"/>
      <c r="L999" s="216"/>
      <c r="M999" s="216"/>
      <c r="N999" s="216"/>
      <c r="O999" s="217"/>
      <c r="P999" s="217"/>
      <c r="Q999" s="217"/>
      <c r="R999" s="217"/>
      <c r="S999" s="218"/>
      <c r="X999" s="218"/>
      <c r="AD999" s="216"/>
      <c r="AO999" s="216"/>
      <c r="AP999" s="216"/>
      <c r="AQ999" s="216"/>
      <c r="AR999" s="216"/>
      <c r="AT999" s="192"/>
      <c r="AU999" s="192"/>
      <c r="AV999" s="192"/>
      <c r="AW999" s="192"/>
      <c r="AX999" s="192"/>
      <c r="AY999" s="212"/>
      <c r="AZ999" s="213"/>
      <c r="BA999" s="213"/>
      <c r="BB999" s="213"/>
      <c r="BC999" s="212"/>
      <c r="BD999" s="213"/>
      <c r="BE999" s="213"/>
      <c r="BF999" s="213"/>
      <c r="BG999" s="212"/>
      <c r="BH999" s="213"/>
      <c r="BI999" s="213"/>
      <c r="BJ999" s="213"/>
      <c r="BK999" s="213"/>
      <c r="BL999" s="212"/>
      <c r="BM999" s="213"/>
      <c r="BN999" s="213"/>
      <c r="BO999" s="213"/>
      <c r="BP999" s="213"/>
      <c r="BQ999" s="192"/>
      <c r="BR999" s="192"/>
    </row>
    <row r="1000">
      <c r="A1000" s="60"/>
      <c r="E1000" s="215"/>
      <c r="F1000" s="215"/>
      <c r="G1000" s="215"/>
      <c r="L1000" s="216"/>
      <c r="M1000" s="216"/>
      <c r="N1000" s="216"/>
      <c r="O1000" s="217"/>
      <c r="P1000" s="217"/>
      <c r="Q1000" s="217"/>
      <c r="R1000" s="217"/>
      <c r="S1000" s="218"/>
      <c r="X1000" s="218"/>
      <c r="AD1000" s="216"/>
      <c r="AO1000" s="216"/>
      <c r="AP1000" s="216"/>
      <c r="AQ1000" s="216"/>
      <c r="AR1000" s="216"/>
      <c r="AT1000" s="192"/>
      <c r="AU1000" s="192"/>
      <c r="AV1000" s="192"/>
      <c r="AW1000" s="192"/>
      <c r="AX1000" s="192"/>
      <c r="AY1000" s="212"/>
      <c r="AZ1000" s="213"/>
      <c r="BA1000" s="213"/>
      <c r="BB1000" s="213"/>
      <c r="BC1000" s="212"/>
      <c r="BD1000" s="213"/>
      <c r="BE1000" s="213"/>
      <c r="BF1000" s="213"/>
      <c r="BG1000" s="212"/>
      <c r="BH1000" s="213"/>
      <c r="BI1000" s="213"/>
      <c r="BJ1000" s="213"/>
      <c r="BK1000" s="213"/>
      <c r="BL1000" s="212"/>
      <c r="BM1000" s="213"/>
      <c r="BN1000" s="213"/>
      <c r="BO1000" s="213"/>
      <c r="BP1000" s="213"/>
      <c r="BQ1000" s="192"/>
      <c r="BR1000" s="192"/>
    </row>
    <row r="1001">
      <c r="A1001" s="60"/>
      <c r="E1001" s="215"/>
      <c r="F1001" s="215"/>
      <c r="G1001" s="215"/>
      <c r="L1001" s="216"/>
      <c r="M1001" s="216"/>
      <c r="N1001" s="216"/>
      <c r="O1001" s="217"/>
      <c r="P1001" s="217"/>
      <c r="Q1001" s="217"/>
      <c r="R1001" s="217"/>
      <c r="S1001" s="218"/>
      <c r="X1001" s="218"/>
      <c r="AD1001" s="216"/>
      <c r="AO1001" s="216"/>
      <c r="AP1001" s="216"/>
      <c r="AQ1001" s="216"/>
      <c r="AR1001" s="216"/>
      <c r="AT1001" s="192"/>
      <c r="AU1001" s="192"/>
      <c r="AV1001" s="192"/>
      <c r="AW1001" s="192"/>
      <c r="AX1001" s="192"/>
      <c r="AY1001" s="212"/>
      <c r="AZ1001" s="213"/>
      <c r="BA1001" s="213"/>
      <c r="BB1001" s="213"/>
      <c r="BC1001" s="212"/>
      <c r="BD1001" s="213"/>
      <c r="BE1001" s="213"/>
      <c r="BF1001" s="213"/>
      <c r="BG1001" s="212"/>
      <c r="BH1001" s="213"/>
      <c r="BI1001" s="213"/>
      <c r="BJ1001" s="213"/>
      <c r="BK1001" s="213"/>
      <c r="BL1001" s="212"/>
      <c r="BM1001" s="213"/>
      <c r="BN1001" s="213"/>
      <c r="BO1001" s="213"/>
      <c r="BP1001" s="213"/>
      <c r="BQ1001" s="192"/>
      <c r="BR1001" s="192"/>
    </row>
    <row r="1002">
      <c r="E1002" s="215"/>
      <c r="F1002" s="215"/>
      <c r="G1002" s="215"/>
      <c r="L1002" s="208"/>
      <c r="M1002" s="208"/>
      <c r="N1002" s="208"/>
      <c r="O1002" s="209"/>
      <c r="P1002" s="209"/>
      <c r="Q1002" s="209"/>
      <c r="R1002" s="209"/>
      <c r="S1002" s="218"/>
      <c r="X1002" s="218"/>
      <c r="AD1002" s="208"/>
      <c r="AO1002" s="208"/>
      <c r="AP1002" s="208"/>
      <c r="AQ1002" s="208"/>
      <c r="AR1002" s="208"/>
      <c r="AT1002" s="192"/>
      <c r="AU1002" s="192"/>
      <c r="AV1002" s="192"/>
      <c r="AW1002" s="192"/>
      <c r="AX1002" s="192"/>
      <c r="AY1002" s="212"/>
      <c r="AZ1002" s="213"/>
      <c r="BA1002" s="213"/>
      <c r="BB1002" s="213"/>
      <c r="BC1002" s="212"/>
      <c r="BD1002" s="213"/>
      <c r="BE1002" s="213"/>
      <c r="BF1002" s="213"/>
      <c r="BG1002" s="212"/>
      <c r="BH1002" s="213"/>
      <c r="BI1002" s="213"/>
      <c r="BJ1002" s="213"/>
      <c r="BK1002" s="213"/>
      <c r="BL1002" s="212"/>
      <c r="BM1002" s="213"/>
      <c r="BN1002" s="213"/>
      <c r="BO1002" s="213"/>
      <c r="BP1002" s="213"/>
      <c r="BQ1002" s="192"/>
      <c r="BR1002" s="192"/>
    </row>
    <row r="1003">
      <c r="E1003" s="215"/>
      <c r="F1003" s="215"/>
      <c r="G1003" s="215"/>
      <c r="L1003" s="208"/>
      <c r="M1003" s="208"/>
      <c r="N1003" s="208"/>
      <c r="O1003" s="209"/>
      <c r="P1003" s="209"/>
      <c r="Q1003" s="209"/>
      <c r="R1003" s="209"/>
      <c r="S1003" s="218"/>
      <c r="X1003" s="218"/>
      <c r="AD1003" s="208"/>
      <c r="AO1003" s="208"/>
      <c r="AP1003" s="208"/>
      <c r="AQ1003" s="208"/>
      <c r="AR1003" s="208"/>
      <c r="AT1003" s="192"/>
      <c r="AU1003" s="192"/>
      <c r="AV1003" s="192"/>
      <c r="AW1003" s="192"/>
      <c r="AX1003" s="192"/>
      <c r="AY1003" s="212"/>
      <c r="AZ1003" s="213"/>
      <c r="BA1003" s="213"/>
      <c r="BB1003" s="213"/>
      <c r="BC1003" s="212"/>
      <c r="BD1003" s="213"/>
      <c r="BE1003" s="213"/>
      <c r="BF1003" s="213"/>
      <c r="BG1003" s="212"/>
      <c r="BH1003" s="213"/>
      <c r="BI1003" s="213"/>
      <c r="BJ1003" s="213"/>
      <c r="BK1003" s="213"/>
      <c r="BL1003" s="212"/>
      <c r="BM1003" s="213"/>
      <c r="BN1003" s="213"/>
      <c r="BO1003" s="213"/>
      <c r="BP1003" s="213"/>
      <c r="BQ1003" s="192"/>
      <c r="BR1003" s="192"/>
    </row>
    <row r="1004">
      <c r="E1004" s="215"/>
      <c r="F1004" s="215"/>
      <c r="G1004" s="215"/>
      <c r="L1004" s="208"/>
      <c r="M1004" s="208"/>
      <c r="N1004" s="208"/>
      <c r="O1004" s="209"/>
      <c r="P1004" s="209"/>
      <c r="Q1004" s="209"/>
      <c r="R1004" s="209"/>
      <c r="S1004" s="218"/>
      <c r="X1004" s="218"/>
      <c r="AD1004" s="208"/>
      <c r="AO1004" s="208"/>
      <c r="AP1004" s="208"/>
      <c r="AQ1004" s="208"/>
      <c r="AR1004" s="208"/>
      <c r="AT1004" s="192"/>
      <c r="AU1004" s="192"/>
      <c r="AV1004" s="192"/>
      <c r="AW1004" s="192"/>
      <c r="AX1004" s="192"/>
      <c r="AY1004" s="212"/>
      <c r="AZ1004" s="213"/>
      <c r="BA1004" s="213"/>
      <c r="BB1004" s="213"/>
      <c r="BC1004" s="212"/>
      <c r="BD1004" s="213"/>
      <c r="BE1004" s="213"/>
      <c r="BF1004" s="213"/>
      <c r="BG1004" s="212"/>
      <c r="BH1004" s="213"/>
      <c r="BI1004" s="213"/>
      <c r="BJ1004" s="213"/>
      <c r="BK1004" s="213"/>
      <c r="BL1004" s="212"/>
      <c r="BM1004" s="213"/>
      <c r="BN1004" s="213"/>
      <c r="BO1004" s="213"/>
      <c r="BP1004" s="213"/>
      <c r="BQ1004" s="192"/>
      <c r="BR1004" s="192"/>
    </row>
    <row r="1005">
      <c r="E1005" s="215"/>
      <c r="F1005" s="215"/>
      <c r="G1005" s="215"/>
      <c r="L1005" s="208"/>
      <c r="M1005" s="208"/>
      <c r="N1005" s="208"/>
      <c r="O1005" s="209"/>
      <c r="P1005" s="209"/>
      <c r="Q1005" s="209"/>
      <c r="R1005" s="209"/>
      <c r="S1005" s="218"/>
      <c r="X1005" s="218"/>
      <c r="AD1005" s="208"/>
      <c r="AO1005" s="208"/>
      <c r="AP1005" s="208"/>
      <c r="AQ1005" s="208"/>
      <c r="AR1005" s="208"/>
      <c r="AT1005" s="192"/>
      <c r="AU1005" s="192"/>
      <c r="AV1005" s="192"/>
      <c r="AW1005" s="192"/>
      <c r="AX1005" s="192"/>
      <c r="AY1005" s="212"/>
      <c r="AZ1005" s="213"/>
      <c r="BA1005" s="213"/>
      <c r="BB1005" s="213"/>
      <c r="BC1005" s="212"/>
      <c r="BD1005" s="213"/>
      <c r="BE1005" s="213"/>
      <c r="BF1005" s="213"/>
      <c r="BG1005" s="212"/>
      <c r="BH1005" s="213"/>
      <c r="BI1005" s="213"/>
      <c r="BJ1005" s="213"/>
      <c r="BK1005" s="213"/>
      <c r="BL1005" s="212"/>
      <c r="BM1005" s="213"/>
      <c r="BN1005" s="213"/>
      <c r="BO1005" s="213"/>
      <c r="BP1005" s="213"/>
      <c r="BQ1005" s="192"/>
      <c r="BR1005" s="192"/>
    </row>
    <row r="1006">
      <c r="E1006" s="215"/>
      <c r="F1006" s="215"/>
      <c r="G1006" s="215"/>
      <c r="L1006" s="208"/>
      <c r="M1006" s="208"/>
      <c r="N1006" s="208"/>
      <c r="O1006" s="209"/>
      <c r="P1006" s="209"/>
      <c r="Q1006" s="209"/>
      <c r="R1006" s="209"/>
      <c r="S1006" s="218"/>
      <c r="X1006" s="218"/>
      <c r="AD1006" s="208"/>
      <c r="AO1006" s="208"/>
      <c r="AP1006" s="208"/>
      <c r="AQ1006" s="208"/>
      <c r="AR1006" s="208"/>
      <c r="AT1006" s="192"/>
      <c r="AU1006" s="192"/>
      <c r="AV1006" s="192"/>
      <c r="AW1006" s="192"/>
      <c r="AX1006" s="192"/>
      <c r="AY1006" s="212"/>
      <c r="AZ1006" s="213"/>
      <c r="BA1006" s="213"/>
      <c r="BB1006" s="213"/>
      <c r="BC1006" s="212"/>
      <c r="BD1006" s="213"/>
      <c r="BE1006" s="213"/>
      <c r="BF1006" s="213"/>
      <c r="BG1006" s="212"/>
      <c r="BH1006" s="213"/>
      <c r="BI1006" s="213"/>
      <c r="BJ1006" s="213"/>
      <c r="BK1006" s="213"/>
      <c r="BL1006" s="212"/>
      <c r="BM1006" s="213"/>
      <c r="BN1006" s="213"/>
      <c r="BO1006" s="213"/>
      <c r="BP1006" s="213"/>
      <c r="BQ1006" s="192"/>
      <c r="BR1006" s="192"/>
    </row>
    <row r="1007">
      <c r="E1007" s="215"/>
      <c r="F1007" s="215"/>
      <c r="G1007" s="215"/>
      <c r="L1007" s="208"/>
      <c r="M1007" s="208"/>
      <c r="N1007" s="208"/>
      <c r="O1007" s="209"/>
      <c r="P1007" s="209"/>
      <c r="Q1007" s="209"/>
      <c r="R1007" s="209"/>
      <c r="S1007" s="218"/>
      <c r="X1007" s="218"/>
      <c r="AD1007" s="208"/>
      <c r="AO1007" s="208"/>
      <c r="AP1007" s="208"/>
      <c r="AQ1007" s="208"/>
      <c r="AR1007" s="208"/>
      <c r="AT1007" s="192"/>
      <c r="AU1007" s="192"/>
      <c r="AV1007" s="192"/>
      <c r="AW1007" s="192"/>
      <c r="AX1007" s="192"/>
      <c r="AY1007" s="212"/>
      <c r="AZ1007" s="213"/>
      <c r="BA1007" s="213"/>
      <c r="BB1007" s="213"/>
      <c r="BC1007" s="212"/>
      <c r="BD1007" s="213"/>
      <c r="BE1007" s="213"/>
      <c r="BF1007" s="213"/>
      <c r="BG1007" s="212"/>
      <c r="BH1007" s="213"/>
      <c r="BI1007" s="213"/>
      <c r="BJ1007" s="213"/>
      <c r="BK1007" s="213"/>
      <c r="BL1007" s="212"/>
      <c r="BM1007" s="213"/>
      <c r="BN1007" s="213"/>
      <c r="BO1007" s="213"/>
      <c r="BP1007" s="213"/>
      <c r="BQ1007" s="192"/>
      <c r="BR1007" s="192"/>
    </row>
  </sheetData>
  <mergeCells count="6">
    <mergeCell ref="B1:AR1"/>
    <mergeCell ref="AT1:AX1"/>
    <mergeCell ref="AY1:BB1"/>
    <mergeCell ref="BC1:BF1"/>
    <mergeCell ref="BG1:BK1"/>
    <mergeCell ref="BL1:BP1"/>
  </mergeCells>
  <hyperlinks>
    <hyperlink r:id="rId1" location="osu/3924030" ref="AU3"/>
    <hyperlink r:id="rId2" ref="AV3"/>
    <hyperlink r:id="rId3" ref="AW3"/>
    <hyperlink r:id="rId4" location="osu/306038" ref="AU4"/>
    <hyperlink r:id="rId5" ref="AV4"/>
    <hyperlink r:id="rId6" ref="AW4"/>
    <hyperlink r:id="rId7" location="osu/306038" ref="AX4"/>
    <hyperlink r:id="rId8" location="osu/3207049" ref="AU5"/>
    <hyperlink r:id="rId9" ref="AV5"/>
    <hyperlink r:id="rId10" ref="AW5"/>
    <hyperlink r:id="rId11" location="osu/3207049" ref="AX5"/>
    <hyperlink r:id="rId12" location="osu/3823691" ref="AU6"/>
    <hyperlink r:id="rId13" ref="AV6"/>
    <hyperlink r:id="rId14" ref="AW6"/>
    <hyperlink r:id="rId15" location="osu/3823691" ref="AX6"/>
    <hyperlink r:id="rId16" location="osu/3563790" ref="AU7"/>
    <hyperlink r:id="rId17" ref="AV7"/>
    <hyperlink r:id="rId18" ref="AW7"/>
    <hyperlink r:id="rId19" location="osu/3563790" ref="AX7"/>
    <hyperlink r:id="rId20" location="osu/4113699" ref="AU8"/>
    <hyperlink r:id="rId21" ref="AV8"/>
    <hyperlink r:id="rId22" ref="AW8"/>
    <hyperlink r:id="rId23" location="osu/4113699" ref="AX8"/>
    <hyperlink r:id="rId24" location="osu/2995193" ref="AU9"/>
    <hyperlink r:id="rId25" ref="AV9"/>
    <hyperlink r:id="rId26" ref="AW9"/>
    <hyperlink r:id="rId27" location="osu/2995193" ref="AX9"/>
    <hyperlink r:id="rId28" location="osu/3496410" ref="AU10"/>
    <hyperlink r:id="rId29" ref="AV10"/>
    <hyperlink r:id="rId30" ref="AW10"/>
    <hyperlink r:id="rId31" location="osu/3496410" ref="AX10"/>
    <hyperlink r:id="rId32" location="osu/3737825" ref="AU11"/>
    <hyperlink r:id="rId33" ref="AV11"/>
    <hyperlink r:id="rId34" ref="AW11"/>
    <hyperlink r:id="rId35" location="osu/3737825" ref="AX11"/>
    <hyperlink r:id="rId36" location="osu/3887774" ref="AU12"/>
    <hyperlink r:id="rId37" ref="AV12"/>
    <hyperlink r:id="rId38" ref="AW12"/>
    <hyperlink r:id="rId39" location="osu/3887774" ref="AX12"/>
    <hyperlink r:id="rId40" location="osu/2514122" ref="AU13"/>
    <hyperlink r:id="rId41" ref="AV13"/>
    <hyperlink r:id="rId42" ref="AW13"/>
    <hyperlink r:id="rId43" location="osu/2514122" ref="AX13"/>
    <hyperlink r:id="rId44" location="osu/2619929" ref="AU14"/>
    <hyperlink r:id="rId45" ref="AV14"/>
    <hyperlink r:id="rId46" ref="AW14"/>
    <hyperlink r:id="rId47" location="osu/2619929" ref="AX14"/>
    <hyperlink r:id="rId48" location="osu/3958395" ref="AU15"/>
    <hyperlink r:id="rId49" ref="AV15"/>
    <hyperlink r:id="rId50" ref="AW15"/>
    <hyperlink r:id="rId51" location="osu/3958395" ref="AX15"/>
    <hyperlink r:id="rId52" location="osu/1523138" ref="AU16"/>
    <hyperlink r:id="rId53" ref="AV16"/>
    <hyperlink r:id="rId54" ref="AW16"/>
    <hyperlink r:id="rId55" location="osu/1523138" ref="AX16"/>
    <hyperlink r:id="rId56" location="osu/4105349" ref="AU17"/>
    <hyperlink r:id="rId57" ref="AV17"/>
    <hyperlink r:id="rId58" ref="AW17"/>
    <hyperlink r:id="rId59" location="osu/4105349" ref="AX17"/>
    <hyperlink r:id="rId60" location="osu/3411549" ref="AU18"/>
    <hyperlink r:id="rId61" ref="AV18"/>
    <hyperlink r:id="rId62" ref="AW18"/>
    <hyperlink r:id="rId63" location="osu/3411549" ref="AX18"/>
    <hyperlink r:id="rId64" location="osu/2395972" ref="AU19"/>
    <hyperlink r:id="rId65" ref="AV19"/>
    <hyperlink r:id="rId66" ref="AW19"/>
    <hyperlink r:id="rId67" location="osu/2395972" ref="AX19"/>
    <hyperlink r:id="rId68" location="osu/3720541" ref="AU20"/>
    <hyperlink r:id="rId69" ref="AV20"/>
    <hyperlink r:id="rId70" ref="AW20"/>
    <hyperlink r:id="rId71" location="osu/3720541" ref="AX20"/>
    <hyperlink r:id="rId72" location="osu/3081261" ref="AU21"/>
    <hyperlink r:id="rId73" ref="AV21"/>
    <hyperlink r:id="rId74" ref="AW21"/>
    <hyperlink r:id="rId75" location="osu/3081261" ref="AX21"/>
    <hyperlink r:id="rId76" location="osu/3684386" ref="AU22"/>
    <hyperlink r:id="rId77" ref="AV22"/>
    <hyperlink r:id="rId78" ref="AW22"/>
    <hyperlink r:id="rId79" location="osu/3684386" ref="AX22"/>
    <hyperlink r:id="rId80" location="osu/3783139" ref="AU23"/>
    <hyperlink r:id="rId81" ref="AV23"/>
    <hyperlink r:id="rId82" ref="AW23"/>
    <hyperlink r:id="rId83" location="osu/3783139" ref="AX23"/>
    <hyperlink r:id="rId84" location="osu/2027623" ref="AU24"/>
    <hyperlink r:id="rId85" ref="AV24"/>
    <hyperlink r:id="rId86" ref="AW24"/>
    <hyperlink r:id="rId87" location="osu/2027623" ref="AX24"/>
    <hyperlink r:id="rId88" location="osu/2305346" ref="AU25"/>
    <hyperlink r:id="rId89" ref="AV25"/>
    <hyperlink r:id="rId90" ref="AW25"/>
    <hyperlink r:id="rId91" location="osu/2305346" ref="AX25"/>
    <hyperlink r:id="rId92" location="osu/3310401" ref="AU26"/>
    <hyperlink r:id="rId93" ref="AV26"/>
    <hyperlink r:id="rId94" ref="AW26"/>
    <hyperlink r:id="rId95" location="osu/3310401" ref="AX26"/>
    <hyperlink r:id="rId96" location="osu/4121042" ref="AU27"/>
    <hyperlink r:id="rId97" ref="AV27"/>
    <hyperlink r:id="rId98" ref="AW27"/>
    <hyperlink r:id="rId99" location="osu/4121042" ref="AX27"/>
    <hyperlink r:id="rId100" location="osu/908887" ref="AU28"/>
    <hyperlink r:id="rId101" ref="AV28"/>
    <hyperlink r:id="rId102" ref="AW28"/>
    <hyperlink r:id="rId103" location="osu/908887" ref="AX28"/>
    <hyperlink r:id="rId104" location="osu/3533589" ref="AU29"/>
    <hyperlink r:id="rId105" ref="AV29"/>
    <hyperlink r:id="rId106" ref="AW29"/>
    <hyperlink r:id="rId107" location="osu/3533589" ref="AX29"/>
    <hyperlink r:id="rId108" location="osu/2094462" ref="AU30"/>
    <hyperlink r:id="rId109" ref="AV30"/>
    <hyperlink r:id="rId110" ref="AW30"/>
    <hyperlink r:id="rId111" location="osu/2094462" ref="AX30"/>
    <hyperlink r:id="rId112" location="osu/2094462" ref="AU31"/>
    <hyperlink r:id="rId113" ref="AV31"/>
    <hyperlink r:id="rId114" ref="AW31"/>
    <hyperlink r:id="rId115" location="osu/2094462" ref="AX31"/>
    <hyperlink r:id="rId116" location="osu/3035501" ref="AU32"/>
    <hyperlink r:id="rId117" ref="AV32"/>
    <hyperlink r:id="rId118" ref="AW32"/>
    <hyperlink r:id="rId119" location="osu/3035501" ref="AX32"/>
    <hyperlink r:id="rId120" location="osu/3035501" ref="AU33"/>
    <hyperlink r:id="rId121" ref="AV33"/>
    <hyperlink r:id="rId122" ref="AW33"/>
    <hyperlink r:id="rId123" location="osu/3035501" ref="AX33"/>
    <hyperlink r:id="rId124" location="osu/3035501" ref="AU34"/>
    <hyperlink r:id="rId125" ref="AV34"/>
    <hyperlink r:id="rId126" ref="AW34"/>
    <hyperlink r:id="rId127" location="osu/3035501" ref="AX34"/>
    <hyperlink r:id="rId128" location="osu/3992297" ref="AU35"/>
    <hyperlink r:id="rId129" ref="AV35"/>
    <hyperlink r:id="rId130" ref="AW35"/>
    <hyperlink r:id="rId131" location="osu/3992297" ref="AX35"/>
    <hyperlink r:id="rId132" location="osu/3795759" ref="AU36"/>
    <hyperlink r:id="rId133" ref="AV36"/>
    <hyperlink r:id="rId134" ref="AW36"/>
    <hyperlink r:id="rId135" location="osu/3795759" ref="AX36"/>
    <hyperlink r:id="rId136" location="osu/2016938" ref="AU37"/>
    <hyperlink r:id="rId137" ref="AV37"/>
    <hyperlink r:id="rId138" ref="AW37"/>
    <hyperlink r:id="rId139" location="osu/2016938" ref="AX37"/>
    <hyperlink r:id="rId140" location="osu/2016938" ref="AU38"/>
    <hyperlink r:id="rId141" ref="AV38"/>
    <hyperlink r:id="rId142" ref="AW38"/>
    <hyperlink r:id="rId143" location="osu/2016938" ref="AX38"/>
    <hyperlink r:id="rId144" location="osu/3298592" ref="AU39"/>
    <hyperlink r:id="rId145" ref="AV39"/>
    <hyperlink r:id="rId146" ref="AW39"/>
    <hyperlink r:id="rId147" location="osu/3298592" ref="AX39"/>
    <hyperlink r:id="rId148" location="osu/3298592" ref="AU40"/>
    <hyperlink r:id="rId149" ref="AV40"/>
    <hyperlink r:id="rId150" ref="AW40"/>
    <hyperlink r:id="rId151" location="osu/3298592" ref="AX40"/>
    <hyperlink r:id="rId152" location="osu/1863870" ref="AU41"/>
    <hyperlink r:id="rId153" ref="AV41"/>
    <hyperlink r:id="rId154" ref="AW41"/>
    <hyperlink r:id="rId155" location="osu/1863870" ref="AX41"/>
    <hyperlink r:id="rId156" location="osu/1863870" ref="AU42"/>
    <hyperlink r:id="rId157" ref="AV42"/>
    <hyperlink r:id="rId158" ref="AW42"/>
    <hyperlink r:id="rId159" location="osu/1863870" ref="AX42"/>
    <hyperlink r:id="rId160" location="osu/1456307" ref="AU43"/>
    <hyperlink r:id="rId161" ref="AV43"/>
    <hyperlink r:id="rId162" ref="AW43"/>
    <hyperlink r:id="rId163" location="osu/1456307" ref="AX43"/>
    <hyperlink r:id="rId164" location="osu/2340750" ref="AU44"/>
    <hyperlink r:id="rId165" ref="AV44"/>
    <hyperlink r:id="rId166" ref="AW44"/>
    <hyperlink r:id="rId167" location="osu/2340750" ref="AX44"/>
    <hyperlink r:id="rId168" location="osu/2340750" ref="AU45"/>
    <hyperlink r:id="rId169" ref="AV45"/>
    <hyperlink r:id="rId170" ref="AW45"/>
    <hyperlink r:id="rId171" location="osu/2340750" ref="AX45"/>
    <hyperlink r:id="rId172" location="osu/2340750" ref="AU46"/>
    <hyperlink r:id="rId173" ref="AV46"/>
    <hyperlink r:id="rId174" ref="AW46"/>
    <hyperlink r:id="rId175" location="osu/2340750" ref="AX46"/>
    <hyperlink r:id="rId176" location="osu/3297107" ref="AU47"/>
    <hyperlink r:id="rId177" ref="AV47"/>
    <hyperlink r:id="rId178" ref="AW47"/>
    <hyperlink r:id="rId179" location="osu/3297107" ref="AX47"/>
    <hyperlink r:id="rId180" location="osu/3297107" ref="AU48"/>
    <hyperlink r:id="rId181" ref="AV48"/>
    <hyperlink r:id="rId182" ref="AW48"/>
    <hyperlink r:id="rId183" location="osu/3297107" ref="AX48"/>
    <hyperlink r:id="rId184" location="osu/3297107" ref="AU49"/>
    <hyperlink r:id="rId185" ref="AV49"/>
    <hyperlink r:id="rId186" ref="AW49"/>
    <hyperlink r:id="rId187" location="osu/3297107" ref="AX49"/>
    <hyperlink r:id="rId188" location="osu/2440455" ref="AU50"/>
    <hyperlink r:id="rId189" ref="AV50"/>
    <hyperlink r:id="rId190" ref="AW50"/>
    <hyperlink r:id="rId191" location="osu/2440455" ref="AX50"/>
    <hyperlink r:id="rId192" location="osu/2440455" ref="AU51"/>
    <hyperlink r:id="rId193" ref="AV51"/>
    <hyperlink r:id="rId194" ref="AW51"/>
    <hyperlink r:id="rId195" location="osu/2440455" ref="AX51"/>
    <hyperlink r:id="rId196" location="osu/3248876" ref="AU52"/>
    <hyperlink r:id="rId197" ref="AV52"/>
    <hyperlink r:id="rId198" ref="AW52"/>
    <hyperlink r:id="rId199" location="osu/3248876" ref="AX52"/>
    <hyperlink r:id="rId200" location="osu/3248876" ref="AU53"/>
    <hyperlink r:id="rId201" ref="AV53"/>
    <hyperlink r:id="rId202" ref="AW53"/>
    <hyperlink r:id="rId203" location="osu/3248876" ref="AX53"/>
    <hyperlink r:id="rId204" location="osu/1989991" ref="AU54"/>
    <hyperlink r:id="rId205" ref="AV54"/>
    <hyperlink r:id="rId206" ref="AW54"/>
    <hyperlink r:id="rId207" location="osu/1989991" ref="AX54"/>
    <hyperlink r:id="rId208" location="osu/1989991" ref="AU55"/>
    <hyperlink r:id="rId209" ref="AV55"/>
    <hyperlink r:id="rId210" ref="AW55"/>
    <hyperlink r:id="rId211" location="osu/1989991" ref="AX55"/>
    <hyperlink r:id="rId212" location="osu/1989991" ref="AU56"/>
    <hyperlink r:id="rId213" ref="AV56"/>
    <hyperlink r:id="rId214" ref="AW56"/>
    <hyperlink r:id="rId215" location="osu/1989991" ref="AX56"/>
    <hyperlink r:id="rId216" location="osu/3280686" ref="AU57"/>
    <hyperlink r:id="rId217" ref="AV57"/>
    <hyperlink r:id="rId218" ref="AW57"/>
    <hyperlink r:id="rId219" location="osu/3280686" ref="AX57"/>
    <hyperlink r:id="rId220" location="osu/3280686" ref="AU58"/>
    <hyperlink r:id="rId221" ref="AV58"/>
    <hyperlink r:id="rId222" ref="AW58"/>
    <hyperlink r:id="rId223" location="osu/3280686" ref="AX58"/>
    <hyperlink r:id="rId224" location="osu/3280686" ref="AU59"/>
    <hyperlink r:id="rId225" ref="AV59"/>
    <hyperlink r:id="rId226" ref="AW59"/>
    <hyperlink r:id="rId227" location="osu/3280686" ref="AX59"/>
    <hyperlink r:id="rId228" location="osu/4024821" ref="AU60"/>
    <hyperlink r:id="rId229" ref="AV60"/>
    <hyperlink r:id="rId230" ref="AW60"/>
    <hyperlink r:id="rId231" location="osu/4024821" ref="AX60"/>
    <hyperlink r:id="rId232" location="osu/3396305" ref="AU61"/>
    <hyperlink r:id="rId233" ref="AV61"/>
    <hyperlink r:id="rId234" ref="AW61"/>
    <hyperlink r:id="rId235" location="osu/3396305" ref="AX61"/>
    <hyperlink r:id="rId236" location="osu/3396305" ref="AU62"/>
    <hyperlink r:id="rId237" ref="AV62"/>
    <hyperlink r:id="rId238" ref="AW62"/>
    <hyperlink r:id="rId239" location="osu/3396305" ref="AX62"/>
    <hyperlink r:id="rId240" location="osu/3446761" ref="AU63"/>
    <hyperlink r:id="rId241" ref="AV63"/>
    <hyperlink r:id="rId242" ref="AW63"/>
    <hyperlink r:id="rId243" location="osu/3446761" ref="AX63"/>
    <hyperlink r:id="rId244" location="osu/3446761" ref="AU64"/>
    <hyperlink r:id="rId245" ref="AV64"/>
    <hyperlink r:id="rId246" ref="AW64"/>
    <hyperlink r:id="rId247" location="osu/3446761" ref="AX64"/>
    <hyperlink r:id="rId248" location="osu/3446761" ref="AU65"/>
    <hyperlink r:id="rId249" ref="AV65"/>
    <hyperlink r:id="rId250" ref="AW65"/>
    <hyperlink r:id="rId251" location="osu/3446761" ref="AX65"/>
    <hyperlink r:id="rId252" location="osu/2044893" ref="AU66"/>
    <hyperlink r:id="rId253" ref="AV66"/>
    <hyperlink r:id="rId254" ref="AW66"/>
    <hyperlink r:id="rId255" location="osu/2044893" ref="AX66"/>
    <hyperlink r:id="rId256" location="osu/2044893" ref="AU67"/>
    <hyperlink r:id="rId257" ref="AV67"/>
    <hyperlink r:id="rId258" ref="AW67"/>
    <hyperlink r:id="rId259" location="osu/2044893" ref="AX67"/>
    <hyperlink r:id="rId260" location="osu/3044231" ref="AU68"/>
    <hyperlink r:id="rId261" ref="AV68"/>
    <hyperlink r:id="rId262" ref="AW68"/>
    <hyperlink r:id="rId263" location="osu/3044231" ref="AX68"/>
    <hyperlink r:id="rId264" location="osu/57384" ref="AU69"/>
    <hyperlink r:id="rId265" ref="AV69"/>
    <hyperlink r:id="rId266" ref="AW69"/>
    <hyperlink r:id="rId267" location="osu/57384" ref="AX69"/>
    <hyperlink r:id="rId268" location="osu/57384" ref="AU70"/>
    <hyperlink r:id="rId269" ref="AV70"/>
    <hyperlink r:id="rId270" ref="AW70"/>
    <hyperlink r:id="rId271" location="osu/57384" ref="AX70"/>
    <hyperlink r:id="rId272" location="osu/57384" ref="AU71"/>
    <hyperlink r:id="rId273" ref="AV71"/>
    <hyperlink r:id="rId274" ref="AW71"/>
    <hyperlink r:id="rId275" location="osu/57384" ref="AX71"/>
    <hyperlink r:id="rId276" location="osu/2110801" ref="AU72"/>
    <hyperlink r:id="rId277" ref="AV72"/>
    <hyperlink r:id="rId278" ref="AW72"/>
    <hyperlink r:id="rId279" location="osu/2110801" ref="AX72"/>
    <hyperlink r:id="rId280" location="osu/2110801" ref="AU73"/>
    <hyperlink r:id="rId281" ref="AV73"/>
    <hyperlink r:id="rId282" ref="AW73"/>
    <hyperlink r:id="rId283" location="osu/2110801" ref="AX73"/>
    <hyperlink r:id="rId284" location="osu/2366848" ref="AU74"/>
    <hyperlink r:id="rId285" ref="AV74"/>
    <hyperlink r:id="rId286" ref="AW74"/>
    <hyperlink r:id="rId287" location="osu/2366848" ref="AX74"/>
    <hyperlink r:id="rId288" location="osu/2366848" ref="AU75"/>
    <hyperlink r:id="rId289" ref="AV75"/>
    <hyperlink r:id="rId290" ref="AW75"/>
    <hyperlink r:id="rId291" location="osu/2366848" ref="AX75"/>
    <hyperlink r:id="rId292" location="osu/2694599" ref="AU76"/>
    <hyperlink r:id="rId293" ref="AV76"/>
    <hyperlink r:id="rId294" ref="AW76"/>
    <hyperlink r:id="rId295" location="osu/2694599" ref="AX76"/>
    <hyperlink r:id="rId296" location="osu/2694599" ref="AU77"/>
    <hyperlink r:id="rId297" ref="AV77"/>
    <hyperlink r:id="rId298" ref="AW77"/>
    <hyperlink r:id="rId299" location="osu/2694599" ref="AX77"/>
    <hyperlink r:id="rId300" location="osu/134141" ref="AU78"/>
    <hyperlink r:id="rId301" ref="AV78"/>
    <hyperlink r:id="rId302" ref="AW78"/>
    <hyperlink r:id="rId303" location="osu/134141" ref="AX78"/>
    <hyperlink r:id="rId304" location="osu/134141" ref="AU79"/>
    <hyperlink r:id="rId305" ref="AV79"/>
    <hyperlink r:id="rId306" ref="AW79"/>
    <hyperlink r:id="rId307" location="osu/134141" ref="AX79"/>
    <hyperlink r:id="rId308" location="osu/250577" ref="AU80"/>
    <hyperlink r:id="rId309" ref="AV80"/>
    <hyperlink r:id="rId310" ref="AW80"/>
    <hyperlink r:id="rId311" location="osu/250577" ref="AX80"/>
    <hyperlink r:id="rId312" location="osu/2161153" ref="AU81"/>
    <hyperlink r:id="rId313" ref="AV81"/>
    <hyperlink r:id="rId314" ref="AW81"/>
    <hyperlink r:id="rId315" location="osu/2161153" ref="AX81"/>
    <hyperlink r:id="rId316" location="osu/2795818" ref="AU82"/>
    <hyperlink r:id="rId317" ref="AV82"/>
    <hyperlink r:id="rId318" ref="AW82"/>
    <hyperlink r:id="rId319" location="osu/2795818" ref="AX82"/>
    <hyperlink r:id="rId320" location="osu/2795818" ref="AU83"/>
    <hyperlink r:id="rId321" ref="AV83"/>
    <hyperlink r:id="rId322" ref="AW83"/>
    <hyperlink r:id="rId323" location="osu/2795818" ref="AX83"/>
    <hyperlink r:id="rId324" location="osu/3941210" ref="AU84"/>
    <hyperlink r:id="rId325" ref="AV84"/>
    <hyperlink r:id="rId326" ref="AW84"/>
    <hyperlink r:id="rId327" location="osu/3941210" ref="AX84"/>
    <hyperlink r:id="rId328" location="osu/3941210" ref="AU85"/>
    <hyperlink r:id="rId329" ref="AV85"/>
    <hyperlink r:id="rId330" ref="AW85"/>
    <hyperlink r:id="rId331" location="osu/3941210" ref="AX85"/>
    <hyperlink r:id="rId332" location="osu/3941210" ref="AU86"/>
    <hyperlink r:id="rId333" ref="AV86"/>
    <hyperlink r:id="rId334" ref="AW86"/>
    <hyperlink r:id="rId335" location="osu/3941210" ref="AX86"/>
    <hyperlink r:id="rId336" location="osu/3742030" ref="AU87"/>
    <hyperlink r:id="rId337" ref="AV87"/>
    <hyperlink r:id="rId338" ref="AW87"/>
    <hyperlink r:id="rId339" location="osu/3742030" ref="AX87"/>
    <hyperlink r:id="rId340" location="osu/3822652" ref="AU88"/>
    <hyperlink r:id="rId341" ref="AV88"/>
    <hyperlink r:id="rId342" ref="AW88"/>
    <hyperlink r:id="rId343" location="osu/3822652" ref="AX88"/>
    <hyperlink r:id="rId344" location="osu/846261" ref="AU89"/>
    <hyperlink r:id="rId345" ref="AV89"/>
    <hyperlink r:id="rId346" ref="AW89"/>
    <hyperlink r:id="rId347" location="osu/846261" ref="AX89"/>
    <hyperlink r:id="rId348" location="osu/846261" ref="AU90"/>
    <hyperlink r:id="rId349" ref="AV90"/>
    <hyperlink r:id="rId350" ref="AW90"/>
    <hyperlink r:id="rId351" location="osu/846261" ref="AX90"/>
    <hyperlink r:id="rId352" location="osu/2659337" ref="AU91"/>
    <hyperlink r:id="rId353" ref="AV91"/>
    <hyperlink r:id="rId354" ref="AW91"/>
    <hyperlink r:id="rId355" location="osu/2659337" ref="AX91"/>
    <hyperlink r:id="rId356" location="osu/2277989" ref="AU92"/>
    <hyperlink r:id="rId357" ref="AV92"/>
    <hyperlink r:id="rId358" ref="AW92"/>
    <hyperlink r:id="rId359" location="osu/2277989" ref="AX92"/>
    <hyperlink r:id="rId360" location="osu/2277989" ref="AU93"/>
    <hyperlink r:id="rId361" ref="AV93"/>
    <hyperlink r:id="rId362" ref="AW93"/>
    <hyperlink r:id="rId363" location="osu/2277989" ref="AX93"/>
    <hyperlink r:id="rId364" location="osu/2827293" ref="AU94"/>
    <hyperlink r:id="rId365" ref="AV94"/>
    <hyperlink r:id="rId366" ref="AW94"/>
    <hyperlink r:id="rId367" location="osu/2827293" ref="AX94"/>
    <hyperlink r:id="rId368" location="osu/2827293" ref="AU95"/>
    <hyperlink r:id="rId369" ref="AV95"/>
    <hyperlink r:id="rId370" ref="AW95"/>
    <hyperlink r:id="rId371" location="osu/2827293" ref="AX95"/>
    <hyperlink r:id="rId372" location="osu/2004679" ref="AU96"/>
    <hyperlink r:id="rId373" ref="AV96"/>
    <hyperlink r:id="rId374" ref="AW96"/>
    <hyperlink r:id="rId375" location="osu/2004679" ref="AX96"/>
    <hyperlink r:id="rId376" location="osu/2004679" ref="AU97"/>
    <hyperlink r:id="rId377" ref="AV97"/>
    <hyperlink r:id="rId378" ref="AW97"/>
    <hyperlink r:id="rId379" location="osu/2004679" ref="AX97"/>
    <hyperlink r:id="rId380" location="osu/3117101" ref="AU98"/>
    <hyperlink r:id="rId381" ref="AV98"/>
    <hyperlink r:id="rId382" ref="AW98"/>
    <hyperlink r:id="rId383" location="osu/3117101" ref="AX98"/>
    <hyperlink r:id="rId384" location="osu/3117101" ref="AU99"/>
    <hyperlink r:id="rId385" ref="AV99"/>
    <hyperlink r:id="rId386" ref="AW99"/>
    <hyperlink r:id="rId387" location="osu/3117101" ref="AX99"/>
    <hyperlink r:id="rId388" location="osu/1489274" ref="AU100"/>
    <hyperlink r:id="rId389" ref="AV100"/>
    <hyperlink r:id="rId390" ref="AW100"/>
    <hyperlink r:id="rId391" location="osu/1489274" ref="AX100"/>
    <hyperlink r:id="rId392" location="osu/417898" ref="AU101"/>
    <hyperlink r:id="rId393" ref="AV101"/>
    <hyperlink r:id="rId394" ref="AW101"/>
    <hyperlink r:id="rId395" location="osu/417898" ref="AX101"/>
    <hyperlink r:id="rId396" location="osu/417898" ref="AU102"/>
    <hyperlink r:id="rId397" ref="AV102"/>
    <hyperlink r:id="rId398" ref="AW102"/>
    <hyperlink r:id="rId399" location="osu/417898" ref="AX102"/>
    <hyperlink r:id="rId400" location="osu/417898" ref="AU103"/>
    <hyperlink r:id="rId401" ref="AV103"/>
    <hyperlink r:id="rId402" ref="AW103"/>
    <hyperlink r:id="rId403" location="osu/417898" ref="AX103"/>
    <hyperlink r:id="rId404" location="osu/4082310" ref="AU104"/>
    <hyperlink r:id="rId405" ref="AV104"/>
    <hyperlink r:id="rId406" ref="AW104"/>
    <hyperlink r:id="rId407" location="osu/4082310" ref="AX104"/>
    <hyperlink r:id="rId408" location="osu/1498150" ref="AU105"/>
    <hyperlink r:id="rId409" ref="AV105"/>
    <hyperlink r:id="rId410" ref="AW105"/>
    <hyperlink r:id="rId411" location="osu/1498150" ref="AX105"/>
    <hyperlink r:id="rId412" location="osu/1521209" ref="AU106"/>
    <hyperlink r:id="rId413" ref="AV106"/>
    <hyperlink r:id="rId414" ref="AW106"/>
    <hyperlink r:id="rId415" location="osu/1521209" ref="AX106"/>
    <hyperlink r:id="rId416" location="osu/2967720" ref="AU107"/>
    <hyperlink r:id="rId417" ref="AV107"/>
    <hyperlink r:id="rId418" ref="AW107"/>
    <hyperlink r:id="rId419" location="osu/2967720" ref="AX107"/>
    <hyperlink r:id="rId420" location="osu/1498150" ref="AU108"/>
    <hyperlink r:id="rId421" ref="AV108"/>
    <hyperlink r:id="rId422" ref="AW108"/>
    <hyperlink r:id="rId423" location="osu/1498150" ref="AX108"/>
    <hyperlink r:id="rId424" location="osu/1913099" ref="AU109"/>
    <hyperlink r:id="rId425" ref="AV109"/>
    <hyperlink r:id="rId426" ref="AW109"/>
    <hyperlink r:id="rId427" location="osu/1913099" ref="AX109"/>
    <hyperlink r:id="rId428" location="osu/1521209" ref="AU110"/>
    <hyperlink r:id="rId429" ref="AV110"/>
    <hyperlink r:id="rId430" ref="AW110"/>
    <hyperlink r:id="rId431" location="osu/1521209" ref="AX110"/>
    <hyperlink r:id="rId432" location="osu/2967720" ref="AU111"/>
    <hyperlink r:id="rId433" ref="AV111"/>
    <hyperlink r:id="rId434" ref="AW111"/>
    <hyperlink r:id="rId435" location="osu/2967720" ref="AX111"/>
    <hyperlink r:id="rId436" location="osu/87319" ref="AU112"/>
    <hyperlink r:id="rId437" ref="AV112"/>
    <hyperlink r:id="rId438" ref="AW112"/>
    <hyperlink r:id="rId439" location="osu/87319" ref="AX112"/>
    <hyperlink r:id="rId440" location="osu/1913099" ref="AU113"/>
    <hyperlink r:id="rId441" ref="AV113"/>
    <hyperlink r:id="rId442" ref="AW113"/>
    <hyperlink r:id="rId443" location="osu/1913099" ref="AX113"/>
    <hyperlink r:id="rId444" location="osu/155064" ref="AU114"/>
    <hyperlink r:id="rId445" ref="AV114"/>
    <hyperlink r:id="rId446" ref="AW114"/>
    <hyperlink r:id="rId447" location="osu/155064" ref="AX114"/>
    <hyperlink r:id="rId448" location="osu/2729314" ref="AU115"/>
    <hyperlink r:id="rId449" ref="AV115"/>
    <hyperlink r:id="rId450" ref="AW115"/>
    <hyperlink r:id="rId451" location="osu/2729314" ref="AX115"/>
    <hyperlink r:id="rId452" location="osu/87319" ref="AU116"/>
    <hyperlink r:id="rId453" ref="AV116"/>
    <hyperlink r:id="rId454" ref="AW116"/>
    <hyperlink r:id="rId455" location="osu/87319" ref="AX116"/>
    <hyperlink r:id="rId456" location="osu/155064" ref="AU117"/>
    <hyperlink r:id="rId457" ref="AV117"/>
    <hyperlink r:id="rId458" ref="AW117"/>
    <hyperlink r:id="rId459" location="osu/155064" ref="AX117"/>
    <hyperlink r:id="rId460" location="osu/2729314" ref="AU118"/>
    <hyperlink r:id="rId461" ref="AV118"/>
    <hyperlink r:id="rId462" ref="AW118"/>
    <hyperlink r:id="rId463" location="osu/2729314" ref="AX118"/>
    <hyperlink r:id="rId464" location="osu/87369" ref="AU119"/>
    <hyperlink r:id="rId465" ref="AV119"/>
    <hyperlink r:id="rId466" ref="AW119"/>
    <hyperlink r:id="rId467" location="osu/87369" ref="AX119"/>
    <hyperlink r:id="rId468" location="osu/87369" ref="AU120"/>
    <hyperlink r:id="rId469" ref="AV120"/>
    <hyperlink r:id="rId470" ref="AW120"/>
    <hyperlink r:id="rId471" location="osu/87369" ref="AX120"/>
    <hyperlink r:id="rId472" location="osu/87369" ref="AU121"/>
    <hyperlink r:id="rId473" ref="AV121"/>
    <hyperlink r:id="rId474" ref="AW121"/>
    <hyperlink r:id="rId475" location="osu/87369" ref="AX121"/>
    <hyperlink r:id="rId476" location="osu/2530278" ref="AU122"/>
    <hyperlink r:id="rId477" ref="AV122"/>
    <hyperlink r:id="rId478" ref="AW122"/>
    <hyperlink r:id="rId479" location="osu/2530278" ref="AX122"/>
    <hyperlink r:id="rId480" location="osu/2530278" ref="AU123"/>
    <hyperlink r:id="rId481" ref="AV123"/>
    <hyperlink r:id="rId482" ref="AW123"/>
    <hyperlink r:id="rId483" location="osu/2530278" ref="AX123"/>
    <hyperlink r:id="rId484" location="osu/892543" ref="AU124"/>
    <hyperlink r:id="rId485" ref="AV124"/>
    <hyperlink r:id="rId486" ref="AW124"/>
    <hyperlink r:id="rId487" location="osu/892543" ref="AX124"/>
    <hyperlink r:id="rId488" location="osu/892543" ref="AU125"/>
    <hyperlink r:id="rId489" ref="AV125"/>
    <hyperlink r:id="rId490" ref="AW125"/>
    <hyperlink r:id="rId491" location="osu/892543" ref="AX125"/>
    <hyperlink r:id="rId492" location="osu/63604" ref="AU126"/>
    <hyperlink r:id="rId493" ref="AV126"/>
    <hyperlink r:id="rId494" ref="AW126"/>
    <hyperlink r:id="rId495" location="osu/63604" ref="AX126"/>
    <hyperlink r:id="rId496" location="osu/63604" ref="AU127"/>
    <hyperlink r:id="rId497" ref="AV127"/>
    <hyperlink r:id="rId498" ref="AW127"/>
    <hyperlink r:id="rId499" location="osu/63604" ref="AX127"/>
    <hyperlink r:id="rId500" location="osu/3707336" ref="AU128"/>
    <hyperlink r:id="rId501" ref="AV128"/>
    <hyperlink r:id="rId502" ref="AW128"/>
    <hyperlink r:id="rId503" location="osu/3707336" ref="AX128"/>
    <hyperlink r:id="rId504" location="osu/1733441" ref="AU129"/>
    <hyperlink r:id="rId505" ref="AV129"/>
    <hyperlink r:id="rId506" ref="AW129"/>
    <hyperlink r:id="rId507" location="osu/1733441" ref="AX129"/>
    <hyperlink r:id="rId508" location="osu/1733441" ref="AU130"/>
    <hyperlink r:id="rId509" ref="AV130"/>
    <hyperlink r:id="rId510" ref="AW130"/>
    <hyperlink r:id="rId511" location="osu/1733441" ref="AX130"/>
    <hyperlink r:id="rId512" location="osu/3601684" ref="AU131"/>
    <hyperlink r:id="rId513" ref="AV131"/>
    <hyperlink r:id="rId514" ref="AW131"/>
    <hyperlink r:id="rId515" location="osu/3601684" ref="AX131"/>
    <hyperlink r:id="rId516" location="osu/3601684" ref="AU132"/>
    <hyperlink r:id="rId517" ref="AV132"/>
    <hyperlink r:id="rId518" ref="AW132"/>
    <hyperlink r:id="rId519" location="osu/3601684" ref="AX132"/>
    <hyperlink r:id="rId520" location="osu/315101" ref="AU133"/>
    <hyperlink r:id="rId521" ref="AV133"/>
    <hyperlink r:id="rId522" ref="AW133"/>
    <hyperlink r:id="rId523" location="osu/315101" ref="AX133"/>
    <hyperlink r:id="rId524" location="osu/315101" ref="AU134"/>
    <hyperlink r:id="rId525" ref="AV134"/>
    <hyperlink r:id="rId526" ref="AW134"/>
    <hyperlink r:id="rId527" location="osu/315101" ref="AX134"/>
    <hyperlink r:id="rId528" location="osu/1761258" ref="AU135"/>
    <hyperlink r:id="rId529" ref="AV135"/>
    <hyperlink r:id="rId530" ref="AW135"/>
    <hyperlink r:id="rId531" location="osu/1761258" ref="AX135"/>
    <hyperlink r:id="rId532" location="osu/2200330" ref="AU136"/>
    <hyperlink r:id="rId533" ref="AV136"/>
    <hyperlink r:id="rId534" ref="AW136"/>
    <hyperlink r:id="rId535" location="osu/2200330" ref="AX136"/>
    <hyperlink r:id="rId536" location="osu/2200330" ref="AU137"/>
    <hyperlink r:id="rId537" ref="AV137"/>
    <hyperlink r:id="rId538" ref="AW137"/>
    <hyperlink r:id="rId539" location="osu/2200330" ref="AX137"/>
    <hyperlink r:id="rId540" location="osu/3714964" ref="AU138"/>
    <hyperlink r:id="rId541" ref="AV138"/>
    <hyperlink r:id="rId542" ref="AW138"/>
    <hyperlink r:id="rId543" location="osu/3714964" ref="AX138"/>
    <hyperlink r:id="rId544" location="osu/3714964" ref="AU139"/>
    <hyperlink r:id="rId545" ref="AV139"/>
    <hyperlink r:id="rId546" ref="AW139"/>
    <hyperlink r:id="rId547" location="osu/3714964" ref="AX139"/>
    <hyperlink r:id="rId548" location="osu/2690081" ref="AU140"/>
    <hyperlink r:id="rId549" ref="AV140"/>
    <hyperlink r:id="rId550" ref="AW140"/>
    <hyperlink r:id="rId551" location="osu/2690081" ref="AX140"/>
    <hyperlink r:id="rId552" location="osu/2690081" ref="AU141"/>
    <hyperlink r:id="rId553" ref="AV141"/>
    <hyperlink r:id="rId554" ref="AW141"/>
    <hyperlink r:id="rId555" location="osu/2690081" ref="AX141"/>
    <hyperlink r:id="rId556" location="osu/2701775" ref="AU142"/>
    <hyperlink r:id="rId557" ref="AV142"/>
    <hyperlink r:id="rId558" ref="AW142"/>
    <hyperlink r:id="rId559" location="osu/2701775" ref="AX142"/>
    <hyperlink r:id="rId560" location="osu/2701775" ref="AU143"/>
    <hyperlink r:id="rId561" ref="AV143"/>
    <hyperlink r:id="rId562" ref="AW143"/>
    <hyperlink r:id="rId563" location="osu/2701775" ref="AX143"/>
    <hyperlink r:id="rId564" location="osu/3460069" ref="AU144"/>
    <hyperlink r:id="rId565" ref="AV144"/>
    <hyperlink r:id="rId566" ref="AW144"/>
    <hyperlink r:id="rId567" location="osu/3460069" ref="AX144"/>
    <hyperlink r:id="rId568" location="osu/3460069" ref="AU145"/>
    <hyperlink r:id="rId569" ref="AV145"/>
    <hyperlink r:id="rId570" ref="AW145"/>
    <hyperlink r:id="rId571" location="osu/3460069" ref="AX145"/>
    <hyperlink r:id="rId572" location="osu/3053637" ref="AU146"/>
    <hyperlink r:id="rId573" ref="AV146"/>
    <hyperlink r:id="rId574" ref="AW146"/>
    <hyperlink r:id="rId575" location="osu/3053637" ref="AX146"/>
    <hyperlink r:id="rId576" location="osu/3053637" ref="AU147"/>
    <hyperlink r:id="rId577" ref="AV147"/>
    <hyperlink r:id="rId578" ref="AW147"/>
    <hyperlink r:id="rId579" location="osu/3053637" ref="AX147"/>
    <hyperlink r:id="rId580" location="osu/3332932" ref="AU148"/>
    <hyperlink r:id="rId581" ref="AV148"/>
    <hyperlink r:id="rId582" ref="AW148"/>
    <hyperlink r:id="rId583" location="osu/3332932" ref="AX148"/>
    <hyperlink r:id="rId584" location="osu/3332932" ref="AU149"/>
    <hyperlink r:id="rId585" ref="AV149"/>
    <hyperlink r:id="rId586" ref="AW149"/>
    <hyperlink r:id="rId587" location="osu/3332932" ref="AX149"/>
    <hyperlink r:id="rId588" location="osu/2151207" ref="AU150"/>
    <hyperlink r:id="rId589" ref="AV150"/>
    <hyperlink r:id="rId590" ref="AW150"/>
    <hyperlink r:id="rId591" location="osu/2151207" ref="AX150"/>
    <hyperlink r:id="rId592" location="osu/2151207" ref="AU151"/>
    <hyperlink r:id="rId593" ref="AV151"/>
    <hyperlink r:id="rId594" ref="AW151"/>
    <hyperlink r:id="rId595" location="osu/2151207" ref="AX151"/>
    <hyperlink r:id="rId596" location="osu/3169863" ref="AU152"/>
    <hyperlink r:id="rId597" ref="AV152"/>
    <hyperlink r:id="rId598" ref="AW152"/>
    <hyperlink r:id="rId599" location="osu/3169863" ref="AX152"/>
    <hyperlink r:id="rId600" location="osu/2891411" ref="AU153"/>
    <hyperlink r:id="rId601" ref="AV153"/>
    <hyperlink r:id="rId602" ref="AW153"/>
    <hyperlink r:id="rId603" location="osu/2891411" ref="AX153"/>
    <hyperlink r:id="rId604" location="osu/2891411" ref="AU154"/>
    <hyperlink r:id="rId605" ref="AV154"/>
    <hyperlink r:id="rId606" ref="AW154"/>
    <hyperlink r:id="rId607" location="osu/2891411" ref="AX154"/>
    <hyperlink r:id="rId608" location="osu/2794904" ref="AU155"/>
    <hyperlink r:id="rId609" ref="AV155"/>
    <hyperlink r:id="rId610" ref="AW155"/>
    <hyperlink r:id="rId611" location="osu/2794904" ref="AX155"/>
    <hyperlink r:id="rId612" location="osu/2794904" ref="AU156"/>
    <hyperlink r:id="rId613" ref="AV156"/>
    <hyperlink r:id="rId614" ref="AW156"/>
    <hyperlink r:id="rId615" location="osu/2794904" ref="AX156"/>
    <hyperlink r:id="rId616" location="osu/295650" ref="AU157"/>
    <hyperlink r:id="rId617" ref="AV157"/>
    <hyperlink r:id="rId618" ref="AW157"/>
    <hyperlink r:id="rId619" location="osu/295650" ref="AX157"/>
    <hyperlink r:id="rId620" location="osu/295650" ref="AU158"/>
    <hyperlink r:id="rId621" ref="AV158"/>
    <hyperlink r:id="rId622" ref="AW158"/>
    <hyperlink r:id="rId623" location="osu/295650" ref="AX158"/>
    <hyperlink r:id="rId624" location="osu/1956568" ref="AU159"/>
    <hyperlink r:id="rId625" ref="AV159"/>
    <hyperlink r:id="rId626" ref="AW159"/>
    <hyperlink r:id="rId627" location="osu/1956568" ref="AX159"/>
    <hyperlink r:id="rId628" location="osu/1956568" ref="AU160"/>
    <hyperlink r:id="rId629" ref="AV160"/>
    <hyperlink r:id="rId630" ref="AW160"/>
    <hyperlink r:id="rId631" location="osu/1956568" ref="AX160"/>
    <hyperlink r:id="rId632" location="osu/2535944" ref="AU161"/>
    <hyperlink r:id="rId633" ref="AV161"/>
    <hyperlink r:id="rId634" ref="AW161"/>
    <hyperlink r:id="rId635" location="osu/2535944" ref="AX161"/>
    <hyperlink r:id="rId636" location="osu/2535944" ref="AU162"/>
    <hyperlink r:id="rId637" ref="AV162"/>
    <hyperlink r:id="rId638" ref="AW162"/>
    <hyperlink r:id="rId639" location="osu/2535944" ref="AX162"/>
    <hyperlink r:id="rId640" location="osu/3239199" ref="AU163"/>
    <hyperlink r:id="rId641" ref="AV163"/>
    <hyperlink r:id="rId642" ref="AW163"/>
    <hyperlink r:id="rId643" location="osu/3239199" ref="AX163"/>
    <hyperlink r:id="rId644" location="osu/3239199" ref="AU164"/>
    <hyperlink r:id="rId645" ref="AV164"/>
    <hyperlink r:id="rId646" ref="AW164"/>
    <hyperlink r:id="rId647" location="osu/3239199" ref="AX164"/>
    <hyperlink r:id="rId648" location="osu/3446883" ref="AU165"/>
    <hyperlink r:id="rId649" ref="AV165"/>
    <hyperlink r:id="rId650" ref="AW165"/>
    <hyperlink r:id="rId651" location="osu/3446883" ref="AX165"/>
    <hyperlink r:id="rId652" location="osu/3446883" ref="AU166"/>
    <hyperlink r:id="rId653" ref="AV166"/>
    <hyperlink r:id="rId654" ref="AW166"/>
    <hyperlink r:id="rId655" location="osu/3446883" ref="AX166"/>
    <hyperlink r:id="rId656" location="osu/3616100" ref="AU167"/>
    <hyperlink r:id="rId657" ref="AV167"/>
    <hyperlink r:id="rId658" ref="AW167"/>
    <hyperlink r:id="rId659" location="osu/3616100" ref="AX167"/>
    <hyperlink r:id="rId660" location="osu/3616100" ref="AU168"/>
    <hyperlink r:id="rId661" ref="AV168"/>
    <hyperlink r:id="rId662" ref="AW168"/>
    <hyperlink r:id="rId663" location="osu/3616100" ref="AX168"/>
    <hyperlink r:id="rId664" location="osu/2853477" ref="AU169"/>
    <hyperlink r:id="rId665" ref="AV169"/>
    <hyperlink r:id="rId666" ref="AW169"/>
    <hyperlink r:id="rId667" location="osu/2853477" ref="AX169"/>
    <hyperlink r:id="rId668" location="osu/577517" ref="AU170"/>
    <hyperlink r:id="rId669" ref="AV170"/>
    <hyperlink r:id="rId670" ref="AW170"/>
    <hyperlink r:id="rId671" location="osu/577517" ref="AX170"/>
    <hyperlink r:id="rId672" location="osu/577517" ref="AU171"/>
    <hyperlink r:id="rId673" ref="AV171"/>
    <hyperlink r:id="rId674" ref="AW171"/>
    <hyperlink r:id="rId675" location="osu/577517" ref="AX171"/>
    <hyperlink r:id="rId676" location="osu/3990086" ref="AU172"/>
    <hyperlink r:id="rId677" ref="AV172"/>
    <hyperlink r:id="rId678" ref="AW172"/>
    <hyperlink r:id="rId679" location="osu/3990086" ref="AX172"/>
    <hyperlink r:id="rId680" location="osu/1857415" ref="AU173"/>
    <hyperlink r:id="rId681" ref="AV173"/>
    <hyperlink r:id="rId682" ref="AW173"/>
    <hyperlink r:id="rId683" location="osu/1857415" ref="AX173"/>
    <hyperlink r:id="rId684" location="osu/1857415" ref="AU174"/>
    <hyperlink r:id="rId685" ref="AV174"/>
    <hyperlink r:id="rId686" ref="AW174"/>
    <hyperlink r:id="rId687" location="osu/1857415" ref="AX174"/>
    <hyperlink r:id="rId688" location="osu/2536100" ref="AU175"/>
    <hyperlink r:id="rId689" ref="AV175"/>
    <hyperlink r:id="rId690" ref="AW175"/>
    <hyperlink r:id="rId691" location="osu/2536100" ref="AX175"/>
    <hyperlink r:id="rId692" location="osu/2536100" ref="AU176"/>
    <hyperlink r:id="rId693" ref="AV176"/>
    <hyperlink r:id="rId694" ref="AW176"/>
    <hyperlink r:id="rId695" location="osu/2536100" ref="AX176"/>
    <hyperlink r:id="rId696" location="osu/3743202" ref="AU177"/>
    <hyperlink r:id="rId697" ref="AV177"/>
    <hyperlink r:id="rId698" ref="AW177"/>
    <hyperlink r:id="rId699" location="osu/3743202" ref="AX177"/>
    <hyperlink r:id="rId700" location="osu/3743202" ref="AU178"/>
    <hyperlink r:id="rId701" ref="AV178"/>
    <hyperlink r:id="rId702" ref="AW178"/>
    <hyperlink r:id="rId703" location="osu/3743202" ref="AX178"/>
    <hyperlink r:id="rId704" location="osu/1965654" ref="AU179"/>
    <hyperlink r:id="rId705" ref="AV179"/>
    <hyperlink r:id="rId706" ref="AW179"/>
    <hyperlink r:id="rId707" location="osu/1965654" ref="AX179"/>
    <hyperlink r:id="rId708" location="osu/1965654" ref="AU180"/>
    <hyperlink r:id="rId709" ref="AV180"/>
    <hyperlink r:id="rId710" ref="AW180"/>
    <hyperlink r:id="rId711" location="osu/1965654" ref="AX180"/>
    <hyperlink r:id="rId712" location="osu/3602794" ref="AU181"/>
    <hyperlink r:id="rId713" ref="AV181"/>
    <hyperlink r:id="rId714" ref="AW181"/>
    <hyperlink r:id="rId715" location="osu/3602794" ref="AX181"/>
    <hyperlink r:id="rId716" location="osu/3602794" ref="AU182"/>
    <hyperlink r:id="rId717" ref="AV182"/>
    <hyperlink r:id="rId718" ref="AW182"/>
    <hyperlink r:id="rId719" location="osu/3602794" ref="AX182"/>
    <hyperlink r:id="rId720" location="osu/2161977" ref="AU183"/>
    <hyperlink r:id="rId721" ref="AV183"/>
    <hyperlink r:id="rId722" ref="AW183"/>
    <hyperlink r:id="rId723" location="osu/2161977" ref="AX183"/>
    <hyperlink r:id="rId724" location="osu/2161977" ref="AU184"/>
    <hyperlink r:id="rId725" ref="AV184"/>
    <hyperlink r:id="rId726" ref="AW184"/>
    <hyperlink r:id="rId727" location="osu/2161977" ref="AX184"/>
    <hyperlink r:id="rId728" location="osu/3118794" ref="AU185"/>
    <hyperlink r:id="rId729" ref="AV185"/>
    <hyperlink r:id="rId730" ref="AW185"/>
    <hyperlink r:id="rId731" location="osu/3118794" ref="AX185"/>
    <hyperlink r:id="rId732" location="osu/1405094" ref="AU186"/>
    <hyperlink r:id="rId733" ref="AV186"/>
    <hyperlink r:id="rId734" ref="AW186"/>
    <hyperlink r:id="rId735" location="osu/1405094" ref="AX186"/>
    <hyperlink r:id="rId736" location="osu/1405094" ref="AU187"/>
    <hyperlink r:id="rId737" ref="AV187"/>
    <hyperlink r:id="rId738" ref="AW187"/>
    <hyperlink r:id="rId739" location="osu/1405094" ref="AX187"/>
    <hyperlink r:id="rId740" location="osu/3841174" ref="AU188"/>
    <hyperlink r:id="rId741" ref="AV188"/>
    <hyperlink r:id="rId742" ref="AW188"/>
    <hyperlink r:id="rId743" location="osu/3841174" ref="AX188"/>
    <hyperlink r:id="rId744" location="osu/3841174" ref="AU189"/>
    <hyperlink r:id="rId745" ref="AV189"/>
    <hyperlink r:id="rId746" ref="AW189"/>
    <hyperlink r:id="rId747" location="osu/3841174" ref="AX189"/>
    <hyperlink r:id="rId748" location="osu/3248255" ref="AU190"/>
    <hyperlink r:id="rId749" ref="AV190"/>
    <hyperlink r:id="rId750" ref="AW190"/>
    <hyperlink r:id="rId751" location="osu/3248255" ref="AX190"/>
    <hyperlink r:id="rId752" location="osu/3248255" ref="AU191"/>
    <hyperlink r:id="rId753" ref="AV191"/>
    <hyperlink r:id="rId754" ref="AW191"/>
    <hyperlink r:id="rId755" location="osu/3248255" ref="AX191"/>
    <hyperlink r:id="rId756" location="osu/1635864" ref="AU192"/>
    <hyperlink r:id="rId757" ref="AV192"/>
    <hyperlink r:id="rId758" ref="AW192"/>
    <hyperlink r:id="rId759" location="osu/1635864" ref="AX192"/>
    <hyperlink r:id="rId760" location="osu/1635864" ref="AU193"/>
    <hyperlink r:id="rId761" ref="AV193"/>
    <hyperlink r:id="rId762" ref="AW193"/>
    <hyperlink r:id="rId763" location="osu/1635864" ref="AX193"/>
    <hyperlink r:id="rId764" location="osu/1404975" ref="AU194"/>
    <hyperlink r:id="rId765" ref="AV194"/>
    <hyperlink r:id="rId766" ref="AW194"/>
    <hyperlink r:id="rId767" location="osu/1404975" ref="AX194"/>
    <hyperlink r:id="rId768" location="osu/1404975" ref="AU195"/>
    <hyperlink r:id="rId769" ref="AV195"/>
    <hyperlink r:id="rId770" ref="AW195"/>
    <hyperlink r:id="rId771" location="osu/1404975" ref="AX195"/>
    <hyperlink r:id="rId772" location="osu/1687599" ref="AU196"/>
    <hyperlink r:id="rId773" ref="AV196"/>
    <hyperlink r:id="rId774" ref="AW196"/>
    <hyperlink r:id="rId775" location="osu/1687599" ref="AX196"/>
    <hyperlink r:id="rId776" location="osu/1687599" ref="AU197"/>
    <hyperlink r:id="rId777" ref="AV197"/>
    <hyperlink r:id="rId778" ref="AW197"/>
    <hyperlink r:id="rId779" location="osu/1687599" ref="AX197"/>
    <hyperlink r:id="rId780" location="osu/2072245" ref="AU198"/>
    <hyperlink r:id="rId781" ref="AV198"/>
    <hyperlink r:id="rId782" ref="AW198"/>
    <hyperlink r:id="rId783" location="osu/2072245" ref="AX198"/>
    <hyperlink r:id="rId784" location="osu/2072245" ref="AU199"/>
    <hyperlink r:id="rId785" ref="AV199"/>
    <hyperlink r:id="rId786" ref="AW199"/>
    <hyperlink r:id="rId787" location="osu/2072245" ref="AX199"/>
    <hyperlink r:id="rId788" location="osu/703042" ref="AU200"/>
    <hyperlink r:id="rId789" ref="AV200"/>
    <hyperlink r:id="rId790" ref="AW200"/>
    <hyperlink r:id="rId791" location="osu/703042" ref="AX200"/>
    <hyperlink r:id="rId792" location="osu/703042" ref="AU201"/>
    <hyperlink r:id="rId793" ref="AV201"/>
    <hyperlink r:id="rId794" ref="AW201"/>
    <hyperlink r:id="rId795" location="osu/703042" ref="AX201"/>
    <hyperlink r:id="rId796" location="osu/3231091" ref="AU202"/>
    <hyperlink r:id="rId797" ref="AV202"/>
    <hyperlink r:id="rId798" ref="AW202"/>
    <hyperlink r:id="rId799" location="osu/3231091" ref="AX202"/>
    <hyperlink r:id="rId800" location="osu/1251955" ref="AU203"/>
    <hyperlink r:id="rId801" ref="AV203"/>
    <hyperlink r:id="rId802" ref="AW203"/>
    <hyperlink r:id="rId803" location="osu/1251955" ref="AX203"/>
    <hyperlink r:id="rId804" location="osu/1251955" ref="AU204"/>
    <hyperlink r:id="rId805" ref="AV204"/>
    <hyperlink r:id="rId806" ref="AW204"/>
    <hyperlink r:id="rId807" location="osu/1251955" ref="AX204"/>
    <hyperlink r:id="rId808" location="osu/2472143" ref="AU205"/>
    <hyperlink r:id="rId809" ref="AV205"/>
    <hyperlink r:id="rId810" ref="AW205"/>
    <hyperlink r:id="rId811" location="osu/2472143" ref="AX205"/>
    <hyperlink r:id="rId812" location="osu/2472143" ref="AU206"/>
    <hyperlink r:id="rId813" ref="AV206"/>
    <hyperlink r:id="rId814" ref="AW206"/>
    <hyperlink r:id="rId815" location="osu/2472143" ref="AX206"/>
    <hyperlink r:id="rId816" location="osu/3221246" ref="AU207"/>
    <hyperlink r:id="rId817" ref="AV207"/>
    <hyperlink r:id="rId818" ref="AW207"/>
    <hyperlink r:id="rId819" location="osu/3221246" ref="AX207"/>
    <hyperlink r:id="rId820" location="osu/3221246" ref="AU208"/>
    <hyperlink r:id="rId821" ref="AV208"/>
    <hyperlink r:id="rId822" ref="AW208"/>
    <hyperlink r:id="rId823" location="osu/3221246" ref="AX208"/>
    <hyperlink r:id="rId824" location="osu/3822120" ref="AU209"/>
    <hyperlink r:id="rId825" ref="AV209"/>
    <hyperlink r:id="rId826" ref="AW209"/>
    <hyperlink r:id="rId827" location="osu/3822120" ref="AX209"/>
    <hyperlink r:id="rId828" location="osu/3822120" ref="AU210"/>
    <hyperlink r:id="rId829" ref="AV210"/>
    <hyperlink r:id="rId830" ref="AW210"/>
    <hyperlink r:id="rId831" location="osu/3822120" ref="AX210"/>
    <hyperlink r:id="rId832" location="osu/48215" ref="AU211"/>
    <hyperlink r:id="rId833" ref="AV211"/>
    <hyperlink r:id="rId834" ref="AW211"/>
    <hyperlink r:id="rId835" location="osu/48215" ref="AX211"/>
    <hyperlink r:id="rId836" location="osu/3616425" ref="AU212"/>
    <hyperlink r:id="rId837" ref="AV212"/>
    <hyperlink r:id="rId838" ref="AW212"/>
    <hyperlink r:id="rId839" location="osu/3616425" ref="AX212"/>
    <hyperlink r:id="rId840" location="osu/3616425" ref="AU213"/>
    <hyperlink r:id="rId841" ref="AV213"/>
    <hyperlink r:id="rId842" ref="AW213"/>
    <hyperlink r:id="rId843" location="osu/3616425" ref="AX213"/>
    <hyperlink r:id="rId844" location="osu/2532230" ref="AU214"/>
    <hyperlink r:id="rId845" ref="AV214"/>
    <hyperlink r:id="rId846" ref="AW214"/>
    <hyperlink r:id="rId847" location="osu/2532230" ref="AX214"/>
    <hyperlink r:id="rId848" location="osu/2532230" ref="AU215"/>
    <hyperlink r:id="rId849" ref="AV215"/>
    <hyperlink r:id="rId850" ref="AW215"/>
    <hyperlink r:id="rId851" location="osu/2532230" ref="AX215"/>
    <hyperlink r:id="rId852" location="osu/2986144" ref="AU216"/>
    <hyperlink r:id="rId853" ref="AV216"/>
    <hyperlink r:id="rId854" ref="AW216"/>
    <hyperlink r:id="rId855" location="osu/2986144" ref="AX216"/>
    <hyperlink r:id="rId856" location="osu/2986144" ref="AU217"/>
    <hyperlink r:id="rId857" ref="AV217"/>
    <hyperlink r:id="rId858" ref="AW217"/>
    <hyperlink r:id="rId859" location="osu/2986144" ref="AX217"/>
    <hyperlink r:id="rId860" location="osu/1596086" ref="AU218"/>
    <hyperlink r:id="rId861" ref="AV218"/>
    <hyperlink r:id="rId862" ref="AW218"/>
    <hyperlink r:id="rId863" location="osu/1596086" ref="AX218"/>
    <hyperlink r:id="rId864" location="osu/1975970" ref="AU219"/>
    <hyperlink r:id="rId865" ref="AV219"/>
    <hyperlink r:id="rId866" ref="AW219"/>
    <hyperlink r:id="rId867" location="osu/1975970" ref="AX219"/>
    <hyperlink r:id="rId868" location="osu/3912466" ref="AU220"/>
    <hyperlink r:id="rId869" ref="AV220"/>
    <hyperlink r:id="rId870" ref="AW220"/>
    <hyperlink r:id="rId871" location="osu/3912466" ref="AX220"/>
    <hyperlink r:id="rId872" location="osu/1600995" ref="AU221"/>
    <hyperlink r:id="rId873" ref="AV221"/>
    <hyperlink r:id="rId874" ref="AW221"/>
    <hyperlink r:id="rId875" location="osu/1600995" ref="AX221"/>
    <hyperlink r:id="rId876" location="osu/2800663" ref="AU222"/>
    <hyperlink r:id="rId877" ref="AV222"/>
    <hyperlink r:id="rId878" ref="AW222"/>
    <hyperlink r:id="rId879" location="osu/2800663" ref="AX222"/>
    <hyperlink r:id="rId880" location="osu/2800663" ref="AU223"/>
    <hyperlink r:id="rId881" ref="AV223"/>
    <hyperlink r:id="rId882" ref="AW223"/>
    <hyperlink r:id="rId883" location="osu/2800663" ref="AX223"/>
    <hyperlink r:id="rId884" location="osu/103476" ref="AU224"/>
    <hyperlink r:id="rId885" ref="AV224"/>
    <hyperlink r:id="rId886" ref="AW224"/>
    <hyperlink r:id="rId887" location="osu/103476" ref="AX224"/>
    <hyperlink r:id="rId888" location="osu/3870932" ref="AU225"/>
    <hyperlink r:id="rId889" ref="AV225"/>
    <hyperlink r:id="rId890" ref="AW225"/>
    <hyperlink r:id="rId891" location="osu/3870932" ref="AX225"/>
    <hyperlink r:id="rId892" location="osu/3821597" ref="AU226"/>
    <hyperlink r:id="rId893" ref="AV226"/>
    <hyperlink r:id="rId894" ref="AW226"/>
    <hyperlink r:id="rId895" location="osu/3821597" ref="AX226"/>
    <hyperlink r:id="rId896" location="osu/3821597" ref="AU227"/>
    <hyperlink r:id="rId897" ref="AV227"/>
    <hyperlink r:id="rId898" ref="AW227"/>
    <hyperlink r:id="rId899" location="osu/3821597" ref="AX227"/>
    <hyperlink r:id="rId900" location="osu/3913591" ref="AU228"/>
    <hyperlink r:id="rId901" ref="AV228"/>
    <hyperlink r:id="rId902" ref="AW228"/>
    <hyperlink r:id="rId903" location="osu/3913591" ref="AX228"/>
    <hyperlink r:id="rId904" location="osu/3913591" ref="AU229"/>
    <hyperlink r:id="rId905" ref="AV229"/>
    <hyperlink r:id="rId906" ref="AW229"/>
    <hyperlink r:id="rId907" location="osu/3913591" ref="AX229"/>
    <hyperlink r:id="rId908" location="osu/674080" ref="AU230"/>
    <hyperlink r:id="rId909" ref="AV230"/>
    <hyperlink r:id="rId910" ref="AW230"/>
    <hyperlink r:id="rId911" location="osu/674080" ref="AX230"/>
    <hyperlink r:id="rId912" location="osu/674080" ref="AU231"/>
    <hyperlink r:id="rId913" ref="AV231"/>
    <hyperlink r:id="rId914" ref="AW231"/>
    <hyperlink r:id="rId915" location="osu/674080" ref="AX231"/>
    <hyperlink r:id="rId916" location="osu/3407970" ref="AU232"/>
    <hyperlink r:id="rId917" ref="AV232"/>
    <hyperlink r:id="rId918" ref="AW232"/>
    <hyperlink r:id="rId919" location="osu/3407970" ref="AX232"/>
    <hyperlink r:id="rId920" location="osu/3407970" ref="AU233"/>
    <hyperlink r:id="rId921" ref="AV233"/>
    <hyperlink r:id="rId922" ref="AW233"/>
    <hyperlink r:id="rId923" location="osu/3407970" ref="AX233"/>
    <hyperlink r:id="rId924" location="osu/2917786" ref="AU234"/>
    <hyperlink r:id="rId925" ref="AV234"/>
    <hyperlink r:id="rId926" ref="AW234"/>
    <hyperlink r:id="rId927" location="osu/2917786" ref="AX234"/>
    <hyperlink r:id="rId928" location="osu/2917786" ref="AU235"/>
    <hyperlink r:id="rId929" ref="AV235"/>
    <hyperlink r:id="rId930" ref="AW235"/>
    <hyperlink r:id="rId931" location="osu/2917786" ref="AX235"/>
    <hyperlink r:id="rId932" location="osu/2671048" ref="AU236"/>
    <hyperlink r:id="rId933" ref="AV236"/>
    <hyperlink r:id="rId934" ref="AW236"/>
    <hyperlink r:id="rId935" location="osu/2671048" ref="AX236"/>
    <hyperlink r:id="rId936" location="osu/2671048" ref="AU237"/>
    <hyperlink r:id="rId937" ref="AV237"/>
    <hyperlink r:id="rId938" ref="AW237"/>
    <hyperlink r:id="rId939" location="osu/2671048" ref="AX237"/>
    <hyperlink r:id="rId940" location="osu/74778" ref="AU238"/>
    <hyperlink r:id="rId941" ref="AV238"/>
    <hyperlink r:id="rId942" ref="AW238"/>
    <hyperlink r:id="rId943" location="osu/74778" ref="AX238"/>
    <hyperlink r:id="rId944" location="osu/74778" ref="AU239"/>
    <hyperlink r:id="rId945" ref="AV239"/>
    <hyperlink r:id="rId946" ref="AW239"/>
    <hyperlink r:id="rId947" location="osu/74778" ref="AX239"/>
    <hyperlink r:id="rId948" location="osu/3530469" ref="AU240"/>
    <hyperlink r:id="rId949" ref="AV240"/>
    <hyperlink r:id="rId950" ref="AW240"/>
    <hyperlink r:id="rId951" location="osu/3530469" ref="AX240"/>
    <hyperlink r:id="rId952" location="osu/3530469" ref="AU241"/>
    <hyperlink r:id="rId953" ref="AV241"/>
    <hyperlink r:id="rId954" ref="AW241"/>
    <hyperlink r:id="rId955" location="osu/3530469" ref="AX241"/>
    <hyperlink r:id="rId956" location="osu/1491793" ref="AU242"/>
    <hyperlink r:id="rId957" ref="AV242"/>
    <hyperlink r:id="rId958" ref="AW242"/>
    <hyperlink r:id="rId959" location="osu/1491793" ref="AX242"/>
    <hyperlink r:id="rId960" location="osu/3291796" ref="AU243"/>
    <hyperlink r:id="rId961" ref="AV243"/>
    <hyperlink r:id="rId962" ref="AW243"/>
    <hyperlink r:id="rId963" location="osu/3291796" ref="AX243"/>
    <hyperlink r:id="rId964" location="osu/3291796" ref="AU244"/>
    <hyperlink r:id="rId965" ref="AV244"/>
    <hyperlink r:id="rId966" ref="AW244"/>
    <hyperlink r:id="rId967" location="osu/3291796" ref="AX244"/>
    <hyperlink r:id="rId968" location="osu/3299370" ref="AU245"/>
    <hyperlink r:id="rId969" ref="AV245"/>
    <hyperlink r:id="rId970" ref="AW245"/>
    <hyperlink r:id="rId971" location="osu/3299370" ref="AX245"/>
    <hyperlink r:id="rId972" location="osu/3299370" ref="AU246"/>
    <hyperlink r:id="rId973" ref="AV246"/>
    <hyperlink r:id="rId974" ref="AW246"/>
    <hyperlink r:id="rId975" location="osu/3299370" ref="AX246"/>
    <hyperlink r:id="rId976" location="osu/3822599" ref="AU247"/>
    <hyperlink r:id="rId977" ref="AV247"/>
    <hyperlink r:id="rId978" ref="AW247"/>
    <hyperlink r:id="rId979" location="osu/3822599" ref="AX247"/>
    <hyperlink r:id="rId980" location="osu/785982" ref="AU248"/>
    <hyperlink r:id="rId981" ref="AV248"/>
    <hyperlink r:id="rId982" ref="AW248"/>
    <hyperlink r:id="rId983" location="osu/785982" ref="AX248"/>
    <hyperlink r:id="rId984" location="osu/3399446" ref="AU249"/>
    <hyperlink r:id="rId985" ref="AV249"/>
    <hyperlink r:id="rId986" ref="AW249"/>
    <hyperlink r:id="rId987" location="osu/3399446" ref="AX249"/>
    <hyperlink r:id="rId988" location="osu/3399446" ref="AU250"/>
    <hyperlink r:id="rId989" ref="AV250"/>
    <hyperlink r:id="rId990" ref="AW250"/>
    <hyperlink r:id="rId991" location="osu/3399446" ref="AX250"/>
    <hyperlink r:id="rId992" location="osu/574187" ref="AU251"/>
    <hyperlink r:id="rId993" ref="AV251"/>
    <hyperlink r:id="rId994" ref="AW251"/>
    <hyperlink r:id="rId995" location="osu/574187" ref="AX251"/>
    <hyperlink r:id="rId996" location="osu/574187" ref="AU252"/>
    <hyperlink r:id="rId997" ref="AV252"/>
    <hyperlink r:id="rId998" ref="AW252"/>
    <hyperlink r:id="rId999" location="osu/574187" ref="AX252"/>
    <hyperlink r:id="rId1000" location="osu/382887" ref="AU253"/>
    <hyperlink r:id="rId1001" ref="AV253"/>
    <hyperlink r:id="rId1002" ref="AW253"/>
    <hyperlink r:id="rId1003" location="osu/382887" ref="AX253"/>
    <hyperlink r:id="rId1004" location="osu/382887" ref="AU254"/>
    <hyperlink r:id="rId1005" ref="AV254"/>
    <hyperlink r:id="rId1006" ref="AW254"/>
    <hyperlink r:id="rId1007" location="osu/382887" ref="AX254"/>
    <hyperlink r:id="rId1008" location="osu/4215637" ref="AU255"/>
    <hyperlink r:id="rId1009" ref="AV255"/>
    <hyperlink r:id="rId1010" ref="AW255"/>
    <hyperlink r:id="rId1011" location="osu/4215637" ref="AX255"/>
    <hyperlink r:id="rId1012" location="osu/4215637" ref="AU256"/>
    <hyperlink r:id="rId1013" ref="AV256"/>
    <hyperlink r:id="rId1014" ref="AW256"/>
    <hyperlink r:id="rId1015" location="osu/4215637" ref="AX256"/>
    <hyperlink r:id="rId1016" location="osu/3063080" ref="AU257"/>
    <hyperlink r:id="rId1017" ref="AV257"/>
    <hyperlink r:id="rId1018" ref="AW257"/>
    <hyperlink r:id="rId1019" location="osu/3063080" ref="AX257"/>
    <hyperlink r:id="rId1020" location="osu/2277128" ref="AU258"/>
    <hyperlink r:id="rId1021" ref="AV258"/>
    <hyperlink r:id="rId1022" ref="AW258"/>
    <hyperlink r:id="rId1023" location="osu/2277128" ref="AX258"/>
    <hyperlink r:id="rId1024" location="osu/2277128" ref="AU259"/>
    <hyperlink r:id="rId1025" ref="AV259"/>
    <hyperlink r:id="rId1026" ref="AW259"/>
    <hyperlink r:id="rId1027" location="osu/2277128" ref="AX259"/>
    <hyperlink r:id="rId1028" location="osu/3804111" ref="AU260"/>
    <hyperlink r:id="rId1029" ref="AV260"/>
    <hyperlink r:id="rId1030" ref="AW260"/>
    <hyperlink r:id="rId1031" location="osu/3804111" ref="AX260"/>
    <hyperlink r:id="rId1032" location="osu/2076261" ref="AU261"/>
    <hyperlink r:id="rId1033" ref="AV261"/>
    <hyperlink r:id="rId1034" ref="AW261"/>
    <hyperlink r:id="rId1035" location="osu/2076261" ref="AX261"/>
    <hyperlink r:id="rId1036" location="osu/1838159" ref="AU262"/>
    <hyperlink r:id="rId1037" ref="AV262"/>
    <hyperlink r:id="rId1038" ref="AW262"/>
    <hyperlink r:id="rId1039" location="osu/1838159" ref="AX262"/>
    <hyperlink r:id="rId1040" location="osu/2383229" ref="AU263"/>
    <hyperlink r:id="rId1041" ref="AV263"/>
    <hyperlink r:id="rId1042" ref="AW263"/>
    <hyperlink r:id="rId1043" location="osu/2383229" ref="AX263"/>
    <hyperlink r:id="rId1044" location="osu/2383229" ref="AU264"/>
    <hyperlink r:id="rId1045" ref="AV264"/>
    <hyperlink r:id="rId1046" ref="AW264"/>
    <hyperlink r:id="rId1047" location="osu/2383229" ref="AX264"/>
    <hyperlink r:id="rId1048" location="osu/1972425" ref="AU265"/>
    <hyperlink r:id="rId1049" ref="AV265"/>
    <hyperlink r:id="rId1050" ref="AW265"/>
    <hyperlink r:id="rId1051" location="osu/1972425" ref="AX265"/>
    <hyperlink r:id="rId1052" location="osu/3818733" ref="AU266"/>
    <hyperlink r:id="rId1053" ref="AV266"/>
    <hyperlink r:id="rId1054" ref="AW266"/>
    <hyperlink r:id="rId1055" location="osu/3818733" ref="AX266"/>
    <hyperlink r:id="rId1056" location="osu/3835538" ref="AU267"/>
    <hyperlink r:id="rId1057" ref="AV267"/>
    <hyperlink r:id="rId1058" ref="AW267"/>
    <hyperlink r:id="rId1059" location="osu/3835538" ref="AX267"/>
    <hyperlink r:id="rId1060" location="osu/3835538" ref="AU268"/>
    <hyperlink r:id="rId1061" ref="AV268"/>
    <hyperlink r:id="rId1062" ref="AW268"/>
    <hyperlink r:id="rId1063" location="osu/3835538" ref="AX268"/>
    <hyperlink r:id="rId1064" location="osu/2568756" ref="AU269"/>
    <hyperlink r:id="rId1065" ref="AV269"/>
    <hyperlink r:id="rId1066" ref="AW269"/>
    <hyperlink r:id="rId1067" location="osu/2568756" ref="AX269"/>
    <hyperlink r:id="rId1068" location="osu/2568756" ref="AU270"/>
    <hyperlink r:id="rId1069" ref="AV270"/>
    <hyperlink r:id="rId1070" ref="AW270"/>
    <hyperlink r:id="rId1071" location="osu/2568756" ref="AX270"/>
    <hyperlink r:id="rId1072" location="osu/3341368" ref="AU271"/>
    <hyperlink r:id="rId1073" ref="AV271"/>
    <hyperlink r:id="rId1074" ref="AW271"/>
    <hyperlink r:id="rId1075" location="osu/3341368" ref="AX271"/>
    <hyperlink r:id="rId1076" location="osu/3341368" ref="AU272"/>
    <hyperlink r:id="rId1077" ref="AV272"/>
    <hyperlink r:id="rId1078" ref="AW272"/>
    <hyperlink r:id="rId1079" location="osu/3341368" ref="AX272"/>
    <hyperlink r:id="rId1080" location="osu/3274886" ref="AU273"/>
    <hyperlink r:id="rId1081" ref="AV273"/>
    <hyperlink r:id="rId1082" ref="AW273"/>
    <hyperlink r:id="rId1083" location="osu/3274886" ref="AX273"/>
    <hyperlink r:id="rId1084" location="osu/3656173" ref="AU274"/>
    <hyperlink r:id="rId1085" ref="AV274"/>
    <hyperlink r:id="rId1086" ref="AW274"/>
    <hyperlink r:id="rId1087" location="osu/3656173" ref="AX274"/>
    <hyperlink r:id="rId1088" location="osu/3656173" ref="AU275"/>
    <hyperlink r:id="rId1089" ref="AV275"/>
    <hyperlink r:id="rId1090" ref="AW275"/>
    <hyperlink r:id="rId1091" location="osu/3656173" ref="AX275"/>
    <hyperlink r:id="rId1092" location="osu/2751338" ref="AU276"/>
    <hyperlink r:id="rId1093" ref="AV276"/>
    <hyperlink r:id="rId1094" ref="AW276"/>
    <hyperlink r:id="rId1095" location="osu/2751338" ref="AX276"/>
    <hyperlink r:id="rId1096" location="osu/2751338" ref="AU277"/>
    <hyperlink r:id="rId1097" ref="AV277"/>
    <hyperlink r:id="rId1098" ref="AW277"/>
    <hyperlink r:id="rId1099" location="osu/2751338" ref="AX277"/>
    <hyperlink r:id="rId1100" location="osu/2992124" ref="AU278"/>
    <hyperlink r:id="rId1101" ref="AV278"/>
    <hyperlink r:id="rId1102" ref="AW278"/>
    <hyperlink r:id="rId1103" location="osu/2992124" ref="AX278"/>
    <hyperlink r:id="rId1104" location="osu/3986899" ref="AU279"/>
    <hyperlink r:id="rId1105" ref="AV279"/>
    <hyperlink r:id="rId1106" ref="AW279"/>
    <hyperlink r:id="rId1107" location="osu/3986899" ref="AX279"/>
    <hyperlink r:id="rId1108" location="osu/3986899" ref="AU280"/>
    <hyperlink r:id="rId1109" ref="AV280"/>
    <hyperlink r:id="rId1110" ref="AW280"/>
    <hyperlink r:id="rId1111" location="osu/3986899" ref="AX280"/>
    <hyperlink r:id="rId1112" location="osu/2200110" ref="AU281"/>
    <hyperlink r:id="rId1113" ref="AV281"/>
    <hyperlink r:id="rId1114" ref="AW281"/>
    <hyperlink r:id="rId1115" location="osu/2200110" ref="AX281"/>
    <hyperlink r:id="rId1116" location="osu/2200110" ref="AU282"/>
    <hyperlink r:id="rId1117" ref="AV282"/>
    <hyperlink r:id="rId1118" ref="AW282"/>
    <hyperlink r:id="rId1119" location="osu/2200110" ref="AX282"/>
    <hyperlink r:id="rId1120" location="osu/3182641" ref="AU283"/>
    <hyperlink r:id="rId1121" ref="AV283"/>
    <hyperlink r:id="rId1122" ref="AW283"/>
    <hyperlink r:id="rId1123" location="osu/3182641" ref="AX283"/>
    <hyperlink r:id="rId1124" location="osu/3182641" ref="AU284"/>
    <hyperlink r:id="rId1125" ref="AV284"/>
    <hyperlink r:id="rId1126" ref="AW284"/>
    <hyperlink r:id="rId1127" location="osu/3182641" ref="AX284"/>
    <hyperlink r:id="rId1128" location="osu/2666261" ref="AU285"/>
    <hyperlink r:id="rId1129" ref="AV285"/>
    <hyperlink r:id="rId1130" ref="AW285"/>
    <hyperlink r:id="rId1131" location="osu/2666261" ref="AX285"/>
    <hyperlink r:id="rId1132" location="osu/2666261" ref="AU286"/>
    <hyperlink r:id="rId1133" ref="AV286"/>
    <hyperlink r:id="rId1134" ref="AW286"/>
    <hyperlink r:id="rId1135" location="osu/2666261" ref="AX286"/>
    <hyperlink r:id="rId1136" location="osu/667685" ref="AU287"/>
    <hyperlink r:id="rId1137" ref="AV287"/>
    <hyperlink r:id="rId1138" ref="AW287"/>
    <hyperlink r:id="rId1139" location="osu/667685" ref="AX287"/>
    <hyperlink r:id="rId1140" location="osu/667685" ref="AU288"/>
    <hyperlink r:id="rId1141" ref="AV288"/>
    <hyperlink r:id="rId1142" ref="AW288"/>
    <hyperlink r:id="rId1143" location="osu/667685" ref="AX288"/>
    <hyperlink r:id="rId1144" location="osu/1782851" ref="AU289"/>
    <hyperlink r:id="rId1145" ref="AV289"/>
    <hyperlink r:id="rId1146" ref="AW289"/>
    <hyperlink r:id="rId1147" location="osu/1782851" ref="AX289"/>
    <hyperlink r:id="rId1148" location="osu/1592512" ref="AU290"/>
    <hyperlink r:id="rId1149" ref="AV290"/>
    <hyperlink r:id="rId1150" ref="AW290"/>
    <hyperlink r:id="rId1151" location="osu/1592512" ref="AX290"/>
    <hyperlink r:id="rId1152" location="osu/1592512" ref="AU291"/>
    <hyperlink r:id="rId1153" ref="AV291"/>
    <hyperlink r:id="rId1154" ref="AW291"/>
    <hyperlink r:id="rId1155" location="osu/1592512" ref="AX291"/>
    <hyperlink r:id="rId1156" location="osu/3819183" ref="AU292"/>
    <hyperlink r:id="rId1157" ref="AV292"/>
    <hyperlink r:id="rId1158" ref="AW292"/>
    <hyperlink r:id="rId1159" location="osu/3819183" ref="AX292"/>
    <hyperlink r:id="rId1160" location="osu/3819183" ref="AU293"/>
    <hyperlink r:id="rId1161" ref="AV293"/>
    <hyperlink r:id="rId1162" ref="AW293"/>
    <hyperlink r:id="rId1163" location="osu/3819183" ref="AX293"/>
    <hyperlink r:id="rId1164" location="osu/2643263" ref="AU294"/>
    <hyperlink r:id="rId1165" ref="AV294"/>
    <hyperlink r:id="rId1166" ref="AW294"/>
    <hyperlink r:id="rId1167" location="osu/2643263" ref="AX294"/>
    <hyperlink r:id="rId1168" location="osu/1403845" ref="AU295"/>
    <hyperlink r:id="rId1169" ref="AV295"/>
    <hyperlink r:id="rId1170" ref="AW295"/>
    <hyperlink r:id="rId1171" location="osu/1403845" ref="AX295"/>
    <hyperlink r:id="rId1172" location="osu/2872861" ref="AU296"/>
    <hyperlink r:id="rId1173" ref="AV296"/>
    <hyperlink r:id="rId1174" ref="AW296"/>
    <hyperlink r:id="rId1175" location="osu/2872861" ref="AX296"/>
    <hyperlink r:id="rId1176" location="osu/2872861" ref="AU297"/>
    <hyperlink r:id="rId1177" ref="AV297"/>
    <hyperlink r:id="rId1178" ref="AW297"/>
    <hyperlink r:id="rId1179" location="osu/2872861" ref="AX297"/>
    <hyperlink r:id="rId1180" location="osu/74779" ref="AU298"/>
    <hyperlink r:id="rId1181" ref="AV298"/>
    <hyperlink r:id="rId1182" ref="AW298"/>
    <hyperlink r:id="rId1183" location="osu/74779" ref="AX298"/>
    <hyperlink r:id="rId1184" location="osu/74779" ref="AU299"/>
    <hyperlink r:id="rId1185" ref="AV299"/>
    <hyperlink r:id="rId1186" ref="AW299"/>
    <hyperlink r:id="rId1187" location="osu/74779" ref="AX299"/>
    <hyperlink r:id="rId1188" location="osu/37750" ref="AU300"/>
    <hyperlink r:id="rId1189" ref="AV300"/>
    <hyperlink r:id="rId1190" ref="AW300"/>
    <hyperlink r:id="rId1191" location="osu/37750" ref="AX300"/>
    <hyperlink r:id="rId1192" location="osu/37750" ref="AU301"/>
    <hyperlink r:id="rId1193" ref="AV301"/>
    <hyperlink r:id="rId1194" ref="AW301"/>
    <hyperlink r:id="rId1195" location="osu/37750" ref="AX301"/>
    <hyperlink r:id="rId1196" location="osu/2715749" ref="AU302"/>
    <hyperlink r:id="rId1197" ref="AV302"/>
    <hyperlink r:id="rId1198" ref="AW302"/>
    <hyperlink r:id="rId1199" location="osu/2715749" ref="AX302"/>
    <hyperlink r:id="rId1200" location="osu/2044890" ref="AU303"/>
    <hyperlink r:id="rId1201" ref="AV303"/>
    <hyperlink r:id="rId1202" ref="AW303"/>
    <hyperlink r:id="rId1203" location="osu/2044890" ref="AX303"/>
    <hyperlink r:id="rId1204" location="osu/3454421" ref="AU304"/>
    <hyperlink r:id="rId1205" ref="AV304"/>
    <hyperlink r:id="rId1206" ref="AW304"/>
    <hyperlink r:id="rId1207" location="osu/3454421" ref="AX304"/>
    <hyperlink r:id="rId1208" location="osu/3454421" ref="AU305"/>
    <hyperlink r:id="rId1209" ref="AV305"/>
    <hyperlink r:id="rId1210" ref="AW305"/>
    <hyperlink r:id="rId1211" location="osu/3454421" ref="AX305"/>
    <hyperlink r:id="rId1212" location="osu/152180" ref="AU306"/>
    <hyperlink r:id="rId1213" ref="AV306"/>
    <hyperlink r:id="rId1214" ref="AW306"/>
    <hyperlink r:id="rId1215" location="osu/152180" ref="AX306"/>
    <hyperlink r:id="rId1216" location="osu/152180" ref="AU307"/>
    <hyperlink r:id="rId1217" ref="AV307"/>
    <hyperlink r:id="rId1218" ref="AW307"/>
    <hyperlink r:id="rId1219" location="osu/152180" ref="AX307"/>
    <hyperlink r:id="rId1220" location="osu/2446833" ref="AU308"/>
    <hyperlink r:id="rId1221" ref="AV308"/>
    <hyperlink r:id="rId1222" ref="AW308"/>
    <hyperlink r:id="rId1223" location="osu/2446833" ref="AX308"/>
    <hyperlink r:id="rId1224" location="osu/2446833" ref="AU309"/>
    <hyperlink r:id="rId1225" ref="AV309"/>
    <hyperlink r:id="rId1226" ref="AW309"/>
    <hyperlink r:id="rId1227" location="osu/2446833" ref="AX309"/>
    <hyperlink r:id="rId1228" location="osu/2942900" ref="AU310"/>
    <hyperlink r:id="rId1229" ref="AV310"/>
    <hyperlink r:id="rId1230" ref="AW310"/>
    <hyperlink r:id="rId1231" location="osu/2942900" ref="AX310"/>
    <hyperlink r:id="rId1232" location="osu/2942900" ref="AU311"/>
    <hyperlink r:id="rId1233" ref="AV311"/>
    <hyperlink r:id="rId1234" ref="AW311"/>
    <hyperlink r:id="rId1235" location="osu/2942900" ref="AX311"/>
    <hyperlink r:id="rId1236" location="osu/4133990" ref="AU312"/>
    <hyperlink r:id="rId1237" ref="AV312"/>
    <hyperlink r:id="rId1238" ref="AW312"/>
    <hyperlink r:id="rId1239" location="osu/4133990" ref="AX312"/>
    <hyperlink r:id="rId1240" location="osu/2758832" ref="AU313"/>
    <hyperlink r:id="rId1241" ref="AV313"/>
    <hyperlink r:id="rId1242" ref="AW313"/>
    <hyperlink r:id="rId1243" location="osu/2758832" ref="AX313"/>
    <hyperlink r:id="rId1244" location="osu/2758832" ref="AU314"/>
    <hyperlink r:id="rId1245" ref="AV314"/>
    <hyperlink r:id="rId1246" ref="AW314"/>
    <hyperlink r:id="rId1247" location="osu/2758832" ref="AX314"/>
    <hyperlink r:id="rId1248" location="osu/1896582" ref="AU315"/>
    <hyperlink r:id="rId1249" ref="AV315"/>
    <hyperlink r:id="rId1250" ref="AW315"/>
    <hyperlink r:id="rId1251" location="osu/1896582" ref="AX315"/>
    <hyperlink r:id="rId1252" location="osu/2115970" ref="AU316"/>
    <hyperlink r:id="rId1253" ref="AV316"/>
    <hyperlink r:id="rId1254" ref="AW316"/>
    <hyperlink r:id="rId1255" location="osu/2115970" ref="AX316"/>
    <hyperlink r:id="rId1256" location="osu/3444608" ref="AU317"/>
    <hyperlink r:id="rId1257" ref="AV317"/>
    <hyperlink r:id="rId1258" ref="AW317"/>
    <hyperlink r:id="rId1259" location="osu/3444608" ref="AX317"/>
    <hyperlink r:id="rId1260" location="osu/1738876" ref="AU318"/>
    <hyperlink r:id="rId1261" ref="AV318"/>
    <hyperlink r:id="rId1262" ref="AW318"/>
    <hyperlink r:id="rId1263" location="osu/1738876" ref="AX318"/>
    <hyperlink r:id="rId1264" location="osu/28366" ref="AU319"/>
    <hyperlink r:id="rId1265" ref="AV319"/>
    <hyperlink r:id="rId1266" ref="AW319"/>
    <hyperlink r:id="rId1267" location="osu/28366" ref="AX319"/>
    <hyperlink r:id="rId1268" location="osu/192181" ref="AU320"/>
    <hyperlink r:id="rId1269" ref="AV320"/>
    <hyperlink r:id="rId1270" ref="AW320"/>
    <hyperlink r:id="rId1271" location="osu/192181" ref="AX320"/>
    <hyperlink r:id="rId1272" location="osu/3350322" ref="AU321"/>
    <hyperlink r:id="rId1273" ref="AV321"/>
    <hyperlink r:id="rId1274" ref="AW321"/>
    <hyperlink r:id="rId1275" location="osu/3350322" ref="AX321"/>
    <hyperlink r:id="rId1276" location="osu/3350322" ref="AU322"/>
    <hyperlink r:id="rId1277" ref="AV322"/>
    <hyperlink r:id="rId1278" ref="AW322"/>
    <hyperlink r:id="rId1279" location="osu/3350322" ref="AX322"/>
    <hyperlink r:id="rId1280" location="osu/3309941" ref="AU323"/>
    <hyperlink r:id="rId1281" ref="AV323"/>
    <hyperlink r:id="rId1282" ref="AW323"/>
    <hyperlink r:id="rId1283" location="osu/3309941" ref="AX323"/>
    <hyperlink r:id="rId1284" location="osu/2388648" ref="AU324"/>
    <hyperlink r:id="rId1285" ref="AV324"/>
    <hyperlink r:id="rId1286" ref="AW324"/>
    <hyperlink r:id="rId1287" location="osu/2388648" ref="AX324"/>
    <hyperlink r:id="rId1288" location="osu/1485947" ref="AU325"/>
    <hyperlink r:id="rId1289" ref="AV325"/>
    <hyperlink r:id="rId1290" ref="AW325"/>
    <hyperlink r:id="rId1291" location="osu/1485947" ref="AX325"/>
    <hyperlink r:id="rId1292" location="osu/722224" ref="AU326"/>
    <hyperlink r:id="rId1293" ref="AV326"/>
    <hyperlink r:id="rId1294" ref="AW326"/>
    <hyperlink r:id="rId1295" location="osu/722224" ref="AX326"/>
    <hyperlink r:id="rId1296" location="osu/3187491" ref="AU327"/>
    <hyperlink r:id="rId1297" ref="AV327"/>
    <hyperlink r:id="rId1298" ref="AW327"/>
    <hyperlink r:id="rId1299" location="osu/3187491" ref="AX327"/>
    <hyperlink r:id="rId1300" location="osu/3961145" ref="AU328"/>
    <hyperlink r:id="rId1301" ref="AV328"/>
    <hyperlink r:id="rId1302" ref="AW328"/>
    <hyperlink r:id="rId1303" location="osu/3961145" ref="AX328"/>
    <hyperlink r:id="rId1304" location="osu/105978" ref="AU329"/>
    <hyperlink r:id="rId1305" ref="AV329"/>
    <hyperlink r:id="rId1306" ref="AW329"/>
    <hyperlink r:id="rId1307" location="osu/105978" ref="AX329"/>
    <hyperlink r:id="rId1308" location="osu/105978" ref="AU330"/>
    <hyperlink r:id="rId1309" ref="AV330"/>
    <hyperlink r:id="rId1310" ref="AW330"/>
    <hyperlink r:id="rId1311" location="osu/105978" ref="AX330"/>
    <hyperlink r:id="rId1312" location="osu/2239337" ref="AU331"/>
    <hyperlink r:id="rId1313" ref="AV331"/>
    <hyperlink r:id="rId1314" ref="AW331"/>
    <hyperlink r:id="rId1315" location="osu/2239337" ref="AX331"/>
    <hyperlink r:id="rId1316" location="osu/2198934" ref="AU332"/>
    <hyperlink r:id="rId1317" ref="AV332"/>
    <hyperlink r:id="rId1318" ref="AW332"/>
    <hyperlink r:id="rId1319" location="osu/2198934" ref="AX332"/>
    <hyperlink r:id="rId1320" location="osu/2198934" ref="AU333"/>
    <hyperlink r:id="rId1321" ref="AV333"/>
    <hyperlink r:id="rId1322" ref="AW333"/>
    <hyperlink r:id="rId1323" location="osu/2198934" ref="AX333"/>
    <hyperlink r:id="rId1324" location="osu/1387177" ref="AU334"/>
    <hyperlink r:id="rId1325" ref="AV334"/>
    <hyperlink r:id="rId1326" ref="AW334"/>
    <hyperlink r:id="rId1327" location="osu/1387177" ref="AX334"/>
    <hyperlink r:id="rId1328" location="osu/1387177" ref="AU335"/>
    <hyperlink r:id="rId1329" ref="AV335"/>
    <hyperlink r:id="rId1330" ref="AW335"/>
    <hyperlink r:id="rId1331" location="osu/1387177" ref="AX335"/>
    <hyperlink r:id="rId1332" location="osu/2775823" ref="AU336"/>
    <hyperlink r:id="rId1333" ref="AV336"/>
    <hyperlink r:id="rId1334" ref="AW336"/>
    <hyperlink r:id="rId1335" location="osu/2775823" ref="AX336"/>
    <hyperlink r:id="rId1336" location="osu/3206318" ref="AU337"/>
    <hyperlink r:id="rId1337" ref="AV337"/>
    <hyperlink r:id="rId1338" ref="AW337"/>
    <hyperlink r:id="rId1339" location="osu/3206318" ref="AX337"/>
    <hyperlink r:id="rId1340" location="osu/3206318" ref="AU338"/>
    <hyperlink r:id="rId1341" ref="AV338"/>
    <hyperlink r:id="rId1342" ref="AW338"/>
    <hyperlink r:id="rId1343" location="osu/3206318" ref="AX338"/>
    <hyperlink r:id="rId1344" location="osu/1484886" ref="AU339"/>
    <hyperlink r:id="rId1345" ref="AV339"/>
    <hyperlink r:id="rId1346" ref="AW339"/>
    <hyperlink r:id="rId1347" location="osu/1484886" ref="AX339"/>
    <hyperlink r:id="rId1348" location="osu/1484886" ref="AU340"/>
    <hyperlink r:id="rId1349" ref="AV340"/>
    <hyperlink r:id="rId1350" ref="AW340"/>
    <hyperlink r:id="rId1351" location="osu/1484886" ref="AX340"/>
    <hyperlink r:id="rId1352" location="osu/3774971" ref="AU341"/>
    <hyperlink r:id="rId1353" ref="AV341"/>
    <hyperlink r:id="rId1354" ref="AW341"/>
    <hyperlink r:id="rId1355" location="osu/3774971" ref="AX341"/>
    <hyperlink r:id="rId1356" location="osu/3774971" ref="AU342"/>
    <hyperlink r:id="rId1357" ref="AV342"/>
    <hyperlink r:id="rId1358" ref="AW342"/>
    <hyperlink r:id="rId1359" location="osu/3774971" ref="AX342"/>
    <hyperlink r:id="rId1360" location="osu/2835868" ref="AU343"/>
    <hyperlink r:id="rId1361" ref="AV343"/>
    <hyperlink r:id="rId1362" ref="AW343"/>
    <hyperlink r:id="rId1363" location="osu/2835868" ref="AX343"/>
    <hyperlink r:id="rId1364" location="osu/4075902" ref="AU344"/>
    <hyperlink r:id="rId1365" ref="AV344"/>
    <hyperlink r:id="rId1366" ref="AW344"/>
    <hyperlink r:id="rId1367" location="osu/4075902" ref="AX344"/>
    <hyperlink r:id="rId1368" location="osu/261729" ref="AU345"/>
    <hyperlink r:id="rId1369" ref="AV345"/>
    <hyperlink r:id="rId1370" ref="AW345"/>
    <hyperlink r:id="rId1371" location="osu/261729" ref="AX345"/>
    <hyperlink r:id="rId1372" location="osu/1290855" ref="AU346"/>
    <hyperlink r:id="rId1373" ref="AV346"/>
    <hyperlink r:id="rId1374" ref="AW346"/>
    <hyperlink r:id="rId1375" location="osu/1290855" ref="AX346"/>
    <hyperlink r:id="rId1376" location="osu/2442178" ref="AU347"/>
    <hyperlink r:id="rId1377" ref="AV347"/>
    <hyperlink r:id="rId1378" ref="AW347"/>
    <hyperlink r:id="rId1379" location="osu/2442178" ref="AX347"/>
    <hyperlink r:id="rId1380" location="osu/2442178" ref="AU348"/>
    <hyperlink r:id="rId1381" ref="AV348"/>
    <hyperlink r:id="rId1382" ref="AW348"/>
    <hyperlink r:id="rId1383" location="osu/2442178" ref="AX348"/>
    <hyperlink r:id="rId1384" location="osu/1863289" ref="AU349"/>
    <hyperlink r:id="rId1385" ref="AV349"/>
    <hyperlink r:id="rId1386" ref="AW349"/>
    <hyperlink r:id="rId1387" location="osu/1863289" ref="AX349"/>
    <hyperlink r:id="rId1388" location="osu/1863289" ref="AU350"/>
    <hyperlink r:id="rId1389" ref="AV350"/>
    <hyperlink r:id="rId1390" ref="AW350"/>
    <hyperlink r:id="rId1391" location="osu/1863289" ref="AX350"/>
    <hyperlink r:id="rId1392" location="osu/757386" ref="AU351"/>
    <hyperlink r:id="rId1393" ref="AV351"/>
    <hyperlink r:id="rId1394" ref="AW351"/>
    <hyperlink r:id="rId1395" location="osu/757386" ref="AX351"/>
    <hyperlink r:id="rId1396" location="osu/757386" ref="AU352"/>
    <hyperlink r:id="rId1397" ref="AV352"/>
    <hyperlink r:id="rId1398" ref="AW352"/>
    <hyperlink r:id="rId1399" location="osu/757386" ref="AX352"/>
    <hyperlink r:id="rId1400" location="osu/3010348" ref="AU353"/>
    <hyperlink r:id="rId1401" ref="AV353"/>
    <hyperlink r:id="rId1402" ref="AW353"/>
    <hyperlink r:id="rId1403" location="osu/3010348" ref="AX353"/>
    <hyperlink r:id="rId1404" location="osu/2906707" ref="AU354"/>
    <hyperlink r:id="rId1405" ref="AV354"/>
    <hyperlink r:id="rId1406" ref="AW354"/>
    <hyperlink r:id="rId1407" location="osu/2906707" ref="AX354"/>
    <hyperlink r:id="rId1408" location="osu/2906707" ref="AU355"/>
    <hyperlink r:id="rId1409" ref="AV355"/>
    <hyperlink r:id="rId1410" ref="AW355"/>
    <hyperlink r:id="rId1411" location="osu/2906707" ref="AX355"/>
    <hyperlink r:id="rId1412" location="osu/2842836" ref="AU356"/>
    <hyperlink r:id="rId1413" ref="AV356"/>
    <hyperlink r:id="rId1414" ref="AW356"/>
    <hyperlink r:id="rId1415" location="osu/2842836" ref="AX356"/>
    <hyperlink r:id="rId1416" location="osu/2842836" ref="AU357"/>
    <hyperlink r:id="rId1417" ref="AV357"/>
    <hyperlink r:id="rId1418" ref="AW357"/>
    <hyperlink r:id="rId1419" location="osu/2842836" ref="AX357"/>
    <hyperlink r:id="rId1420" location="osu/3851000" ref="AU358"/>
    <hyperlink r:id="rId1421" ref="AV358"/>
    <hyperlink r:id="rId1422" ref="AW358"/>
    <hyperlink r:id="rId1423" location="osu/3851000" ref="AX358"/>
    <hyperlink r:id="rId1424" location="osu/3851000" ref="AU359"/>
    <hyperlink r:id="rId1425" ref="AV359"/>
    <hyperlink r:id="rId1426" ref="AW359"/>
    <hyperlink r:id="rId1427" location="osu/3851000" ref="AX359"/>
    <hyperlink r:id="rId1428" location="osu/2058908" ref="AU360"/>
    <hyperlink r:id="rId1429" ref="AV360"/>
    <hyperlink r:id="rId1430" ref="AW360"/>
    <hyperlink r:id="rId1431" location="osu/2058908" ref="AX360"/>
    <hyperlink r:id="rId1432" location="osu/804959" ref="AU361"/>
    <hyperlink r:id="rId1433" ref="AV361"/>
    <hyperlink r:id="rId1434" ref="AW361"/>
    <hyperlink r:id="rId1435" location="osu/804959" ref="AX361"/>
    <hyperlink r:id="rId1436" location="osu/804959" ref="AU362"/>
    <hyperlink r:id="rId1437" ref="AV362"/>
    <hyperlink r:id="rId1438" ref="AW362"/>
    <hyperlink r:id="rId1439" location="osu/804959" ref="AX362"/>
    <hyperlink r:id="rId1440" location="osu/2856139" ref="AU363"/>
    <hyperlink r:id="rId1441" ref="AV363"/>
    <hyperlink r:id="rId1442" ref="AW363"/>
    <hyperlink r:id="rId1443" location="osu/2856139" ref="AX363"/>
    <hyperlink r:id="rId1444" location="osu/3557369" ref="AU364"/>
    <hyperlink r:id="rId1445" ref="AV364"/>
    <hyperlink r:id="rId1446" ref="AW364"/>
    <hyperlink r:id="rId1447" location="osu/3557369" ref="AX364"/>
    <hyperlink r:id="rId1448" location="osu/3499229" ref="AU365"/>
    <hyperlink r:id="rId1449" ref="AV365"/>
    <hyperlink r:id="rId1450" ref="AW365"/>
    <hyperlink r:id="rId1451" location="osu/3499229" ref="AX365"/>
    <hyperlink r:id="rId1452" location="osu/3499229" ref="AU366"/>
    <hyperlink r:id="rId1453" ref="AV366"/>
    <hyperlink r:id="rId1454" ref="AW366"/>
    <hyperlink r:id="rId1455" location="osu/3499229" ref="AX366"/>
    <hyperlink r:id="rId1456" location="osu/4197268" ref="AU367"/>
    <hyperlink r:id="rId1457" ref="AV367"/>
    <hyperlink r:id="rId1458" ref="AW367"/>
    <hyperlink r:id="rId1459" location="osu/4197268" ref="AX367"/>
    <hyperlink r:id="rId1460" location="osu/4197268" ref="AU368"/>
    <hyperlink r:id="rId1461" ref="AV368"/>
    <hyperlink r:id="rId1462" ref="AW368"/>
    <hyperlink r:id="rId1463" location="osu/4197268" ref="AX368"/>
    <hyperlink r:id="rId1464" location="osu/86079" ref="AU369"/>
    <hyperlink r:id="rId1465" ref="AV369"/>
    <hyperlink r:id="rId1466" ref="AW369"/>
    <hyperlink r:id="rId1467" location="osu/86079" ref="AX369"/>
    <hyperlink r:id="rId1468" location="osu/86079" ref="AU370"/>
    <hyperlink r:id="rId1469" ref="AV370"/>
    <hyperlink r:id="rId1470" ref="AW370"/>
    <hyperlink r:id="rId1471" location="osu/86079" ref="AX370"/>
    <hyperlink r:id="rId1472" location="osu/2849167" ref="AU371"/>
    <hyperlink r:id="rId1473" ref="AV371"/>
    <hyperlink r:id="rId1474" ref="AW371"/>
    <hyperlink r:id="rId1475" location="osu/2849167" ref="AX371"/>
    <hyperlink r:id="rId1476" location="osu/4150885" ref="AU372"/>
    <hyperlink r:id="rId1477" ref="AV372"/>
    <hyperlink r:id="rId1478" ref="AW372"/>
    <hyperlink r:id="rId1479" location="osu/4150885" ref="AX372"/>
    <hyperlink r:id="rId1480" location="osu/4150885" ref="AU373"/>
    <hyperlink r:id="rId1481" ref="AV373"/>
    <hyperlink r:id="rId1482" ref="AW373"/>
    <hyperlink r:id="rId1483" location="osu/4150885" ref="AX373"/>
    <hyperlink r:id="rId1484" location="osu/3798371" ref="AU374"/>
    <hyperlink r:id="rId1485" ref="AV374"/>
    <hyperlink r:id="rId1486" ref="AW374"/>
    <hyperlink r:id="rId1487" location="osu/3798371" ref="AX374"/>
    <hyperlink r:id="rId1488" location="osu/3798371" ref="AU375"/>
    <hyperlink r:id="rId1489" ref="AV375"/>
    <hyperlink r:id="rId1490" ref="AW375"/>
    <hyperlink r:id="rId1491" location="osu/3798371" ref="AX375"/>
    <hyperlink r:id="rId1492" location="osu/4134134" ref="AU376"/>
    <hyperlink r:id="rId1493" ref="AV376"/>
    <hyperlink r:id="rId1494" ref="AW376"/>
    <hyperlink r:id="rId1495" location="osu/4134134" ref="AX376"/>
    <hyperlink r:id="rId1496" location="osu/34211" ref="AU377"/>
    <hyperlink r:id="rId1497" ref="AV377"/>
    <hyperlink r:id="rId1498" ref="AW377"/>
    <hyperlink r:id="rId1499" location="osu/34211" ref="AX377"/>
    <hyperlink r:id="rId1500" location="osu/1567978" ref="AU378"/>
    <hyperlink r:id="rId1501" ref="AV378"/>
    <hyperlink r:id="rId1502" ref="AW378"/>
    <hyperlink r:id="rId1503" location="osu/1567978" ref="AX378"/>
    <hyperlink r:id="rId1504" location="osu/1045757" ref="AU379"/>
    <hyperlink r:id="rId1505" ref="AV379"/>
    <hyperlink r:id="rId1506" ref="AW379"/>
    <hyperlink r:id="rId1507" location="osu/1045757" ref="AX379"/>
    <hyperlink r:id="rId1508" location="osu/3412490" ref="AU380"/>
    <hyperlink r:id="rId1509" ref="AV380"/>
    <hyperlink r:id="rId1510" ref="AW380"/>
    <hyperlink r:id="rId1511" location="osu/3412490" ref="AX380"/>
    <hyperlink r:id="rId1512" location="osu/2015481" ref="AU381"/>
    <hyperlink r:id="rId1513" ref="AV381"/>
    <hyperlink r:id="rId1514" ref="AW381"/>
    <hyperlink r:id="rId1515" location="osu/2015481" ref="AX381"/>
    <hyperlink r:id="rId1516" location="osu/3333734" ref="AU382"/>
    <hyperlink r:id="rId1517" ref="AV382"/>
    <hyperlink r:id="rId1518" ref="AW382"/>
    <hyperlink r:id="rId1519" location="osu/3333734" ref="AX382"/>
    <hyperlink r:id="rId1520" location="osu/2839573" ref="AU383"/>
    <hyperlink r:id="rId1521" ref="AV383"/>
    <hyperlink r:id="rId1522" ref="AW383"/>
    <hyperlink r:id="rId1523" location="osu/2839573" ref="AX383"/>
    <hyperlink r:id="rId1524" location="osu/3711739" ref="AU384"/>
    <hyperlink r:id="rId1525" ref="AV384"/>
    <hyperlink r:id="rId1526" ref="AW384"/>
    <hyperlink r:id="rId1527" location="osu/3711739" ref="AX384"/>
    <hyperlink r:id="rId1528" location="osu/3711739" ref="AU385"/>
    <hyperlink r:id="rId1529" ref="AV385"/>
    <hyperlink r:id="rId1530" ref="AW385"/>
    <hyperlink r:id="rId1531" location="osu/3711739" ref="AX385"/>
    <hyperlink r:id="rId1532" location="osu/2405667" ref="AU386"/>
    <hyperlink r:id="rId1533" ref="AV386"/>
    <hyperlink r:id="rId1534" ref="AW386"/>
    <hyperlink r:id="rId1535" location="osu/2405667" ref="AX386"/>
    <hyperlink r:id="rId1536" location="osu/1717844" ref="AU387"/>
    <hyperlink r:id="rId1537" ref="AV387"/>
    <hyperlink r:id="rId1538" ref="AW387"/>
    <hyperlink r:id="rId1539" location="osu/1717844" ref="AX387"/>
    <hyperlink r:id="rId1540" location="osu/2835894" ref="AU388"/>
    <hyperlink r:id="rId1541" ref="AV388"/>
    <hyperlink r:id="rId1542" ref="AW388"/>
    <hyperlink r:id="rId1543" location="osu/2835894" ref="AX388"/>
    <hyperlink r:id="rId1544" location="osu/3404589" ref="AU389"/>
    <hyperlink r:id="rId1545" ref="AV389"/>
    <hyperlink r:id="rId1546" ref="AW389"/>
    <hyperlink r:id="rId1547" location="osu/3404589" ref="AX389"/>
    <hyperlink r:id="rId1548" location="osu/3404589" ref="AU390"/>
    <hyperlink r:id="rId1549" ref="AV390"/>
    <hyperlink r:id="rId1550" ref="AW390"/>
    <hyperlink r:id="rId1551" location="osu/3404589" ref="AX390"/>
    <hyperlink r:id="rId1552" location="osu/345642" ref="AU391"/>
    <hyperlink r:id="rId1553" ref="AV391"/>
    <hyperlink r:id="rId1554" ref="AW391"/>
    <hyperlink r:id="rId1555" location="osu/345642" ref="AX391"/>
    <hyperlink r:id="rId1556" location="osu/345642" ref="AU392"/>
    <hyperlink r:id="rId1557" ref="AV392"/>
    <hyperlink r:id="rId1558" ref="AW392"/>
    <hyperlink r:id="rId1559" location="osu/345642" ref="AX392"/>
    <hyperlink r:id="rId1560" location="osu/2970566" ref="AU393"/>
    <hyperlink r:id="rId1561" ref="AV393"/>
    <hyperlink r:id="rId1562" ref="AW393"/>
    <hyperlink r:id="rId1563" location="osu/2970566" ref="AX393"/>
    <hyperlink r:id="rId1564" location="osu/1035068" ref="AU394"/>
    <hyperlink r:id="rId1565" ref="AV394"/>
    <hyperlink r:id="rId1566" ref="AW394"/>
    <hyperlink r:id="rId1567" location="osu/1035068" ref="AX394"/>
    <hyperlink r:id="rId1568" location="osu/1035068" ref="AU395"/>
    <hyperlink r:id="rId1569" ref="AV395"/>
    <hyperlink r:id="rId1570" ref="AW395"/>
    <hyperlink r:id="rId1571" location="osu/1035068" ref="AX395"/>
    <hyperlink r:id="rId1572" location="osu/824390" ref="AU396"/>
    <hyperlink r:id="rId1573" ref="AV396"/>
    <hyperlink r:id="rId1574" ref="AW396"/>
    <hyperlink r:id="rId1575" location="osu/824390" ref="AX396"/>
    <hyperlink r:id="rId1576" location="osu/824390" ref="AU397"/>
    <hyperlink r:id="rId1577" ref="AV397"/>
    <hyperlink r:id="rId1578" ref="AW397"/>
    <hyperlink r:id="rId1579" location="osu/824390" ref="AX397"/>
    <hyperlink r:id="rId1580" location="osu/3256307" ref="AU398"/>
    <hyperlink r:id="rId1581" ref="AV398"/>
    <hyperlink r:id="rId1582" ref="AW398"/>
    <hyperlink r:id="rId1583" location="osu/3256307" ref="AX398"/>
    <hyperlink r:id="rId1584" location="osu/3256307" ref="AU399"/>
    <hyperlink r:id="rId1585" ref="AV399"/>
    <hyperlink r:id="rId1586" ref="AW399"/>
    <hyperlink r:id="rId1587" location="osu/3256307" ref="AX399"/>
    <hyperlink r:id="rId1588" location="osu/646609" ref="AU400"/>
    <hyperlink r:id="rId1589" ref="AV400"/>
    <hyperlink r:id="rId1590" ref="AW400"/>
    <hyperlink r:id="rId1591" location="osu/646609" ref="AX400"/>
    <hyperlink r:id="rId1592" location="osu/646609" ref="AU401"/>
    <hyperlink r:id="rId1593" ref="AV401"/>
    <hyperlink r:id="rId1594" ref="AW401"/>
    <hyperlink r:id="rId1595" location="osu/646609" ref="AX401"/>
    <hyperlink r:id="rId1596" location="osu/2111279" ref="AU402"/>
    <hyperlink r:id="rId1597" ref="AV402"/>
    <hyperlink r:id="rId1598" ref="AW402"/>
    <hyperlink r:id="rId1599" location="osu/2111279" ref="AX402"/>
    <hyperlink r:id="rId1600" location="osu/2417645" ref="AU403"/>
    <hyperlink r:id="rId1601" ref="AV403"/>
    <hyperlink r:id="rId1602" ref="AW403"/>
    <hyperlink r:id="rId1603" location="osu/2417645" ref="AX403"/>
    <hyperlink r:id="rId1604" location="osu/2417645" ref="AU404"/>
    <hyperlink r:id="rId1605" ref="AV404"/>
    <hyperlink r:id="rId1606" ref="AW404"/>
    <hyperlink r:id="rId1607" location="osu/2417645" ref="AX404"/>
    <hyperlink r:id="rId1608" location="osu/765880" ref="AU405"/>
    <hyperlink r:id="rId1609" ref="AV405"/>
    <hyperlink r:id="rId1610" ref="AW405"/>
    <hyperlink r:id="rId1611" location="osu/765880" ref="AX405"/>
    <hyperlink r:id="rId1612" location="osu/765880" ref="AU406"/>
    <hyperlink r:id="rId1613" ref="AV406"/>
    <hyperlink r:id="rId1614" ref="AW406"/>
    <hyperlink r:id="rId1615" location="osu/765880" ref="AX406"/>
    <hyperlink r:id="rId1616" location="osu/2134906" ref="AU407"/>
    <hyperlink r:id="rId1617" ref="AV407"/>
    <hyperlink r:id="rId1618" ref="AW407"/>
    <hyperlink r:id="rId1619" location="osu/2134906" ref="AX407"/>
    <hyperlink r:id="rId1620" location="osu/1258993" ref="AU408"/>
    <hyperlink r:id="rId1621" ref="AV408"/>
    <hyperlink r:id="rId1622" ref="AW408"/>
    <hyperlink r:id="rId1623" location="osu/1258993" ref="AX408"/>
    <hyperlink r:id="rId1624" location="osu/3396297" ref="AU409"/>
    <hyperlink r:id="rId1625" ref="AV409"/>
    <hyperlink r:id="rId1626" ref="AW409"/>
    <hyperlink r:id="rId1627" location="osu/3396297" ref="AX409"/>
    <hyperlink r:id="rId1628" location="osu/2691754" ref="AU410"/>
    <hyperlink r:id="rId1629" ref="AV410"/>
    <hyperlink r:id="rId1630" ref="AW410"/>
    <hyperlink r:id="rId1631" location="osu/2691754" ref="AX410"/>
    <hyperlink r:id="rId1632" location="osu/2691754" ref="AU411"/>
    <hyperlink r:id="rId1633" ref="AV411"/>
    <hyperlink r:id="rId1634" ref="AW411"/>
    <hyperlink r:id="rId1635" location="osu/2691754" ref="AX411"/>
    <hyperlink r:id="rId1636" location="osu/3802110" ref="AU412"/>
    <hyperlink r:id="rId1637" ref="AV412"/>
    <hyperlink r:id="rId1638" ref="AW412"/>
    <hyperlink r:id="rId1639" location="osu/3802110" ref="AX412"/>
    <hyperlink r:id="rId1640" location="osu/3802110" ref="AU413"/>
    <hyperlink r:id="rId1641" ref="AV413"/>
    <hyperlink r:id="rId1642" ref="AW413"/>
    <hyperlink r:id="rId1643" location="osu/3802110" ref="AX413"/>
    <hyperlink r:id="rId1644" location="osu/2671858" ref="AU414"/>
    <hyperlink r:id="rId1645" ref="AV414"/>
    <hyperlink r:id="rId1646" ref="AW414"/>
    <hyperlink r:id="rId1647" location="osu/2671858" ref="AX414"/>
    <hyperlink r:id="rId1648" location="osu/2671858" ref="AU415"/>
    <hyperlink r:id="rId1649" ref="AV415"/>
    <hyperlink r:id="rId1650" ref="AW415"/>
    <hyperlink r:id="rId1651" location="osu/2671858" ref="AX415"/>
    <hyperlink r:id="rId1652" location="osu/3326410" ref="AU416"/>
    <hyperlink r:id="rId1653" ref="AV416"/>
    <hyperlink r:id="rId1654" ref="AW416"/>
    <hyperlink r:id="rId1655" location="osu/3326410" ref="AX416"/>
    <hyperlink r:id="rId1656" location="osu/3326410" ref="AU417"/>
    <hyperlink r:id="rId1657" ref="AV417"/>
    <hyperlink r:id="rId1658" ref="AW417"/>
    <hyperlink r:id="rId1659" location="osu/3326410" ref="AX417"/>
    <hyperlink r:id="rId1660" location="osu/2288966" ref="AU418"/>
    <hyperlink r:id="rId1661" ref="AV418"/>
    <hyperlink r:id="rId1662" ref="AW418"/>
    <hyperlink r:id="rId1663" location="osu/2288966" ref="AX418"/>
    <hyperlink r:id="rId1664" location="osu/2288966" ref="AU419"/>
    <hyperlink r:id="rId1665" ref="AV419"/>
    <hyperlink r:id="rId1666" ref="AW419"/>
    <hyperlink r:id="rId1667" location="osu/2288966" ref="AX419"/>
    <hyperlink r:id="rId1668" location="osu/2348578" ref="AU420"/>
    <hyperlink r:id="rId1669" ref="AV420"/>
    <hyperlink r:id="rId1670" ref="AW420"/>
    <hyperlink r:id="rId1671" location="osu/2348578" ref="AX420"/>
    <hyperlink r:id="rId1672" location="osu/2348578" ref="AU421"/>
    <hyperlink r:id="rId1673" ref="AV421"/>
    <hyperlink r:id="rId1674" ref="AW421"/>
    <hyperlink r:id="rId1675" location="osu/2348578" ref="AX421"/>
    <hyperlink r:id="rId1676" location="osu/3752605" ref="AU422"/>
    <hyperlink r:id="rId1677" ref="AV422"/>
    <hyperlink r:id="rId1678" ref="AW422"/>
    <hyperlink r:id="rId1679" location="osu/3752605" ref="AX422"/>
    <hyperlink r:id="rId1680" location="osu/3752605" ref="AU423"/>
    <hyperlink r:id="rId1681" ref="AV423"/>
    <hyperlink r:id="rId1682" ref="AW423"/>
    <hyperlink r:id="rId1683" location="osu/3752605" ref="AX423"/>
    <hyperlink r:id="rId1684" location="osu/3953905" ref="AU424"/>
    <hyperlink r:id="rId1685" ref="AV424"/>
    <hyperlink r:id="rId1686" ref="AW424"/>
    <hyperlink r:id="rId1687" location="osu/3953905" ref="AX424"/>
    <hyperlink r:id="rId1688" location="osu/929118" ref="AU425"/>
    <hyperlink r:id="rId1689" ref="AV425"/>
    <hyperlink r:id="rId1690" ref="AW425"/>
    <hyperlink r:id="rId1691" location="osu/929118" ref="AX425"/>
    <hyperlink r:id="rId1692" location="osu/3953905" ref="AU426"/>
    <hyperlink r:id="rId1693" ref="AV426"/>
    <hyperlink r:id="rId1694" ref="AW426"/>
    <hyperlink r:id="rId1695" location="osu/3953905" ref="AX426"/>
    <hyperlink r:id="rId1696" location="osu/929118" ref="AU427"/>
    <hyperlink r:id="rId1697" ref="AV427"/>
    <hyperlink r:id="rId1698" ref="AW427"/>
    <hyperlink r:id="rId1699" location="osu/929118" ref="AX427"/>
    <hyperlink r:id="rId1700" location="osu/309899" ref="AU428"/>
    <hyperlink r:id="rId1701" ref="AV428"/>
    <hyperlink r:id="rId1702" ref="AW428"/>
    <hyperlink r:id="rId1703" location="osu/309899" ref="AX428"/>
    <hyperlink r:id="rId1704" location="osu/309900" ref="AU429"/>
    <hyperlink r:id="rId1705" ref="AV429"/>
    <hyperlink r:id="rId1706" ref="AW429"/>
    <hyperlink r:id="rId1707" location="osu/309900" ref="AX429"/>
    <hyperlink r:id="rId1708" location="osu/1248147" ref="AU430"/>
    <hyperlink r:id="rId1709" ref="AV430"/>
    <hyperlink r:id="rId1710" ref="AW430"/>
    <hyperlink r:id="rId1711" location="osu/1248147" ref="AX430"/>
    <hyperlink r:id="rId1712" location="osu/1248147" ref="AU431"/>
    <hyperlink r:id="rId1713" ref="AV431"/>
    <hyperlink r:id="rId1714" ref="AW431"/>
    <hyperlink r:id="rId1715" location="osu/1248147" ref="AX431"/>
    <hyperlink r:id="rId1716" location="osu/1494828" ref="AU432"/>
    <hyperlink r:id="rId1717" ref="AV432"/>
    <hyperlink r:id="rId1718" ref="AW432"/>
    <hyperlink r:id="rId1719" location="osu/1494828" ref="AX432"/>
    <hyperlink r:id="rId1720" location="osu/975342" ref="AU433"/>
    <hyperlink r:id="rId1721" ref="AV433"/>
    <hyperlink r:id="rId1722" ref="AW433"/>
    <hyperlink r:id="rId1723" location="osu/975342" ref="AX433"/>
    <hyperlink r:id="rId1724" location="osu/3271290" ref="AU434"/>
    <hyperlink r:id="rId1725" ref="AV434"/>
    <hyperlink r:id="rId1726" ref="AW434"/>
    <hyperlink r:id="rId1727" location="osu/3271290" ref="AX434"/>
    <hyperlink r:id="rId1728" location="osu/2718270" ref="AU435"/>
    <hyperlink r:id="rId1729" ref="AV435"/>
    <hyperlink r:id="rId1730" ref="AW435"/>
    <hyperlink r:id="rId1731" location="osu/2718270" ref="AX435"/>
    <hyperlink r:id="rId1732" location="osu/1744385" ref="AU436"/>
    <hyperlink r:id="rId1733" ref="AV436"/>
    <hyperlink r:id="rId1734" ref="AW436"/>
    <hyperlink r:id="rId1735" location="osu/1744385" ref="AX436"/>
    <hyperlink r:id="rId1736" location="osu/3186407" ref="AU437"/>
    <hyperlink r:id="rId1737" ref="AV437"/>
    <hyperlink r:id="rId1738" ref="AW437"/>
    <hyperlink r:id="rId1739" location="osu/3186407" ref="AX437"/>
    <hyperlink r:id="rId1740" location="osu/243487" ref="AU438"/>
    <hyperlink r:id="rId1741" ref="AV438"/>
    <hyperlink r:id="rId1742" ref="AW438"/>
    <hyperlink r:id="rId1743" location="osu/243487" ref="AX438"/>
    <hyperlink r:id="rId1744" location="osu/243487" ref="AU439"/>
    <hyperlink r:id="rId1745" ref="AV439"/>
    <hyperlink r:id="rId1746" ref="AW439"/>
    <hyperlink r:id="rId1747" location="osu/243487" ref="AX439"/>
    <hyperlink r:id="rId1748" location="osu/3614024" ref="AU440"/>
    <hyperlink r:id="rId1749" ref="AV440"/>
    <hyperlink r:id="rId1750" ref="AW440"/>
    <hyperlink r:id="rId1751" location="osu/3614024" ref="AX440"/>
    <hyperlink r:id="rId1752" location="osu/3257641" ref="AU441"/>
    <hyperlink r:id="rId1753" ref="AV441"/>
    <hyperlink r:id="rId1754" ref="AW441"/>
    <hyperlink r:id="rId1755" location="osu/3257641" ref="AX441"/>
    <hyperlink r:id="rId1756" location="osu/3182052" ref="AU442"/>
    <hyperlink r:id="rId1757" ref="AV442"/>
    <hyperlink r:id="rId1758" ref="AW442"/>
    <hyperlink r:id="rId1759" location="osu/3182052" ref="AX442"/>
    <hyperlink r:id="rId1760" location="osu/3182052" ref="AU443"/>
    <hyperlink r:id="rId1761" ref="AV443"/>
    <hyperlink r:id="rId1762" ref="AW443"/>
    <hyperlink r:id="rId1763" location="osu/3182052" ref="AX443"/>
    <hyperlink r:id="rId1764" location="osu/3071429" ref="AU444"/>
    <hyperlink r:id="rId1765" ref="AV444"/>
    <hyperlink r:id="rId1766" ref="AW444"/>
    <hyperlink r:id="rId1767" location="osu/3071429" ref="AX444"/>
    <hyperlink r:id="rId1768" location="osu/3071429" ref="AU445"/>
    <hyperlink r:id="rId1769" ref="AV445"/>
    <hyperlink r:id="rId1770" ref="AW445"/>
    <hyperlink r:id="rId1771" location="osu/3071429" ref="AX445"/>
    <hyperlink r:id="rId1772" location="osu/1653270" ref="AU446"/>
    <hyperlink r:id="rId1773" ref="AV446"/>
    <hyperlink r:id="rId1774" ref="AW446"/>
    <hyperlink r:id="rId1775" location="osu/1653270" ref="AX446"/>
    <hyperlink r:id="rId1776" location="osu/1653270" ref="AU447"/>
    <hyperlink r:id="rId1777" ref="AV447"/>
    <hyperlink r:id="rId1778" ref="AW447"/>
    <hyperlink r:id="rId1779" location="osu/1653270" ref="AX447"/>
    <hyperlink r:id="rId1780" location="osu/117424" ref="AU448"/>
    <hyperlink r:id="rId1781" ref="AV448"/>
    <hyperlink r:id="rId1782" ref="AW448"/>
    <hyperlink r:id="rId1783" location="osu/117424" ref="AX448"/>
    <hyperlink r:id="rId1784" location="osu/117424" ref="AU449"/>
    <hyperlink r:id="rId1785" ref="AV449"/>
    <hyperlink r:id="rId1786" ref="AW449"/>
    <hyperlink r:id="rId1787" location="osu/117424" ref="AX449"/>
    <hyperlink r:id="rId1788" location="osu/2855311" ref="AU450"/>
    <hyperlink r:id="rId1789" ref="AV450"/>
    <hyperlink r:id="rId1790" ref="AW450"/>
    <hyperlink r:id="rId1791" location="osu/2855311" ref="AX450"/>
    <hyperlink r:id="rId1792" location="osu/2855311" ref="AU451"/>
    <hyperlink r:id="rId1793" ref="AV451"/>
    <hyperlink r:id="rId1794" ref="AW451"/>
    <hyperlink r:id="rId1795" location="osu/2855311" ref="AX451"/>
    <hyperlink r:id="rId1796" location="osu/3883278" ref="AU452"/>
    <hyperlink r:id="rId1797" ref="AV452"/>
    <hyperlink r:id="rId1798" ref="AW452"/>
    <hyperlink r:id="rId1799" location="osu/3883278" ref="AX452"/>
    <hyperlink r:id="rId1800" location="osu/3883278" ref="AU453"/>
    <hyperlink r:id="rId1801" ref="AV453"/>
    <hyperlink r:id="rId1802" ref="AW453"/>
    <hyperlink r:id="rId1803" location="osu/3883278" ref="AX453"/>
    <hyperlink r:id="rId1804" location="osu/1592403" ref="AU454"/>
    <hyperlink r:id="rId1805" ref="AV454"/>
    <hyperlink r:id="rId1806" ref="AW454"/>
    <hyperlink r:id="rId1807" location="osu/1592403" ref="AX454"/>
    <hyperlink r:id="rId1808" location="osu/1592403" ref="AU455"/>
    <hyperlink r:id="rId1809" ref="AV455"/>
    <hyperlink r:id="rId1810" ref="AW455"/>
    <hyperlink r:id="rId1811" location="osu/1592403" ref="AX455"/>
    <hyperlink r:id="rId1812" location="osu/2111658" ref="AU456"/>
    <hyperlink r:id="rId1813" ref="AV456"/>
    <hyperlink r:id="rId1814" ref="AW456"/>
    <hyperlink r:id="rId1815" location="osu/2111658" ref="AX456"/>
    <hyperlink r:id="rId1816" location="osu/26436" ref="AU457"/>
    <hyperlink r:id="rId1817" ref="AV457"/>
    <hyperlink r:id="rId1818" ref="AW457"/>
    <hyperlink r:id="rId1819" location="osu/26436" ref="AX457"/>
    <hyperlink r:id="rId1820" location="osu/26436" ref="AU458"/>
    <hyperlink r:id="rId1821" ref="AV458"/>
    <hyperlink r:id="rId1822" ref="AW458"/>
    <hyperlink r:id="rId1823" location="osu/26436" ref="AX458"/>
    <hyperlink r:id="rId1824" location="osu/424554" ref="AU459"/>
    <hyperlink r:id="rId1825" ref="AV459"/>
    <hyperlink r:id="rId1826" ref="AW459"/>
    <hyperlink r:id="rId1827" location="osu/424554" ref="AX459"/>
    <hyperlink r:id="rId1828" location="osu/2559136" ref="AU460"/>
    <hyperlink r:id="rId1829" ref="AV460"/>
    <hyperlink r:id="rId1830" ref="AW460"/>
    <hyperlink r:id="rId1831" location="osu/2559136" ref="AX460"/>
    <hyperlink r:id="rId1832" location="osu/2559136" ref="AU461"/>
    <hyperlink r:id="rId1833" ref="AV461"/>
    <hyperlink r:id="rId1834" ref="AW461"/>
    <hyperlink r:id="rId1835" location="osu/2559136" ref="AX461"/>
    <hyperlink r:id="rId1836" location="osu/2792506" ref="AU462"/>
    <hyperlink r:id="rId1837" ref="AV462"/>
    <hyperlink r:id="rId1838" ref="AW462"/>
    <hyperlink r:id="rId1839" location="osu/2792506" ref="AX462"/>
    <hyperlink r:id="rId1840" location="osu/3686559" ref="AU463"/>
    <hyperlink r:id="rId1841" ref="AV463"/>
    <hyperlink r:id="rId1842" ref="AW463"/>
    <hyperlink r:id="rId1843" location="osu/3686559" ref="AX463"/>
    <hyperlink r:id="rId1844" location="osu/1938365" ref="AU464"/>
    <hyperlink r:id="rId1845" ref="AV464"/>
    <hyperlink r:id="rId1846" ref="AW464"/>
    <hyperlink r:id="rId1847" location="osu/1938365" ref="AX464"/>
    <hyperlink r:id="rId1848" location="osu/1699306" ref="AU465"/>
    <hyperlink r:id="rId1849" ref="AV465"/>
    <hyperlink r:id="rId1850" ref="AW465"/>
    <hyperlink r:id="rId1851" location="osu/1699306" ref="AX465"/>
    <hyperlink r:id="rId1852" location="osu/789815" ref="AU466"/>
    <hyperlink r:id="rId1853" ref="AV466"/>
    <hyperlink r:id="rId1854" ref="AW466"/>
    <hyperlink r:id="rId1855" location="osu/789815" ref="AX466"/>
    <hyperlink r:id="rId1856" location="osu/1631406" ref="AU467"/>
    <hyperlink r:id="rId1857" ref="AV467"/>
    <hyperlink r:id="rId1858" ref="AW467"/>
    <hyperlink r:id="rId1859" location="osu/1631406" ref="AX467"/>
    <hyperlink r:id="rId1860" location="osu/2961839" ref="AU468"/>
    <hyperlink r:id="rId1861" ref="AV468"/>
    <hyperlink r:id="rId1862" ref="AW468"/>
    <hyperlink r:id="rId1863" location="osu/2961839" ref="AX468"/>
    <hyperlink r:id="rId1864" location="osu/3716151" ref="AU469"/>
    <hyperlink r:id="rId1865" ref="AV469"/>
    <hyperlink r:id="rId1866" ref="AW469"/>
    <hyperlink r:id="rId1867" location="osu/3716151" ref="AX469"/>
    <hyperlink r:id="rId1868" location="osu/3716151" ref="AU470"/>
    <hyperlink r:id="rId1869" ref="AV470"/>
    <hyperlink r:id="rId1870" ref="AW470"/>
    <hyperlink r:id="rId1871" location="osu/3716151" ref="AX470"/>
    <hyperlink r:id="rId1872" location="osu/1737928" ref="AU471"/>
    <hyperlink r:id="rId1873" ref="AV471"/>
    <hyperlink r:id="rId1874" ref="AW471"/>
    <hyperlink r:id="rId1875" location="osu/1737928" ref="AX471"/>
    <hyperlink r:id="rId1876" location="osu/2577703" ref="AU472"/>
    <hyperlink r:id="rId1877" ref="AV472"/>
    <hyperlink r:id="rId1878" ref="AW472"/>
    <hyperlink r:id="rId1879" location="osu/2577703" ref="AX472"/>
    <hyperlink r:id="rId1880" location="osu/25341" ref="AU473"/>
    <hyperlink r:id="rId1881" ref="AV473"/>
    <hyperlink r:id="rId1882" ref="AW473"/>
    <hyperlink r:id="rId1883" location="osu/25341" ref="AX473"/>
    <hyperlink r:id="rId1884" location="osu/25341" ref="AU474"/>
    <hyperlink r:id="rId1885" ref="AV474"/>
    <hyperlink r:id="rId1886" ref="AW474"/>
    <hyperlink r:id="rId1887" location="osu/25341" ref="AX474"/>
    <hyperlink r:id="rId1888" location="osu/2565268" ref="AU475"/>
    <hyperlink r:id="rId1889" ref="AV475"/>
    <hyperlink r:id="rId1890" ref="AW475"/>
    <hyperlink r:id="rId1891" location="osu/2565268" ref="AX475"/>
    <hyperlink r:id="rId1892" location="osu/3802071" ref="AU476"/>
    <hyperlink r:id="rId1893" ref="AV476"/>
    <hyperlink r:id="rId1894" ref="AW476"/>
    <hyperlink r:id="rId1895" location="osu/3802071" ref="AX476"/>
    <hyperlink r:id="rId1896" location="osu/3700933" ref="AU477"/>
    <hyperlink r:id="rId1897" ref="AV477"/>
    <hyperlink r:id="rId1898" ref="AW477"/>
    <hyperlink r:id="rId1899" location="osu/3700933" ref="AX477"/>
    <hyperlink r:id="rId1900" location="osu/3700933" ref="AU478"/>
    <hyperlink r:id="rId1901" ref="AV478"/>
    <hyperlink r:id="rId1902" ref="AW478"/>
    <hyperlink r:id="rId1903" location="osu/3700933" ref="AX478"/>
    <hyperlink r:id="rId1904" location="osu/3853742" ref="AU479"/>
    <hyperlink r:id="rId1905" ref="AV479"/>
    <hyperlink r:id="rId1906" ref="AW479"/>
    <hyperlink r:id="rId1907" location="osu/3853742" ref="AX479"/>
    <hyperlink r:id="rId1908" location="osu/3039329" ref="AU480"/>
    <hyperlink r:id="rId1909" ref="AV480"/>
    <hyperlink r:id="rId1910" ref="AW480"/>
    <hyperlink r:id="rId1911" location="osu/3039329" ref="AX480"/>
    <hyperlink r:id="rId1912" location="osu/3714369" ref="AU481"/>
    <hyperlink r:id="rId1913" ref="AV481"/>
    <hyperlink r:id="rId1914" ref="AW481"/>
    <hyperlink r:id="rId1915" location="osu/3714369" ref="AX481"/>
    <hyperlink r:id="rId1916" location="osu/3461206" ref="AU482"/>
    <hyperlink r:id="rId1917" ref="AV482"/>
    <hyperlink r:id="rId1918" ref="AW482"/>
    <hyperlink r:id="rId1919" location="osu/3461206" ref="AX482"/>
    <hyperlink r:id="rId1920" location="osu/3461206" ref="AU483"/>
    <hyperlink r:id="rId1921" ref="AV483"/>
    <hyperlink r:id="rId1922" ref="AW483"/>
    <hyperlink r:id="rId1923" location="osu/3461206" ref="AX483"/>
    <hyperlink r:id="rId1924" location="osu/2690998" ref="AU484"/>
    <hyperlink r:id="rId1925" ref="AV484"/>
    <hyperlink r:id="rId1926" ref="AW484"/>
    <hyperlink r:id="rId1927" location="osu/2690998" ref="AX484"/>
    <hyperlink r:id="rId1928" location="osu/3461206" ref="AU485"/>
    <hyperlink r:id="rId1929" ref="AV485"/>
    <hyperlink r:id="rId1930" ref="AW485"/>
    <hyperlink r:id="rId1931" location="osu/3461206" ref="AX485"/>
    <hyperlink r:id="rId1932" location="osu/2279885" ref="AU486"/>
    <hyperlink r:id="rId1933" ref="AV486"/>
    <hyperlink r:id="rId1934" ref="AW486"/>
    <hyperlink r:id="rId1935" location="osu/2279885" ref="AX486"/>
    <hyperlink r:id="rId1936" location="osu/3563737" ref="AU487"/>
    <hyperlink r:id="rId1937" ref="AV487"/>
    <hyperlink r:id="rId1938" ref="AW487"/>
    <hyperlink r:id="rId1939" location="osu/3563737" ref="AX487"/>
    <hyperlink r:id="rId1940" location="osu/571620" ref="AU488"/>
    <hyperlink r:id="rId1941" ref="AV488"/>
    <hyperlink r:id="rId1942" ref="AW488"/>
    <hyperlink r:id="rId1943" location="osu/571620" ref="AX488"/>
    <hyperlink r:id="rId1944" location="osu/847315" ref="AU489"/>
    <hyperlink r:id="rId1945" ref="AV489"/>
    <hyperlink r:id="rId1946" ref="AW489"/>
    <hyperlink r:id="rId1947" location="osu/847315" ref="AX489"/>
    <hyperlink r:id="rId1948" location="osu/99407" ref="AU490"/>
    <hyperlink r:id="rId1949" ref="AV490"/>
    <hyperlink r:id="rId1950" ref="AW490"/>
    <hyperlink r:id="rId1951" location="osu/99407" ref="AX490"/>
    <hyperlink r:id="rId1952" location="osu/99407" ref="AU491"/>
    <hyperlink r:id="rId1953" ref="AV491"/>
    <hyperlink r:id="rId1954" ref="AW491"/>
    <hyperlink r:id="rId1955" location="osu/99407" ref="AX491"/>
    <hyperlink r:id="rId1956" location="osu/58701" ref="AU492"/>
    <hyperlink r:id="rId1957" ref="AV492"/>
    <hyperlink r:id="rId1958" ref="AW492"/>
    <hyperlink r:id="rId1959" location="osu/58701" ref="AX492"/>
    <hyperlink r:id="rId1960" location="osu/1707909" ref="AU493"/>
    <hyperlink r:id="rId1961" ref="AV493"/>
    <hyperlink r:id="rId1962" ref="AW493"/>
    <hyperlink r:id="rId1963" location="osu/1707909" ref="AX493"/>
    <hyperlink r:id="rId1964" location="osu/3772514" ref="AU494"/>
    <hyperlink r:id="rId1965" ref="AV494"/>
    <hyperlink r:id="rId1966" ref="AW494"/>
    <hyperlink r:id="rId1967" location="osu/3772514" ref="AX494"/>
    <hyperlink r:id="rId1968" location="osu/3772514" ref="AU495"/>
    <hyperlink r:id="rId1969" ref="AV495"/>
    <hyperlink r:id="rId1970" ref="AW495"/>
    <hyperlink r:id="rId1971" location="osu/3772514" ref="AX495"/>
    <hyperlink r:id="rId1972" location="osu/862338" ref="AU496"/>
    <hyperlink r:id="rId1973" ref="AV496"/>
    <hyperlink r:id="rId1974" ref="AW496"/>
    <hyperlink r:id="rId1975" location="osu/862338" ref="AX496"/>
    <hyperlink r:id="rId1976" location="osu/3711612" ref="AU497"/>
    <hyperlink r:id="rId1977" ref="AV497"/>
    <hyperlink r:id="rId1978" ref="AW497"/>
    <hyperlink r:id="rId1979" location="osu/3711612" ref="AX497"/>
    <hyperlink r:id="rId1980" location="osu/3711612" ref="AU498"/>
    <hyperlink r:id="rId1981" ref="AV498"/>
    <hyperlink r:id="rId1982" ref="AW498"/>
    <hyperlink r:id="rId1983" location="osu/3711612" ref="AX498"/>
    <hyperlink r:id="rId1984" location="osu/2519731" ref="AU499"/>
    <hyperlink r:id="rId1985" ref="AV499"/>
    <hyperlink r:id="rId1986" ref="AW499"/>
    <hyperlink r:id="rId1987" location="osu/2519731" ref="AX499"/>
  </hyperlinks>
  <drawing r:id="rId1988"/>
</worksheet>
</file>