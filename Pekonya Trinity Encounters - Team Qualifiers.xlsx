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44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Qualifiers settings" sheetId="1" r:id="rId4"/>
    <sheet state="hidden" name="Not to use qual template" sheetId="2" r:id="rId5"/>
    <sheet state="hidden" name="- - - - -" sheetId="3" r:id="rId6"/>
    <sheet state="visible" name="Qualifiers Pool" sheetId="4" r:id="rId7"/>
    <sheet state="visible" name="Ref &amp; Team list" sheetId="5" r:id="rId8"/>
    <sheet state="visible" name="Qualifier Lobbies" sheetId="6" r:id="rId9"/>
    <sheet state="visible" name="Templatee" sheetId="7" r:id="rId10"/>
    <sheet state="hidden" name="A2" sheetId="8" r:id="rId11"/>
    <sheet state="hidden" name="A3" sheetId="9" r:id="rId12"/>
    <sheet state="hidden" name="A4" sheetId="10" r:id="rId13"/>
    <sheet state="hidden" name="A5" sheetId="11" r:id="rId14"/>
    <sheet state="hidden" name="A6" sheetId="12" r:id="rId15"/>
    <sheet state="hidden" name="A7" sheetId="13" r:id="rId16"/>
    <sheet state="hidden" name="A8" sheetId="14" r:id="rId17"/>
    <sheet state="hidden" name="A9" sheetId="15" r:id="rId18"/>
    <sheet state="hidden" name="A10" sheetId="16" r:id="rId19"/>
    <sheet state="hidden" name="A11" sheetId="17" r:id="rId20"/>
    <sheet state="hidden" name="A12" sheetId="18" r:id="rId21"/>
    <sheet state="hidden" name="B1" sheetId="19" r:id="rId22"/>
    <sheet state="hidden" name="B2" sheetId="20" r:id="rId23"/>
    <sheet state="hidden" name="B3" sheetId="21" r:id="rId24"/>
    <sheet state="hidden" name="B4" sheetId="22" r:id="rId25"/>
    <sheet state="hidden" name="B5" sheetId="23" r:id="rId26"/>
    <sheet state="hidden" name="B6" sheetId="24" r:id="rId27"/>
    <sheet state="hidden" name="B7" sheetId="25" r:id="rId28"/>
    <sheet state="hidden" name="B8" sheetId="26" r:id="rId29"/>
    <sheet state="hidden" name="B9" sheetId="27" r:id="rId30"/>
    <sheet state="visible" name="B11" sheetId="28" r:id="rId31"/>
    <sheet state="visible" name="B12" sheetId="29" r:id="rId32"/>
    <sheet state="visible" name="B13" sheetId="30" r:id="rId33"/>
    <sheet state="hidden" name="C1" sheetId="31" r:id="rId34"/>
    <sheet state="hidden" name="C2" sheetId="32" r:id="rId35"/>
    <sheet state="hidden" name="C3" sheetId="33" r:id="rId36"/>
    <sheet state="hidden" name="C4" sheetId="34" r:id="rId37"/>
    <sheet state="visible" name="C5" sheetId="35" r:id="rId38"/>
    <sheet state="hidden" name="C6" sheetId="36" r:id="rId39"/>
    <sheet state="hidden" name="C7" sheetId="37" r:id="rId40"/>
    <sheet state="hidden" name="C8" sheetId="38" r:id="rId41"/>
    <sheet state="hidden" name="C9" sheetId="39" r:id="rId42"/>
    <sheet state="hidden" name="C10" sheetId="40" r:id="rId43"/>
    <sheet state="hidden" name="C11" sheetId="41" r:id="rId44"/>
    <sheet state="hidden" name="C12" sheetId="42" r:id="rId45"/>
    <sheet state="hidden" name="C13" sheetId="43" r:id="rId46"/>
    <sheet state="hidden" name="C14" sheetId="44" r:id="rId47"/>
    <sheet state="hidden" name="C15" sheetId="45" r:id="rId48"/>
    <sheet state="hidden" name="C16" sheetId="46" r:id="rId49"/>
    <sheet state="hidden" name="C17" sheetId="47" r:id="rId50"/>
    <sheet state="hidden" name="C18" sheetId="48" r:id="rId51"/>
    <sheet state="hidden" name="C19" sheetId="49" r:id="rId52"/>
    <sheet state="hidden" name="C20" sheetId="50" r:id="rId53"/>
    <sheet state="visible" name="B10" sheetId="51" r:id="rId54"/>
    <sheet state="hidden" name="Template" sheetId="52" r:id="rId55"/>
  </sheets>
  <definedNames>
    <definedName localSheetId="0" name="Scoremode">'Qualifiers settings'!$C$7</definedName>
    <definedName localSheetId="4" name="TeamList">'Ref &amp; Team list'!$C$3:$F$36</definedName>
    <definedName localSheetId="0" name="Gamemode">'Qualifiers settings'!$C$5</definedName>
    <definedName localSheetId="0" name="TourneyAbb">'Qualifiers settings'!$C$3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NM1, NM2, NM3, ....
Do this for all stages.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2">
      <text>
        <t xml:space="preserve">removing second scores hr1 at the end because duplicate (replay)</t>
      </text>
    </comment>
    <comment authorId="0" ref="M28">
      <text>
        <t xml:space="preserve">Put the MP Link first always @Referees!</t>
      </text>
    </comment>
    <comment authorId="0" ref="M32">
      <text>
        <t xml:space="preserve">filter frui ludo hd1 first score because wasnt hidden.</t>
      </text>
    </comment>
    <comment authorId="0" ref="M37">
      <text>
        <t xml:space="preserve">i filtered first nm1 and nm2 because score V1</t>
      </text>
    </comment>
    <comment authorId="0" ref="M43">
      <text>
        <t xml:space="preserve">filter rurup second dt2 score , only one of his play counts.</t>
      </text>
    </comment>
    <comment authorId="0" ref="M47">
      <text>
        <t xml:space="preserve">filter one therizard hr1 score, only one of his score counts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</commentList>
</comments>
</file>

<file path=xl/sharedStrings.xml><?xml version="1.0" encoding="utf-8"?>
<sst xmlns="http://schemas.openxmlformats.org/spreadsheetml/2006/main" count="3230" uniqueCount="416">
  <si>
    <t>Tournament Name</t>
  </si>
  <si>
    <t>Pekonya Trinity Encounters</t>
  </si>
  <si>
    <t>Tournament Abbereviation</t>
  </si>
  <si>
    <t>PTE</t>
  </si>
  <si>
    <t>Scoremode</t>
  </si>
  <si>
    <t>Gamemode</t>
  </si>
  <si>
    <t>No. of players max in lobby</t>
  </si>
  <si>
    <t>Use NF</t>
  </si>
  <si>
    <t>Forum Post Link</t>
  </si>
  <si>
    <t>https://osu.ppy.sh/community/forums/topics/1790898?n=1?</t>
  </si>
  <si>
    <t>Mainsheet Link</t>
  </si>
  <si>
    <t>https://docs.google.com/spreadsheets/d/1u1R-0YeX71qksHP7hWq8QkjcpECX-9LSvskalZ8hxdg/edit?usp=sharing</t>
  </si>
  <si>
    <t>Time preparing for each map</t>
  </si>
  <si>
    <t>Start countdown time</t>
  </si>
  <si>
    <t>QUALIFIERS SCHEDULES</t>
  </si>
  <si>
    <t>UTC+0</t>
  </si>
  <si>
    <t>Lobby</t>
  </si>
  <si>
    <t>Slots taken</t>
  </si>
  <si>
    <t>Date</t>
  </si>
  <si>
    <t>Time</t>
  </si>
  <si>
    <t>Referee</t>
  </si>
  <si>
    <t xml:space="preserve">Team 1 </t>
  </si>
  <si>
    <t>Team 2</t>
  </si>
  <si>
    <t>Team 3</t>
  </si>
  <si>
    <t>Team 4</t>
  </si>
  <si>
    <t>Team 5</t>
  </si>
  <si>
    <t>MP LINK</t>
  </si>
  <si>
    <t>Saturday</t>
  </si>
  <si>
    <t>A1</t>
  </si>
  <si>
    <t>-PeKora-</t>
  </si>
  <si>
    <t>sane players</t>
  </si>
  <si>
    <t>EG</t>
  </si>
  <si>
    <t>Fnatic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</si>
  <si>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</si>
  <si>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</si>
  <si>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</si>
  <si>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</si>
  <si>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</si>
  <si>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</si>
  <si>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</si>
  <si>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</si>
  <si>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</si>
  <si>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Sunday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</si>
  <si>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</si>
  <si>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</si>
  <si>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</si>
  <si>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</si>
  <si>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</si>
  <si>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</si>
  <si>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</si>
  <si>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</si>
  <si>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</si>
  <si>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</si>
  <si>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Custom Lobbies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</si>
  <si>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</si>
  <si>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</si>
  <si>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</si>
  <si>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</si>
  <si>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</si>
  <si>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</si>
  <si>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</si>
  <si>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</si>
  <si>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</si>
  <si>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</si>
  <si>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Mod#</t>
  </si>
  <si>
    <t>Song</t>
  </si>
  <si>
    <t>BeatmapID</t>
  </si>
  <si>
    <t>Beatmap String</t>
  </si>
  <si>
    <t>Map Command</t>
  </si>
  <si>
    <t>Mod Command</t>
  </si>
  <si>
    <t>Qualifier Pool</t>
  </si>
  <si>
    <t>NM1</t>
  </si>
  <si>
    <t>nonoc - Relive [Insane]</t>
  </si>
  <si>
    <t>NM2</t>
  </si>
  <si>
    <t>void - Crisscrosser [Insane]</t>
  </si>
  <si>
    <t>NM2: void - Crisscrosser [Insane]</t>
  </si>
  <si>
    <t>!mp map 908887</t>
  </si>
  <si>
    <t>!mp mods NF</t>
  </si>
  <si>
    <t>NM3</t>
  </si>
  <si>
    <t>Sangatsu no Phantasia - Koufuku na Wagamama [Insane]</t>
  </si>
  <si>
    <t>NM3: Sangatsu no Phantasia - Koufuku na Wagamama [Insane]</t>
  </si>
  <si>
    <t>!mp map 3035501</t>
  </si>
  <si>
    <t>NM4</t>
  </si>
  <si>
    <t>PSYQUI - Education [sorciere's Insane]</t>
  </si>
  <si>
    <t>NM4: PSYQUI - Education [sorciere's Insane]</t>
  </si>
  <si>
    <t>!mp map 3737825</t>
  </si>
  <si>
    <t>HD1</t>
  </si>
  <si>
    <t>Ax feat. Natsukawa Yoko - Sakimori Renka [Insane]</t>
  </si>
  <si>
    <t>HD1: Ax feat. Natsukawa Yoko - Sakimori Renka [Insane]</t>
  </si>
  <si>
    <t>!mp map 2094462</t>
  </si>
  <si>
    <t>!mp mods HD NF</t>
  </si>
  <si>
    <t>HD2</t>
  </si>
  <si>
    <t>Amane - BOOZEHOUND [Down's Insane]</t>
  </si>
  <si>
    <t>HD2: Amane - BOOZEHOUND [Down's Insane]</t>
  </si>
  <si>
    <t>!mp map 2619929</t>
  </si>
  <si>
    <t>HR1</t>
  </si>
  <si>
    <t>THE ORAL CIGARETTES - Wagamama de Gomakasanaide [Panda &amp; Melwoine's Insane]</t>
  </si>
  <si>
    <t>HR1: THE ORAL CIGARETTES - Wagamama de Gomakasanaide [Panda &amp; Melwoine's Insane]</t>
  </si>
  <si>
    <t>!mp map 2027623</t>
  </si>
  <si>
    <t>!mp mods HR NF</t>
  </si>
  <si>
    <t>HR2</t>
  </si>
  <si>
    <t>Kajiura Yuki - Sis puella magica! [Tea Party]</t>
  </si>
  <si>
    <t>HR2: Kajiura Yuki - Sis puella magica! [Tea Party]</t>
  </si>
  <si>
    <t>!mp map 1523138</t>
  </si>
  <si>
    <t>DT1</t>
  </si>
  <si>
    <t>ICHIKO - YOU'RE THE ONE [ANDREA &amp; ASUKO'S HARD]</t>
  </si>
  <si>
    <t>DT1: ICHIKO - YOU'RE THE ONE [ANDREA &amp; ASUKO'S HARD]</t>
  </si>
  <si>
    <t>!mp map 4105349</t>
  </si>
  <si>
    <t>!mp mods DT NF</t>
  </si>
  <si>
    <t>DT2</t>
  </si>
  <si>
    <t>DIANA - Beethoven Virus [Aranel's Hard]</t>
  </si>
  <si>
    <t>DT2: DIANA - Beethoven Virus [Aranel's Hard]</t>
  </si>
  <si>
    <t>!mp map 3533589</t>
  </si>
  <si>
    <t/>
  </si>
  <si>
    <t>Round of 64</t>
  </si>
  <si>
    <t>Round of 32</t>
  </si>
  <si>
    <t>Round of 16</t>
  </si>
  <si>
    <t>Quarterfinals</t>
  </si>
  <si>
    <t>Semifinals</t>
  </si>
  <si>
    <t>Finals</t>
  </si>
  <si>
    <t>Grandfinals</t>
  </si>
  <si>
    <t>c</t>
  </si>
  <si>
    <t>Referees</t>
  </si>
  <si>
    <t>Team Name</t>
  </si>
  <si>
    <t>Player 2</t>
  </si>
  <si>
    <t>Player 3</t>
  </si>
  <si>
    <t>play hd3</t>
  </si>
  <si>
    <t>Sedi</t>
  </si>
  <si>
    <t>Pischok</t>
  </si>
  <si>
    <t>I hate EZ</t>
  </si>
  <si>
    <t>good girl</t>
  </si>
  <si>
    <t>Meiling Hong</t>
  </si>
  <si>
    <t>RudderFish07</t>
  </si>
  <si>
    <t>ShiruoX</t>
  </si>
  <si>
    <t>Lunexia</t>
  </si>
  <si>
    <t>Ninja Mejster</t>
  </si>
  <si>
    <t>YaeMyMommy</t>
  </si>
  <si>
    <t>Joon Yorigami</t>
  </si>
  <si>
    <t>euouae_</t>
  </si>
  <si>
    <t>Flare_Drake</t>
  </si>
  <si>
    <t>Mewo_</t>
  </si>
  <si>
    <t>Bo_Bandy</t>
  </si>
  <si>
    <t>Shogeki</t>
  </si>
  <si>
    <t>reforna</t>
  </si>
  <si>
    <t>BCraftMG</t>
  </si>
  <si>
    <t>Gamillie</t>
  </si>
  <si>
    <t>BlooMertz</t>
  </si>
  <si>
    <t>Azasapag</t>
  </si>
  <si>
    <t>Emerald Ages</t>
  </si>
  <si>
    <t>-PeKoRa-</t>
  </si>
  <si>
    <t>[-Gabys-]</t>
  </si>
  <si>
    <t>z</t>
  </si>
  <si>
    <t>Double click dates</t>
  </si>
  <si>
    <t xml:space="preserve">0:00 </t>
  </si>
  <si>
    <t>2:00</t>
  </si>
  <si>
    <t>:MIPINGA:</t>
  </si>
  <si>
    <t>Here Forever</t>
  </si>
  <si>
    <t>BallzDeep69</t>
  </si>
  <si>
    <t>4:00</t>
  </si>
  <si>
    <t>phony :)</t>
  </si>
  <si>
    <t>6:00</t>
  </si>
  <si>
    <t>foxy1919191919's basement</t>
  </si>
  <si>
    <t>8:00</t>
  </si>
  <si>
    <t>10:00</t>
  </si>
  <si>
    <t>PLDT ANO NAAA</t>
  </si>
  <si>
    <t>12:00</t>
  </si>
  <si>
    <t>Mewo My Waifu</t>
  </si>
  <si>
    <t>CocoaGoats</t>
  </si>
  <si>
    <t>PoorQuaIityMeatpilow</t>
  </si>
  <si>
    <t>14:00</t>
  </si>
  <si>
    <t>Beancurd</t>
  </si>
  <si>
    <t>3000CombinedHours</t>
  </si>
  <si>
    <t>PES E9L9</t>
  </si>
  <si>
    <t>16:00</t>
  </si>
  <si>
    <t>18:00</t>
  </si>
  <si>
    <t>Nameless Waifulovers</t>
  </si>
  <si>
    <t>A11</t>
  </si>
  <si>
    <t>20:00</t>
  </si>
  <si>
    <t>cake</t>
  </si>
  <si>
    <t>copium abusers</t>
  </si>
  <si>
    <t>APELPIES MY MOMMY</t>
  </si>
  <si>
    <t>A12</t>
  </si>
  <si>
    <t>22:00</t>
  </si>
  <si>
    <t>The One 100s</t>
  </si>
  <si>
    <t>Faz o L</t>
  </si>
  <si>
    <t>Better HD Abusers</t>
  </si>
  <si>
    <t>Lovers + 3rd wheel</t>
  </si>
  <si>
    <t>Minor assault squad</t>
  </si>
  <si>
    <t>blpka</t>
  </si>
  <si>
    <t>Team name pending xd</t>
  </si>
  <si>
    <t>Tom and Jerry</t>
  </si>
  <si>
    <t>VN+1</t>
  </si>
  <si>
    <t>LongTreep</t>
  </si>
  <si>
    <t>Koteykaaa team</t>
  </si>
  <si>
    <t>Angleseekers</t>
  </si>
  <si>
    <t>Ahjin</t>
  </si>
  <si>
    <t>The sleepers</t>
  </si>
  <si>
    <t>hmmmm</t>
  </si>
  <si>
    <t>The 3-star Threats</t>
  </si>
  <si>
    <t>Side Characters</t>
  </si>
  <si>
    <t>https://osu.ppy.sh/community/matches/109979426</t>
  </si>
  <si>
    <t>B11</t>
  </si>
  <si>
    <t>Retired Aces</t>
  </si>
  <si>
    <t>https://osu.ppy.sh/community/matches/109980924</t>
  </si>
  <si>
    <t>B12</t>
  </si>
  <si>
    <t>The Michis Gang</t>
  </si>
  <si>
    <t>middle-schooler wife</t>
  </si>
  <si>
    <t>https://osu.ppy.sh/community/matches/109982967</t>
  </si>
  <si>
    <t>B13</t>
  </si>
  <si>
    <t>23:59</t>
  </si>
  <si>
    <t>https://osu.ppy.sh/community/matches/109980360</t>
  </si>
  <si>
    <t>^2nd mp for b10</t>
  </si>
  <si>
    <t>C1</t>
  </si>
  <si>
    <t>Chocomaid</t>
  </si>
  <si>
    <t>C2</t>
  </si>
  <si>
    <t>Sightread Buff</t>
  </si>
  <si>
    <t>Flexgang</t>
  </si>
  <si>
    <t>C3</t>
  </si>
  <si>
    <t>15:00</t>
  </si>
  <si>
    <t xml:space="preserve">underdogs </t>
  </si>
  <si>
    <t>C4</t>
  </si>
  <si>
    <t>Aug 11 (Friday)</t>
  </si>
  <si>
    <t xml:space="preserve"> 14:30</t>
  </si>
  <si>
    <t>small wiener club</t>
  </si>
  <si>
    <t>C5</t>
  </si>
  <si>
    <t xml:space="preserve">Aug 12 (Saturday) </t>
  </si>
  <si>
    <t>The Mat Munchers</t>
  </si>
  <si>
    <t>match in 15</t>
  </si>
  <si>
    <t>Ghost the Angel</t>
  </si>
  <si>
    <t>C6</t>
  </si>
  <si>
    <t>3:00</t>
  </si>
  <si>
    <t>Our team left us</t>
  </si>
  <si>
    <t>C7</t>
  </si>
  <si>
    <t>Aug 9 (Wednesday)</t>
  </si>
  <si>
    <t>BOCCHER</t>
  </si>
  <si>
    <t>C8</t>
  </si>
  <si>
    <t>Aug 13 (Sunday)</t>
  </si>
  <si>
    <t xml:space="preserve">1:00 </t>
  </si>
  <si>
    <t>animefoot69</t>
  </si>
  <si>
    <t>C9</t>
  </si>
  <si>
    <t>15:30</t>
  </si>
  <si>
    <t>C10</t>
  </si>
  <si>
    <t xml:space="preserve"> 7:00</t>
  </si>
  <si>
    <t>C11</t>
  </si>
  <si>
    <t>Aug 10 (Thursday)</t>
  </si>
  <si>
    <t>13:00</t>
  </si>
  <si>
    <t>Cottonpickers</t>
  </si>
  <si>
    <t>C12</t>
  </si>
  <si>
    <t>Kittens</t>
  </si>
  <si>
    <t>C13</t>
  </si>
  <si>
    <t>C14</t>
  </si>
  <si>
    <t>placeholder teamname</t>
  </si>
  <si>
    <t>DSE victims</t>
  </si>
  <si>
    <t>C15</t>
  </si>
  <si>
    <t>female ass wrestling</t>
  </si>
  <si>
    <t>C16</t>
  </si>
  <si>
    <t>20.00</t>
  </si>
  <si>
    <t xml:space="preserve">Dino Nuggies </t>
  </si>
  <si>
    <t>C17</t>
  </si>
  <si>
    <t>15.00</t>
  </si>
  <si>
    <t>Skills issue</t>
  </si>
  <si>
    <t>lowrank is my love</t>
  </si>
  <si>
    <t>https://osu.ppy.sh/community/matches/109976488</t>
  </si>
  <si>
    <t>C18</t>
  </si>
  <si>
    <t>Homossexual Students</t>
  </si>
  <si>
    <t>C19</t>
  </si>
  <si>
    <t>22:30</t>
  </si>
  <si>
    <t>jedrew</t>
  </si>
  <si>
    <t>C20</t>
  </si>
  <si>
    <t>17:00</t>
  </si>
  <si>
    <t>equipe câo</t>
  </si>
  <si>
    <t>Lobby:</t>
  </si>
  <si>
    <t>Referee:</t>
  </si>
  <si>
    <t>Remarks (Late and Replays)</t>
  </si>
  <si>
    <t>mp timer 120</t>
  </si>
  <si>
    <t>!mp settings</t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</si>
  <si>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</si>
  <si>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MP LINK:</t>
  </si>
  <si>
    <t>:thumbsup: None</t>
  </si>
  <si>
    <t>!mp set 0 3 16</t>
  </si>
  <si>
    <t>!mp abort</t>
  </si>
  <si>
    <t>Room Command:</t>
  </si>
  <si>
    <t>!mp start 10</t>
  </si>
  <si>
    <t>!mp aborttimer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</si>
  <si>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</si>
  <si>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t>Results:</t>
  </si>
  <si>
    <t>MP COMMANDS</t>
  </si>
  <si>
    <t>!mp addref (name)</t>
  </si>
  <si>
    <t>Mappool</t>
  </si>
  <si>
    <t>Map Name</t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</si>
  <si>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</si>
  <si>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https://osu.ppy.sh/community/matches/109952322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</si>
  <si>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</si>
  <si>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</si>
  <si>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https://osu.ppy.sh/mp/109953545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</si>
  <si>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</si>
  <si>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</si>
  <si>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https://osu.ppy.sh/community/matches/109954652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</si>
  <si>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</si>
  <si>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</si>
  <si>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</si>
  <si>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</si>
  <si>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https://osu.ppy.sh/mp/109956626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</si>
  <si>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</si>
  <si>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</si>
  <si>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https://osu.ppy.sh/mp/109957596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</si>
  <si>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</si>
  <si>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</si>
  <si>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https://osu.ppy.sh/community/matches/109959176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</si>
  <si>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</si>
  <si>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</si>
  <si>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</si>
  <si>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</si>
  <si>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https://osu.ppy.sh/community/matches/109962867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</si>
  <si>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</si>
  <si>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t>!mp timer 120</t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</si>
  <si>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</si>
  <si>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https://osu.ppy.sh/community/matches/109964348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</si>
  <si>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</si>
  <si>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</si>
  <si>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https://osu.ppy.sh/community/matches/109966515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</si>
  <si>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</si>
  <si>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</si>
  <si>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https://osu.ppy.sh/community/matches/109967744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</si>
  <si>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</si>
  <si>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</si>
  <si>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</si>
  <si>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</si>
  <si>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https://osu.ppy.sh/community/matches/109970156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</si>
  <si>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</si>
  <si>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</si>
  <si>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</si>
  <si>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</si>
  <si>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https://osu.ppy.sh/community/matches/109971985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</si>
  <si>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</si>
  <si>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</si>
  <si>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https://osu.ppy.sh/mp/109973026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</si>
  <si>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</si>
  <si>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t>ofc</t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</si>
  <si>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</si>
  <si>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https://osu.ppy.sh/community/matches/109973994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</si>
  <si>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</si>
  <si>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</si>
  <si>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</si>
  <si>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</si>
  <si>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https://osu.ppy.sh/community/matches/109977543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</si>
  <si>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</si>
  <si>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</si>
  <si>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</si>
  <si>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</si>
  <si>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</si>
  <si>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</si>
  <si>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</si>
  <si>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</si>
  <si>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https://osu.ppy.sh/community/matches/109940745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</si>
  <si>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</si>
  <si>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</si>
  <si>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https://osu.ppy.sh/community/matches/109946357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</si>
  <si>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</si>
  <si>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</si>
  <si>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https://osu.ppy.sh/community/matches/109944141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</si>
  <si>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</si>
  <si>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</si>
  <si>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https://osu.ppy.sh/mp/109943699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</si>
  <si>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</si>
  <si>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</si>
  <si>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https://osu.ppy.sh/community/matches/109960051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</si>
  <si>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</si>
  <si>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</si>
  <si>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https://osu.ppy.sh/community/matches/109937609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</si>
  <si>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</si>
  <si>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</si>
  <si>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https://osu.ppy.sh/community/matches/109917698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</si>
  <si>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</si>
  <si>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</si>
  <si>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https://osu.ppy.sh/community/matches/109968332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</si>
  <si>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</si>
  <si>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</si>
  <si>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</si>
  <si>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</si>
  <si>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</si>
  <si>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</si>
  <si>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https://osu.ppy.sh/community/matches/109927223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</si>
  <si>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</si>
  <si>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</si>
  <si>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https://osu.ppy.sh/community/matches/109929843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</si>
  <si>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</si>
  <si>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</si>
  <si>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</si>
  <si>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</si>
  <si>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https://osu.ppy.sh/community/matches/109943247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</si>
  <si>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</si>
  <si>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</si>
  <si>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https://osu.ppy.sh/community/matches/109944161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</si>
  <si>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</si>
  <si>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</si>
  <si>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https://osu.ppy.sh/community/matches/109949863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</si>
  <si>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</si>
  <si>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</si>
  <si>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</si>
  <si>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</si>
  <si>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https://osu.ppy.sh/community/matches/109964627</t>
  </si>
  <si>
    <t>Gabys</t>
  </si>
  <si>
    <t>Aug 12 (Saturday)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</si>
  <si>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</si>
  <si>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t>20 UTC</t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</si>
  <si>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</si>
  <si>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https://osu.ppy.sh/community/matches/109966782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</si>
  <si>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</si>
  <si>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</si>
  <si>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t>https://osu.ppy.sh/community/matches/109978422</t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</si>
  <si>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</si>
  <si>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</si>
  <si>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</si>
  <si>
    <r>
      <rPr>
        <rFont val="Rubik"/>
        <color rgb="FF000000"/>
        <sz val="8.0"/>
      </rPr>
      <t xml:space="preserve">Forum link :
</t>
    </r>
    <r>
      <rPr>
        <rFont val="Rubik"/>
        <color rgb="FF000000"/>
        <sz val="8.0"/>
        <u/>
      </rPr>
      <t>https://osu.ppy.sh/community/forums/topics/1790898?n=1?</t>
    </r>
  </si>
  <si>
    <r>
      <rPr>
        <rFont val="Rubik"/>
        <color rgb="FF000000"/>
        <sz val="7.0"/>
      </rPr>
      <t xml:space="preserve">Mainsheet link :
</t>
    </r>
    <r>
      <rPr>
        <rFont val="Rubik"/>
        <color rgb="FF000000"/>
        <sz val="7.0"/>
        <u/>
      </rPr>
      <t>https://docs.google.com/spreadsheets/d/1u1R-0YeX71qksHP7hWq8QkjcpECX-9LSvskalZ8hxdg/edit?usp=sharing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</si>
</sst>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d&quot; (&quot;dddd&quot;)&quot;"/>
    <numFmt numFmtId="165" formatCode="h&quot;:&quot;mm"/>
  </numFmts>
  <fonts count="5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ubik"/>
    </font>
    <font>
      <sz val="8.0"/>
      <color rgb="FF000000"/>
      <name val="Rubik"/>
    </font>
    <font>
      <color rgb="FF434343"/>
      <name val="Rubik"/>
    </font>
    <font>
      <sz val="15.0"/>
      <color rgb="FFFFFFFF"/>
      <name val="Bungee"/>
    </font>
    <font/>
    <font>
      <sz val="8.0"/>
      <color rgb="FFFFFFFF"/>
      <name val="Rubik"/>
    </font>
    <font>
      <b/>
      <sz val="10.0"/>
      <color rgb="FFFFFFFF"/>
      <name val="Rubik"/>
    </font>
    <font>
      <color rgb="FFFFFFFF"/>
      <name val="Rubik"/>
    </font>
    <font>
      <sz val="12.0"/>
      <color theme="1"/>
      <name val="Rubik"/>
    </font>
    <font>
      <sz val="12.0"/>
      <color theme="1"/>
      <name val="Bungee"/>
    </font>
    <font>
      <sz val="12.0"/>
      <color theme="1"/>
      <name val="Arial"/>
      <scheme val="minor"/>
    </font>
    <font>
      <sz val="14.0"/>
      <color theme="1"/>
      <name val="Bungee"/>
    </font>
    <font>
      <sz val="12.0"/>
      <color theme="1"/>
      <name val="Comfortaa"/>
    </font>
    <font>
      <sz val="8.0"/>
      <color theme="1"/>
      <name val="Rubik"/>
    </font>
    <font>
      <b/>
      <color rgb="FFFFFFFF"/>
      <name val="Rubik"/>
    </font>
    <font>
      <b/>
      <sz val="18.0"/>
      <color rgb="FFFFFFFF"/>
      <name val="Rubik"/>
    </font>
    <font>
      <color rgb="FFDEDEDE"/>
      <name val="Rubik"/>
    </font>
    <font>
      <color rgb="FF000000"/>
      <name val="Rubik"/>
    </font>
    <font>
      <u/>
      <color rgb="FF000000"/>
      <name val="Rubik"/>
    </font>
    <font>
      <u/>
      <color rgb="FF000000"/>
      <name val="Rubik"/>
    </font>
    <font>
      <b/>
      <sz val="18.0"/>
      <color rgb="FF000000"/>
      <name val="Rubik"/>
    </font>
    <font>
      <color rgb="FFF2F2F2"/>
      <name val="Rubik"/>
    </font>
    <font>
      <b/>
      <color rgb="FF434343"/>
      <name val="Rubik"/>
    </font>
    <font>
      <u/>
      <color rgb="FF434343"/>
      <name val="Rubik"/>
    </font>
    <font>
      <u/>
      <color rgb="FF434343"/>
      <name val="Rubik"/>
    </font>
    <font>
      <u/>
      <color rgb="FF434343"/>
      <name val="Rubik"/>
    </font>
    <font>
      <u/>
      <color rgb="FF434343"/>
      <name val="Rubik"/>
    </font>
    <font>
      <b/>
      <sz val="9.0"/>
      <color rgb="FFFFFFFF"/>
      <name val="Rubik"/>
    </font>
    <font>
      <sz val="14.0"/>
      <color theme="1"/>
      <name val="Rubik"/>
    </font>
    <font>
      <sz val="6.0"/>
      <color theme="1"/>
      <name val="Rubik"/>
    </font>
    <font>
      <u/>
      <sz val="8.0"/>
      <color rgb="FF0000FF"/>
      <name val="Rubik"/>
    </font>
    <font>
      <b/>
      <sz val="10.0"/>
      <color theme="1"/>
      <name val="Rubik"/>
    </font>
    <font>
      <b/>
      <sz val="8.0"/>
      <color rgb="FF000000"/>
      <name val="Rubik"/>
    </font>
    <font>
      <b/>
      <sz val="8.0"/>
      <color theme="1"/>
      <name val="Rubik"/>
    </font>
    <font>
      <u/>
      <sz val="8.0"/>
      <color rgb="FF000000"/>
      <name val="Rubik"/>
    </font>
    <font>
      <sz val="10.0"/>
      <color rgb="FF000000"/>
      <name val="Rubik"/>
    </font>
    <font>
      <u/>
      <sz val="7.0"/>
      <color rgb="FF000000"/>
      <name val="Rubik"/>
    </font>
    <font>
      <b/>
      <sz val="12.0"/>
      <color theme="1"/>
      <name val="Rubik"/>
    </font>
    <font>
      <sz val="7.0"/>
      <color theme="1"/>
      <name val="Comfortaa"/>
    </font>
    <font>
      <b/>
      <sz val="11.0"/>
      <color theme="1"/>
      <name val="Rubik"/>
    </font>
    <font>
      <u/>
      <sz val="8.0"/>
      <color rgb="FF000000"/>
      <name val="Rubik"/>
    </font>
    <font>
      <u/>
      <sz val="8.0"/>
      <color rgb="FF000000"/>
      <name val="Rubik"/>
    </font>
    <font>
      <u/>
      <sz val="6.0"/>
      <color rgb="FF0000FF"/>
      <name val="Rubik"/>
    </font>
    <font>
      <u/>
      <sz val="10.0"/>
      <color rgb="FF000000"/>
      <name val="Rubik"/>
    </font>
    <font>
      <u/>
      <sz val="10.0"/>
      <color rgb="FF000000"/>
      <name val="Rubik"/>
    </font>
    <font>
      <u/>
      <sz val="10.0"/>
      <color rgb="FF000000"/>
      <name val="Rubik"/>
    </font>
    <font>
      <u/>
      <sz val="10.0"/>
      <color rgb="FF000000"/>
      <name val="Rubik"/>
    </font>
    <font>
      <u/>
      <sz val="10.0"/>
      <color rgb="FF000000"/>
      <name val="Rubik"/>
    </font>
    <font>
      <u/>
      <sz val="6.0"/>
      <color rgb="FF0000FF"/>
      <name val="Rubik"/>
    </font>
    <font>
      <u/>
      <sz val="11.0"/>
      <color rgb="FFFFFFFF"/>
      <name val="Roboto"/>
    </font>
    <font>
      <sz val="11.0"/>
      <color rgb="FFFFFFFF"/>
      <name val="Roboto"/>
    </font>
    <font>
      <u/>
      <sz val="6.0"/>
      <color rgb="FF000000"/>
      <name val="Rubik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BACEED"/>
        <bgColor rgb="FFBACEED"/>
      </patternFill>
    </fill>
    <fill>
      <patternFill patternType="solid">
        <fgColor rgb="FF0071CE"/>
        <bgColor rgb="FF0071CE"/>
      </patternFill>
    </fill>
    <fill>
      <patternFill patternType="solid">
        <fgColor rgb="FFFFFFFF"/>
        <bgColor rgb="FFFFFFFF"/>
      </patternFill>
    </fill>
    <fill>
      <patternFill patternType="solid">
        <fgColor rgb="FF284056"/>
        <bgColor rgb="FF284056"/>
      </patternFill>
    </fill>
    <fill>
      <patternFill patternType="solid">
        <fgColor rgb="FFC3DCEB"/>
        <bgColor rgb="FFC3DCEB"/>
      </patternFill>
    </fill>
    <fill>
      <patternFill patternType="solid">
        <fgColor rgb="FF5C7387"/>
        <bgColor rgb="FF5C7387"/>
      </patternFill>
    </fill>
    <fill>
      <patternFill patternType="solid">
        <fgColor rgb="FFFFF2CC"/>
        <bgColor rgb="FFFFF2CC"/>
      </patternFill>
    </fill>
    <fill>
      <patternFill patternType="solid">
        <fgColor rgb="FFDEDEDE"/>
        <bgColor rgb="FFDEDEDE"/>
      </patternFill>
    </fill>
    <fill>
      <patternFill patternType="solid">
        <fgColor rgb="FFF3F3F3"/>
        <bgColor rgb="FFF3F3F3"/>
      </patternFill>
    </fill>
    <fill>
      <patternFill patternType="solid">
        <fgColor rgb="FF204ACB"/>
        <bgColor rgb="FF204ACB"/>
      </patternFill>
    </fill>
  </fills>
  <borders count="51">
    <border/>
    <border>
      <left style="dotted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FFFFF"/>
      </right>
    </border>
    <border>
      <left style="thin">
        <color rgb="FFFFFFFF"/>
      </lef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thin">
        <color rgb="FFFFFFFF"/>
      </left>
    </border>
    <border>
      <right style="thick">
        <color rgb="FF000000"/>
      </right>
    </border>
    <border>
      <left style="thick">
        <color rgb="FF000000"/>
      </left>
      <right style="dotted">
        <color rgb="FF000000"/>
      </right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right style="thin">
        <color rgb="FFFFFFFF"/>
      </right>
      <top style="thick">
        <color rgb="FF000000"/>
      </top>
    </border>
    <border>
      <left style="dotted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left style="dotted">
        <color rgb="FF000000"/>
      </left>
      <bottom style="thin">
        <color rgb="FFFFFFFF"/>
      </bottom>
    </border>
    <border>
      <left style="dotted">
        <color rgb="FFDEDEDE"/>
      </left>
      <right style="dotted">
        <color rgb="FFDEDEDE"/>
      </right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71CE"/>
      </left>
    </border>
    <border>
      <right style="dotted">
        <color rgb="FF0071CE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readingOrder="0"/>
    </xf>
    <xf borderId="1" fillId="3" fontId="2" numFmtId="0" xfId="0" applyAlignment="1" applyBorder="1" applyFont="1">
      <alignment readingOrder="0"/>
    </xf>
    <xf borderId="0" fillId="3" fontId="2" numFmtId="0" xfId="0" applyFont="1"/>
    <xf borderId="1" fillId="3" fontId="2" numFmtId="0" xfId="0" applyBorder="1" applyFont="1"/>
    <xf borderId="1" fillId="3" fontId="3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center"/>
    </xf>
    <xf borderId="0" fillId="4" fontId="2" numFmtId="0" xfId="0" applyFill="1" applyFont="1"/>
    <xf borderId="0" fillId="4" fontId="1" numFmtId="0" xfId="0" applyAlignment="1" applyFont="1">
      <alignment readingOrder="0"/>
    </xf>
    <xf borderId="2" fillId="5" fontId="5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4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0" fillId="4" fontId="10" numFmtId="0" xfId="0" applyFont="1"/>
    <xf borderId="2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0" fillId="4" fontId="12" numFmtId="0" xfId="0" applyAlignment="1" applyFont="1">
      <alignment readingOrder="0"/>
    </xf>
    <xf borderId="9" fillId="6" fontId="13" numFmtId="0" xfId="0" applyAlignment="1" applyBorder="1" applyFill="1" applyFont="1">
      <alignment horizontal="center" readingOrder="0" textRotation="90" vertical="center"/>
    </xf>
    <xf borderId="10" fillId="0" fontId="14" numFmtId="0" xfId="0" applyAlignment="1" applyBorder="1" applyFont="1">
      <alignment horizontal="center" readingOrder="0" vertical="center"/>
    </xf>
    <xf borderId="11" fillId="0" fontId="14" numFmtId="0" xfId="0" applyAlignment="1" applyBorder="1" applyFont="1">
      <alignment horizontal="center" readingOrder="0" vertical="center"/>
    </xf>
    <xf borderId="0" fillId="6" fontId="14" numFmtId="164" xfId="0" applyAlignment="1" applyFont="1" applyNumberFormat="1">
      <alignment horizontal="center" readingOrder="0" vertical="center"/>
    </xf>
    <xf borderId="11" fillId="0" fontId="14" numFmtId="165" xfId="0" applyAlignment="1" applyBorder="1" applyFont="1" applyNumberFormat="1">
      <alignment horizontal="center" readingOrder="0" vertical="center"/>
    </xf>
    <xf borderId="12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13" fillId="0" fontId="14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horizontal="center" readingOrder="0" shrinkToFit="0" vertical="center" wrapText="0"/>
    </xf>
    <xf borderId="15" fillId="0" fontId="6" numFmtId="0" xfId="0" applyBorder="1" applyFont="1"/>
    <xf borderId="0" fillId="0" fontId="14" numFmtId="164" xfId="0" applyAlignment="1" applyFont="1" applyNumberFormat="1">
      <alignment horizontal="center" readingOrder="0" vertical="center"/>
    </xf>
    <xf borderId="16" fillId="0" fontId="6" numFmtId="0" xfId="0" applyBorder="1" applyFont="1"/>
    <xf borderId="0" fillId="0" fontId="14" numFmtId="164" xfId="0" applyAlignment="1" applyFont="1" applyNumberFormat="1">
      <alignment horizontal="center" vertical="center"/>
    </xf>
    <xf borderId="11" fillId="0" fontId="14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readingOrder="0" vertical="center"/>
    </xf>
    <xf borderId="18" fillId="0" fontId="14" numFmtId="0" xfId="0" applyAlignment="1" applyBorder="1" applyFont="1">
      <alignment horizontal="center" readingOrder="0" vertical="center"/>
    </xf>
    <xf borderId="19" fillId="0" fontId="14" numFmtId="164" xfId="0" applyAlignment="1" applyBorder="1" applyFont="1" applyNumberFormat="1">
      <alignment horizontal="center" vertical="center"/>
    </xf>
    <xf borderId="18" fillId="0" fontId="14" numFmtId="46" xfId="0" applyAlignment="1" applyBorder="1" applyFont="1" applyNumberFormat="1">
      <alignment horizontal="center" vertical="center"/>
    </xf>
    <xf borderId="18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19" fillId="0" fontId="14" numFmtId="0" xfId="0" applyAlignment="1" applyBorder="1" applyFont="1">
      <alignment horizontal="center" readingOrder="0" vertical="center"/>
    </xf>
    <xf borderId="21" fillId="0" fontId="14" numFmtId="0" xfId="0" applyAlignment="1" applyBorder="1" applyFont="1">
      <alignment horizontal="center" readingOrder="0" vertical="center"/>
    </xf>
    <xf borderId="22" fillId="0" fontId="15" numFmtId="0" xfId="0" applyAlignment="1" applyBorder="1" applyFont="1">
      <alignment horizontal="center" readingOrder="0" shrinkToFit="0" vertical="center" wrapText="0"/>
    </xf>
    <xf borderId="0" fillId="2" fontId="1" numFmtId="0" xfId="0" applyFont="1"/>
    <xf borderId="23" fillId="5" fontId="16" numFmtId="0" xfId="0" applyAlignment="1" applyBorder="1" applyFont="1">
      <alignment horizontal="center" readingOrder="0" vertical="center"/>
    </xf>
    <xf borderId="9" fillId="5" fontId="17" numFmtId="0" xfId="0" applyAlignment="1" applyBorder="1" applyFont="1">
      <alignment horizontal="center" readingOrder="0" textRotation="90" vertical="center"/>
    </xf>
    <xf borderId="24" fillId="7" fontId="18" numFmtId="0" xfId="0" applyAlignment="1" applyBorder="1" applyFill="1" applyFont="1">
      <alignment horizontal="center" readingOrder="0" vertical="center"/>
    </xf>
    <xf borderId="25" fillId="3" fontId="19" numFmtId="0" xfId="0" applyAlignment="1" applyBorder="1" applyFont="1">
      <alignment readingOrder="0" vertical="center"/>
    </xf>
    <xf borderId="26" fillId="3" fontId="19" numFmtId="0" xfId="0" applyAlignment="1" applyBorder="1" applyFont="1">
      <alignment horizontal="left" readingOrder="0" vertical="center"/>
    </xf>
    <xf borderId="27" fillId="3" fontId="19" numFmtId="0" xfId="0" applyAlignment="1" applyBorder="1" applyFont="1">
      <alignment readingOrder="0" vertical="center"/>
    </xf>
    <xf borderId="28" fillId="3" fontId="20" numFmtId="0" xfId="0" applyAlignment="1" applyBorder="1" applyFont="1">
      <alignment horizontal="left" vertical="center"/>
    </xf>
    <xf borderId="29" fillId="3" fontId="19" numFmtId="0" xfId="0" applyAlignment="1" applyBorder="1" applyFont="1">
      <alignment horizontal="center" vertical="center"/>
    </xf>
    <xf borderId="27" fillId="3" fontId="19" numFmtId="0" xfId="0" applyAlignment="1" applyBorder="1" applyFont="1">
      <alignment horizontal="center" vertical="center"/>
    </xf>
    <xf borderId="30" fillId="3" fontId="19" numFmtId="0" xfId="0" applyAlignment="1" applyBorder="1" applyFont="1">
      <alignment readingOrder="0" vertical="center"/>
    </xf>
    <xf borderId="13" fillId="3" fontId="19" numFmtId="0" xfId="0" applyAlignment="1" applyBorder="1" applyFont="1">
      <alignment horizontal="left" readingOrder="0" vertical="center"/>
    </xf>
    <xf borderId="31" fillId="3" fontId="19" numFmtId="0" xfId="0" applyAlignment="1" applyBorder="1" applyFont="1">
      <alignment readingOrder="0" vertical="center"/>
    </xf>
    <xf borderId="32" fillId="3" fontId="21" numFmtId="0" xfId="0" applyAlignment="1" applyBorder="1" applyFont="1">
      <alignment horizontal="left" vertical="center"/>
    </xf>
    <xf borderId="12" fillId="3" fontId="19" numFmtId="0" xfId="0" applyAlignment="1" applyBorder="1" applyFont="1">
      <alignment horizontal="center" vertical="center"/>
    </xf>
    <xf borderId="31" fillId="3" fontId="19" numFmtId="0" xfId="0" applyAlignment="1" applyBorder="1" applyFont="1">
      <alignment horizontal="center" vertical="center"/>
    </xf>
    <xf borderId="13" fillId="3" fontId="19" numFmtId="0" xfId="0" applyAlignment="1" applyBorder="1" applyFont="1">
      <alignment readingOrder="0" vertical="center"/>
    </xf>
    <xf borderId="32" fillId="3" fontId="19" numFmtId="0" xfId="0" applyAlignment="1" applyBorder="1" applyFont="1">
      <alignment horizontal="left" vertical="center"/>
    </xf>
    <xf borderId="30" fillId="3" fontId="19" numFmtId="0" xfId="0" applyAlignment="1" applyBorder="1" applyFont="1">
      <alignment vertical="center"/>
    </xf>
    <xf borderId="13" fillId="3" fontId="19" numFmtId="0" xfId="0" applyAlignment="1" applyBorder="1" applyFont="1">
      <alignment vertical="center"/>
    </xf>
    <xf borderId="31" fillId="3" fontId="19" numFmtId="0" xfId="0" applyAlignment="1" applyBorder="1" applyFont="1">
      <alignment vertical="center"/>
    </xf>
    <xf borderId="33" fillId="7" fontId="18" numFmtId="0" xfId="0" applyAlignment="1" applyBorder="1" applyFont="1">
      <alignment horizontal="center" readingOrder="0" vertical="center"/>
    </xf>
    <xf borderId="34" fillId="3" fontId="19" numFmtId="0" xfId="0" applyAlignment="1" applyBorder="1" applyFont="1">
      <alignment vertical="center"/>
    </xf>
    <xf borderId="21" fillId="3" fontId="19" numFmtId="0" xfId="0" applyAlignment="1" applyBorder="1" applyFont="1">
      <alignment vertical="center"/>
    </xf>
    <xf borderId="35" fillId="3" fontId="19" numFmtId="0" xfId="0" applyAlignment="1" applyBorder="1" applyFont="1">
      <alignment vertical="center"/>
    </xf>
    <xf borderId="36" fillId="3" fontId="19" numFmtId="0" xfId="0" applyAlignment="1" applyBorder="1" applyFont="1">
      <alignment horizontal="left" vertical="center"/>
    </xf>
    <xf borderId="20" fillId="3" fontId="19" numFmtId="0" xfId="0" applyAlignment="1" applyBorder="1" applyFont="1">
      <alignment horizontal="center" vertical="center"/>
    </xf>
    <xf borderId="35" fillId="3" fontId="19" numFmtId="0" xfId="0" applyAlignment="1" applyBorder="1" applyFont="1">
      <alignment horizontal="center" vertical="center"/>
    </xf>
    <xf borderId="9" fillId="8" fontId="22" numFmtId="0" xfId="0" applyAlignment="1" applyBorder="1" applyFill="1" applyFont="1">
      <alignment horizontal="center" readingOrder="0" textRotation="90" vertical="center"/>
    </xf>
    <xf borderId="24" fillId="7" fontId="23" numFmtId="0" xfId="0" applyAlignment="1" applyBorder="1" applyFont="1">
      <alignment horizontal="center" readingOrder="0" vertical="center"/>
    </xf>
    <xf borderId="0" fillId="5" fontId="1" numFmtId="0" xfId="0" applyFont="1"/>
    <xf borderId="37" fillId="7" fontId="23" numFmtId="0" xfId="0" applyAlignment="1" applyBorder="1" applyFont="1">
      <alignment horizontal="center" readingOrder="0" vertical="center"/>
    </xf>
    <xf borderId="26" fillId="3" fontId="19" numFmtId="0" xfId="0" applyAlignment="1" applyBorder="1" applyFont="1">
      <alignment readingOrder="0" vertical="center"/>
    </xf>
    <xf borderId="28" fillId="3" fontId="19" numFmtId="0" xfId="0" applyAlignment="1" applyBorder="1" applyFont="1">
      <alignment horizontal="left" vertical="center"/>
    </xf>
    <xf borderId="26" fillId="3" fontId="19" numFmtId="0" xfId="0" applyAlignment="1" applyBorder="1" applyFont="1">
      <alignment vertical="center"/>
    </xf>
    <xf borderId="27" fillId="3" fontId="19" numFmtId="0" xfId="0" applyAlignment="1" applyBorder="1" applyFont="1">
      <alignment vertical="center"/>
    </xf>
    <xf borderId="30" fillId="3" fontId="19" numFmtId="0" xfId="0" applyAlignment="1" applyBorder="1" applyFont="1">
      <alignment readingOrder="0" vertical="center"/>
    </xf>
    <xf borderId="33" fillId="7" fontId="23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4" numFmtId="0" xfId="0" applyAlignment="1" applyFont="1">
      <alignment horizontal="center" vertical="center"/>
    </xf>
    <xf borderId="0" fillId="9" fontId="16" numFmtId="0" xfId="0" applyAlignment="1" applyFill="1" applyFont="1">
      <alignment horizontal="center" readingOrder="0" vertical="center"/>
    </xf>
    <xf borderId="0" fillId="9" fontId="9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11" fillId="0" fontId="24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13" fillId="0" fontId="2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1" fillId="0" fontId="24" numFmtId="0" xfId="0" applyAlignment="1" applyBorder="1" applyFont="1">
      <alignment horizontal="center" vertical="center"/>
    </xf>
    <xf borderId="13" fillId="0" fontId="28" numFmtId="0" xfId="0" applyAlignment="1" applyBorder="1" applyFont="1">
      <alignment horizontal="center" vertical="center"/>
    </xf>
    <xf borderId="0" fillId="0" fontId="2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2" numFmtId="0" xfId="0" applyAlignment="1" applyFont="1">
      <alignment readingOrder="0"/>
    </xf>
    <xf borderId="0" fillId="2" fontId="2" numFmtId="0" xfId="0" applyFont="1"/>
    <xf borderId="2" fillId="5" fontId="17" numFmtId="0" xfId="0" applyAlignment="1" applyBorder="1" applyFont="1">
      <alignment horizontal="center" readingOrder="0" vertical="center"/>
    </xf>
    <xf borderId="3" fillId="5" fontId="29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8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9" fillId="6" fontId="30" numFmtId="0" xfId="0" applyAlignment="1" applyBorder="1" applyFont="1">
      <alignment horizontal="center" readingOrder="0" textRotation="90" vertical="center"/>
    </xf>
    <xf borderId="10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0" fillId="6" fontId="2" numFmtId="164" xfId="0" applyAlignment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center" readingOrder="0" shrinkToFit="0" vertical="center" wrapText="1"/>
    </xf>
    <xf borderId="15" fillId="10" fontId="15" numFmtId="0" xfId="0" applyAlignment="1" applyBorder="1" applyFill="1" applyFont="1">
      <alignment horizontal="left" readingOrder="0" shrinkToFit="0" vertical="center" wrapText="0"/>
    </xf>
    <xf borderId="15" fillId="0" fontId="32" numFmtId="0" xfId="0" applyAlignment="1" applyBorder="1" applyFont="1">
      <alignment horizontal="left" readingOrder="0" shrinkToFit="0" vertical="center" wrapText="0"/>
    </xf>
    <xf borderId="0" fillId="0" fontId="3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5" fillId="6" fontId="30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horizontal="center" readingOrder="0" vertical="center"/>
    </xf>
    <xf borderId="39" fillId="0" fontId="2" numFmtId="0" xfId="0" applyAlignment="1" applyBorder="1" applyFont="1">
      <alignment horizontal="center" readingOrder="0" vertical="center"/>
    </xf>
    <xf borderId="40" fillId="0" fontId="2" numFmtId="0" xfId="0" applyAlignment="1" applyBorder="1" applyFont="1">
      <alignment horizontal="center" readingOrder="0" vertical="center"/>
    </xf>
    <xf borderId="41" fillId="0" fontId="2" numFmtId="49" xfId="0" applyAlignment="1" applyBorder="1" applyFont="1" applyNumberFormat="1">
      <alignment horizontal="center" readingOrder="0" vertical="center"/>
    </xf>
    <xf borderId="1" fillId="0" fontId="31" numFmtId="0" xfId="0" applyAlignment="1" applyBorder="1" applyFont="1">
      <alignment horizontal="center" readingOrder="0" shrinkToFit="0" vertical="center" wrapText="1"/>
    </xf>
    <xf borderId="13" fillId="0" fontId="2" numFmtId="49" xfId="0" applyAlignment="1" applyBorder="1" applyFont="1" applyNumberFormat="1">
      <alignment horizontal="center" readingOrder="0" vertical="center"/>
    </xf>
    <xf borderId="12" fillId="3" fontId="33" numFmtId="0" xfId="0" applyAlignment="1" applyBorder="1" applyFont="1">
      <alignment readingOrder="0" vertical="center"/>
    </xf>
    <xf borderId="0" fillId="3" fontId="34" numFmtId="0" xfId="0" applyAlignment="1" applyFont="1">
      <alignment horizontal="center" readingOrder="0" vertical="center"/>
    </xf>
    <xf borderId="0" fillId="3" fontId="35" numFmtId="0" xfId="0" applyAlignment="1" applyFont="1">
      <alignment horizontal="center" readingOrder="0" vertical="center"/>
    </xf>
    <xf borderId="0" fillId="3" fontId="35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vertical="center"/>
    </xf>
    <xf borderId="42" fillId="3" fontId="15" numFmtId="0" xfId="0" applyAlignment="1" applyBorder="1" applyFont="1">
      <alignment horizontal="center" readingOrder="0" vertical="center"/>
    </xf>
    <xf borderId="0" fillId="3" fontId="36" numFmtId="0" xfId="0" applyAlignment="1" applyFont="1">
      <alignment horizontal="center" readingOrder="0" shrinkToFit="0" vertical="center" wrapText="1"/>
    </xf>
    <xf borderId="0" fillId="3" fontId="31" numFmtId="0" xfId="0" applyAlignment="1" applyFont="1">
      <alignment horizontal="left" readingOrder="0"/>
    </xf>
    <xf borderId="0" fillId="11" fontId="37" numFmtId="0" xfId="0" applyAlignment="1" applyFill="1" applyFont="1">
      <alignment horizontal="center" vertical="center"/>
    </xf>
    <xf borderId="0" fillId="11" fontId="3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readingOrder="0" shrinkToFit="0" vertical="center" wrapText="0"/>
    </xf>
    <xf borderId="0" fillId="11" fontId="37" numFmtId="0" xfId="0" applyAlignment="1" applyFont="1">
      <alignment horizontal="center" readingOrder="0" vertical="center"/>
    </xf>
    <xf borderId="0" fillId="3" fontId="38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readingOrder="0" shrinkToFit="0" vertical="center" wrapText="1"/>
    </xf>
    <xf borderId="0" fillId="11" fontId="3" numFmtId="0" xfId="0" applyAlignment="1" applyFont="1">
      <alignment horizontal="center" readingOrder="0" vertical="center"/>
    </xf>
    <xf borderId="0" fillId="3" fontId="39" numFmtId="0" xfId="0" applyAlignment="1" applyFont="1">
      <alignment horizontal="center" readingOrder="0"/>
    </xf>
    <xf borderId="0" fillId="12" fontId="40" numFmtId="0" xfId="0" applyAlignment="1" applyFill="1" applyFont="1">
      <alignment horizontal="center" readingOrder="0" shrinkToFit="0" wrapText="1"/>
    </xf>
    <xf borderId="13" fillId="12" fontId="40" numFmtId="0" xfId="0" applyAlignment="1" applyBorder="1" applyFont="1">
      <alignment horizontal="center" readingOrder="0" shrinkToFit="0" wrapText="1"/>
    </xf>
    <xf borderId="43" fillId="3" fontId="41" numFmtId="0" xfId="0" applyAlignment="1" applyBorder="1" applyFont="1">
      <alignment horizontal="center" readingOrder="0" vertical="center"/>
    </xf>
    <xf borderId="44" fillId="3" fontId="39" numFmtId="0" xfId="0" applyAlignment="1" applyBorder="1" applyFont="1">
      <alignment horizontal="center" readingOrder="0" vertical="center"/>
    </xf>
    <xf borderId="43" fillId="0" fontId="6" numFmtId="0" xfId="0" applyBorder="1" applyFont="1"/>
    <xf borderId="43" fillId="2" fontId="2" numFmtId="0" xfId="0" applyBorder="1" applyFont="1"/>
    <xf borderId="43" fillId="3" fontId="35" numFmtId="0" xfId="0" applyAlignment="1" applyBorder="1" applyFont="1">
      <alignment horizontal="center" readingOrder="0" shrinkToFit="0" vertical="center" wrapText="1"/>
    </xf>
    <xf borderId="45" fillId="3" fontId="35" numFmtId="0" xfId="0" applyAlignment="1" applyBorder="1" applyFont="1">
      <alignment horizontal="center" readingOrder="0" shrinkToFit="0" vertical="center" wrapText="1"/>
    </xf>
    <xf borderId="46" fillId="3" fontId="35" numFmtId="0" xfId="0" applyAlignment="1" applyBorder="1" applyFont="1">
      <alignment horizontal="center" readingOrder="0" shrinkToFit="0" vertical="center" wrapText="1"/>
    </xf>
    <xf borderId="0" fillId="3" fontId="37" numFmtId="0" xfId="0" applyAlignment="1" applyFont="1">
      <alignment horizontal="center" readingOrder="0" vertical="center"/>
    </xf>
    <xf borderId="47" fillId="3" fontId="42" numFmtId="0" xfId="0" applyAlignment="1" applyBorder="1" applyFont="1">
      <alignment horizontal="left" vertical="center"/>
    </xf>
    <xf borderId="1" fillId="3" fontId="37" numFmtId="0" xfId="0" applyAlignment="1" applyBorder="1" applyFont="1">
      <alignment horizontal="center" vertical="center"/>
    </xf>
    <xf borderId="0" fillId="3" fontId="37" numFmtId="0" xfId="0" applyAlignment="1" applyFont="1">
      <alignment horizontal="center" readingOrder="0" shrinkToFit="0" wrapText="1"/>
    </xf>
    <xf borderId="48" fillId="0" fontId="6" numFmtId="0" xfId="0" applyBorder="1" applyFont="1"/>
    <xf borderId="13" fillId="3" fontId="37" numFmtId="0" xfId="0" applyAlignment="1" applyBorder="1" applyFont="1">
      <alignment horizontal="center" readingOrder="0" shrinkToFit="0" wrapText="1"/>
    </xf>
    <xf borderId="0" fillId="3" fontId="37" numFmtId="0" xfId="0" applyAlignment="1" applyFont="1">
      <alignment horizontal="center" readingOrder="0" shrinkToFit="0" vertical="center" wrapText="1"/>
    </xf>
    <xf borderId="12" fillId="3" fontId="37" numFmtId="0" xfId="0" applyAlignment="1" applyBorder="1" applyFont="1">
      <alignment horizontal="center" readingOrder="0" vertical="center"/>
    </xf>
    <xf borderId="0" fillId="3" fontId="43" numFmtId="0" xfId="0" applyAlignment="1" applyFont="1">
      <alignment horizontal="left" vertical="center"/>
    </xf>
    <xf borderId="13" fillId="3" fontId="37" numFmtId="0" xfId="0" applyAlignment="1" applyBorder="1" applyFont="1">
      <alignment horizontal="center" shrinkToFit="0" wrapText="1"/>
    </xf>
    <xf borderId="12" fillId="3" fontId="37" numFmtId="0" xfId="0" applyAlignment="1" applyBorder="1" applyFont="1">
      <alignment horizontal="center" readingOrder="0" shrinkToFit="0" wrapText="1"/>
    </xf>
    <xf borderId="12" fillId="3" fontId="37" numFmtId="0" xfId="0" applyAlignment="1" applyBorder="1" applyFont="1">
      <alignment horizontal="center" shrinkToFit="0" wrapText="1"/>
    </xf>
    <xf borderId="0" fillId="3" fontId="44" numFmtId="0" xfId="0" applyAlignment="1" applyFont="1">
      <alignment horizontal="left" readingOrder="0"/>
    </xf>
    <xf borderId="0" fillId="11" fontId="37" numFmtId="164" xfId="0" applyAlignment="1" applyFont="1" applyNumberFormat="1">
      <alignment horizontal="center" readingOrder="0" vertical="center"/>
    </xf>
    <xf borderId="0" fillId="3" fontId="45" numFmtId="0" xfId="0" applyAlignment="1" applyFont="1">
      <alignment horizontal="center" readingOrder="0" shrinkToFit="0" wrapText="1"/>
    </xf>
    <xf borderId="13" fillId="3" fontId="46" numFmtId="0" xfId="0" applyAlignment="1" applyBorder="1" applyFont="1">
      <alignment horizontal="center" readingOrder="0" shrinkToFit="0" wrapText="1"/>
    </xf>
    <xf borderId="13" fillId="3" fontId="47" numFmtId="0" xfId="0" applyAlignment="1" applyBorder="1" applyFont="1">
      <alignment horizontal="center" shrinkToFit="0" wrapText="1"/>
    </xf>
    <xf borderId="12" fillId="3" fontId="48" numFmtId="0" xfId="0" applyAlignment="1" applyBorder="1" applyFont="1">
      <alignment horizontal="center" readingOrder="0" shrinkToFit="0" wrapText="1"/>
    </xf>
    <xf borderId="12" fillId="3" fontId="49" numFmtId="0" xfId="0" applyAlignment="1" applyBorder="1" applyFont="1">
      <alignment horizontal="center" shrinkToFit="0" wrapText="1"/>
    </xf>
    <xf borderId="0" fillId="3" fontId="50" numFmtId="0" xfId="0" applyAlignment="1" applyFont="1">
      <alignment horizontal="left" readingOrder="0"/>
    </xf>
    <xf borderId="0" fillId="13" fontId="51" numFmtId="0" xfId="0" applyAlignment="1" applyFill="1" applyFont="1">
      <alignment readingOrder="0"/>
    </xf>
    <xf borderId="0" fillId="13" fontId="52" numFmtId="0" xfId="0" applyFont="1"/>
    <xf borderId="0" fillId="3" fontId="53" numFmtId="0" xfId="0" applyAlignment="1" applyFont="1">
      <alignment horizontal="left" readingOrder="0"/>
    </xf>
    <xf borderId="49" fillId="0" fontId="24" numFmtId="0" xfId="0" applyAlignment="1" applyBorder="1" applyFont="1">
      <alignment horizontal="center" vertical="center"/>
    </xf>
    <xf borderId="50" fillId="0" fontId="6" numFmtId="0" xfId="0" applyBorder="1" applyFont="1"/>
  </cellXfs>
  <cellStyles count="1">
    <cellStyle xfId="0" name="Normal" builtinId="0"/>
  </cellStyles>
  <dxfs count="9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E3BECA"/>
          <bgColor rgb="FFE3BECA"/>
        </patternFill>
      </fill>
      <border/>
    </dxf>
    <dxf>
      <font>
        <color rgb="FF000000"/>
      </font>
      <fill>
        <patternFill patternType="solid">
          <fgColor rgb="FFDEDEDE"/>
          <bgColor rgb="FFDEDEDE"/>
        </patternFill>
      </fill>
      <border/>
    </dxf>
    <dxf>
      <font>
        <strike/>
        <color rgb="FFFF0000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su.ppy.sh/community/forums/topics/1790898?n=1?" TargetMode="External"/><Relationship Id="rId2" Type="http://schemas.openxmlformats.org/officeDocument/2006/relationships/hyperlink" Target="https://docs.google.com/spreadsheets/d/1u1R-0YeX71qksHP7hWq8QkjcpECX-9LSvskalZ8hxdg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su.ppy.sh/b/908887" TargetMode="External"/><Relationship Id="rId3" Type="http://schemas.openxmlformats.org/officeDocument/2006/relationships/hyperlink" Target="https://osu.ppy.sh/b/3035501" TargetMode="External"/><Relationship Id="rId4" Type="http://schemas.openxmlformats.org/officeDocument/2006/relationships/hyperlink" Target="https://osu.ppy.sh/b/3737825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osu.ppy.sh/b/3533589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osu.ppy.sh/b/4105349" TargetMode="External"/><Relationship Id="rId5" Type="http://schemas.openxmlformats.org/officeDocument/2006/relationships/hyperlink" Target="https://osu.ppy.sh/b/2094462" TargetMode="External"/><Relationship Id="rId6" Type="http://schemas.openxmlformats.org/officeDocument/2006/relationships/hyperlink" Target="https://osu.ppy.sh/b/2619929" TargetMode="External"/><Relationship Id="rId7" Type="http://schemas.openxmlformats.org/officeDocument/2006/relationships/hyperlink" Target="https://osu.ppy.sh/b/2027623" TargetMode="External"/><Relationship Id="rId8" Type="http://schemas.openxmlformats.org/officeDocument/2006/relationships/hyperlink" Target="https://osu.ppy.sh/b/1523138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users/22527452" TargetMode="External"/><Relationship Id="rId42" Type="http://schemas.openxmlformats.org/officeDocument/2006/relationships/hyperlink" Target="https://osu.ppy.sh/users/16676719" TargetMode="External"/><Relationship Id="rId41" Type="http://schemas.openxmlformats.org/officeDocument/2006/relationships/hyperlink" Target="https://osu.ppy.sh/users/21547314" TargetMode="External"/><Relationship Id="rId44" Type="http://schemas.openxmlformats.org/officeDocument/2006/relationships/hyperlink" Target="https://osu.ppy.sh/users/29043006" TargetMode="External"/><Relationship Id="rId43" Type="http://schemas.openxmlformats.org/officeDocument/2006/relationships/hyperlink" Target="https://osu.ppy.sh/users/22424760" TargetMode="External"/><Relationship Id="rId46" Type="http://schemas.openxmlformats.org/officeDocument/2006/relationships/hyperlink" Target="https://osu.ppy.sh/users/18827293" TargetMode="External"/><Relationship Id="rId45" Type="http://schemas.openxmlformats.org/officeDocument/2006/relationships/hyperlink" Target="https://osu.ppy.sh/users/17053515" TargetMode="External"/><Relationship Id="rId107" Type="http://schemas.openxmlformats.org/officeDocument/2006/relationships/hyperlink" Target="https://osu.ppy.sh/users/26249419" TargetMode="External"/><Relationship Id="rId106" Type="http://schemas.openxmlformats.org/officeDocument/2006/relationships/hyperlink" Target="https://osu.ppy.sh/users/21973870" TargetMode="External"/><Relationship Id="rId105" Type="http://schemas.openxmlformats.org/officeDocument/2006/relationships/hyperlink" Target="https://osu.ppy.sh/users/17998941" TargetMode="External"/><Relationship Id="rId104" Type="http://schemas.openxmlformats.org/officeDocument/2006/relationships/hyperlink" Target="https://osu.ppy.sh/users/14647263" TargetMode="External"/><Relationship Id="rId109" Type="http://schemas.openxmlformats.org/officeDocument/2006/relationships/hyperlink" Target="https://osu.ppy.sh/users/28029337" TargetMode="External"/><Relationship Id="rId108" Type="http://schemas.openxmlformats.org/officeDocument/2006/relationships/hyperlink" Target="https://osu.ppy.sh/users/17754206" TargetMode="External"/><Relationship Id="rId48" Type="http://schemas.openxmlformats.org/officeDocument/2006/relationships/hyperlink" Target="https://osu.ppy.sh/users/22294191" TargetMode="External"/><Relationship Id="rId47" Type="http://schemas.openxmlformats.org/officeDocument/2006/relationships/hyperlink" Target="https://osu.ppy.sh/users/20812583" TargetMode="External"/><Relationship Id="rId49" Type="http://schemas.openxmlformats.org/officeDocument/2006/relationships/hyperlink" Target="https://osu.ppy.sh/users/24134742" TargetMode="External"/><Relationship Id="rId103" Type="http://schemas.openxmlformats.org/officeDocument/2006/relationships/hyperlink" Target="https://osu.ppy.sh/users/16627311" TargetMode="External"/><Relationship Id="rId102" Type="http://schemas.openxmlformats.org/officeDocument/2006/relationships/hyperlink" Target="https://osu.ppy.sh/users/16865059" TargetMode="External"/><Relationship Id="rId101" Type="http://schemas.openxmlformats.org/officeDocument/2006/relationships/hyperlink" Target="https://osu.ppy.sh/users/22122799" TargetMode="External"/><Relationship Id="rId100" Type="http://schemas.openxmlformats.org/officeDocument/2006/relationships/hyperlink" Target="https://osu.ppy.sh/users/28093600" TargetMode="External"/><Relationship Id="rId31" Type="http://schemas.openxmlformats.org/officeDocument/2006/relationships/hyperlink" Target="https://osu.ppy.sh/users/11855346" TargetMode="External"/><Relationship Id="rId30" Type="http://schemas.openxmlformats.org/officeDocument/2006/relationships/hyperlink" Target="https://osu.ppy.sh/users/9949431" TargetMode="External"/><Relationship Id="rId33" Type="http://schemas.openxmlformats.org/officeDocument/2006/relationships/hyperlink" Target="https://osu.ppy.sh/users/17371223" TargetMode="External"/><Relationship Id="rId32" Type="http://schemas.openxmlformats.org/officeDocument/2006/relationships/hyperlink" Target="https://osu.ppy.sh/users/10473556" TargetMode="External"/><Relationship Id="rId35" Type="http://schemas.openxmlformats.org/officeDocument/2006/relationships/hyperlink" Target="https://osu.ppy.sh/users/23545390" TargetMode="External"/><Relationship Id="rId34" Type="http://schemas.openxmlformats.org/officeDocument/2006/relationships/hyperlink" Target="https://osu.ppy.sh/users/24633291" TargetMode="External"/><Relationship Id="rId37" Type="http://schemas.openxmlformats.org/officeDocument/2006/relationships/hyperlink" Target="https://osu.ppy.sh/users/10301567" TargetMode="External"/><Relationship Id="rId36" Type="http://schemas.openxmlformats.org/officeDocument/2006/relationships/hyperlink" Target="https://osu.ppy.sh/users/21495549" TargetMode="External"/><Relationship Id="rId39" Type="http://schemas.openxmlformats.org/officeDocument/2006/relationships/hyperlink" Target="https://osu.ppy.sh/users/28877521" TargetMode="External"/><Relationship Id="rId38" Type="http://schemas.openxmlformats.org/officeDocument/2006/relationships/hyperlink" Target="https://osu.ppy.sh/users/24320075" TargetMode="External"/><Relationship Id="rId20" Type="http://schemas.openxmlformats.org/officeDocument/2006/relationships/hyperlink" Target="https://osu.ppy.sh/users/19895203" TargetMode="External"/><Relationship Id="rId22" Type="http://schemas.openxmlformats.org/officeDocument/2006/relationships/hyperlink" Target="https://osu.ppy.sh/users/19054080" TargetMode="External"/><Relationship Id="rId21" Type="http://schemas.openxmlformats.org/officeDocument/2006/relationships/hyperlink" Target="https://osu.ppy.sh/users/18341280" TargetMode="External"/><Relationship Id="rId24" Type="http://schemas.openxmlformats.org/officeDocument/2006/relationships/hyperlink" Target="https://osu.ppy.sh/users/17455435" TargetMode="External"/><Relationship Id="rId23" Type="http://schemas.openxmlformats.org/officeDocument/2006/relationships/hyperlink" Target="https://osu.ppy.sh/users/17991454" TargetMode="External"/><Relationship Id="rId129" Type="http://schemas.openxmlformats.org/officeDocument/2006/relationships/hyperlink" Target="https://osu.ppy.sh/users/24513057" TargetMode="External"/><Relationship Id="rId128" Type="http://schemas.openxmlformats.org/officeDocument/2006/relationships/hyperlink" Target="https://osu.ppy.sh/users/14658987" TargetMode="External"/><Relationship Id="rId127" Type="http://schemas.openxmlformats.org/officeDocument/2006/relationships/hyperlink" Target="https://osu.ppy.sh/users/7911634" TargetMode="External"/><Relationship Id="rId126" Type="http://schemas.openxmlformats.org/officeDocument/2006/relationships/hyperlink" Target="https://osu.ppy.sh/users/15520055" TargetMode="External"/><Relationship Id="rId26" Type="http://schemas.openxmlformats.org/officeDocument/2006/relationships/hyperlink" Target="https://osu.ppy.sh/users/14347059" TargetMode="External"/><Relationship Id="rId121" Type="http://schemas.openxmlformats.org/officeDocument/2006/relationships/hyperlink" Target="https://osu.ppy.sh/users/20334969" TargetMode="External"/><Relationship Id="rId25" Type="http://schemas.openxmlformats.org/officeDocument/2006/relationships/hyperlink" Target="https://osu.ppy.sh/users/23645908" TargetMode="External"/><Relationship Id="rId120" Type="http://schemas.openxmlformats.org/officeDocument/2006/relationships/hyperlink" Target="https://osu.ppy.sh/users/23078386" TargetMode="External"/><Relationship Id="rId28" Type="http://schemas.openxmlformats.org/officeDocument/2006/relationships/hyperlink" Target="https://osu.ppy.sh/users/29426345" TargetMode="External"/><Relationship Id="rId27" Type="http://schemas.openxmlformats.org/officeDocument/2006/relationships/hyperlink" Target="https://osu.ppy.sh/users/14618272" TargetMode="External"/><Relationship Id="rId125" Type="http://schemas.openxmlformats.org/officeDocument/2006/relationships/hyperlink" Target="https://osu.ppy.sh/users/15520055" TargetMode="External"/><Relationship Id="rId29" Type="http://schemas.openxmlformats.org/officeDocument/2006/relationships/hyperlink" Target="https://osu.ppy.sh/users/16179606" TargetMode="External"/><Relationship Id="rId124" Type="http://schemas.openxmlformats.org/officeDocument/2006/relationships/hyperlink" Target="https://osu.ppy.sh/users/22077074" TargetMode="External"/><Relationship Id="rId123" Type="http://schemas.openxmlformats.org/officeDocument/2006/relationships/hyperlink" Target="https://osu.ppy.sh/users/26387213" TargetMode="External"/><Relationship Id="rId122" Type="http://schemas.openxmlformats.org/officeDocument/2006/relationships/hyperlink" Target="https://osu.ppy.sh/users/16099730" TargetMode="External"/><Relationship Id="rId95" Type="http://schemas.openxmlformats.org/officeDocument/2006/relationships/hyperlink" Target="https://osu.ppy.sh/users/22938742" TargetMode="External"/><Relationship Id="rId94" Type="http://schemas.openxmlformats.org/officeDocument/2006/relationships/hyperlink" Target="https://osu.ppy.sh/users/29294414" TargetMode="External"/><Relationship Id="rId97" Type="http://schemas.openxmlformats.org/officeDocument/2006/relationships/hyperlink" Target="https://osu.ppy.sh/users/20544707" TargetMode="External"/><Relationship Id="rId96" Type="http://schemas.openxmlformats.org/officeDocument/2006/relationships/hyperlink" Target="https://osu.ppy.sh/users/18716761" TargetMode="External"/><Relationship Id="rId11" Type="http://schemas.openxmlformats.org/officeDocument/2006/relationships/hyperlink" Target="https://osu.ppy.sh/users/10396090" TargetMode="External"/><Relationship Id="rId99" Type="http://schemas.openxmlformats.org/officeDocument/2006/relationships/hyperlink" Target="https://osu.ppy.sh/users/17117946" TargetMode="External"/><Relationship Id="rId10" Type="http://schemas.openxmlformats.org/officeDocument/2006/relationships/hyperlink" Target="https://osu.ppy.sh/users/15262410" TargetMode="External"/><Relationship Id="rId98" Type="http://schemas.openxmlformats.org/officeDocument/2006/relationships/hyperlink" Target="https://osu.ppy.sh/users/17439874" TargetMode="External"/><Relationship Id="rId13" Type="http://schemas.openxmlformats.org/officeDocument/2006/relationships/hyperlink" Target="https://osu.ppy.sh/users/16603630" TargetMode="External"/><Relationship Id="rId12" Type="http://schemas.openxmlformats.org/officeDocument/2006/relationships/hyperlink" Target="https://osu.ppy.sh/users/13414666" TargetMode="External"/><Relationship Id="rId91" Type="http://schemas.openxmlformats.org/officeDocument/2006/relationships/hyperlink" Target="https://osu.ppy.sh/users/18109812" TargetMode="External"/><Relationship Id="rId90" Type="http://schemas.openxmlformats.org/officeDocument/2006/relationships/hyperlink" Target="https://osu.ppy.sh/users/21771922" TargetMode="External"/><Relationship Id="rId93" Type="http://schemas.openxmlformats.org/officeDocument/2006/relationships/hyperlink" Target="https://osu.ppy.sh/users/23386757" TargetMode="External"/><Relationship Id="rId92" Type="http://schemas.openxmlformats.org/officeDocument/2006/relationships/hyperlink" Target="https://osu.ppy.sh/users/26541211" TargetMode="External"/><Relationship Id="rId118" Type="http://schemas.openxmlformats.org/officeDocument/2006/relationships/hyperlink" Target="https://osu.ppy.sh/users/9087777" TargetMode="External"/><Relationship Id="rId117" Type="http://schemas.openxmlformats.org/officeDocument/2006/relationships/hyperlink" Target="https://osu.ppy.sh/users/13827978" TargetMode="External"/><Relationship Id="rId116" Type="http://schemas.openxmlformats.org/officeDocument/2006/relationships/hyperlink" Target="https://osu.ppy.sh/users/22287370" TargetMode="External"/><Relationship Id="rId115" Type="http://schemas.openxmlformats.org/officeDocument/2006/relationships/hyperlink" Target="https://osu.ppy.sh/users/18328156" TargetMode="External"/><Relationship Id="rId119" Type="http://schemas.openxmlformats.org/officeDocument/2006/relationships/hyperlink" Target="https://osu.ppy.sh/users/21192207" TargetMode="External"/><Relationship Id="rId15" Type="http://schemas.openxmlformats.org/officeDocument/2006/relationships/hyperlink" Target="https://osu.ppy.sh/users/18552275" TargetMode="External"/><Relationship Id="rId110" Type="http://schemas.openxmlformats.org/officeDocument/2006/relationships/hyperlink" Target="https://osu.ppy.sh/users/25523731" TargetMode="External"/><Relationship Id="rId14" Type="http://schemas.openxmlformats.org/officeDocument/2006/relationships/hyperlink" Target="https://osu.ppy.sh/users/13827705" TargetMode="External"/><Relationship Id="rId17" Type="http://schemas.openxmlformats.org/officeDocument/2006/relationships/hyperlink" Target="https://osu.ppy.sh/users/20002588" TargetMode="External"/><Relationship Id="rId16" Type="http://schemas.openxmlformats.org/officeDocument/2006/relationships/hyperlink" Target="https://osu.ppy.sh/users/30411289" TargetMode="External"/><Relationship Id="rId19" Type="http://schemas.openxmlformats.org/officeDocument/2006/relationships/hyperlink" Target="https://osu.ppy.sh/users/13481464" TargetMode="External"/><Relationship Id="rId114" Type="http://schemas.openxmlformats.org/officeDocument/2006/relationships/hyperlink" Target="https://osu.ppy.sh/users/24745181" TargetMode="External"/><Relationship Id="rId18" Type="http://schemas.openxmlformats.org/officeDocument/2006/relationships/hyperlink" Target="https://osu.ppy.sh/users/17488247" TargetMode="External"/><Relationship Id="rId113" Type="http://schemas.openxmlformats.org/officeDocument/2006/relationships/hyperlink" Target="https://osu.ppy.sh/users/14589138" TargetMode="External"/><Relationship Id="rId112" Type="http://schemas.openxmlformats.org/officeDocument/2006/relationships/hyperlink" Target="https://osu.ppy.sh/users/18347205" TargetMode="External"/><Relationship Id="rId111" Type="http://schemas.openxmlformats.org/officeDocument/2006/relationships/hyperlink" Target="https://osu.ppy.sh/users/22904826" TargetMode="External"/><Relationship Id="rId84" Type="http://schemas.openxmlformats.org/officeDocument/2006/relationships/hyperlink" Target="https://osu.ppy.sh/users/12992299" TargetMode="External"/><Relationship Id="rId83" Type="http://schemas.openxmlformats.org/officeDocument/2006/relationships/hyperlink" Target="https://osu.ppy.sh/users/23298230" TargetMode="External"/><Relationship Id="rId86" Type="http://schemas.openxmlformats.org/officeDocument/2006/relationships/hyperlink" Target="https://osu.ppy.sh/users/24156254" TargetMode="External"/><Relationship Id="rId85" Type="http://schemas.openxmlformats.org/officeDocument/2006/relationships/hyperlink" Target="https://osu.ppy.sh/users/23787931" TargetMode="External"/><Relationship Id="rId88" Type="http://schemas.openxmlformats.org/officeDocument/2006/relationships/hyperlink" Target="https://osu.ppy.sh/users/11414644" TargetMode="External"/><Relationship Id="rId150" Type="http://schemas.openxmlformats.org/officeDocument/2006/relationships/hyperlink" Target="https://osu.ppy.sh/users/28439927" TargetMode="External"/><Relationship Id="rId87" Type="http://schemas.openxmlformats.org/officeDocument/2006/relationships/hyperlink" Target="https://osu.ppy.sh/users/17064456" TargetMode="External"/><Relationship Id="rId89" Type="http://schemas.openxmlformats.org/officeDocument/2006/relationships/hyperlink" Target="https://osu.ppy.sh/users/9858803" TargetMode="External"/><Relationship Id="rId80" Type="http://schemas.openxmlformats.org/officeDocument/2006/relationships/hyperlink" Target="https://osu.ppy.sh/users/20974846" TargetMode="External"/><Relationship Id="rId82" Type="http://schemas.openxmlformats.org/officeDocument/2006/relationships/hyperlink" Target="https://osu.ppy.sh/users/22986601" TargetMode="External"/><Relationship Id="rId81" Type="http://schemas.openxmlformats.org/officeDocument/2006/relationships/hyperlink" Target="https://osu.ppy.sh/users/25952679" TargetMode="External"/><Relationship Id="rId1" Type="http://schemas.openxmlformats.org/officeDocument/2006/relationships/hyperlink" Target="https://osu.ppy.sh/users/18389558" TargetMode="External"/><Relationship Id="rId2" Type="http://schemas.openxmlformats.org/officeDocument/2006/relationships/hyperlink" Target="https://osu.ppy.sh/users/3984458" TargetMode="External"/><Relationship Id="rId3" Type="http://schemas.openxmlformats.org/officeDocument/2006/relationships/hyperlink" Target="https://osu.ppy.sh/users/19685449" TargetMode="External"/><Relationship Id="rId149" Type="http://schemas.openxmlformats.org/officeDocument/2006/relationships/hyperlink" Target="https://osu.ppy.sh/users/18589374" TargetMode="External"/><Relationship Id="rId4" Type="http://schemas.openxmlformats.org/officeDocument/2006/relationships/hyperlink" Target="https://osu.ppy.sh/users/13456818" TargetMode="External"/><Relationship Id="rId148" Type="http://schemas.openxmlformats.org/officeDocument/2006/relationships/hyperlink" Target="https://osu.ppy.sh/users/8120078" TargetMode="External"/><Relationship Id="rId9" Type="http://schemas.openxmlformats.org/officeDocument/2006/relationships/hyperlink" Target="https://osu.ppy.sh/users/27761185" TargetMode="External"/><Relationship Id="rId143" Type="http://schemas.openxmlformats.org/officeDocument/2006/relationships/hyperlink" Target="https://osu.ppy.sh/users/23083274" TargetMode="External"/><Relationship Id="rId142" Type="http://schemas.openxmlformats.org/officeDocument/2006/relationships/hyperlink" Target="https://osu.ppy.sh/users/12906792" TargetMode="External"/><Relationship Id="rId141" Type="http://schemas.openxmlformats.org/officeDocument/2006/relationships/hyperlink" Target="https://osu.ppy.sh/users/24077612" TargetMode="External"/><Relationship Id="rId140" Type="http://schemas.openxmlformats.org/officeDocument/2006/relationships/hyperlink" Target="https://osu.ppy.sh/users/17939011" TargetMode="External"/><Relationship Id="rId5" Type="http://schemas.openxmlformats.org/officeDocument/2006/relationships/hyperlink" Target="https://osu.ppy.sh/users/15429779" TargetMode="External"/><Relationship Id="rId147" Type="http://schemas.openxmlformats.org/officeDocument/2006/relationships/hyperlink" Target="https://osu.ppy.sh/users/8018944" TargetMode="External"/><Relationship Id="rId6" Type="http://schemas.openxmlformats.org/officeDocument/2006/relationships/hyperlink" Target="https://osu.ppy.sh/users/15666887" TargetMode="External"/><Relationship Id="rId146" Type="http://schemas.openxmlformats.org/officeDocument/2006/relationships/hyperlink" Target="https://osu.ppy.sh/users/24811052" TargetMode="External"/><Relationship Id="rId7" Type="http://schemas.openxmlformats.org/officeDocument/2006/relationships/hyperlink" Target="https://osu.ppy.sh/users/24757316" TargetMode="External"/><Relationship Id="rId145" Type="http://schemas.openxmlformats.org/officeDocument/2006/relationships/hyperlink" Target="https://osu.ppy.sh/users/10983752" TargetMode="External"/><Relationship Id="rId8" Type="http://schemas.openxmlformats.org/officeDocument/2006/relationships/hyperlink" Target="https://osu.ppy.sh/users/11628350" TargetMode="External"/><Relationship Id="rId144" Type="http://schemas.openxmlformats.org/officeDocument/2006/relationships/hyperlink" Target="https://osu.ppy.sh/users/23864249" TargetMode="External"/><Relationship Id="rId73" Type="http://schemas.openxmlformats.org/officeDocument/2006/relationships/hyperlink" Target="https://osu.ppy.sh/users/12238371" TargetMode="External"/><Relationship Id="rId72" Type="http://schemas.openxmlformats.org/officeDocument/2006/relationships/hyperlink" Target="https://osu.ppy.sh/users/20308933" TargetMode="External"/><Relationship Id="rId75" Type="http://schemas.openxmlformats.org/officeDocument/2006/relationships/hyperlink" Target="https://osu.ppy.sh/users/16036791" TargetMode="External"/><Relationship Id="rId74" Type="http://schemas.openxmlformats.org/officeDocument/2006/relationships/hyperlink" Target="https://osu.ppy.sh/users/16366097" TargetMode="External"/><Relationship Id="rId77" Type="http://schemas.openxmlformats.org/officeDocument/2006/relationships/hyperlink" Target="https://osu.ppy.sh/users/18766704" TargetMode="External"/><Relationship Id="rId76" Type="http://schemas.openxmlformats.org/officeDocument/2006/relationships/hyperlink" Target="https://osu.ppy.sh/users/6428195" TargetMode="External"/><Relationship Id="rId79" Type="http://schemas.openxmlformats.org/officeDocument/2006/relationships/hyperlink" Target="https://osu.ppy.sh/users/17764670" TargetMode="External"/><Relationship Id="rId78" Type="http://schemas.openxmlformats.org/officeDocument/2006/relationships/hyperlink" Target="https://osu.ppy.sh/users/23488576" TargetMode="External"/><Relationship Id="rId71" Type="http://schemas.openxmlformats.org/officeDocument/2006/relationships/hyperlink" Target="https://osu.ppy.sh/users/10536810" TargetMode="External"/><Relationship Id="rId70" Type="http://schemas.openxmlformats.org/officeDocument/2006/relationships/hyperlink" Target="https://osu.ppy.sh/users/18604372" TargetMode="External"/><Relationship Id="rId139" Type="http://schemas.openxmlformats.org/officeDocument/2006/relationships/hyperlink" Target="https://osu.ppy.sh/users/13973026" TargetMode="External"/><Relationship Id="rId138" Type="http://schemas.openxmlformats.org/officeDocument/2006/relationships/hyperlink" Target="https://osu.ppy.sh/users/16949746" TargetMode="External"/><Relationship Id="rId137" Type="http://schemas.openxmlformats.org/officeDocument/2006/relationships/hyperlink" Target="https://osu.ppy.sh/users/21158269" TargetMode="External"/><Relationship Id="rId132" Type="http://schemas.openxmlformats.org/officeDocument/2006/relationships/hyperlink" Target="https://osu.ppy.sh/users/15772236" TargetMode="External"/><Relationship Id="rId131" Type="http://schemas.openxmlformats.org/officeDocument/2006/relationships/hyperlink" Target="https://osu.ppy.sh/users/22632425" TargetMode="External"/><Relationship Id="rId130" Type="http://schemas.openxmlformats.org/officeDocument/2006/relationships/hyperlink" Target="https://osu.ppy.sh/users/21852094" TargetMode="External"/><Relationship Id="rId136" Type="http://schemas.openxmlformats.org/officeDocument/2006/relationships/hyperlink" Target="https://osu.ppy.sh/users/16296371" TargetMode="External"/><Relationship Id="rId135" Type="http://schemas.openxmlformats.org/officeDocument/2006/relationships/hyperlink" Target="https://osu.ppy.sh/users/5031996" TargetMode="External"/><Relationship Id="rId134" Type="http://schemas.openxmlformats.org/officeDocument/2006/relationships/hyperlink" Target="https://osu.ppy.sh/users/9048690" TargetMode="External"/><Relationship Id="rId133" Type="http://schemas.openxmlformats.org/officeDocument/2006/relationships/hyperlink" Target="https://osu.ppy.sh/users/22099512" TargetMode="External"/><Relationship Id="rId62" Type="http://schemas.openxmlformats.org/officeDocument/2006/relationships/hyperlink" Target="https://osu.ppy.sh/users/3603633" TargetMode="External"/><Relationship Id="rId61" Type="http://schemas.openxmlformats.org/officeDocument/2006/relationships/hyperlink" Target="https://osu.ppy.sh/users/4069688" TargetMode="External"/><Relationship Id="rId64" Type="http://schemas.openxmlformats.org/officeDocument/2006/relationships/hyperlink" Target="https://osu.ppy.sh/users/14602193" TargetMode="External"/><Relationship Id="rId63" Type="http://schemas.openxmlformats.org/officeDocument/2006/relationships/hyperlink" Target="https://osu.ppy.sh/users/9687861" TargetMode="External"/><Relationship Id="rId66" Type="http://schemas.openxmlformats.org/officeDocument/2006/relationships/hyperlink" Target="https://osu.ppy.sh/users/21436323" TargetMode="External"/><Relationship Id="rId65" Type="http://schemas.openxmlformats.org/officeDocument/2006/relationships/hyperlink" Target="https://osu.ppy.sh/users/18844163" TargetMode="External"/><Relationship Id="rId68" Type="http://schemas.openxmlformats.org/officeDocument/2006/relationships/hyperlink" Target="https://osu.ppy.sh/users/26902554" TargetMode="External"/><Relationship Id="rId67" Type="http://schemas.openxmlformats.org/officeDocument/2006/relationships/hyperlink" Target="https://osu.ppy.sh/users/12629986" TargetMode="External"/><Relationship Id="rId60" Type="http://schemas.openxmlformats.org/officeDocument/2006/relationships/hyperlink" Target="https://osu.ppy.sh/users/6737617" TargetMode="External"/><Relationship Id="rId165" Type="http://schemas.openxmlformats.org/officeDocument/2006/relationships/hyperlink" Target="https://osu.ppy.sh/users/19643082" TargetMode="External"/><Relationship Id="rId69" Type="http://schemas.openxmlformats.org/officeDocument/2006/relationships/hyperlink" Target="https://osu.ppy.sh/users/18866511" TargetMode="External"/><Relationship Id="rId164" Type="http://schemas.openxmlformats.org/officeDocument/2006/relationships/hyperlink" Target="https://osu.ppy.sh/users/16785145" TargetMode="External"/><Relationship Id="rId163" Type="http://schemas.openxmlformats.org/officeDocument/2006/relationships/hyperlink" Target="https://osu.ppy.sh/users/25791634" TargetMode="External"/><Relationship Id="rId162" Type="http://schemas.openxmlformats.org/officeDocument/2006/relationships/hyperlink" Target="https://osu.ppy.sh/users/17616725" TargetMode="External"/><Relationship Id="rId166" Type="http://schemas.openxmlformats.org/officeDocument/2006/relationships/drawing" Target="../drawings/drawing5.xml"/><Relationship Id="rId51" Type="http://schemas.openxmlformats.org/officeDocument/2006/relationships/hyperlink" Target="https://osu.ppy.sh/users/20401638" TargetMode="External"/><Relationship Id="rId50" Type="http://schemas.openxmlformats.org/officeDocument/2006/relationships/hyperlink" Target="https://osu.ppy.sh/users/2151493" TargetMode="External"/><Relationship Id="rId53" Type="http://schemas.openxmlformats.org/officeDocument/2006/relationships/hyperlink" Target="https://osu.ppy.sh/users/16172948" TargetMode="External"/><Relationship Id="rId52" Type="http://schemas.openxmlformats.org/officeDocument/2006/relationships/hyperlink" Target="https://osu.ppy.sh/users/18480113" TargetMode="External"/><Relationship Id="rId55" Type="http://schemas.openxmlformats.org/officeDocument/2006/relationships/hyperlink" Target="https://osu.ppy.sh/users/21113232" TargetMode="External"/><Relationship Id="rId161" Type="http://schemas.openxmlformats.org/officeDocument/2006/relationships/hyperlink" Target="https://osu.ppy.sh/users/25216659" TargetMode="External"/><Relationship Id="rId54" Type="http://schemas.openxmlformats.org/officeDocument/2006/relationships/hyperlink" Target="https://osu.ppy.sh/users/15677059" TargetMode="External"/><Relationship Id="rId160" Type="http://schemas.openxmlformats.org/officeDocument/2006/relationships/hyperlink" Target="https://osu.ppy.sh/users/30974876" TargetMode="External"/><Relationship Id="rId57" Type="http://schemas.openxmlformats.org/officeDocument/2006/relationships/hyperlink" Target="https://osu.ppy.sh/users/962519" TargetMode="External"/><Relationship Id="rId56" Type="http://schemas.openxmlformats.org/officeDocument/2006/relationships/hyperlink" Target="https://osu.ppy.sh/users/23923101" TargetMode="External"/><Relationship Id="rId159" Type="http://schemas.openxmlformats.org/officeDocument/2006/relationships/hyperlink" Target="https://osu.ppy.sh/users/25512851" TargetMode="External"/><Relationship Id="rId59" Type="http://schemas.openxmlformats.org/officeDocument/2006/relationships/hyperlink" Target="https://osu.ppy.sh/users/14911130" TargetMode="External"/><Relationship Id="rId154" Type="http://schemas.openxmlformats.org/officeDocument/2006/relationships/hyperlink" Target="https://osu.ppy.sh/users/23603422" TargetMode="External"/><Relationship Id="rId58" Type="http://schemas.openxmlformats.org/officeDocument/2006/relationships/hyperlink" Target="https://osu.ppy.sh/users/12665894" TargetMode="External"/><Relationship Id="rId153" Type="http://schemas.openxmlformats.org/officeDocument/2006/relationships/hyperlink" Target="https://osu.ppy.sh/users/26219372" TargetMode="External"/><Relationship Id="rId152" Type="http://schemas.openxmlformats.org/officeDocument/2006/relationships/hyperlink" Target="https://osu.ppy.sh/users/21190820" TargetMode="External"/><Relationship Id="rId151" Type="http://schemas.openxmlformats.org/officeDocument/2006/relationships/hyperlink" Target="https://osu.ppy.sh/users/10824449" TargetMode="External"/><Relationship Id="rId158" Type="http://schemas.openxmlformats.org/officeDocument/2006/relationships/hyperlink" Target="https://osu.ppy.sh/users/25151360" TargetMode="External"/><Relationship Id="rId157" Type="http://schemas.openxmlformats.org/officeDocument/2006/relationships/hyperlink" Target="https://osu.ppy.sh/users/14269757" TargetMode="External"/><Relationship Id="rId156" Type="http://schemas.openxmlformats.org/officeDocument/2006/relationships/hyperlink" Target="https://osu.ppy.sh/users/18945443" TargetMode="External"/><Relationship Id="rId155" Type="http://schemas.openxmlformats.org/officeDocument/2006/relationships/hyperlink" Target="https://osu.ppy.sh/users/16868806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osu.ppy.sh/community/matches/109979426" TargetMode="External"/><Relationship Id="rId3" Type="http://schemas.openxmlformats.org/officeDocument/2006/relationships/hyperlink" Target="https://osu.ppy.sh/community/matches/109980924" TargetMode="External"/><Relationship Id="rId4" Type="http://schemas.openxmlformats.org/officeDocument/2006/relationships/hyperlink" Target="https://osu.ppy.sh/community/matches/109982967" TargetMode="External"/><Relationship Id="rId5" Type="http://schemas.openxmlformats.org/officeDocument/2006/relationships/hyperlink" Target="https://osu.ppy.sh/community/matches/109980360" TargetMode="External"/><Relationship Id="rId6" Type="http://schemas.openxmlformats.org/officeDocument/2006/relationships/hyperlink" Target="https://osu.ppy.sh/community/matches/109976488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3.vml"/><Relationship Id="rId1" Type="http://schemas.openxmlformats.org/officeDocument/2006/relationships/comments" Target="../comments3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.vml"/><Relationship Id="rId14" Type="http://schemas.openxmlformats.org/officeDocument/2006/relationships/drawing" Target="../drawings/drawing8.xml"/><Relationship Id="rId1" Type="http://schemas.openxmlformats.org/officeDocument/2006/relationships/comments" Target="../comments4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52322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5.vml"/><Relationship Id="rId14" Type="http://schemas.openxmlformats.org/officeDocument/2006/relationships/drawing" Target="../drawings/drawing9.xml"/><Relationship Id="rId1" Type="http://schemas.openxmlformats.org/officeDocument/2006/relationships/comments" Target="../comments5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mp/109953545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6.vml"/><Relationship Id="rId14" Type="http://schemas.openxmlformats.org/officeDocument/2006/relationships/drawing" Target="../drawings/drawing10.xml"/><Relationship Id="rId1" Type="http://schemas.openxmlformats.org/officeDocument/2006/relationships/comments" Target="../comments6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54652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8.vml"/><Relationship Id="rId14" Type="http://schemas.openxmlformats.org/officeDocument/2006/relationships/drawing" Target="../drawings/drawing12.xml"/><Relationship Id="rId1" Type="http://schemas.openxmlformats.org/officeDocument/2006/relationships/comments" Target="../comments8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mp/109956626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9.vml"/><Relationship Id="rId14" Type="http://schemas.openxmlformats.org/officeDocument/2006/relationships/drawing" Target="../drawings/drawing13.xml"/><Relationship Id="rId1" Type="http://schemas.openxmlformats.org/officeDocument/2006/relationships/comments" Target="../comments9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mp/109957596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0.vml"/><Relationship Id="rId14" Type="http://schemas.openxmlformats.org/officeDocument/2006/relationships/drawing" Target="../drawings/drawing14.xml"/><Relationship Id="rId1" Type="http://schemas.openxmlformats.org/officeDocument/2006/relationships/comments" Target="../comments10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59176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11.vml"/><Relationship Id="rId1" Type="http://schemas.openxmlformats.org/officeDocument/2006/relationships/comments" Target="../comments11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2.vml"/><Relationship Id="rId14" Type="http://schemas.openxmlformats.org/officeDocument/2006/relationships/drawing" Target="../drawings/drawing16.xml"/><Relationship Id="rId1" Type="http://schemas.openxmlformats.org/officeDocument/2006/relationships/comments" Target="../comments12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2867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3.vml"/><Relationship Id="rId14" Type="http://schemas.openxmlformats.org/officeDocument/2006/relationships/drawing" Target="../drawings/drawing17.xml"/><Relationship Id="rId1" Type="http://schemas.openxmlformats.org/officeDocument/2006/relationships/comments" Target="../comments13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4348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4.vml"/><Relationship Id="rId14" Type="http://schemas.openxmlformats.org/officeDocument/2006/relationships/drawing" Target="../drawings/drawing18.xml"/><Relationship Id="rId1" Type="http://schemas.openxmlformats.org/officeDocument/2006/relationships/comments" Target="../comments14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6515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5.vml"/><Relationship Id="rId14" Type="http://schemas.openxmlformats.org/officeDocument/2006/relationships/drawing" Target="../drawings/drawing19.xml"/><Relationship Id="rId1" Type="http://schemas.openxmlformats.org/officeDocument/2006/relationships/comments" Target="../comments15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7744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20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16.vml"/><Relationship Id="rId1" Type="http://schemas.openxmlformats.org/officeDocument/2006/relationships/comments" Target="../comments16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7.vml"/><Relationship Id="rId14" Type="http://schemas.openxmlformats.org/officeDocument/2006/relationships/drawing" Target="../drawings/drawing21.xml"/><Relationship Id="rId1" Type="http://schemas.openxmlformats.org/officeDocument/2006/relationships/comments" Target="../comments17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0156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22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18.vml"/><Relationship Id="rId1" Type="http://schemas.openxmlformats.org/officeDocument/2006/relationships/comments" Target="../comments18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19.vml"/><Relationship Id="rId14" Type="http://schemas.openxmlformats.org/officeDocument/2006/relationships/drawing" Target="../drawings/drawing23.xml"/><Relationship Id="rId1" Type="http://schemas.openxmlformats.org/officeDocument/2006/relationships/comments" Target="../comments19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1985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0.vml"/><Relationship Id="rId14" Type="http://schemas.openxmlformats.org/officeDocument/2006/relationships/drawing" Target="../drawings/drawing24.xml"/><Relationship Id="rId1" Type="http://schemas.openxmlformats.org/officeDocument/2006/relationships/comments" Target="../comments20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mp/109973026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5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1.vml"/><Relationship Id="rId14" Type="http://schemas.openxmlformats.org/officeDocument/2006/relationships/drawing" Target="../drawings/drawing25.xml"/><Relationship Id="rId1" Type="http://schemas.openxmlformats.org/officeDocument/2006/relationships/comments" Target="../comments21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3994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26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22.vml"/><Relationship Id="rId1" Type="http://schemas.openxmlformats.org/officeDocument/2006/relationships/comments" Target="../comments22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27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3.vml"/><Relationship Id="rId14" Type="http://schemas.openxmlformats.org/officeDocument/2006/relationships/drawing" Target="../drawings/drawing27.xml"/><Relationship Id="rId1" Type="http://schemas.openxmlformats.org/officeDocument/2006/relationships/comments" Target="../comments23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7543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4.vml"/><Relationship Id="rId14" Type="http://schemas.openxmlformats.org/officeDocument/2006/relationships/drawing" Target="../drawings/drawing28.xml"/><Relationship Id="rId1" Type="http://schemas.openxmlformats.org/officeDocument/2006/relationships/comments" Target="../comments24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80924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5.vml"/><Relationship Id="rId14" Type="http://schemas.openxmlformats.org/officeDocument/2006/relationships/drawing" Target="../drawings/drawing29.xml"/><Relationship Id="rId1" Type="http://schemas.openxmlformats.org/officeDocument/2006/relationships/comments" Target="../comments25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82967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0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30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26.vml"/><Relationship Id="rId1" Type="http://schemas.openxmlformats.org/officeDocument/2006/relationships/comments" Target="../comments26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31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7.vml"/><Relationship Id="rId14" Type="http://schemas.openxmlformats.org/officeDocument/2006/relationships/drawing" Target="../drawings/drawing31.xml"/><Relationship Id="rId1" Type="http://schemas.openxmlformats.org/officeDocument/2006/relationships/comments" Target="../comments27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40745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8.vml"/><Relationship Id="rId14" Type="http://schemas.openxmlformats.org/officeDocument/2006/relationships/drawing" Target="../drawings/drawing32.xml"/><Relationship Id="rId1" Type="http://schemas.openxmlformats.org/officeDocument/2006/relationships/comments" Target="../comments28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46357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3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29.vml"/><Relationship Id="rId14" Type="http://schemas.openxmlformats.org/officeDocument/2006/relationships/drawing" Target="../drawings/drawing33.xml"/><Relationship Id="rId1" Type="http://schemas.openxmlformats.org/officeDocument/2006/relationships/comments" Target="../comments29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44141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0.vml"/><Relationship Id="rId14" Type="http://schemas.openxmlformats.org/officeDocument/2006/relationships/drawing" Target="../drawings/drawing34.xml"/><Relationship Id="rId1" Type="http://schemas.openxmlformats.org/officeDocument/2006/relationships/comments" Target="../comments30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mp/109943699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5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1.vml"/><Relationship Id="rId14" Type="http://schemas.openxmlformats.org/officeDocument/2006/relationships/drawing" Target="../drawings/drawing35.xml"/><Relationship Id="rId1" Type="http://schemas.openxmlformats.org/officeDocument/2006/relationships/comments" Target="../comments31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0051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6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2.vml"/><Relationship Id="rId14" Type="http://schemas.openxmlformats.org/officeDocument/2006/relationships/drawing" Target="../drawings/drawing36.xml"/><Relationship Id="rId1" Type="http://schemas.openxmlformats.org/officeDocument/2006/relationships/comments" Target="../comments32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37609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7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3.vml"/><Relationship Id="rId14" Type="http://schemas.openxmlformats.org/officeDocument/2006/relationships/drawing" Target="../drawings/drawing37.xml"/><Relationship Id="rId1" Type="http://schemas.openxmlformats.org/officeDocument/2006/relationships/comments" Target="../comments33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17698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8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4.vml"/><Relationship Id="rId14" Type="http://schemas.openxmlformats.org/officeDocument/2006/relationships/drawing" Target="../drawings/drawing38.xml"/><Relationship Id="rId1" Type="http://schemas.openxmlformats.org/officeDocument/2006/relationships/comments" Target="../comments34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8332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39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39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35.vml"/><Relationship Id="rId1" Type="http://schemas.openxmlformats.org/officeDocument/2006/relationships/comments" Target="../comments35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40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40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36.vml"/><Relationship Id="rId1" Type="http://schemas.openxmlformats.org/officeDocument/2006/relationships/comments" Target="../comments36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41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7.vml"/><Relationship Id="rId14" Type="http://schemas.openxmlformats.org/officeDocument/2006/relationships/drawing" Target="../drawings/drawing41.xml"/><Relationship Id="rId1" Type="http://schemas.openxmlformats.org/officeDocument/2006/relationships/comments" Target="../comments37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27223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2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38.vml"/><Relationship Id="rId14" Type="http://schemas.openxmlformats.org/officeDocument/2006/relationships/drawing" Target="../drawings/drawing42.xml"/><Relationship Id="rId1" Type="http://schemas.openxmlformats.org/officeDocument/2006/relationships/comments" Target="../comments38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29843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3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43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39.vml"/><Relationship Id="rId1" Type="http://schemas.openxmlformats.org/officeDocument/2006/relationships/comments" Target="../comments39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_rels/sheet44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0.vml"/><Relationship Id="rId14" Type="http://schemas.openxmlformats.org/officeDocument/2006/relationships/drawing" Target="../drawings/drawing44.xml"/><Relationship Id="rId1" Type="http://schemas.openxmlformats.org/officeDocument/2006/relationships/comments" Target="../comments40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43247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5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1.vml"/><Relationship Id="rId14" Type="http://schemas.openxmlformats.org/officeDocument/2006/relationships/drawing" Target="../drawings/drawing45.xml"/><Relationship Id="rId1" Type="http://schemas.openxmlformats.org/officeDocument/2006/relationships/comments" Target="../comments41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44161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6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2.vml"/><Relationship Id="rId14" Type="http://schemas.openxmlformats.org/officeDocument/2006/relationships/drawing" Target="../drawings/drawing46.xml"/><Relationship Id="rId1" Type="http://schemas.openxmlformats.org/officeDocument/2006/relationships/comments" Target="../comments42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49863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7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3.vml"/><Relationship Id="rId14" Type="http://schemas.openxmlformats.org/officeDocument/2006/relationships/drawing" Target="../drawings/drawing47.xml"/><Relationship Id="rId1" Type="http://schemas.openxmlformats.org/officeDocument/2006/relationships/comments" Target="../comments43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6488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8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4.vml"/><Relationship Id="rId14" Type="http://schemas.openxmlformats.org/officeDocument/2006/relationships/drawing" Target="../drawings/drawing48.xml"/><Relationship Id="rId1" Type="http://schemas.openxmlformats.org/officeDocument/2006/relationships/comments" Target="../comments44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4627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49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5.vml"/><Relationship Id="rId14" Type="http://schemas.openxmlformats.org/officeDocument/2006/relationships/drawing" Target="../drawings/drawing49.xml"/><Relationship Id="rId1" Type="http://schemas.openxmlformats.org/officeDocument/2006/relationships/comments" Target="../comments45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66782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50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6.vml"/><Relationship Id="rId14" Type="http://schemas.openxmlformats.org/officeDocument/2006/relationships/drawing" Target="../drawings/drawing50.xml"/><Relationship Id="rId1" Type="http://schemas.openxmlformats.org/officeDocument/2006/relationships/comments" Target="../comments46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8422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51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23138" TargetMode="External"/><Relationship Id="rId10" Type="http://schemas.openxmlformats.org/officeDocument/2006/relationships/hyperlink" Target="https://osu.ppy.sh/b/2027623" TargetMode="External"/><Relationship Id="rId13" Type="http://schemas.openxmlformats.org/officeDocument/2006/relationships/hyperlink" Target="https://osu.ppy.sh/b/3533589" TargetMode="External"/><Relationship Id="rId12" Type="http://schemas.openxmlformats.org/officeDocument/2006/relationships/hyperlink" Target="https://osu.ppy.sh/b/4105349" TargetMode="External"/><Relationship Id="rId15" Type="http://schemas.openxmlformats.org/officeDocument/2006/relationships/vmlDrawing" Target="../drawings/vmlDrawing47.vml"/><Relationship Id="rId14" Type="http://schemas.openxmlformats.org/officeDocument/2006/relationships/drawing" Target="../drawings/drawing51.xml"/><Relationship Id="rId1" Type="http://schemas.openxmlformats.org/officeDocument/2006/relationships/comments" Target="../comments47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matches/109979426" TargetMode="External"/><Relationship Id="rId4" Type="http://schemas.openxmlformats.org/officeDocument/2006/relationships/hyperlink" Target="https://osu.ppy.sh/community/forums/topics/1790898?n=1?" TargetMode="External"/><Relationship Id="rId9" Type="http://schemas.openxmlformats.org/officeDocument/2006/relationships/hyperlink" Target="https://osu.ppy.sh/b/2619929" TargetMode="External"/><Relationship Id="rId5" Type="http://schemas.openxmlformats.org/officeDocument/2006/relationships/hyperlink" Target="https://osu.ppy.sh/b/908887" TargetMode="External"/><Relationship Id="rId6" Type="http://schemas.openxmlformats.org/officeDocument/2006/relationships/hyperlink" Target="https://osu.ppy.sh/b/3035501" TargetMode="External"/><Relationship Id="rId7" Type="http://schemas.openxmlformats.org/officeDocument/2006/relationships/hyperlink" Target="https://osu.ppy.sh/b/3737825" TargetMode="External"/><Relationship Id="rId8" Type="http://schemas.openxmlformats.org/officeDocument/2006/relationships/hyperlink" Target="https://osu.ppy.sh/b/2094462" TargetMode="External"/></Relationships>
</file>

<file path=xl/worksheets/_rels/sheet52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4105349" TargetMode="External"/><Relationship Id="rId10" Type="http://schemas.openxmlformats.org/officeDocument/2006/relationships/hyperlink" Target="https://osu.ppy.sh/b/1523138" TargetMode="External"/><Relationship Id="rId13" Type="http://schemas.openxmlformats.org/officeDocument/2006/relationships/drawing" Target="../drawings/drawing52.xml"/><Relationship Id="rId12" Type="http://schemas.openxmlformats.org/officeDocument/2006/relationships/hyperlink" Target="https://osu.ppy.sh/b/3533589" TargetMode="External"/><Relationship Id="rId14" Type="http://schemas.openxmlformats.org/officeDocument/2006/relationships/vmlDrawing" Target="../drawings/vmlDrawing48.vml"/><Relationship Id="rId1" Type="http://schemas.openxmlformats.org/officeDocument/2006/relationships/comments" Target="../comments48.xml"/><Relationship Id="rId2" Type="http://schemas.openxmlformats.org/officeDocument/2006/relationships/hyperlink" Target="https://osu.ppy.sh/community/forums/topics/1790898?n=1?" TargetMode="External"/><Relationship Id="rId3" Type="http://schemas.openxmlformats.org/officeDocument/2006/relationships/hyperlink" Target="https://osu.ppy.sh/community/forums/topics/1790898?n=1?" TargetMode="External"/><Relationship Id="rId4" Type="http://schemas.openxmlformats.org/officeDocument/2006/relationships/hyperlink" Target="https://osu.ppy.sh/b/908887" TargetMode="External"/><Relationship Id="rId9" Type="http://schemas.openxmlformats.org/officeDocument/2006/relationships/hyperlink" Target="https://osu.ppy.sh/b/2027623" TargetMode="External"/><Relationship Id="rId5" Type="http://schemas.openxmlformats.org/officeDocument/2006/relationships/hyperlink" Target="https://osu.ppy.sh/b/3035501" TargetMode="External"/><Relationship Id="rId6" Type="http://schemas.openxmlformats.org/officeDocument/2006/relationships/hyperlink" Target="https://osu.ppy.sh/b/3737825" TargetMode="External"/><Relationship Id="rId7" Type="http://schemas.openxmlformats.org/officeDocument/2006/relationships/hyperlink" Target="https://osu.ppy.sh/b/2094462" TargetMode="External"/><Relationship Id="rId8" Type="http://schemas.openxmlformats.org/officeDocument/2006/relationships/hyperlink" Target="https://osu.ppy.sh/b/26199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3" width="25.13"/>
    <col customWidth="1" min="4" max="4" width="1.38"/>
  </cols>
  <sheetData>
    <row r="1" ht="7.5" customHeight="1">
      <c r="A1" s="1"/>
      <c r="B1" s="1"/>
      <c r="C1" s="1"/>
      <c r="D1" s="1"/>
    </row>
    <row r="2">
      <c r="A2" s="1"/>
      <c r="B2" s="2" t="s">
        <v>0</v>
      </c>
      <c r="C2" s="3" t="s">
        <v>1</v>
      </c>
      <c r="D2" s="1"/>
    </row>
    <row r="3">
      <c r="A3" s="1"/>
      <c r="B3" s="2" t="s">
        <v>2</v>
      </c>
      <c r="C3" s="3" t="s">
        <v>3</v>
      </c>
      <c r="D3" s="1"/>
    </row>
    <row r="4">
      <c r="A4" s="1"/>
      <c r="B4" s="2" t="s">
        <v>4</v>
      </c>
      <c r="C4" s="3">
        <v>0.0</v>
      </c>
      <c r="D4" s="1"/>
    </row>
    <row r="5">
      <c r="A5" s="1"/>
      <c r="B5" s="2" t="s">
        <v>5</v>
      </c>
      <c r="C5" s="3">
        <v>3.0</v>
      </c>
      <c r="D5" s="1"/>
    </row>
    <row r="6">
      <c r="A6" s="1"/>
      <c r="B6" s="2" t="s">
        <v>6</v>
      </c>
      <c r="C6" s="3">
        <v>15.0</v>
      </c>
      <c r="D6" s="1"/>
    </row>
    <row r="7">
      <c r="A7" s="1"/>
      <c r="B7" s="2"/>
      <c r="C7" s="3"/>
      <c r="D7" s="1"/>
    </row>
    <row r="8">
      <c r="A8" s="1"/>
      <c r="B8" s="2" t="s">
        <v>7</v>
      </c>
      <c r="C8" s="3" t="b">
        <v>1</v>
      </c>
      <c r="D8" s="1"/>
    </row>
    <row r="9">
      <c r="A9" s="1"/>
      <c r="B9" s="4"/>
      <c r="C9" s="5"/>
      <c r="D9" s="1"/>
    </row>
    <row r="10">
      <c r="A10" s="1"/>
      <c r="B10" s="2" t="s">
        <v>8</v>
      </c>
      <c r="C10" s="6" t="s">
        <v>9</v>
      </c>
      <c r="D10" s="1"/>
    </row>
    <row r="11">
      <c r="A11" s="1"/>
      <c r="B11" s="2" t="s">
        <v>10</v>
      </c>
      <c r="C11" s="6" t="s">
        <v>11</v>
      </c>
      <c r="D11" s="1"/>
    </row>
    <row r="12">
      <c r="A12" s="1"/>
      <c r="B12" s="2"/>
      <c r="C12" s="5"/>
      <c r="D12" s="1"/>
    </row>
    <row r="13">
      <c r="A13" s="1"/>
      <c r="B13" s="2" t="s">
        <v>12</v>
      </c>
      <c r="C13" s="3">
        <v>90.0</v>
      </c>
      <c r="D13" s="1"/>
    </row>
    <row r="14">
      <c r="A14" s="1"/>
      <c r="B14" s="2" t="s">
        <v>13</v>
      </c>
      <c r="C14" s="3">
        <v>10.0</v>
      </c>
      <c r="D14" s="1"/>
    </row>
    <row r="15" ht="7.5" customHeight="1">
      <c r="A15" s="1"/>
      <c r="B15" s="1"/>
      <c r="C15" s="1"/>
      <c r="D15" s="7"/>
    </row>
  </sheetData>
  <hyperlinks>
    <hyperlink r:id="rId1" ref="C10"/>
    <hyperlink r:id="rId2" ref="C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.38"/>
    <col customWidth="1" min="3" max="3" width="3.5"/>
    <col customWidth="1" min="4" max="4" width="1.38"/>
    <col customWidth="1" min="5" max="5" width="9.5"/>
    <col customWidth="1" min="6" max="6" width="15.75"/>
    <col customWidth="1" min="7" max="7" width="22.0"/>
    <col customWidth="1" min="8" max="8" width="9.5"/>
    <col customWidth="1" min="9" max="14" width="18.88"/>
    <col customWidth="1" min="15" max="15" width="37.63"/>
    <col customWidth="1" min="16" max="16" width="6.0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9"/>
    </row>
    <row r="2">
      <c r="A2" s="8"/>
      <c r="B2" s="8"/>
      <c r="C2" s="8"/>
      <c r="D2" s="8"/>
      <c r="E2" s="10" t="s">
        <v>14</v>
      </c>
      <c r="F2" s="11"/>
      <c r="G2" s="11"/>
      <c r="H2" s="11"/>
      <c r="I2" s="11"/>
      <c r="J2" s="11"/>
      <c r="K2" s="12"/>
      <c r="L2" s="8"/>
      <c r="M2" s="10" t="str">
        <f> "TEAMS SCHEDULED : " &amp; COUNTIF(J5:N36,"*")</f>
        <v>TEAMS SCHEDULED : 3</v>
      </c>
      <c r="N2" s="12"/>
      <c r="O2" s="9"/>
      <c r="P2" s="9"/>
    </row>
    <row r="3">
      <c r="A3" s="8"/>
      <c r="B3" s="8"/>
      <c r="C3" s="8"/>
      <c r="D3" s="8"/>
      <c r="E3" s="13"/>
      <c r="F3" s="13"/>
      <c r="G3" s="14"/>
      <c r="H3" s="15" t="s">
        <v>15</v>
      </c>
      <c r="I3" s="16"/>
      <c r="J3" s="13"/>
      <c r="K3" s="13"/>
      <c r="L3" s="13"/>
      <c r="M3" s="13"/>
      <c r="N3" s="13"/>
      <c r="O3" s="9"/>
      <c r="P3" s="9"/>
    </row>
    <row r="4" ht="22.5" customHeight="1">
      <c r="A4" s="17"/>
      <c r="B4" s="17"/>
      <c r="C4" s="17"/>
      <c r="D4" s="17"/>
      <c r="E4" s="18" t="s">
        <v>16</v>
      </c>
      <c r="F4" s="19" t="s">
        <v>17</v>
      </c>
      <c r="G4" s="20" t="s">
        <v>18</v>
      </c>
      <c r="H4" s="19" t="s">
        <v>19</v>
      </c>
      <c r="I4" s="19" t="s">
        <v>20</v>
      </c>
      <c r="J4" s="21" t="s">
        <v>21</v>
      </c>
      <c r="K4" s="21" t="s">
        <v>22</v>
      </c>
      <c r="L4" s="20" t="s">
        <v>23</v>
      </c>
      <c r="M4" s="22" t="s">
        <v>24</v>
      </c>
      <c r="N4" s="20" t="s">
        <v>25</v>
      </c>
      <c r="O4" s="23" t="s">
        <v>26</v>
      </c>
      <c r="P4" s="24"/>
    </row>
    <row r="5" ht="18.75" customHeight="1">
      <c r="A5" s="8"/>
      <c r="B5" s="8"/>
      <c r="C5" s="25" t="s">
        <v>27</v>
      </c>
      <c r="D5" s="8"/>
      <c r="E5" s="26" t="s">
        <v>28</v>
      </c>
      <c r="F5" s="27" t="str">
        <f t="shared" ref="F5:F14" si="1">IF(COUNTIF(J5:N5,"*") = 0, "-", COUNTIF(J5:N5,"*") &amp;" / 15")</f>
        <v>3 / 15</v>
      </c>
      <c r="G5" s="28">
        <v>44618.0</v>
      </c>
      <c r="H5" s="29">
        <v>0.0</v>
      </c>
      <c r="I5" s="27" t="s">
        <v>29</v>
      </c>
      <c r="J5" s="30" t="s">
        <v>30</v>
      </c>
      <c r="K5" s="30" t="s">
        <v>31</v>
      </c>
      <c r="L5" s="31" t="s">
        <v>32</v>
      </c>
      <c r="M5" s="32"/>
      <c r="N5" s="31"/>
      <c r="O5" s="33"/>
      <c r="P5" s="9"/>
    </row>
    <row r="6" ht="18.75" customHeight="1">
      <c r="A6" s="8"/>
      <c r="B6" s="8"/>
      <c r="C6" s="34"/>
      <c r="D6" s="8"/>
      <c r="E6" s="26" t="s">
        <v>33</v>
      </c>
      <c r="F6" s="27" t="str">
        <f t="shared" si="1"/>
        <v>-</v>
      </c>
      <c r="G6" s="35">
        <v>44618.0</v>
      </c>
      <c r="H6" s="29">
        <v>0.08333333333333333</v>
      </c>
      <c r="I6" s="27"/>
      <c r="J6" s="30"/>
      <c r="K6" s="30"/>
      <c r="L6" s="31"/>
      <c r="M6" s="32"/>
      <c r="N6" s="31"/>
      <c r="O6" s="33"/>
      <c r="P6" s="9"/>
    </row>
    <row r="7" ht="18.75" customHeight="1">
      <c r="A7" s="8"/>
      <c r="B7" s="8"/>
      <c r="C7" s="34"/>
      <c r="D7" s="8"/>
      <c r="E7" s="26" t="s">
        <v>34</v>
      </c>
      <c r="F7" s="27" t="str">
        <f t="shared" si="1"/>
        <v>-</v>
      </c>
      <c r="G7" s="35">
        <v>44618.0</v>
      </c>
      <c r="H7" s="29">
        <v>0.16666666666666666</v>
      </c>
      <c r="I7" s="27"/>
      <c r="J7" s="30"/>
      <c r="K7" s="30"/>
      <c r="L7" s="31"/>
      <c r="M7" s="32"/>
      <c r="N7" s="31"/>
      <c r="O7" s="33"/>
      <c r="P7" s="9"/>
    </row>
    <row r="8" ht="18.75" customHeight="1">
      <c r="A8" s="8"/>
      <c r="B8" s="8"/>
      <c r="C8" s="34"/>
      <c r="D8" s="8"/>
      <c r="E8" s="26" t="s">
        <v>35</v>
      </c>
      <c r="F8" s="27" t="str">
        <f t="shared" si="1"/>
        <v>-</v>
      </c>
      <c r="G8" s="35">
        <v>44618.0</v>
      </c>
      <c r="H8" s="29">
        <v>0.25</v>
      </c>
      <c r="I8" s="27"/>
      <c r="J8" s="30"/>
      <c r="K8" s="30"/>
      <c r="L8" s="31"/>
      <c r="M8" s="32"/>
      <c r="N8" s="31"/>
      <c r="O8" s="33"/>
      <c r="P8" s="9"/>
    </row>
    <row r="9" ht="18.75" customHeight="1">
      <c r="A9" s="8"/>
      <c r="B9" s="8"/>
      <c r="C9" s="34"/>
      <c r="D9" s="8"/>
      <c r="E9" s="26" t="s">
        <v>36</v>
      </c>
      <c r="F9" s="27" t="str">
        <f t="shared" si="1"/>
        <v>-</v>
      </c>
      <c r="G9" s="35"/>
      <c r="H9" s="29">
        <v>0.5</v>
      </c>
      <c r="I9" s="27"/>
      <c r="J9" s="30"/>
      <c r="K9" s="30"/>
      <c r="L9" s="31"/>
      <c r="M9" s="32"/>
      <c r="N9" s="31"/>
      <c r="O9" s="33"/>
      <c r="P9" s="9"/>
    </row>
    <row r="10" ht="18.75" customHeight="1">
      <c r="A10" s="8"/>
      <c r="B10" s="8"/>
      <c r="C10" s="34"/>
      <c r="D10" s="8"/>
      <c r="E10" s="26" t="s">
        <v>37</v>
      </c>
      <c r="F10" s="27" t="str">
        <f t="shared" si="1"/>
        <v>-</v>
      </c>
      <c r="G10" s="35"/>
      <c r="H10" s="29">
        <v>0.5833333333333334</v>
      </c>
      <c r="I10" s="27"/>
      <c r="J10" s="30"/>
      <c r="K10" s="30"/>
      <c r="L10" s="31"/>
      <c r="M10" s="32"/>
      <c r="N10" s="31"/>
      <c r="O10" s="33"/>
      <c r="P10" s="9"/>
    </row>
    <row r="11" ht="18.75" customHeight="1">
      <c r="A11" s="8"/>
      <c r="B11" s="8"/>
      <c r="C11" s="34"/>
      <c r="D11" s="8"/>
      <c r="E11" s="26" t="s">
        <v>38</v>
      </c>
      <c r="F11" s="27" t="str">
        <f t="shared" si="1"/>
        <v>-</v>
      </c>
      <c r="G11" s="35"/>
      <c r="H11" s="29">
        <v>0.6666666666666666</v>
      </c>
      <c r="I11" s="27"/>
      <c r="J11" s="30"/>
      <c r="K11" s="30"/>
      <c r="L11" s="31"/>
      <c r="M11" s="32"/>
      <c r="N11" s="31"/>
      <c r="O11" s="33"/>
      <c r="P11" s="9"/>
    </row>
    <row r="12" ht="18.75" customHeight="1">
      <c r="A12" s="8"/>
      <c r="B12" s="8"/>
      <c r="C12" s="34"/>
      <c r="D12" s="8"/>
      <c r="E12" s="26" t="s">
        <v>39</v>
      </c>
      <c r="F12" s="27" t="str">
        <f t="shared" si="1"/>
        <v>-</v>
      </c>
      <c r="G12" s="35"/>
      <c r="H12" s="29">
        <v>0.75</v>
      </c>
      <c r="I12" s="27"/>
      <c r="J12" s="30"/>
      <c r="K12" s="30"/>
      <c r="L12" s="31"/>
      <c r="M12" s="32"/>
      <c r="N12" s="31"/>
      <c r="O12" s="33"/>
      <c r="P12" s="9"/>
    </row>
    <row r="13" ht="18.75" customHeight="1">
      <c r="A13" s="8"/>
      <c r="B13" s="8"/>
      <c r="C13" s="34"/>
      <c r="D13" s="8"/>
      <c r="E13" s="26" t="s">
        <v>40</v>
      </c>
      <c r="F13" s="27" t="str">
        <f t="shared" si="1"/>
        <v>-</v>
      </c>
      <c r="G13" s="35"/>
      <c r="H13" s="29">
        <v>0.875</v>
      </c>
      <c r="I13" s="27"/>
      <c r="J13" s="30"/>
      <c r="K13" s="30"/>
      <c r="L13" s="31"/>
      <c r="M13" s="32"/>
      <c r="N13" s="31"/>
      <c r="O13" s="33"/>
      <c r="P13" s="9"/>
    </row>
    <row r="14" ht="18.75" customHeight="1">
      <c r="A14" s="8"/>
      <c r="B14" s="8"/>
      <c r="C14" s="36"/>
      <c r="D14" s="8"/>
      <c r="E14" s="26" t="s">
        <v>41</v>
      </c>
      <c r="F14" s="27" t="str">
        <f t="shared" si="1"/>
        <v>-</v>
      </c>
      <c r="G14" s="35"/>
      <c r="H14" s="29">
        <v>0.9993055555555556</v>
      </c>
      <c r="I14" s="27"/>
      <c r="J14" s="30"/>
      <c r="K14" s="30"/>
      <c r="L14" s="31"/>
      <c r="M14" s="32"/>
      <c r="N14" s="31"/>
      <c r="O14" s="33"/>
      <c r="P14" s="9"/>
    </row>
    <row r="15" ht="18.75" customHeight="1">
      <c r="A15" s="8"/>
      <c r="B15" s="8"/>
      <c r="C15" s="8"/>
      <c r="D15" s="8"/>
      <c r="E15" s="26"/>
      <c r="F15" s="27"/>
      <c r="G15" s="35"/>
      <c r="H15" s="29"/>
      <c r="I15" s="27"/>
      <c r="J15" s="30"/>
      <c r="K15" s="30"/>
      <c r="L15" s="31"/>
      <c r="M15" s="32"/>
      <c r="N15" s="31"/>
      <c r="O15" s="33"/>
      <c r="P15" s="9"/>
    </row>
    <row r="16" ht="18.75" customHeight="1">
      <c r="A16" s="8"/>
      <c r="B16" s="8"/>
      <c r="C16" s="25" t="s">
        <v>42</v>
      </c>
      <c r="D16" s="8"/>
      <c r="E16" s="26" t="s">
        <v>43</v>
      </c>
      <c r="F16" s="27" t="str">
        <f t="shared" ref="F16:F25" si="2">IF(COUNTIF(J16:N16,"*") = 0, "-", COUNTIF(J16:N16,"*") &amp;" / 15")</f>
        <v>-</v>
      </c>
      <c r="G16" s="35"/>
      <c r="H16" s="29">
        <v>0.0</v>
      </c>
      <c r="I16" s="27"/>
      <c r="J16" s="30"/>
      <c r="K16" s="30"/>
      <c r="L16" s="31"/>
      <c r="M16" s="32"/>
      <c r="N16" s="31"/>
      <c r="O16" s="33"/>
      <c r="P16" s="9"/>
    </row>
    <row r="17" ht="18.75" customHeight="1">
      <c r="A17" s="8"/>
      <c r="B17" s="8"/>
      <c r="C17" s="34"/>
      <c r="D17" s="8"/>
      <c r="E17" s="26" t="s">
        <v>44</v>
      </c>
      <c r="F17" s="27" t="str">
        <f t="shared" si="2"/>
        <v>-</v>
      </c>
      <c r="G17" s="31"/>
      <c r="H17" s="29">
        <v>0.08333333333333333</v>
      </c>
      <c r="I17" s="27"/>
      <c r="J17" s="30"/>
      <c r="K17" s="30"/>
      <c r="L17" s="31"/>
      <c r="M17" s="32"/>
      <c r="N17" s="31"/>
      <c r="O17" s="33"/>
      <c r="P17" s="9"/>
    </row>
    <row r="18" ht="18.75" customHeight="1">
      <c r="A18" s="8"/>
      <c r="B18" s="8"/>
      <c r="C18" s="34"/>
      <c r="D18" s="8"/>
      <c r="E18" s="26" t="s">
        <v>45</v>
      </c>
      <c r="F18" s="27" t="str">
        <f t="shared" si="2"/>
        <v>-</v>
      </c>
      <c r="G18" s="35"/>
      <c r="H18" s="29">
        <v>0.16666666666666666</v>
      </c>
      <c r="I18" s="27"/>
      <c r="J18" s="30"/>
      <c r="K18" s="30"/>
      <c r="L18" s="31"/>
      <c r="M18" s="32"/>
      <c r="N18" s="31"/>
      <c r="O18" s="33"/>
      <c r="P18" s="9"/>
    </row>
    <row r="19" ht="18.75" customHeight="1">
      <c r="A19" s="8"/>
      <c r="B19" s="8"/>
      <c r="C19" s="34"/>
      <c r="D19" s="8"/>
      <c r="E19" s="26" t="s">
        <v>46</v>
      </c>
      <c r="F19" s="27" t="str">
        <f t="shared" si="2"/>
        <v>-</v>
      </c>
      <c r="G19" s="35"/>
      <c r="H19" s="29">
        <v>0.25</v>
      </c>
      <c r="I19" s="27"/>
      <c r="J19" s="30"/>
      <c r="K19" s="30"/>
      <c r="L19" s="31"/>
      <c r="M19" s="32"/>
      <c r="N19" s="31"/>
      <c r="O19" s="33"/>
      <c r="P19" s="9"/>
    </row>
    <row r="20" ht="18.75" customHeight="1">
      <c r="A20" s="8"/>
      <c r="B20" s="8"/>
      <c r="C20" s="34"/>
      <c r="D20" s="8"/>
      <c r="E20" s="26" t="s">
        <v>47</v>
      </c>
      <c r="F20" s="27" t="str">
        <f t="shared" si="2"/>
        <v>-</v>
      </c>
      <c r="G20" s="35"/>
      <c r="H20" s="29">
        <v>0.5</v>
      </c>
      <c r="I20" s="27"/>
      <c r="J20" s="30"/>
      <c r="K20" s="30"/>
      <c r="L20" s="31"/>
      <c r="M20" s="32"/>
      <c r="N20" s="31"/>
      <c r="O20" s="33"/>
      <c r="P20" s="9"/>
    </row>
    <row r="21" ht="18.75" customHeight="1">
      <c r="A21" s="8"/>
      <c r="B21" s="8"/>
      <c r="C21" s="34"/>
      <c r="D21" s="8"/>
      <c r="E21" s="26" t="s">
        <v>48</v>
      </c>
      <c r="F21" s="27" t="str">
        <f t="shared" si="2"/>
        <v>-</v>
      </c>
      <c r="G21" s="31"/>
      <c r="H21" s="29">
        <v>0.5833333333333334</v>
      </c>
      <c r="I21" s="27"/>
      <c r="J21" s="30"/>
      <c r="K21" s="30"/>
      <c r="L21" s="31"/>
      <c r="M21" s="32"/>
      <c r="N21" s="31"/>
      <c r="O21" s="33"/>
      <c r="P21" s="9"/>
    </row>
    <row r="22" ht="18.75" customHeight="1">
      <c r="A22" s="8"/>
      <c r="B22" s="8"/>
      <c r="C22" s="34"/>
      <c r="D22" s="8"/>
      <c r="E22" s="26" t="s">
        <v>49</v>
      </c>
      <c r="F22" s="27" t="str">
        <f t="shared" si="2"/>
        <v>-</v>
      </c>
      <c r="G22" s="31"/>
      <c r="H22" s="29">
        <v>0.6666666666666666</v>
      </c>
      <c r="I22" s="27"/>
      <c r="J22" s="30"/>
      <c r="K22" s="30"/>
      <c r="L22" s="31"/>
      <c r="M22" s="32"/>
      <c r="N22" s="31"/>
      <c r="O22" s="33"/>
      <c r="P22" s="9"/>
    </row>
    <row r="23" ht="18.75" customHeight="1">
      <c r="A23" s="8"/>
      <c r="B23" s="8"/>
      <c r="C23" s="34"/>
      <c r="D23" s="8"/>
      <c r="E23" s="26" t="s">
        <v>50</v>
      </c>
      <c r="F23" s="27" t="str">
        <f t="shared" si="2"/>
        <v>-</v>
      </c>
      <c r="G23" s="37"/>
      <c r="H23" s="29">
        <v>0.75</v>
      </c>
      <c r="I23" s="38"/>
      <c r="J23" s="30"/>
      <c r="K23" s="30"/>
      <c r="L23" s="31"/>
      <c r="M23" s="32"/>
      <c r="N23" s="31"/>
      <c r="O23" s="33"/>
      <c r="P23" s="9"/>
    </row>
    <row r="24" ht="18.75" customHeight="1">
      <c r="A24" s="8"/>
      <c r="B24" s="8"/>
      <c r="C24" s="34"/>
      <c r="D24" s="8"/>
      <c r="E24" s="26" t="s">
        <v>51</v>
      </c>
      <c r="F24" s="27" t="str">
        <f t="shared" si="2"/>
        <v>-</v>
      </c>
      <c r="G24" s="37"/>
      <c r="H24" s="29">
        <v>0.875</v>
      </c>
      <c r="I24" s="38"/>
      <c r="J24" s="30"/>
      <c r="K24" s="30"/>
      <c r="L24" s="31"/>
      <c r="M24" s="32"/>
      <c r="N24" s="31"/>
      <c r="O24" s="33"/>
      <c r="P24" s="9"/>
    </row>
    <row r="25" ht="18.75" customHeight="1">
      <c r="A25" s="8"/>
      <c r="B25" s="8"/>
      <c r="C25" s="36"/>
      <c r="D25" s="8"/>
      <c r="E25" s="26" t="s">
        <v>52</v>
      </c>
      <c r="F25" s="27" t="str">
        <f t="shared" si="2"/>
        <v>-</v>
      </c>
      <c r="G25" s="37"/>
      <c r="H25" s="29">
        <v>0.9993055555555556</v>
      </c>
      <c r="I25" s="38"/>
      <c r="J25" s="30"/>
      <c r="K25" s="30"/>
      <c r="L25" s="31"/>
      <c r="M25" s="32"/>
      <c r="N25" s="31"/>
      <c r="O25" s="33"/>
      <c r="P25" s="9"/>
    </row>
    <row r="26" ht="18.75" customHeight="1">
      <c r="A26" s="8"/>
      <c r="B26" s="8"/>
      <c r="C26" s="8"/>
      <c r="D26" s="8"/>
      <c r="E26" s="26"/>
      <c r="F26" s="27"/>
      <c r="G26" s="37"/>
      <c r="H26" s="29"/>
      <c r="I26" s="38"/>
      <c r="J26" s="30"/>
      <c r="K26" s="30"/>
      <c r="L26" s="31"/>
      <c r="M26" s="32"/>
      <c r="N26" s="31"/>
      <c r="O26" s="33"/>
      <c r="P26" s="9"/>
    </row>
    <row r="27" ht="18.75" customHeight="1">
      <c r="A27" s="8"/>
      <c r="B27" s="8"/>
      <c r="C27" s="25" t="s">
        <v>53</v>
      </c>
      <c r="D27" s="8"/>
      <c r="E27" s="26" t="s">
        <v>54</v>
      </c>
      <c r="F27" s="27" t="str">
        <f t="shared" ref="F27:F36" si="3">IF(COUNTIF(J27:N27,"*") = 0, "-", COUNTIF(J27:N27,"*") &amp;" / 15")</f>
        <v>-</v>
      </c>
      <c r="G27" s="37"/>
      <c r="H27" s="29"/>
      <c r="I27" s="38"/>
      <c r="J27" s="30"/>
      <c r="K27" s="30"/>
      <c r="L27" s="31"/>
      <c r="M27" s="32"/>
      <c r="N27" s="31"/>
      <c r="O27" s="33"/>
      <c r="P27" s="9"/>
    </row>
    <row r="28" ht="18.75" customHeight="1">
      <c r="A28" s="8"/>
      <c r="B28" s="8"/>
      <c r="C28" s="34"/>
      <c r="D28" s="8"/>
      <c r="E28" s="26" t="s">
        <v>55</v>
      </c>
      <c r="F28" s="27" t="str">
        <f t="shared" si="3"/>
        <v>-</v>
      </c>
      <c r="G28" s="37"/>
      <c r="H28" s="29"/>
      <c r="I28" s="38"/>
      <c r="J28" s="30"/>
      <c r="K28" s="30"/>
      <c r="L28" s="31"/>
      <c r="M28" s="32"/>
      <c r="N28" s="31"/>
      <c r="O28" s="33"/>
      <c r="P28" s="9"/>
    </row>
    <row r="29" ht="18.75" customHeight="1">
      <c r="A29" s="8"/>
      <c r="B29" s="8"/>
      <c r="C29" s="34"/>
      <c r="D29" s="8"/>
      <c r="E29" s="26" t="s">
        <v>56</v>
      </c>
      <c r="F29" s="27" t="str">
        <f t="shared" si="3"/>
        <v>-</v>
      </c>
      <c r="G29" s="37"/>
      <c r="H29" s="29"/>
      <c r="I29" s="38"/>
      <c r="J29" s="30"/>
      <c r="K29" s="30"/>
      <c r="L29" s="31"/>
      <c r="M29" s="32"/>
      <c r="N29" s="31"/>
      <c r="O29" s="33"/>
      <c r="P29" s="9"/>
    </row>
    <row r="30" ht="18.75" customHeight="1">
      <c r="A30" s="8"/>
      <c r="B30" s="8"/>
      <c r="C30" s="34"/>
      <c r="D30" s="8"/>
      <c r="E30" s="26" t="s">
        <v>57</v>
      </c>
      <c r="F30" s="27" t="str">
        <f t="shared" si="3"/>
        <v>-</v>
      </c>
      <c r="G30" s="37"/>
      <c r="H30" s="29"/>
      <c r="I30" s="38"/>
      <c r="J30" s="30"/>
      <c r="K30" s="30"/>
      <c r="L30" s="31"/>
      <c r="M30" s="32"/>
      <c r="N30" s="31"/>
      <c r="O30" s="33"/>
      <c r="P30" s="9"/>
    </row>
    <row r="31" ht="18.75" customHeight="1">
      <c r="A31" s="8"/>
      <c r="B31" s="8"/>
      <c r="C31" s="34"/>
      <c r="D31" s="8"/>
      <c r="E31" s="26" t="s">
        <v>58</v>
      </c>
      <c r="F31" s="27" t="str">
        <f t="shared" si="3"/>
        <v>-</v>
      </c>
      <c r="G31" s="37"/>
      <c r="H31" s="29"/>
      <c r="I31" s="38"/>
      <c r="J31" s="30"/>
      <c r="K31" s="30"/>
      <c r="L31" s="31"/>
      <c r="M31" s="32"/>
      <c r="N31" s="31"/>
      <c r="O31" s="33"/>
      <c r="P31" s="9"/>
    </row>
    <row r="32" ht="18.75" customHeight="1">
      <c r="A32" s="8"/>
      <c r="B32" s="8"/>
      <c r="C32" s="34"/>
      <c r="D32" s="8"/>
      <c r="E32" s="26" t="s">
        <v>59</v>
      </c>
      <c r="F32" s="27" t="str">
        <f t="shared" si="3"/>
        <v>-</v>
      </c>
      <c r="G32" s="37"/>
      <c r="H32" s="29"/>
      <c r="I32" s="38"/>
      <c r="J32" s="30"/>
      <c r="K32" s="30"/>
      <c r="L32" s="31"/>
      <c r="M32" s="32"/>
      <c r="N32" s="31"/>
      <c r="O32" s="33"/>
      <c r="P32" s="9"/>
    </row>
    <row r="33" ht="18.75" customHeight="1">
      <c r="A33" s="8"/>
      <c r="B33" s="8"/>
      <c r="C33" s="34"/>
      <c r="D33" s="8"/>
      <c r="E33" s="26" t="s">
        <v>60</v>
      </c>
      <c r="F33" s="27" t="str">
        <f t="shared" si="3"/>
        <v>-</v>
      </c>
      <c r="G33" s="37"/>
      <c r="H33" s="29"/>
      <c r="I33" s="38"/>
      <c r="J33" s="30"/>
      <c r="K33" s="30"/>
      <c r="L33" s="31"/>
      <c r="M33" s="32"/>
      <c r="N33" s="31"/>
      <c r="O33" s="33"/>
      <c r="P33" s="9"/>
    </row>
    <row r="34" ht="18.75" customHeight="1">
      <c r="A34" s="8"/>
      <c r="B34" s="8"/>
      <c r="C34" s="34"/>
      <c r="D34" s="8"/>
      <c r="E34" s="26" t="s">
        <v>61</v>
      </c>
      <c r="F34" s="27" t="str">
        <f t="shared" si="3"/>
        <v>-</v>
      </c>
      <c r="G34" s="37"/>
      <c r="H34" s="29"/>
      <c r="I34" s="38"/>
      <c r="J34" s="30"/>
      <c r="K34" s="30"/>
      <c r="L34" s="31"/>
      <c r="M34" s="32"/>
      <c r="N34" s="31"/>
      <c r="O34" s="33"/>
      <c r="P34" s="9"/>
    </row>
    <row r="35" ht="18.75" customHeight="1">
      <c r="A35" s="8"/>
      <c r="B35" s="8"/>
      <c r="C35" s="34"/>
      <c r="D35" s="8"/>
      <c r="E35" s="26" t="s">
        <v>62</v>
      </c>
      <c r="F35" s="27" t="str">
        <f t="shared" si="3"/>
        <v>-</v>
      </c>
      <c r="G35" s="37"/>
      <c r="H35" s="29"/>
      <c r="I35" s="38"/>
      <c r="J35" s="30"/>
      <c r="K35" s="30"/>
      <c r="L35" s="31"/>
      <c r="M35" s="32"/>
      <c r="N35" s="31"/>
      <c r="O35" s="33"/>
      <c r="P35" s="9"/>
    </row>
    <row r="36" ht="18.75" customHeight="1">
      <c r="A36" s="8"/>
      <c r="B36" s="8"/>
      <c r="C36" s="36"/>
      <c r="D36" s="8"/>
      <c r="E36" s="26" t="s">
        <v>63</v>
      </c>
      <c r="F36" s="27" t="str">
        <f t="shared" si="3"/>
        <v>-</v>
      </c>
      <c r="G36" s="37"/>
      <c r="H36" s="29"/>
      <c r="I36" s="38"/>
      <c r="J36" s="30"/>
      <c r="K36" s="30"/>
      <c r="L36" s="31"/>
      <c r="M36" s="32"/>
      <c r="N36" s="31"/>
      <c r="O36" s="33"/>
      <c r="P36" s="9"/>
    </row>
    <row r="37" ht="18.75" customHeight="1">
      <c r="A37" s="8"/>
      <c r="B37" s="8"/>
      <c r="C37" s="8"/>
      <c r="D37" s="8"/>
      <c r="E37" s="39"/>
      <c r="F37" s="40"/>
      <c r="G37" s="41"/>
      <c r="H37" s="42"/>
      <c r="I37" s="43"/>
      <c r="J37" s="44"/>
      <c r="K37" s="44"/>
      <c r="L37" s="45"/>
      <c r="M37" s="46"/>
      <c r="N37" s="45"/>
      <c r="O37" s="47"/>
      <c r="P37" s="9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</row>
  </sheetData>
  <mergeCells count="5">
    <mergeCell ref="E2:K2"/>
    <mergeCell ref="M2:N2"/>
    <mergeCell ref="C5:C14"/>
    <mergeCell ref="C16:C25"/>
    <mergeCell ref="C27:C36"/>
  </mergeCells>
  <dataValidations>
    <dataValidation type="custom" allowBlank="1" showDropDown="1" sqref="G5:G37">
      <formula1>OR(NOT(ISERROR(DATEVALUE(G5))), AND(ISNUMBER(G5), LEFT(CELL("format", G5))="D"))</formula1>
    </dataValidation>
    <dataValidation type="list" allowBlank="1" showErrorMessage="1" sqref="J5:N37">
      <formula1>'Ref &amp; Team list'!$C$3:$C$36</formula1>
    </dataValidation>
    <dataValidation type="list" allowBlank="1" showErrorMessage="1" sqref="I5:I37">
      <formula1>'Ref &amp; Team list'!$B$3:$B$36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3.25"/>
    <col customWidth="1" min="2" max="2" width="6.38"/>
    <col customWidth="1" min="3" max="3" width="3.88"/>
    <col customWidth="1" min="7" max="7" width="3.25" outlineLevel="1"/>
    <col customWidth="1" min="8" max="8" width="37.63" outlineLevel="1"/>
    <col customWidth="1" min="9" max="9" width="16.38" outlineLevel="1"/>
    <col customWidth="1" min="10" max="10" width="17.88" outlineLevel="1"/>
    <col customWidth="1" min="11" max="11" width="3.25"/>
  </cols>
  <sheetData>
    <row r="1" ht="18.75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</row>
    <row r="2" ht="18.75" customHeight="1">
      <c r="A2" s="48"/>
      <c r="B2" s="48"/>
      <c r="C2" s="48"/>
      <c r="D2" s="49" t="s">
        <v>64</v>
      </c>
      <c r="E2" s="49" t="s">
        <v>65</v>
      </c>
      <c r="F2" s="49" t="s">
        <v>66</v>
      </c>
      <c r="G2" s="48"/>
      <c r="H2" s="49" t="s">
        <v>67</v>
      </c>
      <c r="I2" s="49" t="s">
        <v>68</v>
      </c>
      <c r="J2" s="49" t="s">
        <v>69</v>
      </c>
      <c r="K2" s="48"/>
    </row>
    <row r="3" ht="18.75" customHeight="1">
      <c r="A3" s="48"/>
      <c r="B3" s="50" t="s">
        <v>70</v>
      </c>
      <c r="C3" s="51">
        <f t="array" ref="C3:C227">MOD(SEQUENCE(9*25,1)-1,25)+1</f>
        <v>1</v>
      </c>
      <c r="D3" s="52" t="s">
        <v>71</v>
      </c>
      <c r="E3" s="53" t="s">
        <v>72</v>
      </c>
      <c r="F3" s="54">
        <v>3924030.0</v>
      </c>
      <c r="G3" s="48"/>
      <c r="H3" s="55" t="str">
        <f t="array" ref="H3:H177">IF(D3:D177="","",HYPERLINK("https://osu.ppy.sh/b/"&amp;F3:F177,D3:D177&amp;": "&amp;E3:E177))</f>
        <v>NM1: nonoc - Relive [Insane]</v>
      </c>
      <c r="I3" s="56" t="str">
        <f t="array" ref="I3:I177">IF(F3:F177="","","!mp map "&amp;F3:F177)</f>
        <v>!mp map 3924030</v>
      </c>
      <c r="J3" s="57" t="str">
        <f t="array" ref="J3:J228">IF(D3:D228="","","!mp mods "&amp;IF(LEFT(D3:D177,2)="NM","NF",IF(LEFT(D3:D177,2)="FM","FreeMod",IF(LEFT(D3:D177,2)="TB","FreeMod",LEFT(D3:D177,2)&amp;" NF"))))</f>
        <v>!mp mods NF</v>
      </c>
      <c r="K3" s="48"/>
    </row>
    <row r="4" ht="18.75" customHeight="1">
      <c r="A4" s="48"/>
      <c r="B4" s="34"/>
      <c r="C4" s="51">
        <v>2.0</v>
      </c>
      <c r="D4" s="58" t="s">
        <v>73</v>
      </c>
      <c r="E4" s="59" t="s">
        <v>74</v>
      </c>
      <c r="F4" s="60">
        <v>908887.0</v>
      </c>
      <c r="G4" s="48"/>
      <c r="H4" s="61" t="s">
        <v>75</v>
      </c>
      <c r="I4" s="62" t="s">
        <v>76</v>
      </c>
      <c r="J4" s="63" t="s">
        <v>77</v>
      </c>
      <c r="K4" s="48"/>
    </row>
    <row r="5" ht="18.75" customHeight="1">
      <c r="A5" s="48"/>
      <c r="B5" s="34"/>
      <c r="C5" s="51">
        <v>3.0</v>
      </c>
      <c r="D5" s="58" t="s">
        <v>78</v>
      </c>
      <c r="E5" s="59" t="s">
        <v>79</v>
      </c>
      <c r="F5" s="60">
        <v>3035501.0</v>
      </c>
      <c r="G5" s="48"/>
      <c r="H5" s="61" t="s">
        <v>80</v>
      </c>
      <c r="I5" s="62" t="s">
        <v>81</v>
      </c>
      <c r="J5" s="63" t="s">
        <v>77</v>
      </c>
      <c r="K5" s="48"/>
    </row>
    <row r="6" ht="18.75" customHeight="1">
      <c r="A6" s="48"/>
      <c r="B6" s="34"/>
      <c r="C6" s="51">
        <v>4.0</v>
      </c>
      <c r="D6" s="58" t="s">
        <v>82</v>
      </c>
      <c r="E6" s="59" t="s">
        <v>83</v>
      </c>
      <c r="F6" s="60">
        <v>3737825.0</v>
      </c>
      <c r="G6" s="48"/>
      <c r="H6" s="61" t="s">
        <v>84</v>
      </c>
      <c r="I6" s="62" t="s">
        <v>85</v>
      </c>
      <c r="J6" s="63" t="s">
        <v>77</v>
      </c>
      <c r="K6" s="48"/>
    </row>
    <row r="7" ht="18.75" customHeight="1">
      <c r="A7" s="48"/>
      <c r="B7" s="34"/>
      <c r="C7" s="51">
        <v>5.0</v>
      </c>
      <c r="D7" s="58" t="s">
        <v>86</v>
      </c>
      <c r="E7" s="59" t="s">
        <v>87</v>
      </c>
      <c r="F7" s="60">
        <v>2094462.0</v>
      </c>
      <c r="G7" s="48"/>
      <c r="H7" s="61" t="s">
        <v>88</v>
      </c>
      <c r="I7" s="62" t="s">
        <v>89</v>
      </c>
      <c r="J7" s="63" t="s">
        <v>90</v>
      </c>
      <c r="K7" s="48"/>
    </row>
    <row r="8" ht="18.75" customHeight="1">
      <c r="A8" s="48"/>
      <c r="B8" s="34"/>
      <c r="C8" s="51">
        <v>6.0</v>
      </c>
      <c r="D8" s="58" t="s">
        <v>91</v>
      </c>
      <c r="E8" s="59" t="s">
        <v>92</v>
      </c>
      <c r="F8" s="60">
        <v>2619929.0</v>
      </c>
      <c r="G8" s="48"/>
      <c r="H8" s="61" t="s">
        <v>93</v>
      </c>
      <c r="I8" s="62" t="s">
        <v>94</v>
      </c>
      <c r="J8" s="63" t="s">
        <v>90</v>
      </c>
      <c r="K8" s="48"/>
    </row>
    <row r="9" ht="18.75" customHeight="1">
      <c r="A9" s="48"/>
      <c r="B9" s="34"/>
      <c r="C9" s="51">
        <v>7.0</v>
      </c>
      <c r="D9" s="58" t="s">
        <v>95</v>
      </c>
      <c r="E9" s="59" t="s">
        <v>96</v>
      </c>
      <c r="F9" s="60">
        <v>2027623.0</v>
      </c>
      <c r="G9" s="48"/>
      <c r="H9" s="61" t="s">
        <v>97</v>
      </c>
      <c r="I9" s="62" t="s">
        <v>98</v>
      </c>
      <c r="J9" s="63" t="s">
        <v>99</v>
      </c>
      <c r="K9" s="48"/>
    </row>
    <row r="10" ht="18.75" customHeight="1">
      <c r="A10" s="48"/>
      <c r="B10" s="34"/>
      <c r="C10" s="51">
        <v>8.0</v>
      </c>
      <c r="D10" s="58" t="s">
        <v>100</v>
      </c>
      <c r="E10" s="59" t="s">
        <v>101</v>
      </c>
      <c r="F10" s="60">
        <v>1523138.0</v>
      </c>
      <c r="G10" s="48"/>
      <c r="H10" s="61" t="s">
        <v>102</v>
      </c>
      <c r="I10" s="62" t="s">
        <v>103</v>
      </c>
      <c r="J10" s="63" t="s">
        <v>99</v>
      </c>
      <c r="K10" s="48"/>
    </row>
    <row r="11" ht="18.75" customHeight="1">
      <c r="A11" s="48"/>
      <c r="B11" s="34"/>
      <c r="C11" s="51">
        <v>9.0</v>
      </c>
      <c r="D11" s="58" t="s">
        <v>104</v>
      </c>
      <c r="E11" s="59" t="s">
        <v>105</v>
      </c>
      <c r="F11" s="60">
        <v>4105349.0</v>
      </c>
      <c r="G11" s="48"/>
      <c r="H11" s="61" t="s">
        <v>106</v>
      </c>
      <c r="I11" s="62" t="s">
        <v>107</v>
      </c>
      <c r="J11" s="63" t="s">
        <v>108</v>
      </c>
      <c r="K11" s="48"/>
    </row>
    <row r="12" ht="18.75" customHeight="1">
      <c r="A12" s="48"/>
      <c r="B12" s="34"/>
      <c r="C12" s="51">
        <v>10.0</v>
      </c>
      <c r="D12" s="58" t="s">
        <v>109</v>
      </c>
      <c r="E12" s="59" t="s">
        <v>110</v>
      </c>
      <c r="F12" s="60">
        <v>3533589.0</v>
      </c>
      <c r="G12" s="48"/>
      <c r="H12" s="61" t="s">
        <v>111</v>
      </c>
      <c r="I12" s="62" t="s">
        <v>112</v>
      </c>
      <c r="J12" s="63" t="s">
        <v>108</v>
      </c>
      <c r="K12" s="48"/>
    </row>
    <row r="13" ht="18.75" customHeight="1">
      <c r="A13" s="48"/>
      <c r="B13" s="34"/>
      <c r="C13" s="51">
        <v>11.0</v>
      </c>
      <c r="D13" s="58"/>
      <c r="E13" s="64"/>
      <c r="F13" s="60"/>
      <c r="G13" s="48"/>
      <c r="H13" s="65" t="s">
        <v>113</v>
      </c>
      <c r="I13" s="62" t="s">
        <v>113</v>
      </c>
      <c r="J13" s="63" t="s">
        <v>113</v>
      </c>
      <c r="K13" s="48"/>
    </row>
    <row r="14" ht="18.75" customHeight="1">
      <c r="A14" s="48"/>
      <c r="B14" s="34"/>
      <c r="C14" s="51">
        <v>12.0</v>
      </c>
      <c r="D14" s="58"/>
      <c r="E14" s="64"/>
      <c r="F14" s="60"/>
      <c r="G14" s="48"/>
      <c r="H14" s="65" t="s">
        <v>113</v>
      </c>
      <c r="I14" s="62" t="s">
        <v>113</v>
      </c>
      <c r="J14" s="63" t="s">
        <v>113</v>
      </c>
      <c r="K14" s="48"/>
    </row>
    <row r="15" ht="18.75" customHeight="1">
      <c r="A15" s="48"/>
      <c r="B15" s="34"/>
      <c r="C15" s="51">
        <v>13.0</v>
      </c>
      <c r="D15" s="58"/>
      <c r="E15" s="64"/>
      <c r="F15" s="60"/>
      <c r="G15" s="48"/>
      <c r="H15" s="65" t="s">
        <v>113</v>
      </c>
      <c r="I15" s="62" t="s">
        <v>113</v>
      </c>
      <c r="J15" s="63" t="s">
        <v>113</v>
      </c>
      <c r="K15" s="48"/>
    </row>
    <row r="16" ht="18.75" customHeight="1">
      <c r="A16" s="48"/>
      <c r="B16" s="34"/>
      <c r="C16" s="51">
        <v>14.0</v>
      </c>
      <c r="D16" s="58"/>
      <c r="E16" s="64"/>
      <c r="F16" s="60"/>
      <c r="G16" s="48"/>
      <c r="H16" s="65" t="s">
        <v>113</v>
      </c>
      <c r="I16" s="62" t="s">
        <v>113</v>
      </c>
      <c r="J16" s="63" t="s">
        <v>113</v>
      </c>
      <c r="K16" s="48"/>
    </row>
    <row r="17" ht="18.75" customHeight="1">
      <c r="A17" s="48"/>
      <c r="B17" s="34"/>
      <c r="C17" s="51">
        <v>15.0</v>
      </c>
      <c r="D17" s="58"/>
      <c r="E17" s="64"/>
      <c r="F17" s="60"/>
      <c r="G17" s="48"/>
      <c r="H17" s="65" t="s">
        <v>113</v>
      </c>
      <c r="I17" s="62" t="s">
        <v>113</v>
      </c>
      <c r="J17" s="63" t="s">
        <v>113</v>
      </c>
      <c r="K17" s="48"/>
    </row>
    <row r="18" ht="18.75" customHeight="1">
      <c r="A18" s="48"/>
      <c r="B18" s="34"/>
      <c r="C18" s="51">
        <v>16.0</v>
      </c>
      <c r="D18" s="58"/>
      <c r="E18" s="64"/>
      <c r="F18" s="60"/>
      <c r="G18" s="48"/>
      <c r="H18" s="65" t="s">
        <v>113</v>
      </c>
      <c r="I18" s="62" t="s">
        <v>113</v>
      </c>
      <c r="J18" s="63" t="s">
        <v>113</v>
      </c>
      <c r="K18" s="48"/>
    </row>
    <row r="19" ht="18.75" customHeight="1">
      <c r="A19" s="48"/>
      <c r="B19" s="34"/>
      <c r="C19" s="51">
        <v>17.0</v>
      </c>
      <c r="D19" s="58"/>
      <c r="E19" s="64"/>
      <c r="F19" s="60"/>
      <c r="G19" s="48"/>
      <c r="H19" s="65" t="s">
        <v>113</v>
      </c>
      <c r="I19" s="62" t="s">
        <v>113</v>
      </c>
      <c r="J19" s="63" t="s">
        <v>113</v>
      </c>
      <c r="K19" s="48"/>
    </row>
    <row r="20" ht="18.75" customHeight="1">
      <c r="A20" s="48"/>
      <c r="B20" s="34"/>
      <c r="C20" s="51">
        <v>18.0</v>
      </c>
      <c r="D20" s="58"/>
      <c r="E20" s="64"/>
      <c r="F20" s="60"/>
      <c r="G20" s="48"/>
      <c r="H20" s="65" t="s">
        <v>113</v>
      </c>
      <c r="I20" s="62" t="s">
        <v>113</v>
      </c>
      <c r="J20" s="63" t="s">
        <v>113</v>
      </c>
      <c r="K20" s="48"/>
    </row>
    <row r="21" ht="18.75" customHeight="1">
      <c r="A21" s="48"/>
      <c r="B21" s="34"/>
      <c r="C21" s="51">
        <v>19.0</v>
      </c>
      <c r="D21" s="58"/>
      <c r="E21" s="64"/>
      <c r="F21" s="60"/>
      <c r="G21" s="48"/>
      <c r="H21" s="65" t="s">
        <v>113</v>
      </c>
      <c r="I21" s="62" t="s">
        <v>113</v>
      </c>
      <c r="J21" s="63" t="s">
        <v>113</v>
      </c>
      <c r="K21" s="48"/>
    </row>
    <row r="22" ht="18.75" customHeight="1">
      <c r="A22" s="48"/>
      <c r="B22" s="34"/>
      <c r="C22" s="51">
        <v>20.0</v>
      </c>
      <c r="D22" s="66"/>
      <c r="E22" s="67"/>
      <c r="F22" s="68"/>
      <c r="G22" s="48"/>
      <c r="H22" s="65" t="s">
        <v>113</v>
      </c>
      <c r="I22" s="62" t="s">
        <v>113</v>
      </c>
      <c r="J22" s="63" t="s">
        <v>113</v>
      </c>
      <c r="K22" s="48"/>
    </row>
    <row r="23" ht="18.75" customHeight="1">
      <c r="A23" s="48"/>
      <c r="B23" s="34"/>
      <c r="C23" s="51">
        <v>21.0</v>
      </c>
      <c r="D23" s="66"/>
      <c r="E23" s="67"/>
      <c r="F23" s="68"/>
      <c r="G23" s="48"/>
      <c r="H23" s="65" t="s">
        <v>113</v>
      </c>
      <c r="I23" s="62" t="s">
        <v>113</v>
      </c>
      <c r="J23" s="63" t="s">
        <v>113</v>
      </c>
      <c r="K23" s="48"/>
    </row>
    <row r="24" ht="18.75" customHeight="1">
      <c r="A24" s="48"/>
      <c r="B24" s="34"/>
      <c r="C24" s="51">
        <v>22.0</v>
      </c>
      <c r="D24" s="66"/>
      <c r="E24" s="67"/>
      <c r="F24" s="68"/>
      <c r="G24" s="48"/>
      <c r="H24" s="65" t="s">
        <v>113</v>
      </c>
      <c r="I24" s="62" t="s">
        <v>113</v>
      </c>
      <c r="J24" s="63" t="s">
        <v>113</v>
      </c>
      <c r="K24" s="48"/>
    </row>
    <row r="25" ht="18.75" customHeight="1">
      <c r="A25" s="48"/>
      <c r="B25" s="34"/>
      <c r="C25" s="51">
        <v>23.0</v>
      </c>
      <c r="D25" s="66"/>
      <c r="E25" s="67"/>
      <c r="F25" s="68"/>
      <c r="G25" s="48"/>
      <c r="H25" s="65" t="s">
        <v>113</v>
      </c>
      <c r="I25" s="62" t="s">
        <v>113</v>
      </c>
      <c r="J25" s="63" t="s">
        <v>113</v>
      </c>
      <c r="K25" s="48"/>
    </row>
    <row r="26" ht="18.75" customHeight="1">
      <c r="A26" s="48"/>
      <c r="B26" s="34"/>
      <c r="C26" s="51">
        <v>24.0</v>
      </c>
      <c r="D26" s="66"/>
      <c r="E26" s="67"/>
      <c r="F26" s="68"/>
      <c r="G26" s="48"/>
      <c r="H26" s="65" t="s">
        <v>113</v>
      </c>
      <c r="I26" s="62" t="s">
        <v>113</v>
      </c>
      <c r="J26" s="63" t="s">
        <v>113</v>
      </c>
      <c r="K26" s="48"/>
    </row>
    <row r="27" ht="18.75" customHeight="1">
      <c r="A27" s="48"/>
      <c r="B27" s="36"/>
      <c r="C27" s="69">
        <v>25.0</v>
      </c>
      <c r="D27" s="70"/>
      <c r="E27" s="71"/>
      <c r="F27" s="72"/>
      <c r="G27" s="48"/>
      <c r="H27" s="73" t="s">
        <v>113</v>
      </c>
      <c r="I27" s="74" t="s">
        <v>113</v>
      </c>
      <c r="J27" s="75" t="s">
        <v>113</v>
      </c>
      <c r="K27" s="48"/>
    </row>
    <row r="28" ht="18.75" hidden="1" customHeight="1">
      <c r="A28" s="48"/>
      <c r="B28" s="76" t="s">
        <v>114</v>
      </c>
      <c r="C28" s="77">
        <v>1.0</v>
      </c>
      <c r="D28" s="58"/>
      <c r="E28" s="64"/>
      <c r="F28" s="60"/>
      <c r="G28" s="78"/>
      <c r="H28" s="65" t="s">
        <v>113</v>
      </c>
      <c r="I28" s="62" t="s">
        <v>113</v>
      </c>
      <c r="J28" s="63" t="s">
        <v>113</v>
      </c>
      <c r="K28" s="48"/>
    </row>
    <row r="29" ht="18.75" hidden="1" customHeight="1">
      <c r="A29" s="48"/>
      <c r="B29" s="34"/>
      <c r="C29" s="77">
        <v>2.0</v>
      </c>
      <c r="D29" s="58"/>
      <c r="E29" s="64"/>
      <c r="F29" s="60"/>
      <c r="G29" s="78"/>
      <c r="H29" s="65" t="s">
        <v>113</v>
      </c>
      <c r="I29" s="62" t="s">
        <v>113</v>
      </c>
      <c r="J29" s="63" t="s">
        <v>113</v>
      </c>
      <c r="K29" s="48"/>
    </row>
    <row r="30" ht="18.75" hidden="1" customHeight="1">
      <c r="A30" s="48"/>
      <c r="B30" s="34"/>
      <c r="C30" s="77">
        <v>3.0</v>
      </c>
      <c r="D30" s="58"/>
      <c r="E30" s="64"/>
      <c r="F30" s="60"/>
      <c r="G30" s="78"/>
      <c r="H30" s="65" t="s">
        <v>113</v>
      </c>
      <c r="I30" s="62" t="s">
        <v>113</v>
      </c>
      <c r="J30" s="63" t="s">
        <v>113</v>
      </c>
      <c r="K30" s="48"/>
    </row>
    <row r="31" ht="18.75" hidden="1" customHeight="1">
      <c r="A31" s="48"/>
      <c r="B31" s="34"/>
      <c r="C31" s="77">
        <v>4.0</v>
      </c>
      <c r="D31" s="58"/>
      <c r="E31" s="64"/>
      <c r="F31" s="60"/>
      <c r="G31" s="78"/>
      <c r="H31" s="65" t="s">
        <v>113</v>
      </c>
      <c r="I31" s="62" t="s">
        <v>113</v>
      </c>
      <c r="J31" s="63" t="s">
        <v>113</v>
      </c>
      <c r="K31" s="48"/>
    </row>
    <row r="32" ht="18.75" hidden="1" customHeight="1">
      <c r="A32" s="48"/>
      <c r="B32" s="34"/>
      <c r="C32" s="77">
        <v>5.0</v>
      </c>
      <c r="D32" s="58"/>
      <c r="E32" s="64"/>
      <c r="F32" s="60"/>
      <c r="G32" s="78"/>
      <c r="H32" s="65" t="s">
        <v>113</v>
      </c>
      <c r="I32" s="62" t="s">
        <v>113</v>
      </c>
      <c r="J32" s="63" t="s">
        <v>113</v>
      </c>
      <c r="K32" s="48"/>
    </row>
    <row r="33" ht="18.75" hidden="1" customHeight="1">
      <c r="A33" s="48"/>
      <c r="B33" s="34"/>
      <c r="C33" s="77">
        <v>6.0</v>
      </c>
      <c r="D33" s="58"/>
      <c r="E33" s="64"/>
      <c r="F33" s="60"/>
      <c r="G33" s="78"/>
      <c r="H33" s="65" t="s">
        <v>113</v>
      </c>
      <c r="I33" s="62" t="s">
        <v>113</v>
      </c>
      <c r="J33" s="63" t="s">
        <v>113</v>
      </c>
      <c r="K33" s="48"/>
    </row>
    <row r="34" ht="18.75" hidden="1" customHeight="1">
      <c r="A34" s="48"/>
      <c r="B34" s="34"/>
      <c r="C34" s="77">
        <v>7.0</v>
      </c>
      <c r="D34" s="58"/>
      <c r="E34" s="64"/>
      <c r="F34" s="60"/>
      <c r="G34" s="78"/>
      <c r="H34" s="65" t="s">
        <v>113</v>
      </c>
      <c r="I34" s="62" t="s">
        <v>113</v>
      </c>
      <c r="J34" s="63" t="s">
        <v>113</v>
      </c>
      <c r="K34" s="48"/>
    </row>
    <row r="35" ht="18.75" hidden="1" customHeight="1">
      <c r="A35" s="48"/>
      <c r="B35" s="34"/>
      <c r="C35" s="77">
        <v>8.0</v>
      </c>
      <c r="D35" s="58"/>
      <c r="E35" s="64"/>
      <c r="F35" s="60"/>
      <c r="G35" s="78"/>
      <c r="H35" s="65" t="s">
        <v>113</v>
      </c>
      <c r="I35" s="62" t="s">
        <v>113</v>
      </c>
      <c r="J35" s="63" t="s">
        <v>113</v>
      </c>
      <c r="K35" s="48"/>
    </row>
    <row r="36" ht="18.75" hidden="1" customHeight="1">
      <c r="A36" s="48"/>
      <c r="B36" s="34"/>
      <c r="C36" s="77">
        <v>9.0</v>
      </c>
      <c r="D36" s="58"/>
      <c r="E36" s="64"/>
      <c r="F36" s="60"/>
      <c r="G36" s="78"/>
      <c r="H36" s="65" t="s">
        <v>113</v>
      </c>
      <c r="I36" s="62" t="s">
        <v>113</v>
      </c>
      <c r="J36" s="63" t="s">
        <v>113</v>
      </c>
      <c r="K36" s="48"/>
    </row>
    <row r="37" ht="18.75" hidden="1" customHeight="1">
      <c r="A37" s="48"/>
      <c r="B37" s="34"/>
      <c r="C37" s="77">
        <v>10.0</v>
      </c>
      <c r="D37" s="58"/>
      <c r="E37" s="64"/>
      <c r="F37" s="60"/>
      <c r="G37" s="78"/>
      <c r="H37" s="65" t="s">
        <v>113</v>
      </c>
      <c r="I37" s="62" t="s">
        <v>113</v>
      </c>
      <c r="J37" s="63" t="s">
        <v>113</v>
      </c>
      <c r="K37" s="48"/>
    </row>
    <row r="38" ht="18.75" hidden="1" customHeight="1">
      <c r="A38" s="48"/>
      <c r="B38" s="34"/>
      <c r="C38" s="77">
        <v>11.0</v>
      </c>
      <c r="D38" s="58"/>
      <c r="E38" s="64"/>
      <c r="F38" s="60"/>
      <c r="G38" s="78"/>
      <c r="H38" s="65" t="s">
        <v>113</v>
      </c>
      <c r="I38" s="62" t="s">
        <v>113</v>
      </c>
      <c r="J38" s="63" t="s">
        <v>113</v>
      </c>
      <c r="K38" s="48"/>
    </row>
    <row r="39" ht="18.75" hidden="1" customHeight="1">
      <c r="A39" s="48"/>
      <c r="B39" s="34"/>
      <c r="C39" s="77">
        <v>12.0</v>
      </c>
      <c r="D39" s="58"/>
      <c r="E39" s="64"/>
      <c r="F39" s="60"/>
      <c r="G39" s="78"/>
      <c r="H39" s="65" t="s">
        <v>113</v>
      </c>
      <c r="I39" s="62" t="s">
        <v>113</v>
      </c>
      <c r="J39" s="63" t="s">
        <v>113</v>
      </c>
      <c r="K39" s="48"/>
    </row>
    <row r="40" ht="18.75" hidden="1" customHeight="1">
      <c r="A40" s="48"/>
      <c r="B40" s="34"/>
      <c r="C40" s="77">
        <v>13.0</v>
      </c>
      <c r="D40" s="58"/>
      <c r="E40" s="64"/>
      <c r="F40" s="60"/>
      <c r="G40" s="78"/>
      <c r="H40" s="65" t="s">
        <v>113</v>
      </c>
      <c r="I40" s="62" t="s">
        <v>113</v>
      </c>
      <c r="J40" s="63" t="s">
        <v>113</v>
      </c>
      <c r="K40" s="48"/>
    </row>
    <row r="41" ht="18.75" hidden="1" customHeight="1">
      <c r="A41" s="48"/>
      <c r="B41" s="34"/>
      <c r="C41" s="77">
        <v>14.0</v>
      </c>
      <c r="D41" s="58"/>
      <c r="E41" s="64"/>
      <c r="F41" s="60"/>
      <c r="G41" s="78"/>
      <c r="H41" s="65" t="s">
        <v>113</v>
      </c>
      <c r="I41" s="62" t="s">
        <v>113</v>
      </c>
      <c r="J41" s="63" t="s">
        <v>113</v>
      </c>
      <c r="K41" s="48"/>
    </row>
    <row r="42" ht="18.75" hidden="1" customHeight="1">
      <c r="A42" s="48"/>
      <c r="B42" s="34"/>
      <c r="C42" s="77">
        <v>15.0</v>
      </c>
      <c r="D42" s="58"/>
      <c r="E42" s="64"/>
      <c r="F42" s="60"/>
      <c r="G42" s="78"/>
      <c r="H42" s="65" t="s">
        <v>113</v>
      </c>
      <c r="I42" s="62" t="s">
        <v>113</v>
      </c>
      <c r="J42" s="63" t="s">
        <v>113</v>
      </c>
      <c r="K42" s="48"/>
    </row>
    <row r="43" ht="18.75" hidden="1" customHeight="1">
      <c r="A43" s="48"/>
      <c r="B43" s="34"/>
      <c r="C43" s="77">
        <v>16.0</v>
      </c>
      <c r="D43" s="58"/>
      <c r="E43" s="64"/>
      <c r="F43" s="60"/>
      <c r="G43" s="78"/>
      <c r="H43" s="65" t="s">
        <v>113</v>
      </c>
      <c r="I43" s="62" t="s">
        <v>113</v>
      </c>
      <c r="J43" s="63" t="s">
        <v>113</v>
      </c>
      <c r="K43" s="48"/>
    </row>
    <row r="44" ht="18.75" hidden="1" customHeight="1">
      <c r="A44" s="48"/>
      <c r="B44" s="34"/>
      <c r="C44" s="77">
        <v>17.0</v>
      </c>
      <c r="D44" s="58"/>
      <c r="E44" s="64"/>
      <c r="F44" s="60"/>
      <c r="G44" s="78"/>
      <c r="H44" s="65" t="s">
        <v>113</v>
      </c>
      <c r="I44" s="62" t="s">
        <v>113</v>
      </c>
      <c r="J44" s="63" t="s">
        <v>113</v>
      </c>
      <c r="K44" s="48"/>
    </row>
    <row r="45" ht="18.75" hidden="1" customHeight="1">
      <c r="A45" s="48"/>
      <c r="B45" s="34"/>
      <c r="C45" s="77">
        <v>18.0</v>
      </c>
      <c r="D45" s="58"/>
      <c r="E45" s="64"/>
      <c r="F45" s="60"/>
      <c r="G45" s="78"/>
      <c r="H45" s="65" t="s">
        <v>113</v>
      </c>
      <c r="I45" s="62" t="s">
        <v>113</v>
      </c>
      <c r="J45" s="63" t="s">
        <v>113</v>
      </c>
      <c r="K45" s="48"/>
    </row>
    <row r="46" ht="18.75" hidden="1" customHeight="1">
      <c r="A46" s="48"/>
      <c r="B46" s="34"/>
      <c r="C46" s="77">
        <v>19.0</v>
      </c>
      <c r="D46" s="58"/>
      <c r="E46" s="64"/>
      <c r="F46" s="60"/>
      <c r="G46" s="78"/>
      <c r="H46" s="65" t="s">
        <v>113</v>
      </c>
      <c r="I46" s="62" t="s">
        <v>113</v>
      </c>
      <c r="J46" s="63" t="s">
        <v>113</v>
      </c>
      <c r="K46" s="48"/>
    </row>
    <row r="47" ht="18.75" hidden="1" customHeight="1">
      <c r="A47" s="48"/>
      <c r="B47" s="34"/>
      <c r="C47" s="77">
        <v>20.0</v>
      </c>
      <c r="D47" s="66"/>
      <c r="E47" s="67"/>
      <c r="F47" s="68"/>
      <c r="G47" s="78"/>
      <c r="H47" s="65" t="s">
        <v>113</v>
      </c>
      <c r="I47" s="62" t="s">
        <v>113</v>
      </c>
      <c r="J47" s="63" t="s">
        <v>113</v>
      </c>
      <c r="K47" s="48"/>
    </row>
    <row r="48" ht="18.75" hidden="1" customHeight="1">
      <c r="A48" s="48"/>
      <c r="B48" s="34"/>
      <c r="C48" s="77">
        <v>21.0</v>
      </c>
      <c r="D48" s="66"/>
      <c r="E48" s="67"/>
      <c r="F48" s="68"/>
      <c r="G48" s="78"/>
      <c r="H48" s="65" t="s">
        <v>113</v>
      </c>
      <c r="I48" s="62" t="s">
        <v>113</v>
      </c>
      <c r="J48" s="63" t="s">
        <v>113</v>
      </c>
      <c r="K48" s="48"/>
    </row>
    <row r="49" ht="18.75" hidden="1" customHeight="1">
      <c r="A49" s="48"/>
      <c r="B49" s="34"/>
      <c r="C49" s="77">
        <v>22.0</v>
      </c>
      <c r="D49" s="66"/>
      <c r="E49" s="67"/>
      <c r="F49" s="68"/>
      <c r="G49" s="78"/>
      <c r="H49" s="65" t="s">
        <v>113</v>
      </c>
      <c r="I49" s="62" t="s">
        <v>113</v>
      </c>
      <c r="J49" s="63" t="s">
        <v>113</v>
      </c>
      <c r="K49" s="48"/>
    </row>
    <row r="50" ht="18.75" hidden="1" customHeight="1">
      <c r="A50" s="48"/>
      <c r="B50" s="34"/>
      <c r="C50" s="77">
        <v>23.0</v>
      </c>
      <c r="D50" s="66"/>
      <c r="E50" s="67"/>
      <c r="F50" s="68"/>
      <c r="G50" s="78"/>
      <c r="H50" s="65" t="s">
        <v>113</v>
      </c>
      <c r="I50" s="62" t="s">
        <v>113</v>
      </c>
      <c r="J50" s="63" t="s">
        <v>113</v>
      </c>
      <c r="K50" s="48"/>
    </row>
    <row r="51" ht="18.75" hidden="1" customHeight="1">
      <c r="A51" s="48"/>
      <c r="B51" s="34"/>
      <c r="C51" s="77">
        <v>24.0</v>
      </c>
      <c r="D51" s="66"/>
      <c r="E51" s="67"/>
      <c r="F51" s="68"/>
      <c r="G51" s="78"/>
      <c r="H51" s="65" t="s">
        <v>113</v>
      </c>
      <c r="I51" s="62" t="s">
        <v>113</v>
      </c>
      <c r="J51" s="63" t="s">
        <v>113</v>
      </c>
      <c r="K51" s="48"/>
    </row>
    <row r="52" ht="18.75" hidden="1" customHeight="1">
      <c r="A52" s="48"/>
      <c r="B52" s="36"/>
      <c r="C52" s="77">
        <v>25.0</v>
      </c>
      <c r="D52" s="66"/>
      <c r="E52" s="67"/>
      <c r="F52" s="68"/>
      <c r="G52" s="78"/>
      <c r="H52" s="65" t="s">
        <v>113</v>
      </c>
      <c r="I52" s="62" t="s">
        <v>113</v>
      </c>
      <c r="J52" s="63" t="s">
        <v>113</v>
      </c>
      <c r="K52" s="48"/>
    </row>
    <row r="53" ht="18.75" hidden="1" customHeight="1">
      <c r="A53" s="48"/>
      <c r="B53" s="76" t="s">
        <v>115</v>
      </c>
      <c r="C53" s="79">
        <v>1.0</v>
      </c>
      <c r="D53" s="52"/>
      <c r="E53" s="80"/>
      <c r="F53" s="54"/>
      <c r="G53" s="78"/>
      <c r="H53" s="81" t="s">
        <v>113</v>
      </c>
      <c r="I53" s="56" t="s">
        <v>113</v>
      </c>
      <c r="J53" s="57" t="s">
        <v>113</v>
      </c>
      <c r="K53" s="48"/>
    </row>
    <row r="54" ht="18.75" hidden="1" customHeight="1">
      <c r="A54" s="48"/>
      <c r="B54" s="34"/>
      <c r="C54" s="77">
        <v>2.0</v>
      </c>
      <c r="D54" s="58"/>
      <c r="E54" s="64"/>
      <c r="F54" s="60"/>
      <c r="G54" s="78"/>
      <c r="H54" s="65" t="s">
        <v>113</v>
      </c>
      <c r="I54" s="62" t="s">
        <v>113</v>
      </c>
      <c r="J54" s="63" t="s">
        <v>113</v>
      </c>
      <c r="K54" s="48"/>
    </row>
    <row r="55" ht="18.75" hidden="1" customHeight="1">
      <c r="A55" s="48"/>
      <c r="B55" s="34"/>
      <c r="C55" s="77">
        <v>3.0</v>
      </c>
      <c r="D55" s="58"/>
      <c r="E55" s="64"/>
      <c r="F55" s="60"/>
      <c r="G55" s="78"/>
      <c r="H55" s="65" t="s">
        <v>113</v>
      </c>
      <c r="I55" s="62" t="s">
        <v>113</v>
      </c>
      <c r="J55" s="63" t="s">
        <v>113</v>
      </c>
      <c r="K55" s="48"/>
    </row>
    <row r="56" ht="18.75" hidden="1" customHeight="1">
      <c r="A56" s="48"/>
      <c r="B56" s="34"/>
      <c r="C56" s="77">
        <v>4.0</v>
      </c>
      <c r="D56" s="58"/>
      <c r="E56" s="64"/>
      <c r="F56" s="60"/>
      <c r="G56" s="78"/>
      <c r="H56" s="65" t="s">
        <v>113</v>
      </c>
      <c r="I56" s="62" t="s">
        <v>113</v>
      </c>
      <c r="J56" s="63" t="s">
        <v>113</v>
      </c>
      <c r="K56" s="48"/>
    </row>
    <row r="57" ht="18.75" hidden="1" customHeight="1">
      <c r="A57" s="48"/>
      <c r="B57" s="34"/>
      <c r="C57" s="77">
        <v>5.0</v>
      </c>
      <c r="D57" s="58"/>
      <c r="E57" s="64"/>
      <c r="F57" s="60"/>
      <c r="G57" s="78"/>
      <c r="H57" s="65" t="s">
        <v>113</v>
      </c>
      <c r="I57" s="62" t="s">
        <v>113</v>
      </c>
      <c r="J57" s="63" t="s">
        <v>113</v>
      </c>
      <c r="K57" s="48"/>
    </row>
    <row r="58" ht="18.75" hidden="1" customHeight="1">
      <c r="A58" s="48"/>
      <c r="B58" s="34"/>
      <c r="C58" s="77">
        <v>6.0</v>
      </c>
      <c r="D58" s="58"/>
      <c r="E58" s="64"/>
      <c r="F58" s="60"/>
      <c r="G58" s="78"/>
      <c r="H58" s="65" t="s">
        <v>113</v>
      </c>
      <c r="I58" s="62" t="s">
        <v>113</v>
      </c>
      <c r="J58" s="63" t="s">
        <v>113</v>
      </c>
      <c r="K58" s="48"/>
    </row>
    <row r="59" ht="18.75" hidden="1" customHeight="1">
      <c r="A59" s="48"/>
      <c r="B59" s="34"/>
      <c r="C59" s="77">
        <v>7.0</v>
      </c>
      <c r="D59" s="58"/>
      <c r="E59" s="64"/>
      <c r="F59" s="60"/>
      <c r="G59" s="78"/>
      <c r="H59" s="65" t="s">
        <v>113</v>
      </c>
      <c r="I59" s="62" t="s">
        <v>113</v>
      </c>
      <c r="J59" s="63" t="s">
        <v>113</v>
      </c>
      <c r="K59" s="48"/>
    </row>
    <row r="60" ht="18.75" hidden="1" customHeight="1">
      <c r="A60" s="48"/>
      <c r="B60" s="34"/>
      <c r="C60" s="77">
        <v>8.0</v>
      </c>
      <c r="D60" s="58"/>
      <c r="E60" s="64"/>
      <c r="F60" s="60"/>
      <c r="G60" s="78"/>
      <c r="H60" s="65" t="s">
        <v>113</v>
      </c>
      <c r="I60" s="62" t="s">
        <v>113</v>
      </c>
      <c r="J60" s="63" t="s">
        <v>113</v>
      </c>
      <c r="K60" s="48"/>
    </row>
    <row r="61" ht="18.75" hidden="1" customHeight="1">
      <c r="A61" s="48"/>
      <c r="B61" s="34"/>
      <c r="C61" s="77">
        <v>9.0</v>
      </c>
      <c r="D61" s="58"/>
      <c r="E61" s="64"/>
      <c r="F61" s="60"/>
      <c r="G61" s="78"/>
      <c r="H61" s="65" t="s">
        <v>113</v>
      </c>
      <c r="I61" s="62" t="s">
        <v>113</v>
      </c>
      <c r="J61" s="63" t="s">
        <v>113</v>
      </c>
      <c r="K61" s="48"/>
    </row>
    <row r="62" ht="18.75" hidden="1" customHeight="1">
      <c r="A62" s="48"/>
      <c r="B62" s="34"/>
      <c r="C62" s="77">
        <v>10.0</v>
      </c>
      <c r="D62" s="58"/>
      <c r="E62" s="64"/>
      <c r="F62" s="60"/>
      <c r="G62" s="78"/>
      <c r="H62" s="65" t="s">
        <v>113</v>
      </c>
      <c r="I62" s="62" t="s">
        <v>113</v>
      </c>
      <c r="J62" s="63" t="s">
        <v>113</v>
      </c>
      <c r="K62" s="48"/>
    </row>
    <row r="63" ht="18.75" hidden="1" customHeight="1">
      <c r="A63" s="48"/>
      <c r="B63" s="34"/>
      <c r="C63" s="77">
        <v>11.0</v>
      </c>
      <c r="D63" s="58"/>
      <c r="E63" s="64"/>
      <c r="F63" s="60"/>
      <c r="G63" s="78"/>
      <c r="H63" s="65" t="s">
        <v>113</v>
      </c>
      <c r="I63" s="62" t="s">
        <v>113</v>
      </c>
      <c r="J63" s="63" t="s">
        <v>113</v>
      </c>
      <c r="K63" s="48"/>
    </row>
    <row r="64" ht="18.75" hidden="1" customHeight="1">
      <c r="A64" s="48"/>
      <c r="B64" s="34"/>
      <c r="C64" s="77">
        <v>12.0</v>
      </c>
      <c r="D64" s="58"/>
      <c r="E64" s="64"/>
      <c r="F64" s="60"/>
      <c r="G64" s="78"/>
      <c r="H64" s="65" t="s">
        <v>113</v>
      </c>
      <c r="I64" s="62" t="s">
        <v>113</v>
      </c>
      <c r="J64" s="63" t="s">
        <v>113</v>
      </c>
      <c r="K64" s="48"/>
    </row>
    <row r="65" ht="18.75" hidden="1" customHeight="1">
      <c r="A65" s="48"/>
      <c r="B65" s="34"/>
      <c r="C65" s="77">
        <v>13.0</v>
      </c>
      <c r="D65" s="58"/>
      <c r="E65" s="64"/>
      <c r="F65" s="60"/>
      <c r="G65" s="78"/>
      <c r="H65" s="65" t="s">
        <v>113</v>
      </c>
      <c r="I65" s="62" t="s">
        <v>113</v>
      </c>
      <c r="J65" s="63" t="s">
        <v>113</v>
      </c>
      <c r="K65" s="48"/>
    </row>
    <row r="66" ht="18.75" hidden="1" customHeight="1">
      <c r="A66" s="48"/>
      <c r="B66" s="34"/>
      <c r="C66" s="77">
        <v>14.0</v>
      </c>
      <c r="D66" s="58"/>
      <c r="E66" s="64"/>
      <c r="F66" s="60"/>
      <c r="G66" s="78"/>
      <c r="H66" s="65" t="s">
        <v>113</v>
      </c>
      <c r="I66" s="62" t="s">
        <v>113</v>
      </c>
      <c r="J66" s="63" t="s">
        <v>113</v>
      </c>
      <c r="K66" s="48"/>
    </row>
    <row r="67" ht="18.75" hidden="1" customHeight="1">
      <c r="A67" s="48"/>
      <c r="B67" s="34"/>
      <c r="C67" s="77">
        <v>15.0</v>
      </c>
      <c r="D67" s="58"/>
      <c r="E67" s="64"/>
      <c r="F67" s="60"/>
      <c r="G67" s="78"/>
      <c r="H67" s="65" t="s">
        <v>113</v>
      </c>
      <c r="I67" s="62" t="s">
        <v>113</v>
      </c>
      <c r="J67" s="63" t="s">
        <v>113</v>
      </c>
      <c r="K67" s="48"/>
    </row>
    <row r="68" ht="18.75" hidden="1" customHeight="1">
      <c r="A68" s="48"/>
      <c r="B68" s="34"/>
      <c r="C68" s="77">
        <v>16.0</v>
      </c>
      <c r="D68" s="58"/>
      <c r="E68" s="64"/>
      <c r="F68" s="60"/>
      <c r="G68" s="78"/>
      <c r="H68" s="65" t="s">
        <v>113</v>
      </c>
      <c r="I68" s="62" t="s">
        <v>113</v>
      </c>
      <c r="J68" s="63" t="s">
        <v>113</v>
      </c>
      <c r="K68" s="48"/>
    </row>
    <row r="69" ht="18.75" hidden="1" customHeight="1">
      <c r="A69" s="48"/>
      <c r="B69" s="34"/>
      <c r="C69" s="77">
        <v>17.0</v>
      </c>
      <c r="D69" s="58"/>
      <c r="E69" s="64"/>
      <c r="F69" s="60"/>
      <c r="G69" s="78"/>
      <c r="H69" s="65" t="s">
        <v>113</v>
      </c>
      <c r="I69" s="62" t="s">
        <v>113</v>
      </c>
      <c r="J69" s="63" t="s">
        <v>113</v>
      </c>
      <c r="K69" s="48"/>
    </row>
    <row r="70" ht="18.75" hidden="1" customHeight="1">
      <c r="A70" s="48"/>
      <c r="B70" s="34"/>
      <c r="C70" s="77">
        <v>18.0</v>
      </c>
      <c r="D70" s="58"/>
      <c r="E70" s="64"/>
      <c r="F70" s="60"/>
      <c r="G70" s="78"/>
      <c r="H70" s="65" t="s">
        <v>113</v>
      </c>
      <c r="I70" s="62" t="s">
        <v>113</v>
      </c>
      <c r="J70" s="63" t="s">
        <v>113</v>
      </c>
      <c r="K70" s="48"/>
    </row>
    <row r="71" ht="18.75" hidden="1" customHeight="1">
      <c r="A71" s="48"/>
      <c r="B71" s="34"/>
      <c r="C71" s="77">
        <v>19.0</v>
      </c>
      <c r="D71" s="58"/>
      <c r="E71" s="64"/>
      <c r="F71" s="60"/>
      <c r="G71" s="78"/>
      <c r="H71" s="65" t="s">
        <v>113</v>
      </c>
      <c r="I71" s="62" t="s">
        <v>113</v>
      </c>
      <c r="J71" s="63" t="s">
        <v>113</v>
      </c>
      <c r="K71" s="48"/>
    </row>
    <row r="72" ht="18.75" hidden="1" customHeight="1">
      <c r="A72" s="48"/>
      <c r="B72" s="34"/>
      <c r="C72" s="77">
        <v>20.0</v>
      </c>
      <c r="D72" s="66"/>
      <c r="E72" s="67"/>
      <c r="F72" s="68"/>
      <c r="G72" s="78"/>
      <c r="H72" s="65" t="s">
        <v>113</v>
      </c>
      <c r="I72" s="62" t="s">
        <v>113</v>
      </c>
      <c r="J72" s="63" t="s">
        <v>113</v>
      </c>
      <c r="K72" s="48"/>
    </row>
    <row r="73" ht="18.75" hidden="1" customHeight="1">
      <c r="A73" s="48"/>
      <c r="B73" s="34"/>
      <c r="C73" s="77">
        <v>21.0</v>
      </c>
      <c r="D73" s="66"/>
      <c r="E73" s="67"/>
      <c r="F73" s="68"/>
      <c r="G73" s="78"/>
      <c r="H73" s="65" t="s">
        <v>113</v>
      </c>
      <c r="I73" s="62" t="s">
        <v>113</v>
      </c>
      <c r="J73" s="63" t="s">
        <v>113</v>
      </c>
      <c r="K73" s="48"/>
    </row>
    <row r="74" ht="18.75" hidden="1" customHeight="1">
      <c r="A74" s="48"/>
      <c r="B74" s="34"/>
      <c r="C74" s="77">
        <v>22.0</v>
      </c>
      <c r="D74" s="66"/>
      <c r="E74" s="67"/>
      <c r="F74" s="68"/>
      <c r="G74" s="78"/>
      <c r="H74" s="65" t="s">
        <v>113</v>
      </c>
      <c r="I74" s="62" t="s">
        <v>113</v>
      </c>
      <c r="J74" s="63" t="s">
        <v>113</v>
      </c>
      <c r="K74" s="48"/>
    </row>
    <row r="75" ht="18.75" hidden="1" customHeight="1">
      <c r="A75" s="48"/>
      <c r="B75" s="34"/>
      <c r="C75" s="77">
        <v>23.0</v>
      </c>
      <c r="D75" s="66"/>
      <c r="E75" s="67"/>
      <c r="F75" s="68"/>
      <c r="G75" s="78"/>
      <c r="H75" s="65" t="s">
        <v>113</v>
      </c>
      <c r="I75" s="62" t="s">
        <v>113</v>
      </c>
      <c r="J75" s="63" t="s">
        <v>113</v>
      </c>
      <c r="K75" s="48"/>
    </row>
    <row r="76" ht="18.75" hidden="1" customHeight="1">
      <c r="A76" s="48"/>
      <c r="B76" s="34"/>
      <c r="C76" s="77">
        <v>24.0</v>
      </c>
      <c r="D76" s="66"/>
      <c r="E76" s="67"/>
      <c r="F76" s="68"/>
      <c r="G76" s="78"/>
      <c r="H76" s="65" t="s">
        <v>113</v>
      </c>
      <c r="I76" s="62" t="s">
        <v>113</v>
      </c>
      <c r="J76" s="63" t="s">
        <v>113</v>
      </c>
      <c r="K76" s="48"/>
    </row>
    <row r="77" ht="18.75" hidden="1" customHeight="1">
      <c r="A77" s="48"/>
      <c r="B77" s="36"/>
      <c r="C77" s="77">
        <v>25.0</v>
      </c>
      <c r="D77" s="66"/>
      <c r="E77" s="67"/>
      <c r="F77" s="68"/>
      <c r="G77" s="78"/>
      <c r="H77" s="65" t="s">
        <v>113</v>
      </c>
      <c r="I77" s="62" t="s">
        <v>113</v>
      </c>
      <c r="J77" s="63" t="s">
        <v>113</v>
      </c>
      <c r="K77" s="48"/>
    </row>
    <row r="78" ht="18.75" hidden="1" customHeight="1">
      <c r="A78" s="48"/>
      <c r="B78" s="76" t="s">
        <v>116</v>
      </c>
      <c r="C78" s="79">
        <v>1.0</v>
      </c>
      <c r="D78" s="52"/>
      <c r="E78" s="80"/>
      <c r="F78" s="54"/>
      <c r="G78" s="78"/>
      <c r="H78" s="81" t="s">
        <v>113</v>
      </c>
      <c r="I78" s="56" t="s">
        <v>113</v>
      </c>
      <c r="J78" s="57" t="s">
        <v>113</v>
      </c>
      <c r="K78" s="48"/>
    </row>
    <row r="79" ht="18.75" hidden="1" customHeight="1">
      <c r="A79" s="48"/>
      <c r="B79" s="34"/>
      <c r="C79" s="77">
        <v>2.0</v>
      </c>
      <c r="D79" s="58"/>
      <c r="E79" s="64"/>
      <c r="F79" s="60"/>
      <c r="G79" s="78"/>
      <c r="H79" s="65" t="s">
        <v>113</v>
      </c>
      <c r="I79" s="62" t="s">
        <v>113</v>
      </c>
      <c r="J79" s="63" t="s">
        <v>113</v>
      </c>
      <c r="K79" s="48"/>
    </row>
    <row r="80" ht="18.75" hidden="1" customHeight="1">
      <c r="A80" s="48"/>
      <c r="B80" s="34"/>
      <c r="C80" s="77">
        <v>3.0</v>
      </c>
      <c r="D80" s="58"/>
      <c r="E80" s="64"/>
      <c r="F80" s="60"/>
      <c r="G80" s="78"/>
      <c r="H80" s="65" t="s">
        <v>113</v>
      </c>
      <c r="I80" s="62" t="s">
        <v>113</v>
      </c>
      <c r="J80" s="63" t="s">
        <v>113</v>
      </c>
      <c r="K80" s="48"/>
    </row>
    <row r="81" ht="18.75" hidden="1" customHeight="1">
      <c r="A81" s="48"/>
      <c r="B81" s="34"/>
      <c r="C81" s="77">
        <v>4.0</v>
      </c>
      <c r="D81" s="58"/>
      <c r="E81" s="64"/>
      <c r="F81" s="60"/>
      <c r="G81" s="78"/>
      <c r="H81" s="65" t="s">
        <v>113</v>
      </c>
      <c r="I81" s="62" t="s">
        <v>113</v>
      </c>
      <c r="J81" s="63" t="s">
        <v>113</v>
      </c>
      <c r="K81" s="48"/>
    </row>
    <row r="82" ht="18.75" hidden="1" customHeight="1">
      <c r="A82" s="48"/>
      <c r="B82" s="34"/>
      <c r="C82" s="77">
        <v>5.0</v>
      </c>
      <c r="D82" s="58"/>
      <c r="E82" s="64"/>
      <c r="F82" s="60"/>
      <c r="G82" s="78"/>
      <c r="H82" s="65" t="s">
        <v>113</v>
      </c>
      <c r="I82" s="62" t="s">
        <v>113</v>
      </c>
      <c r="J82" s="63" t="s">
        <v>113</v>
      </c>
      <c r="K82" s="48"/>
    </row>
    <row r="83" ht="18.75" hidden="1" customHeight="1">
      <c r="A83" s="48"/>
      <c r="B83" s="34"/>
      <c r="C83" s="77">
        <v>6.0</v>
      </c>
      <c r="D83" s="58"/>
      <c r="E83" s="64"/>
      <c r="F83" s="60"/>
      <c r="G83" s="78"/>
      <c r="H83" s="65" t="s">
        <v>113</v>
      </c>
      <c r="I83" s="62" t="s">
        <v>113</v>
      </c>
      <c r="J83" s="63" t="s">
        <v>113</v>
      </c>
      <c r="K83" s="48"/>
    </row>
    <row r="84" ht="18.75" hidden="1" customHeight="1">
      <c r="A84" s="48"/>
      <c r="B84" s="34"/>
      <c r="C84" s="77">
        <v>7.0</v>
      </c>
      <c r="D84" s="58"/>
      <c r="E84" s="64"/>
      <c r="F84" s="60"/>
      <c r="G84" s="78"/>
      <c r="H84" s="65" t="s">
        <v>113</v>
      </c>
      <c r="I84" s="62" t="s">
        <v>113</v>
      </c>
      <c r="J84" s="63" t="s">
        <v>113</v>
      </c>
      <c r="K84" s="48"/>
    </row>
    <row r="85" ht="18.75" hidden="1" customHeight="1">
      <c r="A85" s="48"/>
      <c r="B85" s="34"/>
      <c r="C85" s="77">
        <v>8.0</v>
      </c>
      <c r="D85" s="58"/>
      <c r="E85" s="64"/>
      <c r="F85" s="60"/>
      <c r="G85" s="78"/>
      <c r="H85" s="65" t="s">
        <v>113</v>
      </c>
      <c r="I85" s="62" t="s">
        <v>113</v>
      </c>
      <c r="J85" s="63" t="s">
        <v>113</v>
      </c>
      <c r="K85" s="48"/>
    </row>
    <row r="86" ht="18.75" hidden="1" customHeight="1">
      <c r="A86" s="48"/>
      <c r="B86" s="34"/>
      <c r="C86" s="77">
        <v>9.0</v>
      </c>
      <c r="D86" s="58"/>
      <c r="E86" s="64"/>
      <c r="F86" s="60"/>
      <c r="G86" s="78"/>
      <c r="H86" s="65" t="s">
        <v>113</v>
      </c>
      <c r="I86" s="62" t="s">
        <v>113</v>
      </c>
      <c r="J86" s="63" t="s">
        <v>113</v>
      </c>
      <c r="K86" s="48"/>
    </row>
    <row r="87" ht="18.75" hidden="1" customHeight="1">
      <c r="A87" s="48"/>
      <c r="B87" s="34"/>
      <c r="C87" s="77">
        <v>10.0</v>
      </c>
      <c r="D87" s="58"/>
      <c r="E87" s="64"/>
      <c r="F87" s="60"/>
      <c r="G87" s="78"/>
      <c r="H87" s="65" t="s">
        <v>113</v>
      </c>
      <c r="I87" s="62" t="s">
        <v>113</v>
      </c>
      <c r="J87" s="63" t="s">
        <v>113</v>
      </c>
      <c r="K87" s="48"/>
    </row>
    <row r="88" ht="18.75" hidden="1" customHeight="1">
      <c r="A88" s="48"/>
      <c r="B88" s="34"/>
      <c r="C88" s="77">
        <v>11.0</v>
      </c>
      <c r="D88" s="58"/>
      <c r="E88" s="64"/>
      <c r="F88" s="60"/>
      <c r="G88" s="78"/>
      <c r="H88" s="65" t="s">
        <v>113</v>
      </c>
      <c r="I88" s="62" t="s">
        <v>113</v>
      </c>
      <c r="J88" s="63" t="s">
        <v>113</v>
      </c>
      <c r="K88" s="48"/>
    </row>
    <row r="89" ht="18.75" hidden="1" customHeight="1">
      <c r="A89" s="48"/>
      <c r="B89" s="34"/>
      <c r="C89" s="77">
        <v>12.0</v>
      </c>
      <c r="D89" s="58"/>
      <c r="E89" s="64"/>
      <c r="F89" s="60"/>
      <c r="G89" s="78"/>
      <c r="H89" s="65" t="s">
        <v>113</v>
      </c>
      <c r="I89" s="62" t="s">
        <v>113</v>
      </c>
      <c r="J89" s="63" t="s">
        <v>113</v>
      </c>
      <c r="K89" s="48"/>
    </row>
    <row r="90" ht="18.75" hidden="1" customHeight="1">
      <c r="A90" s="48"/>
      <c r="B90" s="34"/>
      <c r="C90" s="77">
        <v>13.0</v>
      </c>
      <c r="D90" s="58"/>
      <c r="E90" s="64"/>
      <c r="F90" s="60"/>
      <c r="G90" s="78"/>
      <c r="H90" s="65" t="s">
        <v>113</v>
      </c>
      <c r="I90" s="62" t="s">
        <v>113</v>
      </c>
      <c r="J90" s="63" t="s">
        <v>113</v>
      </c>
      <c r="K90" s="48"/>
    </row>
    <row r="91" ht="18.75" hidden="1" customHeight="1">
      <c r="A91" s="48"/>
      <c r="B91" s="34"/>
      <c r="C91" s="77">
        <v>14.0</v>
      </c>
      <c r="D91" s="58"/>
      <c r="E91" s="64"/>
      <c r="F91" s="60"/>
      <c r="G91" s="78"/>
      <c r="H91" s="65" t="s">
        <v>113</v>
      </c>
      <c r="I91" s="62" t="s">
        <v>113</v>
      </c>
      <c r="J91" s="63" t="s">
        <v>113</v>
      </c>
      <c r="K91" s="48"/>
    </row>
    <row r="92" ht="18.75" hidden="1" customHeight="1">
      <c r="A92" s="48"/>
      <c r="B92" s="34"/>
      <c r="C92" s="77">
        <v>15.0</v>
      </c>
      <c r="D92" s="58"/>
      <c r="E92" s="64"/>
      <c r="F92" s="60"/>
      <c r="G92" s="78"/>
      <c r="H92" s="65" t="s">
        <v>113</v>
      </c>
      <c r="I92" s="62" t="s">
        <v>113</v>
      </c>
      <c r="J92" s="63" t="s">
        <v>113</v>
      </c>
      <c r="K92" s="48"/>
    </row>
    <row r="93" ht="18.75" hidden="1" customHeight="1">
      <c r="A93" s="48"/>
      <c r="B93" s="34"/>
      <c r="C93" s="77">
        <v>16.0</v>
      </c>
      <c r="D93" s="58"/>
      <c r="E93" s="64"/>
      <c r="F93" s="60"/>
      <c r="G93" s="78"/>
      <c r="H93" s="65" t="s">
        <v>113</v>
      </c>
      <c r="I93" s="62" t="s">
        <v>113</v>
      </c>
      <c r="J93" s="63" t="s">
        <v>113</v>
      </c>
      <c r="K93" s="48"/>
    </row>
    <row r="94" ht="18.75" hidden="1" customHeight="1">
      <c r="A94" s="48"/>
      <c r="B94" s="34"/>
      <c r="C94" s="77">
        <v>17.0</v>
      </c>
      <c r="D94" s="58"/>
      <c r="E94" s="64"/>
      <c r="F94" s="60"/>
      <c r="G94" s="78"/>
      <c r="H94" s="65" t="s">
        <v>113</v>
      </c>
      <c r="I94" s="62" t="s">
        <v>113</v>
      </c>
      <c r="J94" s="63" t="s">
        <v>113</v>
      </c>
      <c r="K94" s="48"/>
    </row>
    <row r="95" ht="18.75" hidden="1" customHeight="1">
      <c r="A95" s="48"/>
      <c r="B95" s="34"/>
      <c r="C95" s="77">
        <v>18.0</v>
      </c>
      <c r="D95" s="58"/>
      <c r="E95" s="64"/>
      <c r="F95" s="60"/>
      <c r="G95" s="78"/>
      <c r="H95" s="65" t="s">
        <v>113</v>
      </c>
      <c r="I95" s="62" t="s">
        <v>113</v>
      </c>
      <c r="J95" s="63" t="s">
        <v>113</v>
      </c>
      <c r="K95" s="48"/>
    </row>
    <row r="96" ht="18.75" hidden="1" customHeight="1">
      <c r="A96" s="48"/>
      <c r="B96" s="34"/>
      <c r="C96" s="77">
        <v>19.0</v>
      </c>
      <c r="D96" s="58"/>
      <c r="E96" s="64"/>
      <c r="F96" s="60"/>
      <c r="G96" s="78"/>
      <c r="H96" s="65" t="s">
        <v>113</v>
      </c>
      <c r="I96" s="62" t="s">
        <v>113</v>
      </c>
      <c r="J96" s="63" t="s">
        <v>113</v>
      </c>
      <c r="K96" s="48"/>
    </row>
    <row r="97" ht="18.75" hidden="1" customHeight="1">
      <c r="A97" s="48"/>
      <c r="B97" s="34"/>
      <c r="C97" s="77">
        <v>20.0</v>
      </c>
      <c r="D97" s="58"/>
      <c r="E97" s="64"/>
      <c r="F97" s="60"/>
      <c r="G97" s="78"/>
      <c r="H97" s="65" t="s">
        <v>113</v>
      </c>
      <c r="I97" s="62" t="s">
        <v>113</v>
      </c>
      <c r="J97" s="63" t="s">
        <v>113</v>
      </c>
      <c r="K97" s="48"/>
    </row>
    <row r="98" ht="18.75" hidden="1" customHeight="1">
      <c r="A98" s="48"/>
      <c r="B98" s="34"/>
      <c r="C98" s="77">
        <v>21.0</v>
      </c>
      <c r="D98" s="58"/>
      <c r="E98" s="64"/>
      <c r="F98" s="60"/>
      <c r="G98" s="78"/>
      <c r="H98" s="65" t="s">
        <v>113</v>
      </c>
      <c r="I98" s="62" t="s">
        <v>113</v>
      </c>
      <c r="J98" s="63" t="s">
        <v>113</v>
      </c>
      <c r="K98" s="48"/>
    </row>
    <row r="99" ht="18.75" hidden="1" customHeight="1">
      <c r="A99" s="48"/>
      <c r="B99" s="34"/>
      <c r="C99" s="77">
        <v>22.0</v>
      </c>
      <c r="D99" s="66"/>
      <c r="E99" s="67"/>
      <c r="F99" s="68"/>
      <c r="G99" s="78"/>
      <c r="H99" s="65" t="s">
        <v>113</v>
      </c>
      <c r="I99" s="62" t="s">
        <v>113</v>
      </c>
      <c r="J99" s="63" t="s">
        <v>113</v>
      </c>
      <c r="K99" s="48"/>
    </row>
    <row r="100" ht="18.75" hidden="1" customHeight="1">
      <c r="A100" s="48"/>
      <c r="B100" s="34"/>
      <c r="C100" s="77">
        <v>23.0</v>
      </c>
      <c r="D100" s="66"/>
      <c r="E100" s="67"/>
      <c r="F100" s="68"/>
      <c r="G100" s="78"/>
      <c r="H100" s="65" t="s">
        <v>113</v>
      </c>
      <c r="I100" s="62" t="s">
        <v>113</v>
      </c>
      <c r="J100" s="63" t="s">
        <v>113</v>
      </c>
      <c r="K100" s="48"/>
    </row>
    <row r="101" ht="18.75" hidden="1" customHeight="1">
      <c r="A101" s="48"/>
      <c r="B101" s="34"/>
      <c r="C101" s="77">
        <v>24.0</v>
      </c>
      <c r="D101" s="66"/>
      <c r="E101" s="67"/>
      <c r="F101" s="68"/>
      <c r="G101" s="78"/>
      <c r="H101" s="65" t="s">
        <v>113</v>
      </c>
      <c r="I101" s="62" t="s">
        <v>113</v>
      </c>
      <c r="J101" s="63" t="s">
        <v>113</v>
      </c>
      <c r="K101" s="48"/>
    </row>
    <row r="102" ht="18.75" hidden="1" customHeight="1">
      <c r="A102" s="48"/>
      <c r="B102" s="36"/>
      <c r="C102" s="77">
        <v>25.0</v>
      </c>
      <c r="D102" s="66"/>
      <c r="E102" s="67"/>
      <c r="F102" s="68"/>
      <c r="G102" s="78"/>
      <c r="H102" s="65" t="s">
        <v>113</v>
      </c>
      <c r="I102" s="62" t="s">
        <v>113</v>
      </c>
      <c r="J102" s="63" t="s">
        <v>113</v>
      </c>
      <c r="K102" s="48"/>
    </row>
    <row r="103" ht="18.75" hidden="1" customHeight="1">
      <c r="A103" s="48"/>
      <c r="B103" s="76" t="s">
        <v>117</v>
      </c>
      <c r="C103" s="79">
        <v>1.0</v>
      </c>
      <c r="D103" s="52"/>
      <c r="E103" s="80"/>
      <c r="F103" s="54"/>
      <c r="G103" s="78"/>
      <c r="H103" s="81" t="s">
        <v>113</v>
      </c>
      <c r="I103" s="56" t="s">
        <v>113</v>
      </c>
      <c r="J103" s="57" t="s">
        <v>113</v>
      </c>
      <c r="K103" s="48"/>
    </row>
    <row r="104" ht="18.75" hidden="1" customHeight="1">
      <c r="A104" s="48"/>
      <c r="B104" s="34"/>
      <c r="C104" s="77">
        <v>2.0</v>
      </c>
      <c r="D104" s="58"/>
      <c r="E104" s="64"/>
      <c r="F104" s="60"/>
      <c r="G104" s="78"/>
      <c r="H104" s="65" t="s">
        <v>113</v>
      </c>
      <c r="I104" s="62" t="s">
        <v>113</v>
      </c>
      <c r="J104" s="63" t="s">
        <v>113</v>
      </c>
      <c r="K104" s="48"/>
    </row>
    <row r="105" ht="18.75" hidden="1" customHeight="1">
      <c r="A105" s="48"/>
      <c r="B105" s="34"/>
      <c r="C105" s="77">
        <v>3.0</v>
      </c>
      <c r="D105" s="58"/>
      <c r="E105" s="64"/>
      <c r="F105" s="60"/>
      <c r="G105" s="78"/>
      <c r="H105" s="65" t="s">
        <v>113</v>
      </c>
      <c r="I105" s="62" t="s">
        <v>113</v>
      </c>
      <c r="J105" s="63" t="s">
        <v>113</v>
      </c>
      <c r="K105" s="48"/>
    </row>
    <row r="106" ht="18.75" hidden="1" customHeight="1">
      <c r="A106" s="48"/>
      <c r="B106" s="34"/>
      <c r="C106" s="77">
        <v>4.0</v>
      </c>
      <c r="D106" s="58"/>
      <c r="E106" s="64"/>
      <c r="F106" s="60"/>
      <c r="G106" s="78"/>
      <c r="H106" s="65" t="s">
        <v>113</v>
      </c>
      <c r="I106" s="62" t="s">
        <v>113</v>
      </c>
      <c r="J106" s="63" t="s">
        <v>113</v>
      </c>
      <c r="K106" s="48"/>
    </row>
    <row r="107" ht="18.75" hidden="1" customHeight="1">
      <c r="A107" s="48"/>
      <c r="B107" s="34"/>
      <c r="C107" s="77">
        <v>5.0</v>
      </c>
      <c r="D107" s="58"/>
      <c r="E107" s="64"/>
      <c r="F107" s="60"/>
      <c r="G107" s="78"/>
      <c r="H107" s="65" t="s">
        <v>113</v>
      </c>
      <c r="I107" s="62" t="s">
        <v>113</v>
      </c>
      <c r="J107" s="63" t="s">
        <v>113</v>
      </c>
      <c r="K107" s="48"/>
    </row>
    <row r="108" ht="18.75" hidden="1" customHeight="1">
      <c r="A108" s="48"/>
      <c r="B108" s="34"/>
      <c r="C108" s="77">
        <v>6.0</v>
      </c>
      <c r="D108" s="58"/>
      <c r="E108" s="64"/>
      <c r="F108" s="60"/>
      <c r="G108" s="78"/>
      <c r="H108" s="65" t="s">
        <v>113</v>
      </c>
      <c r="I108" s="62" t="s">
        <v>113</v>
      </c>
      <c r="J108" s="63" t="s">
        <v>113</v>
      </c>
      <c r="K108" s="48"/>
    </row>
    <row r="109" ht="18.75" hidden="1" customHeight="1">
      <c r="A109" s="48"/>
      <c r="B109" s="34"/>
      <c r="C109" s="77">
        <v>7.0</v>
      </c>
      <c r="D109" s="58"/>
      <c r="E109" s="64"/>
      <c r="F109" s="60"/>
      <c r="G109" s="78"/>
      <c r="H109" s="65" t="s">
        <v>113</v>
      </c>
      <c r="I109" s="62" t="s">
        <v>113</v>
      </c>
      <c r="J109" s="63" t="s">
        <v>113</v>
      </c>
      <c r="K109" s="48"/>
    </row>
    <row r="110" ht="18.75" hidden="1" customHeight="1">
      <c r="A110" s="48"/>
      <c r="B110" s="34"/>
      <c r="C110" s="77">
        <v>8.0</v>
      </c>
      <c r="D110" s="58"/>
      <c r="E110" s="64"/>
      <c r="F110" s="60"/>
      <c r="G110" s="78"/>
      <c r="H110" s="65" t="s">
        <v>113</v>
      </c>
      <c r="I110" s="62" t="s">
        <v>113</v>
      </c>
      <c r="J110" s="63" t="s">
        <v>113</v>
      </c>
      <c r="K110" s="48"/>
    </row>
    <row r="111" ht="18.75" hidden="1" customHeight="1">
      <c r="A111" s="48"/>
      <c r="B111" s="34"/>
      <c r="C111" s="77">
        <v>9.0</v>
      </c>
      <c r="D111" s="58"/>
      <c r="E111" s="64"/>
      <c r="F111" s="60"/>
      <c r="G111" s="78"/>
      <c r="H111" s="65" t="s">
        <v>113</v>
      </c>
      <c r="I111" s="62" t="s">
        <v>113</v>
      </c>
      <c r="J111" s="63" t="s">
        <v>113</v>
      </c>
      <c r="K111" s="48"/>
    </row>
    <row r="112" ht="18.75" hidden="1" customHeight="1">
      <c r="A112" s="48"/>
      <c r="B112" s="34"/>
      <c r="C112" s="77">
        <v>10.0</v>
      </c>
      <c r="D112" s="58"/>
      <c r="E112" s="64"/>
      <c r="F112" s="60"/>
      <c r="G112" s="78"/>
      <c r="H112" s="65" t="s">
        <v>113</v>
      </c>
      <c r="I112" s="62" t="s">
        <v>113</v>
      </c>
      <c r="J112" s="63" t="s">
        <v>113</v>
      </c>
      <c r="K112" s="48"/>
    </row>
    <row r="113" ht="18.75" hidden="1" customHeight="1">
      <c r="A113" s="48"/>
      <c r="B113" s="34"/>
      <c r="C113" s="77">
        <v>11.0</v>
      </c>
      <c r="D113" s="58"/>
      <c r="E113" s="64"/>
      <c r="F113" s="60"/>
      <c r="G113" s="78"/>
      <c r="H113" s="65" t="s">
        <v>113</v>
      </c>
      <c r="I113" s="62" t="s">
        <v>113</v>
      </c>
      <c r="J113" s="63" t="s">
        <v>113</v>
      </c>
      <c r="K113" s="48"/>
    </row>
    <row r="114" ht="18.75" hidden="1" customHeight="1">
      <c r="A114" s="48"/>
      <c r="B114" s="34"/>
      <c r="C114" s="77">
        <v>12.0</v>
      </c>
      <c r="D114" s="58"/>
      <c r="E114" s="64"/>
      <c r="F114" s="60"/>
      <c r="G114" s="78"/>
      <c r="H114" s="65" t="s">
        <v>113</v>
      </c>
      <c r="I114" s="62" t="s">
        <v>113</v>
      </c>
      <c r="J114" s="63" t="s">
        <v>113</v>
      </c>
      <c r="K114" s="48"/>
    </row>
    <row r="115" ht="18.75" hidden="1" customHeight="1">
      <c r="A115" s="48"/>
      <c r="B115" s="34"/>
      <c r="C115" s="77">
        <v>13.0</v>
      </c>
      <c r="D115" s="58"/>
      <c r="E115" s="64"/>
      <c r="F115" s="60"/>
      <c r="G115" s="78"/>
      <c r="H115" s="65" t="s">
        <v>113</v>
      </c>
      <c r="I115" s="62" t="s">
        <v>113</v>
      </c>
      <c r="J115" s="63" t="s">
        <v>113</v>
      </c>
      <c r="K115" s="48"/>
    </row>
    <row r="116" ht="18.75" hidden="1" customHeight="1">
      <c r="A116" s="48"/>
      <c r="B116" s="34"/>
      <c r="C116" s="77">
        <v>14.0</v>
      </c>
      <c r="D116" s="58"/>
      <c r="E116" s="64"/>
      <c r="F116" s="60"/>
      <c r="G116" s="78"/>
      <c r="H116" s="65" t="s">
        <v>113</v>
      </c>
      <c r="I116" s="62" t="s">
        <v>113</v>
      </c>
      <c r="J116" s="63" t="s">
        <v>113</v>
      </c>
      <c r="K116" s="48"/>
    </row>
    <row r="117" ht="18.75" hidden="1" customHeight="1">
      <c r="A117" s="48"/>
      <c r="B117" s="34"/>
      <c r="C117" s="77">
        <v>15.0</v>
      </c>
      <c r="D117" s="58"/>
      <c r="E117" s="64"/>
      <c r="F117" s="60"/>
      <c r="G117" s="78"/>
      <c r="H117" s="65" t="s">
        <v>113</v>
      </c>
      <c r="I117" s="62" t="s">
        <v>113</v>
      </c>
      <c r="J117" s="63" t="s">
        <v>113</v>
      </c>
      <c r="K117" s="48"/>
    </row>
    <row r="118" ht="18.75" hidden="1" customHeight="1">
      <c r="A118" s="48"/>
      <c r="B118" s="34"/>
      <c r="C118" s="77">
        <v>16.0</v>
      </c>
      <c r="D118" s="58"/>
      <c r="E118" s="64"/>
      <c r="F118" s="60"/>
      <c r="G118" s="78"/>
      <c r="H118" s="65" t="s">
        <v>113</v>
      </c>
      <c r="I118" s="62" t="s">
        <v>113</v>
      </c>
      <c r="J118" s="63" t="s">
        <v>113</v>
      </c>
      <c r="K118" s="48"/>
    </row>
    <row r="119" ht="18.75" hidden="1" customHeight="1">
      <c r="A119" s="48"/>
      <c r="B119" s="34"/>
      <c r="C119" s="77">
        <v>17.0</v>
      </c>
      <c r="D119" s="58"/>
      <c r="E119" s="64"/>
      <c r="F119" s="60"/>
      <c r="G119" s="78"/>
      <c r="H119" s="65" t="s">
        <v>113</v>
      </c>
      <c r="I119" s="62" t="s">
        <v>113</v>
      </c>
      <c r="J119" s="63" t="s">
        <v>113</v>
      </c>
      <c r="K119" s="48"/>
    </row>
    <row r="120" ht="18.75" hidden="1" customHeight="1">
      <c r="A120" s="48"/>
      <c r="B120" s="34"/>
      <c r="C120" s="77">
        <v>18.0</v>
      </c>
      <c r="D120" s="58"/>
      <c r="E120" s="64"/>
      <c r="F120" s="60"/>
      <c r="G120" s="78"/>
      <c r="H120" s="65" t="s">
        <v>113</v>
      </c>
      <c r="I120" s="62" t="s">
        <v>113</v>
      </c>
      <c r="J120" s="63" t="s">
        <v>113</v>
      </c>
      <c r="K120" s="48"/>
    </row>
    <row r="121" ht="18.75" hidden="1" customHeight="1">
      <c r="A121" s="48"/>
      <c r="B121" s="34"/>
      <c r="C121" s="77">
        <v>19.0</v>
      </c>
      <c r="D121" s="58"/>
      <c r="E121" s="64"/>
      <c r="F121" s="60"/>
      <c r="G121" s="78"/>
      <c r="H121" s="65" t="s">
        <v>113</v>
      </c>
      <c r="I121" s="62" t="s">
        <v>113</v>
      </c>
      <c r="J121" s="63" t="s">
        <v>113</v>
      </c>
      <c r="K121" s="48"/>
    </row>
    <row r="122" ht="18.75" hidden="1" customHeight="1">
      <c r="A122" s="48"/>
      <c r="B122" s="34"/>
      <c r="C122" s="77">
        <v>20.0</v>
      </c>
      <c r="D122" s="58"/>
      <c r="E122" s="64"/>
      <c r="F122" s="60"/>
      <c r="G122" s="78"/>
      <c r="H122" s="65" t="s">
        <v>113</v>
      </c>
      <c r="I122" s="62" t="s">
        <v>113</v>
      </c>
      <c r="J122" s="63" t="s">
        <v>113</v>
      </c>
      <c r="K122" s="48"/>
    </row>
    <row r="123" ht="18.75" hidden="1" customHeight="1">
      <c r="A123" s="48"/>
      <c r="B123" s="34"/>
      <c r="C123" s="77">
        <v>21.0</v>
      </c>
      <c r="D123" s="58"/>
      <c r="E123" s="64"/>
      <c r="F123" s="60"/>
      <c r="G123" s="78"/>
      <c r="H123" s="65" t="s">
        <v>113</v>
      </c>
      <c r="I123" s="62" t="s">
        <v>113</v>
      </c>
      <c r="J123" s="63" t="s">
        <v>113</v>
      </c>
      <c r="K123" s="48"/>
    </row>
    <row r="124" ht="18.75" hidden="1" customHeight="1">
      <c r="A124" s="48"/>
      <c r="B124" s="34"/>
      <c r="C124" s="77">
        <v>22.0</v>
      </c>
      <c r="D124" s="66"/>
      <c r="E124" s="67"/>
      <c r="F124" s="68"/>
      <c r="G124" s="78"/>
      <c r="H124" s="65" t="s">
        <v>113</v>
      </c>
      <c r="I124" s="62" t="s">
        <v>113</v>
      </c>
      <c r="J124" s="63" t="s">
        <v>113</v>
      </c>
      <c r="K124" s="48"/>
    </row>
    <row r="125" ht="18.75" hidden="1" customHeight="1">
      <c r="A125" s="48"/>
      <c r="B125" s="34"/>
      <c r="C125" s="77">
        <v>23.0</v>
      </c>
      <c r="D125" s="66"/>
      <c r="E125" s="67"/>
      <c r="F125" s="68"/>
      <c r="G125" s="78"/>
      <c r="H125" s="65" t="s">
        <v>113</v>
      </c>
      <c r="I125" s="62" t="s">
        <v>113</v>
      </c>
      <c r="J125" s="63" t="s">
        <v>113</v>
      </c>
      <c r="K125" s="48"/>
    </row>
    <row r="126" ht="18.75" hidden="1" customHeight="1">
      <c r="A126" s="48"/>
      <c r="B126" s="34"/>
      <c r="C126" s="77">
        <v>24.0</v>
      </c>
      <c r="D126" s="66"/>
      <c r="E126" s="67"/>
      <c r="F126" s="68"/>
      <c r="G126" s="78"/>
      <c r="H126" s="65" t="s">
        <v>113</v>
      </c>
      <c r="I126" s="62" t="s">
        <v>113</v>
      </c>
      <c r="J126" s="63" t="s">
        <v>113</v>
      </c>
      <c r="K126" s="48"/>
    </row>
    <row r="127" ht="18.75" hidden="1" customHeight="1">
      <c r="A127" s="48"/>
      <c r="B127" s="36"/>
      <c r="C127" s="77">
        <v>25.0</v>
      </c>
      <c r="D127" s="66"/>
      <c r="E127" s="67"/>
      <c r="F127" s="68"/>
      <c r="G127" s="78"/>
      <c r="H127" s="65" t="s">
        <v>113</v>
      </c>
      <c r="I127" s="62" t="s">
        <v>113</v>
      </c>
      <c r="J127" s="63" t="s">
        <v>113</v>
      </c>
      <c r="K127" s="48"/>
    </row>
    <row r="128" ht="18.75" hidden="1" customHeight="1">
      <c r="A128" s="48"/>
      <c r="B128" s="76" t="s">
        <v>118</v>
      </c>
      <c r="C128" s="79">
        <v>1.0</v>
      </c>
      <c r="D128" s="52"/>
      <c r="E128" s="82"/>
      <c r="F128" s="83"/>
      <c r="G128" s="78"/>
      <c r="H128" s="81" t="s">
        <v>113</v>
      </c>
      <c r="I128" s="56" t="s">
        <v>113</v>
      </c>
      <c r="J128" s="57" t="s">
        <v>113</v>
      </c>
      <c r="K128" s="48"/>
    </row>
    <row r="129" ht="18.75" hidden="1" customHeight="1">
      <c r="A129" s="48"/>
      <c r="B129" s="34"/>
      <c r="C129" s="77">
        <v>2.0</v>
      </c>
      <c r="D129" s="58"/>
      <c r="E129" s="67"/>
      <c r="F129" s="68"/>
      <c r="G129" s="78"/>
      <c r="H129" s="65" t="s">
        <v>113</v>
      </c>
      <c r="I129" s="62" t="s">
        <v>113</v>
      </c>
      <c r="J129" s="63" t="s">
        <v>113</v>
      </c>
      <c r="K129" s="48"/>
    </row>
    <row r="130" ht="18.75" hidden="1" customHeight="1">
      <c r="A130" s="48"/>
      <c r="B130" s="34"/>
      <c r="C130" s="77">
        <v>3.0</v>
      </c>
      <c r="D130" s="58"/>
      <c r="E130" s="67"/>
      <c r="F130" s="68"/>
      <c r="G130" s="78"/>
      <c r="H130" s="65" t="s">
        <v>113</v>
      </c>
      <c r="I130" s="62" t="s">
        <v>113</v>
      </c>
      <c r="J130" s="63" t="s">
        <v>113</v>
      </c>
      <c r="K130" s="48"/>
    </row>
    <row r="131" ht="18.75" hidden="1" customHeight="1">
      <c r="A131" s="48"/>
      <c r="B131" s="34"/>
      <c r="C131" s="77">
        <v>4.0</v>
      </c>
      <c r="D131" s="84"/>
      <c r="E131" s="67"/>
      <c r="F131" s="68"/>
      <c r="G131" s="78"/>
      <c r="H131" s="65" t="s">
        <v>113</v>
      </c>
      <c r="I131" s="62" t="s">
        <v>113</v>
      </c>
      <c r="J131" s="63" t="s">
        <v>113</v>
      </c>
      <c r="K131" s="48"/>
    </row>
    <row r="132" ht="18.75" hidden="1" customHeight="1">
      <c r="A132" s="48"/>
      <c r="B132" s="34"/>
      <c r="C132" s="77">
        <v>5.0</v>
      </c>
      <c r="D132" s="84"/>
      <c r="E132" s="67"/>
      <c r="F132" s="68"/>
      <c r="G132" s="78"/>
      <c r="H132" s="65" t="s">
        <v>113</v>
      </c>
      <c r="I132" s="62" t="s">
        <v>113</v>
      </c>
      <c r="J132" s="63" t="s">
        <v>113</v>
      </c>
      <c r="K132" s="48"/>
    </row>
    <row r="133" ht="18.75" hidden="1" customHeight="1">
      <c r="A133" s="48"/>
      <c r="B133" s="34"/>
      <c r="C133" s="77">
        <v>6.0</v>
      </c>
      <c r="D133" s="84"/>
      <c r="E133" s="67"/>
      <c r="F133" s="68"/>
      <c r="G133" s="78"/>
      <c r="H133" s="65" t="s">
        <v>113</v>
      </c>
      <c r="I133" s="62" t="s">
        <v>113</v>
      </c>
      <c r="J133" s="63" t="s">
        <v>113</v>
      </c>
      <c r="K133" s="48"/>
    </row>
    <row r="134" ht="18.75" hidden="1" customHeight="1">
      <c r="A134" s="48"/>
      <c r="B134" s="34"/>
      <c r="C134" s="77">
        <v>7.0</v>
      </c>
      <c r="D134" s="84"/>
      <c r="E134" s="67"/>
      <c r="F134" s="68"/>
      <c r="G134" s="78"/>
      <c r="H134" s="65" t="s">
        <v>113</v>
      </c>
      <c r="I134" s="62" t="s">
        <v>113</v>
      </c>
      <c r="J134" s="63" t="s">
        <v>113</v>
      </c>
      <c r="K134" s="48"/>
    </row>
    <row r="135" ht="18.75" hidden="1" customHeight="1">
      <c r="A135" s="48"/>
      <c r="B135" s="34"/>
      <c r="C135" s="77">
        <v>8.0</v>
      </c>
      <c r="D135" s="84"/>
      <c r="E135" s="67"/>
      <c r="F135" s="68"/>
      <c r="G135" s="78"/>
      <c r="H135" s="65" t="s">
        <v>113</v>
      </c>
      <c r="I135" s="62" t="s">
        <v>113</v>
      </c>
      <c r="J135" s="63" t="s">
        <v>113</v>
      </c>
      <c r="K135" s="48"/>
    </row>
    <row r="136" ht="18.75" hidden="1" customHeight="1">
      <c r="A136" s="48"/>
      <c r="B136" s="34"/>
      <c r="C136" s="77">
        <v>9.0</v>
      </c>
      <c r="D136" s="84"/>
      <c r="E136" s="67"/>
      <c r="F136" s="68"/>
      <c r="G136" s="78"/>
      <c r="H136" s="65" t="s">
        <v>113</v>
      </c>
      <c r="I136" s="62" t="s">
        <v>113</v>
      </c>
      <c r="J136" s="63" t="s">
        <v>113</v>
      </c>
      <c r="K136" s="48"/>
    </row>
    <row r="137" ht="18.75" hidden="1" customHeight="1">
      <c r="A137" s="48"/>
      <c r="B137" s="34"/>
      <c r="C137" s="77">
        <v>10.0</v>
      </c>
      <c r="D137" s="84"/>
      <c r="E137" s="67"/>
      <c r="F137" s="68"/>
      <c r="G137" s="78"/>
      <c r="H137" s="65" t="s">
        <v>113</v>
      </c>
      <c r="I137" s="62" t="s">
        <v>113</v>
      </c>
      <c r="J137" s="63" t="s">
        <v>113</v>
      </c>
      <c r="K137" s="48"/>
    </row>
    <row r="138" ht="18.75" hidden="1" customHeight="1">
      <c r="A138" s="48"/>
      <c r="B138" s="34"/>
      <c r="C138" s="77">
        <v>11.0</v>
      </c>
      <c r="D138" s="84"/>
      <c r="E138" s="67"/>
      <c r="F138" s="68"/>
      <c r="G138" s="78"/>
      <c r="H138" s="65" t="s">
        <v>113</v>
      </c>
      <c r="I138" s="62" t="s">
        <v>113</v>
      </c>
      <c r="J138" s="63" t="s">
        <v>113</v>
      </c>
      <c r="K138" s="48"/>
    </row>
    <row r="139" ht="18.75" hidden="1" customHeight="1">
      <c r="A139" s="48"/>
      <c r="B139" s="34"/>
      <c r="C139" s="77">
        <v>12.0</v>
      </c>
      <c r="D139" s="84"/>
      <c r="E139" s="67"/>
      <c r="F139" s="68"/>
      <c r="G139" s="78"/>
      <c r="H139" s="65" t="s">
        <v>113</v>
      </c>
      <c r="I139" s="62" t="s">
        <v>113</v>
      </c>
      <c r="J139" s="63" t="s">
        <v>113</v>
      </c>
      <c r="K139" s="48"/>
    </row>
    <row r="140" ht="18.75" hidden="1" customHeight="1">
      <c r="A140" s="48"/>
      <c r="B140" s="34"/>
      <c r="C140" s="77">
        <v>13.0</v>
      </c>
      <c r="D140" s="84"/>
      <c r="E140" s="67"/>
      <c r="F140" s="68"/>
      <c r="G140" s="78"/>
      <c r="H140" s="65" t="s">
        <v>113</v>
      </c>
      <c r="I140" s="62" t="s">
        <v>113</v>
      </c>
      <c r="J140" s="63" t="s">
        <v>113</v>
      </c>
      <c r="K140" s="48"/>
    </row>
    <row r="141" ht="18.75" hidden="1" customHeight="1">
      <c r="A141" s="48"/>
      <c r="B141" s="34"/>
      <c r="C141" s="77">
        <v>14.0</v>
      </c>
      <c r="D141" s="84"/>
      <c r="E141" s="67"/>
      <c r="F141" s="68"/>
      <c r="G141" s="78"/>
      <c r="H141" s="65" t="s">
        <v>113</v>
      </c>
      <c r="I141" s="62" t="s">
        <v>113</v>
      </c>
      <c r="J141" s="63" t="s">
        <v>113</v>
      </c>
      <c r="K141" s="48"/>
    </row>
    <row r="142" ht="18.0" hidden="1" customHeight="1">
      <c r="A142" s="48"/>
      <c r="B142" s="34"/>
      <c r="C142" s="77">
        <v>15.0</v>
      </c>
      <c r="D142" s="84"/>
      <c r="E142" s="67"/>
      <c r="F142" s="68"/>
      <c r="G142" s="78"/>
      <c r="H142" s="65" t="s">
        <v>113</v>
      </c>
      <c r="I142" s="62" t="s">
        <v>113</v>
      </c>
      <c r="J142" s="63" t="s">
        <v>113</v>
      </c>
      <c r="K142" s="48"/>
    </row>
    <row r="143" ht="18.75" hidden="1" customHeight="1">
      <c r="A143" s="48"/>
      <c r="B143" s="34"/>
      <c r="C143" s="77">
        <v>16.0</v>
      </c>
      <c r="D143" s="84"/>
      <c r="E143" s="67"/>
      <c r="F143" s="68"/>
      <c r="G143" s="78"/>
      <c r="H143" s="65" t="s">
        <v>113</v>
      </c>
      <c r="I143" s="62" t="s">
        <v>113</v>
      </c>
      <c r="J143" s="63" t="s">
        <v>113</v>
      </c>
      <c r="K143" s="48"/>
    </row>
    <row r="144" ht="18.75" hidden="1" customHeight="1">
      <c r="A144" s="48"/>
      <c r="B144" s="34"/>
      <c r="C144" s="77">
        <v>17.0</v>
      </c>
      <c r="D144" s="84"/>
      <c r="E144" s="67"/>
      <c r="F144" s="68"/>
      <c r="G144" s="78"/>
      <c r="H144" s="65" t="s">
        <v>113</v>
      </c>
      <c r="I144" s="62" t="s">
        <v>113</v>
      </c>
      <c r="J144" s="63" t="s">
        <v>113</v>
      </c>
      <c r="K144" s="48"/>
    </row>
    <row r="145" ht="18.75" hidden="1" customHeight="1">
      <c r="A145" s="48"/>
      <c r="B145" s="34"/>
      <c r="C145" s="77">
        <v>18.0</v>
      </c>
      <c r="D145" s="84"/>
      <c r="E145" s="67"/>
      <c r="F145" s="68"/>
      <c r="G145" s="78"/>
      <c r="H145" s="65" t="s">
        <v>113</v>
      </c>
      <c r="I145" s="62" t="s">
        <v>113</v>
      </c>
      <c r="J145" s="63" t="s">
        <v>113</v>
      </c>
      <c r="K145" s="48"/>
    </row>
    <row r="146" ht="18.75" hidden="1" customHeight="1">
      <c r="A146" s="48"/>
      <c r="B146" s="34"/>
      <c r="C146" s="77">
        <v>19.0</v>
      </c>
      <c r="D146" s="84"/>
      <c r="E146" s="67"/>
      <c r="F146" s="68"/>
      <c r="G146" s="78"/>
      <c r="H146" s="65" t="s">
        <v>113</v>
      </c>
      <c r="I146" s="62" t="s">
        <v>113</v>
      </c>
      <c r="J146" s="63" t="s">
        <v>113</v>
      </c>
      <c r="K146" s="48"/>
    </row>
    <row r="147" ht="18.75" hidden="1" customHeight="1">
      <c r="A147" s="48"/>
      <c r="B147" s="34"/>
      <c r="C147" s="77">
        <v>20.0</v>
      </c>
      <c r="D147" s="84"/>
      <c r="E147" s="67"/>
      <c r="F147" s="68"/>
      <c r="G147" s="78"/>
      <c r="H147" s="65" t="s">
        <v>113</v>
      </c>
      <c r="I147" s="62" t="s">
        <v>113</v>
      </c>
      <c r="J147" s="63" t="s">
        <v>113</v>
      </c>
      <c r="K147" s="48"/>
    </row>
    <row r="148" ht="18.75" hidden="1" customHeight="1">
      <c r="A148" s="48"/>
      <c r="B148" s="34"/>
      <c r="C148" s="77">
        <v>21.0</v>
      </c>
      <c r="D148" s="84"/>
      <c r="E148" s="67"/>
      <c r="F148" s="68"/>
      <c r="G148" s="78"/>
      <c r="H148" s="65" t="s">
        <v>113</v>
      </c>
      <c r="I148" s="62" t="s">
        <v>113</v>
      </c>
      <c r="J148" s="63" t="s">
        <v>113</v>
      </c>
      <c r="K148" s="48"/>
    </row>
    <row r="149" ht="18.75" hidden="1" customHeight="1">
      <c r="A149" s="48"/>
      <c r="B149" s="34"/>
      <c r="C149" s="77">
        <v>22.0</v>
      </c>
      <c r="D149" s="66"/>
      <c r="E149" s="67"/>
      <c r="F149" s="68"/>
      <c r="G149" s="78"/>
      <c r="H149" s="65" t="s">
        <v>113</v>
      </c>
      <c r="I149" s="62" t="s">
        <v>113</v>
      </c>
      <c r="J149" s="63" t="s">
        <v>113</v>
      </c>
      <c r="K149" s="48"/>
    </row>
    <row r="150" ht="18.75" hidden="1" customHeight="1">
      <c r="A150" s="48"/>
      <c r="B150" s="34"/>
      <c r="C150" s="77">
        <v>23.0</v>
      </c>
      <c r="D150" s="66"/>
      <c r="E150" s="67"/>
      <c r="F150" s="68"/>
      <c r="G150" s="78"/>
      <c r="H150" s="65" t="s">
        <v>113</v>
      </c>
      <c r="I150" s="62" t="s">
        <v>113</v>
      </c>
      <c r="J150" s="63" t="s">
        <v>113</v>
      </c>
      <c r="K150" s="48"/>
    </row>
    <row r="151" ht="18.75" hidden="1" customHeight="1">
      <c r="A151" s="48"/>
      <c r="B151" s="34"/>
      <c r="C151" s="77">
        <v>24.0</v>
      </c>
      <c r="D151" s="66"/>
      <c r="E151" s="67"/>
      <c r="F151" s="68"/>
      <c r="G151" s="78"/>
      <c r="H151" s="65" t="s">
        <v>113</v>
      </c>
      <c r="I151" s="62" t="s">
        <v>113</v>
      </c>
      <c r="J151" s="63" t="s">
        <v>113</v>
      </c>
      <c r="K151" s="48"/>
    </row>
    <row r="152" ht="18.75" hidden="1" customHeight="1">
      <c r="A152" s="48"/>
      <c r="B152" s="36"/>
      <c r="C152" s="77">
        <v>25.0</v>
      </c>
      <c r="D152" s="66"/>
      <c r="E152" s="67"/>
      <c r="F152" s="68"/>
      <c r="G152" s="78"/>
      <c r="H152" s="65" t="s">
        <v>113</v>
      </c>
      <c r="I152" s="62" t="s">
        <v>113</v>
      </c>
      <c r="J152" s="63" t="s">
        <v>113</v>
      </c>
      <c r="K152" s="48"/>
    </row>
    <row r="153" ht="18.75" hidden="1" customHeight="1">
      <c r="A153" s="48"/>
      <c r="B153" s="76" t="s">
        <v>119</v>
      </c>
      <c r="C153" s="79">
        <v>1.0</v>
      </c>
      <c r="D153" s="52"/>
      <c r="E153" s="82"/>
      <c r="F153" s="83"/>
      <c r="G153" s="78"/>
      <c r="H153" s="81" t="s">
        <v>113</v>
      </c>
      <c r="I153" s="56" t="s">
        <v>113</v>
      </c>
      <c r="J153" s="57" t="s">
        <v>113</v>
      </c>
      <c r="K153" s="48"/>
    </row>
    <row r="154" ht="18.75" hidden="1" customHeight="1">
      <c r="A154" s="48"/>
      <c r="B154" s="34"/>
      <c r="C154" s="77">
        <v>2.0</v>
      </c>
      <c r="D154" s="58"/>
      <c r="E154" s="67"/>
      <c r="F154" s="68"/>
      <c r="G154" s="78"/>
      <c r="H154" s="65" t="s">
        <v>113</v>
      </c>
      <c r="I154" s="62" t="s">
        <v>113</v>
      </c>
      <c r="J154" s="63" t="s">
        <v>113</v>
      </c>
      <c r="K154" s="48"/>
    </row>
    <row r="155" ht="18.75" hidden="1" customHeight="1">
      <c r="A155" s="48"/>
      <c r="B155" s="34"/>
      <c r="C155" s="77">
        <v>3.0</v>
      </c>
      <c r="D155" s="58"/>
      <c r="E155" s="67"/>
      <c r="F155" s="68"/>
      <c r="G155" s="78"/>
      <c r="H155" s="65" t="s">
        <v>113</v>
      </c>
      <c r="I155" s="62" t="s">
        <v>113</v>
      </c>
      <c r="J155" s="63" t="s">
        <v>113</v>
      </c>
      <c r="K155" s="48"/>
    </row>
    <row r="156" ht="18.75" hidden="1" customHeight="1">
      <c r="A156" s="48"/>
      <c r="B156" s="34"/>
      <c r="C156" s="77">
        <v>4.0</v>
      </c>
      <c r="D156" s="84"/>
      <c r="E156" s="67"/>
      <c r="F156" s="68"/>
      <c r="G156" s="78"/>
      <c r="H156" s="65" t="s">
        <v>113</v>
      </c>
      <c r="I156" s="62" t="s">
        <v>113</v>
      </c>
      <c r="J156" s="63" t="s">
        <v>113</v>
      </c>
      <c r="K156" s="48"/>
    </row>
    <row r="157" ht="18.75" hidden="1" customHeight="1">
      <c r="A157" s="48"/>
      <c r="B157" s="34"/>
      <c r="C157" s="77">
        <v>5.0</v>
      </c>
      <c r="D157" s="84"/>
      <c r="E157" s="67"/>
      <c r="F157" s="68"/>
      <c r="G157" s="78"/>
      <c r="H157" s="65" t="s">
        <v>113</v>
      </c>
      <c r="I157" s="62" t="s">
        <v>113</v>
      </c>
      <c r="J157" s="63" t="s">
        <v>113</v>
      </c>
      <c r="K157" s="48"/>
    </row>
    <row r="158" ht="18.75" hidden="1" customHeight="1">
      <c r="A158" s="48"/>
      <c r="B158" s="34"/>
      <c r="C158" s="77">
        <v>6.0</v>
      </c>
      <c r="D158" s="84"/>
      <c r="E158" s="67"/>
      <c r="F158" s="68"/>
      <c r="G158" s="78"/>
      <c r="H158" s="65" t="s">
        <v>113</v>
      </c>
      <c r="I158" s="62" t="s">
        <v>113</v>
      </c>
      <c r="J158" s="63" t="s">
        <v>113</v>
      </c>
      <c r="K158" s="48"/>
    </row>
    <row r="159" ht="18.75" hidden="1" customHeight="1">
      <c r="A159" s="48"/>
      <c r="B159" s="34"/>
      <c r="C159" s="77">
        <v>7.0</v>
      </c>
      <c r="D159" s="84"/>
      <c r="E159" s="67"/>
      <c r="F159" s="68"/>
      <c r="G159" s="78"/>
      <c r="H159" s="65" t="s">
        <v>113</v>
      </c>
      <c r="I159" s="62" t="s">
        <v>113</v>
      </c>
      <c r="J159" s="63" t="s">
        <v>113</v>
      </c>
      <c r="K159" s="48"/>
    </row>
    <row r="160" ht="18.75" hidden="1" customHeight="1">
      <c r="A160" s="48"/>
      <c r="B160" s="34"/>
      <c r="C160" s="77">
        <v>8.0</v>
      </c>
      <c r="D160" s="84"/>
      <c r="E160" s="67"/>
      <c r="F160" s="68"/>
      <c r="G160" s="78"/>
      <c r="H160" s="65" t="s">
        <v>113</v>
      </c>
      <c r="I160" s="62" t="s">
        <v>113</v>
      </c>
      <c r="J160" s="63" t="s">
        <v>113</v>
      </c>
      <c r="K160" s="48"/>
    </row>
    <row r="161" ht="18.75" hidden="1" customHeight="1">
      <c r="A161" s="48"/>
      <c r="B161" s="34"/>
      <c r="C161" s="77">
        <v>9.0</v>
      </c>
      <c r="D161" s="84"/>
      <c r="E161" s="67"/>
      <c r="F161" s="68"/>
      <c r="G161" s="78"/>
      <c r="H161" s="65" t="s">
        <v>113</v>
      </c>
      <c r="I161" s="62" t="s">
        <v>113</v>
      </c>
      <c r="J161" s="63" t="s">
        <v>113</v>
      </c>
      <c r="K161" s="48"/>
    </row>
    <row r="162" ht="18.75" hidden="1" customHeight="1">
      <c r="A162" s="48"/>
      <c r="B162" s="34"/>
      <c r="C162" s="77">
        <v>10.0</v>
      </c>
      <c r="D162" s="84"/>
      <c r="E162" s="67"/>
      <c r="F162" s="68"/>
      <c r="G162" s="78"/>
      <c r="H162" s="65" t="s">
        <v>113</v>
      </c>
      <c r="I162" s="62" t="s">
        <v>113</v>
      </c>
      <c r="J162" s="63" t="s">
        <v>113</v>
      </c>
      <c r="K162" s="48"/>
    </row>
    <row r="163" ht="18.75" hidden="1" customHeight="1">
      <c r="A163" s="48"/>
      <c r="B163" s="34"/>
      <c r="C163" s="77">
        <v>11.0</v>
      </c>
      <c r="D163" s="84"/>
      <c r="E163" s="67"/>
      <c r="F163" s="68"/>
      <c r="G163" s="78"/>
      <c r="H163" s="65" t="s">
        <v>113</v>
      </c>
      <c r="I163" s="62" t="s">
        <v>113</v>
      </c>
      <c r="J163" s="63" t="s">
        <v>113</v>
      </c>
      <c r="K163" s="48"/>
    </row>
    <row r="164" ht="18.75" hidden="1" customHeight="1">
      <c r="A164" s="48"/>
      <c r="B164" s="34"/>
      <c r="C164" s="77">
        <v>12.0</v>
      </c>
      <c r="D164" s="84"/>
      <c r="E164" s="67"/>
      <c r="F164" s="68"/>
      <c r="G164" s="78"/>
      <c r="H164" s="65" t="s">
        <v>113</v>
      </c>
      <c r="I164" s="62" t="s">
        <v>113</v>
      </c>
      <c r="J164" s="63" t="s">
        <v>113</v>
      </c>
      <c r="K164" s="48"/>
    </row>
    <row r="165" ht="18.75" hidden="1" customHeight="1">
      <c r="A165" s="48"/>
      <c r="B165" s="34"/>
      <c r="C165" s="77">
        <v>13.0</v>
      </c>
      <c r="D165" s="84"/>
      <c r="E165" s="67"/>
      <c r="F165" s="68"/>
      <c r="G165" s="78"/>
      <c r="H165" s="65" t="s">
        <v>113</v>
      </c>
      <c r="I165" s="62" t="s">
        <v>113</v>
      </c>
      <c r="J165" s="63" t="s">
        <v>113</v>
      </c>
      <c r="K165" s="48"/>
    </row>
    <row r="166" ht="18.75" hidden="1" customHeight="1">
      <c r="A166" s="48"/>
      <c r="B166" s="34"/>
      <c r="C166" s="77">
        <v>14.0</v>
      </c>
      <c r="D166" s="84"/>
      <c r="E166" s="67"/>
      <c r="F166" s="68"/>
      <c r="G166" s="78"/>
      <c r="H166" s="65" t="s">
        <v>113</v>
      </c>
      <c r="I166" s="62" t="s">
        <v>113</v>
      </c>
      <c r="J166" s="63" t="s">
        <v>113</v>
      </c>
      <c r="K166" s="48"/>
    </row>
    <row r="167" ht="18.75" hidden="1" customHeight="1">
      <c r="A167" s="48"/>
      <c r="B167" s="34"/>
      <c r="C167" s="77">
        <v>15.0</v>
      </c>
      <c r="D167" s="84"/>
      <c r="E167" s="67"/>
      <c r="F167" s="68"/>
      <c r="G167" s="78"/>
      <c r="H167" s="65" t="s">
        <v>113</v>
      </c>
      <c r="I167" s="62" t="s">
        <v>113</v>
      </c>
      <c r="J167" s="63" t="s">
        <v>113</v>
      </c>
      <c r="K167" s="48"/>
    </row>
    <row r="168" ht="18.75" hidden="1" customHeight="1">
      <c r="A168" s="48"/>
      <c r="B168" s="34"/>
      <c r="C168" s="77">
        <v>16.0</v>
      </c>
      <c r="D168" s="84"/>
      <c r="E168" s="67"/>
      <c r="F168" s="68"/>
      <c r="G168" s="78"/>
      <c r="H168" s="65" t="s">
        <v>113</v>
      </c>
      <c r="I168" s="62" t="s">
        <v>113</v>
      </c>
      <c r="J168" s="63" t="s">
        <v>113</v>
      </c>
      <c r="K168" s="48"/>
    </row>
    <row r="169" ht="18.75" hidden="1" customHeight="1">
      <c r="A169" s="48"/>
      <c r="B169" s="34"/>
      <c r="C169" s="77">
        <v>17.0</v>
      </c>
      <c r="D169" s="84"/>
      <c r="E169" s="67"/>
      <c r="F169" s="68"/>
      <c r="G169" s="78"/>
      <c r="H169" s="65" t="s">
        <v>113</v>
      </c>
      <c r="I169" s="62" t="s">
        <v>113</v>
      </c>
      <c r="J169" s="63" t="s">
        <v>113</v>
      </c>
      <c r="K169" s="48"/>
    </row>
    <row r="170" ht="18.75" hidden="1" customHeight="1">
      <c r="A170" s="48"/>
      <c r="B170" s="34"/>
      <c r="C170" s="77">
        <v>18.0</v>
      </c>
      <c r="D170" s="84"/>
      <c r="E170" s="67"/>
      <c r="F170" s="68"/>
      <c r="G170" s="78"/>
      <c r="H170" s="65" t="s">
        <v>113</v>
      </c>
      <c r="I170" s="62" t="s">
        <v>113</v>
      </c>
      <c r="J170" s="63" t="s">
        <v>113</v>
      </c>
      <c r="K170" s="48"/>
    </row>
    <row r="171" ht="18.75" hidden="1" customHeight="1">
      <c r="A171" s="48"/>
      <c r="B171" s="34"/>
      <c r="C171" s="77">
        <v>19.0</v>
      </c>
      <c r="D171" s="84"/>
      <c r="E171" s="67"/>
      <c r="F171" s="68"/>
      <c r="G171" s="78"/>
      <c r="H171" s="65" t="s">
        <v>113</v>
      </c>
      <c r="I171" s="62" t="s">
        <v>113</v>
      </c>
      <c r="J171" s="63" t="s">
        <v>113</v>
      </c>
      <c r="K171" s="48"/>
    </row>
    <row r="172" ht="18.75" hidden="1" customHeight="1">
      <c r="A172" s="48"/>
      <c r="B172" s="34"/>
      <c r="C172" s="77">
        <v>20.0</v>
      </c>
      <c r="D172" s="84"/>
      <c r="E172" s="67"/>
      <c r="F172" s="68"/>
      <c r="G172" s="78"/>
      <c r="H172" s="65" t="s">
        <v>113</v>
      </c>
      <c r="I172" s="62" t="s">
        <v>113</v>
      </c>
      <c r="J172" s="63" t="s">
        <v>113</v>
      </c>
      <c r="K172" s="48"/>
    </row>
    <row r="173" ht="18.75" hidden="1" customHeight="1">
      <c r="A173" s="48"/>
      <c r="B173" s="34"/>
      <c r="C173" s="77">
        <v>21.0</v>
      </c>
      <c r="D173" s="84"/>
      <c r="E173" s="67"/>
      <c r="F173" s="68"/>
      <c r="G173" s="78"/>
      <c r="H173" s="65" t="s">
        <v>113</v>
      </c>
      <c r="I173" s="62" t="s">
        <v>113</v>
      </c>
      <c r="J173" s="63" t="s">
        <v>113</v>
      </c>
      <c r="K173" s="48"/>
    </row>
    <row r="174" ht="18.75" hidden="1" customHeight="1">
      <c r="A174" s="48"/>
      <c r="B174" s="34"/>
      <c r="C174" s="77">
        <v>22.0</v>
      </c>
      <c r="D174" s="66"/>
      <c r="E174" s="67"/>
      <c r="F174" s="68"/>
      <c r="G174" s="78"/>
      <c r="H174" s="65" t="s">
        <v>113</v>
      </c>
      <c r="I174" s="62" t="s">
        <v>113</v>
      </c>
      <c r="J174" s="63" t="s">
        <v>113</v>
      </c>
      <c r="K174" s="48"/>
    </row>
    <row r="175" ht="18.75" hidden="1" customHeight="1">
      <c r="A175" s="48"/>
      <c r="B175" s="34"/>
      <c r="C175" s="77">
        <v>23.0</v>
      </c>
      <c r="D175" s="66"/>
      <c r="E175" s="67"/>
      <c r="F175" s="68"/>
      <c r="G175" s="78"/>
      <c r="H175" s="65" t="s">
        <v>113</v>
      </c>
      <c r="I175" s="62" t="s">
        <v>113</v>
      </c>
      <c r="J175" s="63" t="s">
        <v>113</v>
      </c>
      <c r="K175" s="48"/>
    </row>
    <row r="176" ht="18.75" hidden="1" customHeight="1">
      <c r="A176" s="48"/>
      <c r="B176" s="34"/>
      <c r="C176" s="77">
        <v>24.0</v>
      </c>
      <c r="D176" s="66"/>
      <c r="E176" s="67"/>
      <c r="F176" s="68"/>
      <c r="G176" s="78"/>
      <c r="H176" s="65" t="s">
        <v>113</v>
      </c>
      <c r="I176" s="62" t="s">
        <v>113</v>
      </c>
      <c r="J176" s="63" t="s">
        <v>113</v>
      </c>
      <c r="K176" s="48"/>
    </row>
    <row r="177" ht="18.75" hidden="1" customHeight="1">
      <c r="A177" s="48"/>
      <c r="B177" s="36"/>
      <c r="C177" s="77">
        <v>25.0</v>
      </c>
      <c r="D177" s="66"/>
      <c r="E177" s="67"/>
      <c r="F177" s="68"/>
      <c r="G177" s="78"/>
      <c r="H177" s="65" t="s">
        <v>113</v>
      </c>
      <c r="I177" s="62" t="s">
        <v>113</v>
      </c>
      <c r="J177" s="63" t="s">
        <v>113</v>
      </c>
      <c r="K177" s="48"/>
    </row>
    <row r="178" ht="18.75" hidden="1" customHeight="1">
      <c r="A178" s="48"/>
      <c r="B178" s="76" t="s">
        <v>120</v>
      </c>
      <c r="C178" s="79">
        <v>1.0</v>
      </c>
      <c r="D178" s="52"/>
      <c r="E178" s="82"/>
      <c r="F178" s="83"/>
      <c r="G178" s="78"/>
      <c r="H178" s="81"/>
      <c r="I178" s="56"/>
      <c r="J178" s="57" t="s">
        <v>113</v>
      </c>
      <c r="K178" s="48"/>
    </row>
    <row r="179" ht="18.75" hidden="1" customHeight="1">
      <c r="A179" s="48"/>
      <c r="B179" s="34"/>
      <c r="C179" s="77">
        <v>2.0</v>
      </c>
      <c r="D179" s="58"/>
      <c r="E179" s="67"/>
      <c r="F179" s="68"/>
      <c r="G179" s="78"/>
      <c r="H179" s="65"/>
      <c r="I179" s="62"/>
      <c r="J179" s="63" t="s">
        <v>113</v>
      </c>
      <c r="K179" s="48"/>
    </row>
    <row r="180" ht="18.75" hidden="1" customHeight="1">
      <c r="A180" s="48"/>
      <c r="B180" s="34"/>
      <c r="C180" s="77">
        <v>3.0</v>
      </c>
      <c r="D180" s="58"/>
      <c r="E180" s="67"/>
      <c r="F180" s="68"/>
      <c r="G180" s="78"/>
      <c r="H180" s="65"/>
      <c r="I180" s="62"/>
      <c r="J180" s="63" t="s">
        <v>113</v>
      </c>
      <c r="K180" s="48"/>
    </row>
    <row r="181" ht="18.75" hidden="1" customHeight="1">
      <c r="A181" s="48"/>
      <c r="B181" s="34"/>
      <c r="C181" s="77">
        <v>4.0</v>
      </c>
      <c r="D181" s="66"/>
      <c r="E181" s="67"/>
      <c r="F181" s="68"/>
      <c r="G181" s="78"/>
      <c r="H181" s="65"/>
      <c r="I181" s="62"/>
      <c r="J181" s="63" t="s">
        <v>113</v>
      </c>
      <c r="K181" s="48"/>
    </row>
    <row r="182" ht="18.75" hidden="1" customHeight="1">
      <c r="A182" s="48"/>
      <c r="B182" s="34"/>
      <c r="C182" s="77">
        <v>5.0</v>
      </c>
      <c r="D182" s="66"/>
      <c r="E182" s="67"/>
      <c r="F182" s="68"/>
      <c r="G182" s="78"/>
      <c r="H182" s="65"/>
      <c r="I182" s="62"/>
      <c r="J182" s="63" t="s">
        <v>113</v>
      </c>
      <c r="K182" s="48"/>
    </row>
    <row r="183" ht="18.75" hidden="1" customHeight="1">
      <c r="A183" s="48"/>
      <c r="B183" s="34"/>
      <c r="C183" s="77">
        <v>6.0</v>
      </c>
      <c r="D183" s="66"/>
      <c r="E183" s="67"/>
      <c r="F183" s="68"/>
      <c r="G183" s="78"/>
      <c r="H183" s="65"/>
      <c r="I183" s="62"/>
      <c r="J183" s="63" t="s">
        <v>113</v>
      </c>
      <c r="K183" s="48"/>
    </row>
    <row r="184" ht="18.75" hidden="1" customHeight="1">
      <c r="A184" s="48"/>
      <c r="B184" s="34"/>
      <c r="C184" s="77">
        <v>7.0</v>
      </c>
      <c r="D184" s="66"/>
      <c r="E184" s="67"/>
      <c r="F184" s="68"/>
      <c r="G184" s="78"/>
      <c r="H184" s="65"/>
      <c r="I184" s="62"/>
      <c r="J184" s="63" t="s">
        <v>113</v>
      </c>
      <c r="K184" s="48"/>
    </row>
    <row r="185" ht="18.75" hidden="1" customHeight="1">
      <c r="A185" s="48"/>
      <c r="B185" s="34"/>
      <c r="C185" s="77">
        <v>8.0</v>
      </c>
      <c r="D185" s="66"/>
      <c r="E185" s="67"/>
      <c r="F185" s="68"/>
      <c r="G185" s="78"/>
      <c r="H185" s="65"/>
      <c r="I185" s="62"/>
      <c r="J185" s="63" t="s">
        <v>113</v>
      </c>
      <c r="K185" s="48"/>
    </row>
    <row r="186" ht="18.75" hidden="1" customHeight="1">
      <c r="A186" s="48"/>
      <c r="B186" s="34"/>
      <c r="C186" s="77">
        <v>9.0</v>
      </c>
      <c r="D186" s="66"/>
      <c r="E186" s="67"/>
      <c r="F186" s="68"/>
      <c r="G186" s="78"/>
      <c r="H186" s="65"/>
      <c r="I186" s="62"/>
      <c r="J186" s="63" t="s">
        <v>113</v>
      </c>
      <c r="K186" s="48"/>
    </row>
    <row r="187" ht="18.75" hidden="1" customHeight="1">
      <c r="A187" s="48"/>
      <c r="B187" s="34"/>
      <c r="C187" s="77">
        <v>10.0</v>
      </c>
      <c r="D187" s="66"/>
      <c r="E187" s="67"/>
      <c r="F187" s="68"/>
      <c r="G187" s="78"/>
      <c r="H187" s="65"/>
      <c r="I187" s="62"/>
      <c r="J187" s="63" t="s">
        <v>113</v>
      </c>
      <c r="K187" s="48"/>
    </row>
    <row r="188" ht="18.75" hidden="1" customHeight="1">
      <c r="A188" s="48"/>
      <c r="B188" s="34"/>
      <c r="C188" s="77">
        <v>11.0</v>
      </c>
      <c r="D188" s="66"/>
      <c r="E188" s="67"/>
      <c r="F188" s="68"/>
      <c r="G188" s="78"/>
      <c r="H188" s="65"/>
      <c r="I188" s="62"/>
      <c r="J188" s="63" t="s">
        <v>113</v>
      </c>
      <c r="K188" s="48"/>
    </row>
    <row r="189" ht="18.75" hidden="1" customHeight="1">
      <c r="A189" s="48"/>
      <c r="B189" s="34"/>
      <c r="C189" s="77">
        <v>12.0</v>
      </c>
      <c r="D189" s="66"/>
      <c r="E189" s="67"/>
      <c r="F189" s="68"/>
      <c r="G189" s="78"/>
      <c r="H189" s="65"/>
      <c r="I189" s="62"/>
      <c r="J189" s="63" t="s">
        <v>113</v>
      </c>
      <c r="K189" s="48"/>
    </row>
    <row r="190" ht="18.75" hidden="1" customHeight="1">
      <c r="A190" s="48"/>
      <c r="B190" s="34"/>
      <c r="C190" s="77">
        <v>13.0</v>
      </c>
      <c r="D190" s="66"/>
      <c r="E190" s="67"/>
      <c r="F190" s="68"/>
      <c r="G190" s="78"/>
      <c r="H190" s="65"/>
      <c r="I190" s="62"/>
      <c r="J190" s="63" t="s">
        <v>113</v>
      </c>
      <c r="K190" s="48"/>
    </row>
    <row r="191" ht="18.75" hidden="1" customHeight="1">
      <c r="A191" s="48"/>
      <c r="B191" s="34"/>
      <c r="C191" s="77">
        <v>14.0</v>
      </c>
      <c r="D191" s="66"/>
      <c r="E191" s="67"/>
      <c r="F191" s="68"/>
      <c r="G191" s="78"/>
      <c r="H191" s="65"/>
      <c r="I191" s="62"/>
      <c r="J191" s="63" t="s">
        <v>113</v>
      </c>
      <c r="K191" s="48"/>
    </row>
    <row r="192" ht="18.75" hidden="1" customHeight="1">
      <c r="A192" s="48"/>
      <c r="B192" s="34"/>
      <c r="C192" s="77">
        <v>15.0</v>
      </c>
      <c r="D192" s="66"/>
      <c r="E192" s="67"/>
      <c r="F192" s="68"/>
      <c r="G192" s="78"/>
      <c r="H192" s="65"/>
      <c r="I192" s="62"/>
      <c r="J192" s="63" t="s">
        <v>113</v>
      </c>
      <c r="K192" s="48"/>
    </row>
    <row r="193" ht="18.75" hidden="1" customHeight="1">
      <c r="A193" s="48"/>
      <c r="B193" s="34"/>
      <c r="C193" s="77">
        <v>16.0</v>
      </c>
      <c r="D193" s="66"/>
      <c r="E193" s="67"/>
      <c r="F193" s="68"/>
      <c r="G193" s="78"/>
      <c r="H193" s="65"/>
      <c r="I193" s="62"/>
      <c r="J193" s="63" t="s">
        <v>113</v>
      </c>
      <c r="K193" s="48"/>
    </row>
    <row r="194" ht="18.75" hidden="1" customHeight="1">
      <c r="A194" s="48"/>
      <c r="B194" s="34"/>
      <c r="C194" s="77">
        <v>17.0</v>
      </c>
      <c r="D194" s="66"/>
      <c r="E194" s="67"/>
      <c r="F194" s="68"/>
      <c r="G194" s="78"/>
      <c r="H194" s="65"/>
      <c r="I194" s="62"/>
      <c r="J194" s="63" t="s">
        <v>113</v>
      </c>
      <c r="K194" s="48"/>
    </row>
    <row r="195" ht="18.75" hidden="1" customHeight="1">
      <c r="A195" s="48"/>
      <c r="B195" s="34"/>
      <c r="C195" s="77">
        <v>18.0</v>
      </c>
      <c r="D195" s="66"/>
      <c r="E195" s="67"/>
      <c r="F195" s="68"/>
      <c r="G195" s="78"/>
      <c r="H195" s="65"/>
      <c r="I195" s="62"/>
      <c r="J195" s="63" t="s">
        <v>113</v>
      </c>
      <c r="K195" s="48"/>
    </row>
    <row r="196" ht="18.75" hidden="1" customHeight="1">
      <c r="A196" s="48"/>
      <c r="B196" s="34"/>
      <c r="C196" s="77">
        <v>19.0</v>
      </c>
      <c r="D196" s="66"/>
      <c r="E196" s="67"/>
      <c r="F196" s="68"/>
      <c r="G196" s="78"/>
      <c r="H196" s="65"/>
      <c r="I196" s="62"/>
      <c r="J196" s="63" t="s">
        <v>113</v>
      </c>
      <c r="K196" s="48"/>
    </row>
    <row r="197" ht="18.75" hidden="1" customHeight="1">
      <c r="A197" s="48"/>
      <c r="B197" s="34"/>
      <c r="C197" s="77">
        <v>20.0</v>
      </c>
      <c r="D197" s="66"/>
      <c r="E197" s="67"/>
      <c r="F197" s="68"/>
      <c r="G197" s="78"/>
      <c r="H197" s="65"/>
      <c r="I197" s="62"/>
      <c r="J197" s="63" t="s">
        <v>113</v>
      </c>
      <c r="K197" s="48"/>
    </row>
    <row r="198" ht="18.75" hidden="1" customHeight="1">
      <c r="A198" s="48"/>
      <c r="B198" s="34"/>
      <c r="C198" s="77">
        <v>21.0</v>
      </c>
      <c r="D198" s="66"/>
      <c r="E198" s="67"/>
      <c r="F198" s="68"/>
      <c r="G198" s="78"/>
      <c r="H198" s="65"/>
      <c r="I198" s="62"/>
      <c r="J198" s="63" t="s">
        <v>113</v>
      </c>
      <c r="K198" s="48"/>
    </row>
    <row r="199" ht="18.75" hidden="1" customHeight="1">
      <c r="A199" s="48"/>
      <c r="B199" s="34"/>
      <c r="C199" s="77">
        <v>22.0</v>
      </c>
      <c r="D199" s="66"/>
      <c r="E199" s="67"/>
      <c r="F199" s="68"/>
      <c r="G199" s="78"/>
      <c r="H199" s="65"/>
      <c r="I199" s="62"/>
      <c r="J199" s="63" t="s">
        <v>113</v>
      </c>
      <c r="K199" s="48"/>
    </row>
    <row r="200" ht="18.75" hidden="1" customHeight="1">
      <c r="A200" s="48"/>
      <c r="B200" s="34"/>
      <c r="C200" s="77">
        <v>23.0</v>
      </c>
      <c r="D200" s="66"/>
      <c r="E200" s="67"/>
      <c r="F200" s="68"/>
      <c r="G200" s="78"/>
      <c r="H200" s="65"/>
      <c r="I200" s="62"/>
      <c r="J200" s="63" t="s">
        <v>113</v>
      </c>
      <c r="K200" s="48"/>
    </row>
    <row r="201" ht="18.75" hidden="1" customHeight="1">
      <c r="A201" s="48"/>
      <c r="B201" s="34"/>
      <c r="C201" s="77">
        <v>24.0</v>
      </c>
      <c r="D201" s="66"/>
      <c r="E201" s="67"/>
      <c r="F201" s="68"/>
      <c r="G201" s="78"/>
      <c r="H201" s="65"/>
      <c r="I201" s="62"/>
      <c r="J201" s="63" t="s">
        <v>113</v>
      </c>
      <c r="K201" s="48"/>
    </row>
    <row r="202" ht="18.75" hidden="1" customHeight="1">
      <c r="A202" s="48"/>
      <c r="B202" s="36"/>
      <c r="C202" s="77">
        <v>25.0</v>
      </c>
      <c r="D202" s="66"/>
      <c r="E202" s="67"/>
      <c r="F202" s="68"/>
      <c r="G202" s="78"/>
      <c r="H202" s="65"/>
      <c r="I202" s="62"/>
      <c r="J202" s="63" t="s">
        <v>113</v>
      </c>
      <c r="K202" s="48"/>
    </row>
    <row r="203" ht="18.75" hidden="1" customHeight="1">
      <c r="A203" s="48"/>
      <c r="B203" s="76"/>
      <c r="C203" s="79">
        <v>1.0</v>
      </c>
      <c r="D203" s="52"/>
      <c r="E203" s="82"/>
      <c r="F203" s="83"/>
      <c r="G203" s="78"/>
      <c r="H203" s="81"/>
      <c r="I203" s="56"/>
      <c r="J203" s="57" t="s">
        <v>113</v>
      </c>
      <c r="K203" s="48"/>
    </row>
    <row r="204" ht="18.75" hidden="1" customHeight="1">
      <c r="A204" s="48"/>
      <c r="B204" s="34"/>
      <c r="C204" s="77">
        <v>2.0</v>
      </c>
      <c r="D204" s="58"/>
      <c r="E204" s="67"/>
      <c r="F204" s="68"/>
      <c r="G204" s="78"/>
      <c r="H204" s="65"/>
      <c r="I204" s="62"/>
      <c r="J204" s="63" t="s">
        <v>113</v>
      </c>
      <c r="K204" s="48"/>
    </row>
    <row r="205" ht="18.75" hidden="1" customHeight="1">
      <c r="A205" s="48"/>
      <c r="B205" s="34"/>
      <c r="C205" s="77">
        <v>3.0</v>
      </c>
      <c r="D205" s="58"/>
      <c r="E205" s="67"/>
      <c r="F205" s="68"/>
      <c r="G205" s="78"/>
      <c r="H205" s="65"/>
      <c r="I205" s="62"/>
      <c r="J205" s="63" t="s">
        <v>113</v>
      </c>
      <c r="K205" s="48"/>
    </row>
    <row r="206" ht="18.75" hidden="1" customHeight="1">
      <c r="A206" s="48"/>
      <c r="B206" s="34"/>
      <c r="C206" s="77">
        <v>4.0</v>
      </c>
      <c r="D206" s="66"/>
      <c r="E206" s="67"/>
      <c r="F206" s="68"/>
      <c r="G206" s="78"/>
      <c r="H206" s="65"/>
      <c r="I206" s="62"/>
      <c r="J206" s="63" t="s">
        <v>113</v>
      </c>
      <c r="K206" s="48"/>
    </row>
    <row r="207" ht="18.75" hidden="1" customHeight="1">
      <c r="A207" s="48"/>
      <c r="B207" s="34"/>
      <c r="C207" s="77">
        <v>5.0</v>
      </c>
      <c r="D207" s="66"/>
      <c r="E207" s="67"/>
      <c r="F207" s="68"/>
      <c r="G207" s="78"/>
      <c r="H207" s="65"/>
      <c r="I207" s="62"/>
      <c r="J207" s="63" t="s">
        <v>113</v>
      </c>
      <c r="K207" s="48"/>
    </row>
    <row r="208" ht="18.75" hidden="1" customHeight="1">
      <c r="A208" s="48"/>
      <c r="B208" s="34"/>
      <c r="C208" s="77">
        <v>6.0</v>
      </c>
      <c r="D208" s="66"/>
      <c r="E208" s="67"/>
      <c r="F208" s="68"/>
      <c r="G208" s="78"/>
      <c r="H208" s="65"/>
      <c r="I208" s="62"/>
      <c r="J208" s="63" t="s">
        <v>113</v>
      </c>
      <c r="K208" s="48"/>
    </row>
    <row r="209" ht="18.75" hidden="1" customHeight="1">
      <c r="A209" s="48"/>
      <c r="B209" s="34"/>
      <c r="C209" s="77">
        <v>7.0</v>
      </c>
      <c r="D209" s="66"/>
      <c r="E209" s="67"/>
      <c r="F209" s="68"/>
      <c r="G209" s="78"/>
      <c r="H209" s="65"/>
      <c r="I209" s="62"/>
      <c r="J209" s="63" t="s">
        <v>113</v>
      </c>
      <c r="K209" s="48"/>
    </row>
    <row r="210" ht="18.75" hidden="1" customHeight="1">
      <c r="A210" s="48"/>
      <c r="B210" s="34"/>
      <c r="C210" s="77">
        <v>8.0</v>
      </c>
      <c r="D210" s="66"/>
      <c r="E210" s="67"/>
      <c r="F210" s="68"/>
      <c r="G210" s="78"/>
      <c r="H210" s="65"/>
      <c r="I210" s="62"/>
      <c r="J210" s="63" t="s">
        <v>113</v>
      </c>
      <c r="K210" s="48"/>
    </row>
    <row r="211" ht="18.75" hidden="1" customHeight="1">
      <c r="A211" s="48"/>
      <c r="B211" s="34"/>
      <c r="C211" s="77">
        <v>9.0</v>
      </c>
      <c r="D211" s="66"/>
      <c r="E211" s="67"/>
      <c r="F211" s="68"/>
      <c r="G211" s="78"/>
      <c r="H211" s="65"/>
      <c r="I211" s="62"/>
      <c r="J211" s="63" t="s">
        <v>113</v>
      </c>
      <c r="K211" s="48"/>
    </row>
    <row r="212" ht="18.75" hidden="1" customHeight="1">
      <c r="A212" s="48"/>
      <c r="B212" s="34"/>
      <c r="C212" s="77">
        <v>10.0</v>
      </c>
      <c r="D212" s="66"/>
      <c r="E212" s="67"/>
      <c r="F212" s="68"/>
      <c r="G212" s="78"/>
      <c r="H212" s="65"/>
      <c r="I212" s="62"/>
      <c r="J212" s="63" t="s">
        <v>113</v>
      </c>
      <c r="K212" s="48"/>
    </row>
    <row r="213" ht="18.75" hidden="1" customHeight="1">
      <c r="A213" s="48"/>
      <c r="B213" s="34"/>
      <c r="C213" s="77">
        <v>11.0</v>
      </c>
      <c r="D213" s="66"/>
      <c r="E213" s="67"/>
      <c r="F213" s="68"/>
      <c r="G213" s="78"/>
      <c r="H213" s="65"/>
      <c r="I213" s="62"/>
      <c r="J213" s="63" t="s">
        <v>113</v>
      </c>
      <c r="K213" s="48"/>
    </row>
    <row r="214" ht="18.75" hidden="1" customHeight="1">
      <c r="A214" s="48"/>
      <c r="B214" s="34"/>
      <c r="C214" s="77">
        <v>12.0</v>
      </c>
      <c r="D214" s="66"/>
      <c r="E214" s="67"/>
      <c r="F214" s="68"/>
      <c r="G214" s="78"/>
      <c r="H214" s="65"/>
      <c r="I214" s="62"/>
      <c r="J214" s="63" t="s">
        <v>113</v>
      </c>
      <c r="K214" s="48"/>
    </row>
    <row r="215" ht="18.75" hidden="1" customHeight="1">
      <c r="A215" s="48"/>
      <c r="B215" s="34"/>
      <c r="C215" s="77">
        <v>13.0</v>
      </c>
      <c r="D215" s="66"/>
      <c r="E215" s="67"/>
      <c r="F215" s="68"/>
      <c r="G215" s="78"/>
      <c r="H215" s="65"/>
      <c r="I215" s="62"/>
      <c r="J215" s="63" t="s">
        <v>113</v>
      </c>
      <c r="K215" s="48"/>
    </row>
    <row r="216" ht="18.75" hidden="1" customHeight="1">
      <c r="A216" s="48"/>
      <c r="B216" s="34"/>
      <c r="C216" s="77">
        <v>14.0</v>
      </c>
      <c r="D216" s="66"/>
      <c r="E216" s="67"/>
      <c r="F216" s="68"/>
      <c r="G216" s="78"/>
      <c r="H216" s="65"/>
      <c r="I216" s="62"/>
      <c r="J216" s="63" t="s">
        <v>113</v>
      </c>
      <c r="K216" s="48"/>
    </row>
    <row r="217" ht="18.75" hidden="1" customHeight="1">
      <c r="A217" s="48"/>
      <c r="B217" s="34"/>
      <c r="C217" s="77">
        <v>15.0</v>
      </c>
      <c r="D217" s="66"/>
      <c r="E217" s="67"/>
      <c r="F217" s="68"/>
      <c r="G217" s="78"/>
      <c r="H217" s="65"/>
      <c r="I217" s="62"/>
      <c r="J217" s="63" t="s">
        <v>113</v>
      </c>
      <c r="K217" s="48"/>
    </row>
    <row r="218" ht="18.75" hidden="1" customHeight="1">
      <c r="A218" s="48"/>
      <c r="B218" s="34"/>
      <c r="C218" s="77">
        <v>16.0</v>
      </c>
      <c r="D218" s="66"/>
      <c r="E218" s="67"/>
      <c r="F218" s="68"/>
      <c r="G218" s="78"/>
      <c r="H218" s="65"/>
      <c r="I218" s="62"/>
      <c r="J218" s="63" t="s">
        <v>113</v>
      </c>
      <c r="K218" s="48"/>
    </row>
    <row r="219" ht="18.75" hidden="1" customHeight="1">
      <c r="A219" s="48"/>
      <c r="B219" s="34"/>
      <c r="C219" s="77">
        <v>17.0</v>
      </c>
      <c r="D219" s="66"/>
      <c r="E219" s="67"/>
      <c r="F219" s="68"/>
      <c r="G219" s="78"/>
      <c r="H219" s="65"/>
      <c r="I219" s="62"/>
      <c r="J219" s="63" t="s">
        <v>113</v>
      </c>
      <c r="K219" s="48"/>
    </row>
    <row r="220" ht="18.75" hidden="1" customHeight="1">
      <c r="A220" s="48"/>
      <c r="B220" s="34"/>
      <c r="C220" s="77">
        <v>18.0</v>
      </c>
      <c r="D220" s="66"/>
      <c r="E220" s="67"/>
      <c r="F220" s="68"/>
      <c r="G220" s="78"/>
      <c r="H220" s="65"/>
      <c r="I220" s="62"/>
      <c r="J220" s="63" t="s">
        <v>113</v>
      </c>
      <c r="K220" s="48"/>
    </row>
    <row r="221" ht="18.75" hidden="1" customHeight="1">
      <c r="A221" s="48"/>
      <c r="B221" s="34"/>
      <c r="C221" s="77">
        <v>19.0</v>
      </c>
      <c r="D221" s="66"/>
      <c r="E221" s="67"/>
      <c r="F221" s="68"/>
      <c r="G221" s="78"/>
      <c r="H221" s="65"/>
      <c r="I221" s="62"/>
      <c r="J221" s="63" t="s">
        <v>113</v>
      </c>
      <c r="K221" s="48"/>
    </row>
    <row r="222" ht="18.75" hidden="1" customHeight="1">
      <c r="A222" s="48"/>
      <c r="B222" s="34"/>
      <c r="C222" s="77">
        <v>20.0</v>
      </c>
      <c r="D222" s="66"/>
      <c r="E222" s="67"/>
      <c r="F222" s="68"/>
      <c r="G222" s="78"/>
      <c r="H222" s="65"/>
      <c r="I222" s="62"/>
      <c r="J222" s="63" t="s">
        <v>113</v>
      </c>
      <c r="K222" s="48"/>
    </row>
    <row r="223" ht="18.75" hidden="1" customHeight="1">
      <c r="A223" s="48"/>
      <c r="B223" s="34"/>
      <c r="C223" s="77">
        <v>21.0</v>
      </c>
      <c r="D223" s="66"/>
      <c r="E223" s="67"/>
      <c r="F223" s="68"/>
      <c r="G223" s="78"/>
      <c r="H223" s="65"/>
      <c r="I223" s="62"/>
      <c r="J223" s="63" t="s">
        <v>113</v>
      </c>
      <c r="K223" s="48"/>
    </row>
    <row r="224" ht="18.75" hidden="1" customHeight="1">
      <c r="A224" s="48"/>
      <c r="B224" s="34"/>
      <c r="C224" s="77">
        <v>22.0</v>
      </c>
      <c r="D224" s="66"/>
      <c r="E224" s="67"/>
      <c r="F224" s="68"/>
      <c r="G224" s="78"/>
      <c r="H224" s="65"/>
      <c r="I224" s="62"/>
      <c r="J224" s="63" t="s">
        <v>113</v>
      </c>
      <c r="K224" s="48"/>
    </row>
    <row r="225" ht="18.75" hidden="1" customHeight="1">
      <c r="A225" s="48"/>
      <c r="B225" s="34"/>
      <c r="C225" s="77">
        <v>23.0</v>
      </c>
      <c r="D225" s="66"/>
      <c r="E225" s="67"/>
      <c r="F225" s="68"/>
      <c r="G225" s="78"/>
      <c r="H225" s="65"/>
      <c r="I225" s="62"/>
      <c r="J225" s="63" t="s">
        <v>113</v>
      </c>
      <c r="K225" s="48"/>
    </row>
    <row r="226" ht="18.75" hidden="1" customHeight="1">
      <c r="A226" s="48"/>
      <c r="B226" s="34"/>
      <c r="C226" s="77">
        <v>24.0</v>
      </c>
      <c r="D226" s="66"/>
      <c r="E226" s="67"/>
      <c r="F226" s="68"/>
      <c r="G226" s="78"/>
      <c r="H226" s="65"/>
      <c r="I226" s="62"/>
      <c r="J226" s="63" t="s">
        <v>113</v>
      </c>
      <c r="K226" s="48"/>
    </row>
    <row r="227" ht="18.75" hidden="1" customHeight="1">
      <c r="A227" s="48"/>
      <c r="B227" s="36"/>
      <c r="C227" s="85">
        <v>25.0</v>
      </c>
      <c r="D227" s="70"/>
      <c r="E227" s="71"/>
      <c r="F227" s="72"/>
      <c r="G227" s="78"/>
      <c r="H227" s="73"/>
      <c r="I227" s="74"/>
      <c r="J227" s="75" t="s">
        <v>113</v>
      </c>
      <c r="K227" s="48"/>
    </row>
    <row r="228" ht="18.75" customHeight="1">
      <c r="A228" s="48"/>
      <c r="B228" s="48"/>
      <c r="C228" s="48"/>
      <c r="D228" s="48"/>
      <c r="E228" s="48"/>
      <c r="F228" s="48"/>
      <c r="G228" s="48"/>
      <c r="H228" s="86" t="s">
        <v>121</v>
      </c>
      <c r="I228" s="48"/>
      <c r="J228" s="48" t="s">
        <v>113</v>
      </c>
      <c r="K228" s="48"/>
    </row>
  </sheetData>
  <mergeCells count="9">
    <mergeCell ref="B178:B202"/>
    <mergeCell ref="B203:B227"/>
    <mergeCell ref="B3:B27"/>
    <mergeCell ref="B28:B52"/>
    <mergeCell ref="B53:B77"/>
    <mergeCell ref="B78:B102"/>
    <mergeCell ref="B103:B127"/>
    <mergeCell ref="B128:B152"/>
    <mergeCell ref="B153:B177"/>
  </mergeCells>
  <hyperlinks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</hyperlinks>
  <drawing r:id="rId11"/>
  <legacy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25"/>
    <col customWidth="1" min="2" max="2" width="15.75"/>
    <col customWidth="1" min="3" max="3" width="25.13"/>
    <col customWidth="1" min="4" max="6" width="37.63"/>
    <col hidden="1" min="7" max="9" width="12.63"/>
    <col customWidth="1" min="10" max="10" width="3.25"/>
  </cols>
  <sheetData>
    <row r="1" ht="18.75" customHeight="1">
      <c r="A1" s="87"/>
      <c r="B1" s="87"/>
      <c r="C1" s="87"/>
      <c r="D1" s="87"/>
      <c r="E1" s="87"/>
      <c r="F1" s="87"/>
      <c r="G1" s="87"/>
      <c r="H1" s="87"/>
      <c r="I1" s="87"/>
      <c r="J1" s="87"/>
    </row>
    <row r="2" ht="18.75" customHeight="1">
      <c r="A2" s="87"/>
      <c r="B2" s="88" t="s">
        <v>122</v>
      </c>
      <c r="C2" s="88" t="s">
        <v>123</v>
      </c>
      <c r="D2" s="89" t="str">
        <f t="array" ref="D2:F2">"Player "&amp;SEQUENCE(1,3)</f>
        <v>Player 1</v>
      </c>
      <c r="E2" s="89" t="s">
        <v>124</v>
      </c>
      <c r="F2" s="89" t="s">
        <v>125</v>
      </c>
      <c r="G2" s="90"/>
      <c r="H2" s="90"/>
      <c r="I2" s="90"/>
      <c r="J2" s="87"/>
    </row>
    <row r="3" ht="18.75" customHeight="1">
      <c r="A3" s="87"/>
      <c r="B3" s="90" t="s">
        <v>126</v>
      </c>
      <c r="C3" s="91" t="str">
        <f>IFERROR(__xludf.DUMMYFUNCTION("IMPORTRANGE(""1HHAHmZTTDlyB4RHaHQ-2bhUchkHOEZhmcQrDYQXnxnw"",""filter_teams!B3:B65"")"),"PoorQuaIityMeatpilow")</f>
        <v>PoorQuaIityMeatpilow</v>
      </c>
      <c r="D3" s="92" t="str">
        <f>IFERROR(__xludf.DUMMYFUNCTION("IMPORTRANGE(""1HHAHmZTTDlyB4RHaHQ-2bhUchkHOEZhmcQrDYQXnxnw"",""filter_teams!D3:D65"")"),"PoorQuaIityMeat")</f>
        <v>PoorQuaIityMeat</v>
      </c>
      <c r="E3" s="93" t="str">
        <f>IFERROR(__xludf.DUMMYFUNCTION("IMPORTRANGE(""1HHAHmZTTDlyB4RHaHQ-2bhUchkHOEZhmcQrDYQXnxnw"",""filter_teams!J3:J65"")"),"Pilllow")</f>
        <v>Pilllow</v>
      </c>
      <c r="F3" s="94" t="str">
        <f>IFERROR(__xludf.DUMMYFUNCTION("IMPORTRANGE(""1HHAHmZTTDlyB4RHaHQ-2bhUchkHOEZhmcQrDYQXnxnw"",""filter_teams!P3:P65"")"),"")</f>
        <v/>
      </c>
      <c r="G3" s="94"/>
      <c r="H3" s="94"/>
      <c r="I3" s="94"/>
      <c r="J3" s="87"/>
    </row>
    <row r="4" ht="18.75" customHeight="1">
      <c r="A4" s="87"/>
      <c r="B4" s="90" t="s">
        <v>127</v>
      </c>
      <c r="C4" s="91" t="str">
        <f>IFERROR(__xludf.DUMMYFUNCTION("""COMPUTED_VALUE"""),"Sightread Buff")</f>
        <v>Sightread Buff</v>
      </c>
      <c r="D4" s="92" t="str">
        <f>IFERROR(__xludf.DUMMYFUNCTION("""COMPUTED_VALUE"""),"O_re_O")</f>
        <v>O_re_O</v>
      </c>
      <c r="E4" s="93" t="str">
        <f>IFERROR(__xludf.DUMMYFUNCTION("""COMPUTED_VALUE"""),"depict1")</f>
        <v>depict1</v>
      </c>
      <c r="F4" s="92" t="str">
        <f>IFERROR(__xludf.DUMMYFUNCTION("""COMPUTED_VALUE"""),"NemiTrailRider")</f>
        <v>NemiTrailRider</v>
      </c>
      <c r="G4" s="94"/>
      <c r="H4" s="94"/>
      <c r="I4" s="94"/>
      <c r="J4" s="87"/>
    </row>
    <row r="5" ht="18.75" customHeight="1">
      <c r="A5" s="87"/>
      <c r="B5" s="90" t="s">
        <v>128</v>
      </c>
      <c r="C5" s="91" t="str">
        <f>IFERROR(__xludf.DUMMYFUNCTION("""COMPUTED_VALUE"""),"Ghost the Angel")</f>
        <v>Ghost the Angel</v>
      </c>
      <c r="D5" s="92" t="str">
        <f>IFERROR(__xludf.DUMMYFUNCTION("""COMPUTED_VALUE"""),"BCraftMG")</f>
        <v>BCraftMG</v>
      </c>
      <c r="E5" s="93" t="str">
        <f>IFERROR(__xludf.DUMMYFUNCTION("""COMPUTED_VALUE"""),"Lugost Angel")</f>
        <v>Lugost Angel</v>
      </c>
      <c r="F5" s="95" t="str">
        <f>IFERROR(__xludf.DUMMYFUNCTION("""COMPUTED_VALUE"""),"quay4")</f>
        <v>quay4</v>
      </c>
      <c r="G5" s="96"/>
      <c r="H5" s="96"/>
      <c r="I5" s="96"/>
      <c r="J5" s="87"/>
    </row>
    <row r="6" ht="18.75" customHeight="1">
      <c r="A6" s="87"/>
      <c r="B6" s="90" t="s">
        <v>129</v>
      </c>
      <c r="C6" s="91" t="str">
        <f>IFERROR(__xludf.DUMMYFUNCTION("""COMPUTED_VALUE"""),"foxy1919191919's basement")</f>
        <v>foxy1919191919's basement</v>
      </c>
      <c r="D6" s="92" t="str">
        <f>IFERROR(__xludf.DUMMYFUNCTION("""COMPUTED_VALUE"""),"Faceie")</f>
        <v>Faceie</v>
      </c>
      <c r="E6" s="93" t="str">
        <f>IFERROR(__xludf.DUMMYFUNCTION("""COMPUTED_VALUE"""),"Flare_Drake")</f>
        <v>Flare_Drake</v>
      </c>
      <c r="F6" s="92" t="str">
        <f>IFERROR(__xludf.DUMMYFUNCTION("""COMPUTED_VALUE"""),"vortexta")</f>
        <v>vortexta</v>
      </c>
      <c r="G6" s="96"/>
      <c r="H6" s="96"/>
      <c r="I6" s="96"/>
      <c r="J6" s="87"/>
    </row>
    <row r="7" ht="18.75" customHeight="1">
      <c r="A7" s="87"/>
      <c r="B7" s="90" t="s">
        <v>130</v>
      </c>
      <c r="C7" s="91" t="str">
        <f>IFERROR(__xludf.DUMMYFUNCTION("""COMPUTED_VALUE"""),"Lovers + 3rd wheel")</f>
        <v>Lovers + 3rd wheel</v>
      </c>
      <c r="D7" s="92" t="str">
        <f>IFERROR(__xludf.DUMMYFUNCTION("""COMPUTED_VALUE"""),"TeddyFine")</f>
        <v>TeddyFine</v>
      </c>
      <c r="E7" s="93" t="str">
        <f>IFERROR(__xludf.DUMMYFUNCTION("""COMPUTED_VALUE"""),"Entro")</f>
        <v>Entro</v>
      </c>
      <c r="F7" s="92" t="str">
        <f>IFERROR(__xludf.DUMMYFUNCTION("""COMPUTED_VALUE"""),"BubblyQT")</f>
        <v>BubblyQT</v>
      </c>
      <c r="G7" s="96"/>
      <c r="H7" s="96"/>
      <c r="I7" s="96"/>
      <c r="J7" s="87"/>
    </row>
    <row r="8" ht="18.75" customHeight="1">
      <c r="A8" s="87"/>
      <c r="B8" s="90" t="s">
        <v>131</v>
      </c>
      <c r="C8" s="97" t="str">
        <f>IFERROR(__xludf.DUMMYFUNCTION("""COMPUTED_VALUE"""),"copium abusers")</f>
        <v>copium abusers</v>
      </c>
      <c r="D8" s="95" t="str">
        <f>IFERROR(__xludf.DUMMYFUNCTION("""COMPUTED_VALUE"""),"PapaAinsley")</f>
        <v>PapaAinsley</v>
      </c>
      <c r="E8" s="98" t="str">
        <f>IFERROR(__xludf.DUMMYFUNCTION("""COMPUTED_VALUE"""),"Josiper")</f>
        <v>Josiper</v>
      </c>
      <c r="F8" s="96"/>
      <c r="G8" s="96"/>
      <c r="H8" s="96"/>
      <c r="I8" s="96"/>
      <c r="J8" s="87"/>
    </row>
    <row r="9" ht="18.75" customHeight="1">
      <c r="A9" s="87"/>
      <c r="B9" s="90" t="s">
        <v>132</v>
      </c>
      <c r="C9" s="97" t="str">
        <f>IFERROR(__xludf.DUMMYFUNCTION("""COMPUTED_VALUE"""),"The One 100s")</f>
        <v>The One 100s</v>
      </c>
      <c r="D9" s="95" t="str">
        <f>IFERROR(__xludf.DUMMYFUNCTION("""COMPUTED_VALUE"""),"Ugetora")</f>
        <v>Ugetora</v>
      </c>
      <c r="E9" s="98" t="str">
        <f>IFERROR(__xludf.DUMMYFUNCTION("""COMPUTED_VALUE"""),"Zeon_beyond")</f>
        <v>Zeon_beyond</v>
      </c>
      <c r="F9" s="95" t="str">
        <f>IFERROR(__xludf.DUMMYFUNCTION("""COMPUTED_VALUE"""),"bunnytoro")</f>
        <v>bunnytoro</v>
      </c>
      <c r="G9" s="96"/>
      <c r="H9" s="96"/>
      <c r="I9" s="96"/>
      <c r="J9" s="87"/>
    </row>
    <row r="10" ht="18.75" customHeight="1">
      <c r="A10" s="87"/>
      <c r="B10" s="90" t="s">
        <v>133</v>
      </c>
      <c r="C10" s="97" t="str">
        <f>IFERROR(__xludf.DUMMYFUNCTION("""COMPUTED_VALUE"""),"Nameless Waifulovers")</f>
        <v>Nameless Waifulovers</v>
      </c>
      <c r="D10" s="95" t="str">
        <f>IFERROR(__xludf.DUMMYFUNCTION("""COMPUTED_VALUE"""),"Feroshi")</f>
        <v>Feroshi</v>
      </c>
      <c r="E10" s="98" t="str">
        <f>IFERROR(__xludf.DUMMYFUNCTION("""COMPUTED_VALUE"""),"Scaly007")</f>
        <v>Scaly007</v>
      </c>
      <c r="F10" s="95" t="str">
        <f>IFERROR(__xludf.DUMMYFUNCTION("""COMPUTED_VALUE"""),"yunasky")</f>
        <v>yunasky</v>
      </c>
      <c r="G10" s="96"/>
      <c r="H10" s="96"/>
      <c r="I10" s="96"/>
      <c r="J10" s="87"/>
    </row>
    <row r="11" ht="18.75" customHeight="1">
      <c r="A11" s="87"/>
      <c r="B11" s="90" t="s">
        <v>134</v>
      </c>
      <c r="C11" s="97" t="str">
        <f>IFERROR(__xludf.DUMMYFUNCTION("""COMPUTED_VALUE"""),"noodle team")</f>
        <v>noodle team</v>
      </c>
      <c r="D11" s="95" t="str">
        <f>IFERROR(__xludf.DUMMYFUNCTION("""COMPUTED_VALUE"""),"Lowuki")</f>
        <v>Lowuki</v>
      </c>
      <c r="E11" s="98" t="str">
        <f>IFERROR(__xludf.DUMMYFUNCTION("""COMPUTED_VALUE"""),"Kuw")</f>
        <v>Kuw</v>
      </c>
      <c r="F11" s="96"/>
      <c r="G11" s="96"/>
      <c r="H11" s="96"/>
      <c r="I11" s="96"/>
      <c r="J11" s="87"/>
    </row>
    <row r="12" ht="18.75" customHeight="1">
      <c r="A12" s="87"/>
      <c r="B12" s="90" t="s">
        <v>135</v>
      </c>
      <c r="C12" s="97" t="str">
        <f>IFERROR(__xludf.DUMMYFUNCTION("""COMPUTED_VALUE"""),"Ahjin")</f>
        <v>Ahjin</v>
      </c>
      <c r="D12" s="95" t="str">
        <f>IFERROR(__xludf.DUMMYFUNCTION("""COMPUTED_VALUE"""),"TzJake")</f>
        <v>TzJake</v>
      </c>
      <c r="E12" s="98" t="str">
        <f>IFERROR(__xludf.DUMMYFUNCTION("""COMPUTED_VALUE"""),"rafaeldel7")</f>
        <v>rafaeldel7</v>
      </c>
      <c r="F12" s="95" t="str">
        <f>IFERROR(__xludf.DUMMYFUNCTION("""COMPUTED_VALUE"""),"-Darklune-")</f>
        <v>-Darklune-</v>
      </c>
      <c r="G12" s="96"/>
      <c r="H12" s="96"/>
      <c r="I12" s="96"/>
      <c r="J12" s="87"/>
    </row>
    <row r="13" ht="18.75" customHeight="1">
      <c r="A13" s="87"/>
      <c r="B13" s="90" t="s">
        <v>136</v>
      </c>
      <c r="C13" s="97" t="str">
        <f>IFERROR(__xludf.DUMMYFUNCTION("""COMPUTED_VALUE"""),"PES E9L9")</f>
        <v>PES E9L9</v>
      </c>
      <c r="D13" s="95" t="str">
        <f>IFERROR(__xludf.DUMMYFUNCTION("""COMPUTED_VALUE"""),"Kochindera")</f>
        <v>Kochindera</v>
      </c>
      <c r="E13" s="98" t="str">
        <f>IFERROR(__xludf.DUMMYFUNCTION("""COMPUTED_VALUE"""),"Hoshifurii")</f>
        <v>Hoshifurii</v>
      </c>
      <c r="F13" s="95" t="str">
        <f>IFERROR(__xludf.DUMMYFUNCTION("""COMPUTED_VALUE"""),"Gamillie")</f>
        <v>Gamillie</v>
      </c>
      <c r="G13" s="96"/>
      <c r="H13" s="96"/>
      <c r="I13" s="96"/>
      <c r="J13" s="87"/>
    </row>
    <row r="14" ht="18.75" customHeight="1">
      <c r="A14" s="87"/>
      <c r="B14" s="90" t="s">
        <v>137</v>
      </c>
      <c r="C14" s="97" t="str">
        <f>IFERROR(__xludf.DUMMYFUNCTION("""COMPUTED_VALUE"""),"phony :)")</f>
        <v>phony :)</v>
      </c>
      <c r="D14" s="95" t="str">
        <f>IFERROR(__xludf.DUMMYFUNCTION("""COMPUTED_VALUE"""),"AZKi")</f>
        <v>AZKi</v>
      </c>
      <c r="E14" s="98" t="str">
        <f>IFERROR(__xludf.DUMMYFUNCTION("""COMPUTED_VALUE"""),"SomeLongName")</f>
        <v>SomeLongName</v>
      </c>
      <c r="F14" s="96"/>
      <c r="G14" s="96"/>
      <c r="H14" s="96"/>
      <c r="I14" s="96"/>
      <c r="J14" s="87"/>
    </row>
    <row r="15" ht="18.75" customHeight="1">
      <c r="A15" s="87"/>
      <c r="B15" s="90" t="s">
        <v>138</v>
      </c>
      <c r="C15" s="97" t="str">
        <f>IFERROR(__xludf.DUMMYFUNCTION("""COMPUTED_VALUE"""),"BOCCHER")</f>
        <v>BOCCHER</v>
      </c>
      <c r="D15" s="95" t="str">
        <f>IFERROR(__xludf.DUMMYFUNCTION("""COMPUTED_VALUE"""),"SkyprimeLp")</f>
        <v>SkyprimeLp</v>
      </c>
      <c r="E15" s="98" t="str">
        <f>IFERROR(__xludf.DUMMYFUNCTION("""COMPUTED_VALUE"""),"Knax")</f>
        <v>Knax</v>
      </c>
      <c r="F15" s="95" t="str">
        <f>IFERROR(__xludf.DUMMYFUNCTION("""COMPUTED_VALUE"""),"uhzyk")</f>
        <v>uhzyk</v>
      </c>
      <c r="G15" s="96"/>
      <c r="H15" s="96"/>
      <c r="I15" s="96"/>
      <c r="J15" s="87"/>
    </row>
    <row r="16" ht="18.75" customHeight="1">
      <c r="A16" s="87"/>
      <c r="B16" s="90" t="s">
        <v>139</v>
      </c>
      <c r="C16" s="97" t="str">
        <f>IFERROR(__xludf.DUMMYFUNCTION("""COMPUTED_VALUE"""),"Mewo My Waifu")</f>
        <v>Mewo My Waifu</v>
      </c>
      <c r="D16" s="95" t="str">
        <f>IFERROR(__xludf.DUMMYFUNCTION("""COMPUTED_VALUE"""),"Mewo_")</f>
        <v>Mewo_</v>
      </c>
      <c r="E16" s="98" t="str">
        <f>IFERROR(__xludf.DUMMYFUNCTION("""COMPUTED_VALUE"""),"Zertoaster")</f>
        <v>Zertoaster</v>
      </c>
      <c r="F16" s="95" t="str">
        <f>IFERROR(__xludf.DUMMYFUNCTION("""COMPUTED_VALUE"""),"Lol3270")</f>
        <v>Lol3270</v>
      </c>
      <c r="G16" s="96"/>
      <c r="H16" s="96"/>
      <c r="I16" s="96"/>
      <c r="J16" s="87"/>
    </row>
    <row r="17" ht="18.75" customHeight="1">
      <c r="A17" s="87"/>
      <c r="B17" s="90" t="s">
        <v>140</v>
      </c>
      <c r="C17" s="97" t="str">
        <f>IFERROR(__xludf.DUMMYFUNCTION("""COMPUTED_VALUE"""),"Beancurd")</f>
        <v>Beancurd</v>
      </c>
      <c r="D17" s="95" t="str">
        <f>IFERROR(__xludf.DUMMYFUNCTION("""COMPUTED_VALUE"""),"Tsekyro")</f>
        <v>Tsekyro</v>
      </c>
      <c r="E17" s="98" t="str">
        <f>IFERROR(__xludf.DUMMYFUNCTION("""COMPUTED_VALUE"""),"GeneralMayo")</f>
        <v>GeneralMayo</v>
      </c>
      <c r="F17" s="95" t="str">
        <f>IFERROR(__xludf.DUMMYFUNCTION("""COMPUTED_VALUE"""),"Carsoon")</f>
        <v>Carsoon</v>
      </c>
      <c r="G17" s="96"/>
      <c r="H17" s="96"/>
      <c r="I17" s="96"/>
      <c r="J17" s="87"/>
    </row>
    <row r="18" ht="18.75" customHeight="1">
      <c r="A18" s="87"/>
      <c r="B18" s="90" t="s">
        <v>141</v>
      </c>
      <c r="C18" s="97" t="str">
        <f>IFERROR(__xludf.DUMMYFUNCTION("""COMPUTED_VALUE"""),"Koteykaaa team")</f>
        <v>Koteykaaa team</v>
      </c>
      <c r="D18" s="95" t="str">
        <f>IFERROR(__xludf.DUMMYFUNCTION("""COMPUTED_VALUE"""),"Aria Holmes")</f>
        <v>Aria Holmes</v>
      </c>
      <c r="E18" s="98" t="str">
        <f>IFERROR(__xludf.DUMMYFUNCTION("""COMPUTED_VALUE"""),"Regihorn")</f>
        <v>Regihorn</v>
      </c>
      <c r="F18" s="95" t="str">
        <f>IFERROR(__xludf.DUMMYFUNCTION("""COMPUTED_VALUE"""),"FurryWolf_RU")</f>
        <v>FurryWolf_RU</v>
      </c>
      <c r="G18" s="96"/>
      <c r="H18" s="96"/>
      <c r="I18" s="96"/>
      <c r="J18" s="87"/>
    </row>
    <row r="19" ht="18.75" customHeight="1">
      <c r="A19" s="87"/>
      <c r="B19" s="90" t="s">
        <v>142</v>
      </c>
      <c r="C19" s="97" t="str">
        <f>IFERROR(__xludf.DUMMYFUNCTION("""COMPUTED_VALUE"""),"Retired Aces")</f>
        <v>Retired Aces</v>
      </c>
      <c r="D19" s="95" t="str">
        <f>IFERROR(__xludf.DUMMYFUNCTION("""COMPUTED_VALUE"""),"Todi37")</f>
        <v>Todi37</v>
      </c>
      <c r="E19" s="98" t="str">
        <f>IFERROR(__xludf.DUMMYFUNCTION("""COMPUTED_VALUE"""),"Flaming_Galaxy")</f>
        <v>Flaming_Galaxy</v>
      </c>
      <c r="F19" s="95" t="str">
        <f>IFERROR(__xludf.DUMMYFUNCTION("""COMPUTED_VALUE"""),"MomoNagi")</f>
        <v>MomoNagi</v>
      </c>
      <c r="G19" s="96"/>
      <c r="H19" s="96"/>
      <c r="I19" s="96"/>
      <c r="J19" s="87"/>
    </row>
    <row r="20" ht="18.75" customHeight="1">
      <c r="A20" s="87"/>
      <c r="B20" s="90" t="s">
        <v>143</v>
      </c>
      <c r="C20" s="97" t="str">
        <f>IFERROR(__xludf.DUMMYFUNCTION("""COMPUTED_VALUE"""),"3000CombinedHours")</f>
        <v>3000CombinedHours</v>
      </c>
      <c r="D20" s="95" t="str">
        <f>IFERROR(__xludf.DUMMYFUNCTION("""COMPUTED_VALUE"""),"RakiMiku")</f>
        <v>RakiMiku</v>
      </c>
      <c r="E20" s="98" t="str">
        <f>IFERROR(__xludf.DUMMYFUNCTION("""COMPUTED_VALUE"""),"WorstGamer")</f>
        <v>WorstGamer</v>
      </c>
      <c r="F20" s="95" t="str">
        <f>IFERROR(__xludf.DUMMYFUNCTION("""COMPUTED_VALUE"""),"C L O N E")</f>
        <v>C L O N E</v>
      </c>
      <c r="G20" s="96"/>
      <c r="H20" s="96"/>
      <c r="I20" s="96"/>
      <c r="J20" s="87"/>
    </row>
    <row r="21" ht="18.75" customHeight="1">
      <c r="A21" s="87"/>
      <c r="B21" s="90" t="s">
        <v>144</v>
      </c>
      <c r="C21" s="97" t="str">
        <f>IFERROR(__xludf.DUMMYFUNCTION("""COMPUTED_VALUE"""),"Team name pending xd")</f>
        <v>Team name pending xd</v>
      </c>
      <c r="D21" s="95" t="str">
        <f>IFERROR(__xludf.DUMMYFUNCTION("""COMPUTED_VALUE"""),"BlooMertz")</f>
        <v>BlooMertz</v>
      </c>
      <c r="E21" s="98" t="str">
        <f>IFERROR(__xludf.DUMMYFUNCTION("""COMPUTED_VALUE"""),"cxyren")</f>
        <v>cxyren</v>
      </c>
      <c r="F21" s="95" t="str">
        <f>IFERROR(__xludf.DUMMYFUNCTION("""COMPUTED_VALUE"""),"Dragonslash354")</f>
        <v>Dragonslash354</v>
      </c>
      <c r="G21" s="96"/>
      <c r="H21" s="96"/>
      <c r="I21" s="96"/>
      <c r="J21" s="87"/>
    </row>
    <row r="22" ht="18.75" customHeight="1">
      <c r="A22" s="87"/>
      <c r="B22" s="90" t="s">
        <v>145</v>
      </c>
      <c r="C22" s="97" t="str">
        <f>IFERROR(__xludf.DUMMYFUNCTION("""COMPUTED_VALUE"""),"middle-schooler wife")</f>
        <v>middle-schooler wife</v>
      </c>
      <c r="D22" s="95" t="str">
        <f>IFERROR(__xludf.DUMMYFUNCTION("""COMPUTED_VALUE"""),"euouae_")</f>
        <v>euouae_</v>
      </c>
      <c r="E22" s="98" t="str">
        <f>IFERROR(__xludf.DUMMYFUNCTION("""COMPUTED_VALUE"""),"HecaRegina")</f>
        <v>HecaRegina</v>
      </c>
      <c r="F22" s="95" t="str">
        <f>IFERROR(__xludf.DUMMYFUNCTION("""COMPUTED_VALUE"""),"Onii karma")</f>
        <v>Onii karma</v>
      </c>
      <c r="G22" s="96"/>
      <c r="H22" s="96"/>
      <c r="I22" s="96"/>
      <c r="J22" s="87"/>
    </row>
    <row r="23" ht="18.75" customHeight="1">
      <c r="A23" s="87"/>
      <c r="B23" s="90" t="s">
        <v>146</v>
      </c>
      <c r="C23" s="97" t="str">
        <f>IFERROR(__xludf.DUMMYFUNCTION("""COMPUTED_VALUE"""),"Better HD Abusers")</f>
        <v>Better HD Abusers</v>
      </c>
      <c r="D23" s="95" t="str">
        <f>IFERROR(__xludf.DUMMYFUNCTION("""COMPUTED_VALUE"""),"HD Abuser")</f>
        <v>HD Abuser</v>
      </c>
      <c r="E23" s="98" t="str">
        <f>IFERROR(__xludf.DUMMYFUNCTION("""COMPUTED_VALUE"""),"Ultima_")</f>
        <v>Ultima_</v>
      </c>
      <c r="F23" s="95" t="str">
        <f>IFERROR(__xludf.DUMMYFUNCTION("""COMPUTED_VALUE"""),"Kaeldori")</f>
        <v>Kaeldori</v>
      </c>
      <c r="G23" s="96"/>
      <c r="H23" s="96"/>
      <c r="I23" s="96"/>
      <c r="J23" s="87"/>
    </row>
    <row r="24" ht="18.75" customHeight="1">
      <c r="A24" s="87"/>
      <c r="B24" s="90" t="s">
        <v>147</v>
      </c>
      <c r="C24" s="97" t="str">
        <f>IFERROR(__xludf.DUMMYFUNCTION("""COMPUTED_VALUE"""),"DSE victims")</f>
        <v>DSE victims</v>
      </c>
      <c r="D24" s="95" t="str">
        <f>IFERROR(__xludf.DUMMYFUNCTION("""COMPUTED_VALUE"""),"Himman")</f>
        <v>Himman</v>
      </c>
      <c r="E24" s="98" t="str">
        <f>IFERROR(__xludf.DUMMYFUNCTION("""COMPUTED_VALUE"""),"C00KI3C00KIY")</f>
        <v>C00KI3C00KIY</v>
      </c>
      <c r="F24" s="95" t="str">
        <f>IFERROR(__xludf.DUMMYFUNCTION("""COMPUTED_VALUE"""),"Cola1228")</f>
        <v>Cola1228</v>
      </c>
      <c r="G24" s="96"/>
      <c r="H24" s="96"/>
      <c r="I24" s="96"/>
      <c r="J24" s="87"/>
    </row>
    <row r="25" ht="18.75" customHeight="1">
      <c r="A25" s="87"/>
      <c r="B25" s="90" t="s">
        <v>148</v>
      </c>
      <c r="C25" s="97" t="str">
        <f>IFERROR(__xludf.DUMMYFUNCTION("""COMPUTED_VALUE"""),"Flexgang")</f>
        <v>Flexgang</v>
      </c>
      <c r="D25" s="95" t="str">
        <f>IFERROR(__xludf.DUMMYFUNCTION("""COMPUTED_VALUE"""),"lipefree")</f>
        <v>lipefree</v>
      </c>
      <c r="E25" s="98" t="str">
        <f>IFERROR(__xludf.DUMMYFUNCTION("""COMPUTED_VALUE"""),"Darvgaea")</f>
        <v>Darvgaea</v>
      </c>
      <c r="F25" s="96"/>
      <c r="G25" s="96"/>
      <c r="H25" s="96"/>
      <c r="I25" s="96"/>
      <c r="J25" s="87"/>
    </row>
    <row r="26" ht="18.75" customHeight="1">
      <c r="A26" s="87"/>
      <c r="B26" s="99" t="s">
        <v>149</v>
      </c>
      <c r="C26" s="97" t="str">
        <f>IFERROR(__xludf.DUMMYFUNCTION("""COMPUTED_VALUE"""),"blpka")</f>
        <v>blpka</v>
      </c>
      <c r="D26" s="95" t="str">
        <f>IFERROR(__xludf.DUMMYFUNCTION("""COMPUTED_VALUE"""),"- Enkidu -")</f>
        <v>- Enkidu -</v>
      </c>
      <c r="E26" s="98" t="str">
        <f>IFERROR(__xludf.DUMMYFUNCTION("""COMPUTED_VALUE"""),"dffTu")</f>
        <v>dffTu</v>
      </c>
      <c r="F26" s="96"/>
      <c r="G26" s="96"/>
      <c r="H26" s="96"/>
      <c r="I26" s="96"/>
      <c r="J26" s="87"/>
    </row>
    <row r="27" ht="18.75" customHeight="1">
      <c r="A27" s="87"/>
      <c r="B27" s="99" t="s">
        <v>150</v>
      </c>
      <c r="C27" s="97" t="str">
        <f>IFERROR(__xludf.DUMMYFUNCTION("""COMPUTED_VALUE"""),"Side Characters")</f>
        <v>Side Characters</v>
      </c>
      <c r="D27" s="95" t="str">
        <f>IFERROR(__xludf.DUMMYFUNCTION("""COMPUTED_VALUE"""),"Heaki")</f>
        <v>Heaki</v>
      </c>
      <c r="E27" s="98" t="str">
        <f>IFERROR(__xludf.DUMMYFUNCTION("""COMPUTED_VALUE"""),"miimo__miimo")</f>
        <v>miimo__miimo</v>
      </c>
      <c r="F27" s="95" t="str">
        <f>IFERROR(__xludf.DUMMYFUNCTION("""COMPUTED_VALUE"""),"karimovic")</f>
        <v>karimovic</v>
      </c>
      <c r="G27" s="96"/>
      <c r="H27" s="96"/>
      <c r="I27" s="96"/>
      <c r="J27" s="87"/>
    </row>
    <row r="28" ht="18.75" customHeight="1">
      <c r="A28" s="87"/>
      <c r="B28" s="90"/>
      <c r="C28" s="97" t="str">
        <f>IFERROR(__xludf.DUMMYFUNCTION("""COMPUTED_VALUE"""),"Homossexual Students")</f>
        <v>Homossexual Students</v>
      </c>
      <c r="D28" s="95" t="str">
        <f>IFERROR(__xludf.DUMMYFUNCTION("""COMPUTED_VALUE"""),"DUM4L77")</f>
        <v>DUM4L77</v>
      </c>
      <c r="E28" s="98" t="str">
        <f>IFERROR(__xludf.DUMMYFUNCTION("""COMPUTED_VALUE"""),"Simabuco")</f>
        <v>Simabuco</v>
      </c>
      <c r="F28" s="95" t="str">
        <f>IFERROR(__xludf.DUMMYFUNCTION("""COMPUTED_VALUE"""),"Loopyng")</f>
        <v>Loopyng</v>
      </c>
      <c r="G28" s="96"/>
      <c r="H28" s="96"/>
      <c r="I28" s="96"/>
      <c r="J28" s="87"/>
    </row>
    <row r="29" ht="18.75" customHeight="1">
      <c r="A29" s="87"/>
      <c r="B29" s="90"/>
      <c r="C29" s="97" t="str">
        <f>IFERROR(__xludf.DUMMYFUNCTION("""COMPUTED_VALUE"""),"Chocomaid")</f>
        <v>Chocomaid</v>
      </c>
      <c r="D29" s="95" t="str">
        <f>IFERROR(__xludf.DUMMYFUNCTION("""COMPUTED_VALUE"""),"Frui Ludo")</f>
        <v>Frui Ludo</v>
      </c>
      <c r="E29" s="98" t="str">
        <f>IFERROR(__xludf.DUMMYFUNCTION("""COMPUTED_VALUE"""),"Chokecomint")</f>
        <v>Chokecomint</v>
      </c>
      <c r="F29" s="95" t="str">
        <f>IFERROR(__xludf.DUMMYFUNCTION("""COMPUTED_VALUE"""),"Azcazay")</f>
        <v>Azcazay</v>
      </c>
      <c r="G29" s="96"/>
      <c r="H29" s="96"/>
      <c r="I29" s="96"/>
      <c r="J29" s="87"/>
    </row>
    <row r="30" ht="18.75" customHeight="1">
      <c r="A30" s="87"/>
      <c r="B30" s="90"/>
      <c r="C30" s="97" t="str">
        <f>IFERROR(__xludf.DUMMYFUNCTION("""COMPUTED_VALUE"""),"Kittens")</f>
        <v>Kittens</v>
      </c>
      <c r="D30" s="95" t="str">
        <f>IFERROR(__xludf.DUMMYFUNCTION("""COMPUTED_VALUE"""),"Rurup")</f>
        <v>Rurup</v>
      </c>
      <c r="E30" s="98" t="str">
        <f>IFERROR(__xludf.DUMMYFUNCTION("""COMPUTED_VALUE"""),"Shaddie_")</f>
        <v>Shaddie_</v>
      </c>
      <c r="F30" s="95" t="str">
        <f>IFERROR(__xludf.DUMMYFUNCTION("""COMPUTED_VALUE"""),"DzikaSwinia")</f>
        <v>DzikaSwinia</v>
      </c>
      <c r="G30" s="96"/>
      <c r="H30" s="96"/>
      <c r="I30" s="96"/>
      <c r="J30" s="87"/>
    </row>
    <row r="31" ht="18.75" customHeight="1">
      <c r="A31" s="87"/>
      <c r="B31" s="90"/>
      <c r="C31" s="97" t="str">
        <f>IFERROR(__xludf.DUMMYFUNCTION("""COMPUTED_VALUE"""),"PLDT ANO NAAA")</f>
        <v>PLDT ANO NAAA</v>
      </c>
      <c r="D31" s="95" t="str">
        <f>IFERROR(__xludf.DUMMYFUNCTION("""COMPUTED_VALUE"""),"Shion Yorigami")</f>
        <v>Shion Yorigami</v>
      </c>
      <c r="E31" s="98" t="str">
        <f>IFERROR(__xludf.DUMMYFUNCTION("""COMPUTED_VALUE"""),"iSimp22")</f>
        <v>iSimp22</v>
      </c>
      <c r="F31" s="95" t="str">
        <f>IFERROR(__xludf.DUMMYFUNCTION("""COMPUTED_VALUE"""),"BluNuggets")</f>
        <v>BluNuggets</v>
      </c>
      <c r="G31" s="96"/>
      <c r="H31" s="96"/>
      <c r="I31" s="96"/>
      <c r="J31" s="87"/>
    </row>
    <row r="32" ht="18.75" customHeight="1">
      <c r="A32" s="87"/>
      <c r="B32" s="90"/>
      <c r="C32" s="97" t="str">
        <f>IFERROR(__xludf.DUMMYFUNCTION("""COMPUTED_VALUE"""),"lowrank is my love")</f>
        <v>lowrank is my love</v>
      </c>
      <c r="D32" s="95" t="str">
        <f>IFERROR(__xludf.DUMMYFUNCTION("""COMPUTED_VALUE"""),"Rev1vall")</f>
        <v>Rev1vall</v>
      </c>
      <c r="E32" s="98" t="str">
        <f>IFERROR(__xludf.DUMMYFUNCTION("""COMPUTED_VALUE"""),"Sosedov")</f>
        <v>Sosedov</v>
      </c>
      <c r="F32" s="96"/>
      <c r="G32" s="96"/>
      <c r="H32" s="96"/>
      <c r="I32" s="96"/>
      <c r="J32" s="87"/>
    </row>
    <row r="33" ht="18.75" customHeight="1">
      <c r="A33" s="87"/>
      <c r="B33" s="90"/>
      <c r="C33" s="97" t="str">
        <f>IFERROR(__xludf.DUMMYFUNCTION("""COMPUTED_VALUE"""),"китирики")</f>
        <v>китирики</v>
      </c>
      <c r="D33" s="95" t="str">
        <f>IFERROR(__xludf.DUMMYFUNCTION("""COMPUTED_VALUE"""),"Kl4dys")</f>
        <v>Kl4dys</v>
      </c>
      <c r="E33" s="98" t="str">
        <f>IFERROR(__xludf.DUMMYFUNCTION("""COMPUTED_VALUE"""),"KWIzYiii")</f>
        <v>KWIzYiii</v>
      </c>
      <c r="F33" s="95" t="str">
        <f>IFERROR(__xludf.DUMMYFUNCTION("""COMPUTED_VALUE"""),"Petrovkosta")</f>
        <v>Petrovkosta</v>
      </c>
      <c r="G33" s="96"/>
      <c r="H33" s="96"/>
      <c r="I33" s="96"/>
      <c r="J33" s="87"/>
    </row>
    <row r="34" ht="18.75" customHeight="1">
      <c r="A34" s="87"/>
      <c r="B34" s="90"/>
      <c r="C34" s="97" t="str">
        <f>IFERROR(__xludf.DUMMYFUNCTION("""COMPUTED_VALUE"""),"VN+1")</f>
        <v>VN+1</v>
      </c>
      <c r="D34" s="95" t="str">
        <f>IFERROR(__xludf.DUMMYFUNCTION("""COMPUTED_VALUE"""),"fnugus")</f>
        <v>fnugus</v>
      </c>
      <c r="E34" s="98" t="str">
        <f>IFERROR(__xludf.DUMMYFUNCTION("""COMPUTED_VALUE"""),"RaiRei")</f>
        <v>RaiRei</v>
      </c>
      <c r="F34" s="95" t="str">
        <f>IFERROR(__xludf.DUMMYFUNCTION("""COMPUTED_VALUE"""),"Elfie125")</f>
        <v>Elfie125</v>
      </c>
      <c r="G34" s="96"/>
      <c r="H34" s="96"/>
      <c r="I34" s="96"/>
      <c r="J34" s="87"/>
    </row>
    <row r="35" ht="18.75" customHeight="1">
      <c r="A35" s="87"/>
      <c r="B35" s="90"/>
      <c r="C35" s="97" t="str">
        <f>IFERROR(__xludf.DUMMYFUNCTION("""COMPUTED_VALUE"""),"hmmmm")</f>
        <v>hmmmm</v>
      </c>
      <c r="D35" s="95" t="str">
        <f>IFERROR(__xludf.DUMMYFUNCTION("""COMPUTED_VALUE"""),"VMPR13")</f>
        <v>VMPR13</v>
      </c>
      <c r="E35" s="98" t="str">
        <f>IFERROR(__xludf.DUMMYFUNCTION("""COMPUTED_VALUE"""),"u-litay")</f>
        <v>u-litay</v>
      </c>
      <c r="F35" s="96"/>
      <c r="G35" s="96"/>
      <c r="H35" s="96"/>
      <c r="I35" s="96"/>
      <c r="J35" s="100" t="s">
        <v>121</v>
      </c>
    </row>
    <row r="36" ht="18.75" customHeight="1">
      <c r="A36" s="87"/>
      <c r="B36" s="90"/>
      <c r="C36" s="97" t="str">
        <f>IFERROR(__xludf.DUMMYFUNCTION("""COMPUTED_VALUE"""),"match in 15")</f>
        <v>match in 15</v>
      </c>
      <c r="D36" s="95" t="str">
        <f>IFERROR(__xludf.DUMMYFUNCTION("""COMPUTED_VALUE"""),"X-ill")</f>
        <v>X-ill</v>
      </c>
      <c r="E36" s="98" t="str">
        <f>IFERROR(__xludf.DUMMYFUNCTION("""COMPUTED_VALUE"""),"marshysxn")</f>
        <v>marshysxn</v>
      </c>
      <c r="F36" s="95" t="str">
        <f>IFERROR(__xludf.DUMMYFUNCTION("""COMPUTED_VALUE"""),"felixgg")</f>
        <v>felixgg</v>
      </c>
      <c r="G36" s="96"/>
      <c r="H36" s="96"/>
      <c r="I36" s="96"/>
      <c r="J36" s="87"/>
    </row>
    <row r="37" ht="18.75" customHeight="1">
      <c r="A37" s="87"/>
      <c r="B37" s="90"/>
      <c r="C37" s="97" t="str">
        <f>IFERROR(__xludf.DUMMYFUNCTION("""COMPUTED_VALUE"""),"animefoot69")</f>
        <v>animefoot69</v>
      </c>
      <c r="D37" s="95" t="str">
        <f>IFERROR(__xludf.DUMMYFUNCTION("""COMPUTED_VALUE"""),"cyclone290")</f>
        <v>cyclone290</v>
      </c>
      <c r="E37" s="98" t="str">
        <f>IFERROR(__xludf.DUMMYFUNCTION("""COMPUTED_VALUE"""),"Aever")</f>
        <v>Aever</v>
      </c>
      <c r="F37" s="96"/>
      <c r="G37" s="96"/>
      <c r="H37" s="96"/>
      <c r="I37" s="96"/>
      <c r="J37" s="87"/>
    </row>
    <row r="38" ht="18.75" customHeight="1">
      <c r="A38" s="87"/>
      <c r="B38" s="90"/>
      <c r="C38" s="97" t="str">
        <f>IFERROR(__xludf.DUMMYFUNCTION("""COMPUTED_VALUE"""),"CocoaGoats")</f>
        <v>CocoaGoats</v>
      </c>
      <c r="D38" s="95" t="str">
        <f>IFERROR(__xludf.DUMMYFUNCTION("""COMPUTED_VALUE"""),"Tohkura")</f>
        <v>Tohkura</v>
      </c>
      <c r="E38" s="98" t="str">
        <f>IFERROR(__xludf.DUMMYFUNCTION("""COMPUTED_VALUE"""),"pika_Zero")</f>
        <v>pika_Zero</v>
      </c>
      <c r="F38" s="95" t="str">
        <f>IFERROR(__xludf.DUMMYFUNCTION("""COMPUTED_VALUE"""),"Glaucia")</f>
        <v>Glaucia</v>
      </c>
      <c r="G38" s="96"/>
      <c r="H38" s="96"/>
      <c r="I38" s="96"/>
      <c r="J38" s="87"/>
    </row>
    <row r="39" ht="18.75" customHeight="1">
      <c r="A39" s="87"/>
      <c r="B39" s="90"/>
      <c r="C39" s="97" t="str">
        <f>IFERROR(__xludf.DUMMYFUNCTION("""COMPUTED_VALUE"""),"female ass wrestling")</f>
        <v>female ass wrestling</v>
      </c>
      <c r="D39" s="95" t="str">
        <f>IFERROR(__xludf.DUMMYFUNCTION("""COMPUTED_VALUE"""),"aespect")</f>
        <v>aespect</v>
      </c>
      <c r="E39" s="98" t="str">
        <f>IFERROR(__xludf.DUMMYFUNCTION("""COMPUTED_VALUE"""),"qiyo")</f>
        <v>qiyo</v>
      </c>
      <c r="F39" s="95" t="str">
        <f>IFERROR(__xludf.DUMMYFUNCTION("""COMPUTED_VALUE"""),"not_peder")</f>
        <v>not_peder</v>
      </c>
      <c r="G39" s="96"/>
      <c r="H39" s="96"/>
      <c r="I39" s="96"/>
      <c r="J39" s="87"/>
    </row>
    <row r="40" ht="18.75" customHeight="1">
      <c r="A40" s="87"/>
      <c r="B40" s="90"/>
      <c r="C40" s="97" t="str">
        <f>IFERROR(__xludf.DUMMYFUNCTION("""COMPUTED_VALUE"""),"The Mat Munchers")</f>
        <v>The Mat Munchers</v>
      </c>
      <c r="D40" s="95" t="str">
        <f>IFERROR(__xludf.DUMMYFUNCTION("""COMPUTED_VALUE"""),"foxy1919191919")</f>
        <v>foxy1919191919</v>
      </c>
      <c r="E40" s="98" t="str">
        <f>IFERROR(__xludf.DUMMYFUNCTION("""COMPUTED_VALUE"""),"SneakyDingus")</f>
        <v>SneakyDingus</v>
      </c>
      <c r="F40" s="95" t="str">
        <f>IFERROR(__xludf.DUMMYFUNCTION("""COMPUTED_VALUE"""),"Gwnet")</f>
        <v>Gwnet</v>
      </c>
      <c r="G40" s="96"/>
      <c r="H40" s="96"/>
      <c r="I40" s="96"/>
      <c r="J40" s="87"/>
    </row>
    <row r="41" ht="18.75" customHeight="1">
      <c r="A41" s="87"/>
      <c r="B41" s="90"/>
      <c r="C41" s="97" t="str">
        <f>IFERROR(__xludf.DUMMYFUNCTION("""COMPUTED_VALUE"""),"Faz o L")</f>
        <v>Faz o L</v>
      </c>
      <c r="D41" s="95" t="str">
        <f>IFERROR(__xludf.DUMMYFUNCTION("""COMPUTED_VALUE"""),"jujubinhas2")</f>
        <v>jujubinhas2</v>
      </c>
      <c r="E41" s="98" t="str">
        <f>IFERROR(__xludf.DUMMYFUNCTION("""COMPUTED_VALUE"""),"Iite")</f>
        <v>Iite</v>
      </c>
      <c r="F41" s="95" t="str">
        <f>IFERROR(__xludf.DUMMYFUNCTION("""COMPUTED_VALUE"""),"Sporinho")</f>
        <v>Sporinho</v>
      </c>
      <c r="G41" s="96"/>
      <c r="H41" s="96"/>
      <c r="I41" s="96"/>
      <c r="J41" s="87"/>
    </row>
    <row r="42" ht="18.75" customHeight="1">
      <c r="A42" s="87"/>
      <c r="B42" s="90"/>
      <c r="C42" s="97" t="str">
        <f>IFERROR(__xludf.DUMMYFUNCTION("""COMPUTED_VALUE"""),"The Michis Gang")</f>
        <v>The Michis Gang</v>
      </c>
      <c r="D42" s="95" t="str">
        <f>IFERROR(__xludf.DUMMYFUNCTION("""COMPUTED_VALUE"""),"[MG] Alitzer")</f>
        <v>[MG] Alitzer</v>
      </c>
      <c r="E42" s="98" t="str">
        <f>IFERROR(__xludf.DUMMYFUNCTION("""COMPUTED_VALUE"""),"[MG] Lizeim")</f>
        <v>[MG] Lizeim</v>
      </c>
      <c r="F42" s="96"/>
      <c r="G42" s="96"/>
      <c r="H42" s="96"/>
      <c r="I42" s="96"/>
      <c r="J42" s="87"/>
    </row>
    <row r="43" ht="18.75" customHeight="1">
      <c r="A43" s="87"/>
      <c r="B43" s="90"/>
      <c r="C43" s="97" t="str">
        <f>IFERROR(__xludf.DUMMYFUNCTION("""COMPUTED_VALUE"""),"cake")</f>
        <v>cake</v>
      </c>
      <c r="D43" s="95" t="str">
        <f>IFERROR(__xludf.DUMMYFUNCTION("""COMPUTED_VALUE"""),"No1ruf")</f>
        <v>No1ruf</v>
      </c>
      <c r="E43" s="98" t="str">
        <f>IFERROR(__xludf.DUMMYFUNCTION("""COMPUTED_VALUE"""),"Leonan")</f>
        <v>Leonan</v>
      </c>
      <c r="F43" s="96"/>
      <c r="G43" s="96"/>
      <c r="H43" s="96"/>
      <c r="I43" s="96"/>
      <c r="J43" s="87"/>
    </row>
    <row r="44" ht="18.75" customHeight="1">
      <c r="A44" s="87"/>
      <c r="B44" s="90"/>
      <c r="C44" s="97" t="str">
        <f>IFERROR(__xludf.DUMMYFUNCTION("""COMPUTED_VALUE"""),"Dino Nuggies ")</f>
        <v>Dino Nuggies </v>
      </c>
      <c r="D44" s="95" t="str">
        <f>IFERROR(__xludf.DUMMYFUNCTION("""COMPUTED_VALUE"""),"Therizard")</f>
        <v>Therizard</v>
      </c>
      <c r="E44" s="98" t="str">
        <f>IFERROR(__xludf.DUMMYFUNCTION("""COMPUTED_VALUE"""),"Calibruh03")</f>
        <v>Calibruh03</v>
      </c>
      <c r="F44" s="95" t="str">
        <f>IFERROR(__xludf.DUMMYFUNCTION("""COMPUTED_VALUE"""),"Spudsachi")</f>
        <v>Spudsachi</v>
      </c>
      <c r="G44" s="96"/>
      <c r="H44" s="96"/>
      <c r="I44" s="96"/>
      <c r="J44" s="87"/>
    </row>
    <row r="45" ht="18.75" customHeight="1">
      <c r="A45" s="87"/>
      <c r="B45" s="90"/>
      <c r="C45" s="97" t="str">
        <f>IFERROR(__xludf.DUMMYFUNCTION("""COMPUTED_VALUE"""),"jedrew")</f>
        <v>jedrew</v>
      </c>
      <c r="D45" s="95" t="str">
        <f>IFERROR(__xludf.DUMMYFUNCTION("""COMPUTED_VALUE"""),"jeffreybot")</f>
        <v>jeffreybot</v>
      </c>
      <c r="E45" s="98" t="str">
        <f>IFERROR(__xludf.DUMMYFUNCTION("""COMPUTED_VALUE"""),"CBF45")</f>
        <v>CBF45</v>
      </c>
      <c r="F45" s="96"/>
      <c r="G45" s="96"/>
      <c r="H45" s="96"/>
      <c r="I45" s="96"/>
      <c r="J45" s="87"/>
    </row>
    <row r="46" ht="18.75" customHeight="1">
      <c r="A46" s="87"/>
      <c r="B46" s="90"/>
      <c r="C46" s="97" t="str">
        <f>IFERROR(__xludf.DUMMYFUNCTION("""COMPUTED_VALUE"""),"small wiener club")</f>
        <v>small wiener club</v>
      </c>
      <c r="D46" s="95" t="str">
        <f>IFERROR(__xludf.DUMMYFUNCTION("""COMPUTED_VALUE"""),"SiriusOnly")</f>
        <v>SiriusOnly</v>
      </c>
      <c r="E46" s="98" t="str">
        <f>IFERROR(__xludf.DUMMYFUNCTION("""COMPUTED_VALUE"""),"Kuranami_Kazu")</f>
        <v>Kuranami_Kazu</v>
      </c>
      <c r="F46" s="95" t="str">
        <f>IFERROR(__xludf.DUMMYFUNCTION("""COMPUTED_VALUE"""),"DeathByDarwin")</f>
        <v>DeathByDarwin</v>
      </c>
      <c r="G46" s="96"/>
      <c r="H46" s="96"/>
      <c r="I46" s="96"/>
      <c r="J46" s="87"/>
    </row>
    <row r="47" ht="18.75" customHeight="1">
      <c r="A47" s="87"/>
      <c r="B47" s="90"/>
      <c r="C47" s="97" t="str">
        <f>IFERROR(__xludf.DUMMYFUNCTION("""COMPUTED_VALUE"""),"BallzDeep69")</f>
        <v>BallzDeep69</v>
      </c>
      <c r="D47" s="95" t="str">
        <f>IFERROR(__xludf.DUMMYFUNCTION("""COMPUTED_VALUE"""),"_BlackStar")</f>
        <v>_BlackStar</v>
      </c>
      <c r="E47" s="98" t="str">
        <f>IFERROR(__xludf.DUMMYFUNCTION("""COMPUTED_VALUE"""),"Iamthecabra")</f>
        <v>Iamthecabra</v>
      </c>
      <c r="F47" s="95" t="str">
        <f>IFERROR(__xludf.DUMMYFUNCTION("""COMPUTED_VALUE"""),"Alogi")</f>
        <v>Alogi</v>
      </c>
      <c r="G47" s="96"/>
      <c r="H47" s="96"/>
      <c r="I47" s="96"/>
      <c r="J47" s="87"/>
    </row>
    <row r="48" ht="18.75" customHeight="1">
      <c r="A48" s="87"/>
      <c r="B48" s="90"/>
      <c r="C48" s="97" t="str">
        <f>IFERROR(__xludf.DUMMYFUNCTION("""COMPUTED_VALUE"""),"BLack Agents")</f>
        <v>BLack Agents</v>
      </c>
      <c r="D48" s="95" t="str">
        <f>IFERROR(__xludf.DUMMYFUNCTION("""COMPUTED_VALUE"""),"Article iwnl")</f>
        <v>Article iwnl</v>
      </c>
      <c r="E48" s="98" t="str">
        <f>IFERROR(__xludf.DUMMYFUNCTION("""COMPUTED_VALUE"""),"Xiyang Ye")</f>
        <v>Xiyang Ye</v>
      </c>
      <c r="F48" s="96"/>
      <c r="G48" s="96"/>
      <c r="H48" s="96"/>
      <c r="I48" s="96"/>
      <c r="J48" s="87"/>
    </row>
    <row r="49" ht="18.75" customHeight="1">
      <c r="A49" s="87"/>
      <c r="B49" s="90"/>
      <c r="C49" s="97" t="str">
        <f>IFERROR(__xludf.DUMMYFUNCTION("""COMPUTED_VALUE"""),"LongTreep")</f>
        <v>LongTreep</v>
      </c>
      <c r="D49" s="95" t="str">
        <f>IFERROR(__xludf.DUMMYFUNCTION("""COMPUTED_VALUE"""),"XXVII")</f>
        <v>XXVII</v>
      </c>
      <c r="E49" s="98" t="str">
        <f>IFERROR(__xludf.DUMMYFUNCTION("""COMPUTED_VALUE"""),"SnaME")</f>
        <v>SnaME</v>
      </c>
      <c r="F49" s="95" t="str">
        <f>IFERROR(__xludf.DUMMYFUNCTION("""COMPUTED_VALUE"""),"SnaME")</f>
        <v>SnaME</v>
      </c>
      <c r="G49" s="96"/>
      <c r="H49" s="96"/>
      <c r="I49" s="96"/>
      <c r="J49" s="87"/>
    </row>
    <row r="50" ht="18.75" customHeight="1">
      <c r="A50" s="87"/>
      <c r="B50" s="90"/>
      <c r="C50" s="97" t="str">
        <f>IFERROR(__xludf.DUMMYFUNCTION("""COMPUTED_VALUE"""),"The sleepers")</f>
        <v>The sleepers</v>
      </c>
      <c r="D50" s="95" t="str">
        <f>IFERROR(__xludf.DUMMYFUNCTION("""COMPUTED_VALUE"""),"Alica")</f>
        <v>Alica</v>
      </c>
      <c r="E50" s="98" t="str">
        <f>IFERROR(__xludf.DUMMYFUNCTION("""COMPUTED_VALUE"""),"GreenMelonX")</f>
        <v>GreenMelonX</v>
      </c>
      <c r="F50" s="95" t="str">
        <f>IFERROR(__xludf.DUMMYFUNCTION("""COMPUTED_VALUE"""),"smun")</f>
        <v>smun</v>
      </c>
      <c r="G50" s="96"/>
      <c r="H50" s="96"/>
      <c r="I50" s="96"/>
      <c r="J50" s="87"/>
    </row>
    <row r="51" ht="18.75" customHeight="1">
      <c r="A51" s="87"/>
      <c r="B51" s="90"/>
      <c r="C51" s="97" t="str">
        <f>IFERROR(__xludf.DUMMYFUNCTION("""COMPUTED_VALUE"""),"Cottonpickers")</f>
        <v>Cottonpickers</v>
      </c>
      <c r="D51" s="95" t="str">
        <f>IFERROR(__xludf.DUMMYFUNCTION("""COMPUTED_VALUE"""),"Gilky")</f>
        <v>Gilky</v>
      </c>
      <c r="E51" s="98" t="str">
        <f>IFERROR(__xludf.DUMMYFUNCTION("""COMPUTED_VALUE"""),"StreamsGuru")</f>
        <v>StreamsGuru</v>
      </c>
      <c r="F51" s="96"/>
      <c r="G51" s="96"/>
      <c r="H51" s="96"/>
      <c r="I51" s="96"/>
      <c r="J51" s="87"/>
    </row>
    <row r="52" ht="18.75" customHeight="1">
      <c r="A52" s="87"/>
      <c r="B52" s="90"/>
      <c r="C52" s="97" t="str">
        <f>IFERROR(__xludf.DUMMYFUNCTION("""COMPUTED_VALUE"""),"equipe câo")</f>
        <v>equipe câo</v>
      </c>
      <c r="D52" s="95" t="str">
        <f>IFERROR(__xludf.DUMMYFUNCTION("""COMPUTED_VALUE"""),"KillerLink")</f>
        <v>KillerLink</v>
      </c>
      <c r="E52" s="98" t="str">
        <f>IFERROR(__xludf.DUMMYFUNCTION("""COMPUTED_VALUE"""),"lipeposo")</f>
        <v>lipeposo</v>
      </c>
      <c r="F52" s="95" t="str">
        <f>IFERROR(__xludf.DUMMYFUNCTION("""COMPUTED_VALUE"""),"Ren245")</f>
        <v>Ren245</v>
      </c>
      <c r="G52" s="96"/>
      <c r="H52" s="96"/>
      <c r="I52" s="96"/>
      <c r="J52" s="87"/>
    </row>
    <row r="53" ht="18.75" customHeight="1">
      <c r="A53" s="87"/>
      <c r="B53" s="90"/>
      <c r="C53" s="97" t="str">
        <f>IFERROR(__xludf.DUMMYFUNCTION("""COMPUTED_VALUE"""),"placeholder teamname")</f>
        <v>placeholder teamname</v>
      </c>
      <c r="D53" s="95" t="str">
        <f>IFERROR(__xludf.DUMMYFUNCTION("""COMPUTED_VALUE"""),"Qkiryu")</f>
        <v>Qkiryu</v>
      </c>
      <c r="E53" s="98" t="str">
        <f>IFERROR(__xludf.DUMMYFUNCTION("""COMPUTED_VALUE"""),"FireRed88")</f>
        <v>FireRed88</v>
      </c>
      <c r="F53" s="95" t="str">
        <f>IFERROR(__xludf.DUMMYFUNCTION("""COMPUTED_VALUE"""),"CGXWasTaken")</f>
        <v>CGXWasTaken</v>
      </c>
      <c r="G53" s="96"/>
      <c r="H53" s="96"/>
      <c r="I53" s="96"/>
      <c r="J53" s="87"/>
    </row>
    <row r="54" ht="18.75" customHeight="1">
      <c r="A54" s="87"/>
      <c r="B54" s="90"/>
      <c r="C54" s="97" t="str">
        <f>IFERROR(__xludf.DUMMYFUNCTION("""COMPUTED_VALUE"""),":MIPINGA:")</f>
        <v>:MIPINGA:</v>
      </c>
      <c r="D54" s="95" t="str">
        <f>IFERROR(__xludf.DUMMYFUNCTION("""COMPUTED_VALUE"""),"RAAPslimshady")</f>
        <v>RAAPslimshady</v>
      </c>
      <c r="E54" s="98" t="str">
        <f>IFERROR(__xludf.DUMMYFUNCTION("""COMPUTED_VALUE"""),"Isita")</f>
        <v>Isita</v>
      </c>
      <c r="F54" s="95" t="str">
        <f>IFERROR(__xludf.DUMMYFUNCTION("""COMPUTED_VALUE"""),"Lyxin")</f>
        <v>Lyxin</v>
      </c>
      <c r="G54" s="96"/>
      <c r="H54" s="96"/>
      <c r="I54" s="96"/>
      <c r="J54" s="87"/>
    </row>
    <row r="55" ht="18.75" customHeight="1">
      <c r="A55" s="87"/>
      <c r="B55" s="90"/>
      <c r="C55" s="97" t="str">
        <f>IFERROR(__xludf.DUMMYFUNCTION("""COMPUTED_VALUE"""),"Tom and Jerry")</f>
        <v>Tom and Jerry</v>
      </c>
      <c r="D55" s="95" t="str">
        <f>IFERROR(__xludf.DUMMYFUNCTION("""COMPUTED_VALUE"""),"mblsh")</f>
        <v>mblsh</v>
      </c>
      <c r="E55" s="98" t="str">
        <f>IFERROR(__xludf.DUMMYFUNCTION("""COMPUTED_VALUE"""),"dark cat")</f>
        <v>dark cat</v>
      </c>
      <c r="F55" s="96"/>
      <c r="G55" s="96"/>
      <c r="H55" s="96"/>
      <c r="I55" s="96"/>
      <c r="J55" s="87"/>
    </row>
    <row r="56" ht="18.75" customHeight="1">
      <c r="A56" s="87"/>
      <c r="B56" s="90"/>
      <c r="C56" s="97" t="str">
        <f>IFERROR(__xludf.DUMMYFUNCTION("""COMPUTED_VALUE"""),"Our team left us")</f>
        <v>Our team left us</v>
      </c>
      <c r="D56" s="95" t="str">
        <f>IFERROR(__xludf.DUMMYFUNCTION("""COMPUTED_VALUE"""),"SealDeGawd")</f>
        <v>SealDeGawd</v>
      </c>
      <c r="E56" s="98" t="str">
        <f>IFERROR(__xludf.DUMMYFUNCTION("""COMPUTED_VALUE"""),"asdfuhuo")</f>
        <v>asdfuhuo</v>
      </c>
      <c r="F56" s="96"/>
      <c r="G56" s="96"/>
      <c r="H56" s="96"/>
      <c r="I56" s="96"/>
      <c r="J56" s="87"/>
    </row>
    <row r="57" ht="18.75" customHeight="1">
      <c r="A57" s="87"/>
      <c r="B57" s="90"/>
      <c r="C57" s="97" t="str">
        <f>IFERROR(__xludf.DUMMYFUNCTION("""COMPUTED_VALUE"""),"The 3-star Threats")</f>
        <v>The 3-star Threats</v>
      </c>
      <c r="D57" s="95" t="str">
        <f>IFERROR(__xludf.DUMMYFUNCTION("""COMPUTED_VALUE"""),"bonnflow")</f>
        <v>bonnflow</v>
      </c>
      <c r="E57" s="98" t="str">
        <f>IFERROR(__xludf.DUMMYFUNCTION("""COMPUTED_VALUE"""),"DarkHalis9")</f>
        <v>DarkHalis9</v>
      </c>
      <c r="F57" s="95" t="str">
        <f>IFERROR(__xludf.DUMMYFUNCTION("""COMPUTED_VALUE"""),"maicon192011")</f>
        <v>maicon192011</v>
      </c>
      <c r="G57" s="96"/>
      <c r="H57" s="96"/>
      <c r="I57" s="96"/>
      <c r="J57" s="87"/>
    </row>
    <row r="58" ht="18.75" customHeight="1">
      <c r="A58" s="87"/>
      <c r="B58" s="90"/>
      <c r="C58" s="97" t="str">
        <f>IFERROR(__xludf.DUMMYFUNCTION("""COMPUTED_VALUE"""),"Here Forever")</f>
        <v>Here Forever</v>
      </c>
      <c r="D58" s="95" t="str">
        <f>IFERROR(__xludf.DUMMYFUNCTION("""COMPUTED_VALUE"""),"Riidolsk")</f>
        <v>Riidolsk</v>
      </c>
      <c r="E58" s="98" t="str">
        <f>IFERROR(__xludf.DUMMYFUNCTION("""COMPUTED_VALUE"""),"Kyarma")</f>
        <v>Kyarma</v>
      </c>
      <c r="F58" s="95" t="str">
        <f>IFERROR(__xludf.DUMMYFUNCTION("""COMPUTED_VALUE"""),"stupid femboy")</f>
        <v>stupid femboy</v>
      </c>
      <c r="G58" s="96"/>
      <c r="H58" s="96"/>
      <c r="I58" s="96"/>
      <c r="J58" s="87"/>
    </row>
    <row r="59" ht="18.75" customHeight="1">
      <c r="A59" s="87"/>
      <c r="B59" s="90"/>
      <c r="C59" s="97" t="str">
        <f>IFERROR(__xludf.DUMMYFUNCTION("""COMPUTED_VALUE"""),"Angleseekers")</f>
        <v>Angleseekers</v>
      </c>
      <c r="D59" s="95" t="str">
        <f>IFERROR(__xludf.DUMMYFUNCTION("""COMPUTED_VALUE"""),"Newtech66")</f>
        <v>Newtech66</v>
      </c>
      <c r="E59" s="98" t="str">
        <f>IFERROR(__xludf.DUMMYFUNCTION("""COMPUTED_VALUE"""),"spicyparatha")</f>
        <v>spicyparatha</v>
      </c>
      <c r="F59" s="96"/>
      <c r="G59" s="96"/>
      <c r="H59" s="96"/>
      <c r="I59" s="96"/>
      <c r="J59" s="87"/>
    </row>
    <row r="60" ht="18.75" customHeight="1">
      <c r="A60" s="87"/>
      <c r="B60" s="90"/>
      <c r="C60" s="97" t="str">
        <f>IFERROR(__xludf.DUMMYFUNCTION("""COMPUTED_VALUE"""),"Skills issue")</f>
        <v>Skills issue</v>
      </c>
      <c r="D60" s="95" t="str">
        <f>IFERROR(__xludf.DUMMYFUNCTION("""COMPUTED_VALUE"""),"duckcute0902")</f>
        <v>duckcute0902</v>
      </c>
      <c r="E60" s="98" t="str">
        <f>IFERROR(__xludf.DUMMYFUNCTION("""COMPUTED_VALUE"""),"Laplus Enjoyer")</f>
        <v>Laplus Enjoyer</v>
      </c>
      <c r="F60" s="95" t="str">
        <f>IFERROR(__xludf.DUMMYFUNCTION("""COMPUTED_VALUE"""),"Cessna")</f>
        <v>Cessna</v>
      </c>
      <c r="G60" s="96"/>
      <c r="H60" s="96"/>
      <c r="I60" s="96"/>
      <c r="J60" s="87"/>
    </row>
    <row r="61" ht="18.75" customHeight="1">
      <c r="A61" s="87"/>
      <c r="B61" s="90"/>
      <c r="C61" s="97" t="str">
        <f>IFERROR(__xludf.DUMMYFUNCTION("""COMPUTED_VALUE"""),"APELPIES MY MOMMY")</f>
        <v>APELPIES MY MOMMY</v>
      </c>
      <c r="D61" s="95" t="str">
        <f>IFERROR(__xludf.DUMMYFUNCTION("""COMPUTED_VALUE"""),"TheGrabi")</f>
        <v>TheGrabi</v>
      </c>
      <c r="E61" s="98" t="str">
        <f>IFERROR(__xludf.DUMMYFUNCTION("""COMPUTED_VALUE"""),"Miryuo")</f>
        <v>Miryuo</v>
      </c>
      <c r="F61" s="95" t="str">
        <f>IFERROR(__xludf.DUMMYFUNCTION("""COMPUTED_VALUE"""),"apelpies")</f>
        <v>apelpies</v>
      </c>
      <c r="G61" s="96"/>
      <c r="H61" s="96"/>
      <c r="I61" s="96"/>
      <c r="J61" s="87"/>
    </row>
    <row r="62" ht="18.75" customHeight="1">
      <c r="A62" s="87"/>
      <c r="B62" s="90"/>
      <c r="C62" s="97" t="str">
        <f>IFERROR(__xludf.DUMMYFUNCTION("""COMPUTED_VALUE"""),"Untitled Document")</f>
        <v>Untitled Document</v>
      </c>
      <c r="D62" s="95" t="str">
        <f>IFERROR(__xludf.DUMMYFUNCTION("""COMPUTED_VALUE"""),"CavemanOof")</f>
        <v>CavemanOof</v>
      </c>
      <c r="E62" s="98" t="str">
        <f>IFERROR(__xludf.DUMMYFUNCTION("""COMPUTED_VALUE"""),"ASURAX10")</f>
        <v>ASURAX10</v>
      </c>
      <c r="F62" s="96"/>
      <c r="G62" s="96"/>
      <c r="H62" s="96"/>
      <c r="I62" s="96"/>
      <c r="J62" s="87"/>
    </row>
    <row r="63" ht="18.75" customHeight="1">
      <c r="A63" s="87"/>
      <c r="B63" s="90"/>
      <c r="C63" s="97" t="str">
        <f>IFERROR(__xludf.DUMMYFUNCTION("""COMPUTED_VALUE"""),"underdogs ")</f>
        <v>underdogs </v>
      </c>
      <c r="D63" s="95" t="str">
        <f>IFERROR(__xludf.DUMMYFUNCTION("""COMPUTED_VALUE"""),"Hatchi115")</f>
        <v>Hatchi115</v>
      </c>
      <c r="E63" s="98" t="str">
        <f>IFERROR(__xludf.DUMMYFUNCTION("""COMPUTED_VALUE"""),"Yeayea")</f>
        <v>Yeayea</v>
      </c>
      <c r="F63" s="96"/>
      <c r="G63" s="96"/>
      <c r="H63" s="96"/>
      <c r="I63" s="96"/>
      <c r="J63" s="87"/>
    </row>
    <row r="64" ht="18.75" customHeight="1">
      <c r="A64" s="87"/>
      <c r="B64" s="90"/>
      <c r="C64" s="97" t="str">
        <f>IFERROR(__xludf.DUMMYFUNCTION("""COMPUTED_VALUE"""),"Minor assault squad")</f>
        <v>Minor assault squad</v>
      </c>
      <c r="D64" s="95" t="str">
        <f>IFERROR(__xludf.DUMMYFUNCTION("""COMPUTED_VALUE"""),"007dodo")</f>
        <v>007dodo</v>
      </c>
      <c r="E64" s="98" t="str">
        <f>IFERROR(__xludf.DUMMYFUNCTION("""COMPUTED_VALUE"""),"-Shichimiya-")</f>
        <v>-Shichimiya-</v>
      </c>
      <c r="F64" s="95" t="str">
        <f>IFERROR(__xludf.DUMMYFUNCTION("""COMPUTED_VALUE"""),"Skillerix")</f>
        <v>Skillerix</v>
      </c>
      <c r="G64" s="96"/>
      <c r="H64" s="96"/>
      <c r="I64" s="96"/>
      <c r="J64" s="87"/>
    </row>
    <row r="65" ht="18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</row>
  </sheetData>
  <hyperlinks>
    <hyperlink r:id="rId1" ref="D4"/>
    <hyperlink r:id="rId2" ref="E4"/>
    <hyperlink r:id="rId3" ref="F4"/>
    <hyperlink r:id="rId4" ref="D5"/>
    <hyperlink r:id="rId5" ref="E5"/>
    <hyperlink r:id="rId6" ref="F5"/>
    <hyperlink r:id="rId7" ref="D6"/>
    <hyperlink r:id="rId8" ref="E6"/>
    <hyperlink r:id="rId9" ref="F6"/>
    <hyperlink r:id="rId10" ref="D7"/>
    <hyperlink r:id="rId11" ref="E7"/>
    <hyperlink r:id="rId12" ref="F7"/>
    <hyperlink r:id="rId13" ref="D8"/>
    <hyperlink r:id="rId14" ref="E8"/>
    <hyperlink r:id="rId15" ref="D9"/>
    <hyperlink r:id="rId16" ref="E9"/>
    <hyperlink r:id="rId17" ref="F9"/>
    <hyperlink r:id="rId18" ref="D10"/>
    <hyperlink r:id="rId19" ref="E10"/>
    <hyperlink r:id="rId20" ref="F10"/>
    <hyperlink r:id="rId21" ref="D11"/>
    <hyperlink r:id="rId22" ref="E11"/>
    <hyperlink r:id="rId23" ref="D12"/>
    <hyperlink r:id="rId24" ref="E12"/>
    <hyperlink r:id="rId25" ref="F12"/>
    <hyperlink r:id="rId26" ref="D13"/>
    <hyperlink r:id="rId27" ref="E13"/>
    <hyperlink r:id="rId28" ref="F13"/>
    <hyperlink r:id="rId29" ref="D14"/>
    <hyperlink r:id="rId30" ref="E14"/>
    <hyperlink r:id="rId31" ref="D15"/>
    <hyperlink r:id="rId32" ref="E15"/>
    <hyperlink r:id="rId33" ref="F15"/>
    <hyperlink r:id="rId34" ref="D16"/>
    <hyperlink r:id="rId35" ref="E16"/>
    <hyperlink r:id="rId36" ref="F16"/>
    <hyperlink r:id="rId37" ref="D17"/>
    <hyperlink r:id="rId38" ref="E17"/>
    <hyperlink r:id="rId39" ref="F17"/>
    <hyperlink r:id="rId40" ref="D18"/>
    <hyperlink r:id="rId41" ref="E18"/>
    <hyperlink r:id="rId42" ref="F18"/>
    <hyperlink r:id="rId43" ref="D19"/>
    <hyperlink r:id="rId44" ref="E19"/>
    <hyperlink r:id="rId45" ref="F19"/>
    <hyperlink r:id="rId46" ref="D20"/>
    <hyperlink r:id="rId47" ref="E20"/>
    <hyperlink r:id="rId48" ref="F20"/>
    <hyperlink r:id="rId49" ref="D21"/>
    <hyperlink r:id="rId50" ref="E21"/>
    <hyperlink r:id="rId51" ref="F21"/>
    <hyperlink r:id="rId52" ref="D22"/>
    <hyperlink r:id="rId53" ref="E22"/>
    <hyperlink r:id="rId54" ref="F22"/>
    <hyperlink r:id="rId55" ref="D23"/>
    <hyperlink r:id="rId56" ref="E23"/>
    <hyperlink r:id="rId57" ref="F23"/>
    <hyperlink r:id="rId58" ref="D24"/>
    <hyperlink r:id="rId59" ref="E24"/>
    <hyperlink r:id="rId60" ref="F24"/>
    <hyperlink r:id="rId61" ref="D25"/>
    <hyperlink r:id="rId62" ref="E25"/>
    <hyperlink r:id="rId63" ref="D26"/>
    <hyperlink r:id="rId64" ref="E26"/>
    <hyperlink r:id="rId65" ref="D27"/>
    <hyperlink r:id="rId66" ref="E27"/>
    <hyperlink r:id="rId67" ref="F27"/>
    <hyperlink r:id="rId68" ref="D28"/>
    <hyperlink r:id="rId69" ref="E28"/>
    <hyperlink r:id="rId70" ref="F28"/>
    <hyperlink r:id="rId71" ref="D29"/>
    <hyperlink r:id="rId72" ref="E29"/>
    <hyperlink r:id="rId73" ref="F29"/>
    <hyperlink r:id="rId74" ref="D30"/>
    <hyperlink r:id="rId75" ref="E30"/>
    <hyperlink r:id="rId76" ref="F30"/>
    <hyperlink r:id="rId77" ref="D31"/>
    <hyperlink r:id="rId78" ref="E31"/>
    <hyperlink r:id="rId79" ref="F31"/>
    <hyperlink r:id="rId80" ref="D32"/>
    <hyperlink r:id="rId81" ref="E32"/>
    <hyperlink r:id="rId82" ref="D33"/>
    <hyperlink r:id="rId83" ref="E33"/>
    <hyperlink r:id="rId84" ref="F33"/>
    <hyperlink r:id="rId85" ref="D34"/>
    <hyperlink r:id="rId86" ref="E34"/>
    <hyperlink r:id="rId87" ref="F34"/>
    <hyperlink r:id="rId88" ref="D35"/>
    <hyperlink r:id="rId89" ref="E35"/>
    <hyperlink r:id="rId90" ref="D36"/>
    <hyperlink r:id="rId91" ref="E36"/>
    <hyperlink r:id="rId92" ref="F36"/>
    <hyperlink r:id="rId93" ref="D37"/>
    <hyperlink r:id="rId94" ref="E37"/>
    <hyperlink r:id="rId95" ref="D38"/>
    <hyperlink r:id="rId96" ref="E38"/>
    <hyperlink r:id="rId97" ref="F38"/>
    <hyperlink r:id="rId98" ref="D39"/>
    <hyperlink r:id="rId99" ref="E39"/>
    <hyperlink r:id="rId100" ref="F39"/>
    <hyperlink r:id="rId101" ref="D40"/>
    <hyperlink r:id="rId102" ref="E40"/>
    <hyperlink r:id="rId103" ref="F40"/>
    <hyperlink r:id="rId104" ref="D41"/>
    <hyperlink r:id="rId105" ref="E41"/>
    <hyperlink r:id="rId106" ref="F41"/>
    <hyperlink r:id="rId107" ref="D42"/>
    <hyperlink r:id="rId108" ref="E42"/>
    <hyperlink r:id="rId109" ref="D43"/>
    <hyperlink r:id="rId110" ref="E43"/>
    <hyperlink r:id="rId111" ref="D44"/>
    <hyperlink r:id="rId112" ref="E44"/>
    <hyperlink r:id="rId113" ref="F44"/>
    <hyperlink r:id="rId114" ref="D45"/>
    <hyperlink r:id="rId115" ref="E45"/>
    <hyperlink r:id="rId116" ref="D46"/>
    <hyperlink r:id="rId117" ref="E46"/>
    <hyperlink r:id="rId118" ref="F46"/>
    <hyperlink r:id="rId119" ref="D47"/>
    <hyperlink r:id="rId120" ref="E47"/>
    <hyperlink r:id="rId121" ref="F47"/>
    <hyperlink r:id="rId122" ref="D48"/>
    <hyperlink r:id="rId123" ref="E48"/>
    <hyperlink r:id="rId124" ref="D49"/>
    <hyperlink r:id="rId125" ref="E49"/>
    <hyperlink r:id="rId126" ref="F49"/>
    <hyperlink r:id="rId127" ref="D50"/>
    <hyperlink r:id="rId128" ref="E50"/>
    <hyperlink r:id="rId129" ref="F50"/>
    <hyperlink r:id="rId130" ref="D51"/>
    <hyperlink r:id="rId131" ref="E51"/>
    <hyperlink r:id="rId132" ref="D52"/>
    <hyperlink r:id="rId133" ref="E52"/>
    <hyperlink r:id="rId134" ref="F52"/>
    <hyperlink r:id="rId135" ref="D53"/>
    <hyperlink r:id="rId136" ref="E53"/>
    <hyperlink r:id="rId137" ref="F53"/>
    <hyperlink r:id="rId138" ref="D54"/>
    <hyperlink r:id="rId139" ref="E54"/>
    <hyperlink r:id="rId140" ref="F54"/>
    <hyperlink r:id="rId141" ref="D55"/>
    <hyperlink r:id="rId142" ref="E55"/>
    <hyperlink r:id="rId143" ref="D56"/>
    <hyperlink r:id="rId144" ref="E56"/>
    <hyperlink r:id="rId145" ref="D57"/>
    <hyperlink r:id="rId146" ref="E57"/>
    <hyperlink r:id="rId147" ref="F57"/>
    <hyperlink r:id="rId148" ref="D58"/>
    <hyperlink r:id="rId149" ref="E58"/>
    <hyperlink r:id="rId150" ref="F58"/>
    <hyperlink r:id="rId151" ref="D59"/>
    <hyperlink r:id="rId152" ref="E59"/>
    <hyperlink r:id="rId153" ref="D60"/>
    <hyperlink r:id="rId154" ref="E60"/>
    <hyperlink r:id="rId155" ref="F60"/>
    <hyperlink r:id="rId156" ref="D61"/>
    <hyperlink r:id="rId157" ref="E61"/>
    <hyperlink r:id="rId158" ref="F61"/>
    <hyperlink r:id="rId159" ref="D62"/>
    <hyperlink r:id="rId160" ref="E62"/>
    <hyperlink r:id="rId161" ref="D63"/>
    <hyperlink r:id="rId162" ref="E63"/>
    <hyperlink r:id="rId163" ref="D64"/>
    <hyperlink r:id="rId164" ref="E64"/>
    <hyperlink r:id="rId165" ref="F64"/>
  </hyperlinks>
  <drawing r:id="rId1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5"/>
    <col customWidth="1" min="3" max="3" width="6.38"/>
    <col customWidth="1" min="4" max="4" width="8.88"/>
    <col customWidth="1" min="5" max="5" width="16.5"/>
    <col customWidth="1" min="6" max="6" width="6.38"/>
    <col customWidth="1" min="7" max="7" width="15.13"/>
    <col customWidth="1" min="8" max="13" width="15.75"/>
    <col customWidth="1" min="14" max="14" width="3.63"/>
  </cols>
  <sheetData>
    <row r="1">
      <c r="A1" s="101" t="s">
        <v>151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1" t="s">
        <v>121</v>
      </c>
      <c r="N1" s="102"/>
    </row>
    <row r="2">
      <c r="A2" s="102"/>
      <c r="B2" s="102"/>
      <c r="C2" s="103" t="s">
        <v>14</v>
      </c>
      <c r="D2" s="11"/>
      <c r="E2" s="11"/>
      <c r="F2" s="11"/>
      <c r="G2" s="11"/>
      <c r="H2" s="11"/>
      <c r="I2" s="11"/>
      <c r="J2" s="102"/>
      <c r="K2" s="104" t="str">
        <f>"Teams Scheduled : " &amp; COUNTA(H5:L51)</f>
        <v>Teams Scheduled : 58</v>
      </c>
      <c r="L2" s="11"/>
      <c r="M2" s="101"/>
      <c r="N2" s="102"/>
    </row>
    <row r="3">
      <c r="A3" s="102"/>
      <c r="B3" s="102"/>
      <c r="C3" s="105"/>
      <c r="D3" s="105"/>
      <c r="E3" s="106" t="s">
        <v>152</v>
      </c>
      <c r="F3" s="106" t="s">
        <v>15</v>
      </c>
      <c r="G3" s="107"/>
      <c r="H3" s="105"/>
      <c r="I3" s="105"/>
      <c r="J3" s="105"/>
      <c r="K3" s="105"/>
      <c r="L3" s="105"/>
      <c r="M3" s="105"/>
      <c r="N3" s="102"/>
    </row>
    <row r="4">
      <c r="A4" s="102"/>
      <c r="B4" s="102"/>
      <c r="C4" s="108" t="s">
        <v>16</v>
      </c>
      <c r="D4" s="109" t="s">
        <v>17</v>
      </c>
      <c r="E4" s="110" t="s">
        <v>18</v>
      </c>
      <c r="F4" s="111" t="s">
        <v>19</v>
      </c>
      <c r="G4" s="109" t="s">
        <v>20</v>
      </c>
      <c r="H4" s="110" t="s">
        <v>21</v>
      </c>
      <c r="I4" s="110" t="s">
        <v>22</v>
      </c>
      <c r="J4" s="110" t="s">
        <v>23</v>
      </c>
      <c r="K4" s="110" t="s">
        <v>24</v>
      </c>
      <c r="L4" s="110" t="s">
        <v>25</v>
      </c>
      <c r="M4" s="112" t="s">
        <v>26</v>
      </c>
      <c r="N4" s="102"/>
    </row>
    <row r="5">
      <c r="A5" s="113" t="s">
        <v>27</v>
      </c>
      <c r="B5" s="102"/>
      <c r="C5" s="114" t="s">
        <v>28</v>
      </c>
      <c r="D5" s="115" t="str">
        <f>IF(COUNTIF(H5:L5,"*") = 0, "-", COUNTIF($H$5:$L$5,"*") &amp;" / 5")</f>
        <v>-</v>
      </c>
      <c r="E5" s="116">
        <v>45150.0</v>
      </c>
      <c r="F5" s="117" t="s">
        <v>153</v>
      </c>
      <c r="G5" s="115" t="s">
        <v>142</v>
      </c>
      <c r="H5" s="118"/>
      <c r="I5" s="118"/>
      <c r="J5" s="118"/>
      <c r="K5" s="118"/>
      <c r="L5" s="118"/>
      <c r="M5" s="119"/>
      <c r="N5" s="102"/>
    </row>
    <row r="6">
      <c r="A6" s="34"/>
      <c r="B6" s="102"/>
      <c r="C6" s="114" t="s">
        <v>33</v>
      </c>
      <c r="D6" s="115" t="str">
        <f t="shared" ref="D6:D8" si="1">IF(COUNTIF(H6:L6,"*") = 0, "-", COUNTIF(H6:L6,"*") &amp;" / 5")</f>
        <v>3 / 5</v>
      </c>
      <c r="E6" s="116">
        <v>45150.0</v>
      </c>
      <c r="F6" s="117" t="s">
        <v>154</v>
      </c>
      <c r="G6" s="115" t="s">
        <v>142</v>
      </c>
      <c r="H6" s="118" t="s">
        <v>155</v>
      </c>
      <c r="I6" s="118" t="s">
        <v>156</v>
      </c>
      <c r="J6" s="118" t="s">
        <v>157</v>
      </c>
      <c r="K6" s="118"/>
      <c r="L6" s="118"/>
      <c r="M6" s="120" t="str">
        <f t="shared" ref="M6:M8" si="2">iferror(INDIRECT("'"&amp;C6&amp;"'!C3"),"")</f>
        <v>https://osu.ppy.sh/community/matches/109952322</v>
      </c>
      <c r="N6" s="101" t="b">
        <v>1</v>
      </c>
    </row>
    <row r="7">
      <c r="A7" s="34"/>
      <c r="B7" s="102"/>
      <c r="C7" s="114" t="s">
        <v>34</v>
      </c>
      <c r="D7" s="115" t="str">
        <f t="shared" si="1"/>
        <v>1 / 5</v>
      </c>
      <c r="E7" s="116">
        <v>45150.0</v>
      </c>
      <c r="F7" s="117" t="s">
        <v>158</v>
      </c>
      <c r="G7" s="115" t="s">
        <v>132</v>
      </c>
      <c r="H7" s="118" t="s">
        <v>159</v>
      </c>
      <c r="I7" s="118"/>
      <c r="J7" s="118"/>
      <c r="K7" s="118"/>
      <c r="L7" s="118"/>
      <c r="M7" s="120" t="str">
        <f t="shared" si="2"/>
        <v>https://osu.ppy.sh/mp/109953545</v>
      </c>
      <c r="N7" s="101" t="b">
        <v>1</v>
      </c>
    </row>
    <row r="8">
      <c r="A8" s="34"/>
      <c r="B8" s="102"/>
      <c r="C8" s="114" t="s">
        <v>35</v>
      </c>
      <c r="D8" s="115" t="str">
        <f t="shared" si="1"/>
        <v>1 / 5</v>
      </c>
      <c r="E8" s="116">
        <v>45150.0</v>
      </c>
      <c r="F8" s="117" t="s">
        <v>160</v>
      </c>
      <c r="G8" s="115" t="s">
        <v>147</v>
      </c>
      <c r="H8" s="118" t="s">
        <v>161</v>
      </c>
      <c r="I8" s="118"/>
      <c r="J8" s="118"/>
      <c r="K8" s="118"/>
      <c r="L8" s="118"/>
      <c r="M8" s="120" t="str">
        <f t="shared" si="2"/>
        <v>https://osu.ppy.sh/community/matches/109954652</v>
      </c>
      <c r="N8" s="101" t="b">
        <v>1</v>
      </c>
    </row>
    <row r="9">
      <c r="A9" s="34"/>
      <c r="B9" s="102"/>
      <c r="C9" s="114" t="s">
        <v>36</v>
      </c>
      <c r="D9" s="115"/>
      <c r="E9" s="116">
        <v>45150.0</v>
      </c>
      <c r="F9" s="117" t="s">
        <v>162</v>
      </c>
      <c r="G9" s="115" t="s">
        <v>138</v>
      </c>
      <c r="H9" s="118"/>
      <c r="I9" s="118"/>
      <c r="J9" s="118"/>
      <c r="K9" s="118"/>
      <c r="L9" s="118"/>
      <c r="M9" s="119"/>
      <c r="N9" s="102"/>
    </row>
    <row r="10">
      <c r="A10" s="34"/>
      <c r="B10" s="102"/>
      <c r="C10" s="114" t="s">
        <v>37</v>
      </c>
      <c r="D10" s="115" t="str">
        <f t="shared" ref="D10:D16" si="3">IF(COUNTIF(H10:L10,"*") = 0, "-", COUNTIF(H10:L10,"*") &amp;" / 5")</f>
        <v>1 / 5</v>
      </c>
      <c r="E10" s="116">
        <v>45150.0</v>
      </c>
      <c r="F10" s="117" t="s">
        <v>163</v>
      </c>
      <c r="G10" s="115" t="s">
        <v>145</v>
      </c>
      <c r="H10" s="118" t="s">
        <v>164</v>
      </c>
      <c r="I10" s="118"/>
      <c r="J10" s="118"/>
      <c r="K10" s="118"/>
      <c r="L10" s="118"/>
      <c r="M10" s="120" t="str">
        <f t="shared" ref="M10:M12" si="4">iferror(INDIRECT("'"&amp;C10&amp;"'!C3"),"")</f>
        <v>https://osu.ppy.sh/mp/109956626</v>
      </c>
      <c r="N10" s="101" t="b">
        <v>1</v>
      </c>
    </row>
    <row r="11">
      <c r="A11" s="34"/>
      <c r="B11" s="102"/>
      <c r="C11" s="114" t="s">
        <v>38</v>
      </c>
      <c r="D11" s="115" t="str">
        <f t="shared" si="3"/>
        <v>3 / 5</v>
      </c>
      <c r="E11" s="116">
        <v>45150.0</v>
      </c>
      <c r="F11" s="117" t="s">
        <v>165</v>
      </c>
      <c r="G11" s="115" t="s">
        <v>145</v>
      </c>
      <c r="H11" s="121" t="s">
        <v>166</v>
      </c>
      <c r="I11" s="121" t="s">
        <v>167</v>
      </c>
      <c r="J11" s="121" t="s">
        <v>168</v>
      </c>
      <c r="K11" s="118"/>
      <c r="L11" s="118"/>
      <c r="M11" s="120" t="str">
        <f t="shared" si="4"/>
        <v>https://osu.ppy.sh/mp/109957596</v>
      </c>
      <c r="N11" s="101" t="b">
        <v>1</v>
      </c>
    </row>
    <row r="12">
      <c r="A12" s="34"/>
      <c r="B12" s="102"/>
      <c r="C12" s="114" t="s">
        <v>39</v>
      </c>
      <c r="D12" s="115" t="str">
        <f t="shared" si="3"/>
        <v>3 / 5</v>
      </c>
      <c r="E12" s="116">
        <v>45150.0</v>
      </c>
      <c r="F12" s="117" t="s">
        <v>169</v>
      </c>
      <c r="G12" s="115" t="s">
        <v>148</v>
      </c>
      <c r="H12" s="118" t="s">
        <v>170</v>
      </c>
      <c r="I12" s="121" t="s">
        <v>171</v>
      </c>
      <c r="J12" s="121" t="s">
        <v>172</v>
      </c>
      <c r="K12" s="118"/>
      <c r="L12" s="118"/>
      <c r="M12" s="120" t="str">
        <f t="shared" si="4"/>
        <v>https://osu.ppy.sh/community/matches/109959176</v>
      </c>
      <c r="N12" s="101" t="b">
        <v>1</v>
      </c>
    </row>
    <row r="13">
      <c r="A13" s="34"/>
      <c r="B13" s="102"/>
      <c r="C13" s="114" t="s">
        <v>40</v>
      </c>
      <c r="D13" s="115" t="str">
        <f t="shared" si="3"/>
        <v>-</v>
      </c>
      <c r="E13" s="116">
        <v>45150.0</v>
      </c>
      <c r="F13" s="117" t="s">
        <v>173</v>
      </c>
      <c r="G13" s="115" t="s">
        <v>148</v>
      </c>
      <c r="H13" s="118"/>
      <c r="I13" s="118"/>
      <c r="J13" s="118"/>
      <c r="K13" s="118"/>
      <c r="L13" s="118"/>
      <c r="M13" s="119"/>
      <c r="N13" s="102"/>
    </row>
    <row r="14">
      <c r="A14" s="34"/>
      <c r="B14" s="102"/>
      <c r="C14" s="114" t="s">
        <v>41</v>
      </c>
      <c r="D14" s="115" t="str">
        <f t="shared" si="3"/>
        <v>1 / 5</v>
      </c>
      <c r="E14" s="116">
        <v>45150.0</v>
      </c>
      <c r="F14" s="117" t="s">
        <v>174</v>
      </c>
      <c r="G14" s="115" t="s">
        <v>128</v>
      </c>
      <c r="H14" s="118" t="s">
        <v>175</v>
      </c>
      <c r="I14" s="118"/>
      <c r="J14" s="118"/>
      <c r="K14" s="118"/>
      <c r="L14" s="118"/>
      <c r="M14" s="120" t="str">
        <f t="shared" ref="M14:M16" si="5">iferror(INDIRECT("'"&amp;C14&amp;"'!C3"),"")</f>
        <v>https://osu.ppy.sh/community/matches/109962867</v>
      </c>
      <c r="N14" s="101" t="b">
        <v>1</v>
      </c>
    </row>
    <row r="15">
      <c r="A15" s="34"/>
      <c r="B15" s="102"/>
      <c r="C15" s="114" t="s">
        <v>176</v>
      </c>
      <c r="D15" s="115" t="str">
        <f t="shared" si="3"/>
        <v>3 / 5</v>
      </c>
      <c r="E15" s="116">
        <v>45150.0</v>
      </c>
      <c r="F15" s="117" t="s">
        <v>177</v>
      </c>
      <c r="G15" s="115" t="s">
        <v>126</v>
      </c>
      <c r="H15" s="118" t="s">
        <v>178</v>
      </c>
      <c r="I15" s="118" t="s">
        <v>179</v>
      </c>
      <c r="J15" s="118" t="s">
        <v>180</v>
      </c>
      <c r="K15" s="118"/>
      <c r="L15" s="118"/>
      <c r="M15" s="120" t="str">
        <f t="shared" si="5"/>
        <v>https://osu.ppy.sh/community/matches/109964348</v>
      </c>
      <c r="N15" s="101" t="b">
        <v>1</v>
      </c>
    </row>
    <row r="16">
      <c r="A16" s="36"/>
      <c r="B16" s="102"/>
      <c r="C16" s="114" t="s">
        <v>181</v>
      </c>
      <c r="D16" s="115" t="str">
        <f t="shared" si="3"/>
        <v>1 / 5</v>
      </c>
      <c r="E16" s="116">
        <v>45150.0</v>
      </c>
      <c r="F16" s="117" t="s">
        <v>182</v>
      </c>
      <c r="G16" s="115" t="s">
        <v>126</v>
      </c>
      <c r="H16" s="118" t="s">
        <v>183</v>
      </c>
      <c r="I16" s="118"/>
      <c r="J16" s="118"/>
      <c r="K16" s="118"/>
      <c r="L16" s="118"/>
      <c r="M16" s="120" t="str">
        <f t="shared" si="5"/>
        <v>https://osu.ppy.sh/community/matches/109966515</v>
      </c>
      <c r="N16" s="101" t="b">
        <v>1</v>
      </c>
    </row>
    <row r="17">
      <c r="A17" s="102"/>
      <c r="B17" s="102"/>
      <c r="D17" s="115"/>
      <c r="E17" s="122"/>
      <c r="F17" s="117"/>
      <c r="G17" s="115"/>
      <c r="H17" s="118"/>
      <c r="I17" s="118"/>
      <c r="J17" s="118"/>
      <c r="K17" s="118"/>
      <c r="L17" s="118"/>
      <c r="M17" s="119"/>
      <c r="N17" s="102"/>
    </row>
    <row r="18">
      <c r="A18" s="113" t="s">
        <v>42</v>
      </c>
      <c r="B18" s="102"/>
      <c r="C18" s="114" t="s">
        <v>43</v>
      </c>
      <c r="D18" s="115" t="str">
        <f t="shared" ref="D18:D30" si="6">IF(COUNTIF(H18:L18,"*") = 0, "-", COUNTIF(H18:L18,"*") &amp;" / 5")</f>
        <v>2 / 5</v>
      </c>
      <c r="E18" s="116">
        <v>45151.0</v>
      </c>
      <c r="F18" s="117" t="s">
        <v>153</v>
      </c>
      <c r="G18" s="115" t="s">
        <v>142</v>
      </c>
      <c r="H18" s="118" t="s">
        <v>184</v>
      </c>
      <c r="I18" s="118" t="s">
        <v>185</v>
      </c>
      <c r="J18" s="118"/>
      <c r="K18" s="118"/>
      <c r="L18" s="118"/>
      <c r="M18" s="120" t="str">
        <f t="array" ref="M18">iferror(INDIRECT("'"&amp;C18&amp;"'!C3"),"")</f>
        <v>https://osu.ppy.sh/community/matches/109967744</v>
      </c>
      <c r="N18" s="101" t="b">
        <v>1</v>
      </c>
    </row>
    <row r="19">
      <c r="A19" s="34"/>
      <c r="B19" s="102"/>
      <c r="C19" s="114" t="s">
        <v>44</v>
      </c>
      <c r="D19" s="115" t="str">
        <f t="shared" si="6"/>
        <v>-</v>
      </c>
      <c r="E19" s="123">
        <v>45151.0</v>
      </c>
      <c r="F19" s="117" t="s">
        <v>154</v>
      </c>
      <c r="G19" s="115" t="s">
        <v>142</v>
      </c>
      <c r="H19" s="118"/>
      <c r="I19" s="118"/>
      <c r="J19" s="118"/>
      <c r="K19" s="118"/>
      <c r="L19" s="118"/>
      <c r="M19" s="119"/>
      <c r="N19" s="102"/>
    </row>
    <row r="20">
      <c r="A20" s="34"/>
      <c r="B20" s="102"/>
      <c r="C20" s="114" t="s">
        <v>45</v>
      </c>
      <c r="D20" s="115" t="str">
        <f t="shared" si="6"/>
        <v>1 / 5</v>
      </c>
      <c r="E20" s="123">
        <v>45151.0</v>
      </c>
      <c r="F20" s="117" t="s">
        <v>158</v>
      </c>
      <c r="G20" s="115" t="s">
        <v>147</v>
      </c>
      <c r="H20" s="118" t="s">
        <v>186</v>
      </c>
      <c r="I20" s="118"/>
      <c r="J20" s="118"/>
      <c r="K20" s="118"/>
      <c r="L20" s="118"/>
      <c r="M20" s="120" t="str">
        <f t="shared" ref="M20:M26" si="7">iferror(INDIRECT("'"&amp;C20&amp;"'!C3"),"")</f>
        <v>https://osu.ppy.sh/community/matches/109970156</v>
      </c>
      <c r="N20" s="101" t="b">
        <v>1</v>
      </c>
    </row>
    <row r="21">
      <c r="A21" s="34"/>
      <c r="B21" s="102"/>
      <c r="C21" s="114" t="s">
        <v>46</v>
      </c>
      <c r="D21" s="115" t="str">
        <f t="shared" si="6"/>
        <v>-</v>
      </c>
      <c r="E21" s="123">
        <v>45151.0</v>
      </c>
      <c r="F21" s="117" t="s">
        <v>160</v>
      </c>
      <c r="G21" s="115" t="s">
        <v>147</v>
      </c>
      <c r="H21" s="118"/>
      <c r="I21" s="118"/>
      <c r="J21" s="118"/>
      <c r="K21" s="118"/>
      <c r="L21" s="118"/>
      <c r="M21" s="119" t="str">
        <f t="shared" si="7"/>
        <v/>
      </c>
      <c r="N21" s="102"/>
    </row>
    <row r="22">
      <c r="A22" s="34"/>
      <c r="B22" s="102"/>
      <c r="C22" s="114" t="s">
        <v>47</v>
      </c>
      <c r="D22" s="115" t="str">
        <f t="shared" si="6"/>
        <v>1 / 5</v>
      </c>
      <c r="E22" s="123">
        <v>45151.0</v>
      </c>
      <c r="F22" s="117" t="s">
        <v>162</v>
      </c>
      <c r="G22" s="115" t="s">
        <v>146</v>
      </c>
      <c r="H22" s="118" t="s">
        <v>187</v>
      </c>
      <c r="I22" s="118"/>
      <c r="J22" s="118"/>
      <c r="K22" s="118"/>
      <c r="L22" s="118"/>
      <c r="M22" s="120" t="str">
        <f t="shared" si="7"/>
        <v>https://osu.ppy.sh/community/matches/109971985</v>
      </c>
      <c r="N22" s="101" t="b">
        <v>1</v>
      </c>
    </row>
    <row r="23">
      <c r="A23" s="34"/>
      <c r="B23" s="102"/>
      <c r="C23" s="114" t="s">
        <v>48</v>
      </c>
      <c r="D23" s="115" t="str">
        <f t="shared" si="6"/>
        <v>2 / 5</v>
      </c>
      <c r="E23" s="123">
        <v>45151.0</v>
      </c>
      <c r="F23" s="117" t="s">
        <v>163</v>
      </c>
      <c r="G23" s="115" t="s">
        <v>145</v>
      </c>
      <c r="H23" s="118" t="s">
        <v>188</v>
      </c>
      <c r="I23" s="118" t="s">
        <v>189</v>
      </c>
      <c r="J23" s="118"/>
      <c r="K23" s="118"/>
      <c r="L23" s="118"/>
      <c r="M23" s="120" t="str">
        <f t="shared" si="7"/>
        <v>https://osu.ppy.sh/mp/109973026</v>
      </c>
      <c r="N23" s="101" t="b">
        <v>1</v>
      </c>
    </row>
    <row r="24">
      <c r="A24" s="34"/>
      <c r="B24" s="102"/>
      <c r="C24" s="114" t="s">
        <v>49</v>
      </c>
      <c r="D24" s="115" t="str">
        <f t="shared" si="6"/>
        <v>3 / 5</v>
      </c>
      <c r="E24" s="123">
        <v>45151.0</v>
      </c>
      <c r="F24" s="117" t="s">
        <v>165</v>
      </c>
      <c r="G24" s="115" t="s">
        <v>146</v>
      </c>
      <c r="H24" s="118" t="s">
        <v>190</v>
      </c>
      <c r="I24" s="118" t="s">
        <v>191</v>
      </c>
      <c r="J24" s="118" t="s">
        <v>192</v>
      </c>
      <c r="K24" s="118"/>
      <c r="L24" s="118"/>
      <c r="M24" s="120" t="str">
        <f t="shared" si="7"/>
        <v>https://osu.ppy.sh/community/matches/109973994</v>
      </c>
      <c r="N24" s="101" t="b">
        <v>1</v>
      </c>
    </row>
    <row r="25">
      <c r="A25" s="34"/>
      <c r="B25" s="102"/>
      <c r="C25" s="114" t="s">
        <v>50</v>
      </c>
      <c r="D25" s="115" t="str">
        <f t="shared" si="6"/>
        <v>-</v>
      </c>
      <c r="E25" s="123">
        <v>45151.0</v>
      </c>
      <c r="F25" s="117" t="s">
        <v>169</v>
      </c>
      <c r="G25" s="115"/>
      <c r="H25" s="118"/>
      <c r="I25" s="118"/>
      <c r="J25" s="118"/>
      <c r="K25" s="118"/>
      <c r="L25" s="118"/>
      <c r="M25" s="119" t="str">
        <f t="shared" si="7"/>
        <v/>
      </c>
      <c r="N25" s="102"/>
    </row>
    <row r="26">
      <c r="A26" s="34"/>
      <c r="B26" s="102"/>
      <c r="C26" s="114" t="s">
        <v>51</v>
      </c>
      <c r="D26" s="115" t="str">
        <f t="shared" si="6"/>
        <v>4 / 5</v>
      </c>
      <c r="E26" s="123">
        <v>45151.0</v>
      </c>
      <c r="F26" s="117" t="s">
        <v>173</v>
      </c>
      <c r="G26" s="115" t="s">
        <v>148</v>
      </c>
      <c r="H26" s="118" t="s">
        <v>193</v>
      </c>
      <c r="I26" s="121" t="s">
        <v>194</v>
      </c>
      <c r="J26" s="121" t="s">
        <v>195</v>
      </c>
      <c r="K26" s="121" t="s">
        <v>196</v>
      </c>
      <c r="L26" s="118"/>
      <c r="M26" s="120" t="str">
        <f t="shared" si="7"/>
        <v>https://osu.ppy.sh/community/matches/109977543</v>
      </c>
      <c r="N26" s="101" t="b">
        <v>1</v>
      </c>
    </row>
    <row r="27">
      <c r="A27" s="34"/>
      <c r="B27" s="102"/>
      <c r="C27" s="114" t="s">
        <v>52</v>
      </c>
      <c r="D27" s="115" t="str">
        <f t="shared" si="6"/>
        <v>3 / 5</v>
      </c>
      <c r="E27" s="123">
        <v>45151.0</v>
      </c>
      <c r="F27" s="117" t="s">
        <v>174</v>
      </c>
      <c r="G27" s="115" t="s">
        <v>144</v>
      </c>
      <c r="H27" s="118" t="s">
        <v>197</v>
      </c>
      <c r="I27" s="118" t="s">
        <v>198</v>
      </c>
      <c r="J27" s="118" t="s">
        <v>199</v>
      </c>
      <c r="K27" s="118"/>
      <c r="L27" s="118"/>
      <c r="M27" s="120" t="s">
        <v>200</v>
      </c>
      <c r="N27" s="101" t="b">
        <v>1</v>
      </c>
    </row>
    <row r="28">
      <c r="A28" s="34"/>
      <c r="B28" s="102"/>
      <c r="C28" s="114" t="s">
        <v>201</v>
      </c>
      <c r="D28" s="115" t="str">
        <f t="shared" si="6"/>
        <v>1 / 5</v>
      </c>
      <c r="E28" s="123">
        <v>45151.0</v>
      </c>
      <c r="F28" s="117" t="s">
        <v>177</v>
      </c>
      <c r="G28" s="115"/>
      <c r="H28" s="118" t="s">
        <v>202</v>
      </c>
      <c r="I28" s="118"/>
      <c r="J28" s="118"/>
      <c r="K28" s="118"/>
      <c r="L28" s="118"/>
      <c r="M28" s="120" t="s">
        <v>203</v>
      </c>
      <c r="N28" s="101" t="b">
        <v>1</v>
      </c>
    </row>
    <row r="29">
      <c r="A29" s="34"/>
      <c r="B29" s="102"/>
      <c r="C29" s="114" t="s">
        <v>204</v>
      </c>
      <c r="D29" s="115" t="str">
        <f t="shared" si="6"/>
        <v>2 / 5</v>
      </c>
      <c r="E29" s="123">
        <v>45151.0</v>
      </c>
      <c r="F29" s="117" t="s">
        <v>182</v>
      </c>
      <c r="G29" s="115" t="s">
        <v>126</v>
      </c>
      <c r="H29" s="118" t="s">
        <v>205</v>
      </c>
      <c r="I29" s="118" t="s">
        <v>206</v>
      </c>
      <c r="J29" s="118"/>
      <c r="K29" s="118"/>
      <c r="L29" s="118"/>
      <c r="M29" s="120" t="s">
        <v>207</v>
      </c>
      <c r="N29" s="102"/>
    </row>
    <row r="30">
      <c r="A30" s="36"/>
      <c r="B30" s="102"/>
      <c r="C30" s="114" t="s">
        <v>208</v>
      </c>
      <c r="D30" s="115" t="str">
        <f t="shared" si="6"/>
        <v>-</v>
      </c>
      <c r="E30" s="123">
        <v>45151.0</v>
      </c>
      <c r="F30" s="117" t="s">
        <v>209</v>
      </c>
      <c r="G30" s="115"/>
      <c r="H30" s="118"/>
      <c r="I30" s="118"/>
      <c r="J30" s="118"/>
      <c r="K30" s="118"/>
      <c r="L30" s="118"/>
      <c r="M30" s="120" t="s">
        <v>210</v>
      </c>
      <c r="N30" s="101" t="b">
        <v>1</v>
      </c>
    </row>
    <row r="31">
      <c r="A31" s="102"/>
      <c r="B31" s="102"/>
      <c r="C31" s="114"/>
      <c r="D31" s="115"/>
      <c r="E31" s="124"/>
      <c r="F31" s="117"/>
      <c r="G31" s="125"/>
      <c r="H31" s="118"/>
      <c r="I31" s="118"/>
      <c r="J31" s="118"/>
      <c r="K31" s="118"/>
      <c r="L31" s="118"/>
      <c r="M31" s="119" t="s">
        <v>211</v>
      </c>
      <c r="N31" s="102"/>
    </row>
    <row r="32">
      <c r="A32" s="126" t="s">
        <v>53</v>
      </c>
      <c r="B32" s="102"/>
      <c r="C32" s="114" t="s">
        <v>212</v>
      </c>
      <c r="D32" s="115" t="str">
        <f t="shared" ref="D32:D51" si="8">IF(COUNTIF(H32:L32,"*") = 0, "-", COUNTIF(H32:L32,"*") &amp;" / 5")</f>
        <v>1 / 5</v>
      </c>
      <c r="E32" s="123">
        <v>45149.0</v>
      </c>
      <c r="F32" s="117" t="s">
        <v>163</v>
      </c>
      <c r="G32" s="115" t="s">
        <v>146</v>
      </c>
      <c r="H32" s="118" t="s">
        <v>213</v>
      </c>
      <c r="I32" s="118"/>
      <c r="J32" s="118"/>
      <c r="K32" s="118"/>
      <c r="L32" s="118"/>
      <c r="M32" s="120" t="str">
        <f t="shared" ref="M32:M47" si="9">iferror(INDIRECT("'"&amp;C32&amp;"'!C3"),"")</f>
        <v>https://osu.ppy.sh/community/matches/109940745</v>
      </c>
      <c r="N32" s="101" t="b">
        <v>1</v>
      </c>
    </row>
    <row r="33">
      <c r="A33" s="34"/>
      <c r="B33" s="102"/>
      <c r="C33" s="114" t="s">
        <v>214</v>
      </c>
      <c r="D33" s="115" t="str">
        <f t="shared" si="8"/>
        <v>2 / 5</v>
      </c>
      <c r="E33" s="123">
        <v>45149.0</v>
      </c>
      <c r="F33" s="117" t="s">
        <v>174</v>
      </c>
      <c r="G33" s="115" t="s">
        <v>135</v>
      </c>
      <c r="H33" s="118" t="s">
        <v>215</v>
      </c>
      <c r="I33" s="118" t="s">
        <v>216</v>
      </c>
      <c r="J33" s="118"/>
      <c r="K33" s="118"/>
      <c r="L33" s="118"/>
      <c r="M33" s="120" t="str">
        <f t="shared" si="9"/>
        <v>https://osu.ppy.sh/community/matches/109946357</v>
      </c>
      <c r="N33" s="101" t="b">
        <v>1</v>
      </c>
    </row>
    <row r="34">
      <c r="A34" s="34"/>
      <c r="B34" s="102"/>
      <c r="C34" s="114" t="s">
        <v>217</v>
      </c>
      <c r="D34" s="115" t="str">
        <f t="shared" si="8"/>
        <v>1 / 5</v>
      </c>
      <c r="E34" s="123">
        <v>45149.0</v>
      </c>
      <c r="F34" s="117" t="s">
        <v>218</v>
      </c>
      <c r="G34" s="115" t="s">
        <v>148</v>
      </c>
      <c r="H34" s="118" t="s">
        <v>219</v>
      </c>
      <c r="I34" s="118"/>
      <c r="J34" s="118"/>
      <c r="K34" s="118"/>
      <c r="L34" s="118"/>
      <c r="M34" s="120" t="str">
        <f t="shared" si="9"/>
        <v>https://osu.ppy.sh/community/matches/109944141</v>
      </c>
      <c r="N34" s="101" t="b">
        <v>1</v>
      </c>
    </row>
    <row r="35">
      <c r="A35" s="34"/>
      <c r="B35" s="102"/>
      <c r="C35" s="114" t="s">
        <v>220</v>
      </c>
      <c r="D35" s="115" t="str">
        <f t="shared" si="8"/>
        <v>1 / 5</v>
      </c>
      <c r="E35" s="127" t="s">
        <v>221</v>
      </c>
      <c r="F35" s="117" t="s">
        <v>222</v>
      </c>
      <c r="G35" s="115" t="s">
        <v>144</v>
      </c>
      <c r="H35" s="118" t="s">
        <v>223</v>
      </c>
      <c r="I35" s="118"/>
      <c r="J35" s="118"/>
      <c r="K35" s="118"/>
      <c r="L35" s="118"/>
      <c r="M35" s="120" t="str">
        <f t="shared" si="9"/>
        <v>https://osu.ppy.sh/mp/109943699</v>
      </c>
      <c r="N35" s="101" t="b">
        <v>1</v>
      </c>
    </row>
    <row r="36">
      <c r="A36" s="34"/>
      <c r="B36" s="102"/>
      <c r="C36" s="114" t="s">
        <v>224</v>
      </c>
      <c r="D36" s="115" t="str">
        <f t="shared" si="8"/>
        <v>3 / 5</v>
      </c>
      <c r="E36" s="127" t="s">
        <v>225</v>
      </c>
      <c r="F36" s="117" t="s">
        <v>218</v>
      </c>
      <c r="G36" s="115" t="s">
        <v>148</v>
      </c>
      <c r="H36" s="118" t="s">
        <v>226</v>
      </c>
      <c r="I36" s="118" t="s">
        <v>227</v>
      </c>
      <c r="J36" s="118" t="s">
        <v>228</v>
      </c>
      <c r="K36" s="118"/>
      <c r="L36" s="118"/>
      <c r="M36" s="120" t="str">
        <f t="shared" si="9"/>
        <v>https://osu.ppy.sh/community/matches/109960051</v>
      </c>
      <c r="N36" s="101" t="b">
        <v>1</v>
      </c>
    </row>
    <row r="37">
      <c r="A37" s="34"/>
      <c r="B37" s="102"/>
      <c r="C37" s="114" t="s">
        <v>229</v>
      </c>
      <c r="D37" s="115" t="str">
        <f t="shared" si="8"/>
        <v>1 / 5</v>
      </c>
      <c r="E37" s="127" t="s">
        <v>221</v>
      </c>
      <c r="F37" s="117" t="s">
        <v>230</v>
      </c>
      <c r="G37" s="115" t="s">
        <v>149</v>
      </c>
      <c r="H37" s="118" t="s">
        <v>231</v>
      </c>
      <c r="I37" s="118"/>
      <c r="J37" s="118"/>
      <c r="K37" s="118"/>
      <c r="L37" s="118"/>
      <c r="M37" s="120" t="str">
        <f t="shared" si="9"/>
        <v>https://osu.ppy.sh/community/matches/109937609</v>
      </c>
      <c r="N37" s="101" t="b">
        <v>1</v>
      </c>
    </row>
    <row r="38">
      <c r="A38" s="34"/>
      <c r="B38" s="102"/>
      <c r="C38" s="114" t="s">
        <v>232</v>
      </c>
      <c r="D38" s="115" t="str">
        <f t="shared" si="8"/>
        <v>1 / 5</v>
      </c>
      <c r="E38" s="127" t="s">
        <v>233</v>
      </c>
      <c r="F38" s="117" t="s">
        <v>177</v>
      </c>
      <c r="G38" s="115" t="s">
        <v>126</v>
      </c>
      <c r="H38" s="118" t="s">
        <v>234</v>
      </c>
      <c r="I38" s="118"/>
      <c r="J38" s="118"/>
      <c r="K38" s="118"/>
      <c r="L38" s="118"/>
      <c r="M38" s="120" t="str">
        <f t="shared" si="9"/>
        <v>https://osu.ppy.sh/community/matches/109917698</v>
      </c>
      <c r="N38" s="101" t="b">
        <v>1</v>
      </c>
    </row>
    <row r="39">
      <c r="A39" s="34"/>
      <c r="B39" s="102"/>
      <c r="C39" s="114" t="s">
        <v>235</v>
      </c>
      <c r="D39" s="115" t="str">
        <f t="shared" si="8"/>
        <v>1 / 5</v>
      </c>
      <c r="E39" s="127" t="s">
        <v>236</v>
      </c>
      <c r="F39" s="117" t="s">
        <v>237</v>
      </c>
      <c r="G39" s="115" t="s">
        <v>132</v>
      </c>
      <c r="H39" s="118" t="s">
        <v>238</v>
      </c>
      <c r="I39" s="118"/>
      <c r="J39" s="118"/>
      <c r="K39" s="118"/>
      <c r="L39" s="118"/>
      <c r="M39" s="120" t="str">
        <f t="shared" si="9"/>
        <v>https://osu.ppy.sh/community/matches/109968332</v>
      </c>
      <c r="N39" s="101" t="b">
        <v>1</v>
      </c>
    </row>
    <row r="40">
      <c r="A40" s="34"/>
      <c r="B40" s="102"/>
      <c r="C40" s="114" t="s">
        <v>239</v>
      </c>
      <c r="D40" s="115" t="str">
        <f t="shared" si="8"/>
        <v>-</v>
      </c>
      <c r="E40" s="127" t="s">
        <v>236</v>
      </c>
      <c r="F40" s="117" t="s">
        <v>240</v>
      </c>
      <c r="G40" s="115" t="s">
        <v>149</v>
      </c>
      <c r="H40" s="118"/>
      <c r="I40" s="118"/>
      <c r="J40" s="118"/>
      <c r="K40" s="118"/>
      <c r="L40" s="118"/>
      <c r="M40" s="119" t="str">
        <f t="shared" si="9"/>
        <v/>
      </c>
      <c r="N40" s="102"/>
    </row>
    <row r="41">
      <c r="A41" s="34"/>
      <c r="B41" s="102"/>
      <c r="C41" s="114" t="s">
        <v>241</v>
      </c>
      <c r="D41" s="115" t="str">
        <f t="shared" si="8"/>
        <v>-</v>
      </c>
      <c r="E41" s="127" t="s">
        <v>236</v>
      </c>
      <c r="F41" s="117" t="s">
        <v>242</v>
      </c>
      <c r="G41" s="115" t="s">
        <v>146</v>
      </c>
      <c r="H41" s="118"/>
      <c r="I41" s="118"/>
      <c r="J41" s="118"/>
      <c r="K41" s="118"/>
      <c r="L41" s="118"/>
      <c r="M41" s="119" t="str">
        <f t="shared" si="9"/>
        <v/>
      </c>
      <c r="N41" s="102"/>
    </row>
    <row r="42">
      <c r="A42" s="34"/>
      <c r="B42" s="102"/>
      <c r="C42" s="128" t="s">
        <v>243</v>
      </c>
      <c r="D42" s="115" t="str">
        <f t="shared" si="8"/>
        <v>1 / 5</v>
      </c>
      <c r="E42" s="129" t="s">
        <v>244</v>
      </c>
      <c r="F42" s="130" t="s">
        <v>245</v>
      </c>
      <c r="G42" s="115" t="s">
        <v>149</v>
      </c>
      <c r="H42" s="131" t="s">
        <v>246</v>
      </c>
      <c r="I42" s="118"/>
      <c r="J42" s="118"/>
      <c r="K42" s="118"/>
      <c r="L42" s="118"/>
      <c r="M42" s="120" t="str">
        <f t="shared" si="9"/>
        <v>https://osu.ppy.sh/community/matches/109927223</v>
      </c>
      <c r="N42" s="101" t="b">
        <v>1</v>
      </c>
    </row>
    <row r="43">
      <c r="A43" s="34"/>
      <c r="B43" s="102"/>
      <c r="C43" s="127" t="s">
        <v>247</v>
      </c>
      <c r="D43" s="115" t="str">
        <f t="shared" si="8"/>
        <v>1 / 5</v>
      </c>
      <c r="E43" s="129" t="s">
        <v>244</v>
      </c>
      <c r="F43" s="132" t="s">
        <v>173</v>
      </c>
      <c r="G43" s="127" t="s">
        <v>135</v>
      </c>
      <c r="H43" s="131" t="s">
        <v>248</v>
      </c>
      <c r="I43" s="118"/>
      <c r="J43" s="118"/>
      <c r="K43" s="118"/>
      <c r="L43" s="118"/>
      <c r="M43" s="120" t="str">
        <f t="shared" si="9"/>
        <v>https://osu.ppy.sh/community/matches/109929843</v>
      </c>
      <c r="N43" s="101" t="b">
        <v>1</v>
      </c>
    </row>
    <row r="44">
      <c r="A44" s="34"/>
      <c r="B44" s="102"/>
      <c r="C44" s="127" t="s">
        <v>249</v>
      </c>
      <c r="D44" s="115" t="str">
        <f t="shared" si="8"/>
        <v>-</v>
      </c>
      <c r="E44" s="127" t="s">
        <v>236</v>
      </c>
      <c r="F44" s="132" t="s">
        <v>245</v>
      </c>
      <c r="G44" s="127" t="s">
        <v>145</v>
      </c>
      <c r="H44" s="131"/>
      <c r="I44" s="118"/>
      <c r="J44" s="118"/>
      <c r="K44" s="118"/>
      <c r="L44" s="118"/>
      <c r="M44" s="119" t="str">
        <f t="shared" si="9"/>
        <v/>
      </c>
      <c r="N44" s="102"/>
    </row>
    <row r="45">
      <c r="A45" s="34"/>
      <c r="B45" s="102"/>
      <c r="C45" s="127" t="s">
        <v>250</v>
      </c>
      <c r="D45" s="115" t="str">
        <f t="shared" si="8"/>
        <v>2 / 5</v>
      </c>
      <c r="E45" s="127" t="s">
        <v>221</v>
      </c>
      <c r="F45" s="132" t="s">
        <v>169</v>
      </c>
      <c r="G45" s="127" t="s">
        <v>148</v>
      </c>
      <c r="H45" s="131" t="s">
        <v>251</v>
      </c>
      <c r="I45" s="118" t="s">
        <v>252</v>
      </c>
      <c r="J45" s="118"/>
      <c r="K45" s="118"/>
      <c r="L45" s="118"/>
      <c r="M45" s="120" t="str">
        <f t="shared" si="9"/>
        <v>https://osu.ppy.sh/community/matches/109943247</v>
      </c>
      <c r="N45" s="101" t="b">
        <v>1</v>
      </c>
    </row>
    <row r="46">
      <c r="A46" s="34"/>
      <c r="B46" s="102"/>
      <c r="C46" s="127" t="s">
        <v>253</v>
      </c>
      <c r="D46" s="115" t="str">
        <f t="shared" si="8"/>
        <v>1 / 5</v>
      </c>
      <c r="E46" s="127" t="s">
        <v>221</v>
      </c>
      <c r="F46" s="132" t="s">
        <v>218</v>
      </c>
      <c r="G46" s="127" t="s">
        <v>144</v>
      </c>
      <c r="H46" s="131" t="s">
        <v>254</v>
      </c>
      <c r="I46" s="118"/>
      <c r="J46" s="118"/>
      <c r="K46" s="118"/>
      <c r="L46" s="118"/>
      <c r="M46" s="120" t="str">
        <f t="shared" si="9"/>
        <v>https://osu.ppy.sh/community/matches/109944161</v>
      </c>
      <c r="N46" s="101" t="b">
        <v>1</v>
      </c>
    </row>
    <row r="47">
      <c r="A47" s="34"/>
      <c r="B47" s="102"/>
      <c r="C47" s="127" t="s">
        <v>255</v>
      </c>
      <c r="D47" s="115" t="str">
        <f t="shared" si="8"/>
        <v>1 / 5</v>
      </c>
      <c r="E47" s="127" t="s">
        <v>221</v>
      </c>
      <c r="F47" s="132" t="s">
        <v>256</v>
      </c>
      <c r="G47" s="127" t="s">
        <v>135</v>
      </c>
      <c r="H47" s="131" t="s">
        <v>257</v>
      </c>
      <c r="I47" s="118"/>
      <c r="J47" s="118"/>
      <c r="K47" s="118"/>
      <c r="L47" s="118"/>
      <c r="M47" s="120" t="str">
        <f t="shared" si="9"/>
        <v>https://osu.ppy.sh/community/matches/109949863</v>
      </c>
      <c r="N47" s="101" t="b">
        <v>1</v>
      </c>
    </row>
    <row r="48">
      <c r="A48" s="34"/>
      <c r="B48" s="102"/>
      <c r="C48" s="127" t="s">
        <v>258</v>
      </c>
      <c r="D48" s="115" t="str">
        <f t="shared" si="8"/>
        <v>2 / 5</v>
      </c>
      <c r="E48" s="127" t="s">
        <v>236</v>
      </c>
      <c r="F48" s="132" t="s">
        <v>259</v>
      </c>
      <c r="G48" s="115" t="s">
        <v>149</v>
      </c>
      <c r="H48" s="131" t="s">
        <v>260</v>
      </c>
      <c r="I48" s="118" t="s">
        <v>261</v>
      </c>
      <c r="J48" s="118"/>
      <c r="K48" s="118"/>
      <c r="L48" s="118"/>
      <c r="M48" s="120" t="s">
        <v>262</v>
      </c>
      <c r="N48" s="101" t="b">
        <v>1</v>
      </c>
    </row>
    <row r="49">
      <c r="A49" s="34"/>
      <c r="B49" s="102"/>
      <c r="C49" s="127" t="s">
        <v>263</v>
      </c>
      <c r="D49" s="115" t="str">
        <f t="shared" si="8"/>
        <v>1 / 5</v>
      </c>
      <c r="E49" s="127" t="s">
        <v>225</v>
      </c>
      <c r="F49" s="132" t="s">
        <v>177</v>
      </c>
      <c r="G49" s="127" t="s">
        <v>150</v>
      </c>
      <c r="H49" s="131" t="s">
        <v>264</v>
      </c>
      <c r="I49" s="118"/>
      <c r="J49" s="118"/>
      <c r="K49" s="118"/>
      <c r="L49" s="118"/>
      <c r="M49" s="120" t="str">
        <f t="shared" ref="M49:M51" si="10">iferror(INDIRECT("'"&amp;C49&amp;"'!C3"),"")</f>
        <v>https://osu.ppy.sh/community/matches/109964627</v>
      </c>
      <c r="N49" s="101" t="b">
        <v>1</v>
      </c>
    </row>
    <row r="50">
      <c r="A50" s="34"/>
      <c r="B50" s="102"/>
      <c r="C50" s="127" t="s">
        <v>265</v>
      </c>
      <c r="D50" s="115" t="str">
        <f t="shared" si="8"/>
        <v>1 / 5</v>
      </c>
      <c r="E50" s="127" t="s">
        <v>225</v>
      </c>
      <c r="F50" s="132" t="s">
        <v>266</v>
      </c>
      <c r="G50" s="127" t="s">
        <v>126</v>
      </c>
      <c r="H50" s="131" t="s">
        <v>267</v>
      </c>
      <c r="I50" s="118"/>
      <c r="J50" s="118"/>
      <c r="K50" s="118"/>
      <c r="L50" s="118"/>
      <c r="M50" s="120" t="str">
        <f t="shared" si="10"/>
        <v>https://osu.ppy.sh/community/matches/109966782</v>
      </c>
      <c r="N50" s="101" t="b">
        <v>1</v>
      </c>
    </row>
    <row r="51">
      <c r="A51" s="36"/>
      <c r="B51" s="102"/>
      <c r="C51" s="127" t="s">
        <v>268</v>
      </c>
      <c r="D51" s="115" t="str">
        <f t="shared" si="8"/>
        <v>1 / 5</v>
      </c>
      <c r="E51" s="127" t="s">
        <v>236</v>
      </c>
      <c r="F51" s="132" t="s">
        <v>269</v>
      </c>
      <c r="G51" s="127" t="s">
        <v>148</v>
      </c>
      <c r="H51" s="131" t="s">
        <v>270</v>
      </c>
      <c r="I51" s="118"/>
      <c r="J51" s="118"/>
      <c r="K51" s="118"/>
      <c r="L51" s="118"/>
      <c r="M51" s="120" t="str">
        <f t="shared" si="10"/>
        <v>https://osu.ppy.sh/community/matches/109978422</v>
      </c>
      <c r="N51" s="101" t="b">
        <v>1</v>
      </c>
    </row>
    <row r="52">
      <c r="A52" s="102"/>
      <c r="B52" s="102"/>
      <c r="C52" s="102"/>
      <c r="D52" s="101"/>
      <c r="E52" s="101"/>
      <c r="F52" s="102"/>
      <c r="G52" s="102"/>
      <c r="H52" s="102"/>
      <c r="I52" s="102"/>
      <c r="J52" s="102"/>
      <c r="K52" s="102"/>
      <c r="L52" s="102"/>
      <c r="M52" s="102"/>
      <c r="N52" s="102"/>
    </row>
  </sheetData>
  <mergeCells count="5">
    <mergeCell ref="C2:I2"/>
    <mergeCell ref="K2:L2"/>
    <mergeCell ref="A5:A16"/>
    <mergeCell ref="A18:A30"/>
    <mergeCell ref="A32:A51"/>
  </mergeCells>
  <dataValidations>
    <dataValidation type="list" allowBlank="1" showErrorMessage="1" sqref="G5:G51">
      <formula1>'Ref &amp; Team list'!$B$3:$B$30</formula1>
    </dataValidation>
    <dataValidation type="list" allowBlank="1" showErrorMessage="1" sqref="H5:L51">
      <formula1>'Ref &amp; Team list'!$C$3:$C$65</formula1>
    </dataValidation>
  </dataValidations>
  <hyperlinks>
    <hyperlink r:id="rId2" ref="M27"/>
    <hyperlink r:id="rId3" ref="M28"/>
    <hyperlink r:id="rId4" ref="M29"/>
    <hyperlink r:id="rId5" ref="M30"/>
    <hyperlink r:id="rId6" ref="M4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/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276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#N/A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()</v>
      </c>
      <c r="D4" s="102"/>
      <c r="E4" s="144" t="str">
        <f> VLOOKUP(C2,'Qualifier Lobbies'!C4:F42,3,0)</f>
        <v>#N/A</v>
      </c>
      <c r="F4" s="102"/>
      <c r="H4" s="102"/>
      <c r="I4" s="137" t="s">
        <v>282</v>
      </c>
      <c r="J4" s="138" t="s">
        <v>283</v>
      </c>
      <c r="K4" s="145" t="s">
        <v>284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#N/A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#N/A</v>
      </c>
      <c r="H8" s="153"/>
      <c r="I8" s="156" t="str">
        <f>VLOOKUP(C2,'Qualifier Lobbies'!C5:L42,7,0)</f>
        <v>#N/A</v>
      </c>
      <c r="J8" s="157" t="str">
        <f>VLOOKUP(C2,'Qualifier Lobbies'!C5:L42,8,0)</f>
        <v>#N/A</v>
      </c>
      <c r="K8" s="155" t="str">
        <f>VLOOKUP(C2,'Qualifier Lobbies'!C5:L42,9,0)</f>
        <v>#N/A</v>
      </c>
      <c r="L8" s="156" t="str">
        <f>VLOOKUP(C2,'Qualifier Lobbies'!C5:L42,10,0)</f>
        <v>#N/A</v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Lobbies'!$C$5:$C$51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33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290</v>
      </c>
      <c r="M2" s="102"/>
    </row>
    <row r="3" ht="15.0" customHeight="1">
      <c r="A3" s="102"/>
      <c r="B3" s="133" t="s">
        <v>277</v>
      </c>
      <c r="C3" s="170" t="s">
        <v>291</v>
      </c>
      <c r="D3" s="102"/>
      <c r="E3" s="141" t="str">
        <f> VLOOKUP(C2,'Qualifier Lobbies'!C4:G42,5,0)</f>
        <v>Shogeki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(A2)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292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A2**
 MP LINK: https://osu.ppy.sh/community/matches/109952322 
 Referee Notes: :thumbsup: None
</v>
      </c>
      <c r="D5" s="102"/>
      <c r="E5" s="144" t="str">
        <f> VLOOKUP(C2,'Qualifier Lobbies'!C4:F42,4,0)&amp;" UTC"</f>
        <v>2:00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RAAPslimshady</v>
      </c>
      <c r="I7" s="150" t="str">
        <f t="shared" ref="I7:L7" si="1">IFERROR("!mp invite " &amp; I9,"")</f>
        <v>!mp invite Riidolsk</v>
      </c>
      <c r="J7" s="149" t="str">
        <f t="shared" si="1"/>
        <v>!mp invite _BlackStar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:MIPINGA:</v>
      </c>
      <c r="H8" s="153"/>
      <c r="I8" s="156" t="str">
        <f>VLOOKUP(C2,'Qualifier Lobbies'!C5:L42,7,0)</f>
        <v>Here Forever</v>
      </c>
      <c r="J8" s="157" t="str">
        <f>VLOOKUP(C2,'Qualifier Lobbies'!C5:L42,8,0)</f>
        <v>BallzDeep69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RAAPslimshady</v>
      </c>
      <c r="H9" s="162"/>
      <c r="I9" s="173" t="str">
        <f>IFERROR(VLOOKUP(I8,'Ref &amp; Team list'!C3:F20,2,0),"")</f>
        <v>Riidolsk</v>
      </c>
      <c r="J9" s="173" t="str">
        <f>IFERROR(VLOOKUP(J8,'Ref &amp; Team list'!C3:F20,2,0),"")</f>
        <v>_BlackStar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Isita</v>
      </c>
      <c r="H10" s="162"/>
      <c r="I10" s="174" t="str">
        <f>IFERROR(VLOOKUP(I8,'Ref &amp; Team list'!C3:F20,3,0),"")</f>
        <v>Kyarma</v>
      </c>
      <c r="J10" s="175" t="str">
        <f>IFERROR(VLOOKUP(J8,'Ref &amp; Team list'!C3:F20,3,0),"")</f>
        <v>Iamthecabra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Lyxin</v>
      </c>
      <c r="H11" s="162"/>
      <c r="I11" s="174" t="str">
        <f>IFERROR(VLOOKUP(I8,'Ref &amp; Team list'!C3:F20,4,0),"")</f>
        <v>stupid femboy</v>
      </c>
      <c r="J11" s="176" t="str">
        <f>IFERROR(VLOOKUP(J8,'Ref &amp; Team list'!C3:F20,4,0),"")</f>
        <v>Alogi</v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34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293</v>
      </c>
      <c r="M2" s="102"/>
    </row>
    <row r="3" ht="15.0" customHeight="1">
      <c r="A3" s="102"/>
      <c r="B3" s="133" t="s">
        <v>277</v>
      </c>
      <c r="C3" s="170" t="s">
        <v>294</v>
      </c>
      <c r="D3" s="102"/>
      <c r="E3" s="141" t="str">
        <f> VLOOKUP(C2,'Qualifier Lobbies'!C4:G42,5,0)</f>
        <v>RudderFish07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(A3)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295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A3**
 MP LINK: https://osu.ppy.sh/mp/109953545 
 Referee Notes: :thumbsup: None
</v>
      </c>
      <c r="D5" s="102"/>
      <c r="E5" s="144" t="str">
        <f> VLOOKUP(C2,'Qualifier Lobbies'!C4:F42,4,0)&amp;" UTC"</f>
        <v>4:00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AZKi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phony :)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AZKi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SomeLongName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35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296</v>
      </c>
      <c r="M2" s="102"/>
    </row>
    <row r="3" ht="15.0" customHeight="1">
      <c r="A3" s="102"/>
      <c r="B3" s="133" t="s">
        <v>277</v>
      </c>
      <c r="C3" s="170" t="s">
        <v>297</v>
      </c>
      <c r="D3" s="102"/>
      <c r="E3" s="141" t="str">
        <f> VLOOKUP(C2,'Qualifier Lobbies'!C4:G42,5,0)</f>
        <v>Azasapag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(A4)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298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A4**
 MP LINK: https://osu.ppy.sh/community/matches/109954652 
 Referee Notes: :thumbsup: None
</v>
      </c>
      <c r="D5" s="102"/>
      <c r="E5" s="144" t="str">
        <f> VLOOKUP(C2,'Qualifier Lobbies'!C4:F42,4,0)&amp;" UTC"</f>
        <v>6:00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Faceie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foxy1919191919's basement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Faceie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Flare_Drake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vortexta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36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299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euouae_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(A5)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300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8:00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37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301</v>
      </c>
      <c r="M2" s="102"/>
    </row>
    <row r="3" ht="15.0" customHeight="1">
      <c r="A3" s="102"/>
      <c r="B3" s="133" t="s">
        <v>277</v>
      </c>
      <c r="C3" s="177" t="s">
        <v>302</v>
      </c>
      <c r="D3" s="102"/>
      <c r="E3" s="141" t="str">
        <f> VLOOKUP(C2,'Qualifier Lobbies'!C4:G42,5,0)</f>
        <v>Gamillie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(A6)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303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A6**
 MP LINK: https://osu.ppy.sh/mp/109956626 
 Referee Notes: :thumbsup: None
</v>
      </c>
      <c r="D5" s="102"/>
      <c r="E5" s="144" t="str">
        <f> VLOOKUP(C2,'Qualifier Lobbies'!C4:F42,4,0)&amp;" UTC"</f>
        <v>10:00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Shion Yorigami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PLDT ANO NAAA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Shion Yorigami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iSimp22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BluNuggets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38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304</v>
      </c>
      <c r="M2" s="102"/>
    </row>
    <row r="3" ht="15.0" customHeight="1">
      <c r="A3" s="102"/>
      <c r="B3" s="133" t="s">
        <v>277</v>
      </c>
      <c r="C3" s="178" t="s">
        <v>305</v>
      </c>
      <c r="D3" s="102"/>
      <c r="E3" s="141" t="str">
        <f> VLOOKUP(C2,'Qualifier Lobbies'!C4:G42,5,0)</f>
        <v>Gamillie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79"/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306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A7**
 MP LINK: https://osu.ppy.sh/mp/109957596 
 Referee Notes: :thumbsup: None
</v>
      </c>
      <c r="D5" s="102"/>
      <c r="E5" s="144" t="str">
        <f> VLOOKUP(C2,'Qualifier Lobbies'!C4:F42,4,0)&amp;" UTC"</f>
        <v>12:00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Mewo_</v>
      </c>
      <c r="I7" s="150" t="str">
        <f t="shared" ref="I7:L7" si="1">IFERROR("!mp invite " &amp; I9,"")</f>
        <v>!mp invite Tohkura</v>
      </c>
      <c r="J7" s="149" t="str">
        <f t="shared" si="1"/>
        <v>!mp invite PoorQuaIityMeat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Mewo My Waifu</v>
      </c>
      <c r="H8" s="153"/>
      <c r="I8" s="156" t="str">
        <f>VLOOKUP(C2,'Qualifier Lobbies'!C5:L42,7,0)</f>
        <v>CocoaGoats</v>
      </c>
      <c r="J8" s="157" t="str">
        <f>VLOOKUP(C2,'Qualifier Lobbies'!C5:L42,8,0)</f>
        <v>PoorQuaIityMeatpilow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Mewo_</v>
      </c>
      <c r="H9" s="162"/>
      <c r="I9" s="173" t="str">
        <f>IFERROR(VLOOKUP(I8,'Ref &amp; Team list'!C3:F20,2,0),"")</f>
        <v>Tohkura</v>
      </c>
      <c r="J9" s="173" t="str">
        <f>IFERROR(VLOOKUP(J8,'Ref &amp; Team list'!C3:F20,2,0),"")</f>
        <v>PoorQuaIityMeat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Zertoaster</v>
      </c>
      <c r="H10" s="162"/>
      <c r="I10" s="174" t="str">
        <f>IFERROR(VLOOKUP(I8,'Ref &amp; Team list'!C3:F20,3,0),"")</f>
        <v>pika_Zero</v>
      </c>
      <c r="J10" s="175" t="str">
        <f>IFERROR(VLOOKUP(J8,'Ref &amp; Team list'!C3:F20,3,0),"")</f>
        <v>Pilllow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Lol3270</v>
      </c>
      <c r="H11" s="162"/>
      <c r="I11" s="174" t="str">
        <f>IFERROR(VLOOKUP(I8,'Ref &amp; Team list'!C3:F20,4,0),"")</f>
        <v>Glaucia</v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39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307</v>
      </c>
      <c r="M2" s="102"/>
    </row>
    <row r="3" ht="15.0" customHeight="1">
      <c r="A3" s="102"/>
      <c r="B3" s="133" t="s">
        <v>277</v>
      </c>
      <c r="C3" s="170" t="s">
        <v>308</v>
      </c>
      <c r="D3" s="102"/>
      <c r="E3" s="141" t="str">
        <f> VLOOKUP(C2,'Qualifier Lobbies'!C4:G42,5,0)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(A8)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309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A8**
 MP LINK: https://osu.ppy.sh/community/matches/109959176 
 Referee Notes: :thumbsup: None
</v>
      </c>
      <c r="D5" s="102"/>
      <c r="E5" s="144" t="str">
        <f> VLOOKUP(C2,'Qualifier Lobbies'!C4:F42,4,0)&amp;" UTC"</f>
        <v>14:00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Tsekyro</v>
      </c>
      <c r="I7" s="150" t="str">
        <f t="shared" ref="I7:L7" si="1">IFERROR("!mp invite " &amp; I9,"")</f>
        <v>!mp invite RakiMiku</v>
      </c>
      <c r="J7" s="149" t="str">
        <f t="shared" si="1"/>
        <v>!mp invite Kochindera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Beancurd</v>
      </c>
      <c r="H8" s="153"/>
      <c r="I8" s="156" t="str">
        <f>VLOOKUP(C2,'Qualifier Lobbies'!C5:L42,7,0)</f>
        <v>3000CombinedHours</v>
      </c>
      <c r="J8" s="157" t="str">
        <f>VLOOKUP(C2,'Qualifier Lobbies'!C5:L42,8,0)</f>
        <v>PES E9L9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Tsekyro</v>
      </c>
      <c r="H9" s="162"/>
      <c r="I9" s="173" t="str">
        <f>IFERROR(VLOOKUP(I8,'Ref &amp; Team list'!C3:F20,2,0),"")</f>
        <v>RakiMiku</v>
      </c>
      <c r="J9" s="173" t="str">
        <f>IFERROR(VLOOKUP(J8,'Ref &amp; Team list'!C3:F20,2,0),"")</f>
        <v>Kochindera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GeneralMayo</v>
      </c>
      <c r="H10" s="162"/>
      <c r="I10" s="174" t="str">
        <f>IFERROR(VLOOKUP(I8,'Ref &amp; Team list'!C3:F20,3,0),"")</f>
        <v>WorstGamer</v>
      </c>
      <c r="J10" s="175" t="str">
        <f>IFERROR(VLOOKUP(J8,'Ref &amp; Team list'!C3:F20,3,0),"")</f>
        <v>Hoshifurii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Carsoon</v>
      </c>
      <c r="H11" s="162"/>
      <c r="I11" s="174" t="str">
        <f>IFERROR(VLOOKUP(I8,'Ref &amp; Team list'!C3:F20,4,0),"")</f>
        <v>C L O N E</v>
      </c>
      <c r="J11" s="176" t="str">
        <f>IFERROR(VLOOKUP(J8,'Ref &amp; Team list'!C3:F20,4,0),"")</f>
        <v>Gamillie</v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40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310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(A9)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311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16:00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41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312</v>
      </c>
      <c r="M2" s="102"/>
    </row>
    <row r="3" ht="15.0" customHeight="1">
      <c r="A3" s="102"/>
      <c r="B3" s="133" t="s">
        <v>277</v>
      </c>
      <c r="C3" s="170" t="s">
        <v>313</v>
      </c>
      <c r="D3" s="102"/>
      <c r="E3" s="141" t="str">
        <f> VLOOKUP(C2,'Qualifier Lobbies'!C4:G42,5,0)</f>
        <v>Pischok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(A10)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314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A10**
 MP LINK: https://osu.ppy.sh/community/matches/109962867 
 Referee Notes: :thumbsup: None
</v>
      </c>
      <c r="D5" s="102"/>
      <c r="E5" s="144" t="str">
        <f> VLOOKUP(C2,'Qualifier Lobbies'!C4:F42,4,0)&amp;" UTC"</f>
        <v>18:00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Feroshi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Nameless Waifulovers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Feroshi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Scaly007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yunasky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176</v>
      </c>
      <c r="D2" s="102"/>
      <c r="E2" s="135" t="s">
        <v>272</v>
      </c>
      <c r="F2" s="102"/>
      <c r="G2" s="136" t="s">
        <v>273</v>
      </c>
      <c r="H2" s="102"/>
      <c r="I2" s="137" t="s">
        <v>315</v>
      </c>
      <c r="J2" s="138" t="s">
        <v>275</v>
      </c>
      <c r="K2" s="139" t="s">
        <v>316</v>
      </c>
      <c r="M2" s="102"/>
    </row>
    <row r="3" ht="15.0" customHeight="1">
      <c r="A3" s="102"/>
      <c r="B3" s="133" t="s">
        <v>277</v>
      </c>
      <c r="C3" s="170" t="s">
        <v>317</v>
      </c>
      <c r="D3" s="102"/>
      <c r="E3" s="141" t="str">
        <f> VLOOKUP(C2,'Qualifier Lobbies'!C4:G42,5,0)</f>
        <v>play hd3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(A11)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318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A11**
 MP LINK: https://osu.ppy.sh/community/matches/109964348 
 Referee Notes: :thumbsup: None
</v>
      </c>
      <c r="D5" s="102"/>
      <c r="E5" s="144" t="str">
        <f> VLOOKUP(C2,'Qualifier Lobbies'!C4:F42,4,0)&amp;" UTC"</f>
        <v>20:00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No1ruf</v>
      </c>
      <c r="I7" s="150" t="str">
        <f t="shared" ref="I7:L7" si="1">IFERROR("!mp invite " &amp; I9,"")</f>
        <v>!mp invite PapaAinsley</v>
      </c>
      <c r="J7" s="149" t="str">
        <f t="shared" si="1"/>
        <v>!mp invite TheGrabi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cake</v>
      </c>
      <c r="H8" s="153"/>
      <c r="I8" s="156" t="str">
        <f>VLOOKUP(C2,'Qualifier Lobbies'!C5:L42,7,0)</f>
        <v>copium abusers</v>
      </c>
      <c r="J8" s="157" t="str">
        <f>VLOOKUP(C2,'Qualifier Lobbies'!C5:L42,8,0)</f>
        <v>APELPIES MY MOMMY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No1ruf</v>
      </c>
      <c r="H9" s="162"/>
      <c r="I9" s="173" t="str">
        <f>IFERROR(VLOOKUP(I8,'Ref &amp; Team list'!C3:F20,2,0),"")</f>
        <v>PapaAinsley</v>
      </c>
      <c r="J9" s="173" t="str">
        <f>IFERROR(VLOOKUP(J8,'Ref &amp; Team list'!C3:F20,2,0),"")</f>
        <v>TheGrabi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Leonan</v>
      </c>
      <c r="H10" s="162"/>
      <c r="I10" s="174" t="str">
        <f>IFERROR(VLOOKUP(I8,'Ref &amp; Team list'!C3:F20,3,0),"")</f>
        <v>Josiper</v>
      </c>
      <c r="J10" s="175" t="str">
        <f>IFERROR(VLOOKUP(J8,'Ref &amp; Team list'!C3:F20,3,0),"")</f>
        <v>Miryuo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76" t="str">
        <f>IFERROR(VLOOKUP(J8,'Ref &amp; Team list'!C3:F20,4,0),"")</f>
        <v>apelpies</v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181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319</v>
      </c>
      <c r="M2" s="102"/>
    </row>
    <row r="3" ht="15.0" customHeight="1">
      <c r="A3" s="102"/>
      <c r="B3" s="133" t="s">
        <v>277</v>
      </c>
      <c r="C3" s="180" t="s">
        <v>320</v>
      </c>
      <c r="D3" s="102"/>
      <c r="E3" s="141" t="str">
        <f> VLOOKUP(C2,'Qualifier Lobbies'!C4:G42,5,0)</f>
        <v>play hd3</v>
      </c>
      <c r="F3" s="102"/>
      <c r="G3" s="142"/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(A12)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321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A12**
 MP LINK: https://osu.ppy.sh/community/matches/109966515 
 Referee Notes: 
</v>
      </c>
      <c r="D5" s="102"/>
      <c r="E5" s="144" t="str">
        <f> VLOOKUP(C2,'Qualifier Lobbies'!C4:F42,4,0)&amp;" UTC"</f>
        <v>22:00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Ugetora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The One 100s</v>
      </c>
      <c r="H8" s="153"/>
      <c r="I8" s="156"/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Ugetora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Zeon_beyond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bunnytoro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43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322</v>
      </c>
      <c r="M2" s="102"/>
    </row>
    <row r="3" ht="15.0" customHeight="1">
      <c r="A3" s="102"/>
      <c r="B3" s="133" t="s">
        <v>277</v>
      </c>
      <c r="C3" s="170" t="s">
        <v>323</v>
      </c>
      <c r="D3" s="102"/>
      <c r="E3" s="141" t="str">
        <f> VLOOKUP(C2,'Qualifier Lobbies'!C4:G42,5,0)</f>
        <v>Shogeki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(B1)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324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B1**
 MP LINK: https://osu.ppy.sh/community/matches/109967744 
 Referee Notes: :thumbsup: None
</v>
      </c>
      <c r="D5" s="102"/>
      <c r="E5" s="144" t="str">
        <f> VLOOKUP(C2,'Qualifier Lobbies'!C4:F42,4,0)&amp;" UTC"</f>
        <v>0:00 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jujubinhas2</v>
      </c>
      <c r="I7" s="150" t="str">
        <f t="shared" ref="I7:L7" si="1">IFERROR("!mp invite " &amp; I9,"")</f>
        <v>!mp invite HD Abuser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Faz o L</v>
      </c>
      <c r="H8" s="153"/>
      <c r="I8" s="156" t="str">
        <f>VLOOKUP(C2,'Qualifier Lobbies'!C5:L42,7,0)</f>
        <v>Better HD Abusers</v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jujubinhas2</v>
      </c>
      <c r="H9" s="162"/>
      <c r="I9" s="173" t="str">
        <f>IFERROR(VLOOKUP(I8,'Ref &amp; Team list'!C3:F20,2,0),"")</f>
        <v>HD Abuser</v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Iite</v>
      </c>
      <c r="H10" s="162"/>
      <c r="I10" s="174" t="str">
        <f>IFERROR(VLOOKUP(I8,'Ref &amp; Team list'!C3:F20,3,0),"")</f>
        <v>Ultima_</v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Sporinho</v>
      </c>
      <c r="H11" s="162"/>
      <c r="I11" s="174" t="str">
        <f>IFERROR(VLOOKUP(I8,'Ref &amp; Team list'!C3:F20,4,0),"")</f>
        <v>Kaeldori</v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44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325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Shogeki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(B2)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326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2:00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45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327</v>
      </c>
      <c r="M2" s="102"/>
    </row>
    <row r="3" ht="15.0" customHeight="1">
      <c r="A3" s="102"/>
      <c r="B3" s="133" t="s">
        <v>277</v>
      </c>
      <c r="C3" s="170" t="s">
        <v>328</v>
      </c>
      <c r="D3" s="102"/>
      <c r="E3" s="141" t="str">
        <f> VLOOKUP(C2,'Qualifier Lobbies'!C4:G42,5,0)</f>
        <v>Azasapag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(B3)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329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B3**
 MP LINK: https://osu.ppy.sh/community/matches/109970156 
 Referee Notes: :thumbsup: None
</v>
      </c>
      <c r="D5" s="102"/>
      <c r="E5" s="144" t="str">
        <f> VLOOKUP(C2,'Qualifier Lobbies'!C4:F42,4,0)&amp;" UTC"</f>
        <v>4:00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TeddyFine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Lovers + 3rd wheel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TeddyFine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Entro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BubblyQT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46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330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Azasapag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(B4)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331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6:00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47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332</v>
      </c>
      <c r="M2" s="102"/>
    </row>
    <row r="3" ht="15.0" customHeight="1">
      <c r="A3" s="102"/>
      <c r="B3" s="133" t="s">
        <v>277</v>
      </c>
      <c r="C3" s="170" t="s">
        <v>333</v>
      </c>
      <c r="D3" s="102"/>
      <c r="E3" s="141" t="str">
        <f> VLOOKUP(C2,'Qualifier Lobbies'!C4:G42,5,0)</f>
        <v>BlooMertz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(B5)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334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B5**
 MP LINK: https://osu.ppy.sh/community/matches/109971985 
 Referee Notes: :thumbsup: None
</v>
      </c>
      <c r="D5" s="102"/>
      <c r="E5" s="144" t="str">
        <f> VLOOKUP(C2,'Qualifier Lobbies'!C4:F42,4,0)&amp;" UTC"</f>
        <v>8:00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007dodo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Minor assault squad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007dodo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-Shichimiya-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Skillerix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48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335</v>
      </c>
      <c r="M2" s="102"/>
    </row>
    <row r="3" ht="15.0" customHeight="1">
      <c r="A3" s="102"/>
      <c r="B3" s="133" t="s">
        <v>277</v>
      </c>
      <c r="C3" s="178" t="s">
        <v>336</v>
      </c>
      <c r="D3" s="102"/>
      <c r="E3" s="141" t="str">
        <f> VLOOKUP(C2,'Qualifier Lobbies'!C4:G42,5,0)</f>
        <v>Gamillie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(B6)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337</v>
      </c>
      <c r="M4" s="101" t="s">
        <v>338</v>
      </c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B6**
 MP LINK: https://osu.ppy.sh/mp/109973026 
 Referee Notes: :thumbsup: None
</v>
      </c>
      <c r="D5" s="102"/>
      <c r="E5" s="144" t="str">
        <f> VLOOKUP(C2,'Qualifier Lobbies'!C4:F42,4,0)&amp;" UTC"</f>
        <v>10:00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- Enkidu -</v>
      </c>
      <c r="I7" s="150" t="str">
        <f t="shared" ref="I7:L7" si="1">IFERROR("!mp invite " &amp; I9,"")</f>
        <v>!mp invite BlooMertz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blpka</v>
      </c>
      <c r="H8" s="153"/>
      <c r="I8" s="156" t="str">
        <f>VLOOKUP(C2,'Qualifier Lobbies'!C5:L42,7,0)</f>
        <v>Team name pending xd</v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- Enkidu -</v>
      </c>
      <c r="H9" s="162"/>
      <c r="I9" s="173" t="str">
        <f>IFERROR(VLOOKUP(I8,'Ref &amp; Team list'!C3:F20,2,0),"")</f>
        <v>BlooMertz</v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dffTu</v>
      </c>
      <c r="H10" s="162"/>
      <c r="I10" s="174" t="str">
        <f>IFERROR(VLOOKUP(I8,'Ref &amp; Team list'!C3:F20,3,0),"")</f>
        <v>cxyren</v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74" t="str">
        <f>IFERROR(VLOOKUP(I8,'Ref &amp; Team list'!C3:F20,4,0),"")</f>
        <v>Dragonslash354</v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49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339</v>
      </c>
      <c r="M2" s="102"/>
    </row>
    <row r="3" ht="15.0" customHeight="1">
      <c r="A3" s="102"/>
      <c r="B3" s="133" t="s">
        <v>277</v>
      </c>
      <c r="C3" s="170" t="s">
        <v>340</v>
      </c>
      <c r="D3" s="102"/>
      <c r="E3" s="141" t="str">
        <f> VLOOKUP(C2,'Qualifier Lobbies'!C4:G42,5,0)</f>
        <v>BlooMertz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(B7)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341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B7**
 MP LINK: https://osu.ppy.sh/community/matches/109973994 
 Referee Notes: :thumbsup: None
</v>
      </c>
      <c r="D5" s="102"/>
      <c r="E5" s="144" t="str">
        <f> VLOOKUP(C2,'Qualifier Lobbies'!C4:F42,4,0)&amp;" UTC"</f>
        <v>12:00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mblsh</v>
      </c>
      <c r="I7" s="150" t="str">
        <f t="shared" ref="I7:L7" si="1">IFERROR("!mp invite " &amp; I9,"")</f>
        <v>!mp invite fnugus</v>
      </c>
      <c r="J7" s="149" t="str">
        <f t="shared" si="1"/>
        <v>!mp invite XXVII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Tom and Jerry</v>
      </c>
      <c r="H8" s="153"/>
      <c r="I8" s="156" t="str">
        <f>VLOOKUP(C2,'Qualifier Lobbies'!C5:L42,7,0)</f>
        <v>VN+1</v>
      </c>
      <c r="J8" s="157" t="str">
        <f>VLOOKUP(C2,'Qualifier Lobbies'!C5:L42,8,0)</f>
        <v>LongTreep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mblsh</v>
      </c>
      <c r="H9" s="162"/>
      <c r="I9" s="173" t="str">
        <f>IFERROR(VLOOKUP(I8,'Ref &amp; Team list'!C3:F20,2,0),"")</f>
        <v>fnugus</v>
      </c>
      <c r="J9" s="173" t="str">
        <f>IFERROR(VLOOKUP(J8,'Ref &amp; Team list'!C3:F20,2,0),"")</f>
        <v>XXVII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dark cat</v>
      </c>
      <c r="H10" s="162"/>
      <c r="I10" s="174" t="str">
        <f>IFERROR(VLOOKUP(I8,'Ref &amp; Team list'!C3:F20,3,0),"")</f>
        <v>RaiRei</v>
      </c>
      <c r="J10" s="175" t="str">
        <f>IFERROR(VLOOKUP(J8,'Ref &amp; Team list'!C3:F20,3,0),"")</f>
        <v>SnaME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74" t="str">
        <f>IFERROR(VLOOKUP(I8,'Ref &amp; Team list'!C3:F20,4,0),"")</f>
        <v>Elfie125</v>
      </c>
      <c r="J11" s="176" t="str">
        <f>IFERROR(VLOOKUP(J8,'Ref &amp; Team list'!C3:F20,4,0),"")</f>
        <v>SnaME</v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50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342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/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(B8)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343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14:00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51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344</v>
      </c>
      <c r="M2" s="102"/>
    </row>
    <row r="3" ht="15.0" customHeight="1">
      <c r="A3" s="102"/>
      <c r="B3" s="133" t="s">
        <v>277</v>
      </c>
      <c r="C3" s="170" t="s">
        <v>345</v>
      </c>
      <c r="D3" s="102"/>
      <c r="E3" s="141" t="str">
        <f> VLOOKUP(C2,'Qualifier Lobbies'!C4:G42,5,0)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(B9)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346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B9**
 MP LINK: https://osu.ppy.sh/community/matches/109977543 
 Referee Notes: :thumbsup: None
</v>
      </c>
      <c r="D5" s="102"/>
      <c r="E5" s="144" t="str">
        <f> VLOOKUP(C2,'Qualifier Lobbies'!C4:F42,4,0)&amp;" UTC"</f>
        <v>16:00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Aria Holmes</v>
      </c>
      <c r="I7" s="150" t="str">
        <f t="shared" ref="I7:L7" si="1">IFERROR("!mp invite " &amp; I9,"")</f>
        <v>!mp invite Newtech66</v>
      </c>
      <c r="J7" s="149" t="str">
        <f t="shared" si="1"/>
        <v>!mp invite TzJake</v>
      </c>
      <c r="K7" s="150" t="str">
        <f t="shared" si="1"/>
        <v>!mp invite Alica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Koteykaaa team</v>
      </c>
      <c r="H8" s="153"/>
      <c r="I8" s="156" t="str">
        <f>VLOOKUP(C2,'Qualifier Lobbies'!C5:L42,7,0)</f>
        <v>Angleseekers</v>
      </c>
      <c r="J8" s="157" t="str">
        <f>VLOOKUP(C2,'Qualifier Lobbies'!C5:L42,8,0)</f>
        <v>Ahjin</v>
      </c>
      <c r="K8" s="155" t="str">
        <f>VLOOKUP(C2,'Qualifier Lobbies'!C5:L42,9,0)</f>
        <v>The sleepers</v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Aria Holmes</v>
      </c>
      <c r="H9" s="162"/>
      <c r="I9" s="173" t="str">
        <f>IFERROR(VLOOKUP(I8,'Ref &amp; Team list'!C3:F20,2,0),"")</f>
        <v>Newtech66</v>
      </c>
      <c r="J9" s="173" t="str">
        <f>IFERROR(VLOOKUP(J8,'Ref &amp; Team list'!C3:F20,2,0),"")</f>
        <v>TzJake</v>
      </c>
      <c r="K9" s="173" t="str">
        <f>IFERROR(VLOOKUP(K8,'Ref &amp; Team list'!C3:F20,2,0),"")</f>
        <v>Alica</v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Regihorn</v>
      </c>
      <c r="H10" s="162"/>
      <c r="I10" s="174" t="str">
        <f>IFERROR(VLOOKUP(I8,'Ref &amp; Team list'!C3:F20,3,0),"")</f>
        <v>spicyparatha</v>
      </c>
      <c r="J10" s="175" t="str">
        <f>IFERROR(VLOOKUP(J8,'Ref &amp; Team list'!C3:F20,3,0),"")</f>
        <v>rafaeldel7</v>
      </c>
      <c r="K10" s="175" t="str">
        <f>IFERROR(VLOOKUP(K8,'Ref &amp; Team list'!C3:F20,3,0),"")</f>
        <v>GreenMelonX</v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FurryWolf_RU</v>
      </c>
      <c r="H11" s="162"/>
      <c r="I11" s="167" t="str">
        <f>IFERROR(VLOOKUP(I8,'Ref &amp; Team list'!C3:F20,4,0),"")</f>
        <v/>
      </c>
      <c r="J11" s="176" t="str">
        <f>IFERROR(VLOOKUP(J8,'Ref &amp; Team list'!C3:F20,4,0),"")</f>
        <v>-Darklune-</v>
      </c>
      <c r="K11" s="176" t="str">
        <f>IFERROR(VLOOKUP(K8,'Ref &amp; Team list'!C3:F20,4,0),"")</f>
        <v>smun</v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1" t="s">
        <v>201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201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347</v>
      </c>
      <c r="M2" s="102"/>
    </row>
    <row r="3" ht="15.0" customHeight="1">
      <c r="A3" s="102"/>
      <c r="B3" s="133" t="s">
        <v>277</v>
      </c>
      <c r="C3" s="170" t="s">
        <v>203</v>
      </c>
      <c r="D3" s="102"/>
      <c r="E3" s="144" t="s">
        <v>126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(B11)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348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B11**
 MP LINK: https://osu.ppy.sh/community/matches/109980924 
 Referee Notes: :thumbsup: None
</v>
      </c>
      <c r="D5" s="102"/>
      <c r="E5" s="144" t="str">
        <f> VLOOKUP(C2,'Qualifier Lobbies'!C4:F42,4,0)&amp;" UTC"</f>
        <v>20:00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Todi37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Retired Aces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Todi37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Flaming_Galaxy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MomoNagi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204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349</v>
      </c>
      <c r="M2" s="102"/>
    </row>
    <row r="3" ht="15.0" customHeight="1">
      <c r="A3" s="102"/>
      <c r="B3" s="133" t="s">
        <v>277</v>
      </c>
      <c r="C3" s="170" t="s">
        <v>207</v>
      </c>
      <c r="D3" s="102"/>
      <c r="E3" s="141" t="str">
        <f> VLOOKUP(C2,'Qualifier Lobbies'!C4:G42,5,0)</f>
        <v>play hd3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(B12)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350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B12**
 MP LINK: https://osu.ppy.sh/community/matches/109982967 
 Referee Notes: :thumbsup: None
</v>
      </c>
      <c r="D5" s="102"/>
      <c r="E5" s="144" t="str">
        <f> VLOOKUP(C2,'Qualifier Lobbies'!C4:F42,4,0)&amp;" UTC"</f>
        <v>22:00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[MG] Alitzer</v>
      </c>
      <c r="I7" s="150" t="str">
        <f t="shared" ref="I7:L7" si="1">IFERROR("!mp invite " &amp; I9,"")</f>
        <v>!mp invite euouae_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81" t="s">
        <v>205</v>
      </c>
      <c r="H8" s="182"/>
      <c r="I8" s="97" t="s">
        <v>206</v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[MG] Alitzer</v>
      </c>
      <c r="H9" s="162"/>
      <c r="I9" s="173" t="str">
        <f>IFERROR(VLOOKUP(I8,'Ref &amp; Team list'!C3:F20,2,0),"")</f>
        <v>euouae_</v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[MG] Lizeim</v>
      </c>
      <c r="H10" s="162"/>
      <c r="I10" s="174" t="str">
        <f>IFERROR(VLOOKUP(I8,'Ref &amp; Team list'!C3:F20,3,0),"")</f>
        <v>HecaRegina</v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74" t="str">
        <f>IFERROR(VLOOKUP(I8,'Ref &amp; Team list'!C3:F20,4,0),"")</f>
        <v>Onii karma</v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208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351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/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(B13)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352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23:59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212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353</v>
      </c>
      <c r="M2" s="102"/>
    </row>
    <row r="3" ht="15.0" customHeight="1">
      <c r="A3" s="102"/>
      <c r="B3" s="133" t="s">
        <v>277</v>
      </c>
      <c r="C3" s="170" t="s">
        <v>354</v>
      </c>
      <c r="D3" s="102"/>
      <c r="E3" s="141" t="str">
        <f> VLOOKUP(C2,'Qualifier Lobbies'!C4:G42,5,0)</f>
        <v>BlooMertz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(C1)</v>
      </c>
      <c r="D4" s="102"/>
      <c r="E4" s="171">
        <f> VLOOKUP(C2,'Qualifier Lobbies'!C4:F42,3,0)</f>
        <v>45149</v>
      </c>
      <c r="F4" s="102"/>
      <c r="H4" s="102"/>
      <c r="I4" s="137" t="s">
        <v>282</v>
      </c>
      <c r="J4" s="138" t="s">
        <v>283</v>
      </c>
      <c r="K4" s="145" t="s">
        <v>355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C1**
 MP LINK: https://osu.ppy.sh/community/matches/109940745 
 Referee Notes: :thumbsup: None
</v>
      </c>
      <c r="D5" s="102"/>
      <c r="E5" s="144" t="str">
        <f> VLOOKUP(C2,'Qualifier Lobbies'!C4:F42,4,0)&amp;" UTC"</f>
        <v>10:00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Frui Ludo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Chocomaid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Frui Ludo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Chokecomint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Azcazay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214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356</v>
      </c>
      <c r="M2" s="102"/>
    </row>
    <row r="3" ht="15.0" customHeight="1">
      <c r="A3" s="102"/>
      <c r="B3" s="133" t="s">
        <v>277</v>
      </c>
      <c r="C3" s="170" t="s">
        <v>357</v>
      </c>
      <c r="D3" s="102"/>
      <c r="E3" s="141" t="str">
        <f> VLOOKUP(C2,'Qualifier Lobbies'!C4:G42,5,0)</f>
        <v>Ninja Mejster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(C2)</v>
      </c>
      <c r="D4" s="102"/>
      <c r="E4" s="171">
        <f> VLOOKUP(C2,'Qualifier Lobbies'!C4:F42,3,0)</f>
        <v>45149</v>
      </c>
      <c r="F4" s="102"/>
      <c r="H4" s="102"/>
      <c r="I4" s="137" t="s">
        <v>282</v>
      </c>
      <c r="J4" s="138" t="s">
        <v>283</v>
      </c>
      <c r="K4" s="145" t="s">
        <v>358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C2**
 MP LINK: https://osu.ppy.sh/community/matches/109946357 
 Referee Notes: :thumbsup: None
</v>
      </c>
      <c r="D5" s="102"/>
      <c r="E5" s="144" t="str">
        <f> VLOOKUP(C2,'Qualifier Lobbies'!C4:F42,4,0)&amp;" UTC"</f>
        <v>18:00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O_re_O</v>
      </c>
      <c r="I7" s="150" t="str">
        <f t="shared" ref="I7:L7" si="1">IFERROR("!mp invite " &amp; I9,"")</f>
        <v>!mp invite lipefree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Sightread Buff</v>
      </c>
      <c r="H8" s="153"/>
      <c r="I8" s="156" t="str">
        <f>VLOOKUP(C2,'Qualifier Lobbies'!C5:L42,7,0)</f>
        <v>Flexgang</v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O_re_O</v>
      </c>
      <c r="H9" s="162"/>
      <c r="I9" s="173" t="str">
        <f>IFERROR(VLOOKUP(I8,'Ref &amp; Team list'!C3:F20,2,0),"")</f>
        <v>lipefree</v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depict1</v>
      </c>
      <c r="H10" s="162"/>
      <c r="I10" s="174" t="str">
        <f>IFERROR(VLOOKUP(I8,'Ref &amp; Team list'!C3:F20,3,0),"")</f>
        <v>Darvgaea</v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NemiTrailRider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217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359</v>
      </c>
      <c r="M2" s="102"/>
    </row>
    <row r="3" ht="15.0" customHeight="1">
      <c r="A3" s="102"/>
      <c r="B3" s="133" t="s">
        <v>277</v>
      </c>
      <c r="C3" s="170" t="s">
        <v>360</v>
      </c>
      <c r="D3" s="102"/>
      <c r="E3" s="141" t="str">
        <f> VLOOKUP(C2,'Qualifier Lobbies'!C4:G42,5,0)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(C3)</v>
      </c>
      <c r="D4" s="102"/>
      <c r="E4" s="171">
        <f> VLOOKUP(C2,'Qualifier Lobbies'!C4:F42,3,0)</f>
        <v>45149</v>
      </c>
      <c r="F4" s="102"/>
      <c r="H4" s="102"/>
      <c r="I4" s="137" t="s">
        <v>282</v>
      </c>
      <c r="J4" s="138" t="s">
        <v>283</v>
      </c>
      <c r="K4" s="145" t="s">
        <v>361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C3**
 MP LINK: https://osu.ppy.sh/community/matches/109944141 
 Referee Notes: :thumbsup: None
</v>
      </c>
      <c r="D5" s="102"/>
      <c r="E5" s="144" t="str">
        <f> VLOOKUP(C2,'Qualifier Lobbies'!C4:F42,4,0)&amp;" UTC"</f>
        <v>15:00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Hatchi115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underdogs 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Hatchi115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Yeayea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220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362</v>
      </c>
      <c r="M2" s="102"/>
    </row>
    <row r="3" ht="15.0" customHeight="1">
      <c r="A3" s="102"/>
      <c r="B3" s="133" t="s">
        <v>277</v>
      </c>
      <c r="C3" s="170" t="s">
        <v>363</v>
      </c>
      <c r="D3" s="102"/>
      <c r="E3" s="141" t="str">
        <f> VLOOKUP(C2,'Qualifier Lobbies'!C4:G42,5,0)</f>
        <v>BCraftMG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(C4)</v>
      </c>
      <c r="D4" s="102"/>
      <c r="E4" s="144" t="str">
        <f> VLOOKUP(C2,'Qualifier Lobbies'!C4:F42,3,0)</f>
        <v>Aug 11 (Friday)</v>
      </c>
      <c r="F4" s="102"/>
      <c r="H4" s="102"/>
      <c r="I4" s="137" t="s">
        <v>282</v>
      </c>
      <c r="J4" s="138" t="s">
        <v>283</v>
      </c>
      <c r="K4" s="145" t="s">
        <v>364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C4**
 MP LINK: https://osu.ppy.sh/mp/109943699 
 Referee Notes: :thumbsup: None
</v>
      </c>
      <c r="D5" s="102"/>
      <c r="E5" s="144" t="str">
        <f> VLOOKUP(C2,'Qualifier Lobbies'!C4:F42,4,0)&amp;" UTC"</f>
        <v> 14:30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SiriusOnly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small wiener club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SiriusOnly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Kuranami_Kazu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DeathByDarwin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224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365</v>
      </c>
      <c r="M2" s="102"/>
    </row>
    <row r="3" ht="15.0" customHeight="1">
      <c r="A3" s="102"/>
      <c r="B3" s="133" t="s">
        <v>277</v>
      </c>
      <c r="C3" s="170" t="s">
        <v>366</v>
      </c>
      <c r="D3" s="102"/>
      <c r="E3" s="141" t="str">
        <f> VLOOKUP(C2,'Qualifier Lobbies'!C4:G42,5,0)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(C5)</v>
      </c>
      <c r="D4" s="102"/>
      <c r="E4" s="144" t="str">
        <f> VLOOKUP(C2,'Qualifier Lobbies'!C4:F42,3,0)</f>
        <v>Aug 12 (Saturday) </v>
      </c>
      <c r="F4" s="102"/>
      <c r="H4" s="102"/>
      <c r="I4" s="137" t="s">
        <v>282</v>
      </c>
      <c r="J4" s="138" t="s">
        <v>283</v>
      </c>
      <c r="K4" s="145" t="s">
        <v>367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C5**
 MP LINK: https://osu.ppy.sh/community/matches/109960051 
 Referee Notes: :thumbsup: None
</v>
      </c>
      <c r="D5" s="102"/>
      <c r="E5" s="144" t="str">
        <f> VLOOKUP(C2,'Qualifier Lobbies'!C4:F42,4,0)&amp;" UTC"</f>
        <v>15:00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foxy1919191919</v>
      </c>
      <c r="I7" s="150" t="str">
        <f t="shared" ref="I7:L7" si="1">IFERROR("!mp invite " &amp; I9,"")</f>
        <v>!mp invite X-ill</v>
      </c>
      <c r="J7" s="149" t="str">
        <f t="shared" si="1"/>
        <v>!mp invite BCraftMG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The Mat Munchers</v>
      </c>
      <c r="H8" s="153"/>
      <c r="I8" s="156" t="str">
        <f>VLOOKUP(C2,'Qualifier Lobbies'!C5:L42,7,0)</f>
        <v>match in 15</v>
      </c>
      <c r="J8" s="157" t="str">
        <f>VLOOKUP(C2,'Qualifier Lobbies'!C5:L42,8,0)</f>
        <v>Ghost the Angel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foxy1919191919</v>
      </c>
      <c r="H9" s="162"/>
      <c r="I9" s="173" t="str">
        <f>IFERROR(VLOOKUP(I8,'Ref &amp; Team list'!C3:F20,2,0),"")</f>
        <v>X-ill</v>
      </c>
      <c r="J9" s="173" t="str">
        <f>IFERROR(VLOOKUP(J8,'Ref &amp; Team list'!C3:F20,2,0),"")</f>
        <v>BCraftMG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SneakyDingus</v>
      </c>
      <c r="H10" s="162"/>
      <c r="I10" s="174" t="str">
        <f>IFERROR(VLOOKUP(I8,'Ref &amp; Team list'!C3:F20,3,0),"")</f>
        <v>marshysxn</v>
      </c>
      <c r="J10" s="175" t="str">
        <f>IFERROR(VLOOKUP(J8,'Ref &amp; Team list'!C3:F20,3,0),"")</f>
        <v>Lugost Angel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Gwnet</v>
      </c>
      <c r="H11" s="162"/>
      <c r="I11" s="174" t="str">
        <f>IFERROR(VLOOKUP(I8,'Ref &amp; Team list'!C3:F20,4,0),"")</f>
        <v>felixgg</v>
      </c>
      <c r="J11" s="176" t="str">
        <f>IFERROR(VLOOKUP(J8,'Ref &amp; Team list'!C3:F20,4,0),"")</f>
        <v>quay4</v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229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368</v>
      </c>
      <c r="M2" s="102"/>
    </row>
    <row r="3" ht="15.0" customHeight="1">
      <c r="A3" s="102"/>
      <c r="B3" s="133" t="s">
        <v>277</v>
      </c>
      <c r="C3" s="170" t="s">
        <v>369</v>
      </c>
      <c r="D3" s="102"/>
      <c r="E3" s="141" t="str">
        <f> VLOOKUP(C2,'Qualifier Lobbies'!C4:G42,5,0)</f>
        <v>-PeKoRa-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(C6)</v>
      </c>
      <c r="D4" s="102"/>
      <c r="E4" s="144" t="str">
        <f> VLOOKUP(C2,'Qualifier Lobbies'!C4:F42,3,0)</f>
        <v>Aug 11 (Friday)</v>
      </c>
      <c r="F4" s="102"/>
      <c r="H4" s="102"/>
      <c r="I4" s="137" t="s">
        <v>282</v>
      </c>
      <c r="J4" s="138" t="s">
        <v>283</v>
      </c>
      <c r="K4" s="145" t="s">
        <v>370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C6**
 MP LINK: https://osu.ppy.sh/community/matches/109937609 
 Referee Notes: :thumbsup: None
</v>
      </c>
      <c r="D5" s="102"/>
      <c r="E5" s="144" t="str">
        <f> VLOOKUP(C2,'Qualifier Lobbies'!C4:F42,4,0)&amp;" UTC"</f>
        <v>3:00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SealDeGawd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Our team left us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SealDeGawd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asdfuhuo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232</v>
      </c>
      <c r="D2" s="102"/>
      <c r="E2" s="135" t="s">
        <v>272</v>
      </c>
      <c r="F2" s="102"/>
      <c r="G2" s="136" t="s">
        <v>273</v>
      </c>
      <c r="H2" s="102"/>
      <c r="I2" s="137" t="s">
        <v>315</v>
      </c>
      <c r="J2" s="138" t="s">
        <v>275</v>
      </c>
      <c r="K2" s="139" t="s">
        <v>371</v>
      </c>
      <c r="M2" s="102"/>
    </row>
    <row r="3" ht="15.0" customHeight="1">
      <c r="A3" s="102"/>
      <c r="B3" s="133" t="s">
        <v>277</v>
      </c>
      <c r="C3" s="177" t="s">
        <v>372</v>
      </c>
      <c r="D3" s="102"/>
      <c r="E3" s="141" t="str">
        <f> VLOOKUP(C2,'Qualifier Lobbies'!C4:G42,5,0)</f>
        <v>play hd3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(C7)</v>
      </c>
      <c r="D4" s="102"/>
      <c r="E4" s="144" t="str">
        <f> VLOOKUP(C2,'Qualifier Lobbies'!C4:F42,3,0)</f>
        <v>Aug 9 (Wednesday)</v>
      </c>
      <c r="F4" s="102"/>
      <c r="H4" s="102"/>
      <c r="I4" s="137" t="s">
        <v>282</v>
      </c>
      <c r="J4" s="138" t="s">
        <v>283</v>
      </c>
      <c r="K4" s="145" t="s">
        <v>373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C7**
 MP LINK: https://osu.ppy.sh/community/matches/109917698 
 Referee Notes: :thumbsup: None
</v>
      </c>
      <c r="D5" s="102"/>
      <c r="E5" s="144" t="str">
        <f> VLOOKUP(C2,'Qualifier Lobbies'!C4:F42,4,0)&amp;" UTC"</f>
        <v>20:00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SkyprimeLp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BOCCHER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SkyprimeLp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Knax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uhzyk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235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374</v>
      </c>
      <c r="M2" s="102"/>
    </row>
    <row r="3" ht="15.0" customHeight="1">
      <c r="A3" s="102"/>
      <c r="B3" s="133" t="s">
        <v>277</v>
      </c>
      <c r="C3" s="170" t="s">
        <v>375</v>
      </c>
      <c r="D3" s="102"/>
      <c r="E3" s="141" t="str">
        <f> VLOOKUP(C2,'Qualifier Lobbies'!C4:G42,5,0)</f>
        <v>RudderFish07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(C8)</v>
      </c>
      <c r="D4" s="102"/>
      <c r="E4" s="144" t="str">
        <f> VLOOKUP(C2,'Qualifier Lobbies'!C4:F42,3,0)</f>
        <v>Aug 13 (Sunday)</v>
      </c>
      <c r="F4" s="102"/>
      <c r="H4" s="102"/>
      <c r="I4" s="137" t="s">
        <v>282</v>
      </c>
      <c r="J4" s="138" t="s">
        <v>283</v>
      </c>
      <c r="K4" s="145" t="s">
        <v>376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C8**
 MP LINK: https://osu.ppy.sh/community/matches/109968332 
 Referee Notes: :thumbsup: None
</v>
      </c>
      <c r="D5" s="102"/>
      <c r="E5" s="144" t="str">
        <f> VLOOKUP(C2,'Qualifier Lobbies'!C4:F42,4,0)&amp;" UTC"</f>
        <v>1:00 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cyclone290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animefoot69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cyclone290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Aever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239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377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-PeKoRa-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(C9)</v>
      </c>
      <c r="D4" s="102"/>
      <c r="E4" s="144" t="str">
        <f> VLOOKUP(C2,'Qualifier Lobbies'!C4:F42,3,0)</f>
        <v>Aug 13 (Sunday)</v>
      </c>
      <c r="F4" s="102"/>
      <c r="H4" s="102"/>
      <c r="I4" s="137" t="s">
        <v>282</v>
      </c>
      <c r="J4" s="138" t="s">
        <v>283</v>
      </c>
      <c r="K4" s="145" t="s">
        <v>378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15:30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241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379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BlooMertz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(C10)</v>
      </c>
      <c r="D4" s="102"/>
      <c r="E4" s="144" t="str">
        <f> VLOOKUP(C2,'Qualifier Lobbies'!C4:F42,3,0)</f>
        <v>Aug 13 (Sunday)</v>
      </c>
      <c r="F4" s="102"/>
      <c r="H4" s="102"/>
      <c r="I4" s="137" t="s">
        <v>282</v>
      </c>
      <c r="J4" s="138" t="s">
        <v>283</v>
      </c>
      <c r="K4" s="145" t="s">
        <v>380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 7:00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243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381</v>
      </c>
      <c r="M2" s="102"/>
    </row>
    <row r="3" ht="15.0" customHeight="1">
      <c r="A3" s="102"/>
      <c r="B3" s="133" t="s">
        <v>277</v>
      </c>
      <c r="C3" s="170" t="s">
        <v>382</v>
      </c>
      <c r="D3" s="102"/>
      <c r="E3" s="141" t="str">
        <f> VLOOKUP(C2,'Qualifier Lobbies'!C4:G42,5,0)</f>
        <v>-PeKoRa-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(C11)</v>
      </c>
      <c r="D4" s="102"/>
      <c r="E4" s="144" t="str">
        <f> VLOOKUP(C2,'Qualifier Lobbies'!C4:F42,3,0)</f>
        <v>Aug 10 (Thursday)</v>
      </c>
      <c r="F4" s="102"/>
      <c r="H4" s="102"/>
      <c r="I4" s="137" t="s">
        <v>282</v>
      </c>
      <c r="J4" s="138" t="s">
        <v>283</v>
      </c>
      <c r="K4" s="145" t="s">
        <v>383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C11**
 MP LINK: https://osu.ppy.sh/community/matches/109927223 
 Referee Notes: :thumbsup: None
</v>
      </c>
      <c r="D5" s="102"/>
      <c r="E5" s="144" t="str">
        <f> VLOOKUP(C2,'Qualifier Lobbies'!C4:F42,4,0)&amp;" UTC"</f>
        <v>13:00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Gilky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Cottonpickers</v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Gilky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StreamsGuru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247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384</v>
      </c>
      <c r="M2" s="102"/>
    </row>
    <row r="3" ht="15.0" customHeight="1">
      <c r="A3" s="102"/>
      <c r="B3" s="133" t="s">
        <v>277</v>
      </c>
      <c r="C3" s="170" t="s">
        <v>385</v>
      </c>
      <c r="D3" s="102"/>
      <c r="E3" s="141" t="str">
        <f> VLOOKUP(C2,'Qualifier Lobbies'!C4:G20,5,0)</f>
        <v>Ninja Mejster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(C12)</v>
      </c>
      <c r="D4" s="102"/>
      <c r="E4" s="144" t="str">
        <f> VLOOKUP(C2,'Qualifier Lobbies'!C4:F20,3,0)</f>
        <v>Aug 10 (Thursday)</v>
      </c>
      <c r="F4" s="102"/>
      <c r="H4" s="102"/>
      <c r="I4" s="137" t="s">
        <v>282</v>
      </c>
      <c r="J4" s="138" t="s">
        <v>283</v>
      </c>
      <c r="K4" s="145" t="s">
        <v>386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C12**
 MP LINK: https://osu.ppy.sh/community/matches/109929843 
 Referee Notes: :thumbsup: None
</v>
      </c>
      <c r="D5" s="102"/>
      <c r="E5" s="144" t="str">
        <f> VLOOKUP(C2,'Qualifier Lobbies'!C4:F20,4,0)&amp;" UTC"</f>
        <v>16:00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Rurup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>Kittens</v>
      </c>
      <c r="H8" s="153"/>
      <c r="I8" s="156" t="str">
        <f>VLOOKUP(C2,'Qualifier Lobbies'!C5:L20,7,0)</f>
        <v/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Rurup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Shaddie_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DzikaSwinia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Lobbies'!$C$5:$C$50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249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387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Lobbies'!C4:G20,5,0)</f>
        <v>Gamillie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(C13)</v>
      </c>
      <c r="D4" s="102"/>
      <c r="E4" s="144" t="str">
        <f> VLOOKUP(C2,'Qualifier Lobbies'!C4:F20,3,0)</f>
        <v>Aug 13 (Sunday)</v>
      </c>
      <c r="F4" s="102"/>
      <c r="H4" s="102"/>
      <c r="I4" s="137" t="s">
        <v>282</v>
      </c>
      <c r="J4" s="138" t="s">
        <v>283</v>
      </c>
      <c r="K4" s="145" t="s">
        <v>388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Lobbies'!C4:F20,4,0)&amp;" UTC"</f>
        <v>13:00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/>
      </c>
      <c r="H8" s="153"/>
      <c r="I8" s="156" t="str">
        <f>VLOOKUP(C2,'Qualifier Lobbies'!C5:L20,7,0)</f>
        <v/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Lobbies'!$C$5:$C$50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250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389</v>
      </c>
      <c r="M2" s="102"/>
    </row>
    <row r="3" ht="15.0" customHeight="1">
      <c r="A3" s="102"/>
      <c r="B3" s="133" t="s">
        <v>277</v>
      </c>
      <c r="C3" s="177" t="s">
        <v>390</v>
      </c>
      <c r="D3" s="102"/>
      <c r="E3" s="141" t="str">
        <f> VLOOKUP(C2,'Qualifier Lobbies'!C4:G20,5,0)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(C14)</v>
      </c>
      <c r="D4" s="102"/>
      <c r="E4" s="144" t="str">
        <f> VLOOKUP(C2,'Qualifier Lobbies'!C4:F20,3,0)</f>
        <v>Aug 11 (Friday)</v>
      </c>
      <c r="F4" s="102"/>
      <c r="H4" s="102"/>
      <c r="I4" s="137" t="s">
        <v>282</v>
      </c>
      <c r="J4" s="138" t="s">
        <v>283</v>
      </c>
      <c r="K4" s="145" t="s">
        <v>391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C14**
 MP LINK: https://osu.ppy.sh/community/matches/109943247 
 Referee Notes: :thumbsup: None
</v>
      </c>
      <c r="D5" s="102"/>
      <c r="E5" s="144" t="str">
        <f> VLOOKUP(C2,'Qualifier Lobbies'!C4:F20,4,0)&amp;" UTC"</f>
        <v>14:00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Qkiryu</v>
      </c>
      <c r="I7" s="150" t="str">
        <f t="shared" ref="I7:L7" si="1">IFERROR("!mp invite " &amp; I9,"")</f>
        <v>!mp invite Himman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>placeholder teamname</v>
      </c>
      <c r="H8" s="153"/>
      <c r="I8" s="156" t="str">
        <f>VLOOKUP(C2,'Qualifier Lobbies'!C5:L20,7,0)</f>
        <v>DSE victims</v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Qkiryu</v>
      </c>
      <c r="H9" s="162"/>
      <c r="I9" s="173" t="str">
        <f>IFERROR(VLOOKUP(I8,'Ref &amp; Team list'!C3:F20,2,0),"")</f>
        <v>Himman</v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FireRed88</v>
      </c>
      <c r="H10" s="162"/>
      <c r="I10" s="174" t="str">
        <f>IFERROR(VLOOKUP(I8,'Ref &amp; Team list'!C3:F20,3,0),"")</f>
        <v>C00KI3C00KIY</v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CGXWasTaken</v>
      </c>
      <c r="H11" s="162"/>
      <c r="I11" s="174" t="str">
        <f>IFERROR(VLOOKUP(I8,'Ref &amp; Team list'!C3:F20,4,0),"")</f>
        <v>Cola1228</v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Lobbies'!$C$5:$C$50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253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392</v>
      </c>
      <c r="M2" s="102"/>
    </row>
    <row r="3" ht="15.0" customHeight="1">
      <c r="A3" s="102"/>
      <c r="B3" s="133" t="s">
        <v>277</v>
      </c>
      <c r="C3" s="170" t="s">
        <v>393</v>
      </c>
      <c r="D3" s="102"/>
      <c r="E3" s="141" t="str">
        <f> VLOOKUP(C2,'Qualifier Lobbies'!C4:G20,5,0)</f>
        <v>BCraftMG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(C15)</v>
      </c>
      <c r="D4" s="102"/>
      <c r="E4" s="144" t="str">
        <f> VLOOKUP(C2,'Qualifier Lobbies'!C4:F20,3,0)</f>
        <v>Aug 11 (Friday)</v>
      </c>
      <c r="F4" s="102"/>
      <c r="H4" s="102"/>
      <c r="I4" s="137" t="s">
        <v>282</v>
      </c>
      <c r="J4" s="138" t="s">
        <v>283</v>
      </c>
      <c r="K4" s="145" t="s">
        <v>394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C15**
 MP LINK: https://osu.ppy.sh/community/matches/109944161 
 Referee Notes: :thumbsup: None
</v>
      </c>
      <c r="D5" s="102"/>
      <c r="E5" s="144" t="str">
        <f> VLOOKUP(C2,'Qualifier Lobbies'!C4:F20,4,0)&amp;" UTC"</f>
        <v>15:00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aespect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>female ass wrestling</v>
      </c>
      <c r="H8" s="153"/>
      <c r="I8" s="156" t="str">
        <f>VLOOKUP(C2,'Qualifier Lobbies'!C5:L20,7,0)</f>
        <v/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aespect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qiyo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not_peder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Lobbies'!$C$5:$C$50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255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395</v>
      </c>
      <c r="M2" s="102"/>
    </row>
    <row r="3" ht="15.0" customHeight="1">
      <c r="A3" s="102"/>
      <c r="B3" s="133" t="s">
        <v>277</v>
      </c>
      <c r="C3" s="170" t="s">
        <v>396</v>
      </c>
      <c r="D3" s="102"/>
      <c r="E3" s="141" t="str">
        <f> VLOOKUP(C2,'Qualifier Lobbies'!C4:G20,5,0)</f>
        <v>Ninja Mejster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(C16)</v>
      </c>
      <c r="D4" s="102"/>
      <c r="E4" s="144" t="str">
        <f> VLOOKUP(C2,'Qualifier Lobbies'!C4:F20,3,0)</f>
        <v>Aug 11 (Friday)</v>
      </c>
      <c r="F4" s="102"/>
      <c r="H4" s="102"/>
      <c r="I4" s="137" t="s">
        <v>282</v>
      </c>
      <c r="J4" s="138" t="s">
        <v>283</v>
      </c>
      <c r="K4" s="145" t="s">
        <v>397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C16**
 MP LINK: https://osu.ppy.sh/community/matches/109949863 
 Referee Notes: :thumbsup: None
</v>
      </c>
      <c r="D5" s="102"/>
      <c r="E5" s="144" t="str">
        <f> VLOOKUP(C2,'Qualifier Lobbies'!C4:F20,4,0)&amp;" UTC"</f>
        <v>20.00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Therizard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>Dino Nuggies </v>
      </c>
      <c r="H8" s="153"/>
      <c r="I8" s="156" t="str">
        <f>VLOOKUP(C2,'Qualifier Lobbies'!C5:L20,7,0)</f>
        <v/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Therizard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Calibruh03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Spudsachi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Lobbies'!$C$5:$C$50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258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398</v>
      </c>
      <c r="M2" s="102"/>
    </row>
    <row r="3" ht="15.0" customHeight="1">
      <c r="A3" s="102"/>
      <c r="B3" s="133" t="s">
        <v>277</v>
      </c>
      <c r="C3" s="170" t="s">
        <v>262</v>
      </c>
      <c r="D3" s="102"/>
      <c r="E3" s="141" t="str">
        <f> VLOOKUP(C2,'Qualifier Lobbies'!C4:G20,5,0)</f>
        <v>-PeKoRa-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(C17)</v>
      </c>
      <c r="D4" s="102"/>
      <c r="E4" s="144" t="str">
        <f> VLOOKUP(C2,'Qualifier Lobbies'!C4:F20,3,0)</f>
        <v>Aug 13 (Sunday)</v>
      </c>
      <c r="F4" s="102"/>
      <c r="H4" s="102"/>
      <c r="I4" s="137" t="s">
        <v>282</v>
      </c>
      <c r="J4" s="138" t="s">
        <v>283</v>
      </c>
      <c r="K4" s="145" t="s">
        <v>399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C17**
 MP LINK: https://osu.ppy.sh/community/matches/109976488 
 Referee Notes: :thumbsup: None
</v>
      </c>
      <c r="D5" s="102"/>
      <c r="E5" s="144" t="str">
        <f> VLOOKUP(C2,'Qualifier Lobbies'!C4:F20,4,0)&amp;" UTC"</f>
        <v>15.00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duckcute0902</v>
      </c>
      <c r="I7" s="150" t="str">
        <f t="shared" ref="I7:L7" si="1">IFERROR("!mp invite " &amp; I9,"")</f>
        <v>!mp invite Rev1vall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>Skills issue</v>
      </c>
      <c r="H8" s="153"/>
      <c r="I8" s="156" t="str">
        <f>VLOOKUP(C2,'Qualifier Lobbies'!C5:L20,7,0)</f>
        <v>lowrank is my love</v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duckcute0902</v>
      </c>
      <c r="H9" s="162"/>
      <c r="I9" s="173" t="str">
        <f>IFERROR(VLOOKUP(I8,'Ref &amp; Team list'!C3:F20,2,0),"")</f>
        <v>Rev1vall</v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Laplus Enjoyer</v>
      </c>
      <c r="H10" s="162"/>
      <c r="I10" s="174" t="str">
        <f>IFERROR(VLOOKUP(I8,'Ref &amp; Team list'!C3:F20,3,0),"")</f>
        <v>Sosedov</v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Cessna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Lobbies'!$C$5:$C$50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263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400</v>
      </c>
      <c r="M2" s="102"/>
    </row>
    <row r="3" ht="15.0" customHeight="1">
      <c r="A3" s="102"/>
      <c r="B3" s="133" t="s">
        <v>277</v>
      </c>
      <c r="C3" s="177" t="s">
        <v>401</v>
      </c>
      <c r="D3" s="102"/>
      <c r="E3" s="144" t="s">
        <v>402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(C18)</v>
      </c>
      <c r="D4" s="102"/>
      <c r="E4" s="144" t="s">
        <v>403</v>
      </c>
      <c r="F4" s="102"/>
      <c r="H4" s="102"/>
      <c r="I4" s="137" t="s">
        <v>282</v>
      </c>
      <c r="J4" s="138" t="s">
        <v>283</v>
      </c>
      <c r="K4" s="145" t="s">
        <v>404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C18**
 MP LINK: https://osu.ppy.sh/community/matches/109964627 
 Referee Notes: :thumbsup: None
</v>
      </c>
      <c r="D5" s="102"/>
      <c r="E5" s="144" t="s">
        <v>405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DUM4L77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">
        <v>264</v>
      </c>
      <c r="H8" s="153"/>
      <c r="I8" s="156" t="str">
        <f>VLOOKUP(C2,'Qualifier Lobbies'!C5:L42,7,0)</f>
        <v>#N/A</v>
      </c>
      <c r="J8" s="157" t="str">
        <f>VLOOKUP(C2,'Qualifier Lobbies'!C5:L42,8,0)</f>
        <v>#N/A</v>
      </c>
      <c r="K8" s="155" t="str">
        <f>VLOOKUP(C2,'Qualifier Lobbies'!C5:L42,9,0)</f>
        <v>#N/A</v>
      </c>
      <c r="L8" s="156" t="str">
        <f>VLOOKUP(C2,'Qualifier Lobbies'!C5:L42,10,0)</f>
        <v>#N/A</v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DUM4L77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Simabuco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Loopyng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Lobbies'!$C$5:$C$51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265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406</v>
      </c>
      <c r="M2" s="102"/>
    </row>
    <row r="3" ht="15.0" customHeight="1">
      <c r="A3" s="102"/>
      <c r="B3" s="133" t="s">
        <v>277</v>
      </c>
      <c r="C3" s="180" t="s">
        <v>407</v>
      </c>
      <c r="D3" s="102"/>
      <c r="E3" s="144" t="str">
        <f> VLOOKUP(C2,'Qualifier Lobbies'!C4:G20,5,0)</f>
        <v>play hd3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(C19)</v>
      </c>
      <c r="D4" s="102"/>
      <c r="E4" s="144" t="str">
        <f> VLOOKUP(C2,'Qualifier Lobbies'!C4:F20,3,0)</f>
        <v>Aug 12 (Saturday) </v>
      </c>
      <c r="F4" s="102"/>
      <c r="H4" s="102"/>
      <c r="I4" s="137" t="s">
        <v>282</v>
      </c>
      <c r="J4" s="138" t="s">
        <v>283</v>
      </c>
      <c r="K4" s="145" t="s">
        <v>408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C19**
 MP LINK: https://osu.ppy.sh/community/matches/109966782 
 Referee Notes: :thumbsup: None
</v>
      </c>
      <c r="D5" s="102"/>
      <c r="E5" s="144" t="str">
        <f> VLOOKUP(C2,'Qualifier Lobbies'!C4:F20,4,0)&amp;" UTC"</f>
        <v>22:30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jeffreybot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Lobbies'!C5:L20,6,0)</f>
        <v>jedrew</v>
      </c>
      <c r="H8" s="153"/>
      <c r="I8" s="156" t="str">
        <f>VLOOKUP(C2,'Qualifier Lobbies'!C5:L20,7,0)</f>
        <v/>
      </c>
      <c r="J8" s="157" t="str">
        <f>VLOOKUP(C2,'Qualifier Lobbies'!C5:L20,8,0)</f>
        <v/>
      </c>
      <c r="K8" s="155" t="str">
        <f>VLOOKUP(C2,'Qualifier Lobbies'!C5:L20,9,0)</f>
        <v/>
      </c>
      <c r="L8" s="156" t="str">
        <f>VLOOKUP(C2,'Qualifier Lobbies'!C5:L20,10,0)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jeffreybot</v>
      </c>
      <c r="H9" s="162"/>
      <c r="I9" s="168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CBF45</v>
      </c>
      <c r="H10" s="162"/>
      <c r="I10" s="169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9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Lobbies'!$C$5:$C$51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268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409</v>
      </c>
      <c r="M2" s="102"/>
    </row>
    <row r="3" ht="15.0" customHeight="1">
      <c r="A3" s="102"/>
      <c r="B3" s="133" t="s">
        <v>277</v>
      </c>
      <c r="C3" s="170" t="s">
        <v>410</v>
      </c>
      <c r="D3" s="102"/>
      <c r="E3" s="141" t="str">
        <f> VLOOKUP(C2,'Qualifier Lobbies'!C4:G51,5,0)</f>
        <v>Emerald Ages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(C20)</v>
      </c>
      <c r="D4" s="102"/>
      <c r="E4" s="144" t="str">
        <f> VLOOKUP(C2,'Qualifier Lobbies'!C4:F51,3,0)</f>
        <v>Aug 13 (Sunday)</v>
      </c>
      <c r="F4" s="102"/>
      <c r="H4" s="102"/>
      <c r="I4" s="137" t="s">
        <v>282</v>
      </c>
      <c r="J4" s="138" t="s">
        <v>283</v>
      </c>
      <c r="K4" s="145" t="s">
        <v>411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C20**
 MP LINK: https://osu.ppy.sh/community/matches/109978422 
 Referee Notes: :thumbsup: None
</v>
      </c>
      <c r="D5" s="102"/>
      <c r="E5" s="144" t="str">
        <f> VLOOKUP(C2,'Qualifier Lobbies'!C4:F51,4,0)&amp;" UTC"</f>
        <v>17:00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KillerLink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Lobbies'!C5:L51,6,0)</f>
        <v>equipe câo</v>
      </c>
      <c r="H8" s="153"/>
      <c r="I8" s="156" t="str">
        <f>VLOOKUP(C2,'Qualifier Lobbies'!C5:L51,7,0)</f>
        <v/>
      </c>
      <c r="J8" s="157" t="str">
        <f>VLOOKUP(C2,'Qualifier Lobbies'!C5:L51,8,0)</f>
        <v/>
      </c>
      <c r="K8" s="155" t="str">
        <f>VLOOKUP(C2,'Qualifier Lobbies'!C5:L51,9,0)</f>
        <v/>
      </c>
      <c r="L8" s="156" t="str">
        <f>VLOOKUP(C2,'Qualifier Lobbies'!C5:L51,10,0)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KillerLink</v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lipeposo</v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72" t="str">
        <f>IFERROR(VLOOKUP(G8,'Ref &amp; Team list'!C3:F20,4,0),"")</f>
        <v>Ren245</v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Lobbies'!$C$5:$C$51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52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412</v>
      </c>
      <c r="M2" s="102"/>
    </row>
    <row r="3" ht="15.0" customHeight="1">
      <c r="A3" s="102"/>
      <c r="B3" s="133" t="s">
        <v>277</v>
      </c>
      <c r="C3" s="180" t="s">
        <v>200</v>
      </c>
      <c r="D3" s="102"/>
      <c r="E3" s="141" t="str">
        <f> VLOOKUP(C2,'Qualifier Lobbies'!C4:G42,5,0)</f>
        <v>BCraftMG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(B10)</v>
      </c>
      <c r="D4" s="102"/>
      <c r="E4" s="171">
        <f> VLOOKUP(C2,'Qualifier Lobbies'!C4:F42,3,0)</f>
        <v>45151</v>
      </c>
      <c r="F4" s="102"/>
      <c r="H4" s="102"/>
      <c r="I4" s="137" t="s">
        <v>282</v>
      </c>
      <c r="J4" s="138" t="s">
        <v>283</v>
      </c>
      <c r="K4" s="145" t="s">
        <v>413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**Qualifier Lobby B10**
 MP LINK: https://osu.ppy.sh/community/matches/109979426 
 Referee Notes: :thumbsup: None
</v>
      </c>
      <c r="D5" s="102"/>
      <c r="E5" s="144" t="str">
        <f> VLOOKUP(C2,'Qualifier Lobbies'!C4:F42,4,0)&amp;" UTC"</f>
        <v>18:00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VMPR13</v>
      </c>
      <c r="I7" s="150" t="str">
        <f t="shared" ref="I7:L7" si="1">IFERROR("!mp invite " &amp; I9,"")</f>
        <v>!mp invite bonnflow</v>
      </c>
      <c r="J7" s="149" t="str">
        <f t="shared" si="1"/>
        <v>!mp invite Heaki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>hmmmm</v>
      </c>
      <c r="H8" s="153"/>
      <c r="I8" s="156" t="str">
        <f>VLOOKUP(C2,'Qualifier Lobbies'!C5:L42,7,0)</f>
        <v>The 3-star Threats</v>
      </c>
      <c r="J8" s="157" t="str">
        <f>VLOOKUP(C2,'Qualifier Lobbies'!C5:L42,8,0)</f>
        <v>Side Characters</v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72" t="str">
        <f>IFERROR(VLOOKUP(G8,'Ref &amp; Team list'!C3:F20,2,0),"")</f>
        <v>VMPR13</v>
      </c>
      <c r="H9" s="162"/>
      <c r="I9" s="173" t="str">
        <f>IFERROR(VLOOKUP(I8,'Ref &amp; Team list'!C3:F20,2,0),"")</f>
        <v>bonnflow</v>
      </c>
      <c r="J9" s="173" t="str">
        <f>IFERROR(VLOOKUP(J8,'Ref &amp; Team list'!C3:F20,2,0),"")</f>
        <v>Heaki</v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72" t="str">
        <f>IFERROR(VLOOKUP(G8,'Ref &amp; Team list'!C3:F20,3,0),"")</f>
        <v>u-litay</v>
      </c>
      <c r="H10" s="162"/>
      <c r="I10" s="174" t="str">
        <f>IFERROR(VLOOKUP(I8,'Ref &amp; Team list'!C3:F20,3,0),"")</f>
        <v>DarkHalis9</v>
      </c>
      <c r="J10" s="175" t="str">
        <f>IFERROR(VLOOKUP(J8,'Ref &amp; Team list'!C3:F20,3,0),"")</f>
        <v>miimo__miimo</v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74" t="str">
        <f>IFERROR(VLOOKUP(I8,'Ref &amp; Team list'!C3:F20,4,0),"")</f>
        <v>maicon192011</v>
      </c>
      <c r="J11" s="176" t="str">
        <f>IFERROR(VLOOKUP(J8,'Ref &amp; Team list'!C3:F20,4,0),"")</f>
        <v>karimovic</v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C3"/>
    <hyperlink r:id="rId4" ref="K4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</hyperlinks>
  <drawing r:id="rId14"/>
  <legacyDrawing r:id="rId15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7.63"/>
    <col customWidth="1" min="4" max="4" width="1.38"/>
    <col customWidth="1" min="5" max="5" width="15.13"/>
    <col customWidth="1" min="6" max="6" width="1.38"/>
    <col customWidth="1" min="7" max="7" width="12.63"/>
    <col customWidth="1" min="8" max="8" width="1.38"/>
    <col customWidth="1" min="9" max="12" width="12.63"/>
    <col customWidth="1" min="13" max="13" width="1.38"/>
  </cols>
  <sheetData>
    <row r="1" ht="7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22.5" customHeight="1">
      <c r="A2" s="102"/>
      <c r="B2" s="133" t="s">
        <v>271</v>
      </c>
      <c r="C2" s="134" t="s">
        <v>28</v>
      </c>
      <c r="D2" s="102"/>
      <c r="E2" s="135" t="s">
        <v>272</v>
      </c>
      <c r="F2" s="102"/>
      <c r="G2" s="136" t="s">
        <v>273</v>
      </c>
      <c r="H2" s="102"/>
      <c r="I2" s="137" t="s">
        <v>274</v>
      </c>
      <c r="J2" s="138" t="s">
        <v>275</v>
      </c>
      <c r="K2" s="139" t="s">
        <v>414</v>
      </c>
      <c r="M2" s="102"/>
    </row>
    <row r="3" ht="15.0" customHeight="1">
      <c r="A3" s="102"/>
      <c r="B3" s="133" t="s">
        <v>277</v>
      </c>
      <c r="C3" s="140"/>
      <c r="D3" s="102"/>
      <c r="E3" s="141" t="str">
        <f> VLOOKUP(C2,'Qualifier Lobbies'!C4:G42,5,0)</f>
        <v>Shogeki</v>
      </c>
      <c r="F3" s="102"/>
      <c r="G3" s="142" t="s">
        <v>278</v>
      </c>
      <c r="H3" s="102"/>
      <c r="I3" s="137" t="s">
        <v>279</v>
      </c>
      <c r="J3" s="138" t="s">
        <v>280</v>
      </c>
      <c r="M3" s="102"/>
    </row>
    <row r="4" ht="15.0" customHeight="1">
      <c r="A4" s="102"/>
      <c r="B4" s="133" t="s">
        <v>281</v>
      </c>
      <c r="C4" s="143" t="str">
        <f>"!mp make PTE : (Qualifiers) vs ("&amp;C2&amp;")"</f>
        <v>!mp make PTE : (Qualifiers) vs (A1)</v>
      </c>
      <c r="D4" s="102"/>
      <c r="E4" s="171">
        <f> VLOOKUP(C2,'Qualifier Lobbies'!C4:F42,3,0)</f>
        <v>45150</v>
      </c>
      <c r="F4" s="102"/>
      <c r="H4" s="102"/>
      <c r="I4" s="137" t="s">
        <v>282</v>
      </c>
      <c r="J4" s="138" t="s">
        <v>283</v>
      </c>
      <c r="K4" s="145" t="s">
        <v>415</v>
      </c>
      <c r="M4" s="102"/>
    </row>
    <row r="5" ht="22.5" customHeight="1">
      <c r="A5" s="102"/>
      <c r="B5" s="133" t="s">
        <v>285</v>
      </c>
      <c r="C5" s="146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02"/>
      <c r="E5" s="144" t="str">
        <f> VLOOKUP(C2,'Qualifier Lobbies'!C4:F42,4,0)&amp;" UTC"</f>
        <v>0:00  UTC</v>
      </c>
      <c r="F5" s="102"/>
      <c r="H5" s="102"/>
      <c r="I5" s="147" t="s">
        <v>286</v>
      </c>
      <c r="J5" s="138" t="s">
        <v>287</v>
      </c>
      <c r="M5" s="102"/>
    </row>
    <row r="6" ht="7.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ht="18.75" customHeight="1">
      <c r="A7" s="102"/>
      <c r="B7" s="148" t="s">
        <v>288</v>
      </c>
      <c r="F7" s="102"/>
      <c r="G7" s="149" t="str">
        <f>IFERROR("!mp invite " &amp; G9,"")</f>
        <v>!mp invite </v>
      </c>
      <c r="I7" s="150" t="str">
        <f t="shared" ref="I7:L7" si="1">IFERROR("!mp invite " &amp; I9,"")</f>
        <v>!mp invite </v>
      </c>
      <c r="J7" s="149" t="str">
        <f t="shared" si="1"/>
        <v>!mp invite </v>
      </c>
      <c r="K7" s="150" t="str">
        <f t="shared" si="1"/>
        <v>!mp invite </v>
      </c>
      <c r="L7" s="149" t="str">
        <f t="shared" si="1"/>
        <v>!mp invite </v>
      </c>
      <c r="M7" s="102"/>
    </row>
    <row r="8" ht="22.5" customHeight="1">
      <c r="A8" s="102"/>
      <c r="B8" s="151" t="s">
        <v>69</v>
      </c>
      <c r="C8" s="152" t="s">
        <v>289</v>
      </c>
      <c r="D8" s="152" t="s">
        <v>68</v>
      </c>
      <c r="E8" s="153"/>
      <c r="F8" s="154"/>
      <c r="G8" s="155" t="str">
        <f>VLOOKUP(C2,'Qualifier Lobbies'!C5:L42,6,0)</f>
        <v/>
      </c>
      <c r="H8" s="153"/>
      <c r="I8" s="156" t="str">
        <f>VLOOKUP(C2,'Qualifier Lobbies'!C5:L42,7,0)</f>
        <v/>
      </c>
      <c r="J8" s="157" t="str">
        <f>VLOOKUP(C2,'Qualifier Lobbies'!C5:L42,8,0)</f>
        <v/>
      </c>
      <c r="K8" s="155" t="str">
        <f>VLOOKUP(C2,'Qualifier Lobbies'!C5:L42,9,0)</f>
        <v/>
      </c>
      <c r="L8" s="156" t="str">
        <f>VLOOKUP(C2,'Qualifier Lobbies'!C5:L42,10,0)</f>
        <v/>
      </c>
      <c r="M8" s="102"/>
    </row>
    <row r="9" ht="18.0" customHeight="1">
      <c r="A9" s="102"/>
      <c r="B9" s="158" t="str">
        <f t="array" ref="B9:B18">'Qualifiers Pool'!J3:J12</f>
        <v>!mp mods NF</v>
      </c>
      <c r="C9" s="159" t="str">
        <f t="array" ref="C9:C18">'Qualifiers Pool'!H3:H12</f>
        <v>NM1: nonoc - Relive [Insane]</v>
      </c>
      <c r="D9" s="160" t="str">
        <f t="array" ref="D9:D18">'Qualifiers Pool'!I3:I12</f>
        <v>!mp map 3924030</v>
      </c>
      <c r="F9" s="102"/>
      <c r="G9" s="161" t="str">
        <f>IFERROR(VLOOKUP(G8,'Ref &amp; Team list'!C3:F20,2,0),"")</f>
        <v/>
      </c>
      <c r="H9" s="162"/>
      <c r="I9" s="163" t="str">
        <f>IFERROR(VLOOKUP(I8,'Ref &amp; Team list'!C3:F20,2,0),"")</f>
        <v/>
      </c>
      <c r="J9" s="163" t="str">
        <f>IFERROR(VLOOKUP(J8,'Ref &amp; Team list'!C3:F20,2,0),"")</f>
        <v/>
      </c>
      <c r="K9" s="163" t="str">
        <f>IFERROR(VLOOKUP(K8,'Ref &amp; Team list'!C3:F20,2,0),"")</f>
        <v/>
      </c>
      <c r="L9" s="164" t="str">
        <f>IFERROR(VLOOKUP(L8,'Ref &amp; Team list'!C3:F20,2,0),"")</f>
        <v/>
      </c>
      <c r="M9" s="102"/>
    </row>
    <row r="10" ht="18.0" customHeight="1">
      <c r="A10" s="102"/>
      <c r="B10" s="165" t="s">
        <v>77</v>
      </c>
      <c r="C10" s="166" t="s">
        <v>75</v>
      </c>
      <c r="D10" s="160" t="s">
        <v>76</v>
      </c>
      <c r="F10" s="102"/>
      <c r="G10" s="161" t="str">
        <f>IFERROR(VLOOKUP(G8,'Ref &amp; Team list'!C3:F20,3,0),"")</f>
        <v/>
      </c>
      <c r="H10" s="162"/>
      <c r="I10" s="167" t="str">
        <f>IFERROR(VLOOKUP(I8,'Ref &amp; Team list'!C3:F20,3,0),"")</f>
        <v/>
      </c>
      <c r="J10" s="168" t="str">
        <f>IFERROR(VLOOKUP(J8,'Ref &amp; Team list'!C3:F20,3,0),"")</f>
        <v/>
      </c>
      <c r="K10" s="168" t="str">
        <f>IFERROR(VLOOKUP(K8,'Ref &amp; Team list'!C3:F20,3,0),"")</f>
        <v/>
      </c>
      <c r="L10" s="164" t="str">
        <f>IFERROR(VLOOKUP(L8,'Ref &amp; Team list'!C3:F20,3,0),"")</f>
        <v/>
      </c>
      <c r="M10" s="102"/>
    </row>
    <row r="11" ht="18.0" customHeight="1">
      <c r="A11" s="102"/>
      <c r="B11" s="165" t="s">
        <v>77</v>
      </c>
      <c r="C11" s="166" t="s">
        <v>80</v>
      </c>
      <c r="D11" s="160" t="s">
        <v>81</v>
      </c>
      <c r="F11" s="102"/>
      <c r="G11" s="161" t="str">
        <f>IFERROR(VLOOKUP(G8,'Ref &amp; Team list'!C3:F20,4,0),"")</f>
        <v/>
      </c>
      <c r="H11" s="162"/>
      <c r="I11" s="167" t="str">
        <f>IFERROR(VLOOKUP(I8,'Ref &amp; Team list'!C3:F20,4,0),"")</f>
        <v/>
      </c>
      <c r="J11" s="169" t="str">
        <f>IFERROR(VLOOKUP(J8,'Ref &amp; Team list'!C3:F20,4,0),"")</f>
        <v/>
      </c>
      <c r="K11" s="169" t="str">
        <f>IFERROR(VLOOKUP(K8,'Ref &amp; Team list'!C3:F20,4,0),"")</f>
        <v/>
      </c>
      <c r="L11" s="164" t="str">
        <f>IFERROR(VLOOKUP(L8,'Ref &amp; Team list'!C3:F20,4,0),"")</f>
        <v/>
      </c>
      <c r="M11" s="102"/>
    </row>
    <row r="12" ht="18.0" customHeight="1">
      <c r="A12" s="102"/>
      <c r="B12" s="165" t="s">
        <v>77</v>
      </c>
      <c r="C12" s="166" t="s">
        <v>84</v>
      </c>
      <c r="D12" s="160" t="s">
        <v>85</v>
      </c>
      <c r="F12" s="102"/>
      <c r="G12" s="102"/>
      <c r="H12" s="102"/>
      <c r="I12" s="102"/>
      <c r="J12" s="102"/>
      <c r="K12" s="102"/>
      <c r="L12" s="102"/>
      <c r="M12" s="102"/>
    </row>
    <row r="13" ht="18.0" customHeight="1">
      <c r="A13" s="102"/>
      <c r="B13" s="165" t="s">
        <v>90</v>
      </c>
      <c r="C13" s="166" t="s">
        <v>88</v>
      </c>
      <c r="D13" s="160" t="s">
        <v>89</v>
      </c>
      <c r="F13" s="102"/>
      <c r="G13" s="102"/>
      <c r="H13" s="102"/>
      <c r="I13" s="102"/>
      <c r="J13" s="102"/>
      <c r="K13" s="102"/>
      <c r="L13" s="102"/>
      <c r="M13" s="102"/>
    </row>
    <row r="14" ht="18.0" customHeight="1">
      <c r="A14" s="102"/>
      <c r="B14" s="165" t="s">
        <v>90</v>
      </c>
      <c r="C14" s="166" t="s">
        <v>93</v>
      </c>
      <c r="D14" s="160" t="s">
        <v>94</v>
      </c>
      <c r="F14" s="102"/>
      <c r="G14" s="102"/>
      <c r="H14" s="102"/>
      <c r="I14" s="102"/>
      <c r="J14" s="102"/>
      <c r="K14" s="102"/>
      <c r="L14" s="102"/>
      <c r="M14" s="102"/>
    </row>
    <row r="15" ht="18.0" customHeight="1">
      <c r="A15" s="102"/>
      <c r="B15" s="165" t="s">
        <v>99</v>
      </c>
      <c r="C15" s="166" t="s">
        <v>97</v>
      </c>
      <c r="D15" s="160" t="s">
        <v>98</v>
      </c>
      <c r="F15" s="102"/>
      <c r="G15" s="102"/>
      <c r="H15" s="102"/>
      <c r="I15" s="102"/>
      <c r="J15" s="102"/>
      <c r="K15" s="102"/>
      <c r="L15" s="102"/>
      <c r="M15" s="102"/>
    </row>
    <row r="16" ht="18.0" customHeight="1">
      <c r="A16" s="102"/>
      <c r="B16" s="165" t="s">
        <v>99</v>
      </c>
      <c r="C16" s="166" t="s">
        <v>102</v>
      </c>
      <c r="D16" s="160" t="s">
        <v>103</v>
      </c>
      <c r="F16" s="102"/>
      <c r="G16" s="102"/>
      <c r="H16" s="102"/>
      <c r="I16" s="102"/>
      <c r="J16" s="102"/>
      <c r="K16" s="102"/>
      <c r="L16" s="102"/>
      <c r="M16" s="102"/>
    </row>
    <row r="17" ht="18.0" customHeight="1">
      <c r="A17" s="102"/>
      <c r="B17" s="165" t="s">
        <v>108</v>
      </c>
      <c r="C17" s="166" t="s">
        <v>106</v>
      </c>
      <c r="D17" s="160" t="s">
        <v>107</v>
      </c>
      <c r="F17" s="102"/>
      <c r="G17" s="102"/>
      <c r="H17" s="102"/>
      <c r="I17" s="102"/>
      <c r="J17" s="102"/>
      <c r="K17" s="102"/>
      <c r="L17" s="102"/>
      <c r="M17" s="102"/>
    </row>
    <row r="18" ht="18.0" customHeight="1">
      <c r="A18" s="102"/>
      <c r="B18" s="165" t="s">
        <v>108</v>
      </c>
      <c r="C18" s="166" t="s">
        <v>111</v>
      </c>
      <c r="D18" s="160" t="s">
        <v>112</v>
      </c>
      <c r="F18" s="102"/>
      <c r="G18" s="102"/>
      <c r="H18" s="102"/>
      <c r="I18" s="102"/>
      <c r="J18" s="102"/>
      <c r="K18" s="102"/>
      <c r="L18" s="102"/>
      <c r="M18" s="102"/>
    </row>
    <row r="19" ht="7.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</row>
    <row r="20" ht="7.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</row>
  </sheetData>
  <mergeCells count="20">
    <mergeCell ref="G8:H8"/>
    <mergeCell ref="G9:H9"/>
    <mergeCell ref="K2:L3"/>
    <mergeCell ref="G3:G5"/>
    <mergeCell ref="K4:L5"/>
    <mergeCell ref="B7:E7"/>
    <mergeCell ref="G7:H7"/>
    <mergeCell ref="D8:E8"/>
    <mergeCell ref="D9:E9"/>
    <mergeCell ref="D15:E15"/>
    <mergeCell ref="D16:E16"/>
    <mergeCell ref="D17:E17"/>
    <mergeCell ref="D18:E18"/>
    <mergeCell ref="D10:E10"/>
    <mergeCell ref="G10:H10"/>
    <mergeCell ref="D11:E11"/>
    <mergeCell ref="G11:H11"/>
    <mergeCell ref="D12:E12"/>
    <mergeCell ref="D13:E13"/>
    <mergeCell ref="D14:E14"/>
  </mergeCells>
  <conditionalFormatting sqref="J9:K11">
    <cfRule type="beginsWith" dxfId="0" priority="1" operator="beginsWith" text="NM">
      <formula>LEFT((J9),LEN("NM"))=("NM")</formula>
    </cfRule>
  </conditionalFormatting>
  <conditionalFormatting sqref="J9:K11">
    <cfRule type="beginsWith" dxfId="1" priority="2" operator="beginsWith" text="HD">
      <formula>LEFT((J9),LEN("HD"))=("HD")</formula>
    </cfRule>
  </conditionalFormatting>
  <conditionalFormatting sqref="J9:K11">
    <cfRule type="beginsWith" dxfId="2" priority="3" operator="beginsWith" text="HR">
      <formula>LEFT((J9),LEN("HR"))=("HR")</formula>
    </cfRule>
  </conditionalFormatting>
  <conditionalFormatting sqref="J9:K11">
    <cfRule type="beginsWith" dxfId="3" priority="4" operator="beginsWith" text="DT">
      <formula>LEFT((J9),LEN("DT"))=("DT")</formula>
    </cfRule>
  </conditionalFormatting>
  <conditionalFormatting sqref="G9:G11 I9:I11 J9:K9">
    <cfRule type="cellIs" dxfId="0" priority="5" operator="equal">
      <formula>"!mp mods NF"</formula>
    </cfRule>
  </conditionalFormatting>
  <conditionalFormatting sqref="G9:G11 I9:I11 J9:K9">
    <cfRule type="cellIs" dxfId="1" priority="6" operator="equal">
      <formula>"!mp mods HD NF"</formula>
    </cfRule>
  </conditionalFormatting>
  <conditionalFormatting sqref="G9:G11 I9:I11 J9:K9">
    <cfRule type="cellIs" dxfId="2" priority="7" operator="equal">
      <formula>"!mp mods HR NF"</formula>
    </cfRule>
  </conditionalFormatting>
  <conditionalFormatting sqref="G9:G11 I9:I11 J9:K9">
    <cfRule type="cellIs" dxfId="3" priority="8" operator="equal">
      <formula>"!mp mods DT NF"</formula>
    </cfRule>
  </conditionalFormatting>
  <conditionalFormatting sqref="G9:G11 I9:K11">
    <cfRule type="beginsWith" dxfId="4" priority="9" operator="beginsWith" text="FM">
      <formula>LEFT((G9),LEN("FM"))=("FM")</formula>
    </cfRule>
  </conditionalFormatting>
  <conditionalFormatting sqref="G9:G11 I9:K11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9">
    <cfRule type="expression" dxfId="8" priority="13">
      <formula>E9=TRUE</formula>
    </cfRule>
  </conditionalFormatting>
  <conditionalFormatting sqref="C10">
    <cfRule type="expression" dxfId="8" priority="14">
      <formula>E10=TRUE</formula>
    </cfRule>
  </conditionalFormatting>
  <conditionalFormatting sqref="C11">
    <cfRule type="expression" dxfId="8" priority="15">
      <formula>E11=TRUE</formula>
    </cfRule>
  </conditionalFormatting>
  <conditionalFormatting sqref="C12">
    <cfRule type="expression" dxfId="8" priority="16">
      <formula>E12=TRUE</formula>
    </cfRule>
  </conditionalFormatting>
  <conditionalFormatting sqref="C13:C14">
    <cfRule type="expression" dxfId="8" priority="17">
      <formula>E13=TRUE</formula>
    </cfRule>
  </conditionalFormatting>
  <conditionalFormatting sqref="C14">
    <cfRule type="expression" dxfId="8" priority="18">
      <formula>E14=TRUE</formula>
    </cfRule>
  </conditionalFormatting>
  <conditionalFormatting sqref="C15">
    <cfRule type="expression" dxfId="8" priority="19">
      <formula>E15=TRUE</formula>
    </cfRule>
  </conditionalFormatting>
  <conditionalFormatting sqref="C16">
    <cfRule type="expression" dxfId="8" priority="20">
      <formula>E16=TRUE</formula>
    </cfRule>
  </conditionalFormatting>
  <conditionalFormatting sqref="C17">
    <cfRule type="expression" dxfId="8" priority="21">
      <formula>E17=TRUE</formula>
    </cfRule>
  </conditionalFormatting>
  <conditionalFormatting sqref="C18">
    <cfRule type="expression" dxfId="8" priority="22">
      <formula>E18=TRUE</formula>
    </cfRule>
  </conditionalFormatting>
  <dataValidations>
    <dataValidation type="list" allowBlank="1" sqref="C2">
      <formula1>'Qualifier Lobbies'!$C$5:$C$42</formula1>
    </dataValidation>
  </dataValidations>
  <hyperlinks>
    <hyperlink r:id="rId2" ref="K2"/>
    <hyperlink r:id="rId3" ref="K4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</hyperlinks>
  <drawing r:id="rId13"/>
  <legacyDrawing r:id="rId14"/>
</worksheet>
</file>