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61.xml"/>
  <Override ContentType="application/vnd.openxmlformats-officedocument.spreadsheetml.comments+xml" PartName="/xl/comments44.xml"/>
  <Override ContentType="application/vnd.openxmlformats-officedocument.spreadsheetml.comments+xml" PartName="/xl/comments5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5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64.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14.xml"/>
  <Override ContentType="application/vnd.openxmlformats-officedocument.spreadsheetml.comments+xml" PartName="/xl/comments65.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66.xml"/>
  <Override ContentType="application/vnd.openxmlformats-officedocument.spreadsheetml.comments+xml" PartName="/xl/comments3.xml"/>
  <Override ContentType="application/vnd.openxmlformats-officedocument.spreadsheetml.comments+xml" PartName="/xl/comments57.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60.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55.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tup" sheetId="1" r:id="rId4"/>
    <sheet state="hidden" name="_sheetIds" sheetId="2" r:id="rId5"/>
    <sheet state="hidden" name="--------" sheetId="3" r:id="rId6"/>
    <sheet state="visible" name="Settings" sheetId="4" r:id="rId7"/>
    <sheet state="visible" name="Mappools" sheetId="5" r:id="rId8"/>
    <sheet state="hidden" name="Seedings" sheetId="6" r:id="rId9"/>
    <sheet state="visible" name="Chrono Schedule" sheetId="7" r:id="rId10"/>
    <sheet state="visible" name="Schedule" sheetId="8" r:id="rId11"/>
    <sheet state="hidden" name="Team List" sheetId="9" r:id="rId12"/>
    <sheet state="hidden" name="TeamTimes" sheetId="10" r:id="rId13"/>
    <sheet state="visible" name="Template" sheetId="11" r:id="rId14"/>
    <sheet state="hidden" name="49" sheetId="12" r:id="rId15"/>
    <sheet state="hidden" name="41" sheetId="13" r:id="rId16"/>
    <sheet state="hidden" name="1" sheetId="14" r:id="rId17"/>
    <sheet state="hidden" name="2" sheetId="15" r:id="rId18"/>
    <sheet state="hidden" name="3" sheetId="16" r:id="rId19"/>
    <sheet state="hidden" name="4" sheetId="17" r:id="rId20"/>
    <sheet state="hidden" name="5" sheetId="18" r:id="rId21"/>
    <sheet state="hidden" name="6" sheetId="19" r:id="rId22"/>
    <sheet state="hidden" name="7" sheetId="20" r:id="rId23"/>
    <sheet state="hidden" name="8" sheetId="21" r:id="rId24"/>
    <sheet state="hidden" name="9" sheetId="22" r:id="rId25"/>
    <sheet state="hidden" name="10" sheetId="23" r:id="rId26"/>
    <sheet state="hidden" name="11" sheetId="24" r:id="rId27"/>
    <sheet state="hidden" name="12" sheetId="25" r:id="rId28"/>
    <sheet state="hidden" name="13" sheetId="26" r:id="rId29"/>
    <sheet state="hidden" name="14" sheetId="27" r:id="rId30"/>
    <sheet state="hidden" name="15" sheetId="28" r:id="rId31"/>
    <sheet state="hidden" name="16" sheetId="29" r:id="rId32"/>
    <sheet state="hidden" name="17" sheetId="30" r:id="rId33"/>
    <sheet state="hidden" name="18" sheetId="31" r:id="rId34"/>
    <sheet state="hidden" name="19" sheetId="32" r:id="rId35"/>
    <sheet state="hidden" name="20" sheetId="33" r:id="rId36"/>
    <sheet state="hidden" name="21" sheetId="34" r:id="rId37"/>
    <sheet state="hidden" name="22" sheetId="35" r:id="rId38"/>
    <sheet state="hidden" name="23" sheetId="36" r:id="rId39"/>
    <sheet state="hidden" name="24" sheetId="37" r:id="rId40"/>
    <sheet state="hidden" name="25" sheetId="38" r:id="rId41"/>
    <sheet state="hidden" name="26" sheetId="39" r:id="rId42"/>
    <sheet state="hidden" name="27" sheetId="40" r:id="rId43"/>
    <sheet state="hidden" name="28" sheetId="41" r:id="rId44"/>
    <sheet state="hidden" name="29" sheetId="42" r:id="rId45"/>
    <sheet state="hidden" name="30" sheetId="43" r:id="rId46"/>
    <sheet state="hidden" name="31" sheetId="44" r:id="rId47"/>
    <sheet state="hidden" name="32" sheetId="45" r:id="rId48"/>
    <sheet state="hidden" name="33" sheetId="46" r:id="rId49"/>
    <sheet state="hidden" name="34" sheetId="47" r:id="rId50"/>
    <sheet state="hidden" name="35" sheetId="48" r:id="rId51"/>
    <sheet state="hidden" name="36" sheetId="49" r:id="rId52"/>
    <sheet state="hidden" name="37" sheetId="50" r:id="rId53"/>
    <sheet state="hidden" name="38" sheetId="51" r:id="rId54"/>
    <sheet state="hidden" name="39" sheetId="52" r:id="rId55"/>
    <sheet state="hidden" name="40" sheetId="53" r:id="rId56"/>
    <sheet state="hidden" name="42" sheetId="54" r:id="rId57"/>
    <sheet state="hidden" name="43" sheetId="55" r:id="rId58"/>
    <sheet state="hidden" name="44" sheetId="56" r:id="rId59"/>
    <sheet state="hidden" name="46" sheetId="57" r:id="rId60"/>
    <sheet state="hidden" name="45" sheetId="58" r:id="rId61"/>
    <sheet state="hidden" name="47" sheetId="59" r:id="rId62"/>
    <sheet state="hidden" name="48" sheetId="60" r:id="rId63"/>
    <sheet state="hidden" name="50" sheetId="61" r:id="rId64"/>
    <sheet state="hidden" name="51" sheetId="62" r:id="rId65"/>
    <sheet state="hidden" name="52" sheetId="63" r:id="rId66"/>
    <sheet state="hidden" name="53" sheetId="64" r:id="rId67"/>
    <sheet state="hidden" name="54" sheetId="65" r:id="rId68"/>
    <sheet state="hidden" name="55" sheetId="66" r:id="rId69"/>
    <sheet state="hidden" name="56" sheetId="67" r:id="rId70"/>
    <sheet state="hidden" name="57" sheetId="68" r:id="rId71"/>
    <sheet state="hidden" name="58" sheetId="69" r:id="rId72"/>
    <sheet state="hidden" name="59" sheetId="70" r:id="rId73"/>
    <sheet state="hidden" name="60" sheetId="71" r:id="rId74"/>
    <sheet state="visible" name="61" sheetId="72" r:id="rId75"/>
    <sheet state="visible" name="62" sheetId="73" r:id="rId76"/>
    <sheet state="visible" name="63" sheetId="74" r:id="rId77"/>
  </sheets>
  <definedNames>
    <definedName name="TournamentName">Settings!$D$2</definedName>
    <definedName name="SheetIds">#REF!</definedName>
    <definedName name="LockinTimerLength">Settings!$D$14</definedName>
    <definedName name="DoublePick">Settings!$D$17</definedName>
    <definedName name="ForumPostLink">Settings!$D$11</definedName>
    <definedName name="RollRules">Settings!$D$21</definedName>
    <definedName name="MappoolSettings">Settings!$G$3:$I$21</definedName>
    <definedName name="DoubleBan">Settings!$D$18</definedName>
    <definedName name="TeamSize">Settings!$D$5</definedName>
    <definedName name="UseNF">Settings!$D$9</definedName>
    <definedName name="GameMode">Settings!$D$6</definedName>
    <definedName name="ExclNMDouble">Settings!$D$19</definedName>
    <definedName localSheetId="9" name="TeamList">TeamTimes!$B$3:$D$68</definedName>
    <definedName name="Format">Settings!$D$4</definedName>
    <definedName name="MainSheetLink">Settings!$D$12</definedName>
    <definedName name="NoShow2">Settings!$D$16</definedName>
    <definedName name="Schedules">Schedule!$D$4:$L$98</definedName>
    <definedName name="TeamList">'Team List'!$B$3:$E$68</definedName>
    <definedName name="TeamMode">Settings!$D$7</definedName>
    <definedName name="Maps">Mappools!$F$4:$H$109</definedName>
    <definedName name="PickTimerLength">Settings!$D$13</definedName>
    <definedName name="ScoreMode">Settings!$D$8</definedName>
    <definedName name="NoShow1">Settings!$D$15</definedName>
    <definedName name="FmRules">Settings!$D$20</definedName>
    <definedName name="TournamentAbbr">Settings!$D$3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8">
      <text>
        <t xml:space="preserve">The template sheet is the base for all generated ref sheets for each match. If you forget to set the stage before generating, then the stage will be incorrect on every generated sheet afterwards. In case this happens, delete the sheets in question, then generate them again.</t>
      </text>
    </comment>
    <comment authorId="0" ref="D9">
      <text>
        <t xml:space="preserve">There are two ways to handle this
1. Let the referees create a match on demand
Use this if you trust your referees, they will use Ref Sheets &gt; Create match.
2. Create matches yourself every week
Use this if you have a lot of matches to generate, you will use Ref Sheets &gt; Create range of matches.
Please mind that this only takes number inputs.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Mappools support up to 25 maps per stage</t>
      </text>
    </comment>
    <comment authorId="0" ref="C4">
      <text>
        <t xml:space="preserve">If Solo, then team list will not be required</t>
      </text>
    </comment>
    <comment authorId="0" ref="C5">
      <text>
        <t xml:space="preserve">1 = 1v1, 2 = 2v2 etc.
Do keep in mind that 1v1 does not automatically mean that this is a Solo tournament, it could be a 1v1 with 2 members per team.</t>
      </text>
    </comment>
    <comment authorId="0" ref="C6">
      <text>
        <t xml:space="preserve">0: osu!
1: Taiko
2: Catch
3: Mania</t>
      </text>
    </comment>
    <comment authorId="0" ref="C7">
      <text>
        <t xml:space="preserve">0: Head To Head
1: Tag Coop
2: Team Vs
3: Tag Team Vs</t>
      </text>
    </comment>
    <comment authorId="0" ref="C8">
      <text>
        <t xml:space="preserve">0: Score
1: Accuracy
2: Combo
3: Score V2</t>
      </text>
    </comment>
    <comment authorId="0" ref="C11">
      <text>
        <t xml:space="preserve">For easy access</t>
      </text>
    </comment>
    <comment authorId="0" ref="C12">
      <text>
        <t xml:space="preserve">For easy access</t>
      </text>
    </comment>
    <comment authorId="0" ref="C13">
      <text>
        <t xml:space="preserve">In seconds</t>
      </text>
    </comment>
    <comment authorId="0" ref="C14">
      <text>
        <t xml:space="preserve">In seconds</t>
      </text>
    </comment>
    <comment authorId="0" ref="C15">
      <text>
        <t xml:space="preserve">Either leave blank or put -1 to remove</t>
      </text>
    </comment>
    <comment authorId="0" ref="C17">
      <text>
        <t xml:space="preserve">Player picks multiple times from the same mod category in a row (excl. NM)</t>
      </text>
    </comment>
    <comment authorId="0" ref="C18">
      <text>
        <t xml:space="preserve">Same player bans multiple times from the same mod category</t>
      </text>
    </comment>
    <comment authorId="0" ref="C19">
      <text>
        <t xml:space="preserve">Does nothing if double pick/ban is allowed</t>
      </text>
    </comment>
    <comment authorId="0" ref="C20">
      <text>
        <t xml:space="preserve">Put a short description</t>
      </text>
    </comment>
    <comment authorId="0" ref="C21">
      <text>
        <t xml:space="preserve">Put a short description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All fields are generated automatically based on the information on the left</t>
      </text>
    </comment>
    <comment authorId="0" ref="B3">
      <text>
        <t xml:space="preserve">Specify the stage for every map you define</t>
      </text>
    </comment>
    <comment authorId="0" ref="C3">
      <text>
        <t xml:space="preserve">NM1, HD3 etc.
Colors are available for
NM, HD, HR, DT, FM, TB, EZ, HT</t>
      </text>
    </comment>
    <comment authorId="0" ref="E3">
      <text>
        <t xml:space="preserve">Usually "Artist - Song [Difficulty]" format, but you're free to put whatever you like, whether it's just the song title or something completely different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You can use any valid date format recognized by Sheets, but if you want to go 100% safe then use "yyyy-mm-dd" format</t>
      </text>
    </comment>
    <comment authorId="0" ref="F3">
      <text>
        <t xml:space="preserve">hh:mm</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You can use any valid date format recognized by Sheets, but if you want to go 100% safe then use "yyyy-mm-dd" format</t>
      </text>
    </comment>
    <comment authorId="0" ref="F3">
      <text>
        <t xml:space="preserve">hh:mm</t>
      </text>
    </comment>
    <comment authorId="0" ref="I32">
      <text>
        <t xml:space="preserve">lunexia can back-up ref</t>
      </text>
    </comment>
    <comment authorId="0" ref="I83">
      <text>
        <t xml:space="preserve">Emerald Ages - emergency ref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 everything</t>
      </text>
    </comment>
    <comment authorId="0" ref="I13">
      <text>
        <t xml:space="preserve">10 second start-up timer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 authorId="0" ref="C9">
      <text>
        <t xml:space="preserve">Red first ban
	-reforna</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Contains "Current score label", error notifications and match results</t>
      </text>
    </comment>
    <comment authorId="0" ref="I12">
      <text>
        <t xml:space="preserve">120 everything</t>
      </text>
    </comment>
    <comment authorId="0" ref="I13">
      <text>
        <t xml:space="preserve">10 second start-up timer</t>
      </text>
    </comment>
  </commentList>
</comments>
</file>

<file path=xl/sharedStrings.xml><?xml version="1.0" encoding="utf-8"?>
<sst xmlns="http://schemas.openxmlformats.org/spreadsheetml/2006/main" count="8387" uniqueCount="931">
  <si>
    <t>A Menu called "Ref Sheets" will appear at the top
of the screen after the sheet has finished loading</t>
  </si>
  <si>
    <t>This sheet contains example values for Settings, Mappools and Schedules.
Please replace them with your own data accordingly.</t>
  </si>
  <si>
    <t>One-time</t>
  </si>
  <si>
    <r>
      <rPr>
        <rFont val="Nunito"/>
        <b/>
        <color rgb="FF434343"/>
      </rPr>
      <t xml:space="preserve">Set all of your required values in the "Settings" sheet.
</t>
    </r>
    <r>
      <rPr>
        <rFont val="Nunito"/>
        <b val="0"/>
        <color rgb="FF434343"/>
      </rPr>
      <t>Notes are left for every relevant field, please take a look at them!</t>
    </r>
  </si>
  <si>
    <r>
      <rPr>
        <rFont val="Nunito, Arial"/>
        <color rgb="FF434343"/>
      </rPr>
      <t xml:space="preserve">Set your </t>
    </r>
    <r>
      <rPr>
        <rFont val="Nunito, Arial"/>
        <b/>
        <color rgb="FF434343"/>
      </rPr>
      <t xml:space="preserve">schedules </t>
    </r>
    <r>
      <rPr>
        <rFont val="Nunito, Arial"/>
        <color rgb="FF434343"/>
      </rPr>
      <t>in the "Schedules" sheet.</t>
    </r>
  </si>
  <si>
    <t>Weekly</t>
  </si>
  <si>
    <r>
      <rPr>
        <rFont val="Nunito, Arial"/>
        <color rgb="FF434343"/>
      </rPr>
      <t xml:space="preserve">Set/Update your </t>
    </r>
    <r>
      <rPr>
        <rFont val="Nunito, Arial"/>
        <b/>
        <color rgb="FF434343"/>
      </rPr>
      <t xml:space="preserve">mappool </t>
    </r>
    <r>
      <rPr>
        <rFont val="Nunito, Arial"/>
        <color rgb="FF434343"/>
      </rPr>
      <t>in the "Mappools" sheet.</t>
    </r>
  </si>
  <si>
    <r>
      <rPr>
        <rFont val="Nunito"/>
        <color rgb="FF434343"/>
      </rPr>
      <t xml:space="preserve">Set the </t>
    </r>
    <r>
      <rPr>
        <rFont val="Nunito"/>
        <b/>
        <color rgb="FF434343"/>
      </rPr>
      <t>Stage</t>
    </r>
    <r>
      <rPr>
        <rFont val="Nunito"/>
        <color rgb="FF434343"/>
      </rPr>
      <t xml:space="preserve"> in the "Template" sheet to the current stage</t>
    </r>
  </si>
  <si>
    <r>
      <rPr>
        <rFont val="Nunito"/>
        <b/>
        <color rgb="FF434343"/>
      </rPr>
      <t>Generate</t>
    </r>
    <r>
      <rPr>
        <rFont val="Nunito"/>
        <color rgb="FF434343"/>
      </rPr>
      <t xml:space="preserve"> the matches by going to the menu, then select
a method of choice.</t>
    </r>
  </si>
  <si>
    <t>IceDynamix Sheets</t>
  </si>
  <si>
    <t>Setup</t>
  </si>
  <si>
    <t>_sheetIds</t>
  </si>
  <si>
    <t>--------</t>
  </si>
  <si>
    <t>Settings</t>
  </si>
  <si>
    <t>Mappools</t>
  </si>
  <si>
    <t>Seedings</t>
  </si>
  <si>
    <t>Chrono Schedule</t>
  </si>
  <si>
    <t>Schedule</t>
  </si>
  <si>
    <t>Team List</t>
  </si>
  <si>
    <t>TeamTimes</t>
  </si>
  <si>
    <t>Template</t>
  </si>
  <si>
    <t>General Settings</t>
  </si>
  <si>
    <t>Tournament Name</t>
  </si>
  <si>
    <t>Pekonya Trinity Encounters</t>
  </si>
  <si>
    <t>Mappool Settings</t>
  </si>
  <si>
    <t>Stage</t>
  </si>
  <si>
    <t>Bo</t>
  </si>
  <si>
    <t>Bans</t>
  </si>
  <si>
    <t>Tournament Abbreviation</t>
  </si>
  <si>
    <t>PTE</t>
  </si>
  <si>
    <t>Round of 32</t>
  </si>
  <si>
    <t>Tournament team format</t>
  </si>
  <si>
    <t>Team</t>
  </si>
  <si>
    <t>Round of 16</t>
  </si>
  <si>
    <t># playing per team</t>
  </si>
  <si>
    <t>Quarterfinals</t>
  </si>
  <si>
    <t>Gamemode</t>
  </si>
  <si>
    <t>Semifinals</t>
  </si>
  <si>
    <t>Teammode</t>
  </si>
  <si>
    <t>Finals</t>
  </si>
  <si>
    <t>Scoremode</t>
  </si>
  <si>
    <t>Grand Finals</t>
  </si>
  <si>
    <t>Use NoFail Mod</t>
  </si>
  <si>
    <t>Specific Rules</t>
  </si>
  <si>
    <t>Forum Post URL</t>
  </si>
  <si>
    <t>https://osu.ppy.sh/community/forums/topics/1790898?n=1?</t>
  </si>
  <si>
    <t>Main Spreadsheet URL</t>
  </si>
  <si>
    <t>https://docs.google.com/spreadsheets/d/1u1R-0YeX71qksHP7hWq8QkjcpECX-9LSvskalZ8hxdg/edit?usp=sharing</t>
  </si>
  <si>
    <t>Pick Timer Length</t>
  </si>
  <si>
    <t>Lineup Lock-In Timer Length</t>
  </si>
  <si>
    <t>Bans Lost After ___ Minutes</t>
  </si>
  <si>
    <t>-</t>
  </si>
  <si>
    <t>Match FF After ___ Minutes</t>
  </si>
  <si>
    <t>Double Pick allowed?</t>
  </si>
  <si>
    <t>Double Ban allowed?</t>
  </si>
  <si>
    <t>Exclude NM from double rules?</t>
  </si>
  <si>
    <t>Freemod Rules</t>
  </si>
  <si>
    <t>FM rule  ||  P1: HD, EZ, HDEZ,FL || P2 : HR, HDHR || EZ = 1.7x , FL 1.5x</t>
  </si>
  <si>
    <t>Roll Rules</t>
  </si>
  <si>
    <t xml:space="preserve">Winner of the roll will have a chance to choose between first pick / second ban or first ban / second pick order.                 </t>
  </si>
  <si>
    <t>Input</t>
  </si>
  <si>
    <t>Auto-generated</t>
  </si>
  <si>
    <t>Mod#</t>
  </si>
  <si>
    <t>Map ID</t>
  </si>
  <si>
    <t>Map Name</t>
  </si>
  <si>
    <t>String</t>
  </si>
  <si>
    <t>Map Command</t>
  </si>
  <si>
    <t>Mod Command</t>
  </si>
  <si>
    <t>NM1</t>
  </si>
  <si>
    <t>Hazuki - Uso to Shinjitsu [Insane]</t>
  </si>
  <si>
    <t>NM2</t>
  </si>
  <si>
    <t>Jun Kuroda - Terpsichore [Dancer's Delight]</t>
  </si>
  <si>
    <t>NM2: Jun Kuroda - Terpsichore [Dancer's Delight]</t>
  </si>
  <si>
    <t>!mp map 3297107 0</t>
  </si>
  <si>
    <t>!mp mods NF</t>
  </si>
  <si>
    <t>NM3</t>
  </si>
  <si>
    <t>PUP - Anaphylaxis [Insane]</t>
  </si>
  <si>
    <t>NM3: PUP - Anaphylaxis [Insane]</t>
  </si>
  <si>
    <t>!mp map 2440455 0</t>
  </si>
  <si>
    <t>NM4</t>
  </si>
  <si>
    <t>ISOMERZ (DJ Raisei + seatrus) - Symmetric [BOUYAAA's Insane]</t>
  </si>
  <si>
    <t>NM4: ISOMERZ (DJ Raisei + seatrus) - Symmetric [BOUYAAA's Insane]</t>
  </si>
  <si>
    <t>!mp map 3248876 0</t>
  </si>
  <si>
    <t>NM5</t>
  </si>
  <si>
    <t>Pastel*Palettes - Happy Synthesizer [Insane]</t>
  </si>
  <si>
    <t>NM5: Pastel*Palettes - Happy Synthesizer [Insane]</t>
  </si>
  <si>
    <t>!mp map 1989991 0</t>
  </si>
  <si>
    <t>HD1</t>
  </si>
  <si>
    <t>Tsumiki - phony [Hatsune Miku's Insane]</t>
  </si>
  <si>
    <t>HD1: Tsumiki - phony [Hatsune Miku's Insane]</t>
  </si>
  <si>
    <t>!mp map 3280686 0</t>
  </si>
  <si>
    <t>!mp mods HD NF</t>
  </si>
  <si>
    <t>HD2</t>
  </si>
  <si>
    <t>P*Light - Poppin' Shower [Hyper]</t>
  </si>
  <si>
    <t>HD2: P*Light - Poppin' Shower [Hyper]</t>
  </si>
  <si>
    <t>!mp map 134141 0</t>
  </si>
  <si>
    <t>HR1</t>
  </si>
  <si>
    <t>Omoi - Teo [waji's Insane]</t>
  </si>
  <si>
    <t>HR1: Omoi - Teo [waji's Insane]</t>
  </si>
  <si>
    <t>!mp map 2659337 0</t>
  </si>
  <si>
    <t>!mp mods HR NF</t>
  </si>
  <si>
    <t>HR2</t>
  </si>
  <si>
    <t>Silentroom - NULCTRL [Pattern 03a "exHRD" LMT]</t>
  </si>
  <si>
    <t>HR2: Silentroom - NULCTRL [Pattern 03a "exHRD" LMT]</t>
  </si>
  <si>
    <t>!mp map 2110801 0</t>
  </si>
  <si>
    <t>DT1</t>
  </si>
  <si>
    <t>mafumafu - Moudoku ga Osou [Hard]</t>
  </si>
  <si>
    <t>DT1: mafumafu - Moudoku ga Osou [Hard]</t>
  </si>
  <si>
    <t>!mp map 2044893 0</t>
  </si>
  <si>
    <t>!mp mods DT NF</t>
  </si>
  <si>
    <t>DT2</t>
  </si>
  <si>
    <t>ARForest - Aoba [Hard]</t>
  </si>
  <si>
    <t>DT2: ARForest - Aoba [Hard]</t>
  </si>
  <si>
    <t>!mp map 2366848 0</t>
  </si>
  <si>
    <t>DT3</t>
  </si>
  <si>
    <t>xi - Mirage Garden [PaRaDogi's Hard]</t>
  </si>
  <si>
    <t>DT3: xi - Mirage Garden [PaRaDogi's Hard]</t>
  </si>
  <si>
    <t>!mp map 3396305 0</t>
  </si>
  <si>
    <t>FM1</t>
  </si>
  <si>
    <t>Shawn Wasabi - Marble Soda [Narcissu's Insane]</t>
  </si>
  <si>
    <t>FM1: Shawn Wasabi - Marble Soda [Narcissu's Insane]</t>
  </si>
  <si>
    <t>!mp map 846261 0</t>
  </si>
  <si>
    <t>!mp mods Freemod</t>
  </si>
  <si>
    <t>FM2</t>
  </si>
  <si>
    <t>-45 - Total Eclipse of The Sun [Hard]</t>
  </si>
  <si>
    <t>FM2: -45 - Total Eclipse of The Sun [Hard]</t>
  </si>
  <si>
    <t>!mp map 3743202 0</t>
  </si>
  <si>
    <t>TB1</t>
  </si>
  <si>
    <t>Ata - Euphoria [Aiq's Insane]</t>
  </si>
  <si>
    <t>TB1: Ata - Euphoria [Aiq's Insane]</t>
  </si>
  <si>
    <t>!mp map 3446761 0</t>
  </si>
  <si>
    <t>Yorushika - Thoughtcrime [Akitoshi's Insane]</t>
  </si>
  <si>
    <t>NM1: Yorushika - Thoughtcrime [Akitoshi's Insane]</t>
  </si>
  <si>
    <t>!mp map 2827293 0</t>
  </si>
  <si>
    <t>c</t>
  </si>
  <si>
    <t>Fractal Dreamers - Gardens Under A Spring Sky [Hyper]</t>
  </si>
  <si>
    <t>NM2: Fractal Dreamers - Gardens Under A Spring Sky [Hyper]</t>
  </si>
  <si>
    <t>!mp map 2004679 0</t>
  </si>
  <si>
    <t>Tsukuyomi - Dareka no Shinzou ni Nareta nara [too's Insane]</t>
  </si>
  <si>
    <t>NM3: Tsukuyomi - Dareka no Shinzou ni Nareta nara [too's Insane]</t>
  </si>
  <si>
    <t>!mp map 3239199 0</t>
  </si>
  <si>
    <t>sakuraburst - Glacierfall (Park Remix) [haruto x ancel's ins*ne]</t>
  </si>
  <si>
    <t>NM4: sakuraburst - Glacierfall (Park Remix) [haruto x ancel's ins*ne]</t>
  </si>
  <si>
    <t>!mp map 2794904 0</t>
  </si>
  <si>
    <t>sekai - Zange Mairi [Voice's Insane]</t>
  </si>
  <si>
    <t>NM5: sekai - Zange Mairi [Voice's Insane]</t>
  </si>
  <si>
    <t>!mp map 2853477 0</t>
  </si>
  <si>
    <t>Police Piccadilly feat. Hatsune Miku - Kire Carry On [negusver's Insane]</t>
  </si>
  <si>
    <t>HD1: Police Piccadilly feat. Hatsune Miku - Kire Carry On [negusver's Insane]</t>
  </si>
  <si>
    <t>!mp map 1733441 0</t>
  </si>
  <si>
    <t>Siren - Polaris [8 is not a low ar guys]</t>
  </si>
  <si>
    <t>HD2: Siren - Polaris [8 is not a low ar guys]</t>
  </si>
  <si>
    <t>!mp map 3460069 0</t>
  </si>
  <si>
    <t>PSYQUI feat. Such - Senchimentaruhatoboi [Insane]</t>
  </si>
  <si>
    <t>HR1: PSYQUI feat. Such - Senchimentaruhatoboi [Insane]</t>
  </si>
  <si>
    <t>!mp map 1956568 0</t>
  </si>
  <si>
    <t>Perfume - Laser Beam [Mixagji]</t>
  </si>
  <si>
    <t>HR2: Perfume - Laser Beam [Mixagji]</t>
  </si>
  <si>
    <t>!mp map 295650 0</t>
  </si>
  <si>
    <t>Yumeno Yuki - First Time [KoldNoodl's Hard]</t>
  </si>
  <si>
    <t>DT1: Yumeno Yuki - First Time [KoldNoodl's Hard]</t>
  </si>
  <si>
    <t>!mp map 3446883 0</t>
  </si>
  <si>
    <t>YUC'e - Future Candy [Hard]</t>
  </si>
  <si>
    <t>DT2: YUC'e - Future Candy [Hard]</t>
  </si>
  <si>
    <t>!mp map 1521209 0</t>
  </si>
  <si>
    <t>tarolabo - eth ken [hard]</t>
  </si>
  <si>
    <t>DT3: tarolabo - eth ken [hard]</t>
  </si>
  <si>
    <t>!mp map 3616100 0</t>
  </si>
  <si>
    <t>OISHII - ONIGIRI FREEWAY [LUKAS' INSANE]</t>
  </si>
  <si>
    <t>FM1: OISHII - ONIGIRI FREEWAY [LUKAS' INSANE]</t>
  </si>
  <si>
    <t>!mp map 2151207 0</t>
  </si>
  <si>
    <t>Giga-P - Electric Angel [Sonnyc's Insane]</t>
  </si>
  <si>
    <t>FM2: Giga-P - Electric Angel [Sonnyc's Insane]</t>
  </si>
  <si>
    <t>!mp map 417898 0</t>
  </si>
  <si>
    <t>Au5 - Moonland [Collab Another]</t>
  </si>
  <si>
    <t>TB1: Au5 - Moonland [Collab Another]</t>
  </si>
  <si>
    <t>!mp map 1857415 0</t>
  </si>
  <si>
    <t>Sangatsu no Phantasia - Pink Lemonade [Insane]</t>
  </si>
  <si>
    <t>NM1: Sangatsu no Phantasia - Pink Lemonade [Insane]</t>
  </si>
  <si>
    <t>!mp map 1965654 0</t>
  </si>
  <si>
    <t>Thaehan - Doki-Doki [rockstarrzz' Insane]</t>
  </si>
  <si>
    <t>NM2: Thaehan - Doki-Doki [rockstarrzz' Insane]</t>
  </si>
  <si>
    <t>!mp map 1838159 0</t>
  </si>
  <si>
    <t>Meguro Shoji feat. Lyn - Last Surprise -Scramble- [Expert]</t>
  </si>
  <si>
    <t>NM3: Meguro Shoji feat. Lyn - Last Surprise -Scramble- [Expert]</t>
  </si>
  <si>
    <t>!mp map 2568756 0</t>
  </si>
  <si>
    <t>Nekomata Master+ - squall [0pp's Insane (Tournament Edit)]</t>
  </si>
  <si>
    <t>NM4: Nekomata Master+ - squall [0pp's Insane (Tournament Edit)]</t>
  </si>
  <si>
    <t>!mp map 3341368 0</t>
  </si>
  <si>
    <t>the Art of Mankind - Unexisted [Insane]</t>
  </si>
  <si>
    <t>NM5: the Art of Mankind - Unexisted [Insane]</t>
  </si>
  <si>
    <t>!mp map 4215637 0</t>
  </si>
  <si>
    <t>NM6</t>
  </si>
  <si>
    <t>Franz Ferdinand - This Fffire (TV Size) [enri's iNnnsane]</t>
  </si>
  <si>
    <t>NM6: Franz Ferdinand - This Fffire (TV Size) [enri's iNnnsane]</t>
  </si>
  <si>
    <t>!mp map 3821597 0</t>
  </si>
  <si>
    <t>Usada Pekora - Discommunication Alien [Ayyken's Another]</t>
  </si>
  <si>
    <t>HD1: Usada Pekora - Discommunication Alien [Ayyken's Another]</t>
  </si>
  <si>
    <t>!mp map 2671048 0</t>
  </si>
  <si>
    <t>BRZion - Game Brain [Insane]</t>
  </si>
  <si>
    <t>HD2: BRZion - Game Brain [Insane]</t>
  </si>
  <si>
    <t>!mp map 105978 0</t>
  </si>
  <si>
    <t>HD3</t>
  </si>
  <si>
    <t>succducc - me &amp; u [sing's insane]</t>
  </si>
  <si>
    <t>HD3: succducc - me &amp; u [sing's insane]</t>
  </si>
  <si>
    <t>!mp map 1491793 0</t>
  </si>
  <si>
    <t>kessoku band - Guitar to Kodoku to Aoi Hoshi [kuuti's Insane]</t>
  </si>
  <si>
    <t>HR1: kessoku band - Guitar to Kodoku to Aoi Hoshi [kuuti's Insane]</t>
  </si>
  <si>
    <t>!mp map 3913591 0</t>
  </si>
  <si>
    <t>Cranky - Luvin' You [Alazy's Another]</t>
  </si>
  <si>
    <t>HR2: Cranky - Luvin' You [Alazy's Another]</t>
  </si>
  <si>
    <t>!mp map 37750 0</t>
  </si>
  <si>
    <t>HR3</t>
  </si>
  <si>
    <t>NICODE &amp; M2U - Predawn [Mixagji's Insane]</t>
  </si>
  <si>
    <t>HR3: NICODE &amp; M2U - Predawn [Mixagji's Insane]</t>
  </si>
  <si>
    <t>!mp map 3248255 0</t>
  </si>
  <si>
    <t>Reol - Asymmetry [pk's Hard]</t>
  </si>
  <si>
    <t>DT1: Reol - Asymmetry [pk's Hard]</t>
  </si>
  <si>
    <t>!mp map 674080 0</t>
  </si>
  <si>
    <t>-45 - System Sun [Hard]</t>
  </si>
  <si>
    <t>DT2: -45 - System Sun [Hard]</t>
  </si>
  <si>
    <t>!mp map 3299370 0</t>
  </si>
  <si>
    <t>Nekomata Master+ - chaos eater -IIDX edition- [HARD]</t>
  </si>
  <si>
    <t>DT3: Nekomata Master+ - chaos eater -IIDX edition- [HARD]</t>
  </si>
  <si>
    <t>!mp map 3822599 0</t>
  </si>
  <si>
    <t>Two Door Cinema Club - Cigarettes in the Theatre [Insane]</t>
  </si>
  <si>
    <t>FM1: Two Door Cinema Club - Cigarettes in the Theatre [Insane]</t>
  </si>
  <si>
    <t>!mp map 3274886 0</t>
  </si>
  <si>
    <t>Hiiragi Magnetite - Marshall Maximizer feat. KAFU [Hyper]</t>
  </si>
  <si>
    <t>FM2: Hiiragi Magnetite - Marshall Maximizer feat. KAFU [Hyper]</t>
  </si>
  <si>
    <t>!mp map 3804111 0</t>
  </si>
  <si>
    <t>Halozy - Genryuu Kaiko [Melody of Sanzu]</t>
  </si>
  <si>
    <t>TB1: Halozy - Genryuu Kaiko [Melody of Sanzu]</t>
  </si>
  <si>
    <t>!mp map 577517 0</t>
  </si>
  <si>
    <t>t+pazolite - Party in the HOLLOWood feat. Nanahira [INSane]</t>
  </si>
  <si>
    <t>NM1: t+pazolite - Party in the HOLLOWood feat. Nanahira [INSane]</t>
  </si>
  <si>
    <t>!mp map 1717844 0</t>
  </si>
  <si>
    <t>GIVEON - Favourite Mistake [Halogenix Edit] [Insane]</t>
  </si>
  <si>
    <t>NM2: GIVEON - Favourite Mistake [Halogenix Edit] [Insane]</t>
  </si>
  <si>
    <t>!mp map 3656173 0</t>
  </si>
  <si>
    <t>ALI - Wild Side [Squilly's Insane]</t>
  </si>
  <si>
    <t>NM3: ALI - Wild Side [Squilly's Insane]</t>
  </si>
  <si>
    <t>!mp map 2715749 0</t>
  </si>
  <si>
    <t>VeetaCrush - Mole [Kyutei's Insane]</t>
  </si>
  <si>
    <t>NM4: VeetaCrush - Mole [Kyutei's Insane]</t>
  </si>
  <si>
    <t>!mp map 3291796 0</t>
  </si>
  <si>
    <t>Camellia - Killerbeast [Spiritual]</t>
  </si>
  <si>
    <t>NM5: Camellia - Killerbeast [Spiritual]</t>
  </si>
  <si>
    <t>!mp map 3187491 0</t>
  </si>
  <si>
    <t>Kai - Junk Lady [Deppy and Wanpachi's Insane]</t>
  </si>
  <si>
    <t>NM6: Kai - Junk Lady [Deppy and Wanpachi's Insane]</t>
  </si>
  <si>
    <t>!mp map 3990086 0</t>
  </si>
  <si>
    <t>Aso Natsuko - Perfect-area complete! [Asuka_-'s Insane]</t>
  </si>
  <si>
    <t>HD1: Aso Natsuko - Perfect-area complete! [Asuka_-'s Insane]</t>
  </si>
  <si>
    <t>!mp map 1972425 0</t>
  </si>
  <si>
    <t>Kola Kid - timer [Insane]</t>
  </si>
  <si>
    <t>HD2: Kola Kid - timer [Insane]</t>
  </si>
  <si>
    <t>!mp map 2277128 0</t>
  </si>
  <si>
    <t>YUC'e - POISON -KO3 Remix- [Insane]</t>
  </si>
  <si>
    <t>HD3: YUC'e - POISON -KO3 Remix- [Insane]</t>
  </si>
  <si>
    <t>!mp map 2044890 0</t>
  </si>
  <si>
    <t>Harumaki Gohan feat. Hatsune Miku - Hotaru wa Inakatta [Kuse's Insane]</t>
  </si>
  <si>
    <t>HR1: Harumaki Gohan feat. Hatsune Miku - Hotaru wa Inakatta [Kuse's Insane]</t>
  </si>
  <si>
    <t>!mp map 3454421 0</t>
  </si>
  <si>
    <t>Cro - Wie ich bin [Trust]</t>
  </si>
  <si>
    <t>HR2: Cro - Wie ich bin [Trust]</t>
  </si>
  <si>
    <t>!mp map 2917786 0</t>
  </si>
  <si>
    <t>Camellia - Routing [Another]</t>
  </si>
  <si>
    <t>HR3: Camellia - Routing [Another]</t>
  </si>
  <si>
    <t>!mp map 1405094 0</t>
  </si>
  <si>
    <t>96neko - Primitive emotion [Hard]</t>
  </si>
  <si>
    <t>DT1: 96neko - Primitive emotion [Hard]</t>
  </si>
  <si>
    <t>!mp map 1592512 0</t>
  </si>
  <si>
    <t>umu. - Dareka no Shinzou ni Nareta Nara [Hard]</t>
  </si>
  <si>
    <t>DT2: umu. - Dareka no Shinzou ni Nareta Nara [Hard]</t>
  </si>
  <si>
    <t>!mp map 2388648 0</t>
  </si>
  <si>
    <t>AAAA + Umeboshi Chazuke - Cait Sith [Setu's Hard]</t>
  </si>
  <si>
    <t>DT3: AAAA + Umeboshi Chazuke - Cait Sith [Setu's Hard]</t>
  </si>
  <si>
    <t>!mp map 3819183 0</t>
  </si>
  <si>
    <t>Wagakki Band - Kagerou Days [Ducky-'s Insane]</t>
  </si>
  <si>
    <t>FM1: Wagakki Band - Kagerou Days [Ducky-'s Insane]</t>
  </si>
  <si>
    <t>!mp map 2514122 0</t>
  </si>
  <si>
    <t>Brandy - Cross Time !! [DJPop Mix]</t>
  </si>
  <si>
    <t>FM2: Brandy - Cross Time !! [DJPop Mix]</t>
  </si>
  <si>
    <t>!mp map 28366 0</t>
  </si>
  <si>
    <t>Camellia - EXiT this Earths Atomosphere [Astral]</t>
  </si>
  <si>
    <t>TB1: Camellia - EXiT this Earths Atomosphere [Astral]</t>
  </si>
  <si>
    <t>!mp map 1248147 0</t>
  </si>
  <si>
    <t>Camellia - Racemization [extreme]</t>
  </si>
  <si>
    <t>NM1: Camellia - Racemization [extreme]</t>
  </si>
  <si>
    <t>!mp map 2198934 0</t>
  </si>
  <si>
    <t>vierre cloud - moment [astronic's another]</t>
  </si>
  <si>
    <t>NM2: vierre cloud - moment [astronic's another]</t>
  </si>
  <si>
    <t>!mp map 3010348 0</t>
  </si>
  <si>
    <t>Ryokuoushoku Shakai - Zutto Zutto Zutto [Kloyd's Expert]</t>
  </si>
  <si>
    <t>NM3: Ryokuoushoku Shakai - Zutto Zutto Zutto [Kloyd's Expert]</t>
  </si>
  <si>
    <t>!mp map 3774971 0</t>
  </si>
  <si>
    <t>USAO - Gruequix [Expert]</t>
  </si>
  <si>
    <t>NM4: USAO - Gruequix [Expert]</t>
  </si>
  <si>
    <t>!mp map 3802110 0</t>
  </si>
  <si>
    <t>Prim - Koisuru*Uchuu Sensou!! [Another 220BPM]</t>
  </si>
  <si>
    <t>NM5: Prim - Koisuru*Uchuu Sensou!! [Another 220BPM]</t>
  </si>
  <si>
    <t>!mp map 309900 0</t>
  </si>
  <si>
    <t>Kikuo - Yousei no Kiri [Insane]</t>
  </si>
  <si>
    <t>NM6: Kikuo - Yousei no Kiri [Insane]</t>
  </si>
  <si>
    <t>!mp map 3870932 0</t>
  </si>
  <si>
    <t>DJ S3RL - T-T-Techno (feat. Jesskah) [fanzhen's X-Tra]</t>
  </si>
  <si>
    <t>HD1: DJ S3RL - T-T-Techno (feat. Jesskah) [fanzhen's X-Tra]</t>
  </si>
  <si>
    <t>!mp map 571620 0</t>
  </si>
  <si>
    <t>capsule - A.I. automatic infection [Insane]</t>
  </si>
  <si>
    <t>HD2: capsule - A.I. automatic infection [Insane]</t>
  </si>
  <si>
    <t>!mp map 3563737 0</t>
  </si>
  <si>
    <t>Kudou Chitose - CHO-DARI- [EX]</t>
  </si>
  <si>
    <t>HD3: Kudou Chitose - CHO-DARI- [EX]</t>
  </si>
  <si>
    <t>!mp map 2751338 0</t>
  </si>
  <si>
    <t>BAND-MAID - I can't live without you. [Insane]</t>
  </si>
  <si>
    <t>HR1: BAND-MAID - I can't live without you. [Insane]</t>
  </si>
  <si>
    <t>!mp map 2288966 0</t>
  </si>
  <si>
    <t>Sta &amp; Feryquitous - 2 Minutes Euphoria [Pata-Mon's Insane]</t>
  </si>
  <si>
    <t>HR2: Sta &amp; Feryquitous - 2 Minutes Euphoria [Pata-Mon's Insane]</t>
  </si>
  <si>
    <t>!mp map 2691754 0</t>
  </si>
  <si>
    <t>Eagle - S!ck [Down's Insane]</t>
  </si>
  <si>
    <t>HR3: Eagle - S!ck [Down's Insane]</t>
  </si>
  <si>
    <t>!mp map 2856139 0</t>
  </si>
  <si>
    <t>Komine Lisa - Resuscitated Hope [Insane]</t>
  </si>
  <si>
    <t>DT1: Komine Lisa - Resuscitated Hope [Insane]</t>
  </si>
  <si>
    <t>!mp map 765880 0</t>
  </si>
  <si>
    <t>Memme - NEW Astronomas [Priti's Hyper]</t>
  </si>
  <si>
    <t>DT2: Memme - NEW Astronomas [Priti's Hyper]</t>
  </si>
  <si>
    <t>!mp map 345642 0</t>
  </si>
  <si>
    <t>Camellia - Compute It With Some Devilish Alcoholic Steampunk Engines [F4UZ4N's Hard]</t>
  </si>
  <si>
    <t>DT3: Camellia - Compute It With Some Devilish Alcoholic Steampunk Engines [F4UZ4N's Hard]</t>
  </si>
  <si>
    <t>!mp map 2671858 0</t>
  </si>
  <si>
    <t>DT4</t>
  </si>
  <si>
    <t>KOTOKO - Princess Bride! (Cut Ver.) [Hard]</t>
  </si>
  <si>
    <t>DT4: KOTOKO - Princess Bride! (Cut Ver.) [Hard]</t>
  </si>
  <si>
    <t>!mp map 4150885 0</t>
  </si>
  <si>
    <t>Kenshi Yonezu - KICK BACK [STOMPMARK'S INSANE]</t>
  </si>
  <si>
    <t>FM1: Kenshi Yonezu - KICK BACK [STOMPMARK'S INSANE]</t>
  </si>
  <si>
    <t>!mp map 4197268 0</t>
  </si>
  <si>
    <t>Memme - Extreme Fantasy [Insane]</t>
  </si>
  <si>
    <t>FM2: Memme - Extreme Fantasy [Insane]</t>
  </si>
  <si>
    <t>!mp map 192181 0</t>
  </si>
  <si>
    <t>FM3</t>
  </si>
  <si>
    <t>Mysteka - Hesperos [Mayu's Insane]</t>
  </si>
  <si>
    <t>FM3: Mysteka - Hesperos [Mayu's Insane]</t>
  </si>
  <si>
    <t>!mp map 3499229 0</t>
  </si>
  <si>
    <t>Pendulum - Hold Your Colour [Iridescence]</t>
  </si>
  <si>
    <t>TB1: Pendulum - Hold Your Colour [Iridescence]</t>
  </si>
  <si>
    <t>!mp map 1485947 0</t>
  </si>
  <si>
    <t>Airots - Tougen Roman (Epsilon Remix) [Dailycare's Extra]</t>
  </si>
  <si>
    <t>NM1: Airots - Tougen Roman (Epsilon Remix) [Dailycare's Extra]</t>
  </si>
  <si>
    <t>!mp map 2792506 0</t>
  </si>
  <si>
    <t>daisan - -+ [Light Another]</t>
  </si>
  <si>
    <t>NM2: daisan - -+ [Light Another]</t>
  </si>
  <si>
    <t>!mp map 3714369 0</t>
  </si>
  <si>
    <t>Hatsuki Yura - Witchcraft [mogumogu]</t>
  </si>
  <si>
    <t>NM3: Hatsuki Yura - Witchcraft [mogumogu]</t>
  </si>
  <si>
    <t>!mp map 3461206 0</t>
  </si>
  <si>
    <t>Zekk - Feelsleft0ut [Acyl x toybot's Another]</t>
  </si>
  <si>
    <t>NM4: Zekk - Feelsleft0ut [Acyl x toybot's Another]</t>
  </si>
  <si>
    <t>!mp map 1737928 0</t>
  </si>
  <si>
    <t>deathcount - A Beautiful Degeneracy (Remix by Stazma The Junglechrist) [Expert]</t>
  </si>
  <si>
    <t>NM5: deathcount - A Beautiful Degeneracy (Remix by Stazma The Junglechrist) [Expert]</t>
  </si>
  <si>
    <t>!mp map 3711739 0</t>
  </si>
  <si>
    <t>Kotoha - Cat Loving [bongo's Insane]</t>
  </si>
  <si>
    <t>NM6: Kotoha - Cat Loving [bongo's Insane]</t>
  </si>
  <si>
    <t>!mp map 3711612 0</t>
  </si>
  <si>
    <t>Chikuwa - Jinsei Matatabi [Expert]</t>
  </si>
  <si>
    <t>HD1: Chikuwa - Jinsei Matatabi [Expert]</t>
  </si>
  <si>
    <t>!mp map 2348578 0</t>
  </si>
  <si>
    <t>Kairiki bear feat. Hatsune Miku - Starry Start [Starstruck (CS4 Edit)]</t>
  </si>
  <si>
    <t>HD2: Kairiki bear feat. Hatsune Miku - Starry Start [Starstruck (CS4 Edit)]</t>
  </si>
  <si>
    <t>!mp map 4134134 0</t>
  </si>
  <si>
    <t>Camellia - Wolves Standing Towards Enemies [Insane]</t>
  </si>
  <si>
    <t>HD3: Camellia - Wolves Standing Towards Enemies [Insane]</t>
  </si>
  <si>
    <t>!mp map 2565268 0</t>
  </si>
  <si>
    <t>Dreamcatcher - Chase Me [Extra]</t>
  </si>
  <si>
    <t>HR1: Dreamcatcher - Chase Me [Extra]</t>
  </si>
  <si>
    <t>!mp map 1258993 0</t>
  </si>
  <si>
    <t>factal - Wake Up While Sleeping [Insane]</t>
  </si>
  <si>
    <t>HR2: factal - Wake Up While Sleeping [Insane]</t>
  </si>
  <si>
    <t>!mp map 1592403 0</t>
  </si>
  <si>
    <t>USAO - Chariot (Extended Mix) [lebronJAM]</t>
  </si>
  <si>
    <t>HR3: USAO - Chariot (Extended Mix) [lebronJAM]</t>
  </si>
  <si>
    <t>!mp map 3333734 0</t>
  </si>
  <si>
    <t>Inui Toko - Kimagure Romantic [Light Insane]</t>
  </si>
  <si>
    <t>DT1: Inui Toko - Kimagure Romantic [Light Insane]</t>
  </si>
  <si>
    <t>!mp map 2519731 0</t>
  </si>
  <si>
    <t>Hana - Gekka Jasmine (2014ver.) [Gyro's Light Insane]</t>
  </si>
  <si>
    <t>DT2: Hana - Gekka Jasmine (2014ver.) [Gyro's Light Insane]</t>
  </si>
  <si>
    <t>!mp map 1035068 0</t>
  </si>
  <si>
    <t>USAO - FREEDOM (Extended Mix) [Hard]</t>
  </si>
  <si>
    <t>DT3: USAO - FREEDOM (Extended Mix) [Hard]</t>
  </si>
  <si>
    <t>!mp map 1707909 0</t>
  </si>
  <si>
    <t>Crazy Loop - Love Is A Simple Thing [EEeee's Love Ain't So Simple]</t>
  </si>
  <si>
    <t>DT4: Crazy Loop - Love Is A Simple Thing [EEeee's Love Ain't So Simple]</t>
  </si>
  <si>
    <t>!mp map 25341 0</t>
  </si>
  <si>
    <t>Natori Sana - Mondainai Tripper! [Insane]</t>
  </si>
  <si>
    <t>FM1: Natori Sana - Mondainai Tripper! [Insane]</t>
  </si>
  <si>
    <t>!mp map 3883278 0</t>
  </si>
  <si>
    <t>IOSYS - Midnight Lightning Bolt [Lunatic]</t>
  </si>
  <si>
    <t>FM2: IOSYS - Midnight Lightning Bolt [Lunatic]</t>
  </si>
  <si>
    <t>!mp map 58701 0</t>
  </si>
  <si>
    <t>lapix - Flamenco House [JeZalt's Another]</t>
  </si>
  <si>
    <t>FM3: lapix - Flamenco House [JeZalt's Another]</t>
  </si>
  <si>
    <t>!mp map 3853742 0</t>
  </si>
  <si>
    <t>Camellia - d:for the DELTA [Delirium]</t>
  </si>
  <si>
    <t>TB1: Camellia - d:for the DELTA [Delirium]</t>
  </si>
  <si>
    <t>!mp map 862338 0</t>
  </si>
  <si>
    <t>small wiener club</t>
  </si>
  <si>
    <t>:MIPINGA:</t>
  </si>
  <si>
    <t>foxy1919191919's basement</t>
  </si>
  <si>
    <t>Homossexual Students</t>
  </si>
  <si>
    <t>female ass wrestling</t>
  </si>
  <si>
    <t>Tom and Jerry</t>
  </si>
  <si>
    <t>The Mat Munchers</t>
  </si>
  <si>
    <t>The 3-star Threats</t>
  </si>
  <si>
    <t>placeholder teamname</t>
  </si>
  <si>
    <t>Ghost the Angel</t>
  </si>
  <si>
    <t>Faz o L</t>
  </si>
  <si>
    <t>Sightread Buff</t>
  </si>
  <si>
    <t>cake</t>
  </si>
  <si>
    <t>match in 15</t>
  </si>
  <si>
    <t>Dino Nuggies</t>
  </si>
  <si>
    <t>middle-schooler wife</t>
  </si>
  <si>
    <t>PLDT ANO NAAA</t>
  </si>
  <si>
    <t>Chocomaid</t>
  </si>
  <si>
    <t>3000CombinedHours</t>
  </si>
  <si>
    <t>equipe câo</t>
  </si>
  <si>
    <t>VN+1</t>
  </si>
  <si>
    <t>Kittens</t>
  </si>
  <si>
    <t>PES E9L9</t>
  </si>
  <si>
    <t>Mewo My Waifu</t>
  </si>
  <si>
    <t>The sleepers</t>
  </si>
  <si>
    <t>Team name pending xd</t>
  </si>
  <si>
    <t>Lovers + 3rd wheel</t>
  </si>
  <si>
    <t>BOCCHER</t>
  </si>
  <si>
    <t>Better HD Abusers</t>
  </si>
  <si>
    <t>Here Forever</t>
  </si>
  <si>
    <t>Beancurd</t>
  </si>
  <si>
    <t>lowrank is my love</t>
  </si>
  <si>
    <t>Meta</t>
  </si>
  <si>
    <t>Participants</t>
  </si>
  <si>
    <t>Staff</t>
  </si>
  <si>
    <t>Results</t>
  </si>
  <si>
    <t>Timezones</t>
  </si>
  <si>
    <t>Link</t>
  </si>
  <si>
    <t>Match ID</t>
  </si>
  <si>
    <t>Date</t>
  </si>
  <si>
    <t>Time</t>
  </si>
  <si>
    <t>Team 2</t>
  </si>
  <si>
    <t>Referee</t>
  </si>
  <si>
    <t>Streamer</t>
  </si>
  <si>
    <t>Comm. 1</t>
  </si>
  <si>
    <t>Comm. 2</t>
  </si>
  <si>
    <t>MP-Link</t>
  </si>
  <si>
    <t>Team 1 Timezone</t>
  </si>
  <si>
    <t>Team 2 Timezone</t>
  </si>
  <si>
    <t>Team 2 Availtime</t>
  </si>
  <si>
    <t>Team 2 Avail time</t>
  </si>
  <si>
    <t>Emerald Ages</t>
  </si>
  <si>
    <t>5</t>
  </si>
  <si>
    <t>1</t>
  </si>
  <si>
    <t>https://osu.ppy.sh/community/matches/110051132</t>
  </si>
  <si>
    <t>UTC+2</t>
  </si>
  <si>
    <t>12:00 UTC, 13:00 UTC, 14:00 UTC, 15:00 UTC, 18:00 UTC, 19:00 UTC</t>
  </si>
  <si>
    <t>0</t>
  </si>
  <si>
    <t>https://osu.ppy.sh/community/matches/110051880</t>
  </si>
  <si>
    <t>UTC +3</t>
  </si>
  <si>
    <t>12:00 UTC, 13:00 UTC, 14:00 UTC, 15:00 UTC, 16:00 UTC, 17:00 UTC, 18:00 UTC, 19:00 UTC</t>
  </si>
  <si>
    <t>15:00 UTC, 16:00 UTC, 17:00 UTC, 18:00 UTC, 19:00 UTC, 20:00 UTC</t>
  </si>
  <si>
    <t>3</t>
  </si>
  <si>
    <t>https://osu.ppy.sh/community/matches/110051882</t>
  </si>
  <si>
    <t>UTC+7</t>
  </si>
  <si>
    <t>UTC+8</t>
  </si>
  <si>
    <t>7:00 UTC, 8:00 UTC, 9:00 UTC, 13:00 UTC, 14:00 UTC, 15:00 UTC, 16:00 UTC</t>
  </si>
  <si>
    <t>8:00 UTC, 9:00 UTC, 10:00 UTC, 11:00 UTC, 12:00 UTC, 13:00 UTC, 14:00 UTC, 15:00 UTC, 16:00 UTC</t>
  </si>
  <si>
    <t>Mewo_</t>
  </si>
  <si>
    <t>4</t>
  </si>
  <si>
    <t>https://osu.ppy.sh/community/matches/110063252</t>
  </si>
  <si>
    <t>UTC-7</t>
  </si>
  <si>
    <t>8:00 UTC, 9:00 UTC, 10:00 UTC, 11:00 UTC, 12:00 UTC, 13:00 UTC, 14:00 UTC</t>
  </si>
  <si>
    <t>15:00 UTC, 16:00 UTC, 17:00 UTC, 18:00 UTC, 19:00 UTC, 20:00 UTC, 21:00 UTC</t>
  </si>
  <si>
    <t>Gamillie</t>
  </si>
  <si>
    <t>https://osu.ppy.sh/mp/110066290</t>
  </si>
  <si>
    <t>1:00 UTC, 2:00 UTC, 3:00 UTC, 4:00 UTC, 5:00 UTC, 6:00 UTC, 7:00 UTC, 8:00 UTC, 9:00 UTC, 10:00 UTC, 13:00 UTC, 14:00 UTC</t>
  </si>
  <si>
    <t>1:00 UTC, 2:00 UTC, 3:00 UTC, 4:00 UTC, 5:00 UTC, 6:00 UTC, 7:00 UTC, 8:00 UTC, 9:00 UTC, 10:00 UTC, 11:00 UTC, 12:00 UTC, 13:00 UTC</t>
  </si>
  <si>
    <t>Pischok</t>
  </si>
  <si>
    <t>https://osu.ppy.sh/mp/110067010</t>
  </si>
  <si>
    <t>17:00 UTC, 18:00 UTC, 19:00 UTC, 20:00 UTC, 21:00 UTC, 22:00 UTC</t>
  </si>
  <si>
    <t>13:00 UTC, 14:00 UTC, 15:00 UTC, 16:00 UTC, 17:00 UTC, 18:00 UTC, 19:00 UTC</t>
  </si>
  <si>
    <t>2</t>
  </si>
  <si>
    <t>https://osu.ppy.sh/mp/110067659</t>
  </si>
  <si>
    <t>UTC +2</t>
  </si>
  <si>
    <t>14:00 UTC, 15:00 UTC, 16:00 UTC, 17:00 UTC, 18:00 UTC, 19:00 UTC, 20:00 UTC</t>
  </si>
  <si>
    <t>11:00 UTC, 12:00 UTC, 13:00 UTC, 14:00 UTC, 15:00 UTC, 16:00 UTC, 17:00 UTC</t>
  </si>
  <si>
    <t>https://osu.ppy.sh/community/matches/110067582</t>
  </si>
  <si>
    <t>UTC+5</t>
  </si>
  <si>
    <t>13:00 UTC, 14:00 UTC, 15:00 UTC, 16:00 UTC, 17:00 UTC, 18:00 UTC, 19:00 UTC, 20:00 UTC, 21:00 UTC, 22:00 UTC</t>
  </si>
  <si>
    <t>6:00 UTC, 7:00 UTC, 8:00 UTC, 12:00 UTC, 13:00 UTC, 14:00 UTC, 15:00 UTC, 16:00 UTC</t>
  </si>
  <si>
    <t>Fuwub</t>
  </si>
  <si>
    <t>https://osu.ppy.sh/community/matches/110068687</t>
  </si>
  <si>
    <t>UTC-4</t>
  </si>
  <si>
    <t>12:00 UTC, 13:00 UTC, 14:00 UTC, 15:00 UTC, 16:00 UTC, 17:00 UTC</t>
  </si>
  <si>
    <t>https://osu.ppy.sh/community/matches/110076817</t>
  </si>
  <si>
    <t>UTC+3</t>
  </si>
  <si>
    <t>UTC-3</t>
  </si>
  <si>
    <t>3:00 UTC, 4:00 UTC, 13:00 UTC, 15:00 UTC, 16:00 UTC, 20:00 UTC</t>
  </si>
  <si>
    <t>17:00 UTC, 18:00 UTC, 19:00 UTC, 21:00 UTC, 22:00 UTC, 23:00 UTC</t>
  </si>
  <si>
    <t>BlooMertz</t>
  </si>
  <si>
    <t>https://osu.ppy.sh/community/matches/110077387</t>
  </si>
  <si>
    <t>UTC+9</t>
  </si>
  <si>
    <t>UTC-5</t>
  </si>
  <si>
    <t>6:00 UTC, 7:00 UTC, 8:00 UTC, 9:00 UTC, 10:00 UTC, 11:00 UTC, 12:00 UTC, 13:00 UTC, 14:00 UTC</t>
  </si>
  <si>
    <t>0:00 UTC / 24:00 UTC, 1:00 UTC, 2:00 UTC, 3:00 UTC, 4:00 UTC, 5:00 UTC, 15:00 UTC, 16:00 UTC, 23:00 UTC</t>
  </si>
  <si>
    <t>play hd3</t>
  </si>
  <si>
    <t>https://osu.ppy.sh/community/matches/110077688</t>
  </si>
  <si>
    <t>UTC -5</t>
  </si>
  <si>
    <t>UTC+0</t>
  </si>
  <si>
    <t>0:00 UTC / 24:00 UTC, 1:00 UTC, 2:00 UTC, 19:00 UTC, 20:00 UTC, 21:00 UTC, 22:00 UTC, 23:00 UTC</t>
  </si>
  <si>
    <t>5:00 UTC, 6:00 UTC, 7:00 UTC, 13:00 UTC, 14:00 UTC, 15:00 UTC</t>
  </si>
  <si>
    <t>https://osu.ppy.sh/community/matches/110085247</t>
  </si>
  <si>
    <t>UTC+1</t>
  </si>
  <si>
    <t>18:00 UTC, 19:00 UTC, 20:00 UTC, 21:00 UTC, 22:00 UTC, 23:00 UTC</t>
  </si>
  <si>
    <t>6:00 UTC, 7:00 UTC, 8:00 UTC, 13:00 UTC, 14:00 UTC, 15:00 UTC</t>
  </si>
  <si>
    <t>https://osu.ppy.sh/community/matches/110087766</t>
  </si>
  <si>
    <t>UTC-6</t>
  </si>
  <si>
    <t>0:00 UTC / 24:00 UTC, 1:00 UTC, 11:00 UTC, 12:00 UTC, 13:00 UTC, 14:00 UTC, 15:00 UTC, 16:00 UTC, 17:00 UTC, 18:00 UTC, 19:00 UTC, 20:00 UTC, 21:00 UTC, 22:00 UTC, 23:00 UTC</t>
  </si>
  <si>
    <t>0:00 UTC / 24:00 UTC, 1:00 UTC, 2:00 UTC, 21:00 UTC, 22:00 UTC, 23:00 UTC</t>
  </si>
  <si>
    <t>-PeKoRa-</t>
  </si>
  <si>
    <t>https://osu.ppy.sh/community/matches/110089262</t>
  </si>
  <si>
    <t>UTC -3</t>
  </si>
  <si>
    <t>14:00 UTC, 15:00 UTC, 16:00 UTC, 17:00 UTC, 18:00 UTC, 19:00 UTC, 20:00 UTC, 21:00 UTC, 22:00 UTC</t>
  </si>
  <si>
    <t>https://osu.ppy.sh/mp/110090518</t>
  </si>
  <si>
    <t>0:00 UTC / 24:00 UTC, 18:00 UTC, 19:00 UTC, 20:00 UTC, 21:00 UTC, 22:00 UTC, 23:00 UTC</t>
  </si>
  <si>
    <t>0:00 UTC / 24:00 UTC, 15:00 UTC, 16:00 UTC, 17:00 UTC, 18:00 UTC, 19:00 UTC, 20:00 UTC</t>
  </si>
  <si>
    <t>Azasapag</t>
  </si>
  <si>
    <t>https://osu.ppy.sh/community/matches/110156344</t>
  </si>
  <si>
    <t>Lunexia</t>
  </si>
  <si>
    <t>https://osu.ppy.sh/community/matches/110157424</t>
  </si>
  <si>
    <t>reforna</t>
  </si>
  <si>
    <t>https://osu.ppy.sh/community/matches/110174567</t>
  </si>
  <si>
    <t>https://osu.ppy.sh/community/matches/110174570</t>
  </si>
  <si>
    <t>https://osu.ppy.sh/community/matches/110175433</t>
  </si>
  <si>
    <t>https://osu.ppy.sh/community/matches/110176380</t>
  </si>
  <si>
    <t>11:00 UTC, 12:00 UTC, 13:00 UTC, 14:00 UTC, 15:00 UTC, 16:00 UTC</t>
  </si>
  <si>
    <t>https://osu.ppy.sh/community/matches/110177686</t>
  </si>
  <si>
    <t>https://osu.ppy.sh/community/matches/110178185</t>
  </si>
  <si>
    <t>https://osu.ppy.sh/community/matches/110179406</t>
  </si>
  <si>
    <t>https://osu.ppy.sh/community/matches/110184531</t>
  </si>
  <si>
    <t>https://osu.ppy.sh/community/matches/110185577</t>
  </si>
  <si>
    <t>https://osu.ppy.sh/community/matches/110190490</t>
  </si>
  <si>
    <t>https://osu.ppy.sh/community/matches/110190477</t>
  </si>
  <si>
    <t>RudderFish07</t>
  </si>
  <si>
    <t>https://osu.ppy.sh/community/matches/110191205</t>
  </si>
  <si>
    <t>Ninja Mejster</t>
  </si>
  <si>
    <t>https://osu.ppy.sh/community/matches/110194908</t>
  </si>
  <si>
    <t>https://osu.ppy.sh/community/matches/110206456</t>
  </si>
  <si>
    <t>6</t>
  </si>
  <si>
    <t>https://osu.ppy.sh/community/matches/110275875</t>
  </si>
  <si>
    <t>https://osu.ppy.sh/community/matches/110282200</t>
  </si>
  <si>
    <t>https://osu.ppy.sh/community/matches/110283000</t>
  </si>
  <si>
    <t>https://osu.ppy.sh/community/matches/110283001</t>
  </si>
  <si>
    <t>https://osu.ppy.sh/community/matches/110283874</t>
  </si>
  <si>
    <t>-1</t>
  </si>
  <si>
    <t/>
  </si>
  <si>
    <t>https://osu.ppy.sh/community/matches/110291479</t>
  </si>
  <si>
    <t>41c</t>
  </si>
  <si>
    <t>44c</t>
  </si>
  <si>
    <t>42b</t>
  </si>
  <si>
    <t>https://osu.ppy.sh/community/matches/110299252</t>
  </si>
  <si>
    <t>https://osu.ppy.sh/community/matches/110299202</t>
  </si>
  <si>
    <t>https://osu.ppy.sh/community/matches/110301082</t>
  </si>
  <si>
    <t>https://osu.ppy.sh/community/matches/110298939</t>
  </si>
  <si>
    <t>43a</t>
  </si>
  <si>
    <t>43b</t>
  </si>
  <si>
    <t>https://osu.ppy.sh/community/matches/110300869</t>
  </si>
  <si>
    <t>44a</t>
  </si>
  <si>
    <t>44b</t>
  </si>
  <si>
    <t>44d</t>
  </si>
  <si>
    <t>https://osu.ppy.sh/community/matches/110301327</t>
  </si>
  <si>
    <t>41a</t>
  </si>
  <si>
    <t>https://osu.ppy.sh/community/matches/110313675</t>
  </si>
  <si>
    <t>42a</t>
  </si>
  <si>
    <t>42d</t>
  </si>
  <si>
    <t>43c</t>
  </si>
  <si>
    <t>42c</t>
  </si>
  <si>
    <t>43d</t>
  </si>
  <si>
    <t>Gabys</t>
  </si>
  <si>
    <t>https://osu.ppy.sh/community/matches/110289632</t>
  </si>
  <si>
    <t>41b</t>
  </si>
  <si>
    <t>asynch</t>
  </si>
  <si>
    <t>41d</t>
  </si>
  <si>
    <t>https://osu.ppy.sh/community/matches/110365741</t>
  </si>
  <si>
    <t>https://osu.ppy.sh/community/matches/110370451</t>
  </si>
  <si>
    <t>BCraftMG</t>
  </si>
  <si>
    <t>Meiling Hong</t>
  </si>
  <si>
    <t>https://osu.ppy.sh/community/matches/110379556</t>
  </si>
  <si>
    <t>https://osu.ppy.sh/community/matches/110385386</t>
  </si>
  <si>
    <t>https://osu.ppy.sh/community/matches/110388082</t>
  </si>
  <si>
    <t>https://osu.ppy.sh/community/matches/110398000</t>
  </si>
  <si>
    <t>54a</t>
  </si>
  <si>
    <t>54c</t>
  </si>
  <si>
    <t>https://osu.ppy.sh/community/matches/110400514</t>
  </si>
  <si>
    <t>https://osu.ppy.sh/community/matches/110400479</t>
  </si>
  <si>
    <t>53a</t>
  </si>
  <si>
    <t>53b</t>
  </si>
  <si>
    <t>54b</t>
  </si>
  <si>
    <t>54d</t>
  </si>
  <si>
    <t>53c</t>
  </si>
  <si>
    <t>53d</t>
  </si>
  <si>
    <t>marshysxn</t>
  </si>
  <si>
    <t>mm1678yt</t>
  </si>
  <si>
    <t>7</t>
  </si>
  <si>
    <t>https://osu.ppy.sh/community/matches/110481100</t>
  </si>
  <si>
    <t>https://osu.ppy.sh/community/matches/110484639</t>
  </si>
  <si>
    <t>https://osu.ppy.sh/community/matches/110493889</t>
  </si>
  <si>
    <t>59b</t>
  </si>
  <si>
    <t>59d</t>
  </si>
  <si>
    <t>59a</t>
  </si>
  <si>
    <t>https://osu.ppy.sh/community/matches/110507463</t>
  </si>
  <si>
    <t>59c</t>
  </si>
  <si>
    <t>YaeMyMommy</t>
  </si>
  <si>
    <t>https://osu.ppy.sh/community/matches/110601167</t>
  </si>
  <si>
    <t>62a</t>
  </si>
  <si>
    <t>https://osu.ppy.sh/community/matches/110607052</t>
  </si>
  <si>
    <t>62b</t>
  </si>
  <si>
    <t>63a</t>
  </si>
  <si>
    <t>63b</t>
  </si>
  <si>
    <t>TBA</t>
  </si>
  <si>
    <t>Captain</t>
  </si>
  <si>
    <t>Team Name</t>
  </si>
  <si>
    <t>Player 2</t>
  </si>
  <si>
    <t>Player 3</t>
  </si>
  <si>
    <t>PoorQuaIityMeatpilow</t>
  </si>
  <si>
    <t>PoorQuaIityMeat</t>
  </si>
  <si>
    <t>Pilllow</t>
  </si>
  <si>
    <t>O_re_O</t>
  </si>
  <si>
    <t>depict1</t>
  </si>
  <si>
    <t>NemiTrailRider</t>
  </si>
  <si>
    <t>Lugost Angel</t>
  </si>
  <si>
    <t>quay4</t>
  </si>
  <si>
    <t>Faceie</t>
  </si>
  <si>
    <t>Flare_Drake</t>
  </si>
  <si>
    <t>vortexta</t>
  </si>
  <si>
    <t>TeddyFine</t>
  </si>
  <si>
    <t>Entro</t>
  </si>
  <si>
    <t>BubblyQT</t>
  </si>
  <si>
    <t>copium abusers</t>
  </si>
  <si>
    <t>PapaAinsley</t>
  </si>
  <si>
    <t>Josiper</t>
  </si>
  <si>
    <t>The One 100s</t>
  </si>
  <si>
    <t>Ugetora</t>
  </si>
  <si>
    <t>Zeon_beyond</t>
  </si>
  <si>
    <t>bunnytoro</t>
  </si>
  <si>
    <t>Nameless Waifulovers</t>
  </si>
  <si>
    <t>Feroshi</t>
  </si>
  <si>
    <t>Scaly007</t>
  </si>
  <si>
    <t>yunasky</t>
  </si>
  <si>
    <t>noodle team</t>
  </si>
  <si>
    <t>Lowuki</t>
  </si>
  <si>
    <t>Kuw</t>
  </si>
  <si>
    <t>Ahjin</t>
  </si>
  <si>
    <t>TzJake</t>
  </si>
  <si>
    <t>rafaeldel7</t>
  </si>
  <si>
    <t>-Darklune-</t>
  </si>
  <si>
    <t>Kochindera</t>
  </si>
  <si>
    <t>Hoshifurii</t>
  </si>
  <si>
    <t>phony :)</t>
  </si>
  <si>
    <t>AZKi</t>
  </si>
  <si>
    <t>SomeLongName</t>
  </si>
  <si>
    <t>SkyprimeLp</t>
  </si>
  <si>
    <t>Knax</t>
  </si>
  <si>
    <t>uhzyk</t>
  </si>
  <si>
    <t>Zertoaster</t>
  </si>
  <si>
    <t>Lol3270</t>
  </si>
  <si>
    <t>Tsekyro</t>
  </si>
  <si>
    <t>GeneralMayo</t>
  </si>
  <si>
    <t>Carsoon</t>
  </si>
  <si>
    <t>Koteykaaa team</t>
  </si>
  <si>
    <t>Aria Holmes</t>
  </si>
  <si>
    <t>Regihorn</t>
  </si>
  <si>
    <t>FurryWolf_RU</t>
  </si>
  <si>
    <t>Retired Aces</t>
  </si>
  <si>
    <t>Todi37</t>
  </si>
  <si>
    <t>Flaming_Galaxy</t>
  </si>
  <si>
    <t>MomoNagi</t>
  </si>
  <si>
    <t>RakiMiku</t>
  </si>
  <si>
    <t>WorstGamer</t>
  </si>
  <si>
    <t>C L O N E</t>
  </si>
  <si>
    <t>cxyren</t>
  </si>
  <si>
    <t>Dragonslash354</t>
  </si>
  <si>
    <t>euouae_</t>
  </si>
  <si>
    <t>HecaRegina</t>
  </si>
  <si>
    <t>Onii karma</t>
  </si>
  <si>
    <t>HD Abuser</t>
  </si>
  <si>
    <t>Ultima_</t>
  </si>
  <si>
    <t>Kaeldori</t>
  </si>
  <si>
    <t>DSE victims</t>
  </si>
  <si>
    <t>Himman</t>
  </si>
  <si>
    <t>C00KI3C00KIY</t>
  </si>
  <si>
    <t>Cola1228</t>
  </si>
  <si>
    <t>Flexgang</t>
  </si>
  <si>
    <t>lipefree</t>
  </si>
  <si>
    <t>Darvgaea</t>
  </si>
  <si>
    <t>blpka</t>
  </si>
  <si>
    <t>- Enkidu -</t>
  </si>
  <si>
    <t>dffTu</t>
  </si>
  <si>
    <t>Side Characters</t>
  </si>
  <si>
    <t>Heaki</t>
  </si>
  <si>
    <t>miimo__miimo</t>
  </si>
  <si>
    <t>karimovic</t>
  </si>
  <si>
    <t>DUM4L77</t>
  </si>
  <si>
    <t>Simabuco</t>
  </si>
  <si>
    <t>Loopyng</t>
  </si>
  <si>
    <t>Frui Ludo</t>
  </si>
  <si>
    <t>Chokecomint</t>
  </si>
  <si>
    <t>Azcazay</t>
  </si>
  <si>
    <t>Rurup</t>
  </si>
  <si>
    <t>Shaddie_</t>
  </si>
  <si>
    <t>DzikaSwinia</t>
  </si>
  <si>
    <t>Shion Yorigami</t>
  </si>
  <si>
    <t>iSimp22</t>
  </si>
  <si>
    <t>BluNuggets</t>
  </si>
  <si>
    <t>Rev1vall</t>
  </si>
  <si>
    <t>Sosedov</t>
  </si>
  <si>
    <t>китирики</t>
  </si>
  <si>
    <t>Kl4dys</t>
  </si>
  <si>
    <t>KWIzYiii</t>
  </si>
  <si>
    <t>Petrovkosta</t>
  </si>
  <si>
    <t>fnugus</t>
  </si>
  <si>
    <t>RaiRei</t>
  </si>
  <si>
    <t>Elfie125</t>
  </si>
  <si>
    <t>hmmmm</t>
  </si>
  <si>
    <t>VMPR13</t>
  </si>
  <si>
    <t>u-litay</t>
  </si>
  <si>
    <t>X-ill</t>
  </si>
  <si>
    <t>felixgg</t>
  </si>
  <si>
    <t>animefoot69</t>
  </si>
  <si>
    <t>cyclone290</t>
  </si>
  <si>
    <t>Aever</t>
  </si>
  <si>
    <t>CocoaGoats</t>
  </si>
  <si>
    <t>Tohkura</t>
  </si>
  <si>
    <t>pika_Zero</t>
  </si>
  <si>
    <t>Glaucia</t>
  </si>
  <si>
    <t>aespect</t>
  </si>
  <si>
    <t>qiyo</t>
  </si>
  <si>
    <t>not_peder</t>
  </si>
  <si>
    <t>foxy1919191919</t>
  </si>
  <si>
    <t>SneakyDingus</t>
  </si>
  <si>
    <t>Gwnet</t>
  </si>
  <si>
    <t>jujubinhas2</t>
  </si>
  <si>
    <t>Iite</t>
  </si>
  <si>
    <t>Sporinho</t>
  </si>
  <si>
    <t>The Michis Gang</t>
  </si>
  <si>
    <t>[MG] Alitzer</t>
  </si>
  <si>
    <t>[MG] Lizeim</t>
  </si>
  <si>
    <t>No1ruf</t>
  </si>
  <si>
    <t>Leonan</t>
  </si>
  <si>
    <t>Therizard</t>
  </si>
  <si>
    <t>Calibruh03</t>
  </si>
  <si>
    <t>Spudsachi</t>
  </si>
  <si>
    <t>jedrew</t>
  </si>
  <si>
    <t>jeffreybot</t>
  </si>
  <si>
    <t>CBF45</t>
  </si>
  <si>
    <t>SiriusOnly</t>
  </si>
  <si>
    <t>Kuranami_Kazu</t>
  </si>
  <si>
    <t>DeathByDarwin</t>
  </si>
  <si>
    <t>BallzDeep69</t>
  </si>
  <si>
    <t>_BlackStar</t>
  </si>
  <si>
    <t>Iamthecabra</t>
  </si>
  <si>
    <t>Alogi</t>
  </si>
  <si>
    <t>BLack Agents</t>
  </si>
  <si>
    <t>Article iwnl</t>
  </si>
  <si>
    <t>Xiyang Ye</t>
  </si>
  <si>
    <t>LongTreep</t>
  </si>
  <si>
    <t>XXVII</t>
  </si>
  <si>
    <t>SnaME</t>
  </si>
  <si>
    <t>Alica</t>
  </si>
  <si>
    <t>GreenMelonX</t>
  </si>
  <si>
    <t>smun</t>
  </si>
  <si>
    <t>Cottonpickers</t>
  </si>
  <si>
    <t>Gilky</t>
  </si>
  <si>
    <t>StreamsGuru</t>
  </si>
  <si>
    <t>KillerLink</t>
  </si>
  <si>
    <t>lipeposo</t>
  </si>
  <si>
    <t>Ren245</t>
  </si>
  <si>
    <t>Qkiryu</t>
  </si>
  <si>
    <t>FireRed88</t>
  </si>
  <si>
    <t>CGXWasTaken</t>
  </si>
  <si>
    <t>RAAPslimshady</t>
  </si>
  <si>
    <t>Isita</t>
  </si>
  <si>
    <t>Lyxin</t>
  </si>
  <si>
    <t>mblsh</t>
  </si>
  <si>
    <t>dark cat</t>
  </si>
  <si>
    <t>Our team left us</t>
  </si>
  <si>
    <t>SealDeGawd</t>
  </si>
  <si>
    <t>asdfuhuo</t>
  </si>
  <si>
    <t>bonnflow</t>
  </si>
  <si>
    <t>DarkHalis9</t>
  </si>
  <si>
    <t>maicon192011</t>
  </si>
  <si>
    <t>Riidolsk</t>
  </si>
  <si>
    <t>Kyarma</t>
  </si>
  <si>
    <t>stupid femboy</t>
  </si>
  <si>
    <t>Angleseekers</t>
  </si>
  <si>
    <t>Newtech66</t>
  </si>
  <si>
    <t>spicyparatha</t>
  </si>
  <si>
    <t>Skills issue</t>
  </si>
  <si>
    <t>duckcute0902</t>
  </si>
  <si>
    <t>Laplus Enjoyer</t>
  </si>
  <si>
    <t>Cessna</t>
  </si>
  <si>
    <t>APELPIES MY MOMMY</t>
  </si>
  <si>
    <t>TheGrabi</t>
  </si>
  <si>
    <t>Miryuo</t>
  </si>
  <si>
    <t>apelpies</t>
  </si>
  <si>
    <t>Untitled Document</t>
  </si>
  <si>
    <t>CavemanOof</t>
  </si>
  <si>
    <t>ASURAX10</t>
  </si>
  <si>
    <t>underdogs</t>
  </si>
  <si>
    <t>Hatchi115</t>
  </si>
  <si>
    <t>Yeayea</t>
  </si>
  <si>
    <t>Minor assault squad</t>
  </si>
  <si>
    <t>007dodo</t>
  </si>
  <si>
    <t>-Shichimiya-</t>
  </si>
  <si>
    <t>Skillerix</t>
  </si>
  <si>
    <t>Timezone</t>
  </si>
  <si>
    <t>Availability</t>
  </si>
  <si>
    <t>0:00 UTC / 24:00 UTC, 6:00 UTC, 11:00 UTC, 15:00 UTC, 19:00 UTC, 23:00 UTC</t>
  </si>
  <si>
    <t>12:00 UTC, 13:00 UTC, 14:00 UTC, 15:00 UTC, 16:00 UTC, 17:00 UTC, 18:00 UTC, 19:00 UTC, 20:00 UTC</t>
  </si>
  <si>
    <t xml:space="preserve">UTC+2 </t>
  </si>
  <si>
    <t>14:00 UTC, 15:00 UTC, 16:00 UTC, 17:00 UTC, 18:00 UTC, 19:00 UTC</t>
  </si>
  <si>
    <t>UTC+10</t>
  </si>
  <si>
    <t>8:00 UTC, 9:00 UTC, 10:00 UTC, 11:00 UTC, 12:00 UTC, 13:00 UTC</t>
  </si>
  <si>
    <t>0:00 UTC / 24:00 UTC, 19:00 UTC, 20:00 UTC, 21:00 UTC, 22:00 UTC, 23:00 UTC</t>
  </si>
  <si>
    <t>9:00 UTC, 10:00 UTC, 11:00 UTC, 12:00 UTC, 13:00 UTC, 14:00 UTC, 15:00 UTC, 16:00 UTC</t>
  </si>
  <si>
    <t>12:00 UTC, 13:00 UTC, 14:00 UTC, 18:00 UTC, 19:00 UTC, 20:00 UTC, 21:00 UTC, 22:00 UTC</t>
  </si>
  <si>
    <t>UTC +4</t>
  </si>
  <si>
    <t>2:00 UTC, 3:00 UTC, 4:00 UTC, 5:00 UTC, 6:00 UTC, 7:00 UTC</t>
  </si>
  <si>
    <t>12:00 UTC, 13:00 UTC, 14:00 UTC, 15:00 UTC, 16:00 UTC, 17:00 UTC, 18:00 UTC</t>
  </si>
  <si>
    <t>12:00 UTC, 13:00 UTC, 14:00 UTC, 15:00 UTC, 16:00 UTC, 17:00 UTC, 18:00 UTC, 19:00 UTC, 20:00 UTC, 21:00 UTC, 22:00 UTC</t>
  </si>
  <si>
    <t>5:00 UTC, 6:00 UTC, 7:00 UTC, 8:00 UTC, 9:00 UTC, 10:00 UTC, 11:00 UTC, 12:00 UTC, 13:00 UTC, 14:00 UTC</t>
  </si>
  <si>
    <t>1:00 UTC, 2:00 UTC, 3:00 UTC, 20:00 UTC, 21:00 UTC, 22:00 UTC</t>
  </si>
  <si>
    <t>utc+5</t>
  </si>
  <si>
    <t>UTC-1</t>
  </si>
  <si>
    <t>13:00 UTC, 14:00 UTC, 15:00 UTC, 16:00 UTC, 17:00 UTC, 18:00 UTC</t>
  </si>
  <si>
    <t>0:00 UTC / 24:00 UTC, 1:00 UTC, 2:00 UTC, 3:00 UTC, 4:00 UTC, 5:00 UTC</t>
  </si>
  <si>
    <t>UTC+5:30</t>
  </si>
  <si>
    <t>2:00 UTC, 3:00 UTC, 12:00 UTC, 13:00 UTC, 14:00 UTC, 15:00 UTC</t>
  </si>
  <si>
    <t>UTC-2</t>
  </si>
  <si>
    <t>16:00 UTC, 17:00 UTC, 18:00 UTC, 19:00 UTC, 20:00 UTC, 21:00 UTC</t>
  </si>
  <si>
    <t>UTC-0</t>
  </si>
  <si>
    <t>13:00 UTC, 14:00 UTC, 15:00 UTC, 16:00 UTC, 17:00 UTC, 18:00 UTC, 19:00 UTC, 20:00 UTC</t>
  </si>
  <si>
    <t>Status</t>
  </si>
  <si>
    <t>vs</t>
  </si>
  <si>
    <t>Information</t>
  </si>
  <si>
    <t>Match</t>
  </si>
  <si>
    <t>Mappool</t>
  </si>
  <si>
    <t>Map</t>
  </si>
  <si>
    <t>Current Map</t>
  </si>
  <si>
    <t>Date/Time</t>
  </si>
  <si>
    <t>Win by Default</t>
  </si>
  <si>
    <t>Commands</t>
  </si>
  <si>
    <t>Room Command</t>
  </si>
  <si>
    <t>Picks/Bans</t>
  </si>
  <si>
    <t>Ban 1</t>
  </si>
  <si>
    <t>Ban 2</t>
  </si>
  <si>
    <t>Room Settings</t>
  </si>
  <si>
    <t>!mp settings</t>
  </si>
  <si>
    <t>Stream Staff</t>
  </si>
  <si>
    <t>First Pick</t>
  </si>
  <si>
    <t>Invite captains</t>
  </si>
  <si>
    <t>Timer Commands</t>
  </si>
  <si>
    <t>Picks</t>
  </si>
  <si>
    <t>Picker</t>
  </si>
  <si>
    <t>Winner</t>
  </si>
  <si>
    <t>Start Timers</t>
  </si>
  <si>
    <t>!mp start 10</t>
  </si>
  <si>
    <t>Abort Commands</t>
  </si>
  <si>
    <t>!mp abort</t>
  </si>
  <si>
    <t>!mp aborttimer</t>
  </si>
  <si>
    <t>Rules/Resources</t>
  </si>
  <si>
    <t># of bans per team</t>
  </si>
  <si>
    <t>Forum Post</t>
  </si>
  <si>
    <t>Main Sheet</t>
  </si>
  <si>
    <t>Late Procedures</t>
  </si>
  <si>
    <t xml:space="preserve">Winner of the roll will have a chance to choose between first pick / second ban or first ban / second pick order. </t>
  </si>
  <si>
    <t>Double Pick Allowed?</t>
  </si>
  <si>
    <t>No (Excluding NM)</t>
  </si>
  <si>
    <t>Double Ban Allowed?</t>
  </si>
  <si>
    <t>Teams</t>
  </si>
  <si>
    <t>Blue</t>
  </si>
  <si>
    <t>!mp invite Frui Ludo</t>
  </si>
  <si>
    <t>Red</t>
  </si>
  <si>
    <t>Tiebreaker</t>
  </si>
  <si>
    <t>!mp invite euouae_</t>
  </si>
  <si>
    <t>!mp invite Rev1vall</t>
  </si>
  <si>
    <t>NM1: Hazuki - Uso to Shinjitsu [Insane]</t>
  </si>
  <si>
    <t>!mp invite Shion Yorigami</t>
  </si>
  <si>
    <t>!mp invite Alica</t>
  </si>
  <si>
    <t>!mp invite Mewo_</t>
  </si>
  <si>
    <t>!mp invite HD Abuser</t>
  </si>
  <si>
    <t>!mp invite KillerLink</t>
  </si>
  <si>
    <t>!mp invite SkyprimeLp</t>
  </si>
  <si>
    <t>!mp invite fnugus</t>
  </si>
  <si>
    <t>!mp invite Tsekyro</t>
  </si>
  <si>
    <t>!mp invite BlooMertz</t>
  </si>
  <si>
    <t>hi emerald - B</t>
  </si>
  <si>
    <t>hi bcraft - E</t>
  </si>
  <si>
    <t>!mp invite Kochindera</t>
  </si>
  <si>
    <t>!mp invite Riidolsk</t>
  </si>
  <si>
    <t>!mp invite RakiMiku</t>
  </si>
  <si>
    <t>!mp invite TeddyFine</t>
  </si>
  <si>
    <t>!mp invite Rurup</t>
  </si>
  <si>
    <t>!mp invite O_re_O</t>
  </si>
  <si>
    <t>!mp invite Therizard</t>
  </si>
  <si>
    <t>!mp invite jujubinhas2</t>
  </si>
  <si>
    <t>!mp invite Qkiryu</t>
  </si>
  <si>
    <t>!mp invite No1ruf</t>
  </si>
  <si>
    <t>!mp invite BCraftMG</t>
  </si>
  <si>
    <t>!mp invite X-ill</t>
  </si>
  <si>
    <t>[-Gabys-]</t>
  </si>
  <si>
    <t>!mp invite aespect</t>
  </si>
  <si>
    <t>!mp invite mblsh</t>
  </si>
  <si>
    <t>!mp invite bonnflow</t>
  </si>
  <si>
    <t>!mp addref Meiling Hong</t>
  </si>
  <si>
    <t>!mp invite SiriusOnly</t>
  </si>
  <si>
    <t>!mp addref marshysxn</t>
  </si>
  <si>
    <t>!mp invite DUM4L77</t>
  </si>
  <si>
    <t>!mp addref Gamillie</t>
  </si>
  <si>
    <t>!mp invite RAAPslimshady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</si>
</sst>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quot; &quot;dd&quot; (&quot;dddd&quot;)&quot;"/>
    <numFmt numFmtId="165" formatCode="hh:mm"/>
    <numFmt numFmtId="166" formatCode="h&quot;:&quot;mm"/>
    <numFmt numFmtId="167" formatCode="&quot;(&quot;ddd&quot;) &quot;mmm&quot; &quot;d"/>
    <numFmt numFmtId="168" formatCode="&quot;Best of&quot; 0"/>
    <numFmt numFmtId="169" formatCode="yyyy&quot;-&quot;mm&quot;-&quot;dd&quot; &quot;hh&quot;:&quot;mm"/>
    <numFmt numFmtId="170" formatCode="&quot;!mp timer &quot;0"/>
    <numFmt numFmtId="171" formatCode="&quot;Forfeit:&quot; 0&quot;mins&quot;;;&quot;None&quot;"/>
  </numFmts>
  <fonts count="58">
    <font>
      <sz val="10.0"/>
      <color rgb="FF000000"/>
      <name val="Arial"/>
      <scheme val="minor"/>
    </font>
    <font>
      <color rgb="FF434343"/>
      <name val="Nunito"/>
    </font>
    <font>
      <b/>
      <color rgb="FF434343"/>
      <name val="Nunito"/>
    </font>
    <font/>
    <font>
      <i/>
      <sz val="9.0"/>
      <color rgb="FF434343"/>
      <name val="Nunito"/>
    </font>
    <font>
      <b/>
      <sz val="8.0"/>
      <color rgb="FF434343"/>
      <name val="Nunito"/>
    </font>
    <font>
      <sz val="8.0"/>
      <color rgb="FF5C7387"/>
      <name val="Lexend Deca"/>
    </font>
    <font>
      <color theme="1"/>
      <name val="Arial"/>
      <scheme val="minor"/>
    </font>
    <font>
      <color rgb="FF434343"/>
      <name val="Rubik"/>
    </font>
    <font>
      <b/>
      <sz val="12.0"/>
      <color rgb="FFFFFFFF"/>
      <name val="Rubik"/>
    </font>
    <font>
      <sz val="8.0"/>
      <color rgb="FF434343"/>
      <name val="Rubik"/>
    </font>
    <font>
      <sz val="9.0"/>
      <color rgb="FF434343"/>
      <name val="Rubik"/>
    </font>
    <font>
      <b/>
      <color rgb="FF434343"/>
      <name val="Rubik"/>
    </font>
    <font>
      <u/>
      <sz val="9.0"/>
      <color rgb="FF434343"/>
      <name val="Rubik"/>
    </font>
    <font>
      <sz val="10.0"/>
      <color rgb="FF434343"/>
      <name val="Rubik"/>
    </font>
    <font>
      <sz val="8.0"/>
      <color rgb="FF434343"/>
      <name val="Fira Code"/>
    </font>
    <font>
      <color rgb="FF000000"/>
      <name val="Rubik"/>
    </font>
    <font>
      <b/>
      <color rgb="FF000000"/>
      <name val="Rubik"/>
    </font>
    <font>
      <b/>
      <sz val="8.0"/>
      <color rgb="FF434343"/>
      <name val="Rubik"/>
    </font>
    <font>
      <b/>
      <u/>
      <color rgb="FF000000"/>
      <name val="Rubik"/>
    </font>
    <font>
      <color rgb="FF000000"/>
      <name val="Lexend"/>
    </font>
    <font>
      <u/>
      <color rgb="FF434343"/>
      <name val="Rubik"/>
    </font>
    <font>
      <sz val="11.0"/>
      <color rgb="FF3C4043"/>
      <name val="Inconsolata"/>
    </font>
    <font>
      <u/>
      <color rgb="FF000000"/>
      <name val="Rubik"/>
    </font>
    <font>
      <u/>
      <color rgb="FF434343"/>
      <name val="Rubik"/>
    </font>
    <font>
      <u/>
      <color rgb="FF000000"/>
      <name val="Rubik"/>
    </font>
    <font>
      <color rgb="FF000000"/>
      <name val="Arial"/>
    </font>
    <font>
      <u/>
      <color rgb="FF434343"/>
      <name val="Rubik"/>
    </font>
    <font>
      <u/>
      <color rgb="FF000000"/>
      <name val="Rubik"/>
    </font>
    <font>
      <u/>
      <color rgb="FF434343"/>
      <name val="Rubik"/>
    </font>
    <font>
      <u/>
      <color rgb="FF000000"/>
      <name val="Rubik"/>
    </font>
    <font>
      <i/>
      <sz val="8.0"/>
      <color rgb="FF000000"/>
      <name val="Lexend"/>
    </font>
    <font>
      <u/>
      <color rgb="FF000000"/>
      <name val="Rubik"/>
    </font>
    <font>
      <u/>
      <color rgb="FF434343"/>
      <name val="Rubik"/>
    </font>
    <font>
      <u/>
      <color rgb="FF000000"/>
      <name val="Rubik"/>
    </font>
    <font>
      <u/>
      <color rgb="FF000000"/>
      <name val="Rubik"/>
    </font>
    <font>
      <u/>
      <color rgb="FF000000"/>
      <name val="Rubik"/>
    </font>
    <font>
      <sz val="10.0"/>
      <color theme="1"/>
      <name val="Rubik"/>
    </font>
    <font>
      <u/>
      <color rgb="FF000000"/>
      <name val="Rubik"/>
    </font>
    <font>
      <u/>
      <color rgb="FF000000"/>
      <name val="Rubik"/>
    </font>
    <font>
      <b/>
      <color rgb="FFFFFFFF"/>
      <name val="Rubik"/>
    </font>
    <font>
      <color rgb="FFFFFFFF"/>
      <name val="Rubik"/>
    </font>
    <font>
      <color theme="1"/>
      <name val="Nunito"/>
    </font>
    <font>
      <b/>
      <sz val="12.0"/>
      <color rgb="FFFFFFFF"/>
      <name val="Nunito"/>
    </font>
    <font>
      <b/>
      <sz val="10.0"/>
      <color rgb="FF000000"/>
      <name val="Rubik"/>
    </font>
    <font>
      <sz val="12.0"/>
      <color rgb="FF000000"/>
      <name val="Rubik"/>
    </font>
    <font>
      <i/>
      <sz val="9.0"/>
      <color rgb="FF434343"/>
      <name val="Rubik"/>
    </font>
    <font>
      <i/>
      <sz val="8.0"/>
      <color rgb="FF434343"/>
      <name val="Rubik"/>
    </font>
    <font>
      <b/>
      <i/>
      <sz val="9.0"/>
      <color rgb="FF434343"/>
      <name val="Rubik"/>
    </font>
    <font>
      <sz val="10.0"/>
      <color rgb="FF000000"/>
      <name val="Rubik"/>
    </font>
    <font>
      <sz val="6.0"/>
      <color rgb="FF434343"/>
      <name val="Rubik"/>
    </font>
    <font>
      <b/>
      <i/>
      <sz val="8.0"/>
      <color rgb="FF434343"/>
      <name val="Rubik"/>
    </font>
    <font>
      <u/>
      <sz val="7.0"/>
      <color rgb="FF434343"/>
      <name val="Rubik"/>
    </font>
    <font>
      <sz val="7.0"/>
      <color rgb="FF434343"/>
      <name val="Rubik"/>
    </font>
    <font>
      <b/>
      <sz val="10.0"/>
      <color rgb="FFFFFFFF"/>
      <name val="Rubik"/>
    </font>
    <font>
      <b/>
      <sz val="10.0"/>
      <color rgb="FF434343"/>
      <name val="Rubik"/>
    </font>
    <font>
      <u/>
      <sz val="11.0"/>
      <color rgb="FFFFFFFF"/>
      <name val="Roboto"/>
    </font>
    <font>
      <u/>
      <sz val="9.0"/>
      <color rgb="FF0000FF"/>
      <name val="Rubik"/>
    </font>
  </fonts>
  <fills count="9">
    <fill>
      <patternFill patternType="none"/>
    </fill>
    <fill>
      <patternFill patternType="lightGray"/>
    </fill>
    <fill>
      <patternFill patternType="solid">
        <fgColor rgb="FF284056"/>
        <bgColor rgb="FF284056"/>
      </patternFill>
    </fill>
    <fill>
      <patternFill patternType="solid">
        <fgColor rgb="FF000000"/>
        <bgColor rgb="FF000000"/>
      </patternFill>
    </fill>
    <fill>
      <patternFill patternType="solid">
        <fgColor rgb="FF5C7387"/>
        <bgColor rgb="FF5C7387"/>
      </patternFill>
    </fill>
    <fill>
      <patternFill patternType="solid">
        <fgColor rgb="FFF4CCCC"/>
        <bgColor rgb="FFF4CCCC"/>
      </patternFill>
    </fill>
    <fill>
      <patternFill patternType="solid">
        <fgColor rgb="FFC9DAF8"/>
        <bgColor rgb="FFC9DAF8"/>
      </patternFill>
    </fill>
    <fill>
      <patternFill patternType="solid">
        <fgColor rgb="FFFFFFFF"/>
        <bgColor rgb="FFFFFFFF"/>
      </patternFill>
    </fill>
    <fill>
      <patternFill patternType="solid">
        <fgColor rgb="FF204ACB"/>
        <bgColor rgb="FF204ACB"/>
      </patternFill>
    </fill>
  </fills>
  <borders count="45">
    <border/>
    <border>
      <bottom style="medium">
        <color rgb="FF284056"/>
      </bottom>
    </border>
    <border>
      <bottom style="dotted">
        <color rgb="FF284056"/>
      </bottom>
    </border>
    <border>
      <left style="thin">
        <color rgb="FF284056"/>
      </left>
    </border>
    <border>
      <top style="dotted">
        <color rgb="FF284056"/>
      </top>
    </border>
    <border>
      <right style="thick">
        <color rgb="FF000000"/>
      </right>
    </border>
    <border>
      <left style="dotted">
        <color rgb="FF284056"/>
      </left>
      <right style="dotted">
        <color rgb="FF284056"/>
      </right>
      <bottom style="medium">
        <color rgb="FF284056"/>
      </bottom>
    </border>
    <border>
      <left style="dotted">
        <color rgb="FF284056"/>
      </left>
      <right style="dotted">
        <color rgb="FF284056"/>
      </right>
    </border>
    <border>
      <bottom style="thick">
        <color rgb="FF000000"/>
      </bottom>
    </border>
    <border>
      <left style="medium">
        <color rgb="FF284056"/>
      </left>
      <bottom style="thick">
        <color rgb="FF000000"/>
      </bottom>
    </border>
    <border>
      <left style="dotted">
        <color rgb="FF284056"/>
      </left>
    </border>
    <border>
      <left style="medium">
        <color rgb="FF284056"/>
      </left>
    </border>
    <border>
      <left style="hair">
        <color rgb="FF000000"/>
      </left>
    </border>
    <border>
      <left style="medium">
        <color rgb="FF000000"/>
      </left>
    </border>
    <border>
      <right style="medium">
        <color rgb="FF000000"/>
      </right>
    </border>
    <border>
      <right style="thick">
        <color rgb="FF000000"/>
      </right>
      <bottom style="thick">
        <color rgb="FF000000"/>
      </bottom>
    </border>
    <border>
      <left style="thick">
        <color rgb="FF000000"/>
      </left>
    </border>
    <border>
      <left style="dotted">
        <color rgb="FF000000"/>
      </left>
    </border>
    <border>
      <left style="thick">
        <color rgb="FF000000"/>
      </left>
      <bottom style="thick">
        <color rgb="FF000000"/>
      </bottom>
    </border>
    <border>
      <left style="dotted">
        <color rgb="FF000000"/>
      </left>
      <bottom style="thick">
        <color rgb="FF000000"/>
      </bottom>
    </border>
    <border>
      <top style="thick">
        <color rgb="FF000000"/>
      </top>
    </border>
    <border>
      <right style="thick">
        <color rgb="FF000000"/>
      </right>
      <top style="thick">
        <color rgb="FF000000"/>
      </top>
    </border>
    <border>
      <left style="thick">
        <color rgb="FF000000"/>
      </left>
      <top style="thick">
        <color rgb="FF000000"/>
      </top>
    </border>
    <border>
      <bottom style="dotted">
        <color rgb="FF000000"/>
      </bottom>
    </border>
    <border>
      <right style="thick">
        <color rgb="FF000000"/>
      </right>
      <bottom style="dotted">
        <color rgb="FF000000"/>
      </bottom>
    </border>
    <border>
      <left style="thick">
        <color rgb="FF000000"/>
      </left>
      <bottom style="dotted">
        <color rgb="FF000000"/>
      </bottom>
    </border>
    <border>
      <left style="dotted">
        <color rgb="FF000000"/>
      </left>
      <bottom style="dotted">
        <color rgb="FF000000"/>
      </bottom>
    </border>
    <border>
      <left style="dotted">
        <color rgb="FF000000"/>
      </left>
      <top style="thick">
        <color rgb="FF000000"/>
      </top>
    </border>
    <border>
      <top style="dotted">
        <color rgb="FF000000"/>
      </top>
    </border>
    <border>
      <right style="thick">
        <color rgb="FF000000"/>
      </right>
      <top style="dotted">
        <color rgb="FF000000"/>
      </top>
    </border>
    <border>
      <left style="thick">
        <color rgb="FF000000"/>
      </left>
      <top style="dotted">
        <color rgb="FF000000"/>
      </top>
    </border>
    <border>
      <top style="dotted">
        <color rgb="FF000000"/>
      </top>
      <bottom style="thick">
        <color rgb="FF000000"/>
      </bottom>
    </border>
    <border>
      <right style="thick">
        <color rgb="FF000000"/>
      </right>
      <top style="dotted">
        <color rgb="FF000000"/>
      </top>
      <bottom style="thick">
        <color rgb="FF000000"/>
      </bottom>
    </border>
    <border>
      <left style="thick">
        <color rgb="FF000000"/>
      </left>
      <top style="dotted">
        <color rgb="FF000000"/>
      </top>
      <bottom style="thick">
        <color rgb="FF000000"/>
      </bottom>
    </border>
    <border>
      <left style="dotted">
        <color rgb="FF000000"/>
      </left>
      <top style="dotted">
        <color rgb="FF000000"/>
      </top>
    </border>
    <border>
      <left style="thin">
        <color rgb="FF000000"/>
      </left>
      <right style="thin">
        <color rgb="FF000000"/>
      </right>
    </border>
    <border>
      <top style="thin">
        <color rgb="FF284056"/>
      </top>
    </border>
    <border>
      <right style="thin">
        <color rgb="FF284056"/>
      </right>
      <top style="thin">
        <color rgb="FF284056"/>
      </top>
    </border>
    <border>
      <right style="dotted">
        <color rgb="FF000000"/>
      </right>
    </border>
    <border>
      <right style="thin">
        <color rgb="FF284056"/>
      </right>
      <bottom style="medium">
        <color rgb="FF284056"/>
      </bottom>
    </border>
    <border>
      <right style="thin">
        <color rgb="FF284056"/>
      </right>
    </border>
    <border>
      <left style="medium">
        <color rgb="FF284056"/>
      </left>
      <bottom style="dotted">
        <color rgb="FF284056"/>
      </bottom>
    </border>
    <border>
      <left style="dotted">
        <color rgb="FF284056"/>
      </left>
      <bottom style="dotted">
        <color rgb="FF284056"/>
      </bottom>
    </border>
    <border>
      <left style="medium">
        <color rgb="FF284056"/>
      </left>
      <bottom style="medium">
        <color rgb="FF284056"/>
      </bottom>
    </border>
    <border>
      <left style="dotted">
        <color rgb="FF284056"/>
      </left>
      <bottom style="medium">
        <color rgb="FF284056"/>
      </bottom>
    </border>
  </borders>
  <cellStyleXfs count="1">
    <xf borderId="0" fillId="0" fontId="0" numFmtId="0" applyAlignment="1" applyFont="1"/>
  </cellStyleXfs>
  <cellXfs count="302">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horizontal="center" readingOrder="0" vertical="center"/>
    </xf>
    <xf borderId="0" fillId="2" fontId="1" numFmtId="0" xfId="0" applyAlignment="1" applyFont="1">
      <alignment horizontal="center" vertical="top"/>
    </xf>
    <xf borderId="1" fillId="0" fontId="3" numFmtId="0" xfId="0" applyBorder="1" applyFont="1"/>
    <xf borderId="2" fillId="0" fontId="4" numFmtId="0" xfId="0" applyAlignment="1" applyBorder="1" applyFont="1">
      <alignment horizontal="center" readingOrder="0" vertical="center"/>
    </xf>
    <xf borderId="2" fillId="0" fontId="3" numFmtId="0" xfId="0" applyBorder="1" applyFont="1"/>
    <xf borderId="3" fillId="2" fontId="1" numFmtId="0" xfId="0" applyAlignment="1" applyBorder="1" applyFont="1">
      <alignment horizontal="center" vertical="center"/>
    </xf>
    <xf borderId="0" fillId="0" fontId="5" numFmtId="0" xfId="0" applyAlignment="1" applyFont="1">
      <alignment horizontal="center" readingOrder="0" textRotation="90" vertical="center"/>
    </xf>
    <xf borderId="0" fillId="0" fontId="5" numFmtId="0" xfId="0" applyAlignment="1" applyFont="1">
      <alignment horizontal="center" readingOrder="0" vertical="center"/>
    </xf>
    <xf borderId="0" fillId="0" fontId="2" numFmtId="0" xfId="0" applyAlignment="1" applyFont="1">
      <alignment horizontal="left" readingOrder="0" vertical="center"/>
    </xf>
    <xf borderId="2" fillId="0" fontId="5" numFmtId="0" xfId="0" applyAlignment="1" applyBorder="1" applyFont="1">
      <alignment horizontal="center" readingOrder="0" vertical="center"/>
    </xf>
    <xf borderId="2" fillId="0" fontId="1" numFmtId="0" xfId="0" applyAlignment="1" applyBorder="1" applyFont="1">
      <alignment horizontal="left" readingOrder="0" shrinkToFit="0" vertical="center" wrapText="1"/>
    </xf>
    <xf borderId="4" fillId="0" fontId="5" numFmtId="0" xfId="0" applyAlignment="1" applyBorder="1" applyFont="1">
      <alignment horizontal="center" readingOrder="0" textRotation="90" vertical="center"/>
    </xf>
    <xf borderId="0" fillId="0" fontId="1" numFmtId="0" xfId="0" applyAlignment="1" applyFont="1">
      <alignment horizontal="left" readingOrder="0" shrinkToFit="0" vertical="center" wrapText="1"/>
    </xf>
    <xf borderId="0" fillId="0" fontId="1" numFmtId="0" xfId="0" applyAlignment="1" applyFont="1">
      <alignment horizontal="left" readingOrder="0" vertical="center"/>
    </xf>
    <xf borderId="0" fillId="2" fontId="6" numFmtId="0" xfId="0" applyAlignment="1" applyFont="1">
      <alignment horizontal="right" readingOrder="0" vertical="bottom"/>
    </xf>
    <xf borderId="0" fillId="0" fontId="7" numFmtId="0" xfId="0" applyAlignment="1" applyFont="1">
      <alignment readingOrder="0"/>
    </xf>
    <xf borderId="0" fillId="0" fontId="7" numFmtId="0" xfId="0" applyAlignment="1" applyFont="1">
      <alignment readingOrder="0"/>
    </xf>
    <xf borderId="0" fillId="3" fontId="1" numFmtId="0" xfId="0" applyAlignment="1" applyFill="1" applyFont="1">
      <alignment horizontal="center" vertical="center"/>
    </xf>
    <xf borderId="0" fillId="3" fontId="8" numFmtId="0" xfId="0" applyAlignment="1" applyFont="1">
      <alignment horizontal="center" vertical="center"/>
    </xf>
    <xf borderId="5" fillId="4" fontId="9" numFmtId="0" xfId="0" applyAlignment="1" applyBorder="1" applyFill="1" applyFont="1">
      <alignment horizontal="center" readingOrder="0" textRotation="90" vertical="center"/>
    </xf>
    <xf borderId="0" fillId="0" fontId="10" numFmtId="0" xfId="0" applyAlignment="1" applyFont="1">
      <alignment horizontal="right" readingOrder="0" vertical="center"/>
    </xf>
    <xf borderId="0" fillId="0" fontId="11" numFmtId="0" xfId="0" applyAlignment="1" applyFont="1">
      <alignment horizontal="left" readingOrder="0" shrinkToFit="0" vertical="center" wrapText="0"/>
    </xf>
    <xf borderId="1" fillId="0" fontId="12" numFmtId="0" xfId="0" applyAlignment="1" applyBorder="1" applyFont="1">
      <alignment horizontal="center" readingOrder="0" vertical="center"/>
    </xf>
    <xf borderId="6" fillId="0" fontId="12" numFmtId="0" xfId="0" applyAlignment="1" applyBorder="1" applyFont="1">
      <alignment horizontal="center" readingOrder="0" vertical="center"/>
    </xf>
    <xf borderId="5" fillId="0" fontId="3" numFmtId="0" xfId="0" applyBorder="1" applyFont="1"/>
    <xf borderId="0" fillId="0" fontId="8" numFmtId="0" xfId="0" applyAlignment="1" applyFont="1">
      <alignment horizontal="center" readingOrder="0" shrinkToFit="0" vertical="center" wrapText="0"/>
    </xf>
    <xf borderId="0" fillId="0" fontId="8" numFmtId="0" xfId="0" applyAlignment="1" applyFont="1">
      <alignment horizontal="center" vertical="center"/>
    </xf>
    <xf borderId="7" fillId="0" fontId="8" numFmtId="0" xfId="0" applyAlignment="1" applyBorder="1" applyFont="1">
      <alignment horizontal="center" readingOrder="0" vertical="center"/>
    </xf>
    <xf borderId="7" fillId="0" fontId="8" numFmtId="0" xfId="0" applyAlignment="1" applyBorder="1" applyFont="1">
      <alignment horizontal="center" vertical="center"/>
    </xf>
    <xf borderId="0" fillId="0" fontId="8" numFmtId="0" xfId="0" applyAlignment="1" applyFont="1">
      <alignment horizontal="center" readingOrder="0" vertical="center"/>
    </xf>
    <xf borderId="0" fillId="2" fontId="8" numFmtId="0" xfId="0" applyAlignment="1" applyFont="1">
      <alignment horizontal="center" vertical="center"/>
    </xf>
    <xf borderId="0" fillId="2" fontId="10" numFmtId="0" xfId="0" applyAlignment="1" applyFont="1">
      <alignment horizontal="center" vertical="center"/>
    </xf>
    <xf borderId="0" fillId="2" fontId="8" numFmtId="0" xfId="0" applyAlignment="1" applyFont="1">
      <alignment horizontal="left" shrinkToFit="0" vertical="center" wrapText="0"/>
    </xf>
    <xf borderId="0" fillId="0" fontId="13" numFmtId="0" xfId="0" applyAlignment="1" applyFont="1">
      <alignment horizontal="left" readingOrder="0" shrinkToFit="0" vertical="center" wrapText="0"/>
    </xf>
    <xf borderId="0" fillId="0" fontId="8" numFmtId="0" xfId="0" applyAlignment="1" applyFont="1">
      <alignment horizontal="center" vertical="center"/>
    </xf>
    <xf borderId="7" fillId="0" fontId="8" numFmtId="0" xfId="0" applyAlignment="1" applyBorder="1" applyFont="1">
      <alignment horizontal="center" vertical="center"/>
    </xf>
    <xf borderId="0" fillId="3" fontId="8" numFmtId="0" xfId="0" applyAlignment="1" applyFont="1">
      <alignment horizontal="center" readingOrder="0" vertical="center"/>
    </xf>
    <xf borderId="8" fillId="4" fontId="9" numFmtId="0" xfId="0" applyAlignment="1" applyBorder="1" applyFont="1">
      <alignment horizontal="center" readingOrder="0" shrinkToFit="0" vertical="center" wrapText="0"/>
    </xf>
    <xf borderId="8" fillId="0" fontId="3" numFmtId="0" xfId="0" applyBorder="1" applyFont="1"/>
    <xf borderId="9" fillId="4" fontId="9" numFmtId="0" xfId="0" applyAlignment="1" applyBorder="1" applyFont="1">
      <alignment horizontal="center" readingOrder="0" shrinkToFit="0" vertical="center" wrapText="0"/>
    </xf>
    <xf borderId="0" fillId="0" fontId="12" numFmtId="0" xfId="0" applyAlignment="1" applyFont="1">
      <alignment horizontal="center" readingOrder="0" shrinkToFit="0" vertical="center" wrapText="0"/>
    </xf>
    <xf borderId="10" fillId="0" fontId="12" numFmtId="0" xfId="0" applyAlignment="1" applyBorder="1" applyFont="1">
      <alignment horizontal="center" readingOrder="0" shrinkToFit="0" vertical="center" wrapText="0"/>
    </xf>
    <xf borderId="11" fillId="0" fontId="12" numFmtId="0" xfId="0" applyAlignment="1" applyBorder="1" applyFont="1">
      <alignment horizontal="center" readingOrder="0" shrinkToFit="0" vertical="center" wrapText="0"/>
    </xf>
    <xf borderId="0" fillId="0" fontId="12" numFmtId="0" xfId="0" applyAlignment="1" applyFont="1">
      <alignment horizontal="left" readingOrder="0" shrinkToFit="0" vertical="center" wrapText="0"/>
    </xf>
    <xf borderId="0" fillId="0" fontId="14" numFmtId="0" xfId="0" applyAlignment="1" applyFont="1">
      <alignment horizontal="center" readingOrder="0" shrinkToFit="0" vertical="center" wrapText="0"/>
    </xf>
    <xf borderId="10" fillId="0" fontId="14" numFmtId="0" xfId="0" applyAlignment="1" applyBorder="1" applyFont="1">
      <alignment horizontal="center" readingOrder="0" shrinkToFit="0" vertical="center" wrapText="0"/>
    </xf>
    <xf borderId="0" fillId="0" fontId="14" numFmtId="0" xfId="0" applyAlignment="1" applyFont="1">
      <alignment horizontal="left" readingOrder="0" shrinkToFit="0" vertical="center" wrapText="0"/>
    </xf>
    <xf borderId="11" fillId="0" fontId="8" numFmtId="0" xfId="0" applyAlignment="1" applyBorder="1" applyFont="1">
      <alignment horizontal="left" shrinkToFit="0" vertical="center" wrapText="0"/>
    </xf>
    <xf borderId="0" fillId="0" fontId="10" numFmtId="0" xfId="0" applyAlignment="1" applyFont="1">
      <alignment horizontal="left" readingOrder="0" shrinkToFit="0" vertical="center" wrapText="0"/>
    </xf>
    <xf borderId="0" fillId="0" fontId="10" numFmtId="0" xfId="0" applyAlignment="1" applyFont="1">
      <alignment horizontal="left" shrinkToFit="0" vertical="center" wrapText="0"/>
    </xf>
    <xf borderId="10" fillId="0" fontId="8" numFmtId="0" xfId="0" applyAlignment="1" applyBorder="1" applyFont="1">
      <alignment horizontal="center" readingOrder="0" shrinkToFit="0" vertical="center" wrapText="0"/>
    </xf>
    <xf borderId="0" fillId="0" fontId="8" numFmtId="0" xfId="0" applyAlignment="1" applyFont="1">
      <alignment horizontal="left" readingOrder="0" shrinkToFit="0" vertical="center" wrapText="0"/>
    </xf>
    <xf borderId="10" fillId="0" fontId="1"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11" fillId="0" fontId="1" numFmtId="0" xfId="0" applyAlignment="1" applyBorder="1" applyFont="1">
      <alignment horizontal="left" shrinkToFit="0" vertical="center" wrapText="0"/>
    </xf>
    <xf borderId="0" fillId="0" fontId="15" numFmtId="0" xfId="0" applyAlignment="1" applyFont="1">
      <alignment horizontal="left" shrinkToFit="0" vertical="center" wrapText="0"/>
    </xf>
    <xf borderId="12" fillId="0" fontId="1" numFmtId="0" xfId="0" applyAlignment="1" applyBorder="1" applyFont="1">
      <alignment horizontal="center" readingOrder="0" shrinkToFit="0" vertical="center" wrapText="0"/>
    </xf>
    <xf borderId="13" fillId="0" fontId="1" numFmtId="0" xfId="0" applyAlignment="1" applyBorder="1" applyFont="1">
      <alignment horizontal="left" shrinkToFit="0" vertical="center" wrapText="0"/>
    </xf>
    <xf borderId="14" fillId="0" fontId="1" numFmtId="0" xfId="0" applyAlignment="1" applyBorder="1" applyFont="1">
      <alignment horizontal="left" readingOrder="0" shrinkToFit="0" vertical="center" wrapText="0"/>
    </xf>
    <xf borderId="0" fillId="0" fontId="1" numFmtId="0" xfId="0" applyAlignment="1" applyFont="1">
      <alignment horizontal="left" shrinkToFit="0" vertical="center" wrapText="0"/>
    </xf>
    <xf borderId="0" fillId="0" fontId="7" numFmtId="0" xfId="0" applyFont="1"/>
    <xf borderId="0" fillId="3" fontId="8" numFmtId="0" xfId="0" applyAlignment="1" applyFont="1">
      <alignment horizontal="center" shrinkToFit="0" vertical="center" wrapText="0"/>
    </xf>
    <xf borderId="0" fillId="3" fontId="16" numFmtId="0" xfId="0" applyAlignment="1" applyFont="1">
      <alignment horizontal="center" shrinkToFit="0" vertical="center" wrapText="0"/>
    </xf>
    <xf borderId="10" fillId="3" fontId="8" numFmtId="0" xfId="0" applyAlignment="1" applyBorder="1" applyFont="1">
      <alignment horizontal="center" shrinkToFit="0" vertical="center" wrapText="0"/>
    </xf>
    <xf borderId="5" fillId="3" fontId="8" numFmtId="0" xfId="0" applyAlignment="1" applyBorder="1" applyFont="1">
      <alignment horizontal="center" shrinkToFit="0" vertical="center" wrapText="0"/>
    </xf>
    <xf borderId="0" fillId="3" fontId="8" numFmtId="0" xfId="0" applyAlignment="1" applyFont="1">
      <alignment horizontal="center" readingOrder="0" shrinkToFit="0" vertical="center" wrapText="0"/>
    </xf>
    <xf borderId="0" fillId="3" fontId="16" numFmtId="0" xfId="0" applyAlignment="1" applyFont="1">
      <alignment horizontal="center" readingOrder="0" shrinkToFit="0" vertical="center" wrapText="0"/>
    </xf>
    <xf borderId="15" fillId="4" fontId="9" numFmtId="0" xfId="0" applyAlignment="1" applyBorder="1" applyFont="1">
      <alignment horizontal="center" readingOrder="0" shrinkToFit="0" vertical="center" wrapText="0"/>
    </xf>
    <xf borderId="0" fillId="4" fontId="9" numFmtId="0" xfId="0" applyAlignment="1" applyFont="1">
      <alignment horizontal="center" readingOrder="0" shrinkToFit="0" vertical="center" wrapText="0"/>
    </xf>
    <xf borderId="0" fillId="0" fontId="17" numFmtId="0" xfId="0" applyAlignment="1" applyFont="1">
      <alignment horizontal="center" readingOrder="0" shrinkToFit="0" vertical="center" wrapText="0"/>
    </xf>
    <xf borderId="10" fillId="5" fontId="12" numFmtId="0" xfId="0" applyAlignment="1" applyBorder="1" applyFill="1" applyFont="1">
      <alignment horizontal="center" readingOrder="0" shrinkToFit="0" vertical="center" wrapText="0"/>
    </xf>
    <xf borderId="0" fillId="6" fontId="12" numFmtId="0" xfId="0" applyAlignment="1" applyFill="1" applyFont="1">
      <alignment horizontal="center" readingOrder="0" shrinkToFit="0" vertical="center" wrapText="0"/>
    </xf>
    <xf borderId="10" fillId="5" fontId="18" numFmtId="0" xfId="0" applyAlignment="1" applyBorder="1" applyFont="1">
      <alignment horizontal="center" readingOrder="0" shrinkToFit="0" vertical="center" wrapText="1"/>
    </xf>
    <xf borderId="0" fillId="6" fontId="18" numFmtId="0" xfId="0" applyAlignment="1" applyFont="1">
      <alignment horizontal="center" readingOrder="0" shrinkToFit="0" vertical="center" wrapText="0"/>
    </xf>
    <xf borderId="5" fillId="6" fontId="18" numFmtId="0" xfId="0" applyAlignment="1" applyBorder="1" applyFont="1">
      <alignment horizontal="center" readingOrder="0" shrinkToFit="0" vertical="center" wrapText="0"/>
    </xf>
    <xf borderId="0" fillId="0" fontId="19" numFmtId="0" xfId="0" applyAlignment="1" applyFont="1">
      <alignment horizontal="center" readingOrder="0" shrinkToFit="0" vertical="center" wrapText="0"/>
    </xf>
    <xf borderId="0" fillId="7" fontId="20" numFmtId="0" xfId="0" applyAlignment="1" applyFill="1" applyFont="1">
      <alignment horizontal="center"/>
    </xf>
    <xf borderId="0" fillId="7" fontId="16" numFmtId="164" xfId="0" applyAlignment="1" applyFont="1" applyNumberFormat="1">
      <alignment horizontal="center" readingOrder="0" vertical="center"/>
    </xf>
    <xf borderId="5" fillId="7" fontId="16" numFmtId="165" xfId="0" applyAlignment="1" applyBorder="1" applyFont="1" applyNumberFormat="1">
      <alignment horizontal="center" readingOrder="0" shrinkToFit="0" vertical="center" wrapText="0"/>
    </xf>
    <xf borderId="16" fillId="0" fontId="8" numFmtId="0" xfId="0" applyAlignment="1" applyBorder="1" applyFont="1">
      <alignment horizontal="center" readingOrder="0" shrinkToFit="0" vertical="center" wrapText="0"/>
    </xf>
    <xf borderId="0" fillId="0" fontId="8" numFmtId="0" xfId="0" applyAlignment="1" applyFont="1">
      <alignment horizontal="center" shrinkToFit="0" vertical="center" wrapText="0"/>
    </xf>
    <xf borderId="0" fillId="0" fontId="21" numFmtId="0" xfId="0" applyAlignment="1" applyFont="1">
      <alignment horizontal="left" shrinkToFit="0" vertical="center" wrapText="0"/>
    </xf>
    <xf borderId="0" fillId="7" fontId="22" numFmtId="0" xfId="0" applyFont="1"/>
    <xf borderId="0" fillId="0" fontId="8" numFmtId="0" xfId="0" applyAlignment="1" applyFont="1">
      <alignment horizontal="left" shrinkToFit="0" vertical="center" wrapText="0"/>
    </xf>
    <xf borderId="5" fillId="0" fontId="8" numFmtId="0" xfId="0" applyAlignment="1" applyBorder="1" applyFont="1">
      <alignment horizontal="left" shrinkToFit="0" vertical="center" wrapText="0"/>
    </xf>
    <xf borderId="0" fillId="0" fontId="23" numFmtId="0" xfId="0" applyAlignment="1" applyFont="1">
      <alignment horizontal="center" shrinkToFit="0" vertical="center" wrapText="0"/>
    </xf>
    <xf borderId="16" fillId="0" fontId="8" numFmtId="0" xfId="0" applyAlignment="1" applyBorder="1" applyFont="1">
      <alignment horizontal="left" shrinkToFit="0" vertical="center" wrapText="0"/>
    </xf>
    <xf borderId="17" fillId="0" fontId="8" numFmtId="0" xfId="0" applyAlignment="1" applyBorder="1" applyFont="1">
      <alignment horizontal="left" shrinkToFit="0" vertical="center" wrapText="0"/>
    </xf>
    <xf borderId="16" fillId="0" fontId="8" numFmtId="0" xfId="0" applyAlignment="1" applyBorder="1" applyFont="1">
      <alignment horizontal="center" shrinkToFit="0" vertical="center" wrapText="0"/>
    </xf>
    <xf borderId="0" fillId="7" fontId="8" numFmtId="0" xfId="0" applyAlignment="1" applyFont="1">
      <alignment horizontal="center" readingOrder="0" shrinkToFit="0" vertical="center" wrapText="0"/>
    </xf>
    <xf borderId="16" fillId="7" fontId="8" numFmtId="0" xfId="0" applyAlignment="1" applyBorder="1" applyFont="1">
      <alignment horizontal="center" readingOrder="0" shrinkToFit="0" vertical="center" wrapText="0"/>
    </xf>
    <xf borderId="0" fillId="7" fontId="8" numFmtId="0" xfId="0" applyAlignment="1" applyFont="1">
      <alignment horizontal="center" shrinkToFit="0" vertical="center" wrapText="0"/>
    </xf>
    <xf borderId="8" fillId="7" fontId="20" numFmtId="0" xfId="0" applyAlignment="1" applyBorder="1" applyFont="1">
      <alignment horizontal="center"/>
    </xf>
    <xf borderId="8" fillId="7" fontId="16" numFmtId="164" xfId="0" applyAlignment="1" applyBorder="1" applyFont="1" applyNumberFormat="1">
      <alignment horizontal="center" readingOrder="0" vertical="center"/>
    </xf>
    <xf borderId="15" fillId="7" fontId="16" numFmtId="165" xfId="0" applyAlignment="1" applyBorder="1" applyFont="1" applyNumberFormat="1">
      <alignment horizontal="center" readingOrder="0" shrinkToFit="0" vertical="center" wrapText="0"/>
    </xf>
    <xf borderId="8" fillId="7" fontId="8" numFmtId="0" xfId="0" applyAlignment="1" applyBorder="1" applyFont="1">
      <alignment horizontal="center" readingOrder="0" shrinkToFit="0" vertical="center" wrapText="0"/>
    </xf>
    <xf borderId="18" fillId="7" fontId="8" numFmtId="0" xfId="0" applyAlignment="1" applyBorder="1" applyFont="1">
      <alignment horizontal="center" shrinkToFit="0" vertical="center" wrapText="0"/>
    </xf>
    <xf borderId="8" fillId="7" fontId="8" numFmtId="0" xfId="0" applyAlignment="1" applyBorder="1" applyFont="1">
      <alignment horizontal="center" shrinkToFit="0" vertical="center" wrapText="0"/>
    </xf>
    <xf borderId="8" fillId="0" fontId="8" numFmtId="0" xfId="0" applyAlignment="1" applyBorder="1" applyFont="1">
      <alignment horizontal="center" shrinkToFit="0" vertical="center" wrapText="0"/>
    </xf>
    <xf borderId="8" fillId="0" fontId="24" numFmtId="0" xfId="0" applyAlignment="1" applyBorder="1" applyFont="1">
      <alignment horizontal="left" shrinkToFit="0" vertical="center" wrapText="0"/>
    </xf>
    <xf borderId="18" fillId="0" fontId="8" numFmtId="0" xfId="0" applyAlignment="1" applyBorder="1" applyFont="1">
      <alignment horizontal="left" shrinkToFit="0" vertical="center" wrapText="0"/>
    </xf>
    <xf borderId="8" fillId="0" fontId="8" numFmtId="0" xfId="0" applyAlignment="1" applyBorder="1" applyFont="1">
      <alignment horizontal="left" shrinkToFit="0" vertical="center" wrapText="0"/>
    </xf>
    <xf borderId="19" fillId="0" fontId="8" numFmtId="0" xfId="0" applyAlignment="1" applyBorder="1" applyFont="1">
      <alignment horizontal="left" shrinkToFit="0" vertical="center" wrapText="0"/>
    </xf>
    <xf borderId="20" fillId="3" fontId="8" numFmtId="0" xfId="0" applyAlignment="1" applyBorder="1" applyFont="1">
      <alignment horizontal="center" readingOrder="0" shrinkToFit="0" vertical="center" wrapText="0"/>
    </xf>
    <xf borderId="20" fillId="0" fontId="25" numFmtId="0" xfId="0" applyAlignment="1" applyBorder="1" applyFont="1">
      <alignment horizontal="center" shrinkToFit="0" vertical="center" wrapText="0"/>
    </xf>
    <xf borderId="20" fillId="7" fontId="20" numFmtId="0" xfId="0" applyAlignment="1" applyBorder="1" applyFont="1">
      <alignment horizontal="center"/>
    </xf>
    <xf borderId="21" fillId="7" fontId="26" numFmtId="166" xfId="0" applyBorder="1" applyFont="1" applyNumberFormat="1"/>
    <xf borderId="20" fillId="7" fontId="8" numFmtId="0" xfId="0" applyAlignment="1" applyBorder="1" applyFont="1">
      <alignment horizontal="center" shrinkToFit="0" vertical="center" wrapText="0"/>
    </xf>
    <xf borderId="22" fillId="7" fontId="8" numFmtId="0" xfId="0" applyAlignment="1" applyBorder="1" applyFont="1">
      <alignment horizontal="center" shrinkToFit="0" vertical="center" wrapText="0"/>
    </xf>
    <xf borderId="20" fillId="0" fontId="8" numFmtId="0" xfId="0" applyAlignment="1" applyBorder="1" applyFont="1">
      <alignment horizontal="center" shrinkToFit="0" vertical="center" wrapText="0"/>
    </xf>
    <xf borderId="20" fillId="0" fontId="27" numFmtId="0" xfId="0" applyAlignment="1" applyBorder="1" applyFont="1">
      <alignment horizontal="left" shrinkToFit="0" vertical="center" wrapText="0"/>
    </xf>
    <xf borderId="22" fillId="0" fontId="8" numFmtId="0" xfId="0" applyAlignment="1" applyBorder="1" applyFont="1">
      <alignment horizontal="left" shrinkToFit="0" vertical="center" wrapText="0"/>
    </xf>
    <xf borderId="20" fillId="0" fontId="8" numFmtId="0" xfId="0" applyAlignment="1" applyBorder="1" applyFont="1">
      <alignment horizontal="left" shrinkToFit="0" vertical="center" wrapText="0"/>
    </xf>
    <xf borderId="21" fillId="0" fontId="8" numFmtId="0" xfId="0" applyAlignment="1" applyBorder="1" applyFont="1">
      <alignment horizontal="left" shrinkToFit="0" vertical="center" wrapText="0"/>
    </xf>
    <xf borderId="5" fillId="7" fontId="26" numFmtId="166" xfId="0" applyBorder="1" applyFont="1" applyNumberFormat="1"/>
    <xf borderId="16" fillId="7" fontId="8" numFmtId="0" xfId="0" applyAlignment="1" applyBorder="1" applyFont="1">
      <alignment horizontal="center" shrinkToFit="0" vertical="center" wrapText="0"/>
    </xf>
    <xf borderId="23" fillId="3" fontId="8" numFmtId="0" xfId="0" applyAlignment="1" applyBorder="1" applyFont="1">
      <alignment horizontal="center" readingOrder="0" shrinkToFit="0" vertical="center" wrapText="0"/>
    </xf>
    <xf borderId="23" fillId="0" fontId="28" numFmtId="0" xfId="0" applyAlignment="1" applyBorder="1" applyFont="1">
      <alignment horizontal="center" shrinkToFit="0" vertical="center" wrapText="0"/>
    </xf>
    <xf borderId="23" fillId="7" fontId="20" numFmtId="0" xfId="0" applyAlignment="1" applyBorder="1" applyFont="1">
      <alignment horizontal="center"/>
    </xf>
    <xf borderId="24" fillId="7" fontId="26" numFmtId="166" xfId="0" applyBorder="1" applyFont="1" applyNumberFormat="1"/>
    <xf borderId="23" fillId="7" fontId="8" numFmtId="0" xfId="0" applyAlignment="1" applyBorder="1" applyFont="1">
      <alignment horizontal="center" shrinkToFit="0" vertical="center" wrapText="0"/>
    </xf>
    <xf borderId="25" fillId="7" fontId="8" numFmtId="0" xfId="0" applyAlignment="1" applyBorder="1" applyFont="1">
      <alignment horizontal="center" shrinkToFit="0" vertical="center" wrapText="0"/>
    </xf>
    <xf borderId="23" fillId="0" fontId="8" numFmtId="0" xfId="0" applyAlignment="1" applyBorder="1" applyFont="1">
      <alignment horizontal="center" shrinkToFit="0" vertical="center" wrapText="0"/>
    </xf>
    <xf borderId="23" fillId="0" fontId="29" numFmtId="0" xfId="0" applyAlignment="1" applyBorder="1" applyFont="1">
      <alignment horizontal="left" shrinkToFit="0" vertical="center" wrapText="0"/>
    </xf>
    <xf borderId="25" fillId="0" fontId="8" numFmtId="0" xfId="0" applyAlignment="1" applyBorder="1" applyFont="1">
      <alignment horizontal="left" shrinkToFit="0" vertical="center" wrapText="0"/>
    </xf>
    <xf borderId="23" fillId="0" fontId="8" numFmtId="0" xfId="0" applyAlignment="1" applyBorder="1" applyFont="1">
      <alignment horizontal="left" shrinkToFit="0" vertical="center" wrapText="0"/>
    </xf>
    <xf borderId="26" fillId="0" fontId="8" numFmtId="0" xfId="0" applyAlignment="1" applyBorder="1" applyFont="1">
      <alignment horizontal="left" shrinkToFit="0" vertical="center" wrapText="0"/>
    </xf>
    <xf borderId="24" fillId="0" fontId="8" numFmtId="0" xfId="0" applyAlignment="1" applyBorder="1" applyFont="1">
      <alignment horizontal="left" shrinkToFit="0" vertical="center" wrapText="0"/>
    </xf>
    <xf borderId="8" fillId="3" fontId="8" numFmtId="0" xfId="0" applyAlignment="1" applyBorder="1" applyFont="1">
      <alignment horizontal="center" readingOrder="0" shrinkToFit="0" vertical="center" wrapText="0"/>
    </xf>
    <xf borderId="8" fillId="0" fontId="30" numFmtId="0" xfId="0" applyAlignment="1" applyBorder="1" applyFont="1">
      <alignment horizontal="center" shrinkToFit="0" vertical="center" wrapText="0"/>
    </xf>
    <xf borderId="15" fillId="7" fontId="26" numFmtId="166" xfId="0" applyBorder="1" applyFont="1" applyNumberFormat="1"/>
    <xf borderId="15" fillId="0" fontId="8" numFmtId="0" xfId="0" applyAlignment="1" applyBorder="1" applyFont="1">
      <alignment horizontal="left" shrinkToFit="0" vertical="center" wrapText="0"/>
    </xf>
    <xf borderId="27" fillId="0" fontId="8" numFmtId="0" xfId="0" applyAlignment="1" applyBorder="1" applyFont="1">
      <alignment horizontal="left" shrinkToFit="0" vertical="center" wrapText="0"/>
    </xf>
    <xf borderId="0" fillId="7" fontId="26" numFmtId="167" xfId="0" applyFont="1" applyNumberFormat="1"/>
    <xf borderId="0" fillId="0" fontId="16" numFmtId="0" xfId="0" applyAlignment="1" applyFont="1">
      <alignment horizontal="center" shrinkToFit="0" vertical="center" wrapText="0"/>
    </xf>
    <xf borderId="28" fillId="3" fontId="8" numFmtId="0" xfId="0" applyAlignment="1" applyBorder="1" applyFont="1">
      <alignment horizontal="center" readingOrder="0" shrinkToFit="0" vertical="center" wrapText="0"/>
    </xf>
    <xf borderId="28" fillId="0" fontId="16" numFmtId="0" xfId="0" applyAlignment="1" applyBorder="1" applyFont="1">
      <alignment horizontal="center" shrinkToFit="0" vertical="center" wrapText="0"/>
    </xf>
    <xf borderId="28" fillId="7" fontId="20" numFmtId="0" xfId="0" applyAlignment="1" applyBorder="1" applyFont="1">
      <alignment horizontal="center"/>
    </xf>
    <xf borderId="28" fillId="7" fontId="26" numFmtId="167" xfId="0" applyBorder="1" applyFont="1" applyNumberFormat="1"/>
    <xf borderId="29" fillId="7" fontId="26" numFmtId="166" xfId="0" applyBorder="1" applyFont="1" applyNumberFormat="1"/>
    <xf borderId="28" fillId="7" fontId="8" numFmtId="0" xfId="0" applyAlignment="1" applyBorder="1" applyFont="1">
      <alignment horizontal="center" shrinkToFit="0" vertical="center" wrapText="0"/>
    </xf>
    <xf borderId="30" fillId="7" fontId="8" numFmtId="0" xfId="0" applyAlignment="1" applyBorder="1" applyFont="1">
      <alignment horizontal="center" shrinkToFit="0" vertical="center" wrapText="0"/>
    </xf>
    <xf borderId="28" fillId="0" fontId="8" numFmtId="0" xfId="0" applyAlignment="1" applyBorder="1" applyFont="1">
      <alignment horizontal="center" shrinkToFit="0" vertical="center" wrapText="0"/>
    </xf>
    <xf borderId="28" fillId="0" fontId="8" numFmtId="0" xfId="0" applyAlignment="1" applyBorder="1" applyFont="1">
      <alignment horizontal="left" shrinkToFit="0" vertical="center" wrapText="0"/>
    </xf>
    <xf borderId="30" fillId="0" fontId="8" numFmtId="0" xfId="0" applyAlignment="1" applyBorder="1" applyFont="1">
      <alignment horizontal="left" shrinkToFit="0" vertical="center" wrapText="0"/>
    </xf>
    <xf borderId="29" fillId="0" fontId="8" numFmtId="0" xfId="0" applyAlignment="1" applyBorder="1" applyFont="1">
      <alignment horizontal="left" shrinkToFit="0" vertical="center" wrapText="0"/>
    </xf>
    <xf borderId="0" fillId="7" fontId="31" numFmtId="0" xfId="0" applyAlignment="1" applyFont="1">
      <alignment horizontal="center"/>
    </xf>
    <xf borderId="28" fillId="0" fontId="32" numFmtId="0" xfId="0" applyAlignment="1" applyBorder="1" applyFont="1">
      <alignment horizontal="center" shrinkToFit="0" vertical="center" wrapText="0"/>
    </xf>
    <xf borderId="28" fillId="7" fontId="8" numFmtId="0" xfId="0" applyAlignment="1" applyBorder="1" applyFont="1">
      <alignment horizontal="center" readingOrder="0" shrinkToFit="0" vertical="center" wrapText="0"/>
    </xf>
    <xf borderId="30" fillId="7" fontId="8" numFmtId="0" xfId="0" applyAlignment="1" applyBorder="1" applyFont="1">
      <alignment horizontal="center" readingOrder="0" shrinkToFit="0" vertical="center" wrapText="0"/>
    </xf>
    <xf borderId="28" fillId="0" fontId="8" numFmtId="0" xfId="0" applyAlignment="1" applyBorder="1" applyFont="1">
      <alignment horizontal="center" readingOrder="0" shrinkToFit="0" vertical="center" wrapText="0"/>
    </xf>
    <xf borderId="28" fillId="0" fontId="33" numFmtId="0" xfId="0" applyAlignment="1" applyBorder="1" applyFont="1">
      <alignment horizontal="left" shrinkToFit="0" vertical="center" wrapText="0"/>
    </xf>
    <xf borderId="8" fillId="0" fontId="16" numFmtId="0" xfId="0" applyAlignment="1" applyBorder="1" applyFont="1">
      <alignment horizontal="center" shrinkToFit="0" vertical="center" wrapText="0"/>
    </xf>
    <xf borderId="8" fillId="7" fontId="26" numFmtId="167" xfId="0" applyBorder="1" applyFont="1" applyNumberFormat="1"/>
    <xf borderId="18" fillId="7" fontId="8" numFmtId="0" xfId="0" applyAlignment="1" applyBorder="1" applyFont="1">
      <alignment horizontal="center" readingOrder="0" shrinkToFit="0" vertical="center" wrapText="0"/>
    </xf>
    <xf borderId="8" fillId="0" fontId="8" numFmtId="0" xfId="0" applyAlignment="1" applyBorder="1" applyFont="1">
      <alignment horizontal="center" readingOrder="0" shrinkToFit="0" vertical="center" wrapText="0"/>
    </xf>
    <xf borderId="8" fillId="0" fontId="16" numFmtId="0" xfId="0" applyAlignment="1" applyBorder="1" applyFont="1">
      <alignment horizontal="left" readingOrder="0" shrinkToFit="0" vertical="center" wrapText="0"/>
    </xf>
    <xf borderId="18" fillId="0" fontId="16" numFmtId="0" xfId="0" applyAlignment="1" applyBorder="1" applyFont="1">
      <alignment horizontal="left" readingOrder="0" shrinkToFit="0" vertical="center" wrapText="0"/>
    </xf>
    <xf borderId="17" fillId="0" fontId="16" numFmtId="0" xfId="0" applyAlignment="1" applyBorder="1" applyFont="1">
      <alignment horizontal="left" readingOrder="0" shrinkToFit="0" vertical="center" wrapText="0"/>
    </xf>
    <xf borderId="15" fillId="0" fontId="16" numFmtId="0" xfId="0" applyAlignment="1" applyBorder="1" applyFont="1">
      <alignment horizontal="left" readingOrder="0" shrinkToFit="0" vertical="center" wrapText="0"/>
    </xf>
    <xf borderId="0" fillId="7" fontId="34" numFmtId="0" xfId="0" applyAlignment="1" applyFont="1">
      <alignment horizontal="center" readingOrder="0" shrinkToFit="0" vertical="center" wrapText="0"/>
    </xf>
    <xf borderId="0" fillId="7" fontId="16" numFmtId="0" xfId="0" applyAlignment="1" applyFont="1">
      <alignment horizontal="center" readingOrder="0" shrinkToFit="0" vertical="center" wrapText="0"/>
    </xf>
    <xf borderId="16" fillId="7" fontId="16" numFmtId="0" xfId="0" applyAlignment="1" applyBorder="1" applyFont="1">
      <alignment horizontal="center" readingOrder="0" shrinkToFit="0" vertical="center" wrapText="0"/>
    </xf>
    <xf borderId="27" fillId="7" fontId="16" numFmtId="0" xfId="0" applyAlignment="1" applyBorder="1" applyFont="1">
      <alignment horizontal="center" readingOrder="0" shrinkToFit="0" vertical="center" wrapText="0"/>
    </xf>
    <xf borderId="5" fillId="7" fontId="16" numFmtId="0" xfId="0" applyAlignment="1" applyBorder="1" applyFont="1">
      <alignment horizontal="center" readingOrder="0" shrinkToFit="0" vertical="center" wrapText="0"/>
    </xf>
    <xf borderId="17" fillId="7" fontId="16" numFmtId="0" xfId="0" applyAlignment="1" applyBorder="1" applyFont="1">
      <alignment horizontal="center" readingOrder="0" shrinkToFit="0" vertical="center" wrapText="0"/>
    </xf>
    <xf borderId="26" fillId="7" fontId="16" numFmtId="0" xfId="0" applyAlignment="1" applyBorder="1" applyFont="1">
      <alignment horizontal="center" readingOrder="0" shrinkToFit="0" vertical="center" wrapText="0"/>
    </xf>
    <xf borderId="28" fillId="7" fontId="35" numFmtId="0" xfId="0" applyAlignment="1" applyBorder="1" applyFont="1">
      <alignment horizontal="center" readingOrder="0" shrinkToFit="0" vertical="center" wrapText="0"/>
    </xf>
    <xf borderId="28" fillId="7" fontId="16" numFmtId="0" xfId="0" applyAlignment="1" applyBorder="1" applyFont="1">
      <alignment horizontal="center" readingOrder="0" shrinkToFit="0" vertical="center" wrapText="0"/>
    </xf>
    <xf borderId="30" fillId="7" fontId="16" numFmtId="0" xfId="0" applyAlignment="1" applyBorder="1" applyFont="1">
      <alignment horizontal="center" readingOrder="0" shrinkToFit="0" vertical="center" wrapText="0"/>
    </xf>
    <xf borderId="29" fillId="7" fontId="16" numFmtId="0" xfId="0" applyAlignment="1" applyBorder="1" applyFont="1">
      <alignment horizontal="center" readingOrder="0" shrinkToFit="0" vertical="center" wrapText="0"/>
    </xf>
    <xf borderId="8" fillId="7" fontId="16" numFmtId="0" xfId="0" applyAlignment="1" applyBorder="1" applyFont="1">
      <alignment horizontal="center" readingOrder="0" shrinkToFit="0" vertical="center" wrapText="0"/>
    </xf>
    <xf borderId="18" fillId="7" fontId="16" numFmtId="0" xfId="0" applyAlignment="1" applyBorder="1" applyFont="1">
      <alignment horizontal="center" readingOrder="0" shrinkToFit="0" vertical="center" wrapText="0"/>
    </xf>
    <xf borderId="15" fillId="7" fontId="16" numFmtId="0" xfId="0" applyAlignment="1" applyBorder="1" applyFont="1">
      <alignment horizontal="center" readingOrder="0" shrinkToFit="0" vertical="center" wrapText="0"/>
    </xf>
    <xf borderId="23" fillId="7" fontId="36" numFmtId="0" xfId="0" applyAlignment="1" applyBorder="1" applyFont="1">
      <alignment horizontal="center" readingOrder="0" shrinkToFit="0" vertical="center" wrapText="0"/>
    </xf>
    <xf borderId="23" fillId="7" fontId="26" numFmtId="167" xfId="0" applyBorder="1" applyFont="1" applyNumberFormat="1"/>
    <xf borderId="23" fillId="7" fontId="8" numFmtId="0" xfId="0" applyAlignment="1" applyBorder="1" applyFont="1">
      <alignment horizontal="center" readingOrder="0" shrinkToFit="0" vertical="center" wrapText="0"/>
    </xf>
    <xf borderId="25" fillId="7" fontId="8" numFmtId="0" xfId="0" applyAlignment="1" applyBorder="1" applyFont="1">
      <alignment horizontal="center" readingOrder="0" shrinkToFit="0" vertical="center" wrapText="0"/>
    </xf>
    <xf borderId="23" fillId="7" fontId="16" numFmtId="0" xfId="0" applyAlignment="1" applyBorder="1" applyFont="1">
      <alignment horizontal="center" readingOrder="0" shrinkToFit="0" vertical="center" wrapText="0"/>
    </xf>
    <xf borderId="25" fillId="7" fontId="16" numFmtId="0" xfId="0" applyAlignment="1" applyBorder="1" applyFont="1">
      <alignment horizontal="center" readingOrder="0" shrinkToFit="0" vertical="center" wrapText="0"/>
    </xf>
    <xf borderId="24" fillId="7" fontId="16" numFmtId="0" xfId="0" applyAlignment="1" applyBorder="1" applyFont="1">
      <alignment horizontal="center" readingOrder="0" shrinkToFit="0" vertical="center" wrapText="0"/>
    </xf>
    <xf borderId="31" fillId="3" fontId="8" numFmtId="0" xfId="0" applyAlignment="1" applyBorder="1" applyFont="1">
      <alignment horizontal="center" readingOrder="0" shrinkToFit="0" vertical="center" wrapText="0"/>
    </xf>
    <xf borderId="31" fillId="7" fontId="16" numFmtId="0" xfId="0" applyAlignment="1" applyBorder="1" applyFont="1">
      <alignment horizontal="center" readingOrder="0" shrinkToFit="0" vertical="center" wrapText="0"/>
    </xf>
    <xf borderId="31" fillId="7" fontId="20" numFmtId="0" xfId="0" applyAlignment="1" applyBorder="1" applyFont="1">
      <alignment horizontal="center"/>
    </xf>
    <xf borderId="31" fillId="7" fontId="26" numFmtId="167" xfId="0" applyBorder="1" applyFont="1" applyNumberFormat="1"/>
    <xf borderId="32" fillId="7" fontId="26" numFmtId="166" xfId="0" applyBorder="1" applyFont="1" applyNumberFormat="1"/>
    <xf borderId="31" fillId="7" fontId="8" numFmtId="0" xfId="0" applyAlignment="1" applyBorder="1" applyFont="1">
      <alignment horizontal="center" readingOrder="0" shrinkToFit="0" vertical="center" wrapText="0"/>
    </xf>
    <xf borderId="33" fillId="7" fontId="8" numFmtId="0" xfId="0" applyAlignment="1" applyBorder="1" applyFont="1">
      <alignment horizontal="center" readingOrder="0" shrinkToFit="0" vertical="center" wrapText="0"/>
    </xf>
    <xf borderId="33" fillId="7" fontId="16" numFmtId="0" xfId="0" applyAlignment="1" applyBorder="1" applyFont="1">
      <alignment horizontal="center" readingOrder="0" shrinkToFit="0" vertical="center" wrapText="0"/>
    </xf>
    <xf borderId="32" fillId="7" fontId="16" numFmtId="0" xfId="0" applyAlignment="1" applyBorder="1" applyFont="1">
      <alignment horizontal="center" readingOrder="0" shrinkToFit="0" vertical="center" wrapText="0"/>
    </xf>
    <xf borderId="34" fillId="7" fontId="16" numFmtId="0" xfId="0" applyAlignment="1" applyBorder="1" applyFont="1">
      <alignment horizontal="center" readingOrder="0" shrinkToFit="0" vertical="center" wrapText="0"/>
    </xf>
    <xf borderId="0" fillId="0" fontId="14" numFmtId="0" xfId="0" applyAlignment="1" applyFont="1">
      <alignment horizontal="center" shrinkToFit="0" vertical="center" wrapText="0"/>
    </xf>
    <xf borderId="8" fillId="0" fontId="14" numFmtId="0" xfId="0" applyAlignment="1" applyBorder="1" applyFont="1">
      <alignment horizontal="center" shrinkToFit="0" vertical="center" wrapText="0"/>
    </xf>
    <xf borderId="22" fillId="7" fontId="8" numFmtId="0" xfId="0" applyAlignment="1" applyBorder="1" applyFont="1">
      <alignment horizontal="center" readingOrder="0" shrinkToFit="0" vertical="center" wrapText="0"/>
    </xf>
    <xf borderId="20" fillId="0" fontId="14" numFmtId="0" xfId="0" applyAlignment="1" applyBorder="1" applyFont="1">
      <alignment horizontal="center" shrinkToFit="0" vertical="center" wrapText="0"/>
    </xf>
    <xf borderId="23" fillId="7" fontId="16" numFmtId="164" xfId="0" applyAlignment="1" applyBorder="1" applyFont="1" applyNumberFormat="1">
      <alignment horizontal="center" readingOrder="0" vertical="center"/>
    </xf>
    <xf borderId="23" fillId="0" fontId="14" numFmtId="0" xfId="0" applyAlignment="1" applyBorder="1" applyFont="1">
      <alignment horizontal="center" shrinkToFit="0" vertical="center" wrapText="0"/>
    </xf>
    <xf borderId="29" fillId="7" fontId="16" numFmtId="165" xfId="0" applyAlignment="1" applyBorder="1" applyFont="1" applyNumberFormat="1">
      <alignment horizontal="center" readingOrder="0" shrinkToFit="0" vertical="center" wrapText="0"/>
    </xf>
    <xf borderId="5" fillId="7" fontId="26" numFmtId="166" xfId="0" applyAlignment="1" applyBorder="1" applyFont="1" applyNumberFormat="1">
      <alignment horizontal="center" readingOrder="0"/>
    </xf>
    <xf borderId="5" fillId="7" fontId="16" numFmtId="166" xfId="0" applyAlignment="1" applyBorder="1" applyFont="1" applyNumberFormat="1">
      <alignment horizontal="center" readingOrder="0"/>
    </xf>
    <xf borderId="28" fillId="7" fontId="16" numFmtId="164" xfId="0" applyAlignment="1" applyBorder="1" applyFont="1" applyNumberFormat="1">
      <alignment horizontal="center" readingOrder="0"/>
    </xf>
    <xf borderId="29" fillId="7" fontId="16" numFmtId="166" xfId="0" applyAlignment="1" applyBorder="1" applyFont="1" applyNumberFormat="1">
      <alignment horizontal="center" readingOrder="0"/>
    </xf>
    <xf borderId="28" fillId="0" fontId="14" numFmtId="0" xfId="0" applyAlignment="1" applyBorder="1" applyFont="1">
      <alignment horizontal="center" shrinkToFit="0" vertical="center" wrapText="0"/>
    </xf>
    <xf borderId="0" fillId="7" fontId="16" numFmtId="164" xfId="0" applyAlignment="1" applyFont="1" applyNumberFormat="1">
      <alignment horizontal="center" readingOrder="0"/>
    </xf>
    <xf borderId="29" fillId="7" fontId="16" numFmtId="165" xfId="0" applyAlignment="1" applyBorder="1" applyFont="1" applyNumberFormat="1">
      <alignment horizontal="center" readingOrder="0"/>
    </xf>
    <xf borderId="15" fillId="7" fontId="16" numFmtId="166" xfId="0" applyAlignment="1" applyBorder="1" applyFont="1" applyNumberFormat="1">
      <alignment horizontal="center" readingOrder="0"/>
    </xf>
    <xf borderId="20" fillId="7" fontId="37" numFmtId="0" xfId="0" applyAlignment="1" applyBorder="1" applyFont="1">
      <alignment horizontal="center"/>
    </xf>
    <xf borderId="0" fillId="7" fontId="37" numFmtId="0" xfId="0" applyAlignment="1" applyFont="1">
      <alignment horizontal="center"/>
    </xf>
    <xf borderId="23" fillId="7" fontId="37" numFmtId="0" xfId="0" applyAlignment="1" applyBorder="1" applyFont="1">
      <alignment horizontal="center"/>
    </xf>
    <xf borderId="29" fillId="7" fontId="26" numFmtId="166" xfId="0" applyAlignment="1" applyBorder="1" applyFont="1" applyNumberFormat="1">
      <alignment horizontal="center" readingOrder="0"/>
    </xf>
    <xf borderId="8" fillId="7" fontId="38" numFmtId="0" xfId="0" applyAlignment="1" applyBorder="1" applyFont="1">
      <alignment horizontal="center" readingOrder="0" shrinkToFit="0" vertical="center" wrapText="0"/>
    </xf>
    <xf borderId="15" fillId="7" fontId="26" numFmtId="166" xfId="0" applyAlignment="1" applyBorder="1" applyFont="1" applyNumberFormat="1">
      <alignment horizontal="center" readingOrder="0"/>
    </xf>
    <xf borderId="8" fillId="7" fontId="37" numFmtId="0" xfId="0" applyAlignment="1" applyBorder="1" applyFont="1">
      <alignment horizontal="center"/>
    </xf>
    <xf borderId="24" fillId="7" fontId="26" numFmtId="166" xfId="0" applyAlignment="1" applyBorder="1" applyFont="1" applyNumberFormat="1">
      <alignment horizontal="center" readingOrder="0"/>
    </xf>
    <xf borderId="31" fillId="7" fontId="39" numFmtId="0" xfId="0" applyAlignment="1" applyBorder="1" applyFont="1">
      <alignment horizontal="center" readingOrder="0" shrinkToFit="0" vertical="center" wrapText="0"/>
    </xf>
    <xf borderId="32" fillId="7" fontId="26" numFmtId="166" xfId="0" applyAlignment="1" applyBorder="1" applyFont="1" applyNumberFormat="1">
      <alignment horizontal="center" readingOrder="0"/>
    </xf>
    <xf borderId="5" fillId="7" fontId="26" numFmtId="165" xfId="0" applyAlignment="1" applyBorder="1" applyFont="1" applyNumberFormat="1">
      <alignment horizontal="center" readingOrder="0"/>
    </xf>
    <xf borderId="5" fillId="7" fontId="26" numFmtId="0" xfId="0" applyAlignment="1" applyBorder="1" applyFont="1">
      <alignment horizontal="center" readingOrder="0"/>
    </xf>
    <xf borderId="0" fillId="3" fontId="40" numFmtId="0" xfId="0" applyAlignment="1" applyFont="1">
      <alignment horizontal="center" readingOrder="0" vertical="center"/>
    </xf>
    <xf borderId="0" fillId="4" fontId="40" numFmtId="0" xfId="0" applyAlignment="1" applyFont="1">
      <alignment horizontal="center" readingOrder="0" vertical="center"/>
    </xf>
    <xf borderId="0" fillId="4" fontId="41" numFmtId="0" xfId="0" applyAlignment="1" applyFont="1">
      <alignment horizontal="center" readingOrder="0" vertical="center"/>
    </xf>
    <xf borderId="0" fillId="0" fontId="12" numFmtId="0" xfId="0" applyAlignment="1" applyFont="1">
      <alignment horizontal="center" vertical="center"/>
    </xf>
    <xf borderId="0" fillId="0" fontId="12" numFmtId="0" xfId="0" applyAlignment="1" applyFont="1">
      <alignment horizontal="center" readingOrder="0" vertical="center"/>
    </xf>
    <xf borderId="10" fillId="0" fontId="8" numFmtId="0" xfId="0" applyAlignment="1" applyBorder="1" applyFont="1">
      <alignment horizontal="center" readingOrder="0" vertical="center"/>
    </xf>
    <xf borderId="10" fillId="0" fontId="8" numFmtId="0" xfId="0" applyAlignment="1" applyBorder="1" applyFont="1">
      <alignment horizontal="center" vertical="center"/>
    </xf>
    <xf borderId="35" fillId="3" fontId="40" numFmtId="0" xfId="0" applyAlignment="1" applyBorder="1" applyFont="1">
      <alignment horizontal="center" readingOrder="0" vertical="center"/>
    </xf>
    <xf borderId="35" fillId="4" fontId="41" numFmtId="0" xfId="0" applyAlignment="1" applyBorder="1" applyFont="1">
      <alignment horizontal="center" readingOrder="0" vertical="center"/>
    </xf>
    <xf borderId="35" fillId="0" fontId="42" numFmtId="0" xfId="0" applyAlignment="1" applyBorder="1" applyFont="1">
      <alignment horizontal="center" vertical="bottom"/>
    </xf>
    <xf borderId="0" fillId="0" fontId="42" numFmtId="0" xfId="0" applyAlignment="1" applyFont="1">
      <alignment horizontal="center" vertical="bottom"/>
    </xf>
    <xf borderId="35" fillId="0" fontId="8" numFmtId="0" xfId="0" applyAlignment="1" applyBorder="1" applyFont="1">
      <alignment horizontal="center" vertical="center"/>
    </xf>
    <xf borderId="5" fillId="4" fontId="43" numFmtId="0" xfId="0" applyAlignment="1" applyBorder="1" applyFont="1">
      <alignment horizontal="center" readingOrder="0" textRotation="90" vertical="center"/>
    </xf>
    <xf borderId="36" fillId="5" fontId="44" numFmtId="0" xfId="0" applyAlignment="1" applyBorder="1" applyFont="1">
      <alignment horizontal="center" readingOrder="0" vertical="center"/>
    </xf>
    <xf borderId="36" fillId="7" fontId="45" numFmtId="0" xfId="0" applyAlignment="1" applyBorder="1" applyFont="1">
      <alignment horizontal="center" readingOrder="0" vertical="center"/>
    </xf>
    <xf borderId="37" fillId="6" fontId="44" numFmtId="0" xfId="0" applyAlignment="1" applyBorder="1" applyFont="1">
      <alignment horizontal="center" vertical="center"/>
    </xf>
    <xf borderId="38" fillId="0" fontId="46" numFmtId="0" xfId="0" applyAlignment="1" applyBorder="1" applyFont="1">
      <alignment horizontal="right" readingOrder="0" vertical="center"/>
    </xf>
    <xf borderId="0" fillId="0" fontId="8" numFmtId="0" xfId="0" applyAlignment="1" applyFont="1">
      <alignment horizontal="left" readingOrder="0" vertical="center"/>
    </xf>
    <xf borderId="1" fillId="0" fontId="47" numFmtId="0" xfId="0" applyAlignment="1" applyBorder="1" applyFont="1">
      <alignment horizontal="right" readingOrder="0" vertical="center"/>
    </xf>
    <xf borderId="1" fillId="0" fontId="10" numFmtId="0" xfId="0" applyAlignment="1" applyBorder="1" applyFont="1">
      <alignment horizontal="center" readingOrder="0" vertical="center"/>
    </xf>
    <xf borderId="1" fillId="5" fontId="45" numFmtId="0" xfId="0" applyAlignment="1" applyBorder="1" applyFont="1">
      <alignment horizontal="center" vertical="center"/>
    </xf>
    <xf borderId="1" fillId="7" fontId="45" numFmtId="168" xfId="0" applyAlignment="1" applyBorder="1" applyFont="1" applyNumberFormat="1">
      <alignment horizontal="center" vertical="center"/>
    </xf>
    <xf borderId="39" fillId="6" fontId="45" numFmtId="0" xfId="0" applyAlignment="1" applyBorder="1" applyFont="1">
      <alignment horizontal="center" vertical="center"/>
    </xf>
    <xf borderId="38" fillId="0" fontId="48" numFmtId="0" xfId="0" applyAlignment="1" applyBorder="1" applyFont="1">
      <alignment horizontal="right" readingOrder="0" vertical="center"/>
    </xf>
    <xf borderId="1" fillId="0" fontId="18" numFmtId="0" xfId="0" applyAlignment="1" applyBorder="1" applyFont="1">
      <alignment horizontal="center" readingOrder="0" vertical="center"/>
    </xf>
    <xf borderId="0" fillId="7" fontId="49" numFmtId="0" xfId="0" applyAlignment="1" applyFont="1">
      <alignment horizontal="right" readingOrder="0" vertical="center"/>
    </xf>
    <xf borderId="0" fillId="7" fontId="49" numFmtId="0" xfId="0" applyAlignment="1" applyFont="1">
      <alignment horizontal="left" shrinkToFit="0" vertical="center" wrapText="0"/>
    </xf>
    <xf borderId="40" fillId="0" fontId="3" numFmtId="0" xfId="0" applyBorder="1" applyFont="1"/>
    <xf borderId="0" fillId="0" fontId="8" numFmtId="0" xfId="0" applyAlignment="1" applyFont="1">
      <alignment horizontal="left" vertical="center"/>
    </xf>
    <xf borderId="11" fillId="0" fontId="10" numFmtId="0" xfId="0" applyAlignment="1" applyBorder="1" applyFont="1">
      <alignment horizontal="left" shrinkToFit="0" vertical="center" wrapText="0"/>
    </xf>
    <xf borderId="0" fillId="0" fontId="10" numFmtId="0" xfId="0" applyAlignment="1" applyFont="1">
      <alignment horizontal="center" vertical="center"/>
    </xf>
    <xf borderId="0" fillId="7" fontId="49" numFmtId="0" xfId="0" applyAlignment="1" applyFont="1">
      <alignment horizontal="left" readingOrder="0" vertical="center"/>
    </xf>
    <xf borderId="40" fillId="7" fontId="49" numFmtId="0" xfId="0" applyAlignment="1" applyBorder="1" applyFont="1">
      <alignment horizontal="left" readingOrder="0" vertical="center"/>
    </xf>
    <xf borderId="0" fillId="0" fontId="8" numFmtId="169" xfId="0" applyAlignment="1" applyFont="1" applyNumberFormat="1">
      <alignment horizontal="left" vertical="center"/>
    </xf>
    <xf borderId="0" fillId="7" fontId="45" numFmtId="0" xfId="0" applyAlignment="1" applyFont="1">
      <alignment horizontal="center" readingOrder="0" vertical="center"/>
    </xf>
    <xf borderId="0" fillId="0" fontId="14" numFmtId="0" xfId="0" applyAlignment="1" applyFont="1">
      <alignment horizontal="left" shrinkToFit="0" vertical="center" wrapText="0"/>
    </xf>
    <xf borderId="41" fillId="0" fontId="12" numFmtId="0" xfId="0" applyAlignment="1" applyBorder="1" applyFont="1">
      <alignment horizontal="center" vertical="center"/>
    </xf>
    <xf borderId="42" fillId="0" fontId="12" numFmtId="0" xfId="0" applyAlignment="1" applyBorder="1" applyFont="1">
      <alignment horizontal="center" readingOrder="0" vertical="center"/>
    </xf>
    <xf borderId="2" fillId="0" fontId="12" numFmtId="0" xfId="0" applyAlignment="1" applyBorder="1" applyFont="1">
      <alignment horizontal="center" readingOrder="0" vertical="center"/>
    </xf>
    <xf borderId="0" fillId="0" fontId="14" numFmtId="0" xfId="0" applyAlignment="1" applyFont="1">
      <alignment horizontal="left" readingOrder="0" vertical="center"/>
    </xf>
    <xf borderId="0" fillId="0" fontId="11" numFmtId="0" xfId="0" applyAlignment="1" applyFont="1">
      <alignment horizontal="left" readingOrder="0" vertical="center"/>
    </xf>
    <xf borderId="11" fillId="5" fontId="14" numFmtId="0" xfId="0" applyAlignment="1" applyBorder="1" applyFont="1">
      <alignment horizontal="center" readingOrder="0" vertical="center"/>
    </xf>
    <xf borderId="10" fillId="0" fontId="8" numFmtId="0" xfId="0" applyAlignment="1" applyBorder="1" applyFont="1">
      <alignment horizontal="left" readingOrder="0" vertical="center"/>
    </xf>
    <xf borderId="0" fillId="0" fontId="14" numFmtId="0" xfId="0" applyAlignment="1" applyFont="1">
      <alignment horizontal="left" readingOrder="0" vertical="center"/>
    </xf>
    <xf borderId="0" fillId="0" fontId="11" numFmtId="0" xfId="0" applyAlignment="1" applyFont="1">
      <alignment horizontal="left" readingOrder="0" vertical="center"/>
    </xf>
    <xf borderId="43" fillId="6" fontId="14" numFmtId="0" xfId="0" applyAlignment="1" applyBorder="1" applyFont="1">
      <alignment horizontal="center" vertical="center"/>
    </xf>
    <xf borderId="44" fillId="0" fontId="8" numFmtId="0" xfId="0" applyAlignment="1" applyBorder="1" applyFont="1">
      <alignment horizontal="left" readingOrder="0" vertical="center"/>
    </xf>
    <xf borderId="1" fillId="0" fontId="8" numFmtId="0" xfId="0" applyAlignment="1" applyBorder="1" applyFont="1">
      <alignment horizontal="left" readingOrder="0" vertical="center"/>
    </xf>
    <xf borderId="0" fillId="0" fontId="50" numFmtId="0" xfId="0" applyAlignment="1" applyFont="1">
      <alignment horizontal="left" shrinkToFit="0" vertical="center" wrapText="0"/>
    </xf>
    <xf borderId="0" fillId="0" fontId="10" numFmtId="0" xfId="0" applyAlignment="1" applyFont="1">
      <alignment horizontal="left" shrinkToFit="0" vertical="center" wrapText="0"/>
    </xf>
    <xf borderId="11" fillId="0" fontId="46" numFmtId="0" xfId="0" applyAlignment="1" applyBorder="1" applyFont="1">
      <alignment horizontal="right" readingOrder="0" vertical="center"/>
    </xf>
    <xf borderId="0" fillId="0" fontId="50" numFmtId="0" xfId="0" applyAlignment="1" applyFont="1">
      <alignment horizontal="left" vertical="center"/>
    </xf>
    <xf borderId="0" fillId="0" fontId="11" numFmtId="0" xfId="0" applyAlignment="1" applyFont="1">
      <alignment horizontal="left" vertical="center"/>
    </xf>
    <xf borderId="0" fillId="0" fontId="14" numFmtId="170" xfId="0" applyAlignment="1" applyFont="1" applyNumberFormat="1">
      <alignment horizontal="left" vertical="center"/>
    </xf>
    <xf borderId="0" fillId="0" fontId="14" numFmtId="170" xfId="0" applyAlignment="1" applyFont="1" applyNumberFormat="1">
      <alignment horizontal="left" vertical="center"/>
    </xf>
    <xf borderId="0" fillId="0" fontId="11" numFmtId="170" xfId="0" applyAlignment="1" applyFont="1" applyNumberFormat="1">
      <alignment horizontal="left" vertical="center"/>
    </xf>
    <xf borderId="44" fillId="0" fontId="12" numFmtId="0" xfId="0" applyAlignment="1" applyBorder="1" applyFont="1">
      <alignment horizontal="center" readingOrder="0" vertical="center"/>
    </xf>
    <xf borderId="38" fillId="0" fontId="46" numFmtId="0" xfId="0" applyAlignment="1" applyBorder="1" applyFont="1">
      <alignment horizontal="right" readingOrder="0" vertical="center"/>
    </xf>
    <xf borderId="38" fillId="7" fontId="51" numFmtId="0" xfId="0" applyAlignment="1" applyBorder="1" applyFont="1">
      <alignment horizontal="right" readingOrder="0" vertical="center"/>
    </xf>
    <xf borderId="0" fillId="7" fontId="14" numFmtId="0" xfId="0" applyAlignment="1" applyFont="1">
      <alignment horizontal="left" vertical="center"/>
    </xf>
    <xf borderId="0" fillId="7" fontId="8" numFmtId="0" xfId="0" applyAlignment="1" applyFont="1">
      <alignment horizontal="left" vertical="center"/>
    </xf>
    <xf borderId="38" fillId="0" fontId="47" numFmtId="0" xfId="0" applyAlignment="1" applyBorder="1" applyFont="1">
      <alignment horizontal="right" readingOrder="0" vertical="center"/>
    </xf>
    <xf borderId="0" fillId="0" fontId="52" numFmtId="0" xfId="0" applyAlignment="1" applyFont="1">
      <alignment horizontal="left" shrinkToFit="0" vertical="center" wrapText="0"/>
    </xf>
    <xf borderId="0" fillId="0" fontId="14" numFmtId="49" xfId="0" applyAlignment="1" applyFont="1" applyNumberFormat="1">
      <alignment horizontal="left" shrinkToFit="0" vertical="center" wrapText="0"/>
    </xf>
    <xf borderId="0" fillId="0" fontId="14" numFmtId="171" xfId="0" applyAlignment="1" applyFont="1" applyNumberFormat="1">
      <alignment horizontal="left" shrinkToFit="0" vertical="center" wrapText="0"/>
    </xf>
    <xf borderId="0" fillId="0" fontId="8" numFmtId="171" xfId="0" applyAlignment="1" applyFont="1" applyNumberFormat="1">
      <alignment horizontal="left" shrinkToFit="0" vertical="center" wrapText="0"/>
    </xf>
    <xf borderId="38" fillId="0" fontId="51" numFmtId="0" xfId="0" applyAlignment="1" applyBorder="1" applyFont="1">
      <alignment horizontal="right" readingOrder="0" vertical="center"/>
    </xf>
    <xf borderId="0" fillId="0" fontId="53" numFmtId="0" xfId="0" applyAlignment="1" applyFont="1">
      <alignment horizontal="left" readingOrder="0" shrinkToFit="0" vertical="center" wrapText="0"/>
    </xf>
    <xf borderId="0" fillId="0" fontId="11" numFmtId="0" xfId="0" applyAlignment="1" applyFont="1">
      <alignment horizontal="center" vertical="center"/>
    </xf>
    <xf borderId="0" fillId="0" fontId="50" numFmtId="0" xfId="0" applyAlignment="1" applyFont="1">
      <alignment horizontal="left" readingOrder="0" shrinkToFit="0" vertical="center" wrapText="1"/>
    </xf>
    <xf borderId="0" fillId="0" fontId="8" numFmtId="0" xfId="0" applyAlignment="1" applyFont="1">
      <alignment horizontal="left" shrinkToFit="0" vertical="center" wrapText="0"/>
    </xf>
    <xf borderId="10" fillId="0" fontId="8" numFmtId="0" xfId="0" applyAlignment="1" applyBorder="1" applyFont="1">
      <alignment horizontal="left" vertical="center"/>
    </xf>
    <xf borderId="5" fillId="4" fontId="54" numFmtId="0" xfId="0" applyAlignment="1" applyBorder="1" applyFont="1">
      <alignment horizontal="center" readingOrder="0" textRotation="90" vertical="center"/>
    </xf>
    <xf borderId="0" fillId="5" fontId="14" numFmtId="0" xfId="0" applyAlignment="1" applyFont="1">
      <alignment horizontal="center" readingOrder="0" vertical="center"/>
    </xf>
    <xf borderId="0" fillId="5" fontId="55" numFmtId="0" xfId="0" applyAlignment="1" applyFont="1">
      <alignment horizontal="center" readingOrder="0" vertical="center"/>
    </xf>
    <xf borderId="0" fillId="6" fontId="14" numFmtId="0" xfId="0" applyAlignment="1" applyFont="1">
      <alignment horizontal="center" vertical="center"/>
    </xf>
    <xf borderId="0" fillId="6" fontId="55" numFmtId="0" xfId="0" applyAlignment="1" applyFont="1">
      <alignment horizontal="center" vertical="center"/>
    </xf>
    <xf borderId="0" fillId="0" fontId="14" numFmtId="0" xfId="0" applyAlignment="1" applyFont="1">
      <alignment horizontal="left" shrinkToFit="0" vertical="center" wrapText="0"/>
    </xf>
    <xf borderId="0" fillId="8" fontId="56" numFmtId="0" xfId="0" applyAlignment="1" applyFill="1" applyFont="1">
      <alignment readingOrder="0"/>
    </xf>
    <xf borderId="0" fillId="0" fontId="57" numFmtId="0" xfId="0" applyAlignment="1" applyFont="1">
      <alignment horizontal="left" readingOrder="0" shrinkToFit="0" vertical="center" wrapText="0"/>
    </xf>
    <xf borderId="0" fillId="0" fontId="10" numFmtId="0" xfId="0" applyAlignment="1" applyFont="1">
      <alignment horizontal="left" readingOrder="0" shrinkToFit="0" vertical="center" wrapText="0"/>
    </xf>
  </cellXfs>
  <cellStyles count="1">
    <cellStyle xfId="0" name="Normal" builtinId="0"/>
  </cellStyles>
  <dxfs count="11">
    <dxf>
      <font/>
      <fill>
        <patternFill patternType="solid">
          <fgColor rgb="FFC9DAF8"/>
          <bgColor rgb="FFC9DAF8"/>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D0E0E3"/>
          <bgColor rgb="FFD0E0E3"/>
        </patternFill>
      </fill>
      <border/>
    </dxf>
    <dxf>
      <font>
        <color rgb="FFFFFFFF"/>
      </font>
      <fill>
        <patternFill patternType="solid">
          <fgColor rgb="FF666666"/>
          <bgColor rgb="FF666666"/>
        </patternFill>
      </fill>
      <border/>
    </dxf>
    <dxf>
      <font>
        <strike/>
      </font>
      <fill>
        <patternFill patternType="solid">
          <fgColor rgb="FFE06666"/>
          <bgColor rgb="FFE06666"/>
        </patternFill>
      </fill>
      <border/>
    </dxf>
    <dxf>
      <font/>
      <fill>
        <patternFill patternType="solid">
          <fgColor rgb="FFB6D7A8"/>
          <bgColor rgb="FFB6D7A8"/>
        </patternFill>
      </fill>
      <border/>
    </dxf>
    <dxf>
      <font>
        <b/>
      </font>
      <fill>
        <patternFill patternType="solid">
          <fgColor rgb="FFE06666"/>
          <bgColor rgb="FFE06666"/>
        </patternFill>
      </fill>
      <border/>
    </dxf>
    <dxf>
      <font>
        <color rgb="FF284056"/>
      </font>
      <fill>
        <patternFill patternType="solid">
          <fgColor rgb="FF284056"/>
          <bgColor rgb="FF284056"/>
        </patternFill>
      </fill>
      <border/>
    </dxf>
    <dxf>
      <font>
        <color rgb="FFFFFFF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osu.ppy.sh/community/forums/topics/1790898?n=1?" TargetMode="External"/><Relationship Id="rId3" Type="http://schemas.openxmlformats.org/officeDocument/2006/relationships/hyperlink" Target="https://docs.google.com/spreadsheets/d/1u1R-0YeX71qksHP7hWq8QkjcpECX-9LSvskalZ8hxdg/edit?usp=sharing" TargetMode="Externa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40" Type="http://schemas.openxmlformats.org/officeDocument/2006/relationships/hyperlink" Target="https://osu.ppy.sh/b/3913591" TargetMode="External"/><Relationship Id="rId42" Type="http://schemas.openxmlformats.org/officeDocument/2006/relationships/hyperlink" Target="https://osu.ppy.sh/b/3248255" TargetMode="External"/><Relationship Id="rId41" Type="http://schemas.openxmlformats.org/officeDocument/2006/relationships/hyperlink" Target="https://osu.ppy.sh/b/37750" TargetMode="External"/><Relationship Id="rId44" Type="http://schemas.openxmlformats.org/officeDocument/2006/relationships/hyperlink" Target="https://osu.ppy.sh/b/3299370" TargetMode="External"/><Relationship Id="rId43" Type="http://schemas.openxmlformats.org/officeDocument/2006/relationships/hyperlink" Target="https://osu.ppy.sh/b/674080" TargetMode="External"/><Relationship Id="rId46" Type="http://schemas.openxmlformats.org/officeDocument/2006/relationships/hyperlink" Target="https://osu.ppy.sh/b/3274886" TargetMode="External"/><Relationship Id="rId45" Type="http://schemas.openxmlformats.org/officeDocument/2006/relationships/hyperlink" Target="https://osu.ppy.sh/b/3822599" TargetMode="External"/><Relationship Id="rId107" Type="http://schemas.openxmlformats.org/officeDocument/2006/relationships/drawing" Target="../drawings/drawing5.xml"/><Relationship Id="rId106" Type="http://schemas.openxmlformats.org/officeDocument/2006/relationships/hyperlink" Target="https://osu.ppy.sh/b/862338" TargetMode="External"/><Relationship Id="rId105" Type="http://schemas.openxmlformats.org/officeDocument/2006/relationships/hyperlink" Target="https://osu.ppy.sh/b/3853742" TargetMode="External"/><Relationship Id="rId104" Type="http://schemas.openxmlformats.org/officeDocument/2006/relationships/hyperlink" Target="https://osu.ppy.sh/b/58701" TargetMode="External"/><Relationship Id="rId108" Type="http://schemas.openxmlformats.org/officeDocument/2006/relationships/vmlDrawing" Target="../drawings/vmlDrawing3.vml"/><Relationship Id="rId48" Type="http://schemas.openxmlformats.org/officeDocument/2006/relationships/hyperlink" Target="https://osu.ppy.sh/b/577517" TargetMode="External"/><Relationship Id="rId47" Type="http://schemas.openxmlformats.org/officeDocument/2006/relationships/hyperlink" Target="https://osu.ppy.sh/b/3804111" TargetMode="External"/><Relationship Id="rId49" Type="http://schemas.openxmlformats.org/officeDocument/2006/relationships/hyperlink" Target="https://osu.ppy.sh/b/1717844" TargetMode="External"/><Relationship Id="rId103" Type="http://schemas.openxmlformats.org/officeDocument/2006/relationships/hyperlink" Target="https://osu.ppy.sh/b/3883278" TargetMode="External"/><Relationship Id="rId102" Type="http://schemas.openxmlformats.org/officeDocument/2006/relationships/hyperlink" Target="https://osu.ppy.sh/b/25341" TargetMode="External"/><Relationship Id="rId101" Type="http://schemas.openxmlformats.org/officeDocument/2006/relationships/hyperlink" Target="https://osu.ppy.sh/b/1707909" TargetMode="External"/><Relationship Id="rId100" Type="http://schemas.openxmlformats.org/officeDocument/2006/relationships/hyperlink" Target="https://osu.ppy.sh/b/1035068" TargetMode="External"/><Relationship Id="rId31" Type="http://schemas.openxmlformats.org/officeDocument/2006/relationships/hyperlink" Target="https://osu.ppy.sh/b/1965654" TargetMode="External"/><Relationship Id="rId30" Type="http://schemas.openxmlformats.org/officeDocument/2006/relationships/hyperlink" Target="https://osu.ppy.sh/b/1857415" TargetMode="External"/><Relationship Id="rId33" Type="http://schemas.openxmlformats.org/officeDocument/2006/relationships/hyperlink" Target="https://osu.ppy.sh/b/2568756" TargetMode="External"/><Relationship Id="rId32" Type="http://schemas.openxmlformats.org/officeDocument/2006/relationships/hyperlink" Target="https://osu.ppy.sh/b/1838159" TargetMode="External"/><Relationship Id="rId35" Type="http://schemas.openxmlformats.org/officeDocument/2006/relationships/hyperlink" Target="https://osu.ppy.sh/b/4215637" TargetMode="External"/><Relationship Id="rId34" Type="http://schemas.openxmlformats.org/officeDocument/2006/relationships/hyperlink" Target="https://osu.ppy.sh/b/3341368" TargetMode="External"/><Relationship Id="rId37" Type="http://schemas.openxmlformats.org/officeDocument/2006/relationships/hyperlink" Target="https://osu.ppy.sh/b/2671048" TargetMode="External"/><Relationship Id="rId36" Type="http://schemas.openxmlformats.org/officeDocument/2006/relationships/hyperlink" Target="https://osu.ppy.sh/b/3821597" TargetMode="External"/><Relationship Id="rId39" Type="http://schemas.openxmlformats.org/officeDocument/2006/relationships/hyperlink" Target="https://osu.ppy.sh/b/1491793" TargetMode="External"/><Relationship Id="rId38" Type="http://schemas.openxmlformats.org/officeDocument/2006/relationships/hyperlink" Target="https://osu.ppy.sh/b/105978" TargetMode="External"/><Relationship Id="rId20" Type="http://schemas.openxmlformats.org/officeDocument/2006/relationships/hyperlink" Target="https://osu.ppy.sh/b/2853477" TargetMode="External"/><Relationship Id="rId22" Type="http://schemas.openxmlformats.org/officeDocument/2006/relationships/hyperlink" Target="https://osu.ppy.sh/b/3460069" TargetMode="External"/><Relationship Id="rId21" Type="http://schemas.openxmlformats.org/officeDocument/2006/relationships/hyperlink" Target="https://osu.ppy.sh/b/1733441" TargetMode="External"/><Relationship Id="rId24" Type="http://schemas.openxmlformats.org/officeDocument/2006/relationships/hyperlink" Target="https://osu.ppy.sh/b/295650" TargetMode="External"/><Relationship Id="rId23" Type="http://schemas.openxmlformats.org/officeDocument/2006/relationships/hyperlink" Target="https://osu.ppy.sh/b/1956568" TargetMode="External"/><Relationship Id="rId26" Type="http://schemas.openxmlformats.org/officeDocument/2006/relationships/hyperlink" Target="https://osu.ppy.sh/b/1521209" TargetMode="External"/><Relationship Id="rId25" Type="http://schemas.openxmlformats.org/officeDocument/2006/relationships/hyperlink" Target="https://osu.ppy.sh/b/3446883" TargetMode="External"/><Relationship Id="rId28" Type="http://schemas.openxmlformats.org/officeDocument/2006/relationships/hyperlink" Target="https://osu.ppy.sh/b/2151207" TargetMode="External"/><Relationship Id="rId27" Type="http://schemas.openxmlformats.org/officeDocument/2006/relationships/hyperlink" Target="https://osu.ppy.sh/b/3616100" TargetMode="External"/><Relationship Id="rId29" Type="http://schemas.openxmlformats.org/officeDocument/2006/relationships/hyperlink" Target="https://osu.ppy.sh/b/417898" TargetMode="External"/><Relationship Id="rId95" Type="http://schemas.openxmlformats.org/officeDocument/2006/relationships/hyperlink" Target="https://osu.ppy.sh/b/2565268" TargetMode="External"/><Relationship Id="rId94" Type="http://schemas.openxmlformats.org/officeDocument/2006/relationships/hyperlink" Target="https://osu.ppy.sh/b/4134134" TargetMode="External"/><Relationship Id="rId97" Type="http://schemas.openxmlformats.org/officeDocument/2006/relationships/hyperlink" Target="https://osu.ppy.sh/b/1592403" TargetMode="External"/><Relationship Id="rId96" Type="http://schemas.openxmlformats.org/officeDocument/2006/relationships/hyperlink" Target="https://osu.ppy.sh/b/1258993" TargetMode="External"/><Relationship Id="rId11" Type="http://schemas.openxmlformats.org/officeDocument/2006/relationships/hyperlink" Target="https://osu.ppy.sh/b/2366848" TargetMode="External"/><Relationship Id="rId99" Type="http://schemas.openxmlformats.org/officeDocument/2006/relationships/hyperlink" Target="https://osu.ppy.sh/b/2519731" TargetMode="External"/><Relationship Id="rId10" Type="http://schemas.openxmlformats.org/officeDocument/2006/relationships/hyperlink" Target="https://osu.ppy.sh/b/2044893" TargetMode="External"/><Relationship Id="rId98" Type="http://schemas.openxmlformats.org/officeDocument/2006/relationships/hyperlink" Target="https://osu.ppy.sh/b/3333734" TargetMode="External"/><Relationship Id="rId13" Type="http://schemas.openxmlformats.org/officeDocument/2006/relationships/hyperlink" Target="https://osu.ppy.sh/b/846261" TargetMode="External"/><Relationship Id="rId12" Type="http://schemas.openxmlformats.org/officeDocument/2006/relationships/hyperlink" Target="https://osu.ppy.sh/b/3396305" TargetMode="External"/><Relationship Id="rId91" Type="http://schemas.openxmlformats.org/officeDocument/2006/relationships/hyperlink" Target="https://osu.ppy.sh/b/3711739" TargetMode="External"/><Relationship Id="rId90" Type="http://schemas.openxmlformats.org/officeDocument/2006/relationships/hyperlink" Target="https://osu.ppy.sh/b/1737928" TargetMode="External"/><Relationship Id="rId93" Type="http://schemas.openxmlformats.org/officeDocument/2006/relationships/hyperlink" Target="https://osu.ppy.sh/b/2348578" TargetMode="External"/><Relationship Id="rId92" Type="http://schemas.openxmlformats.org/officeDocument/2006/relationships/hyperlink" Target="https://osu.ppy.sh/b/3711612" TargetMode="External"/><Relationship Id="rId15" Type="http://schemas.openxmlformats.org/officeDocument/2006/relationships/hyperlink" Target="https://osu.ppy.sh/b/3446761" TargetMode="External"/><Relationship Id="rId14" Type="http://schemas.openxmlformats.org/officeDocument/2006/relationships/hyperlink" Target="https://osu.ppy.sh/b/3743202" TargetMode="External"/><Relationship Id="rId17" Type="http://schemas.openxmlformats.org/officeDocument/2006/relationships/hyperlink" Target="https://osu.ppy.sh/b/2004679" TargetMode="External"/><Relationship Id="rId16" Type="http://schemas.openxmlformats.org/officeDocument/2006/relationships/hyperlink" Target="https://osu.ppy.sh/b/2827293" TargetMode="External"/><Relationship Id="rId19" Type="http://schemas.openxmlformats.org/officeDocument/2006/relationships/hyperlink" Target="https://osu.ppy.sh/b/2794904" TargetMode="External"/><Relationship Id="rId18" Type="http://schemas.openxmlformats.org/officeDocument/2006/relationships/hyperlink" Target="https://osu.ppy.sh/b/3239199" TargetMode="External"/><Relationship Id="rId84" Type="http://schemas.openxmlformats.org/officeDocument/2006/relationships/hyperlink" Target="https://osu.ppy.sh/b/192181" TargetMode="External"/><Relationship Id="rId83" Type="http://schemas.openxmlformats.org/officeDocument/2006/relationships/hyperlink" Target="https://osu.ppy.sh/b/4197268" TargetMode="External"/><Relationship Id="rId86" Type="http://schemas.openxmlformats.org/officeDocument/2006/relationships/hyperlink" Target="https://osu.ppy.sh/b/1485947" TargetMode="External"/><Relationship Id="rId85" Type="http://schemas.openxmlformats.org/officeDocument/2006/relationships/hyperlink" Target="https://osu.ppy.sh/b/3499229" TargetMode="External"/><Relationship Id="rId88" Type="http://schemas.openxmlformats.org/officeDocument/2006/relationships/hyperlink" Target="https://osu.ppy.sh/b/3714369" TargetMode="External"/><Relationship Id="rId87" Type="http://schemas.openxmlformats.org/officeDocument/2006/relationships/hyperlink" Target="https://osu.ppy.sh/b/2792506" TargetMode="External"/><Relationship Id="rId89" Type="http://schemas.openxmlformats.org/officeDocument/2006/relationships/hyperlink" Target="https://osu.ppy.sh/b/3461206" TargetMode="External"/><Relationship Id="rId80" Type="http://schemas.openxmlformats.org/officeDocument/2006/relationships/hyperlink" Target="https://osu.ppy.sh/b/345642" TargetMode="External"/><Relationship Id="rId82" Type="http://schemas.openxmlformats.org/officeDocument/2006/relationships/hyperlink" Target="https://osu.ppy.sh/b/4150885" TargetMode="External"/><Relationship Id="rId81" Type="http://schemas.openxmlformats.org/officeDocument/2006/relationships/hyperlink" Target="https://osu.ppy.sh/b/2671858" TargetMode="External"/><Relationship Id="rId1" Type="http://schemas.openxmlformats.org/officeDocument/2006/relationships/comments" Target="../comments3.xml"/><Relationship Id="rId2" Type="http://schemas.openxmlformats.org/officeDocument/2006/relationships/hyperlink" Target="https://osu.ppy.sh/b/3297107" TargetMode="External"/><Relationship Id="rId3" Type="http://schemas.openxmlformats.org/officeDocument/2006/relationships/hyperlink" Target="https://osu.ppy.sh/b/2440455" TargetMode="External"/><Relationship Id="rId4" Type="http://schemas.openxmlformats.org/officeDocument/2006/relationships/hyperlink" Target="https://osu.ppy.sh/b/3248876" TargetMode="External"/><Relationship Id="rId9" Type="http://schemas.openxmlformats.org/officeDocument/2006/relationships/hyperlink" Target="https://osu.ppy.sh/b/2110801" TargetMode="External"/><Relationship Id="rId5" Type="http://schemas.openxmlformats.org/officeDocument/2006/relationships/hyperlink" Target="https://osu.ppy.sh/b/1989991" TargetMode="External"/><Relationship Id="rId6" Type="http://schemas.openxmlformats.org/officeDocument/2006/relationships/hyperlink" Target="https://osu.ppy.sh/b/3280686" TargetMode="External"/><Relationship Id="rId7" Type="http://schemas.openxmlformats.org/officeDocument/2006/relationships/hyperlink" Target="https://osu.ppy.sh/b/134141" TargetMode="External"/><Relationship Id="rId8" Type="http://schemas.openxmlformats.org/officeDocument/2006/relationships/hyperlink" Target="https://osu.ppy.sh/b/2659337" TargetMode="External"/><Relationship Id="rId73" Type="http://schemas.openxmlformats.org/officeDocument/2006/relationships/hyperlink" Target="https://osu.ppy.sh/b/571620" TargetMode="External"/><Relationship Id="rId72" Type="http://schemas.openxmlformats.org/officeDocument/2006/relationships/hyperlink" Target="https://osu.ppy.sh/b/3870932" TargetMode="External"/><Relationship Id="rId75" Type="http://schemas.openxmlformats.org/officeDocument/2006/relationships/hyperlink" Target="https://osu.ppy.sh/b/2751338" TargetMode="External"/><Relationship Id="rId74" Type="http://schemas.openxmlformats.org/officeDocument/2006/relationships/hyperlink" Target="https://osu.ppy.sh/b/3563737" TargetMode="External"/><Relationship Id="rId77" Type="http://schemas.openxmlformats.org/officeDocument/2006/relationships/hyperlink" Target="https://osu.ppy.sh/b/2691754" TargetMode="External"/><Relationship Id="rId76" Type="http://schemas.openxmlformats.org/officeDocument/2006/relationships/hyperlink" Target="https://osu.ppy.sh/b/2288966" TargetMode="External"/><Relationship Id="rId79" Type="http://schemas.openxmlformats.org/officeDocument/2006/relationships/hyperlink" Target="https://osu.ppy.sh/b/765880" TargetMode="External"/><Relationship Id="rId78" Type="http://schemas.openxmlformats.org/officeDocument/2006/relationships/hyperlink" Target="https://osu.ppy.sh/b/2856139" TargetMode="External"/><Relationship Id="rId71" Type="http://schemas.openxmlformats.org/officeDocument/2006/relationships/hyperlink" Target="https://osu.ppy.sh/b/309900" TargetMode="External"/><Relationship Id="rId70" Type="http://schemas.openxmlformats.org/officeDocument/2006/relationships/hyperlink" Target="https://osu.ppy.sh/b/3802110" TargetMode="External"/><Relationship Id="rId62" Type="http://schemas.openxmlformats.org/officeDocument/2006/relationships/hyperlink" Target="https://osu.ppy.sh/b/2388648" TargetMode="External"/><Relationship Id="rId61" Type="http://schemas.openxmlformats.org/officeDocument/2006/relationships/hyperlink" Target="https://osu.ppy.sh/b/1592512" TargetMode="External"/><Relationship Id="rId64" Type="http://schemas.openxmlformats.org/officeDocument/2006/relationships/hyperlink" Target="https://osu.ppy.sh/b/2514122" TargetMode="External"/><Relationship Id="rId63" Type="http://schemas.openxmlformats.org/officeDocument/2006/relationships/hyperlink" Target="https://osu.ppy.sh/b/3819183" TargetMode="External"/><Relationship Id="rId66" Type="http://schemas.openxmlformats.org/officeDocument/2006/relationships/hyperlink" Target="https://osu.ppy.sh/b/1248147" TargetMode="External"/><Relationship Id="rId65" Type="http://schemas.openxmlformats.org/officeDocument/2006/relationships/hyperlink" Target="https://osu.ppy.sh/b/28366" TargetMode="External"/><Relationship Id="rId68" Type="http://schemas.openxmlformats.org/officeDocument/2006/relationships/hyperlink" Target="https://osu.ppy.sh/b/3010348" TargetMode="External"/><Relationship Id="rId67" Type="http://schemas.openxmlformats.org/officeDocument/2006/relationships/hyperlink" Target="https://osu.ppy.sh/b/2198934" TargetMode="External"/><Relationship Id="rId60" Type="http://schemas.openxmlformats.org/officeDocument/2006/relationships/hyperlink" Target="https://osu.ppy.sh/b/1405094" TargetMode="External"/><Relationship Id="rId69" Type="http://schemas.openxmlformats.org/officeDocument/2006/relationships/hyperlink" Target="https://osu.ppy.sh/b/3774971" TargetMode="External"/><Relationship Id="rId51" Type="http://schemas.openxmlformats.org/officeDocument/2006/relationships/hyperlink" Target="https://osu.ppy.sh/b/2715749" TargetMode="External"/><Relationship Id="rId50" Type="http://schemas.openxmlformats.org/officeDocument/2006/relationships/hyperlink" Target="https://osu.ppy.sh/b/3656173" TargetMode="External"/><Relationship Id="rId53" Type="http://schemas.openxmlformats.org/officeDocument/2006/relationships/hyperlink" Target="https://osu.ppy.sh/b/3187491" TargetMode="External"/><Relationship Id="rId52" Type="http://schemas.openxmlformats.org/officeDocument/2006/relationships/hyperlink" Target="https://osu.ppy.sh/b/3291796" TargetMode="External"/><Relationship Id="rId55" Type="http://schemas.openxmlformats.org/officeDocument/2006/relationships/hyperlink" Target="https://osu.ppy.sh/b/1972425" TargetMode="External"/><Relationship Id="rId54" Type="http://schemas.openxmlformats.org/officeDocument/2006/relationships/hyperlink" Target="https://osu.ppy.sh/b/3990086" TargetMode="External"/><Relationship Id="rId57" Type="http://schemas.openxmlformats.org/officeDocument/2006/relationships/hyperlink" Target="https://osu.ppy.sh/b/2044890" TargetMode="External"/><Relationship Id="rId56" Type="http://schemas.openxmlformats.org/officeDocument/2006/relationships/hyperlink" Target="https://osu.ppy.sh/b/2277128" TargetMode="External"/><Relationship Id="rId59" Type="http://schemas.openxmlformats.org/officeDocument/2006/relationships/hyperlink" Target="https://osu.ppy.sh/b/2917786" TargetMode="External"/><Relationship Id="rId58" Type="http://schemas.openxmlformats.org/officeDocument/2006/relationships/hyperlink" Target="https://osu.ppy.sh/b/3454421"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osu.ppy.sh/community/matches/110299252" TargetMode="External"/><Relationship Id="rId42" Type="http://schemas.openxmlformats.org/officeDocument/2006/relationships/hyperlink" Target="https://osu.ppy.sh/community/matches/110301082" TargetMode="External"/><Relationship Id="rId41" Type="http://schemas.openxmlformats.org/officeDocument/2006/relationships/hyperlink" Target="https://osu.ppy.sh/community/matches/110299202" TargetMode="External"/><Relationship Id="rId44" Type="http://schemas.openxmlformats.org/officeDocument/2006/relationships/hyperlink" Target="https://osu.ppy.sh/community/matches/110300869" TargetMode="External"/><Relationship Id="rId43" Type="http://schemas.openxmlformats.org/officeDocument/2006/relationships/hyperlink" Target="https://osu.ppy.sh/community/matches/110298939" TargetMode="External"/><Relationship Id="rId46" Type="http://schemas.openxmlformats.org/officeDocument/2006/relationships/hyperlink" Target="https://osu.ppy.sh/community/matches/110313675" TargetMode="External"/><Relationship Id="rId45" Type="http://schemas.openxmlformats.org/officeDocument/2006/relationships/hyperlink" Target="https://osu.ppy.sh/community/matches/110301327" TargetMode="External"/><Relationship Id="rId48" Type="http://schemas.openxmlformats.org/officeDocument/2006/relationships/hyperlink" Target="https://osu.ppy.sh/community/matches/110365741" TargetMode="External"/><Relationship Id="rId47" Type="http://schemas.openxmlformats.org/officeDocument/2006/relationships/hyperlink" Target="https://osu.ppy.sh/community/matches/110289632" TargetMode="External"/><Relationship Id="rId49" Type="http://schemas.openxmlformats.org/officeDocument/2006/relationships/hyperlink" Target="https://osu.ppy.sh/community/matches/110370451" TargetMode="External"/><Relationship Id="rId31" Type="http://schemas.openxmlformats.org/officeDocument/2006/relationships/hyperlink" Target="https://osu.ppy.sh/community/matches/110191205" TargetMode="External"/><Relationship Id="rId30" Type="http://schemas.openxmlformats.org/officeDocument/2006/relationships/hyperlink" Target="https://osu.ppy.sh/community/matches/110190477" TargetMode="External"/><Relationship Id="rId33" Type="http://schemas.openxmlformats.org/officeDocument/2006/relationships/hyperlink" Target="https://osu.ppy.sh/community/matches/110206456" TargetMode="External"/><Relationship Id="rId32" Type="http://schemas.openxmlformats.org/officeDocument/2006/relationships/hyperlink" Target="https://osu.ppy.sh/community/matches/110194908" TargetMode="External"/><Relationship Id="rId35" Type="http://schemas.openxmlformats.org/officeDocument/2006/relationships/hyperlink" Target="https://osu.ppy.sh/community/matches/110282200" TargetMode="External"/><Relationship Id="rId34" Type="http://schemas.openxmlformats.org/officeDocument/2006/relationships/hyperlink" Target="https://osu.ppy.sh/community/matches/110275875" TargetMode="External"/><Relationship Id="rId37" Type="http://schemas.openxmlformats.org/officeDocument/2006/relationships/hyperlink" Target="https://osu.ppy.sh/community/matches/110283001" TargetMode="External"/><Relationship Id="rId36" Type="http://schemas.openxmlformats.org/officeDocument/2006/relationships/hyperlink" Target="https://osu.ppy.sh/community/matches/110283000" TargetMode="External"/><Relationship Id="rId39" Type="http://schemas.openxmlformats.org/officeDocument/2006/relationships/hyperlink" Target="https://osu.ppy.sh/community/matches/110291479" TargetMode="External"/><Relationship Id="rId38" Type="http://schemas.openxmlformats.org/officeDocument/2006/relationships/hyperlink" Target="https://osu.ppy.sh/community/matches/110283874" TargetMode="External"/><Relationship Id="rId20" Type="http://schemas.openxmlformats.org/officeDocument/2006/relationships/hyperlink" Target="https://osu.ppy.sh/community/matches/110174567" TargetMode="External"/><Relationship Id="rId22" Type="http://schemas.openxmlformats.org/officeDocument/2006/relationships/hyperlink" Target="https://osu.ppy.sh/community/matches/110175433" TargetMode="External"/><Relationship Id="rId21" Type="http://schemas.openxmlformats.org/officeDocument/2006/relationships/hyperlink" Target="https://osu.ppy.sh/community/matches/110174570" TargetMode="External"/><Relationship Id="rId24" Type="http://schemas.openxmlformats.org/officeDocument/2006/relationships/hyperlink" Target="https://osu.ppy.sh/community/matches/110177686" TargetMode="External"/><Relationship Id="rId23" Type="http://schemas.openxmlformats.org/officeDocument/2006/relationships/hyperlink" Target="https://osu.ppy.sh/community/matches/110176380" TargetMode="External"/><Relationship Id="rId26" Type="http://schemas.openxmlformats.org/officeDocument/2006/relationships/hyperlink" Target="https://osu.ppy.sh/community/matches/110179406" TargetMode="External"/><Relationship Id="rId25" Type="http://schemas.openxmlformats.org/officeDocument/2006/relationships/hyperlink" Target="https://osu.ppy.sh/community/matches/110178185" TargetMode="External"/><Relationship Id="rId28" Type="http://schemas.openxmlformats.org/officeDocument/2006/relationships/hyperlink" Target="https://osu.ppy.sh/community/matches/110185577" TargetMode="External"/><Relationship Id="rId27" Type="http://schemas.openxmlformats.org/officeDocument/2006/relationships/hyperlink" Target="https://osu.ppy.sh/community/matches/110184531" TargetMode="External"/><Relationship Id="rId29" Type="http://schemas.openxmlformats.org/officeDocument/2006/relationships/hyperlink" Target="https://osu.ppy.sh/community/matches/110190490" TargetMode="External"/><Relationship Id="rId11" Type="http://schemas.openxmlformats.org/officeDocument/2006/relationships/hyperlink" Target="https://osu.ppy.sh/community/matches/110076817" TargetMode="External"/><Relationship Id="rId10" Type="http://schemas.openxmlformats.org/officeDocument/2006/relationships/hyperlink" Target="https://osu.ppy.sh/community/matches/110068687" TargetMode="External"/><Relationship Id="rId13" Type="http://schemas.openxmlformats.org/officeDocument/2006/relationships/hyperlink" Target="https://osu.ppy.sh/community/matches/110077688" TargetMode="External"/><Relationship Id="rId12" Type="http://schemas.openxmlformats.org/officeDocument/2006/relationships/hyperlink" Target="https://osu.ppy.sh/community/matches/110077387" TargetMode="External"/><Relationship Id="rId15" Type="http://schemas.openxmlformats.org/officeDocument/2006/relationships/hyperlink" Target="https://osu.ppy.sh/community/matches/110087766" TargetMode="External"/><Relationship Id="rId14" Type="http://schemas.openxmlformats.org/officeDocument/2006/relationships/hyperlink" Target="https://osu.ppy.sh/community/matches/110085247" TargetMode="External"/><Relationship Id="rId17" Type="http://schemas.openxmlformats.org/officeDocument/2006/relationships/hyperlink" Target="https://osu.ppy.sh/mp/110090518" TargetMode="External"/><Relationship Id="rId16" Type="http://schemas.openxmlformats.org/officeDocument/2006/relationships/hyperlink" Target="https://osu.ppy.sh/community/matches/110089262" TargetMode="External"/><Relationship Id="rId19" Type="http://schemas.openxmlformats.org/officeDocument/2006/relationships/hyperlink" Target="https://osu.ppy.sh/community/matches/110157424" TargetMode="External"/><Relationship Id="rId18" Type="http://schemas.openxmlformats.org/officeDocument/2006/relationships/hyperlink" Target="https://osu.ppy.sh/community/matches/110156344" TargetMode="External"/><Relationship Id="rId1" Type="http://schemas.openxmlformats.org/officeDocument/2006/relationships/comments" Target="../comments4.xml"/><Relationship Id="rId2" Type="http://schemas.openxmlformats.org/officeDocument/2006/relationships/hyperlink" Target="https://osu.ppy.sh/community/matches/110051132" TargetMode="External"/><Relationship Id="rId3" Type="http://schemas.openxmlformats.org/officeDocument/2006/relationships/hyperlink" Target="https://osu.ppy.sh/community/matches/110051880" TargetMode="External"/><Relationship Id="rId4" Type="http://schemas.openxmlformats.org/officeDocument/2006/relationships/hyperlink" Target="https://osu.ppy.sh/community/matches/110051882" TargetMode="External"/><Relationship Id="rId9" Type="http://schemas.openxmlformats.org/officeDocument/2006/relationships/hyperlink" Target="https://osu.ppy.sh/community/matches/110067582" TargetMode="External"/><Relationship Id="rId5" Type="http://schemas.openxmlformats.org/officeDocument/2006/relationships/hyperlink" Target="https://osu.ppy.sh/community/matches/110063252" TargetMode="External"/><Relationship Id="rId6" Type="http://schemas.openxmlformats.org/officeDocument/2006/relationships/hyperlink" Target="https://osu.ppy.sh/mp/110066290" TargetMode="External"/><Relationship Id="rId7" Type="http://schemas.openxmlformats.org/officeDocument/2006/relationships/hyperlink" Target="https://osu.ppy.sh/mp/110067010" TargetMode="External"/><Relationship Id="rId8" Type="http://schemas.openxmlformats.org/officeDocument/2006/relationships/hyperlink" Target="https://osu.ppy.sh/mp/110067659" TargetMode="External"/><Relationship Id="rId62" Type="http://schemas.openxmlformats.org/officeDocument/2006/relationships/drawing" Target="../drawings/drawing7.xml"/><Relationship Id="rId61" Type="http://schemas.openxmlformats.org/officeDocument/2006/relationships/hyperlink" Target="https://osu.ppy.sh/community/matches/110607052" TargetMode="External"/><Relationship Id="rId63" Type="http://schemas.openxmlformats.org/officeDocument/2006/relationships/vmlDrawing" Target="../drawings/vmlDrawing4.vml"/><Relationship Id="rId60" Type="http://schemas.openxmlformats.org/officeDocument/2006/relationships/hyperlink" Target="https://osu.ppy.sh/community/matches/110601167" TargetMode="External"/><Relationship Id="rId51" Type="http://schemas.openxmlformats.org/officeDocument/2006/relationships/hyperlink" Target="https://osu.ppy.sh/community/matches/110385386" TargetMode="External"/><Relationship Id="rId50" Type="http://schemas.openxmlformats.org/officeDocument/2006/relationships/hyperlink" Target="https://osu.ppy.sh/community/matches/110379556" TargetMode="External"/><Relationship Id="rId53" Type="http://schemas.openxmlformats.org/officeDocument/2006/relationships/hyperlink" Target="https://osu.ppy.sh/community/matches/110398000" TargetMode="External"/><Relationship Id="rId52" Type="http://schemas.openxmlformats.org/officeDocument/2006/relationships/hyperlink" Target="https://osu.ppy.sh/community/matches/110388082" TargetMode="External"/><Relationship Id="rId55" Type="http://schemas.openxmlformats.org/officeDocument/2006/relationships/hyperlink" Target="https://osu.ppy.sh/community/matches/110400479" TargetMode="External"/><Relationship Id="rId54" Type="http://schemas.openxmlformats.org/officeDocument/2006/relationships/hyperlink" Target="https://osu.ppy.sh/community/matches/110400514" TargetMode="External"/><Relationship Id="rId57" Type="http://schemas.openxmlformats.org/officeDocument/2006/relationships/hyperlink" Target="https://osu.ppy.sh/community/matches/110484639" TargetMode="External"/><Relationship Id="rId56" Type="http://schemas.openxmlformats.org/officeDocument/2006/relationships/hyperlink" Target="https://osu.ppy.sh/community/matches/110481100" TargetMode="External"/><Relationship Id="rId59" Type="http://schemas.openxmlformats.org/officeDocument/2006/relationships/hyperlink" Target="https://osu.ppy.sh/community/matches/110507463" TargetMode="External"/><Relationship Id="rId58" Type="http://schemas.openxmlformats.org/officeDocument/2006/relationships/hyperlink" Target="https://osu.ppy.sh/community/matches/110493889"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osu.ppy.sh/community/matches/110299202" TargetMode="External"/><Relationship Id="rId42" Type="http://schemas.openxmlformats.org/officeDocument/2006/relationships/hyperlink" Target="https://osu.ppy.sh/community/matches/110313675" TargetMode="External"/><Relationship Id="rId41" Type="http://schemas.openxmlformats.org/officeDocument/2006/relationships/hyperlink" Target="https://osu.ppy.sh/community/matches/110283001" TargetMode="External"/><Relationship Id="rId44" Type="http://schemas.openxmlformats.org/officeDocument/2006/relationships/hyperlink" Target="https://osu.ppy.sh/community/matches/110300869" TargetMode="External"/><Relationship Id="rId43" Type="http://schemas.openxmlformats.org/officeDocument/2006/relationships/hyperlink" Target="https://osu.ppy.sh/community/matches/110298939" TargetMode="External"/><Relationship Id="rId46" Type="http://schemas.openxmlformats.org/officeDocument/2006/relationships/hyperlink" Target="https://osu.ppy.sh/community/matches/110289632" TargetMode="External"/><Relationship Id="rId45" Type="http://schemas.openxmlformats.org/officeDocument/2006/relationships/hyperlink" Target="https://osu.ppy.sh/community/matches/110282200" TargetMode="External"/><Relationship Id="rId48" Type="http://schemas.openxmlformats.org/officeDocument/2006/relationships/hyperlink" Target="https://osu.ppy.sh/community/matches/110365741" TargetMode="External"/><Relationship Id="rId47" Type="http://schemas.openxmlformats.org/officeDocument/2006/relationships/hyperlink" Target="https://osu.ppy.sh/community/matches/110299252" TargetMode="External"/><Relationship Id="rId49" Type="http://schemas.openxmlformats.org/officeDocument/2006/relationships/hyperlink" Target="https://osu.ppy.sh/community/matches/110370451" TargetMode="External"/><Relationship Id="rId31" Type="http://schemas.openxmlformats.org/officeDocument/2006/relationships/hyperlink" Target="https://osu.ppy.sh/community/matches/110157424" TargetMode="External"/><Relationship Id="rId30" Type="http://schemas.openxmlformats.org/officeDocument/2006/relationships/hyperlink" Target="https://osu.ppy.sh/community/matches/110184531" TargetMode="External"/><Relationship Id="rId33" Type="http://schemas.openxmlformats.org/officeDocument/2006/relationships/hyperlink" Target="https://osu.ppy.sh/community/matches/110174570" TargetMode="External"/><Relationship Id="rId32" Type="http://schemas.openxmlformats.org/officeDocument/2006/relationships/hyperlink" Target="https://osu.ppy.sh/community/matches/110156344" TargetMode="External"/><Relationship Id="rId35" Type="http://schemas.openxmlformats.org/officeDocument/2006/relationships/hyperlink" Target="https://osu.ppy.sh/community/matches/110291479" TargetMode="External"/><Relationship Id="rId34" Type="http://schemas.openxmlformats.org/officeDocument/2006/relationships/hyperlink" Target="https://osu.ppy.sh/community/matches/110301082" TargetMode="External"/><Relationship Id="rId37" Type="http://schemas.openxmlformats.org/officeDocument/2006/relationships/hyperlink" Target="https://osu.ppy.sh/community/matches/110275875" TargetMode="External"/><Relationship Id="rId36" Type="http://schemas.openxmlformats.org/officeDocument/2006/relationships/hyperlink" Target="https://osu.ppy.sh/community/matches/110301327" TargetMode="External"/><Relationship Id="rId39" Type="http://schemas.openxmlformats.org/officeDocument/2006/relationships/hyperlink" Target="https://osu.ppy.sh/community/matches/110283874" TargetMode="External"/><Relationship Id="rId38" Type="http://schemas.openxmlformats.org/officeDocument/2006/relationships/hyperlink" Target="https://osu.ppy.sh/community/matches/110283000" TargetMode="External"/><Relationship Id="rId20" Type="http://schemas.openxmlformats.org/officeDocument/2006/relationships/hyperlink" Target="https://osu.ppy.sh/community/matches/110190490" TargetMode="External"/><Relationship Id="rId22" Type="http://schemas.openxmlformats.org/officeDocument/2006/relationships/hyperlink" Target="https://osu.ppy.sh/community/matches/110175433" TargetMode="External"/><Relationship Id="rId21" Type="http://schemas.openxmlformats.org/officeDocument/2006/relationships/hyperlink" Target="https://osu.ppy.sh/community/matches/110194908" TargetMode="External"/><Relationship Id="rId24" Type="http://schemas.openxmlformats.org/officeDocument/2006/relationships/hyperlink" Target="https://osu.ppy.sh/community/matches/110177686" TargetMode="External"/><Relationship Id="rId23" Type="http://schemas.openxmlformats.org/officeDocument/2006/relationships/hyperlink" Target="https://osu.ppy.sh/community/matches/110174567" TargetMode="External"/><Relationship Id="rId26" Type="http://schemas.openxmlformats.org/officeDocument/2006/relationships/hyperlink" Target="https://osu.ppy.sh/community/matches/110190477" TargetMode="External"/><Relationship Id="rId25" Type="http://schemas.openxmlformats.org/officeDocument/2006/relationships/hyperlink" Target="https://osu.ppy.sh/community/matches/110185577" TargetMode="External"/><Relationship Id="rId28" Type="http://schemas.openxmlformats.org/officeDocument/2006/relationships/hyperlink" Target="https://osu.ppy.sh/community/matches/110179406" TargetMode="External"/><Relationship Id="rId27" Type="http://schemas.openxmlformats.org/officeDocument/2006/relationships/hyperlink" Target="https://osu.ppy.sh/community/matches/110176380" TargetMode="External"/><Relationship Id="rId29" Type="http://schemas.openxmlformats.org/officeDocument/2006/relationships/hyperlink" Target="https://osu.ppy.sh/community/matches/110191205" TargetMode="External"/><Relationship Id="rId11" Type="http://schemas.openxmlformats.org/officeDocument/2006/relationships/hyperlink" Target="https://osu.ppy.sh/community/matches/110068687" TargetMode="External"/><Relationship Id="rId10" Type="http://schemas.openxmlformats.org/officeDocument/2006/relationships/hyperlink" Target="https://osu.ppy.sh/community/matches/110077688" TargetMode="External"/><Relationship Id="rId13" Type="http://schemas.openxmlformats.org/officeDocument/2006/relationships/hyperlink" Target="https://osu.ppy.sh/community/matches/110051882" TargetMode="External"/><Relationship Id="rId12" Type="http://schemas.openxmlformats.org/officeDocument/2006/relationships/hyperlink" Target="https://osu.ppy.sh/community/matches/110085247" TargetMode="External"/><Relationship Id="rId15" Type="http://schemas.openxmlformats.org/officeDocument/2006/relationships/hyperlink" Target="https://osu.ppy.sh/community/matches/110067582" TargetMode="External"/><Relationship Id="rId14" Type="http://schemas.openxmlformats.org/officeDocument/2006/relationships/hyperlink" Target="https://osu.ppy.sh/community/matches/110077387" TargetMode="External"/><Relationship Id="rId17" Type="http://schemas.openxmlformats.org/officeDocument/2006/relationships/hyperlink" Target="https://osu.ppy.sh/community/matches/110089262" TargetMode="External"/><Relationship Id="rId16" Type="http://schemas.openxmlformats.org/officeDocument/2006/relationships/hyperlink" Target="https://osu.ppy.sh/community/matches/110063252" TargetMode="External"/><Relationship Id="rId19" Type="http://schemas.openxmlformats.org/officeDocument/2006/relationships/hyperlink" Target="https://osu.ppy.sh/community/matches/110178185" TargetMode="External"/><Relationship Id="rId18" Type="http://schemas.openxmlformats.org/officeDocument/2006/relationships/hyperlink" Target="https://osu.ppy.sh/community/matches/110206456" TargetMode="External"/><Relationship Id="rId1" Type="http://schemas.openxmlformats.org/officeDocument/2006/relationships/comments" Target="../comments5.xml"/><Relationship Id="rId2" Type="http://schemas.openxmlformats.org/officeDocument/2006/relationships/hyperlink" Target="https://osu.ppy.sh/community/matches/110051880" TargetMode="External"/><Relationship Id="rId3" Type="http://schemas.openxmlformats.org/officeDocument/2006/relationships/hyperlink" Target="https://osu.ppy.sh/mp/110066290" TargetMode="External"/><Relationship Id="rId4" Type="http://schemas.openxmlformats.org/officeDocument/2006/relationships/hyperlink" Target="https://osu.ppy.sh/mp/110090518" TargetMode="External"/><Relationship Id="rId9" Type="http://schemas.openxmlformats.org/officeDocument/2006/relationships/hyperlink" Target="https://osu.ppy.sh/mp/110067659" TargetMode="External"/><Relationship Id="rId5" Type="http://schemas.openxmlformats.org/officeDocument/2006/relationships/hyperlink" Target="https://osu.ppy.sh/community/matches/110051132" TargetMode="External"/><Relationship Id="rId6" Type="http://schemas.openxmlformats.org/officeDocument/2006/relationships/hyperlink" Target="https://osu.ppy.sh/community/matches/110087766" TargetMode="External"/><Relationship Id="rId7" Type="http://schemas.openxmlformats.org/officeDocument/2006/relationships/hyperlink" Target="https://osu.ppy.sh/community/matches/110076817" TargetMode="External"/><Relationship Id="rId8" Type="http://schemas.openxmlformats.org/officeDocument/2006/relationships/hyperlink" Target="https://osu.ppy.sh/mp/110067010" TargetMode="External"/><Relationship Id="rId62" Type="http://schemas.openxmlformats.org/officeDocument/2006/relationships/drawing" Target="../drawings/drawing8.xml"/><Relationship Id="rId61" Type="http://schemas.openxmlformats.org/officeDocument/2006/relationships/hyperlink" Target="https://osu.ppy.sh/community/matches/110607052" TargetMode="External"/><Relationship Id="rId63" Type="http://schemas.openxmlformats.org/officeDocument/2006/relationships/vmlDrawing" Target="../drawings/vmlDrawing5.vml"/><Relationship Id="rId60" Type="http://schemas.openxmlformats.org/officeDocument/2006/relationships/hyperlink" Target="https://osu.ppy.sh/community/matches/110601167" TargetMode="External"/><Relationship Id="rId51" Type="http://schemas.openxmlformats.org/officeDocument/2006/relationships/hyperlink" Target="https://osu.ppy.sh/community/matches/110379556" TargetMode="External"/><Relationship Id="rId50" Type="http://schemas.openxmlformats.org/officeDocument/2006/relationships/hyperlink" Target="https://osu.ppy.sh/community/matches/110385386" TargetMode="External"/><Relationship Id="rId53" Type="http://schemas.openxmlformats.org/officeDocument/2006/relationships/hyperlink" Target="https://osu.ppy.sh/community/matches/110398000" TargetMode="External"/><Relationship Id="rId52" Type="http://schemas.openxmlformats.org/officeDocument/2006/relationships/hyperlink" Target="https://osu.ppy.sh/community/matches/110400479" TargetMode="External"/><Relationship Id="rId55" Type="http://schemas.openxmlformats.org/officeDocument/2006/relationships/hyperlink" Target="https://osu.ppy.sh/community/matches/110388082" TargetMode="External"/><Relationship Id="rId54" Type="http://schemas.openxmlformats.org/officeDocument/2006/relationships/hyperlink" Target="https://osu.ppy.sh/community/matches/110400514" TargetMode="External"/><Relationship Id="rId57" Type="http://schemas.openxmlformats.org/officeDocument/2006/relationships/hyperlink" Target="https://osu.ppy.sh/community/matches/110484639" TargetMode="External"/><Relationship Id="rId56" Type="http://schemas.openxmlformats.org/officeDocument/2006/relationships/hyperlink" Target="https://osu.ppy.sh/community/matches/110481100" TargetMode="External"/><Relationship Id="rId59" Type="http://schemas.openxmlformats.org/officeDocument/2006/relationships/hyperlink" Target="https://osu.ppy.sh/community/matches/110493889" TargetMode="External"/><Relationship Id="rId58" Type="http://schemas.openxmlformats.org/officeDocument/2006/relationships/hyperlink" Target="https://osu.ppy.sh/community/matches/110507463"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1" Type="http://schemas.openxmlformats.org/officeDocument/2006/relationships/hyperlink" Target="https://osu.ppy.sh/b/1521209" TargetMode="External"/><Relationship Id="rId10" Type="http://schemas.openxmlformats.org/officeDocument/2006/relationships/hyperlink" Target="https://osu.ppy.sh/b/3446883" TargetMode="External"/><Relationship Id="rId13" Type="http://schemas.openxmlformats.org/officeDocument/2006/relationships/hyperlink" Target="https://osu.ppy.sh/b/2151207" TargetMode="External"/><Relationship Id="rId12" Type="http://schemas.openxmlformats.org/officeDocument/2006/relationships/hyperlink" Target="https://osu.ppy.sh/b/3616100" TargetMode="External"/><Relationship Id="rId15" Type="http://schemas.openxmlformats.org/officeDocument/2006/relationships/hyperlink" Target="https://osu.ppy.sh/b/1857415" TargetMode="External"/><Relationship Id="rId14" Type="http://schemas.openxmlformats.org/officeDocument/2006/relationships/hyperlink" Target="https://osu.ppy.sh/b/417898" TargetMode="External"/><Relationship Id="rId17" Type="http://schemas.openxmlformats.org/officeDocument/2006/relationships/vmlDrawing" Target="../drawings/vmlDrawing6.vml"/><Relationship Id="rId16" Type="http://schemas.openxmlformats.org/officeDocument/2006/relationships/drawing" Target="../drawings/drawing11.xml"/><Relationship Id="rId1" Type="http://schemas.openxmlformats.org/officeDocument/2006/relationships/comments" Target="../comments6.xml"/><Relationship Id="rId2" Type="http://schemas.openxmlformats.org/officeDocument/2006/relationships/hyperlink" Target="https://osu.ppy.sh/b/2004679" TargetMode="External"/><Relationship Id="rId3" Type="http://schemas.openxmlformats.org/officeDocument/2006/relationships/hyperlink" Target="https://osu.ppy.sh/b/3239199" TargetMode="External"/><Relationship Id="rId4" Type="http://schemas.openxmlformats.org/officeDocument/2006/relationships/hyperlink" Target="https://osu.ppy.sh/b/2794904" TargetMode="External"/><Relationship Id="rId9" Type="http://schemas.openxmlformats.org/officeDocument/2006/relationships/hyperlink" Target="https://osu.ppy.sh/b/295650" TargetMode="External"/><Relationship Id="rId5" Type="http://schemas.openxmlformats.org/officeDocument/2006/relationships/hyperlink" Target="https://osu.ppy.sh/b/2853477" TargetMode="External"/><Relationship Id="rId6" Type="http://schemas.openxmlformats.org/officeDocument/2006/relationships/hyperlink" Target="https://osu.ppy.sh/b/1733441" TargetMode="External"/><Relationship Id="rId7" Type="http://schemas.openxmlformats.org/officeDocument/2006/relationships/hyperlink" Target="https://osu.ppy.sh/b/3460069" TargetMode="External"/><Relationship Id="rId8" Type="http://schemas.openxmlformats.org/officeDocument/2006/relationships/hyperlink" Target="https://osu.ppy.sh/b/1956568" TargetMode="External"/></Relationships>
</file>

<file path=xl/worksheets/_rels/sheet12.xml.rels><?xml version="1.0" encoding="UTF-8" standalone="yes"?><Relationships xmlns="http://schemas.openxmlformats.org/package/2006/relationships"><Relationship Id="rId20" Type="http://schemas.openxmlformats.org/officeDocument/2006/relationships/drawing" Target="../drawings/drawing12.xml"/><Relationship Id="rId21" Type="http://schemas.openxmlformats.org/officeDocument/2006/relationships/vmlDrawing" Target="../drawings/vmlDrawing7.vml"/><Relationship Id="rId11" Type="http://schemas.openxmlformats.org/officeDocument/2006/relationships/hyperlink" Target="https://osu.ppy.sh/b/3454421" TargetMode="External"/><Relationship Id="rId10" Type="http://schemas.openxmlformats.org/officeDocument/2006/relationships/hyperlink" Target="https://osu.ppy.sh/b/2044890" TargetMode="External"/><Relationship Id="rId13" Type="http://schemas.openxmlformats.org/officeDocument/2006/relationships/hyperlink" Target="https://osu.ppy.sh/b/1405094" TargetMode="External"/><Relationship Id="rId12" Type="http://schemas.openxmlformats.org/officeDocument/2006/relationships/hyperlink" Target="https://osu.ppy.sh/b/2917786" TargetMode="External"/><Relationship Id="rId15" Type="http://schemas.openxmlformats.org/officeDocument/2006/relationships/hyperlink" Target="https://osu.ppy.sh/b/2388648" TargetMode="External"/><Relationship Id="rId14" Type="http://schemas.openxmlformats.org/officeDocument/2006/relationships/hyperlink" Target="https://osu.ppy.sh/b/1592512" TargetMode="External"/><Relationship Id="rId17" Type="http://schemas.openxmlformats.org/officeDocument/2006/relationships/hyperlink" Target="https://osu.ppy.sh/b/2514122" TargetMode="External"/><Relationship Id="rId16" Type="http://schemas.openxmlformats.org/officeDocument/2006/relationships/hyperlink" Target="https://osu.ppy.sh/b/3819183" TargetMode="External"/><Relationship Id="rId19" Type="http://schemas.openxmlformats.org/officeDocument/2006/relationships/hyperlink" Target="https://osu.ppy.sh/b/1248147" TargetMode="External"/><Relationship Id="rId18" Type="http://schemas.openxmlformats.org/officeDocument/2006/relationships/hyperlink" Target="https://osu.ppy.sh/b/28366" TargetMode="External"/><Relationship Id="rId1" Type="http://schemas.openxmlformats.org/officeDocument/2006/relationships/comments" Target="../comments7.xml"/><Relationship Id="rId2" Type="http://schemas.openxmlformats.org/officeDocument/2006/relationships/hyperlink" Target="https://osu.ppy.sh/community/matches/110365741" TargetMode="External"/><Relationship Id="rId3" Type="http://schemas.openxmlformats.org/officeDocument/2006/relationships/hyperlink" Target="https://osu.ppy.sh/b/3656173" TargetMode="External"/><Relationship Id="rId4" Type="http://schemas.openxmlformats.org/officeDocument/2006/relationships/hyperlink" Target="https://osu.ppy.sh/b/2715749" TargetMode="External"/><Relationship Id="rId9" Type="http://schemas.openxmlformats.org/officeDocument/2006/relationships/hyperlink" Target="https://osu.ppy.sh/b/2277128" TargetMode="External"/><Relationship Id="rId5" Type="http://schemas.openxmlformats.org/officeDocument/2006/relationships/hyperlink" Target="https://osu.ppy.sh/b/3291796" TargetMode="External"/><Relationship Id="rId6" Type="http://schemas.openxmlformats.org/officeDocument/2006/relationships/hyperlink" Target="https://osu.ppy.sh/b/3187491" TargetMode="External"/><Relationship Id="rId7" Type="http://schemas.openxmlformats.org/officeDocument/2006/relationships/hyperlink" Target="https://osu.ppy.sh/b/3990086" TargetMode="External"/><Relationship Id="rId8" Type="http://schemas.openxmlformats.org/officeDocument/2006/relationships/hyperlink" Target="https://osu.ppy.sh/b/1972425" TargetMode="External"/></Relationships>
</file>

<file path=xl/worksheets/_rels/sheet13.xml.rels><?xml version="1.0" encoding="UTF-8" standalone="yes"?><Relationships xmlns="http://schemas.openxmlformats.org/package/2006/relationships"><Relationship Id="rId20" Type="http://schemas.openxmlformats.org/officeDocument/2006/relationships/vmlDrawing" Target="../drawings/vmlDrawing8.vml"/><Relationship Id="rId11" Type="http://schemas.openxmlformats.org/officeDocument/2006/relationships/hyperlink" Target="https://osu.ppy.sh/b/37750" TargetMode="External"/><Relationship Id="rId10" Type="http://schemas.openxmlformats.org/officeDocument/2006/relationships/hyperlink" Target="https://osu.ppy.sh/b/3913591" TargetMode="External"/><Relationship Id="rId13" Type="http://schemas.openxmlformats.org/officeDocument/2006/relationships/hyperlink" Target="https://osu.ppy.sh/b/674080" TargetMode="External"/><Relationship Id="rId12" Type="http://schemas.openxmlformats.org/officeDocument/2006/relationships/hyperlink" Target="https://osu.ppy.sh/b/3248255" TargetMode="External"/><Relationship Id="rId15" Type="http://schemas.openxmlformats.org/officeDocument/2006/relationships/hyperlink" Target="https://osu.ppy.sh/b/3822599" TargetMode="External"/><Relationship Id="rId14" Type="http://schemas.openxmlformats.org/officeDocument/2006/relationships/hyperlink" Target="https://osu.ppy.sh/b/3299370" TargetMode="External"/><Relationship Id="rId17" Type="http://schemas.openxmlformats.org/officeDocument/2006/relationships/hyperlink" Target="https://osu.ppy.sh/b/3804111" TargetMode="External"/><Relationship Id="rId16" Type="http://schemas.openxmlformats.org/officeDocument/2006/relationships/hyperlink" Target="https://osu.ppy.sh/b/3274886" TargetMode="External"/><Relationship Id="rId19" Type="http://schemas.openxmlformats.org/officeDocument/2006/relationships/drawing" Target="../drawings/drawing13.xml"/><Relationship Id="rId18" Type="http://schemas.openxmlformats.org/officeDocument/2006/relationships/hyperlink" Target="https://osu.ppy.sh/b/577517" TargetMode="External"/><Relationship Id="rId1" Type="http://schemas.openxmlformats.org/officeDocument/2006/relationships/comments" Target="../comments8.xml"/><Relationship Id="rId2" Type="http://schemas.openxmlformats.org/officeDocument/2006/relationships/hyperlink" Target="https://osu.ppy.sh/b/1838159" TargetMode="External"/><Relationship Id="rId3" Type="http://schemas.openxmlformats.org/officeDocument/2006/relationships/hyperlink" Target="https://osu.ppy.sh/b/2568756" TargetMode="External"/><Relationship Id="rId4" Type="http://schemas.openxmlformats.org/officeDocument/2006/relationships/hyperlink" Target="https://osu.ppy.sh/b/3341368" TargetMode="External"/><Relationship Id="rId9" Type="http://schemas.openxmlformats.org/officeDocument/2006/relationships/hyperlink" Target="https://osu.ppy.sh/b/1491793" TargetMode="External"/><Relationship Id="rId5" Type="http://schemas.openxmlformats.org/officeDocument/2006/relationships/hyperlink" Target="https://osu.ppy.sh/b/4215637" TargetMode="External"/><Relationship Id="rId6" Type="http://schemas.openxmlformats.org/officeDocument/2006/relationships/hyperlink" Target="https://osu.ppy.sh/b/3821597" TargetMode="External"/><Relationship Id="rId7" Type="http://schemas.openxmlformats.org/officeDocument/2006/relationships/hyperlink" Target="https://osu.ppy.sh/b/2671048" TargetMode="External"/><Relationship Id="rId8" Type="http://schemas.openxmlformats.org/officeDocument/2006/relationships/hyperlink" Target="https://osu.ppy.sh/b/105978" TargetMode="External"/></Relationships>
</file>

<file path=xl/worksheets/_rels/sheet14.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14.xml"/><Relationship Id="rId16" Type="http://schemas.openxmlformats.org/officeDocument/2006/relationships/hyperlink" Target="https://osu.ppy.sh/b/3446761" TargetMode="External"/><Relationship Id="rId18" Type="http://schemas.openxmlformats.org/officeDocument/2006/relationships/vmlDrawing" Target="../drawings/vmlDrawing9.vml"/><Relationship Id="rId1" Type="http://schemas.openxmlformats.org/officeDocument/2006/relationships/comments" Target="../comments9.xml"/><Relationship Id="rId2" Type="http://schemas.openxmlformats.org/officeDocument/2006/relationships/hyperlink" Target="https://osu.ppy.sh/community/matches/110051880"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15.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15.xml"/><Relationship Id="rId16" Type="http://schemas.openxmlformats.org/officeDocument/2006/relationships/hyperlink" Target="https://osu.ppy.sh/b/3446761" TargetMode="External"/><Relationship Id="rId18" Type="http://schemas.openxmlformats.org/officeDocument/2006/relationships/vmlDrawing" Target="../drawings/vmlDrawing10.vml"/><Relationship Id="rId1" Type="http://schemas.openxmlformats.org/officeDocument/2006/relationships/comments" Target="../comments10.xml"/><Relationship Id="rId2" Type="http://schemas.openxmlformats.org/officeDocument/2006/relationships/hyperlink" Target="https://osu.ppy.sh/mp/110066290"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16.xml"/><Relationship Id="rId16" Type="http://schemas.openxmlformats.org/officeDocument/2006/relationships/hyperlink" Target="https://osu.ppy.sh/b/3446761" TargetMode="External"/><Relationship Id="rId18" Type="http://schemas.openxmlformats.org/officeDocument/2006/relationships/vmlDrawing" Target="../drawings/vmlDrawing11.vml"/><Relationship Id="rId1" Type="http://schemas.openxmlformats.org/officeDocument/2006/relationships/comments" Target="../comments11.xml"/><Relationship Id="rId2" Type="http://schemas.openxmlformats.org/officeDocument/2006/relationships/hyperlink" Target="https://osu.ppy.sh/mp/110090518"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17.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17.xml"/><Relationship Id="rId16" Type="http://schemas.openxmlformats.org/officeDocument/2006/relationships/hyperlink" Target="https://osu.ppy.sh/b/3446761" TargetMode="External"/><Relationship Id="rId18" Type="http://schemas.openxmlformats.org/officeDocument/2006/relationships/vmlDrawing" Target="../drawings/vmlDrawing12.vml"/><Relationship Id="rId1" Type="http://schemas.openxmlformats.org/officeDocument/2006/relationships/comments" Target="../comments12.xml"/><Relationship Id="rId2" Type="http://schemas.openxmlformats.org/officeDocument/2006/relationships/hyperlink" Target="https://osu.ppy.sh/community/matches/110051132"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18.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18.xml"/><Relationship Id="rId16" Type="http://schemas.openxmlformats.org/officeDocument/2006/relationships/hyperlink" Target="https://osu.ppy.sh/b/3446761" TargetMode="External"/><Relationship Id="rId18" Type="http://schemas.openxmlformats.org/officeDocument/2006/relationships/vmlDrawing" Target="../drawings/vmlDrawing13.vml"/><Relationship Id="rId1" Type="http://schemas.openxmlformats.org/officeDocument/2006/relationships/comments" Target="../comments13.xml"/><Relationship Id="rId2" Type="http://schemas.openxmlformats.org/officeDocument/2006/relationships/hyperlink" Target="https://osu.ppy.sh/community/matches/110087766"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19.xml"/><Relationship Id="rId16" Type="http://schemas.openxmlformats.org/officeDocument/2006/relationships/hyperlink" Target="https://osu.ppy.sh/b/3446761" TargetMode="External"/><Relationship Id="rId18" Type="http://schemas.openxmlformats.org/officeDocument/2006/relationships/vmlDrawing" Target="../drawings/vmlDrawing14.vml"/><Relationship Id="rId1" Type="http://schemas.openxmlformats.org/officeDocument/2006/relationships/comments" Target="../comments14.xml"/><Relationship Id="rId2" Type="http://schemas.openxmlformats.org/officeDocument/2006/relationships/hyperlink" Target="https://osu.ppy.sh/community/matches/110076817"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0.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0.xml"/><Relationship Id="rId16" Type="http://schemas.openxmlformats.org/officeDocument/2006/relationships/hyperlink" Target="https://osu.ppy.sh/b/3446761" TargetMode="External"/><Relationship Id="rId18" Type="http://schemas.openxmlformats.org/officeDocument/2006/relationships/vmlDrawing" Target="../drawings/vmlDrawing15.vml"/><Relationship Id="rId1" Type="http://schemas.openxmlformats.org/officeDocument/2006/relationships/comments" Target="../comments15.xml"/><Relationship Id="rId2" Type="http://schemas.openxmlformats.org/officeDocument/2006/relationships/hyperlink" Target="https://osu.ppy.sh/mp/110067010"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1.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1.xml"/><Relationship Id="rId16" Type="http://schemas.openxmlformats.org/officeDocument/2006/relationships/hyperlink" Target="https://osu.ppy.sh/b/3446761" TargetMode="External"/><Relationship Id="rId18" Type="http://schemas.openxmlformats.org/officeDocument/2006/relationships/vmlDrawing" Target="../drawings/vmlDrawing16.vml"/><Relationship Id="rId1" Type="http://schemas.openxmlformats.org/officeDocument/2006/relationships/comments" Target="../comments16.xml"/><Relationship Id="rId2" Type="http://schemas.openxmlformats.org/officeDocument/2006/relationships/hyperlink" Target="https://osu.ppy.sh/mp/110067659"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2.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2.xml"/><Relationship Id="rId16" Type="http://schemas.openxmlformats.org/officeDocument/2006/relationships/hyperlink" Target="https://osu.ppy.sh/b/3446761" TargetMode="External"/><Relationship Id="rId18" Type="http://schemas.openxmlformats.org/officeDocument/2006/relationships/vmlDrawing" Target="../drawings/vmlDrawing17.vml"/><Relationship Id="rId1" Type="http://schemas.openxmlformats.org/officeDocument/2006/relationships/comments" Target="../comments17.xml"/><Relationship Id="rId2" Type="http://schemas.openxmlformats.org/officeDocument/2006/relationships/hyperlink" Target="https://osu.ppy.sh/community/matches/110077688"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3.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3.xml"/><Relationship Id="rId16" Type="http://schemas.openxmlformats.org/officeDocument/2006/relationships/hyperlink" Target="https://osu.ppy.sh/b/3446761" TargetMode="External"/><Relationship Id="rId18" Type="http://schemas.openxmlformats.org/officeDocument/2006/relationships/vmlDrawing" Target="../drawings/vmlDrawing18.vml"/><Relationship Id="rId1" Type="http://schemas.openxmlformats.org/officeDocument/2006/relationships/comments" Target="../comments18.xml"/><Relationship Id="rId2" Type="http://schemas.openxmlformats.org/officeDocument/2006/relationships/hyperlink" Target="https://osu.ppy.sh/community/matches/110068687"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4.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4.xml"/><Relationship Id="rId16" Type="http://schemas.openxmlformats.org/officeDocument/2006/relationships/hyperlink" Target="https://osu.ppy.sh/b/3446761" TargetMode="External"/><Relationship Id="rId18" Type="http://schemas.openxmlformats.org/officeDocument/2006/relationships/vmlDrawing" Target="../drawings/vmlDrawing19.vml"/><Relationship Id="rId1" Type="http://schemas.openxmlformats.org/officeDocument/2006/relationships/comments" Target="../comments19.xml"/><Relationship Id="rId2" Type="http://schemas.openxmlformats.org/officeDocument/2006/relationships/hyperlink" Target="https://osu.ppy.sh/community/matches/110085247"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5.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5.xml"/><Relationship Id="rId16" Type="http://schemas.openxmlformats.org/officeDocument/2006/relationships/hyperlink" Target="https://osu.ppy.sh/b/3446761" TargetMode="External"/><Relationship Id="rId18" Type="http://schemas.openxmlformats.org/officeDocument/2006/relationships/vmlDrawing" Target="../drawings/vmlDrawing20.vml"/><Relationship Id="rId1" Type="http://schemas.openxmlformats.org/officeDocument/2006/relationships/comments" Target="../comments20.xml"/><Relationship Id="rId2" Type="http://schemas.openxmlformats.org/officeDocument/2006/relationships/hyperlink" Target="https://osu.ppy.sh/community/matches/110051882"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6.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6.xml"/><Relationship Id="rId16" Type="http://schemas.openxmlformats.org/officeDocument/2006/relationships/hyperlink" Target="https://osu.ppy.sh/b/3446761" TargetMode="External"/><Relationship Id="rId18" Type="http://schemas.openxmlformats.org/officeDocument/2006/relationships/vmlDrawing" Target="../drawings/vmlDrawing21.vml"/><Relationship Id="rId1" Type="http://schemas.openxmlformats.org/officeDocument/2006/relationships/comments" Target="../comments21.xml"/><Relationship Id="rId2" Type="http://schemas.openxmlformats.org/officeDocument/2006/relationships/hyperlink" Target="https://osu.ppy.sh/community/matches/110077387"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7.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7.xml"/><Relationship Id="rId16" Type="http://schemas.openxmlformats.org/officeDocument/2006/relationships/hyperlink" Target="https://osu.ppy.sh/b/3446761" TargetMode="External"/><Relationship Id="rId18" Type="http://schemas.openxmlformats.org/officeDocument/2006/relationships/vmlDrawing" Target="../drawings/vmlDrawing22.vml"/><Relationship Id="rId1" Type="http://schemas.openxmlformats.org/officeDocument/2006/relationships/comments" Target="../comments22.xml"/><Relationship Id="rId2" Type="http://schemas.openxmlformats.org/officeDocument/2006/relationships/hyperlink" Target="https://osu.ppy.sh/community/matches/110067582"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8.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8.xml"/><Relationship Id="rId16" Type="http://schemas.openxmlformats.org/officeDocument/2006/relationships/hyperlink" Target="https://osu.ppy.sh/b/3446761" TargetMode="External"/><Relationship Id="rId18" Type="http://schemas.openxmlformats.org/officeDocument/2006/relationships/vmlDrawing" Target="../drawings/vmlDrawing23.vml"/><Relationship Id="rId1" Type="http://schemas.openxmlformats.org/officeDocument/2006/relationships/comments" Target="../comments23.xml"/><Relationship Id="rId2" Type="http://schemas.openxmlformats.org/officeDocument/2006/relationships/hyperlink" Target="https://osu.ppy.sh/community/matches/110063252"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29.xml.rels><?xml version="1.0" encoding="UTF-8" standalone="yes"?><Relationships xmlns="http://schemas.openxmlformats.org/package/2006/relationships"><Relationship Id="rId11" Type="http://schemas.openxmlformats.org/officeDocument/2006/relationships/hyperlink" Target="https://osu.ppy.sh/b/2044893" TargetMode="External"/><Relationship Id="rId10" Type="http://schemas.openxmlformats.org/officeDocument/2006/relationships/hyperlink" Target="https://osu.ppy.sh/b/2110801" TargetMode="External"/><Relationship Id="rId13" Type="http://schemas.openxmlformats.org/officeDocument/2006/relationships/hyperlink" Target="https://osu.ppy.sh/b/3396305" TargetMode="External"/><Relationship Id="rId12" Type="http://schemas.openxmlformats.org/officeDocument/2006/relationships/hyperlink" Target="https://osu.ppy.sh/b/2366848" TargetMode="External"/><Relationship Id="rId15" Type="http://schemas.openxmlformats.org/officeDocument/2006/relationships/hyperlink" Target="https://osu.ppy.sh/b/3743202" TargetMode="External"/><Relationship Id="rId14" Type="http://schemas.openxmlformats.org/officeDocument/2006/relationships/hyperlink" Target="https://osu.ppy.sh/b/846261" TargetMode="External"/><Relationship Id="rId17" Type="http://schemas.openxmlformats.org/officeDocument/2006/relationships/drawing" Target="../drawings/drawing29.xml"/><Relationship Id="rId16" Type="http://schemas.openxmlformats.org/officeDocument/2006/relationships/hyperlink" Target="https://osu.ppy.sh/b/3446761" TargetMode="External"/><Relationship Id="rId18" Type="http://schemas.openxmlformats.org/officeDocument/2006/relationships/vmlDrawing" Target="../drawings/vmlDrawing24.vml"/><Relationship Id="rId1" Type="http://schemas.openxmlformats.org/officeDocument/2006/relationships/comments" Target="../comments24.xml"/><Relationship Id="rId2" Type="http://schemas.openxmlformats.org/officeDocument/2006/relationships/hyperlink" Target="https://osu.ppy.sh/community/matches/110089262" TargetMode="External"/><Relationship Id="rId3" Type="http://schemas.openxmlformats.org/officeDocument/2006/relationships/hyperlink" Target="https://osu.ppy.sh/b/3297107" TargetMode="External"/><Relationship Id="rId4" Type="http://schemas.openxmlformats.org/officeDocument/2006/relationships/hyperlink" Target="https://osu.ppy.sh/b/2440455" TargetMode="External"/><Relationship Id="rId9" Type="http://schemas.openxmlformats.org/officeDocument/2006/relationships/hyperlink" Target="https://osu.ppy.sh/b/2659337" TargetMode="External"/><Relationship Id="rId5" Type="http://schemas.openxmlformats.org/officeDocument/2006/relationships/hyperlink" Target="https://osu.ppy.sh/b/3248876" TargetMode="External"/><Relationship Id="rId6" Type="http://schemas.openxmlformats.org/officeDocument/2006/relationships/hyperlink" Target="https://osu.ppy.sh/b/1989991" TargetMode="External"/><Relationship Id="rId7" Type="http://schemas.openxmlformats.org/officeDocument/2006/relationships/hyperlink" Target="https://osu.ppy.sh/b/3280686" TargetMode="External"/><Relationship Id="rId8" Type="http://schemas.openxmlformats.org/officeDocument/2006/relationships/hyperlink" Target="https://osu.ppy.sh/b/134141" TargetMode="External"/></Relationships>
</file>

<file path=xl/worksheets/_rels/sheet30.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0.xml"/><Relationship Id="rId16" Type="http://schemas.openxmlformats.org/officeDocument/2006/relationships/hyperlink" Target="https://osu.ppy.sh/b/1857415" TargetMode="External"/><Relationship Id="rId18" Type="http://schemas.openxmlformats.org/officeDocument/2006/relationships/vmlDrawing" Target="../drawings/vmlDrawing25.vml"/><Relationship Id="rId1" Type="http://schemas.openxmlformats.org/officeDocument/2006/relationships/comments" Target="../comments25.xml"/><Relationship Id="rId2" Type="http://schemas.openxmlformats.org/officeDocument/2006/relationships/hyperlink" Target="https://osu.ppy.sh/community/matches/110206456"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31.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1.xml"/><Relationship Id="rId16" Type="http://schemas.openxmlformats.org/officeDocument/2006/relationships/hyperlink" Target="https://osu.ppy.sh/b/1857415" TargetMode="External"/><Relationship Id="rId18" Type="http://schemas.openxmlformats.org/officeDocument/2006/relationships/vmlDrawing" Target="../drawings/vmlDrawing26.vml"/><Relationship Id="rId1" Type="http://schemas.openxmlformats.org/officeDocument/2006/relationships/comments" Target="../comments26.xml"/><Relationship Id="rId2" Type="http://schemas.openxmlformats.org/officeDocument/2006/relationships/hyperlink" Target="https://osu.ppy.sh/community/matches/110178185"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32.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2.xml"/><Relationship Id="rId16" Type="http://schemas.openxmlformats.org/officeDocument/2006/relationships/hyperlink" Target="https://osu.ppy.sh/b/1857415" TargetMode="External"/><Relationship Id="rId18" Type="http://schemas.openxmlformats.org/officeDocument/2006/relationships/vmlDrawing" Target="../drawings/vmlDrawing27.vml"/><Relationship Id="rId1" Type="http://schemas.openxmlformats.org/officeDocument/2006/relationships/comments" Target="../comments27.xml"/><Relationship Id="rId2" Type="http://schemas.openxmlformats.org/officeDocument/2006/relationships/hyperlink" Target="https://osu.ppy.sh/community/matches/110190490"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33.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3.xml"/><Relationship Id="rId16" Type="http://schemas.openxmlformats.org/officeDocument/2006/relationships/hyperlink" Target="https://osu.ppy.sh/b/1857415" TargetMode="External"/><Relationship Id="rId18" Type="http://schemas.openxmlformats.org/officeDocument/2006/relationships/vmlDrawing" Target="../drawings/vmlDrawing28.vml"/><Relationship Id="rId1" Type="http://schemas.openxmlformats.org/officeDocument/2006/relationships/comments" Target="../comments28.xml"/><Relationship Id="rId2" Type="http://schemas.openxmlformats.org/officeDocument/2006/relationships/hyperlink" Target="https://osu.ppy.sh/community/matches/110194908"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34.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4.xml"/><Relationship Id="rId16" Type="http://schemas.openxmlformats.org/officeDocument/2006/relationships/hyperlink" Target="https://osu.ppy.sh/b/1857415" TargetMode="External"/><Relationship Id="rId18" Type="http://schemas.openxmlformats.org/officeDocument/2006/relationships/vmlDrawing" Target="../drawings/vmlDrawing29.vml"/><Relationship Id="rId1" Type="http://schemas.openxmlformats.org/officeDocument/2006/relationships/comments" Target="../comments29.xml"/><Relationship Id="rId2" Type="http://schemas.openxmlformats.org/officeDocument/2006/relationships/hyperlink" Target="https://osu.ppy.sh/community/matches/110175433"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35.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5.xml"/><Relationship Id="rId16" Type="http://schemas.openxmlformats.org/officeDocument/2006/relationships/hyperlink" Target="https://osu.ppy.sh/b/1857415" TargetMode="External"/><Relationship Id="rId18" Type="http://schemas.openxmlformats.org/officeDocument/2006/relationships/vmlDrawing" Target="../drawings/vmlDrawing30.vml"/><Relationship Id="rId1" Type="http://schemas.openxmlformats.org/officeDocument/2006/relationships/comments" Target="../comments30.xml"/><Relationship Id="rId2" Type="http://schemas.openxmlformats.org/officeDocument/2006/relationships/hyperlink" Target="https://osu.ppy.sh/community/matches/110174567"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36.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6.xml"/><Relationship Id="rId16" Type="http://schemas.openxmlformats.org/officeDocument/2006/relationships/hyperlink" Target="https://osu.ppy.sh/b/1857415" TargetMode="External"/><Relationship Id="rId18" Type="http://schemas.openxmlformats.org/officeDocument/2006/relationships/vmlDrawing" Target="../drawings/vmlDrawing31.vml"/><Relationship Id="rId1" Type="http://schemas.openxmlformats.org/officeDocument/2006/relationships/comments" Target="../comments31.xml"/><Relationship Id="rId2" Type="http://schemas.openxmlformats.org/officeDocument/2006/relationships/hyperlink" Target="https://osu.ppy.sh/community/matches/110177686"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37.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7.xml"/><Relationship Id="rId16" Type="http://schemas.openxmlformats.org/officeDocument/2006/relationships/hyperlink" Target="https://osu.ppy.sh/b/1857415" TargetMode="External"/><Relationship Id="rId18" Type="http://schemas.openxmlformats.org/officeDocument/2006/relationships/vmlDrawing" Target="../drawings/vmlDrawing32.vml"/><Relationship Id="rId1" Type="http://schemas.openxmlformats.org/officeDocument/2006/relationships/comments" Target="../comments32.xml"/><Relationship Id="rId2" Type="http://schemas.openxmlformats.org/officeDocument/2006/relationships/hyperlink" Target="https://osu.ppy.sh/community/matches/110185577"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38.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8.xml"/><Relationship Id="rId16" Type="http://schemas.openxmlformats.org/officeDocument/2006/relationships/hyperlink" Target="https://osu.ppy.sh/b/1857415" TargetMode="External"/><Relationship Id="rId18" Type="http://schemas.openxmlformats.org/officeDocument/2006/relationships/vmlDrawing" Target="../drawings/vmlDrawing33.vml"/><Relationship Id="rId1" Type="http://schemas.openxmlformats.org/officeDocument/2006/relationships/comments" Target="../comments33.xml"/><Relationship Id="rId2" Type="http://schemas.openxmlformats.org/officeDocument/2006/relationships/hyperlink" Target="https://osu.ppy.sh/community/matches/110190477"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39.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39.xml"/><Relationship Id="rId16" Type="http://schemas.openxmlformats.org/officeDocument/2006/relationships/hyperlink" Target="https://osu.ppy.sh/b/1857415" TargetMode="External"/><Relationship Id="rId18" Type="http://schemas.openxmlformats.org/officeDocument/2006/relationships/vmlDrawing" Target="../drawings/vmlDrawing34.vml"/><Relationship Id="rId1" Type="http://schemas.openxmlformats.org/officeDocument/2006/relationships/comments" Target="../comments34.xml"/><Relationship Id="rId2" Type="http://schemas.openxmlformats.org/officeDocument/2006/relationships/hyperlink" Target="https://osu.ppy.sh/community/matches/110176380"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40.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40.xml"/><Relationship Id="rId16" Type="http://schemas.openxmlformats.org/officeDocument/2006/relationships/hyperlink" Target="https://osu.ppy.sh/b/1857415" TargetMode="External"/><Relationship Id="rId18" Type="http://schemas.openxmlformats.org/officeDocument/2006/relationships/vmlDrawing" Target="../drawings/vmlDrawing35.vml"/><Relationship Id="rId1" Type="http://schemas.openxmlformats.org/officeDocument/2006/relationships/comments" Target="../comments35.xml"/><Relationship Id="rId2" Type="http://schemas.openxmlformats.org/officeDocument/2006/relationships/hyperlink" Target="https://osu.ppy.sh/community/matches/110179406"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41.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41.xml"/><Relationship Id="rId16" Type="http://schemas.openxmlformats.org/officeDocument/2006/relationships/hyperlink" Target="https://osu.ppy.sh/b/1857415" TargetMode="External"/><Relationship Id="rId18" Type="http://schemas.openxmlformats.org/officeDocument/2006/relationships/vmlDrawing" Target="../drawings/vmlDrawing36.vml"/><Relationship Id="rId1" Type="http://schemas.openxmlformats.org/officeDocument/2006/relationships/comments" Target="../comments36.xml"/><Relationship Id="rId2" Type="http://schemas.openxmlformats.org/officeDocument/2006/relationships/hyperlink" Target="https://osu.ppy.sh/community/matches/110191205"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42.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42.xml"/><Relationship Id="rId16" Type="http://schemas.openxmlformats.org/officeDocument/2006/relationships/hyperlink" Target="https://osu.ppy.sh/b/1857415" TargetMode="External"/><Relationship Id="rId18" Type="http://schemas.openxmlformats.org/officeDocument/2006/relationships/vmlDrawing" Target="../drawings/vmlDrawing37.vml"/><Relationship Id="rId1" Type="http://schemas.openxmlformats.org/officeDocument/2006/relationships/comments" Target="../comments37.xml"/><Relationship Id="rId2" Type="http://schemas.openxmlformats.org/officeDocument/2006/relationships/hyperlink" Target="https://osu.ppy.sh/community/matches/110184531"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43.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43.xml"/><Relationship Id="rId16" Type="http://schemas.openxmlformats.org/officeDocument/2006/relationships/hyperlink" Target="https://osu.ppy.sh/b/1857415" TargetMode="External"/><Relationship Id="rId18" Type="http://schemas.openxmlformats.org/officeDocument/2006/relationships/vmlDrawing" Target="../drawings/vmlDrawing38.vml"/><Relationship Id="rId1" Type="http://schemas.openxmlformats.org/officeDocument/2006/relationships/comments" Target="../comments38.xml"/><Relationship Id="rId2" Type="http://schemas.openxmlformats.org/officeDocument/2006/relationships/hyperlink" Target="https://osu.ppy.sh/community/matches/110157424"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44.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44.xml"/><Relationship Id="rId16" Type="http://schemas.openxmlformats.org/officeDocument/2006/relationships/hyperlink" Target="https://osu.ppy.sh/b/1857415" TargetMode="External"/><Relationship Id="rId18" Type="http://schemas.openxmlformats.org/officeDocument/2006/relationships/vmlDrawing" Target="../drawings/vmlDrawing39.vml"/><Relationship Id="rId1" Type="http://schemas.openxmlformats.org/officeDocument/2006/relationships/comments" Target="../comments39.xml"/><Relationship Id="rId2" Type="http://schemas.openxmlformats.org/officeDocument/2006/relationships/hyperlink" Target="https://osu.ppy.sh/community/matches/110156344"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45.xml.rels><?xml version="1.0" encoding="UTF-8" standalone="yes"?><Relationships xmlns="http://schemas.openxmlformats.org/package/2006/relationships"><Relationship Id="rId11" Type="http://schemas.openxmlformats.org/officeDocument/2006/relationships/hyperlink" Target="https://osu.ppy.sh/b/3446883" TargetMode="External"/><Relationship Id="rId10" Type="http://schemas.openxmlformats.org/officeDocument/2006/relationships/hyperlink" Target="https://osu.ppy.sh/b/295650" TargetMode="External"/><Relationship Id="rId13" Type="http://schemas.openxmlformats.org/officeDocument/2006/relationships/hyperlink" Target="https://osu.ppy.sh/b/3616100" TargetMode="External"/><Relationship Id="rId12" Type="http://schemas.openxmlformats.org/officeDocument/2006/relationships/hyperlink" Target="https://osu.ppy.sh/b/1521209" TargetMode="External"/><Relationship Id="rId15" Type="http://schemas.openxmlformats.org/officeDocument/2006/relationships/hyperlink" Target="https://osu.ppy.sh/b/417898" TargetMode="External"/><Relationship Id="rId14" Type="http://schemas.openxmlformats.org/officeDocument/2006/relationships/hyperlink" Target="https://osu.ppy.sh/b/2151207" TargetMode="External"/><Relationship Id="rId17" Type="http://schemas.openxmlformats.org/officeDocument/2006/relationships/drawing" Target="../drawings/drawing45.xml"/><Relationship Id="rId16" Type="http://schemas.openxmlformats.org/officeDocument/2006/relationships/hyperlink" Target="https://osu.ppy.sh/b/1857415" TargetMode="External"/><Relationship Id="rId18" Type="http://schemas.openxmlformats.org/officeDocument/2006/relationships/vmlDrawing" Target="../drawings/vmlDrawing40.vml"/><Relationship Id="rId1" Type="http://schemas.openxmlformats.org/officeDocument/2006/relationships/comments" Target="../comments40.xml"/><Relationship Id="rId2" Type="http://schemas.openxmlformats.org/officeDocument/2006/relationships/hyperlink" Target="https://osu.ppy.sh/community/matches/110174570" TargetMode="External"/><Relationship Id="rId3" Type="http://schemas.openxmlformats.org/officeDocument/2006/relationships/hyperlink" Target="https://osu.ppy.sh/b/2004679" TargetMode="External"/><Relationship Id="rId4" Type="http://schemas.openxmlformats.org/officeDocument/2006/relationships/hyperlink" Target="https://osu.ppy.sh/b/3239199" TargetMode="External"/><Relationship Id="rId9" Type="http://schemas.openxmlformats.org/officeDocument/2006/relationships/hyperlink" Target="https://osu.ppy.sh/b/1956568" TargetMode="External"/><Relationship Id="rId5" Type="http://schemas.openxmlformats.org/officeDocument/2006/relationships/hyperlink" Target="https://osu.ppy.sh/b/2794904" TargetMode="External"/><Relationship Id="rId6" Type="http://schemas.openxmlformats.org/officeDocument/2006/relationships/hyperlink" Target="https://osu.ppy.sh/b/2853477" TargetMode="External"/><Relationship Id="rId7" Type="http://schemas.openxmlformats.org/officeDocument/2006/relationships/hyperlink" Target="https://osu.ppy.sh/b/1733441" TargetMode="External"/><Relationship Id="rId8" Type="http://schemas.openxmlformats.org/officeDocument/2006/relationships/hyperlink" Target="https://osu.ppy.sh/b/3460069" TargetMode="External"/></Relationships>
</file>

<file path=xl/worksheets/_rels/sheet46.xml.rels><?xml version="1.0" encoding="UTF-8" standalone="yes"?><Relationships xmlns="http://schemas.openxmlformats.org/package/2006/relationships"><Relationship Id="rId20" Type="http://schemas.openxmlformats.org/officeDocument/2006/relationships/drawing" Target="../drawings/drawing46.xml"/><Relationship Id="rId21" Type="http://schemas.openxmlformats.org/officeDocument/2006/relationships/vmlDrawing" Target="../drawings/vmlDrawing41.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41.xml"/><Relationship Id="rId2" Type="http://schemas.openxmlformats.org/officeDocument/2006/relationships/hyperlink" Target="https://osu.ppy.sh/community/matches/110301082"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47.xml.rels><?xml version="1.0" encoding="UTF-8" standalone="yes"?><Relationships xmlns="http://schemas.openxmlformats.org/package/2006/relationships"><Relationship Id="rId20" Type="http://schemas.openxmlformats.org/officeDocument/2006/relationships/drawing" Target="../drawings/drawing47.xml"/><Relationship Id="rId21" Type="http://schemas.openxmlformats.org/officeDocument/2006/relationships/vmlDrawing" Target="../drawings/vmlDrawing42.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42.xml"/><Relationship Id="rId2" Type="http://schemas.openxmlformats.org/officeDocument/2006/relationships/hyperlink" Target="https://osu.ppy.sh/community/matches/110291479"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48.xml.rels><?xml version="1.0" encoding="UTF-8" standalone="yes"?><Relationships xmlns="http://schemas.openxmlformats.org/package/2006/relationships"><Relationship Id="rId20" Type="http://schemas.openxmlformats.org/officeDocument/2006/relationships/drawing" Target="../drawings/drawing48.xml"/><Relationship Id="rId21" Type="http://schemas.openxmlformats.org/officeDocument/2006/relationships/vmlDrawing" Target="../drawings/vmlDrawing43.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43.xml"/><Relationship Id="rId2" Type="http://schemas.openxmlformats.org/officeDocument/2006/relationships/hyperlink" Target="https://osu.ppy.sh/community/matches/110301327"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49.xml.rels><?xml version="1.0" encoding="UTF-8" standalone="yes"?><Relationships xmlns="http://schemas.openxmlformats.org/package/2006/relationships"><Relationship Id="rId20" Type="http://schemas.openxmlformats.org/officeDocument/2006/relationships/drawing" Target="../drawings/drawing49.xml"/><Relationship Id="rId21" Type="http://schemas.openxmlformats.org/officeDocument/2006/relationships/vmlDrawing" Target="../drawings/vmlDrawing44.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44.xml"/><Relationship Id="rId2" Type="http://schemas.openxmlformats.org/officeDocument/2006/relationships/hyperlink" Target="https://osu.ppy.sh/community/matches/110275875"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0.xml.rels><?xml version="1.0" encoding="UTF-8" standalone="yes"?><Relationships xmlns="http://schemas.openxmlformats.org/package/2006/relationships"><Relationship Id="rId20" Type="http://schemas.openxmlformats.org/officeDocument/2006/relationships/drawing" Target="../drawings/drawing50.xml"/><Relationship Id="rId21" Type="http://schemas.openxmlformats.org/officeDocument/2006/relationships/vmlDrawing" Target="../drawings/vmlDrawing45.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45.xml"/><Relationship Id="rId2" Type="http://schemas.openxmlformats.org/officeDocument/2006/relationships/hyperlink" Target="https://osu.ppy.sh/community/matches/110283000"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1.xml.rels><?xml version="1.0" encoding="UTF-8" standalone="yes"?><Relationships xmlns="http://schemas.openxmlformats.org/package/2006/relationships"><Relationship Id="rId20" Type="http://schemas.openxmlformats.org/officeDocument/2006/relationships/drawing" Target="../drawings/drawing51.xml"/><Relationship Id="rId21" Type="http://schemas.openxmlformats.org/officeDocument/2006/relationships/vmlDrawing" Target="../drawings/vmlDrawing46.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46.xml"/><Relationship Id="rId2" Type="http://schemas.openxmlformats.org/officeDocument/2006/relationships/hyperlink" Target="https://osu.ppy.sh/community/matches/110283874"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2.xml.rels><?xml version="1.0" encoding="UTF-8" standalone="yes"?><Relationships xmlns="http://schemas.openxmlformats.org/package/2006/relationships"><Relationship Id="rId20" Type="http://schemas.openxmlformats.org/officeDocument/2006/relationships/drawing" Target="../drawings/drawing52.xml"/><Relationship Id="rId21" Type="http://schemas.openxmlformats.org/officeDocument/2006/relationships/vmlDrawing" Target="../drawings/vmlDrawing47.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47.xml"/><Relationship Id="rId2" Type="http://schemas.openxmlformats.org/officeDocument/2006/relationships/hyperlink" Target="https://osu.ppy.sh/community/matches/110299202"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3.xml.rels><?xml version="1.0" encoding="UTF-8" standalone="yes"?><Relationships xmlns="http://schemas.openxmlformats.org/package/2006/relationships"><Relationship Id="rId20" Type="http://schemas.openxmlformats.org/officeDocument/2006/relationships/drawing" Target="../drawings/drawing53.xml"/><Relationship Id="rId21" Type="http://schemas.openxmlformats.org/officeDocument/2006/relationships/vmlDrawing" Target="../drawings/vmlDrawing48.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48.xml"/><Relationship Id="rId2" Type="http://schemas.openxmlformats.org/officeDocument/2006/relationships/hyperlink" Target="https://osu.ppy.sh/community/matches/110283001"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4.xml.rels><?xml version="1.0" encoding="UTF-8" standalone="yes"?><Relationships xmlns="http://schemas.openxmlformats.org/package/2006/relationships"><Relationship Id="rId20" Type="http://schemas.openxmlformats.org/officeDocument/2006/relationships/drawing" Target="../drawings/drawing54.xml"/><Relationship Id="rId21" Type="http://schemas.openxmlformats.org/officeDocument/2006/relationships/vmlDrawing" Target="../drawings/vmlDrawing49.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49.xml"/><Relationship Id="rId2" Type="http://schemas.openxmlformats.org/officeDocument/2006/relationships/hyperlink" Target="https://osu.ppy.sh/community/matches/110313675"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5.xml.rels><?xml version="1.0" encoding="UTF-8" standalone="yes"?><Relationships xmlns="http://schemas.openxmlformats.org/package/2006/relationships"><Relationship Id="rId20" Type="http://schemas.openxmlformats.org/officeDocument/2006/relationships/drawing" Target="../drawings/drawing55.xml"/><Relationship Id="rId21" Type="http://schemas.openxmlformats.org/officeDocument/2006/relationships/vmlDrawing" Target="../drawings/vmlDrawing50.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50.xml"/><Relationship Id="rId2" Type="http://schemas.openxmlformats.org/officeDocument/2006/relationships/hyperlink" Target="https://osu.ppy.sh/community/matches/110298939"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6.xml.rels><?xml version="1.0" encoding="UTF-8" standalone="yes"?><Relationships xmlns="http://schemas.openxmlformats.org/package/2006/relationships"><Relationship Id="rId20" Type="http://schemas.openxmlformats.org/officeDocument/2006/relationships/drawing" Target="../drawings/drawing56.xml"/><Relationship Id="rId21" Type="http://schemas.openxmlformats.org/officeDocument/2006/relationships/vmlDrawing" Target="../drawings/vmlDrawing51.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51.xml"/><Relationship Id="rId2" Type="http://schemas.openxmlformats.org/officeDocument/2006/relationships/hyperlink" Target="https://osu.ppy.sh/community/matches/110300869"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7.xml.rels><?xml version="1.0" encoding="UTF-8" standalone="yes"?><Relationships xmlns="http://schemas.openxmlformats.org/package/2006/relationships"><Relationship Id="rId20" Type="http://schemas.openxmlformats.org/officeDocument/2006/relationships/drawing" Target="../drawings/drawing57.xml"/><Relationship Id="rId21" Type="http://schemas.openxmlformats.org/officeDocument/2006/relationships/vmlDrawing" Target="../drawings/vmlDrawing52.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52.xml"/><Relationship Id="rId2" Type="http://schemas.openxmlformats.org/officeDocument/2006/relationships/hyperlink" Target="https://osu.ppy.sh/community/matches/110289632"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8.xml.rels><?xml version="1.0" encoding="UTF-8" standalone="yes"?><Relationships xmlns="http://schemas.openxmlformats.org/package/2006/relationships"><Relationship Id="rId20" Type="http://schemas.openxmlformats.org/officeDocument/2006/relationships/drawing" Target="../drawings/drawing58.xml"/><Relationship Id="rId21" Type="http://schemas.openxmlformats.org/officeDocument/2006/relationships/vmlDrawing" Target="../drawings/vmlDrawing53.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53.xml"/><Relationship Id="rId2" Type="http://schemas.openxmlformats.org/officeDocument/2006/relationships/hyperlink" Target="https://osu.ppy.sh/community/matches/110282200"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59.xml.rels><?xml version="1.0" encoding="UTF-8" standalone="yes"?><Relationships xmlns="http://schemas.openxmlformats.org/package/2006/relationships"><Relationship Id="rId20" Type="http://schemas.openxmlformats.org/officeDocument/2006/relationships/vmlDrawing" Target="../drawings/vmlDrawing54.vml"/><Relationship Id="rId11" Type="http://schemas.openxmlformats.org/officeDocument/2006/relationships/hyperlink" Target="https://osu.ppy.sh/b/37750" TargetMode="External"/><Relationship Id="rId10" Type="http://schemas.openxmlformats.org/officeDocument/2006/relationships/hyperlink" Target="https://osu.ppy.sh/b/3913591" TargetMode="External"/><Relationship Id="rId13" Type="http://schemas.openxmlformats.org/officeDocument/2006/relationships/hyperlink" Target="https://osu.ppy.sh/b/674080" TargetMode="External"/><Relationship Id="rId12" Type="http://schemas.openxmlformats.org/officeDocument/2006/relationships/hyperlink" Target="https://osu.ppy.sh/b/3248255" TargetMode="External"/><Relationship Id="rId15" Type="http://schemas.openxmlformats.org/officeDocument/2006/relationships/hyperlink" Target="https://osu.ppy.sh/b/3822599" TargetMode="External"/><Relationship Id="rId14" Type="http://schemas.openxmlformats.org/officeDocument/2006/relationships/hyperlink" Target="https://osu.ppy.sh/b/3299370" TargetMode="External"/><Relationship Id="rId17" Type="http://schemas.openxmlformats.org/officeDocument/2006/relationships/hyperlink" Target="https://osu.ppy.sh/b/3804111" TargetMode="External"/><Relationship Id="rId16" Type="http://schemas.openxmlformats.org/officeDocument/2006/relationships/hyperlink" Target="https://osu.ppy.sh/b/3274886" TargetMode="External"/><Relationship Id="rId19" Type="http://schemas.openxmlformats.org/officeDocument/2006/relationships/drawing" Target="../drawings/drawing59.xml"/><Relationship Id="rId18" Type="http://schemas.openxmlformats.org/officeDocument/2006/relationships/hyperlink" Target="https://osu.ppy.sh/b/577517" TargetMode="External"/><Relationship Id="rId1" Type="http://schemas.openxmlformats.org/officeDocument/2006/relationships/comments" Target="../comments54.xml"/><Relationship Id="rId2" Type="http://schemas.openxmlformats.org/officeDocument/2006/relationships/hyperlink" Target="https://osu.ppy.sh/b/1838159" TargetMode="External"/><Relationship Id="rId3" Type="http://schemas.openxmlformats.org/officeDocument/2006/relationships/hyperlink" Target="https://osu.ppy.sh/b/2568756" TargetMode="External"/><Relationship Id="rId4" Type="http://schemas.openxmlformats.org/officeDocument/2006/relationships/hyperlink" Target="https://osu.ppy.sh/b/3341368" TargetMode="External"/><Relationship Id="rId9" Type="http://schemas.openxmlformats.org/officeDocument/2006/relationships/hyperlink" Target="https://osu.ppy.sh/b/1491793" TargetMode="External"/><Relationship Id="rId5" Type="http://schemas.openxmlformats.org/officeDocument/2006/relationships/hyperlink" Target="https://osu.ppy.sh/b/4215637" TargetMode="External"/><Relationship Id="rId6" Type="http://schemas.openxmlformats.org/officeDocument/2006/relationships/hyperlink" Target="https://osu.ppy.sh/b/3821597" TargetMode="External"/><Relationship Id="rId7" Type="http://schemas.openxmlformats.org/officeDocument/2006/relationships/hyperlink" Target="https://osu.ppy.sh/b/2671048" TargetMode="External"/><Relationship Id="rId8" Type="http://schemas.openxmlformats.org/officeDocument/2006/relationships/hyperlink" Target="https://osu.ppy.sh/b/105978" TargetMode="External"/></Relationships>
</file>

<file path=xl/worksheets/_rels/sheet60.xml.rels><?xml version="1.0" encoding="UTF-8" standalone="yes"?><Relationships xmlns="http://schemas.openxmlformats.org/package/2006/relationships"><Relationship Id="rId20" Type="http://schemas.openxmlformats.org/officeDocument/2006/relationships/drawing" Target="../drawings/drawing60.xml"/><Relationship Id="rId21" Type="http://schemas.openxmlformats.org/officeDocument/2006/relationships/vmlDrawing" Target="../drawings/vmlDrawing55.vml"/><Relationship Id="rId11" Type="http://schemas.openxmlformats.org/officeDocument/2006/relationships/hyperlink" Target="https://osu.ppy.sh/b/3913591" TargetMode="External"/><Relationship Id="rId10" Type="http://schemas.openxmlformats.org/officeDocument/2006/relationships/hyperlink" Target="https://osu.ppy.sh/b/1491793" TargetMode="External"/><Relationship Id="rId13" Type="http://schemas.openxmlformats.org/officeDocument/2006/relationships/hyperlink" Target="https://osu.ppy.sh/b/3248255" TargetMode="External"/><Relationship Id="rId12" Type="http://schemas.openxmlformats.org/officeDocument/2006/relationships/hyperlink" Target="https://osu.ppy.sh/b/37750" TargetMode="External"/><Relationship Id="rId15" Type="http://schemas.openxmlformats.org/officeDocument/2006/relationships/hyperlink" Target="https://osu.ppy.sh/b/3299370" TargetMode="External"/><Relationship Id="rId14" Type="http://schemas.openxmlformats.org/officeDocument/2006/relationships/hyperlink" Target="https://osu.ppy.sh/b/674080" TargetMode="External"/><Relationship Id="rId17" Type="http://schemas.openxmlformats.org/officeDocument/2006/relationships/hyperlink" Target="https://osu.ppy.sh/b/3274886" TargetMode="External"/><Relationship Id="rId16" Type="http://schemas.openxmlformats.org/officeDocument/2006/relationships/hyperlink" Target="https://osu.ppy.sh/b/3822599" TargetMode="External"/><Relationship Id="rId19" Type="http://schemas.openxmlformats.org/officeDocument/2006/relationships/hyperlink" Target="https://osu.ppy.sh/b/577517" TargetMode="External"/><Relationship Id="rId18" Type="http://schemas.openxmlformats.org/officeDocument/2006/relationships/hyperlink" Target="https://osu.ppy.sh/b/3804111" TargetMode="External"/><Relationship Id="rId1" Type="http://schemas.openxmlformats.org/officeDocument/2006/relationships/comments" Target="../comments55.xml"/><Relationship Id="rId2" Type="http://schemas.openxmlformats.org/officeDocument/2006/relationships/hyperlink" Target="https://osu.ppy.sh/community/matches/110299252" TargetMode="External"/><Relationship Id="rId3" Type="http://schemas.openxmlformats.org/officeDocument/2006/relationships/hyperlink" Target="https://osu.ppy.sh/b/1838159" TargetMode="External"/><Relationship Id="rId4" Type="http://schemas.openxmlformats.org/officeDocument/2006/relationships/hyperlink" Target="https://osu.ppy.sh/b/2568756" TargetMode="External"/><Relationship Id="rId9" Type="http://schemas.openxmlformats.org/officeDocument/2006/relationships/hyperlink" Target="https://osu.ppy.sh/b/105978" TargetMode="External"/><Relationship Id="rId5" Type="http://schemas.openxmlformats.org/officeDocument/2006/relationships/hyperlink" Target="https://osu.ppy.sh/b/3341368" TargetMode="External"/><Relationship Id="rId6" Type="http://schemas.openxmlformats.org/officeDocument/2006/relationships/hyperlink" Target="https://osu.ppy.sh/b/4215637" TargetMode="External"/><Relationship Id="rId7" Type="http://schemas.openxmlformats.org/officeDocument/2006/relationships/hyperlink" Target="https://osu.ppy.sh/b/3821597" TargetMode="External"/><Relationship Id="rId8" Type="http://schemas.openxmlformats.org/officeDocument/2006/relationships/hyperlink" Target="https://osu.ppy.sh/b/2671048" TargetMode="External"/></Relationships>
</file>

<file path=xl/worksheets/_rels/sheet61.xml.rels><?xml version="1.0" encoding="UTF-8" standalone="yes"?><Relationships xmlns="http://schemas.openxmlformats.org/package/2006/relationships"><Relationship Id="rId20" Type="http://schemas.openxmlformats.org/officeDocument/2006/relationships/drawing" Target="../drawings/drawing61.xml"/><Relationship Id="rId21" Type="http://schemas.openxmlformats.org/officeDocument/2006/relationships/vmlDrawing" Target="../drawings/vmlDrawing56.vml"/><Relationship Id="rId11" Type="http://schemas.openxmlformats.org/officeDocument/2006/relationships/hyperlink" Target="https://osu.ppy.sh/b/3454421" TargetMode="External"/><Relationship Id="rId10" Type="http://schemas.openxmlformats.org/officeDocument/2006/relationships/hyperlink" Target="https://osu.ppy.sh/b/2044890" TargetMode="External"/><Relationship Id="rId13" Type="http://schemas.openxmlformats.org/officeDocument/2006/relationships/hyperlink" Target="https://osu.ppy.sh/b/1405094" TargetMode="External"/><Relationship Id="rId12" Type="http://schemas.openxmlformats.org/officeDocument/2006/relationships/hyperlink" Target="https://osu.ppy.sh/b/2917786" TargetMode="External"/><Relationship Id="rId15" Type="http://schemas.openxmlformats.org/officeDocument/2006/relationships/hyperlink" Target="https://osu.ppy.sh/b/2388648" TargetMode="External"/><Relationship Id="rId14" Type="http://schemas.openxmlformats.org/officeDocument/2006/relationships/hyperlink" Target="https://osu.ppy.sh/b/1592512" TargetMode="External"/><Relationship Id="rId17" Type="http://schemas.openxmlformats.org/officeDocument/2006/relationships/hyperlink" Target="https://osu.ppy.sh/b/2514122" TargetMode="External"/><Relationship Id="rId16" Type="http://schemas.openxmlformats.org/officeDocument/2006/relationships/hyperlink" Target="https://osu.ppy.sh/b/3819183" TargetMode="External"/><Relationship Id="rId19" Type="http://schemas.openxmlformats.org/officeDocument/2006/relationships/hyperlink" Target="https://osu.ppy.sh/b/1248147" TargetMode="External"/><Relationship Id="rId18" Type="http://schemas.openxmlformats.org/officeDocument/2006/relationships/hyperlink" Target="https://osu.ppy.sh/b/28366" TargetMode="External"/><Relationship Id="rId1" Type="http://schemas.openxmlformats.org/officeDocument/2006/relationships/comments" Target="../comments56.xml"/><Relationship Id="rId2" Type="http://schemas.openxmlformats.org/officeDocument/2006/relationships/hyperlink" Target="https://osu.ppy.sh/community/matches/110370451" TargetMode="External"/><Relationship Id="rId3" Type="http://schemas.openxmlformats.org/officeDocument/2006/relationships/hyperlink" Target="https://osu.ppy.sh/b/3656173" TargetMode="External"/><Relationship Id="rId4" Type="http://schemas.openxmlformats.org/officeDocument/2006/relationships/hyperlink" Target="https://osu.ppy.sh/b/2715749" TargetMode="External"/><Relationship Id="rId9" Type="http://schemas.openxmlformats.org/officeDocument/2006/relationships/hyperlink" Target="https://osu.ppy.sh/b/2277128" TargetMode="External"/><Relationship Id="rId5" Type="http://schemas.openxmlformats.org/officeDocument/2006/relationships/hyperlink" Target="https://osu.ppy.sh/b/3291796" TargetMode="External"/><Relationship Id="rId6" Type="http://schemas.openxmlformats.org/officeDocument/2006/relationships/hyperlink" Target="https://osu.ppy.sh/b/3187491" TargetMode="External"/><Relationship Id="rId7" Type="http://schemas.openxmlformats.org/officeDocument/2006/relationships/hyperlink" Target="https://osu.ppy.sh/b/3990086" TargetMode="External"/><Relationship Id="rId8" Type="http://schemas.openxmlformats.org/officeDocument/2006/relationships/hyperlink" Target="https://osu.ppy.sh/b/1972425" TargetMode="External"/></Relationships>
</file>

<file path=xl/worksheets/_rels/sheet62.xml.rels><?xml version="1.0" encoding="UTF-8" standalone="yes"?><Relationships xmlns="http://schemas.openxmlformats.org/package/2006/relationships"><Relationship Id="rId20" Type="http://schemas.openxmlformats.org/officeDocument/2006/relationships/drawing" Target="../drawings/drawing62.xml"/><Relationship Id="rId21" Type="http://schemas.openxmlformats.org/officeDocument/2006/relationships/vmlDrawing" Target="../drawings/vmlDrawing57.vml"/><Relationship Id="rId11" Type="http://schemas.openxmlformats.org/officeDocument/2006/relationships/hyperlink" Target="https://osu.ppy.sh/b/3454421" TargetMode="External"/><Relationship Id="rId10" Type="http://schemas.openxmlformats.org/officeDocument/2006/relationships/hyperlink" Target="https://osu.ppy.sh/b/2044890" TargetMode="External"/><Relationship Id="rId13" Type="http://schemas.openxmlformats.org/officeDocument/2006/relationships/hyperlink" Target="https://osu.ppy.sh/b/1405094" TargetMode="External"/><Relationship Id="rId12" Type="http://schemas.openxmlformats.org/officeDocument/2006/relationships/hyperlink" Target="https://osu.ppy.sh/b/2917786" TargetMode="External"/><Relationship Id="rId15" Type="http://schemas.openxmlformats.org/officeDocument/2006/relationships/hyperlink" Target="https://osu.ppy.sh/b/2388648" TargetMode="External"/><Relationship Id="rId14" Type="http://schemas.openxmlformats.org/officeDocument/2006/relationships/hyperlink" Target="https://osu.ppy.sh/b/1592512" TargetMode="External"/><Relationship Id="rId17" Type="http://schemas.openxmlformats.org/officeDocument/2006/relationships/hyperlink" Target="https://osu.ppy.sh/b/2514122" TargetMode="External"/><Relationship Id="rId16" Type="http://schemas.openxmlformats.org/officeDocument/2006/relationships/hyperlink" Target="https://osu.ppy.sh/b/3819183" TargetMode="External"/><Relationship Id="rId19" Type="http://schemas.openxmlformats.org/officeDocument/2006/relationships/hyperlink" Target="https://osu.ppy.sh/b/1248147" TargetMode="External"/><Relationship Id="rId18" Type="http://schemas.openxmlformats.org/officeDocument/2006/relationships/hyperlink" Target="https://osu.ppy.sh/b/28366" TargetMode="External"/><Relationship Id="rId1" Type="http://schemas.openxmlformats.org/officeDocument/2006/relationships/comments" Target="../comments57.xml"/><Relationship Id="rId2" Type="http://schemas.openxmlformats.org/officeDocument/2006/relationships/hyperlink" Target="https://osu.ppy.sh/community/matches/110385386" TargetMode="External"/><Relationship Id="rId3" Type="http://schemas.openxmlformats.org/officeDocument/2006/relationships/hyperlink" Target="https://osu.ppy.sh/b/3656173" TargetMode="External"/><Relationship Id="rId4" Type="http://schemas.openxmlformats.org/officeDocument/2006/relationships/hyperlink" Target="https://osu.ppy.sh/b/2715749" TargetMode="External"/><Relationship Id="rId9" Type="http://schemas.openxmlformats.org/officeDocument/2006/relationships/hyperlink" Target="https://osu.ppy.sh/b/2277128" TargetMode="External"/><Relationship Id="rId5" Type="http://schemas.openxmlformats.org/officeDocument/2006/relationships/hyperlink" Target="https://osu.ppy.sh/b/3291796" TargetMode="External"/><Relationship Id="rId6" Type="http://schemas.openxmlformats.org/officeDocument/2006/relationships/hyperlink" Target="https://osu.ppy.sh/b/3187491" TargetMode="External"/><Relationship Id="rId7" Type="http://schemas.openxmlformats.org/officeDocument/2006/relationships/hyperlink" Target="https://osu.ppy.sh/b/3990086" TargetMode="External"/><Relationship Id="rId8" Type="http://schemas.openxmlformats.org/officeDocument/2006/relationships/hyperlink" Target="https://osu.ppy.sh/b/1972425" TargetMode="External"/></Relationships>
</file>

<file path=xl/worksheets/_rels/sheet63.xml.rels><?xml version="1.0" encoding="UTF-8" standalone="yes"?><Relationships xmlns="http://schemas.openxmlformats.org/package/2006/relationships"><Relationship Id="rId20" Type="http://schemas.openxmlformats.org/officeDocument/2006/relationships/drawing" Target="../drawings/drawing63.xml"/><Relationship Id="rId21" Type="http://schemas.openxmlformats.org/officeDocument/2006/relationships/vmlDrawing" Target="../drawings/vmlDrawing58.vml"/><Relationship Id="rId11" Type="http://schemas.openxmlformats.org/officeDocument/2006/relationships/hyperlink" Target="https://osu.ppy.sh/b/3454421" TargetMode="External"/><Relationship Id="rId10" Type="http://schemas.openxmlformats.org/officeDocument/2006/relationships/hyperlink" Target="https://osu.ppy.sh/b/2044890" TargetMode="External"/><Relationship Id="rId13" Type="http://schemas.openxmlformats.org/officeDocument/2006/relationships/hyperlink" Target="https://osu.ppy.sh/b/1405094" TargetMode="External"/><Relationship Id="rId12" Type="http://schemas.openxmlformats.org/officeDocument/2006/relationships/hyperlink" Target="https://osu.ppy.sh/b/2917786" TargetMode="External"/><Relationship Id="rId15" Type="http://schemas.openxmlformats.org/officeDocument/2006/relationships/hyperlink" Target="https://osu.ppy.sh/b/2388648" TargetMode="External"/><Relationship Id="rId14" Type="http://schemas.openxmlformats.org/officeDocument/2006/relationships/hyperlink" Target="https://osu.ppy.sh/b/1592512" TargetMode="External"/><Relationship Id="rId17" Type="http://schemas.openxmlformats.org/officeDocument/2006/relationships/hyperlink" Target="https://osu.ppy.sh/b/2514122" TargetMode="External"/><Relationship Id="rId16" Type="http://schemas.openxmlformats.org/officeDocument/2006/relationships/hyperlink" Target="https://osu.ppy.sh/b/3819183" TargetMode="External"/><Relationship Id="rId19" Type="http://schemas.openxmlformats.org/officeDocument/2006/relationships/hyperlink" Target="https://osu.ppy.sh/b/1248147" TargetMode="External"/><Relationship Id="rId18" Type="http://schemas.openxmlformats.org/officeDocument/2006/relationships/hyperlink" Target="https://osu.ppy.sh/b/28366" TargetMode="External"/><Relationship Id="rId1" Type="http://schemas.openxmlformats.org/officeDocument/2006/relationships/comments" Target="../comments58.xml"/><Relationship Id="rId2" Type="http://schemas.openxmlformats.org/officeDocument/2006/relationships/hyperlink" Target="https://osu.ppy.sh/community/matches/110379556" TargetMode="External"/><Relationship Id="rId3" Type="http://schemas.openxmlformats.org/officeDocument/2006/relationships/hyperlink" Target="https://osu.ppy.sh/b/3656173" TargetMode="External"/><Relationship Id="rId4" Type="http://schemas.openxmlformats.org/officeDocument/2006/relationships/hyperlink" Target="https://osu.ppy.sh/b/2715749" TargetMode="External"/><Relationship Id="rId9" Type="http://schemas.openxmlformats.org/officeDocument/2006/relationships/hyperlink" Target="https://osu.ppy.sh/b/2277128" TargetMode="External"/><Relationship Id="rId5" Type="http://schemas.openxmlformats.org/officeDocument/2006/relationships/hyperlink" Target="https://osu.ppy.sh/b/3291796" TargetMode="External"/><Relationship Id="rId6" Type="http://schemas.openxmlformats.org/officeDocument/2006/relationships/hyperlink" Target="https://osu.ppy.sh/b/3187491" TargetMode="External"/><Relationship Id="rId7" Type="http://schemas.openxmlformats.org/officeDocument/2006/relationships/hyperlink" Target="https://osu.ppy.sh/b/3990086" TargetMode="External"/><Relationship Id="rId8" Type="http://schemas.openxmlformats.org/officeDocument/2006/relationships/hyperlink" Target="https://osu.ppy.sh/b/1972425" TargetMode="External"/></Relationships>
</file>

<file path=xl/worksheets/_rels/sheet64.xml.rels><?xml version="1.0" encoding="UTF-8" standalone="yes"?><Relationships xmlns="http://schemas.openxmlformats.org/package/2006/relationships"><Relationship Id="rId20" Type="http://schemas.openxmlformats.org/officeDocument/2006/relationships/drawing" Target="../drawings/drawing64.xml"/><Relationship Id="rId21" Type="http://schemas.openxmlformats.org/officeDocument/2006/relationships/vmlDrawing" Target="../drawings/vmlDrawing59.vml"/><Relationship Id="rId11" Type="http://schemas.openxmlformats.org/officeDocument/2006/relationships/hyperlink" Target="https://osu.ppy.sh/b/3454421" TargetMode="External"/><Relationship Id="rId10" Type="http://schemas.openxmlformats.org/officeDocument/2006/relationships/hyperlink" Target="https://osu.ppy.sh/b/2044890" TargetMode="External"/><Relationship Id="rId13" Type="http://schemas.openxmlformats.org/officeDocument/2006/relationships/hyperlink" Target="https://osu.ppy.sh/b/1405094" TargetMode="External"/><Relationship Id="rId12" Type="http://schemas.openxmlformats.org/officeDocument/2006/relationships/hyperlink" Target="https://osu.ppy.sh/b/2917786" TargetMode="External"/><Relationship Id="rId15" Type="http://schemas.openxmlformats.org/officeDocument/2006/relationships/hyperlink" Target="https://osu.ppy.sh/b/2388648" TargetMode="External"/><Relationship Id="rId14" Type="http://schemas.openxmlformats.org/officeDocument/2006/relationships/hyperlink" Target="https://osu.ppy.sh/b/1592512" TargetMode="External"/><Relationship Id="rId17" Type="http://schemas.openxmlformats.org/officeDocument/2006/relationships/hyperlink" Target="https://osu.ppy.sh/b/2514122" TargetMode="External"/><Relationship Id="rId16" Type="http://schemas.openxmlformats.org/officeDocument/2006/relationships/hyperlink" Target="https://osu.ppy.sh/b/3819183" TargetMode="External"/><Relationship Id="rId19" Type="http://schemas.openxmlformats.org/officeDocument/2006/relationships/hyperlink" Target="https://osu.ppy.sh/b/1248147" TargetMode="External"/><Relationship Id="rId18" Type="http://schemas.openxmlformats.org/officeDocument/2006/relationships/hyperlink" Target="https://osu.ppy.sh/b/28366" TargetMode="External"/><Relationship Id="rId1" Type="http://schemas.openxmlformats.org/officeDocument/2006/relationships/comments" Target="../comments59.xml"/><Relationship Id="rId2" Type="http://schemas.openxmlformats.org/officeDocument/2006/relationships/hyperlink" Target="https://osu.ppy.sh/community/matches/110400479" TargetMode="External"/><Relationship Id="rId3" Type="http://schemas.openxmlformats.org/officeDocument/2006/relationships/hyperlink" Target="https://osu.ppy.sh/b/3656173" TargetMode="External"/><Relationship Id="rId4" Type="http://schemas.openxmlformats.org/officeDocument/2006/relationships/hyperlink" Target="https://osu.ppy.sh/b/2715749" TargetMode="External"/><Relationship Id="rId9" Type="http://schemas.openxmlformats.org/officeDocument/2006/relationships/hyperlink" Target="https://osu.ppy.sh/b/2277128" TargetMode="External"/><Relationship Id="rId5" Type="http://schemas.openxmlformats.org/officeDocument/2006/relationships/hyperlink" Target="https://osu.ppy.sh/b/3291796" TargetMode="External"/><Relationship Id="rId6" Type="http://schemas.openxmlformats.org/officeDocument/2006/relationships/hyperlink" Target="https://osu.ppy.sh/b/3187491" TargetMode="External"/><Relationship Id="rId7" Type="http://schemas.openxmlformats.org/officeDocument/2006/relationships/hyperlink" Target="https://osu.ppy.sh/b/3990086" TargetMode="External"/><Relationship Id="rId8" Type="http://schemas.openxmlformats.org/officeDocument/2006/relationships/hyperlink" Target="https://osu.ppy.sh/b/1972425" TargetMode="External"/></Relationships>
</file>

<file path=xl/worksheets/_rels/sheet65.xml.rels><?xml version="1.0" encoding="UTF-8" standalone="yes"?><Relationships xmlns="http://schemas.openxmlformats.org/package/2006/relationships"><Relationship Id="rId20" Type="http://schemas.openxmlformats.org/officeDocument/2006/relationships/drawing" Target="../drawings/drawing65.xml"/><Relationship Id="rId21" Type="http://schemas.openxmlformats.org/officeDocument/2006/relationships/vmlDrawing" Target="../drawings/vmlDrawing60.vml"/><Relationship Id="rId11" Type="http://schemas.openxmlformats.org/officeDocument/2006/relationships/hyperlink" Target="https://osu.ppy.sh/b/3454421" TargetMode="External"/><Relationship Id="rId10" Type="http://schemas.openxmlformats.org/officeDocument/2006/relationships/hyperlink" Target="https://osu.ppy.sh/b/2044890" TargetMode="External"/><Relationship Id="rId13" Type="http://schemas.openxmlformats.org/officeDocument/2006/relationships/hyperlink" Target="https://osu.ppy.sh/b/1405094" TargetMode="External"/><Relationship Id="rId12" Type="http://schemas.openxmlformats.org/officeDocument/2006/relationships/hyperlink" Target="https://osu.ppy.sh/b/2917786" TargetMode="External"/><Relationship Id="rId15" Type="http://schemas.openxmlformats.org/officeDocument/2006/relationships/hyperlink" Target="https://osu.ppy.sh/b/2388648" TargetMode="External"/><Relationship Id="rId14" Type="http://schemas.openxmlformats.org/officeDocument/2006/relationships/hyperlink" Target="https://osu.ppy.sh/b/1592512" TargetMode="External"/><Relationship Id="rId17" Type="http://schemas.openxmlformats.org/officeDocument/2006/relationships/hyperlink" Target="https://osu.ppy.sh/b/2514122" TargetMode="External"/><Relationship Id="rId16" Type="http://schemas.openxmlformats.org/officeDocument/2006/relationships/hyperlink" Target="https://osu.ppy.sh/b/3819183" TargetMode="External"/><Relationship Id="rId19" Type="http://schemas.openxmlformats.org/officeDocument/2006/relationships/hyperlink" Target="https://osu.ppy.sh/b/1248147" TargetMode="External"/><Relationship Id="rId18" Type="http://schemas.openxmlformats.org/officeDocument/2006/relationships/hyperlink" Target="https://osu.ppy.sh/b/28366" TargetMode="External"/><Relationship Id="rId1" Type="http://schemas.openxmlformats.org/officeDocument/2006/relationships/comments" Target="../comments60.xml"/><Relationship Id="rId2" Type="http://schemas.openxmlformats.org/officeDocument/2006/relationships/hyperlink" Target="https://osu.ppy.sh/community/matches/110398000" TargetMode="External"/><Relationship Id="rId3" Type="http://schemas.openxmlformats.org/officeDocument/2006/relationships/hyperlink" Target="https://osu.ppy.sh/b/3656173" TargetMode="External"/><Relationship Id="rId4" Type="http://schemas.openxmlformats.org/officeDocument/2006/relationships/hyperlink" Target="https://osu.ppy.sh/b/2715749" TargetMode="External"/><Relationship Id="rId9" Type="http://schemas.openxmlformats.org/officeDocument/2006/relationships/hyperlink" Target="https://osu.ppy.sh/b/2277128" TargetMode="External"/><Relationship Id="rId5" Type="http://schemas.openxmlformats.org/officeDocument/2006/relationships/hyperlink" Target="https://osu.ppy.sh/b/3291796" TargetMode="External"/><Relationship Id="rId6" Type="http://schemas.openxmlformats.org/officeDocument/2006/relationships/hyperlink" Target="https://osu.ppy.sh/b/3187491" TargetMode="External"/><Relationship Id="rId7" Type="http://schemas.openxmlformats.org/officeDocument/2006/relationships/hyperlink" Target="https://osu.ppy.sh/b/3990086" TargetMode="External"/><Relationship Id="rId8" Type="http://schemas.openxmlformats.org/officeDocument/2006/relationships/hyperlink" Target="https://osu.ppy.sh/b/1972425" TargetMode="External"/></Relationships>
</file>

<file path=xl/worksheets/_rels/sheet66.xml.rels><?xml version="1.0" encoding="UTF-8" standalone="yes"?><Relationships xmlns="http://schemas.openxmlformats.org/package/2006/relationships"><Relationship Id="rId20" Type="http://schemas.openxmlformats.org/officeDocument/2006/relationships/drawing" Target="../drawings/drawing66.xml"/><Relationship Id="rId21" Type="http://schemas.openxmlformats.org/officeDocument/2006/relationships/vmlDrawing" Target="../drawings/vmlDrawing61.vml"/><Relationship Id="rId11" Type="http://schemas.openxmlformats.org/officeDocument/2006/relationships/hyperlink" Target="https://osu.ppy.sh/b/3454421" TargetMode="External"/><Relationship Id="rId10" Type="http://schemas.openxmlformats.org/officeDocument/2006/relationships/hyperlink" Target="https://osu.ppy.sh/b/2044890" TargetMode="External"/><Relationship Id="rId13" Type="http://schemas.openxmlformats.org/officeDocument/2006/relationships/hyperlink" Target="https://osu.ppy.sh/b/1405094" TargetMode="External"/><Relationship Id="rId12" Type="http://schemas.openxmlformats.org/officeDocument/2006/relationships/hyperlink" Target="https://osu.ppy.sh/b/2917786" TargetMode="External"/><Relationship Id="rId15" Type="http://schemas.openxmlformats.org/officeDocument/2006/relationships/hyperlink" Target="https://osu.ppy.sh/b/2388648" TargetMode="External"/><Relationship Id="rId14" Type="http://schemas.openxmlformats.org/officeDocument/2006/relationships/hyperlink" Target="https://osu.ppy.sh/b/1592512" TargetMode="External"/><Relationship Id="rId17" Type="http://schemas.openxmlformats.org/officeDocument/2006/relationships/hyperlink" Target="https://osu.ppy.sh/b/2514122" TargetMode="External"/><Relationship Id="rId16" Type="http://schemas.openxmlformats.org/officeDocument/2006/relationships/hyperlink" Target="https://osu.ppy.sh/b/3819183" TargetMode="External"/><Relationship Id="rId19" Type="http://schemas.openxmlformats.org/officeDocument/2006/relationships/hyperlink" Target="https://osu.ppy.sh/b/1248147" TargetMode="External"/><Relationship Id="rId18" Type="http://schemas.openxmlformats.org/officeDocument/2006/relationships/hyperlink" Target="https://osu.ppy.sh/b/28366" TargetMode="External"/><Relationship Id="rId1" Type="http://schemas.openxmlformats.org/officeDocument/2006/relationships/comments" Target="../comments61.xml"/><Relationship Id="rId2" Type="http://schemas.openxmlformats.org/officeDocument/2006/relationships/hyperlink" Target="https://osu.ppy.sh/community/matches/110400514" TargetMode="External"/><Relationship Id="rId3" Type="http://schemas.openxmlformats.org/officeDocument/2006/relationships/hyperlink" Target="https://osu.ppy.sh/b/3656173" TargetMode="External"/><Relationship Id="rId4" Type="http://schemas.openxmlformats.org/officeDocument/2006/relationships/hyperlink" Target="https://osu.ppy.sh/b/2715749" TargetMode="External"/><Relationship Id="rId9" Type="http://schemas.openxmlformats.org/officeDocument/2006/relationships/hyperlink" Target="https://osu.ppy.sh/b/2277128" TargetMode="External"/><Relationship Id="rId5" Type="http://schemas.openxmlformats.org/officeDocument/2006/relationships/hyperlink" Target="https://osu.ppy.sh/b/3291796" TargetMode="External"/><Relationship Id="rId6" Type="http://schemas.openxmlformats.org/officeDocument/2006/relationships/hyperlink" Target="https://osu.ppy.sh/b/3187491" TargetMode="External"/><Relationship Id="rId7" Type="http://schemas.openxmlformats.org/officeDocument/2006/relationships/hyperlink" Target="https://osu.ppy.sh/b/3990086" TargetMode="External"/><Relationship Id="rId8" Type="http://schemas.openxmlformats.org/officeDocument/2006/relationships/hyperlink" Target="https://osu.ppy.sh/b/1972425" TargetMode="External"/></Relationships>
</file>

<file path=xl/worksheets/_rels/sheet67.xml.rels><?xml version="1.0" encoding="UTF-8" standalone="yes"?><Relationships xmlns="http://schemas.openxmlformats.org/package/2006/relationships"><Relationship Id="rId20" Type="http://schemas.openxmlformats.org/officeDocument/2006/relationships/drawing" Target="../drawings/drawing67.xml"/><Relationship Id="rId21" Type="http://schemas.openxmlformats.org/officeDocument/2006/relationships/vmlDrawing" Target="../drawings/vmlDrawing62.vml"/><Relationship Id="rId11" Type="http://schemas.openxmlformats.org/officeDocument/2006/relationships/hyperlink" Target="https://osu.ppy.sh/b/3454421" TargetMode="External"/><Relationship Id="rId10" Type="http://schemas.openxmlformats.org/officeDocument/2006/relationships/hyperlink" Target="https://osu.ppy.sh/b/2044890" TargetMode="External"/><Relationship Id="rId13" Type="http://schemas.openxmlformats.org/officeDocument/2006/relationships/hyperlink" Target="https://osu.ppy.sh/b/1405094" TargetMode="External"/><Relationship Id="rId12" Type="http://schemas.openxmlformats.org/officeDocument/2006/relationships/hyperlink" Target="https://osu.ppy.sh/b/2917786" TargetMode="External"/><Relationship Id="rId15" Type="http://schemas.openxmlformats.org/officeDocument/2006/relationships/hyperlink" Target="https://osu.ppy.sh/b/2388648" TargetMode="External"/><Relationship Id="rId14" Type="http://schemas.openxmlformats.org/officeDocument/2006/relationships/hyperlink" Target="https://osu.ppy.sh/b/1592512" TargetMode="External"/><Relationship Id="rId17" Type="http://schemas.openxmlformats.org/officeDocument/2006/relationships/hyperlink" Target="https://osu.ppy.sh/b/2514122" TargetMode="External"/><Relationship Id="rId16" Type="http://schemas.openxmlformats.org/officeDocument/2006/relationships/hyperlink" Target="https://osu.ppy.sh/b/3819183" TargetMode="External"/><Relationship Id="rId19" Type="http://schemas.openxmlformats.org/officeDocument/2006/relationships/hyperlink" Target="https://osu.ppy.sh/b/1248147" TargetMode="External"/><Relationship Id="rId18" Type="http://schemas.openxmlformats.org/officeDocument/2006/relationships/hyperlink" Target="https://osu.ppy.sh/b/28366" TargetMode="External"/><Relationship Id="rId1" Type="http://schemas.openxmlformats.org/officeDocument/2006/relationships/comments" Target="../comments62.xml"/><Relationship Id="rId2" Type="http://schemas.openxmlformats.org/officeDocument/2006/relationships/hyperlink" Target="https://osu.ppy.sh/community/matches/110388082" TargetMode="External"/><Relationship Id="rId3" Type="http://schemas.openxmlformats.org/officeDocument/2006/relationships/hyperlink" Target="https://osu.ppy.sh/b/3656173" TargetMode="External"/><Relationship Id="rId4" Type="http://schemas.openxmlformats.org/officeDocument/2006/relationships/hyperlink" Target="https://osu.ppy.sh/b/2715749" TargetMode="External"/><Relationship Id="rId9" Type="http://schemas.openxmlformats.org/officeDocument/2006/relationships/hyperlink" Target="https://osu.ppy.sh/b/2277128" TargetMode="External"/><Relationship Id="rId5" Type="http://schemas.openxmlformats.org/officeDocument/2006/relationships/hyperlink" Target="https://osu.ppy.sh/b/3291796" TargetMode="External"/><Relationship Id="rId6" Type="http://schemas.openxmlformats.org/officeDocument/2006/relationships/hyperlink" Target="https://osu.ppy.sh/b/3187491" TargetMode="External"/><Relationship Id="rId7" Type="http://schemas.openxmlformats.org/officeDocument/2006/relationships/hyperlink" Target="https://osu.ppy.sh/b/3990086" TargetMode="External"/><Relationship Id="rId8" Type="http://schemas.openxmlformats.org/officeDocument/2006/relationships/hyperlink" Target="https://osu.ppy.sh/b/1972425" TargetMode="External"/></Relationships>
</file>

<file path=xl/worksheets/_rels/sheet68.xml.rels><?xml version="1.0" encoding="UTF-8" standalone="yes"?><Relationships xmlns="http://schemas.openxmlformats.org/package/2006/relationships"><Relationship Id="rId20" Type="http://schemas.openxmlformats.org/officeDocument/2006/relationships/hyperlink" Target="https://osu.ppy.sh/b/3499229" TargetMode="External"/><Relationship Id="rId22" Type="http://schemas.openxmlformats.org/officeDocument/2006/relationships/drawing" Target="../drawings/drawing68.xml"/><Relationship Id="rId21" Type="http://schemas.openxmlformats.org/officeDocument/2006/relationships/hyperlink" Target="https://osu.ppy.sh/b/1485947" TargetMode="External"/><Relationship Id="rId23" Type="http://schemas.openxmlformats.org/officeDocument/2006/relationships/vmlDrawing" Target="../drawings/vmlDrawing63.vml"/><Relationship Id="rId11" Type="http://schemas.openxmlformats.org/officeDocument/2006/relationships/hyperlink" Target="https://osu.ppy.sh/b/2288966" TargetMode="External"/><Relationship Id="rId10" Type="http://schemas.openxmlformats.org/officeDocument/2006/relationships/hyperlink" Target="https://osu.ppy.sh/b/2751338" TargetMode="External"/><Relationship Id="rId13" Type="http://schemas.openxmlformats.org/officeDocument/2006/relationships/hyperlink" Target="https://osu.ppy.sh/b/2856139" TargetMode="External"/><Relationship Id="rId12" Type="http://schemas.openxmlformats.org/officeDocument/2006/relationships/hyperlink" Target="https://osu.ppy.sh/b/2691754" TargetMode="External"/><Relationship Id="rId15" Type="http://schemas.openxmlformats.org/officeDocument/2006/relationships/hyperlink" Target="https://osu.ppy.sh/b/345642" TargetMode="External"/><Relationship Id="rId14" Type="http://schemas.openxmlformats.org/officeDocument/2006/relationships/hyperlink" Target="https://osu.ppy.sh/b/765880" TargetMode="External"/><Relationship Id="rId17" Type="http://schemas.openxmlformats.org/officeDocument/2006/relationships/hyperlink" Target="https://osu.ppy.sh/b/4150885" TargetMode="External"/><Relationship Id="rId16" Type="http://schemas.openxmlformats.org/officeDocument/2006/relationships/hyperlink" Target="https://osu.ppy.sh/b/2671858" TargetMode="External"/><Relationship Id="rId19" Type="http://schemas.openxmlformats.org/officeDocument/2006/relationships/hyperlink" Target="https://osu.ppy.sh/b/192181" TargetMode="External"/><Relationship Id="rId18" Type="http://schemas.openxmlformats.org/officeDocument/2006/relationships/hyperlink" Target="https://osu.ppy.sh/b/4197268" TargetMode="External"/><Relationship Id="rId1" Type="http://schemas.openxmlformats.org/officeDocument/2006/relationships/comments" Target="../comments63.xml"/><Relationship Id="rId2" Type="http://schemas.openxmlformats.org/officeDocument/2006/relationships/hyperlink" Target="https://osu.ppy.sh/community/matches/110481100" TargetMode="External"/><Relationship Id="rId3" Type="http://schemas.openxmlformats.org/officeDocument/2006/relationships/hyperlink" Target="https://osu.ppy.sh/b/3010348" TargetMode="External"/><Relationship Id="rId4" Type="http://schemas.openxmlformats.org/officeDocument/2006/relationships/hyperlink" Target="https://osu.ppy.sh/b/3774971" TargetMode="External"/><Relationship Id="rId9" Type="http://schemas.openxmlformats.org/officeDocument/2006/relationships/hyperlink" Target="https://osu.ppy.sh/b/3563737" TargetMode="External"/><Relationship Id="rId5" Type="http://schemas.openxmlformats.org/officeDocument/2006/relationships/hyperlink" Target="https://osu.ppy.sh/b/3802110" TargetMode="External"/><Relationship Id="rId6" Type="http://schemas.openxmlformats.org/officeDocument/2006/relationships/hyperlink" Target="https://osu.ppy.sh/b/309900" TargetMode="External"/><Relationship Id="rId7" Type="http://schemas.openxmlformats.org/officeDocument/2006/relationships/hyperlink" Target="https://osu.ppy.sh/b/3870932" TargetMode="External"/><Relationship Id="rId8" Type="http://schemas.openxmlformats.org/officeDocument/2006/relationships/hyperlink" Target="https://osu.ppy.sh/b/571620" TargetMode="External"/></Relationships>
</file>

<file path=xl/worksheets/_rels/sheet69.xml.rels><?xml version="1.0" encoding="UTF-8" standalone="yes"?><Relationships xmlns="http://schemas.openxmlformats.org/package/2006/relationships"><Relationship Id="rId20" Type="http://schemas.openxmlformats.org/officeDocument/2006/relationships/hyperlink" Target="https://osu.ppy.sh/b/3499229" TargetMode="External"/><Relationship Id="rId22" Type="http://schemas.openxmlformats.org/officeDocument/2006/relationships/drawing" Target="../drawings/drawing69.xml"/><Relationship Id="rId21" Type="http://schemas.openxmlformats.org/officeDocument/2006/relationships/hyperlink" Target="https://osu.ppy.sh/b/1485947" TargetMode="External"/><Relationship Id="rId23" Type="http://schemas.openxmlformats.org/officeDocument/2006/relationships/vmlDrawing" Target="../drawings/vmlDrawing64.vml"/><Relationship Id="rId11" Type="http://schemas.openxmlformats.org/officeDocument/2006/relationships/hyperlink" Target="https://osu.ppy.sh/b/2288966" TargetMode="External"/><Relationship Id="rId10" Type="http://schemas.openxmlformats.org/officeDocument/2006/relationships/hyperlink" Target="https://osu.ppy.sh/b/2751338" TargetMode="External"/><Relationship Id="rId13" Type="http://schemas.openxmlformats.org/officeDocument/2006/relationships/hyperlink" Target="https://osu.ppy.sh/b/2856139" TargetMode="External"/><Relationship Id="rId12" Type="http://schemas.openxmlformats.org/officeDocument/2006/relationships/hyperlink" Target="https://osu.ppy.sh/b/2691754" TargetMode="External"/><Relationship Id="rId15" Type="http://schemas.openxmlformats.org/officeDocument/2006/relationships/hyperlink" Target="https://osu.ppy.sh/b/345642" TargetMode="External"/><Relationship Id="rId14" Type="http://schemas.openxmlformats.org/officeDocument/2006/relationships/hyperlink" Target="https://osu.ppy.sh/b/765880" TargetMode="External"/><Relationship Id="rId17" Type="http://schemas.openxmlformats.org/officeDocument/2006/relationships/hyperlink" Target="https://osu.ppy.sh/b/4150885" TargetMode="External"/><Relationship Id="rId16" Type="http://schemas.openxmlformats.org/officeDocument/2006/relationships/hyperlink" Target="https://osu.ppy.sh/b/2671858" TargetMode="External"/><Relationship Id="rId19" Type="http://schemas.openxmlformats.org/officeDocument/2006/relationships/hyperlink" Target="https://osu.ppy.sh/b/192181" TargetMode="External"/><Relationship Id="rId18" Type="http://schemas.openxmlformats.org/officeDocument/2006/relationships/hyperlink" Target="https://osu.ppy.sh/b/4197268" TargetMode="External"/><Relationship Id="rId1" Type="http://schemas.openxmlformats.org/officeDocument/2006/relationships/comments" Target="../comments64.xml"/><Relationship Id="rId2" Type="http://schemas.openxmlformats.org/officeDocument/2006/relationships/hyperlink" Target="https://osu.ppy.sh/community/matches/110484639" TargetMode="External"/><Relationship Id="rId3" Type="http://schemas.openxmlformats.org/officeDocument/2006/relationships/hyperlink" Target="https://osu.ppy.sh/b/3010348" TargetMode="External"/><Relationship Id="rId4" Type="http://schemas.openxmlformats.org/officeDocument/2006/relationships/hyperlink" Target="https://osu.ppy.sh/b/3774971" TargetMode="External"/><Relationship Id="rId9" Type="http://schemas.openxmlformats.org/officeDocument/2006/relationships/hyperlink" Target="https://osu.ppy.sh/b/3563737" TargetMode="External"/><Relationship Id="rId5" Type="http://schemas.openxmlformats.org/officeDocument/2006/relationships/hyperlink" Target="https://osu.ppy.sh/b/3802110" TargetMode="External"/><Relationship Id="rId6" Type="http://schemas.openxmlformats.org/officeDocument/2006/relationships/hyperlink" Target="https://osu.ppy.sh/b/309900" TargetMode="External"/><Relationship Id="rId7" Type="http://schemas.openxmlformats.org/officeDocument/2006/relationships/hyperlink" Target="https://osu.ppy.sh/b/3870932" TargetMode="External"/><Relationship Id="rId8" Type="http://schemas.openxmlformats.org/officeDocument/2006/relationships/hyperlink" Target="https://osu.ppy.sh/b/571620" TargetMode="External"/></Relationships>
</file>

<file path=xl/worksheets/_rels/sheet70.xml.rels><?xml version="1.0" encoding="UTF-8" standalone="yes"?><Relationships xmlns="http://schemas.openxmlformats.org/package/2006/relationships"><Relationship Id="rId20" Type="http://schemas.openxmlformats.org/officeDocument/2006/relationships/hyperlink" Target="https://osu.ppy.sh/b/3499229" TargetMode="External"/><Relationship Id="rId22" Type="http://schemas.openxmlformats.org/officeDocument/2006/relationships/drawing" Target="../drawings/drawing70.xml"/><Relationship Id="rId21" Type="http://schemas.openxmlformats.org/officeDocument/2006/relationships/hyperlink" Target="https://osu.ppy.sh/b/1485947" TargetMode="External"/><Relationship Id="rId23" Type="http://schemas.openxmlformats.org/officeDocument/2006/relationships/vmlDrawing" Target="../drawings/vmlDrawing65.vml"/><Relationship Id="rId11" Type="http://schemas.openxmlformats.org/officeDocument/2006/relationships/hyperlink" Target="https://osu.ppy.sh/b/2288966" TargetMode="External"/><Relationship Id="rId10" Type="http://schemas.openxmlformats.org/officeDocument/2006/relationships/hyperlink" Target="https://osu.ppy.sh/b/2751338" TargetMode="External"/><Relationship Id="rId13" Type="http://schemas.openxmlformats.org/officeDocument/2006/relationships/hyperlink" Target="https://osu.ppy.sh/b/2856139" TargetMode="External"/><Relationship Id="rId12" Type="http://schemas.openxmlformats.org/officeDocument/2006/relationships/hyperlink" Target="https://osu.ppy.sh/b/2691754" TargetMode="External"/><Relationship Id="rId15" Type="http://schemas.openxmlformats.org/officeDocument/2006/relationships/hyperlink" Target="https://osu.ppy.sh/b/345642" TargetMode="External"/><Relationship Id="rId14" Type="http://schemas.openxmlformats.org/officeDocument/2006/relationships/hyperlink" Target="https://osu.ppy.sh/b/765880" TargetMode="External"/><Relationship Id="rId17" Type="http://schemas.openxmlformats.org/officeDocument/2006/relationships/hyperlink" Target="https://osu.ppy.sh/b/4150885" TargetMode="External"/><Relationship Id="rId16" Type="http://schemas.openxmlformats.org/officeDocument/2006/relationships/hyperlink" Target="https://osu.ppy.sh/b/2671858" TargetMode="External"/><Relationship Id="rId19" Type="http://schemas.openxmlformats.org/officeDocument/2006/relationships/hyperlink" Target="https://osu.ppy.sh/b/192181" TargetMode="External"/><Relationship Id="rId18" Type="http://schemas.openxmlformats.org/officeDocument/2006/relationships/hyperlink" Target="https://osu.ppy.sh/b/4197268" TargetMode="External"/><Relationship Id="rId1" Type="http://schemas.openxmlformats.org/officeDocument/2006/relationships/comments" Target="../comments65.xml"/><Relationship Id="rId2" Type="http://schemas.openxmlformats.org/officeDocument/2006/relationships/hyperlink" Target="https://osu.ppy.sh/community/matches/110507463" TargetMode="External"/><Relationship Id="rId3" Type="http://schemas.openxmlformats.org/officeDocument/2006/relationships/hyperlink" Target="https://osu.ppy.sh/b/3010348" TargetMode="External"/><Relationship Id="rId4" Type="http://schemas.openxmlformats.org/officeDocument/2006/relationships/hyperlink" Target="https://osu.ppy.sh/b/3774971" TargetMode="External"/><Relationship Id="rId9" Type="http://schemas.openxmlformats.org/officeDocument/2006/relationships/hyperlink" Target="https://osu.ppy.sh/b/3563737" TargetMode="External"/><Relationship Id="rId5" Type="http://schemas.openxmlformats.org/officeDocument/2006/relationships/hyperlink" Target="https://osu.ppy.sh/b/3802110" TargetMode="External"/><Relationship Id="rId6" Type="http://schemas.openxmlformats.org/officeDocument/2006/relationships/hyperlink" Target="https://osu.ppy.sh/b/309900" TargetMode="External"/><Relationship Id="rId7" Type="http://schemas.openxmlformats.org/officeDocument/2006/relationships/hyperlink" Target="https://osu.ppy.sh/b/3870932" TargetMode="External"/><Relationship Id="rId8" Type="http://schemas.openxmlformats.org/officeDocument/2006/relationships/hyperlink" Target="https://osu.ppy.sh/b/571620" TargetMode="External"/></Relationships>
</file>

<file path=xl/worksheets/_rels/sheet71.xml.rels><?xml version="1.0" encoding="UTF-8" standalone="yes"?><Relationships xmlns="http://schemas.openxmlformats.org/package/2006/relationships"><Relationship Id="rId20" Type="http://schemas.openxmlformats.org/officeDocument/2006/relationships/hyperlink" Target="https://osu.ppy.sh/b/3499229" TargetMode="External"/><Relationship Id="rId22" Type="http://schemas.openxmlformats.org/officeDocument/2006/relationships/drawing" Target="../drawings/drawing71.xml"/><Relationship Id="rId21" Type="http://schemas.openxmlformats.org/officeDocument/2006/relationships/hyperlink" Target="https://osu.ppy.sh/b/1485947" TargetMode="External"/><Relationship Id="rId23" Type="http://schemas.openxmlformats.org/officeDocument/2006/relationships/vmlDrawing" Target="../drawings/vmlDrawing66.vml"/><Relationship Id="rId11" Type="http://schemas.openxmlformats.org/officeDocument/2006/relationships/hyperlink" Target="https://osu.ppy.sh/b/2288966" TargetMode="External"/><Relationship Id="rId10" Type="http://schemas.openxmlformats.org/officeDocument/2006/relationships/hyperlink" Target="https://osu.ppy.sh/b/2751338" TargetMode="External"/><Relationship Id="rId13" Type="http://schemas.openxmlformats.org/officeDocument/2006/relationships/hyperlink" Target="https://osu.ppy.sh/b/2856139" TargetMode="External"/><Relationship Id="rId12" Type="http://schemas.openxmlformats.org/officeDocument/2006/relationships/hyperlink" Target="https://osu.ppy.sh/b/2691754" TargetMode="External"/><Relationship Id="rId15" Type="http://schemas.openxmlformats.org/officeDocument/2006/relationships/hyperlink" Target="https://osu.ppy.sh/b/345642" TargetMode="External"/><Relationship Id="rId14" Type="http://schemas.openxmlformats.org/officeDocument/2006/relationships/hyperlink" Target="https://osu.ppy.sh/b/765880" TargetMode="External"/><Relationship Id="rId17" Type="http://schemas.openxmlformats.org/officeDocument/2006/relationships/hyperlink" Target="https://osu.ppy.sh/b/4150885" TargetMode="External"/><Relationship Id="rId16" Type="http://schemas.openxmlformats.org/officeDocument/2006/relationships/hyperlink" Target="https://osu.ppy.sh/b/2671858" TargetMode="External"/><Relationship Id="rId19" Type="http://schemas.openxmlformats.org/officeDocument/2006/relationships/hyperlink" Target="https://osu.ppy.sh/b/192181" TargetMode="External"/><Relationship Id="rId18" Type="http://schemas.openxmlformats.org/officeDocument/2006/relationships/hyperlink" Target="https://osu.ppy.sh/b/4197268" TargetMode="External"/><Relationship Id="rId1" Type="http://schemas.openxmlformats.org/officeDocument/2006/relationships/comments" Target="../comments66.xml"/><Relationship Id="rId2" Type="http://schemas.openxmlformats.org/officeDocument/2006/relationships/hyperlink" Target="https://osu.ppy.sh/community/matches/110493889" TargetMode="External"/><Relationship Id="rId3" Type="http://schemas.openxmlformats.org/officeDocument/2006/relationships/hyperlink" Target="https://osu.ppy.sh/b/3010348" TargetMode="External"/><Relationship Id="rId4" Type="http://schemas.openxmlformats.org/officeDocument/2006/relationships/hyperlink" Target="https://osu.ppy.sh/b/3774971" TargetMode="External"/><Relationship Id="rId9" Type="http://schemas.openxmlformats.org/officeDocument/2006/relationships/hyperlink" Target="https://osu.ppy.sh/b/3563737" TargetMode="External"/><Relationship Id="rId5" Type="http://schemas.openxmlformats.org/officeDocument/2006/relationships/hyperlink" Target="https://osu.ppy.sh/b/3802110" TargetMode="External"/><Relationship Id="rId6" Type="http://schemas.openxmlformats.org/officeDocument/2006/relationships/hyperlink" Target="https://osu.ppy.sh/b/309900" TargetMode="External"/><Relationship Id="rId7" Type="http://schemas.openxmlformats.org/officeDocument/2006/relationships/hyperlink" Target="https://osu.ppy.sh/b/3870932" TargetMode="External"/><Relationship Id="rId8" Type="http://schemas.openxmlformats.org/officeDocument/2006/relationships/hyperlink" Target="https://osu.ppy.sh/b/571620" TargetMode="External"/></Relationships>
</file>

<file path=xl/worksheets/_rels/sheet72.xml.rels><?xml version="1.0" encoding="UTF-8" standalone="yes"?><Relationships xmlns="http://schemas.openxmlformats.org/package/2006/relationships"><Relationship Id="rId20" Type="http://schemas.openxmlformats.org/officeDocument/2006/relationships/hyperlink" Target="https://osu.ppy.sh/b/3853742" TargetMode="External"/><Relationship Id="rId22" Type="http://schemas.openxmlformats.org/officeDocument/2006/relationships/drawing" Target="../drawings/drawing72.xml"/><Relationship Id="rId21" Type="http://schemas.openxmlformats.org/officeDocument/2006/relationships/hyperlink" Target="https://osu.ppy.sh/b/862338" TargetMode="External"/><Relationship Id="rId23" Type="http://schemas.openxmlformats.org/officeDocument/2006/relationships/vmlDrawing" Target="../drawings/vmlDrawing67.vml"/><Relationship Id="rId11" Type="http://schemas.openxmlformats.org/officeDocument/2006/relationships/hyperlink" Target="https://osu.ppy.sh/b/1258993" TargetMode="External"/><Relationship Id="rId10" Type="http://schemas.openxmlformats.org/officeDocument/2006/relationships/hyperlink" Target="https://osu.ppy.sh/b/2565268" TargetMode="External"/><Relationship Id="rId13" Type="http://schemas.openxmlformats.org/officeDocument/2006/relationships/hyperlink" Target="https://osu.ppy.sh/b/3333734" TargetMode="External"/><Relationship Id="rId12" Type="http://schemas.openxmlformats.org/officeDocument/2006/relationships/hyperlink" Target="https://osu.ppy.sh/b/1592403" TargetMode="External"/><Relationship Id="rId15" Type="http://schemas.openxmlformats.org/officeDocument/2006/relationships/hyperlink" Target="https://osu.ppy.sh/b/1035068" TargetMode="External"/><Relationship Id="rId14" Type="http://schemas.openxmlformats.org/officeDocument/2006/relationships/hyperlink" Target="https://osu.ppy.sh/b/2519731" TargetMode="External"/><Relationship Id="rId17" Type="http://schemas.openxmlformats.org/officeDocument/2006/relationships/hyperlink" Target="https://osu.ppy.sh/b/25341" TargetMode="External"/><Relationship Id="rId16" Type="http://schemas.openxmlformats.org/officeDocument/2006/relationships/hyperlink" Target="https://osu.ppy.sh/b/1707909" TargetMode="External"/><Relationship Id="rId19" Type="http://schemas.openxmlformats.org/officeDocument/2006/relationships/hyperlink" Target="https://osu.ppy.sh/b/58701" TargetMode="External"/><Relationship Id="rId18" Type="http://schemas.openxmlformats.org/officeDocument/2006/relationships/hyperlink" Target="https://osu.ppy.sh/b/3883278" TargetMode="External"/><Relationship Id="rId1" Type="http://schemas.openxmlformats.org/officeDocument/2006/relationships/comments" Target="../comments67.xml"/><Relationship Id="rId2" Type="http://schemas.openxmlformats.org/officeDocument/2006/relationships/hyperlink" Target="https://osu.ppy.sh/community/matches/110601167" TargetMode="External"/><Relationship Id="rId3" Type="http://schemas.openxmlformats.org/officeDocument/2006/relationships/hyperlink" Target="https://osu.ppy.sh/b/3714369" TargetMode="External"/><Relationship Id="rId4" Type="http://schemas.openxmlformats.org/officeDocument/2006/relationships/hyperlink" Target="https://osu.ppy.sh/b/3461206" TargetMode="External"/><Relationship Id="rId9" Type="http://schemas.openxmlformats.org/officeDocument/2006/relationships/hyperlink" Target="https://osu.ppy.sh/b/4134134" TargetMode="External"/><Relationship Id="rId5" Type="http://schemas.openxmlformats.org/officeDocument/2006/relationships/hyperlink" Target="https://osu.ppy.sh/b/1737928" TargetMode="External"/><Relationship Id="rId6" Type="http://schemas.openxmlformats.org/officeDocument/2006/relationships/hyperlink" Target="https://osu.ppy.sh/b/3711739" TargetMode="External"/><Relationship Id="rId7" Type="http://schemas.openxmlformats.org/officeDocument/2006/relationships/hyperlink" Target="https://osu.ppy.sh/b/3711612" TargetMode="External"/><Relationship Id="rId8" Type="http://schemas.openxmlformats.org/officeDocument/2006/relationships/hyperlink" Target="https://osu.ppy.sh/b/2348578" TargetMode="External"/></Relationships>
</file>

<file path=xl/worksheets/_rels/sheet73.xml.rels><?xml version="1.0" encoding="UTF-8" standalone="yes"?><Relationships xmlns="http://schemas.openxmlformats.org/package/2006/relationships"><Relationship Id="rId20" Type="http://schemas.openxmlformats.org/officeDocument/2006/relationships/hyperlink" Target="https://osu.ppy.sh/b/3853742" TargetMode="External"/><Relationship Id="rId22" Type="http://schemas.openxmlformats.org/officeDocument/2006/relationships/drawing" Target="../drawings/drawing73.xml"/><Relationship Id="rId21" Type="http://schemas.openxmlformats.org/officeDocument/2006/relationships/hyperlink" Target="https://osu.ppy.sh/b/862338" TargetMode="External"/><Relationship Id="rId23" Type="http://schemas.openxmlformats.org/officeDocument/2006/relationships/vmlDrawing" Target="../drawings/vmlDrawing68.vml"/><Relationship Id="rId11" Type="http://schemas.openxmlformats.org/officeDocument/2006/relationships/hyperlink" Target="https://osu.ppy.sh/b/1258993" TargetMode="External"/><Relationship Id="rId10" Type="http://schemas.openxmlformats.org/officeDocument/2006/relationships/hyperlink" Target="https://osu.ppy.sh/b/2565268" TargetMode="External"/><Relationship Id="rId13" Type="http://schemas.openxmlformats.org/officeDocument/2006/relationships/hyperlink" Target="https://osu.ppy.sh/b/3333734" TargetMode="External"/><Relationship Id="rId12" Type="http://schemas.openxmlformats.org/officeDocument/2006/relationships/hyperlink" Target="https://osu.ppy.sh/b/1592403" TargetMode="External"/><Relationship Id="rId15" Type="http://schemas.openxmlformats.org/officeDocument/2006/relationships/hyperlink" Target="https://osu.ppy.sh/b/1035068" TargetMode="External"/><Relationship Id="rId14" Type="http://schemas.openxmlformats.org/officeDocument/2006/relationships/hyperlink" Target="https://osu.ppy.sh/b/2519731" TargetMode="External"/><Relationship Id="rId17" Type="http://schemas.openxmlformats.org/officeDocument/2006/relationships/hyperlink" Target="https://osu.ppy.sh/b/25341" TargetMode="External"/><Relationship Id="rId16" Type="http://schemas.openxmlformats.org/officeDocument/2006/relationships/hyperlink" Target="https://osu.ppy.sh/b/1707909" TargetMode="External"/><Relationship Id="rId19" Type="http://schemas.openxmlformats.org/officeDocument/2006/relationships/hyperlink" Target="https://osu.ppy.sh/b/58701" TargetMode="External"/><Relationship Id="rId18" Type="http://schemas.openxmlformats.org/officeDocument/2006/relationships/hyperlink" Target="https://osu.ppy.sh/b/3883278" TargetMode="External"/><Relationship Id="rId1" Type="http://schemas.openxmlformats.org/officeDocument/2006/relationships/comments" Target="../comments68.xml"/><Relationship Id="rId2" Type="http://schemas.openxmlformats.org/officeDocument/2006/relationships/hyperlink" Target="https://osu.ppy.sh/community/matches/110607052" TargetMode="External"/><Relationship Id="rId3" Type="http://schemas.openxmlformats.org/officeDocument/2006/relationships/hyperlink" Target="https://osu.ppy.sh/b/3714369" TargetMode="External"/><Relationship Id="rId4" Type="http://schemas.openxmlformats.org/officeDocument/2006/relationships/hyperlink" Target="https://osu.ppy.sh/b/3461206" TargetMode="External"/><Relationship Id="rId9" Type="http://schemas.openxmlformats.org/officeDocument/2006/relationships/hyperlink" Target="https://osu.ppy.sh/b/4134134" TargetMode="External"/><Relationship Id="rId5" Type="http://schemas.openxmlformats.org/officeDocument/2006/relationships/hyperlink" Target="https://osu.ppy.sh/b/1737928" TargetMode="External"/><Relationship Id="rId6" Type="http://schemas.openxmlformats.org/officeDocument/2006/relationships/hyperlink" Target="https://osu.ppy.sh/b/3711739" TargetMode="External"/><Relationship Id="rId7" Type="http://schemas.openxmlformats.org/officeDocument/2006/relationships/hyperlink" Target="https://osu.ppy.sh/b/3711612" TargetMode="External"/><Relationship Id="rId8" Type="http://schemas.openxmlformats.org/officeDocument/2006/relationships/hyperlink" Target="https://osu.ppy.sh/b/2348578" TargetMode="External"/></Relationships>
</file>

<file path=xl/worksheets/_rels/sheet74.xml.rels><?xml version="1.0" encoding="UTF-8" standalone="yes"?><Relationships xmlns="http://schemas.openxmlformats.org/package/2006/relationships"><Relationship Id="rId11" Type="http://schemas.openxmlformats.org/officeDocument/2006/relationships/hyperlink" Target="https://osu.ppy.sh/b/1521209" TargetMode="External"/><Relationship Id="rId10" Type="http://schemas.openxmlformats.org/officeDocument/2006/relationships/hyperlink" Target="https://osu.ppy.sh/b/3446883" TargetMode="External"/><Relationship Id="rId13" Type="http://schemas.openxmlformats.org/officeDocument/2006/relationships/hyperlink" Target="https://osu.ppy.sh/b/2151207" TargetMode="External"/><Relationship Id="rId12" Type="http://schemas.openxmlformats.org/officeDocument/2006/relationships/hyperlink" Target="https://osu.ppy.sh/b/3616100" TargetMode="External"/><Relationship Id="rId15" Type="http://schemas.openxmlformats.org/officeDocument/2006/relationships/hyperlink" Target="https://osu.ppy.sh/b/1857415" TargetMode="External"/><Relationship Id="rId14" Type="http://schemas.openxmlformats.org/officeDocument/2006/relationships/hyperlink" Target="https://osu.ppy.sh/b/417898" TargetMode="External"/><Relationship Id="rId17" Type="http://schemas.openxmlformats.org/officeDocument/2006/relationships/vmlDrawing" Target="../drawings/vmlDrawing69.vml"/><Relationship Id="rId16" Type="http://schemas.openxmlformats.org/officeDocument/2006/relationships/drawing" Target="../drawings/drawing74.xml"/><Relationship Id="rId1" Type="http://schemas.openxmlformats.org/officeDocument/2006/relationships/comments" Target="../comments69.xml"/><Relationship Id="rId2" Type="http://schemas.openxmlformats.org/officeDocument/2006/relationships/hyperlink" Target="https://osu.ppy.sh/b/2004679" TargetMode="External"/><Relationship Id="rId3" Type="http://schemas.openxmlformats.org/officeDocument/2006/relationships/hyperlink" Target="https://osu.ppy.sh/b/3239199" TargetMode="External"/><Relationship Id="rId4" Type="http://schemas.openxmlformats.org/officeDocument/2006/relationships/hyperlink" Target="https://osu.ppy.sh/b/2794904" TargetMode="External"/><Relationship Id="rId9" Type="http://schemas.openxmlformats.org/officeDocument/2006/relationships/hyperlink" Target="https://osu.ppy.sh/b/295650" TargetMode="External"/><Relationship Id="rId5" Type="http://schemas.openxmlformats.org/officeDocument/2006/relationships/hyperlink" Target="https://osu.ppy.sh/b/2853477" TargetMode="External"/><Relationship Id="rId6" Type="http://schemas.openxmlformats.org/officeDocument/2006/relationships/hyperlink" Target="https://osu.ppy.sh/b/1733441" TargetMode="External"/><Relationship Id="rId7" Type="http://schemas.openxmlformats.org/officeDocument/2006/relationships/hyperlink" Target="https://osu.ppy.sh/b/3460069" TargetMode="External"/><Relationship Id="rId8" Type="http://schemas.openxmlformats.org/officeDocument/2006/relationships/hyperlink" Target="https://osu.ppy.sh/b/195656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3.25"/>
    <col customWidth="1" min="4" max="4" width="50.13"/>
    <col customWidth="1" min="5" max="5" width="3.25"/>
    <col customWidth="1" min="10" max="10" width="3.25"/>
  </cols>
  <sheetData>
    <row r="1" ht="18.75" customHeight="1">
      <c r="A1" s="1"/>
      <c r="B1" s="1"/>
      <c r="C1" s="1"/>
      <c r="D1" s="1"/>
      <c r="E1" s="1"/>
      <c r="F1" s="1"/>
      <c r="G1" s="1"/>
      <c r="H1" s="1"/>
      <c r="I1" s="1"/>
      <c r="J1" s="1"/>
    </row>
    <row r="2" ht="18.75" customHeight="1">
      <c r="A2" s="1"/>
      <c r="B2" s="2" t="s">
        <v>0</v>
      </c>
      <c r="E2" s="1"/>
      <c r="F2" s="3" t="str">
        <f>IMAGE("https://i.imgur.com/vky4PfO.png")</f>
        <v/>
      </c>
      <c r="J2" s="1"/>
    </row>
    <row r="3" ht="18.75" customHeight="1">
      <c r="A3" s="1"/>
      <c r="B3" s="4"/>
      <c r="C3" s="4"/>
      <c r="D3" s="4"/>
      <c r="E3" s="1"/>
      <c r="J3" s="1"/>
    </row>
    <row r="4" ht="37.5" customHeight="1">
      <c r="A4" s="1"/>
      <c r="B4" s="5" t="s">
        <v>1</v>
      </c>
      <c r="C4" s="6"/>
      <c r="D4" s="6"/>
      <c r="E4" s="7"/>
      <c r="J4" s="1"/>
    </row>
    <row r="5" ht="37.5" customHeight="1">
      <c r="A5" s="1"/>
      <c r="B5" s="8" t="s">
        <v>2</v>
      </c>
      <c r="C5" s="9">
        <f t="array" ref="C5:C9">SEQUENCE(COUNTA(D5:D9),1)</f>
        <v>1</v>
      </c>
      <c r="D5" s="10" t="s">
        <v>3</v>
      </c>
      <c r="E5" s="7"/>
      <c r="J5" s="1"/>
    </row>
    <row r="6" ht="18.75" customHeight="1">
      <c r="A6" s="1"/>
      <c r="C6" s="11">
        <v>2.0</v>
      </c>
      <c r="D6" s="12" t="s">
        <v>4</v>
      </c>
      <c r="E6" s="7"/>
      <c r="J6" s="1"/>
    </row>
    <row r="7" ht="18.75" customHeight="1">
      <c r="A7" s="1"/>
      <c r="B7" s="13" t="s">
        <v>5</v>
      </c>
      <c r="C7" s="9">
        <v>3.0</v>
      </c>
      <c r="D7" s="14" t="s">
        <v>6</v>
      </c>
      <c r="E7" s="7"/>
      <c r="J7" s="1"/>
    </row>
    <row r="8" ht="18.75" customHeight="1">
      <c r="A8" s="1"/>
      <c r="C8" s="9">
        <v>4.0</v>
      </c>
      <c r="D8" s="15" t="s">
        <v>7</v>
      </c>
      <c r="E8" s="7"/>
      <c r="J8" s="1"/>
    </row>
    <row r="9" ht="37.5" customHeight="1">
      <c r="A9" s="1"/>
      <c r="C9" s="9">
        <v>5.0</v>
      </c>
      <c r="D9" s="15" t="s">
        <v>8</v>
      </c>
      <c r="E9" s="7"/>
      <c r="J9" s="1"/>
    </row>
    <row r="10" ht="18.75" customHeight="1">
      <c r="A10" s="1"/>
      <c r="B10" s="1"/>
      <c r="C10" s="1"/>
      <c r="D10" s="1"/>
      <c r="E10" s="16"/>
      <c r="F10" s="1"/>
      <c r="G10" s="1"/>
      <c r="H10" s="1"/>
      <c r="I10" s="1"/>
      <c r="J10" s="16" t="s">
        <v>9</v>
      </c>
    </row>
  </sheetData>
  <mergeCells count="5">
    <mergeCell ref="B2:D3"/>
    <mergeCell ref="F2:I9"/>
    <mergeCell ref="B4:D4"/>
    <mergeCell ref="B5:B6"/>
    <mergeCell ref="B7:B9"/>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10</v>
      </c>
      <c r="B1" s="18">
        <v>0.0</v>
      </c>
    </row>
    <row r="2">
      <c r="A2" s="17" t="s">
        <v>11</v>
      </c>
      <c r="B2" s="18">
        <v>1.164269104E9</v>
      </c>
    </row>
    <row r="3">
      <c r="A3" s="17" t="s">
        <v>12</v>
      </c>
      <c r="B3" s="18">
        <v>9.86140543E8</v>
      </c>
    </row>
    <row r="4">
      <c r="A4" s="17" t="s">
        <v>13</v>
      </c>
      <c r="B4" s="18">
        <v>1.796023905E9</v>
      </c>
    </row>
    <row r="5">
      <c r="A5" s="17" t="s">
        <v>14</v>
      </c>
      <c r="B5" s="18">
        <v>1.885578373E9</v>
      </c>
    </row>
    <row r="6">
      <c r="A6" s="17" t="s">
        <v>15</v>
      </c>
      <c r="B6" s="18">
        <v>9.39879221E8</v>
      </c>
    </row>
    <row r="7">
      <c r="A7" s="17" t="s">
        <v>16</v>
      </c>
      <c r="B7" s="18">
        <v>7.19222685E8</v>
      </c>
    </row>
    <row r="8">
      <c r="A8" s="17" t="s">
        <v>17</v>
      </c>
      <c r="B8" s="18">
        <v>1.684621565E9</v>
      </c>
    </row>
    <row r="9">
      <c r="A9" s="17" t="s">
        <v>18</v>
      </c>
      <c r="B9" s="18">
        <v>1.213771913E9</v>
      </c>
    </row>
    <row r="10">
      <c r="A10" s="17" t="s">
        <v>19</v>
      </c>
      <c r="B10" s="18">
        <v>1.316795276E9</v>
      </c>
    </row>
    <row r="11">
      <c r="A11" s="17" t="s">
        <v>20</v>
      </c>
      <c r="B11" s="18">
        <v>8.22251654E8</v>
      </c>
    </row>
    <row r="12">
      <c r="A12" s="17">
        <v>49.0</v>
      </c>
      <c r="B12" s="18">
        <v>1.563491274E9</v>
      </c>
    </row>
    <row r="13">
      <c r="A13" s="17">
        <v>41.0</v>
      </c>
      <c r="B13" s="18">
        <v>2.04771935E8</v>
      </c>
    </row>
    <row r="14">
      <c r="A14" s="17">
        <v>1.0</v>
      </c>
      <c r="B14" s="18">
        <v>5.89469785E8</v>
      </c>
    </row>
    <row r="15">
      <c r="A15" s="17">
        <v>2.0</v>
      </c>
      <c r="B15" s="18">
        <v>1.25335995E8</v>
      </c>
    </row>
    <row r="16">
      <c r="A16" s="17">
        <v>3.0</v>
      </c>
      <c r="B16" s="18">
        <v>7.42342573E8</v>
      </c>
    </row>
    <row r="17">
      <c r="A17" s="17">
        <v>4.0</v>
      </c>
      <c r="B17" s="18">
        <v>8.77939657E8</v>
      </c>
    </row>
    <row r="18">
      <c r="A18" s="17">
        <v>5.0</v>
      </c>
      <c r="B18" s="18">
        <v>7632610.0</v>
      </c>
    </row>
    <row r="19">
      <c r="A19" s="17">
        <v>6.0</v>
      </c>
      <c r="B19" s="18">
        <v>1.722600134E9</v>
      </c>
    </row>
    <row r="20">
      <c r="A20" s="17">
        <v>7.0</v>
      </c>
      <c r="B20" s="18">
        <v>9.69379779E8</v>
      </c>
    </row>
    <row r="21">
      <c r="A21" s="17">
        <v>8.0</v>
      </c>
      <c r="B21" s="18">
        <v>1.03196645E8</v>
      </c>
    </row>
    <row r="22">
      <c r="A22" s="17">
        <v>9.0</v>
      </c>
      <c r="B22" s="18">
        <v>7.17100364E8</v>
      </c>
    </row>
    <row r="23">
      <c r="A23" s="17">
        <v>10.0</v>
      </c>
      <c r="B23" s="18">
        <v>4.99445887E8</v>
      </c>
    </row>
    <row r="24">
      <c r="A24" s="17">
        <v>11.0</v>
      </c>
      <c r="B24" s="18">
        <v>2.3104139E8</v>
      </c>
    </row>
    <row r="25">
      <c r="A25" s="17">
        <v>12.0</v>
      </c>
      <c r="B25" s="18">
        <v>2.35004691E8</v>
      </c>
    </row>
    <row r="26">
      <c r="A26" s="17">
        <v>13.0</v>
      </c>
      <c r="B26" s="18">
        <v>1.05057645E9</v>
      </c>
    </row>
    <row r="27">
      <c r="A27" s="17">
        <v>14.0</v>
      </c>
      <c r="B27" s="18">
        <v>1.547887806E9</v>
      </c>
    </row>
    <row r="28">
      <c r="A28" s="17">
        <v>15.0</v>
      </c>
      <c r="B28" s="18">
        <v>9.60517031E8</v>
      </c>
    </row>
    <row r="29">
      <c r="A29" s="17">
        <v>16.0</v>
      </c>
      <c r="B29" s="18">
        <v>1.579615738E9</v>
      </c>
    </row>
    <row r="30">
      <c r="A30" s="17">
        <v>17.0</v>
      </c>
      <c r="B30" s="18">
        <v>994967.0</v>
      </c>
    </row>
    <row r="31">
      <c r="A31" s="17">
        <v>18.0</v>
      </c>
      <c r="B31" s="18">
        <v>1.355157096E9</v>
      </c>
    </row>
    <row r="32">
      <c r="A32" s="17">
        <v>19.0</v>
      </c>
      <c r="B32" s="18">
        <v>2.072013421E9</v>
      </c>
    </row>
    <row r="33">
      <c r="A33" s="17">
        <v>20.0</v>
      </c>
      <c r="B33" s="18">
        <v>1.585277404E9</v>
      </c>
    </row>
    <row r="34">
      <c r="A34" s="17">
        <v>21.0</v>
      </c>
      <c r="B34" s="18">
        <v>3.93566114E8</v>
      </c>
    </row>
    <row r="35">
      <c r="A35" s="17">
        <v>22.0</v>
      </c>
      <c r="B35" s="18">
        <v>1.087683218E9</v>
      </c>
    </row>
    <row r="36">
      <c r="A36" s="17">
        <v>23.0</v>
      </c>
      <c r="B36" s="18">
        <v>1.440787423E9</v>
      </c>
    </row>
    <row r="37">
      <c r="A37" s="17">
        <v>24.0</v>
      </c>
      <c r="B37" s="18">
        <v>5.80832671E8</v>
      </c>
    </row>
    <row r="38">
      <c r="A38" s="17">
        <v>25.0</v>
      </c>
      <c r="B38" s="18">
        <v>1.255760709E9</v>
      </c>
    </row>
    <row r="39">
      <c r="A39" s="17">
        <v>26.0</v>
      </c>
      <c r="B39" s="18">
        <v>1.8286463E7</v>
      </c>
    </row>
    <row r="40">
      <c r="A40" s="17">
        <v>27.0</v>
      </c>
      <c r="B40" s="18">
        <v>1.629888429E9</v>
      </c>
    </row>
    <row r="41">
      <c r="A41" s="17">
        <v>28.0</v>
      </c>
      <c r="B41" s="18">
        <v>1.326001214E9</v>
      </c>
    </row>
    <row r="42">
      <c r="A42" s="17">
        <v>29.0</v>
      </c>
      <c r="B42" s="18">
        <v>6.53057891E8</v>
      </c>
    </row>
    <row r="43">
      <c r="A43" s="17">
        <v>30.0</v>
      </c>
      <c r="B43" s="18">
        <v>3.91463497E8</v>
      </c>
    </row>
    <row r="44">
      <c r="A44" s="17">
        <v>31.0</v>
      </c>
      <c r="B44" s="18">
        <v>2.105503363E9</v>
      </c>
    </row>
    <row r="45">
      <c r="A45" s="17">
        <v>32.0</v>
      </c>
      <c r="B45" s="18">
        <v>1.38800255E9</v>
      </c>
    </row>
    <row r="46">
      <c r="A46" s="17">
        <v>33.0</v>
      </c>
      <c r="B46" s="18">
        <v>1.588608143E9</v>
      </c>
    </row>
    <row r="47">
      <c r="A47" s="17">
        <v>34.0</v>
      </c>
      <c r="B47" s="18">
        <v>1.154578551E9</v>
      </c>
    </row>
    <row r="48">
      <c r="A48" s="17">
        <v>35.0</v>
      </c>
      <c r="B48" s="18">
        <v>3.72647068E8</v>
      </c>
    </row>
    <row r="49">
      <c r="A49" s="17">
        <v>36.0</v>
      </c>
      <c r="B49" s="18">
        <v>1.09335766E9</v>
      </c>
    </row>
    <row r="50">
      <c r="A50" s="17">
        <v>37.0</v>
      </c>
      <c r="B50" s="18">
        <v>2.112947068E9</v>
      </c>
    </row>
    <row r="51">
      <c r="A51" s="17">
        <v>38.0</v>
      </c>
      <c r="B51" s="18">
        <v>8.444876E8</v>
      </c>
    </row>
    <row r="52">
      <c r="A52" s="17">
        <v>39.0</v>
      </c>
      <c r="B52" s="18">
        <v>1.329649533E9</v>
      </c>
    </row>
    <row r="53">
      <c r="A53" s="17">
        <v>40.0</v>
      </c>
      <c r="B53" s="18">
        <v>1.422137546E9</v>
      </c>
    </row>
    <row r="54">
      <c r="A54" s="17">
        <v>42.0</v>
      </c>
      <c r="B54" s="18">
        <v>1.365947025E9</v>
      </c>
    </row>
    <row r="55">
      <c r="A55" s="17">
        <v>43.0</v>
      </c>
      <c r="B55" s="18">
        <v>1.577222307E9</v>
      </c>
    </row>
    <row r="56">
      <c r="A56" s="17">
        <v>44.0</v>
      </c>
      <c r="B56" s="18">
        <v>1.383405427E9</v>
      </c>
    </row>
    <row r="57">
      <c r="A57" s="17">
        <v>46.0</v>
      </c>
      <c r="B57" s="18">
        <v>2.114239998E9</v>
      </c>
    </row>
    <row r="58">
      <c r="A58" s="17">
        <v>45.0</v>
      </c>
      <c r="B58" s="18">
        <v>6.39016829E8</v>
      </c>
    </row>
    <row r="59">
      <c r="A59" s="17">
        <v>47.0</v>
      </c>
      <c r="B59" s="18">
        <v>1.824188176E9</v>
      </c>
    </row>
    <row r="60">
      <c r="A60" s="17">
        <v>48.0</v>
      </c>
      <c r="B60" s="18">
        <v>1.489224902E9</v>
      </c>
    </row>
    <row r="61">
      <c r="A61" s="17">
        <v>50.0</v>
      </c>
      <c r="B61" s="18">
        <v>1.661819841E9</v>
      </c>
    </row>
    <row r="62">
      <c r="A62" s="17">
        <v>51.0</v>
      </c>
      <c r="B62" s="18">
        <v>1.157135977E9</v>
      </c>
    </row>
    <row r="63">
      <c r="A63" s="17">
        <v>52.0</v>
      </c>
      <c r="B63" s="18">
        <v>5.57136846E8</v>
      </c>
    </row>
    <row r="64">
      <c r="A64" s="17">
        <v>53.0</v>
      </c>
      <c r="B64" s="18">
        <v>1.1547981E8</v>
      </c>
    </row>
    <row r="65">
      <c r="A65" s="17">
        <v>54.0</v>
      </c>
      <c r="B65" s="18">
        <v>7.91458351E8</v>
      </c>
    </row>
    <row r="66">
      <c r="A66" s="17">
        <v>55.0</v>
      </c>
      <c r="B66" s="18">
        <v>5.16258584E8</v>
      </c>
    </row>
    <row r="67">
      <c r="A67" s="17">
        <v>56.0</v>
      </c>
      <c r="B67" s="18">
        <v>1.69464077E8</v>
      </c>
    </row>
    <row r="68">
      <c r="A68" s="17">
        <v>57.0</v>
      </c>
      <c r="B68" s="18">
        <v>9.89635133E8</v>
      </c>
    </row>
    <row r="69">
      <c r="A69" s="17">
        <v>58.0</v>
      </c>
      <c r="B69" s="18">
        <v>1.674391114E9</v>
      </c>
    </row>
    <row r="70">
      <c r="A70" s="17">
        <v>59.0</v>
      </c>
      <c r="B70" s="18">
        <v>2.030584007E9</v>
      </c>
    </row>
    <row r="71">
      <c r="A71" s="17">
        <v>60.0</v>
      </c>
      <c r="B71" s="18">
        <v>6.4949616E7</v>
      </c>
    </row>
    <row r="72">
      <c r="A72" s="17">
        <v>61.0</v>
      </c>
      <c r="B72" s="18">
        <v>1.877136022E9</v>
      </c>
    </row>
    <row r="73">
      <c r="A73" s="17">
        <v>62.0</v>
      </c>
      <c r="B73" s="18">
        <v>1.772347885E9</v>
      </c>
    </row>
    <row r="74">
      <c r="A74" s="17">
        <v>63.0</v>
      </c>
      <c r="B74" s="18">
        <v>2.042544145E9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3" width="22.0"/>
    <col customWidth="1" min="4" max="4" width="18.88"/>
    <col customWidth="1" min="5" max="6" width="3.25"/>
    <col customWidth="1" min="7" max="7" width="18.88"/>
    <col customWidth="1" min="8" max="9" width="6.38"/>
    <col customWidth="1" min="10" max="10" width="3.25"/>
  </cols>
  <sheetData>
    <row r="1" ht="18.75" customHeight="1">
      <c r="A1" s="19"/>
      <c r="B1" s="20"/>
      <c r="C1" s="20"/>
      <c r="D1" s="20"/>
      <c r="E1" s="20"/>
      <c r="F1" s="20"/>
      <c r="G1" s="20"/>
      <c r="H1" s="20"/>
      <c r="I1" s="20"/>
      <c r="J1" s="20"/>
    </row>
    <row r="2" ht="18.75" customHeight="1">
      <c r="A2" s="19"/>
      <c r="B2" s="21" t="s">
        <v>21</v>
      </c>
      <c r="C2" s="22" t="s">
        <v>22</v>
      </c>
      <c r="D2" s="23" t="s">
        <v>23</v>
      </c>
      <c r="E2" s="20"/>
      <c r="F2" s="21" t="s">
        <v>24</v>
      </c>
      <c r="G2" s="24" t="s">
        <v>25</v>
      </c>
      <c r="H2" s="25" t="s">
        <v>26</v>
      </c>
      <c r="I2" s="24" t="s">
        <v>27</v>
      </c>
      <c r="J2" s="20"/>
    </row>
    <row r="3" ht="18.75" customHeight="1">
      <c r="A3" s="19"/>
      <c r="B3" s="26"/>
      <c r="C3" s="22" t="s">
        <v>28</v>
      </c>
      <c r="D3" s="27" t="s">
        <v>29</v>
      </c>
      <c r="E3" s="20"/>
      <c r="F3" s="26"/>
      <c r="G3" s="28" t="s">
        <v>30</v>
      </c>
      <c r="H3" s="29">
        <v>9.0</v>
      </c>
      <c r="I3" s="28">
        <v>1.0</v>
      </c>
      <c r="J3" s="20"/>
    </row>
    <row r="4" ht="18.75" customHeight="1">
      <c r="A4" s="19"/>
      <c r="B4" s="26"/>
      <c r="C4" s="22" t="s">
        <v>31</v>
      </c>
      <c r="D4" s="27" t="s">
        <v>32</v>
      </c>
      <c r="E4" s="20"/>
      <c r="F4" s="26"/>
      <c r="G4" s="28" t="s">
        <v>33</v>
      </c>
      <c r="H4" s="29">
        <v>9.0</v>
      </c>
      <c r="I4" s="28">
        <v>1.0</v>
      </c>
      <c r="J4" s="20"/>
    </row>
    <row r="5" ht="18.75" customHeight="1">
      <c r="A5" s="19"/>
      <c r="B5" s="26"/>
      <c r="C5" s="22" t="s">
        <v>34</v>
      </c>
      <c r="D5" s="27">
        <v>2.0</v>
      </c>
      <c r="E5" s="20"/>
      <c r="F5" s="26"/>
      <c r="G5" s="28" t="s">
        <v>35</v>
      </c>
      <c r="H5" s="29">
        <v>11.0</v>
      </c>
      <c r="I5" s="28">
        <v>2.0</v>
      </c>
      <c r="J5" s="20"/>
    </row>
    <row r="6" ht="18.75" customHeight="1">
      <c r="A6" s="19"/>
      <c r="B6" s="26"/>
      <c r="C6" s="22" t="s">
        <v>36</v>
      </c>
      <c r="D6" s="27">
        <v>0.0</v>
      </c>
      <c r="E6" s="20"/>
      <c r="F6" s="26"/>
      <c r="G6" s="28" t="s">
        <v>37</v>
      </c>
      <c r="H6" s="30">
        <v>11.0</v>
      </c>
      <c r="I6" s="28">
        <v>2.0</v>
      </c>
      <c r="J6" s="20"/>
    </row>
    <row r="7" ht="18.75" customHeight="1">
      <c r="A7" s="19"/>
      <c r="B7" s="26"/>
      <c r="C7" s="22" t="s">
        <v>38</v>
      </c>
      <c r="D7" s="27">
        <v>2.0</v>
      </c>
      <c r="E7" s="20"/>
      <c r="F7" s="26"/>
      <c r="G7" s="28" t="s">
        <v>39</v>
      </c>
      <c r="H7" s="29">
        <v>13.0</v>
      </c>
      <c r="I7" s="28">
        <v>2.0</v>
      </c>
      <c r="J7" s="20"/>
    </row>
    <row r="8" ht="18.75" customHeight="1">
      <c r="A8" s="19"/>
      <c r="B8" s="26"/>
      <c r="C8" s="22" t="s">
        <v>40</v>
      </c>
      <c r="D8" s="27">
        <v>3.0</v>
      </c>
      <c r="E8" s="20"/>
      <c r="F8" s="26"/>
      <c r="G8" s="28" t="s">
        <v>41</v>
      </c>
      <c r="H8" s="30">
        <v>13.0</v>
      </c>
      <c r="I8" s="28">
        <v>2.0</v>
      </c>
      <c r="J8" s="20"/>
    </row>
    <row r="9" ht="18.75" customHeight="1">
      <c r="A9" s="19"/>
      <c r="B9" s="26"/>
      <c r="C9" s="22" t="s">
        <v>42</v>
      </c>
      <c r="D9" s="27" t="b">
        <v>1</v>
      </c>
      <c r="E9" s="20"/>
      <c r="F9" s="26"/>
      <c r="G9" s="31"/>
      <c r="H9" s="29"/>
      <c r="I9" s="31"/>
      <c r="J9" s="20"/>
    </row>
    <row r="10" ht="18.75" customHeight="1">
      <c r="A10" s="19"/>
      <c r="B10" s="32"/>
      <c r="C10" s="33"/>
      <c r="D10" s="34"/>
      <c r="E10" s="20"/>
      <c r="F10" s="26"/>
      <c r="G10" s="31"/>
      <c r="H10" s="29"/>
      <c r="I10" s="31"/>
      <c r="J10" s="20"/>
    </row>
    <row r="11" ht="18.75" customHeight="1">
      <c r="A11" s="19"/>
      <c r="B11" s="21" t="s">
        <v>43</v>
      </c>
      <c r="C11" s="22" t="s">
        <v>44</v>
      </c>
      <c r="D11" s="35" t="s">
        <v>45</v>
      </c>
      <c r="E11" s="20"/>
      <c r="F11" s="26"/>
      <c r="G11" s="31"/>
      <c r="H11" s="29"/>
      <c r="I11" s="31"/>
      <c r="J11" s="20"/>
    </row>
    <row r="12" ht="18.75" customHeight="1">
      <c r="A12" s="19"/>
      <c r="B12" s="26"/>
      <c r="C12" s="22" t="s">
        <v>46</v>
      </c>
      <c r="D12" s="35" t="s">
        <v>47</v>
      </c>
      <c r="E12" s="20"/>
      <c r="F12" s="26"/>
      <c r="G12" s="31"/>
      <c r="H12" s="29"/>
      <c r="I12" s="31"/>
      <c r="J12" s="20"/>
    </row>
    <row r="13" ht="18.75" customHeight="1">
      <c r="A13" s="19"/>
      <c r="B13" s="26"/>
      <c r="C13" s="22" t="s">
        <v>48</v>
      </c>
      <c r="D13" s="27">
        <v>90.0</v>
      </c>
      <c r="E13" s="20"/>
      <c r="F13" s="26"/>
      <c r="G13" s="36"/>
      <c r="H13" s="37"/>
      <c r="I13" s="36"/>
      <c r="J13" s="20"/>
    </row>
    <row r="14" ht="18.75" customHeight="1">
      <c r="A14" s="19"/>
      <c r="B14" s="26"/>
      <c r="C14" s="22" t="s">
        <v>49</v>
      </c>
      <c r="D14" s="27">
        <v>90.0</v>
      </c>
      <c r="E14" s="20"/>
      <c r="F14" s="26"/>
      <c r="G14" s="36"/>
      <c r="H14" s="37"/>
      <c r="I14" s="36"/>
      <c r="J14" s="20"/>
    </row>
    <row r="15" ht="18.75" customHeight="1">
      <c r="A15" s="19"/>
      <c r="B15" s="26"/>
      <c r="C15" s="22" t="s">
        <v>50</v>
      </c>
      <c r="D15" s="27" t="s">
        <v>51</v>
      </c>
      <c r="E15" s="20"/>
      <c r="F15" s="26"/>
      <c r="G15" s="36"/>
      <c r="H15" s="37"/>
      <c r="I15" s="36"/>
      <c r="J15" s="20"/>
    </row>
    <row r="16" ht="18.75" customHeight="1">
      <c r="A16" s="19"/>
      <c r="B16" s="26"/>
      <c r="C16" s="22" t="s">
        <v>52</v>
      </c>
      <c r="D16" s="27">
        <v>15.0</v>
      </c>
      <c r="E16" s="20"/>
      <c r="F16" s="26"/>
      <c r="G16" s="36"/>
      <c r="H16" s="37"/>
      <c r="I16" s="36"/>
      <c r="J16" s="20"/>
    </row>
    <row r="17" ht="18.75" customHeight="1">
      <c r="A17" s="19"/>
      <c r="B17" s="26"/>
      <c r="C17" s="22" t="s">
        <v>53</v>
      </c>
      <c r="D17" s="27" t="b">
        <v>0</v>
      </c>
      <c r="E17" s="20"/>
      <c r="F17" s="26"/>
      <c r="G17" s="36"/>
      <c r="H17" s="37"/>
      <c r="I17" s="36"/>
      <c r="J17" s="20"/>
    </row>
    <row r="18" ht="18.75" customHeight="1">
      <c r="A18" s="19"/>
      <c r="B18" s="26"/>
      <c r="C18" s="22" t="s">
        <v>54</v>
      </c>
      <c r="D18" s="27" t="b">
        <v>0</v>
      </c>
      <c r="E18" s="20"/>
      <c r="F18" s="26"/>
      <c r="G18" s="36"/>
      <c r="H18" s="37"/>
      <c r="I18" s="36"/>
      <c r="J18" s="20"/>
    </row>
    <row r="19" ht="18.75" customHeight="1">
      <c r="A19" s="19"/>
      <c r="B19" s="26"/>
      <c r="C19" s="22" t="s">
        <v>55</v>
      </c>
      <c r="D19" s="27" t="b">
        <v>1</v>
      </c>
      <c r="E19" s="20"/>
      <c r="F19" s="26"/>
      <c r="G19" s="36"/>
      <c r="H19" s="37"/>
      <c r="I19" s="36"/>
      <c r="J19" s="20"/>
    </row>
    <row r="20" ht="18.75" customHeight="1">
      <c r="A20" s="19"/>
      <c r="B20" s="26"/>
      <c r="C20" s="22" t="s">
        <v>56</v>
      </c>
      <c r="D20" s="23" t="s">
        <v>57</v>
      </c>
      <c r="E20" s="20"/>
      <c r="F20" s="26"/>
      <c r="G20" s="36"/>
      <c r="H20" s="37"/>
      <c r="I20" s="36"/>
      <c r="J20" s="20"/>
    </row>
    <row r="21" ht="18.75" customHeight="1">
      <c r="A21" s="19"/>
      <c r="B21" s="26"/>
      <c r="C21" s="22" t="s">
        <v>58</v>
      </c>
      <c r="D21" s="23" t="s">
        <v>59</v>
      </c>
      <c r="E21" s="20"/>
      <c r="F21" s="26"/>
      <c r="G21" s="36"/>
      <c r="H21" s="37"/>
      <c r="I21" s="36"/>
      <c r="J21" s="20"/>
    </row>
    <row r="22" ht="18.75" customHeight="1">
      <c r="A22" s="19"/>
      <c r="B22" s="20"/>
      <c r="C22" s="20"/>
      <c r="D22" s="20"/>
      <c r="E22" s="20"/>
      <c r="F22" s="20"/>
      <c r="G22" s="20"/>
      <c r="H22" s="20"/>
      <c r="I22" s="20"/>
      <c r="J22" s="20"/>
    </row>
  </sheetData>
  <mergeCells count="3">
    <mergeCell ref="B2:B9"/>
    <mergeCell ref="F2:F21"/>
    <mergeCell ref="B11:B21"/>
  </mergeCells>
  <dataValidations>
    <dataValidation type="list" allowBlank="1" sqref="D4">
      <formula1>"Solo,Team"</formula1>
    </dataValidation>
    <dataValidation type="custom" allowBlank="1" showDropDown="1" showErrorMessage="1" sqref="H3:H21">
      <formula1>ISODD(H3)</formula1>
    </dataValidation>
    <dataValidation type="decimal" allowBlank="1" showDropDown="1" showErrorMessage="1" sqref="I3:I21">
      <formula1>0.0</formula1>
      <formula2>2.0</formula2>
    </dataValidation>
    <dataValidation type="decimal" allowBlank="1" showDropDown="1" sqref="D5">
      <formula1>1.0</formula1>
      <formula2>8.0</formula2>
    </dataValidation>
    <dataValidation type="decimal" allowBlank="1" showDropDown="1" sqref="D6">
      <formula1>0.0</formula1>
      <formula2>3.0</formula2>
    </dataValidation>
  </dataValidations>
  <hyperlinks>
    <hyperlink r:id="rId2" ref="D11"/>
    <hyperlink r:id="rId3" ref="D12"/>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3.25"/>
    <col customWidth="1" min="2" max="2" width="15.13"/>
    <col customWidth="1" min="3" max="3" width="6.38"/>
    <col customWidth="1" min="4" max="4" width="9.5"/>
    <col customWidth="1" min="5" max="6" width="25.13"/>
    <col customWidth="1" min="9" max="9" width="3.25"/>
  </cols>
  <sheetData>
    <row r="1" ht="18.75" customHeight="1">
      <c r="A1" s="38"/>
      <c r="B1" s="20"/>
      <c r="C1" s="20"/>
      <c r="D1" s="20"/>
      <c r="E1" s="20"/>
      <c r="F1" s="20"/>
      <c r="G1" s="20"/>
      <c r="H1" s="20"/>
      <c r="I1" s="20"/>
    </row>
    <row r="2" ht="18.75" customHeight="1">
      <c r="A2" s="38"/>
      <c r="B2" s="39" t="s">
        <v>60</v>
      </c>
      <c r="C2" s="40"/>
      <c r="D2" s="40"/>
      <c r="E2" s="40"/>
      <c r="F2" s="41" t="s">
        <v>61</v>
      </c>
      <c r="G2" s="40"/>
      <c r="H2" s="40"/>
      <c r="I2" s="20"/>
    </row>
    <row r="3" ht="18.75" customHeight="1">
      <c r="A3" s="38"/>
      <c r="B3" s="42" t="s">
        <v>25</v>
      </c>
      <c r="C3" s="43" t="s">
        <v>62</v>
      </c>
      <c r="D3" s="42" t="s">
        <v>63</v>
      </c>
      <c r="E3" s="42" t="s">
        <v>64</v>
      </c>
      <c r="F3" s="44" t="s">
        <v>65</v>
      </c>
      <c r="G3" s="45" t="s">
        <v>66</v>
      </c>
      <c r="H3" s="45" t="s">
        <v>67</v>
      </c>
      <c r="I3" s="20"/>
    </row>
    <row r="4" ht="18.75" customHeight="1">
      <c r="A4" s="38"/>
      <c r="B4" s="46" t="s">
        <v>30</v>
      </c>
      <c r="C4" s="47" t="s">
        <v>68</v>
      </c>
      <c r="D4" s="46">
        <v>2277989.0</v>
      </c>
      <c r="E4" s="48" t="s">
        <v>69</v>
      </c>
      <c r="F4" s="49" t="str">
        <f t="array" ref="F4:F109">IF(C4:C109="",,HYPERLINK("https://osu.ppy.sh/b/"&amp;D4:D109,C4:C109&amp;": "&amp;E4:E109))</f>
        <v>NM1: Hazuki - Uso to Shinjitsu [Insane]</v>
      </c>
      <c r="G4" s="50" t="str">
        <f t="array" ref="G4:G109">IF(D4:D109="",,"!mp map "&amp;D4:D109&amp;" "&amp;GameMode)</f>
        <v>!mp map 2277989 0</v>
      </c>
      <c r="H4" s="51" t="str">
        <f t="array" ref="H4:H109">IF(C4:C109="",,"!mp mods "&amp;IFS(LEFT(C4:C109,2)="NM",IF(UseNF,"NF",""),LEFT(C4:C109,2)="FM","Freemod",LEFT(C4:C109,2)="TB","Freemod",TRUE,TRIM(LEFT(C4:C109,2)&amp;" "&amp;IF(UseNF,"NF",""))))</f>
        <v>!mp mods NF</v>
      </c>
      <c r="I4" s="20"/>
    </row>
    <row r="5" ht="18.75" customHeight="1">
      <c r="A5" s="38"/>
      <c r="B5" s="46" t="s">
        <v>30</v>
      </c>
      <c r="C5" s="47" t="s">
        <v>70</v>
      </c>
      <c r="D5" s="46">
        <v>3297107.0</v>
      </c>
      <c r="E5" s="48" t="s">
        <v>71</v>
      </c>
      <c r="F5" s="49" t="s">
        <v>72</v>
      </c>
      <c r="G5" s="51" t="s">
        <v>73</v>
      </c>
      <c r="H5" s="51" t="s">
        <v>74</v>
      </c>
      <c r="I5" s="20"/>
    </row>
    <row r="6" ht="18.75" customHeight="1">
      <c r="A6" s="38"/>
      <c r="B6" s="46" t="s">
        <v>30</v>
      </c>
      <c r="C6" s="47" t="s">
        <v>75</v>
      </c>
      <c r="D6" s="46">
        <v>2440455.0</v>
      </c>
      <c r="E6" s="48" t="s">
        <v>76</v>
      </c>
      <c r="F6" s="49" t="s">
        <v>77</v>
      </c>
      <c r="G6" s="51" t="s">
        <v>78</v>
      </c>
      <c r="H6" s="51" t="s">
        <v>74</v>
      </c>
      <c r="I6" s="20"/>
    </row>
    <row r="7" ht="18.75" customHeight="1">
      <c r="A7" s="38"/>
      <c r="B7" s="46" t="s">
        <v>30</v>
      </c>
      <c r="C7" s="47" t="s">
        <v>79</v>
      </c>
      <c r="D7" s="46">
        <v>3248876.0</v>
      </c>
      <c r="E7" s="48" t="s">
        <v>80</v>
      </c>
      <c r="F7" s="49" t="s">
        <v>81</v>
      </c>
      <c r="G7" s="51" t="s">
        <v>82</v>
      </c>
      <c r="H7" s="51" t="s">
        <v>74</v>
      </c>
      <c r="I7" s="20"/>
    </row>
    <row r="8" ht="18.75" customHeight="1">
      <c r="A8" s="38"/>
      <c r="B8" s="46" t="s">
        <v>30</v>
      </c>
      <c r="C8" s="47" t="s">
        <v>83</v>
      </c>
      <c r="D8" s="46">
        <v>1989991.0</v>
      </c>
      <c r="E8" s="48" t="s">
        <v>84</v>
      </c>
      <c r="F8" s="49" t="s">
        <v>85</v>
      </c>
      <c r="G8" s="51" t="s">
        <v>86</v>
      </c>
      <c r="H8" s="51" t="s">
        <v>74</v>
      </c>
      <c r="I8" s="20"/>
    </row>
    <row r="9" ht="18.75" customHeight="1">
      <c r="A9" s="38"/>
      <c r="B9" s="46" t="s">
        <v>30</v>
      </c>
      <c r="C9" s="47" t="s">
        <v>87</v>
      </c>
      <c r="D9" s="46">
        <v>3280686.0</v>
      </c>
      <c r="E9" s="48" t="s">
        <v>88</v>
      </c>
      <c r="F9" s="49" t="s">
        <v>89</v>
      </c>
      <c r="G9" s="51" t="s">
        <v>90</v>
      </c>
      <c r="H9" s="51" t="s">
        <v>91</v>
      </c>
      <c r="I9" s="20"/>
    </row>
    <row r="10" ht="18.75" customHeight="1">
      <c r="A10" s="38"/>
      <c r="B10" s="46" t="s">
        <v>30</v>
      </c>
      <c r="C10" s="47" t="s">
        <v>92</v>
      </c>
      <c r="D10" s="46">
        <v>134141.0</v>
      </c>
      <c r="E10" s="48" t="s">
        <v>93</v>
      </c>
      <c r="F10" s="49" t="s">
        <v>94</v>
      </c>
      <c r="G10" s="51" t="s">
        <v>95</v>
      </c>
      <c r="H10" s="51" t="s">
        <v>91</v>
      </c>
      <c r="I10" s="20"/>
    </row>
    <row r="11" ht="18.75" customHeight="1">
      <c r="A11" s="38"/>
      <c r="B11" s="46" t="s">
        <v>30</v>
      </c>
      <c r="C11" s="47" t="s">
        <v>96</v>
      </c>
      <c r="D11" s="46">
        <v>2659337.0</v>
      </c>
      <c r="E11" s="48" t="s">
        <v>97</v>
      </c>
      <c r="F11" s="49" t="s">
        <v>98</v>
      </c>
      <c r="G11" s="51" t="s">
        <v>99</v>
      </c>
      <c r="H11" s="51" t="s">
        <v>100</v>
      </c>
      <c r="I11" s="20"/>
    </row>
    <row r="12" ht="18.75" customHeight="1">
      <c r="A12" s="38"/>
      <c r="B12" s="46" t="s">
        <v>30</v>
      </c>
      <c r="C12" s="47" t="s">
        <v>101</v>
      </c>
      <c r="D12" s="46">
        <v>2110801.0</v>
      </c>
      <c r="E12" s="48" t="s">
        <v>102</v>
      </c>
      <c r="F12" s="49" t="s">
        <v>103</v>
      </c>
      <c r="G12" s="51" t="s">
        <v>104</v>
      </c>
      <c r="H12" s="51" t="s">
        <v>100</v>
      </c>
      <c r="I12" s="20"/>
    </row>
    <row r="13" ht="18.75" customHeight="1">
      <c r="A13" s="38"/>
      <c r="B13" s="46" t="s">
        <v>30</v>
      </c>
      <c r="C13" s="47" t="s">
        <v>105</v>
      </c>
      <c r="D13" s="46">
        <v>2044893.0</v>
      </c>
      <c r="E13" s="48" t="s">
        <v>106</v>
      </c>
      <c r="F13" s="49" t="s">
        <v>107</v>
      </c>
      <c r="G13" s="51" t="s">
        <v>108</v>
      </c>
      <c r="H13" s="51" t="s">
        <v>109</v>
      </c>
      <c r="I13" s="20"/>
    </row>
    <row r="14" ht="18.75" customHeight="1">
      <c r="A14" s="38"/>
      <c r="B14" s="46" t="s">
        <v>30</v>
      </c>
      <c r="C14" s="47" t="s">
        <v>110</v>
      </c>
      <c r="D14" s="46">
        <v>2366848.0</v>
      </c>
      <c r="E14" s="48" t="s">
        <v>111</v>
      </c>
      <c r="F14" s="49" t="s">
        <v>112</v>
      </c>
      <c r="G14" s="51" t="s">
        <v>113</v>
      </c>
      <c r="H14" s="51" t="s">
        <v>109</v>
      </c>
      <c r="I14" s="20"/>
    </row>
    <row r="15" ht="18.75" customHeight="1">
      <c r="A15" s="38"/>
      <c r="B15" s="46" t="s">
        <v>30</v>
      </c>
      <c r="C15" s="47" t="s">
        <v>114</v>
      </c>
      <c r="D15" s="46">
        <v>3396305.0</v>
      </c>
      <c r="E15" s="48" t="s">
        <v>115</v>
      </c>
      <c r="F15" s="49" t="s">
        <v>116</v>
      </c>
      <c r="G15" s="51" t="s">
        <v>117</v>
      </c>
      <c r="H15" s="51" t="s">
        <v>109</v>
      </c>
      <c r="I15" s="20"/>
    </row>
    <row r="16" ht="18.75" customHeight="1">
      <c r="A16" s="38"/>
      <c r="B16" s="46" t="s">
        <v>30</v>
      </c>
      <c r="C16" s="47" t="s">
        <v>118</v>
      </c>
      <c r="D16" s="46">
        <v>846261.0</v>
      </c>
      <c r="E16" s="48" t="s">
        <v>119</v>
      </c>
      <c r="F16" s="49" t="s">
        <v>120</v>
      </c>
      <c r="G16" s="51" t="s">
        <v>121</v>
      </c>
      <c r="H16" s="51" t="s">
        <v>122</v>
      </c>
      <c r="I16" s="20"/>
    </row>
    <row r="17" ht="18.75" customHeight="1">
      <c r="A17" s="38"/>
      <c r="B17" s="46" t="s">
        <v>30</v>
      </c>
      <c r="C17" s="47" t="s">
        <v>123</v>
      </c>
      <c r="D17" s="46">
        <v>3743202.0</v>
      </c>
      <c r="E17" s="48" t="s">
        <v>124</v>
      </c>
      <c r="F17" s="49" t="s">
        <v>125</v>
      </c>
      <c r="G17" s="51" t="s">
        <v>126</v>
      </c>
      <c r="H17" s="51" t="s">
        <v>122</v>
      </c>
      <c r="I17" s="20"/>
    </row>
    <row r="18" ht="18.75" customHeight="1">
      <c r="A18" s="38"/>
      <c r="B18" s="46" t="s">
        <v>30</v>
      </c>
      <c r="C18" s="47" t="s">
        <v>127</v>
      </c>
      <c r="D18" s="46">
        <v>3446761.0</v>
      </c>
      <c r="E18" s="48" t="s">
        <v>128</v>
      </c>
      <c r="F18" s="49" t="s">
        <v>129</v>
      </c>
      <c r="G18" s="51" t="s">
        <v>130</v>
      </c>
      <c r="H18" s="51" t="s">
        <v>122</v>
      </c>
      <c r="I18" s="20"/>
    </row>
    <row r="19" ht="18.75" customHeight="1">
      <c r="A19" s="38"/>
      <c r="B19" s="27" t="s">
        <v>33</v>
      </c>
      <c r="C19" s="52" t="s">
        <v>68</v>
      </c>
      <c r="D19" s="27">
        <v>2827293.0</v>
      </c>
      <c r="E19" s="53" t="s">
        <v>131</v>
      </c>
      <c r="F19" s="49" t="s">
        <v>132</v>
      </c>
      <c r="G19" s="51" t="s">
        <v>133</v>
      </c>
      <c r="H19" s="51" t="s">
        <v>74</v>
      </c>
      <c r="I19" s="20"/>
    </row>
    <row r="20" ht="18.75" customHeight="1">
      <c r="A20" s="38" t="s">
        <v>134</v>
      </c>
      <c r="B20" s="27" t="s">
        <v>33</v>
      </c>
      <c r="C20" s="52" t="s">
        <v>70</v>
      </c>
      <c r="D20" s="27">
        <v>2004679.0</v>
      </c>
      <c r="E20" s="53" t="s">
        <v>135</v>
      </c>
      <c r="F20" s="49" t="s">
        <v>136</v>
      </c>
      <c r="G20" s="51" t="s">
        <v>137</v>
      </c>
      <c r="H20" s="51" t="s">
        <v>74</v>
      </c>
      <c r="I20" s="20"/>
    </row>
    <row r="21" ht="18.75" customHeight="1">
      <c r="A21" s="38"/>
      <c r="B21" s="27" t="s">
        <v>33</v>
      </c>
      <c r="C21" s="52" t="s">
        <v>75</v>
      </c>
      <c r="D21" s="27">
        <v>3239199.0</v>
      </c>
      <c r="E21" s="53" t="s">
        <v>138</v>
      </c>
      <c r="F21" s="49" t="s">
        <v>139</v>
      </c>
      <c r="G21" s="51" t="s">
        <v>140</v>
      </c>
      <c r="H21" s="51" t="s">
        <v>74</v>
      </c>
      <c r="I21" s="20"/>
    </row>
    <row r="22" ht="18.75" customHeight="1">
      <c r="A22" s="38"/>
      <c r="B22" s="27" t="s">
        <v>33</v>
      </c>
      <c r="C22" s="52" t="s">
        <v>79</v>
      </c>
      <c r="D22" s="27">
        <v>2794904.0</v>
      </c>
      <c r="E22" s="53" t="s">
        <v>141</v>
      </c>
      <c r="F22" s="49" t="s">
        <v>142</v>
      </c>
      <c r="G22" s="51" t="s">
        <v>143</v>
      </c>
      <c r="H22" s="51" t="s">
        <v>74</v>
      </c>
      <c r="I22" s="20"/>
    </row>
    <row r="23" ht="18.75" customHeight="1">
      <c r="A23" s="38"/>
      <c r="B23" s="27" t="s">
        <v>33</v>
      </c>
      <c r="C23" s="52" t="s">
        <v>83</v>
      </c>
      <c r="D23" s="27">
        <v>2853477.0</v>
      </c>
      <c r="E23" s="53" t="s">
        <v>144</v>
      </c>
      <c r="F23" s="49" t="s">
        <v>145</v>
      </c>
      <c r="G23" s="51" t="s">
        <v>146</v>
      </c>
      <c r="H23" s="51" t="s">
        <v>74</v>
      </c>
      <c r="I23" s="20"/>
    </row>
    <row r="24" ht="18.75" customHeight="1">
      <c r="A24" s="38"/>
      <c r="B24" s="27" t="s">
        <v>33</v>
      </c>
      <c r="C24" s="52" t="s">
        <v>87</v>
      </c>
      <c r="D24" s="27">
        <v>1733441.0</v>
      </c>
      <c r="E24" s="53" t="s">
        <v>147</v>
      </c>
      <c r="F24" s="49" t="s">
        <v>148</v>
      </c>
      <c r="G24" s="51" t="s">
        <v>149</v>
      </c>
      <c r="H24" s="51" t="s">
        <v>91</v>
      </c>
      <c r="I24" s="20"/>
    </row>
    <row r="25" ht="18.75" customHeight="1">
      <c r="A25" s="38"/>
      <c r="B25" s="27" t="s">
        <v>33</v>
      </c>
      <c r="C25" s="52" t="s">
        <v>92</v>
      </c>
      <c r="D25" s="27">
        <v>3460069.0</v>
      </c>
      <c r="E25" s="53" t="s">
        <v>150</v>
      </c>
      <c r="F25" s="49" t="s">
        <v>151</v>
      </c>
      <c r="G25" s="51" t="s">
        <v>152</v>
      </c>
      <c r="H25" s="51" t="s">
        <v>91</v>
      </c>
      <c r="I25" s="20"/>
    </row>
    <row r="26" ht="18.75" customHeight="1">
      <c r="A26" s="38"/>
      <c r="B26" s="27" t="s">
        <v>33</v>
      </c>
      <c r="C26" s="52" t="s">
        <v>96</v>
      </c>
      <c r="D26" s="27">
        <v>1956568.0</v>
      </c>
      <c r="E26" s="53" t="s">
        <v>153</v>
      </c>
      <c r="F26" s="49" t="s">
        <v>154</v>
      </c>
      <c r="G26" s="51" t="s">
        <v>155</v>
      </c>
      <c r="H26" s="51" t="s">
        <v>100</v>
      </c>
      <c r="I26" s="20"/>
    </row>
    <row r="27" ht="18.75" customHeight="1">
      <c r="A27" s="38"/>
      <c r="B27" s="27" t="s">
        <v>33</v>
      </c>
      <c r="C27" s="52" t="s">
        <v>101</v>
      </c>
      <c r="D27" s="27">
        <v>295650.0</v>
      </c>
      <c r="E27" s="53" t="s">
        <v>156</v>
      </c>
      <c r="F27" s="49" t="s">
        <v>157</v>
      </c>
      <c r="G27" s="51" t="s">
        <v>158</v>
      </c>
      <c r="H27" s="51" t="s">
        <v>100</v>
      </c>
      <c r="I27" s="20"/>
    </row>
    <row r="28" ht="18.75" customHeight="1">
      <c r="A28" s="38"/>
      <c r="B28" s="27" t="s">
        <v>33</v>
      </c>
      <c r="C28" s="52" t="s">
        <v>105</v>
      </c>
      <c r="D28" s="27">
        <v>3446883.0</v>
      </c>
      <c r="E28" s="53" t="s">
        <v>159</v>
      </c>
      <c r="F28" s="49" t="s">
        <v>160</v>
      </c>
      <c r="G28" s="51" t="s">
        <v>161</v>
      </c>
      <c r="H28" s="51" t="s">
        <v>109</v>
      </c>
      <c r="I28" s="20"/>
    </row>
    <row r="29" ht="18.75" customHeight="1">
      <c r="A29" s="38"/>
      <c r="B29" s="27" t="s">
        <v>33</v>
      </c>
      <c r="C29" s="52" t="s">
        <v>110</v>
      </c>
      <c r="D29" s="27">
        <v>1521209.0</v>
      </c>
      <c r="E29" s="53" t="s">
        <v>162</v>
      </c>
      <c r="F29" s="49" t="s">
        <v>163</v>
      </c>
      <c r="G29" s="51" t="s">
        <v>164</v>
      </c>
      <c r="H29" s="51" t="s">
        <v>109</v>
      </c>
      <c r="I29" s="20"/>
    </row>
    <row r="30" ht="18.75" customHeight="1">
      <c r="A30" s="38"/>
      <c r="B30" s="27" t="s">
        <v>33</v>
      </c>
      <c r="C30" s="52" t="s">
        <v>114</v>
      </c>
      <c r="D30" s="27">
        <v>3616100.0</v>
      </c>
      <c r="E30" s="53" t="s">
        <v>165</v>
      </c>
      <c r="F30" s="49" t="s">
        <v>166</v>
      </c>
      <c r="G30" s="51" t="s">
        <v>167</v>
      </c>
      <c r="H30" s="51" t="s">
        <v>109</v>
      </c>
      <c r="I30" s="20"/>
    </row>
    <row r="31" ht="18.75" customHeight="1">
      <c r="A31" s="38"/>
      <c r="B31" s="27" t="s">
        <v>33</v>
      </c>
      <c r="C31" s="52" t="s">
        <v>118</v>
      </c>
      <c r="D31" s="27">
        <v>2151207.0</v>
      </c>
      <c r="E31" s="53" t="s">
        <v>168</v>
      </c>
      <c r="F31" s="49" t="s">
        <v>169</v>
      </c>
      <c r="G31" s="51" t="s">
        <v>170</v>
      </c>
      <c r="H31" s="51" t="s">
        <v>122</v>
      </c>
      <c r="I31" s="20"/>
    </row>
    <row r="32" ht="18.75" customHeight="1">
      <c r="A32" s="38"/>
      <c r="B32" s="27" t="s">
        <v>33</v>
      </c>
      <c r="C32" s="52" t="s">
        <v>123</v>
      </c>
      <c r="D32" s="27">
        <v>417898.0</v>
      </c>
      <c r="E32" s="53" t="s">
        <v>171</v>
      </c>
      <c r="F32" s="49" t="s">
        <v>172</v>
      </c>
      <c r="G32" s="51" t="s">
        <v>173</v>
      </c>
      <c r="H32" s="51" t="s">
        <v>122</v>
      </c>
      <c r="I32" s="20"/>
    </row>
    <row r="33" ht="18.75" customHeight="1">
      <c r="A33" s="38"/>
      <c r="B33" s="27" t="s">
        <v>33</v>
      </c>
      <c r="C33" s="52" t="s">
        <v>127</v>
      </c>
      <c r="D33" s="27">
        <v>1857415.0</v>
      </c>
      <c r="E33" s="53" t="s">
        <v>174</v>
      </c>
      <c r="F33" s="49" t="s">
        <v>175</v>
      </c>
      <c r="G33" s="51" t="s">
        <v>176</v>
      </c>
      <c r="H33" s="51" t="s">
        <v>122</v>
      </c>
      <c r="I33" s="20"/>
    </row>
    <row r="34" ht="18.75" customHeight="1">
      <c r="A34" s="38"/>
      <c r="B34" s="27" t="s">
        <v>35</v>
      </c>
      <c r="C34" s="52" t="s">
        <v>68</v>
      </c>
      <c r="D34" s="27">
        <v>1965654.0</v>
      </c>
      <c r="E34" s="53" t="s">
        <v>177</v>
      </c>
      <c r="F34" s="49" t="s">
        <v>178</v>
      </c>
      <c r="G34" s="51" t="s">
        <v>179</v>
      </c>
      <c r="H34" s="51" t="s">
        <v>74</v>
      </c>
      <c r="I34" s="20"/>
    </row>
    <row r="35" ht="18.75" customHeight="1">
      <c r="A35" s="38"/>
      <c r="B35" s="27" t="s">
        <v>35</v>
      </c>
      <c r="C35" s="52" t="s">
        <v>70</v>
      </c>
      <c r="D35" s="27">
        <v>1838159.0</v>
      </c>
      <c r="E35" s="53" t="s">
        <v>180</v>
      </c>
      <c r="F35" s="49" t="s">
        <v>181</v>
      </c>
      <c r="G35" s="51" t="s">
        <v>182</v>
      </c>
      <c r="H35" s="51" t="s">
        <v>74</v>
      </c>
      <c r="I35" s="20"/>
    </row>
    <row r="36" ht="18.75" customHeight="1">
      <c r="A36" s="38"/>
      <c r="B36" s="27" t="s">
        <v>35</v>
      </c>
      <c r="C36" s="52" t="s">
        <v>75</v>
      </c>
      <c r="D36" s="27">
        <v>2568756.0</v>
      </c>
      <c r="E36" s="53" t="s">
        <v>183</v>
      </c>
      <c r="F36" s="49" t="s">
        <v>184</v>
      </c>
      <c r="G36" s="51" t="s">
        <v>185</v>
      </c>
      <c r="H36" s="51" t="s">
        <v>74</v>
      </c>
      <c r="I36" s="20"/>
    </row>
    <row r="37" ht="18.75" customHeight="1">
      <c r="A37" s="38"/>
      <c r="B37" s="27" t="s">
        <v>35</v>
      </c>
      <c r="C37" s="54" t="s">
        <v>79</v>
      </c>
      <c r="D37" s="55">
        <v>3341368.0</v>
      </c>
      <c r="E37" s="56" t="s">
        <v>186</v>
      </c>
      <c r="F37" s="57" t="s">
        <v>187</v>
      </c>
      <c r="G37" s="58" t="s">
        <v>188</v>
      </c>
      <c r="H37" s="58" t="s">
        <v>74</v>
      </c>
      <c r="I37" s="20"/>
    </row>
    <row r="38" ht="18.75" customHeight="1">
      <c r="A38" s="38"/>
      <c r="B38" s="27" t="s">
        <v>35</v>
      </c>
      <c r="C38" s="54" t="s">
        <v>83</v>
      </c>
      <c r="D38" s="55">
        <v>4215637.0</v>
      </c>
      <c r="E38" s="56" t="s">
        <v>189</v>
      </c>
      <c r="F38" s="57" t="s">
        <v>190</v>
      </c>
      <c r="G38" s="58" t="s">
        <v>191</v>
      </c>
      <c r="H38" s="58" t="s">
        <v>74</v>
      </c>
      <c r="I38" s="20"/>
    </row>
    <row r="39" ht="18.75" customHeight="1">
      <c r="A39" s="38"/>
      <c r="B39" s="27" t="s">
        <v>35</v>
      </c>
      <c r="C39" s="54" t="s">
        <v>192</v>
      </c>
      <c r="D39" s="55">
        <v>3821597.0</v>
      </c>
      <c r="E39" s="56" t="s">
        <v>193</v>
      </c>
      <c r="F39" s="57" t="s">
        <v>194</v>
      </c>
      <c r="G39" s="58" t="s">
        <v>195</v>
      </c>
      <c r="H39" s="58" t="s">
        <v>74</v>
      </c>
      <c r="I39" s="20"/>
    </row>
    <row r="40" ht="18.75" customHeight="1">
      <c r="A40" s="38"/>
      <c r="B40" s="27" t="s">
        <v>35</v>
      </c>
      <c r="C40" s="54" t="s">
        <v>87</v>
      </c>
      <c r="D40" s="55">
        <v>2671048.0</v>
      </c>
      <c r="E40" s="56" t="s">
        <v>196</v>
      </c>
      <c r="F40" s="57" t="s">
        <v>197</v>
      </c>
      <c r="G40" s="58" t="s">
        <v>198</v>
      </c>
      <c r="H40" s="58" t="s">
        <v>91</v>
      </c>
      <c r="I40" s="20"/>
    </row>
    <row r="41" ht="18.75" customHeight="1">
      <c r="A41" s="38"/>
      <c r="B41" s="27" t="s">
        <v>35</v>
      </c>
      <c r="C41" s="54" t="s">
        <v>92</v>
      </c>
      <c r="D41" s="55">
        <v>105978.0</v>
      </c>
      <c r="E41" s="56" t="s">
        <v>199</v>
      </c>
      <c r="F41" s="57" t="s">
        <v>200</v>
      </c>
      <c r="G41" s="58" t="s">
        <v>201</v>
      </c>
      <c r="H41" s="58" t="s">
        <v>91</v>
      </c>
      <c r="I41" s="20"/>
    </row>
    <row r="42" ht="18.75" customHeight="1">
      <c r="A42" s="38"/>
      <c r="B42" s="27" t="s">
        <v>35</v>
      </c>
      <c r="C42" s="54" t="s">
        <v>202</v>
      </c>
      <c r="D42" s="55">
        <v>1491793.0</v>
      </c>
      <c r="E42" s="56" t="s">
        <v>203</v>
      </c>
      <c r="F42" s="57" t="s">
        <v>204</v>
      </c>
      <c r="G42" s="58" t="s">
        <v>205</v>
      </c>
      <c r="H42" s="58" t="s">
        <v>91</v>
      </c>
      <c r="I42" s="20"/>
    </row>
    <row r="43" ht="18.75" customHeight="1">
      <c r="A43" s="38"/>
      <c r="B43" s="27" t="s">
        <v>35</v>
      </c>
      <c r="C43" s="54" t="s">
        <v>96</v>
      </c>
      <c r="D43" s="55">
        <v>3913591.0</v>
      </c>
      <c r="E43" s="56" t="s">
        <v>206</v>
      </c>
      <c r="F43" s="57" t="s">
        <v>207</v>
      </c>
      <c r="G43" s="58" t="s">
        <v>208</v>
      </c>
      <c r="H43" s="58" t="s">
        <v>100</v>
      </c>
      <c r="I43" s="20"/>
    </row>
    <row r="44" ht="18.75" customHeight="1">
      <c r="A44" s="38"/>
      <c r="B44" s="27" t="s">
        <v>35</v>
      </c>
      <c r="C44" s="54" t="s">
        <v>101</v>
      </c>
      <c r="D44" s="55">
        <v>37750.0</v>
      </c>
      <c r="E44" s="56" t="s">
        <v>209</v>
      </c>
      <c r="F44" s="57" t="s">
        <v>210</v>
      </c>
      <c r="G44" s="58" t="s">
        <v>211</v>
      </c>
      <c r="H44" s="58" t="s">
        <v>100</v>
      </c>
      <c r="I44" s="20"/>
    </row>
    <row r="45" ht="18.75" customHeight="1">
      <c r="A45" s="38"/>
      <c r="B45" s="27" t="s">
        <v>35</v>
      </c>
      <c r="C45" s="54" t="s">
        <v>212</v>
      </c>
      <c r="D45" s="55">
        <v>3248255.0</v>
      </c>
      <c r="E45" s="56" t="s">
        <v>213</v>
      </c>
      <c r="F45" s="57" t="s">
        <v>214</v>
      </c>
      <c r="G45" s="58" t="s">
        <v>215</v>
      </c>
      <c r="H45" s="58" t="s">
        <v>100</v>
      </c>
      <c r="I45" s="20"/>
    </row>
    <row r="46" ht="18.75" customHeight="1">
      <c r="A46" s="38"/>
      <c r="B46" s="27" t="s">
        <v>35</v>
      </c>
      <c r="C46" s="54" t="s">
        <v>105</v>
      </c>
      <c r="D46" s="55">
        <v>674080.0</v>
      </c>
      <c r="E46" s="56" t="s">
        <v>216</v>
      </c>
      <c r="F46" s="57" t="s">
        <v>217</v>
      </c>
      <c r="G46" s="58" t="s">
        <v>218</v>
      </c>
      <c r="H46" s="58" t="s">
        <v>109</v>
      </c>
      <c r="I46" s="20"/>
    </row>
    <row r="47" ht="18.75" customHeight="1">
      <c r="A47" s="38"/>
      <c r="B47" s="27" t="s">
        <v>35</v>
      </c>
      <c r="C47" s="54" t="s">
        <v>110</v>
      </c>
      <c r="D47" s="55">
        <v>3299370.0</v>
      </c>
      <c r="E47" s="56" t="s">
        <v>219</v>
      </c>
      <c r="F47" s="57" t="s">
        <v>220</v>
      </c>
      <c r="G47" s="58" t="s">
        <v>221</v>
      </c>
      <c r="H47" s="58" t="s">
        <v>109</v>
      </c>
      <c r="I47" s="20"/>
    </row>
    <row r="48" ht="18.75" customHeight="1">
      <c r="A48" s="38"/>
      <c r="B48" s="27" t="s">
        <v>35</v>
      </c>
      <c r="C48" s="54" t="s">
        <v>114</v>
      </c>
      <c r="D48" s="55">
        <v>3822599.0</v>
      </c>
      <c r="E48" s="56" t="s">
        <v>222</v>
      </c>
      <c r="F48" s="57" t="s">
        <v>223</v>
      </c>
      <c r="G48" s="58" t="s">
        <v>224</v>
      </c>
      <c r="H48" s="58" t="s">
        <v>109</v>
      </c>
      <c r="I48" s="20"/>
    </row>
    <row r="49" ht="18.75" customHeight="1">
      <c r="A49" s="38"/>
      <c r="B49" s="27" t="s">
        <v>35</v>
      </c>
      <c r="C49" s="54" t="s">
        <v>118</v>
      </c>
      <c r="D49" s="55">
        <v>3274886.0</v>
      </c>
      <c r="E49" s="56" t="s">
        <v>225</v>
      </c>
      <c r="F49" s="57" t="s">
        <v>226</v>
      </c>
      <c r="G49" s="58" t="s">
        <v>227</v>
      </c>
      <c r="H49" s="58" t="s">
        <v>122</v>
      </c>
      <c r="I49" s="20"/>
    </row>
    <row r="50" ht="18.75" customHeight="1">
      <c r="A50" s="38"/>
      <c r="B50" s="27" t="s">
        <v>35</v>
      </c>
      <c r="C50" s="54" t="s">
        <v>123</v>
      </c>
      <c r="D50" s="55">
        <v>3804111.0</v>
      </c>
      <c r="E50" s="56" t="s">
        <v>228</v>
      </c>
      <c r="F50" s="57" t="s">
        <v>229</v>
      </c>
      <c r="G50" s="58" t="s">
        <v>230</v>
      </c>
      <c r="H50" s="58" t="s">
        <v>122</v>
      </c>
      <c r="I50" s="20"/>
    </row>
    <row r="51" ht="18.75" customHeight="1">
      <c r="A51" s="38"/>
      <c r="B51" s="27" t="s">
        <v>35</v>
      </c>
      <c r="C51" s="54" t="s">
        <v>127</v>
      </c>
      <c r="D51" s="55">
        <v>577517.0</v>
      </c>
      <c r="E51" s="56" t="s">
        <v>231</v>
      </c>
      <c r="F51" s="57" t="s">
        <v>232</v>
      </c>
      <c r="G51" s="58" t="s">
        <v>233</v>
      </c>
      <c r="H51" s="58" t="s">
        <v>122</v>
      </c>
      <c r="I51" s="20"/>
    </row>
    <row r="52" ht="18.75" customHeight="1">
      <c r="A52" s="38"/>
      <c r="B52" s="55" t="s">
        <v>37</v>
      </c>
      <c r="C52" s="54" t="s">
        <v>68</v>
      </c>
      <c r="D52" s="55">
        <v>1717844.0</v>
      </c>
      <c r="E52" s="56" t="s">
        <v>234</v>
      </c>
      <c r="F52" s="57" t="s">
        <v>235</v>
      </c>
      <c r="G52" s="58" t="s">
        <v>236</v>
      </c>
      <c r="H52" s="58" t="s">
        <v>74</v>
      </c>
      <c r="I52" s="20"/>
    </row>
    <row r="53" ht="18.75" customHeight="1">
      <c r="A53" s="38"/>
      <c r="B53" s="55" t="s">
        <v>37</v>
      </c>
      <c r="C53" s="54" t="s">
        <v>70</v>
      </c>
      <c r="D53" s="55">
        <v>3656173.0</v>
      </c>
      <c r="E53" s="56" t="s">
        <v>237</v>
      </c>
      <c r="F53" s="57" t="s">
        <v>238</v>
      </c>
      <c r="G53" s="58" t="s">
        <v>239</v>
      </c>
      <c r="H53" s="58" t="s">
        <v>74</v>
      </c>
      <c r="I53" s="20"/>
    </row>
    <row r="54" ht="18.75" customHeight="1">
      <c r="A54" s="38"/>
      <c r="B54" s="55" t="s">
        <v>37</v>
      </c>
      <c r="C54" s="54" t="s">
        <v>75</v>
      </c>
      <c r="D54" s="55">
        <v>2715749.0</v>
      </c>
      <c r="E54" s="56" t="s">
        <v>240</v>
      </c>
      <c r="F54" s="57" t="s">
        <v>241</v>
      </c>
      <c r="G54" s="58" t="s">
        <v>242</v>
      </c>
      <c r="H54" s="58" t="s">
        <v>74</v>
      </c>
      <c r="I54" s="20"/>
    </row>
    <row r="55" ht="18.75" customHeight="1">
      <c r="A55" s="38"/>
      <c r="B55" s="55" t="s">
        <v>37</v>
      </c>
      <c r="C55" s="54" t="s">
        <v>79</v>
      </c>
      <c r="D55" s="55">
        <v>3291796.0</v>
      </c>
      <c r="E55" s="56" t="s">
        <v>243</v>
      </c>
      <c r="F55" s="57" t="s">
        <v>244</v>
      </c>
      <c r="G55" s="58" t="s">
        <v>245</v>
      </c>
      <c r="H55" s="58" t="s">
        <v>74</v>
      </c>
      <c r="I55" s="20"/>
    </row>
    <row r="56" ht="18.75" customHeight="1">
      <c r="A56" s="38"/>
      <c r="B56" s="55" t="s">
        <v>37</v>
      </c>
      <c r="C56" s="54" t="s">
        <v>83</v>
      </c>
      <c r="D56" s="55">
        <v>3187491.0</v>
      </c>
      <c r="E56" s="56" t="s">
        <v>246</v>
      </c>
      <c r="F56" s="57" t="s">
        <v>247</v>
      </c>
      <c r="G56" s="58" t="s">
        <v>248</v>
      </c>
      <c r="H56" s="58" t="s">
        <v>74</v>
      </c>
      <c r="I56" s="20"/>
    </row>
    <row r="57" ht="18.75" customHeight="1">
      <c r="A57" s="38"/>
      <c r="B57" s="55" t="s">
        <v>37</v>
      </c>
      <c r="C57" s="54" t="s">
        <v>192</v>
      </c>
      <c r="D57" s="55">
        <v>3990086.0</v>
      </c>
      <c r="E57" s="56" t="s">
        <v>249</v>
      </c>
      <c r="F57" s="57" t="s">
        <v>250</v>
      </c>
      <c r="G57" s="58" t="s">
        <v>251</v>
      </c>
      <c r="H57" s="58" t="s">
        <v>74</v>
      </c>
      <c r="I57" s="20"/>
    </row>
    <row r="58" ht="18.75" customHeight="1">
      <c r="A58" s="38"/>
      <c r="B58" s="55" t="s">
        <v>37</v>
      </c>
      <c r="C58" s="54" t="s">
        <v>87</v>
      </c>
      <c r="D58" s="55">
        <v>1972425.0</v>
      </c>
      <c r="E58" s="56" t="s">
        <v>252</v>
      </c>
      <c r="F58" s="57" t="s">
        <v>253</v>
      </c>
      <c r="G58" s="58" t="s">
        <v>254</v>
      </c>
      <c r="H58" s="58" t="s">
        <v>91</v>
      </c>
      <c r="I58" s="20"/>
    </row>
    <row r="59" ht="18.75" customHeight="1">
      <c r="A59" s="38"/>
      <c r="B59" s="55" t="s">
        <v>37</v>
      </c>
      <c r="C59" s="59" t="s">
        <v>92</v>
      </c>
      <c r="D59" s="55">
        <v>2277128.0</v>
      </c>
      <c r="E59" s="56" t="s">
        <v>255</v>
      </c>
      <c r="F59" s="57" t="s">
        <v>256</v>
      </c>
      <c r="G59" s="58" t="s">
        <v>257</v>
      </c>
      <c r="H59" s="58" t="s">
        <v>91</v>
      </c>
      <c r="I59" s="20"/>
    </row>
    <row r="60" ht="18.75" customHeight="1">
      <c r="A60" s="38"/>
      <c r="B60" s="55" t="s">
        <v>37</v>
      </c>
      <c r="C60" s="59" t="s">
        <v>202</v>
      </c>
      <c r="D60" s="55">
        <v>2044890.0</v>
      </c>
      <c r="E60" s="56" t="s">
        <v>258</v>
      </c>
      <c r="F60" s="60" t="s">
        <v>259</v>
      </c>
      <c r="G60" s="58" t="s">
        <v>260</v>
      </c>
      <c r="H60" s="58" t="s">
        <v>91</v>
      </c>
      <c r="I60" s="20"/>
    </row>
    <row r="61" ht="18.75" customHeight="1">
      <c r="A61" s="38"/>
      <c r="B61" s="55" t="s">
        <v>37</v>
      </c>
      <c r="C61" s="59" t="s">
        <v>96</v>
      </c>
      <c r="D61" s="55">
        <v>3454421.0</v>
      </c>
      <c r="E61" s="56" t="s">
        <v>261</v>
      </c>
      <c r="F61" s="60" t="s">
        <v>262</v>
      </c>
      <c r="G61" s="58" t="s">
        <v>263</v>
      </c>
      <c r="H61" s="58" t="s">
        <v>100</v>
      </c>
      <c r="I61" s="20"/>
    </row>
    <row r="62" ht="18.75" customHeight="1">
      <c r="A62" s="38"/>
      <c r="B62" s="55" t="s">
        <v>37</v>
      </c>
      <c r="C62" s="59" t="s">
        <v>101</v>
      </c>
      <c r="D62" s="55">
        <v>2917786.0</v>
      </c>
      <c r="E62" s="56" t="s">
        <v>264</v>
      </c>
      <c r="F62" s="60" t="s">
        <v>265</v>
      </c>
      <c r="G62" s="58" t="s">
        <v>266</v>
      </c>
      <c r="H62" s="58" t="s">
        <v>100</v>
      </c>
      <c r="I62" s="20"/>
    </row>
    <row r="63" ht="18.75" customHeight="1">
      <c r="A63" s="38"/>
      <c r="B63" s="55" t="s">
        <v>37</v>
      </c>
      <c r="C63" s="59" t="s">
        <v>212</v>
      </c>
      <c r="D63" s="55">
        <v>1405094.0</v>
      </c>
      <c r="E63" s="56" t="s">
        <v>267</v>
      </c>
      <c r="F63" s="60" t="s">
        <v>268</v>
      </c>
      <c r="G63" s="58" t="s">
        <v>269</v>
      </c>
      <c r="H63" s="58" t="s">
        <v>100</v>
      </c>
      <c r="I63" s="20"/>
    </row>
    <row r="64" ht="18.75" customHeight="1">
      <c r="A64" s="38"/>
      <c r="B64" s="55" t="s">
        <v>37</v>
      </c>
      <c r="C64" s="59" t="s">
        <v>105</v>
      </c>
      <c r="D64" s="55">
        <v>1592512.0</v>
      </c>
      <c r="E64" s="56" t="s">
        <v>270</v>
      </c>
      <c r="F64" s="60" t="s">
        <v>271</v>
      </c>
      <c r="G64" s="58" t="s">
        <v>272</v>
      </c>
      <c r="H64" s="58" t="s">
        <v>109</v>
      </c>
      <c r="I64" s="20"/>
    </row>
    <row r="65" ht="18.75" customHeight="1">
      <c r="A65" s="38"/>
      <c r="B65" s="55" t="s">
        <v>37</v>
      </c>
      <c r="C65" s="59" t="s">
        <v>110</v>
      </c>
      <c r="D65" s="55">
        <v>2388648.0</v>
      </c>
      <c r="E65" s="56" t="s">
        <v>273</v>
      </c>
      <c r="F65" s="60" t="s">
        <v>274</v>
      </c>
      <c r="G65" s="58" t="s">
        <v>275</v>
      </c>
      <c r="H65" s="58" t="s">
        <v>109</v>
      </c>
      <c r="I65" s="20"/>
    </row>
    <row r="66" ht="18.75" customHeight="1">
      <c r="A66" s="38"/>
      <c r="B66" s="55" t="s">
        <v>37</v>
      </c>
      <c r="C66" s="59" t="s">
        <v>114</v>
      </c>
      <c r="D66" s="55">
        <v>3819183.0</v>
      </c>
      <c r="E66" s="56" t="s">
        <v>276</v>
      </c>
      <c r="F66" s="60" t="s">
        <v>277</v>
      </c>
      <c r="G66" s="58" t="s">
        <v>278</v>
      </c>
      <c r="H66" s="58" t="s">
        <v>109</v>
      </c>
      <c r="I66" s="20"/>
    </row>
    <row r="67" ht="18.75" customHeight="1">
      <c r="A67" s="38"/>
      <c r="B67" s="55" t="s">
        <v>37</v>
      </c>
      <c r="C67" s="59" t="s">
        <v>118</v>
      </c>
      <c r="D67" s="55">
        <v>2514122.0</v>
      </c>
      <c r="E67" s="56" t="s">
        <v>279</v>
      </c>
      <c r="F67" s="60" t="s">
        <v>280</v>
      </c>
      <c r="G67" s="58" t="s">
        <v>281</v>
      </c>
      <c r="H67" s="58" t="s">
        <v>122</v>
      </c>
      <c r="I67" s="20"/>
    </row>
    <row r="68" ht="18.75" customHeight="1">
      <c r="A68" s="38"/>
      <c r="B68" s="55" t="s">
        <v>37</v>
      </c>
      <c r="C68" s="59" t="s">
        <v>123</v>
      </c>
      <c r="D68" s="55">
        <v>28366.0</v>
      </c>
      <c r="E68" s="56" t="s">
        <v>282</v>
      </c>
      <c r="F68" s="60" t="s">
        <v>283</v>
      </c>
      <c r="G68" s="58" t="s">
        <v>284</v>
      </c>
      <c r="H68" s="58" t="s">
        <v>122</v>
      </c>
      <c r="I68" s="20"/>
    </row>
    <row r="69" ht="18.75" customHeight="1">
      <c r="A69" s="38"/>
      <c r="B69" s="55" t="s">
        <v>37</v>
      </c>
      <c r="C69" s="59" t="s">
        <v>127</v>
      </c>
      <c r="D69" s="55">
        <v>1248147.0</v>
      </c>
      <c r="E69" s="56" t="s">
        <v>285</v>
      </c>
      <c r="F69" s="60" t="s">
        <v>286</v>
      </c>
      <c r="G69" s="58" t="s">
        <v>287</v>
      </c>
      <c r="H69" s="58" t="s">
        <v>122</v>
      </c>
      <c r="I69" s="20"/>
    </row>
    <row r="70" ht="18.75" customHeight="1">
      <c r="A70" s="38"/>
      <c r="B70" s="55" t="s">
        <v>39</v>
      </c>
      <c r="C70" s="59" t="s">
        <v>68</v>
      </c>
      <c r="D70" s="55">
        <v>2198934.0</v>
      </c>
      <c r="E70" s="56" t="s">
        <v>288</v>
      </c>
      <c r="F70" s="60" t="s">
        <v>289</v>
      </c>
      <c r="G70" s="58" t="s">
        <v>290</v>
      </c>
      <c r="H70" s="58" t="s">
        <v>74</v>
      </c>
      <c r="I70" s="20"/>
    </row>
    <row r="71" ht="18.75" customHeight="1">
      <c r="A71" s="38"/>
      <c r="B71" s="55" t="s">
        <v>39</v>
      </c>
      <c r="C71" s="59" t="s">
        <v>70</v>
      </c>
      <c r="D71" s="55">
        <v>3010348.0</v>
      </c>
      <c r="E71" s="56" t="s">
        <v>291</v>
      </c>
      <c r="F71" s="60" t="s">
        <v>292</v>
      </c>
      <c r="G71" s="58" t="s">
        <v>293</v>
      </c>
      <c r="H71" s="58" t="s">
        <v>74</v>
      </c>
      <c r="I71" s="20"/>
    </row>
    <row r="72" ht="18.75" customHeight="1">
      <c r="A72" s="38"/>
      <c r="B72" s="55" t="s">
        <v>39</v>
      </c>
      <c r="C72" s="59" t="s">
        <v>75</v>
      </c>
      <c r="D72" s="55">
        <v>3774971.0</v>
      </c>
      <c r="E72" s="56" t="s">
        <v>294</v>
      </c>
      <c r="F72" s="60" t="s">
        <v>295</v>
      </c>
      <c r="G72" s="58" t="s">
        <v>296</v>
      </c>
      <c r="H72" s="58" t="s">
        <v>74</v>
      </c>
      <c r="I72" s="20"/>
    </row>
    <row r="73" ht="18.75" customHeight="1">
      <c r="A73" s="38"/>
      <c r="B73" s="55" t="s">
        <v>39</v>
      </c>
      <c r="C73" s="59" t="s">
        <v>79</v>
      </c>
      <c r="D73" s="55">
        <v>3802110.0</v>
      </c>
      <c r="E73" s="56" t="s">
        <v>297</v>
      </c>
      <c r="F73" s="60" t="s">
        <v>298</v>
      </c>
      <c r="G73" s="58" t="s">
        <v>299</v>
      </c>
      <c r="H73" s="58" t="s">
        <v>74</v>
      </c>
      <c r="I73" s="20"/>
    </row>
    <row r="74" ht="18.75" customHeight="1">
      <c r="A74" s="38"/>
      <c r="B74" s="55" t="s">
        <v>39</v>
      </c>
      <c r="C74" s="59" t="s">
        <v>83</v>
      </c>
      <c r="D74" s="55">
        <v>309900.0</v>
      </c>
      <c r="E74" s="56" t="s">
        <v>300</v>
      </c>
      <c r="F74" s="60" t="s">
        <v>301</v>
      </c>
      <c r="G74" s="58" t="s">
        <v>302</v>
      </c>
      <c r="H74" s="58" t="s">
        <v>74</v>
      </c>
      <c r="I74" s="20"/>
    </row>
    <row r="75" ht="18.75" customHeight="1">
      <c r="A75" s="38"/>
      <c r="B75" s="55" t="s">
        <v>39</v>
      </c>
      <c r="C75" s="59" t="s">
        <v>192</v>
      </c>
      <c r="D75" s="55">
        <v>3870932.0</v>
      </c>
      <c r="E75" s="56" t="s">
        <v>303</v>
      </c>
      <c r="F75" s="60" t="s">
        <v>304</v>
      </c>
      <c r="G75" s="58" t="s">
        <v>305</v>
      </c>
      <c r="H75" s="58" t="s">
        <v>74</v>
      </c>
      <c r="I75" s="20"/>
    </row>
    <row r="76" ht="18.75" customHeight="1">
      <c r="A76" s="38"/>
      <c r="B76" s="55" t="s">
        <v>39</v>
      </c>
      <c r="C76" s="59" t="s">
        <v>87</v>
      </c>
      <c r="D76" s="55">
        <v>571620.0</v>
      </c>
      <c r="E76" s="56" t="s">
        <v>306</v>
      </c>
      <c r="F76" s="60" t="s">
        <v>307</v>
      </c>
      <c r="G76" s="58" t="s">
        <v>308</v>
      </c>
      <c r="H76" s="58" t="s">
        <v>91</v>
      </c>
      <c r="I76" s="20"/>
    </row>
    <row r="77" ht="18.75" customHeight="1">
      <c r="A77" s="38"/>
      <c r="B77" s="55" t="s">
        <v>39</v>
      </c>
      <c r="C77" s="59" t="s">
        <v>92</v>
      </c>
      <c r="D77" s="55">
        <v>3563737.0</v>
      </c>
      <c r="E77" s="56" t="s">
        <v>309</v>
      </c>
      <c r="F77" s="60" t="s">
        <v>310</v>
      </c>
      <c r="G77" s="58" t="s">
        <v>311</v>
      </c>
      <c r="H77" s="58" t="s">
        <v>91</v>
      </c>
      <c r="I77" s="20"/>
    </row>
    <row r="78" ht="18.75" customHeight="1">
      <c r="A78" s="38"/>
      <c r="B78" s="55" t="s">
        <v>39</v>
      </c>
      <c r="C78" s="59" t="s">
        <v>202</v>
      </c>
      <c r="D78" s="55">
        <v>2751338.0</v>
      </c>
      <c r="E78" s="56" t="s">
        <v>312</v>
      </c>
      <c r="F78" s="60" t="s">
        <v>313</v>
      </c>
      <c r="G78" s="58" t="s">
        <v>314</v>
      </c>
      <c r="H78" s="58" t="s">
        <v>91</v>
      </c>
      <c r="I78" s="20"/>
    </row>
    <row r="79" ht="18.75" customHeight="1">
      <c r="A79" s="38"/>
      <c r="B79" s="55" t="s">
        <v>39</v>
      </c>
      <c r="C79" s="59" t="s">
        <v>96</v>
      </c>
      <c r="D79" s="55">
        <v>2288966.0</v>
      </c>
      <c r="E79" s="61" t="s">
        <v>315</v>
      </c>
      <c r="F79" s="60" t="s">
        <v>316</v>
      </c>
      <c r="G79" s="58" t="s">
        <v>317</v>
      </c>
      <c r="H79" s="58" t="s">
        <v>100</v>
      </c>
      <c r="I79" s="20"/>
    </row>
    <row r="80" ht="18.75" customHeight="1">
      <c r="A80" s="38"/>
      <c r="B80" s="55" t="s">
        <v>39</v>
      </c>
      <c r="C80" s="59" t="s">
        <v>101</v>
      </c>
      <c r="D80" s="55">
        <v>2691754.0</v>
      </c>
      <c r="E80" s="61" t="s">
        <v>318</v>
      </c>
      <c r="F80" s="62" t="s">
        <v>319</v>
      </c>
      <c r="G80" s="58" t="s">
        <v>320</v>
      </c>
      <c r="H80" s="58" t="s">
        <v>100</v>
      </c>
      <c r="I80" s="20"/>
    </row>
    <row r="81" ht="18.75" customHeight="1">
      <c r="A81" s="38"/>
      <c r="B81" s="55" t="s">
        <v>39</v>
      </c>
      <c r="C81" s="59" t="s">
        <v>212</v>
      </c>
      <c r="D81" s="55">
        <v>2856139.0</v>
      </c>
      <c r="E81" s="61" t="s">
        <v>321</v>
      </c>
      <c r="F81" s="62" t="s">
        <v>322</v>
      </c>
      <c r="G81" s="58" t="s">
        <v>323</v>
      </c>
      <c r="H81" s="58" t="s">
        <v>100</v>
      </c>
      <c r="I81" s="20"/>
    </row>
    <row r="82" ht="18.75" customHeight="1">
      <c r="A82" s="38"/>
      <c r="B82" s="55" t="s">
        <v>39</v>
      </c>
      <c r="C82" s="59" t="s">
        <v>105</v>
      </c>
      <c r="D82" s="55">
        <v>765880.0</v>
      </c>
      <c r="E82" s="61" t="s">
        <v>324</v>
      </c>
      <c r="F82" s="62" t="s">
        <v>325</v>
      </c>
      <c r="G82" s="58" t="s">
        <v>326</v>
      </c>
      <c r="H82" s="58" t="s">
        <v>109</v>
      </c>
      <c r="I82" s="20"/>
    </row>
    <row r="83" ht="18.75" customHeight="1">
      <c r="A83" s="38"/>
      <c r="B83" s="55" t="s">
        <v>39</v>
      </c>
      <c r="C83" s="59" t="s">
        <v>110</v>
      </c>
      <c r="D83" s="55">
        <v>345642.0</v>
      </c>
      <c r="E83" s="61" t="s">
        <v>327</v>
      </c>
      <c r="F83" s="62" t="s">
        <v>328</v>
      </c>
      <c r="G83" s="58" t="s">
        <v>329</v>
      </c>
      <c r="H83" s="58" t="s">
        <v>109</v>
      </c>
      <c r="I83" s="20"/>
    </row>
    <row r="84" ht="18.75" customHeight="1">
      <c r="A84" s="38"/>
      <c r="B84" s="55" t="s">
        <v>39</v>
      </c>
      <c r="C84" s="59" t="s">
        <v>114</v>
      </c>
      <c r="D84" s="55">
        <v>2671858.0</v>
      </c>
      <c r="E84" s="61" t="s">
        <v>330</v>
      </c>
      <c r="F84" s="62" t="s">
        <v>331</v>
      </c>
      <c r="G84" s="58" t="s">
        <v>332</v>
      </c>
      <c r="H84" s="58" t="s">
        <v>109</v>
      </c>
      <c r="I84" s="20"/>
    </row>
    <row r="85" ht="18.75" customHeight="1">
      <c r="A85" s="38"/>
      <c r="B85" s="55" t="s">
        <v>39</v>
      </c>
      <c r="C85" s="59" t="s">
        <v>333</v>
      </c>
      <c r="D85" s="55">
        <v>4150885.0</v>
      </c>
      <c r="E85" s="61" t="s">
        <v>334</v>
      </c>
      <c r="F85" s="62" t="s">
        <v>335</v>
      </c>
      <c r="G85" s="58" t="s">
        <v>336</v>
      </c>
      <c r="H85" s="58" t="s">
        <v>109</v>
      </c>
      <c r="I85" s="20"/>
    </row>
    <row r="86" ht="18.75" customHeight="1">
      <c r="A86" s="38"/>
      <c r="B86" s="55" t="s">
        <v>39</v>
      </c>
      <c r="C86" s="59" t="s">
        <v>118</v>
      </c>
      <c r="D86" s="55">
        <v>4197268.0</v>
      </c>
      <c r="E86" s="61" t="s">
        <v>337</v>
      </c>
      <c r="F86" s="62" t="s">
        <v>338</v>
      </c>
      <c r="G86" s="58" t="s">
        <v>339</v>
      </c>
      <c r="H86" s="58" t="s">
        <v>122</v>
      </c>
      <c r="I86" s="20"/>
    </row>
    <row r="87" ht="18.75" customHeight="1">
      <c r="A87" s="38"/>
      <c r="B87" s="55" t="s">
        <v>39</v>
      </c>
      <c r="C87" s="59" t="s">
        <v>123</v>
      </c>
      <c r="D87" s="55">
        <v>192181.0</v>
      </c>
      <c r="E87" s="61" t="s">
        <v>340</v>
      </c>
      <c r="F87" s="62" t="s">
        <v>341</v>
      </c>
      <c r="G87" s="58" t="s">
        <v>342</v>
      </c>
      <c r="H87" s="58" t="s">
        <v>122</v>
      </c>
      <c r="I87" s="20"/>
    </row>
    <row r="88" ht="18.75" customHeight="1">
      <c r="A88" s="38"/>
      <c r="B88" s="55" t="s">
        <v>39</v>
      </c>
      <c r="C88" s="59" t="s">
        <v>343</v>
      </c>
      <c r="D88" s="55">
        <v>3499229.0</v>
      </c>
      <c r="E88" s="61" t="s">
        <v>344</v>
      </c>
      <c r="F88" s="62" t="s">
        <v>345</v>
      </c>
      <c r="G88" s="58" t="s">
        <v>346</v>
      </c>
      <c r="H88" s="58" t="s">
        <v>122</v>
      </c>
      <c r="I88" s="20"/>
    </row>
    <row r="89" ht="18.75" customHeight="1">
      <c r="A89" s="38"/>
      <c r="B89" s="55" t="s">
        <v>39</v>
      </c>
      <c r="C89" s="59" t="s">
        <v>127</v>
      </c>
      <c r="D89" s="55">
        <v>1485947.0</v>
      </c>
      <c r="E89" s="61" t="s">
        <v>347</v>
      </c>
      <c r="F89" s="62" t="s">
        <v>348</v>
      </c>
      <c r="G89" s="58" t="s">
        <v>349</v>
      </c>
      <c r="H89" s="58" t="s">
        <v>122</v>
      </c>
      <c r="I89" s="20"/>
    </row>
    <row r="90" ht="18.75" customHeight="1">
      <c r="A90" s="38"/>
      <c r="B90" s="55" t="s">
        <v>41</v>
      </c>
      <c r="C90" s="59" t="s">
        <v>68</v>
      </c>
      <c r="D90" s="55">
        <v>2792506.0</v>
      </c>
      <c r="E90" s="61" t="s">
        <v>350</v>
      </c>
      <c r="F90" s="62" t="s">
        <v>351</v>
      </c>
      <c r="G90" s="58" t="s">
        <v>352</v>
      </c>
      <c r="H90" s="58" t="s">
        <v>74</v>
      </c>
      <c r="I90" s="20"/>
    </row>
    <row r="91" ht="18.75" customHeight="1">
      <c r="A91" s="38"/>
      <c r="B91" s="55" t="s">
        <v>41</v>
      </c>
      <c r="C91" s="59" t="s">
        <v>70</v>
      </c>
      <c r="D91" s="55">
        <v>3714369.0</v>
      </c>
      <c r="E91" s="61" t="s">
        <v>353</v>
      </c>
      <c r="F91" s="62" t="s">
        <v>354</v>
      </c>
      <c r="G91" s="58" t="s">
        <v>355</v>
      </c>
      <c r="H91" s="58" t="s">
        <v>74</v>
      </c>
      <c r="I91" s="20"/>
    </row>
    <row r="92" ht="18.75" customHeight="1">
      <c r="A92" s="38"/>
      <c r="B92" s="55" t="s">
        <v>41</v>
      </c>
      <c r="C92" s="59" t="s">
        <v>75</v>
      </c>
      <c r="D92" s="55">
        <v>3461206.0</v>
      </c>
      <c r="E92" s="61" t="s">
        <v>356</v>
      </c>
      <c r="F92" s="62" t="s">
        <v>357</v>
      </c>
      <c r="G92" s="58" t="s">
        <v>358</v>
      </c>
      <c r="H92" s="58" t="s">
        <v>74</v>
      </c>
      <c r="I92" s="20"/>
    </row>
    <row r="93" ht="18.75" customHeight="1">
      <c r="A93" s="38"/>
      <c r="B93" s="55" t="s">
        <v>41</v>
      </c>
      <c r="C93" s="59" t="s">
        <v>79</v>
      </c>
      <c r="D93" s="55">
        <v>1737928.0</v>
      </c>
      <c r="E93" s="61" t="s">
        <v>359</v>
      </c>
      <c r="F93" s="62" t="s">
        <v>360</v>
      </c>
      <c r="G93" s="58" t="s">
        <v>361</v>
      </c>
      <c r="H93" s="58" t="s">
        <v>74</v>
      </c>
      <c r="I93" s="20"/>
    </row>
    <row r="94" ht="18.75" customHeight="1">
      <c r="A94" s="38"/>
      <c r="B94" s="55" t="s">
        <v>41</v>
      </c>
      <c r="C94" s="59" t="s">
        <v>83</v>
      </c>
      <c r="D94" s="55">
        <v>3711739.0</v>
      </c>
      <c r="E94" s="61" t="s">
        <v>362</v>
      </c>
      <c r="F94" s="62" t="s">
        <v>363</v>
      </c>
      <c r="G94" s="58" t="s">
        <v>364</v>
      </c>
      <c r="H94" s="58" t="s">
        <v>74</v>
      </c>
      <c r="I94" s="20"/>
    </row>
    <row r="95" ht="18.75" customHeight="1">
      <c r="A95" s="38"/>
      <c r="B95" s="55" t="s">
        <v>41</v>
      </c>
      <c r="C95" s="59" t="s">
        <v>192</v>
      </c>
      <c r="D95" s="55">
        <v>3711612.0</v>
      </c>
      <c r="E95" s="61" t="s">
        <v>365</v>
      </c>
      <c r="F95" s="62" t="s">
        <v>366</v>
      </c>
      <c r="G95" s="58" t="s">
        <v>367</v>
      </c>
      <c r="H95" s="58" t="s">
        <v>74</v>
      </c>
      <c r="I95" s="20"/>
    </row>
    <row r="96" ht="18.75" customHeight="1">
      <c r="A96" s="38"/>
      <c r="B96" s="55" t="s">
        <v>41</v>
      </c>
      <c r="C96" s="59" t="s">
        <v>87</v>
      </c>
      <c r="D96" s="55">
        <v>2348578.0</v>
      </c>
      <c r="E96" s="61" t="s">
        <v>368</v>
      </c>
      <c r="F96" s="62" t="s">
        <v>369</v>
      </c>
      <c r="G96" s="58" t="s">
        <v>370</v>
      </c>
      <c r="H96" s="58" t="s">
        <v>91</v>
      </c>
      <c r="I96" s="20"/>
    </row>
    <row r="97" ht="18.75" customHeight="1">
      <c r="A97" s="38"/>
      <c r="B97" s="55" t="s">
        <v>41</v>
      </c>
      <c r="C97" s="59" t="s">
        <v>92</v>
      </c>
      <c r="D97" s="55">
        <v>4134134.0</v>
      </c>
      <c r="E97" s="61" t="s">
        <v>371</v>
      </c>
      <c r="F97" s="62" t="s">
        <v>372</v>
      </c>
      <c r="G97" s="58" t="s">
        <v>373</v>
      </c>
      <c r="H97" s="58" t="s">
        <v>91</v>
      </c>
      <c r="I97" s="20"/>
    </row>
    <row r="98" ht="18.75" customHeight="1">
      <c r="A98" s="38"/>
      <c r="B98" s="55" t="s">
        <v>41</v>
      </c>
      <c r="C98" s="59" t="s">
        <v>202</v>
      </c>
      <c r="D98" s="55">
        <v>2565268.0</v>
      </c>
      <c r="E98" s="61" t="s">
        <v>374</v>
      </c>
      <c r="F98" s="62" t="s">
        <v>375</v>
      </c>
      <c r="G98" s="58" t="s">
        <v>376</v>
      </c>
      <c r="H98" s="58" t="s">
        <v>91</v>
      </c>
      <c r="I98" s="20"/>
    </row>
    <row r="99" ht="18.75" customHeight="1">
      <c r="A99" s="38"/>
      <c r="B99" s="55" t="s">
        <v>41</v>
      </c>
      <c r="C99" s="59" t="s">
        <v>96</v>
      </c>
      <c r="D99" s="55">
        <v>1258993.0</v>
      </c>
      <c r="E99" s="61" t="s">
        <v>377</v>
      </c>
      <c r="F99" s="62" t="s">
        <v>378</v>
      </c>
      <c r="G99" s="58" t="s">
        <v>379</v>
      </c>
      <c r="H99" s="58" t="s">
        <v>100</v>
      </c>
      <c r="I99" s="20"/>
    </row>
    <row r="100" ht="18.75" customHeight="1">
      <c r="A100" s="38"/>
      <c r="B100" s="55" t="s">
        <v>41</v>
      </c>
      <c r="C100" s="59" t="s">
        <v>101</v>
      </c>
      <c r="D100" s="55">
        <v>1592403.0</v>
      </c>
      <c r="E100" s="61" t="s">
        <v>380</v>
      </c>
      <c r="F100" s="62" t="s">
        <v>381</v>
      </c>
      <c r="G100" s="58" t="s">
        <v>382</v>
      </c>
      <c r="H100" s="58" t="s">
        <v>100</v>
      </c>
      <c r="I100" s="20"/>
    </row>
    <row r="101" ht="18.75" customHeight="1">
      <c r="A101" s="38"/>
      <c r="B101" s="55" t="s">
        <v>41</v>
      </c>
      <c r="C101" s="59" t="s">
        <v>212</v>
      </c>
      <c r="D101" s="55">
        <v>3333734.0</v>
      </c>
      <c r="E101" s="61" t="s">
        <v>383</v>
      </c>
      <c r="F101" s="62" t="s">
        <v>384</v>
      </c>
      <c r="G101" s="58" t="s">
        <v>385</v>
      </c>
      <c r="H101" s="58" t="s">
        <v>100</v>
      </c>
      <c r="I101" s="20"/>
    </row>
    <row r="102" ht="18.75" customHeight="1">
      <c r="A102" s="38"/>
      <c r="B102" s="55" t="s">
        <v>41</v>
      </c>
      <c r="C102" s="59" t="s">
        <v>105</v>
      </c>
      <c r="D102" s="55">
        <v>2519731.0</v>
      </c>
      <c r="E102" s="61" t="s">
        <v>386</v>
      </c>
      <c r="F102" s="62" t="s">
        <v>387</v>
      </c>
      <c r="G102" s="58" t="s">
        <v>388</v>
      </c>
      <c r="H102" s="58" t="s">
        <v>109</v>
      </c>
      <c r="I102" s="20"/>
    </row>
    <row r="103" ht="18.75" customHeight="1">
      <c r="A103" s="38"/>
      <c r="B103" s="55" t="s">
        <v>41</v>
      </c>
      <c r="C103" s="59" t="s">
        <v>110</v>
      </c>
      <c r="D103" s="55">
        <v>1035068.0</v>
      </c>
      <c r="E103" s="61" t="s">
        <v>389</v>
      </c>
      <c r="F103" s="62" t="s">
        <v>390</v>
      </c>
      <c r="G103" s="58" t="s">
        <v>391</v>
      </c>
      <c r="H103" s="58" t="s">
        <v>109</v>
      </c>
      <c r="I103" s="20"/>
    </row>
    <row r="104" ht="18.75" customHeight="1">
      <c r="A104" s="38"/>
      <c r="B104" s="55" t="s">
        <v>41</v>
      </c>
      <c r="C104" s="59" t="s">
        <v>114</v>
      </c>
      <c r="D104" s="55">
        <v>1707909.0</v>
      </c>
      <c r="E104" s="61" t="s">
        <v>392</v>
      </c>
      <c r="F104" s="62" t="s">
        <v>393</v>
      </c>
      <c r="G104" s="58" t="s">
        <v>394</v>
      </c>
      <c r="H104" s="58" t="s">
        <v>109</v>
      </c>
      <c r="I104" s="20"/>
    </row>
    <row r="105" ht="18.75" customHeight="1">
      <c r="A105" s="38"/>
      <c r="B105" s="55" t="s">
        <v>41</v>
      </c>
      <c r="C105" s="59" t="s">
        <v>333</v>
      </c>
      <c r="D105" s="55">
        <v>25341.0</v>
      </c>
      <c r="E105" s="61" t="s">
        <v>395</v>
      </c>
      <c r="F105" s="62" t="s">
        <v>396</v>
      </c>
      <c r="G105" s="58" t="s">
        <v>397</v>
      </c>
      <c r="H105" s="58" t="s">
        <v>109</v>
      </c>
      <c r="I105" s="20"/>
    </row>
    <row r="106" ht="18.75" customHeight="1">
      <c r="A106" s="38"/>
      <c r="B106" s="55" t="s">
        <v>41</v>
      </c>
      <c r="C106" s="59" t="s">
        <v>118</v>
      </c>
      <c r="D106" s="55">
        <v>3883278.0</v>
      </c>
      <c r="E106" s="61" t="s">
        <v>398</v>
      </c>
      <c r="F106" s="62" t="s">
        <v>399</v>
      </c>
      <c r="G106" s="58" t="s">
        <v>400</v>
      </c>
      <c r="H106" s="58" t="s">
        <v>122</v>
      </c>
      <c r="I106" s="20"/>
    </row>
    <row r="107" ht="18.75" customHeight="1">
      <c r="A107" s="38"/>
      <c r="B107" s="55" t="s">
        <v>41</v>
      </c>
      <c r="C107" s="59" t="s">
        <v>123</v>
      </c>
      <c r="D107" s="55">
        <v>58701.0</v>
      </c>
      <c r="E107" s="61" t="s">
        <v>401</v>
      </c>
      <c r="F107" s="62" t="s">
        <v>402</v>
      </c>
      <c r="G107" s="58" t="s">
        <v>403</v>
      </c>
      <c r="H107" s="58" t="s">
        <v>122</v>
      </c>
      <c r="I107" s="20"/>
    </row>
    <row r="108" ht="18.75" customHeight="1">
      <c r="A108" s="38"/>
      <c r="B108" s="55" t="s">
        <v>41</v>
      </c>
      <c r="C108" s="59" t="s">
        <v>343</v>
      </c>
      <c r="D108" s="55">
        <v>3853742.0</v>
      </c>
      <c r="E108" s="61" t="s">
        <v>404</v>
      </c>
      <c r="F108" s="62" t="s">
        <v>405</v>
      </c>
      <c r="G108" s="58" t="s">
        <v>406</v>
      </c>
      <c r="H108" s="58" t="s">
        <v>122</v>
      </c>
      <c r="I108" s="20"/>
    </row>
    <row r="109" ht="18.75" customHeight="1">
      <c r="A109" s="38"/>
      <c r="B109" s="55" t="s">
        <v>41</v>
      </c>
      <c r="C109" s="55" t="s">
        <v>127</v>
      </c>
      <c r="D109" s="55">
        <v>862338.0</v>
      </c>
      <c r="E109" s="56" t="s">
        <v>407</v>
      </c>
      <c r="F109" s="62" t="s">
        <v>408</v>
      </c>
      <c r="G109" s="58" t="s">
        <v>409</v>
      </c>
      <c r="H109" s="58" t="s">
        <v>122</v>
      </c>
      <c r="I109" s="20"/>
    </row>
  </sheetData>
  <mergeCells count="2">
    <mergeCell ref="B2:E2"/>
    <mergeCell ref="F2:H2"/>
  </mergeCells>
  <conditionalFormatting sqref="C4:C109 F4:F109">
    <cfRule type="beginsWith" dxfId="0" priority="1" operator="beginsWith" text="NM">
      <formula>LEFT((C4),LEN("NM"))=("NM")</formula>
    </cfRule>
  </conditionalFormatting>
  <conditionalFormatting sqref="C4:C109 F4:F109">
    <cfRule type="beginsWith" dxfId="1" priority="2" operator="beginsWith" text="HD">
      <formula>LEFT((C4),LEN("HD"))=("HD")</formula>
    </cfRule>
  </conditionalFormatting>
  <conditionalFormatting sqref="C4:C109 F4:F109">
    <cfRule type="beginsWith" dxfId="2" priority="3" operator="beginsWith" text="HR">
      <formula>LEFT((C4),LEN("HR"))=("HR")</formula>
    </cfRule>
  </conditionalFormatting>
  <conditionalFormatting sqref="C4:C109 F4:F109">
    <cfRule type="beginsWith" dxfId="3" priority="4" operator="beginsWith" text="DT">
      <formula>LEFT((C4),LEN("DT"))=("DT")</formula>
    </cfRule>
  </conditionalFormatting>
  <conditionalFormatting sqref="C4:C109 F4:F109">
    <cfRule type="beginsWith" dxfId="4" priority="5" operator="beginsWith" text="FM">
      <formula>LEFT((C4),LEN("FM"))=("FM")</formula>
    </cfRule>
  </conditionalFormatting>
  <conditionalFormatting sqref="C4:C109 F4:F109">
    <cfRule type="beginsWith" dxfId="5" priority="6" operator="beginsWith" text="TB">
      <formula>LEFT((C4),LEN("TB"))=("TB")</formula>
    </cfRule>
  </conditionalFormatting>
  <dataValidations>
    <dataValidation type="list" allowBlank="1" sqref="B4:B109">
      <formula1>Settings!$G$3:$G$21</formula1>
    </dataValidation>
  </dataValidations>
  <hyperlinks>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 r:id="rId35" ref="F38"/>
    <hyperlink r:id="rId36" ref="F39"/>
    <hyperlink r:id="rId37" ref="F40"/>
    <hyperlink r:id="rId38" ref="F41"/>
    <hyperlink r:id="rId39" ref="F42"/>
    <hyperlink r:id="rId40" ref="F43"/>
    <hyperlink r:id="rId41" ref="F44"/>
    <hyperlink r:id="rId42" ref="F45"/>
    <hyperlink r:id="rId43" ref="F46"/>
    <hyperlink r:id="rId44" ref="F47"/>
    <hyperlink r:id="rId45" ref="F48"/>
    <hyperlink r:id="rId46" ref="F49"/>
    <hyperlink r:id="rId47" ref="F50"/>
    <hyperlink r:id="rId48" ref="F51"/>
    <hyperlink r:id="rId49" ref="F52"/>
    <hyperlink r:id="rId50" ref="F53"/>
    <hyperlink r:id="rId51" ref="F54"/>
    <hyperlink r:id="rId52" ref="F55"/>
    <hyperlink r:id="rId53" ref="F56"/>
    <hyperlink r:id="rId54" ref="F57"/>
    <hyperlink r:id="rId55" ref="F58"/>
    <hyperlink r:id="rId56" ref="F59"/>
    <hyperlink r:id="rId57" ref="F60"/>
    <hyperlink r:id="rId58" ref="F61"/>
    <hyperlink r:id="rId59" ref="F62"/>
    <hyperlink r:id="rId60" ref="F63"/>
    <hyperlink r:id="rId61" ref="F64"/>
    <hyperlink r:id="rId62" ref="F65"/>
    <hyperlink r:id="rId63" ref="F66"/>
    <hyperlink r:id="rId64" ref="F67"/>
    <hyperlink r:id="rId65" ref="F68"/>
    <hyperlink r:id="rId66" ref="F69"/>
    <hyperlink r:id="rId67" ref="F70"/>
    <hyperlink r:id="rId68" ref="F71"/>
    <hyperlink r:id="rId69" ref="F72"/>
    <hyperlink r:id="rId70" ref="F73"/>
    <hyperlink r:id="rId71" ref="F74"/>
    <hyperlink r:id="rId72" ref="F75"/>
    <hyperlink r:id="rId73" ref="F76"/>
    <hyperlink r:id="rId74" ref="F77"/>
    <hyperlink r:id="rId75" ref="F78"/>
    <hyperlink r:id="rId76" ref="F79"/>
    <hyperlink r:id="rId77" ref="F80"/>
    <hyperlink r:id="rId78" ref="F81"/>
    <hyperlink r:id="rId79" ref="F82"/>
    <hyperlink r:id="rId80" ref="F83"/>
    <hyperlink r:id="rId81" ref="F84"/>
    <hyperlink r:id="rId82" ref="F85"/>
    <hyperlink r:id="rId83" ref="F86"/>
    <hyperlink r:id="rId84" ref="F87"/>
    <hyperlink r:id="rId85" ref="F88"/>
    <hyperlink r:id="rId86" ref="F89"/>
    <hyperlink r:id="rId87" ref="F90"/>
    <hyperlink r:id="rId88" ref="F91"/>
    <hyperlink r:id="rId89" ref="F92"/>
    <hyperlink r:id="rId90" ref="F93"/>
    <hyperlink r:id="rId91" ref="F94"/>
    <hyperlink r:id="rId92" ref="F95"/>
    <hyperlink r:id="rId93" ref="F96"/>
    <hyperlink r:id="rId94" ref="F97"/>
    <hyperlink r:id="rId95" ref="F98"/>
    <hyperlink r:id="rId96" ref="F99"/>
    <hyperlink r:id="rId97" ref="F100"/>
    <hyperlink r:id="rId98" ref="F101"/>
    <hyperlink r:id="rId99" ref="F102"/>
    <hyperlink r:id="rId100" ref="F103"/>
    <hyperlink r:id="rId101" ref="F104"/>
    <hyperlink r:id="rId102" ref="F105"/>
    <hyperlink r:id="rId103" ref="F106"/>
    <hyperlink r:id="rId104" ref="F107"/>
    <hyperlink r:id="rId105" ref="F108"/>
    <hyperlink r:id="rId106" ref="F109"/>
  </hyperlinks>
  <drawing r:id="rId107"/>
  <legacyDrawing r:id="rId10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410</v>
      </c>
      <c r="B1" s="63">
        <f t="array" ref="B1:B32">SEQUENCE(counta(A1:A1000),1)</f>
        <v>1</v>
      </c>
    </row>
    <row r="2">
      <c r="A2" s="17" t="s">
        <v>411</v>
      </c>
      <c r="B2" s="63">
        <v>2.0</v>
      </c>
    </row>
    <row r="3">
      <c r="A3" s="17" t="s">
        <v>412</v>
      </c>
      <c r="B3" s="63">
        <v>3.0</v>
      </c>
    </row>
    <row r="4">
      <c r="A4" s="17" t="s">
        <v>413</v>
      </c>
      <c r="B4" s="63">
        <v>4.0</v>
      </c>
    </row>
    <row r="5">
      <c r="A5" s="17" t="s">
        <v>414</v>
      </c>
      <c r="B5" s="63">
        <v>5.0</v>
      </c>
    </row>
    <row r="6">
      <c r="A6" s="17" t="s">
        <v>415</v>
      </c>
      <c r="B6" s="63">
        <v>6.0</v>
      </c>
    </row>
    <row r="7">
      <c r="A7" s="17" t="s">
        <v>416</v>
      </c>
      <c r="B7" s="63">
        <v>7.0</v>
      </c>
    </row>
    <row r="8">
      <c r="A8" s="17" t="s">
        <v>417</v>
      </c>
      <c r="B8" s="63">
        <v>8.0</v>
      </c>
    </row>
    <row r="9">
      <c r="A9" s="17" t="s">
        <v>418</v>
      </c>
      <c r="B9" s="63">
        <v>9.0</v>
      </c>
    </row>
    <row r="10">
      <c r="A10" s="17" t="s">
        <v>419</v>
      </c>
      <c r="B10" s="63">
        <v>10.0</v>
      </c>
    </row>
    <row r="11">
      <c r="A11" s="17" t="s">
        <v>420</v>
      </c>
      <c r="B11" s="63">
        <v>11.0</v>
      </c>
    </row>
    <row r="12">
      <c r="A12" s="17" t="s">
        <v>421</v>
      </c>
      <c r="B12" s="63">
        <v>12.0</v>
      </c>
    </row>
    <row r="13">
      <c r="A13" s="17" t="s">
        <v>422</v>
      </c>
      <c r="B13" s="63">
        <v>13.0</v>
      </c>
    </row>
    <row r="14">
      <c r="A14" s="17" t="s">
        <v>423</v>
      </c>
      <c r="B14" s="63">
        <v>14.0</v>
      </c>
    </row>
    <row r="15">
      <c r="A15" s="17" t="s">
        <v>424</v>
      </c>
      <c r="B15" s="63">
        <v>15.0</v>
      </c>
    </row>
    <row r="16">
      <c r="A16" s="17" t="s">
        <v>425</v>
      </c>
      <c r="B16" s="63">
        <v>16.0</v>
      </c>
    </row>
    <row r="17">
      <c r="A17" s="17" t="s">
        <v>426</v>
      </c>
      <c r="B17" s="63">
        <v>17.0</v>
      </c>
    </row>
    <row r="18">
      <c r="A18" s="17" t="s">
        <v>427</v>
      </c>
      <c r="B18" s="63">
        <v>18.0</v>
      </c>
    </row>
    <row r="19">
      <c r="A19" s="17" t="s">
        <v>428</v>
      </c>
      <c r="B19" s="63">
        <v>19.0</v>
      </c>
    </row>
    <row r="20">
      <c r="A20" s="17" t="s">
        <v>429</v>
      </c>
      <c r="B20" s="63">
        <v>20.0</v>
      </c>
    </row>
    <row r="21">
      <c r="A21" s="17" t="s">
        <v>430</v>
      </c>
      <c r="B21" s="63">
        <v>21.0</v>
      </c>
    </row>
    <row r="22">
      <c r="A22" s="17" t="s">
        <v>431</v>
      </c>
      <c r="B22" s="63">
        <v>22.0</v>
      </c>
    </row>
    <row r="23">
      <c r="A23" s="17" t="s">
        <v>432</v>
      </c>
      <c r="B23" s="63">
        <v>23.0</v>
      </c>
    </row>
    <row r="24">
      <c r="A24" s="17" t="s">
        <v>433</v>
      </c>
      <c r="B24" s="63">
        <v>24.0</v>
      </c>
    </row>
    <row r="25">
      <c r="A25" s="17" t="s">
        <v>434</v>
      </c>
      <c r="B25" s="63">
        <v>25.0</v>
      </c>
    </row>
    <row r="26">
      <c r="A26" s="17" t="s">
        <v>435</v>
      </c>
      <c r="B26" s="63">
        <v>26.0</v>
      </c>
    </row>
    <row r="27">
      <c r="A27" s="17" t="s">
        <v>436</v>
      </c>
      <c r="B27" s="63">
        <v>27.0</v>
      </c>
    </row>
    <row r="28">
      <c r="A28" s="17" t="s">
        <v>437</v>
      </c>
      <c r="B28" s="63">
        <v>28.0</v>
      </c>
    </row>
    <row r="29">
      <c r="A29" s="17" t="s">
        <v>438</v>
      </c>
      <c r="B29" s="63">
        <v>29.0</v>
      </c>
    </row>
    <row r="30">
      <c r="A30" s="17" t="s">
        <v>439</v>
      </c>
      <c r="B30" s="63">
        <v>30.0</v>
      </c>
    </row>
    <row r="31">
      <c r="A31" s="17" t="s">
        <v>440</v>
      </c>
      <c r="B31" s="63">
        <v>31.0</v>
      </c>
    </row>
    <row r="32">
      <c r="A32" s="17" t="s">
        <v>441</v>
      </c>
      <c r="B32" s="63">
        <v>32.0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2" width="12.63"/>
    <col customWidth="1" min="3" max="3" width="3.25"/>
    <col customWidth="1" min="4" max="4" width="9.5"/>
    <col customWidth="1" min="5" max="5" width="15.75"/>
    <col customWidth="1" min="6" max="6" width="9.5"/>
    <col customWidth="1" min="7" max="8" width="25.13"/>
    <col customWidth="1" min="9" max="12" width="15.75"/>
    <col customWidth="1" min="13" max="14" width="9.5"/>
    <col collapsed="1" min="15" max="15" width="12.63"/>
    <col hidden="1" min="16" max="17" width="12.63" outlineLevel="1"/>
    <col customWidth="1" hidden="1" min="18" max="19" width="50.13" outlineLevel="1"/>
    <col customWidth="1" min="20" max="20" width="50.13"/>
    <col customWidth="1" min="21" max="21" width="3.25"/>
  </cols>
  <sheetData>
    <row r="1" ht="18.75" customHeight="1">
      <c r="A1" s="64"/>
      <c r="B1" s="65"/>
      <c r="C1" s="64"/>
      <c r="D1" s="64"/>
      <c r="E1" s="64"/>
      <c r="F1" s="64"/>
      <c r="G1" s="66"/>
      <c r="H1" s="64"/>
      <c r="I1" s="66"/>
      <c r="J1" s="64"/>
      <c r="K1" s="64"/>
      <c r="L1" s="64"/>
      <c r="M1" s="66"/>
      <c r="N1" s="64"/>
      <c r="O1" s="64"/>
      <c r="P1" s="64"/>
      <c r="Q1" s="64"/>
      <c r="R1" s="64"/>
      <c r="S1" s="67"/>
      <c r="T1" s="64"/>
      <c r="U1" s="68"/>
    </row>
    <row r="2" ht="18.75" customHeight="1">
      <c r="A2" s="68"/>
      <c r="B2" s="69"/>
      <c r="C2" s="68"/>
      <c r="D2" s="39" t="s">
        <v>442</v>
      </c>
      <c r="E2" s="40"/>
      <c r="F2" s="40"/>
      <c r="G2" s="39" t="s">
        <v>443</v>
      </c>
      <c r="H2" s="39"/>
      <c r="I2" s="39" t="s">
        <v>444</v>
      </c>
      <c r="J2" s="40"/>
      <c r="K2" s="40"/>
      <c r="L2" s="40"/>
      <c r="M2" s="39" t="s">
        <v>445</v>
      </c>
      <c r="N2" s="40"/>
      <c r="O2" s="40"/>
      <c r="P2" s="39" t="s">
        <v>446</v>
      </c>
      <c r="Q2" s="40"/>
      <c r="R2" s="40"/>
      <c r="S2" s="70"/>
      <c r="T2" s="71"/>
      <c r="U2" s="68"/>
    </row>
    <row r="3" ht="18.75" customHeight="1">
      <c r="A3" s="68"/>
      <c r="B3" s="72" t="s">
        <v>447</v>
      </c>
      <c r="C3" s="68"/>
      <c r="D3" s="42" t="s">
        <v>448</v>
      </c>
      <c r="E3" s="42" t="s">
        <v>449</v>
      </c>
      <c r="F3" s="42" t="s">
        <v>450</v>
      </c>
      <c r="G3" s="73" t="str">
        <f t="array" ref="G3:H3">IF(Format="Solo","Player","Team")&amp;" "&amp;{1,2}</f>
        <v>Team 1</v>
      </c>
      <c r="H3" s="74" t="s">
        <v>451</v>
      </c>
      <c r="I3" s="43" t="s">
        <v>452</v>
      </c>
      <c r="J3" s="42" t="s">
        <v>453</v>
      </c>
      <c r="K3" s="42" t="s">
        <v>454</v>
      </c>
      <c r="L3" s="42" t="s">
        <v>455</v>
      </c>
      <c r="M3" s="73" t="str">
        <f t="array" ref="M3:N3">G3:H3</f>
        <v>Team 1</v>
      </c>
      <c r="N3" s="74" t="s">
        <v>451</v>
      </c>
      <c r="O3" s="42" t="s">
        <v>456</v>
      </c>
      <c r="P3" s="75" t="s">
        <v>457</v>
      </c>
      <c r="Q3" s="76" t="s">
        <v>458</v>
      </c>
      <c r="R3" s="75" t="s">
        <v>459</v>
      </c>
      <c r="S3" s="77" t="s">
        <v>460</v>
      </c>
      <c r="T3" s="76"/>
      <c r="U3" s="68"/>
    </row>
    <row r="4" ht="18.75" customHeight="1">
      <c r="A4" s="68"/>
      <c r="B4" s="78">
        <v>4.0</v>
      </c>
      <c r="C4" s="68"/>
      <c r="D4" s="79">
        <f t="array" ref="D4:O98">sort(Schedule!D4:O98,2,1,3,1)</f>
        <v>4</v>
      </c>
      <c r="E4" s="80">
        <v>45156.0</v>
      </c>
      <c r="F4" s="81">
        <v>0.5416666666666666</v>
      </c>
      <c r="G4" s="27" t="s">
        <v>418</v>
      </c>
      <c r="H4" s="27" t="s">
        <v>433</v>
      </c>
      <c r="I4" s="82" t="s">
        <v>461</v>
      </c>
      <c r="J4" s="27"/>
      <c r="K4" s="27"/>
      <c r="L4" s="27"/>
      <c r="M4" s="83" t="s">
        <v>462</v>
      </c>
      <c r="N4" s="83" t="s">
        <v>463</v>
      </c>
      <c r="O4" s="84" t="s">
        <v>464</v>
      </c>
      <c r="P4" s="85" t="str">
        <f t="array" ref="P4:Q98">INDEX(IF(G4:H98="",,IFNA(VLOOKUP(G4:H98,TeamTimes!B3:D98,2,0),"")),0)</f>
        <v>UTC+8</v>
      </c>
      <c r="Q4" s="86" t="s">
        <v>465</v>
      </c>
      <c r="R4" s="85" t="str">
        <f t="array" ref="R4:S98">INDEX(IF(G4:H98="",,IFNA(VLOOKUP(G4:H98,TeamTimes!B3:D98,3,0),"")),0)</f>
        <v>11:00 UTC, 12:00 UTC, 13:00 UTC, 14:00 UTC, 15:00 UTC, 16:00 UTC</v>
      </c>
      <c r="S4" s="87" t="s">
        <v>466</v>
      </c>
      <c r="T4" s="86"/>
      <c r="U4" s="68"/>
    </row>
    <row r="5" ht="18.75" customHeight="1">
      <c r="A5" s="68"/>
      <c r="B5" s="88">
        <v>1.0</v>
      </c>
      <c r="C5" s="68"/>
      <c r="D5" s="79">
        <v>1.0</v>
      </c>
      <c r="E5" s="80">
        <v>45156.0</v>
      </c>
      <c r="F5" s="81">
        <v>0.5833333333333334</v>
      </c>
      <c r="G5" s="27" t="s">
        <v>410</v>
      </c>
      <c r="H5" s="27" t="s">
        <v>441</v>
      </c>
      <c r="I5" s="82" t="s">
        <v>461</v>
      </c>
      <c r="J5" s="27"/>
      <c r="K5" s="27"/>
      <c r="L5" s="27"/>
      <c r="M5" s="83" t="s">
        <v>462</v>
      </c>
      <c r="N5" s="83" t="s">
        <v>467</v>
      </c>
      <c r="O5" s="84" t="s">
        <v>468</v>
      </c>
      <c r="P5" s="89" t="s">
        <v>465</v>
      </c>
      <c r="Q5" s="86" t="s">
        <v>469</v>
      </c>
      <c r="R5" s="90" t="s">
        <v>470</v>
      </c>
      <c r="S5" s="87" t="s">
        <v>471</v>
      </c>
      <c r="T5" s="86"/>
      <c r="U5" s="68"/>
    </row>
    <row r="6" ht="18.75" customHeight="1">
      <c r="A6" s="68"/>
      <c r="B6" s="88">
        <v>12.0</v>
      </c>
      <c r="C6" s="68"/>
      <c r="D6" s="79">
        <v>12.0</v>
      </c>
      <c r="E6" s="80">
        <v>45156.0</v>
      </c>
      <c r="F6" s="81">
        <v>0.5833333333333334</v>
      </c>
      <c r="G6" s="27" t="s">
        <v>419</v>
      </c>
      <c r="H6" s="27" t="s">
        <v>432</v>
      </c>
      <c r="I6" s="82" t="s">
        <v>461</v>
      </c>
      <c r="J6" s="83"/>
      <c r="K6" s="83"/>
      <c r="L6" s="83"/>
      <c r="M6" s="83" t="s">
        <v>462</v>
      </c>
      <c r="N6" s="83" t="s">
        <v>472</v>
      </c>
      <c r="O6" s="84" t="s">
        <v>473</v>
      </c>
      <c r="P6" s="89" t="s">
        <v>474</v>
      </c>
      <c r="Q6" s="86" t="s">
        <v>475</v>
      </c>
      <c r="R6" s="90" t="s">
        <v>476</v>
      </c>
      <c r="S6" s="87" t="s">
        <v>477</v>
      </c>
      <c r="T6" s="86"/>
      <c r="U6" s="68"/>
    </row>
    <row r="7" ht="18.75" customHeight="1">
      <c r="A7" s="68"/>
      <c r="B7" s="88">
        <v>15.0</v>
      </c>
      <c r="C7" s="68"/>
      <c r="D7" s="79">
        <v>15.0</v>
      </c>
      <c r="E7" s="80">
        <v>45157.0</v>
      </c>
      <c r="F7" s="81">
        <v>0.25</v>
      </c>
      <c r="G7" s="27" t="s">
        <v>415</v>
      </c>
      <c r="H7" s="27" t="s">
        <v>436</v>
      </c>
      <c r="I7" s="82" t="s">
        <v>478</v>
      </c>
      <c r="J7" s="83"/>
      <c r="K7" s="83"/>
      <c r="L7" s="83"/>
      <c r="M7" s="83" t="s">
        <v>462</v>
      </c>
      <c r="N7" s="83" t="s">
        <v>479</v>
      </c>
      <c r="O7" s="84" t="s">
        <v>480</v>
      </c>
      <c r="P7" s="89" t="s">
        <v>474</v>
      </c>
      <c r="Q7" s="86" t="s">
        <v>481</v>
      </c>
      <c r="R7" s="90" t="s">
        <v>482</v>
      </c>
      <c r="S7" s="87" t="s">
        <v>483</v>
      </c>
      <c r="T7" s="86"/>
      <c r="U7" s="68"/>
    </row>
    <row r="8" ht="18.75" customHeight="1">
      <c r="A8" s="68"/>
      <c r="B8" s="88">
        <v>2.0</v>
      </c>
      <c r="C8" s="68"/>
      <c r="D8" s="79">
        <v>2.0</v>
      </c>
      <c r="E8" s="80">
        <v>45157.0</v>
      </c>
      <c r="F8" s="81">
        <v>0.5</v>
      </c>
      <c r="G8" s="27" t="s">
        <v>425</v>
      </c>
      <c r="H8" s="27" t="s">
        <v>426</v>
      </c>
      <c r="I8" s="91" t="s">
        <v>484</v>
      </c>
      <c r="J8" s="83"/>
      <c r="K8" s="83"/>
      <c r="L8" s="83"/>
      <c r="M8" s="83" t="s">
        <v>462</v>
      </c>
      <c r="N8" s="83" t="s">
        <v>463</v>
      </c>
      <c r="O8" s="84" t="s">
        <v>485</v>
      </c>
      <c r="P8" s="89" t="s">
        <v>475</v>
      </c>
      <c r="Q8" s="86" t="s">
        <v>475</v>
      </c>
      <c r="R8" s="90" t="s">
        <v>486</v>
      </c>
      <c r="S8" s="87" t="s">
        <v>487</v>
      </c>
      <c r="T8" s="86"/>
      <c r="U8" s="68"/>
    </row>
    <row r="9" ht="18.75" customHeight="1">
      <c r="A9" s="68"/>
      <c r="B9" s="88">
        <v>7.0</v>
      </c>
      <c r="C9" s="68"/>
      <c r="D9" s="79">
        <v>7.0</v>
      </c>
      <c r="E9" s="80">
        <v>45157.0</v>
      </c>
      <c r="F9" s="81">
        <v>0.5416666666666666</v>
      </c>
      <c r="G9" s="92" t="s">
        <v>414</v>
      </c>
      <c r="H9" s="92" t="s">
        <v>437</v>
      </c>
      <c r="I9" s="93" t="s">
        <v>488</v>
      </c>
      <c r="J9" s="94"/>
      <c r="K9" s="94"/>
      <c r="L9" s="83"/>
      <c r="M9" s="83" t="s">
        <v>462</v>
      </c>
      <c r="N9" s="83" t="s">
        <v>463</v>
      </c>
      <c r="O9" s="84" t="s">
        <v>489</v>
      </c>
      <c r="P9" s="89" t="s">
        <v>465</v>
      </c>
      <c r="Q9" s="86" t="s">
        <v>465</v>
      </c>
      <c r="R9" s="90" t="s">
        <v>490</v>
      </c>
      <c r="S9" s="87" t="s">
        <v>491</v>
      </c>
      <c r="T9" s="86"/>
      <c r="U9" s="68"/>
    </row>
    <row r="10" ht="18.75" customHeight="1">
      <c r="A10" s="68"/>
      <c r="B10" s="88">
        <v>8.0</v>
      </c>
      <c r="C10" s="68"/>
      <c r="D10" s="79">
        <v>8.0</v>
      </c>
      <c r="E10" s="80">
        <v>45157.0</v>
      </c>
      <c r="F10" s="81">
        <v>0.5833333333333334</v>
      </c>
      <c r="G10" s="92" t="s">
        <v>421</v>
      </c>
      <c r="H10" s="92" t="s">
        <v>430</v>
      </c>
      <c r="I10" s="93" t="s">
        <v>484</v>
      </c>
      <c r="J10" s="94"/>
      <c r="K10" s="94"/>
      <c r="L10" s="83"/>
      <c r="M10" s="83" t="s">
        <v>492</v>
      </c>
      <c r="N10" s="83" t="s">
        <v>462</v>
      </c>
      <c r="O10" s="84" t="s">
        <v>493</v>
      </c>
      <c r="P10" s="89" t="s">
        <v>494</v>
      </c>
      <c r="Q10" s="86" t="s">
        <v>474</v>
      </c>
      <c r="R10" s="90" t="s">
        <v>495</v>
      </c>
      <c r="S10" s="87" t="s">
        <v>496</v>
      </c>
      <c r="T10" s="86"/>
      <c r="U10" s="68"/>
    </row>
    <row r="11" ht="18.75" customHeight="1">
      <c r="A11" s="68"/>
      <c r="B11" s="88">
        <v>14.0</v>
      </c>
      <c r="C11" s="68"/>
      <c r="D11" s="79">
        <v>14.0</v>
      </c>
      <c r="E11" s="80">
        <v>45157.0</v>
      </c>
      <c r="F11" s="81">
        <v>0.5833333333333334</v>
      </c>
      <c r="G11" s="92" t="s">
        <v>423</v>
      </c>
      <c r="H11" s="92" t="s">
        <v>428</v>
      </c>
      <c r="I11" s="93" t="s">
        <v>484</v>
      </c>
      <c r="J11" s="94"/>
      <c r="K11" s="94"/>
      <c r="L11" s="83"/>
      <c r="M11" s="83" t="s">
        <v>462</v>
      </c>
      <c r="N11" s="83" t="s">
        <v>492</v>
      </c>
      <c r="O11" s="84" t="s">
        <v>497</v>
      </c>
      <c r="P11" s="89" t="s">
        <v>475</v>
      </c>
      <c r="Q11" s="86" t="s">
        <v>498</v>
      </c>
      <c r="R11" s="90" t="s">
        <v>499</v>
      </c>
      <c r="S11" s="87" t="s">
        <v>500</v>
      </c>
      <c r="T11" s="86"/>
      <c r="U11" s="68"/>
    </row>
    <row r="12" ht="18.75" customHeight="1">
      <c r="A12" s="68"/>
      <c r="B12" s="88">
        <v>10.0</v>
      </c>
      <c r="C12" s="68"/>
      <c r="D12" s="79">
        <v>10.0</v>
      </c>
      <c r="E12" s="80">
        <v>45157.0</v>
      </c>
      <c r="F12" s="81">
        <v>0.625</v>
      </c>
      <c r="G12" s="92" t="s">
        <v>424</v>
      </c>
      <c r="H12" s="92" t="s">
        <v>427</v>
      </c>
      <c r="I12" s="93" t="s">
        <v>501</v>
      </c>
      <c r="J12" s="94"/>
      <c r="K12" s="94"/>
      <c r="L12" s="83"/>
      <c r="M12" s="83" t="s">
        <v>463</v>
      </c>
      <c r="N12" s="83" t="s">
        <v>462</v>
      </c>
      <c r="O12" s="84" t="s">
        <v>502</v>
      </c>
      <c r="P12" s="89" t="s">
        <v>503</v>
      </c>
      <c r="Q12" s="86" t="s">
        <v>475</v>
      </c>
      <c r="R12" s="90" t="s">
        <v>483</v>
      </c>
      <c r="S12" s="87" t="s">
        <v>504</v>
      </c>
      <c r="T12" s="86"/>
      <c r="U12" s="68"/>
    </row>
    <row r="13" ht="18.75" customHeight="1">
      <c r="A13" s="68"/>
      <c r="B13" s="88">
        <v>6.0</v>
      </c>
      <c r="C13" s="68"/>
      <c r="D13" s="79">
        <v>6.0</v>
      </c>
      <c r="E13" s="80">
        <v>45158.0</v>
      </c>
      <c r="F13" s="81">
        <v>0.041666666666666664</v>
      </c>
      <c r="G13" s="92" t="s">
        <v>422</v>
      </c>
      <c r="H13" s="92" t="s">
        <v>429</v>
      </c>
      <c r="I13" s="93" t="s">
        <v>461</v>
      </c>
      <c r="J13" s="94"/>
      <c r="K13" s="94"/>
      <c r="L13" s="83"/>
      <c r="M13" s="83" t="s">
        <v>462</v>
      </c>
      <c r="N13" s="83" t="s">
        <v>463</v>
      </c>
      <c r="O13" s="84" t="s">
        <v>505</v>
      </c>
      <c r="P13" s="89" t="s">
        <v>506</v>
      </c>
      <c r="Q13" s="86" t="s">
        <v>507</v>
      </c>
      <c r="R13" s="90" t="s">
        <v>508</v>
      </c>
      <c r="S13" s="87" t="s">
        <v>509</v>
      </c>
      <c r="T13" s="86"/>
      <c r="U13" s="68"/>
    </row>
    <row r="14" ht="18.75" customHeight="1">
      <c r="A14" s="68"/>
      <c r="B14" s="88">
        <v>13.0</v>
      </c>
      <c r="C14" s="68"/>
      <c r="D14" s="79">
        <v>13.0</v>
      </c>
      <c r="E14" s="80">
        <v>45158.0</v>
      </c>
      <c r="F14" s="81">
        <v>0.08333333333333333</v>
      </c>
      <c r="G14" s="92" t="s">
        <v>412</v>
      </c>
      <c r="H14" s="92" t="s">
        <v>439</v>
      </c>
      <c r="I14" s="93" t="s">
        <v>510</v>
      </c>
      <c r="J14" s="94"/>
      <c r="K14" s="94"/>
      <c r="L14" s="83"/>
      <c r="M14" s="83" t="s">
        <v>462</v>
      </c>
      <c r="N14" s="83" t="s">
        <v>463</v>
      </c>
      <c r="O14" s="84" t="s">
        <v>511</v>
      </c>
      <c r="P14" s="89" t="s">
        <v>512</v>
      </c>
      <c r="Q14" s="86" t="s">
        <v>513</v>
      </c>
      <c r="R14" s="90" t="s">
        <v>514</v>
      </c>
      <c r="S14" s="87" t="s">
        <v>515</v>
      </c>
      <c r="T14" s="86"/>
      <c r="U14" s="68"/>
    </row>
    <row r="15" ht="18.75" customHeight="1">
      <c r="A15" s="68"/>
      <c r="B15" s="88">
        <v>9.0</v>
      </c>
      <c r="C15" s="68"/>
      <c r="D15" s="79">
        <v>9.0</v>
      </c>
      <c r="E15" s="80">
        <v>45158.0</v>
      </c>
      <c r="F15" s="81">
        <v>0.125</v>
      </c>
      <c r="G15" s="92" t="s">
        <v>411</v>
      </c>
      <c r="H15" s="92" t="s">
        <v>440</v>
      </c>
      <c r="I15" s="82" t="s">
        <v>516</v>
      </c>
      <c r="J15" s="94"/>
      <c r="K15" s="94"/>
      <c r="L15" s="83"/>
      <c r="M15" s="83" t="s">
        <v>462</v>
      </c>
      <c r="N15" s="83" t="s">
        <v>467</v>
      </c>
      <c r="O15" s="84" t="s">
        <v>517</v>
      </c>
      <c r="P15" s="89" t="s">
        <v>518</v>
      </c>
      <c r="Q15" s="86" t="s">
        <v>519</v>
      </c>
      <c r="R15" s="90" t="s">
        <v>520</v>
      </c>
      <c r="S15" s="87" t="s">
        <v>521</v>
      </c>
      <c r="T15" s="86"/>
      <c r="U15" s="68"/>
    </row>
    <row r="16" ht="18.75" customHeight="1">
      <c r="A16" s="68"/>
      <c r="B16" s="88">
        <v>11.0</v>
      </c>
      <c r="C16" s="68"/>
      <c r="D16" s="79">
        <v>11.0</v>
      </c>
      <c r="E16" s="80">
        <v>45158.0</v>
      </c>
      <c r="F16" s="81">
        <v>0.625</v>
      </c>
      <c r="G16" s="92" t="s">
        <v>416</v>
      </c>
      <c r="H16" s="92" t="s">
        <v>435</v>
      </c>
      <c r="I16" s="93" t="s">
        <v>461</v>
      </c>
      <c r="J16" s="94"/>
      <c r="K16" s="94"/>
      <c r="L16" s="83"/>
      <c r="M16" s="83" t="s">
        <v>467</v>
      </c>
      <c r="N16" s="83" t="s">
        <v>462</v>
      </c>
      <c r="O16" s="84" t="s">
        <v>522</v>
      </c>
      <c r="P16" s="89" t="s">
        <v>523</v>
      </c>
      <c r="Q16" s="86" t="s">
        <v>475</v>
      </c>
      <c r="R16" s="90" t="s">
        <v>524</v>
      </c>
      <c r="S16" s="87" t="s">
        <v>525</v>
      </c>
      <c r="T16" s="86"/>
      <c r="U16" s="68"/>
    </row>
    <row r="17" ht="18.75" customHeight="1">
      <c r="A17" s="68"/>
      <c r="B17" s="88">
        <v>5.0</v>
      </c>
      <c r="C17" s="68"/>
      <c r="D17" s="79">
        <v>5.0</v>
      </c>
      <c r="E17" s="80">
        <v>45158.0</v>
      </c>
      <c r="F17" s="81">
        <v>0.75</v>
      </c>
      <c r="G17" s="92" t="s">
        <v>413</v>
      </c>
      <c r="H17" s="92" t="s">
        <v>438</v>
      </c>
      <c r="I17" s="93" t="s">
        <v>478</v>
      </c>
      <c r="J17" s="94"/>
      <c r="K17" s="94"/>
      <c r="L17" s="83"/>
      <c r="M17" s="83" t="s">
        <v>462</v>
      </c>
      <c r="N17" s="83" t="s">
        <v>492</v>
      </c>
      <c r="O17" s="84" t="s">
        <v>526</v>
      </c>
      <c r="P17" s="89" t="s">
        <v>507</v>
      </c>
      <c r="Q17" s="86" t="s">
        <v>527</v>
      </c>
      <c r="R17" s="90" t="s">
        <v>528</v>
      </c>
      <c r="S17" s="87" t="s">
        <v>529</v>
      </c>
      <c r="T17" s="86"/>
      <c r="U17" s="68"/>
    </row>
    <row r="18" ht="18.75" customHeight="1">
      <c r="A18" s="68"/>
      <c r="B18" s="88">
        <v>16.0</v>
      </c>
      <c r="C18" s="68"/>
      <c r="D18" s="79">
        <v>16.0</v>
      </c>
      <c r="E18" s="80">
        <v>45158.0</v>
      </c>
      <c r="F18" s="81">
        <v>0.8125</v>
      </c>
      <c r="G18" s="92" t="s">
        <v>420</v>
      </c>
      <c r="H18" s="92" t="s">
        <v>431</v>
      </c>
      <c r="I18" s="93" t="s">
        <v>530</v>
      </c>
      <c r="J18" s="94"/>
      <c r="K18" s="94"/>
      <c r="L18" s="83"/>
      <c r="M18" s="83" t="s">
        <v>472</v>
      </c>
      <c r="N18" s="83" t="s">
        <v>462</v>
      </c>
      <c r="O18" s="84" t="s">
        <v>531</v>
      </c>
      <c r="P18" s="89" t="s">
        <v>532</v>
      </c>
      <c r="Q18" s="86" t="s">
        <v>465</v>
      </c>
      <c r="R18" s="90" t="s">
        <v>524</v>
      </c>
      <c r="S18" s="87" t="s">
        <v>533</v>
      </c>
      <c r="T18" s="86"/>
      <c r="U18" s="68"/>
    </row>
    <row r="19" ht="18.75" customHeight="1">
      <c r="A19" s="68"/>
      <c r="B19" s="88">
        <v>3.0</v>
      </c>
      <c r="C19" s="68"/>
      <c r="D19" s="95">
        <v>3.0</v>
      </c>
      <c r="E19" s="96">
        <v>45158.0</v>
      </c>
      <c r="F19" s="97">
        <v>0.875</v>
      </c>
      <c r="G19" s="98" t="s">
        <v>417</v>
      </c>
      <c r="H19" s="98" t="s">
        <v>434</v>
      </c>
      <c r="I19" s="99" t="s">
        <v>478</v>
      </c>
      <c r="J19" s="100"/>
      <c r="K19" s="100"/>
      <c r="L19" s="101"/>
      <c r="M19" s="101" t="s">
        <v>462</v>
      </c>
      <c r="N19" s="101" t="s">
        <v>463</v>
      </c>
      <c r="O19" s="102" t="s">
        <v>534</v>
      </c>
      <c r="P19" s="103" t="s">
        <v>503</v>
      </c>
      <c r="Q19" s="104" t="s">
        <v>465</v>
      </c>
      <c r="R19" s="105" t="s">
        <v>535</v>
      </c>
      <c r="S19" s="87" t="s">
        <v>536</v>
      </c>
      <c r="T19" s="86"/>
      <c r="U19" s="68"/>
    </row>
    <row r="20" ht="18.75" customHeight="1">
      <c r="A20" s="106"/>
      <c r="B20" s="107">
        <v>31.0</v>
      </c>
      <c r="C20" s="106"/>
      <c r="D20" s="108">
        <v>31.0</v>
      </c>
      <c r="E20" s="80">
        <v>45163.0</v>
      </c>
      <c r="F20" s="109">
        <v>0.4583333333333333</v>
      </c>
      <c r="G20" s="110" t="s">
        <v>412</v>
      </c>
      <c r="H20" s="110" t="s">
        <v>423</v>
      </c>
      <c r="I20" s="111" t="s">
        <v>537</v>
      </c>
      <c r="J20" s="110"/>
      <c r="K20" s="110"/>
      <c r="L20" s="112"/>
      <c r="M20" s="112" t="s">
        <v>492</v>
      </c>
      <c r="N20" s="112" t="s">
        <v>462</v>
      </c>
      <c r="O20" s="113" t="s">
        <v>538</v>
      </c>
      <c r="P20" s="114" t="s">
        <v>512</v>
      </c>
      <c r="Q20" s="115" t="s">
        <v>475</v>
      </c>
      <c r="R20" s="90" t="s">
        <v>514</v>
      </c>
      <c r="S20" s="116" t="s">
        <v>499</v>
      </c>
      <c r="T20" s="115"/>
      <c r="U20" s="106"/>
    </row>
    <row r="21" ht="18.75" customHeight="1">
      <c r="A21" s="68"/>
      <c r="B21" s="88">
        <v>30.0</v>
      </c>
      <c r="C21" s="68"/>
      <c r="D21" s="79">
        <v>30.0</v>
      </c>
      <c r="E21" s="80">
        <v>45163.0</v>
      </c>
      <c r="F21" s="117">
        <v>0.5416666666666666</v>
      </c>
      <c r="G21" s="94" t="s">
        <v>435</v>
      </c>
      <c r="H21" s="94" t="s">
        <v>419</v>
      </c>
      <c r="I21" s="118" t="s">
        <v>539</v>
      </c>
      <c r="J21" s="94"/>
      <c r="K21" s="94"/>
      <c r="L21" s="83"/>
      <c r="M21" s="83" t="s">
        <v>492</v>
      </c>
      <c r="N21" s="83" t="s">
        <v>462</v>
      </c>
      <c r="O21" s="84" t="s">
        <v>540</v>
      </c>
      <c r="P21" s="89" t="s">
        <v>475</v>
      </c>
      <c r="Q21" s="86" t="s">
        <v>474</v>
      </c>
      <c r="R21" s="90" t="s">
        <v>525</v>
      </c>
      <c r="S21" s="87" t="s">
        <v>476</v>
      </c>
      <c r="T21" s="86"/>
      <c r="U21" s="68"/>
    </row>
    <row r="22" ht="18.75" customHeight="1">
      <c r="A22" s="68"/>
      <c r="B22" s="88">
        <v>22.0</v>
      </c>
      <c r="C22" s="68"/>
      <c r="D22" s="79">
        <v>22.0</v>
      </c>
      <c r="E22" s="80">
        <v>45164.0</v>
      </c>
      <c r="F22" s="117">
        <v>0.5833333333333334</v>
      </c>
      <c r="G22" s="94" t="s">
        <v>416</v>
      </c>
      <c r="H22" s="94" t="s">
        <v>432</v>
      </c>
      <c r="I22" s="118" t="s">
        <v>541</v>
      </c>
      <c r="J22" s="94"/>
      <c r="K22" s="94"/>
      <c r="L22" s="83"/>
      <c r="M22" s="83" t="s">
        <v>492</v>
      </c>
      <c r="N22" s="83" t="s">
        <v>462</v>
      </c>
      <c r="O22" s="84" t="s">
        <v>542</v>
      </c>
      <c r="P22" s="89" t="s">
        <v>523</v>
      </c>
      <c r="Q22" s="86" t="s">
        <v>475</v>
      </c>
      <c r="R22" s="90" t="s">
        <v>524</v>
      </c>
      <c r="S22" s="87" t="s">
        <v>477</v>
      </c>
      <c r="T22" s="86"/>
      <c r="U22" s="68"/>
    </row>
    <row r="23" ht="18.75" customHeight="1">
      <c r="A23" s="68"/>
      <c r="B23" s="88">
        <v>32.0</v>
      </c>
      <c r="C23" s="68"/>
      <c r="D23" s="79">
        <v>32.0</v>
      </c>
      <c r="E23" s="80">
        <v>45164.0</v>
      </c>
      <c r="F23" s="117">
        <v>0.5833333333333334</v>
      </c>
      <c r="G23" s="94" t="s">
        <v>415</v>
      </c>
      <c r="H23" s="94" t="s">
        <v>431</v>
      </c>
      <c r="I23" s="118" t="s">
        <v>541</v>
      </c>
      <c r="J23" s="94"/>
      <c r="K23" s="94"/>
      <c r="L23" s="83"/>
      <c r="M23" s="83" t="s">
        <v>462</v>
      </c>
      <c r="N23" s="83" t="s">
        <v>472</v>
      </c>
      <c r="O23" s="84" t="s">
        <v>543</v>
      </c>
      <c r="P23" s="89" t="s">
        <v>474</v>
      </c>
      <c r="Q23" s="86" t="s">
        <v>465</v>
      </c>
      <c r="R23" s="90" t="s">
        <v>482</v>
      </c>
      <c r="S23" s="87" t="s">
        <v>533</v>
      </c>
      <c r="T23" s="86"/>
      <c r="U23" s="68"/>
    </row>
    <row r="24" ht="18.75" customHeight="1">
      <c r="A24" s="68"/>
      <c r="B24" s="88">
        <v>21.0</v>
      </c>
      <c r="C24" s="68"/>
      <c r="D24" s="79">
        <v>21.0</v>
      </c>
      <c r="E24" s="80">
        <v>45164.0</v>
      </c>
      <c r="F24" s="117">
        <v>0.625</v>
      </c>
      <c r="G24" s="94" t="s">
        <v>440</v>
      </c>
      <c r="H24" s="94" t="s">
        <v>424</v>
      </c>
      <c r="I24" s="118" t="s">
        <v>541</v>
      </c>
      <c r="J24" s="94"/>
      <c r="K24" s="94"/>
      <c r="L24" s="83"/>
      <c r="M24" s="83" t="s">
        <v>492</v>
      </c>
      <c r="N24" s="83" t="s">
        <v>462</v>
      </c>
      <c r="O24" s="84" t="s">
        <v>544</v>
      </c>
      <c r="P24" s="89" t="s">
        <v>519</v>
      </c>
      <c r="Q24" s="86" t="s">
        <v>503</v>
      </c>
      <c r="R24" s="90" t="s">
        <v>521</v>
      </c>
      <c r="S24" s="87" t="s">
        <v>483</v>
      </c>
      <c r="T24" s="86"/>
      <c r="U24" s="68"/>
    </row>
    <row r="25" ht="18.75" customHeight="1">
      <c r="A25" s="68"/>
      <c r="B25" s="88">
        <v>26.0</v>
      </c>
      <c r="C25" s="68"/>
      <c r="D25" s="79">
        <v>26.0</v>
      </c>
      <c r="E25" s="80">
        <v>45164.0</v>
      </c>
      <c r="F25" s="117">
        <v>0.6666666666666666</v>
      </c>
      <c r="G25" s="94" t="s">
        <v>417</v>
      </c>
      <c r="H25" s="94" t="s">
        <v>418</v>
      </c>
      <c r="I25" s="118" t="s">
        <v>541</v>
      </c>
      <c r="J25" s="94"/>
      <c r="K25" s="94"/>
      <c r="L25" s="83"/>
      <c r="M25" s="83" t="s">
        <v>463</v>
      </c>
      <c r="N25" s="83" t="s">
        <v>462</v>
      </c>
      <c r="O25" s="84" t="s">
        <v>545</v>
      </c>
      <c r="P25" s="89" t="s">
        <v>503</v>
      </c>
      <c r="Q25" s="86" t="s">
        <v>475</v>
      </c>
      <c r="R25" s="90" t="s">
        <v>535</v>
      </c>
      <c r="S25" s="87" t="s">
        <v>546</v>
      </c>
      <c r="T25" s="86"/>
      <c r="U25" s="68"/>
    </row>
    <row r="26" ht="18.75" customHeight="1">
      <c r="A26" s="68"/>
      <c r="B26" s="88">
        <v>23.0</v>
      </c>
      <c r="C26" s="68"/>
      <c r="D26" s="79">
        <v>23.0</v>
      </c>
      <c r="E26" s="80">
        <v>45164.0</v>
      </c>
      <c r="F26" s="117">
        <v>0.7083333333333334</v>
      </c>
      <c r="G26" s="94" t="s">
        <v>439</v>
      </c>
      <c r="H26" s="94" t="s">
        <v>428</v>
      </c>
      <c r="I26" s="118" t="s">
        <v>516</v>
      </c>
      <c r="J26" s="94"/>
      <c r="K26" s="94"/>
      <c r="L26" s="83"/>
      <c r="M26" s="83" t="s">
        <v>462</v>
      </c>
      <c r="N26" s="83" t="s">
        <v>467</v>
      </c>
      <c r="O26" s="84" t="s">
        <v>547</v>
      </c>
      <c r="P26" s="89" t="s">
        <v>513</v>
      </c>
      <c r="Q26" s="86" t="s">
        <v>498</v>
      </c>
      <c r="R26" s="90" t="s">
        <v>515</v>
      </c>
      <c r="S26" s="87" t="s">
        <v>500</v>
      </c>
      <c r="T26" s="86"/>
      <c r="U26" s="68"/>
    </row>
    <row r="27" ht="18.75" customHeight="1">
      <c r="A27" s="119"/>
      <c r="B27" s="120">
        <v>18.0</v>
      </c>
      <c r="C27" s="119"/>
      <c r="D27" s="121">
        <v>18.0</v>
      </c>
      <c r="E27" s="80">
        <v>45164.0</v>
      </c>
      <c r="F27" s="122">
        <v>0.75</v>
      </c>
      <c r="G27" s="123" t="s">
        <v>434</v>
      </c>
      <c r="H27" s="123" t="s">
        <v>433</v>
      </c>
      <c r="I27" s="124" t="s">
        <v>516</v>
      </c>
      <c r="J27" s="123"/>
      <c r="K27" s="123"/>
      <c r="L27" s="125"/>
      <c r="M27" s="125" t="s">
        <v>462</v>
      </c>
      <c r="N27" s="125" t="s">
        <v>492</v>
      </c>
      <c r="O27" s="126" t="s">
        <v>548</v>
      </c>
      <c r="P27" s="127" t="s">
        <v>465</v>
      </c>
      <c r="Q27" s="128" t="s">
        <v>465</v>
      </c>
      <c r="R27" s="129" t="s">
        <v>536</v>
      </c>
      <c r="S27" s="130" t="s">
        <v>466</v>
      </c>
      <c r="T27" s="128"/>
      <c r="U27" s="119"/>
    </row>
    <row r="28" ht="18.75" customHeight="1">
      <c r="A28" s="68"/>
      <c r="B28" s="88">
        <v>27.0</v>
      </c>
      <c r="C28" s="68"/>
      <c r="D28" s="79">
        <v>27.0</v>
      </c>
      <c r="E28" s="80">
        <v>45164.0</v>
      </c>
      <c r="F28" s="117">
        <v>0.7916666666666666</v>
      </c>
      <c r="G28" s="94" t="s">
        <v>413</v>
      </c>
      <c r="H28" s="94" t="s">
        <v>422</v>
      </c>
      <c r="I28" s="118" t="s">
        <v>516</v>
      </c>
      <c r="J28" s="94"/>
      <c r="K28" s="94"/>
      <c r="L28" s="83"/>
      <c r="M28" s="83" t="s">
        <v>462</v>
      </c>
      <c r="N28" s="83" t="s">
        <v>479</v>
      </c>
      <c r="O28" s="84" t="s">
        <v>549</v>
      </c>
      <c r="P28" s="89" t="s">
        <v>507</v>
      </c>
      <c r="Q28" s="86" t="s">
        <v>506</v>
      </c>
      <c r="R28" s="90" t="s">
        <v>528</v>
      </c>
      <c r="S28" s="87" t="s">
        <v>508</v>
      </c>
      <c r="T28" s="86"/>
      <c r="U28" s="68"/>
    </row>
    <row r="29" ht="18.75" customHeight="1">
      <c r="A29" s="68"/>
      <c r="B29" s="88">
        <v>29.0</v>
      </c>
      <c r="C29" s="68"/>
      <c r="D29" s="79">
        <v>29.0</v>
      </c>
      <c r="E29" s="80">
        <v>45165.0</v>
      </c>
      <c r="F29" s="117">
        <v>0.10416666666666667</v>
      </c>
      <c r="G29" s="94" t="s">
        <v>411</v>
      </c>
      <c r="H29" s="94" t="s">
        <v>427</v>
      </c>
      <c r="I29" s="118" t="s">
        <v>516</v>
      </c>
      <c r="J29" s="94"/>
      <c r="K29" s="94"/>
      <c r="L29" s="83"/>
      <c r="M29" s="83" t="s">
        <v>462</v>
      </c>
      <c r="N29" s="83" t="s">
        <v>463</v>
      </c>
      <c r="O29" s="84" t="s">
        <v>550</v>
      </c>
      <c r="P29" s="89" t="s">
        <v>518</v>
      </c>
      <c r="Q29" s="86" t="s">
        <v>475</v>
      </c>
      <c r="R29" s="90" t="s">
        <v>520</v>
      </c>
      <c r="S29" s="87" t="s">
        <v>504</v>
      </c>
      <c r="T29" s="86"/>
      <c r="U29" s="68"/>
    </row>
    <row r="30" ht="18.75" customHeight="1">
      <c r="A30" s="68"/>
      <c r="B30" s="88">
        <v>24.0</v>
      </c>
      <c r="C30" s="68"/>
      <c r="D30" s="79">
        <v>24.0</v>
      </c>
      <c r="E30" s="80">
        <v>45165.0</v>
      </c>
      <c r="F30" s="117">
        <v>0.16666666666666666</v>
      </c>
      <c r="G30" s="94" t="s">
        <v>436</v>
      </c>
      <c r="H30" s="94" t="s">
        <v>420</v>
      </c>
      <c r="I30" s="118"/>
      <c r="J30" s="94"/>
      <c r="K30" s="94"/>
      <c r="L30" s="83"/>
      <c r="M30" s="83" t="s">
        <v>492</v>
      </c>
      <c r="N30" s="83" t="s">
        <v>462</v>
      </c>
      <c r="O30" s="84" t="s">
        <v>551</v>
      </c>
      <c r="P30" s="89" t="s">
        <v>481</v>
      </c>
      <c r="Q30" s="86" t="s">
        <v>532</v>
      </c>
      <c r="R30" s="90" t="s">
        <v>483</v>
      </c>
      <c r="S30" s="87" t="s">
        <v>524</v>
      </c>
      <c r="T30" s="86"/>
      <c r="U30" s="68"/>
    </row>
    <row r="31" ht="18.75" customHeight="1">
      <c r="A31" s="68"/>
      <c r="B31" s="88">
        <v>19.0</v>
      </c>
      <c r="C31" s="68"/>
      <c r="D31" s="79">
        <v>19.0</v>
      </c>
      <c r="E31" s="80">
        <v>45165.0</v>
      </c>
      <c r="F31" s="117">
        <v>0.5416666666666666</v>
      </c>
      <c r="G31" s="94" t="s">
        <v>438</v>
      </c>
      <c r="H31" s="94" t="s">
        <v>429</v>
      </c>
      <c r="I31" s="118" t="s">
        <v>541</v>
      </c>
      <c r="J31" s="94"/>
      <c r="K31" s="94"/>
      <c r="L31" s="83"/>
      <c r="M31" s="83" t="s">
        <v>467</v>
      </c>
      <c r="N31" s="83" t="s">
        <v>462</v>
      </c>
      <c r="O31" s="84" t="s">
        <v>552</v>
      </c>
      <c r="P31" s="89" t="s">
        <v>527</v>
      </c>
      <c r="Q31" s="86" t="s">
        <v>507</v>
      </c>
      <c r="R31" s="90" t="s">
        <v>529</v>
      </c>
      <c r="S31" s="87" t="s">
        <v>509</v>
      </c>
      <c r="T31" s="86"/>
      <c r="U31" s="68"/>
    </row>
    <row r="32" ht="18.75" customHeight="1">
      <c r="A32" s="68"/>
      <c r="B32" s="88">
        <v>25.0</v>
      </c>
      <c r="C32" s="68"/>
      <c r="D32" s="79">
        <v>25.0</v>
      </c>
      <c r="E32" s="80">
        <v>45165.0</v>
      </c>
      <c r="F32" s="117">
        <v>0.5416666666666666</v>
      </c>
      <c r="G32" s="94" t="s">
        <v>410</v>
      </c>
      <c r="H32" s="94" t="s">
        <v>425</v>
      </c>
      <c r="I32" s="118" t="s">
        <v>541</v>
      </c>
      <c r="J32" s="94"/>
      <c r="K32" s="94"/>
      <c r="L32" s="83"/>
      <c r="M32" s="83" t="s">
        <v>462</v>
      </c>
      <c r="N32" s="83" t="s">
        <v>472</v>
      </c>
      <c r="O32" s="84" t="s">
        <v>553</v>
      </c>
      <c r="P32" s="89" t="s">
        <v>465</v>
      </c>
      <c r="Q32" s="86" t="s">
        <v>475</v>
      </c>
      <c r="R32" s="90" t="s">
        <v>470</v>
      </c>
      <c r="S32" s="87" t="s">
        <v>486</v>
      </c>
      <c r="T32" s="86"/>
      <c r="U32" s="68"/>
    </row>
    <row r="33" ht="18.75" customHeight="1">
      <c r="A33" s="68"/>
      <c r="B33" s="88">
        <v>28.0</v>
      </c>
      <c r="C33" s="68"/>
      <c r="D33" s="79">
        <v>28.0</v>
      </c>
      <c r="E33" s="80">
        <v>45165.0</v>
      </c>
      <c r="F33" s="117">
        <v>0.5833333333333334</v>
      </c>
      <c r="G33" s="94" t="s">
        <v>414</v>
      </c>
      <c r="H33" s="94" t="s">
        <v>430</v>
      </c>
      <c r="I33" s="118" t="s">
        <v>554</v>
      </c>
      <c r="J33" s="94"/>
      <c r="K33" s="94"/>
      <c r="L33" s="83"/>
      <c r="M33" s="83" t="s">
        <v>462</v>
      </c>
      <c r="N33" s="83" t="s">
        <v>463</v>
      </c>
      <c r="O33" s="84" t="s">
        <v>555</v>
      </c>
      <c r="P33" s="89" t="s">
        <v>465</v>
      </c>
      <c r="Q33" s="86" t="s">
        <v>474</v>
      </c>
      <c r="R33" s="90" t="s">
        <v>490</v>
      </c>
      <c r="S33" s="87" t="s">
        <v>496</v>
      </c>
      <c r="T33" s="86"/>
      <c r="U33" s="68"/>
    </row>
    <row r="34" ht="18.75" customHeight="1">
      <c r="A34" s="68"/>
      <c r="B34" s="88">
        <v>20.0</v>
      </c>
      <c r="C34" s="68"/>
      <c r="D34" s="79">
        <v>20.0</v>
      </c>
      <c r="E34" s="80">
        <v>45165.0</v>
      </c>
      <c r="F34" s="117">
        <v>0.75</v>
      </c>
      <c r="G34" s="94" t="s">
        <v>437</v>
      </c>
      <c r="H34" s="94" t="s">
        <v>421</v>
      </c>
      <c r="I34" s="118" t="s">
        <v>556</v>
      </c>
      <c r="J34" s="94"/>
      <c r="K34" s="94"/>
      <c r="L34" s="83"/>
      <c r="M34" s="83" t="s">
        <v>463</v>
      </c>
      <c r="N34" s="83" t="s">
        <v>462</v>
      </c>
      <c r="O34" s="84" t="s">
        <v>557</v>
      </c>
      <c r="P34" s="89" t="s">
        <v>465</v>
      </c>
      <c r="Q34" s="86" t="s">
        <v>494</v>
      </c>
      <c r="R34" s="90" t="s">
        <v>491</v>
      </c>
      <c r="S34" s="87" t="s">
        <v>495</v>
      </c>
      <c r="T34" s="86"/>
      <c r="U34" s="68"/>
    </row>
    <row r="35" ht="18.75" customHeight="1">
      <c r="A35" s="131"/>
      <c r="B35" s="132">
        <v>17.0</v>
      </c>
      <c r="C35" s="131"/>
      <c r="D35" s="95">
        <v>17.0</v>
      </c>
      <c r="E35" s="80">
        <v>45166.0</v>
      </c>
      <c r="F35" s="133">
        <v>0.5416666666666666</v>
      </c>
      <c r="G35" s="100" t="s">
        <v>441</v>
      </c>
      <c r="H35" s="100" t="s">
        <v>426</v>
      </c>
      <c r="I35" s="99" t="s">
        <v>537</v>
      </c>
      <c r="J35" s="100"/>
      <c r="K35" s="100"/>
      <c r="L35" s="101"/>
      <c r="M35" s="101" t="s">
        <v>463</v>
      </c>
      <c r="N35" s="101" t="s">
        <v>462</v>
      </c>
      <c r="O35" s="102" t="s">
        <v>558</v>
      </c>
      <c r="P35" s="103" t="s">
        <v>469</v>
      </c>
      <c r="Q35" s="104" t="s">
        <v>475</v>
      </c>
      <c r="R35" s="90" t="s">
        <v>471</v>
      </c>
      <c r="S35" s="134" t="s">
        <v>487</v>
      </c>
      <c r="T35" s="104"/>
      <c r="U35" s="131"/>
    </row>
    <row r="36" ht="18.75" customHeight="1">
      <c r="A36" s="68"/>
      <c r="B36" s="88">
        <v>36.0</v>
      </c>
      <c r="C36" s="68"/>
      <c r="D36" s="79">
        <v>36.0</v>
      </c>
      <c r="E36" s="80">
        <v>45171.0</v>
      </c>
      <c r="F36" s="117">
        <v>0.0625</v>
      </c>
      <c r="G36" s="94" t="s">
        <v>430</v>
      </c>
      <c r="H36" s="94" t="s">
        <v>424</v>
      </c>
      <c r="I36" s="118" t="s">
        <v>516</v>
      </c>
      <c r="J36" s="94"/>
      <c r="K36" s="94"/>
      <c r="L36" s="83"/>
      <c r="M36" s="83" t="s">
        <v>559</v>
      </c>
      <c r="N36" s="83" t="s">
        <v>467</v>
      </c>
      <c r="O36" s="84" t="s">
        <v>560</v>
      </c>
      <c r="P36" s="89" t="s">
        <v>474</v>
      </c>
      <c r="Q36" s="86" t="s">
        <v>503</v>
      </c>
      <c r="R36" s="135" t="s">
        <v>496</v>
      </c>
      <c r="S36" s="87" t="s">
        <v>483</v>
      </c>
      <c r="T36" s="86"/>
      <c r="U36" s="68"/>
    </row>
    <row r="37" ht="18.75" customHeight="1">
      <c r="A37" s="68"/>
      <c r="B37" s="88">
        <v>45.0</v>
      </c>
      <c r="C37" s="68"/>
      <c r="D37" s="79">
        <v>45.0</v>
      </c>
      <c r="E37" s="136">
        <v>45171.0</v>
      </c>
      <c r="F37" s="117">
        <v>0.5416666666666666</v>
      </c>
      <c r="G37" s="94" t="s">
        <v>410</v>
      </c>
      <c r="H37" s="94" t="s">
        <v>418</v>
      </c>
      <c r="I37" s="118" t="s">
        <v>461</v>
      </c>
      <c r="J37" s="94"/>
      <c r="K37" s="94"/>
      <c r="L37" s="83"/>
      <c r="M37" s="83" t="s">
        <v>492</v>
      </c>
      <c r="N37" s="83" t="s">
        <v>559</v>
      </c>
      <c r="O37" s="84" t="s">
        <v>561</v>
      </c>
      <c r="P37" s="89" t="s">
        <v>465</v>
      </c>
      <c r="Q37" s="86" t="s">
        <v>475</v>
      </c>
      <c r="R37" s="90" t="s">
        <v>470</v>
      </c>
      <c r="S37" s="87" t="s">
        <v>546</v>
      </c>
      <c r="T37" s="86"/>
      <c r="U37" s="68"/>
    </row>
    <row r="38" ht="18.75" customHeight="1">
      <c r="A38" s="68"/>
      <c r="B38" s="88">
        <v>37.0</v>
      </c>
      <c r="C38" s="68"/>
      <c r="D38" s="79">
        <v>37.0</v>
      </c>
      <c r="E38" s="136">
        <v>45171.0</v>
      </c>
      <c r="F38" s="117">
        <v>0.5833333333333334</v>
      </c>
      <c r="G38" s="94" t="s">
        <v>427</v>
      </c>
      <c r="H38" s="94" t="s">
        <v>421</v>
      </c>
      <c r="I38" s="118" t="s">
        <v>461</v>
      </c>
      <c r="J38" s="94"/>
      <c r="K38" s="94"/>
      <c r="L38" s="83"/>
      <c r="M38" s="83" t="s">
        <v>559</v>
      </c>
      <c r="N38" s="83" t="s">
        <v>463</v>
      </c>
      <c r="O38" s="84" t="s">
        <v>562</v>
      </c>
      <c r="P38" s="89" t="s">
        <v>475</v>
      </c>
      <c r="Q38" s="86" t="s">
        <v>494</v>
      </c>
      <c r="R38" s="90" t="s">
        <v>504</v>
      </c>
      <c r="S38" s="87" t="s">
        <v>495</v>
      </c>
      <c r="T38" s="86"/>
      <c r="U38" s="68"/>
    </row>
    <row r="39" ht="18.75" customHeight="1">
      <c r="A39" s="68"/>
      <c r="B39" s="88">
        <v>40.0</v>
      </c>
      <c r="C39" s="68"/>
      <c r="D39" s="79">
        <v>40.0</v>
      </c>
      <c r="E39" s="136">
        <v>45171.0</v>
      </c>
      <c r="F39" s="117">
        <v>0.5833333333333334</v>
      </c>
      <c r="G39" s="94" t="s">
        <v>431</v>
      </c>
      <c r="H39" s="94" t="s">
        <v>426</v>
      </c>
      <c r="I39" s="118" t="s">
        <v>461</v>
      </c>
      <c r="J39" s="94"/>
      <c r="K39" s="94"/>
      <c r="L39" s="83"/>
      <c r="M39" s="83" t="s">
        <v>559</v>
      </c>
      <c r="N39" s="83" t="s">
        <v>472</v>
      </c>
      <c r="O39" s="84" t="s">
        <v>563</v>
      </c>
      <c r="P39" s="89" t="s">
        <v>465</v>
      </c>
      <c r="Q39" s="86" t="s">
        <v>475</v>
      </c>
      <c r="R39" s="90" t="s">
        <v>533</v>
      </c>
      <c r="S39" s="87" t="s">
        <v>487</v>
      </c>
      <c r="T39" s="86"/>
      <c r="U39" s="68"/>
    </row>
    <row r="40" ht="18.75" customHeight="1">
      <c r="A40" s="68"/>
      <c r="B40" s="88">
        <v>38.0</v>
      </c>
      <c r="C40" s="68"/>
      <c r="D40" s="79">
        <v>38.0</v>
      </c>
      <c r="E40" s="136">
        <v>45171.0</v>
      </c>
      <c r="F40" s="117">
        <v>0.625</v>
      </c>
      <c r="G40" s="94" t="s">
        <v>435</v>
      </c>
      <c r="H40" s="94" t="s">
        <v>429</v>
      </c>
      <c r="I40" s="118" t="s">
        <v>461</v>
      </c>
      <c r="J40" s="94"/>
      <c r="K40" s="94"/>
      <c r="L40" s="83"/>
      <c r="M40" s="83" t="s">
        <v>559</v>
      </c>
      <c r="N40" s="83" t="s">
        <v>479</v>
      </c>
      <c r="O40" s="84" t="s">
        <v>564</v>
      </c>
      <c r="P40" s="89" t="s">
        <v>475</v>
      </c>
      <c r="Q40" s="86" t="s">
        <v>507</v>
      </c>
      <c r="R40" s="90" t="s">
        <v>525</v>
      </c>
      <c r="S40" s="87" t="s">
        <v>509</v>
      </c>
      <c r="T40" s="86"/>
      <c r="U40" s="68"/>
    </row>
    <row r="41" ht="18.75" customHeight="1">
      <c r="A41" s="68"/>
      <c r="B41" s="88">
        <v>47.0</v>
      </c>
      <c r="C41" s="68"/>
      <c r="D41" s="79">
        <v>47.0</v>
      </c>
      <c r="E41" s="136">
        <v>45171.0</v>
      </c>
      <c r="F41" s="117">
        <v>0.625</v>
      </c>
      <c r="G41" s="94" t="s">
        <v>411</v>
      </c>
      <c r="H41" s="94" t="s">
        <v>419</v>
      </c>
      <c r="I41" s="118" t="s">
        <v>488</v>
      </c>
      <c r="J41" s="94"/>
      <c r="K41" s="94"/>
      <c r="L41" s="83"/>
      <c r="M41" s="83" t="s">
        <v>467</v>
      </c>
      <c r="N41" s="83" t="s">
        <v>565</v>
      </c>
      <c r="O41" s="86" t="s">
        <v>566</v>
      </c>
      <c r="P41" s="89" t="s">
        <v>518</v>
      </c>
      <c r="Q41" s="86" t="s">
        <v>474</v>
      </c>
      <c r="R41" s="90" t="s">
        <v>520</v>
      </c>
      <c r="S41" s="87" t="s">
        <v>476</v>
      </c>
      <c r="T41" s="86"/>
      <c r="U41" s="68"/>
    </row>
    <row r="42" ht="18.75" customHeight="1">
      <c r="A42" s="68"/>
      <c r="B42" s="88">
        <v>34.0</v>
      </c>
      <c r="C42" s="68"/>
      <c r="D42" s="79">
        <v>34.0</v>
      </c>
      <c r="E42" s="136">
        <v>45171.0</v>
      </c>
      <c r="F42" s="117">
        <v>0.9583333333333334</v>
      </c>
      <c r="G42" s="94" t="s">
        <v>417</v>
      </c>
      <c r="H42" s="94" t="s">
        <v>439</v>
      </c>
      <c r="I42" s="118" t="s">
        <v>516</v>
      </c>
      <c r="J42" s="94"/>
      <c r="K42" s="94"/>
      <c r="L42" s="83"/>
      <c r="M42" s="83" t="s">
        <v>559</v>
      </c>
      <c r="N42" s="83" t="s">
        <v>472</v>
      </c>
      <c r="O42" s="84" t="s">
        <v>567</v>
      </c>
      <c r="P42" s="89" t="s">
        <v>503</v>
      </c>
      <c r="Q42" s="86" t="s">
        <v>513</v>
      </c>
      <c r="R42" s="90" t="s">
        <v>535</v>
      </c>
      <c r="S42" s="87" t="s">
        <v>515</v>
      </c>
      <c r="T42" s="86"/>
      <c r="U42" s="68"/>
    </row>
    <row r="43" ht="18.75" customHeight="1">
      <c r="A43" s="68"/>
      <c r="B43" s="137" t="s">
        <v>568</v>
      </c>
      <c r="C43" s="68"/>
      <c r="D43" s="79" t="s">
        <v>568</v>
      </c>
      <c r="E43" s="136">
        <v>45172.0</v>
      </c>
      <c r="F43" s="117">
        <v>0.16666666666666666</v>
      </c>
      <c r="G43" s="94" t="s">
        <v>439</v>
      </c>
      <c r="H43" s="94" t="s">
        <v>425</v>
      </c>
      <c r="I43" s="118"/>
      <c r="J43" s="94"/>
      <c r="K43" s="94"/>
      <c r="L43" s="83"/>
      <c r="M43" s="83" t="s">
        <v>566</v>
      </c>
      <c r="N43" s="83" t="s">
        <v>566</v>
      </c>
      <c r="O43" s="86" t="s">
        <v>566</v>
      </c>
      <c r="P43" s="89" t="s">
        <v>513</v>
      </c>
      <c r="Q43" s="86" t="s">
        <v>475</v>
      </c>
      <c r="R43" s="129" t="s">
        <v>515</v>
      </c>
      <c r="S43" s="87" t="s">
        <v>486</v>
      </c>
      <c r="T43" s="86"/>
      <c r="U43" s="68"/>
    </row>
    <row r="44" ht="18.75" customHeight="1">
      <c r="A44" s="138"/>
      <c r="B44" s="139" t="s">
        <v>569</v>
      </c>
      <c r="C44" s="138"/>
      <c r="D44" s="140" t="s">
        <v>569</v>
      </c>
      <c r="E44" s="141">
        <v>45172.0</v>
      </c>
      <c r="F44" s="142">
        <v>0.3333333333333333</v>
      </c>
      <c r="G44" s="143" t="s">
        <v>426</v>
      </c>
      <c r="H44" s="143" t="s">
        <v>412</v>
      </c>
      <c r="I44" s="144"/>
      <c r="J44" s="143"/>
      <c r="K44" s="143"/>
      <c r="L44" s="145"/>
      <c r="M44" s="145" t="s">
        <v>566</v>
      </c>
      <c r="N44" s="145" t="s">
        <v>566</v>
      </c>
      <c r="O44" s="146" t="s">
        <v>566</v>
      </c>
      <c r="P44" s="147" t="s">
        <v>475</v>
      </c>
      <c r="Q44" s="146" t="s">
        <v>512</v>
      </c>
      <c r="R44" s="90" t="s">
        <v>487</v>
      </c>
      <c r="S44" s="148" t="s">
        <v>514</v>
      </c>
      <c r="T44" s="146"/>
      <c r="U44" s="138"/>
    </row>
    <row r="45" ht="18.75" customHeight="1">
      <c r="A45" s="68"/>
      <c r="B45" s="137" t="s">
        <v>570</v>
      </c>
      <c r="C45" s="68"/>
      <c r="D45" s="149" t="s">
        <v>570</v>
      </c>
      <c r="E45" s="136">
        <v>45172.0</v>
      </c>
      <c r="F45" s="117">
        <v>0.5</v>
      </c>
      <c r="G45" s="94" t="s">
        <v>430</v>
      </c>
      <c r="H45" s="94" t="s">
        <v>432</v>
      </c>
      <c r="I45" s="118"/>
      <c r="J45" s="94"/>
      <c r="K45" s="94"/>
      <c r="L45" s="83"/>
      <c r="M45" s="83" t="s">
        <v>566</v>
      </c>
      <c r="N45" s="83" t="s">
        <v>566</v>
      </c>
      <c r="O45" s="86" t="s">
        <v>566</v>
      </c>
      <c r="P45" s="89" t="s">
        <v>474</v>
      </c>
      <c r="Q45" s="86" t="s">
        <v>475</v>
      </c>
      <c r="R45" s="90" t="s">
        <v>496</v>
      </c>
      <c r="S45" s="87" t="s">
        <v>477</v>
      </c>
      <c r="T45" s="86"/>
      <c r="U45" s="68"/>
    </row>
    <row r="46" ht="18.75" customHeight="1">
      <c r="A46" s="68"/>
      <c r="B46" s="88">
        <v>48.0</v>
      </c>
      <c r="C46" s="68"/>
      <c r="D46" s="149">
        <v>48.0</v>
      </c>
      <c r="E46" s="136">
        <v>45172.0</v>
      </c>
      <c r="F46" s="117">
        <v>0.5</v>
      </c>
      <c r="G46" s="94" t="s">
        <v>423</v>
      </c>
      <c r="H46" s="94" t="s">
        <v>415</v>
      </c>
      <c r="I46" s="118" t="s">
        <v>541</v>
      </c>
      <c r="J46" s="94"/>
      <c r="K46" s="94"/>
      <c r="L46" s="83"/>
      <c r="M46" s="83" t="s">
        <v>559</v>
      </c>
      <c r="N46" s="83" t="s">
        <v>492</v>
      </c>
      <c r="O46" s="84" t="s">
        <v>571</v>
      </c>
      <c r="P46" s="89" t="s">
        <v>475</v>
      </c>
      <c r="Q46" s="86" t="s">
        <v>474</v>
      </c>
      <c r="R46" s="90" t="s">
        <v>499</v>
      </c>
      <c r="S46" s="87" t="s">
        <v>482</v>
      </c>
      <c r="T46" s="86"/>
      <c r="U46" s="68"/>
    </row>
    <row r="47" ht="18.75" customHeight="1">
      <c r="A47" s="68"/>
      <c r="B47" s="88">
        <v>39.0</v>
      </c>
      <c r="C47" s="68"/>
      <c r="D47" s="149">
        <v>39.0</v>
      </c>
      <c r="E47" s="136">
        <v>45172.0</v>
      </c>
      <c r="F47" s="117">
        <v>0.5208333333333334</v>
      </c>
      <c r="G47" s="92" t="s">
        <v>412</v>
      </c>
      <c r="H47" s="92" t="s">
        <v>434</v>
      </c>
      <c r="I47" s="93" t="s">
        <v>488</v>
      </c>
      <c r="J47" s="92"/>
      <c r="K47" s="92"/>
      <c r="L47" s="27"/>
      <c r="M47" s="83" t="s">
        <v>565</v>
      </c>
      <c r="N47" s="83" t="s">
        <v>467</v>
      </c>
      <c r="O47" s="84" t="s">
        <v>572</v>
      </c>
      <c r="P47" s="89" t="s">
        <v>512</v>
      </c>
      <c r="Q47" s="86" t="s">
        <v>465</v>
      </c>
      <c r="R47" s="90" t="s">
        <v>514</v>
      </c>
      <c r="S47" s="87" t="s">
        <v>536</v>
      </c>
      <c r="T47" s="86"/>
      <c r="U47" s="68"/>
    </row>
    <row r="48" ht="18.75" customHeight="1">
      <c r="A48" s="68"/>
      <c r="B48" s="88">
        <v>33.0</v>
      </c>
      <c r="C48" s="68"/>
      <c r="D48" s="149">
        <v>33.0</v>
      </c>
      <c r="E48" s="136">
        <v>45172.0</v>
      </c>
      <c r="F48" s="117">
        <v>0.5833333333333334</v>
      </c>
      <c r="G48" s="94" t="s">
        <v>425</v>
      </c>
      <c r="H48" s="94" t="s">
        <v>420</v>
      </c>
      <c r="I48" s="118"/>
      <c r="J48" s="94"/>
      <c r="K48" s="94"/>
      <c r="L48" s="83"/>
      <c r="M48" s="83" t="s">
        <v>559</v>
      </c>
      <c r="N48" s="83" t="s">
        <v>492</v>
      </c>
      <c r="O48" s="84" t="s">
        <v>573</v>
      </c>
      <c r="P48" s="89" t="s">
        <v>475</v>
      </c>
      <c r="Q48" s="86" t="s">
        <v>532</v>
      </c>
      <c r="R48" s="90" t="s">
        <v>486</v>
      </c>
      <c r="S48" s="87" t="s">
        <v>524</v>
      </c>
      <c r="T48" s="86"/>
      <c r="U48" s="68"/>
    </row>
    <row r="49" ht="18.75" customHeight="1">
      <c r="A49" s="68"/>
      <c r="B49" s="88">
        <v>43.0</v>
      </c>
      <c r="C49" s="68"/>
      <c r="D49" s="79">
        <v>43.0</v>
      </c>
      <c r="E49" s="136">
        <v>45172.0</v>
      </c>
      <c r="F49" s="117">
        <v>0.5833333333333334</v>
      </c>
      <c r="G49" s="94" t="s">
        <v>435</v>
      </c>
      <c r="H49" s="94" t="s">
        <v>427</v>
      </c>
      <c r="I49" s="118" t="s">
        <v>541</v>
      </c>
      <c r="J49" s="94"/>
      <c r="K49" s="94"/>
      <c r="L49" s="83"/>
      <c r="M49" s="83" t="s">
        <v>467</v>
      </c>
      <c r="N49" s="83" t="s">
        <v>559</v>
      </c>
      <c r="O49" s="84" t="s">
        <v>574</v>
      </c>
      <c r="P49" s="89" t="s">
        <v>475</v>
      </c>
      <c r="Q49" s="86" t="s">
        <v>475</v>
      </c>
      <c r="R49" s="90" t="s">
        <v>525</v>
      </c>
      <c r="S49" s="87" t="s">
        <v>504</v>
      </c>
      <c r="T49" s="86"/>
      <c r="U49" s="68"/>
    </row>
    <row r="50" ht="18.75" customHeight="1">
      <c r="A50" s="68"/>
      <c r="B50" s="137" t="s">
        <v>575</v>
      </c>
      <c r="C50" s="68"/>
      <c r="D50" s="149" t="s">
        <v>575</v>
      </c>
      <c r="E50" s="136">
        <v>45172.0</v>
      </c>
      <c r="F50" s="117">
        <v>0.5833333333333334</v>
      </c>
      <c r="G50" s="94" t="s">
        <v>435</v>
      </c>
      <c r="H50" s="94" t="s">
        <v>427</v>
      </c>
      <c r="I50" s="118"/>
      <c r="J50" s="94"/>
      <c r="K50" s="94"/>
      <c r="L50" s="83"/>
      <c r="M50" s="83" t="s">
        <v>566</v>
      </c>
      <c r="N50" s="83" t="s">
        <v>566</v>
      </c>
      <c r="O50" s="86" t="s">
        <v>566</v>
      </c>
      <c r="P50" s="89" t="s">
        <v>475</v>
      </c>
      <c r="Q50" s="86" t="s">
        <v>475</v>
      </c>
      <c r="R50" s="90" t="s">
        <v>525</v>
      </c>
      <c r="S50" s="87" t="s">
        <v>504</v>
      </c>
      <c r="T50" s="86"/>
      <c r="U50" s="68"/>
    </row>
    <row r="51" ht="18.75" customHeight="1">
      <c r="A51" s="68"/>
      <c r="B51" s="137" t="s">
        <v>576</v>
      </c>
      <c r="C51" s="68"/>
      <c r="D51" s="149" t="s">
        <v>576</v>
      </c>
      <c r="E51" s="136">
        <v>45172.0</v>
      </c>
      <c r="F51" s="117">
        <v>0.5833333333333334</v>
      </c>
      <c r="G51" s="94" t="s">
        <v>435</v>
      </c>
      <c r="H51" s="94" t="s">
        <v>421</v>
      </c>
      <c r="I51" s="118"/>
      <c r="J51" s="94"/>
      <c r="K51" s="94"/>
      <c r="L51" s="83"/>
      <c r="M51" s="83" t="s">
        <v>566</v>
      </c>
      <c r="N51" s="83" t="s">
        <v>566</v>
      </c>
      <c r="O51" s="86" t="s">
        <v>566</v>
      </c>
      <c r="P51" s="89" t="s">
        <v>475</v>
      </c>
      <c r="Q51" s="86" t="s">
        <v>494</v>
      </c>
      <c r="R51" s="90" t="s">
        <v>525</v>
      </c>
      <c r="S51" s="87" t="s">
        <v>495</v>
      </c>
      <c r="T51" s="86"/>
      <c r="U51" s="68"/>
    </row>
    <row r="52" ht="18.75" customHeight="1">
      <c r="A52" s="68"/>
      <c r="B52" s="88">
        <v>44.0</v>
      </c>
      <c r="C52" s="68"/>
      <c r="D52" s="149">
        <v>44.0</v>
      </c>
      <c r="E52" s="136">
        <v>45172.0</v>
      </c>
      <c r="F52" s="117">
        <v>0.5833333333333334</v>
      </c>
      <c r="G52" s="94" t="s">
        <v>431</v>
      </c>
      <c r="H52" s="94" t="s">
        <v>434</v>
      </c>
      <c r="I52" s="118" t="s">
        <v>461</v>
      </c>
      <c r="J52" s="94"/>
      <c r="K52" s="94"/>
      <c r="L52" s="83"/>
      <c r="M52" s="83" t="s">
        <v>479</v>
      </c>
      <c r="N52" s="83" t="s">
        <v>559</v>
      </c>
      <c r="O52" s="84" t="s">
        <v>577</v>
      </c>
      <c r="P52" s="89" t="s">
        <v>465</v>
      </c>
      <c r="Q52" s="86" t="s">
        <v>465</v>
      </c>
      <c r="R52" s="90" t="s">
        <v>533</v>
      </c>
      <c r="S52" s="87" t="s">
        <v>536</v>
      </c>
      <c r="T52" s="86"/>
      <c r="U52" s="68"/>
    </row>
    <row r="53" ht="18.75" customHeight="1">
      <c r="A53" s="68"/>
      <c r="B53" s="137" t="s">
        <v>578</v>
      </c>
      <c r="C53" s="68"/>
      <c r="D53" s="149" t="s">
        <v>578</v>
      </c>
      <c r="E53" s="136">
        <v>45172.0</v>
      </c>
      <c r="F53" s="117">
        <v>0.5833333333333334</v>
      </c>
      <c r="G53" s="94" t="s">
        <v>431</v>
      </c>
      <c r="H53" s="94" t="s">
        <v>412</v>
      </c>
      <c r="I53" s="118"/>
      <c r="J53" s="94"/>
      <c r="K53" s="94"/>
      <c r="L53" s="83"/>
      <c r="M53" s="83" t="s">
        <v>566</v>
      </c>
      <c r="N53" s="83" t="s">
        <v>566</v>
      </c>
      <c r="O53" s="86" t="s">
        <v>566</v>
      </c>
      <c r="P53" s="89" t="s">
        <v>465</v>
      </c>
      <c r="Q53" s="86" t="s">
        <v>512</v>
      </c>
      <c r="R53" s="90" t="s">
        <v>533</v>
      </c>
      <c r="S53" s="87" t="s">
        <v>514</v>
      </c>
      <c r="T53" s="86"/>
      <c r="U53" s="68"/>
    </row>
    <row r="54" ht="18.75" customHeight="1">
      <c r="A54" s="68"/>
      <c r="B54" s="137" t="s">
        <v>579</v>
      </c>
      <c r="C54" s="68"/>
      <c r="D54" s="79" t="s">
        <v>579</v>
      </c>
      <c r="E54" s="136">
        <v>45172.0</v>
      </c>
      <c r="F54" s="117">
        <v>0.5833333333333334</v>
      </c>
      <c r="G54" s="94" t="s">
        <v>431</v>
      </c>
      <c r="H54" s="94" t="s">
        <v>434</v>
      </c>
      <c r="I54" s="118"/>
      <c r="J54" s="94"/>
      <c r="K54" s="94"/>
      <c r="L54" s="83"/>
      <c r="M54" s="83" t="s">
        <v>566</v>
      </c>
      <c r="N54" s="83" t="s">
        <v>566</v>
      </c>
      <c r="O54" s="86" t="s">
        <v>566</v>
      </c>
      <c r="P54" s="89" t="s">
        <v>465</v>
      </c>
      <c r="Q54" s="86" t="s">
        <v>465</v>
      </c>
      <c r="R54" s="90" t="s">
        <v>533</v>
      </c>
      <c r="S54" s="87" t="s">
        <v>536</v>
      </c>
      <c r="T54" s="86"/>
      <c r="U54" s="68"/>
    </row>
    <row r="55" ht="18.75" customHeight="1">
      <c r="A55" s="68"/>
      <c r="B55" s="137" t="s">
        <v>580</v>
      </c>
      <c r="C55" s="68"/>
      <c r="D55" s="149" t="s">
        <v>580</v>
      </c>
      <c r="E55" s="136">
        <v>45172.0</v>
      </c>
      <c r="F55" s="117">
        <v>0.5833333333333334</v>
      </c>
      <c r="G55" s="94" t="s">
        <v>426</v>
      </c>
      <c r="H55" s="94" t="s">
        <v>434</v>
      </c>
      <c r="I55" s="118"/>
      <c r="J55" s="94"/>
      <c r="K55" s="94"/>
      <c r="L55" s="83"/>
      <c r="M55" s="83" t="s">
        <v>566</v>
      </c>
      <c r="N55" s="83" t="s">
        <v>566</v>
      </c>
      <c r="O55" s="86" t="s">
        <v>566</v>
      </c>
      <c r="P55" s="89" t="s">
        <v>475</v>
      </c>
      <c r="Q55" s="86" t="s">
        <v>465</v>
      </c>
      <c r="R55" s="90" t="s">
        <v>487</v>
      </c>
      <c r="S55" s="87" t="s">
        <v>536</v>
      </c>
      <c r="T55" s="86"/>
      <c r="U55" s="68"/>
    </row>
    <row r="56" ht="18.75" customHeight="1">
      <c r="A56" s="68"/>
      <c r="B56" s="88">
        <v>35.0</v>
      </c>
      <c r="C56" s="68"/>
      <c r="D56" s="149">
        <v>35.0</v>
      </c>
      <c r="E56" s="136">
        <v>45172.0</v>
      </c>
      <c r="F56" s="117">
        <v>0.6041666666666666</v>
      </c>
      <c r="G56" s="94" t="s">
        <v>422</v>
      </c>
      <c r="H56" s="94" t="s">
        <v>432</v>
      </c>
      <c r="I56" s="118" t="s">
        <v>488</v>
      </c>
      <c r="J56" s="94"/>
      <c r="K56" s="94"/>
      <c r="L56" s="83"/>
      <c r="M56" s="83" t="s">
        <v>479</v>
      </c>
      <c r="N56" s="83" t="s">
        <v>559</v>
      </c>
      <c r="O56" s="84" t="s">
        <v>581</v>
      </c>
      <c r="P56" s="89" t="s">
        <v>506</v>
      </c>
      <c r="Q56" s="86" t="s">
        <v>475</v>
      </c>
      <c r="R56" s="90" t="s">
        <v>508</v>
      </c>
      <c r="S56" s="87" t="s">
        <v>477</v>
      </c>
      <c r="T56" s="86"/>
      <c r="U56" s="68"/>
    </row>
    <row r="57" ht="18.75" customHeight="1">
      <c r="A57" s="68"/>
      <c r="B57" s="137" t="s">
        <v>582</v>
      </c>
      <c r="C57" s="68"/>
      <c r="D57" s="149" t="s">
        <v>582</v>
      </c>
      <c r="E57" s="136">
        <v>45172.0</v>
      </c>
      <c r="F57" s="117">
        <v>0.625</v>
      </c>
      <c r="G57" s="92" t="s">
        <v>417</v>
      </c>
      <c r="H57" s="92" t="s">
        <v>425</v>
      </c>
      <c r="I57" s="93"/>
      <c r="J57" s="92"/>
      <c r="K57" s="92"/>
      <c r="L57" s="27"/>
      <c r="M57" s="83" t="s">
        <v>566</v>
      </c>
      <c r="N57" s="83" t="s">
        <v>566</v>
      </c>
      <c r="O57" s="86" t="s">
        <v>566</v>
      </c>
      <c r="P57" s="89" t="s">
        <v>503</v>
      </c>
      <c r="Q57" s="86" t="s">
        <v>475</v>
      </c>
      <c r="R57" s="90" t="s">
        <v>535</v>
      </c>
      <c r="S57" s="87" t="s">
        <v>486</v>
      </c>
      <c r="T57" s="86"/>
      <c r="U57" s="68"/>
    </row>
    <row r="58" ht="18.75" customHeight="1">
      <c r="A58" s="68"/>
      <c r="B58" s="88">
        <v>42.0</v>
      </c>
      <c r="C58" s="68"/>
      <c r="D58" s="149">
        <v>42.0</v>
      </c>
      <c r="E58" s="136">
        <v>45172.0</v>
      </c>
      <c r="F58" s="117">
        <v>0.625</v>
      </c>
      <c r="G58" s="94" t="s">
        <v>430</v>
      </c>
      <c r="H58" s="94" t="s">
        <v>432</v>
      </c>
      <c r="I58" s="118" t="s">
        <v>554</v>
      </c>
      <c r="J58" s="94"/>
      <c r="K58" s="94"/>
      <c r="L58" s="83"/>
      <c r="M58" s="83" t="s">
        <v>559</v>
      </c>
      <c r="N58" s="83" t="s">
        <v>462</v>
      </c>
      <c r="O58" s="84" t="s">
        <v>583</v>
      </c>
      <c r="P58" s="89" t="s">
        <v>474</v>
      </c>
      <c r="Q58" s="86" t="s">
        <v>475</v>
      </c>
      <c r="R58" s="90" t="s">
        <v>496</v>
      </c>
      <c r="S58" s="87" t="s">
        <v>477</v>
      </c>
      <c r="T58" s="86"/>
      <c r="U58" s="68"/>
    </row>
    <row r="59" ht="18.75" customHeight="1">
      <c r="A59" s="68"/>
      <c r="B59" s="137" t="s">
        <v>584</v>
      </c>
      <c r="C59" s="68"/>
      <c r="D59" s="79" t="s">
        <v>584</v>
      </c>
      <c r="E59" s="136">
        <v>45172.0</v>
      </c>
      <c r="F59" s="117">
        <v>0.625</v>
      </c>
      <c r="G59" s="94" t="s">
        <v>430</v>
      </c>
      <c r="H59" s="94" t="s">
        <v>422</v>
      </c>
      <c r="I59" s="118"/>
      <c r="J59" s="94"/>
      <c r="K59" s="94"/>
      <c r="L59" s="83"/>
      <c r="M59" s="83" t="s">
        <v>566</v>
      </c>
      <c r="N59" s="83" t="s">
        <v>566</v>
      </c>
      <c r="O59" s="86" t="s">
        <v>566</v>
      </c>
      <c r="P59" s="89" t="s">
        <v>474</v>
      </c>
      <c r="Q59" s="86" t="s">
        <v>506</v>
      </c>
      <c r="R59" s="90" t="s">
        <v>496</v>
      </c>
      <c r="S59" s="87" t="s">
        <v>508</v>
      </c>
      <c r="T59" s="86"/>
      <c r="U59" s="68"/>
    </row>
    <row r="60" ht="18.75" customHeight="1">
      <c r="A60" s="68"/>
      <c r="B60" s="137" t="s">
        <v>585</v>
      </c>
      <c r="C60" s="68"/>
      <c r="D60" s="149" t="s">
        <v>585</v>
      </c>
      <c r="E60" s="136">
        <v>45172.0</v>
      </c>
      <c r="F60" s="117">
        <v>0.625</v>
      </c>
      <c r="G60" s="94" t="s">
        <v>424</v>
      </c>
      <c r="H60" s="94" t="s">
        <v>432</v>
      </c>
      <c r="I60" s="118"/>
      <c r="J60" s="94"/>
      <c r="K60" s="94"/>
      <c r="L60" s="83"/>
      <c r="M60" s="83" t="s">
        <v>566</v>
      </c>
      <c r="N60" s="83" t="s">
        <v>566</v>
      </c>
      <c r="O60" s="86" t="s">
        <v>566</v>
      </c>
      <c r="P60" s="89" t="s">
        <v>503</v>
      </c>
      <c r="Q60" s="86" t="s">
        <v>475</v>
      </c>
      <c r="R60" s="90" t="s">
        <v>483</v>
      </c>
      <c r="S60" s="87" t="s">
        <v>477</v>
      </c>
      <c r="T60" s="86"/>
      <c r="U60" s="68"/>
    </row>
    <row r="61" ht="18.75" customHeight="1">
      <c r="A61" s="68"/>
      <c r="B61" s="137" t="s">
        <v>586</v>
      </c>
      <c r="C61" s="68"/>
      <c r="D61" s="149" t="s">
        <v>586</v>
      </c>
      <c r="E61" s="136">
        <v>45172.0</v>
      </c>
      <c r="F61" s="117">
        <v>0.625</v>
      </c>
      <c r="G61" s="94" t="s">
        <v>429</v>
      </c>
      <c r="H61" s="94" t="s">
        <v>427</v>
      </c>
      <c r="I61" s="118"/>
      <c r="J61" s="94"/>
      <c r="K61" s="94"/>
      <c r="L61" s="83"/>
      <c r="M61" s="83" t="s">
        <v>566</v>
      </c>
      <c r="N61" s="83" t="s">
        <v>566</v>
      </c>
      <c r="O61" s="86" t="s">
        <v>566</v>
      </c>
      <c r="P61" s="89" t="s">
        <v>507</v>
      </c>
      <c r="Q61" s="86" t="s">
        <v>475</v>
      </c>
      <c r="R61" s="90" t="s">
        <v>509</v>
      </c>
      <c r="S61" s="87" t="s">
        <v>504</v>
      </c>
      <c r="T61" s="86"/>
      <c r="U61" s="68"/>
    </row>
    <row r="62" ht="18.75" customHeight="1">
      <c r="A62" s="68"/>
      <c r="B62" s="137" t="s">
        <v>587</v>
      </c>
      <c r="C62" s="68"/>
      <c r="D62" s="149" t="s">
        <v>587</v>
      </c>
      <c r="E62" s="136">
        <v>45172.0</v>
      </c>
      <c r="F62" s="117">
        <v>0.6666666666666666</v>
      </c>
      <c r="G62" s="94" t="s">
        <v>424</v>
      </c>
      <c r="H62" s="94" t="s">
        <v>422</v>
      </c>
      <c r="I62" s="118"/>
      <c r="J62" s="94"/>
      <c r="K62" s="94"/>
      <c r="L62" s="83"/>
      <c r="M62" s="83" t="s">
        <v>566</v>
      </c>
      <c r="N62" s="83" t="s">
        <v>566</v>
      </c>
      <c r="O62" s="86" t="s">
        <v>566</v>
      </c>
      <c r="P62" s="89" t="s">
        <v>503</v>
      </c>
      <c r="Q62" s="86" t="s">
        <v>506</v>
      </c>
      <c r="R62" s="90" t="s">
        <v>483</v>
      </c>
      <c r="S62" s="87" t="s">
        <v>508</v>
      </c>
      <c r="T62" s="86"/>
      <c r="U62" s="68"/>
    </row>
    <row r="63" ht="18.75" customHeight="1">
      <c r="A63" s="68"/>
      <c r="B63" s="137" t="s">
        <v>588</v>
      </c>
      <c r="C63" s="68"/>
      <c r="D63" s="149" t="s">
        <v>588</v>
      </c>
      <c r="E63" s="136">
        <v>45172.0</v>
      </c>
      <c r="F63" s="117">
        <v>0.75</v>
      </c>
      <c r="G63" s="92" t="s">
        <v>429</v>
      </c>
      <c r="H63" s="92" t="s">
        <v>421</v>
      </c>
      <c r="I63" s="93"/>
      <c r="J63" s="92"/>
      <c r="K63" s="92"/>
      <c r="L63" s="27"/>
      <c r="M63" s="83" t="s">
        <v>566</v>
      </c>
      <c r="N63" s="83" t="s">
        <v>566</v>
      </c>
      <c r="O63" s="86" t="s">
        <v>566</v>
      </c>
      <c r="P63" s="89" t="s">
        <v>507</v>
      </c>
      <c r="Q63" s="86" t="s">
        <v>494</v>
      </c>
      <c r="R63" s="129" t="s">
        <v>509</v>
      </c>
      <c r="S63" s="87" t="s">
        <v>495</v>
      </c>
      <c r="T63" s="86"/>
      <c r="U63" s="68"/>
    </row>
    <row r="64" ht="18.75" customHeight="1">
      <c r="A64" s="138"/>
      <c r="B64" s="150">
        <v>46.0</v>
      </c>
      <c r="C64" s="138"/>
      <c r="D64" s="140">
        <v>46.0</v>
      </c>
      <c r="E64" s="141">
        <v>45172.0</v>
      </c>
      <c r="F64" s="142">
        <v>0.75</v>
      </c>
      <c r="G64" s="151" t="s">
        <v>413</v>
      </c>
      <c r="H64" s="151" t="s">
        <v>414</v>
      </c>
      <c r="I64" s="152" t="s">
        <v>589</v>
      </c>
      <c r="J64" s="151"/>
      <c r="K64" s="151"/>
      <c r="L64" s="153"/>
      <c r="M64" s="145" t="s">
        <v>467</v>
      </c>
      <c r="N64" s="145" t="s">
        <v>559</v>
      </c>
      <c r="O64" s="154" t="s">
        <v>590</v>
      </c>
      <c r="P64" s="147" t="s">
        <v>507</v>
      </c>
      <c r="Q64" s="146" t="s">
        <v>465</v>
      </c>
      <c r="R64" s="90" t="s">
        <v>528</v>
      </c>
      <c r="S64" s="148" t="s">
        <v>490</v>
      </c>
      <c r="T64" s="146"/>
      <c r="U64" s="138"/>
    </row>
    <row r="65" ht="18.75" customHeight="1">
      <c r="A65" s="68"/>
      <c r="B65" s="137" t="s">
        <v>591</v>
      </c>
      <c r="C65" s="68"/>
      <c r="D65" s="79" t="s">
        <v>591</v>
      </c>
      <c r="E65" s="136">
        <v>45172.0</v>
      </c>
      <c r="F65" s="117">
        <v>0.8333333333333334</v>
      </c>
      <c r="G65" s="92" t="s">
        <v>417</v>
      </c>
      <c r="H65" s="92" t="s">
        <v>420</v>
      </c>
      <c r="I65" s="93"/>
      <c r="J65" s="92"/>
      <c r="K65" s="92"/>
      <c r="L65" s="27"/>
      <c r="M65" s="83" t="s">
        <v>566</v>
      </c>
      <c r="N65" s="83" t="s">
        <v>566</v>
      </c>
      <c r="O65" s="86" t="s">
        <v>566</v>
      </c>
      <c r="P65" s="89" t="s">
        <v>503</v>
      </c>
      <c r="Q65" s="86" t="s">
        <v>532</v>
      </c>
      <c r="R65" s="90" t="s">
        <v>535</v>
      </c>
      <c r="S65" s="87" t="s">
        <v>524</v>
      </c>
      <c r="T65" s="86"/>
      <c r="U65" s="68"/>
    </row>
    <row r="66" ht="18.75" customHeight="1">
      <c r="A66" s="68"/>
      <c r="B66" s="88">
        <v>41.0</v>
      </c>
      <c r="C66" s="68"/>
      <c r="D66" s="79">
        <v>41.0</v>
      </c>
      <c r="E66" s="136">
        <v>45172.0</v>
      </c>
      <c r="F66" s="117">
        <v>0.9583333333333334</v>
      </c>
      <c r="G66" s="92" t="s">
        <v>417</v>
      </c>
      <c r="H66" s="92" t="s">
        <v>425</v>
      </c>
      <c r="I66" s="93"/>
      <c r="J66" s="92"/>
      <c r="K66" s="92"/>
      <c r="L66" s="27"/>
      <c r="M66" s="83" t="s">
        <v>559</v>
      </c>
      <c r="N66" s="83" t="s">
        <v>467</v>
      </c>
      <c r="O66" s="86" t="s">
        <v>592</v>
      </c>
      <c r="P66" s="89" t="s">
        <v>503</v>
      </c>
      <c r="Q66" s="86" t="s">
        <v>475</v>
      </c>
      <c r="R66" s="90" t="s">
        <v>535</v>
      </c>
      <c r="S66" s="87" t="s">
        <v>486</v>
      </c>
      <c r="T66" s="86"/>
      <c r="U66" s="68"/>
    </row>
    <row r="67" ht="18.75" customHeight="1">
      <c r="A67" s="131"/>
      <c r="B67" s="155" t="s">
        <v>593</v>
      </c>
      <c r="C67" s="131"/>
      <c r="D67" s="95" t="s">
        <v>593</v>
      </c>
      <c r="E67" s="156">
        <v>45172.0</v>
      </c>
      <c r="F67" s="133">
        <v>0.9583333333333334</v>
      </c>
      <c r="G67" s="98" t="s">
        <v>439</v>
      </c>
      <c r="H67" s="98" t="s">
        <v>420</v>
      </c>
      <c r="I67" s="157"/>
      <c r="J67" s="98"/>
      <c r="K67" s="98"/>
      <c r="L67" s="158"/>
      <c r="M67" s="101" t="s">
        <v>566</v>
      </c>
      <c r="N67" s="101" t="s">
        <v>566</v>
      </c>
      <c r="O67" s="159" t="s">
        <v>566</v>
      </c>
      <c r="P67" s="160" t="s">
        <v>513</v>
      </c>
      <c r="Q67" s="159" t="s">
        <v>532</v>
      </c>
      <c r="R67" s="161" t="s">
        <v>515</v>
      </c>
      <c r="S67" s="162" t="s">
        <v>524</v>
      </c>
      <c r="T67" s="159"/>
      <c r="U67" s="131"/>
    </row>
    <row r="68" ht="18.75" customHeight="1">
      <c r="A68" s="68"/>
      <c r="B68" s="163">
        <v>49.0</v>
      </c>
      <c r="C68" s="68"/>
      <c r="D68" s="79">
        <v>49.0</v>
      </c>
      <c r="E68" s="136">
        <v>45177.0</v>
      </c>
      <c r="F68" s="117">
        <v>0.5833333333333334</v>
      </c>
      <c r="G68" s="92" t="s">
        <v>410</v>
      </c>
      <c r="H68" s="92" t="s">
        <v>427</v>
      </c>
      <c r="I68" s="93" t="s">
        <v>461</v>
      </c>
      <c r="J68" s="92"/>
      <c r="K68" s="92"/>
      <c r="L68" s="164"/>
      <c r="M68" s="164" t="s">
        <v>559</v>
      </c>
      <c r="N68" s="164" t="s">
        <v>463</v>
      </c>
      <c r="O68" s="163" t="s">
        <v>594</v>
      </c>
      <c r="P68" s="165" t="s">
        <v>465</v>
      </c>
      <c r="Q68" s="164" t="s">
        <v>475</v>
      </c>
      <c r="R68" s="166" t="s">
        <v>470</v>
      </c>
      <c r="S68" s="167" t="s">
        <v>504</v>
      </c>
      <c r="T68" s="164"/>
      <c r="U68" s="68"/>
    </row>
    <row r="69" ht="18.75" customHeight="1">
      <c r="A69" s="68"/>
      <c r="B69" s="163">
        <v>50.0</v>
      </c>
      <c r="C69" s="68"/>
      <c r="D69" s="79">
        <v>50.0</v>
      </c>
      <c r="E69" s="136">
        <v>45177.0</v>
      </c>
      <c r="F69" s="117">
        <v>0.7916666666666666</v>
      </c>
      <c r="G69" s="92" t="s">
        <v>413</v>
      </c>
      <c r="H69" s="92" t="s">
        <v>434</v>
      </c>
      <c r="I69" s="93" t="s">
        <v>488</v>
      </c>
      <c r="J69" s="92"/>
      <c r="K69" s="92"/>
      <c r="L69" s="164"/>
      <c r="M69" s="164" t="s">
        <v>559</v>
      </c>
      <c r="N69" s="164" t="s">
        <v>467</v>
      </c>
      <c r="O69" s="163" t="s">
        <v>595</v>
      </c>
      <c r="P69" s="165" t="s">
        <v>507</v>
      </c>
      <c r="Q69" s="164" t="s">
        <v>465</v>
      </c>
      <c r="R69" s="168" t="s">
        <v>528</v>
      </c>
      <c r="S69" s="167" t="s">
        <v>536</v>
      </c>
      <c r="T69" s="164"/>
      <c r="U69" s="68"/>
    </row>
    <row r="70" ht="18.75" customHeight="1">
      <c r="A70" s="68"/>
      <c r="B70" s="163">
        <v>52.0</v>
      </c>
      <c r="C70" s="68"/>
      <c r="D70" s="79">
        <v>52.0</v>
      </c>
      <c r="E70" s="136">
        <v>45178.0</v>
      </c>
      <c r="F70" s="117">
        <v>0.4166666666666667</v>
      </c>
      <c r="G70" s="92" t="s">
        <v>415</v>
      </c>
      <c r="H70" s="92" t="s">
        <v>430</v>
      </c>
      <c r="I70" s="93" t="s">
        <v>478</v>
      </c>
      <c r="J70" s="92" t="s">
        <v>596</v>
      </c>
      <c r="K70" s="92" t="s">
        <v>597</v>
      </c>
      <c r="L70" s="164"/>
      <c r="M70" s="164" t="s">
        <v>559</v>
      </c>
      <c r="N70" s="164" t="s">
        <v>479</v>
      </c>
      <c r="O70" s="163" t="s">
        <v>598</v>
      </c>
      <c r="P70" s="165" t="s">
        <v>474</v>
      </c>
      <c r="Q70" s="164" t="s">
        <v>474</v>
      </c>
      <c r="R70" s="168" t="s">
        <v>482</v>
      </c>
      <c r="S70" s="167" t="s">
        <v>496</v>
      </c>
      <c r="T70" s="164"/>
      <c r="U70" s="68"/>
    </row>
    <row r="71" ht="18.75" customHeight="1">
      <c r="A71" s="68"/>
      <c r="B71" s="163">
        <v>51.0</v>
      </c>
      <c r="C71" s="68"/>
      <c r="D71" s="79">
        <v>51.0</v>
      </c>
      <c r="E71" s="136">
        <v>45178.0</v>
      </c>
      <c r="F71" s="117">
        <v>0.6666666666666666</v>
      </c>
      <c r="G71" s="92" t="s">
        <v>419</v>
      </c>
      <c r="H71" s="92" t="s">
        <v>417</v>
      </c>
      <c r="I71" s="93" t="s">
        <v>541</v>
      </c>
      <c r="J71" s="92"/>
      <c r="K71" s="92"/>
      <c r="L71" s="164"/>
      <c r="M71" s="164" t="s">
        <v>559</v>
      </c>
      <c r="N71" s="164" t="s">
        <v>463</v>
      </c>
      <c r="O71" s="163" t="s">
        <v>599</v>
      </c>
      <c r="P71" s="165" t="s">
        <v>474</v>
      </c>
      <c r="Q71" s="164" t="s">
        <v>503</v>
      </c>
      <c r="R71" s="169" t="s">
        <v>476</v>
      </c>
      <c r="S71" s="167" t="s">
        <v>535</v>
      </c>
      <c r="T71" s="164"/>
      <c r="U71" s="68"/>
    </row>
    <row r="72" ht="18.75" customHeight="1">
      <c r="A72" s="138"/>
      <c r="B72" s="170">
        <v>56.0</v>
      </c>
      <c r="C72" s="138"/>
      <c r="D72" s="140">
        <v>56.0</v>
      </c>
      <c r="E72" s="141">
        <v>45178.0</v>
      </c>
      <c r="F72" s="142">
        <v>0.7916666666666666</v>
      </c>
      <c r="G72" s="151" t="s">
        <v>411</v>
      </c>
      <c r="H72" s="151" t="s">
        <v>423</v>
      </c>
      <c r="I72" s="152" t="s">
        <v>488</v>
      </c>
      <c r="J72" s="151"/>
      <c r="K72" s="151"/>
      <c r="L72" s="171"/>
      <c r="M72" s="171" t="s">
        <v>559</v>
      </c>
      <c r="N72" s="171" t="s">
        <v>463</v>
      </c>
      <c r="O72" s="170" t="s">
        <v>600</v>
      </c>
      <c r="P72" s="172" t="s">
        <v>518</v>
      </c>
      <c r="Q72" s="171" t="s">
        <v>475</v>
      </c>
      <c r="R72" s="168" t="s">
        <v>520</v>
      </c>
      <c r="S72" s="173" t="s">
        <v>499</v>
      </c>
      <c r="T72" s="171"/>
      <c r="U72" s="138"/>
    </row>
    <row r="73" ht="18.75" customHeight="1">
      <c r="A73" s="68"/>
      <c r="B73" s="163">
        <v>54.0</v>
      </c>
      <c r="C73" s="68"/>
      <c r="D73" s="149">
        <v>54.0</v>
      </c>
      <c r="E73" s="136">
        <v>45179.0</v>
      </c>
      <c r="F73" s="117">
        <v>0.4166666666666667</v>
      </c>
      <c r="G73" s="92" t="s">
        <v>415</v>
      </c>
      <c r="H73" s="92" t="s">
        <v>419</v>
      </c>
      <c r="I73" s="93" t="s">
        <v>554</v>
      </c>
      <c r="J73" s="92"/>
      <c r="K73" s="92"/>
      <c r="L73" s="164"/>
      <c r="M73" s="164" t="s">
        <v>559</v>
      </c>
      <c r="N73" s="164" t="s">
        <v>462</v>
      </c>
      <c r="O73" s="163" t="s">
        <v>601</v>
      </c>
      <c r="P73" s="165" t="s">
        <v>474</v>
      </c>
      <c r="Q73" s="164" t="s">
        <v>474</v>
      </c>
      <c r="R73" s="168" t="s">
        <v>482</v>
      </c>
      <c r="S73" s="167" t="s">
        <v>476</v>
      </c>
      <c r="T73" s="164"/>
      <c r="U73" s="68"/>
    </row>
    <row r="74" ht="18.75" customHeight="1">
      <c r="A74" s="68"/>
      <c r="B74" s="164" t="s">
        <v>602</v>
      </c>
      <c r="C74" s="68"/>
      <c r="D74" s="149" t="s">
        <v>602</v>
      </c>
      <c r="E74" s="136">
        <v>45179.0</v>
      </c>
      <c r="F74" s="117">
        <v>0.4166666666666667</v>
      </c>
      <c r="G74" s="92" t="s">
        <v>415</v>
      </c>
      <c r="H74" s="92" t="s">
        <v>419</v>
      </c>
      <c r="I74" s="93"/>
      <c r="J74" s="92"/>
      <c r="K74" s="92"/>
      <c r="L74" s="164"/>
      <c r="M74" s="164" t="s">
        <v>566</v>
      </c>
      <c r="N74" s="164" t="s">
        <v>566</v>
      </c>
      <c r="O74" s="164" t="s">
        <v>566</v>
      </c>
      <c r="P74" s="165" t="s">
        <v>474</v>
      </c>
      <c r="Q74" s="164" t="s">
        <v>474</v>
      </c>
      <c r="R74" s="168" t="s">
        <v>482</v>
      </c>
      <c r="S74" s="167" t="s">
        <v>476</v>
      </c>
      <c r="T74" s="164"/>
      <c r="U74" s="68"/>
    </row>
    <row r="75" ht="18.75" customHeight="1">
      <c r="A75" s="68"/>
      <c r="B75" s="164" t="s">
        <v>603</v>
      </c>
      <c r="C75" s="68"/>
      <c r="D75" s="149" t="s">
        <v>603</v>
      </c>
      <c r="E75" s="136">
        <v>45179.0</v>
      </c>
      <c r="F75" s="117">
        <v>0.5416666666666666</v>
      </c>
      <c r="G75" s="92" t="s">
        <v>430</v>
      </c>
      <c r="H75" s="92" t="s">
        <v>419</v>
      </c>
      <c r="I75" s="93" t="s">
        <v>461</v>
      </c>
      <c r="J75" s="92"/>
      <c r="K75" s="92"/>
      <c r="L75" s="164"/>
      <c r="M75" s="164" t="s">
        <v>566</v>
      </c>
      <c r="N75" s="164" t="s">
        <v>566</v>
      </c>
      <c r="O75" s="164" t="s">
        <v>566</v>
      </c>
      <c r="P75" s="165" t="s">
        <v>474</v>
      </c>
      <c r="Q75" s="164" t="s">
        <v>474</v>
      </c>
      <c r="R75" s="168" t="s">
        <v>496</v>
      </c>
      <c r="S75" s="167" t="s">
        <v>476</v>
      </c>
      <c r="T75" s="164"/>
      <c r="U75" s="68"/>
    </row>
    <row r="76" ht="18.75" customHeight="1">
      <c r="A76" s="68"/>
      <c r="B76" s="163">
        <v>55.0</v>
      </c>
      <c r="C76" s="68"/>
      <c r="D76" s="149">
        <v>55.0</v>
      </c>
      <c r="E76" s="136">
        <v>45179.0</v>
      </c>
      <c r="F76" s="117">
        <v>0.5416666666666666</v>
      </c>
      <c r="G76" s="92" t="s">
        <v>418</v>
      </c>
      <c r="H76" s="92" t="s">
        <v>414</v>
      </c>
      <c r="I76" s="93" t="s">
        <v>461</v>
      </c>
      <c r="J76" s="92"/>
      <c r="K76" s="92"/>
      <c r="L76" s="164"/>
      <c r="M76" s="164" t="s">
        <v>559</v>
      </c>
      <c r="N76" s="164" t="s">
        <v>472</v>
      </c>
      <c r="O76" s="163" t="s">
        <v>604</v>
      </c>
      <c r="P76" s="165" t="s">
        <v>475</v>
      </c>
      <c r="Q76" s="164" t="s">
        <v>465</v>
      </c>
      <c r="R76" s="168" t="s">
        <v>546</v>
      </c>
      <c r="S76" s="167" t="s">
        <v>490</v>
      </c>
      <c r="T76" s="164"/>
      <c r="U76" s="68"/>
    </row>
    <row r="77" ht="18.75" customHeight="1">
      <c r="A77" s="68"/>
      <c r="B77" s="163">
        <v>53.0</v>
      </c>
      <c r="C77" s="68"/>
      <c r="D77" s="79">
        <v>53.0</v>
      </c>
      <c r="E77" s="136">
        <v>45179.0</v>
      </c>
      <c r="F77" s="117">
        <v>0.5833333333333334</v>
      </c>
      <c r="G77" s="92" t="s">
        <v>413</v>
      </c>
      <c r="H77" s="92" t="s">
        <v>410</v>
      </c>
      <c r="I77" s="93" t="s">
        <v>461</v>
      </c>
      <c r="J77" s="92"/>
      <c r="K77" s="92"/>
      <c r="L77" s="164"/>
      <c r="M77" s="164" t="s">
        <v>559</v>
      </c>
      <c r="N77" s="164" t="s">
        <v>462</v>
      </c>
      <c r="O77" s="163" t="s">
        <v>605</v>
      </c>
      <c r="P77" s="165" t="s">
        <v>507</v>
      </c>
      <c r="Q77" s="164" t="s">
        <v>465</v>
      </c>
      <c r="R77" s="168" t="s">
        <v>528</v>
      </c>
      <c r="S77" s="167" t="s">
        <v>470</v>
      </c>
      <c r="T77" s="164"/>
      <c r="U77" s="68"/>
    </row>
    <row r="78" ht="18.75" customHeight="1">
      <c r="A78" s="68"/>
      <c r="B78" s="164" t="s">
        <v>606</v>
      </c>
      <c r="C78" s="68"/>
      <c r="D78" s="149" t="s">
        <v>606</v>
      </c>
      <c r="E78" s="136">
        <v>45179.0</v>
      </c>
      <c r="F78" s="117">
        <v>0.5833333333333334</v>
      </c>
      <c r="G78" s="92" t="s">
        <v>413</v>
      </c>
      <c r="H78" s="92" t="s">
        <v>410</v>
      </c>
      <c r="I78" s="93" t="s">
        <v>461</v>
      </c>
      <c r="J78" s="92"/>
      <c r="K78" s="92"/>
      <c r="L78" s="164"/>
      <c r="M78" s="164" t="s">
        <v>566</v>
      </c>
      <c r="N78" s="164" t="s">
        <v>566</v>
      </c>
      <c r="O78" s="164" t="s">
        <v>566</v>
      </c>
      <c r="P78" s="165" t="s">
        <v>507</v>
      </c>
      <c r="Q78" s="164" t="s">
        <v>465</v>
      </c>
      <c r="R78" s="168" t="s">
        <v>528</v>
      </c>
      <c r="S78" s="167" t="s">
        <v>470</v>
      </c>
      <c r="T78" s="164"/>
      <c r="U78" s="68"/>
    </row>
    <row r="79" ht="18.75" customHeight="1">
      <c r="A79" s="68"/>
      <c r="B79" s="164" t="s">
        <v>607</v>
      </c>
      <c r="C79" s="68"/>
      <c r="D79" s="149" t="s">
        <v>607</v>
      </c>
      <c r="E79" s="136">
        <v>45179.0</v>
      </c>
      <c r="F79" s="117">
        <v>0.5833333333333334</v>
      </c>
      <c r="G79" s="92" t="s">
        <v>413</v>
      </c>
      <c r="H79" s="92" t="s">
        <v>427</v>
      </c>
      <c r="I79" s="93" t="s">
        <v>461</v>
      </c>
      <c r="J79" s="92"/>
      <c r="K79" s="92"/>
      <c r="L79" s="164"/>
      <c r="M79" s="164" t="s">
        <v>566</v>
      </c>
      <c r="N79" s="164" t="s">
        <v>566</v>
      </c>
      <c r="O79" s="164" t="s">
        <v>566</v>
      </c>
      <c r="P79" s="165" t="s">
        <v>507</v>
      </c>
      <c r="Q79" s="164" t="s">
        <v>475</v>
      </c>
      <c r="R79" s="168" t="s">
        <v>528</v>
      </c>
      <c r="S79" s="167" t="s">
        <v>504</v>
      </c>
      <c r="T79" s="164"/>
      <c r="U79" s="68"/>
    </row>
    <row r="80" ht="18.75" customHeight="1">
      <c r="A80" s="68"/>
      <c r="B80" s="164" t="s">
        <v>608</v>
      </c>
      <c r="C80" s="68"/>
      <c r="D80" s="149" t="s">
        <v>608</v>
      </c>
      <c r="E80" s="136">
        <v>45179.0</v>
      </c>
      <c r="F80" s="117">
        <v>0.625</v>
      </c>
      <c r="G80" s="92" t="s">
        <v>415</v>
      </c>
      <c r="H80" s="92" t="s">
        <v>417</v>
      </c>
      <c r="I80" s="93" t="s">
        <v>461</v>
      </c>
      <c r="J80" s="92"/>
      <c r="K80" s="92"/>
      <c r="L80" s="164"/>
      <c r="M80" s="164" t="s">
        <v>566</v>
      </c>
      <c r="N80" s="164" t="s">
        <v>566</v>
      </c>
      <c r="O80" s="164" t="s">
        <v>566</v>
      </c>
      <c r="P80" s="165" t="s">
        <v>474</v>
      </c>
      <c r="Q80" s="164" t="s">
        <v>503</v>
      </c>
      <c r="R80" s="168" t="s">
        <v>482</v>
      </c>
      <c r="S80" s="167" t="s">
        <v>535</v>
      </c>
      <c r="T80" s="164"/>
      <c r="U80" s="68"/>
    </row>
    <row r="81" ht="18.75" customHeight="1">
      <c r="A81" s="68"/>
      <c r="B81" s="164" t="s">
        <v>609</v>
      </c>
      <c r="C81" s="68"/>
      <c r="D81" s="149" t="s">
        <v>609</v>
      </c>
      <c r="E81" s="136">
        <v>45179.0</v>
      </c>
      <c r="F81" s="117">
        <v>0.625</v>
      </c>
      <c r="G81" s="92" t="s">
        <v>430</v>
      </c>
      <c r="H81" s="92" t="s">
        <v>417</v>
      </c>
      <c r="I81" s="93" t="s">
        <v>461</v>
      </c>
      <c r="J81" s="92"/>
      <c r="K81" s="92"/>
      <c r="L81" s="164"/>
      <c r="M81" s="164" t="s">
        <v>566</v>
      </c>
      <c r="N81" s="164" t="s">
        <v>566</v>
      </c>
      <c r="O81" s="164" t="s">
        <v>566</v>
      </c>
      <c r="P81" s="165" t="s">
        <v>474</v>
      </c>
      <c r="Q81" s="164" t="s">
        <v>503</v>
      </c>
      <c r="R81" s="169" t="s">
        <v>496</v>
      </c>
      <c r="S81" s="167" t="s">
        <v>535</v>
      </c>
      <c r="T81" s="164"/>
      <c r="U81" s="68"/>
    </row>
    <row r="82" ht="18.75" customHeight="1">
      <c r="A82" s="138"/>
      <c r="B82" s="171" t="s">
        <v>610</v>
      </c>
      <c r="C82" s="138"/>
      <c r="D82" s="140" t="s">
        <v>610</v>
      </c>
      <c r="E82" s="141">
        <v>45179.0</v>
      </c>
      <c r="F82" s="142">
        <v>0.6666666666666666</v>
      </c>
      <c r="G82" s="151" t="s">
        <v>434</v>
      </c>
      <c r="H82" s="151" t="s">
        <v>410</v>
      </c>
      <c r="I82" s="152" t="s">
        <v>461</v>
      </c>
      <c r="J82" s="151"/>
      <c r="K82" s="151"/>
      <c r="L82" s="171"/>
      <c r="M82" s="171" t="s">
        <v>566</v>
      </c>
      <c r="N82" s="171" t="s">
        <v>566</v>
      </c>
      <c r="O82" s="171" t="s">
        <v>566</v>
      </c>
      <c r="P82" s="172" t="s">
        <v>465</v>
      </c>
      <c r="Q82" s="171" t="s">
        <v>465</v>
      </c>
      <c r="R82" s="168" t="s">
        <v>536</v>
      </c>
      <c r="S82" s="173" t="s">
        <v>470</v>
      </c>
      <c r="T82" s="171"/>
      <c r="U82" s="138"/>
    </row>
    <row r="83" ht="18.75" customHeight="1">
      <c r="A83" s="131"/>
      <c r="B83" s="174" t="s">
        <v>611</v>
      </c>
      <c r="C83" s="131"/>
      <c r="D83" s="95" t="s">
        <v>611</v>
      </c>
      <c r="E83" s="156">
        <v>45179.0</v>
      </c>
      <c r="F83" s="133">
        <v>0.6666666666666666</v>
      </c>
      <c r="G83" s="98" t="s">
        <v>434</v>
      </c>
      <c r="H83" s="98" t="s">
        <v>427</v>
      </c>
      <c r="I83" s="157" t="s">
        <v>461</v>
      </c>
      <c r="J83" s="98"/>
      <c r="K83" s="98"/>
      <c r="L83" s="174"/>
      <c r="M83" s="174" t="s">
        <v>566</v>
      </c>
      <c r="N83" s="174" t="s">
        <v>566</v>
      </c>
      <c r="O83" s="174" t="s">
        <v>566</v>
      </c>
      <c r="P83" s="175" t="s">
        <v>465</v>
      </c>
      <c r="Q83" s="174" t="s">
        <v>475</v>
      </c>
      <c r="R83" s="168" t="s">
        <v>536</v>
      </c>
      <c r="S83" s="176" t="s">
        <v>504</v>
      </c>
      <c r="T83" s="174"/>
      <c r="U83" s="131"/>
    </row>
    <row r="84" ht="18.75" customHeight="1">
      <c r="A84" s="68"/>
      <c r="B84" s="163">
        <v>57.0</v>
      </c>
      <c r="C84" s="68"/>
      <c r="D84" s="79">
        <v>57.0</v>
      </c>
      <c r="E84" s="136">
        <v>45185.0</v>
      </c>
      <c r="F84" s="117">
        <v>0.5208333333333334</v>
      </c>
      <c r="G84" s="92" t="s">
        <v>414</v>
      </c>
      <c r="H84" s="92" t="s">
        <v>415</v>
      </c>
      <c r="I84" s="93" t="s">
        <v>478</v>
      </c>
      <c r="J84" s="92" t="s">
        <v>596</v>
      </c>
      <c r="K84" s="92" t="s">
        <v>612</v>
      </c>
      <c r="L84" s="164" t="s">
        <v>613</v>
      </c>
      <c r="M84" s="164" t="s">
        <v>614</v>
      </c>
      <c r="N84" s="164" t="s">
        <v>492</v>
      </c>
      <c r="O84" s="163" t="s">
        <v>615</v>
      </c>
      <c r="P84" s="165" t="s">
        <v>465</v>
      </c>
      <c r="Q84" s="164" t="s">
        <v>474</v>
      </c>
      <c r="R84" s="166" t="s">
        <v>490</v>
      </c>
      <c r="S84" s="167" t="s">
        <v>482</v>
      </c>
      <c r="T84" s="164" t="str">
        <f t="array" ref="T84">iferror("!title PTE - "&amp;INDIRECT("'"&amp;D84&amp;"'!O2")&amp;" | [#"&amp;VLOOKUP(G84,Seedings!$A$1:$B98,2,0)&amp;"] "&amp;G84&amp;" vs. "&amp;H84&amp;" [#"&amp;VLOOKUP(H84,Seedings!$A$1:$B98,2,0)&amp;"]","")</f>
        <v>!title PTE - Finals | [#5] female ass wrestling vs. Tom and Jerry [#6]</v>
      </c>
      <c r="U84" s="68"/>
    </row>
    <row r="85" ht="18.75" customHeight="1">
      <c r="A85" s="119"/>
      <c r="B85" s="177">
        <v>58.0</v>
      </c>
      <c r="C85" s="119"/>
      <c r="D85" s="121">
        <v>58.0</v>
      </c>
      <c r="E85" s="178">
        <v>45185.0</v>
      </c>
      <c r="F85" s="122">
        <v>0.6666666666666666</v>
      </c>
      <c r="G85" s="179" t="s">
        <v>423</v>
      </c>
      <c r="H85" s="179" t="s">
        <v>413</v>
      </c>
      <c r="I85" s="180" t="s">
        <v>488</v>
      </c>
      <c r="J85" s="179"/>
      <c r="K85" s="179"/>
      <c r="L85" s="181"/>
      <c r="M85" s="181" t="s">
        <v>492</v>
      </c>
      <c r="N85" s="181" t="s">
        <v>614</v>
      </c>
      <c r="O85" s="177" t="s">
        <v>616</v>
      </c>
      <c r="P85" s="182" t="s">
        <v>475</v>
      </c>
      <c r="Q85" s="181" t="s">
        <v>507</v>
      </c>
      <c r="R85" s="169" t="s">
        <v>499</v>
      </c>
      <c r="S85" s="183" t="s">
        <v>528</v>
      </c>
      <c r="T85" s="164" t="str">
        <f t="array" ref="T85">iferror("!title PTE - "&amp;INDIRECT("'"&amp;D85&amp;"'!O2")&amp;" | [#"&amp;VLOOKUP(G85,Seedings!$A$1:$B98,2,0)&amp;"] "&amp;G85&amp;" vs. "&amp;H85&amp;" [#"&amp;VLOOKUP(H85,Seedings!$A$1:$B98,2,0)&amp;"]","")</f>
        <v>!title PTE - Finals | [#14] match in 15 vs. Homossexual Students [#4]</v>
      </c>
      <c r="U85" s="119"/>
    </row>
    <row r="86" ht="18.75" customHeight="1">
      <c r="A86" s="68"/>
      <c r="B86" s="163">
        <v>60.0</v>
      </c>
      <c r="C86" s="68"/>
      <c r="D86" s="79">
        <v>60.0</v>
      </c>
      <c r="E86" s="136">
        <v>45186.0</v>
      </c>
      <c r="F86" s="117">
        <v>0.125</v>
      </c>
      <c r="G86" s="92" t="s">
        <v>418</v>
      </c>
      <c r="H86" s="92" t="s">
        <v>411</v>
      </c>
      <c r="I86" s="93"/>
      <c r="J86" s="92"/>
      <c r="K86" s="92" t="s">
        <v>484</v>
      </c>
      <c r="L86" s="164"/>
      <c r="M86" s="164" t="s">
        <v>467</v>
      </c>
      <c r="N86" s="164" t="s">
        <v>614</v>
      </c>
      <c r="O86" s="163" t="s">
        <v>617</v>
      </c>
      <c r="P86" s="165" t="s">
        <v>475</v>
      </c>
      <c r="Q86" s="164" t="s">
        <v>518</v>
      </c>
      <c r="R86" s="168" t="s">
        <v>546</v>
      </c>
      <c r="S86" s="167" t="s">
        <v>520</v>
      </c>
      <c r="T86" s="164" t="str">
        <f t="array" ref="T86">iferror("!title PTE - "&amp;INDIRECT("'"&amp;D86&amp;"'!O2")&amp;" | [#"&amp;VLOOKUP(G86,Seedings!$A$1:$B98,2,0)&amp;"] "&amp;G86&amp;" vs. "&amp;H86&amp;" [#"&amp;VLOOKUP(H86,Seedings!$A$1:$B98,2,0)&amp;"]","")</f>
        <v>!title PTE - Finals | [#9] placeholder teamname vs. :MIPINGA: [#2]</v>
      </c>
      <c r="U86" s="68"/>
    </row>
    <row r="87" ht="18.75" customHeight="1">
      <c r="A87" s="68"/>
      <c r="B87" s="164" t="s">
        <v>618</v>
      </c>
      <c r="C87" s="68"/>
      <c r="D87" s="149" t="s">
        <v>618</v>
      </c>
      <c r="E87" s="136">
        <v>45186.0</v>
      </c>
      <c r="F87" s="117">
        <v>0.5416666666666666</v>
      </c>
      <c r="G87" s="92" t="s">
        <v>423</v>
      </c>
      <c r="H87" s="92" t="s">
        <v>415</v>
      </c>
      <c r="I87" s="93" t="s">
        <v>554</v>
      </c>
      <c r="J87" s="92"/>
      <c r="K87" s="92"/>
      <c r="L87" s="164"/>
      <c r="M87" s="164" t="s">
        <v>566</v>
      </c>
      <c r="N87" s="164" t="s">
        <v>566</v>
      </c>
      <c r="O87" s="164" t="s">
        <v>566</v>
      </c>
      <c r="P87" s="165" t="s">
        <v>475</v>
      </c>
      <c r="Q87" s="164" t="s">
        <v>474</v>
      </c>
      <c r="R87" s="168" t="s">
        <v>499</v>
      </c>
      <c r="S87" s="167" t="s">
        <v>482</v>
      </c>
      <c r="T87" s="164" t="str">
        <f t="array" ref="T87">iferror("!title PTE - "&amp;INDIRECT("'"&amp;D87&amp;"'!O2")&amp;" | [#"&amp;VLOOKUP(G87,Seedings!$A$1:$B98,2,0)&amp;"] "&amp;G87&amp;" vs. "&amp;H87&amp;" [#"&amp;VLOOKUP(H87,Seedings!$A$1:$B98,2,0)&amp;"]","")</f>
        <v/>
      </c>
      <c r="U87" s="68"/>
    </row>
    <row r="88" ht="18.75" customHeight="1">
      <c r="A88" s="68"/>
      <c r="B88" s="164" t="s">
        <v>619</v>
      </c>
      <c r="C88" s="68"/>
      <c r="D88" s="149" t="s">
        <v>619</v>
      </c>
      <c r="E88" s="136">
        <v>45186.0</v>
      </c>
      <c r="F88" s="117">
        <v>0.5416666666666666</v>
      </c>
      <c r="G88" s="92" t="s">
        <v>413</v>
      </c>
      <c r="H88" s="92" t="s">
        <v>415</v>
      </c>
      <c r="I88" s="93" t="s">
        <v>554</v>
      </c>
      <c r="J88" s="92"/>
      <c r="K88" s="92"/>
      <c r="L88" s="164"/>
      <c r="M88" s="164" t="s">
        <v>566</v>
      </c>
      <c r="N88" s="164" t="s">
        <v>566</v>
      </c>
      <c r="O88" s="164" t="s">
        <v>566</v>
      </c>
      <c r="P88" s="165" t="s">
        <v>507</v>
      </c>
      <c r="Q88" s="164" t="s">
        <v>474</v>
      </c>
      <c r="R88" s="168" t="s">
        <v>528</v>
      </c>
      <c r="S88" s="167" t="s">
        <v>482</v>
      </c>
      <c r="T88" s="164" t="str">
        <f t="array" ref="T88">iferror("!title PTE - "&amp;INDIRECT("'"&amp;D88&amp;"'!O2")&amp;" | [#"&amp;VLOOKUP(G88,Seedings!$A$1:$B98,2,0)&amp;"] "&amp;G88&amp;" vs. "&amp;H88&amp;" [#"&amp;VLOOKUP(H88,Seedings!$A$1:$B98,2,0)&amp;"]","")</f>
        <v/>
      </c>
      <c r="U88" s="68"/>
    </row>
    <row r="89" ht="18.75" customHeight="1">
      <c r="A89" s="68"/>
      <c r="B89" s="164" t="s">
        <v>620</v>
      </c>
      <c r="C89" s="68"/>
      <c r="D89" s="149" t="s">
        <v>620</v>
      </c>
      <c r="E89" s="136">
        <v>45186.0</v>
      </c>
      <c r="F89" s="117">
        <v>0.625</v>
      </c>
      <c r="G89" s="92" t="s">
        <v>423</v>
      </c>
      <c r="H89" s="92" t="s">
        <v>414</v>
      </c>
      <c r="I89" s="93" t="s">
        <v>488</v>
      </c>
      <c r="J89" s="92"/>
      <c r="K89" s="92"/>
      <c r="L89" s="164"/>
      <c r="M89" s="164" t="s">
        <v>566</v>
      </c>
      <c r="N89" s="164" t="s">
        <v>566</v>
      </c>
      <c r="O89" s="164" t="s">
        <v>566</v>
      </c>
      <c r="P89" s="165" t="s">
        <v>475</v>
      </c>
      <c r="Q89" s="164" t="s">
        <v>465</v>
      </c>
      <c r="R89" s="168" t="s">
        <v>499</v>
      </c>
      <c r="S89" s="167" t="s">
        <v>490</v>
      </c>
      <c r="T89" s="164" t="str">
        <f t="array" ref="T89">iferror("!title PTE - "&amp;INDIRECT("'"&amp;D89&amp;"'!O2")&amp;" | [#"&amp;VLOOKUP(G89,Seedings!$A$1:$B98,2,0)&amp;"] "&amp;G89&amp;" vs. "&amp;H89&amp;" [#"&amp;VLOOKUP(H89,Seedings!$A$1:$B98,2,0)&amp;"]","")</f>
        <v/>
      </c>
      <c r="U89" s="68"/>
    </row>
    <row r="90" ht="18.75" customHeight="1">
      <c r="A90" s="68"/>
      <c r="B90" s="163">
        <v>59.0</v>
      </c>
      <c r="C90" s="68"/>
      <c r="D90" s="149">
        <v>59.0</v>
      </c>
      <c r="E90" s="136">
        <v>45186.0</v>
      </c>
      <c r="F90" s="117">
        <v>0.75</v>
      </c>
      <c r="G90" s="92" t="s">
        <v>413</v>
      </c>
      <c r="H90" s="92" t="s">
        <v>414</v>
      </c>
      <c r="I90" s="93" t="s">
        <v>554</v>
      </c>
      <c r="J90" s="92"/>
      <c r="K90" s="92"/>
      <c r="L90" s="164"/>
      <c r="M90" s="164" t="s">
        <v>614</v>
      </c>
      <c r="N90" s="164" t="s">
        <v>462</v>
      </c>
      <c r="O90" s="163" t="s">
        <v>621</v>
      </c>
      <c r="P90" s="165" t="s">
        <v>507</v>
      </c>
      <c r="Q90" s="164" t="s">
        <v>465</v>
      </c>
      <c r="R90" s="169" t="s">
        <v>528</v>
      </c>
      <c r="S90" s="167" t="s">
        <v>490</v>
      </c>
      <c r="T90" s="164" t="str">
        <f t="array" ref="T90">iferror("!title PTE - "&amp;INDIRECT("'"&amp;D90&amp;"'!O2")&amp;" | [#"&amp;VLOOKUP(G90,Seedings!$A$1:$B98,2,0)&amp;"] "&amp;G90&amp;" vs. "&amp;H90&amp;" [#"&amp;VLOOKUP(H90,Seedings!$A$1:$B98,2,0)&amp;"]","")</f>
        <v>!title PTE - Finals | [#4] Homossexual Students vs. female ass wrestling [#5]</v>
      </c>
      <c r="U90" s="68"/>
    </row>
    <row r="91" ht="18.75" customHeight="1">
      <c r="A91" s="184"/>
      <c r="B91" s="185" t="s">
        <v>622</v>
      </c>
      <c r="C91" s="184"/>
      <c r="D91" s="186" t="s">
        <v>622</v>
      </c>
      <c r="E91" s="187">
        <v>45186.0</v>
      </c>
      <c r="F91" s="188">
        <v>0.75</v>
      </c>
      <c r="G91" s="189" t="s">
        <v>413</v>
      </c>
      <c r="H91" s="189" t="s">
        <v>414</v>
      </c>
      <c r="I91" s="190" t="s">
        <v>488</v>
      </c>
      <c r="J91" s="189"/>
      <c r="K91" s="189"/>
      <c r="L91" s="185"/>
      <c r="M91" s="185" t="s">
        <v>566</v>
      </c>
      <c r="N91" s="185" t="s">
        <v>566</v>
      </c>
      <c r="O91" s="185" t="s">
        <v>566</v>
      </c>
      <c r="P91" s="191" t="s">
        <v>507</v>
      </c>
      <c r="Q91" s="185" t="s">
        <v>465</v>
      </c>
      <c r="R91" s="168" t="s">
        <v>528</v>
      </c>
      <c r="S91" s="192" t="s">
        <v>490</v>
      </c>
      <c r="T91" s="164" t="str">
        <f t="array" ref="T91">iferror("!title PTE - "&amp;INDIRECT("'"&amp;D91&amp;"'!O2")&amp;" | [#"&amp;VLOOKUP(G91,Seedings!$A$1:$B98,2,0)&amp;"] "&amp;G91&amp;" vs. "&amp;H91&amp;" [#"&amp;VLOOKUP(H91,Seedings!$A$1:$B98,2,0)&amp;"]","")</f>
        <v/>
      </c>
      <c r="U91" s="184"/>
    </row>
    <row r="92" ht="18.75" customHeight="1">
      <c r="A92" s="68"/>
      <c r="B92" s="163">
        <v>61.0</v>
      </c>
      <c r="C92" s="68"/>
      <c r="D92" s="121">
        <v>61.0</v>
      </c>
      <c r="E92" s="178">
        <v>45193.0</v>
      </c>
      <c r="F92" s="122">
        <v>0.625</v>
      </c>
      <c r="G92" s="179" t="s">
        <v>418</v>
      </c>
      <c r="H92" s="179" t="s">
        <v>413</v>
      </c>
      <c r="I92" s="180" t="s">
        <v>623</v>
      </c>
      <c r="J92" s="179" t="s">
        <v>596</v>
      </c>
      <c r="K92" s="179"/>
      <c r="L92" s="181"/>
      <c r="M92" s="181" t="s">
        <v>467</v>
      </c>
      <c r="N92" s="181" t="s">
        <v>614</v>
      </c>
      <c r="O92" s="177" t="s">
        <v>624</v>
      </c>
      <c r="P92" s="182" t="s">
        <v>475</v>
      </c>
      <c r="Q92" s="181" t="s">
        <v>507</v>
      </c>
      <c r="R92" s="166" t="s">
        <v>546</v>
      </c>
      <c r="S92" s="167" t="s">
        <v>528</v>
      </c>
      <c r="T92" s="164" t="str">
        <f t="array" ref="T92">iferror("!title PTE - "&amp;INDIRECT("'"&amp;D92&amp;"'!O2")&amp;" | [#"&amp;VLOOKUP(G92,Seedings!$A$1:$B98,2,0)&amp;"] "&amp;G92&amp;" vs. "&amp;H92&amp;" [#"&amp;VLOOKUP(H92,Seedings!$A$1:$B98,2,0)&amp;"]","")</f>
        <v>!title PTE - Grand Finals | [#9] placeholder teamname vs. Homossexual Students [#4]</v>
      </c>
      <c r="U92" s="68"/>
    </row>
    <row r="93" ht="18.75" customHeight="1">
      <c r="A93" s="68"/>
      <c r="B93" s="171" t="s">
        <v>625</v>
      </c>
      <c r="C93" s="68"/>
      <c r="D93" s="79" t="s">
        <v>625</v>
      </c>
      <c r="E93" s="136">
        <v>45193.0</v>
      </c>
      <c r="F93" s="117">
        <v>0.625</v>
      </c>
      <c r="G93" s="92" t="s">
        <v>411</v>
      </c>
      <c r="H93" s="92" t="s">
        <v>418</v>
      </c>
      <c r="I93" s="93"/>
      <c r="J93" s="92"/>
      <c r="K93" s="92"/>
      <c r="L93" s="164"/>
      <c r="M93" s="164" t="s">
        <v>566</v>
      </c>
      <c r="N93" s="164" t="s">
        <v>566</v>
      </c>
      <c r="O93" s="164" t="s">
        <v>566</v>
      </c>
      <c r="P93" s="165" t="s">
        <v>518</v>
      </c>
      <c r="Q93" s="164" t="s">
        <v>475</v>
      </c>
      <c r="R93" s="193" t="s">
        <v>520</v>
      </c>
      <c r="S93" s="173" t="s">
        <v>546</v>
      </c>
      <c r="T93" s="164"/>
      <c r="U93" s="68"/>
    </row>
    <row r="94" ht="18.75" customHeight="1">
      <c r="A94" s="68"/>
      <c r="B94" s="163">
        <v>62.0</v>
      </c>
      <c r="C94" s="68"/>
      <c r="D94" s="149">
        <v>62.0</v>
      </c>
      <c r="E94" s="136">
        <v>45193.0</v>
      </c>
      <c r="F94" s="117">
        <v>0.875</v>
      </c>
      <c r="G94" s="92" t="s">
        <v>411</v>
      </c>
      <c r="H94" s="92" t="s">
        <v>413</v>
      </c>
      <c r="I94" s="93"/>
      <c r="J94" s="92"/>
      <c r="K94" s="92"/>
      <c r="L94" s="164"/>
      <c r="M94" s="164" t="s">
        <v>614</v>
      </c>
      <c r="N94" s="164" t="s">
        <v>559</v>
      </c>
      <c r="O94" s="163" t="s">
        <v>626</v>
      </c>
      <c r="P94" s="165" t="s">
        <v>518</v>
      </c>
      <c r="Q94" s="164" t="s">
        <v>507</v>
      </c>
      <c r="R94" s="168" t="s">
        <v>520</v>
      </c>
      <c r="S94" s="167" t="s">
        <v>528</v>
      </c>
      <c r="T94" s="164"/>
      <c r="U94" s="68"/>
    </row>
    <row r="95" ht="18.75" customHeight="1">
      <c r="A95" s="68"/>
      <c r="B95" s="164" t="s">
        <v>627</v>
      </c>
      <c r="C95" s="68"/>
      <c r="D95" s="149" t="s">
        <v>627</v>
      </c>
      <c r="E95" s="136">
        <v>45193.0</v>
      </c>
      <c r="F95" s="117">
        <v>0.875</v>
      </c>
      <c r="G95" s="92" t="s">
        <v>411</v>
      </c>
      <c r="H95" s="92" t="s">
        <v>413</v>
      </c>
      <c r="I95" s="93"/>
      <c r="J95" s="92"/>
      <c r="K95" s="92"/>
      <c r="L95" s="164"/>
      <c r="M95" s="164" t="s">
        <v>566</v>
      </c>
      <c r="N95" s="164" t="s">
        <v>566</v>
      </c>
      <c r="O95" s="164" t="s">
        <v>566</v>
      </c>
      <c r="P95" s="165" t="s">
        <v>518</v>
      </c>
      <c r="Q95" s="164" t="s">
        <v>507</v>
      </c>
      <c r="R95" s="169" t="s">
        <v>520</v>
      </c>
      <c r="S95" s="183" t="s">
        <v>528</v>
      </c>
      <c r="T95" s="164"/>
      <c r="U95" s="68"/>
    </row>
    <row r="96" ht="18.75" customHeight="1">
      <c r="A96" s="68"/>
      <c r="B96" s="171" t="s">
        <v>628</v>
      </c>
      <c r="C96" s="138"/>
      <c r="D96" s="140" t="s">
        <v>628</v>
      </c>
      <c r="E96" s="141">
        <v>45199.0</v>
      </c>
      <c r="F96" s="142">
        <v>0.625</v>
      </c>
      <c r="G96" s="151" t="s">
        <v>418</v>
      </c>
      <c r="H96" s="151" t="s">
        <v>411</v>
      </c>
      <c r="I96" s="152"/>
      <c r="J96" s="151"/>
      <c r="K96" s="151"/>
      <c r="L96" s="171"/>
      <c r="M96" s="171" t="s">
        <v>566</v>
      </c>
      <c r="N96" s="171" t="s">
        <v>566</v>
      </c>
      <c r="O96" s="171" t="s">
        <v>566</v>
      </c>
      <c r="P96" s="172" t="s">
        <v>475</v>
      </c>
      <c r="Q96" s="171" t="s">
        <v>518</v>
      </c>
      <c r="R96" s="168" t="s">
        <v>546</v>
      </c>
      <c r="S96" s="167" t="s">
        <v>520</v>
      </c>
      <c r="T96" s="164"/>
      <c r="U96" s="68"/>
    </row>
    <row r="97" ht="18.75" customHeight="1">
      <c r="A97" s="68"/>
      <c r="B97" s="164" t="s">
        <v>629</v>
      </c>
      <c r="C97" s="68"/>
      <c r="D97" s="149" t="s">
        <v>629</v>
      </c>
      <c r="E97" s="136">
        <v>45199.0</v>
      </c>
      <c r="F97" s="117">
        <v>0.875</v>
      </c>
      <c r="G97" s="92" t="s">
        <v>413</v>
      </c>
      <c r="H97" s="92" t="s">
        <v>411</v>
      </c>
      <c r="I97" s="93"/>
      <c r="J97" s="92"/>
      <c r="K97" s="92"/>
      <c r="L97" s="164"/>
      <c r="M97" s="164" t="s">
        <v>566</v>
      </c>
      <c r="N97" s="164" t="s">
        <v>566</v>
      </c>
      <c r="O97" s="164" t="s">
        <v>566</v>
      </c>
      <c r="P97" s="165" t="s">
        <v>507</v>
      </c>
      <c r="Q97" s="164" t="s">
        <v>518</v>
      </c>
      <c r="R97" s="168" t="s">
        <v>528</v>
      </c>
      <c r="S97" s="167" t="s">
        <v>520</v>
      </c>
      <c r="T97" s="164"/>
      <c r="U97" s="68"/>
    </row>
    <row r="98" ht="18.75" customHeight="1">
      <c r="A98" s="68"/>
      <c r="B98" s="163">
        <v>63.0</v>
      </c>
      <c r="C98" s="68"/>
      <c r="D98" s="149">
        <v>63.0</v>
      </c>
      <c r="E98" s="136"/>
      <c r="F98" s="117" t="s">
        <v>630</v>
      </c>
      <c r="G98" s="92" t="s">
        <v>411</v>
      </c>
      <c r="H98" s="92" t="s">
        <v>418</v>
      </c>
      <c r="I98" s="93"/>
      <c r="J98" s="92"/>
      <c r="K98" s="92"/>
      <c r="L98" s="164"/>
      <c r="M98" s="164" t="s">
        <v>467</v>
      </c>
      <c r="N98" s="164" t="s">
        <v>467</v>
      </c>
      <c r="O98" s="164" t="s">
        <v>566</v>
      </c>
      <c r="P98" s="165" t="s">
        <v>518</v>
      </c>
      <c r="Q98" s="164" t="s">
        <v>475</v>
      </c>
      <c r="R98" s="168" t="s">
        <v>520</v>
      </c>
      <c r="S98" s="167" t="s">
        <v>546</v>
      </c>
      <c r="T98" s="164"/>
      <c r="U98" s="68"/>
    </row>
  </sheetData>
  <mergeCells count="4">
    <mergeCell ref="D2:F2"/>
    <mergeCell ref="I2:L2"/>
    <mergeCell ref="M2:O2"/>
    <mergeCell ref="P2:R2"/>
  </mergeCells>
  <dataValidations>
    <dataValidation type="custom" allowBlank="1" showDropDown="1" showInputMessage="1" showErrorMessage="1" prompt="Enter a valid date" sqref="E20:E95 E97:E98">
      <formula1>OR(NOT(ISERROR(DATEVALUE(E20))), AND(ISNUMBER(E20), LEFT(CELL("format", E20))="D"))</formula1>
    </dataValidation>
  </dataValidations>
  <hyperlinks>
    <hyperlink display="4" location="'4'!A1" ref="B4"/>
    <hyperlink r:id="rId2" ref="O4"/>
    <hyperlink display="1" location="'1'!A1" ref="B5"/>
    <hyperlink r:id="rId3" ref="O5"/>
    <hyperlink display="12" location="'12'!A1" ref="B6"/>
    <hyperlink r:id="rId4" ref="O6"/>
    <hyperlink display="15" location="'15'!A1" ref="B7"/>
    <hyperlink r:id="rId5" ref="O7"/>
    <hyperlink display="2" location="'2'!A1" ref="B8"/>
    <hyperlink r:id="rId6" ref="O8"/>
    <hyperlink display="7" location="'7'!A1" ref="B9"/>
    <hyperlink r:id="rId7" ref="O9"/>
    <hyperlink display="8" location="'8'!A1" ref="B10"/>
    <hyperlink r:id="rId8" ref="O10"/>
    <hyperlink display="14" location="'14'!A1" ref="B11"/>
    <hyperlink r:id="rId9" ref="O11"/>
    <hyperlink display="10" location="'10'!A1" ref="B12"/>
    <hyperlink r:id="rId10" ref="O12"/>
    <hyperlink display="6" location="'6'!A1" ref="B13"/>
    <hyperlink r:id="rId11" ref="O13"/>
    <hyperlink display="13" location="'13'!A1" ref="B14"/>
    <hyperlink r:id="rId12" ref="O14"/>
    <hyperlink display="9" location="'9'!A1" ref="B15"/>
    <hyperlink r:id="rId13" ref="O15"/>
    <hyperlink display="11" location="'11'!A1" ref="B16"/>
    <hyperlink r:id="rId14" ref="O16"/>
    <hyperlink display="5" location="'5'!A1" ref="B17"/>
    <hyperlink r:id="rId15" ref="O17"/>
    <hyperlink display="16" location="'16'!A1" ref="B18"/>
    <hyperlink r:id="rId16" ref="O18"/>
    <hyperlink display="3" location="'3'!A1" ref="B19"/>
    <hyperlink r:id="rId17" ref="O19"/>
    <hyperlink display="31" location="'31'!A1" ref="B20"/>
    <hyperlink r:id="rId18" ref="O20"/>
    <hyperlink display="30" location="'30'!A1" ref="B21"/>
    <hyperlink r:id="rId19" ref="O21"/>
    <hyperlink display="22" location="'22'!A1" ref="B22"/>
    <hyperlink r:id="rId20" ref="O22"/>
    <hyperlink display="32" location="'32'!A1" ref="B23"/>
    <hyperlink r:id="rId21" ref="O23"/>
    <hyperlink display="21" location="'21'!A1" ref="B24"/>
    <hyperlink r:id="rId22" ref="O24"/>
    <hyperlink display="26" location="'26'!A1" ref="B25"/>
    <hyperlink r:id="rId23" ref="O25"/>
    <hyperlink display="23" location="'23'!A1" ref="B26"/>
    <hyperlink r:id="rId24" ref="O26"/>
    <hyperlink display="18" location="'18'!A1" ref="B27"/>
    <hyperlink r:id="rId25" ref="O27"/>
    <hyperlink display="27" location="'27'!A1" ref="B28"/>
    <hyperlink r:id="rId26" ref="O28"/>
    <hyperlink display="29" location="'29'!A1" ref="B29"/>
    <hyperlink r:id="rId27" ref="O29"/>
    <hyperlink display="24" location="'24'!A1" ref="B30"/>
    <hyperlink r:id="rId28" ref="O30"/>
    <hyperlink display="19" location="'19'!A1" ref="B31"/>
    <hyperlink r:id="rId29" ref="O31"/>
    <hyperlink display="25" location="'25'!A1" ref="B32"/>
    <hyperlink r:id="rId30" ref="O32"/>
    <hyperlink display="28" location="'28'!A1" ref="B33"/>
    <hyperlink r:id="rId31" ref="O33"/>
    <hyperlink display="20" location="'20'!A1" ref="B34"/>
    <hyperlink r:id="rId32" ref="O34"/>
    <hyperlink display="17" location="'17'!A1" ref="B35"/>
    <hyperlink r:id="rId33" ref="O35"/>
    <hyperlink display="36" location="'36'!A1" ref="B36"/>
    <hyperlink r:id="rId34" ref="O36"/>
    <hyperlink display="45" location="'45'!A1" ref="B37"/>
    <hyperlink r:id="rId35" ref="O37"/>
    <hyperlink display="37" location="'37'!A1" ref="B38"/>
    <hyperlink r:id="rId36" ref="O38"/>
    <hyperlink display="40" location="'40'!A1" ref="B39"/>
    <hyperlink r:id="rId37" ref="O39"/>
    <hyperlink display="38" location="'38'!A1" ref="B40"/>
    <hyperlink r:id="rId38" ref="O40"/>
    <hyperlink display="47" location="'47'!A1" ref="B41"/>
    <hyperlink display="34" location="'34'!A1" ref="B42"/>
    <hyperlink r:id="rId39" ref="O42"/>
    <hyperlink display="48" location="'48'!A1" ref="B46"/>
    <hyperlink r:id="rId40" ref="O46"/>
    <hyperlink display="39" location="'39'!A1" ref="B47"/>
    <hyperlink r:id="rId41" ref="O47"/>
    <hyperlink display="33" location="'33'!A1" ref="B48"/>
    <hyperlink r:id="rId42" ref="O48"/>
    <hyperlink display="43" location="'43'!A1" ref="B49"/>
    <hyperlink r:id="rId43" ref="O49"/>
    <hyperlink display="44" location="'44'!A1" ref="B52"/>
    <hyperlink r:id="rId44" ref="O52"/>
    <hyperlink display="35" location="'35'!A1" ref="B56"/>
    <hyperlink r:id="rId45" ref="O56"/>
    <hyperlink display="42" location="'42'!A1" ref="B58"/>
    <hyperlink r:id="rId46" ref="O58"/>
    <hyperlink display="46" location="'46'!A1" ref="B64"/>
    <hyperlink r:id="rId47" ref="O64"/>
    <hyperlink display="41" location="'41'!A1" ref="B66"/>
    <hyperlink display="49" location="'49'!A1" ref="B68"/>
    <hyperlink r:id="rId48" ref="O68"/>
    <hyperlink display="50" location="'50'!A1" ref="B69"/>
    <hyperlink r:id="rId49" ref="O69"/>
    <hyperlink display="52" location="'52'!A1" ref="B70"/>
    <hyperlink r:id="rId50" ref="O70"/>
    <hyperlink display="51" location="'51'!A1" ref="B71"/>
    <hyperlink r:id="rId51" ref="O71"/>
    <hyperlink display="56" location="'56'!A1" ref="B72"/>
    <hyperlink r:id="rId52" ref="O72"/>
    <hyperlink display="54" location="'54'!A1" ref="B73"/>
    <hyperlink r:id="rId53" ref="O73"/>
    <hyperlink display="55" location="'55'!A1" ref="B76"/>
    <hyperlink r:id="rId54" ref="O76"/>
    <hyperlink display="53" location="'53'!A1" ref="B77"/>
    <hyperlink r:id="rId55" ref="O77"/>
    <hyperlink display="57" location="'57'!A1" ref="B84"/>
    <hyperlink r:id="rId56" ref="O84"/>
    <hyperlink display="58" location="'58'!A1" ref="B85"/>
    <hyperlink r:id="rId57" ref="O85"/>
    <hyperlink display="60" location="'60'!A1" ref="B86"/>
    <hyperlink r:id="rId58" ref="O86"/>
    <hyperlink display="59" location="'59'!A1" ref="B90"/>
    <hyperlink r:id="rId59" ref="O90"/>
    <hyperlink display="61" location="'61'!A1" ref="B92"/>
    <hyperlink r:id="rId60" ref="O92"/>
    <hyperlink display="62" location="'62'!A1" ref="B94"/>
    <hyperlink r:id="rId61" ref="O94"/>
    <hyperlink display="63" location="'63'!A1" ref="B98"/>
  </hyperlinks>
  <drawing r:id="rId62"/>
  <legacyDrawing r:id="rId6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2" width="12.63"/>
    <col customWidth="1" min="3" max="3" width="3.25"/>
    <col customWidth="1" min="4" max="4" width="9.5"/>
    <col customWidth="1" min="5" max="5" width="15.75"/>
    <col customWidth="1" min="6" max="6" width="9.5"/>
    <col customWidth="1" min="7" max="8" width="25.13"/>
    <col customWidth="1" min="9" max="12" width="15.75"/>
    <col customWidth="1" min="13" max="14" width="9.5"/>
    <col min="16" max="17" width="12.63" outlineLevel="1"/>
    <col customWidth="1" min="18" max="19" width="75.13" outlineLevel="1"/>
    <col customWidth="1" min="20" max="20" width="3.25"/>
  </cols>
  <sheetData>
    <row r="1" ht="18.75" customHeight="1">
      <c r="A1" s="64"/>
      <c r="B1" s="65"/>
      <c r="C1" s="64"/>
      <c r="D1" s="64"/>
      <c r="E1" s="64"/>
      <c r="F1" s="64"/>
      <c r="G1" s="66"/>
      <c r="H1" s="64"/>
      <c r="I1" s="66"/>
      <c r="J1" s="64"/>
      <c r="K1" s="64"/>
      <c r="L1" s="64"/>
      <c r="M1" s="66"/>
      <c r="N1" s="64"/>
      <c r="O1" s="64"/>
      <c r="P1" s="64"/>
      <c r="Q1" s="64"/>
      <c r="R1" s="64"/>
      <c r="S1" s="67"/>
      <c r="T1" s="68"/>
    </row>
    <row r="2" ht="18.75" customHeight="1">
      <c r="A2" s="68"/>
      <c r="B2" s="69"/>
      <c r="C2" s="68"/>
      <c r="D2" s="39" t="s">
        <v>442</v>
      </c>
      <c r="E2" s="40"/>
      <c r="F2" s="40"/>
      <c r="G2" s="39" t="s">
        <v>443</v>
      </c>
      <c r="H2" s="39"/>
      <c r="I2" s="39" t="s">
        <v>444</v>
      </c>
      <c r="J2" s="40"/>
      <c r="K2" s="40"/>
      <c r="L2" s="40"/>
      <c r="M2" s="39" t="s">
        <v>445</v>
      </c>
      <c r="N2" s="40"/>
      <c r="O2" s="40"/>
      <c r="P2" s="39" t="s">
        <v>446</v>
      </c>
      <c r="Q2" s="40"/>
      <c r="R2" s="40"/>
      <c r="S2" s="70"/>
      <c r="T2" s="68"/>
    </row>
    <row r="3" ht="18.75" customHeight="1">
      <c r="A3" s="68"/>
      <c r="B3" s="72" t="s">
        <v>447</v>
      </c>
      <c r="C3" s="68"/>
      <c r="D3" s="42" t="s">
        <v>448</v>
      </c>
      <c r="E3" s="42" t="s">
        <v>449</v>
      </c>
      <c r="F3" s="42" t="s">
        <v>450</v>
      </c>
      <c r="G3" s="73" t="str">
        <f t="array" ref="G3:H3">IF(Format="Solo","Player","Team")&amp;" "&amp;{1,2}</f>
        <v>Team 1</v>
      </c>
      <c r="H3" s="74" t="s">
        <v>451</v>
      </c>
      <c r="I3" s="43" t="s">
        <v>452</v>
      </c>
      <c r="J3" s="42" t="s">
        <v>453</v>
      </c>
      <c r="K3" s="42" t="s">
        <v>454</v>
      </c>
      <c r="L3" s="42" t="s">
        <v>455</v>
      </c>
      <c r="M3" s="73" t="str">
        <f t="array" ref="M3:N3">G3:H3</f>
        <v>Team 1</v>
      </c>
      <c r="N3" s="74" t="s">
        <v>451</v>
      </c>
      <c r="O3" s="42" t="s">
        <v>456</v>
      </c>
      <c r="P3" s="75" t="s">
        <v>457</v>
      </c>
      <c r="Q3" s="76" t="s">
        <v>458</v>
      </c>
      <c r="R3" s="75" t="s">
        <v>459</v>
      </c>
      <c r="S3" s="77" t="s">
        <v>460</v>
      </c>
      <c r="T3" s="68"/>
    </row>
    <row r="4" ht="18.75" customHeight="1">
      <c r="A4" s="68"/>
      <c r="B4" s="78">
        <v>1.0</v>
      </c>
      <c r="C4" s="68"/>
      <c r="D4" s="79">
        <v>1.0</v>
      </c>
      <c r="E4" s="80">
        <v>45156.0</v>
      </c>
      <c r="F4" s="81">
        <v>0.5833333333333334</v>
      </c>
      <c r="G4" s="27" t="str">
        <f>IFERROR(__xludf.DUMMYFUNCTION("IMPORTRANGE(""1OcmMKanhpJggZ2wC7WM2iuGUr_0D1ZyYK8JGx81NzUE"",""Ro32DE!F2:G96"")"),"small wiener club")</f>
        <v>small wiener club</v>
      </c>
      <c r="H4" s="27" t="str">
        <f>IFERROR(__xludf.DUMMYFUNCTION("""COMPUTED_VALUE"""),"lowrank is my love")</f>
        <v>lowrank is my love</v>
      </c>
      <c r="I4" s="82" t="s">
        <v>461</v>
      </c>
      <c r="J4" s="27"/>
      <c r="K4" s="27"/>
      <c r="L4" s="27"/>
      <c r="M4" s="194" t="str">
        <f t="array" ref="M4:O4">IFERROR(IF(D4="",,{INDIRECT("'"&amp;D4&amp;"'!C3"),INDIRECT("'"&amp;D4&amp;"'!E3"),INDIRECT("'"&amp;D4&amp;"'!I3")}),"")&amp;T(NOW())</f>
        <v>5</v>
      </c>
      <c r="N4" s="83" t="s">
        <v>467</v>
      </c>
      <c r="O4" s="84" t="s">
        <v>468</v>
      </c>
      <c r="P4" s="89" t="str">
        <f t="array" ref="P4:Q98">INDEX(IF(G4:H98="",,IFNA(VLOOKUP(G4:H98,TeamTimes!B3:D98,2,0),"")),0)</f>
        <v>UTC+2</v>
      </c>
      <c r="Q4" s="86" t="s">
        <v>469</v>
      </c>
      <c r="R4" s="90" t="str">
        <f t="array" ref="R4:S98">INDEX(IF(G4:H98="",,IFNA(VLOOKUP(G4:H98,TeamTimes!B3:D98,3,0),"")),0)</f>
        <v>12:00 UTC, 13:00 UTC, 14:00 UTC, 15:00 UTC, 16:00 UTC, 17:00 UTC, 18:00 UTC, 19:00 UTC</v>
      </c>
      <c r="S4" s="87" t="s">
        <v>471</v>
      </c>
      <c r="T4" s="68"/>
    </row>
    <row r="5" ht="18.75" customHeight="1">
      <c r="A5" s="68"/>
      <c r="B5" s="88">
        <v>2.0</v>
      </c>
      <c r="C5" s="68"/>
      <c r="D5" s="79">
        <v>2.0</v>
      </c>
      <c r="E5" s="80">
        <v>45157.0</v>
      </c>
      <c r="F5" s="81">
        <v>0.5</v>
      </c>
      <c r="G5" s="27" t="str">
        <f>IFERROR(__xludf.DUMMYFUNCTION("""COMPUTED_VALUE"""),"middle-schooler wife")</f>
        <v>middle-schooler wife</v>
      </c>
      <c r="H5" s="27" t="str">
        <f>IFERROR(__xludf.DUMMYFUNCTION("""COMPUTED_VALUE"""),"PLDT ANO NAAA")</f>
        <v>PLDT ANO NAAA</v>
      </c>
      <c r="I5" s="82" t="s">
        <v>484</v>
      </c>
      <c r="J5" s="27"/>
      <c r="K5" s="27"/>
      <c r="L5" s="27"/>
      <c r="M5" s="194" t="str">
        <f t="array" ref="M5:O5">IFERROR(IF(D5="",,{INDIRECT("'"&amp;D5&amp;"'!C3"),INDIRECT("'"&amp;D5&amp;"'!E3"),INDIRECT("'"&amp;D5&amp;"'!I3")}),"")&amp;T(NOW())</f>
        <v>5</v>
      </c>
      <c r="N5" s="83" t="s">
        <v>463</v>
      </c>
      <c r="O5" s="84" t="s">
        <v>485</v>
      </c>
      <c r="P5" s="89" t="s">
        <v>475</v>
      </c>
      <c r="Q5" s="86" t="s">
        <v>475</v>
      </c>
      <c r="R5" s="90" t="s">
        <v>486</v>
      </c>
      <c r="S5" s="87" t="s">
        <v>487</v>
      </c>
      <c r="T5" s="68"/>
    </row>
    <row r="6" ht="18.75" customHeight="1">
      <c r="A6" s="68"/>
      <c r="B6" s="88">
        <v>3.0</v>
      </c>
      <c r="C6" s="68"/>
      <c r="D6" s="79">
        <v>3.0</v>
      </c>
      <c r="E6" s="80">
        <v>45158.0</v>
      </c>
      <c r="F6" s="81">
        <v>0.875</v>
      </c>
      <c r="G6" s="27" t="str">
        <f>IFERROR(__xludf.DUMMYFUNCTION("""COMPUTED_VALUE"""),"The 3-star Threats")</f>
        <v>The 3-star Threats</v>
      </c>
      <c r="H6" s="27" t="str">
        <f>IFERROR(__xludf.DUMMYFUNCTION("""COMPUTED_VALUE"""),"The sleepers")</f>
        <v>The sleepers</v>
      </c>
      <c r="I6" s="82" t="s">
        <v>478</v>
      </c>
      <c r="J6" s="83"/>
      <c r="K6" s="83"/>
      <c r="L6" s="83"/>
      <c r="M6" s="194" t="str">
        <f t="array" ref="M6:O6">IFERROR(IF(D6="",,{INDIRECT("'"&amp;D6&amp;"'!C3"),INDIRECT("'"&amp;D6&amp;"'!E3"),INDIRECT("'"&amp;D6&amp;"'!I3")}),"")&amp;T(NOW())</f>
        <v>5</v>
      </c>
      <c r="N6" s="83" t="s">
        <v>463</v>
      </c>
      <c r="O6" s="84" t="s">
        <v>534</v>
      </c>
      <c r="P6" s="89" t="s">
        <v>503</v>
      </c>
      <c r="Q6" s="86" t="s">
        <v>465</v>
      </c>
      <c r="R6" s="90" t="s">
        <v>535</v>
      </c>
      <c r="S6" s="87" t="s">
        <v>536</v>
      </c>
      <c r="T6" s="68"/>
    </row>
    <row r="7" ht="18.75" customHeight="1">
      <c r="A7" s="68"/>
      <c r="B7" s="88">
        <v>4.0</v>
      </c>
      <c r="C7" s="68"/>
      <c r="D7" s="79">
        <v>4.0</v>
      </c>
      <c r="E7" s="80">
        <v>45156.0</v>
      </c>
      <c r="F7" s="81">
        <v>0.5416666666666666</v>
      </c>
      <c r="G7" s="27" t="str">
        <f>IFERROR(__xludf.DUMMYFUNCTION("""COMPUTED_VALUE"""),"placeholder teamname")</f>
        <v>placeholder teamname</v>
      </c>
      <c r="H7" s="27" t="str">
        <f>IFERROR(__xludf.DUMMYFUNCTION("""COMPUTED_VALUE"""),"Mewo My Waifu")</f>
        <v>Mewo My Waifu</v>
      </c>
      <c r="I7" s="82" t="s">
        <v>461</v>
      </c>
      <c r="J7" s="83"/>
      <c r="K7" s="83"/>
      <c r="L7" s="83"/>
      <c r="M7" s="194" t="str">
        <f t="array" ref="M7:O7">IFERROR(IF(D7="",,{INDIRECT("'"&amp;D7&amp;"'!C3"),INDIRECT("'"&amp;D7&amp;"'!E3"),INDIRECT("'"&amp;D7&amp;"'!I3")}),"")&amp;T(NOW())</f>
        <v>5</v>
      </c>
      <c r="N7" s="83" t="s">
        <v>463</v>
      </c>
      <c r="O7" s="84" t="s">
        <v>464</v>
      </c>
      <c r="P7" s="89" t="s">
        <v>475</v>
      </c>
      <c r="Q7" s="86" t="s">
        <v>465</v>
      </c>
      <c r="R7" s="90" t="s">
        <v>546</v>
      </c>
      <c r="S7" s="87" t="s">
        <v>466</v>
      </c>
      <c r="T7" s="68"/>
    </row>
    <row r="8" ht="18.75" customHeight="1">
      <c r="A8" s="68"/>
      <c r="B8" s="88">
        <v>5.0</v>
      </c>
      <c r="C8" s="68"/>
      <c r="D8" s="79">
        <v>5.0</v>
      </c>
      <c r="E8" s="80">
        <v>45158.0</v>
      </c>
      <c r="F8" s="81">
        <v>0.75</v>
      </c>
      <c r="G8" s="27" t="str">
        <f>IFERROR(__xludf.DUMMYFUNCTION("""COMPUTED_VALUE"""),"Homossexual Students")</f>
        <v>Homossexual Students</v>
      </c>
      <c r="H8" s="27" t="str">
        <f>IFERROR(__xludf.DUMMYFUNCTION("""COMPUTED_VALUE"""),"Better HD Abusers")</f>
        <v>Better HD Abusers</v>
      </c>
      <c r="I8" s="82" t="s">
        <v>478</v>
      </c>
      <c r="J8" s="83"/>
      <c r="K8" s="83"/>
      <c r="L8" s="83"/>
      <c r="M8" s="194" t="str">
        <f t="array" ref="M8:O8">IFERROR(IF(D8="",,{INDIRECT("'"&amp;D8&amp;"'!C3"),INDIRECT("'"&amp;D8&amp;"'!E3"),INDIRECT("'"&amp;D8&amp;"'!I3")}),"")&amp;T(NOW())</f>
        <v>5</v>
      </c>
      <c r="N8" s="83" t="s">
        <v>492</v>
      </c>
      <c r="O8" s="84" t="s">
        <v>526</v>
      </c>
      <c r="P8" s="89" t="s">
        <v>507</v>
      </c>
      <c r="Q8" s="86" t="s">
        <v>527</v>
      </c>
      <c r="R8" s="90" t="s">
        <v>528</v>
      </c>
      <c r="S8" s="87" t="s">
        <v>529</v>
      </c>
      <c r="T8" s="68"/>
    </row>
    <row r="9" ht="18.75" customHeight="1">
      <c r="A9" s="68"/>
      <c r="B9" s="88">
        <v>6.0</v>
      </c>
      <c r="C9" s="68"/>
      <c r="D9" s="79">
        <v>6.0</v>
      </c>
      <c r="E9" s="80">
        <v>45158.0</v>
      </c>
      <c r="F9" s="81">
        <v>0.041666666666666664</v>
      </c>
      <c r="G9" s="92" t="str">
        <f>IFERROR(__xludf.DUMMYFUNCTION("""COMPUTED_VALUE"""),"cake")</f>
        <v>cake</v>
      </c>
      <c r="H9" s="92" t="str">
        <f>IFERROR(__xludf.DUMMYFUNCTION("""COMPUTED_VALUE"""),"equipe câo")</f>
        <v>equipe câo</v>
      </c>
      <c r="I9" s="93" t="s">
        <v>461</v>
      </c>
      <c r="J9" s="94"/>
      <c r="K9" s="94"/>
      <c r="L9" s="83"/>
      <c r="M9" s="194" t="str">
        <f t="array" ref="M9:O9">IFERROR(IF(D9="",,{INDIRECT("'"&amp;D9&amp;"'!C3"),INDIRECT("'"&amp;D9&amp;"'!E3"),INDIRECT("'"&amp;D9&amp;"'!I3")}),"")&amp;T(NOW())</f>
        <v>5</v>
      </c>
      <c r="N9" s="83" t="s">
        <v>463</v>
      </c>
      <c r="O9" s="84" t="s">
        <v>505</v>
      </c>
      <c r="P9" s="89" t="s">
        <v>506</v>
      </c>
      <c r="Q9" s="86" t="s">
        <v>507</v>
      </c>
      <c r="R9" s="90" t="s">
        <v>508</v>
      </c>
      <c r="S9" s="87" t="s">
        <v>509</v>
      </c>
      <c r="T9" s="68"/>
    </row>
    <row r="10" ht="18.75" customHeight="1">
      <c r="A10" s="68"/>
      <c r="B10" s="88">
        <v>7.0</v>
      </c>
      <c r="C10" s="68"/>
      <c r="D10" s="79">
        <v>7.0</v>
      </c>
      <c r="E10" s="80">
        <v>45157.0</v>
      </c>
      <c r="F10" s="81">
        <v>0.5416666666666666</v>
      </c>
      <c r="G10" s="92" t="str">
        <f>IFERROR(__xludf.DUMMYFUNCTION("""COMPUTED_VALUE"""),"female ass wrestling")</f>
        <v>female ass wrestling</v>
      </c>
      <c r="H10" s="92" t="str">
        <f>IFERROR(__xludf.DUMMYFUNCTION("""COMPUTED_VALUE"""),"BOCCHER")</f>
        <v>BOCCHER</v>
      </c>
      <c r="I10" s="93" t="s">
        <v>488</v>
      </c>
      <c r="J10" s="94"/>
      <c r="K10" s="94"/>
      <c r="L10" s="83"/>
      <c r="M10" s="194" t="str">
        <f t="array" ref="M10:O10">IFERROR(IF(D10="",,{INDIRECT("'"&amp;D10&amp;"'!C3"),INDIRECT("'"&amp;D10&amp;"'!E3"),INDIRECT("'"&amp;D10&amp;"'!I3")}),"")&amp;T(NOW())</f>
        <v>5</v>
      </c>
      <c r="N10" s="83" t="s">
        <v>463</v>
      </c>
      <c r="O10" s="84" t="s">
        <v>489</v>
      </c>
      <c r="P10" s="89" t="s">
        <v>465</v>
      </c>
      <c r="Q10" s="86" t="s">
        <v>465</v>
      </c>
      <c r="R10" s="90" t="s">
        <v>490</v>
      </c>
      <c r="S10" s="87" t="s">
        <v>491</v>
      </c>
      <c r="T10" s="68"/>
    </row>
    <row r="11" ht="18.75" customHeight="1">
      <c r="A11" s="68"/>
      <c r="B11" s="88">
        <v>8.0</v>
      </c>
      <c r="C11" s="68"/>
      <c r="D11" s="79">
        <v>8.0</v>
      </c>
      <c r="E11" s="80">
        <v>45157.0</v>
      </c>
      <c r="F11" s="81">
        <v>0.5833333333333334</v>
      </c>
      <c r="G11" s="92" t="str">
        <f>IFERROR(__xludf.DUMMYFUNCTION("""COMPUTED_VALUE"""),"Sightread Buff")</f>
        <v>Sightread Buff</v>
      </c>
      <c r="H11" s="92" t="str">
        <f>IFERROR(__xludf.DUMMYFUNCTION("""COMPUTED_VALUE"""),"VN+1")</f>
        <v>VN+1</v>
      </c>
      <c r="I11" s="93" t="s">
        <v>484</v>
      </c>
      <c r="J11" s="94"/>
      <c r="K11" s="94"/>
      <c r="L11" s="83"/>
      <c r="M11" s="194" t="str">
        <f t="array" ref="M11:O11">IFERROR(IF(D11="",,{INDIRECT("'"&amp;D11&amp;"'!C3"),INDIRECT("'"&amp;D11&amp;"'!E3"),INDIRECT("'"&amp;D11&amp;"'!I3")}),"")&amp;T(NOW())</f>
        <v>2</v>
      </c>
      <c r="N11" s="83" t="s">
        <v>462</v>
      </c>
      <c r="O11" s="84" t="s">
        <v>493</v>
      </c>
      <c r="P11" s="89" t="s">
        <v>494</v>
      </c>
      <c r="Q11" s="86" t="s">
        <v>474</v>
      </c>
      <c r="R11" s="90" t="s">
        <v>495</v>
      </c>
      <c r="S11" s="87" t="s">
        <v>496</v>
      </c>
      <c r="T11" s="68"/>
    </row>
    <row r="12" ht="18.75" customHeight="1">
      <c r="A12" s="68"/>
      <c r="B12" s="88">
        <v>9.0</v>
      </c>
      <c r="C12" s="68"/>
      <c r="D12" s="79">
        <v>9.0</v>
      </c>
      <c r="E12" s="80">
        <v>45158.0</v>
      </c>
      <c r="F12" s="81">
        <v>0.125</v>
      </c>
      <c r="G12" s="92" t="str">
        <f>IFERROR(__xludf.DUMMYFUNCTION("""COMPUTED_VALUE"""),":MIPINGA:")</f>
        <v>:MIPINGA:</v>
      </c>
      <c r="H12" s="92" t="str">
        <f>IFERROR(__xludf.DUMMYFUNCTION("""COMPUTED_VALUE"""),"Beancurd")</f>
        <v>Beancurd</v>
      </c>
      <c r="I12" s="93" t="s">
        <v>516</v>
      </c>
      <c r="J12" s="94"/>
      <c r="K12" s="94"/>
      <c r="L12" s="83"/>
      <c r="M12" s="194" t="str">
        <f t="array" ref="M12:O12">IFERROR(IF(D12="",,{INDIRECT("'"&amp;D12&amp;"'!C3"),INDIRECT("'"&amp;D12&amp;"'!E3"),INDIRECT("'"&amp;D12&amp;"'!I3")}),"")&amp;T(NOW())</f>
        <v>5</v>
      </c>
      <c r="N12" s="83" t="s">
        <v>467</v>
      </c>
      <c r="O12" s="84" t="s">
        <v>517</v>
      </c>
      <c r="P12" s="89" t="s">
        <v>518</v>
      </c>
      <c r="Q12" s="86" t="s">
        <v>519</v>
      </c>
      <c r="R12" s="90" t="s">
        <v>520</v>
      </c>
      <c r="S12" s="87" t="s">
        <v>521</v>
      </c>
      <c r="T12" s="68"/>
    </row>
    <row r="13" ht="18.75" customHeight="1">
      <c r="A13" s="68"/>
      <c r="B13" s="88">
        <v>10.0</v>
      </c>
      <c r="C13" s="68"/>
      <c r="D13" s="79">
        <v>10.0</v>
      </c>
      <c r="E13" s="80">
        <v>45157.0</v>
      </c>
      <c r="F13" s="81">
        <v>0.625</v>
      </c>
      <c r="G13" s="92" t="str">
        <f>IFERROR(__xludf.DUMMYFUNCTION("""COMPUTED_VALUE"""),"Dino Nuggies")</f>
        <v>Dino Nuggies</v>
      </c>
      <c r="H13" s="92" t="str">
        <f>IFERROR(__xludf.DUMMYFUNCTION("""COMPUTED_VALUE"""),"Chocomaid")</f>
        <v>Chocomaid</v>
      </c>
      <c r="I13" s="93" t="s">
        <v>501</v>
      </c>
      <c r="J13" s="94"/>
      <c r="K13" s="94"/>
      <c r="L13" s="83"/>
      <c r="M13" s="194" t="str">
        <f t="array" ref="M13:O13">IFERROR(IF(D13="",,{INDIRECT("'"&amp;D13&amp;"'!C3"),INDIRECT("'"&amp;D13&amp;"'!E3"),INDIRECT("'"&amp;D13&amp;"'!I3")}),"")&amp;T(NOW())</f>
        <v>1</v>
      </c>
      <c r="N13" s="83" t="s">
        <v>462</v>
      </c>
      <c r="O13" s="84" t="s">
        <v>502</v>
      </c>
      <c r="P13" s="89" t="s">
        <v>503</v>
      </c>
      <c r="Q13" s="86" t="s">
        <v>475</v>
      </c>
      <c r="R13" s="90" t="s">
        <v>483</v>
      </c>
      <c r="S13" s="87" t="s">
        <v>504</v>
      </c>
      <c r="T13" s="68"/>
    </row>
    <row r="14" ht="18.75" customHeight="1">
      <c r="A14" s="68"/>
      <c r="B14" s="88">
        <v>11.0</v>
      </c>
      <c r="C14" s="68"/>
      <c r="D14" s="79">
        <v>11.0</v>
      </c>
      <c r="E14" s="80">
        <v>45158.0</v>
      </c>
      <c r="F14" s="81">
        <v>0.625</v>
      </c>
      <c r="G14" s="92" t="str">
        <f>IFERROR(__xludf.DUMMYFUNCTION("""COMPUTED_VALUE"""),"The Mat Munchers")</f>
        <v>The Mat Munchers</v>
      </c>
      <c r="H14" s="92" t="str">
        <f>IFERROR(__xludf.DUMMYFUNCTION("""COMPUTED_VALUE"""),"Team name pending xd")</f>
        <v>Team name pending xd</v>
      </c>
      <c r="I14" s="93" t="s">
        <v>461</v>
      </c>
      <c r="J14" s="94"/>
      <c r="K14" s="94"/>
      <c r="L14" s="83"/>
      <c r="M14" s="194" t="str">
        <f t="array" ref="M14:O14">IFERROR(IF(D14="",,{INDIRECT("'"&amp;D14&amp;"'!C3"),INDIRECT("'"&amp;D14&amp;"'!E3"),INDIRECT("'"&amp;D14&amp;"'!I3")}),"")&amp;T(NOW())</f>
        <v>0</v>
      </c>
      <c r="N14" s="83" t="s">
        <v>462</v>
      </c>
      <c r="O14" s="84" t="s">
        <v>522</v>
      </c>
      <c r="P14" s="89" t="s">
        <v>523</v>
      </c>
      <c r="Q14" s="86" t="s">
        <v>475</v>
      </c>
      <c r="R14" s="90" t="s">
        <v>524</v>
      </c>
      <c r="S14" s="87" t="s">
        <v>525</v>
      </c>
      <c r="T14" s="68"/>
    </row>
    <row r="15" ht="18.75" customHeight="1">
      <c r="A15" s="68"/>
      <c r="B15" s="88">
        <v>12.0</v>
      </c>
      <c r="C15" s="68"/>
      <c r="D15" s="79">
        <v>12.0</v>
      </c>
      <c r="E15" s="80">
        <v>45156.0</v>
      </c>
      <c r="F15" s="81">
        <v>0.5833333333333334</v>
      </c>
      <c r="G15" s="92" t="str">
        <f>IFERROR(__xludf.DUMMYFUNCTION("""COMPUTED_VALUE"""),"Ghost the Angel")</f>
        <v>Ghost the Angel</v>
      </c>
      <c r="H15" s="92" t="str">
        <f>IFERROR(__xludf.DUMMYFUNCTION("""COMPUTED_VALUE"""),"PES E9L9")</f>
        <v>PES E9L9</v>
      </c>
      <c r="I15" s="82" t="s">
        <v>461</v>
      </c>
      <c r="J15" s="94"/>
      <c r="K15" s="94"/>
      <c r="L15" s="83"/>
      <c r="M15" s="194" t="str">
        <f t="array" ref="M15:O15">IFERROR(IF(D15="",,{INDIRECT("'"&amp;D15&amp;"'!C3"),INDIRECT("'"&amp;D15&amp;"'!E3"),INDIRECT("'"&amp;D15&amp;"'!I3")}),"")&amp;T(NOW())</f>
        <v>5</v>
      </c>
      <c r="N15" s="83" t="s">
        <v>472</v>
      </c>
      <c r="O15" s="84" t="s">
        <v>473</v>
      </c>
      <c r="P15" s="89" t="s">
        <v>474</v>
      </c>
      <c r="Q15" s="86" t="s">
        <v>475</v>
      </c>
      <c r="R15" s="90" t="s">
        <v>476</v>
      </c>
      <c r="S15" s="87" t="s">
        <v>477</v>
      </c>
      <c r="T15" s="68"/>
    </row>
    <row r="16" ht="18.75" customHeight="1">
      <c r="A16" s="68"/>
      <c r="B16" s="88">
        <v>13.0</v>
      </c>
      <c r="C16" s="68"/>
      <c r="D16" s="79">
        <v>13.0</v>
      </c>
      <c r="E16" s="80">
        <v>45158.0</v>
      </c>
      <c r="F16" s="81">
        <v>0.08333333333333333</v>
      </c>
      <c r="G16" s="92" t="str">
        <f>IFERROR(__xludf.DUMMYFUNCTION("""COMPUTED_VALUE"""),"foxy1919191919's basement")</f>
        <v>foxy1919191919's basement</v>
      </c>
      <c r="H16" s="92" t="str">
        <f>IFERROR(__xludf.DUMMYFUNCTION("""COMPUTED_VALUE"""),"Here Forever")</f>
        <v>Here Forever</v>
      </c>
      <c r="I16" s="93" t="s">
        <v>510</v>
      </c>
      <c r="J16" s="94"/>
      <c r="K16" s="94"/>
      <c r="L16" s="83"/>
      <c r="M16" s="194" t="str">
        <f t="array" ref="M16:O16">IFERROR(IF(D16="",,{INDIRECT("'"&amp;D16&amp;"'!C3"),INDIRECT("'"&amp;D16&amp;"'!E3"),INDIRECT("'"&amp;D16&amp;"'!I3")}),"")&amp;T(NOW())</f>
        <v>5</v>
      </c>
      <c r="N16" s="83" t="s">
        <v>463</v>
      </c>
      <c r="O16" s="84" t="s">
        <v>511</v>
      </c>
      <c r="P16" s="89" t="s">
        <v>512</v>
      </c>
      <c r="Q16" s="86" t="s">
        <v>513</v>
      </c>
      <c r="R16" s="90" t="s">
        <v>514</v>
      </c>
      <c r="S16" s="87" t="s">
        <v>515</v>
      </c>
      <c r="T16" s="68"/>
    </row>
    <row r="17" ht="18.75" customHeight="1">
      <c r="A17" s="68"/>
      <c r="B17" s="88">
        <v>14.0</v>
      </c>
      <c r="C17" s="68"/>
      <c r="D17" s="79">
        <v>14.0</v>
      </c>
      <c r="E17" s="80">
        <v>45157.0</v>
      </c>
      <c r="F17" s="81">
        <v>0.5833333333333334</v>
      </c>
      <c r="G17" s="92" t="str">
        <f>IFERROR(__xludf.DUMMYFUNCTION("""COMPUTED_VALUE"""),"match in 15")</f>
        <v>match in 15</v>
      </c>
      <c r="H17" s="92" t="str">
        <f>IFERROR(__xludf.DUMMYFUNCTION("""COMPUTED_VALUE"""),"3000CombinedHours")</f>
        <v>3000CombinedHours</v>
      </c>
      <c r="I17" s="93" t="s">
        <v>484</v>
      </c>
      <c r="J17" s="94"/>
      <c r="K17" s="94"/>
      <c r="L17" s="83"/>
      <c r="M17" s="194" t="str">
        <f t="array" ref="M17:O17">IFERROR(IF(D17="",,{INDIRECT("'"&amp;D17&amp;"'!C3"),INDIRECT("'"&amp;D17&amp;"'!E3"),INDIRECT("'"&amp;D17&amp;"'!I3")}),"")&amp;T(NOW())</f>
        <v>5</v>
      </c>
      <c r="N17" s="83" t="s">
        <v>492</v>
      </c>
      <c r="O17" s="84" t="s">
        <v>497</v>
      </c>
      <c r="P17" s="89" t="s">
        <v>475</v>
      </c>
      <c r="Q17" s="86" t="s">
        <v>498</v>
      </c>
      <c r="R17" s="90" t="s">
        <v>499</v>
      </c>
      <c r="S17" s="87" t="s">
        <v>500</v>
      </c>
      <c r="T17" s="68"/>
    </row>
    <row r="18" ht="18.75" customHeight="1">
      <c r="A18" s="68"/>
      <c r="B18" s="88">
        <v>15.0</v>
      </c>
      <c r="C18" s="68"/>
      <c r="D18" s="79">
        <v>15.0</v>
      </c>
      <c r="E18" s="80">
        <v>45157.0</v>
      </c>
      <c r="F18" s="81">
        <v>0.25</v>
      </c>
      <c r="G18" s="92" t="str">
        <f>IFERROR(__xludf.DUMMYFUNCTION("""COMPUTED_VALUE"""),"Tom and Jerry")</f>
        <v>Tom and Jerry</v>
      </c>
      <c r="H18" s="92" t="str">
        <f>IFERROR(__xludf.DUMMYFUNCTION("""COMPUTED_VALUE"""),"Lovers + 3rd wheel")</f>
        <v>Lovers + 3rd wheel</v>
      </c>
      <c r="I18" s="93" t="s">
        <v>478</v>
      </c>
      <c r="J18" s="94"/>
      <c r="K18" s="94"/>
      <c r="L18" s="83"/>
      <c r="M18" s="194" t="str">
        <f t="array" ref="M18:O18">IFERROR(IF(D18="",,{INDIRECT("'"&amp;D18&amp;"'!C3"),INDIRECT("'"&amp;D18&amp;"'!E3"),INDIRECT("'"&amp;D18&amp;"'!I3")}),"")&amp;T(NOW())</f>
        <v>5</v>
      </c>
      <c r="N18" s="83" t="s">
        <v>479</v>
      </c>
      <c r="O18" s="84" t="s">
        <v>480</v>
      </c>
      <c r="P18" s="89" t="s">
        <v>474</v>
      </c>
      <c r="Q18" s="86" t="s">
        <v>481</v>
      </c>
      <c r="R18" s="90" t="s">
        <v>482</v>
      </c>
      <c r="S18" s="87" t="s">
        <v>483</v>
      </c>
      <c r="T18" s="68"/>
    </row>
    <row r="19" ht="18.75" customHeight="1">
      <c r="A19" s="68"/>
      <c r="B19" s="88">
        <v>16.0</v>
      </c>
      <c r="C19" s="68"/>
      <c r="D19" s="95">
        <v>16.0</v>
      </c>
      <c r="E19" s="96">
        <v>45158.0</v>
      </c>
      <c r="F19" s="97">
        <v>0.8125</v>
      </c>
      <c r="G19" s="98" t="str">
        <f>IFERROR(__xludf.DUMMYFUNCTION("""COMPUTED_VALUE"""),"Faz o L")</f>
        <v>Faz o L</v>
      </c>
      <c r="H19" s="98" t="str">
        <f>IFERROR(__xludf.DUMMYFUNCTION("""COMPUTED_VALUE"""),"Kittens")</f>
        <v>Kittens</v>
      </c>
      <c r="I19" s="157" t="s">
        <v>530</v>
      </c>
      <c r="J19" s="100"/>
      <c r="K19" s="100"/>
      <c r="L19" s="101"/>
      <c r="M19" s="195" t="str">
        <f t="array" ref="M19:O19">IFERROR(IF(D19="",,{INDIRECT("'"&amp;D19&amp;"'!C3"),INDIRECT("'"&amp;D19&amp;"'!E3"),INDIRECT("'"&amp;D19&amp;"'!I3")}),"")&amp;T(NOW())</f>
        <v>3</v>
      </c>
      <c r="N19" s="101" t="s">
        <v>462</v>
      </c>
      <c r="O19" s="102" t="s">
        <v>531</v>
      </c>
      <c r="P19" s="103" t="s">
        <v>532</v>
      </c>
      <c r="Q19" s="104" t="s">
        <v>465</v>
      </c>
      <c r="R19" s="105" t="s">
        <v>524</v>
      </c>
      <c r="S19" s="87" t="s">
        <v>533</v>
      </c>
      <c r="T19" s="68"/>
    </row>
    <row r="20" ht="18.75" customHeight="1">
      <c r="A20" s="106"/>
      <c r="B20" s="107">
        <v>17.0</v>
      </c>
      <c r="C20" s="106"/>
      <c r="D20" s="108">
        <v>17.0</v>
      </c>
      <c r="E20" s="80">
        <v>45166.0</v>
      </c>
      <c r="F20" s="81">
        <v>0.5416666666666666</v>
      </c>
      <c r="G20" s="110" t="str">
        <f>IFERROR(__xludf.DUMMYFUNCTION("""COMPUTED_VALUE"""),"lowrank is my love")</f>
        <v>lowrank is my love</v>
      </c>
      <c r="H20" s="110" t="str">
        <f>IFERROR(__xludf.DUMMYFUNCTION("""COMPUTED_VALUE"""),"PLDT ANO NAAA")</f>
        <v>PLDT ANO NAAA</v>
      </c>
      <c r="I20" s="196" t="s">
        <v>537</v>
      </c>
      <c r="J20" s="110"/>
      <c r="K20" s="110"/>
      <c r="L20" s="112"/>
      <c r="M20" s="197" t="str">
        <f t="array" ref="M20:O20">IFERROR(IF(D20="",,{INDIRECT("'"&amp;D20&amp;"'!C3"),INDIRECT("'"&amp;D20&amp;"'!E3"),INDIRECT("'"&amp;D20&amp;"'!I3")}),"")&amp;T(NOW())</f>
        <v>1</v>
      </c>
      <c r="N20" s="112" t="s">
        <v>462</v>
      </c>
      <c r="O20" s="113" t="s">
        <v>558</v>
      </c>
      <c r="P20" s="114" t="s">
        <v>469</v>
      </c>
      <c r="Q20" s="115" t="s">
        <v>475</v>
      </c>
      <c r="R20" s="90" t="s">
        <v>471</v>
      </c>
      <c r="S20" s="90" t="s">
        <v>487</v>
      </c>
      <c r="T20" s="106"/>
    </row>
    <row r="21" ht="18.75" customHeight="1">
      <c r="A21" s="68"/>
      <c r="B21" s="88">
        <v>18.0</v>
      </c>
      <c r="C21" s="68"/>
      <c r="D21" s="79">
        <v>18.0</v>
      </c>
      <c r="E21" s="80">
        <v>45164.0</v>
      </c>
      <c r="F21" s="81">
        <v>0.75</v>
      </c>
      <c r="G21" s="94" t="str">
        <f>IFERROR(__xludf.DUMMYFUNCTION("""COMPUTED_VALUE"""),"The sleepers")</f>
        <v>The sleepers</v>
      </c>
      <c r="H21" s="94" t="str">
        <f>IFERROR(__xludf.DUMMYFUNCTION("""COMPUTED_VALUE"""),"Mewo My Waifu")</f>
        <v>Mewo My Waifu</v>
      </c>
      <c r="I21" s="93" t="s">
        <v>516</v>
      </c>
      <c r="J21" s="94"/>
      <c r="K21" s="94"/>
      <c r="L21" s="83"/>
      <c r="M21" s="194" t="str">
        <f t="array" ref="M21:O21">IFERROR(IF(D21="",,{INDIRECT("'"&amp;D21&amp;"'!C3"),INDIRECT("'"&amp;D21&amp;"'!E3"),INDIRECT("'"&amp;D21&amp;"'!I3")}),"")&amp;T(NOW())</f>
        <v>5</v>
      </c>
      <c r="N21" s="83" t="s">
        <v>492</v>
      </c>
      <c r="O21" s="84" t="s">
        <v>548</v>
      </c>
      <c r="P21" s="89" t="s">
        <v>465</v>
      </c>
      <c r="Q21" s="86" t="s">
        <v>465</v>
      </c>
      <c r="R21" s="90" t="s">
        <v>536</v>
      </c>
      <c r="S21" s="87" t="s">
        <v>466</v>
      </c>
      <c r="T21" s="68"/>
    </row>
    <row r="22" ht="18.75" customHeight="1">
      <c r="A22" s="68"/>
      <c r="B22" s="88">
        <v>19.0</v>
      </c>
      <c r="C22" s="68"/>
      <c r="D22" s="79">
        <v>19.0</v>
      </c>
      <c r="E22" s="80">
        <v>45165.0</v>
      </c>
      <c r="F22" s="81">
        <v>0.5416666666666666</v>
      </c>
      <c r="G22" s="94" t="str">
        <f>IFERROR(__xludf.DUMMYFUNCTION("""COMPUTED_VALUE"""),"Better HD Abusers")</f>
        <v>Better HD Abusers</v>
      </c>
      <c r="H22" s="94" t="str">
        <f>IFERROR(__xludf.DUMMYFUNCTION("""COMPUTED_VALUE"""),"equipe câo")</f>
        <v>equipe câo</v>
      </c>
      <c r="I22" s="93" t="s">
        <v>541</v>
      </c>
      <c r="J22" s="94"/>
      <c r="K22" s="94"/>
      <c r="L22" s="83"/>
      <c r="M22" s="194" t="str">
        <f t="array" ref="M22:O22">IFERROR(IF(D22="",,{INDIRECT("'"&amp;D22&amp;"'!C3"),INDIRECT("'"&amp;D22&amp;"'!E3"),INDIRECT("'"&amp;D22&amp;"'!I3")}),"")&amp;T(NOW())</f>
        <v>0</v>
      </c>
      <c r="N22" s="83" t="s">
        <v>462</v>
      </c>
      <c r="O22" s="84" t="s">
        <v>552</v>
      </c>
      <c r="P22" s="89" t="s">
        <v>527</v>
      </c>
      <c r="Q22" s="86" t="s">
        <v>507</v>
      </c>
      <c r="R22" s="90" t="s">
        <v>529</v>
      </c>
      <c r="S22" s="87" t="s">
        <v>509</v>
      </c>
      <c r="T22" s="68"/>
    </row>
    <row r="23" ht="18.75" customHeight="1">
      <c r="A23" s="68"/>
      <c r="B23" s="88">
        <v>20.0</v>
      </c>
      <c r="C23" s="68"/>
      <c r="D23" s="79">
        <v>20.0</v>
      </c>
      <c r="E23" s="80">
        <v>45165.0</v>
      </c>
      <c r="F23" s="81">
        <v>0.75</v>
      </c>
      <c r="G23" s="94" t="str">
        <f>IFERROR(__xludf.DUMMYFUNCTION("""COMPUTED_VALUE"""),"BOCCHER")</f>
        <v>BOCCHER</v>
      </c>
      <c r="H23" s="94" t="str">
        <f>IFERROR(__xludf.DUMMYFUNCTION("""COMPUTED_VALUE"""),"Sightread Buff")</f>
        <v>Sightread Buff</v>
      </c>
      <c r="I23" s="93" t="s">
        <v>556</v>
      </c>
      <c r="J23" s="94"/>
      <c r="K23" s="94"/>
      <c r="L23" s="83"/>
      <c r="M23" s="194" t="str">
        <f t="array" ref="M23:O23">IFERROR(IF(D23="",,{INDIRECT("'"&amp;D23&amp;"'!C3"),INDIRECT("'"&amp;D23&amp;"'!E3"),INDIRECT("'"&amp;D23&amp;"'!I3")}),"")&amp;T(NOW())</f>
        <v>1</v>
      </c>
      <c r="N23" s="83" t="s">
        <v>462</v>
      </c>
      <c r="O23" s="84" t="s">
        <v>557</v>
      </c>
      <c r="P23" s="89" t="s">
        <v>465</v>
      </c>
      <c r="Q23" s="86" t="s">
        <v>494</v>
      </c>
      <c r="R23" s="90" t="s">
        <v>491</v>
      </c>
      <c r="S23" s="87" t="s">
        <v>495</v>
      </c>
      <c r="T23" s="68"/>
    </row>
    <row r="24" ht="18.75" customHeight="1">
      <c r="A24" s="68"/>
      <c r="B24" s="88">
        <v>21.0</v>
      </c>
      <c r="C24" s="68"/>
      <c r="D24" s="79">
        <v>21.0</v>
      </c>
      <c r="E24" s="80">
        <v>45164.0</v>
      </c>
      <c r="F24" s="81">
        <v>0.625</v>
      </c>
      <c r="G24" s="94" t="str">
        <f>IFERROR(__xludf.DUMMYFUNCTION("""COMPUTED_VALUE"""),"Beancurd")</f>
        <v>Beancurd</v>
      </c>
      <c r="H24" s="94" t="str">
        <f>IFERROR(__xludf.DUMMYFUNCTION("""COMPUTED_VALUE"""),"Dino Nuggies")</f>
        <v>Dino Nuggies</v>
      </c>
      <c r="I24" s="93" t="s">
        <v>541</v>
      </c>
      <c r="J24" s="94"/>
      <c r="K24" s="94"/>
      <c r="L24" s="83"/>
      <c r="M24" s="194" t="str">
        <f t="array" ref="M24:O24">IFERROR(IF(D24="",,{INDIRECT("'"&amp;D24&amp;"'!C3"),INDIRECT("'"&amp;D24&amp;"'!E3"),INDIRECT("'"&amp;D24&amp;"'!I3")}),"")&amp;T(NOW())</f>
        <v>2</v>
      </c>
      <c r="N24" s="83" t="s">
        <v>462</v>
      </c>
      <c r="O24" s="84" t="s">
        <v>544</v>
      </c>
      <c r="P24" s="89" t="s">
        <v>519</v>
      </c>
      <c r="Q24" s="86" t="s">
        <v>503</v>
      </c>
      <c r="R24" s="90" t="s">
        <v>521</v>
      </c>
      <c r="S24" s="87" t="s">
        <v>483</v>
      </c>
      <c r="T24" s="68"/>
    </row>
    <row r="25" ht="18.75" customHeight="1">
      <c r="A25" s="68"/>
      <c r="B25" s="88">
        <v>22.0</v>
      </c>
      <c r="C25" s="68"/>
      <c r="D25" s="79">
        <v>22.0</v>
      </c>
      <c r="E25" s="80">
        <v>45164.0</v>
      </c>
      <c r="F25" s="81">
        <v>0.5833333333333334</v>
      </c>
      <c r="G25" s="94" t="str">
        <f>IFERROR(__xludf.DUMMYFUNCTION("""COMPUTED_VALUE"""),"The Mat Munchers")</f>
        <v>The Mat Munchers</v>
      </c>
      <c r="H25" s="94" t="str">
        <f>IFERROR(__xludf.DUMMYFUNCTION("""COMPUTED_VALUE"""),"PES E9L9")</f>
        <v>PES E9L9</v>
      </c>
      <c r="I25" s="93" t="s">
        <v>541</v>
      </c>
      <c r="J25" s="94"/>
      <c r="K25" s="94"/>
      <c r="L25" s="83"/>
      <c r="M25" s="194" t="str">
        <f t="array" ref="M25:O25">IFERROR(IF(D25="",,{INDIRECT("'"&amp;D25&amp;"'!C3"),INDIRECT("'"&amp;D25&amp;"'!E3"),INDIRECT("'"&amp;D25&amp;"'!I3")}),"")&amp;T(NOW())</f>
        <v>2</v>
      </c>
      <c r="N25" s="83" t="s">
        <v>462</v>
      </c>
      <c r="O25" s="84" t="s">
        <v>542</v>
      </c>
      <c r="P25" s="89" t="s">
        <v>523</v>
      </c>
      <c r="Q25" s="86" t="s">
        <v>475</v>
      </c>
      <c r="R25" s="90" t="s">
        <v>524</v>
      </c>
      <c r="S25" s="87" t="s">
        <v>477</v>
      </c>
      <c r="T25" s="68"/>
    </row>
    <row r="26" ht="18.75" customHeight="1">
      <c r="A26" s="68"/>
      <c r="B26" s="88">
        <v>23.0</v>
      </c>
      <c r="C26" s="68"/>
      <c r="D26" s="79">
        <v>23.0</v>
      </c>
      <c r="E26" s="80">
        <v>45164.0</v>
      </c>
      <c r="F26" s="81">
        <v>0.7083333333333334</v>
      </c>
      <c r="G26" s="94" t="str">
        <f>IFERROR(__xludf.DUMMYFUNCTION("""COMPUTED_VALUE"""),"Here Forever")</f>
        <v>Here Forever</v>
      </c>
      <c r="H26" s="94" t="str">
        <f>IFERROR(__xludf.DUMMYFUNCTION("""COMPUTED_VALUE"""),"3000CombinedHours")</f>
        <v>3000CombinedHours</v>
      </c>
      <c r="I26" s="93" t="s">
        <v>516</v>
      </c>
      <c r="J26" s="94"/>
      <c r="K26" s="94"/>
      <c r="L26" s="83"/>
      <c r="M26" s="194" t="str">
        <f t="array" ref="M26:O26">IFERROR(IF(D26="",,{INDIRECT("'"&amp;D26&amp;"'!C3"),INDIRECT("'"&amp;D26&amp;"'!E3"),INDIRECT("'"&amp;D26&amp;"'!I3")}),"")&amp;T(NOW())</f>
        <v>5</v>
      </c>
      <c r="N26" s="83" t="s">
        <v>467</v>
      </c>
      <c r="O26" s="84" t="s">
        <v>547</v>
      </c>
      <c r="P26" s="89" t="s">
        <v>513</v>
      </c>
      <c r="Q26" s="86" t="s">
        <v>498</v>
      </c>
      <c r="R26" s="90" t="s">
        <v>515</v>
      </c>
      <c r="S26" s="87" t="s">
        <v>500</v>
      </c>
      <c r="T26" s="68"/>
    </row>
    <row r="27" ht="18.75" customHeight="1">
      <c r="A27" s="119"/>
      <c r="B27" s="120">
        <v>24.0</v>
      </c>
      <c r="C27" s="119"/>
      <c r="D27" s="121">
        <v>24.0</v>
      </c>
      <c r="E27" s="198">
        <v>45165.0</v>
      </c>
      <c r="F27" s="81">
        <v>0.16666666666666666</v>
      </c>
      <c r="G27" s="123" t="str">
        <f>IFERROR(__xludf.DUMMYFUNCTION("""COMPUTED_VALUE"""),"Lovers + 3rd wheel")</f>
        <v>Lovers + 3rd wheel</v>
      </c>
      <c r="H27" s="123" t="str">
        <f>IFERROR(__xludf.DUMMYFUNCTION("""COMPUTED_VALUE"""),"Faz o L")</f>
        <v>Faz o L</v>
      </c>
      <c r="I27" s="180"/>
      <c r="J27" s="123"/>
      <c r="K27" s="123"/>
      <c r="L27" s="125"/>
      <c r="M27" s="199" t="str">
        <f t="array" ref="M27:O27">IFERROR(IF(D27="",,{INDIRECT("'"&amp;D27&amp;"'!C3"),INDIRECT("'"&amp;D27&amp;"'!E3"),INDIRECT("'"&amp;D27&amp;"'!I3")}),"")&amp;T(NOW())</f>
        <v>2</v>
      </c>
      <c r="N27" s="125" t="s">
        <v>462</v>
      </c>
      <c r="O27" s="126" t="s">
        <v>551</v>
      </c>
      <c r="P27" s="127" t="s">
        <v>481</v>
      </c>
      <c r="Q27" s="128" t="s">
        <v>532</v>
      </c>
      <c r="R27" s="129" t="s">
        <v>483</v>
      </c>
      <c r="S27" s="130" t="s">
        <v>524</v>
      </c>
      <c r="T27" s="119"/>
    </row>
    <row r="28" ht="18.75" customHeight="1">
      <c r="A28" s="68"/>
      <c r="B28" s="88">
        <v>25.0</v>
      </c>
      <c r="C28" s="68"/>
      <c r="D28" s="79">
        <v>25.0</v>
      </c>
      <c r="E28" s="80">
        <v>45165.0</v>
      </c>
      <c r="F28" s="200">
        <v>0.5416666666666666</v>
      </c>
      <c r="G28" s="94" t="str">
        <f>IFERROR(__xludf.DUMMYFUNCTION("""COMPUTED_VALUE"""),"small wiener club")</f>
        <v>small wiener club</v>
      </c>
      <c r="H28" s="94" t="str">
        <f>IFERROR(__xludf.DUMMYFUNCTION("""COMPUTED_VALUE"""),"middle-schooler wife")</f>
        <v>middle-schooler wife</v>
      </c>
      <c r="I28" s="93" t="s">
        <v>541</v>
      </c>
      <c r="J28" s="94"/>
      <c r="K28" s="94"/>
      <c r="L28" s="83"/>
      <c r="M28" s="194" t="str">
        <f t="array" ref="M28:O28">IFERROR(IF(D28="",,{INDIRECT("'"&amp;D28&amp;"'!C3"),INDIRECT("'"&amp;D28&amp;"'!E3"),INDIRECT("'"&amp;D28&amp;"'!I3")}),"")&amp;T(NOW())</f>
        <v>5</v>
      </c>
      <c r="N28" s="83" t="s">
        <v>472</v>
      </c>
      <c r="O28" s="84" t="s">
        <v>553</v>
      </c>
      <c r="P28" s="89" t="s">
        <v>465</v>
      </c>
      <c r="Q28" s="86" t="s">
        <v>475</v>
      </c>
      <c r="R28" s="90" t="s">
        <v>470</v>
      </c>
      <c r="S28" s="87" t="s">
        <v>486</v>
      </c>
      <c r="T28" s="68"/>
    </row>
    <row r="29" ht="18.75" customHeight="1">
      <c r="A29" s="68"/>
      <c r="B29" s="88">
        <v>26.0</v>
      </c>
      <c r="C29" s="68"/>
      <c r="D29" s="79">
        <v>26.0</v>
      </c>
      <c r="E29" s="80">
        <v>45164.0</v>
      </c>
      <c r="F29" s="81">
        <v>0.6666666666666666</v>
      </c>
      <c r="G29" s="94" t="str">
        <f>IFERROR(__xludf.DUMMYFUNCTION("""COMPUTED_VALUE"""),"The 3-star Threats")</f>
        <v>The 3-star Threats</v>
      </c>
      <c r="H29" s="94" t="str">
        <f>IFERROR(__xludf.DUMMYFUNCTION("""COMPUTED_VALUE"""),"placeholder teamname")</f>
        <v>placeholder teamname</v>
      </c>
      <c r="I29" s="93" t="s">
        <v>541</v>
      </c>
      <c r="J29" s="94"/>
      <c r="K29" s="94"/>
      <c r="L29" s="83"/>
      <c r="M29" s="194" t="str">
        <f t="array" ref="M29:O29">IFERROR(IF(D29="",,{INDIRECT("'"&amp;D29&amp;"'!C3"),INDIRECT("'"&amp;D29&amp;"'!E3"),INDIRECT("'"&amp;D29&amp;"'!I3")}),"")&amp;T(NOW())</f>
        <v>1</v>
      </c>
      <c r="N29" s="83" t="s">
        <v>462</v>
      </c>
      <c r="O29" s="84" t="s">
        <v>545</v>
      </c>
      <c r="P29" s="89" t="s">
        <v>503</v>
      </c>
      <c r="Q29" s="86" t="s">
        <v>475</v>
      </c>
      <c r="R29" s="90" t="s">
        <v>535</v>
      </c>
      <c r="S29" s="87" t="s">
        <v>546</v>
      </c>
      <c r="T29" s="68"/>
    </row>
    <row r="30" ht="18.75" customHeight="1">
      <c r="A30" s="68"/>
      <c r="B30" s="88">
        <v>27.0</v>
      </c>
      <c r="C30" s="68"/>
      <c r="D30" s="79">
        <v>27.0</v>
      </c>
      <c r="E30" s="80">
        <v>45164.0</v>
      </c>
      <c r="F30" s="81">
        <v>0.7916666666666666</v>
      </c>
      <c r="G30" s="94" t="str">
        <f>IFERROR(__xludf.DUMMYFUNCTION("""COMPUTED_VALUE"""),"Homossexual Students")</f>
        <v>Homossexual Students</v>
      </c>
      <c r="H30" s="94" t="str">
        <f>IFERROR(__xludf.DUMMYFUNCTION("""COMPUTED_VALUE"""),"cake")</f>
        <v>cake</v>
      </c>
      <c r="I30" s="93" t="s">
        <v>516</v>
      </c>
      <c r="J30" s="94"/>
      <c r="K30" s="94"/>
      <c r="L30" s="83"/>
      <c r="M30" s="194" t="str">
        <f t="array" ref="M30:O30">IFERROR(IF(D30="",,{INDIRECT("'"&amp;D30&amp;"'!C3"),INDIRECT("'"&amp;D30&amp;"'!E3"),INDIRECT("'"&amp;D30&amp;"'!I3")}),"")&amp;T(NOW())</f>
        <v>5</v>
      </c>
      <c r="N30" s="83" t="s">
        <v>479</v>
      </c>
      <c r="O30" s="84" t="s">
        <v>549</v>
      </c>
      <c r="P30" s="89" t="s">
        <v>507</v>
      </c>
      <c r="Q30" s="86" t="s">
        <v>506</v>
      </c>
      <c r="R30" s="90" t="s">
        <v>528</v>
      </c>
      <c r="S30" s="87" t="s">
        <v>508</v>
      </c>
      <c r="T30" s="68"/>
    </row>
    <row r="31" ht="18.75" customHeight="1">
      <c r="A31" s="68"/>
      <c r="B31" s="88">
        <v>28.0</v>
      </c>
      <c r="C31" s="68"/>
      <c r="D31" s="79">
        <v>28.0</v>
      </c>
      <c r="E31" s="80">
        <v>45165.0</v>
      </c>
      <c r="F31" s="81">
        <v>0.5833333333333334</v>
      </c>
      <c r="G31" s="94" t="str">
        <f>IFERROR(__xludf.DUMMYFUNCTION("""COMPUTED_VALUE"""),"female ass wrestling")</f>
        <v>female ass wrestling</v>
      </c>
      <c r="H31" s="94" t="str">
        <f>IFERROR(__xludf.DUMMYFUNCTION("""COMPUTED_VALUE"""),"VN+1")</f>
        <v>VN+1</v>
      </c>
      <c r="I31" s="93" t="s">
        <v>554</v>
      </c>
      <c r="J31" s="94"/>
      <c r="K31" s="94"/>
      <c r="L31" s="83"/>
      <c r="M31" s="194" t="str">
        <f t="array" ref="M31:O31">IFERROR(IF(D31="",,{INDIRECT("'"&amp;D31&amp;"'!C3"),INDIRECT("'"&amp;D31&amp;"'!E3"),INDIRECT("'"&amp;D31&amp;"'!I3")}),"")&amp;T(NOW())</f>
        <v>5</v>
      </c>
      <c r="N31" s="83" t="s">
        <v>463</v>
      </c>
      <c r="O31" s="84" t="s">
        <v>555</v>
      </c>
      <c r="P31" s="89" t="s">
        <v>465</v>
      </c>
      <c r="Q31" s="86" t="s">
        <v>474</v>
      </c>
      <c r="R31" s="90" t="s">
        <v>490</v>
      </c>
      <c r="S31" s="87" t="s">
        <v>496</v>
      </c>
      <c r="T31" s="68"/>
    </row>
    <row r="32" ht="18.75" customHeight="1">
      <c r="A32" s="68"/>
      <c r="B32" s="88">
        <v>29.0</v>
      </c>
      <c r="C32" s="68"/>
      <c r="D32" s="79">
        <v>29.0</v>
      </c>
      <c r="E32" s="80">
        <v>45165.0</v>
      </c>
      <c r="F32" s="81">
        <v>0.10416666666666667</v>
      </c>
      <c r="G32" s="94" t="str">
        <f>IFERROR(__xludf.DUMMYFUNCTION("""COMPUTED_VALUE"""),":MIPINGA:")</f>
        <v>:MIPINGA:</v>
      </c>
      <c r="H32" s="94" t="str">
        <f>IFERROR(__xludf.DUMMYFUNCTION("""COMPUTED_VALUE"""),"Chocomaid")</f>
        <v>Chocomaid</v>
      </c>
      <c r="I32" s="93" t="s">
        <v>516</v>
      </c>
      <c r="J32" s="94"/>
      <c r="K32" s="94"/>
      <c r="L32" s="83"/>
      <c r="M32" s="194" t="str">
        <f t="array" ref="M32:O32">IFERROR(IF(D32="",,{INDIRECT("'"&amp;D32&amp;"'!C3"),INDIRECT("'"&amp;D32&amp;"'!E3"),INDIRECT("'"&amp;D32&amp;"'!I3")}),"")&amp;T(NOW())</f>
        <v>5</v>
      </c>
      <c r="N32" s="83" t="s">
        <v>463</v>
      </c>
      <c r="O32" s="84" t="s">
        <v>550</v>
      </c>
      <c r="P32" s="89" t="s">
        <v>518</v>
      </c>
      <c r="Q32" s="86" t="s">
        <v>475</v>
      </c>
      <c r="R32" s="90" t="s">
        <v>520</v>
      </c>
      <c r="S32" s="87" t="s">
        <v>504</v>
      </c>
      <c r="T32" s="68"/>
    </row>
    <row r="33" ht="18.75" customHeight="1">
      <c r="A33" s="68"/>
      <c r="B33" s="88">
        <v>30.0</v>
      </c>
      <c r="C33" s="68"/>
      <c r="D33" s="79">
        <v>30.0</v>
      </c>
      <c r="E33" s="80">
        <v>45163.0</v>
      </c>
      <c r="F33" s="81">
        <v>0.5416666666666666</v>
      </c>
      <c r="G33" s="94" t="str">
        <f>IFERROR(__xludf.DUMMYFUNCTION("""COMPUTED_VALUE"""),"Team name pending xd")</f>
        <v>Team name pending xd</v>
      </c>
      <c r="H33" s="94" t="str">
        <f>IFERROR(__xludf.DUMMYFUNCTION("""COMPUTED_VALUE"""),"Ghost the Angel")</f>
        <v>Ghost the Angel</v>
      </c>
      <c r="I33" s="93" t="s">
        <v>539</v>
      </c>
      <c r="J33" s="94"/>
      <c r="K33" s="94"/>
      <c r="L33" s="83"/>
      <c r="M33" s="194" t="str">
        <f t="array" ref="M33:O33">IFERROR(IF(D33="",,{INDIRECT("'"&amp;D33&amp;"'!C3"),INDIRECT("'"&amp;D33&amp;"'!E3"),INDIRECT("'"&amp;D33&amp;"'!I3")}),"")&amp;T(NOW())</f>
        <v>2</v>
      </c>
      <c r="N33" s="83" t="s">
        <v>462</v>
      </c>
      <c r="O33" s="84" t="s">
        <v>540</v>
      </c>
      <c r="P33" s="89" t="s">
        <v>475</v>
      </c>
      <c r="Q33" s="86" t="s">
        <v>474</v>
      </c>
      <c r="R33" s="90" t="s">
        <v>525</v>
      </c>
      <c r="S33" s="87" t="s">
        <v>476</v>
      </c>
      <c r="T33" s="68"/>
    </row>
    <row r="34" ht="18.75" customHeight="1">
      <c r="A34" s="68"/>
      <c r="B34" s="88">
        <v>31.0</v>
      </c>
      <c r="C34" s="68"/>
      <c r="D34" s="79">
        <v>31.0</v>
      </c>
      <c r="E34" s="80">
        <v>45163.0</v>
      </c>
      <c r="F34" s="81">
        <v>0.4583333333333333</v>
      </c>
      <c r="G34" s="94" t="str">
        <f>IFERROR(__xludf.DUMMYFUNCTION("""COMPUTED_VALUE"""),"foxy1919191919's basement")</f>
        <v>foxy1919191919's basement</v>
      </c>
      <c r="H34" s="94" t="str">
        <f>IFERROR(__xludf.DUMMYFUNCTION("""COMPUTED_VALUE"""),"match in 15")</f>
        <v>match in 15</v>
      </c>
      <c r="I34" s="93" t="s">
        <v>537</v>
      </c>
      <c r="J34" s="94"/>
      <c r="K34" s="94"/>
      <c r="L34" s="83"/>
      <c r="M34" s="194" t="str">
        <f t="array" ref="M34:O34">IFERROR(IF(D34="",,{INDIRECT("'"&amp;D34&amp;"'!C3"),INDIRECT("'"&amp;D34&amp;"'!E3"),INDIRECT("'"&amp;D34&amp;"'!I3")}),"")&amp;T(NOW())</f>
        <v>2</v>
      </c>
      <c r="N34" s="83" t="s">
        <v>462</v>
      </c>
      <c r="O34" s="84" t="s">
        <v>538</v>
      </c>
      <c r="P34" s="89" t="s">
        <v>512</v>
      </c>
      <c r="Q34" s="86" t="s">
        <v>475</v>
      </c>
      <c r="R34" s="90" t="s">
        <v>514</v>
      </c>
      <c r="S34" s="87" t="s">
        <v>499</v>
      </c>
      <c r="T34" s="68"/>
    </row>
    <row r="35" ht="18.75" customHeight="1">
      <c r="A35" s="131"/>
      <c r="B35" s="132">
        <v>32.0</v>
      </c>
      <c r="C35" s="131"/>
      <c r="D35" s="95">
        <v>32.0</v>
      </c>
      <c r="E35" s="96">
        <v>45164.0</v>
      </c>
      <c r="F35" s="97">
        <v>0.5833333333333334</v>
      </c>
      <c r="G35" s="100" t="str">
        <f>IFERROR(__xludf.DUMMYFUNCTION("""COMPUTED_VALUE"""),"Tom and Jerry")</f>
        <v>Tom and Jerry</v>
      </c>
      <c r="H35" s="100" t="str">
        <f>IFERROR(__xludf.DUMMYFUNCTION("""COMPUTED_VALUE"""),"Kittens")</f>
        <v>Kittens</v>
      </c>
      <c r="I35" s="157" t="s">
        <v>541</v>
      </c>
      <c r="J35" s="100"/>
      <c r="K35" s="100"/>
      <c r="L35" s="101"/>
      <c r="M35" s="195" t="str">
        <f t="array" ref="M35:O35">IFERROR(IF(D35="",,{INDIRECT("'"&amp;D35&amp;"'!C3"),INDIRECT("'"&amp;D35&amp;"'!E3"),INDIRECT("'"&amp;D35&amp;"'!I3")}),"")&amp;T(NOW())</f>
        <v>5</v>
      </c>
      <c r="N35" s="101" t="s">
        <v>472</v>
      </c>
      <c r="O35" s="102" t="s">
        <v>543</v>
      </c>
      <c r="P35" s="103" t="s">
        <v>474</v>
      </c>
      <c r="Q35" s="104" t="s">
        <v>465</v>
      </c>
      <c r="R35" s="90" t="s">
        <v>482</v>
      </c>
      <c r="S35" s="134" t="s">
        <v>533</v>
      </c>
      <c r="T35" s="131"/>
    </row>
    <row r="36" ht="18.75" customHeight="1">
      <c r="A36" s="68"/>
      <c r="B36" s="88">
        <v>33.0</v>
      </c>
      <c r="C36" s="68"/>
      <c r="D36" s="79">
        <v>33.0</v>
      </c>
      <c r="E36" s="80">
        <v>45172.0</v>
      </c>
      <c r="F36" s="201">
        <v>0.5833333333333334</v>
      </c>
      <c r="G36" s="94" t="str">
        <f>IFERROR(__xludf.DUMMYFUNCTION("""COMPUTED_VALUE"""),"middle-schooler wife")</f>
        <v>middle-schooler wife</v>
      </c>
      <c r="H36" s="94" t="str">
        <f>IFERROR(__xludf.DUMMYFUNCTION("""COMPUTED_VALUE"""),"Faz o L")</f>
        <v>Faz o L</v>
      </c>
      <c r="I36" s="93"/>
      <c r="J36" s="94"/>
      <c r="K36" s="94"/>
      <c r="L36" s="83"/>
      <c r="M36" s="194" t="str">
        <f t="array" ref="M36:O36">IFERROR(IF(D36="",,{INDIRECT("'"&amp;D36&amp;"'!C3"),INDIRECT("'"&amp;D36&amp;"'!E3"),INDIRECT("'"&amp;D36&amp;"'!I3")}),"")&amp;T(NOW())</f>
        <v>6</v>
      </c>
      <c r="N36" s="83" t="s">
        <v>492</v>
      </c>
      <c r="O36" s="84" t="s">
        <v>573</v>
      </c>
      <c r="P36" s="89" t="s">
        <v>475</v>
      </c>
      <c r="Q36" s="86" t="s">
        <v>532</v>
      </c>
      <c r="R36" s="135" t="s">
        <v>486</v>
      </c>
      <c r="S36" s="87" t="s">
        <v>524</v>
      </c>
      <c r="T36" s="68"/>
    </row>
    <row r="37" ht="18.75" customHeight="1">
      <c r="A37" s="68"/>
      <c r="B37" s="88">
        <v>34.0</v>
      </c>
      <c r="C37" s="68"/>
      <c r="D37" s="79">
        <v>34.0</v>
      </c>
      <c r="E37" s="80">
        <v>45171.0</v>
      </c>
      <c r="F37" s="201">
        <v>0.9583333333333334</v>
      </c>
      <c r="G37" s="94" t="str">
        <f>IFERROR(__xludf.DUMMYFUNCTION("""COMPUTED_VALUE"""),"The 3-star Threats")</f>
        <v>The 3-star Threats</v>
      </c>
      <c r="H37" s="94" t="str">
        <f>IFERROR(__xludf.DUMMYFUNCTION("""COMPUTED_VALUE"""),"Here Forever")</f>
        <v>Here Forever</v>
      </c>
      <c r="I37" s="93" t="s">
        <v>516</v>
      </c>
      <c r="J37" s="94"/>
      <c r="K37" s="94"/>
      <c r="L37" s="83"/>
      <c r="M37" s="194" t="str">
        <f t="array" ref="M37:O37">IFERROR(IF(D37="",,{INDIRECT("'"&amp;D37&amp;"'!C3"),INDIRECT("'"&amp;D37&amp;"'!E3"),INDIRECT("'"&amp;D37&amp;"'!I3")}),"")&amp;T(NOW())</f>
        <v>6</v>
      </c>
      <c r="N37" s="83" t="s">
        <v>472</v>
      </c>
      <c r="O37" s="84" t="s">
        <v>567</v>
      </c>
      <c r="P37" s="89" t="s">
        <v>503</v>
      </c>
      <c r="Q37" s="86" t="s">
        <v>513</v>
      </c>
      <c r="R37" s="90" t="s">
        <v>535</v>
      </c>
      <c r="S37" s="87" t="s">
        <v>515</v>
      </c>
      <c r="T37" s="68"/>
    </row>
    <row r="38" ht="18.75" customHeight="1">
      <c r="A38" s="68"/>
      <c r="B38" s="88">
        <v>35.0</v>
      </c>
      <c r="C38" s="68"/>
      <c r="D38" s="79">
        <v>35.0</v>
      </c>
      <c r="E38" s="80">
        <v>45172.0</v>
      </c>
      <c r="F38" s="201">
        <v>0.6041666666666666</v>
      </c>
      <c r="G38" s="94" t="str">
        <f>IFERROR(__xludf.DUMMYFUNCTION("""COMPUTED_VALUE"""),"cake")</f>
        <v>cake</v>
      </c>
      <c r="H38" s="94" t="str">
        <f>IFERROR(__xludf.DUMMYFUNCTION("""COMPUTED_VALUE"""),"PES E9L9")</f>
        <v>PES E9L9</v>
      </c>
      <c r="I38" s="93" t="s">
        <v>488</v>
      </c>
      <c r="J38" s="94"/>
      <c r="K38" s="94"/>
      <c r="L38" s="83"/>
      <c r="M38" s="194" t="str">
        <f t="array" ref="M38:O38">IFERROR(IF(D38="",,{INDIRECT("'"&amp;D38&amp;"'!C3"),INDIRECT("'"&amp;D38&amp;"'!E3"),INDIRECT("'"&amp;D38&amp;"'!I3")}),"")&amp;T(NOW())</f>
        <v>4</v>
      </c>
      <c r="N38" s="83" t="s">
        <v>559</v>
      </c>
      <c r="O38" s="84" t="s">
        <v>581</v>
      </c>
      <c r="P38" s="89" t="s">
        <v>506</v>
      </c>
      <c r="Q38" s="86" t="s">
        <v>475</v>
      </c>
      <c r="R38" s="90" t="s">
        <v>508</v>
      </c>
      <c r="S38" s="87" t="s">
        <v>477</v>
      </c>
      <c r="T38" s="68"/>
    </row>
    <row r="39" ht="18.75" customHeight="1">
      <c r="A39" s="68"/>
      <c r="B39" s="88">
        <v>36.0</v>
      </c>
      <c r="C39" s="68"/>
      <c r="D39" s="79">
        <v>36.0</v>
      </c>
      <c r="E39" s="80">
        <v>45171.0</v>
      </c>
      <c r="F39" s="201">
        <v>0.0625</v>
      </c>
      <c r="G39" s="94" t="str">
        <f>IFERROR(__xludf.DUMMYFUNCTION("""COMPUTED_VALUE"""),"VN+1")</f>
        <v>VN+1</v>
      </c>
      <c r="H39" s="94" t="str">
        <f>IFERROR(__xludf.DUMMYFUNCTION("""COMPUTED_VALUE"""),"Dino Nuggies")</f>
        <v>Dino Nuggies</v>
      </c>
      <c r="I39" s="93" t="s">
        <v>516</v>
      </c>
      <c r="J39" s="94"/>
      <c r="K39" s="94"/>
      <c r="L39" s="83"/>
      <c r="M39" s="194" t="str">
        <f t="array" ref="M39:O39">IFERROR(IF(D39="",,{INDIRECT("'"&amp;D39&amp;"'!C3"),INDIRECT("'"&amp;D39&amp;"'!E3"),INDIRECT("'"&amp;D39&amp;"'!I3")}),"")&amp;T(NOW())</f>
        <v>6</v>
      </c>
      <c r="N39" s="83" t="s">
        <v>467</v>
      </c>
      <c r="O39" s="84" t="s">
        <v>560</v>
      </c>
      <c r="P39" s="89" t="s">
        <v>474</v>
      </c>
      <c r="Q39" s="86" t="s">
        <v>503</v>
      </c>
      <c r="R39" s="90" t="s">
        <v>496</v>
      </c>
      <c r="S39" s="87" t="s">
        <v>483</v>
      </c>
      <c r="T39" s="68"/>
    </row>
    <row r="40" ht="18.75" customHeight="1">
      <c r="A40" s="68"/>
      <c r="B40" s="88">
        <v>37.0</v>
      </c>
      <c r="C40" s="68"/>
      <c r="D40" s="79">
        <v>37.0</v>
      </c>
      <c r="E40" s="80">
        <v>45171.0</v>
      </c>
      <c r="F40" s="201">
        <v>0.5833333333333334</v>
      </c>
      <c r="G40" s="94" t="str">
        <f>IFERROR(__xludf.DUMMYFUNCTION("""COMPUTED_VALUE"""),"Chocomaid")</f>
        <v>Chocomaid</v>
      </c>
      <c r="H40" s="94" t="str">
        <f>IFERROR(__xludf.DUMMYFUNCTION("""COMPUTED_VALUE"""),"Sightread Buff")</f>
        <v>Sightread Buff</v>
      </c>
      <c r="I40" s="93" t="s">
        <v>461</v>
      </c>
      <c r="J40" s="94"/>
      <c r="K40" s="94"/>
      <c r="L40" s="83"/>
      <c r="M40" s="194" t="str">
        <f t="array" ref="M40:O40">IFERROR(IF(D40="",,{INDIRECT("'"&amp;D40&amp;"'!C3"),INDIRECT("'"&amp;D40&amp;"'!E3"),INDIRECT("'"&amp;D40&amp;"'!I3")}),"")&amp;T(NOW())</f>
        <v>6</v>
      </c>
      <c r="N40" s="83" t="s">
        <v>463</v>
      </c>
      <c r="O40" s="84" t="s">
        <v>562</v>
      </c>
      <c r="P40" s="89" t="s">
        <v>475</v>
      </c>
      <c r="Q40" s="86" t="s">
        <v>494</v>
      </c>
      <c r="R40" s="90" t="s">
        <v>504</v>
      </c>
      <c r="S40" s="87" t="s">
        <v>495</v>
      </c>
      <c r="T40" s="68"/>
    </row>
    <row r="41" ht="18.75" customHeight="1">
      <c r="A41" s="68"/>
      <c r="B41" s="88">
        <v>38.0</v>
      </c>
      <c r="C41" s="68"/>
      <c r="D41" s="79">
        <v>38.0</v>
      </c>
      <c r="E41" s="80">
        <v>45171.0</v>
      </c>
      <c r="F41" s="201">
        <v>0.625</v>
      </c>
      <c r="G41" s="94" t="str">
        <f>IFERROR(__xludf.DUMMYFUNCTION("""COMPUTED_VALUE"""),"Team name pending xd")</f>
        <v>Team name pending xd</v>
      </c>
      <c r="H41" s="94" t="str">
        <f>IFERROR(__xludf.DUMMYFUNCTION("""COMPUTED_VALUE"""),"equipe câo")</f>
        <v>equipe câo</v>
      </c>
      <c r="I41" s="93" t="s">
        <v>461</v>
      </c>
      <c r="J41" s="94"/>
      <c r="K41" s="94"/>
      <c r="L41" s="83"/>
      <c r="M41" s="194" t="str">
        <f t="array" ref="M41:O41">IFERROR(IF(D41="",,{INDIRECT("'"&amp;D41&amp;"'!C3"),INDIRECT("'"&amp;D41&amp;"'!E3"),INDIRECT("'"&amp;D41&amp;"'!I3")}),"")&amp;T(NOW())</f>
        <v>6</v>
      </c>
      <c r="N41" s="83" t="s">
        <v>479</v>
      </c>
      <c r="O41" s="84" t="s">
        <v>564</v>
      </c>
      <c r="P41" s="89" t="s">
        <v>475</v>
      </c>
      <c r="Q41" s="86" t="s">
        <v>507</v>
      </c>
      <c r="R41" s="90" t="s">
        <v>525</v>
      </c>
      <c r="S41" s="87" t="s">
        <v>509</v>
      </c>
      <c r="T41" s="68"/>
    </row>
    <row r="42" ht="18.75" customHeight="1">
      <c r="A42" s="68"/>
      <c r="B42" s="88">
        <v>39.0</v>
      </c>
      <c r="C42" s="68"/>
      <c r="D42" s="79">
        <v>39.0</v>
      </c>
      <c r="E42" s="80">
        <v>45172.0</v>
      </c>
      <c r="F42" s="201">
        <v>0.5208333333333334</v>
      </c>
      <c r="G42" s="94" t="str">
        <f>IFERROR(__xludf.DUMMYFUNCTION("""COMPUTED_VALUE"""),"foxy1919191919's basement")</f>
        <v>foxy1919191919's basement</v>
      </c>
      <c r="H42" s="94" t="str">
        <f>IFERROR(__xludf.DUMMYFUNCTION("""COMPUTED_VALUE"""),"The sleepers")</f>
        <v>The sleepers</v>
      </c>
      <c r="I42" s="93" t="s">
        <v>488</v>
      </c>
      <c r="J42" s="94"/>
      <c r="K42" s="94"/>
      <c r="L42" s="83"/>
      <c r="M42" s="194" t="str">
        <f t="array" ref="M42:O42">IFERROR(IF(D42="",,{INDIRECT("'"&amp;D42&amp;"'!C3"),INDIRECT("'"&amp;D42&amp;"'!E3"),INDIRECT("'"&amp;D42&amp;"'!I3")}),"")&amp;T(NOW())</f>
        <v>-1</v>
      </c>
      <c r="N42" s="83" t="s">
        <v>467</v>
      </c>
      <c r="O42" s="84" t="s">
        <v>572</v>
      </c>
      <c r="P42" s="89" t="s">
        <v>512</v>
      </c>
      <c r="Q42" s="86" t="s">
        <v>465</v>
      </c>
      <c r="R42" s="90" t="s">
        <v>514</v>
      </c>
      <c r="S42" s="87" t="s">
        <v>536</v>
      </c>
      <c r="T42" s="68"/>
    </row>
    <row r="43" ht="18.75" customHeight="1">
      <c r="A43" s="68"/>
      <c r="B43" s="88">
        <v>40.0</v>
      </c>
      <c r="C43" s="68"/>
      <c r="D43" s="79">
        <v>40.0</v>
      </c>
      <c r="E43" s="80">
        <v>45171.0</v>
      </c>
      <c r="F43" s="202">
        <v>0.5833333333333334</v>
      </c>
      <c r="G43" s="94" t="str">
        <f>IFERROR(__xludf.DUMMYFUNCTION("""COMPUTED_VALUE"""),"Kittens")</f>
        <v>Kittens</v>
      </c>
      <c r="H43" s="94" t="str">
        <f>IFERROR(__xludf.DUMMYFUNCTION("""COMPUTED_VALUE"""),"PLDT ANO NAAA")</f>
        <v>PLDT ANO NAAA</v>
      </c>
      <c r="I43" s="93" t="s">
        <v>461</v>
      </c>
      <c r="J43" s="94"/>
      <c r="K43" s="94"/>
      <c r="L43" s="83"/>
      <c r="M43" s="194" t="str">
        <f t="array" ref="M43:O43">IFERROR(IF(D43="",,{INDIRECT("'"&amp;D43&amp;"'!C3"),INDIRECT("'"&amp;D43&amp;"'!E3"),INDIRECT("'"&amp;D43&amp;"'!I3")}),"")&amp;T(NOW())</f>
        <v>6</v>
      </c>
      <c r="N43" s="83" t="s">
        <v>472</v>
      </c>
      <c r="O43" s="84" t="s">
        <v>563</v>
      </c>
      <c r="P43" s="89" t="s">
        <v>465</v>
      </c>
      <c r="Q43" s="86" t="s">
        <v>475</v>
      </c>
      <c r="R43" s="129" t="s">
        <v>533</v>
      </c>
      <c r="S43" s="87" t="s">
        <v>487</v>
      </c>
      <c r="T43" s="68"/>
    </row>
    <row r="44" ht="18.75" customHeight="1">
      <c r="A44" s="138"/>
      <c r="B44" s="150">
        <v>41.0</v>
      </c>
      <c r="C44" s="138"/>
      <c r="D44" s="140">
        <v>41.0</v>
      </c>
      <c r="E44" s="203">
        <v>45172.0</v>
      </c>
      <c r="F44" s="204">
        <v>0.9583333333333334</v>
      </c>
      <c r="G44" s="143" t="str">
        <f>IFERROR(__xludf.DUMMYFUNCTION("""COMPUTED_VALUE"""),"The 3-star Threats")</f>
        <v>The 3-star Threats</v>
      </c>
      <c r="H44" s="143" t="str">
        <f>IFERROR(__xludf.DUMMYFUNCTION("""COMPUTED_VALUE"""),"middle-schooler wife")</f>
        <v>middle-schooler wife</v>
      </c>
      <c r="I44" s="144"/>
      <c r="J44" s="143"/>
      <c r="K44" s="143"/>
      <c r="L44" s="145"/>
      <c r="M44" s="205" t="str">
        <f t="array" ref="M44:O44">IFERROR(IF(D44="",,{INDIRECT("'"&amp;D44&amp;"'!C3"),INDIRECT("'"&amp;D44&amp;"'!E3"),INDIRECT("'"&amp;D44&amp;"'!I3")}),"")&amp;T(NOW())</f>
        <v>6</v>
      </c>
      <c r="N44" s="145" t="s">
        <v>467</v>
      </c>
      <c r="O44" s="146" t="s">
        <v>592</v>
      </c>
      <c r="P44" s="147" t="s">
        <v>503</v>
      </c>
      <c r="Q44" s="146" t="s">
        <v>475</v>
      </c>
      <c r="R44" s="90" t="s">
        <v>535</v>
      </c>
      <c r="S44" s="148" t="s">
        <v>486</v>
      </c>
      <c r="T44" s="138"/>
    </row>
    <row r="45" ht="18.75" hidden="1" customHeight="1">
      <c r="A45" s="68"/>
      <c r="B45" s="137" t="s">
        <v>582</v>
      </c>
      <c r="C45" s="68"/>
      <c r="D45" s="149" t="s">
        <v>582</v>
      </c>
      <c r="E45" s="80">
        <v>45172.0</v>
      </c>
      <c r="F45" s="202">
        <v>0.625</v>
      </c>
      <c r="G45" s="94" t="str">
        <f>IFERROR(__xludf.DUMMYFUNCTION("""COMPUTED_VALUE"""),"The 3-star Threats")</f>
        <v>The 3-star Threats</v>
      </c>
      <c r="H45" s="94" t="str">
        <f>IFERROR(__xludf.DUMMYFUNCTION("""COMPUTED_VALUE"""),"middle-schooler wife")</f>
        <v>middle-schooler wife</v>
      </c>
      <c r="I45" s="93"/>
      <c r="J45" s="94"/>
      <c r="K45" s="94"/>
      <c r="L45" s="83"/>
      <c r="M45" s="194" t="str">
        <f t="array" ref="M45:O45">IFERROR(IF(D45="",,{INDIRECT("'"&amp;D45&amp;"'!C3"),INDIRECT("'"&amp;D45&amp;"'!E3"),INDIRECT("'"&amp;D45&amp;"'!I3")}),"")&amp;T(NOW())</f>
        <v/>
      </c>
      <c r="N45" s="83" t="s">
        <v>566</v>
      </c>
      <c r="O45" s="86" t="s">
        <v>566</v>
      </c>
      <c r="P45" s="89" t="s">
        <v>503</v>
      </c>
      <c r="Q45" s="86" t="s">
        <v>475</v>
      </c>
      <c r="R45" s="90" t="s">
        <v>535</v>
      </c>
      <c r="S45" s="87" t="s">
        <v>486</v>
      </c>
      <c r="T45" s="68"/>
    </row>
    <row r="46" ht="18.75" hidden="1" customHeight="1">
      <c r="A46" s="68"/>
      <c r="B46" s="137" t="s">
        <v>591</v>
      </c>
      <c r="C46" s="68"/>
      <c r="D46" s="149" t="s">
        <v>591</v>
      </c>
      <c r="E46" s="80">
        <v>45172.0</v>
      </c>
      <c r="F46" s="202">
        <v>0.8333333333333334</v>
      </c>
      <c r="G46" s="94" t="str">
        <f>IFERROR(__xludf.DUMMYFUNCTION("""COMPUTED_VALUE"""),"The 3-star Threats")</f>
        <v>The 3-star Threats</v>
      </c>
      <c r="H46" s="94" t="str">
        <f>IFERROR(__xludf.DUMMYFUNCTION("""COMPUTED_VALUE"""),"Faz o L")</f>
        <v>Faz o L</v>
      </c>
      <c r="I46" s="118"/>
      <c r="J46" s="94"/>
      <c r="K46" s="94"/>
      <c r="L46" s="83"/>
      <c r="M46" s="194" t="str">
        <f t="array" ref="M46:O46">IFERROR(IF(D46="",,{INDIRECT("'"&amp;D46&amp;"'!C3"),INDIRECT("'"&amp;D46&amp;"'!E3"),INDIRECT("'"&amp;D46&amp;"'!I3")}),"")&amp;T(NOW())</f>
        <v/>
      </c>
      <c r="N46" s="83" t="s">
        <v>566</v>
      </c>
      <c r="O46" s="86" t="s">
        <v>566</v>
      </c>
      <c r="P46" s="89" t="s">
        <v>503</v>
      </c>
      <c r="Q46" s="86" t="s">
        <v>532</v>
      </c>
      <c r="R46" s="90" t="s">
        <v>535</v>
      </c>
      <c r="S46" s="87" t="s">
        <v>524</v>
      </c>
      <c r="T46" s="68"/>
    </row>
    <row r="47" ht="18.75" hidden="1" customHeight="1">
      <c r="A47" s="68"/>
      <c r="B47" s="137" t="s">
        <v>568</v>
      </c>
      <c r="C47" s="68"/>
      <c r="D47" s="149" t="s">
        <v>568</v>
      </c>
      <c r="E47" s="80">
        <v>45172.0</v>
      </c>
      <c r="F47" s="202">
        <v>0.16666666666666666</v>
      </c>
      <c r="G47" s="92" t="str">
        <f>IFERROR(__xludf.DUMMYFUNCTION("""COMPUTED_VALUE"""),"Here Forever")</f>
        <v>Here Forever</v>
      </c>
      <c r="H47" s="92" t="str">
        <f>IFERROR(__xludf.DUMMYFUNCTION("""COMPUTED_VALUE"""),"middle-schooler wife")</f>
        <v>middle-schooler wife</v>
      </c>
      <c r="I47" s="93"/>
      <c r="J47" s="92"/>
      <c r="K47" s="92"/>
      <c r="L47" s="27"/>
      <c r="M47" s="194" t="str">
        <f t="array" ref="M47:O47">IFERROR(IF(D47="",,{INDIRECT("'"&amp;D47&amp;"'!C3"),INDIRECT("'"&amp;D47&amp;"'!E3"),INDIRECT("'"&amp;D47&amp;"'!I3")}),"")&amp;T(NOW())</f>
        <v/>
      </c>
      <c r="N47" s="83" t="s">
        <v>566</v>
      </c>
      <c r="O47" s="86" t="s">
        <v>566</v>
      </c>
      <c r="P47" s="89" t="s">
        <v>513</v>
      </c>
      <c r="Q47" s="86" t="s">
        <v>475</v>
      </c>
      <c r="R47" s="90" t="s">
        <v>515</v>
      </c>
      <c r="S47" s="87" t="s">
        <v>486</v>
      </c>
      <c r="T47" s="68"/>
    </row>
    <row r="48" ht="18.75" hidden="1" customHeight="1">
      <c r="A48" s="68"/>
      <c r="B48" s="137" t="s">
        <v>593</v>
      </c>
      <c r="C48" s="68"/>
      <c r="D48" s="149" t="s">
        <v>593</v>
      </c>
      <c r="E48" s="80">
        <v>45172.0</v>
      </c>
      <c r="F48" s="202">
        <v>0.9583333333333334</v>
      </c>
      <c r="G48" s="94" t="str">
        <f>IFERROR(__xludf.DUMMYFUNCTION("""COMPUTED_VALUE"""),"Here Forever")</f>
        <v>Here Forever</v>
      </c>
      <c r="H48" s="94" t="str">
        <f>IFERROR(__xludf.DUMMYFUNCTION("""COMPUTED_VALUE"""),"Faz o L")</f>
        <v>Faz o L</v>
      </c>
      <c r="I48" s="118"/>
      <c r="J48" s="94"/>
      <c r="K48" s="94"/>
      <c r="L48" s="83"/>
      <c r="M48" s="194" t="str">
        <f t="array" ref="M48:O48">IFERROR(IF(D48="",,{INDIRECT("'"&amp;D48&amp;"'!C3"),INDIRECT("'"&amp;D48&amp;"'!E3"),INDIRECT("'"&amp;D48&amp;"'!I3")}),"")&amp;T(NOW())</f>
        <v/>
      </c>
      <c r="N48" s="83" t="s">
        <v>566</v>
      </c>
      <c r="O48" s="86" t="s">
        <v>566</v>
      </c>
      <c r="P48" s="89" t="s">
        <v>513</v>
      </c>
      <c r="Q48" s="86" t="s">
        <v>532</v>
      </c>
      <c r="R48" s="90" t="s">
        <v>515</v>
      </c>
      <c r="S48" s="87" t="s">
        <v>524</v>
      </c>
      <c r="T48" s="68"/>
    </row>
    <row r="49" ht="18.75" customHeight="1">
      <c r="A49" s="68"/>
      <c r="B49" s="88">
        <v>42.0</v>
      </c>
      <c r="C49" s="68"/>
      <c r="D49" s="79">
        <v>42.0</v>
      </c>
      <c r="E49" s="206">
        <v>45172.0</v>
      </c>
      <c r="F49" s="202">
        <v>0.625</v>
      </c>
      <c r="G49" s="94" t="str">
        <f>IFERROR(__xludf.DUMMYFUNCTION("""COMPUTED_VALUE"""),"VN+1")</f>
        <v>VN+1</v>
      </c>
      <c r="H49" s="94" t="str">
        <f>IFERROR(__xludf.DUMMYFUNCTION("""COMPUTED_VALUE"""),"PES E9L9")</f>
        <v>PES E9L9</v>
      </c>
      <c r="I49" s="93" t="s">
        <v>554</v>
      </c>
      <c r="J49" s="94"/>
      <c r="K49" s="94"/>
      <c r="L49" s="83"/>
      <c r="M49" s="194" t="str">
        <f t="array" ref="M49:O49">IFERROR(IF(D49="",,{INDIRECT("'"&amp;D49&amp;"'!C3"),INDIRECT("'"&amp;D49&amp;"'!E3"),INDIRECT("'"&amp;D49&amp;"'!I3")}),"")&amp;T(NOW())</f>
        <v>6</v>
      </c>
      <c r="N49" s="83" t="s">
        <v>462</v>
      </c>
      <c r="O49" s="84" t="s">
        <v>583</v>
      </c>
      <c r="P49" s="89" t="s">
        <v>474</v>
      </c>
      <c r="Q49" s="86" t="s">
        <v>475</v>
      </c>
      <c r="R49" s="90" t="s">
        <v>496</v>
      </c>
      <c r="S49" s="87" t="s">
        <v>477</v>
      </c>
      <c r="T49" s="68"/>
    </row>
    <row r="50" ht="18.75" hidden="1" customHeight="1">
      <c r="A50" s="68"/>
      <c r="B50" s="137" t="s">
        <v>584</v>
      </c>
      <c r="C50" s="68"/>
      <c r="D50" s="149" t="s">
        <v>584</v>
      </c>
      <c r="E50" s="80">
        <v>45172.0</v>
      </c>
      <c r="F50" s="202">
        <v>0.625</v>
      </c>
      <c r="G50" s="94" t="str">
        <f>IFERROR(__xludf.DUMMYFUNCTION("""COMPUTED_VALUE"""),"VN+1")</f>
        <v>VN+1</v>
      </c>
      <c r="H50" s="94" t="str">
        <f>IFERROR(__xludf.DUMMYFUNCTION("""COMPUTED_VALUE"""),"cake")</f>
        <v>cake</v>
      </c>
      <c r="I50" s="118"/>
      <c r="J50" s="94"/>
      <c r="K50" s="94"/>
      <c r="L50" s="83"/>
      <c r="M50" s="194" t="str">
        <f t="array" ref="M50:O50">IFERROR(IF(D50="",,{INDIRECT("'"&amp;D50&amp;"'!C3"),INDIRECT("'"&amp;D50&amp;"'!E3"),INDIRECT("'"&amp;D50&amp;"'!I3")}),"")&amp;T(NOW())</f>
        <v/>
      </c>
      <c r="N50" s="83" t="s">
        <v>566</v>
      </c>
      <c r="O50" s="86" t="s">
        <v>566</v>
      </c>
      <c r="P50" s="89" t="s">
        <v>474</v>
      </c>
      <c r="Q50" s="86" t="s">
        <v>506</v>
      </c>
      <c r="R50" s="90" t="s">
        <v>496</v>
      </c>
      <c r="S50" s="87" t="s">
        <v>508</v>
      </c>
      <c r="T50" s="68"/>
    </row>
    <row r="51" ht="18.75" hidden="1" customHeight="1">
      <c r="A51" s="68"/>
      <c r="B51" s="137" t="s">
        <v>570</v>
      </c>
      <c r="C51" s="68"/>
      <c r="D51" s="149" t="s">
        <v>570</v>
      </c>
      <c r="E51" s="80">
        <v>45172.0</v>
      </c>
      <c r="F51" s="202">
        <v>0.5</v>
      </c>
      <c r="G51" s="94" t="str">
        <f>IFERROR(__xludf.DUMMYFUNCTION("""COMPUTED_VALUE"""),"VN+1")</f>
        <v>VN+1</v>
      </c>
      <c r="H51" s="94" t="str">
        <f>IFERROR(__xludf.DUMMYFUNCTION("""COMPUTED_VALUE"""),"PES E9L9")</f>
        <v>PES E9L9</v>
      </c>
      <c r="I51" s="118"/>
      <c r="J51" s="94"/>
      <c r="K51" s="94"/>
      <c r="L51" s="83"/>
      <c r="M51" s="194" t="str">
        <f t="array" ref="M51:O51">IFERROR(IF(D51="",,{INDIRECT("'"&amp;D51&amp;"'!C3"),INDIRECT("'"&amp;D51&amp;"'!E3"),INDIRECT("'"&amp;D51&amp;"'!I3")}),"")&amp;T(NOW())</f>
        <v/>
      </c>
      <c r="N51" s="83" t="s">
        <v>566</v>
      </c>
      <c r="O51" s="86" t="s">
        <v>566</v>
      </c>
      <c r="P51" s="89" t="s">
        <v>474</v>
      </c>
      <c r="Q51" s="86" t="s">
        <v>475</v>
      </c>
      <c r="R51" s="90" t="s">
        <v>496</v>
      </c>
      <c r="S51" s="87" t="s">
        <v>477</v>
      </c>
      <c r="T51" s="68"/>
    </row>
    <row r="52" ht="18.75" hidden="1" customHeight="1">
      <c r="A52" s="68"/>
      <c r="B52" s="137" t="s">
        <v>587</v>
      </c>
      <c r="C52" s="68"/>
      <c r="D52" s="149" t="s">
        <v>587</v>
      </c>
      <c r="E52" s="80">
        <v>45172.0</v>
      </c>
      <c r="F52" s="202">
        <v>0.6666666666666666</v>
      </c>
      <c r="G52" s="94" t="str">
        <f>IFERROR(__xludf.DUMMYFUNCTION("""COMPUTED_VALUE"""),"Dino Nuggies")</f>
        <v>Dino Nuggies</v>
      </c>
      <c r="H52" s="94" t="str">
        <f>IFERROR(__xludf.DUMMYFUNCTION("""COMPUTED_VALUE"""),"cake")</f>
        <v>cake</v>
      </c>
      <c r="I52" s="118"/>
      <c r="J52" s="94"/>
      <c r="K52" s="94"/>
      <c r="L52" s="83"/>
      <c r="M52" s="194" t="str">
        <f t="array" ref="M52:O52">IFERROR(IF(D52="",,{INDIRECT("'"&amp;D52&amp;"'!C3"),INDIRECT("'"&amp;D52&amp;"'!E3"),INDIRECT("'"&amp;D52&amp;"'!I3")}),"")&amp;T(NOW())</f>
        <v/>
      </c>
      <c r="N52" s="83" t="s">
        <v>566</v>
      </c>
      <c r="O52" s="86" t="s">
        <v>566</v>
      </c>
      <c r="P52" s="89" t="s">
        <v>503</v>
      </c>
      <c r="Q52" s="86" t="s">
        <v>506</v>
      </c>
      <c r="R52" s="90" t="s">
        <v>483</v>
      </c>
      <c r="S52" s="87" t="s">
        <v>508</v>
      </c>
      <c r="T52" s="68"/>
    </row>
    <row r="53" ht="18.75" hidden="1" customHeight="1">
      <c r="A53" s="68"/>
      <c r="B53" s="137" t="s">
        <v>585</v>
      </c>
      <c r="C53" s="68"/>
      <c r="D53" s="149" t="s">
        <v>585</v>
      </c>
      <c r="E53" s="80">
        <v>45172.0</v>
      </c>
      <c r="F53" s="202">
        <v>0.625</v>
      </c>
      <c r="G53" s="94" t="str">
        <f>IFERROR(__xludf.DUMMYFUNCTION("""COMPUTED_VALUE"""),"Dino Nuggies")</f>
        <v>Dino Nuggies</v>
      </c>
      <c r="H53" s="94" t="str">
        <f>IFERROR(__xludf.DUMMYFUNCTION("""COMPUTED_VALUE"""),"PES E9L9")</f>
        <v>PES E9L9</v>
      </c>
      <c r="I53" s="118"/>
      <c r="J53" s="94"/>
      <c r="K53" s="94"/>
      <c r="L53" s="83"/>
      <c r="M53" s="194" t="str">
        <f t="array" ref="M53:O53">IFERROR(IF(D53="",,{INDIRECT("'"&amp;D53&amp;"'!C3"),INDIRECT("'"&amp;D53&amp;"'!E3"),INDIRECT("'"&amp;D53&amp;"'!I3")}),"")&amp;T(NOW())</f>
        <v/>
      </c>
      <c r="N53" s="83" t="s">
        <v>566</v>
      </c>
      <c r="O53" s="86" t="s">
        <v>566</v>
      </c>
      <c r="P53" s="89" t="s">
        <v>503</v>
      </c>
      <c r="Q53" s="86" t="s">
        <v>475</v>
      </c>
      <c r="R53" s="90" t="s">
        <v>483</v>
      </c>
      <c r="S53" s="87" t="s">
        <v>477</v>
      </c>
      <c r="T53" s="68"/>
    </row>
    <row r="54" ht="18.75" customHeight="1">
      <c r="A54" s="68"/>
      <c r="B54" s="88">
        <v>43.0</v>
      </c>
      <c r="C54" s="68"/>
      <c r="D54" s="79">
        <v>43.0</v>
      </c>
      <c r="E54" s="206">
        <v>45172.0</v>
      </c>
      <c r="F54" s="202">
        <v>0.5833333333333334</v>
      </c>
      <c r="G54" s="94" t="str">
        <f>IFERROR(__xludf.DUMMYFUNCTION("""COMPUTED_VALUE"""),"Team name pending xd")</f>
        <v>Team name pending xd</v>
      </c>
      <c r="H54" s="94" t="str">
        <f>IFERROR(__xludf.DUMMYFUNCTION("""COMPUTED_VALUE"""),"Chocomaid")</f>
        <v>Chocomaid</v>
      </c>
      <c r="I54" s="93" t="s">
        <v>541</v>
      </c>
      <c r="J54" s="94"/>
      <c r="K54" s="94"/>
      <c r="L54" s="83"/>
      <c r="M54" s="194" t="str">
        <f t="array" ref="M54:O54">IFERROR(IF(D54="",,{INDIRECT("'"&amp;D54&amp;"'!C3"),INDIRECT("'"&amp;D54&amp;"'!E3"),INDIRECT("'"&amp;D54&amp;"'!I3")}),"")&amp;T(NOW())</f>
        <v>0</v>
      </c>
      <c r="N54" s="83" t="s">
        <v>559</v>
      </c>
      <c r="O54" s="84" t="s">
        <v>574</v>
      </c>
      <c r="P54" s="89" t="s">
        <v>475</v>
      </c>
      <c r="Q54" s="86" t="s">
        <v>475</v>
      </c>
      <c r="R54" s="90" t="s">
        <v>525</v>
      </c>
      <c r="S54" s="87" t="s">
        <v>504</v>
      </c>
      <c r="T54" s="68"/>
    </row>
    <row r="55" ht="18.75" hidden="1" customHeight="1">
      <c r="A55" s="68"/>
      <c r="B55" s="137" t="s">
        <v>575</v>
      </c>
      <c r="C55" s="68"/>
      <c r="D55" s="149" t="s">
        <v>575</v>
      </c>
      <c r="E55" s="80">
        <v>45172.0</v>
      </c>
      <c r="F55" s="202">
        <v>0.5833333333333334</v>
      </c>
      <c r="G55" s="94" t="str">
        <f>IFERROR(__xludf.DUMMYFUNCTION("""COMPUTED_VALUE"""),"Team name pending xd")</f>
        <v>Team name pending xd</v>
      </c>
      <c r="H55" s="94" t="str">
        <f>IFERROR(__xludf.DUMMYFUNCTION("""COMPUTED_VALUE"""),"Chocomaid")</f>
        <v>Chocomaid</v>
      </c>
      <c r="I55" s="93"/>
      <c r="J55" s="94"/>
      <c r="K55" s="94"/>
      <c r="L55" s="83"/>
      <c r="M55" s="194" t="str">
        <f t="array" ref="M55:O55">IFERROR(IF(D55="",,{INDIRECT("'"&amp;D55&amp;"'!C3"),INDIRECT("'"&amp;D55&amp;"'!E3"),INDIRECT("'"&amp;D55&amp;"'!I3")}),"")&amp;T(NOW())</f>
        <v/>
      </c>
      <c r="N55" s="83" t="s">
        <v>566</v>
      </c>
      <c r="O55" s="86" t="s">
        <v>566</v>
      </c>
      <c r="P55" s="89" t="s">
        <v>475</v>
      </c>
      <c r="Q55" s="86" t="s">
        <v>475</v>
      </c>
      <c r="R55" s="90" t="s">
        <v>525</v>
      </c>
      <c r="S55" s="87" t="s">
        <v>504</v>
      </c>
      <c r="T55" s="68"/>
    </row>
    <row r="56" ht="18.75" hidden="1" customHeight="1">
      <c r="A56" s="68"/>
      <c r="B56" s="137" t="s">
        <v>576</v>
      </c>
      <c r="C56" s="68"/>
      <c r="D56" s="149" t="s">
        <v>576</v>
      </c>
      <c r="E56" s="80">
        <v>45172.0</v>
      </c>
      <c r="F56" s="202">
        <v>0.5833333333333334</v>
      </c>
      <c r="G56" s="94" t="str">
        <f>IFERROR(__xludf.DUMMYFUNCTION("""COMPUTED_VALUE"""),"Team name pending xd")</f>
        <v>Team name pending xd</v>
      </c>
      <c r="H56" s="94" t="str">
        <f>IFERROR(__xludf.DUMMYFUNCTION("""COMPUTED_VALUE"""),"Sightread Buff")</f>
        <v>Sightread Buff</v>
      </c>
      <c r="I56" s="93"/>
      <c r="J56" s="94"/>
      <c r="K56" s="94"/>
      <c r="L56" s="83"/>
      <c r="M56" s="194" t="str">
        <f t="array" ref="M56:O56">IFERROR(IF(D56="",,{INDIRECT("'"&amp;D56&amp;"'!C3"),INDIRECT("'"&amp;D56&amp;"'!E3"),INDIRECT("'"&amp;D56&amp;"'!I3")}),"")&amp;T(NOW())</f>
        <v/>
      </c>
      <c r="N56" s="83" t="s">
        <v>566</v>
      </c>
      <c r="O56" s="86" t="s">
        <v>566</v>
      </c>
      <c r="P56" s="89" t="s">
        <v>475</v>
      </c>
      <c r="Q56" s="86" t="s">
        <v>494</v>
      </c>
      <c r="R56" s="90" t="s">
        <v>525</v>
      </c>
      <c r="S56" s="87" t="s">
        <v>495</v>
      </c>
      <c r="T56" s="68"/>
    </row>
    <row r="57" ht="18.75" hidden="1" customHeight="1">
      <c r="A57" s="68"/>
      <c r="B57" s="137" t="s">
        <v>586</v>
      </c>
      <c r="C57" s="68"/>
      <c r="D57" s="149" t="s">
        <v>586</v>
      </c>
      <c r="E57" s="80">
        <v>45172.0</v>
      </c>
      <c r="F57" s="202">
        <v>0.625</v>
      </c>
      <c r="G57" s="92" t="str">
        <f>IFERROR(__xludf.DUMMYFUNCTION("""COMPUTED_VALUE"""),"equipe câo")</f>
        <v>equipe câo</v>
      </c>
      <c r="H57" s="92" t="str">
        <f>IFERROR(__xludf.DUMMYFUNCTION("""COMPUTED_VALUE"""),"Chocomaid")</f>
        <v>Chocomaid</v>
      </c>
      <c r="I57" s="93"/>
      <c r="J57" s="92"/>
      <c r="K57" s="92"/>
      <c r="L57" s="27"/>
      <c r="M57" s="194" t="str">
        <f t="array" ref="M57:O57">IFERROR(IF(D57="",,{INDIRECT("'"&amp;D57&amp;"'!C3"),INDIRECT("'"&amp;D57&amp;"'!E3"),INDIRECT("'"&amp;D57&amp;"'!I3")}),"")&amp;T(NOW())</f>
        <v/>
      </c>
      <c r="N57" s="83" t="s">
        <v>566</v>
      </c>
      <c r="O57" s="86" t="s">
        <v>566</v>
      </c>
      <c r="P57" s="89" t="s">
        <v>507</v>
      </c>
      <c r="Q57" s="86" t="s">
        <v>475</v>
      </c>
      <c r="R57" s="90" t="s">
        <v>509</v>
      </c>
      <c r="S57" s="87" t="s">
        <v>504</v>
      </c>
      <c r="T57" s="68"/>
    </row>
    <row r="58" ht="18.75" hidden="1" customHeight="1">
      <c r="A58" s="68"/>
      <c r="B58" s="137" t="s">
        <v>588</v>
      </c>
      <c r="C58" s="68"/>
      <c r="D58" s="149" t="s">
        <v>588</v>
      </c>
      <c r="E58" s="80">
        <v>45172.0</v>
      </c>
      <c r="F58" s="202">
        <v>0.75</v>
      </c>
      <c r="G58" s="94" t="str">
        <f>IFERROR(__xludf.DUMMYFUNCTION("""COMPUTED_VALUE"""),"equipe câo")</f>
        <v>equipe câo</v>
      </c>
      <c r="H58" s="94" t="str">
        <f>IFERROR(__xludf.DUMMYFUNCTION("""COMPUTED_VALUE"""),"Sightread Buff")</f>
        <v>Sightread Buff</v>
      </c>
      <c r="I58" s="93"/>
      <c r="J58" s="94"/>
      <c r="K58" s="94"/>
      <c r="L58" s="83"/>
      <c r="M58" s="194" t="str">
        <f t="array" ref="M58:O58">IFERROR(IF(D58="",,{INDIRECT("'"&amp;D58&amp;"'!C3"),INDIRECT("'"&amp;D58&amp;"'!E3"),INDIRECT("'"&amp;D58&amp;"'!I3")}),"")&amp;T(NOW())</f>
        <v/>
      </c>
      <c r="N58" s="83" t="s">
        <v>566</v>
      </c>
      <c r="O58" s="86" t="s">
        <v>566</v>
      </c>
      <c r="P58" s="89" t="s">
        <v>507</v>
      </c>
      <c r="Q58" s="86" t="s">
        <v>494</v>
      </c>
      <c r="R58" s="90" t="s">
        <v>509</v>
      </c>
      <c r="S58" s="87" t="s">
        <v>495</v>
      </c>
      <c r="T58" s="68"/>
    </row>
    <row r="59" ht="18.75" customHeight="1">
      <c r="A59" s="68"/>
      <c r="B59" s="88">
        <v>44.0</v>
      </c>
      <c r="C59" s="68"/>
      <c r="D59" s="79">
        <v>44.0</v>
      </c>
      <c r="E59" s="206">
        <v>45172.0</v>
      </c>
      <c r="F59" s="202">
        <v>0.5833333333333334</v>
      </c>
      <c r="G59" s="94" t="str">
        <f>IFERROR(__xludf.DUMMYFUNCTION("""COMPUTED_VALUE"""),"Kittens")</f>
        <v>Kittens</v>
      </c>
      <c r="H59" s="94" t="str">
        <f>IFERROR(__xludf.DUMMYFUNCTION("""COMPUTED_VALUE"""),"The sleepers")</f>
        <v>The sleepers</v>
      </c>
      <c r="I59" s="93" t="s">
        <v>461</v>
      </c>
      <c r="J59" s="94"/>
      <c r="K59" s="94"/>
      <c r="L59" s="83"/>
      <c r="M59" s="194" t="str">
        <f t="array" ref="M59:O59">IFERROR(IF(D59="",,{INDIRECT("'"&amp;D59&amp;"'!C3"),INDIRECT("'"&amp;D59&amp;"'!E3"),INDIRECT("'"&amp;D59&amp;"'!I3")}),"")&amp;T(NOW())</f>
        <v>4</v>
      </c>
      <c r="N59" s="83" t="s">
        <v>559</v>
      </c>
      <c r="O59" s="84" t="s">
        <v>577</v>
      </c>
      <c r="P59" s="89" t="s">
        <v>465</v>
      </c>
      <c r="Q59" s="86" t="s">
        <v>465</v>
      </c>
      <c r="R59" s="90" t="s">
        <v>533</v>
      </c>
      <c r="S59" s="87" t="s">
        <v>536</v>
      </c>
      <c r="T59" s="68"/>
    </row>
    <row r="60" ht="18.75" hidden="1" customHeight="1">
      <c r="A60" s="68"/>
      <c r="B60" s="137" t="s">
        <v>578</v>
      </c>
      <c r="C60" s="68"/>
      <c r="D60" s="149" t="s">
        <v>578</v>
      </c>
      <c r="E60" s="80">
        <v>45172.0</v>
      </c>
      <c r="F60" s="202">
        <v>0.5833333333333334</v>
      </c>
      <c r="G60" s="94" t="str">
        <f>IFERROR(__xludf.DUMMYFUNCTION("""COMPUTED_VALUE"""),"Kittens")</f>
        <v>Kittens</v>
      </c>
      <c r="H60" s="94" t="str">
        <f>IFERROR(__xludf.DUMMYFUNCTION("""COMPUTED_VALUE"""),"foxy1919191919's basement")</f>
        <v>foxy1919191919's basement</v>
      </c>
      <c r="I60" s="93"/>
      <c r="J60" s="94"/>
      <c r="K60" s="94"/>
      <c r="L60" s="83"/>
      <c r="M60" s="194" t="str">
        <f t="array" ref="M60:O60">IFERROR(IF(D60="",,{INDIRECT("'"&amp;D60&amp;"'!C3"),INDIRECT("'"&amp;D60&amp;"'!E3"),INDIRECT("'"&amp;D60&amp;"'!I3")}),"")&amp;T(NOW())</f>
        <v/>
      </c>
      <c r="N60" s="83" t="s">
        <v>566</v>
      </c>
      <c r="O60" s="86" t="s">
        <v>566</v>
      </c>
      <c r="P60" s="89" t="s">
        <v>465</v>
      </c>
      <c r="Q60" s="86" t="s">
        <v>512</v>
      </c>
      <c r="R60" s="90" t="s">
        <v>533</v>
      </c>
      <c r="S60" s="87" t="s">
        <v>514</v>
      </c>
      <c r="T60" s="68"/>
    </row>
    <row r="61" ht="18.75" hidden="1" customHeight="1">
      <c r="A61" s="68"/>
      <c r="B61" s="137" t="s">
        <v>579</v>
      </c>
      <c r="C61" s="68"/>
      <c r="D61" s="149" t="s">
        <v>579</v>
      </c>
      <c r="E61" s="80">
        <v>45172.0</v>
      </c>
      <c r="F61" s="202">
        <v>0.5833333333333334</v>
      </c>
      <c r="G61" s="94" t="str">
        <f>IFERROR(__xludf.DUMMYFUNCTION("""COMPUTED_VALUE"""),"Kittens")</f>
        <v>Kittens</v>
      </c>
      <c r="H61" s="94" t="str">
        <f>IFERROR(__xludf.DUMMYFUNCTION("""COMPUTED_VALUE"""),"The sleepers")</f>
        <v>The sleepers</v>
      </c>
      <c r="I61" s="118"/>
      <c r="J61" s="94"/>
      <c r="K61" s="94"/>
      <c r="L61" s="83"/>
      <c r="M61" s="194" t="str">
        <f t="array" ref="M61:O61">IFERROR(IF(D61="",,{INDIRECT("'"&amp;D61&amp;"'!C3"),INDIRECT("'"&amp;D61&amp;"'!E3"),INDIRECT("'"&amp;D61&amp;"'!I3")}),"")&amp;T(NOW())</f>
        <v/>
      </c>
      <c r="N61" s="83" t="s">
        <v>566</v>
      </c>
      <c r="O61" s="86" t="s">
        <v>566</v>
      </c>
      <c r="P61" s="89" t="s">
        <v>465</v>
      </c>
      <c r="Q61" s="86" t="s">
        <v>465</v>
      </c>
      <c r="R61" s="90" t="s">
        <v>533</v>
      </c>
      <c r="S61" s="87" t="s">
        <v>536</v>
      </c>
      <c r="T61" s="68"/>
    </row>
    <row r="62" ht="18.75" hidden="1" customHeight="1">
      <c r="A62" s="68"/>
      <c r="B62" s="137" t="s">
        <v>569</v>
      </c>
      <c r="C62" s="68"/>
      <c r="D62" s="149" t="s">
        <v>569</v>
      </c>
      <c r="E62" s="80">
        <v>45172.0</v>
      </c>
      <c r="F62" s="202">
        <v>0.3333333333333333</v>
      </c>
      <c r="G62" s="94" t="str">
        <f>IFERROR(__xludf.DUMMYFUNCTION("""COMPUTED_VALUE"""),"PLDT ANO NAAA")</f>
        <v>PLDT ANO NAAA</v>
      </c>
      <c r="H62" s="94" t="str">
        <f>IFERROR(__xludf.DUMMYFUNCTION("""COMPUTED_VALUE"""),"foxy1919191919's basement")</f>
        <v>foxy1919191919's basement</v>
      </c>
      <c r="I62" s="118"/>
      <c r="J62" s="94"/>
      <c r="K62" s="94"/>
      <c r="L62" s="83"/>
      <c r="M62" s="194" t="str">
        <f t="array" ref="M62:O62">IFERROR(IF(D62="",,{INDIRECT("'"&amp;D62&amp;"'!C3"),INDIRECT("'"&amp;D62&amp;"'!E3"),INDIRECT("'"&amp;D62&amp;"'!I3")}),"")&amp;T(NOW())</f>
        <v/>
      </c>
      <c r="N62" s="83" t="s">
        <v>566</v>
      </c>
      <c r="O62" s="86" t="s">
        <v>566</v>
      </c>
      <c r="P62" s="89" t="s">
        <v>475</v>
      </c>
      <c r="Q62" s="86" t="s">
        <v>512</v>
      </c>
      <c r="R62" s="90" t="s">
        <v>487</v>
      </c>
      <c r="S62" s="87" t="s">
        <v>514</v>
      </c>
      <c r="T62" s="68"/>
    </row>
    <row r="63" ht="18.75" hidden="1" customHeight="1">
      <c r="A63" s="68"/>
      <c r="B63" s="137" t="s">
        <v>580</v>
      </c>
      <c r="C63" s="68"/>
      <c r="D63" s="149" t="s">
        <v>580</v>
      </c>
      <c r="E63" s="198">
        <v>45172.0</v>
      </c>
      <c r="F63" s="202">
        <v>0.5833333333333334</v>
      </c>
      <c r="G63" s="92" t="str">
        <f>IFERROR(__xludf.DUMMYFUNCTION("""COMPUTED_VALUE"""),"PLDT ANO NAAA")</f>
        <v>PLDT ANO NAAA</v>
      </c>
      <c r="H63" s="92" t="str">
        <f>IFERROR(__xludf.DUMMYFUNCTION("""COMPUTED_VALUE"""),"The sleepers")</f>
        <v>The sleepers</v>
      </c>
      <c r="I63" s="93"/>
      <c r="J63" s="92"/>
      <c r="K63" s="92"/>
      <c r="L63" s="27"/>
      <c r="M63" s="194" t="str">
        <f t="array" ref="M63:O63">IFERROR(IF(D63="",,{INDIRECT("'"&amp;D63&amp;"'!C3"),INDIRECT("'"&amp;D63&amp;"'!E3"),INDIRECT("'"&amp;D63&amp;"'!I3")}),"")&amp;T(NOW())</f>
        <v/>
      </c>
      <c r="N63" s="83" t="s">
        <v>566</v>
      </c>
      <c r="O63" s="86" t="s">
        <v>566</v>
      </c>
      <c r="P63" s="89" t="s">
        <v>475</v>
      </c>
      <c r="Q63" s="86" t="s">
        <v>465</v>
      </c>
      <c r="R63" s="129" t="s">
        <v>487</v>
      </c>
      <c r="S63" s="87" t="s">
        <v>536</v>
      </c>
      <c r="T63" s="68"/>
    </row>
    <row r="64" ht="18.75" customHeight="1">
      <c r="A64" s="138"/>
      <c r="B64" s="150">
        <v>45.0</v>
      </c>
      <c r="C64" s="138"/>
      <c r="D64" s="140">
        <v>45.0</v>
      </c>
      <c r="E64" s="80">
        <v>45171.0</v>
      </c>
      <c r="F64" s="207">
        <v>0.5416666666666666</v>
      </c>
      <c r="G64" s="151" t="str">
        <f>IFERROR(__xludf.DUMMYFUNCTION("""COMPUTED_VALUE"""),"small wiener club")</f>
        <v>small wiener club</v>
      </c>
      <c r="H64" s="151" t="str">
        <f>IFERROR(__xludf.DUMMYFUNCTION("""COMPUTED_VALUE"""),"placeholder teamname")</f>
        <v>placeholder teamname</v>
      </c>
      <c r="I64" s="152" t="s">
        <v>461</v>
      </c>
      <c r="J64" s="151"/>
      <c r="K64" s="151"/>
      <c r="L64" s="153"/>
      <c r="M64" s="205" t="str">
        <f t="array" ref="M64:O64">IFERROR(IF(D64="",,{INDIRECT("'"&amp;D64&amp;"'!C3"),INDIRECT("'"&amp;D64&amp;"'!E3"),INDIRECT("'"&amp;D64&amp;"'!I3")}),"")&amp;T(NOW())</f>
        <v>2</v>
      </c>
      <c r="N64" s="145" t="s">
        <v>559</v>
      </c>
      <c r="O64" s="154" t="s">
        <v>561</v>
      </c>
      <c r="P64" s="147" t="s">
        <v>465</v>
      </c>
      <c r="Q64" s="146" t="s">
        <v>475</v>
      </c>
      <c r="R64" s="90" t="s">
        <v>470</v>
      </c>
      <c r="S64" s="148" t="s">
        <v>546</v>
      </c>
      <c r="T64" s="138"/>
    </row>
    <row r="65" ht="18.75" customHeight="1">
      <c r="A65" s="68"/>
      <c r="B65" s="88">
        <v>46.0</v>
      </c>
      <c r="C65" s="68"/>
      <c r="D65" s="79">
        <v>46.0</v>
      </c>
      <c r="E65" s="80">
        <v>45172.0</v>
      </c>
      <c r="F65" s="202">
        <v>0.75</v>
      </c>
      <c r="G65" s="92" t="str">
        <f>IFERROR(__xludf.DUMMYFUNCTION("""COMPUTED_VALUE"""),"Homossexual Students")</f>
        <v>Homossexual Students</v>
      </c>
      <c r="H65" s="92" t="str">
        <f>IFERROR(__xludf.DUMMYFUNCTION("""COMPUTED_VALUE"""),"female ass wrestling")</f>
        <v>female ass wrestling</v>
      </c>
      <c r="I65" s="93" t="s">
        <v>589</v>
      </c>
      <c r="J65" s="92"/>
      <c r="K65" s="92"/>
      <c r="L65" s="27"/>
      <c r="M65" s="194" t="str">
        <f t="array" ref="M65:O65">IFERROR(IF(D65="",,{INDIRECT("'"&amp;D65&amp;"'!C3"),INDIRECT("'"&amp;D65&amp;"'!E3"),INDIRECT("'"&amp;D65&amp;"'!I3")}),"")&amp;T(NOW())</f>
        <v>0</v>
      </c>
      <c r="N65" s="83" t="s">
        <v>559</v>
      </c>
      <c r="O65" s="84" t="s">
        <v>590</v>
      </c>
      <c r="P65" s="89" t="s">
        <v>507</v>
      </c>
      <c r="Q65" s="86" t="s">
        <v>465</v>
      </c>
      <c r="R65" s="90" t="s">
        <v>528</v>
      </c>
      <c r="S65" s="87" t="s">
        <v>490</v>
      </c>
      <c r="T65" s="68"/>
    </row>
    <row r="66" ht="18.75" customHeight="1">
      <c r="A66" s="68"/>
      <c r="B66" s="88">
        <v>47.0</v>
      </c>
      <c r="C66" s="68"/>
      <c r="D66" s="79">
        <v>47.0</v>
      </c>
      <c r="E66" s="80">
        <v>45171.0</v>
      </c>
      <c r="F66" s="202">
        <v>0.625</v>
      </c>
      <c r="G66" s="92" t="str">
        <f>IFERROR(__xludf.DUMMYFUNCTION("""COMPUTED_VALUE"""),":MIPINGA:")</f>
        <v>:MIPINGA:</v>
      </c>
      <c r="H66" s="92" t="str">
        <f>IFERROR(__xludf.DUMMYFUNCTION("""COMPUTED_VALUE"""),"Ghost the Angel")</f>
        <v>Ghost the Angel</v>
      </c>
      <c r="I66" s="93" t="s">
        <v>488</v>
      </c>
      <c r="J66" s="92"/>
      <c r="K66" s="92"/>
      <c r="L66" s="27"/>
      <c r="M66" s="194" t="str">
        <f t="array" ref="M66:O66">IFERROR(IF(D66="",,{INDIRECT("'"&amp;D66&amp;"'!C3"),INDIRECT("'"&amp;D66&amp;"'!E3"),INDIRECT("'"&amp;D66&amp;"'!I3")}),"")&amp;T(NOW())</f>
        <v>0</v>
      </c>
      <c r="N66" s="83" t="s">
        <v>565</v>
      </c>
      <c r="O66" s="86" t="s">
        <v>566</v>
      </c>
      <c r="P66" s="89" t="s">
        <v>518</v>
      </c>
      <c r="Q66" s="86" t="s">
        <v>474</v>
      </c>
      <c r="R66" s="90" t="s">
        <v>520</v>
      </c>
      <c r="S66" s="87" t="s">
        <v>476</v>
      </c>
      <c r="T66" s="68"/>
    </row>
    <row r="67" ht="18.75" customHeight="1">
      <c r="A67" s="131"/>
      <c r="B67" s="132">
        <v>48.0</v>
      </c>
      <c r="C67" s="131"/>
      <c r="D67" s="95">
        <v>48.0</v>
      </c>
      <c r="E67" s="96">
        <v>45172.0</v>
      </c>
      <c r="F67" s="208">
        <v>0.5</v>
      </c>
      <c r="G67" s="98" t="str">
        <f>IFERROR(__xludf.DUMMYFUNCTION("""COMPUTED_VALUE"""),"match in 15")</f>
        <v>match in 15</v>
      </c>
      <c r="H67" s="98" t="str">
        <f>IFERROR(__xludf.DUMMYFUNCTION("""COMPUTED_VALUE"""),"Tom and Jerry")</f>
        <v>Tom and Jerry</v>
      </c>
      <c r="I67" s="157" t="s">
        <v>541</v>
      </c>
      <c r="J67" s="98"/>
      <c r="K67" s="98"/>
      <c r="L67" s="158"/>
      <c r="M67" s="195" t="str">
        <f t="array" ref="M67:O67">IFERROR(IF(D67="",,{INDIRECT("'"&amp;D67&amp;"'!C3"),INDIRECT("'"&amp;D67&amp;"'!E3"),INDIRECT("'"&amp;D67&amp;"'!I3")}),"")&amp;T(NOW())</f>
        <v>6</v>
      </c>
      <c r="N67" s="101" t="s">
        <v>492</v>
      </c>
      <c r="O67" s="159" t="s">
        <v>571</v>
      </c>
      <c r="P67" s="160" t="s">
        <v>475</v>
      </c>
      <c r="Q67" s="159" t="s">
        <v>474</v>
      </c>
      <c r="R67" s="161" t="s">
        <v>499</v>
      </c>
      <c r="S67" s="162" t="s">
        <v>482</v>
      </c>
      <c r="T67" s="131"/>
    </row>
    <row r="68" ht="18.75" customHeight="1">
      <c r="A68" s="68"/>
      <c r="B68" s="163">
        <v>49.0</v>
      </c>
      <c r="C68" s="68"/>
      <c r="D68" s="79">
        <v>49.0</v>
      </c>
      <c r="E68" s="80">
        <v>45177.0</v>
      </c>
      <c r="F68" s="201">
        <v>0.5833333333333334</v>
      </c>
      <c r="G68" s="92" t="str">
        <f>IFERROR(__xludf.DUMMYFUNCTION("""COMPUTED_VALUE"""),"small wiener club")</f>
        <v>small wiener club</v>
      </c>
      <c r="H68" s="92" t="str">
        <f>IFERROR(__xludf.DUMMYFUNCTION("""COMPUTED_VALUE"""),"Chocomaid")</f>
        <v>Chocomaid</v>
      </c>
      <c r="I68" s="93" t="s">
        <v>461</v>
      </c>
      <c r="J68" s="92"/>
      <c r="K68" s="92"/>
      <c r="L68" s="164"/>
      <c r="M68" s="209" t="str">
        <f t="array" ref="M68:O68">IFERROR(IF(D68="",,{INDIRECT("'"&amp;D68&amp;"'!C3"),INDIRECT("'"&amp;D68&amp;"'!E3"),INDIRECT("'"&amp;D68&amp;"'!I3")}),"")&amp;T(NOW())</f>
        <v>6</v>
      </c>
      <c r="N68" s="164" t="s">
        <v>463</v>
      </c>
      <c r="O68" s="163" t="s">
        <v>594</v>
      </c>
      <c r="P68" s="165" t="s">
        <v>465</v>
      </c>
      <c r="Q68" s="164" t="s">
        <v>475</v>
      </c>
      <c r="R68" s="166" t="s">
        <v>470</v>
      </c>
      <c r="S68" s="167" t="s">
        <v>504</v>
      </c>
      <c r="T68" s="68"/>
    </row>
    <row r="69" ht="18.75" customHeight="1">
      <c r="A69" s="68"/>
      <c r="B69" s="163">
        <v>50.0</v>
      </c>
      <c r="C69" s="68"/>
      <c r="D69" s="79">
        <v>50.0</v>
      </c>
      <c r="E69" s="80">
        <v>45177.0</v>
      </c>
      <c r="F69" s="201">
        <v>0.7916666666666666</v>
      </c>
      <c r="G69" s="92" t="str">
        <f>IFERROR(__xludf.DUMMYFUNCTION("""COMPUTED_VALUE"""),"Homossexual Students")</f>
        <v>Homossexual Students</v>
      </c>
      <c r="H69" s="92" t="str">
        <f>IFERROR(__xludf.DUMMYFUNCTION("""COMPUTED_VALUE"""),"The sleepers")</f>
        <v>The sleepers</v>
      </c>
      <c r="I69" s="93" t="s">
        <v>488</v>
      </c>
      <c r="J69" s="92"/>
      <c r="K69" s="92"/>
      <c r="L69" s="164"/>
      <c r="M69" s="210" t="str">
        <f t="array" ref="M69:O69">IFERROR(IF(D69="",,{INDIRECT("'"&amp;D69&amp;"'!C3"),INDIRECT("'"&amp;D69&amp;"'!E3"),INDIRECT("'"&amp;D69&amp;"'!I3")}),"")&amp;T(NOW())</f>
        <v>6</v>
      </c>
      <c r="N69" s="164" t="s">
        <v>467</v>
      </c>
      <c r="O69" s="163" t="s">
        <v>595</v>
      </c>
      <c r="P69" s="165" t="s">
        <v>507</v>
      </c>
      <c r="Q69" s="164" t="s">
        <v>465</v>
      </c>
      <c r="R69" s="168" t="s">
        <v>528</v>
      </c>
      <c r="S69" s="167" t="s">
        <v>536</v>
      </c>
      <c r="T69" s="68"/>
    </row>
    <row r="70" ht="18.75" customHeight="1">
      <c r="A70" s="68"/>
      <c r="B70" s="163">
        <v>51.0</v>
      </c>
      <c r="C70" s="68"/>
      <c r="D70" s="79">
        <v>51.0</v>
      </c>
      <c r="E70" s="80">
        <v>45178.0</v>
      </c>
      <c r="F70" s="201">
        <v>0.6666666666666666</v>
      </c>
      <c r="G70" s="92" t="str">
        <f>IFERROR(__xludf.DUMMYFUNCTION("""COMPUTED_VALUE"""),"Ghost the Angel")</f>
        <v>Ghost the Angel</v>
      </c>
      <c r="H70" s="92" t="str">
        <f>IFERROR(__xludf.DUMMYFUNCTION("""COMPUTED_VALUE"""),"The 3-star Threats")</f>
        <v>The 3-star Threats</v>
      </c>
      <c r="I70" s="93" t="s">
        <v>541</v>
      </c>
      <c r="J70" s="92"/>
      <c r="K70" s="92"/>
      <c r="L70" s="164"/>
      <c r="M70" s="210" t="str">
        <f t="array" ref="M70:O70">IFERROR(IF(D70="",,{INDIRECT("'"&amp;D70&amp;"'!C3"),INDIRECT("'"&amp;D70&amp;"'!E3"),INDIRECT("'"&amp;D70&amp;"'!I3")}),"")&amp;T(NOW())</f>
        <v>6</v>
      </c>
      <c r="N70" s="164" t="s">
        <v>463</v>
      </c>
      <c r="O70" s="163" t="s">
        <v>599</v>
      </c>
      <c r="P70" s="165" t="s">
        <v>474</v>
      </c>
      <c r="Q70" s="164" t="s">
        <v>503</v>
      </c>
      <c r="R70" s="168" t="s">
        <v>476</v>
      </c>
      <c r="S70" s="167" t="s">
        <v>535</v>
      </c>
      <c r="T70" s="68"/>
    </row>
    <row r="71" ht="18.75" customHeight="1">
      <c r="A71" s="68"/>
      <c r="B71" s="163">
        <v>52.0</v>
      </c>
      <c r="C71" s="68"/>
      <c r="D71" s="79">
        <v>52.0</v>
      </c>
      <c r="E71" s="80">
        <v>45178.0</v>
      </c>
      <c r="F71" s="201">
        <v>0.4166666666666667</v>
      </c>
      <c r="G71" s="92" t="str">
        <f>IFERROR(__xludf.DUMMYFUNCTION("""COMPUTED_VALUE"""),"Tom and Jerry")</f>
        <v>Tom and Jerry</v>
      </c>
      <c r="H71" s="92" t="str">
        <f>IFERROR(__xludf.DUMMYFUNCTION("""COMPUTED_VALUE"""),"VN+1")</f>
        <v>VN+1</v>
      </c>
      <c r="I71" s="93" t="s">
        <v>478</v>
      </c>
      <c r="J71" s="92" t="s">
        <v>596</v>
      </c>
      <c r="K71" s="92" t="s">
        <v>597</v>
      </c>
      <c r="L71" s="164"/>
      <c r="M71" s="211" t="str">
        <f t="array" ref="M71:O71">IFERROR(IF(D71="",,{INDIRECT("'"&amp;D71&amp;"'!C3"),INDIRECT("'"&amp;D71&amp;"'!E3"),INDIRECT("'"&amp;D71&amp;"'!I3")}),"")&amp;T(NOW())</f>
        <v>6</v>
      </c>
      <c r="N71" s="164" t="s">
        <v>479</v>
      </c>
      <c r="O71" s="163" t="s">
        <v>598</v>
      </c>
      <c r="P71" s="165" t="s">
        <v>474</v>
      </c>
      <c r="Q71" s="164" t="s">
        <v>474</v>
      </c>
      <c r="R71" s="169" t="s">
        <v>482</v>
      </c>
      <c r="S71" s="167" t="s">
        <v>496</v>
      </c>
      <c r="T71" s="68"/>
    </row>
    <row r="72" ht="18.75" customHeight="1">
      <c r="A72" s="138"/>
      <c r="B72" s="170">
        <v>53.0</v>
      </c>
      <c r="C72" s="138"/>
      <c r="D72" s="140">
        <v>53.0</v>
      </c>
      <c r="E72" s="80">
        <v>45179.0</v>
      </c>
      <c r="F72" s="201">
        <v>0.5833333333333334</v>
      </c>
      <c r="G72" s="151" t="str">
        <f>IFERROR(__xludf.DUMMYFUNCTION("""COMPUTED_VALUE"""),"Homossexual Students")</f>
        <v>Homossexual Students</v>
      </c>
      <c r="H72" s="151" t="str">
        <f>IFERROR(__xludf.DUMMYFUNCTION("""COMPUTED_VALUE"""),"small wiener club")</f>
        <v>small wiener club</v>
      </c>
      <c r="I72" s="152" t="s">
        <v>461</v>
      </c>
      <c r="J72" s="151"/>
      <c r="K72" s="151"/>
      <c r="L72" s="171"/>
      <c r="M72" s="210" t="str">
        <f t="array" ref="M72:O72">IFERROR(IF(D72="",,{INDIRECT("'"&amp;D72&amp;"'!C3"),INDIRECT("'"&amp;D72&amp;"'!E3"),INDIRECT("'"&amp;D72&amp;"'!I3")}),"")&amp;T(NOW())</f>
        <v>6</v>
      </c>
      <c r="N72" s="171" t="s">
        <v>462</v>
      </c>
      <c r="O72" s="170" t="s">
        <v>605</v>
      </c>
      <c r="P72" s="172" t="s">
        <v>507</v>
      </c>
      <c r="Q72" s="171" t="s">
        <v>465</v>
      </c>
      <c r="R72" s="168" t="s">
        <v>528</v>
      </c>
      <c r="S72" s="173" t="s">
        <v>470</v>
      </c>
      <c r="T72" s="138"/>
    </row>
    <row r="73" ht="18.75" hidden="1" customHeight="1">
      <c r="A73" s="68"/>
      <c r="B73" s="164" t="s">
        <v>606</v>
      </c>
      <c r="C73" s="68"/>
      <c r="D73" s="149" t="s">
        <v>606</v>
      </c>
      <c r="E73" s="80">
        <v>45179.0</v>
      </c>
      <c r="F73" s="201">
        <v>0.5833333333333334</v>
      </c>
      <c r="G73" s="92" t="str">
        <f>IFERROR(__xludf.DUMMYFUNCTION("""COMPUTED_VALUE"""),"Homossexual Students")</f>
        <v>Homossexual Students</v>
      </c>
      <c r="H73" s="92" t="str">
        <f>IFERROR(__xludf.DUMMYFUNCTION("""COMPUTED_VALUE"""),"small wiener club")</f>
        <v>small wiener club</v>
      </c>
      <c r="I73" s="93" t="s">
        <v>461</v>
      </c>
      <c r="J73" s="92"/>
      <c r="K73" s="92"/>
      <c r="L73" s="164"/>
      <c r="M73" s="210" t="str">
        <f t="array" ref="M73:O73">IFERROR(IF(D73="",,{INDIRECT("'"&amp;D73&amp;"'!C3"),INDIRECT("'"&amp;D73&amp;"'!E3"),INDIRECT("'"&amp;D73&amp;"'!I3")}),"")&amp;T(NOW())</f>
        <v/>
      </c>
      <c r="N73" s="164" t="s">
        <v>566</v>
      </c>
      <c r="O73" s="164" t="s">
        <v>566</v>
      </c>
      <c r="P73" s="165" t="s">
        <v>507</v>
      </c>
      <c r="Q73" s="164" t="s">
        <v>465</v>
      </c>
      <c r="R73" s="168" t="s">
        <v>528</v>
      </c>
      <c r="S73" s="167" t="s">
        <v>470</v>
      </c>
      <c r="T73" s="68"/>
    </row>
    <row r="74" ht="18.75" hidden="1" customHeight="1">
      <c r="A74" s="68"/>
      <c r="B74" s="164" t="s">
        <v>607</v>
      </c>
      <c r="C74" s="68"/>
      <c r="D74" s="149" t="s">
        <v>607</v>
      </c>
      <c r="E74" s="80">
        <v>45179.0</v>
      </c>
      <c r="F74" s="201">
        <v>0.5833333333333334</v>
      </c>
      <c r="G74" s="92" t="str">
        <f>IFERROR(__xludf.DUMMYFUNCTION("""COMPUTED_VALUE"""),"Homossexual Students")</f>
        <v>Homossexual Students</v>
      </c>
      <c r="H74" s="92" t="str">
        <f>IFERROR(__xludf.DUMMYFUNCTION("""COMPUTED_VALUE"""),"Chocomaid")</f>
        <v>Chocomaid</v>
      </c>
      <c r="I74" s="93" t="s">
        <v>461</v>
      </c>
      <c r="J74" s="92"/>
      <c r="K74" s="92"/>
      <c r="L74" s="164"/>
      <c r="M74" s="210" t="str">
        <f t="array" ref="M74:O74">IFERROR(IF(D74="",,{INDIRECT("'"&amp;D74&amp;"'!C3"),INDIRECT("'"&amp;D74&amp;"'!E3"),INDIRECT("'"&amp;D74&amp;"'!I3")}),"")&amp;T(NOW())</f>
        <v/>
      </c>
      <c r="N74" s="164" t="s">
        <v>566</v>
      </c>
      <c r="O74" s="164" t="s">
        <v>566</v>
      </c>
      <c r="P74" s="165" t="s">
        <v>507</v>
      </c>
      <c r="Q74" s="164" t="s">
        <v>475</v>
      </c>
      <c r="R74" s="168" t="s">
        <v>528</v>
      </c>
      <c r="S74" s="167" t="s">
        <v>504</v>
      </c>
      <c r="T74" s="68"/>
    </row>
    <row r="75" ht="18.75" hidden="1" customHeight="1">
      <c r="A75" s="68"/>
      <c r="B75" s="164" t="s">
        <v>610</v>
      </c>
      <c r="C75" s="68"/>
      <c r="D75" s="149" t="s">
        <v>610</v>
      </c>
      <c r="E75" s="80">
        <v>45179.0</v>
      </c>
      <c r="F75" s="201">
        <v>0.6666666666666666</v>
      </c>
      <c r="G75" s="92" t="str">
        <f>IFERROR(__xludf.DUMMYFUNCTION("""COMPUTED_VALUE"""),"The sleepers")</f>
        <v>The sleepers</v>
      </c>
      <c r="H75" s="92" t="str">
        <f>IFERROR(__xludf.DUMMYFUNCTION("""COMPUTED_VALUE"""),"small wiener club")</f>
        <v>small wiener club</v>
      </c>
      <c r="I75" s="93" t="s">
        <v>461</v>
      </c>
      <c r="J75" s="92"/>
      <c r="K75" s="92"/>
      <c r="L75" s="164"/>
      <c r="M75" s="210" t="str">
        <f t="array" ref="M75:O75">IFERROR(IF(D75="",,{INDIRECT("'"&amp;D75&amp;"'!C3"),INDIRECT("'"&amp;D75&amp;"'!E3"),INDIRECT("'"&amp;D75&amp;"'!I3")}),"")&amp;T(NOW())</f>
        <v/>
      </c>
      <c r="N75" s="164" t="s">
        <v>566</v>
      </c>
      <c r="O75" s="164" t="s">
        <v>566</v>
      </c>
      <c r="P75" s="165" t="s">
        <v>465</v>
      </c>
      <c r="Q75" s="164" t="s">
        <v>465</v>
      </c>
      <c r="R75" s="168" t="s">
        <v>536</v>
      </c>
      <c r="S75" s="167" t="s">
        <v>470</v>
      </c>
      <c r="T75" s="68"/>
    </row>
    <row r="76" ht="18.75" hidden="1" customHeight="1">
      <c r="A76" s="68"/>
      <c r="B76" s="164" t="s">
        <v>611</v>
      </c>
      <c r="C76" s="68"/>
      <c r="D76" s="149" t="s">
        <v>611</v>
      </c>
      <c r="E76" s="80">
        <v>45179.0</v>
      </c>
      <c r="F76" s="201">
        <v>0.6666666666666666</v>
      </c>
      <c r="G76" s="92" t="str">
        <f>IFERROR(__xludf.DUMMYFUNCTION("""COMPUTED_VALUE"""),"The sleepers")</f>
        <v>The sleepers</v>
      </c>
      <c r="H76" s="92" t="str">
        <f>IFERROR(__xludf.DUMMYFUNCTION("""COMPUTED_VALUE"""),"Chocomaid")</f>
        <v>Chocomaid</v>
      </c>
      <c r="I76" s="93" t="s">
        <v>461</v>
      </c>
      <c r="J76" s="92"/>
      <c r="K76" s="92"/>
      <c r="L76" s="164"/>
      <c r="M76" s="210" t="str">
        <f t="array" ref="M76:O76">IFERROR(IF(D76="",,{INDIRECT("'"&amp;D76&amp;"'!C3"),INDIRECT("'"&amp;D76&amp;"'!E3"),INDIRECT("'"&amp;D76&amp;"'!I3")}),"")&amp;T(NOW())</f>
        <v/>
      </c>
      <c r="N76" s="164" t="s">
        <v>566</v>
      </c>
      <c r="O76" s="164" t="s">
        <v>566</v>
      </c>
      <c r="P76" s="165" t="s">
        <v>465</v>
      </c>
      <c r="Q76" s="164" t="s">
        <v>475</v>
      </c>
      <c r="R76" s="168" t="s">
        <v>536</v>
      </c>
      <c r="S76" s="167" t="s">
        <v>504</v>
      </c>
      <c r="T76" s="68"/>
    </row>
    <row r="77" ht="18.75" customHeight="1">
      <c r="A77" s="68"/>
      <c r="B77" s="163">
        <v>54.0</v>
      </c>
      <c r="C77" s="68"/>
      <c r="D77" s="79">
        <v>54.0</v>
      </c>
      <c r="E77" s="80">
        <v>45179.0</v>
      </c>
      <c r="F77" s="201">
        <v>0.4166666666666667</v>
      </c>
      <c r="G77" s="92" t="str">
        <f>IFERROR(__xludf.DUMMYFUNCTION("""COMPUTED_VALUE"""),"Tom and Jerry")</f>
        <v>Tom and Jerry</v>
      </c>
      <c r="H77" s="92" t="str">
        <f>IFERROR(__xludf.DUMMYFUNCTION("""COMPUTED_VALUE"""),"Ghost the Angel")</f>
        <v>Ghost the Angel</v>
      </c>
      <c r="I77" s="93" t="s">
        <v>554</v>
      </c>
      <c r="J77" s="92"/>
      <c r="K77" s="92"/>
      <c r="L77" s="164"/>
      <c r="M77" s="210" t="str">
        <f t="array" ref="M77:O77">IFERROR(IF(D77="",,{INDIRECT("'"&amp;D77&amp;"'!C3"),INDIRECT("'"&amp;D77&amp;"'!E3"),INDIRECT("'"&amp;D77&amp;"'!I3")}),"")&amp;T(NOW())</f>
        <v>6</v>
      </c>
      <c r="N77" s="164" t="s">
        <v>462</v>
      </c>
      <c r="O77" s="163" t="s">
        <v>601</v>
      </c>
      <c r="P77" s="165" t="s">
        <v>474</v>
      </c>
      <c r="Q77" s="164" t="s">
        <v>474</v>
      </c>
      <c r="R77" s="168" t="s">
        <v>482</v>
      </c>
      <c r="S77" s="167" t="s">
        <v>476</v>
      </c>
      <c r="T77" s="68"/>
    </row>
    <row r="78" ht="18.75" hidden="1" customHeight="1">
      <c r="A78" s="68"/>
      <c r="B78" s="164" t="s">
        <v>602</v>
      </c>
      <c r="C78" s="68"/>
      <c r="D78" s="149" t="s">
        <v>602</v>
      </c>
      <c r="E78" s="80">
        <v>45179.0</v>
      </c>
      <c r="F78" s="201">
        <v>0.4166666666666667</v>
      </c>
      <c r="G78" s="92" t="str">
        <f>IFERROR(__xludf.DUMMYFUNCTION("""COMPUTED_VALUE"""),"Tom and Jerry")</f>
        <v>Tom and Jerry</v>
      </c>
      <c r="H78" s="92" t="str">
        <f>IFERROR(__xludf.DUMMYFUNCTION("""COMPUTED_VALUE"""),"Ghost the Angel")</f>
        <v>Ghost the Angel</v>
      </c>
      <c r="I78" s="93"/>
      <c r="J78" s="92"/>
      <c r="K78" s="92"/>
      <c r="L78" s="164"/>
      <c r="M78" s="210" t="str">
        <f t="array" ref="M78:O78">IFERROR(IF(D78="",,{INDIRECT("'"&amp;D78&amp;"'!C3"),INDIRECT("'"&amp;D78&amp;"'!E3"),INDIRECT("'"&amp;D78&amp;"'!I3")}),"")&amp;T(NOW())</f>
        <v/>
      </c>
      <c r="N78" s="164" t="s">
        <v>566</v>
      </c>
      <c r="O78" s="164" t="s">
        <v>566</v>
      </c>
      <c r="P78" s="165" t="s">
        <v>474</v>
      </c>
      <c r="Q78" s="164" t="s">
        <v>474</v>
      </c>
      <c r="R78" s="168" t="s">
        <v>482</v>
      </c>
      <c r="S78" s="167" t="s">
        <v>476</v>
      </c>
      <c r="T78" s="68"/>
    </row>
    <row r="79" ht="18.75" hidden="1" customHeight="1">
      <c r="A79" s="68"/>
      <c r="B79" s="164" t="s">
        <v>608</v>
      </c>
      <c r="C79" s="68"/>
      <c r="D79" s="149" t="s">
        <v>608</v>
      </c>
      <c r="E79" s="80">
        <v>45179.0</v>
      </c>
      <c r="F79" s="201">
        <v>0.625</v>
      </c>
      <c r="G79" s="92" t="str">
        <f>IFERROR(__xludf.DUMMYFUNCTION("""COMPUTED_VALUE"""),"Tom and Jerry")</f>
        <v>Tom and Jerry</v>
      </c>
      <c r="H79" s="92" t="str">
        <f>IFERROR(__xludf.DUMMYFUNCTION("""COMPUTED_VALUE"""),"The 3-star Threats")</f>
        <v>The 3-star Threats</v>
      </c>
      <c r="I79" s="93" t="s">
        <v>461</v>
      </c>
      <c r="J79" s="92"/>
      <c r="K79" s="92"/>
      <c r="L79" s="164"/>
      <c r="M79" s="210" t="str">
        <f t="array" ref="M79:O79">IFERROR(IF(D79="",,{INDIRECT("'"&amp;D79&amp;"'!C3"),INDIRECT("'"&amp;D79&amp;"'!E3"),INDIRECT("'"&amp;D79&amp;"'!I3")}),"")&amp;T(NOW())</f>
        <v/>
      </c>
      <c r="N79" s="164" t="s">
        <v>566</v>
      </c>
      <c r="O79" s="164" t="s">
        <v>566</v>
      </c>
      <c r="P79" s="165" t="s">
        <v>474</v>
      </c>
      <c r="Q79" s="164" t="s">
        <v>503</v>
      </c>
      <c r="R79" s="168" t="s">
        <v>482</v>
      </c>
      <c r="S79" s="167" t="s">
        <v>535</v>
      </c>
      <c r="T79" s="68"/>
    </row>
    <row r="80" ht="18.75" hidden="1" customHeight="1">
      <c r="A80" s="68"/>
      <c r="B80" s="164" t="s">
        <v>603</v>
      </c>
      <c r="C80" s="68"/>
      <c r="D80" s="149" t="s">
        <v>603</v>
      </c>
      <c r="E80" s="80">
        <v>45179.0</v>
      </c>
      <c r="F80" s="201">
        <v>0.5416666666666666</v>
      </c>
      <c r="G80" s="92" t="str">
        <f>IFERROR(__xludf.DUMMYFUNCTION("""COMPUTED_VALUE"""),"VN+1")</f>
        <v>VN+1</v>
      </c>
      <c r="H80" s="92" t="str">
        <f>IFERROR(__xludf.DUMMYFUNCTION("""COMPUTED_VALUE"""),"Ghost the Angel")</f>
        <v>Ghost the Angel</v>
      </c>
      <c r="I80" s="93" t="s">
        <v>461</v>
      </c>
      <c r="J80" s="92"/>
      <c r="K80" s="92"/>
      <c r="L80" s="164"/>
      <c r="M80" s="210" t="str">
        <f t="array" ref="M80:O80">IFERROR(IF(D80="",,{INDIRECT("'"&amp;D80&amp;"'!C3"),INDIRECT("'"&amp;D80&amp;"'!E3"),INDIRECT("'"&amp;D80&amp;"'!I3")}),"")&amp;T(NOW())</f>
        <v/>
      </c>
      <c r="N80" s="164" t="s">
        <v>566</v>
      </c>
      <c r="O80" s="164" t="s">
        <v>566</v>
      </c>
      <c r="P80" s="165" t="s">
        <v>474</v>
      </c>
      <c r="Q80" s="164" t="s">
        <v>474</v>
      </c>
      <c r="R80" s="168" t="s">
        <v>496</v>
      </c>
      <c r="S80" s="167" t="s">
        <v>476</v>
      </c>
      <c r="T80" s="68"/>
    </row>
    <row r="81" ht="18.75" hidden="1" customHeight="1">
      <c r="A81" s="68"/>
      <c r="B81" s="164" t="s">
        <v>609</v>
      </c>
      <c r="C81" s="68"/>
      <c r="D81" s="149" t="s">
        <v>609</v>
      </c>
      <c r="E81" s="80">
        <v>45179.0</v>
      </c>
      <c r="F81" s="201">
        <v>0.625</v>
      </c>
      <c r="G81" s="92" t="str">
        <f>IFERROR(__xludf.DUMMYFUNCTION("""COMPUTED_VALUE"""),"VN+1")</f>
        <v>VN+1</v>
      </c>
      <c r="H81" s="92" t="str">
        <f>IFERROR(__xludf.DUMMYFUNCTION("""COMPUTED_VALUE"""),"The 3-star Threats")</f>
        <v>The 3-star Threats</v>
      </c>
      <c r="I81" s="93" t="s">
        <v>461</v>
      </c>
      <c r="J81" s="92"/>
      <c r="K81" s="92"/>
      <c r="L81" s="164"/>
      <c r="M81" s="211" t="str">
        <f t="array" ref="M81:O81">IFERROR(IF(D81="",,{INDIRECT("'"&amp;D81&amp;"'!C3"),INDIRECT("'"&amp;D81&amp;"'!E3"),INDIRECT("'"&amp;D81&amp;"'!I3")}),"")&amp;T(NOW())</f>
        <v/>
      </c>
      <c r="N81" s="164" t="s">
        <v>566</v>
      </c>
      <c r="O81" s="164" t="s">
        <v>566</v>
      </c>
      <c r="P81" s="165" t="s">
        <v>474</v>
      </c>
      <c r="Q81" s="164" t="s">
        <v>503</v>
      </c>
      <c r="R81" s="169" t="s">
        <v>496</v>
      </c>
      <c r="S81" s="167" t="s">
        <v>535</v>
      </c>
      <c r="T81" s="68"/>
    </row>
    <row r="82" ht="18.75" customHeight="1">
      <c r="A82" s="138"/>
      <c r="B82" s="170">
        <v>55.0</v>
      </c>
      <c r="C82" s="138"/>
      <c r="D82" s="140">
        <v>55.0</v>
      </c>
      <c r="E82" s="80">
        <v>45179.0</v>
      </c>
      <c r="F82" s="212">
        <v>0.5416666666666666</v>
      </c>
      <c r="G82" s="151" t="str">
        <f>IFERROR(__xludf.DUMMYFUNCTION("""COMPUTED_VALUE"""),"placeholder teamname")</f>
        <v>placeholder teamname</v>
      </c>
      <c r="H82" s="151" t="str">
        <f>IFERROR(__xludf.DUMMYFUNCTION("""COMPUTED_VALUE"""),"female ass wrestling")</f>
        <v>female ass wrestling</v>
      </c>
      <c r="I82" s="152" t="s">
        <v>461</v>
      </c>
      <c r="J82" s="151"/>
      <c r="K82" s="151"/>
      <c r="L82" s="171"/>
      <c r="M82" s="210" t="str">
        <f t="array" ref="M82:O82">IFERROR(IF(D82="",,{INDIRECT("'"&amp;D82&amp;"'!C3"),INDIRECT("'"&amp;D82&amp;"'!E3"),INDIRECT("'"&amp;D82&amp;"'!I3")}),"")&amp;T(NOW())</f>
        <v>6</v>
      </c>
      <c r="N82" s="171" t="s">
        <v>472</v>
      </c>
      <c r="O82" s="170" t="s">
        <v>604</v>
      </c>
      <c r="P82" s="172" t="s">
        <v>475</v>
      </c>
      <c r="Q82" s="171" t="s">
        <v>465</v>
      </c>
      <c r="R82" s="168" t="s">
        <v>546</v>
      </c>
      <c r="S82" s="173" t="s">
        <v>490</v>
      </c>
      <c r="T82" s="138"/>
    </row>
    <row r="83" ht="18.75" customHeight="1">
      <c r="A83" s="131"/>
      <c r="B83" s="213">
        <v>56.0</v>
      </c>
      <c r="C83" s="131"/>
      <c r="D83" s="95">
        <v>56.0</v>
      </c>
      <c r="E83" s="96">
        <v>45178.0</v>
      </c>
      <c r="F83" s="214">
        <v>0.7916666666666666</v>
      </c>
      <c r="G83" s="98" t="str">
        <f>IFERROR(__xludf.DUMMYFUNCTION("""COMPUTED_VALUE"""),":MIPINGA:")</f>
        <v>:MIPINGA:</v>
      </c>
      <c r="H83" s="98" t="str">
        <f>IFERROR(__xludf.DUMMYFUNCTION("""COMPUTED_VALUE"""),"match in 15")</f>
        <v>match in 15</v>
      </c>
      <c r="I83" s="157" t="s">
        <v>488</v>
      </c>
      <c r="J83" s="98"/>
      <c r="K83" s="98"/>
      <c r="L83" s="174"/>
      <c r="M83" s="215" t="str">
        <f t="array" ref="M83:O83">IFERROR(IF(D83="",,{INDIRECT("'"&amp;D83&amp;"'!C3"),INDIRECT("'"&amp;D83&amp;"'!E3"),INDIRECT("'"&amp;D83&amp;"'!I3")}),"")&amp;T(NOW())</f>
        <v>6</v>
      </c>
      <c r="N83" s="174" t="s">
        <v>463</v>
      </c>
      <c r="O83" s="213" t="s">
        <v>600</v>
      </c>
      <c r="P83" s="175" t="s">
        <v>518</v>
      </c>
      <c r="Q83" s="174" t="s">
        <v>475</v>
      </c>
      <c r="R83" s="168" t="s">
        <v>520</v>
      </c>
      <c r="S83" s="176" t="s">
        <v>499</v>
      </c>
      <c r="T83" s="131"/>
    </row>
    <row r="84" ht="18.75" customHeight="1">
      <c r="A84" s="68"/>
      <c r="B84" s="163">
        <v>57.0</v>
      </c>
      <c r="C84" s="68"/>
      <c r="D84" s="79">
        <v>57.0</v>
      </c>
      <c r="E84" s="80">
        <v>45185.0</v>
      </c>
      <c r="F84" s="201">
        <v>0.5208333333333334</v>
      </c>
      <c r="G84" s="92" t="str">
        <f>IFERROR(__xludf.DUMMYFUNCTION("""COMPUTED_VALUE"""),"female ass wrestling")</f>
        <v>female ass wrestling</v>
      </c>
      <c r="H84" s="92" t="str">
        <f>IFERROR(__xludf.DUMMYFUNCTION("""COMPUTED_VALUE"""),"Tom and Jerry")</f>
        <v>Tom and Jerry</v>
      </c>
      <c r="I84" s="93" t="s">
        <v>478</v>
      </c>
      <c r="J84" s="92" t="s">
        <v>596</v>
      </c>
      <c r="K84" s="92" t="s">
        <v>612</v>
      </c>
      <c r="L84" s="164" t="s">
        <v>613</v>
      </c>
      <c r="M84" s="210" t="str">
        <f t="array" ref="M84:O84">IFERROR(IF(D84="",,{INDIRECT("'"&amp;D84&amp;"'!C3"),INDIRECT("'"&amp;D84&amp;"'!E3"),INDIRECT("'"&amp;D84&amp;"'!I3")}),"")&amp;T(NOW())</f>
        <v>7</v>
      </c>
      <c r="N84" s="164" t="s">
        <v>492</v>
      </c>
      <c r="O84" s="163" t="s">
        <v>615</v>
      </c>
      <c r="P84" s="165" t="s">
        <v>465</v>
      </c>
      <c r="Q84" s="164" t="s">
        <v>474</v>
      </c>
      <c r="R84" s="166" t="s">
        <v>490</v>
      </c>
      <c r="S84" s="167" t="s">
        <v>482</v>
      </c>
      <c r="T84" s="68"/>
    </row>
    <row r="85" ht="18.75" customHeight="1">
      <c r="A85" s="119"/>
      <c r="B85" s="177">
        <v>58.0</v>
      </c>
      <c r="C85" s="119"/>
      <c r="D85" s="121">
        <v>58.0</v>
      </c>
      <c r="E85" s="80">
        <v>45185.0</v>
      </c>
      <c r="F85" s="216">
        <v>0.6666666666666666</v>
      </c>
      <c r="G85" s="179" t="str">
        <f>IFERROR(__xludf.DUMMYFUNCTION("""COMPUTED_VALUE"""),"match in 15")</f>
        <v>match in 15</v>
      </c>
      <c r="H85" s="179" t="str">
        <f>IFERROR(__xludf.DUMMYFUNCTION("""COMPUTED_VALUE"""),"Homossexual Students")</f>
        <v>Homossexual Students</v>
      </c>
      <c r="I85" s="180" t="s">
        <v>488</v>
      </c>
      <c r="J85" s="179"/>
      <c r="K85" s="179"/>
      <c r="L85" s="181"/>
      <c r="M85" s="211" t="str">
        <f t="array" ref="M85:O85">IFERROR(IF(D85="",,{INDIRECT("'"&amp;D85&amp;"'!C3"),INDIRECT("'"&amp;D85&amp;"'!E3"),INDIRECT("'"&amp;D85&amp;"'!I3")}),"")&amp;T(NOW())</f>
        <v>2</v>
      </c>
      <c r="N85" s="181" t="s">
        <v>614</v>
      </c>
      <c r="O85" s="177" t="s">
        <v>616</v>
      </c>
      <c r="P85" s="182" t="s">
        <v>475</v>
      </c>
      <c r="Q85" s="181" t="s">
        <v>507</v>
      </c>
      <c r="R85" s="169" t="s">
        <v>499</v>
      </c>
      <c r="S85" s="183" t="s">
        <v>528</v>
      </c>
      <c r="T85" s="119"/>
    </row>
    <row r="86" ht="18.75" customHeight="1">
      <c r="A86" s="68"/>
      <c r="B86" s="163">
        <v>59.0</v>
      </c>
      <c r="C86" s="68"/>
      <c r="D86" s="79">
        <v>59.0</v>
      </c>
      <c r="E86" s="80">
        <v>45186.0</v>
      </c>
      <c r="F86" s="201">
        <v>0.75</v>
      </c>
      <c r="G86" s="92" t="str">
        <f>IFERROR(__xludf.DUMMYFUNCTION("""COMPUTED_VALUE"""),"Homossexual Students")</f>
        <v>Homossexual Students</v>
      </c>
      <c r="H86" s="92" t="str">
        <f>IFERROR(__xludf.DUMMYFUNCTION("""COMPUTED_VALUE"""),"female ass wrestling")</f>
        <v>female ass wrestling</v>
      </c>
      <c r="I86" s="93" t="s">
        <v>554</v>
      </c>
      <c r="J86" s="92"/>
      <c r="K86" s="92"/>
      <c r="L86" s="164"/>
      <c r="M86" s="210" t="str">
        <f t="array" ref="M86:O86">IFERROR(IF(D86="",,{INDIRECT("'"&amp;D86&amp;"'!C3"),INDIRECT("'"&amp;D86&amp;"'!E3"),INDIRECT("'"&amp;D86&amp;"'!I3")}),"")&amp;T(NOW())</f>
        <v>7</v>
      </c>
      <c r="N86" s="164" t="s">
        <v>462</v>
      </c>
      <c r="O86" s="163" t="s">
        <v>621</v>
      </c>
      <c r="P86" s="165" t="s">
        <v>507</v>
      </c>
      <c r="Q86" s="164" t="s">
        <v>465</v>
      </c>
      <c r="R86" s="168" t="s">
        <v>528</v>
      </c>
      <c r="S86" s="167" t="s">
        <v>490</v>
      </c>
      <c r="T86" s="68"/>
    </row>
    <row r="87" ht="18.75" hidden="1" customHeight="1">
      <c r="A87" s="68"/>
      <c r="B87" s="164" t="s">
        <v>620</v>
      </c>
      <c r="C87" s="68"/>
      <c r="D87" s="149" t="s">
        <v>620</v>
      </c>
      <c r="E87" s="80">
        <v>45186.0</v>
      </c>
      <c r="F87" s="201">
        <v>0.625</v>
      </c>
      <c r="G87" s="92" t="str">
        <f>IFERROR(__xludf.DUMMYFUNCTION("""COMPUTED_VALUE"""),"match in 15")</f>
        <v>match in 15</v>
      </c>
      <c r="H87" s="92" t="str">
        <f>IFERROR(__xludf.DUMMYFUNCTION("""COMPUTED_VALUE"""),"female ass wrestling")</f>
        <v>female ass wrestling</v>
      </c>
      <c r="I87" s="93" t="s">
        <v>488</v>
      </c>
      <c r="J87" s="92"/>
      <c r="K87" s="92"/>
      <c r="L87" s="164"/>
      <c r="M87" s="210" t="str">
        <f t="array" ref="M87:O87">IFERROR(IF(D87="",,{INDIRECT("'"&amp;D87&amp;"'!C3"),INDIRECT("'"&amp;D87&amp;"'!E3"),INDIRECT("'"&amp;D87&amp;"'!I3")}),"")&amp;T(NOW())</f>
        <v/>
      </c>
      <c r="N87" s="164" t="s">
        <v>566</v>
      </c>
      <c r="O87" s="164" t="s">
        <v>566</v>
      </c>
      <c r="P87" s="165" t="s">
        <v>475</v>
      </c>
      <c r="Q87" s="164" t="s">
        <v>465</v>
      </c>
      <c r="R87" s="168" t="s">
        <v>499</v>
      </c>
      <c r="S87" s="167" t="s">
        <v>490</v>
      </c>
      <c r="T87" s="68"/>
    </row>
    <row r="88" ht="18.75" hidden="1" customHeight="1">
      <c r="A88" s="68"/>
      <c r="B88" s="164" t="s">
        <v>618</v>
      </c>
      <c r="C88" s="68"/>
      <c r="D88" s="149" t="s">
        <v>618</v>
      </c>
      <c r="E88" s="80">
        <v>45186.0</v>
      </c>
      <c r="F88" s="201">
        <v>0.5416666666666666</v>
      </c>
      <c r="G88" s="92" t="str">
        <f>IFERROR(__xludf.DUMMYFUNCTION("""COMPUTED_VALUE"""),"match in 15")</f>
        <v>match in 15</v>
      </c>
      <c r="H88" s="92" t="str">
        <f>IFERROR(__xludf.DUMMYFUNCTION("""COMPUTED_VALUE"""),"Tom and Jerry")</f>
        <v>Tom and Jerry</v>
      </c>
      <c r="I88" s="93" t="s">
        <v>554</v>
      </c>
      <c r="J88" s="92"/>
      <c r="K88" s="92"/>
      <c r="L88" s="164"/>
      <c r="M88" s="210" t="str">
        <f t="array" ref="M88:O88">IFERROR(IF(D88="",,{INDIRECT("'"&amp;D88&amp;"'!C3"),INDIRECT("'"&amp;D88&amp;"'!E3"),INDIRECT("'"&amp;D88&amp;"'!I3")}),"")&amp;T(NOW())</f>
        <v/>
      </c>
      <c r="N88" s="164" t="s">
        <v>566</v>
      </c>
      <c r="O88" s="164" t="s">
        <v>566</v>
      </c>
      <c r="P88" s="165" t="s">
        <v>475</v>
      </c>
      <c r="Q88" s="164" t="s">
        <v>474</v>
      </c>
      <c r="R88" s="168" t="s">
        <v>499</v>
      </c>
      <c r="S88" s="167" t="s">
        <v>482</v>
      </c>
      <c r="T88" s="68"/>
    </row>
    <row r="89" ht="18.75" hidden="1" customHeight="1">
      <c r="A89" s="68"/>
      <c r="B89" s="164" t="s">
        <v>622</v>
      </c>
      <c r="C89" s="68"/>
      <c r="D89" s="149" t="s">
        <v>622</v>
      </c>
      <c r="E89" s="80">
        <v>45186.0</v>
      </c>
      <c r="F89" s="201">
        <v>0.75</v>
      </c>
      <c r="G89" s="92" t="str">
        <f>IFERROR(__xludf.DUMMYFUNCTION("""COMPUTED_VALUE"""),"Homossexual Students")</f>
        <v>Homossexual Students</v>
      </c>
      <c r="H89" s="92" t="str">
        <f>IFERROR(__xludf.DUMMYFUNCTION("""COMPUTED_VALUE"""),"female ass wrestling")</f>
        <v>female ass wrestling</v>
      </c>
      <c r="I89" s="93" t="s">
        <v>488</v>
      </c>
      <c r="J89" s="92"/>
      <c r="K89" s="92"/>
      <c r="L89" s="164"/>
      <c r="M89" s="210" t="str">
        <f t="array" ref="M89:O89">IFERROR(IF(D89="",,{INDIRECT("'"&amp;D89&amp;"'!C3"),INDIRECT("'"&amp;D89&amp;"'!E3"),INDIRECT("'"&amp;D89&amp;"'!I3")}),"")&amp;T(NOW())</f>
        <v/>
      </c>
      <c r="N89" s="164" t="s">
        <v>566</v>
      </c>
      <c r="O89" s="164" t="s">
        <v>566</v>
      </c>
      <c r="P89" s="165" t="s">
        <v>507</v>
      </c>
      <c r="Q89" s="164" t="s">
        <v>465</v>
      </c>
      <c r="R89" s="168" t="s">
        <v>528</v>
      </c>
      <c r="S89" s="167" t="s">
        <v>490</v>
      </c>
      <c r="T89" s="68"/>
    </row>
    <row r="90" ht="18.75" hidden="1" customHeight="1">
      <c r="A90" s="68"/>
      <c r="B90" s="164" t="s">
        <v>619</v>
      </c>
      <c r="C90" s="68"/>
      <c r="D90" s="149" t="s">
        <v>619</v>
      </c>
      <c r="E90" s="80">
        <v>45186.0</v>
      </c>
      <c r="F90" s="201">
        <v>0.5416666666666666</v>
      </c>
      <c r="G90" s="92" t="str">
        <f>IFERROR(__xludf.DUMMYFUNCTION("""COMPUTED_VALUE"""),"Homossexual Students")</f>
        <v>Homossexual Students</v>
      </c>
      <c r="H90" s="92" t="str">
        <f>IFERROR(__xludf.DUMMYFUNCTION("""COMPUTED_VALUE"""),"Tom and Jerry")</f>
        <v>Tom and Jerry</v>
      </c>
      <c r="I90" s="93" t="s">
        <v>554</v>
      </c>
      <c r="J90" s="92"/>
      <c r="K90" s="92"/>
      <c r="L90" s="164"/>
      <c r="M90" s="211" t="str">
        <f t="array" ref="M90:O90">IFERROR(IF(D90="",,{INDIRECT("'"&amp;D90&amp;"'!C3"),INDIRECT("'"&amp;D90&amp;"'!E3"),INDIRECT("'"&amp;D90&amp;"'!I3")}),"")&amp;T(NOW())</f>
        <v/>
      </c>
      <c r="N90" s="164" t="s">
        <v>566</v>
      </c>
      <c r="O90" s="164" t="s">
        <v>566</v>
      </c>
      <c r="P90" s="165" t="s">
        <v>507</v>
      </c>
      <c r="Q90" s="164" t="s">
        <v>474</v>
      </c>
      <c r="R90" s="169" t="s">
        <v>528</v>
      </c>
      <c r="S90" s="167" t="s">
        <v>482</v>
      </c>
      <c r="T90" s="68"/>
    </row>
    <row r="91" ht="18.75" customHeight="1">
      <c r="A91" s="184"/>
      <c r="B91" s="217">
        <v>60.0</v>
      </c>
      <c r="C91" s="184"/>
      <c r="D91" s="186">
        <v>60.0</v>
      </c>
      <c r="E91" s="80">
        <v>45186.0</v>
      </c>
      <c r="F91" s="218">
        <v>0.125</v>
      </c>
      <c r="G91" s="189" t="str">
        <f>IFERROR(__xludf.DUMMYFUNCTION("""COMPUTED_VALUE"""),"placeholder teamname")</f>
        <v>placeholder teamname</v>
      </c>
      <c r="H91" s="189" t="str">
        <f>IFERROR(__xludf.DUMMYFUNCTION("""COMPUTED_VALUE"""),":MIPINGA:")</f>
        <v>:MIPINGA:</v>
      </c>
      <c r="I91" s="190"/>
      <c r="J91" s="189"/>
      <c r="K91" s="189" t="s">
        <v>484</v>
      </c>
      <c r="L91" s="185"/>
      <c r="M91" s="215" t="str">
        <f t="array" ref="M91:O91">IFERROR(IF(D91="",,{INDIRECT("'"&amp;D91&amp;"'!C3"),INDIRECT("'"&amp;D91&amp;"'!E3"),INDIRECT("'"&amp;D91&amp;"'!I3")}),"")&amp;T(NOW())</f>
        <v>0</v>
      </c>
      <c r="N91" s="185" t="s">
        <v>614</v>
      </c>
      <c r="O91" s="217" t="s">
        <v>617</v>
      </c>
      <c r="P91" s="191" t="s">
        <v>475</v>
      </c>
      <c r="Q91" s="185" t="s">
        <v>518</v>
      </c>
      <c r="R91" s="168" t="s">
        <v>546</v>
      </c>
      <c r="S91" s="192" t="s">
        <v>520</v>
      </c>
      <c r="T91" s="184"/>
    </row>
    <row r="92" ht="18.75" customHeight="1">
      <c r="A92" s="68"/>
      <c r="B92" s="163">
        <v>61.0</v>
      </c>
      <c r="C92" s="68"/>
      <c r="D92" s="121">
        <v>61.0</v>
      </c>
      <c r="E92" s="80">
        <v>45193.0</v>
      </c>
      <c r="F92" s="216">
        <v>0.625</v>
      </c>
      <c r="G92" s="179" t="str">
        <f>IFERROR(__xludf.DUMMYFUNCTION("""COMPUTED_VALUE"""),"placeholder teamname")</f>
        <v>placeholder teamname</v>
      </c>
      <c r="H92" s="179" t="str">
        <f>IFERROR(__xludf.DUMMYFUNCTION("""COMPUTED_VALUE"""),"Homossexual Students")</f>
        <v>Homossexual Students</v>
      </c>
      <c r="I92" s="180" t="s">
        <v>623</v>
      </c>
      <c r="J92" s="179" t="s">
        <v>596</v>
      </c>
      <c r="K92" s="179"/>
      <c r="L92" s="181"/>
      <c r="M92" s="211" t="str">
        <f t="array" ref="M92:O92">IFERROR(IF(D92="",,{INDIRECT("'"&amp;D92&amp;"'!C3"),INDIRECT("'"&amp;D92&amp;"'!E3"),INDIRECT("'"&amp;D92&amp;"'!I3")}),"")&amp;T(NOW())</f>
        <v>0</v>
      </c>
      <c r="N92" s="181" t="s">
        <v>614</v>
      </c>
      <c r="O92" s="177" t="s">
        <v>624</v>
      </c>
      <c r="P92" s="182" t="s">
        <v>475</v>
      </c>
      <c r="Q92" s="181" t="s">
        <v>507</v>
      </c>
      <c r="R92" s="166" t="s">
        <v>546</v>
      </c>
      <c r="S92" s="167" t="s">
        <v>528</v>
      </c>
      <c r="T92" s="68"/>
    </row>
    <row r="93" ht="18.75" customHeight="1">
      <c r="A93" s="68"/>
      <c r="B93" s="170">
        <v>62.0</v>
      </c>
      <c r="C93" s="68"/>
      <c r="D93" s="79">
        <v>62.0</v>
      </c>
      <c r="E93" s="80">
        <v>45193.0</v>
      </c>
      <c r="F93" s="219">
        <v>0.875</v>
      </c>
      <c r="G93" s="92" t="str">
        <f>IFERROR(__xludf.DUMMYFUNCTION("""COMPUTED_VALUE"""),":MIPINGA:")</f>
        <v>:MIPINGA:</v>
      </c>
      <c r="H93" s="92" t="str">
        <f>IFERROR(__xludf.DUMMYFUNCTION("""COMPUTED_VALUE"""),"Homossexual Students")</f>
        <v>Homossexual Students</v>
      </c>
      <c r="I93" s="93"/>
      <c r="J93" s="92"/>
      <c r="K93" s="92"/>
      <c r="L93" s="164"/>
      <c r="M93" s="210" t="str">
        <f t="array" ref="M93:O93">IFERROR(IF(D93="",,{INDIRECT("'"&amp;D93&amp;"'!C3"),INDIRECT("'"&amp;D93&amp;"'!E3"),INDIRECT("'"&amp;D93&amp;"'!I3")}),"")&amp;T(NOW())</f>
        <v>7</v>
      </c>
      <c r="N93" s="164" t="s">
        <v>559</v>
      </c>
      <c r="O93" s="163" t="s">
        <v>626</v>
      </c>
      <c r="P93" s="165" t="s">
        <v>518</v>
      </c>
      <c r="Q93" s="164" t="s">
        <v>507</v>
      </c>
      <c r="R93" s="193" t="s">
        <v>520</v>
      </c>
      <c r="S93" s="173" t="s">
        <v>528</v>
      </c>
      <c r="T93" s="68"/>
    </row>
    <row r="94" ht="18.75" hidden="1" customHeight="1">
      <c r="A94" s="68"/>
      <c r="B94" s="164" t="s">
        <v>625</v>
      </c>
      <c r="C94" s="68"/>
      <c r="D94" s="149" t="s">
        <v>625</v>
      </c>
      <c r="E94" s="80">
        <v>45193.0</v>
      </c>
      <c r="F94" s="201">
        <v>0.625</v>
      </c>
      <c r="G94" s="92" t="str">
        <f>IFERROR(__xludf.DUMMYFUNCTION("""COMPUTED_VALUE"""),":MIPINGA:")</f>
        <v>:MIPINGA:</v>
      </c>
      <c r="H94" s="92" t="str">
        <f>IFERROR(__xludf.DUMMYFUNCTION("""COMPUTED_VALUE"""),"placeholder teamname")</f>
        <v>placeholder teamname</v>
      </c>
      <c r="I94" s="93"/>
      <c r="J94" s="92"/>
      <c r="K94" s="92"/>
      <c r="L94" s="164"/>
      <c r="M94" s="210" t="str">
        <f t="array" ref="M94:O94">IFERROR(IF(D94="",,{INDIRECT("'"&amp;D94&amp;"'!C3"),INDIRECT("'"&amp;D94&amp;"'!E3"),INDIRECT("'"&amp;D94&amp;"'!I3")}),"")&amp;T(NOW())</f>
        <v/>
      </c>
      <c r="N94" s="164" t="s">
        <v>566</v>
      </c>
      <c r="O94" s="164" t="s">
        <v>566</v>
      </c>
      <c r="P94" s="165" t="s">
        <v>518</v>
      </c>
      <c r="Q94" s="164" t="s">
        <v>475</v>
      </c>
      <c r="R94" s="168" t="s">
        <v>520</v>
      </c>
      <c r="S94" s="167" t="s">
        <v>546</v>
      </c>
      <c r="T94" s="68"/>
    </row>
    <row r="95" ht="18.75" hidden="1" customHeight="1">
      <c r="A95" s="68"/>
      <c r="B95" s="164" t="s">
        <v>627</v>
      </c>
      <c r="C95" s="68"/>
      <c r="D95" s="149" t="s">
        <v>627</v>
      </c>
      <c r="E95" s="80">
        <v>45193.0</v>
      </c>
      <c r="F95" s="201">
        <v>0.875</v>
      </c>
      <c r="G95" s="92" t="str">
        <f>IFERROR(__xludf.DUMMYFUNCTION("""COMPUTED_VALUE"""),":MIPINGA:")</f>
        <v>:MIPINGA:</v>
      </c>
      <c r="H95" s="92" t="str">
        <f>IFERROR(__xludf.DUMMYFUNCTION("""COMPUTED_VALUE"""),"Homossexual Students")</f>
        <v>Homossexual Students</v>
      </c>
      <c r="I95" s="93"/>
      <c r="J95" s="92"/>
      <c r="K95" s="92"/>
      <c r="L95" s="164"/>
      <c r="M95" s="211" t="str">
        <f t="array" ref="M95:O95">IFERROR(IF(D95="",,{INDIRECT("'"&amp;D95&amp;"'!C3"),INDIRECT("'"&amp;D95&amp;"'!E3"),INDIRECT("'"&amp;D95&amp;"'!I3")}),"")&amp;T(NOW())</f>
        <v/>
      </c>
      <c r="N95" s="164" t="s">
        <v>566</v>
      </c>
      <c r="O95" s="164" t="s">
        <v>566</v>
      </c>
      <c r="P95" s="165" t="s">
        <v>518</v>
      </c>
      <c r="Q95" s="164" t="s">
        <v>507</v>
      </c>
      <c r="R95" s="169" t="s">
        <v>520</v>
      </c>
      <c r="S95" s="183" t="s">
        <v>528</v>
      </c>
      <c r="T95" s="68"/>
    </row>
    <row r="96" ht="18.75" customHeight="1">
      <c r="A96" s="68"/>
      <c r="B96" s="170">
        <v>63.0</v>
      </c>
      <c r="C96" s="138"/>
      <c r="D96" s="140">
        <v>63.0</v>
      </c>
      <c r="E96" s="80"/>
      <c r="F96" s="220" t="s">
        <v>630</v>
      </c>
      <c r="G96" s="151" t="str">
        <f>IFERROR(__xludf.DUMMYFUNCTION("""COMPUTED_VALUE"""),":MIPINGA:")</f>
        <v>:MIPINGA:</v>
      </c>
      <c r="H96" s="151" t="str">
        <f>IFERROR(__xludf.DUMMYFUNCTION("""COMPUTED_VALUE"""),"placeholder teamname")</f>
        <v>placeholder teamname</v>
      </c>
      <c r="I96" s="152"/>
      <c r="J96" s="151"/>
      <c r="K96" s="151"/>
      <c r="L96" s="171"/>
      <c r="M96" s="210" t="str">
        <f t="array" ref="M96:O96">IFERROR(IF(D96="",,{INDIRECT("'"&amp;D96&amp;"'!C3"),INDIRECT("'"&amp;D96&amp;"'!E3"),INDIRECT("'"&amp;D96&amp;"'!I3")}),"")&amp;T(NOW())</f>
        <v>0</v>
      </c>
      <c r="N96" s="171" t="s">
        <v>467</v>
      </c>
      <c r="O96" s="171" t="s">
        <v>566</v>
      </c>
      <c r="P96" s="172" t="s">
        <v>518</v>
      </c>
      <c r="Q96" s="171" t="s">
        <v>475</v>
      </c>
      <c r="R96" s="168" t="s">
        <v>520</v>
      </c>
      <c r="S96" s="167" t="s">
        <v>546</v>
      </c>
      <c r="T96" s="68"/>
    </row>
    <row r="97" ht="18.75" customHeight="1">
      <c r="A97" s="68"/>
      <c r="B97" s="164" t="s">
        <v>628</v>
      </c>
      <c r="C97" s="68"/>
      <c r="D97" s="149" t="s">
        <v>628</v>
      </c>
      <c r="E97" s="80">
        <v>45199.0</v>
      </c>
      <c r="F97" s="201">
        <v>0.625</v>
      </c>
      <c r="G97" s="92" t="str">
        <f>IFERROR(__xludf.DUMMYFUNCTION("""COMPUTED_VALUE"""),"placeholder teamname")</f>
        <v>placeholder teamname</v>
      </c>
      <c r="H97" s="92" t="str">
        <f>IFERROR(__xludf.DUMMYFUNCTION("""COMPUTED_VALUE"""),":MIPINGA:")</f>
        <v>:MIPINGA:</v>
      </c>
      <c r="I97" s="93"/>
      <c r="J97" s="92"/>
      <c r="K97" s="92"/>
      <c r="L97" s="164"/>
      <c r="M97" s="210" t="str">
        <f t="array" ref="M97:O97">IFERROR(IF(D97="",,{INDIRECT("'"&amp;D97&amp;"'!C3"),INDIRECT("'"&amp;D97&amp;"'!E3"),INDIRECT("'"&amp;D97&amp;"'!I3")}),"")&amp;T(NOW())</f>
        <v/>
      </c>
      <c r="N97" s="164" t="s">
        <v>566</v>
      </c>
      <c r="O97" s="164" t="s">
        <v>566</v>
      </c>
      <c r="P97" s="165" t="s">
        <v>475</v>
      </c>
      <c r="Q97" s="164" t="s">
        <v>518</v>
      </c>
      <c r="R97" s="168" t="s">
        <v>546</v>
      </c>
      <c r="S97" s="167" t="s">
        <v>520</v>
      </c>
      <c r="T97" s="68"/>
    </row>
    <row r="98" ht="18.75" customHeight="1">
      <c r="A98" s="68"/>
      <c r="B98" s="164" t="s">
        <v>629</v>
      </c>
      <c r="C98" s="68"/>
      <c r="D98" s="149" t="s">
        <v>629</v>
      </c>
      <c r="E98" s="80">
        <v>45199.0</v>
      </c>
      <c r="F98" s="201">
        <v>0.875</v>
      </c>
      <c r="G98" s="92" t="str">
        <f>IFERROR(__xludf.DUMMYFUNCTION("""COMPUTED_VALUE"""),"Homossexual Students")</f>
        <v>Homossexual Students</v>
      </c>
      <c r="H98" s="92" t="str">
        <f>IFERROR(__xludf.DUMMYFUNCTION("""COMPUTED_VALUE"""),":MIPINGA:")</f>
        <v>:MIPINGA:</v>
      </c>
      <c r="I98" s="93"/>
      <c r="J98" s="92"/>
      <c r="K98" s="92"/>
      <c r="L98" s="164"/>
      <c r="M98" s="210" t="str">
        <f t="array" ref="M98:O98">IFERROR(IF(D98="",,{INDIRECT("'"&amp;D98&amp;"'!C3"),INDIRECT("'"&amp;D98&amp;"'!E3"),INDIRECT("'"&amp;D98&amp;"'!I3")}),"")&amp;T(NOW())</f>
        <v/>
      </c>
      <c r="N98" s="164" t="s">
        <v>566</v>
      </c>
      <c r="O98" s="164" t="s">
        <v>566</v>
      </c>
      <c r="P98" s="165" t="s">
        <v>507</v>
      </c>
      <c r="Q98" s="164" t="s">
        <v>518</v>
      </c>
      <c r="R98" s="168" t="s">
        <v>528</v>
      </c>
      <c r="S98" s="167" t="s">
        <v>520</v>
      </c>
      <c r="T98" s="68"/>
    </row>
  </sheetData>
  <mergeCells count="4">
    <mergeCell ref="D2:F2"/>
    <mergeCell ref="I2:L2"/>
    <mergeCell ref="M2:O2"/>
    <mergeCell ref="P2:R2"/>
  </mergeCells>
  <dataValidations>
    <dataValidation type="custom" allowBlank="1" showDropDown="1" showInputMessage="1" showErrorMessage="1" prompt="Enter a valid date" sqref="E44 E49 E54 E59 E82:E98">
      <formula1>OR(NOT(ISERROR(DATEVALUE(E44))), AND(ISNUMBER(E44), LEFT(CELL("format", E44))="D"))</formula1>
    </dataValidation>
  </dataValidations>
  <hyperlinks>
    <hyperlink display="1" location="'1'!A1" ref="B4"/>
    <hyperlink r:id="rId2" ref="O4"/>
    <hyperlink display="2" location="'2'!A1" ref="B5"/>
    <hyperlink r:id="rId3" ref="O5"/>
    <hyperlink display="3" location="'3'!A1" ref="B6"/>
    <hyperlink r:id="rId4" ref="O6"/>
    <hyperlink display="4" location="'4'!A1" ref="B7"/>
    <hyperlink r:id="rId5" ref="O7"/>
    <hyperlink display="5" location="'5'!A1" ref="B8"/>
    <hyperlink r:id="rId6" ref="O8"/>
    <hyperlink display="6" location="'6'!A1" ref="B9"/>
    <hyperlink r:id="rId7" ref="O9"/>
    <hyperlink display="7" location="'7'!A1" ref="B10"/>
    <hyperlink r:id="rId8" ref="O10"/>
    <hyperlink display="8" location="'8'!A1" ref="B11"/>
    <hyperlink r:id="rId9" ref="O11"/>
    <hyperlink display="9" location="'9'!A1" ref="B12"/>
    <hyperlink r:id="rId10" ref="O12"/>
    <hyperlink display="10" location="'10'!A1" ref="B13"/>
    <hyperlink r:id="rId11" ref="O13"/>
    <hyperlink display="11" location="'11'!A1" ref="B14"/>
    <hyperlink r:id="rId12" ref="O14"/>
    <hyperlink display="12" location="'12'!A1" ref="B15"/>
    <hyperlink r:id="rId13" ref="O15"/>
    <hyperlink display="13" location="'13'!A1" ref="B16"/>
    <hyperlink r:id="rId14" ref="O16"/>
    <hyperlink display="14" location="'14'!A1" ref="B17"/>
    <hyperlink r:id="rId15" ref="O17"/>
    <hyperlink display="15" location="'15'!A1" ref="B18"/>
    <hyperlink r:id="rId16" ref="O18"/>
    <hyperlink display="16" location="'16'!A1" ref="B19"/>
    <hyperlink r:id="rId17" ref="O19"/>
    <hyperlink display="17" location="'17'!A1" ref="B20"/>
    <hyperlink r:id="rId18" ref="O20"/>
    <hyperlink display="18" location="'18'!A1" ref="B21"/>
    <hyperlink r:id="rId19" ref="O21"/>
    <hyperlink display="19" location="'19'!A1" ref="B22"/>
    <hyperlink r:id="rId20" ref="O22"/>
    <hyperlink display="20" location="'20'!A1" ref="B23"/>
    <hyperlink r:id="rId21" ref="O23"/>
    <hyperlink display="21" location="'21'!A1" ref="B24"/>
    <hyperlink r:id="rId22" ref="O24"/>
    <hyperlink display="22" location="'22'!A1" ref="B25"/>
    <hyperlink r:id="rId23" ref="O25"/>
    <hyperlink display="23" location="'23'!A1" ref="B26"/>
    <hyperlink r:id="rId24" ref="O26"/>
    <hyperlink display="24" location="'24'!A1" ref="B27"/>
    <hyperlink r:id="rId25" ref="O27"/>
    <hyperlink display="25" location="'25'!A1" ref="B28"/>
    <hyperlink r:id="rId26" ref="O28"/>
    <hyperlink display="26" location="'26'!A1" ref="B29"/>
    <hyperlink r:id="rId27" ref="O29"/>
    <hyperlink display="27" location="'27'!A1" ref="B30"/>
    <hyperlink r:id="rId28" ref="O30"/>
    <hyperlink display="28" location="'28'!A1" ref="B31"/>
    <hyperlink r:id="rId29" ref="O31"/>
    <hyperlink display="29" location="'29'!A1" ref="B32"/>
    <hyperlink r:id="rId30" ref="O32"/>
    <hyperlink display="30" location="'30'!A1" ref="B33"/>
    <hyperlink r:id="rId31" ref="O33"/>
    <hyperlink display="31" location="'31'!A1" ref="B34"/>
    <hyperlink r:id="rId32" ref="O34"/>
    <hyperlink display="32" location="'32'!A1" ref="B35"/>
    <hyperlink r:id="rId33" ref="O35"/>
    <hyperlink display="33" location="'33'!A1" ref="B36"/>
    <hyperlink r:id="rId34" ref="O36"/>
    <hyperlink display="34" location="'34'!A1" ref="B37"/>
    <hyperlink r:id="rId35" ref="O37"/>
    <hyperlink display="35" location="'35'!A1" ref="B38"/>
    <hyperlink r:id="rId36" ref="O38"/>
    <hyperlink display="36" location="'36'!A1" ref="B39"/>
    <hyperlink r:id="rId37" ref="O39"/>
    <hyperlink display="37" location="'37'!A1" ref="B40"/>
    <hyperlink r:id="rId38" ref="O40"/>
    <hyperlink display="38" location="'38'!A1" ref="B41"/>
    <hyperlink r:id="rId39" ref="O41"/>
    <hyperlink display="39" location="'39'!A1" ref="B42"/>
    <hyperlink r:id="rId40" ref="O42"/>
    <hyperlink display="40" location="'40'!A1" ref="B43"/>
    <hyperlink r:id="rId41" ref="O43"/>
    <hyperlink display="41" location="'41'!A1" ref="B44"/>
    <hyperlink display="42" location="'42'!A1" ref="B49"/>
    <hyperlink r:id="rId42" ref="O49"/>
    <hyperlink display="43" location="'43'!A1" ref="B54"/>
    <hyperlink r:id="rId43" ref="O54"/>
    <hyperlink display="44" location="'44'!A1" ref="B59"/>
    <hyperlink r:id="rId44" ref="O59"/>
    <hyperlink display="45" location="'45'!A1" ref="B64"/>
    <hyperlink r:id="rId45" ref="O64"/>
    <hyperlink display="46" location="'46'!A1" ref="B65"/>
    <hyperlink r:id="rId46" ref="O65"/>
    <hyperlink display="47" location="'47'!A1" ref="B66"/>
    <hyperlink display="48" location="'48'!A1" ref="B67"/>
    <hyperlink r:id="rId47" ref="O67"/>
    <hyperlink display="49" location="'49'!A1" ref="B68"/>
    <hyperlink r:id="rId48" ref="O68"/>
    <hyperlink display="50" location="'50'!A1" ref="B69"/>
    <hyperlink r:id="rId49" ref="O69"/>
    <hyperlink display="51" location="'51'!A1" ref="B70"/>
    <hyperlink r:id="rId50" ref="O70"/>
    <hyperlink display="52" location="'52'!A1" ref="B71"/>
    <hyperlink r:id="rId51" ref="O71"/>
    <hyperlink display="53" location="'53'!A1" ref="B72"/>
    <hyperlink r:id="rId52" ref="O72"/>
    <hyperlink display="54" location="'54'!A1" ref="B77"/>
    <hyperlink r:id="rId53" ref="O77"/>
    <hyperlink display="55" location="'55'!A1" ref="B82"/>
    <hyperlink r:id="rId54" ref="O82"/>
    <hyperlink display="56" location="'56'!A1" ref="B83"/>
    <hyperlink r:id="rId55" ref="O83"/>
    <hyperlink display="57" location="'57'!A1" ref="B84"/>
    <hyperlink r:id="rId56" ref="O84"/>
    <hyperlink display="58" location="'58'!A1" ref="B85"/>
    <hyperlink r:id="rId57" ref="O85"/>
    <hyperlink display="59" location="'59'!A1" ref="B86"/>
    <hyperlink r:id="rId58" ref="O86"/>
    <hyperlink display="60" location="'60'!A1" ref="B91"/>
    <hyperlink r:id="rId59" ref="O91"/>
    <hyperlink display="61" location="'61'!A1" ref="B92"/>
    <hyperlink r:id="rId60" ref="O92"/>
    <hyperlink display="62" location="'62'!A1" ref="B93"/>
    <hyperlink r:id="rId61" ref="O93"/>
    <hyperlink display="63" location="'63'!A1" ref="B96"/>
  </hyperlinks>
  <drawing r:id="rId62"/>
  <legacyDrawing r:id="rId6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25.13"/>
    <col hidden="1" min="6" max="8" width="12.63"/>
    <col customWidth="1" min="9" max="9" width="3.25"/>
  </cols>
  <sheetData>
    <row r="1" ht="18.75" customHeight="1">
      <c r="A1" s="20"/>
      <c r="B1" s="20"/>
      <c r="C1" s="221" t="s">
        <v>631</v>
      </c>
      <c r="D1" s="20"/>
      <c r="E1" s="20"/>
      <c r="F1" s="20"/>
      <c r="G1" s="20"/>
      <c r="H1" s="20"/>
      <c r="I1" s="20"/>
    </row>
    <row r="2" ht="18.75" customHeight="1">
      <c r="A2" s="20"/>
      <c r="B2" s="222" t="s">
        <v>632</v>
      </c>
      <c r="C2" s="223" t="str">
        <f t="array" ref="C2:E2">"Player "&amp;SEQUENCE(1,3)</f>
        <v>Player 1</v>
      </c>
      <c r="D2" s="223" t="s">
        <v>633</v>
      </c>
      <c r="E2" s="223" t="s">
        <v>634</v>
      </c>
      <c r="F2" s="224"/>
      <c r="G2" s="224"/>
      <c r="H2" s="224"/>
      <c r="I2" s="20"/>
    </row>
    <row r="3" ht="18.75" customHeight="1">
      <c r="A3" s="20"/>
      <c r="B3" s="225" t="s">
        <v>635</v>
      </c>
      <c r="C3" s="226" t="s">
        <v>636</v>
      </c>
      <c r="D3" s="31" t="s">
        <v>637</v>
      </c>
      <c r="E3" s="31"/>
      <c r="F3" s="31"/>
      <c r="G3" s="31"/>
      <c r="H3" s="31"/>
      <c r="I3" s="20"/>
    </row>
    <row r="4" ht="18.75" customHeight="1">
      <c r="A4" s="20"/>
      <c r="B4" s="225" t="s">
        <v>421</v>
      </c>
      <c r="C4" s="226" t="s">
        <v>638</v>
      </c>
      <c r="D4" s="31" t="s">
        <v>639</v>
      </c>
      <c r="E4" s="31" t="s">
        <v>640</v>
      </c>
      <c r="F4" s="31"/>
      <c r="G4" s="31"/>
      <c r="H4" s="31"/>
      <c r="I4" s="20"/>
    </row>
    <row r="5" ht="18.75" customHeight="1">
      <c r="A5" s="20"/>
      <c r="B5" s="225" t="s">
        <v>419</v>
      </c>
      <c r="C5" s="226" t="s">
        <v>596</v>
      </c>
      <c r="D5" s="31" t="s">
        <v>641</v>
      </c>
      <c r="E5" s="31" t="s">
        <v>642</v>
      </c>
      <c r="F5" s="36"/>
      <c r="G5" s="36"/>
      <c r="H5" s="36"/>
      <c r="I5" s="20"/>
    </row>
    <row r="6" ht="18.75" customHeight="1">
      <c r="A6" s="20"/>
      <c r="B6" s="225" t="s">
        <v>412</v>
      </c>
      <c r="C6" s="226" t="s">
        <v>643</v>
      </c>
      <c r="D6" s="31" t="s">
        <v>644</v>
      </c>
      <c r="E6" s="31" t="s">
        <v>645</v>
      </c>
      <c r="F6" s="36"/>
      <c r="G6" s="36"/>
      <c r="H6" s="36"/>
      <c r="I6" s="20"/>
    </row>
    <row r="7" ht="18.75" customHeight="1">
      <c r="A7" s="20"/>
      <c r="B7" s="225" t="s">
        <v>436</v>
      </c>
      <c r="C7" s="226" t="s">
        <v>646</v>
      </c>
      <c r="D7" s="31" t="s">
        <v>647</v>
      </c>
      <c r="E7" s="31" t="s">
        <v>648</v>
      </c>
      <c r="F7" s="36"/>
      <c r="G7" s="36"/>
      <c r="H7" s="36"/>
      <c r="I7" s="20"/>
    </row>
    <row r="8" ht="18.75" customHeight="1">
      <c r="A8" s="20"/>
      <c r="B8" s="225" t="s">
        <v>649</v>
      </c>
      <c r="C8" s="226" t="s">
        <v>650</v>
      </c>
      <c r="D8" s="31" t="s">
        <v>651</v>
      </c>
      <c r="E8" s="31"/>
      <c r="F8" s="36"/>
      <c r="G8" s="36"/>
      <c r="H8" s="36"/>
      <c r="I8" s="20"/>
    </row>
    <row r="9" ht="18.75" customHeight="1">
      <c r="A9" s="20"/>
      <c r="B9" s="225" t="s">
        <v>652</v>
      </c>
      <c r="C9" s="226" t="s">
        <v>653</v>
      </c>
      <c r="D9" s="31" t="s">
        <v>654</v>
      </c>
      <c r="E9" s="31" t="s">
        <v>655</v>
      </c>
      <c r="F9" s="36"/>
      <c r="G9" s="36"/>
      <c r="H9" s="36"/>
      <c r="I9" s="20"/>
    </row>
    <row r="10" ht="18.75" customHeight="1">
      <c r="A10" s="20"/>
      <c r="B10" s="225" t="s">
        <v>656</v>
      </c>
      <c r="C10" s="226" t="s">
        <v>657</v>
      </c>
      <c r="D10" s="31" t="s">
        <v>658</v>
      </c>
      <c r="E10" s="31" t="s">
        <v>659</v>
      </c>
      <c r="F10" s="36"/>
      <c r="G10" s="36"/>
      <c r="H10" s="36"/>
      <c r="I10" s="20"/>
    </row>
    <row r="11" ht="18.75" customHeight="1">
      <c r="A11" s="20"/>
      <c r="B11" s="225" t="s">
        <v>660</v>
      </c>
      <c r="C11" s="226" t="s">
        <v>661</v>
      </c>
      <c r="D11" s="31" t="s">
        <v>662</v>
      </c>
      <c r="E11" s="36"/>
      <c r="F11" s="36"/>
      <c r="G11" s="36"/>
      <c r="H11" s="36"/>
      <c r="I11" s="20"/>
    </row>
    <row r="12" ht="18.75" customHeight="1">
      <c r="A12" s="20"/>
      <c r="B12" s="225" t="s">
        <v>663</v>
      </c>
      <c r="C12" s="226" t="s">
        <v>664</v>
      </c>
      <c r="D12" s="31" t="s">
        <v>665</v>
      </c>
      <c r="E12" s="31" t="s">
        <v>666</v>
      </c>
      <c r="F12" s="36"/>
      <c r="G12" s="36"/>
      <c r="H12" s="36"/>
      <c r="I12" s="20"/>
    </row>
    <row r="13" ht="18.75" customHeight="1">
      <c r="A13" s="20"/>
      <c r="B13" s="225" t="s">
        <v>432</v>
      </c>
      <c r="C13" s="226" t="s">
        <v>667</v>
      </c>
      <c r="D13" s="31" t="s">
        <v>668</v>
      </c>
      <c r="E13" s="31" t="s">
        <v>484</v>
      </c>
      <c r="F13" s="36"/>
      <c r="G13" s="36"/>
      <c r="H13" s="36"/>
      <c r="I13" s="20"/>
    </row>
    <row r="14" ht="18.75" customHeight="1">
      <c r="A14" s="20"/>
      <c r="B14" s="225" t="s">
        <v>669</v>
      </c>
      <c r="C14" s="226" t="s">
        <v>670</v>
      </c>
      <c r="D14" s="31" t="s">
        <v>671</v>
      </c>
      <c r="E14" s="36"/>
      <c r="F14" s="36"/>
      <c r="G14" s="36"/>
      <c r="H14" s="36"/>
      <c r="I14" s="20"/>
    </row>
    <row r="15" ht="18.75" customHeight="1">
      <c r="A15" s="20"/>
      <c r="B15" s="225" t="s">
        <v>437</v>
      </c>
      <c r="C15" s="226" t="s">
        <v>672</v>
      </c>
      <c r="D15" s="31" t="s">
        <v>673</v>
      </c>
      <c r="E15" s="31" t="s">
        <v>674</v>
      </c>
      <c r="F15" s="36"/>
      <c r="G15" s="36"/>
      <c r="H15" s="36"/>
      <c r="I15" s="20"/>
    </row>
    <row r="16" ht="18.75" customHeight="1">
      <c r="A16" s="20"/>
      <c r="B16" s="225" t="s">
        <v>433</v>
      </c>
      <c r="C16" s="226" t="s">
        <v>478</v>
      </c>
      <c r="D16" s="31" t="s">
        <v>675</v>
      </c>
      <c r="E16" s="31" t="s">
        <v>676</v>
      </c>
      <c r="F16" s="36"/>
      <c r="G16" s="36"/>
      <c r="H16" s="36"/>
      <c r="I16" s="20"/>
    </row>
    <row r="17" ht="18.75" customHeight="1">
      <c r="A17" s="20"/>
      <c r="B17" s="225" t="s">
        <v>440</v>
      </c>
      <c r="C17" s="226" t="s">
        <v>677</v>
      </c>
      <c r="D17" s="31" t="s">
        <v>678</v>
      </c>
      <c r="E17" s="31" t="s">
        <v>679</v>
      </c>
      <c r="F17" s="36"/>
      <c r="G17" s="36"/>
      <c r="H17" s="36"/>
      <c r="I17" s="20"/>
    </row>
    <row r="18" ht="18.75" customHeight="1">
      <c r="A18" s="20"/>
      <c r="B18" s="225" t="s">
        <v>680</v>
      </c>
      <c r="C18" s="226" t="s">
        <v>681</v>
      </c>
      <c r="D18" s="31" t="s">
        <v>682</v>
      </c>
      <c r="E18" s="31" t="s">
        <v>683</v>
      </c>
      <c r="F18" s="36"/>
      <c r="G18" s="36"/>
      <c r="H18" s="36"/>
      <c r="I18" s="20"/>
    </row>
    <row r="19" ht="18.75" customHeight="1">
      <c r="A19" s="20"/>
      <c r="B19" s="225" t="s">
        <v>684</v>
      </c>
      <c r="C19" s="226" t="s">
        <v>685</v>
      </c>
      <c r="D19" s="31" t="s">
        <v>686</v>
      </c>
      <c r="E19" s="31" t="s">
        <v>687</v>
      </c>
      <c r="F19" s="36"/>
      <c r="G19" s="36"/>
      <c r="H19" s="36"/>
      <c r="I19" s="20"/>
    </row>
    <row r="20" ht="18.75" customHeight="1">
      <c r="A20" s="20"/>
      <c r="B20" s="225" t="s">
        <v>428</v>
      </c>
      <c r="C20" s="226" t="s">
        <v>688</v>
      </c>
      <c r="D20" s="31" t="s">
        <v>689</v>
      </c>
      <c r="E20" s="31" t="s">
        <v>690</v>
      </c>
      <c r="F20" s="36"/>
      <c r="G20" s="36"/>
      <c r="H20" s="36"/>
      <c r="I20" s="20"/>
    </row>
    <row r="21" ht="18.75" customHeight="1">
      <c r="A21" s="20"/>
      <c r="B21" s="225" t="s">
        <v>435</v>
      </c>
      <c r="C21" s="226" t="s">
        <v>510</v>
      </c>
      <c r="D21" s="31" t="s">
        <v>691</v>
      </c>
      <c r="E21" s="31" t="s">
        <v>692</v>
      </c>
      <c r="F21" s="36"/>
      <c r="G21" s="36"/>
      <c r="H21" s="36"/>
      <c r="I21" s="20"/>
    </row>
    <row r="22" ht="18.75" customHeight="1">
      <c r="A22" s="20"/>
      <c r="B22" s="225" t="s">
        <v>425</v>
      </c>
      <c r="C22" s="226" t="s">
        <v>693</v>
      </c>
      <c r="D22" s="31" t="s">
        <v>694</v>
      </c>
      <c r="E22" s="31" t="s">
        <v>695</v>
      </c>
      <c r="F22" s="36"/>
      <c r="G22" s="36"/>
      <c r="H22" s="36"/>
      <c r="I22" s="20"/>
    </row>
    <row r="23" ht="18.75" customHeight="1">
      <c r="A23" s="20"/>
      <c r="B23" s="225" t="s">
        <v>438</v>
      </c>
      <c r="C23" s="226" t="s">
        <v>696</v>
      </c>
      <c r="D23" s="31" t="s">
        <v>697</v>
      </c>
      <c r="E23" s="31" t="s">
        <v>698</v>
      </c>
      <c r="F23" s="36"/>
      <c r="G23" s="36"/>
      <c r="H23" s="36"/>
      <c r="I23" s="20"/>
    </row>
    <row r="24" ht="18.75" customHeight="1">
      <c r="A24" s="20"/>
      <c r="B24" s="225" t="s">
        <v>699</v>
      </c>
      <c r="C24" s="226" t="s">
        <v>700</v>
      </c>
      <c r="D24" s="31" t="s">
        <v>701</v>
      </c>
      <c r="E24" s="31" t="s">
        <v>702</v>
      </c>
      <c r="F24" s="36"/>
      <c r="G24" s="36"/>
      <c r="H24" s="36"/>
      <c r="I24" s="20"/>
    </row>
    <row r="25" ht="18.75" customHeight="1">
      <c r="A25" s="20"/>
      <c r="B25" s="225" t="s">
        <v>703</v>
      </c>
      <c r="C25" s="226" t="s">
        <v>704</v>
      </c>
      <c r="D25" s="31" t="s">
        <v>705</v>
      </c>
      <c r="E25" s="36"/>
      <c r="F25" s="36"/>
      <c r="G25" s="36"/>
      <c r="H25" s="36"/>
      <c r="I25" s="20"/>
    </row>
    <row r="26" ht="18.75" customHeight="1">
      <c r="A26" s="20"/>
      <c r="B26" s="225" t="s">
        <v>706</v>
      </c>
      <c r="C26" s="226" t="s">
        <v>707</v>
      </c>
      <c r="D26" s="31" t="s">
        <v>708</v>
      </c>
      <c r="E26" s="36"/>
      <c r="F26" s="36"/>
      <c r="G26" s="36"/>
      <c r="H26" s="36"/>
      <c r="I26" s="20"/>
    </row>
    <row r="27" ht="18.75" customHeight="1">
      <c r="A27" s="20"/>
      <c r="B27" s="225" t="s">
        <v>709</v>
      </c>
      <c r="C27" s="226" t="s">
        <v>710</v>
      </c>
      <c r="D27" s="31" t="s">
        <v>711</v>
      </c>
      <c r="E27" s="31" t="s">
        <v>712</v>
      </c>
      <c r="F27" s="36"/>
      <c r="G27" s="36"/>
      <c r="H27" s="36"/>
      <c r="I27" s="20"/>
    </row>
    <row r="28" ht="18.75" customHeight="1">
      <c r="A28" s="20"/>
      <c r="B28" s="225" t="s">
        <v>413</v>
      </c>
      <c r="C28" s="226" t="s">
        <v>713</v>
      </c>
      <c r="D28" s="31" t="s">
        <v>714</v>
      </c>
      <c r="E28" s="31" t="s">
        <v>715</v>
      </c>
      <c r="F28" s="36"/>
      <c r="G28" s="36"/>
      <c r="H28" s="36"/>
      <c r="I28" s="20"/>
    </row>
    <row r="29" ht="18.75" customHeight="1">
      <c r="A29" s="20"/>
      <c r="B29" s="225" t="s">
        <v>427</v>
      </c>
      <c r="C29" s="226" t="s">
        <v>716</v>
      </c>
      <c r="D29" s="31" t="s">
        <v>717</v>
      </c>
      <c r="E29" s="31" t="s">
        <v>718</v>
      </c>
      <c r="F29" s="36"/>
      <c r="G29" s="36"/>
      <c r="H29" s="36"/>
      <c r="I29" s="20"/>
    </row>
    <row r="30" ht="18.75" customHeight="1">
      <c r="A30" s="20"/>
      <c r="B30" s="225" t="s">
        <v>431</v>
      </c>
      <c r="C30" s="226" t="s">
        <v>719</v>
      </c>
      <c r="D30" s="31" t="s">
        <v>720</v>
      </c>
      <c r="E30" s="31" t="s">
        <v>721</v>
      </c>
      <c r="F30" s="36"/>
      <c r="G30" s="36"/>
      <c r="H30" s="36"/>
      <c r="I30" s="20"/>
    </row>
    <row r="31" ht="18.75" customHeight="1">
      <c r="A31" s="20"/>
      <c r="B31" s="225" t="s">
        <v>426</v>
      </c>
      <c r="C31" s="226" t="s">
        <v>722</v>
      </c>
      <c r="D31" s="31" t="s">
        <v>723</v>
      </c>
      <c r="E31" s="31" t="s">
        <v>724</v>
      </c>
      <c r="F31" s="36"/>
      <c r="G31" s="36"/>
      <c r="H31" s="36"/>
      <c r="I31" s="20"/>
    </row>
    <row r="32" ht="18.75" customHeight="1">
      <c r="A32" s="20"/>
      <c r="B32" s="225" t="s">
        <v>441</v>
      </c>
      <c r="C32" s="226" t="s">
        <v>725</v>
      </c>
      <c r="D32" s="31" t="s">
        <v>726</v>
      </c>
      <c r="E32" s="36"/>
      <c r="F32" s="36"/>
      <c r="G32" s="36"/>
      <c r="H32" s="36"/>
      <c r="I32" s="20"/>
    </row>
    <row r="33" ht="18.75" customHeight="1">
      <c r="A33" s="20"/>
      <c r="B33" s="225" t="s">
        <v>727</v>
      </c>
      <c r="C33" s="226" t="s">
        <v>728</v>
      </c>
      <c r="D33" s="31" t="s">
        <v>729</v>
      </c>
      <c r="E33" s="31" t="s">
        <v>730</v>
      </c>
      <c r="F33" s="36"/>
      <c r="G33" s="36"/>
      <c r="H33" s="36"/>
      <c r="I33" s="20"/>
    </row>
    <row r="34" ht="18.75" customHeight="1">
      <c r="A34" s="20"/>
      <c r="B34" s="225" t="s">
        <v>430</v>
      </c>
      <c r="C34" s="226" t="s">
        <v>731</v>
      </c>
      <c r="D34" s="31" t="s">
        <v>732</v>
      </c>
      <c r="E34" s="31" t="s">
        <v>733</v>
      </c>
      <c r="F34" s="36"/>
      <c r="G34" s="36"/>
      <c r="H34" s="36"/>
      <c r="I34" s="20"/>
    </row>
    <row r="35" ht="18.75" customHeight="1">
      <c r="A35" s="20"/>
      <c r="B35" s="225" t="s">
        <v>734</v>
      </c>
      <c r="C35" s="226" t="s">
        <v>735</v>
      </c>
      <c r="D35" s="31" t="s">
        <v>736</v>
      </c>
      <c r="E35" s="36"/>
      <c r="F35" s="36"/>
      <c r="G35" s="36"/>
      <c r="H35" s="36"/>
      <c r="I35" s="20"/>
    </row>
    <row r="36" ht="18.75" customHeight="1">
      <c r="A36" s="20"/>
      <c r="B36" s="225" t="s">
        <v>423</v>
      </c>
      <c r="C36" s="226" t="s">
        <v>737</v>
      </c>
      <c r="D36" s="31" t="s">
        <v>612</v>
      </c>
      <c r="E36" s="31" t="s">
        <v>738</v>
      </c>
      <c r="F36" s="36"/>
      <c r="G36" s="36"/>
      <c r="H36" s="36"/>
      <c r="I36" s="20"/>
    </row>
    <row r="37" ht="18.75" customHeight="1">
      <c r="A37" s="20"/>
      <c r="B37" s="225" t="s">
        <v>739</v>
      </c>
      <c r="C37" s="226" t="s">
        <v>740</v>
      </c>
      <c r="D37" s="31" t="s">
        <v>741</v>
      </c>
      <c r="E37" s="36"/>
      <c r="F37" s="36"/>
      <c r="G37" s="36"/>
      <c r="H37" s="36"/>
      <c r="I37" s="20"/>
    </row>
    <row r="38" ht="18.75" customHeight="1">
      <c r="A38" s="20"/>
      <c r="B38" s="225" t="s">
        <v>742</v>
      </c>
      <c r="C38" s="226" t="s">
        <v>743</v>
      </c>
      <c r="D38" s="31" t="s">
        <v>744</v>
      </c>
      <c r="E38" s="31" t="s">
        <v>745</v>
      </c>
      <c r="F38" s="36"/>
      <c r="G38" s="36"/>
      <c r="H38" s="36"/>
      <c r="I38" s="20"/>
    </row>
    <row r="39" ht="18.75" customHeight="1">
      <c r="A39" s="20"/>
      <c r="B39" s="225" t="s">
        <v>414</v>
      </c>
      <c r="C39" s="226" t="s">
        <v>746</v>
      </c>
      <c r="D39" s="31" t="s">
        <v>747</v>
      </c>
      <c r="E39" s="31" t="s">
        <v>748</v>
      </c>
      <c r="F39" s="36"/>
      <c r="G39" s="36"/>
      <c r="H39" s="36"/>
      <c r="I39" s="20"/>
    </row>
    <row r="40" ht="18.75" customHeight="1">
      <c r="A40" s="20"/>
      <c r="B40" s="225" t="s">
        <v>416</v>
      </c>
      <c r="C40" s="226" t="s">
        <v>749</v>
      </c>
      <c r="D40" s="31" t="s">
        <v>750</v>
      </c>
      <c r="E40" s="31" t="s">
        <v>751</v>
      </c>
      <c r="F40" s="36"/>
      <c r="G40" s="36"/>
      <c r="H40" s="36"/>
      <c r="I40" s="20"/>
    </row>
    <row r="41" ht="18.75" customHeight="1">
      <c r="A41" s="20"/>
      <c r="B41" s="225" t="s">
        <v>420</v>
      </c>
      <c r="C41" s="226" t="s">
        <v>752</v>
      </c>
      <c r="D41" s="31" t="s">
        <v>753</v>
      </c>
      <c r="E41" s="31" t="s">
        <v>754</v>
      </c>
      <c r="F41" s="36"/>
      <c r="G41" s="36"/>
      <c r="H41" s="36"/>
      <c r="I41" s="20"/>
    </row>
    <row r="42" ht="18.75" customHeight="1">
      <c r="A42" s="20"/>
      <c r="B42" s="225" t="s">
        <v>755</v>
      </c>
      <c r="C42" s="226" t="s">
        <v>756</v>
      </c>
      <c r="D42" s="31" t="s">
        <v>757</v>
      </c>
      <c r="E42" s="36"/>
      <c r="F42" s="36"/>
      <c r="G42" s="36"/>
      <c r="H42" s="36"/>
      <c r="I42" s="20"/>
    </row>
    <row r="43" ht="18.75" customHeight="1">
      <c r="A43" s="20"/>
      <c r="B43" s="225" t="s">
        <v>422</v>
      </c>
      <c r="C43" s="226" t="s">
        <v>758</v>
      </c>
      <c r="D43" s="31" t="s">
        <v>759</v>
      </c>
      <c r="E43" s="36"/>
      <c r="F43" s="36"/>
      <c r="G43" s="36"/>
      <c r="H43" s="36"/>
      <c r="I43" s="20"/>
    </row>
    <row r="44" ht="18.75" customHeight="1">
      <c r="A44" s="20"/>
      <c r="B44" s="225" t="s">
        <v>424</v>
      </c>
      <c r="C44" s="226" t="s">
        <v>760</v>
      </c>
      <c r="D44" s="31" t="s">
        <v>761</v>
      </c>
      <c r="E44" s="31" t="s">
        <v>762</v>
      </c>
      <c r="F44" s="36"/>
      <c r="G44" s="36"/>
      <c r="H44" s="36"/>
      <c r="I44" s="20"/>
    </row>
    <row r="45" ht="18.75" customHeight="1">
      <c r="A45" s="20"/>
      <c r="B45" s="225" t="s">
        <v>763</v>
      </c>
      <c r="C45" s="226" t="s">
        <v>764</v>
      </c>
      <c r="D45" s="31" t="s">
        <v>765</v>
      </c>
      <c r="E45" s="36"/>
      <c r="F45" s="36"/>
      <c r="G45" s="36"/>
      <c r="H45" s="36"/>
      <c r="I45" s="20"/>
    </row>
    <row r="46" ht="18.75" customHeight="1">
      <c r="A46" s="20"/>
      <c r="B46" s="225" t="s">
        <v>410</v>
      </c>
      <c r="C46" s="226" t="s">
        <v>766</v>
      </c>
      <c r="D46" s="31" t="s">
        <v>767</v>
      </c>
      <c r="E46" s="31" t="s">
        <v>768</v>
      </c>
      <c r="F46" s="36"/>
      <c r="G46" s="36"/>
      <c r="H46" s="36"/>
      <c r="I46" s="20"/>
    </row>
    <row r="47" ht="18.75" customHeight="1">
      <c r="A47" s="20"/>
      <c r="B47" s="225" t="s">
        <v>769</v>
      </c>
      <c r="C47" s="226" t="s">
        <v>770</v>
      </c>
      <c r="D47" s="31" t="s">
        <v>771</v>
      </c>
      <c r="E47" s="31" t="s">
        <v>772</v>
      </c>
      <c r="F47" s="36"/>
      <c r="G47" s="36"/>
      <c r="H47" s="36"/>
      <c r="I47" s="20"/>
    </row>
    <row r="48" ht="18.75" customHeight="1">
      <c r="A48" s="20"/>
      <c r="B48" s="225" t="s">
        <v>773</v>
      </c>
      <c r="C48" s="226" t="s">
        <v>774</v>
      </c>
      <c r="D48" s="31" t="s">
        <v>775</v>
      </c>
      <c r="E48" s="36"/>
      <c r="F48" s="36"/>
      <c r="G48" s="36"/>
      <c r="H48" s="36"/>
      <c r="I48" s="20"/>
    </row>
    <row r="49" ht="18.75" customHeight="1">
      <c r="A49" s="20"/>
      <c r="B49" s="225" t="s">
        <v>776</v>
      </c>
      <c r="C49" s="226" t="s">
        <v>777</v>
      </c>
      <c r="D49" s="31" t="s">
        <v>778</v>
      </c>
      <c r="E49" s="31" t="s">
        <v>778</v>
      </c>
      <c r="F49" s="36"/>
      <c r="G49" s="36"/>
      <c r="H49" s="36"/>
      <c r="I49" s="20"/>
    </row>
    <row r="50" ht="18.75" customHeight="1">
      <c r="A50" s="20"/>
      <c r="B50" s="225" t="s">
        <v>434</v>
      </c>
      <c r="C50" s="226" t="s">
        <v>779</v>
      </c>
      <c r="D50" s="31" t="s">
        <v>780</v>
      </c>
      <c r="E50" s="31" t="s">
        <v>781</v>
      </c>
      <c r="F50" s="36"/>
      <c r="G50" s="36"/>
      <c r="H50" s="36"/>
      <c r="I50" s="20"/>
    </row>
    <row r="51" ht="18.75" customHeight="1">
      <c r="A51" s="20"/>
      <c r="B51" s="225" t="s">
        <v>782</v>
      </c>
      <c r="C51" s="226" t="s">
        <v>783</v>
      </c>
      <c r="D51" s="31" t="s">
        <v>784</v>
      </c>
      <c r="E51" s="36"/>
      <c r="F51" s="36"/>
      <c r="G51" s="36"/>
      <c r="H51" s="36"/>
      <c r="I51" s="20"/>
    </row>
    <row r="52" ht="18.75" customHeight="1">
      <c r="A52" s="20"/>
      <c r="B52" s="225" t="s">
        <v>429</v>
      </c>
      <c r="C52" s="226" t="s">
        <v>785</v>
      </c>
      <c r="D52" s="31" t="s">
        <v>786</v>
      </c>
      <c r="E52" s="31" t="s">
        <v>787</v>
      </c>
      <c r="F52" s="36"/>
      <c r="G52" s="36"/>
      <c r="H52" s="36"/>
      <c r="I52" s="20"/>
    </row>
    <row r="53" ht="18.75" customHeight="1">
      <c r="A53" s="20"/>
      <c r="B53" s="225" t="s">
        <v>418</v>
      </c>
      <c r="C53" s="226" t="s">
        <v>788</v>
      </c>
      <c r="D53" s="31" t="s">
        <v>789</v>
      </c>
      <c r="E53" s="31" t="s">
        <v>790</v>
      </c>
      <c r="F53" s="36"/>
      <c r="G53" s="36"/>
      <c r="H53" s="36"/>
      <c r="I53" s="20"/>
    </row>
    <row r="54" ht="18.75" customHeight="1">
      <c r="A54" s="20"/>
      <c r="B54" s="225" t="s">
        <v>411</v>
      </c>
      <c r="C54" s="226" t="s">
        <v>791</v>
      </c>
      <c r="D54" s="31" t="s">
        <v>792</v>
      </c>
      <c r="E54" s="31" t="s">
        <v>793</v>
      </c>
      <c r="F54" s="36"/>
      <c r="G54" s="36"/>
      <c r="H54" s="36"/>
      <c r="I54" s="20"/>
    </row>
    <row r="55" ht="18.75" customHeight="1">
      <c r="A55" s="20"/>
      <c r="B55" s="225" t="s">
        <v>415</v>
      </c>
      <c r="C55" s="226" t="s">
        <v>794</v>
      </c>
      <c r="D55" s="31" t="s">
        <v>795</v>
      </c>
      <c r="E55" s="36"/>
      <c r="F55" s="36"/>
      <c r="G55" s="36"/>
      <c r="H55" s="36"/>
      <c r="I55" s="20"/>
    </row>
    <row r="56" ht="18.75" customHeight="1">
      <c r="A56" s="20"/>
      <c r="B56" s="225" t="s">
        <v>796</v>
      </c>
      <c r="C56" s="226" t="s">
        <v>797</v>
      </c>
      <c r="D56" s="31" t="s">
        <v>798</v>
      </c>
      <c r="E56" s="36"/>
      <c r="F56" s="36"/>
      <c r="G56" s="36"/>
      <c r="H56" s="36"/>
      <c r="I56" s="20"/>
    </row>
    <row r="57" ht="18.75" customHeight="1">
      <c r="A57" s="20"/>
      <c r="B57" s="225" t="s">
        <v>417</v>
      </c>
      <c r="C57" s="226" t="s">
        <v>799</v>
      </c>
      <c r="D57" s="31" t="s">
        <v>800</v>
      </c>
      <c r="E57" s="31" t="s">
        <v>801</v>
      </c>
      <c r="F57" s="36"/>
      <c r="G57" s="36"/>
      <c r="H57" s="36"/>
      <c r="I57" s="20"/>
    </row>
    <row r="58" ht="18.75" customHeight="1">
      <c r="A58" s="20"/>
      <c r="B58" s="225" t="s">
        <v>439</v>
      </c>
      <c r="C58" s="226" t="s">
        <v>802</v>
      </c>
      <c r="D58" s="31" t="s">
        <v>803</v>
      </c>
      <c r="E58" s="31" t="s">
        <v>804</v>
      </c>
      <c r="F58" s="36"/>
      <c r="G58" s="36"/>
      <c r="H58" s="36"/>
      <c r="I58" s="20"/>
    </row>
    <row r="59" ht="18.75" customHeight="1">
      <c r="A59" s="20"/>
      <c r="B59" s="225" t="s">
        <v>805</v>
      </c>
      <c r="C59" s="226" t="s">
        <v>806</v>
      </c>
      <c r="D59" s="31" t="s">
        <v>807</v>
      </c>
      <c r="E59" s="36"/>
      <c r="F59" s="36"/>
      <c r="G59" s="36"/>
      <c r="H59" s="36"/>
      <c r="I59" s="20"/>
    </row>
    <row r="60" ht="18.75" customHeight="1">
      <c r="A60" s="20"/>
      <c r="B60" s="225" t="s">
        <v>808</v>
      </c>
      <c r="C60" s="226" t="s">
        <v>809</v>
      </c>
      <c r="D60" s="31" t="s">
        <v>810</v>
      </c>
      <c r="E60" s="31" t="s">
        <v>811</v>
      </c>
      <c r="F60" s="36"/>
      <c r="G60" s="36"/>
      <c r="H60" s="36"/>
      <c r="I60" s="20"/>
    </row>
    <row r="61" ht="18.75" customHeight="1">
      <c r="A61" s="20"/>
      <c r="B61" s="225" t="s">
        <v>812</v>
      </c>
      <c r="C61" s="226" t="s">
        <v>813</v>
      </c>
      <c r="D61" s="31" t="s">
        <v>814</v>
      </c>
      <c r="E61" s="31" t="s">
        <v>815</v>
      </c>
      <c r="F61" s="36"/>
      <c r="G61" s="36"/>
      <c r="H61" s="36"/>
      <c r="I61" s="20"/>
    </row>
    <row r="62" ht="18.75" customHeight="1">
      <c r="A62" s="20"/>
      <c r="B62" s="225" t="s">
        <v>816</v>
      </c>
      <c r="C62" s="226" t="s">
        <v>817</v>
      </c>
      <c r="D62" s="31" t="s">
        <v>818</v>
      </c>
      <c r="E62" s="36"/>
      <c r="F62" s="36"/>
      <c r="G62" s="36"/>
      <c r="H62" s="36"/>
      <c r="I62" s="20"/>
    </row>
    <row r="63" ht="18.75" customHeight="1">
      <c r="A63" s="20"/>
      <c r="B63" s="225" t="s">
        <v>819</v>
      </c>
      <c r="C63" s="226" t="s">
        <v>820</v>
      </c>
      <c r="D63" s="31" t="s">
        <v>821</v>
      </c>
      <c r="E63" s="36"/>
      <c r="F63" s="36"/>
      <c r="G63" s="36"/>
      <c r="H63" s="36"/>
      <c r="I63" s="20"/>
    </row>
    <row r="64" ht="18.75" customHeight="1">
      <c r="A64" s="20"/>
      <c r="B64" s="225" t="s">
        <v>822</v>
      </c>
      <c r="C64" s="226" t="s">
        <v>823</v>
      </c>
      <c r="D64" s="31" t="s">
        <v>824</v>
      </c>
      <c r="E64" s="31" t="s">
        <v>825</v>
      </c>
      <c r="F64" s="36"/>
      <c r="G64" s="36"/>
      <c r="H64" s="36"/>
      <c r="I64" s="20"/>
    </row>
    <row r="65" ht="18.75" customHeight="1">
      <c r="A65" s="20"/>
      <c r="B65" s="225"/>
      <c r="C65" s="227"/>
      <c r="D65" s="36"/>
      <c r="E65" s="36"/>
      <c r="F65" s="36"/>
      <c r="G65" s="36"/>
      <c r="H65" s="36"/>
      <c r="I65" s="20"/>
    </row>
    <row r="66" ht="18.75" customHeight="1">
      <c r="A66" s="20"/>
      <c r="B66" s="225"/>
      <c r="C66" s="227"/>
      <c r="D66" s="36"/>
      <c r="E66" s="36"/>
      <c r="F66" s="36"/>
      <c r="G66" s="36"/>
      <c r="H66" s="36"/>
      <c r="I66" s="20"/>
    </row>
    <row r="67" ht="18.75" customHeight="1">
      <c r="A67" s="20"/>
      <c r="B67" s="225"/>
      <c r="C67" s="227"/>
      <c r="D67" s="36"/>
      <c r="E67" s="36"/>
      <c r="F67" s="36"/>
      <c r="G67" s="36"/>
      <c r="H67" s="36"/>
      <c r="I67" s="20"/>
    </row>
    <row r="68" ht="18.75" customHeight="1">
      <c r="A68" s="20"/>
      <c r="B68" s="224"/>
      <c r="C68" s="227"/>
      <c r="D68" s="36"/>
      <c r="E68" s="36"/>
      <c r="F68" s="36"/>
      <c r="G68" s="36"/>
      <c r="H68" s="36"/>
      <c r="I68" s="2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25.13"/>
    <col customWidth="1" min="4" max="4" width="87.63"/>
    <col customWidth="1" min="5" max="5" width="3.25"/>
  </cols>
  <sheetData>
    <row r="1" ht="18.75" customHeight="1">
      <c r="A1" s="20"/>
      <c r="B1" s="20"/>
      <c r="C1" s="228" t="s">
        <v>631</v>
      </c>
      <c r="D1" s="20"/>
      <c r="E1" s="20"/>
    </row>
    <row r="2" ht="18.75" customHeight="1">
      <c r="A2" s="20"/>
      <c r="B2" s="222" t="s">
        <v>632</v>
      </c>
      <c r="C2" s="229" t="s">
        <v>826</v>
      </c>
      <c r="D2" s="223" t="s">
        <v>827</v>
      </c>
      <c r="E2" s="20"/>
    </row>
    <row r="3" ht="18.75" customHeight="1">
      <c r="A3" s="20"/>
      <c r="B3" s="225" t="s">
        <v>635</v>
      </c>
      <c r="C3" s="230" t="s">
        <v>465</v>
      </c>
      <c r="D3" s="231" t="s">
        <v>828</v>
      </c>
      <c r="E3" s="20"/>
    </row>
    <row r="4" ht="18.75" customHeight="1">
      <c r="A4" s="20"/>
      <c r="B4" s="225" t="s">
        <v>421</v>
      </c>
      <c r="C4" s="230" t="s">
        <v>494</v>
      </c>
      <c r="D4" s="231" t="s">
        <v>495</v>
      </c>
      <c r="E4" s="20"/>
    </row>
    <row r="5" ht="18.75" customHeight="1">
      <c r="A5" s="20"/>
      <c r="B5" s="225" t="s">
        <v>419</v>
      </c>
      <c r="C5" s="230" t="s">
        <v>474</v>
      </c>
      <c r="D5" s="231" t="s">
        <v>476</v>
      </c>
      <c r="E5" s="20"/>
    </row>
    <row r="6" ht="18.75" customHeight="1">
      <c r="A6" s="20"/>
      <c r="B6" s="225" t="s">
        <v>412</v>
      </c>
      <c r="C6" s="230" t="s">
        <v>512</v>
      </c>
      <c r="D6" s="231" t="s">
        <v>514</v>
      </c>
      <c r="E6" s="20"/>
    </row>
    <row r="7" ht="18.75" customHeight="1">
      <c r="A7" s="20"/>
      <c r="B7" s="225" t="s">
        <v>436</v>
      </c>
      <c r="C7" s="230" t="s">
        <v>481</v>
      </c>
      <c r="D7" s="231" t="s">
        <v>483</v>
      </c>
      <c r="E7" s="20"/>
    </row>
    <row r="8" ht="18.75" customHeight="1">
      <c r="A8" s="20"/>
      <c r="B8" s="225" t="s">
        <v>649</v>
      </c>
      <c r="C8" s="230" t="s">
        <v>523</v>
      </c>
      <c r="D8" s="231" t="s">
        <v>829</v>
      </c>
      <c r="E8" s="20"/>
    </row>
    <row r="9" ht="18.75" customHeight="1">
      <c r="A9" s="20"/>
      <c r="B9" s="225" t="s">
        <v>652</v>
      </c>
      <c r="C9" s="230" t="s">
        <v>481</v>
      </c>
      <c r="D9" s="231" t="s">
        <v>471</v>
      </c>
      <c r="E9" s="20"/>
    </row>
    <row r="10" ht="18.75" customHeight="1">
      <c r="A10" s="20"/>
      <c r="B10" s="225" t="s">
        <v>656</v>
      </c>
      <c r="C10" s="230" t="s">
        <v>830</v>
      </c>
      <c r="D10" s="231" t="s">
        <v>495</v>
      </c>
      <c r="E10" s="20"/>
    </row>
    <row r="11" ht="18.75" customHeight="1">
      <c r="A11" s="20"/>
      <c r="B11" s="225" t="s">
        <v>660</v>
      </c>
      <c r="C11" s="230" t="s">
        <v>506</v>
      </c>
      <c r="D11" s="231" t="s">
        <v>831</v>
      </c>
      <c r="E11" s="20"/>
    </row>
    <row r="12" ht="18.75" customHeight="1">
      <c r="A12" s="20"/>
      <c r="B12" s="225" t="s">
        <v>663</v>
      </c>
      <c r="C12" s="230" t="s">
        <v>513</v>
      </c>
      <c r="D12" s="231" t="s">
        <v>529</v>
      </c>
      <c r="E12" s="20"/>
    </row>
    <row r="13" ht="18.75" customHeight="1">
      <c r="A13" s="20"/>
      <c r="B13" s="225" t="s">
        <v>432</v>
      </c>
      <c r="C13" s="230" t="s">
        <v>475</v>
      </c>
      <c r="D13" s="231" t="s">
        <v>477</v>
      </c>
      <c r="E13" s="20"/>
    </row>
    <row r="14" ht="18.75" customHeight="1">
      <c r="A14" s="20"/>
      <c r="B14" s="225" t="s">
        <v>669</v>
      </c>
      <c r="C14" s="230" t="s">
        <v>832</v>
      </c>
      <c r="D14" s="231" t="s">
        <v>833</v>
      </c>
      <c r="E14" s="20"/>
    </row>
    <row r="15" ht="18.75" customHeight="1">
      <c r="A15" s="20"/>
      <c r="B15" s="225" t="s">
        <v>437</v>
      </c>
      <c r="C15" s="230" t="s">
        <v>465</v>
      </c>
      <c r="D15" s="231" t="s">
        <v>491</v>
      </c>
      <c r="E15" s="20"/>
    </row>
    <row r="16" ht="18.75" customHeight="1">
      <c r="A16" s="20"/>
      <c r="B16" s="225" t="s">
        <v>433</v>
      </c>
      <c r="C16" s="230" t="s">
        <v>465</v>
      </c>
      <c r="D16" s="231" t="s">
        <v>466</v>
      </c>
      <c r="E16" s="20"/>
    </row>
    <row r="17" ht="18.75" customHeight="1">
      <c r="A17" s="20"/>
      <c r="B17" s="225" t="s">
        <v>440</v>
      </c>
      <c r="C17" s="230" t="s">
        <v>519</v>
      </c>
      <c r="D17" s="231" t="s">
        <v>521</v>
      </c>
      <c r="E17" s="20"/>
    </row>
    <row r="18" ht="18.75" customHeight="1">
      <c r="A18" s="20"/>
      <c r="B18" s="225" t="s">
        <v>680</v>
      </c>
      <c r="C18" s="230" t="s">
        <v>506</v>
      </c>
      <c r="D18" s="231" t="s">
        <v>533</v>
      </c>
      <c r="E18" s="20"/>
    </row>
    <row r="19" ht="18.75" customHeight="1">
      <c r="A19" s="20"/>
      <c r="B19" s="225" t="s">
        <v>684</v>
      </c>
      <c r="C19" s="230" t="s">
        <v>465</v>
      </c>
      <c r="D19" s="231" t="s">
        <v>834</v>
      </c>
      <c r="E19" s="20"/>
    </row>
    <row r="20" ht="18.75" customHeight="1">
      <c r="A20" s="20"/>
      <c r="B20" s="225" t="s">
        <v>428</v>
      </c>
      <c r="C20" s="230" t="s">
        <v>498</v>
      </c>
      <c r="D20" s="231" t="s">
        <v>500</v>
      </c>
      <c r="E20" s="20"/>
    </row>
    <row r="21" ht="18.75" customHeight="1">
      <c r="A21" s="20"/>
      <c r="B21" s="225" t="s">
        <v>435</v>
      </c>
      <c r="C21" s="230" t="s">
        <v>475</v>
      </c>
      <c r="D21" s="231" t="s">
        <v>525</v>
      </c>
      <c r="E21" s="20"/>
    </row>
    <row r="22" ht="18.75" customHeight="1">
      <c r="A22" s="20"/>
      <c r="B22" s="225" t="s">
        <v>425</v>
      </c>
      <c r="C22" s="230" t="s">
        <v>475</v>
      </c>
      <c r="D22" s="231" t="s">
        <v>486</v>
      </c>
      <c r="E22" s="20"/>
    </row>
    <row r="23" ht="18.75" customHeight="1">
      <c r="A23" s="20"/>
      <c r="B23" s="225" t="s">
        <v>438</v>
      </c>
      <c r="C23" s="230" t="s">
        <v>527</v>
      </c>
      <c r="D23" s="231" t="s">
        <v>529</v>
      </c>
      <c r="E23" s="20"/>
    </row>
    <row r="24" ht="18.75" customHeight="1">
      <c r="A24" s="20"/>
      <c r="B24" s="225" t="s">
        <v>699</v>
      </c>
      <c r="C24" s="230" t="s">
        <v>475</v>
      </c>
      <c r="D24" s="231" t="s">
        <v>504</v>
      </c>
      <c r="E24" s="20"/>
    </row>
    <row r="25" ht="18.75" customHeight="1">
      <c r="A25" s="20"/>
      <c r="B25" s="225" t="s">
        <v>703</v>
      </c>
      <c r="C25" s="230" t="s">
        <v>523</v>
      </c>
      <c r="D25" s="231" t="s">
        <v>529</v>
      </c>
      <c r="E25" s="20"/>
    </row>
    <row r="26" ht="18.75" customHeight="1">
      <c r="A26" s="20"/>
      <c r="B26" s="225" t="s">
        <v>706</v>
      </c>
      <c r="C26" s="230" t="s">
        <v>498</v>
      </c>
      <c r="D26" s="231" t="s">
        <v>835</v>
      </c>
      <c r="E26" s="20"/>
    </row>
    <row r="27" ht="18.75" customHeight="1">
      <c r="A27" s="20"/>
      <c r="B27" s="225" t="s">
        <v>709</v>
      </c>
      <c r="C27" s="230" t="s">
        <v>523</v>
      </c>
      <c r="D27" s="231" t="s">
        <v>836</v>
      </c>
      <c r="E27" s="20"/>
    </row>
    <row r="28" ht="18.75" customHeight="1">
      <c r="A28" s="20"/>
      <c r="B28" s="225" t="s">
        <v>413</v>
      </c>
      <c r="C28" s="230" t="s">
        <v>507</v>
      </c>
      <c r="D28" s="231" t="s">
        <v>528</v>
      </c>
      <c r="E28" s="20"/>
    </row>
    <row r="29" ht="18.75" customHeight="1">
      <c r="A29" s="20"/>
      <c r="B29" s="225" t="s">
        <v>427</v>
      </c>
      <c r="C29" s="230" t="s">
        <v>475</v>
      </c>
      <c r="D29" s="231" t="s">
        <v>504</v>
      </c>
      <c r="E29" s="20"/>
    </row>
    <row r="30" ht="18.75" customHeight="1">
      <c r="A30" s="20"/>
      <c r="B30" s="225" t="s">
        <v>431</v>
      </c>
      <c r="C30" s="230" t="s">
        <v>465</v>
      </c>
      <c r="D30" s="231" t="s">
        <v>533</v>
      </c>
      <c r="E30" s="20"/>
    </row>
    <row r="31" ht="18.75" customHeight="1">
      <c r="A31" s="20"/>
      <c r="B31" s="225" t="s">
        <v>426</v>
      </c>
      <c r="C31" s="230" t="s">
        <v>475</v>
      </c>
      <c r="D31" s="231" t="s">
        <v>487</v>
      </c>
      <c r="E31" s="20"/>
    </row>
    <row r="32" ht="18.75" customHeight="1">
      <c r="A32" s="20"/>
      <c r="B32" s="225" t="s">
        <v>441</v>
      </c>
      <c r="C32" s="230" t="s">
        <v>469</v>
      </c>
      <c r="D32" s="231" t="s">
        <v>471</v>
      </c>
      <c r="E32" s="20"/>
    </row>
    <row r="33" ht="18.75" customHeight="1">
      <c r="A33" s="20"/>
      <c r="B33" s="225" t="s">
        <v>727</v>
      </c>
      <c r="C33" s="230" t="s">
        <v>837</v>
      </c>
      <c r="D33" s="231" t="s">
        <v>838</v>
      </c>
      <c r="E33" s="20"/>
    </row>
    <row r="34" ht="18.75" customHeight="1">
      <c r="A34" s="20"/>
      <c r="B34" s="225" t="s">
        <v>430</v>
      </c>
      <c r="C34" s="230" t="s">
        <v>474</v>
      </c>
      <c r="D34" s="231" t="s">
        <v>496</v>
      </c>
      <c r="E34" s="20"/>
    </row>
    <row r="35" ht="18.75" customHeight="1">
      <c r="A35" s="20"/>
      <c r="B35" s="225" t="s">
        <v>734</v>
      </c>
      <c r="C35" s="230" t="s">
        <v>506</v>
      </c>
      <c r="D35" s="231" t="s">
        <v>839</v>
      </c>
      <c r="E35" s="20"/>
    </row>
    <row r="36" ht="18.75" customHeight="1">
      <c r="A36" s="20"/>
      <c r="B36" s="225" t="s">
        <v>423</v>
      </c>
      <c r="C36" s="230" t="s">
        <v>475</v>
      </c>
      <c r="D36" s="231" t="s">
        <v>499</v>
      </c>
      <c r="E36" s="20"/>
    </row>
    <row r="37" ht="18.75" customHeight="1">
      <c r="A37" s="20"/>
      <c r="B37" s="225" t="s">
        <v>739</v>
      </c>
      <c r="C37" s="230" t="s">
        <v>507</v>
      </c>
      <c r="D37" s="231" t="s">
        <v>840</v>
      </c>
      <c r="E37" s="20"/>
    </row>
    <row r="38" ht="18.75" customHeight="1">
      <c r="A38" s="20"/>
      <c r="B38" s="225" t="s">
        <v>742</v>
      </c>
      <c r="C38" s="230" t="s">
        <v>475</v>
      </c>
      <c r="D38" s="231" t="s">
        <v>841</v>
      </c>
      <c r="E38" s="20"/>
    </row>
    <row r="39" ht="18.75" customHeight="1">
      <c r="A39" s="20"/>
      <c r="B39" s="225" t="s">
        <v>414</v>
      </c>
      <c r="C39" s="230" t="s">
        <v>465</v>
      </c>
      <c r="D39" s="231" t="s">
        <v>490</v>
      </c>
      <c r="E39" s="20"/>
    </row>
    <row r="40" ht="18.75" customHeight="1">
      <c r="A40" s="20"/>
      <c r="B40" s="225" t="s">
        <v>416</v>
      </c>
      <c r="C40" s="230" t="s">
        <v>523</v>
      </c>
      <c r="D40" s="231" t="s">
        <v>524</v>
      </c>
      <c r="E40" s="20"/>
    </row>
    <row r="41" ht="18.75" customHeight="1">
      <c r="A41" s="20"/>
      <c r="B41" s="225" t="s">
        <v>420</v>
      </c>
      <c r="C41" s="230" t="s">
        <v>532</v>
      </c>
      <c r="D41" s="231" t="s">
        <v>524</v>
      </c>
      <c r="E41" s="20"/>
    </row>
    <row r="42" ht="18.75" customHeight="1">
      <c r="A42" s="20"/>
      <c r="B42" s="225" t="s">
        <v>755</v>
      </c>
      <c r="C42" s="230" t="s">
        <v>503</v>
      </c>
      <c r="D42" s="231" t="s">
        <v>838</v>
      </c>
      <c r="E42" s="20"/>
    </row>
    <row r="43" ht="18.75" customHeight="1">
      <c r="A43" s="20"/>
      <c r="B43" s="225" t="s">
        <v>422</v>
      </c>
      <c r="C43" s="230" t="s">
        <v>506</v>
      </c>
      <c r="D43" s="231" t="s">
        <v>508</v>
      </c>
      <c r="E43" s="20"/>
    </row>
    <row r="44" ht="18.75" customHeight="1">
      <c r="A44" s="20"/>
      <c r="B44" s="225" t="s">
        <v>424</v>
      </c>
      <c r="C44" s="230" t="s">
        <v>503</v>
      </c>
      <c r="D44" s="231" t="s">
        <v>483</v>
      </c>
      <c r="E44" s="20"/>
    </row>
    <row r="45" ht="18.75" customHeight="1">
      <c r="A45" s="20"/>
      <c r="B45" s="225" t="s">
        <v>763</v>
      </c>
      <c r="C45" s="230" t="s">
        <v>513</v>
      </c>
      <c r="D45" s="231" t="s">
        <v>546</v>
      </c>
      <c r="E45" s="20"/>
    </row>
    <row r="46" ht="18.75" customHeight="1">
      <c r="A46" s="20"/>
      <c r="B46" s="225" t="s">
        <v>410</v>
      </c>
      <c r="C46" s="230" t="s">
        <v>465</v>
      </c>
      <c r="D46" s="231" t="s">
        <v>470</v>
      </c>
      <c r="E46" s="20"/>
    </row>
    <row r="47" ht="18.75" customHeight="1">
      <c r="A47" s="20"/>
      <c r="B47" s="225" t="s">
        <v>769</v>
      </c>
      <c r="C47" s="230" t="s">
        <v>513</v>
      </c>
      <c r="D47" s="231" t="s">
        <v>842</v>
      </c>
      <c r="E47" s="20"/>
    </row>
    <row r="48" ht="18.75" customHeight="1">
      <c r="A48" s="20"/>
      <c r="B48" s="225" t="s">
        <v>773</v>
      </c>
      <c r="C48" s="230" t="s">
        <v>474</v>
      </c>
      <c r="D48" s="231" t="s">
        <v>504</v>
      </c>
      <c r="E48" s="20"/>
    </row>
    <row r="49" ht="18.75" customHeight="1">
      <c r="A49" s="20"/>
      <c r="B49" s="225" t="s">
        <v>776</v>
      </c>
      <c r="C49" s="230" t="s">
        <v>843</v>
      </c>
      <c r="D49" s="231" t="s">
        <v>546</v>
      </c>
      <c r="E49" s="20"/>
    </row>
    <row r="50" ht="18.75" customHeight="1">
      <c r="A50" s="20"/>
      <c r="B50" s="225" t="s">
        <v>434</v>
      </c>
      <c r="C50" s="230" t="s">
        <v>465</v>
      </c>
      <c r="D50" s="231" t="s">
        <v>536</v>
      </c>
      <c r="E50" s="20"/>
    </row>
    <row r="51" ht="18.75" customHeight="1">
      <c r="A51" s="20"/>
      <c r="B51" s="225" t="s">
        <v>782</v>
      </c>
      <c r="C51" s="230" t="s">
        <v>844</v>
      </c>
      <c r="D51" s="231" t="s">
        <v>845</v>
      </c>
      <c r="E51" s="20"/>
    </row>
    <row r="52" ht="18.75" customHeight="1">
      <c r="A52" s="20"/>
      <c r="B52" s="225" t="s">
        <v>429</v>
      </c>
      <c r="C52" s="230" t="s">
        <v>507</v>
      </c>
      <c r="D52" s="231" t="s">
        <v>509</v>
      </c>
      <c r="E52" s="20"/>
    </row>
    <row r="53" ht="18.75" customHeight="1">
      <c r="A53" s="20"/>
      <c r="B53" s="225" t="s">
        <v>418</v>
      </c>
      <c r="C53" s="230" t="s">
        <v>475</v>
      </c>
      <c r="D53" s="231" t="s">
        <v>546</v>
      </c>
      <c r="E53" s="20"/>
    </row>
    <row r="54" ht="18.75" customHeight="1">
      <c r="A54" s="20"/>
      <c r="B54" s="225" t="s">
        <v>411</v>
      </c>
      <c r="C54" s="230" t="s">
        <v>518</v>
      </c>
      <c r="D54" s="231" t="s">
        <v>520</v>
      </c>
      <c r="E54" s="20"/>
    </row>
    <row r="55" ht="18.75" customHeight="1">
      <c r="A55" s="20"/>
      <c r="B55" s="225" t="s">
        <v>415</v>
      </c>
      <c r="C55" s="230" t="s">
        <v>474</v>
      </c>
      <c r="D55" s="231" t="s">
        <v>482</v>
      </c>
      <c r="E55" s="20"/>
    </row>
    <row r="56" ht="18.75" customHeight="1">
      <c r="A56" s="20"/>
      <c r="B56" s="225" t="s">
        <v>796</v>
      </c>
      <c r="C56" s="230" t="s">
        <v>527</v>
      </c>
      <c r="D56" s="231" t="s">
        <v>846</v>
      </c>
      <c r="E56" s="20"/>
    </row>
    <row r="57" ht="18.75" customHeight="1">
      <c r="A57" s="20"/>
      <c r="B57" s="225" t="s">
        <v>417</v>
      </c>
      <c r="C57" s="230" t="s">
        <v>503</v>
      </c>
      <c r="D57" s="231" t="s">
        <v>535</v>
      </c>
      <c r="E57" s="20"/>
    </row>
    <row r="58" ht="18.75" customHeight="1">
      <c r="A58" s="20"/>
      <c r="B58" s="225" t="s">
        <v>439</v>
      </c>
      <c r="C58" s="230" t="s">
        <v>513</v>
      </c>
      <c r="D58" s="231" t="s">
        <v>515</v>
      </c>
      <c r="E58" s="20"/>
    </row>
    <row r="59" ht="18.75" customHeight="1">
      <c r="A59" s="20"/>
      <c r="B59" s="225" t="s">
        <v>805</v>
      </c>
      <c r="C59" s="230" t="s">
        <v>847</v>
      </c>
      <c r="D59" s="231" t="s">
        <v>471</v>
      </c>
      <c r="E59" s="20"/>
    </row>
    <row r="60" ht="18.75" customHeight="1">
      <c r="A60" s="20"/>
      <c r="B60" s="225" t="s">
        <v>808</v>
      </c>
      <c r="C60" s="230" t="s">
        <v>474</v>
      </c>
      <c r="D60" s="231" t="s">
        <v>848</v>
      </c>
      <c r="E60" s="20"/>
    </row>
    <row r="61" ht="18.75" customHeight="1">
      <c r="A61" s="20"/>
      <c r="B61" s="225" t="s">
        <v>812</v>
      </c>
      <c r="C61" s="230" t="s">
        <v>849</v>
      </c>
      <c r="D61" s="231" t="s">
        <v>850</v>
      </c>
      <c r="E61" s="20"/>
    </row>
    <row r="62" ht="18.75" customHeight="1">
      <c r="A62" s="20"/>
      <c r="B62" s="225" t="s">
        <v>816</v>
      </c>
      <c r="C62" s="230" t="s">
        <v>851</v>
      </c>
      <c r="D62" s="231" t="s">
        <v>852</v>
      </c>
      <c r="E62" s="20"/>
    </row>
    <row r="63" ht="18.75" customHeight="1">
      <c r="A63" s="20"/>
      <c r="B63" s="225" t="s">
        <v>819</v>
      </c>
      <c r="C63" s="230" t="s">
        <v>527</v>
      </c>
      <c r="D63" s="231" t="s">
        <v>831</v>
      </c>
      <c r="E63" s="20"/>
    </row>
    <row r="64" ht="18.75" customHeight="1">
      <c r="A64" s="20"/>
      <c r="B64" s="225" t="s">
        <v>822</v>
      </c>
      <c r="C64" s="230" t="s">
        <v>465</v>
      </c>
      <c r="D64" s="231" t="s">
        <v>471</v>
      </c>
      <c r="E64" s="20"/>
    </row>
    <row r="65" ht="18.75" customHeight="1">
      <c r="A65" s="20"/>
      <c r="B65" s="225"/>
      <c r="C65" s="232"/>
      <c r="D65" s="36"/>
      <c r="E65" s="20"/>
    </row>
    <row r="66" ht="18.75" customHeight="1">
      <c r="A66" s="20"/>
      <c r="B66" s="225"/>
      <c r="C66" s="232"/>
      <c r="D66" s="36"/>
      <c r="E66" s="20"/>
    </row>
    <row r="67" ht="18.75" customHeight="1">
      <c r="A67" s="20"/>
      <c r="B67" s="225"/>
      <c r="C67" s="232"/>
      <c r="D67" s="36"/>
      <c r="E67" s="20"/>
    </row>
    <row r="68" ht="18.75" customHeight="1">
      <c r="A68" s="20"/>
      <c r="B68" s="224"/>
      <c r="C68" s="232"/>
      <c r="D68" s="36"/>
      <c r="E68" s="2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
      </c>
      <c r="D2" s="235" t="s">
        <v>854</v>
      </c>
      <c r="E2" s="236" t="str">
        <f>IFNA(VLOOKUP(I2,Schedules,5,0),"")</f>
        <v/>
      </c>
      <c r="F2" s="20"/>
      <c r="G2" s="21" t="s">
        <v>855</v>
      </c>
      <c r="H2" s="237" t="s">
        <v>856</v>
      </c>
      <c r="I2" s="238"/>
      <c r="K2" s="238"/>
      <c r="L2" s="20"/>
      <c r="M2" s="21" t="s">
        <v>857</v>
      </c>
      <c r="N2" s="239" t="s">
        <v>25</v>
      </c>
      <c r="O2" s="240" t="s">
        <v>33</v>
      </c>
      <c r="P2" s="4"/>
      <c r="Q2" s="19"/>
    </row>
    <row r="3" ht="18.75" customHeight="1">
      <c r="A3" s="19"/>
      <c r="B3" s="26"/>
      <c r="C3" s="241">
        <f>IF(D6="Blue",-1,COUNTIF(E14:E26,"Red"))</f>
        <v>0</v>
      </c>
      <c r="D3" s="242">
        <f>VLOOKUP(O2,MappoolSettings,2,0)</f>
        <v>9</v>
      </c>
      <c r="E3" s="243">
        <f>IF(D6="Red",-1,COUNTIF(E14:E26,"Blue"))</f>
        <v>0</v>
      </c>
      <c r="F3" s="20"/>
      <c r="G3" s="26"/>
      <c r="H3" s="244" t="s">
        <v>456</v>
      </c>
      <c r="I3" s="23"/>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)"),"ERROR: Match ID missing")</f>
        <v>ERROR: Match ID missing</v>
      </c>
      <c r="E4" s="248"/>
      <c r="F4" s="20"/>
      <c r="G4" s="26"/>
      <c r="H4" s="237" t="s">
        <v>452</v>
      </c>
      <c r="I4" s="249" t="str">
        <f>IFNA(VLOOKUP(I2,Schedules,6,0),"")</f>
        <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
      </c>
      <c r="E5" s="253"/>
      <c r="F5" s="20"/>
      <c r="G5" s="26"/>
      <c r="H5" s="237" t="s">
        <v>860</v>
      </c>
      <c r="I5" s="254" t="str">
        <f t="array" ref="I5">IFNA(SUM(VLOOKUP(I2,Schedules,{2,3},0)),"")</f>
        <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 vs ()</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f>
        <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
      </c>
      <c r="D9" s="263"/>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
      </c>
      <c r="D10" s="267"/>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c r="F11" s="20"/>
      <c r="G11" s="26"/>
      <c r="H11" s="244" t="s">
        <v>871</v>
      </c>
      <c r="I11" s="272" t="str">
        <f t="array" ref="I11:J11">IF({H25,H26}="",,"!mp invite "&amp;{I25,I26})</f>
        <v/>
      </c>
      <c r="J11" s="272"/>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IF(D11="",,{IF(MOD(SEQUENCE(D3-1,1),2)=1,IF(D11="Red","Red","Blue"),IF(D11="Red","Blue","Red"));"Tiebreaker"})</f>
        <v/>
      </c>
      <c r="D14" s="263"/>
      <c r="E14" s="31"/>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c r="D15" s="263"/>
      <c r="E15" s="31"/>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c r="D16" s="263"/>
      <c r="E16" s="31"/>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c r="D17" s="263"/>
      <c r="E17" s="31"/>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c r="D18" s="263"/>
      <c r="E18" s="31"/>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c r="D19" s="263"/>
      <c r="E19" s="31"/>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c r="D20" s="263"/>
      <c r="E20" s="31"/>
      <c r="F20" s="20"/>
      <c r="G20" s="26"/>
      <c r="H20" s="287" t="s">
        <v>56</v>
      </c>
      <c r="I20" s="288" t="s">
        <v>57</v>
      </c>
      <c r="L20" s="20"/>
      <c r="M20" s="26"/>
      <c r="N20" s="49"/>
      <c r="O20" s="289"/>
      <c r="P20" s="289"/>
      <c r="Q20" s="19"/>
    </row>
    <row r="21" ht="18.75" customHeight="1">
      <c r="A21" s="19"/>
      <c r="B21" s="26"/>
      <c r="C21" s="36"/>
      <c r="D21" s="263"/>
      <c r="E21" s="31"/>
      <c r="F21" s="20"/>
      <c r="G21" s="26"/>
      <c r="H21" s="287" t="s">
        <v>58</v>
      </c>
      <c r="I21" s="290" t="s">
        <v>886</v>
      </c>
      <c r="L21" s="20"/>
      <c r="M21" s="26"/>
      <c r="N21" s="49"/>
      <c r="O21" s="289"/>
      <c r="P21" s="289"/>
      <c r="Q21" s="19"/>
    </row>
    <row r="22" ht="18.75" customHeight="1">
      <c r="A22" s="19"/>
      <c r="B22" s="26"/>
      <c r="C22" s="36"/>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
      </c>
      <c r="I25" s="295"/>
      <c r="J25" s="294"/>
      <c r="K25" s="294"/>
      <c r="L25" s="38"/>
      <c r="M25" s="26"/>
      <c r="N25" s="49"/>
      <c r="O25" s="289"/>
      <c r="P25" s="289"/>
      <c r="Q25" s="19"/>
    </row>
    <row r="26" ht="18.75" customHeight="1">
      <c r="A26" s="19"/>
      <c r="B26" s="26"/>
      <c r="C26" s="36"/>
      <c r="D26" s="292"/>
      <c r="E26" s="36"/>
      <c r="F26" s="20"/>
      <c r="G26" s="26"/>
      <c r="H26" s="296" t="str">
        <f t="array" ref="H26:K26">IF(Format="Solo",E2,IFNA(VLOOKUP(E2,TeamList,SEQUENCE(1,4,1),0),""))</f>
        <v/>
      </c>
      <c r="I26" s="297"/>
      <c r="J26" s="296"/>
      <c r="K26" s="296"/>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N5"/>
    <hyperlink r:id="rId3" ref="N6"/>
    <hyperlink r:id="rId4" ref="N7"/>
    <hyperlink r:id="rId5" ref="N8"/>
    <hyperlink r:id="rId6" ref="N9"/>
    <hyperlink r:id="rId7" ref="N10"/>
    <hyperlink r:id="rId8" ref="N11"/>
    <hyperlink r:id="rId9" ref="N12"/>
    <hyperlink r:id="rId10" ref="N13"/>
    <hyperlink r:id="rId11" ref="N14"/>
    <hyperlink r:id="rId12" ref="N15"/>
    <hyperlink r:id="rId13" ref="N16"/>
    <hyperlink r:id="rId14" ref="N17"/>
    <hyperlink r:id="rId15" ref="N18"/>
  </hyperlinks>
  <drawing r:id="rId16"/>
  <legacyDrawing r:id="rId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small wiener club</v>
      </c>
      <c r="D2" s="235" t="s">
        <v>854</v>
      </c>
      <c r="E2" s="236" t="str">
        <f>IFNA(VLOOKUP(I2,Schedules,5,0),"")</f>
        <v>Chocomaid</v>
      </c>
      <c r="F2" s="20"/>
      <c r="G2" s="21" t="s">
        <v>855</v>
      </c>
      <c r="H2" s="237" t="s">
        <v>856</v>
      </c>
      <c r="I2" s="238">
        <v>49.0</v>
      </c>
      <c r="K2" s="238"/>
      <c r="L2" s="20"/>
      <c r="M2" s="21" t="s">
        <v>857</v>
      </c>
      <c r="N2" s="239" t="s">
        <v>25</v>
      </c>
      <c r="O2" s="240" t="s">
        <v>37</v>
      </c>
      <c r="P2" s="4"/>
      <c r="Q2" s="19"/>
    </row>
    <row r="3" ht="18.75" customHeight="1">
      <c r="A3" s="19"/>
      <c r="B3" s="26"/>
      <c r="C3" s="241">
        <f>IF(D6="Blue",-1,COUNTIF(E14:E26,"Red"))</f>
        <v>6</v>
      </c>
      <c r="D3" s="242">
        <f>VLOOKUP(O2,MappoolSettings,2,0)</f>
        <v>11</v>
      </c>
      <c r="E3" s="243">
        <f>IF(D6="Red",-1,COUNTIF(E14:E26,"Blue"))</f>
        <v>1</v>
      </c>
      <c r="F3" s="20"/>
      <c r="G3" s="26"/>
      <c r="H3" s="244" t="s">
        <v>456</v>
      </c>
      <c r="I3" s="35" t="s">
        <v>594</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)"),"**Semifinals: Match 49**
&lt;https://osu.ppy.sh/community/matches/110365741&gt;
:red_square: small wiener club | 6 : 1 | Chocomaid :blue_square:
small wiener club bans | NM2 NM6
Chocomaid bans | HD2 FM2
First pick | Chocomaid
:blue_square: | NM5: Camellia -"&amp;" Killerbeast [Spiritual]
:red_square: | DT1: 96neko - Primitive emotion [Hard]
:red_square: | HR1: Harumaki Gohan feat. Hatsune Miku - Hotaru wa Inakatta [Kuse's Insane]
:red_square: | NM4: VeetaCrush - Mole [Kyutei's Insane]
:red_square: | NM1: t+pazolit"&amp;"e - Party in the HOLLOWood feat. Nanahira [INSane]
:red_square: | NM3: ALI - Wild Side [Squilly's Insane]
:red_square: | HD3: YUC'e - POISON -KO3 Remix- [Insane]")</f>
        <v>**Semifinals: Match 49**
&lt;https://osu.ppy.sh/community/matches/110365741&gt;
:red_square: small wiener club | 6 : 1 | Chocomaid :blue_square:
small wiener club bans | NM2 NM6
Chocomaid bans | HD2 FM2
First pick | Chocomaid
:blue_square: | NM5: Camellia - Killerbeast [Spiritual]
:red_square: | DT1: 96neko - Primitive emotion [Hard]
:red_square: | HR1: Harumaki Gohan feat. Hatsune Miku - Hotaru wa Inakatta [Kuse's Insane]
:red_square: | NM4: VeetaCrush - Mole [Kyutei's Insane]
:red_square: | NM1: t+pazolite - Party in the HOLLOWood feat. Nanahira [INSane]
:red_square: | NM3: ALI - Wild Side [Squilly's Insane]
:red_square: | HD3: YUC'e - POISON -KO3 Remix- [Insane]</v>
      </c>
      <c r="E4" s="248"/>
      <c r="F4" s="20"/>
      <c r="G4" s="26"/>
      <c r="H4" s="237" t="s">
        <v>452</v>
      </c>
      <c r="I4" s="249" t="str">
        <f>IFNA(VLOOKUP(I2,Schedules,6,0),"")</f>
        <v>Emerald Ages</v>
      </c>
      <c r="K4" s="249"/>
      <c r="L4" s="20"/>
      <c r="M4" s="26"/>
      <c r="N4" s="250" t="str">
        <f>IFERROR(__xludf.DUMMYFUNCTION("IF(O2="""",,ARRAY_CONSTRAIN(FILTER(Maps,Mappools!B4:B27=O2),25,3))"),"NM1: t+pazolite - Party in the HOLLOWood feat. Nanahira [INSane]")</f>
        <v>NM1: t+pazolite - Party in the HOLLOWood feat. Nanahira [INSane]</v>
      </c>
      <c r="O4" s="251" t="str">
        <f>IFERROR(__xludf.DUMMYFUNCTION("""COMPUTED_VALUE"""),"!mp map 1717844 0")</f>
        <v>!mp map 1717844 0</v>
      </c>
      <c r="P4" s="251" t="str">
        <f>IFERROR(__xludf.DUMMYFUNCTION("""COMPUTED_VALUE"""),"!mp mods NF")</f>
        <v>!mp mods NF</v>
      </c>
      <c r="Q4" s="19"/>
    </row>
    <row r="5" ht="18.75" customHeight="1">
      <c r="A5" s="19"/>
      <c r="B5" s="26"/>
      <c r="C5" s="246" t="s">
        <v>859</v>
      </c>
      <c r="D5" s="252" t="str">
        <f t="array" ref="D5:E5">IFERROR(VLOOKUP(INDEX($D$14:$D$26,COUNTA($D$14:$D$26)),$N$4:$P$26,{2,3},0),"")</f>
        <v>!mp map 2044890 0</v>
      </c>
      <c r="E5" s="253" t="s">
        <v>91</v>
      </c>
      <c r="F5" s="20"/>
      <c r="G5" s="26"/>
      <c r="H5" s="237" t="s">
        <v>860</v>
      </c>
      <c r="I5" s="254">
        <f t="array" ref="I5">IFNA(SUM(VLOOKUP(I2,Schedules,{2,3},0)),"")</f>
        <v>45177.58333</v>
      </c>
      <c r="K5" s="254"/>
      <c r="L5" s="20"/>
      <c r="M5" s="26"/>
      <c r="N5" s="250" t="str">
        <f>IFERROR(__xludf.DUMMYFUNCTION("""COMPUTED_VALUE"""),"NM2: GIVEON - Favourite Mistake [Halogenix Edit] [Insane]")</f>
        <v>NM2: GIVEON - Favourite Mistake [Halogenix Edit] [Insane]</v>
      </c>
      <c r="O5" s="251" t="str">
        <f>IFERROR(__xludf.DUMMYFUNCTION("""COMPUTED_VALUE"""),"!mp map 3656173 0")</f>
        <v>!mp map 3656173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ALI - Wild Side [Squilly's Insane]")</f>
        <v>NM3: ALI - Wild Side [Squilly's Insane]</v>
      </c>
      <c r="O6" s="251" t="str">
        <f>IFERROR(__xludf.DUMMYFUNCTION("""COMPUTED_VALUE"""),"!mp map 2715749 0")</f>
        <v>!mp map 2715749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(small wiener club) vs (Chocomaid)</v>
      </c>
      <c r="L7" s="20"/>
      <c r="M7" s="26"/>
      <c r="N7" s="250" t="str">
        <f>IFERROR(__xludf.DUMMYFUNCTION("""COMPUTED_VALUE"""),"NM4: VeetaCrush - Mole [Kyutei's Insane]")</f>
        <v>NM4: VeetaCrush - Mole [Kyutei's Insane]</v>
      </c>
      <c r="O7" s="251" t="str">
        <f>IFERROR(__xludf.DUMMYFUNCTION("""COMPUTED_VALUE"""),"!mp map 3291796 0")</f>
        <v>!mp map 3291796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Camellia - Killerbeast [Spiritual]")</f>
        <v>NM5: Camellia - Killerbeast [Spiritual]</v>
      </c>
      <c r="O8" s="251" t="str">
        <f>IFERROR(__xludf.DUMMYFUNCTION("""COMPUTED_VALUE"""),"!mp map 3187491 0")</f>
        <v>!mp map 3187491 0</v>
      </c>
      <c r="P8" s="251" t="str">
        <f>IFERROR(__xludf.DUMMYFUNCTION("""COMPUTED_VALUE"""),"!mp mods NF")</f>
        <v>!mp mods NF</v>
      </c>
      <c r="Q8" s="19"/>
    </row>
    <row r="9" ht="18.75" customHeight="1">
      <c r="A9" s="19"/>
      <c r="B9" s="26"/>
      <c r="C9" s="262" t="str">
        <f>C2</f>
        <v>small wiener club</v>
      </c>
      <c r="D9" s="263" t="s">
        <v>238</v>
      </c>
      <c r="E9" s="238" t="s">
        <v>250</v>
      </c>
      <c r="F9" s="20"/>
      <c r="G9" s="26"/>
      <c r="H9" s="237" t="s">
        <v>13</v>
      </c>
      <c r="I9" s="264" t="s">
        <v>868</v>
      </c>
      <c r="K9" s="265"/>
      <c r="L9" s="20"/>
      <c r="M9" s="26"/>
      <c r="N9" s="250" t="str">
        <f>IFERROR(__xludf.DUMMYFUNCTION("""COMPUTED_VALUE"""),"NM6: Kai - Junk Lady [Deppy and Wanpachi's Insane]")</f>
        <v>NM6: Kai - Junk Lady [Deppy and Wanpachi's Insane]</v>
      </c>
      <c r="O9" s="251" t="str">
        <f>IFERROR(__xludf.DUMMYFUNCTION("""COMPUTED_VALUE"""),"!mp map 3990086 0")</f>
        <v>!mp map 3990086 0</v>
      </c>
      <c r="P9" s="251" t="str">
        <f>IFERROR(__xludf.DUMMYFUNCTION("""COMPUTED_VALUE"""),"!mp mods NF")</f>
        <v>!mp mods NF</v>
      </c>
      <c r="Q9" s="19"/>
    </row>
    <row r="10" ht="18.75" customHeight="1">
      <c r="A10" s="19"/>
      <c r="B10" s="26"/>
      <c r="C10" s="266" t="str">
        <f>E2</f>
        <v>Chocomaid</v>
      </c>
      <c r="D10" s="267" t="s">
        <v>256</v>
      </c>
      <c r="E10" s="268" t="s">
        <v>283</v>
      </c>
      <c r="F10" s="20"/>
      <c r="G10" s="26"/>
      <c r="H10" s="244" t="s">
        <v>869</v>
      </c>
      <c r="I10" s="269" t="str">
        <f t="array" ref="I10:J10">IFNA(IF(VLOOKUP(I2,Schedules,{7,8},0)="",,"!mp addref "&amp;VLOOKUP(I2,Schedules,{7,8},0)),"")</f>
        <v/>
      </c>
      <c r="J10" s="269"/>
      <c r="K10" s="270"/>
      <c r="L10" s="20"/>
      <c r="M10" s="26"/>
      <c r="N10" s="250" t="str">
        <f>IFERROR(__xludf.DUMMYFUNCTION("""COMPUTED_VALUE"""),"HD1: Aso Natsuko - Perfect-area complete! [Asuka_-'s Insane]")</f>
        <v>HD1: Aso Natsuko - Perfect-area complete! [Asuka_-'s Insane]</v>
      </c>
      <c r="O10" s="251" t="str">
        <f>IFERROR(__xludf.DUMMYFUNCTION("""COMPUTED_VALUE"""),"!mp map 1972425 0")</f>
        <v>!mp map 1972425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SiriusOnly</v>
      </c>
      <c r="J11" s="272" t="s">
        <v>892</v>
      </c>
      <c r="K11" s="273"/>
      <c r="L11" s="20"/>
      <c r="M11" s="26"/>
      <c r="N11" s="250" t="str">
        <f>IFERROR(__xludf.DUMMYFUNCTION("""COMPUTED_VALUE"""),"HD2: Kola Kid - timer [Insane]")</f>
        <v>HD2: Kola Kid - timer [Insane]</v>
      </c>
      <c r="O11" s="251" t="str">
        <f>IFERROR(__xludf.DUMMYFUNCTION("""COMPUTED_VALUE"""),"!mp map 2277128 0")</f>
        <v>!mp map 2277128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YUC'e - POISON -KO3 Remix- [Insane]")</f>
        <v>HD3: YUC'e - POISON -KO3 Remix- [Insane]</v>
      </c>
      <c r="O12" s="251" t="str">
        <f>IFERROR(__xludf.DUMMYFUNCTION("""COMPUTED_VALUE"""),"!mp map 2044890 0")</f>
        <v>!mp map 2044890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Harumaki Gohan feat. Hatsune Miku - Hotaru wa Inakatta [Kuse's Insane]")</f>
        <v>HR1: Harumaki Gohan feat. Hatsune Miku - Hotaru wa Inakatta [Kuse's Insane]</v>
      </c>
      <c r="O13" s="251" t="str">
        <f>IFERROR(__xludf.DUMMYFUNCTION("""COMPUTED_VALUE"""),"!mp map 3454421 0")</f>
        <v>!mp map 3454421 0</v>
      </c>
      <c r="P13" s="251" t="str">
        <f>IFERROR(__xludf.DUMMYFUNCTION("""COMPUTED_VALUE"""),"!mp mods HR NF")</f>
        <v>!mp mods HR NF</v>
      </c>
      <c r="Q13" s="19"/>
    </row>
    <row r="14" ht="18.75" customHeight="1">
      <c r="A14" s="19"/>
      <c r="B14" s="26"/>
      <c r="C14" s="36" t="str">
        <f t="array" ref="C14:C24">IF(D11="",,{IF(MOD(SEQUENCE(D3-1,1),2)=1,IF(D11="Red","Red","Blue"),IF(D11="Red","Blue","Red"));"Tiebreaker"})</f>
        <v>Blue</v>
      </c>
      <c r="D14" s="263" t="s">
        <v>247</v>
      </c>
      <c r="E14" s="31" t="s">
        <v>891</v>
      </c>
      <c r="F14" s="20"/>
      <c r="G14" s="26"/>
      <c r="H14" s="278" t="s">
        <v>878</v>
      </c>
      <c r="I14" s="260" t="s">
        <v>879</v>
      </c>
      <c r="J14" s="260" t="s">
        <v>880</v>
      </c>
      <c r="K14" s="261"/>
      <c r="L14" s="20"/>
      <c r="M14" s="26"/>
      <c r="N14" s="250" t="str">
        <f>IFERROR(__xludf.DUMMYFUNCTION("""COMPUTED_VALUE"""),"HR2: Cro - Wie ich bin [Trust]")</f>
        <v>HR2: Cro - Wie ich bin [Trust]</v>
      </c>
      <c r="O14" s="251" t="str">
        <f>IFERROR(__xludf.DUMMYFUNCTION("""COMPUTED_VALUE"""),"!mp map 2917786 0")</f>
        <v>!mp map 2917786 0</v>
      </c>
      <c r="P14" s="251" t="str">
        <f>IFERROR(__xludf.DUMMYFUNCTION("""COMPUTED_VALUE"""),"!mp mods HR NF")</f>
        <v>!mp mods HR NF</v>
      </c>
      <c r="Q14" s="19"/>
    </row>
    <row r="15" ht="18.75" customHeight="1">
      <c r="A15" s="19"/>
      <c r="B15" s="26"/>
      <c r="C15" s="36" t="s">
        <v>893</v>
      </c>
      <c r="D15" s="263" t="s">
        <v>271</v>
      </c>
      <c r="E15" s="31" t="s">
        <v>893</v>
      </c>
      <c r="F15" s="20"/>
      <c r="G15" s="20"/>
      <c r="H15" s="20"/>
      <c r="I15" s="20"/>
      <c r="J15" s="20"/>
      <c r="K15" s="20"/>
      <c r="L15" s="20"/>
      <c r="M15" s="26"/>
      <c r="N15" s="250" t="str">
        <f>IFERROR(__xludf.DUMMYFUNCTION("""COMPUTED_VALUE"""),"HR3: Camellia - Routing [Another]")</f>
        <v>HR3: Camellia - Routing [Another]</v>
      </c>
      <c r="O15" s="251" t="str">
        <f>IFERROR(__xludf.DUMMYFUNCTION("""COMPUTED_VALUE"""),"!mp map 1405094 0")</f>
        <v>!mp map 1405094 0</v>
      </c>
      <c r="P15" s="251" t="str">
        <f>IFERROR(__xludf.DUMMYFUNCTION("""COMPUTED_VALUE"""),"!mp mods HR NF")</f>
        <v>!mp mods HR NF</v>
      </c>
      <c r="Q15" s="19"/>
    </row>
    <row r="16" ht="18.75" customHeight="1">
      <c r="A16" s="19"/>
      <c r="B16" s="26"/>
      <c r="C16" s="36" t="s">
        <v>891</v>
      </c>
      <c r="D16" s="263" t="s">
        <v>262</v>
      </c>
      <c r="E16" s="31" t="s">
        <v>893</v>
      </c>
      <c r="F16" s="20"/>
      <c r="G16" s="21" t="s">
        <v>881</v>
      </c>
      <c r="H16" s="279" t="s">
        <v>882</v>
      </c>
      <c r="I16" s="280">
        <f>VLOOKUP(O2,MappoolSettings,3,0)</f>
        <v>2</v>
      </c>
      <c r="K16" s="281"/>
      <c r="L16" s="20"/>
      <c r="M16" s="26"/>
      <c r="N16" s="250" t="str">
        <f>IFERROR(__xludf.DUMMYFUNCTION("""COMPUTED_VALUE"""),"DT1: 96neko - Primitive emotion [Hard]")</f>
        <v>DT1: 96neko - Primitive emotion [Hard]</v>
      </c>
      <c r="O16" s="251" t="str">
        <f>IFERROR(__xludf.DUMMYFUNCTION("""COMPUTED_VALUE"""),"!mp map 1592512 0")</f>
        <v>!mp map 1592512 0</v>
      </c>
      <c r="P16" s="251" t="str">
        <f>IFERROR(__xludf.DUMMYFUNCTION("""COMPUTED_VALUE"""),"!mp mods DT NF")</f>
        <v>!mp mods DT NF</v>
      </c>
      <c r="Q16" s="19"/>
    </row>
    <row r="17" ht="18.75" customHeight="1">
      <c r="A17" s="19"/>
      <c r="B17" s="26"/>
      <c r="C17" s="36" t="s">
        <v>893</v>
      </c>
      <c r="D17" s="263" t="s">
        <v>244</v>
      </c>
      <c r="E17" s="31" t="s">
        <v>893</v>
      </c>
      <c r="F17" s="20"/>
      <c r="G17" s="26"/>
      <c r="H17" s="282" t="s">
        <v>883</v>
      </c>
      <c r="I17" s="283" t="str">
        <f>ForumPostLink</f>
        <v>https://osu.ppy.sh/community/forums/topics/1790898?n=1?</v>
      </c>
      <c r="L17" s="20"/>
      <c r="M17" s="26"/>
      <c r="N17" s="250" t="str">
        <f>IFERROR(__xludf.DUMMYFUNCTION("""COMPUTED_VALUE"""),"DT2: umu. - Dareka no Shinzou ni Nareta Nara [Hard]")</f>
        <v>DT2: umu. - Dareka no Shinzou ni Nareta Nara [Hard]</v>
      </c>
      <c r="O17" s="251" t="str">
        <f>IFERROR(__xludf.DUMMYFUNCTION("""COMPUTED_VALUE"""),"!mp map 2388648 0")</f>
        <v>!mp map 2388648 0</v>
      </c>
      <c r="P17" s="251" t="str">
        <f>IFERROR(__xludf.DUMMYFUNCTION("""COMPUTED_VALUE"""),"!mp mods DT NF")</f>
        <v>!mp mods DT NF</v>
      </c>
      <c r="Q17" s="19"/>
    </row>
    <row r="18" ht="18.75" customHeight="1">
      <c r="A18" s="19"/>
      <c r="B18" s="26"/>
      <c r="C18" s="36" t="s">
        <v>891</v>
      </c>
      <c r="D18" s="263" t="s">
        <v>235</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AAAA + Umeboshi Chazuke - Cait Sith [Setu's Hard]")</f>
        <v>DT3: AAAA + Umeboshi Chazuke - Cait Sith [Setu's Hard]</v>
      </c>
      <c r="O18" s="251" t="str">
        <f>IFERROR(__xludf.DUMMYFUNCTION("""COMPUTED_VALUE"""),"!mp map 3819183 0")</f>
        <v>!mp map 3819183 0</v>
      </c>
      <c r="P18" s="251" t="str">
        <f>IFERROR(__xludf.DUMMYFUNCTION("""COMPUTED_VALUE"""),"!mp mods DT NF")</f>
        <v>!mp mods DT NF</v>
      </c>
      <c r="Q18" s="19"/>
    </row>
    <row r="19" ht="18.75" customHeight="1">
      <c r="A19" s="19"/>
      <c r="B19" s="26"/>
      <c r="C19" s="36" t="s">
        <v>893</v>
      </c>
      <c r="D19" s="263" t="s">
        <v>241</v>
      </c>
      <c r="E19" s="31" t="s">
        <v>893</v>
      </c>
      <c r="F19" s="20"/>
      <c r="G19" s="26"/>
      <c r="H19" s="282" t="s">
        <v>885</v>
      </c>
      <c r="I19" s="284" t="str">
        <f>"Forfeit: "&amp;IF(NoShow2="","Never",NoShow2&amp;"mins")</f>
        <v>Forfeit: 15mins</v>
      </c>
      <c r="J19" s="285"/>
      <c r="K19" s="286"/>
      <c r="L19" s="20"/>
      <c r="M19" s="26"/>
      <c r="N19" s="250" t="str">
        <f>IFERROR(__xludf.DUMMYFUNCTION("""COMPUTED_VALUE"""),"FM1: Wagakki Band - Kagerou Days [Ducky-'s Insane]")</f>
        <v>FM1: Wagakki Band - Kagerou Days [Ducky-'s Insane]</v>
      </c>
      <c r="O19" s="251" t="str">
        <f>IFERROR(__xludf.DUMMYFUNCTION("""COMPUTED_VALUE"""),"!mp map 2514122 0")</f>
        <v>!mp map 2514122 0</v>
      </c>
      <c r="P19" s="251" t="str">
        <f>IFERROR(__xludf.DUMMYFUNCTION("""COMPUTED_VALUE"""),"!mp mods Freemod")</f>
        <v>!mp mods Freemod</v>
      </c>
      <c r="Q19" s="19"/>
    </row>
    <row r="20" ht="18.75" customHeight="1">
      <c r="A20" s="19"/>
      <c r="B20" s="26"/>
      <c r="C20" s="36" t="s">
        <v>891</v>
      </c>
      <c r="D20" s="263" t="s">
        <v>259</v>
      </c>
      <c r="E20" s="31" t="s">
        <v>893</v>
      </c>
      <c r="F20" s="20"/>
      <c r="G20" s="26"/>
      <c r="H20" s="287" t="s">
        <v>56</v>
      </c>
      <c r="I20" s="288" t="s">
        <v>57</v>
      </c>
      <c r="L20" s="20"/>
      <c r="M20" s="26"/>
      <c r="N20" s="49" t="str">
        <f>IFERROR(__xludf.DUMMYFUNCTION("""COMPUTED_VALUE"""),"FM2: Brandy - Cross Time !! [DJPop Mix]")</f>
        <v>FM2: Brandy - Cross Time !! [DJPop Mix]</v>
      </c>
      <c r="O20" s="289" t="str">
        <f>IFERROR(__xludf.DUMMYFUNCTION("""COMPUTED_VALUE"""),"!mp map 28366 0")</f>
        <v>!mp map 28366 0</v>
      </c>
      <c r="P20" s="289" t="str">
        <f>IFERROR(__xludf.DUMMYFUNCTION("""COMPUTED_VALUE"""),"!mp mods Freemod")</f>
        <v>!mp mods Freemod</v>
      </c>
      <c r="Q20" s="19"/>
    </row>
    <row r="21" ht="18.75" customHeight="1">
      <c r="A21" s="19"/>
      <c r="B21" s="26"/>
      <c r="C21" s="36" t="s">
        <v>893</v>
      </c>
      <c r="D21" s="263"/>
      <c r="E21" s="31"/>
      <c r="F21" s="20"/>
      <c r="G21" s="26"/>
      <c r="H21" s="287" t="s">
        <v>58</v>
      </c>
      <c r="I21" s="290" t="s">
        <v>886</v>
      </c>
      <c r="L21" s="20"/>
      <c r="M21" s="26"/>
      <c r="N21" s="49" t="str">
        <f>IFERROR(__xludf.DUMMYFUNCTION("""COMPUTED_VALUE"""),"TB1: Camellia - EXiT this Earths Atomosphere [Astral]")</f>
        <v>TB1: Camellia - EXiT this Earths Atomosphere [Astral]</v>
      </c>
      <c r="O21" s="289" t="str">
        <f>IFERROR(__xludf.DUMMYFUNCTION("""COMPUTED_VALUE"""),"!mp map 1248147 0")</f>
        <v>!mp map 1248147 0</v>
      </c>
      <c r="P21" s="289" t="str">
        <f>IFERROR(__xludf.DUMMYFUNCTION("""COMPUTED_VALUE"""),"!mp mods Freemod")</f>
        <v>!mp mods Freemod</v>
      </c>
      <c r="Q21" s="19"/>
    </row>
    <row r="22" ht="18.75" customHeight="1">
      <c r="A22" s="19"/>
      <c r="B22" s="26"/>
      <c r="C22" s="36" t="s">
        <v>891</v>
      </c>
      <c r="D22" s="263"/>
      <c r="E22" s="31"/>
      <c r="F22" s="20"/>
      <c r="G22" s="26"/>
      <c r="H22" s="287" t="s">
        <v>887</v>
      </c>
      <c r="I22" s="48" t="s">
        <v>888</v>
      </c>
      <c r="K22" s="291"/>
      <c r="L22" s="20"/>
      <c r="M22" s="26"/>
      <c r="N22" s="49"/>
      <c r="O22" s="289"/>
      <c r="P22" s="289"/>
      <c r="Q22" s="19"/>
    </row>
    <row r="23" ht="18.75" customHeight="1">
      <c r="A23" s="19"/>
      <c r="B23" s="26"/>
      <c r="C23" s="36" t="s">
        <v>893</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small wiener club</v>
      </c>
      <c r="I25" s="295" t="s">
        <v>766</v>
      </c>
      <c r="J25" s="294" t="s">
        <v>767</v>
      </c>
      <c r="K25" s="294" t="s">
        <v>768</v>
      </c>
      <c r="L25" s="38"/>
      <c r="M25" s="26"/>
      <c r="N25" s="49"/>
      <c r="O25" s="289"/>
      <c r="P25" s="289"/>
      <c r="Q25" s="19"/>
    </row>
    <row r="26" ht="18.75" customHeight="1">
      <c r="A26" s="19"/>
      <c r="B26" s="26"/>
      <c r="C26" s="36"/>
      <c r="D26" s="292"/>
      <c r="E26" s="36"/>
      <c r="F26" s="20"/>
      <c r="G26" s="26"/>
      <c r="H26" s="296" t="str">
        <f t="array" ref="H26:K26">IF(Format="Solo",E2,IFNA(VLOOKUP(E2,TeamList,SEQUENCE(1,4,1),0),""))</f>
        <v>Chocomaid</v>
      </c>
      <c r="I26" s="297" t="s">
        <v>716</v>
      </c>
      <c r="J26" s="296" t="s">
        <v>717</v>
      </c>
      <c r="K26" s="296" t="s">
        <v>718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The 3-star Threats</v>
      </c>
      <c r="D2" s="235" t="s">
        <v>854</v>
      </c>
      <c r="E2" s="236" t="str">
        <f>IFNA(VLOOKUP(I2,Schedules,5,0),"")</f>
        <v>middle-schooler wife</v>
      </c>
      <c r="F2" s="20"/>
      <c r="G2" s="21" t="s">
        <v>855</v>
      </c>
      <c r="H2" s="237" t="s">
        <v>856</v>
      </c>
      <c r="I2" s="238">
        <v>41.0</v>
      </c>
      <c r="K2" s="238"/>
      <c r="L2" s="20"/>
      <c r="M2" s="21" t="s">
        <v>857</v>
      </c>
      <c r="N2" s="239" t="s">
        <v>25</v>
      </c>
      <c r="O2" s="240" t="s">
        <v>35</v>
      </c>
      <c r="P2" s="4"/>
      <c r="Q2" s="19"/>
    </row>
    <row r="3" ht="18.75" customHeight="1">
      <c r="A3" s="19"/>
      <c r="B3" s="26"/>
      <c r="C3" s="241">
        <f>IF(D6="Blue",-1,COUNTIF(E14:E26,"Red"))</f>
        <v>6</v>
      </c>
      <c r="D3" s="242">
        <f>VLOOKUP(O2,MappoolSettings,2,0)</f>
        <v>11</v>
      </c>
      <c r="E3" s="243">
        <f>IF(D6="Red",-1,COUNTIF(E14:E26,"Blue"))</f>
        <v>0</v>
      </c>
      <c r="F3" s="20"/>
      <c r="G3" s="26"/>
      <c r="H3" s="244" t="s">
        <v>456</v>
      </c>
      <c r="I3" s="23" t="s">
        <v>592</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41**
&lt;asynch&gt;
:red_square: The 3-star Threats | 6 : 0 | middle-schooler wife :blue_square:
The 3-star Threats bans | NM4 NM5
middle-schooler wife bans | NM1 HD1
First pick | middle-schooler wife
:red_square: | HR1: kessoku band "&amp;"- Guitar to Kodoku to Aoi Hoshi [kuuti's Insane]
:red_square: | HD2: BRZion - Game Brain [Insane]
:red_square: | DT3: Nekomata Master+ - chaos eater -IIDX edition- [HARD]
:red_square: | FM2: Hiiragi Magnetite - Marshall Maximizer feat. KAFU [Hyper]
:red_s"&amp;"quare: | HR2: Cranky - Luvin' You [Alazy's Another]
:red_square: | HD3: succducc - me &amp; u [sing's insane]")</f>
        <v>**Quarterfinals: Match 41**
&lt;asynch&gt;
:red_square: The 3-star Threats | 6 : 0 | middle-schooler wife :blue_square:
The 3-star Threats bans | NM4 NM5
middle-schooler wife bans | NM1 HD1
First pick | middle-schooler wife
:red_square: | HR1: kessoku band - Guitar to Kodoku to Aoi Hoshi [kuuti's Insane]
:red_square: | HD2: BRZion - Game Brain [Insane]
:red_square: | DT3: Nekomata Master+ - chaos eater -IIDX edition- [HARD]
:red_square: | FM2: Hiiragi Magnetite - Marshall Maximizer feat. KAFU [Hyper]
:red_square: | HR2: Cranky - Luvin' You [Alazy's Another]
:red_square: | HD3: succducc - me &amp; u [sing's insane]</v>
      </c>
      <c r="E4" s="248"/>
      <c r="F4" s="20"/>
      <c r="G4" s="26"/>
      <c r="H4" s="237" t="s">
        <v>452</v>
      </c>
      <c r="I4" s="249" t="str">
        <f>IFNA(VLOOKUP(I2,Schedules,6,0),"")</f>
        <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1491793 0</v>
      </c>
      <c r="E5" s="253" t="s">
        <v>91</v>
      </c>
      <c r="F5" s="20"/>
      <c r="G5" s="26"/>
      <c r="H5" s="237" t="s">
        <v>860</v>
      </c>
      <c r="I5" s="254">
        <f t="array" ref="I5">IFNA(SUM(VLOOKUP(I2,Schedules,{2,3},0)),"")</f>
        <v>45172.95833</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(The 3-star Threats) vs (middle-schooler wife)</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The 3-star Threats</v>
      </c>
      <c r="D9" s="263" t="s">
        <v>187</v>
      </c>
      <c r="E9" s="238" t="s">
        <v>190</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middle-schooler wife</v>
      </c>
      <c r="D10" s="267" t="s">
        <v>178</v>
      </c>
      <c r="E10" s="268" t="s">
        <v>197</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bonnflow</v>
      </c>
      <c r="J11" s="272" t="s">
        <v>895</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Blue</v>
      </c>
      <c r="D14" s="263" t="s">
        <v>207</v>
      </c>
      <c r="E14" s="31" t="s">
        <v>893</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893</v>
      </c>
      <c r="D15" s="263" t="s">
        <v>200</v>
      </c>
      <c r="E15" s="31" t="s">
        <v>893</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891</v>
      </c>
      <c r="D16" s="263" t="s">
        <v>223</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893</v>
      </c>
      <c r="D17" s="263" t="s">
        <v>229</v>
      </c>
      <c r="E17" s="31" t="s">
        <v>893</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891</v>
      </c>
      <c r="D18" s="263" t="s">
        <v>210</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893</v>
      </c>
      <c r="D19" s="263" t="s">
        <v>204</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891</v>
      </c>
      <c r="D20" s="263"/>
      <c r="E20" s="31"/>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893</v>
      </c>
      <c r="D21" s="263"/>
      <c r="E21" s="31"/>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891</v>
      </c>
      <c r="D22" s="263"/>
      <c r="E22" s="31"/>
      <c r="F22" s="20"/>
      <c r="G22" s="26"/>
      <c r="H22" s="287" t="s">
        <v>887</v>
      </c>
      <c r="I22" s="48" t="s">
        <v>888</v>
      </c>
      <c r="K22" s="291"/>
      <c r="L22" s="20"/>
      <c r="M22" s="26"/>
      <c r="N22" s="49"/>
      <c r="O22" s="289"/>
      <c r="P22" s="289"/>
      <c r="Q22" s="19"/>
    </row>
    <row r="23" ht="18.75" customHeight="1">
      <c r="A23" s="19"/>
      <c r="B23" s="26"/>
      <c r="C23" s="36" t="s">
        <v>893</v>
      </c>
      <c r="D23" s="263"/>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The 3-star Threats</v>
      </c>
      <c r="I25" s="295" t="s">
        <v>799</v>
      </c>
      <c r="J25" s="294" t="s">
        <v>800</v>
      </c>
      <c r="K25" s="294" t="s">
        <v>801</v>
      </c>
      <c r="L25" s="38"/>
      <c r="M25" s="26"/>
      <c r="N25" s="49"/>
      <c r="O25" s="289"/>
      <c r="P25" s="289"/>
      <c r="Q25" s="19"/>
    </row>
    <row r="26" ht="18.75" customHeight="1">
      <c r="A26" s="19"/>
      <c r="B26" s="26"/>
      <c r="C26" s="36"/>
      <c r="D26" s="292"/>
      <c r="E26" s="36"/>
      <c r="F26" s="20"/>
      <c r="G26" s="26"/>
      <c r="H26" s="296" t="str">
        <f t="array" ref="H26:K26">IF(Format="Solo",E2,IFNA(VLOOKUP(E2,TeamList,SEQUENCE(1,4,1),0),""))</f>
        <v>middle-schooler wife</v>
      </c>
      <c r="I26" s="297" t="s">
        <v>693</v>
      </c>
      <c r="J26" s="296" t="s">
        <v>694</v>
      </c>
      <c r="K26" s="296" t="s">
        <v>695</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N5"/>
    <hyperlink r:id="rId3" ref="N6"/>
    <hyperlink r:id="rId4" ref="N7"/>
    <hyperlink r:id="rId5" ref="N8"/>
    <hyperlink r:id="rId6" ref="N9"/>
    <hyperlink r:id="rId7" ref="N10"/>
    <hyperlink r:id="rId8" ref="N11"/>
    <hyperlink r:id="rId9" ref="N12"/>
    <hyperlink r:id="rId10" ref="N13"/>
    <hyperlink r:id="rId11" ref="N14"/>
    <hyperlink r:id="rId12" ref="N15"/>
    <hyperlink r:id="rId13" ref="N16"/>
    <hyperlink r:id="rId14" ref="N17"/>
    <hyperlink r:id="rId15" ref="N18"/>
    <hyperlink r:id="rId16" ref="N19"/>
    <hyperlink r:id="rId17" ref="N20"/>
    <hyperlink r:id="rId18" ref="N21"/>
  </hyperlinks>
  <drawing r:id="rId19"/>
  <legacy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small wiener club</v>
      </c>
      <c r="D2" s="235" t="s">
        <v>854</v>
      </c>
      <c r="E2" s="236" t="str">
        <f>IFNA(VLOOKUP(I2,Schedules,5,0),"")</f>
        <v>lowrank is my love</v>
      </c>
      <c r="F2" s="20"/>
      <c r="G2" s="21" t="s">
        <v>855</v>
      </c>
      <c r="H2" s="237" t="s">
        <v>856</v>
      </c>
      <c r="I2" s="238">
        <v>1.0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0</v>
      </c>
      <c r="F3" s="20"/>
      <c r="G3" s="26"/>
      <c r="H3" s="244" t="s">
        <v>456</v>
      </c>
      <c r="I3" s="35" t="s">
        <v>468</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1**
&lt;https://osu.ppy.sh/community/matches/110051880&gt;
:red_square: small wiener club | 5 : 0 | lowrank is my love :blue_square:
small wiener club ban | DT1
lowrank is my love ban | NM3
First pick | lowrank is my love
:red_square: |"&amp;" NM1: Hazuki - Uso to Shinjitsu [Insane]
:red_square: | NM4: ISOMERZ (DJ Raisei + seatrus) - Symmetric [BOUYAAA's Insane]
:red_square: | HD2: P*Light - Poppin' Shower [Hyper]
:red_square: | DT2: ARForest - Aoba [Hard]
:red_square: | NM2: Jun Kuroda - Terp"&amp;"sichore [Dancer's Delight]")</f>
        <v>**Round of 32: Match 1**
&lt;https://osu.ppy.sh/community/matches/110051880&gt;
:red_square: small wiener club | 5 : 0 | lowrank is my love :blue_square:
small wiener club ban | DT1
lowrank is my love ban | NM3
First pick | lowrank is my love
:red_square: | NM1: Hazuki - Uso to Shinjitsu [Insane]
:red_square: | NM4: ISOMERZ (DJ Raisei + seatrus) - Symmetric [BOUYAAA's Insane]
:red_square: | HD2: P*Light - Poppin' Shower [Hyper]
:red_square: | DT2: ARForest - Aoba [Hard]
:red_square: | NM2: Jun Kuroda - Terpsichore [Dancer's Delight]</v>
      </c>
      <c r="E4" s="248"/>
      <c r="F4" s="20"/>
      <c r="G4" s="26"/>
      <c r="H4" s="237" t="s">
        <v>452</v>
      </c>
      <c r="I4" s="249" t="str">
        <f>IFNA(VLOOKUP(I2,Schedules,6,0),"")</f>
        <v>Emerald Ages</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3297107 0</v>
      </c>
      <c r="E5" s="253" t="s">
        <v>74</v>
      </c>
      <c r="F5" s="20"/>
      <c r="G5" s="26"/>
      <c r="H5" s="237" t="s">
        <v>860</v>
      </c>
      <c r="I5" s="254">
        <f t="array" ref="I5">IFNA(SUM(VLOOKUP(I2,Schedules,{2,3},0)),"")</f>
        <v>45156.58333</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(small wiener club) vs (lowrank is my love)</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small wiener club</v>
      </c>
      <c r="D9" s="263" t="s">
        <v>107</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lowrank is my love</v>
      </c>
      <c r="D10" s="267" t="s">
        <v>77</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SiriusOnly</v>
      </c>
      <c r="J11" s="272" t="s">
        <v>896</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897</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893</v>
      </c>
      <c r="D15" s="263" t="s">
        <v>81</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891</v>
      </c>
      <c r="D16" s="263" t="s">
        <v>94</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893</v>
      </c>
      <c r="D17" s="263" t="s">
        <v>112</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891</v>
      </c>
      <c r="D18" s="263" t="s">
        <v>72</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893</v>
      </c>
      <c r="D19" s="263"/>
      <c r="E19" s="31"/>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c r="E20" s="31"/>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small wiener club</v>
      </c>
      <c r="I25" s="295" t="s">
        <v>766</v>
      </c>
      <c r="J25" s="294" t="s">
        <v>767</v>
      </c>
      <c r="K25" s="294" t="s">
        <v>768</v>
      </c>
      <c r="L25" s="38"/>
      <c r="M25" s="26"/>
      <c r="N25" s="49"/>
      <c r="O25" s="289"/>
      <c r="P25" s="289"/>
      <c r="Q25" s="19"/>
    </row>
    <row r="26" ht="18.75" customHeight="1">
      <c r="A26" s="19"/>
      <c r="B26" s="26"/>
      <c r="C26" s="36"/>
      <c r="D26" s="292"/>
      <c r="E26" s="36"/>
      <c r="F26" s="20"/>
      <c r="G26" s="26"/>
      <c r="H26" s="296" t="str">
        <f t="array" ref="H26:K26">IF(Format="Solo",E2,IFNA(VLOOKUP(E2,TeamList,SEQUENCE(1,4,1),0),""))</f>
        <v>lowrank is my love</v>
      </c>
      <c r="I26" s="297" t="s">
        <v>725</v>
      </c>
      <c r="J26" s="296" t="s">
        <v>726</v>
      </c>
      <c r="K26" s="296"/>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middle-schooler wife</v>
      </c>
      <c r="D2" s="235" t="s">
        <v>854</v>
      </c>
      <c r="E2" s="236" t="str">
        <f>IFNA(VLOOKUP(I2,Schedules,5,0),"")</f>
        <v>PLDT ANO NAAA</v>
      </c>
      <c r="F2" s="20"/>
      <c r="G2" s="21" t="s">
        <v>855</v>
      </c>
      <c r="H2" s="237" t="s">
        <v>856</v>
      </c>
      <c r="I2" s="238">
        <v>2.0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1</v>
      </c>
      <c r="F3" s="20"/>
      <c r="G3" s="26"/>
      <c r="H3" s="244" t="s">
        <v>456</v>
      </c>
      <c r="I3" s="299" t="s">
        <v>485</v>
      </c>
      <c r="J3" s="23"/>
      <c r="K3" s="23"/>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2**
&lt;https://osu.ppy.sh/mp/110066290&gt;
:red_square: middle-schooler wife | 5 : 1 | PLDT ANO NAAA :blue_square:
middle-schooler wife ban | HD2
PLDT ANO NAAA ban | HR1
First pick | PLDT ANO NAAA
:red_square: | NM2: Jun Kuroda - Terps"&amp;"ichore [Dancer's Delight]
:red_square: | DT2: ARForest - Aoba [Hard]
:blue_square: | NM5: Pastel*Palettes - Happy Synthesizer [Insane]
:red_square: | FM1: Shawn Wasabi - Marble Soda [Narcissu's Insane]
:red_square: | DT1: mafumafu - Moudoku ga Osou [Hard]"&amp;"
:red_square: | HR2: Silentroom - NULCTRL [Pattern 03a ""exHRD"" LMT]")</f>
        <v>**Round of 32: Match 2**
&lt;https://osu.ppy.sh/mp/110066290&gt;
:red_square: middle-schooler wife | 5 : 1 | PLDT ANO NAAA :blue_square:
middle-schooler wife ban | HD2
PLDT ANO NAAA ban | HR1
First pick | PLDT ANO NAAA
:red_square: | NM2: Jun Kuroda - Terpsichore [Dancer's Delight]
:red_square: | DT2: ARForest - Aoba [Hard]
:blue_square: | NM5: Pastel*Palettes - Happy Synthesizer [Insane]
:red_square: | FM1: Shawn Wasabi - Marble Soda [Narcissu's Insane]
:red_square: | DT1: mafumafu - Moudoku ga Osou [Hard]
:red_square: | HR2: Silentroom - NULCTRL [Pattern 03a "exHRD" LMT]</v>
      </c>
      <c r="E4" s="248"/>
      <c r="F4" s="20"/>
      <c r="G4" s="26"/>
      <c r="H4" s="237" t="s">
        <v>452</v>
      </c>
      <c r="I4" s="249" t="str">
        <f>IFNA(VLOOKUP(I2,Schedules,6,0),"")</f>
        <v>Gamillie</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2110801 0</v>
      </c>
      <c r="E5" s="253" t="s">
        <v>100</v>
      </c>
      <c r="F5" s="20"/>
      <c r="G5" s="26"/>
      <c r="H5" s="237" t="s">
        <v>860</v>
      </c>
      <c r="I5" s="254">
        <f t="array" ref="I5">IFNA(SUM(VLOOKUP(I2,Schedules,{2,3},0)),"")</f>
        <v>45157.5</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(middle-schooler wife) vs (PLDT ANO NAAA)</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middle-schooler wife</v>
      </c>
      <c r="D9" s="263" t="s">
        <v>94</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PLDT ANO NAAA</v>
      </c>
      <c r="D10" s="267" t="s">
        <v>98</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euouae_</v>
      </c>
      <c r="J11" s="272" t="s">
        <v>898</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72</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893</v>
      </c>
      <c r="D15" s="263" t="s">
        <v>112</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891</v>
      </c>
      <c r="D16" s="263" t="s">
        <v>85</v>
      </c>
      <c r="E16" s="31" t="s">
        <v>891</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893</v>
      </c>
      <c r="D17" s="263" t="s">
        <v>120</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891</v>
      </c>
      <c r="D18" s="263" t="s">
        <v>107</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893</v>
      </c>
      <c r="D19" s="263" t="s">
        <v>103</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c r="E20" s="31"/>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middle-schooler wife</v>
      </c>
      <c r="I25" s="295" t="s">
        <v>693</v>
      </c>
      <c r="J25" s="294" t="s">
        <v>694</v>
      </c>
      <c r="K25" s="294" t="s">
        <v>695</v>
      </c>
      <c r="L25" s="38"/>
      <c r="M25" s="26"/>
      <c r="N25" s="49"/>
      <c r="O25" s="289"/>
      <c r="P25" s="289"/>
      <c r="Q25" s="19"/>
    </row>
    <row r="26" ht="18.75" customHeight="1">
      <c r="A26" s="19"/>
      <c r="B26" s="26"/>
      <c r="C26" s="36"/>
      <c r="D26" s="292"/>
      <c r="E26" s="36"/>
      <c r="F26" s="20"/>
      <c r="G26" s="26"/>
      <c r="H26" s="296" t="str">
        <f t="array" ref="H26:K26">IF(Format="Solo",E2,IFNA(VLOOKUP(E2,TeamList,SEQUENCE(1,4,1),0),""))</f>
        <v>PLDT ANO NAAA</v>
      </c>
      <c r="I26" s="297" t="s">
        <v>722</v>
      </c>
      <c r="J26" s="296" t="s">
        <v>723</v>
      </c>
      <c r="K26" s="296" t="s">
        <v>724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5">
    <mergeCell ref="G7:G14"/>
    <mergeCell ref="G16:G23"/>
    <mergeCell ref="I23:J23"/>
    <mergeCell ref="G25:G26"/>
    <mergeCell ref="B2:B6"/>
    <mergeCell ref="G2:G5"/>
    <mergeCell ref="I2:J2"/>
    <mergeCell ref="M2:M26"/>
    <mergeCell ref="O2:P2"/>
    <mergeCell ref="I9:J9"/>
    <mergeCell ref="B13:B26"/>
    <mergeCell ref="D4:E4"/>
    <mergeCell ref="D6:E6"/>
    <mergeCell ref="I5:J5"/>
    <mergeCell ref="I7:K7"/>
    <mergeCell ref="I4:J4"/>
    <mergeCell ref="I8:J8"/>
    <mergeCell ref="B8:B11"/>
    <mergeCell ref="D11:E11"/>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The 3-star Threats</v>
      </c>
      <c r="D2" s="235" t="s">
        <v>854</v>
      </c>
      <c r="E2" s="236" t="str">
        <f>IFNA(VLOOKUP(I2,Schedules,5,0),"")</f>
        <v>The sleepers</v>
      </c>
      <c r="F2" s="20"/>
      <c r="G2" s="21" t="s">
        <v>855</v>
      </c>
      <c r="H2" s="237" t="s">
        <v>856</v>
      </c>
      <c r="I2" s="238">
        <v>3.0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1</v>
      </c>
      <c r="F3" s="20"/>
      <c r="G3" s="26"/>
      <c r="H3" s="244" t="s">
        <v>456</v>
      </c>
      <c r="I3" s="35" t="s">
        <v>534</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3**
&lt;https://osu.ppy.sh/mp/110090518&gt;
:red_square: The 3-star Threats | 5 : 1 | The sleepers :blue_square:
The 3-star Threats ban | NM3
The sleepers ban | DT3
First pick | The 3-star Threats
:red_square: | HR1: Omoi - Teo [waji's "&amp;"Insane]
:red_square: | HR2: Silentroom - NULCTRL [Pattern 03a ""exHRD"" LMT]
:red_square: | NM1: Hazuki - Uso to Shinjitsu [Insane]
:red_square: | NM5: Pastel*Palettes - Happy Synthesizer [Insane]
:blue_square: | FM2: -45 - Total Eclipse of The Sun [Hard]"&amp;"
:red_square: | HD1: Tsumiki - phony [Hatsune Miku's Insane]")</f>
        <v>**Round of 32: Match 3**
&lt;https://osu.ppy.sh/mp/110090518&gt;
:red_square: The 3-star Threats | 5 : 1 | The sleepers :blue_square:
The 3-star Threats ban | NM3
The sleepers ban | DT3
First pick | The 3-star Threats
:red_square: | HR1: Omoi - Teo [waji's Insane]
:red_square: | HR2: Silentroom - NULCTRL [Pattern 03a "exHRD" LMT]
:red_square: | NM1: Hazuki - Uso to Shinjitsu [Insane]
:red_square: | NM5: Pastel*Palettes - Happy Synthesizer [Insane]
:blue_square: | FM2: -45 - Total Eclipse of The Sun [Hard]
:red_square: | HD1: Tsumiki - phony [Hatsune Miku's Insane]</v>
      </c>
      <c r="E4" s="248"/>
      <c r="F4" s="20"/>
      <c r="G4" s="26"/>
      <c r="H4" s="237" t="s">
        <v>452</v>
      </c>
      <c r="I4" s="238" t="s">
        <v>478</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3280686 0</v>
      </c>
      <c r="E5" s="253" t="s">
        <v>91</v>
      </c>
      <c r="F5" s="20"/>
      <c r="G5" s="26"/>
      <c r="H5" s="237" t="s">
        <v>860</v>
      </c>
      <c r="I5" s="254">
        <f t="array" ref="I5">IFNA(SUM(VLOOKUP(I2,Schedules,{2,3},0)),"")</f>
        <v>45158.875</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(The 3-star Threats) vs (The sleepers)</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The 3-star Threats</v>
      </c>
      <c r="D9" s="263" t="s">
        <v>77</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The sleepers</v>
      </c>
      <c r="D10" s="267" t="s">
        <v>116</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bonnflow</v>
      </c>
      <c r="J11" s="272" t="s">
        <v>899</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98</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103</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897</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85</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125</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t="s">
        <v>89</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The 3-star Threats</v>
      </c>
      <c r="I25" s="295" t="s">
        <v>799</v>
      </c>
      <c r="J25" s="294" t="s">
        <v>800</v>
      </c>
      <c r="K25" s="294" t="s">
        <v>801</v>
      </c>
      <c r="L25" s="38"/>
      <c r="M25" s="26"/>
      <c r="N25" s="49"/>
      <c r="O25" s="289"/>
      <c r="P25" s="289"/>
      <c r="Q25" s="19"/>
    </row>
    <row r="26" ht="18.75" customHeight="1">
      <c r="A26" s="19"/>
      <c r="B26" s="26"/>
      <c r="C26" s="36"/>
      <c r="D26" s="292"/>
      <c r="E26" s="36"/>
      <c r="F26" s="20"/>
      <c r="G26" s="26"/>
      <c r="H26" s="296" t="str">
        <f t="array" ref="H26:K26">IF(Format="Solo",E2,IFNA(VLOOKUP(E2,TeamList,SEQUENCE(1,4,1),0),""))</f>
        <v>The sleepers</v>
      </c>
      <c r="I26" s="297" t="s">
        <v>779</v>
      </c>
      <c r="J26" s="296" t="s">
        <v>780</v>
      </c>
      <c r="K26" s="296" t="s">
        <v>781</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placeholder teamname</v>
      </c>
      <c r="D2" s="235" t="s">
        <v>854</v>
      </c>
      <c r="E2" s="236" t="str">
        <f>IFNA(VLOOKUP(I2,Schedules,5,0),"")</f>
        <v>Mewo My Waifu</v>
      </c>
      <c r="F2" s="20"/>
      <c r="G2" s="21" t="s">
        <v>855</v>
      </c>
      <c r="H2" s="237" t="s">
        <v>856</v>
      </c>
      <c r="I2" s="238">
        <v>4.0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1</v>
      </c>
      <c r="F3" s="20"/>
      <c r="G3" s="26"/>
      <c r="H3" s="244" t="s">
        <v>456</v>
      </c>
      <c r="I3" s="35" t="s">
        <v>464</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4**
&lt;https://osu.ppy.sh/community/matches/110051132&gt;
:red_square: placeholder teamname | 5 : 1 | Mewo My Waifu :blue_square:
placeholder teamname ban | DT1
Mewo My Waifu ban | HD2
First pick | placeholder teamname
:blue_square: | "&amp;"DT2: ARForest - Aoba [Hard]
:red_square: | HR1: Omoi - Teo [waji's Insane]
:red_square: | HD1: Tsumiki - phony [Hatsune Miku's Insane]
:red_square: | NM1: Hazuki - Uso to Shinjitsu [Insane]
:red_square: | NM3: PUP - Anaphylaxis [Insane]
:red_square: | DT3"&amp;": xi - Mirage Garden [PaRaDogi's Hard]")</f>
        <v>**Round of 32: Match 4**
&lt;https://osu.ppy.sh/community/matches/110051132&gt;
:red_square: placeholder teamname | 5 : 1 | Mewo My Waifu :blue_square:
placeholder teamname ban | DT1
Mewo My Waifu ban | HD2
First pick | placeholder teamname
:blue_square: | DT2: ARForest - Aoba [Hard]
:red_square: | HR1: Omoi - Teo [waji's Insane]
:red_square: | HD1: Tsumiki - phony [Hatsune Miku's Insane]
:red_square: | NM1: Hazuki - Uso to Shinjitsu [Insane]
:red_square: | NM3: PUP - Anaphylaxis [Insane]
:red_square: | DT3: xi - Mirage Garden [PaRaDogi's Hard]</v>
      </c>
      <c r="E4" s="248"/>
      <c r="F4" s="20"/>
      <c r="G4" s="26"/>
      <c r="H4" s="237" t="s">
        <v>452</v>
      </c>
      <c r="I4" s="249" t="str">
        <f>IFNA(VLOOKUP(I2,Schedules,6,0),"")</f>
        <v>Emerald Ages</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3396305 0</v>
      </c>
      <c r="E5" s="253" t="s">
        <v>109</v>
      </c>
      <c r="F5" s="20"/>
      <c r="G5" s="26"/>
      <c r="H5" s="237" t="s">
        <v>860</v>
      </c>
      <c r="I5" s="254">
        <f t="array" ref="I5">IFNA(SUM(VLOOKUP(I2,Schedules,{2,3},0)),"")</f>
        <v>45156.54167</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(placeholder teamname) vs (Mewo My Waifu)</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placeholder teamname</v>
      </c>
      <c r="D9" s="263" t="s">
        <v>107</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Mewo My Waifu</v>
      </c>
      <c r="D10" s="267" t="s">
        <v>94</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Qkiryu</v>
      </c>
      <c r="J11" s="272" t="s">
        <v>900</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112</v>
      </c>
      <c r="E14" s="31" t="s">
        <v>891</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98</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89</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897</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77</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t="s">
        <v>116</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placeholder teamname</v>
      </c>
      <c r="I25" s="295" t="s">
        <v>788</v>
      </c>
      <c r="J25" s="294" t="s">
        <v>789</v>
      </c>
      <c r="K25" s="294" t="s">
        <v>790</v>
      </c>
      <c r="L25" s="38"/>
      <c r="M25" s="26"/>
      <c r="N25" s="49"/>
      <c r="O25" s="289"/>
      <c r="P25" s="289"/>
      <c r="Q25" s="19"/>
    </row>
    <row r="26" ht="18.75" customHeight="1">
      <c r="A26" s="19"/>
      <c r="B26" s="26"/>
      <c r="C26" s="36"/>
      <c r="D26" s="292"/>
      <c r="E26" s="36"/>
      <c r="F26" s="20"/>
      <c r="G26" s="26"/>
      <c r="H26" s="296" t="str">
        <f t="array" ref="H26:K26">IF(Format="Solo",E2,IFNA(VLOOKUP(E2,TeamList,SEQUENCE(1,4,1),0),""))</f>
        <v>Mewo My Waifu</v>
      </c>
      <c r="I26" s="297" t="s">
        <v>478</v>
      </c>
      <c r="J26" s="296" t="s">
        <v>675</v>
      </c>
      <c r="K26" s="296" t="s">
        <v>676</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Homossexual Students</v>
      </c>
      <c r="D2" s="235" t="s">
        <v>854</v>
      </c>
      <c r="E2" s="236" t="str">
        <f>IFNA(VLOOKUP(I2,Schedules,5,0),"")</f>
        <v>Better HD Abusers</v>
      </c>
      <c r="F2" s="20"/>
      <c r="G2" s="21" t="s">
        <v>855</v>
      </c>
      <c r="H2" s="237" t="s">
        <v>856</v>
      </c>
      <c r="I2" s="238">
        <v>5.0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2</v>
      </c>
      <c r="F3" s="20"/>
      <c r="G3" s="26"/>
      <c r="H3" s="244" t="s">
        <v>456</v>
      </c>
      <c r="I3" s="35" t="s">
        <v>526</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5**
&lt;https://osu.ppy.sh/community/matches/110087766&gt;
:red_square: Homossexual Students | 5 : 2 | Better HD Abusers :blue_square:
Homossexual Students ban | HD1
Better HD Abusers ban | HR1
First pick | Homossexual Students
:red_squ"&amp;"are: | HD2: P*Light - Poppin' Shower [Hyper]
:blue_square: | NM1: Hazuki - Uso to Shinjitsu [Insane]
:red_square: | NM3: PUP - Anaphylaxis [Insane]
:blue_square: | NM4: ISOMERZ (DJ Raisei + seatrus) - Symmetric [BOUYAAA's Insane]
:red_square: | NM5: Paste"&amp;"l*Palettes - Happy Synthesizer [Insane]
:red_square: | DT1: mafumafu - Moudoku ga Osou [Hard]
:red_square: | HR2: Silentroom - NULCTRL [Pattern 03a ""exHRD"" LMT]")</f>
        <v>**Round of 32: Match 5**
&lt;https://osu.ppy.sh/community/matches/110087766&gt;
:red_square: Homossexual Students | 5 : 2 | Better HD Abusers :blue_square:
Homossexual Students ban | HD1
Better HD Abusers ban | HR1
First pick | Homossexual Students
:red_square: | HD2: P*Light - Poppin' Shower [Hyper]
:blue_square: | NM1: Hazuki - Uso to Shinjitsu [Insane]
:red_square: | NM3: PUP - Anaphylaxis [Insane]
:blue_square: | NM4: ISOMERZ (DJ Raisei + seatrus) - Symmetric [BOUYAAA's Insane]
:red_square: | NM5: Pastel*Palettes - Happy Synthesizer [Insane]
:red_square: | DT1: mafumafu - Moudoku ga Osou [Hard]
:red_square: | HR2: Silentroom - NULCTRL [Pattern 03a "exHRD" LMT]</v>
      </c>
      <c r="E4" s="248"/>
      <c r="F4" s="20"/>
      <c r="G4" s="26"/>
      <c r="H4" s="237" t="s">
        <v>452</v>
      </c>
      <c r="I4" s="249" t="str">
        <f>IFNA(VLOOKUP(I2,Schedules,6,0),"")</f>
        <v>Mewo_</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2110801 0</v>
      </c>
      <c r="E5" s="253" t="s">
        <v>100</v>
      </c>
      <c r="F5" s="20"/>
      <c r="G5" s="26"/>
      <c r="H5" s="237" t="s">
        <v>860</v>
      </c>
      <c r="I5" s="254">
        <f t="array" ref="I5">IFNA(SUM(VLOOKUP(I2,Schedules,{2,3},0)),"")</f>
        <v>45158.75</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(Homossexual Students) vs (Better HD Abusers)</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Homossexual Students</v>
      </c>
      <c r="D9" s="263" t="s">
        <v>89</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Better HD Abusers</v>
      </c>
      <c r="D10" s="267" t="s">
        <v>98</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DUM4L77</v>
      </c>
      <c r="J11" s="272" t="s">
        <v>901</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94</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897</v>
      </c>
      <c r="E15" s="31" t="s">
        <v>891</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77</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81</v>
      </c>
      <c r="E17" s="31" t="s">
        <v>891</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85</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t="s">
        <v>107</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t="s">
        <v>103</v>
      </c>
      <c r="E20" s="31" t="s">
        <v>893</v>
      </c>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Homossexual Students</v>
      </c>
      <c r="I25" s="295" t="s">
        <v>713</v>
      </c>
      <c r="J25" s="294" t="s">
        <v>714</v>
      </c>
      <c r="K25" s="294" t="s">
        <v>715</v>
      </c>
      <c r="L25" s="38"/>
      <c r="M25" s="26"/>
      <c r="N25" s="49"/>
      <c r="O25" s="289"/>
      <c r="P25" s="289"/>
      <c r="Q25" s="19"/>
    </row>
    <row r="26" ht="18.75" customHeight="1">
      <c r="A26" s="19"/>
      <c r="B26" s="26"/>
      <c r="C26" s="36"/>
      <c r="D26" s="292"/>
      <c r="E26" s="36"/>
      <c r="F26" s="20"/>
      <c r="G26" s="26"/>
      <c r="H26" s="296" t="str">
        <f t="array" ref="H26:K26">IF(Format="Solo",E2,IFNA(VLOOKUP(E2,TeamList,SEQUENCE(1,4,1),0),""))</f>
        <v>Better HD Abusers</v>
      </c>
      <c r="I26" s="297" t="s">
        <v>696</v>
      </c>
      <c r="J26" s="296" t="s">
        <v>697</v>
      </c>
      <c r="K26" s="296" t="s">
        <v>698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cake</v>
      </c>
      <c r="D2" s="235" t="s">
        <v>854</v>
      </c>
      <c r="E2" s="236" t="str">
        <f>IFNA(VLOOKUP(I2,Schedules,5,0),"")</f>
        <v>equipe câo</v>
      </c>
      <c r="F2" s="20"/>
      <c r="G2" s="21" t="s">
        <v>855</v>
      </c>
      <c r="H2" s="237" t="s">
        <v>856</v>
      </c>
      <c r="I2" s="238">
        <v>6.0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1</v>
      </c>
      <c r="F3" s="20"/>
      <c r="G3" s="26"/>
      <c r="H3" s="244" t="s">
        <v>456</v>
      </c>
      <c r="I3" s="35" t="s">
        <v>505</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6**
&lt;https://osu.ppy.sh/community/matches/110076817&gt;
:red_square: cake | 5 : 1 | equipe câo :blue_square:
cake ban | HD1
equipe câo ban | HR2
First pick | equipe câo
:red_square: | HD2: P*Light - Poppin' Shower [Hyper]
:red_square"&amp;": | HR1: Omoi - Teo [waji's Insane]
:red_square: | NM3: PUP - Anaphylaxis [Insane]
:red_square: | DT1: mafumafu - Moudoku ga Osou [Hard]
:blue_square: | NM2: Jun Kuroda - Terpsichore [Dancer's Delight]
:red_square: | NM4: ISOMERZ (DJ Raisei + seatrus) - S"&amp;"ymmetric [BOUYAAA's Insane]")</f>
        <v>**Round of 32: Match 6**
&lt;https://osu.ppy.sh/community/matches/110076817&gt;
:red_square: cake | 5 : 1 | equipe câo :blue_square:
cake ban | HD1
equipe câo ban | HR2
First pick | equipe câo
:red_square: | HD2: P*Light - Poppin' Shower [Hyper]
:red_square: | HR1: Omoi - Teo [waji's Insane]
:red_square: | NM3: PUP - Anaphylaxis [Insane]
:red_square: | DT1: mafumafu - Moudoku ga Osou [Hard]
:blue_square: | NM2: Jun Kuroda - Terpsichore [Dancer's Delight]
:red_square: | NM4: ISOMERZ (DJ Raisei + seatrus) - Symmetric [BOUYAAA's Insane]</v>
      </c>
      <c r="E4" s="248"/>
      <c r="F4" s="20"/>
      <c r="G4" s="26"/>
      <c r="H4" s="237" t="s">
        <v>452</v>
      </c>
      <c r="I4" s="249" t="str">
        <f>IFNA(VLOOKUP(I2,Schedules,6,0),"")</f>
        <v>Emerald Ages</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3248876 0</v>
      </c>
      <c r="E5" s="253" t="s">
        <v>74</v>
      </c>
      <c r="F5" s="20"/>
      <c r="G5" s="26"/>
      <c r="H5" s="237" t="s">
        <v>860</v>
      </c>
      <c r="I5" s="254">
        <f t="array" ref="I5">IFNA(SUM(VLOOKUP(I2,Schedules,{2,3},0)),"")</f>
        <v>45158.04167</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(cake) vs (equipe câo)</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cake</v>
      </c>
      <c r="D9" s="263" t="s">
        <v>89</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equipe câo</v>
      </c>
      <c r="D10" s="267" t="s">
        <v>103</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No1ruf</v>
      </c>
      <c r="J11" s="272" t="s">
        <v>902</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94</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893</v>
      </c>
      <c r="D15" s="263" t="s">
        <v>98</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891</v>
      </c>
      <c r="D16" s="263" t="s">
        <v>77</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893</v>
      </c>
      <c r="D17" s="263" t="s">
        <v>107</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891</v>
      </c>
      <c r="D18" s="263" t="s">
        <v>72</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893</v>
      </c>
      <c r="D19" s="263" t="s">
        <v>81</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c r="E20" s="31"/>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cake</v>
      </c>
      <c r="I25" s="295" t="s">
        <v>758</v>
      </c>
      <c r="J25" s="294" t="s">
        <v>759</v>
      </c>
      <c r="K25" s="294"/>
      <c r="L25" s="38"/>
      <c r="M25" s="26"/>
      <c r="N25" s="49"/>
      <c r="O25" s="289"/>
      <c r="P25" s="289"/>
      <c r="Q25" s="19"/>
    </row>
    <row r="26" ht="18.75" customHeight="1">
      <c r="A26" s="19"/>
      <c r="B26" s="26"/>
      <c r="C26" s="36"/>
      <c r="D26" s="292"/>
      <c r="E26" s="36"/>
      <c r="F26" s="20"/>
      <c r="G26" s="26"/>
      <c r="H26" s="296" t="str">
        <f t="array" ref="H26:K26">IF(Format="Solo",E2,IFNA(VLOOKUP(E2,TeamList,SEQUENCE(1,4,1),0),""))</f>
        <v>equipe câo</v>
      </c>
      <c r="I26" s="297" t="s">
        <v>785</v>
      </c>
      <c r="J26" s="296" t="s">
        <v>786</v>
      </c>
      <c r="K26" s="296" t="s">
        <v>787</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female ass wrestling</v>
      </c>
      <c r="D2" s="235" t="s">
        <v>854</v>
      </c>
      <c r="E2" s="236" t="str">
        <f>IFNA(VLOOKUP(I2,Schedules,5,0),"")</f>
        <v>BOCCHER</v>
      </c>
      <c r="F2" s="20"/>
      <c r="G2" s="21" t="s">
        <v>855</v>
      </c>
      <c r="H2" s="237" t="s">
        <v>856</v>
      </c>
      <c r="I2" s="238">
        <v>7.0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1</v>
      </c>
      <c r="F3" s="20"/>
      <c r="G3" s="26"/>
      <c r="H3" s="244" t="s">
        <v>456</v>
      </c>
      <c r="I3" s="300" t="s">
        <v>489</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7**
&lt;https://osu.ppy.sh/mp/110067010&gt;
:red_square: female ass wrestling | 5 : 1 | BOCCHER :blue_square:
female ass wrestling ban | HR1
BOCCHER ban | HD1
First pick | female ass wrestling
:red_square: | DT3: xi - Mirage Garden [PaR"&amp;"aDogi's Hard]
:red_square: | NM3: PUP - Anaphylaxis [Insane]
:blue_square: | FM2: -45 - Total Eclipse of The Sun [Hard]
:red_square: | HR2: Silentroom - NULCTRL [Pattern 03a ""exHRD"" LMT]
:red_square: | HD2: P*Light - Poppin' Shower [Hyper]
:red_square: "&amp;"| NM5: Pastel*Palettes - Happy Synthesizer [Insane]")</f>
        <v>**Round of 32: Match 7**
&lt;https://osu.ppy.sh/mp/110067010&gt;
:red_square: female ass wrestling | 5 : 1 | BOCCHER :blue_square:
female ass wrestling ban | HR1
BOCCHER ban | HD1
First pick | female ass wrestling
:red_square: | DT3: xi - Mirage Garden [PaRaDogi's Hard]
:red_square: | NM3: PUP - Anaphylaxis [Insane]
:blue_square: | FM2: -45 - Total Eclipse of The Sun [Hard]
:red_square: | HR2: Silentroom - NULCTRL [Pattern 03a "exHRD" LMT]
:red_square: | HD2: P*Light - Poppin' Shower [Hyper]
:red_square: | NM5: Pastel*Palettes - Happy Synthesizer [Insane]</v>
      </c>
      <c r="E4" s="248"/>
      <c r="F4" s="20"/>
      <c r="G4" s="26"/>
      <c r="H4" s="237" t="s">
        <v>452</v>
      </c>
      <c r="I4" s="249" t="str">
        <f>IFNA(VLOOKUP(I2,Schedules,6,0),"")</f>
        <v>Pischok</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1989991 0</v>
      </c>
      <c r="E5" s="253" t="s">
        <v>74</v>
      </c>
      <c r="F5" s="20"/>
      <c r="G5" s="26"/>
      <c r="H5" s="237" t="s">
        <v>860</v>
      </c>
      <c r="I5" s="254">
        <f t="array" ref="I5">IFNA(SUM(VLOOKUP(I2,Schedules,{2,3},0)),"")</f>
        <v>45157.54167</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female ass wrestling</v>
      </c>
      <c r="D9" s="263" t="s">
        <v>98</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BOCCHER</v>
      </c>
      <c r="D10" s="267" t="s">
        <v>89</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aespect</v>
      </c>
      <c r="J11" s="272" t="s">
        <v>903</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116</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77</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125</v>
      </c>
      <c r="E16" s="31" t="s">
        <v>891</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103</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94</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t="s">
        <v>85</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female ass wrestling</v>
      </c>
      <c r="I25" s="295" t="s">
        <v>746</v>
      </c>
      <c r="J25" s="294" t="s">
        <v>747</v>
      </c>
      <c r="K25" s="294" t="s">
        <v>748</v>
      </c>
      <c r="L25" s="38"/>
      <c r="M25" s="26"/>
      <c r="N25" s="49"/>
      <c r="O25" s="289"/>
      <c r="P25" s="289"/>
      <c r="Q25" s="19"/>
    </row>
    <row r="26" ht="18.75" customHeight="1">
      <c r="A26" s="19"/>
      <c r="B26" s="26"/>
      <c r="C26" s="36"/>
      <c r="D26" s="292"/>
      <c r="E26" s="36"/>
      <c r="F26" s="20"/>
      <c r="G26" s="26"/>
      <c r="H26" s="296" t="str">
        <f t="array" ref="H26:K26">IF(Format="Solo",E2,IFNA(VLOOKUP(E2,TeamList,SEQUENCE(1,4,1),0),""))</f>
        <v>BOCCHER</v>
      </c>
      <c r="I26" s="297" t="s">
        <v>672</v>
      </c>
      <c r="J26" s="296" t="s">
        <v>673</v>
      </c>
      <c r="K26" s="296" t="s">
        <v>674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Sightread Buff</v>
      </c>
      <c r="D2" s="235" t="s">
        <v>854</v>
      </c>
      <c r="E2" s="236" t="str">
        <f>IFNA(VLOOKUP(I2,Schedules,5,0),"")</f>
        <v>VN+1</v>
      </c>
      <c r="F2" s="20"/>
      <c r="G2" s="21" t="s">
        <v>855</v>
      </c>
      <c r="H2" s="237" t="s">
        <v>856</v>
      </c>
      <c r="I2" s="238">
        <v>8.0</v>
      </c>
      <c r="K2" s="238"/>
      <c r="L2" s="20"/>
      <c r="M2" s="21" t="s">
        <v>857</v>
      </c>
      <c r="N2" s="239" t="s">
        <v>25</v>
      </c>
      <c r="O2" s="240" t="s">
        <v>30</v>
      </c>
      <c r="P2" s="4"/>
      <c r="Q2" s="19"/>
    </row>
    <row r="3" ht="18.75" customHeight="1">
      <c r="A3" s="19"/>
      <c r="B3" s="26"/>
      <c r="C3" s="241">
        <f>IF(D6="Blue",-1,COUNTIF(E14:E26,"Red"))</f>
        <v>2</v>
      </c>
      <c r="D3" s="242">
        <f>VLOOKUP(O2,MappoolSettings,2,0)</f>
        <v>9</v>
      </c>
      <c r="E3" s="243">
        <f>IF(D6="Red",-1,COUNTIF(E14:E26,"Blue"))</f>
        <v>5</v>
      </c>
      <c r="F3" s="20"/>
      <c r="G3" s="26"/>
      <c r="H3" s="244" t="s">
        <v>456</v>
      </c>
      <c r="I3" s="299" t="s">
        <v>493</v>
      </c>
      <c r="J3" s="23"/>
      <c r="K3" s="23"/>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8**
&lt;https://osu.ppy.sh/mp/110067659&gt;
:red_square: Sightread Buff | 2 : 5 | VN+1 :blue_square:
Sightread Buff ban | DT3
VN+1 ban | HR2
First pick | Sightread Buff
:red_square: | NM4: ISOMERZ (DJ Raisei + seatrus) - Symmetric [BOUY"&amp;"AAA's Insane]
:blue_square: | DT2: ARForest - Aoba [Hard]
:red_square: | FM1: Shawn Wasabi - Marble Soda [Narcissu's Insane]
:blue_square: | NM3: PUP - Anaphylaxis [Insane]
:blue_square: | HR1: Omoi - Teo [waji's Insane]
:blue_square: | DT1: mafumafu - Mo"&amp;"udoku ga Osou [Hard]
:blue_square: | HD1: Tsumiki - phony [Hatsune Miku's Insane]")</f>
        <v>**Round of 32: Match 8**
&lt;https://osu.ppy.sh/mp/110067659&gt;
:red_square: Sightread Buff | 2 : 5 | VN+1 :blue_square:
Sightread Buff ban | DT3
VN+1 ban | HR2
First pick | Sightread Buff
:red_square: | NM4: ISOMERZ (DJ Raisei + seatrus) - Symmetric [BOUYAAA's Insane]
:blue_square: | DT2: ARForest - Aoba [Hard]
:red_square: | FM1: Shawn Wasabi - Marble Soda [Narcissu's Insane]
:blue_square: | NM3: PUP - Anaphylaxis [Insane]
:blue_square: | HR1: Omoi - Teo [waji's Insane]
:blue_square: | DT1: mafumafu - Moudoku ga Osou [Hard]
:blue_square: | HD1: Tsumiki - phony [Hatsune Miku's Insane]</v>
      </c>
      <c r="E4" s="248"/>
      <c r="F4" s="20"/>
      <c r="G4" s="26"/>
      <c r="H4" s="237" t="s">
        <v>452</v>
      </c>
      <c r="I4" s="249" t="str">
        <f>IFNA(VLOOKUP(I2,Schedules,6,0),"")</f>
        <v>Gamillie</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3280686 0</v>
      </c>
      <c r="E5" s="253" t="s">
        <v>91</v>
      </c>
      <c r="F5" s="20"/>
      <c r="G5" s="26"/>
      <c r="H5" s="237" t="s">
        <v>860</v>
      </c>
      <c r="I5" s="254">
        <f t="array" ref="I5">IFNA(SUM(VLOOKUP(I2,Schedules,{2,3},0)),"")</f>
        <v>45157.58333</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(Sightread Buff) vs (VN+1)</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Sightread Buff</v>
      </c>
      <c r="D9" s="263" t="s">
        <v>116</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VN+1</v>
      </c>
      <c r="D10" s="267" t="s">
        <v>103</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O_re_O</v>
      </c>
      <c r="J11" s="272" t="s">
        <v>904</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81</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112</v>
      </c>
      <c r="E15" s="31" t="s">
        <v>891</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120</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77</v>
      </c>
      <c r="E17" s="31" t="s">
        <v>891</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98</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t="s">
        <v>107</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t="s">
        <v>89</v>
      </c>
      <c r="E20" s="31" t="s">
        <v>891</v>
      </c>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Sightread Buff</v>
      </c>
      <c r="I25" s="295" t="s">
        <v>638</v>
      </c>
      <c r="J25" s="294" t="s">
        <v>639</v>
      </c>
      <c r="K25" s="294" t="s">
        <v>640</v>
      </c>
      <c r="L25" s="38"/>
      <c r="M25" s="26"/>
      <c r="N25" s="49"/>
      <c r="O25" s="289"/>
      <c r="P25" s="289"/>
      <c r="Q25" s="19"/>
    </row>
    <row r="26" ht="18.75" customHeight="1">
      <c r="A26" s="19"/>
      <c r="B26" s="26"/>
      <c r="C26" s="36"/>
      <c r="D26" s="292"/>
      <c r="E26" s="36"/>
      <c r="F26" s="20"/>
      <c r="G26" s="26"/>
      <c r="H26" s="296" t="str">
        <f t="array" ref="H26:K26">IF(Format="Solo",E2,IFNA(VLOOKUP(E2,TeamList,SEQUENCE(1,4,1),0),""))</f>
        <v>VN+1</v>
      </c>
      <c r="I26" s="297" t="s">
        <v>731</v>
      </c>
      <c r="J26" s="296" t="s">
        <v>732</v>
      </c>
      <c r="K26" s="296" t="s">
        <v>733</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5">
    <mergeCell ref="G7:G14"/>
    <mergeCell ref="G16:G23"/>
    <mergeCell ref="I23:J23"/>
    <mergeCell ref="G25:G26"/>
    <mergeCell ref="B2:B6"/>
    <mergeCell ref="G2:G5"/>
    <mergeCell ref="I2:J2"/>
    <mergeCell ref="M2:M26"/>
    <mergeCell ref="O2:P2"/>
    <mergeCell ref="I9:J9"/>
    <mergeCell ref="B13:B26"/>
    <mergeCell ref="D4:E4"/>
    <mergeCell ref="D6:E6"/>
    <mergeCell ref="I5:J5"/>
    <mergeCell ref="I7:K7"/>
    <mergeCell ref="I4:J4"/>
    <mergeCell ref="I8:J8"/>
    <mergeCell ref="B8:B11"/>
    <mergeCell ref="D11:E11"/>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:MIPINGA:</v>
      </c>
      <c r="D2" s="235" t="s">
        <v>854</v>
      </c>
      <c r="E2" s="236" t="str">
        <f>IFNA(VLOOKUP(I2,Schedules,5,0),"")</f>
        <v>Beancurd</v>
      </c>
      <c r="F2" s="20"/>
      <c r="G2" s="21" t="s">
        <v>855</v>
      </c>
      <c r="H2" s="237" t="s">
        <v>856</v>
      </c>
      <c r="I2" s="238">
        <v>9.0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0</v>
      </c>
      <c r="F3" s="20"/>
      <c r="G3" s="26"/>
      <c r="H3" s="244" t="s">
        <v>456</v>
      </c>
      <c r="I3" s="35" t="s">
        <v>517</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9**
&lt;https://osu.ppy.sh/community/matches/110077688&gt;
:red_square: \:MIPINGA: | 5 : 0 | Beancurd :blue_square:
:MIPINGA: ban | NM1
Beancurd ban | HR2
First pick | :MIPINGA:
:red_square: | HD2: P*Light - Poppin' Shower [Hyper]
:red_"&amp;"square: | NM2: Jun Kuroda - Terpsichore [Dancer's Delight]
:red_square: | HR1: Omoi - Teo [waji's Insane]
:red_square: | FM1: Shawn Wasabi - Marble Soda [Narcissu's Insane]
:red_square: | HD1: Tsumiki - phony [Hatsune Miku's Insane]")</f>
        <v>**Round of 32: Match 9**
&lt;https://osu.ppy.sh/community/matches/110077688&gt;
:red_square: \:MIPINGA: | 5 : 0 | Beancurd :blue_square:
:MIPINGA: ban | NM1
Beancurd ban | HR2
First pick | :MIPINGA:
:red_square: | HD2: P*Light - Poppin' Shower [Hyper]
:red_square: | NM2: Jun Kuroda - Terpsichore [Dancer's Delight]
:red_square: | HR1: Omoi - Teo [waji's Insane]
:red_square: | FM1: Shawn Wasabi - Marble Soda [Narcissu's Insane]
:red_square: | HD1: Tsumiki - phony [Hatsune Miku's Insane]</v>
      </c>
      <c r="E4" s="248"/>
      <c r="F4" s="20"/>
      <c r="G4" s="26"/>
      <c r="H4" s="237" t="s">
        <v>452</v>
      </c>
      <c r="I4" s="249" t="str">
        <f>IFNA(VLOOKUP(I2,Schedules,6,0),"")</f>
        <v>play hd3</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3280686 0</v>
      </c>
      <c r="E5" s="253" t="s">
        <v>91</v>
      </c>
      <c r="F5" s="20"/>
      <c r="G5" s="26"/>
      <c r="H5" s="237" t="s">
        <v>860</v>
      </c>
      <c r="I5" s="254">
        <f t="array" ref="I5">IFNA(SUM(VLOOKUP(I2,Schedules,{2,3},0)),"")</f>
        <v>45158.125</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(:MIPINGA:) vs (Beancurd)</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:MIPINGA:</v>
      </c>
      <c r="D9" s="263" t="s">
        <v>897</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Beancurd</v>
      </c>
      <c r="D10" s="267" t="s">
        <v>103</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RAAPslimshady</v>
      </c>
      <c r="J11" s="272" t="s">
        <v>905</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94</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72</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98</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120</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89</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c r="E19" s="31"/>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:MIPINGA:</v>
      </c>
      <c r="I25" s="295" t="s">
        <v>791</v>
      </c>
      <c r="J25" s="294" t="s">
        <v>792</v>
      </c>
      <c r="K25" s="294" t="s">
        <v>793</v>
      </c>
      <c r="L25" s="38"/>
      <c r="M25" s="26"/>
      <c r="N25" s="49"/>
      <c r="O25" s="289"/>
      <c r="P25" s="289"/>
      <c r="Q25" s="19"/>
    </row>
    <row r="26" ht="18.75" customHeight="1">
      <c r="A26" s="19"/>
      <c r="B26" s="26"/>
      <c r="C26" s="36"/>
      <c r="D26" s="292"/>
      <c r="E26" s="36"/>
      <c r="F26" s="20"/>
      <c r="G26" s="26"/>
      <c r="H26" s="296" t="str">
        <f t="array" ref="H26:K26">IF(Format="Solo",E2,IFNA(VLOOKUP(E2,TeamList,SEQUENCE(1,4,1),0),""))</f>
        <v>Beancurd</v>
      </c>
      <c r="I26" s="297" t="s">
        <v>677</v>
      </c>
      <c r="J26" s="296" t="s">
        <v>678</v>
      </c>
      <c r="K26" s="296" t="s">
        <v>679</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Dino Nuggies</v>
      </c>
      <c r="D2" s="235" t="s">
        <v>854</v>
      </c>
      <c r="E2" s="236" t="str">
        <f>IFNA(VLOOKUP(I2,Schedules,5,0),"")</f>
        <v>Chocomaid</v>
      </c>
      <c r="F2" s="20"/>
      <c r="G2" s="21" t="s">
        <v>855</v>
      </c>
      <c r="H2" s="237" t="s">
        <v>856</v>
      </c>
      <c r="I2" s="238">
        <v>10.0</v>
      </c>
      <c r="K2" s="238"/>
      <c r="L2" s="20"/>
      <c r="M2" s="21" t="s">
        <v>857</v>
      </c>
      <c r="N2" s="239" t="s">
        <v>25</v>
      </c>
      <c r="O2" s="240" t="s">
        <v>30</v>
      </c>
      <c r="P2" s="4"/>
      <c r="Q2" s="19"/>
    </row>
    <row r="3" ht="18.75" customHeight="1">
      <c r="A3" s="19"/>
      <c r="B3" s="26"/>
      <c r="C3" s="241">
        <f>IF(D6="Blue",-1,COUNTIF(E14:E26,"Red"))</f>
        <v>1</v>
      </c>
      <c r="D3" s="242">
        <f>VLOOKUP(O2,MappoolSettings,2,0)</f>
        <v>9</v>
      </c>
      <c r="E3" s="243">
        <f>IF(D6="Red",-1,COUNTIF(E14:E26,"Blue"))</f>
        <v>5</v>
      </c>
      <c r="F3" s="20"/>
      <c r="G3" s="26"/>
      <c r="H3" s="244" t="s">
        <v>456</v>
      </c>
      <c r="I3" s="35" t="s">
        <v>502</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10**
&lt;https://osu.ppy.sh/community/matches/110068687&gt;
:red_square: Dino Nuggies | 1 : 5 | Chocomaid :blue_square:
Dino Nuggies ban | HR1
Chocomaid ban | HD2
First pick | Dino Nuggies
:red_square: | NM3: PUP - Anaphylaxis [Insane]
"&amp;":blue_square: | NM4: ISOMERZ (DJ Raisei + seatrus) - Symmetric [BOUYAAA's Insane]
:blue_square: | HD1: Tsumiki - phony [Hatsune Miku's Insane]
:blue_square: | FM1: Shawn Wasabi - Marble Soda [Narcissu's Insane]
:blue_square: | NM5: Pastel*Palettes - Happy"&amp;" Synthesizer [Insane]
:blue_square: | HR2: Silentroom - NULCTRL [Pattern 03a ""exHRD"" LMT]")</f>
        <v>**Round of 32: Match 10**
&lt;https://osu.ppy.sh/community/matches/110068687&gt;
:red_square: Dino Nuggies | 1 : 5 | Chocomaid :blue_square:
Dino Nuggies ban | HR1
Chocomaid ban | HD2
First pick | Dino Nuggies
:red_square: | NM3: PUP - Anaphylaxis [Insane]
:blue_square: | NM4: ISOMERZ (DJ Raisei + seatrus) - Symmetric [BOUYAAA's Insane]
:blue_square: | HD1: Tsumiki - phony [Hatsune Miku's Insane]
:blue_square: | FM1: Shawn Wasabi - Marble Soda [Narcissu's Insane]
:blue_square: | NM5: Pastel*Palettes - Happy Synthesizer [Insane]
:blue_square: | HR2: Silentroom - NULCTRL [Pattern 03a "exHRD" LMT]</v>
      </c>
      <c r="E4" s="248"/>
      <c r="F4" s="20"/>
      <c r="G4" s="26"/>
      <c r="H4" s="237" t="s">
        <v>452</v>
      </c>
      <c r="I4" s="249" t="str">
        <f>IFNA(VLOOKUP(I2,Schedules,6,0),"")</f>
        <v>Fuwub</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2110801 0</v>
      </c>
      <c r="E5" s="253" t="s">
        <v>100</v>
      </c>
      <c r="F5" s="20"/>
      <c r="G5" s="26"/>
      <c r="H5" s="237" t="s">
        <v>860</v>
      </c>
      <c r="I5" s="254">
        <f t="array" ref="I5">IFNA(SUM(VLOOKUP(I2,Schedules,{2,3},0)),"")</f>
        <v>45157.625</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(Dino Nuggies) vs (Chocomaid)</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Dino Nuggies</v>
      </c>
      <c r="D9" s="263" t="s">
        <v>98</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Chocomaid</v>
      </c>
      <c r="D10" s="267" t="s">
        <v>94</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Therizard</v>
      </c>
      <c r="J11" s="272" t="s">
        <v>892</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77</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81</v>
      </c>
      <c r="E15" s="31" t="s">
        <v>891</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89</v>
      </c>
      <c r="E16" s="31" t="s">
        <v>891</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120</v>
      </c>
      <c r="E17" s="31" t="s">
        <v>891</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85</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t="s">
        <v>103</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Dino Nuggies</v>
      </c>
      <c r="I25" s="295" t="s">
        <v>760</v>
      </c>
      <c r="J25" s="294" t="s">
        <v>761</v>
      </c>
      <c r="K25" s="294" t="s">
        <v>762</v>
      </c>
      <c r="L25" s="38"/>
      <c r="M25" s="26"/>
      <c r="N25" s="49"/>
      <c r="O25" s="289"/>
      <c r="P25" s="289"/>
      <c r="Q25" s="19"/>
    </row>
    <row r="26" ht="18.75" customHeight="1">
      <c r="A26" s="19"/>
      <c r="B26" s="26"/>
      <c r="C26" s="36"/>
      <c r="D26" s="292"/>
      <c r="E26" s="36"/>
      <c r="F26" s="20"/>
      <c r="G26" s="26"/>
      <c r="H26" s="296" t="str">
        <f t="array" ref="H26:K26">IF(Format="Solo",E2,IFNA(VLOOKUP(E2,TeamList,SEQUENCE(1,4,1),0),""))</f>
        <v>Chocomaid</v>
      </c>
      <c r="I26" s="297" t="s">
        <v>716</v>
      </c>
      <c r="J26" s="296" t="s">
        <v>717</v>
      </c>
      <c r="K26" s="296" t="s">
        <v>718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The Mat Munchers</v>
      </c>
      <c r="D2" s="235" t="s">
        <v>854</v>
      </c>
      <c r="E2" s="236" t="str">
        <f>IFNA(VLOOKUP(I2,Schedules,5,0),"")</f>
        <v>Team name pending xd</v>
      </c>
      <c r="F2" s="20"/>
      <c r="G2" s="21" t="s">
        <v>855</v>
      </c>
      <c r="H2" s="237" t="s">
        <v>856</v>
      </c>
      <c r="I2" s="238">
        <v>11.0</v>
      </c>
      <c r="K2" s="238"/>
      <c r="L2" s="20"/>
      <c r="M2" s="21" t="s">
        <v>857</v>
      </c>
      <c r="N2" s="239" t="s">
        <v>25</v>
      </c>
      <c r="O2" s="240" t="s">
        <v>30</v>
      </c>
      <c r="P2" s="4"/>
      <c r="Q2" s="19"/>
    </row>
    <row r="3" ht="18.75" customHeight="1">
      <c r="A3" s="19"/>
      <c r="B3" s="26"/>
      <c r="C3" s="241">
        <f>IF(D6="Blue",-1,COUNTIF(E14:E26,"Red"))</f>
        <v>0</v>
      </c>
      <c r="D3" s="242">
        <f>VLOOKUP(O2,MappoolSettings,2,0)</f>
        <v>9</v>
      </c>
      <c r="E3" s="243">
        <f>IF(D6="Red",-1,COUNTIF(E14:E26,"Blue"))</f>
        <v>5</v>
      </c>
      <c r="F3" s="20"/>
      <c r="G3" s="26"/>
      <c r="H3" s="244" t="s">
        <v>456</v>
      </c>
      <c r="I3" s="300" t="s">
        <v>522</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11**
&lt;https://osu.ppy.sh/community/matches/110085247&gt;
:red_square: The Mat Munchers | 0 : 5 | Team name pending xd :blue_square:
The Mat Munchers ban | NM3
Team name pending xd ban | FM2
First pick | Team name pending xd
:blue_squ"&amp;"are: | NM2: Jun Kuroda - Terpsichore [Dancer's Delight]
:blue_square: | DT1: mafumafu - Moudoku ga Osou [Hard]
:blue_square: | FM1: Shawn Wasabi - Marble Soda [Narcissu's Insane]
:blue_square: | NM1: Hazuki - Uso to Shinjitsu [Insane]
:blue_square: | HD2:"&amp;" P*Light - Poppin' Shower [Hyper]")</f>
        <v>**Round of 32: Match 11**
&lt;https://osu.ppy.sh/community/matches/110085247&gt;
:red_square: The Mat Munchers | 0 : 5 | Team name pending xd :blue_square:
The Mat Munchers ban | NM3
Team name pending xd ban | FM2
First pick | Team name pending xd
:blue_square: | NM2: Jun Kuroda - Terpsichore [Dancer's Delight]
:blue_square: | DT1: mafumafu - Moudoku ga Osou [Hard]
:blue_square: | FM1: Shawn Wasabi - Marble Soda [Narcissu's Insane]
:blue_square: | NM1: Hazuki - Uso to Shinjitsu [Insane]
:blue_square: | HD2: P*Light - Poppin' Shower [Hyper]</v>
      </c>
      <c r="E4" s="248"/>
      <c r="F4" s="20"/>
      <c r="G4" s="26"/>
      <c r="H4" s="237" t="s">
        <v>452</v>
      </c>
      <c r="I4" s="249" t="str">
        <f>IFNA(VLOOKUP(I2,Schedules,6,0),"")</f>
        <v>Emerald Ages</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134141 0</v>
      </c>
      <c r="E5" s="253" t="s">
        <v>91</v>
      </c>
      <c r="F5" s="20"/>
      <c r="G5" s="26"/>
      <c r="H5" s="237" t="s">
        <v>860</v>
      </c>
      <c r="I5" s="254">
        <f t="array" ref="I5">IFNA(SUM(VLOOKUP(I2,Schedules,{2,3},0)),"")</f>
        <v>45158.625</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(The Mat Munchers) vs (Team name pending xd)</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The Mat Munchers</v>
      </c>
      <c r="D9" s="263" t="s">
        <v>77</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Team name pending xd</v>
      </c>
      <c r="D10" s="267" t="s">
        <v>125</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foxy1919191919</v>
      </c>
      <c r="J11" s="272" t="s">
        <v>906</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72</v>
      </c>
      <c r="E14" s="31" t="s">
        <v>891</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893</v>
      </c>
      <c r="D15" s="263" t="s">
        <v>107</v>
      </c>
      <c r="E15" s="31" t="s">
        <v>891</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891</v>
      </c>
      <c r="D16" s="263" t="s">
        <v>120</v>
      </c>
      <c r="E16" s="31" t="s">
        <v>891</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893</v>
      </c>
      <c r="D17" s="263" t="s">
        <v>897</v>
      </c>
      <c r="E17" s="31" t="s">
        <v>891</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891</v>
      </c>
      <c r="D18" s="263" t="s">
        <v>94</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893</v>
      </c>
      <c r="D19" s="263"/>
      <c r="E19" s="31"/>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c r="E20" s="31"/>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The Mat Munchers</v>
      </c>
      <c r="I25" s="295" t="s">
        <v>749</v>
      </c>
      <c r="J25" s="294" t="s">
        <v>750</v>
      </c>
      <c r="K25" s="294" t="s">
        <v>751</v>
      </c>
      <c r="L25" s="38"/>
      <c r="M25" s="26"/>
      <c r="N25" s="49"/>
      <c r="O25" s="289"/>
      <c r="P25" s="289"/>
      <c r="Q25" s="19"/>
    </row>
    <row r="26" ht="18.75" customHeight="1">
      <c r="A26" s="19"/>
      <c r="B26" s="26"/>
      <c r="C26" s="36"/>
      <c r="D26" s="292"/>
      <c r="E26" s="36"/>
      <c r="F26" s="20"/>
      <c r="G26" s="26"/>
      <c r="H26" s="296" t="str">
        <f t="array" ref="H26:K26">IF(Format="Solo",E2,IFNA(VLOOKUP(E2,TeamList,SEQUENCE(1,4,1),0),""))</f>
        <v>Team name pending xd</v>
      </c>
      <c r="I26" s="297" t="s">
        <v>510</v>
      </c>
      <c r="J26" s="296" t="s">
        <v>691</v>
      </c>
      <c r="K26" s="296" t="s">
        <v>692</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Ghost the Angel</v>
      </c>
      <c r="D2" s="235" t="s">
        <v>854</v>
      </c>
      <c r="E2" s="236" t="str">
        <f>IFNA(VLOOKUP(I2,Schedules,5,0),"")</f>
        <v>PES E9L9</v>
      </c>
      <c r="F2" s="20"/>
      <c r="G2" s="21" t="s">
        <v>855</v>
      </c>
      <c r="H2" s="237" t="s">
        <v>856</v>
      </c>
      <c r="I2" s="238">
        <v>12.0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3</v>
      </c>
      <c r="F3" s="20"/>
      <c r="G3" s="26"/>
      <c r="H3" s="244" t="s">
        <v>456</v>
      </c>
      <c r="I3" s="35" t="s">
        <v>473</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12**
&lt;https://osu.ppy.sh/community/matches/110051882&gt;
:red_square: Ghost the Angel | 5 : 3 | PES E9L9 :blue_square:
Ghost the Angel ban | HD1
PES E9L9 ban | HR2
First pick | PES E9L9
:red_square: | FM1: Shawn Wasabi - Marble Soda "&amp;"[Narcissu's Insane]
:red_square: | HR1: Omoi - Teo [waji's Insane]
:blue_square: | HD2: P*Light - Poppin' Shower [Hyper]
:red_square: | NM2: Jun Kuroda - Terpsichore [Dancer's Delight]
:red_square: | NM5: Pastel*Palettes - Happy Synthesizer [Insane]
:blue"&amp;"_square: | NM4: ISOMERZ (DJ Raisei + seatrus) - Symmetric [BOUYAAA's Insane]
:blue_square: | DT2: ARForest - Aoba [Hard]
:red_square: | FM2: -45 - Total Eclipse of The Sun [Hard]")</f>
        <v>**Round of 32: Match 12**
&lt;https://osu.ppy.sh/community/matches/110051882&gt;
:red_square: Ghost the Angel | 5 : 3 | PES E9L9 :blue_square:
Ghost the Angel ban | HD1
PES E9L9 ban | HR2
First pick | PES E9L9
:red_square: | FM1: Shawn Wasabi - Marble Soda [Narcissu's Insane]
:red_square: | HR1: Omoi - Teo [waji's Insane]
:blue_square: | HD2: P*Light - Poppin' Shower [Hyper]
:red_square: | NM2: Jun Kuroda - Terpsichore [Dancer's Delight]
:red_square: | NM5: Pastel*Palettes - Happy Synthesizer [Insane]
:blue_square: | NM4: ISOMERZ (DJ Raisei + seatrus) - Symmetric [BOUYAAA's Insane]
:blue_square: | DT2: ARForest - Aoba [Hard]
:red_square: | FM2: -45 - Total Eclipse of The Sun [Hard]</v>
      </c>
      <c r="E4" s="248"/>
      <c r="F4" s="20"/>
      <c r="G4" s="26"/>
      <c r="H4" s="237" t="s">
        <v>452</v>
      </c>
      <c r="I4" s="249" t="str">
        <f>IFNA(VLOOKUP(I2,Schedules,6,0),"")</f>
        <v>Emerald Ages</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3743202 0</v>
      </c>
      <c r="E5" s="253" t="s">
        <v>122</v>
      </c>
      <c r="F5" s="20"/>
      <c r="G5" s="26"/>
      <c r="H5" s="237" t="s">
        <v>860</v>
      </c>
      <c r="I5" s="254">
        <f t="array" ref="I5">IFNA(SUM(VLOOKUP(I2,Schedules,{2,3},0)),"")</f>
        <v>45156.58333</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(Ghost the Angel) vs (PES E9L9)</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Ghost the Angel</v>
      </c>
      <c r="D9" s="263" t="s">
        <v>89</v>
      </c>
      <c r="E9" s="238"/>
      <c r="F9" s="20"/>
      <c r="G9" s="26"/>
      <c r="H9" s="237" t="s">
        <v>13</v>
      </c>
      <c r="I9" s="264" t="s">
        <v>868</v>
      </c>
      <c r="K9" s="261" t="s">
        <v>907</v>
      </c>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PES E9L9</v>
      </c>
      <c r="D10" s="267" t="s">
        <v>103</v>
      </c>
      <c r="E10" s="268"/>
      <c r="F10" s="20"/>
      <c r="G10" s="26"/>
      <c r="H10" s="244" t="s">
        <v>869</v>
      </c>
      <c r="I10" s="269" t="str">
        <f t="array" ref="I10:J10">IFNA(IF(VLOOKUP(I2,Schedules,{7,8},0)="",,"!mp addref "&amp;VLOOKUP(I2,Schedules,{7,8},0)),"")</f>
        <v/>
      </c>
      <c r="J10" s="269"/>
      <c r="K10" s="301" t="s">
        <v>908</v>
      </c>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BCraftMG</v>
      </c>
      <c r="J11" s="272" t="s">
        <v>909</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120</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893</v>
      </c>
      <c r="D15" s="263" t="s">
        <v>98</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891</v>
      </c>
      <c r="D16" s="263" t="s">
        <v>94</v>
      </c>
      <c r="E16" s="31" t="s">
        <v>891</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893</v>
      </c>
      <c r="D17" s="263" t="s">
        <v>72</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891</v>
      </c>
      <c r="D18" s="263" t="s">
        <v>85</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893</v>
      </c>
      <c r="D19" s="263" t="s">
        <v>81</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t="s">
        <v>112</v>
      </c>
      <c r="E20" s="31" t="s">
        <v>891</v>
      </c>
      <c r="F20" s="20"/>
      <c r="G20" s="26"/>
      <c r="H20" s="287" t="s">
        <v>56</v>
      </c>
      <c r="I20" s="288" t="s">
        <v>57</v>
      </c>
      <c r="L20" s="20"/>
      <c r="M20" s="26"/>
      <c r="N20" s="49"/>
      <c r="O20" s="289"/>
      <c r="P20" s="289"/>
      <c r="Q20" s="19"/>
    </row>
    <row r="21" ht="18.75" customHeight="1">
      <c r="A21" s="19"/>
      <c r="B21" s="26"/>
      <c r="C21" s="36" t="s">
        <v>893</v>
      </c>
      <c r="D21" s="263" t="s">
        <v>125</v>
      </c>
      <c r="E21" s="31" t="s">
        <v>893</v>
      </c>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Ghost the Angel</v>
      </c>
      <c r="I25" s="295" t="s">
        <v>596</v>
      </c>
      <c r="J25" s="294" t="s">
        <v>641</v>
      </c>
      <c r="K25" s="294" t="s">
        <v>642</v>
      </c>
      <c r="L25" s="38"/>
      <c r="M25" s="26"/>
      <c r="N25" s="49"/>
      <c r="O25" s="289"/>
      <c r="P25" s="289"/>
      <c r="Q25" s="19"/>
    </row>
    <row r="26" ht="18.75" customHeight="1">
      <c r="A26" s="19"/>
      <c r="B26" s="26"/>
      <c r="C26" s="36"/>
      <c r="D26" s="292"/>
      <c r="E26" s="36"/>
      <c r="F26" s="20"/>
      <c r="G26" s="26"/>
      <c r="H26" s="296" t="str">
        <f t="array" ref="H26:K26">IF(Format="Solo",E2,IFNA(VLOOKUP(E2,TeamList,SEQUENCE(1,4,1),0),""))</f>
        <v>PES E9L9</v>
      </c>
      <c r="I26" s="297" t="s">
        <v>667</v>
      </c>
      <c r="J26" s="296" t="s">
        <v>668</v>
      </c>
      <c r="K26" s="296" t="s">
        <v>484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foxy1919191919's basement</v>
      </c>
      <c r="D2" s="235" t="s">
        <v>854</v>
      </c>
      <c r="E2" s="236" t="str">
        <f>IFNA(VLOOKUP(I2,Schedules,5,0),"")</f>
        <v>Here Forever</v>
      </c>
      <c r="F2" s="20"/>
      <c r="G2" s="21" t="s">
        <v>855</v>
      </c>
      <c r="H2" s="237" t="s">
        <v>856</v>
      </c>
      <c r="I2" s="238">
        <v>13.0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1</v>
      </c>
      <c r="F3" s="20"/>
      <c r="G3" s="26"/>
      <c r="H3" s="244" t="s">
        <v>456</v>
      </c>
      <c r="I3" s="35" t="s">
        <v>511</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13**
&lt;https://osu.ppy.sh/community/matches/110077387&gt;
:red_square: foxy1919191919's basement | 5 : 1 | Here Forever :blue_square:
foxy1919191919's basement ban | NM2
Here Forever ban | HR2
First pick | foxy1919191919's basement
:r"&amp;"ed_square: | HR1: Omoi - Teo [waji's Insane]
:red_square: | HD2: P*Light - Poppin' Shower [Hyper]
:red_square: | NM4: ISOMERZ (DJ Raisei + seatrus) - Symmetric [BOUYAAA's Insane]
:blue_square: | DT2: ARForest - Aoba [Hard]
:red_square: | FM1: Shawn Wasabi"&amp;" - Marble Soda [Narcissu's Insane]
:red_square: | NM1: Hazuki - Uso to Shinjitsu [Insane]")</f>
        <v>**Round of 32: Match 13**
&lt;https://osu.ppy.sh/community/matches/110077387&gt;
:red_square: foxy1919191919's basement | 5 : 1 | Here Forever :blue_square:
foxy1919191919's basement ban | NM2
Here Forever ban | HR2
First pick | foxy1919191919's basement
:red_square: | HR1: Omoi - Teo [waji's Insane]
:red_square: | HD2: P*Light - Poppin' Shower [Hyper]
:red_square: | NM4: ISOMERZ (DJ Raisei + seatrus) - Symmetric [BOUYAAA's Insane]
:blue_square: | DT2: ARForest - Aoba [Hard]
:red_square: | FM1: Shawn Wasabi - Marble Soda [Narcissu's Insane]
:red_square: | NM1: Hazuki - Uso to Shinjitsu [Insane]</v>
      </c>
      <c r="E4" s="248"/>
      <c r="F4" s="20"/>
      <c r="G4" s="26"/>
      <c r="H4" s="237" t="s">
        <v>452</v>
      </c>
      <c r="I4" s="249" t="str">
        <f>IFNA(VLOOKUP(I2,Schedules,6,0),"")</f>
        <v>BlooMertz</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2277989 0</v>
      </c>
      <c r="E5" s="253" t="s">
        <v>74</v>
      </c>
      <c r="F5" s="20"/>
      <c r="G5" s="26"/>
      <c r="H5" s="237" t="s">
        <v>860</v>
      </c>
      <c r="I5" s="254">
        <f t="array" ref="I5">IFNA(SUM(VLOOKUP(I2,Schedules,{2,3},0)),"")</f>
        <v>45158.08333</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(foxy1919191919's basement) vs (Here Forever)</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foxy1919191919's basement</v>
      </c>
      <c r="D9" s="263" t="s">
        <v>72</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Here Forever</v>
      </c>
      <c r="D10" s="267" t="s">
        <v>103</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Faceie</v>
      </c>
      <c r="J11" s="272" t="s">
        <v>910</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98</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94</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81</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112</v>
      </c>
      <c r="E17" s="31" t="s">
        <v>891</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120</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t="s">
        <v>897</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foxy1919191919's basement</v>
      </c>
      <c r="I25" s="295" t="s">
        <v>643</v>
      </c>
      <c r="J25" s="294" t="s">
        <v>644</v>
      </c>
      <c r="K25" s="294" t="s">
        <v>645</v>
      </c>
      <c r="L25" s="38"/>
      <c r="M25" s="26"/>
      <c r="N25" s="49"/>
      <c r="O25" s="289"/>
      <c r="P25" s="289"/>
      <c r="Q25" s="19"/>
    </row>
    <row r="26" ht="18.75" customHeight="1">
      <c r="A26" s="19"/>
      <c r="B26" s="26"/>
      <c r="C26" s="36"/>
      <c r="D26" s="292"/>
      <c r="E26" s="36"/>
      <c r="F26" s="20"/>
      <c r="G26" s="26"/>
      <c r="H26" s="296" t="str">
        <f t="array" ref="H26:K26">IF(Format="Solo",E2,IFNA(VLOOKUP(E2,TeamList,SEQUENCE(1,4,1),0),""))</f>
        <v>Here Forever</v>
      </c>
      <c r="I26" s="297" t="s">
        <v>802</v>
      </c>
      <c r="J26" s="296" t="s">
        <v>803</v>
      </c>
      <c r="K26" s="296" t="s">
        <v>804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match in 15</v>
      </c>
      <c r="D2" s="235" t="s">
        <v>854</v>
      </c>
      <c r="E2" s="236" t="str">
        <f>IFNA(VLOOKUP(I2,Schedules,5,0),"")</f>
        <v>3000CombinedHours</v>
      </c>
      <c r="F2" s="20"/>
      <c r="G2" s="21" t="s">
        <v>855</v>
      </c>
      <c r="H2" s="237" t="s">
        <v>856</v>
      </c>
      <c r="I2" s="238">
        <v>14.0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2</v>
      </c>
      <c r="F3" s="20"/>
      <c r="G3" s="26"/>
      <c r="H3" s="244" t="s">
        <v>456</v>
      </c>
      <c r="I3" s="35" t="s">
        <v>497</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14**
&lt;https://osu.ppy.sh/community/matches/110067582&gt;
:red_square: match in 15 | 5 : 2 | 3000CombinedHours :blue_square:
match in 15 ban | HD1
3000CombinedHours ban | HR2
First pick | match in 15
:red_square: | HD2: P*Light - Popp"&amp;"in' Shower [Hyper]
:red_square: | NM4: ISOMERZ (DJ Raisei + seatrus) - Symmetric [BOUYAAA's Insane]
:red_square: | HR1: Omoi - Teo [waji's Insane]
:blue_square: | NM2: Jun Kuroda - Terpsichore [Dancer's Delight]
:blue_square: | FM1: Shawn Wasabi - Marble "&amp;"Soda [Narcissu's Insane]
:red_square: | NM1: Hazuki - Uso to Shinjitsu [Insane]
:red_square: | DT2: ARForest - Aoba [Hard]")</f>
        <v>**Round of 32: Match 14**
&lt;https://osu.ppy.sh/community/matches/110067582&gt;
:red_square: match in 15 | 5 : 2 | 3000CombinedHours :blue_square:
match in 15 ban | HD1
3000CombinedHours ban | HR2
First pick | match in 15
:red_square: | HD2: P*Light - Poppin' Shower [Hyper]
:red_square: | NM4: ISOMERZ (DJ Raisei + seatrus) - Symmetric [BOUYAAA's Insane]
:red_square: | HR1: Omoi - Teo [waji's Insane]
:blue_square: | NM2: Jun Kuroda - Terpsichore [Dancer's Delight]
:blue_square: | FM1: Shawn Wasabi - Marble Soda [Narcissu's Insane]
:red_square: | NM1: Hazuki - Uso to Shinjitsu [Insane]
:red_square: | DT2: ARForest - Aoba [Hard]</v>
      </c>
      <c r="E4" s="248"/>
      <c r="F4" s="20"/>
      <c r="G4" s="26"/>
      <c r="H4" s="237" t="s">
        <v>452</v>
      </c>
      <c r="I4" s="238" t="s">
        <v>516</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2366848 0</v>
      </c>
      <c r="E5" s="253" t="s">
        <v>109</v>
      </c>
      <c r="F5" s="20"/>
      <c r="G5" s="26"/>
      <c r="H5" s="237" t="s">
        <v>860</v>
      </c>
      <c r="I5" s="254">
        <f t="array" ref="I5">IFNA(SUM(VLOOKUP(I2,Schedules,{2,3},0)),"")</f>
        <v>45157.58333</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(match in 15) vs (3000CombinedHours)</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match in 15</v>
      </c>
      <c r="D9" s="263" t="s">
        <v>89</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3000CombinedHours</v>
      </c>
      <c r="D10" s="267" t="s">
        <v>103</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X-ill</v>
      </c>
      <c r="J11" s="272" t="s">
        <v>911</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94</v>
      </c>
      <c r="E14" s="31" t="s">
        <v>893</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81</v>
      </c>
      <c r="E15" s="31" t="s">
        <v>893</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98</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72</v>
      </c>
      <c r="E17" s="31" t="s">
        <v>891</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120</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t="s">
        <v>897</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t="s">
        <v>112</v>
      </c>
      <c r="E20" s="31" t="s">
        <v>893</v>
      </c>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match in 15</v>
      </c>
      <c r="I25" s="295" t="s">
        <v>737</v>
      </c>
      <c r="J25" s="294" t="s">
        <v>612</v>
      </c>
      <c r="K25" s="294" t="s">
        <v>738</v>
      </c>
      <c r="L25" s="38"/>
      <c r="M25" s="26"/>
      <c r="N25" s="49"/>
      <c r="O25" s="289"/>
      <c r="P25" s="289"/>
      <c r="Q25" s="19"/>
    </row>
    <row r="26" ht="18.75" customHeight="1">
      <c r="A26" s="19"/>
      <c r="B26" s="26"/>
      <c r="C26" s="36"/>
      <c r="D26" s="292"/>
      <c r="E26" s="36"/>
      <c r="F26" s="20"/>
      <c r="G26" s="26"/>
      <c r="H26" s="296" t="str">
        <f t="array" ref="H26:K26">IF(Format="Solo",E2,IFNA(VLOOKUP(E2,TeamList,SEQUENCE(1,4,1),0),""))</f>
        <v>3000CombinedHours</v>
      </c>
      <c r="I26" s="297" t="s">
        <v>688</v>
      </c>
      <c r="J26" s="296" t="s">
        <v>689</v>
      </c>
      <c r="K26" s="296" t="s">
        <v>690</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Tom and Jerry</v>
      </c>
      <c r="D2" s="235" t="s">
        <v>854</v>
      </c>
      <c r="E2" s="236" t="str">
        <f>IFNA(VLOOKUP(I2,Schedules,5,0),"")</f>
        <v>Lovers + 3rd wheel</v>
      </c>
      <c r="F2" s="20"/>
      <c r="G2" s="21" t="s">
        <v>855</v>
      </c>
      <c r="H2" s="237" t="s">
        <v>856</v>
      </c>
      <c r="I2" s="238">
        <v>15.0</v>
      </c>
      <c r="K2" s="238"/>
      <c r="L2" s="20"/>
      <c r="M2" s="21" t="s">
        <v>857</v>
      </c>
      <c r="N2" s="239" t="s">
        <v>25</v>
      </c>
      <c r="O2" s="240" t="s">
        <v>30</v>
      </c>
      <c r="P2" s="4"/>
      <c r="Q2" s="19"/>
    </row>
    <row r="3" ht="18.75" customHeight="1">
      <c r="A3" s="19"/>
      <c r="B3" s="26"/>
      <c r="C3" s="241">
        <f>IF(D6="Blue",-1,COUNTIF(E14:E26,"Red"))</f>
        <v>5</v>
      </c>
      <c r="D3" s="242">
        <f>VLOOKUP(O2,MappoolSettings,2,0)</f>
        <v>9</v>
      </c>
      <c r="E3" s="243">
        <f>IF(D6="Red",-1,COUNTIF(E14:E26,"Blue"))</f>
        <v>4</v>
      </c>
      <c r="F3" s="20"/>
      <c r="G3" s="26"/>
      <c r="H3" s="244" t="s">
        <v>456</v>
      </c>
      <c r="I3" s="35" t="s">
        <v>480</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15**
&lt;https://osu.ppy.sh/community/matches/110063252&gt;
:red_square: Tom and Jerry | 5 : 4 | Lovers + 3rd wheel :blue_square:
Tom and Jerry ban | NM4
Lovers + 3rd wheel ban | FM2
First pick | Lovers + 3rd wheel
:blue_square: | DT1: "&amp;"mafumafu - Moudoku ga Osou [Hard]
:blue_square: | FM1: Shawn Wasabi - Marble Soda [Narcissu's Insane]
:blue_square: | HR1: Omoi - Teo [waji's Insane]
:red_square: | HD2: P*Light - Poppin' Shower [Hyper]
:red_square: | NM2: Jun Kuroda - Terpsichore [Dancer"&amp;"'s Delight]
:blue_square: | NM5: Pastel*Palettes - Happy Synthesizer [Insane]
:red_square: | DT2: ARForest - Aoba [Hard]
:red_square: | HD1: Tsumiki - phony [Hatsune Miku's Insane]
:red_square: | TB1: Ata - Euphoria [Aiq's Insane]")</f>
        <v>**Round of 32: Match 15**
&lt;https://osu.ppy.sh/community/matches/110063252&gt;
:red_square: Tom and Jerry | 5 : 4 | Lovers + 3rd wheel :blue_square:
Tom and Jerry ban | NM4
Lovers + 3rd wheel ban | FM2
First pick | Lovers + 3rd wheel
:blue_square: | DT1: mafumafu - Moudoku ga Osou [Hard]
:blue_square: | FM1: Shawn Wasabi - Marble Soda [Narcissu's Insane]
:blue_square: | HR1: Omoi - Teo [waji's Insane]
:red_square: | HD2: P*Light - Poppin' Shower [Hyper]
:red_square: | NM2: Jun Kuroda - Terpsichore [Dancer's Delight]
:blue_square: | NM5: Pastel*Palettes - Happy Synthesizer [Insane]
:red_square: | DT2: ARForest - Aoba [Hard]
:red_square: | HD1: Tsumiki - phony [Hatsune Miku's Insane]
:red_square: | TB1: Ata - Euphoria [Aiq's Insane]</v>
      </c>
      <c r="E4" s="248"/>
      <c r="F4" s="20"/>
      <c r="G4" s="26"/>
      <c r="H4" s="237" t="s">
        <v>452</v>
      </c>
      <c r="I4" s="249" t="str">
        <f>IFNA(VLOOKUP(I2,Schedules,6,0),"")</f>
        <v>Mewo_</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3446761 0</v>
      </c>
      <c r="E5" s="253" t="s">
        <v>122</v>
      </c>
      <c r="F5" s="20"/>
      <c r="G5" s="26"/>
      <c r="H5" s="237" t="s">
        <v>860</v>
      </c>
      <c r="I5" s="254">
        <f t="array" ref="I5">IFNA(SUM(VLOOKUP(I2,Schedules,{2,3},0)),"")</f>
        <v>45157.25</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(Tom and Jerry) vs (Lovers + 3rd wheel)</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Tom and Jerry</v>
      </c>
      <c r="D9" s="263" t="s">
        <v>81</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Lovers + 3rd wheel</v>
      </c>
      <c r="D10" s="267" t="s">
        <v>125</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mblsh</v>
      </c>
      <c r="J11" s="272" t="s">
        <v>912</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107</v>
      </c>
      <c r="E14" s="31" t="s">
        <v>891</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893</v>
      </c>
      <c r="D15" s="263" t="s">
        <v>120</v>
      </c>
      <c r="E15" s="31" t="s">
        <v>891</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891</v>
      </c>
      <c r="D16" s="263" t="s">
        <v>98</v>
      </c>
      <c r="E16" s="31" t="s">
        <v>891</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893</v>
      </c>
      <c r="D17" s="263" t="s">
        <v>94</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891</v>
      </c>
      <c r="D18" s="263" t="s">
        <v>72</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893</v>
      </c>
      <c r="D19" s="263" t="s">
        <v>85</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t="s">
        <v>112</v>
      </c>
      <c r="E20" s="31" t="s">
        <v>893</v>
      </c>
      <c r="F20" s="20"/>
      <c r="G20" s="26"/>
      <c r="H20" s="287" t="s">
        <v>56</v>
      </c>
      <c r="I20" s="288" t="s">
        <v>57</v>
      </c>
      <c r="L20" s="20"/>
      <c r="M20" s="26"/>
      <c r="N20" s="49"/>
      <c r="O20" s="289"/>
      <c r="P20" s="289"/>
      <c r="Q20" s="19"/>
    </row>
    <row r="21" ht="18.75" customHeight="1">
      <c r="A21" s="19"/>
      <c r="B21" s="26"/>
      <c r="C21" s="36" t="s">
        <v>893</v>
      </c>
      <c r="D21" s="263" t="s">
        <v>89</v>
      </c>
      <c r="E21" s="31" t="s">
        <v>893</v>
      </c>
      <c r="F21" s="20"/>
      <c r="G21" s="26"/>
      <c r="H21" s="287" t="s">
        <v>58</v>
      </c>
      <c r="I21" s="290" t="s">
        <v>886</v>
      </c>
      <c r="L21" s="20"/>
      <c r="M21" s="26"/>
      <c r="N21" s="49"/>
      <c r="O21" s="289"/>
      <c r="P21" s="289"/>
      <c r="Q21" s="19"/>
    </row>
    <row r="22" ht="18.75" customHeight="1">
      <c r="A22" s="19"/>
      <c r="B22" s="26"/>
      <c r="C22" s="36" t="s">
        <v>894</v>
      </c>
      <c r="D22" s="263" t="s">
        <v>129</v>
      </c>
      <c r="E22" s="31" t="s">
        <v>893</v>
      </c>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Tom and Jerry</v>
      </c>
      <c r="I25" s="295" t="s">
        <v>794</v>
      </c>
      <c r="J25" s="294" t="s">
        <v>795</v>
      </c>
      <c r="K25" s="294"/>
      <c r="L25" s="38"/>
      <c r="M25" s="26"/>
      <c r="N25" s="49"/>
      <c r="O25" s="289"/>
      <c r="P25" s="289"/>
      <c r="Q25" s="19"/>
    </row>
    <row r="26" ht="18.75" customHeight="1">
      <c r="A26" s="19"/>
      <c r="B26" s="26"/>
      <c r="C26" s="36"/>
      <c r="D26" s="292"/>
      <c r="E26" s="36"/>
      <c r="F26" s="20"/>
      <c r="G26" s="26"/>
      <c r="H26" s="296" t="str">
        <f t="array" ref="H26:K26">IF(Format="Solo",E2,IFNA(VLOOKUP(E2,TeamList,SEQUENCE(1,4,1),0),""))</f>
        <v>Lovers + 3rd wheel</v>
      </c>
      <c r="I26" s="297" t="s">
        <v>646</v>
      </c>
      <c r="J26" s="296" t="s">
        <v>647</v>
      </c>
      <c r="K26" s="296" t="s">
        <v>648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Faz o L</v>
      </c>
      <c r="D2" s="235" t="s">
        <v>854</v>
      </c>
      <c r="E2" s="236" t="str">
        <f>IFNA(VLOOKUP(I2,Schedules,5,0),"")</f>
        <v>Kittens</v>
      </c>
      <c r="F2" s="20"/>
      <c r="G2" s="21" t="s">
        <v>855</v>
      </c>
      <c r="H2" s="237" t="s">
        <v>856</v>
      </c>
      <c r="I2" s="238">
        <v>16.0</v>
      </c>
      <c r="K2" s="238"/>
      <c r="L2" s="20"/>
      <c r="M2" s="21" t="s">
        <v>857</v>
      </c>
      <c r="N2" s="239" t="s">
        <v>25</v>
      </c>
      <c r="O2" s="240" t="s">
        <v>30</v>
      </c>
      <c r="P2" s="4"/>
      <c r="Q2" s="19"/>
    </row>
    <row r="3" ht="18.75" customHeight="1">
      <c r="A3" s="19"/>
      <c r="B3" s="26"/>
      <c r="C3" s="241">
        <f>IF(D6="Blue",-1,COUNTIF(E14:E26,"Red"))</f>
        <v>3</v>
      </c>
      <c r="D3" s="242">
        <f>VLOOKUP(O2,MappoolSettings,2,0)</f>
        <v>9</v>
      </c>
      <c r="E3" s="243">
        <f>IF(D6="Red",-1,COUNTIF(E14:E26,"Blue"))</f>
        <v>5</v>
      </c>
      <c r="F3" s="20"/>
      <c r="G3" s="26"/>
      <c r="H3" s="244" t="s">
        <v>456</v>
      </c>
      <c r="I3" s="35" t="s">
        <v>531</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32: Match 16**
&lt;https://osu.ppy.sh/community/matches/110089262&gt;
:red_square: Faz o L | 3 : 5 | Kittens :blue_square:
Faz o L ban | DT3
Kittens ban | NM4
First pick | Faz o L
:blue_square: | FM1: Shawn Wasabi - Marble Soda [Narcissu's Insane"&amp;"]
:blue_square: | NM5: Pastel*Palettes - Happy Synthesizer [Insane]
:red_square: | NM2: Jun Kuroda - Terpsichore [Dancer's Delight]
:red_square: | HR1: Omoi - Teo [waji's Insane]
:red_square: | DT1: mafumafu - Moudoku ga Osou [Hard]
:blue_square: | HD2: P"&amp;"*Light - Poppin' Shower [Hyper]
:blue_square: | NM1: Hazuki - Uso to Shinjitsu [Insane]
:blue_square: | NM3: PUP - Anaphylaxis [Insane]")</f>
        <v>**Round of 32: Match 16**
&lt;https://osu.ppy.sh/community/matches/110089262&gt;
:red_square: Faz o L | 3 : 5 | Kittens :blue_square:
Faz o L ban | DT3
Kittens ban | NM4
First pick | Faz o L
:blue_square: | FM1: Shawn Wasabi - Marble Soda [Narcissu's Insane]
:blue_square: | NM5: Pastel*Palettes - Happy Synthesizer [Insane]
:red_square: | NM2: Jun Kuroda - Terpsichore [Dancer's Delight]
:red_square: | HR1: Omoi - Teo [waji's Insane]
:red_square: | DT1: mafumafu - Moudoku ga Osou [Hard]
:blue_square: | HD2: P*Light - Poppin' Shower [Hyper]
:blue_square: | NM1: Hazuki - Uso to Shinjitsu [Insane]
:blue_square: | NM3: PUP - Anaphylaxis [Insane]</v>
      </c>
      <c r="E4" s="248"/>
      <c r="F4" s="20"/>
      <c r="G4" s="26"/>
      <c r="H4" s="237" t="s">
        <v>452</v>
      </c>
      <c r="I4" s="249" t="str">
        <f>IFNA(VLOOKUP(I2,Schedules,6,0),"")</f>
        <v>-PeKoRa-</v>
      </c>
      <c r="K4" s="249"/>
      <c r="L4" s="20"/>
      <c r="M4" s="26"/>
      <c r="N4" s="250" t="str">
        <f>IFERROR(__xludf.DUMMYFUNCTION("IF(O2="""",,ARRAY_CONSTRAIN(FILTER(Maps,Mappools!B4:B27=O2),25,3))"),"NM1: Hazuki - Uso to Shinjitsu [Insane]")</f>
        <v>NM1: Hazuki - Uso to Shinjitsu [Insane]</v>
      </c>
      <c r="O4" s="251" t="str">
        <f>IFERROR(__xludf.DUMMYFUNCTION("""COMPUTED_VALUE"""),"!mp map 2277989 0")</f>
        <v>!mp map 2277989 0</v>
      </c>
      <c r="P4" s="251" t="str">
        <f>IFERROR(__xludf.DUMMYFUNCTION("""COMPUTED_VALUE"""),"!mp mods NF")</f>
        <v>!mp mods NF</v>
      </c>
      <c r="Q4" s="19"/>
    </row>
    <row r="5" ht="18.75" customHeight="1">
      <c r="A5" s="19"/>
      <c r="B5" s="26"/>
      <c r="C5" s="246" t="s">
        <v>859</v>
      </c>
      <c r="D5" s="252" t="str">
        <f t="array" ref="D5:E5">IFERROR(VLOOKUP(INDEX($D$14:$D$26,COUNTA($D$14:$D$26)),$N$4:$P$26,{2,3},0),"")</f>
        <v>!mp map 2440455 0</v>
      </c>
      <c r="E5" s="253" t="s">
        <v>74</v>
      </c>
      <c r="F5" s="20"/>
      <c r="G5" s="26"/>
      <c r="H5" s="237" t="s">
        <v>860</v>
      </c>
      <c r="I5" s="254">
        <f t="array" ref="I5">IFNA(SUM(VLOOKUP(I2,Schedules,{2,3},0)),"")</f>
        <v>45158.8125</v>
      </c>
      <c r="K5" s="254"/>
      <c r="L5" s="20"/>
      <c r="M5" s="26"/>
      <c r="N5" s="250" t="str">
        <f>IFERROR(__xludf.DUMMYFUNCTION("""COMPUTED_VALUE"""),"NM2: Jun Kuroda - Terpsichore [Dancer's Delight]")</f>
        <v>NM2: Jun Kuroda - Terpsichore [Dancer's Delight]</v>
      </c>
      <c r="O5" s="251" t="str">
        <f>IFERROR(__xludf.DUMMYFUNCTION("""COMPUTED_VALUE"""),"!mp map 3297107 0")</f>
        <v>!mp map 3297107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PUP - Anaphylaxis [Insane]")</f>
        <v>NM3: PUP - Anaphylaxis [Insane]</v>
      </c>
      <c r="O6" s="251" t="str">
        <f>IFERROR(__xludf.DUMMYFUNCTION("""COMPUTED_VALUE"""),"!mp map 2440455 0")</f>
        <v>!mp map 2440455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(Faz o L) vs (Kittens)</v>
      </c>
      <c r="L7" s="20"/>
      <c r="M7" s="26"/>
      <c r="N7" s="250" t="str">
        <f>IFERROR(__xludf.DUMMYFUNCTION("""COMPUTED_VALUE"""),"NM4: ISOMERZ (DJ Raisei + seatrus) - Symmetric [BOUYAAA's Insane]")</f>
        <v>NM4: ISOMERZ (DJ Raisei + seatrus) - Symmetric [BOUYAAA's Insane]</v>
      </c>
      <c r="O7" s="251" t="str">
        <f>IFERROR(__xludf.DUMMYFUNCTION("""COMPUTED_VALUE"""),"!mp map 3248876 0")</f>
        <v>!mp map 3248876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Pastel*Palettes - Happy Synthesizer [Insane]")</f>
        <v>NM5: Pastel*Palettes - Happy Synthesizer [Insane]</v>
      </c>
      <c r="O8" s="251" t="str">
        <f>IFERROR(__xludf.DUMMYFUNCTION("""COMPUTED_VALUE"""),"!mp map 1989991 0")</f>
        <v>!mp map 1989991 0</v>
      </c>
      <c r="P8" s="251" t="str">
        <f>IFERROR(__xludf.DUMMYFUNCTION("""COMPUTED_VALUE"""),"!mp mods NF")</f>
        <v>!mp mods NF</v>
      </c>
      <c r="Q8" s="19"/>
    </row>
    <row r="9" ht="18.75" customHeight="1">
      <c r="A9" s="19"/>
      <c r="B9" s="26"/>
      <c r="C9" s="262" t="str">
        <f>C2</f>
        <v>Faz o L</v>
      </c>
      <c r="D9" s="263" t="s">
        <v>116</v>
      </c>
      <c r="E9" s="238"/>
      <c r="F9" s="20"/>
      <c r="G9" s="26"/>
      <c r="H9" s="237" t="s">
        <v>13</v>
      </c>
      <c r="I9" s="264" t="s">
        <v>868</v>
      </c>
      <c r="K9" s="265"/>
      <c r="L9" s="20"/>
      <c r="M9" s="26"/>
      <c r="N9" s="250" t="str">
        <f>IFERROR(__xludf.DUMMYFUNCTION("""COMPUTED_VALUE"""),"HD1: Tsumiki - phony [Hatsune Miku's Insane]")</f>
        <v>HD1: Tsumiki - phony [Hatsune Miku's Insane]</v>
      </c>
      <c r="O9" s="251" t="str">
        <f>IFERROR(__xludf.DUMMYFUNCTION("""COMPUTED_VALUE"""),"!mp map 3280686 0")</f>
        <v>!mp map 3280686 0</v>
      </c>
      <c r="P9" s="251" t="str">
        <f>IFERROR(__xludf.DUMMYFUNCTION("""COMPUTED_VALUE"""),"!mp mods HD NF")</f>
        <v>!mp mods HD NF</v>
      </c>
      <c r="Q9" s="19"/>
    </row>
    <row r="10" ht="18.75" customHeight="1">
      <c r="A10" s="19"/>
      <c r="B10" s="26"/>
      <c r="C10" s="266" t="str">
        <f>E2</f>
        <v>Kittens</v>
      </c>
      <c r="D10" s="267" t="s">
        <v>81</v>
      </c>
      <c r="E10" s="268"/>
      <c r="F10" s="20"/>
      <c r="G10" s="26"/>
      <c r="H10" s="244" t="s">
        <v>869</v>
      </c>
      <c r="I10" s="269" t="str">
        <f t="array" ref="I10:J10">IFNA(IF(VLOOKUP(I2,Schedules,{7,8},0)="",,"!mp addref "&amp;VLOOKUP(I2,Schedules,{7,8},0)),"")</f>
        <v/>
      </c>
      <c r="J10" s="269"/>
      <c r="K10" s="270"/>
      <c r="L10" s="20"/>
      <c r="M10" s="26"/>
      <c r="N10" s="250" t="str">
        <f>IFERROR(__xludf.DUMMYFUNCTION("""COMPUTED_VALUE"""),"HD2: P*Light - Poppin' Shower [Hyper]")</f>
        <v>HD2: P*Light - Poppin' Shower [Hyper]</v>
      </c>
      <c r="O10" s="251" t="str">
        <f>IFERROR(__xludf.DUMMYFUNCTION("""COMPUTED_VALUE"""),"!mp map 134141 0")</f>
        <v>!mp map 134141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jujubinhas2</v>
      </c>
      <c r="J11" s="272" t="s">
        <v>913</v>
      </c>
      <c r="K11" s="273"/>
      <c r="L11" s="20"/>
      <c r="M11" s="26"/>
      <c r="N11" s="250" t="str">
        <f>IFERROR(__xludf.DUMMYFUNCTION("""COMPUTED_VALUE"""),"HR1: Omoi - Teo [waji's Insane]")</f>
        <v>HR1: Omoi - Teo [waji's Insane]</v>
      </c>
      <c r="O11" s="251" t="str">
        <f>IFERROR(__xludf.DUMMYFUNCTION("""COMPUTED_VALUE"""),"!mp map 2659337 0")</f>
        <v>!mp map 2659337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Silentroom - NULCTRL [Pattern 03a ""exHRD"" LMT]")</f>
        <v>HR2: Silentroom - NULCTRL [Pattern 03a "exHRD" LMT]</v>
      </c>
      <c r="O12" s="251" t="str">
        <f>IFERROR(__xludf.DUMMYFUNCTION("""COMPUTED_VALUE"""),"!mp map 2110801 0")</f>
        <v>!mp map 2110801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mafumafu - Moudoku ga Osou [Hard]")</f>
        <v>DT1: mafumafu - Moudoku ga Osou [Hard]</v>
      </c>
      <c r="O13" s="251" t="str">
        <f>IFERROR(__xludf.DUMMYFUNCTION("""COMPUTED_VALUE"""),"!mp map 2044893 0")</f>
        <v>!mp map 2044893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120</v>
      </c>
      <c r="E14" s="31" t="s">
        <v>891</v>
      </c>
      <c r="F14" s="20"/>
      <c r="G14" s="26"/>
      <c r="H14" s="278" t="s">
        <v>878</v>
      </c>
      <c r="I14" s="260" t="s">
        <v>879</v>
      </c>
      <c r="J14" s="260" t="s">
        <v>880</v>
      </c>
      <c r="K14" s="261"/>
      <c r="L14" s="20"/>
      <c r="M14" s="26"/>
      <c r="N14" s="250" t="str">
        <f>IFERROR(__xludf.DUMMYFUNCTION("""COMPUTED_VALUE"""),"DT2: ARForest - Aoba [Hard]")</f>
        <v>DT2: ARForest - Aoba [Hard]</v>
      </c>
      <c r="O14" s="251" t="str">
        <f>IFERROR(__xludf.DUMMYFUNCTION("""COMPUTED_VALUE"""),"!mp map 2366848 0")</f>
        <v>!mp map 2366848 0</v>
      </c>
      <c r="P14" s="251" t="str">
        <f>IFERROR(__xludf.DUMMYFUNCTION("""COMPUTED_VALUE"""),"!mp mods DT NF")</f>
        <v>!mp mods DT NF</v>
      </c>
      <c r="Q14" s="19"/>
    </row>
    <row r="15" ht="18.75" customHeight="1">
      <c r="A15" s="19"/>
      <c r="B15" s="26"/>
      <c r="C15" s="36" t="s">
        <v>891</v>
      </c>
      <c r="D15" s="263" t="s">
        <v>85</v>
      </c>
      <c r="E15" s="31" t="s">
        <v>891</v>
      </c>
      <c r="F15" s="20"/>
      <c r="G15" s="20"/>
      <c r="H15" s="20"/>
      <c r="I15" s="20"/>
      <c r="J15" s="20"/>
      <c r="K15" s="20"/>
      <c r="L15" s="20"/>
      <c r="M15" s="26"/>
      <c r="N15" s="250" t="str">
        <f>IFERROR(__xludf.DUMMYFUNCTION("""COMPUTED_VALUE"""),"DT3: xi - Mirage Garden [PaRaDogi's Hard]")</f>
        <v>DT3: xi - Mirage Garden [PaRaDogi's Hard]</v>
      </c>
      <c r="O15" s="251" t="str">
        <f>IFERROR(__xludf.DUMMYFUNCTION("""COMPUTED_VALUE"""),"!mp map 3396305 0")</f>
        <v>!mp map 3396305 0</v>
      </c>
      <c r="P15" s="251" t="str">
        <f>IFERROR(__xludf.DUMMYFUNCTION("""COMPUTED_VALUE"""),"!mp mods DT NF")</f>
        <v>!mp mods DT NF</v>
      </c>
      <c r="Q15" s="19"/>
    </row>
    <row r="16" ht="18.75" customHeight="1">
      <c r="A16" s="19"/>
      <c r="B16" s="26"/>
      <c r="C16" s="36" t="s">
        <v>893</v>
      </c>
      <c r="D16" s="263" t="s">
        <v>72</v>
      </c>
      <c r="E16" s="31" t="s">
        <v>893</v>
      </c>
      <c r="F16" s="20"/>
      <c r="G16" s="21" t="s">
        <v>881</v>
      </c>
      <c r="H16" s="279" t="s">
        <v>882</v>
      </c>
      <c r="I16" s="280">
        <f>VLOOKUP(O2,MappoolSettings,3,0)</f>
        <v>1</v>
      </c>
      <c r="K16" s="281"/>
      <c r="L16" s="20"/>
      <c r="M16" s="26"/>
      <c r="N16" s="250" t="str">
        <f>IFERROR(__xludf.DUMMYFUNCTION("""COMPUTED_VALUE"""),"FM1: Shawn Wasabi - Marble Soda [Narcissu's Insane]")</f>
        <v>FM1: Shawn Wasabi - Marble Soda [Narcissu's Insane]</v>
      </c>
      <c r="O16" s="251" t="str">
        <f>IFERROR(__xludf.DUMMYFUNCTION("""COMPUTED_VALUE"""),"!mp map 846261 0")</f>
        <v>!mp map 846261 0</v>
      </c>
      <c r="P16" s="251" t="str">
        <f>IFERROR(__xludf.DUMMYFUNCTION("""COMPUTED_VALUE"""),"!mp mods Freemod")</f>
        <v>!mp mods Freemod</v>
      </c>
      <c r="Q16" s="19"/>
    </row>
    <row r="17" ht="18.75" customHeight="1">
      <c r="A17" s="19"/>
      <c r="B17" s="26"/>
      <c r="C17" s="36" t="s">
        <v>891</v>
      </c>
      <c r="D17" s="263" t="s">
        <v>98</v>
      </c>
      <c r="E17" s="31" t="s">
        <v>893</v>
      </c>
      <c r="F17" s="20"/>
      <c r="G17" s="26"/>
      <c r="H17" s="282" t="s">
        <v>883</v>
      </c>
      <c r="I17" s="283" t="str">
        <f>ForumPostLink</f>
        <v>https://osu.ppy.sh/community/forums/topics/1790898?n=1?</v>
      </c>
      <c r="L17" s="20"/>
      <c r="M17" s="26"/>
      <c r="N17" s="250" t="str">
        <f>IFERROR(__xludf.DUMMYFUNCTION("""COMPUTED_VALUE"""),"FM2: -45 - Total Eclipse of The Sun [Hard]")</f>
        <v>FM2: -45 - Total Eclipse of The Sun [Hard]</v>
      </c>
      <c r="O17" s="251" t="str">
        <f>IFERROR(__xludf.DUMMYFUNCTION("""COMPUTED_VALUE"""),"!mp map 3743202 0")</f>
        <v>!mp map 3743202 0</v>
      </c>
      <c r="P17" s="251" t="str">
        <f>IFERROR(__xludf.DUMMYFUNCTION("""COMPUTED_VALUE"""),"!mp mods Freemod")</f>
        <v>!mp mods Freemod</v>
      </c>
      <c r="Q17" s="19"/>
    </row>
    <row r="18" ht="18.75" customHeight="1">
      <c r="A18" s="19"/>
      <c r="B18" s="26"/>
      <c r="C18" s="36" t="s">
        <v>893</v>
      </c>
      <c r="D18" s="263" t="s">
        <v>107</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Ata - Euphoria [Aiq's Insane]")</f>
        <v>TB1: Ata - Euphoria [Aiq's Insane]</v>
      </c>
      <c r="O18" s="251" t="str">
        <f>IFERROR(__xludf.DUMMYFUNCTION("""COMPUTED_VALUE"""),"!mp map 3446761 0")</f>
        <v>!mp map 3446761 0</v>
      </c>
      <c r="P18" s="251" t="str">
        <f>IFERROR(__xludf.DUMMYFUNCTION("""COMPUTED_VALUE"""),"!mp mods Freemod")</f>
        <v>!mp mods Freemod</v>
      </c>
      <c r="Q18" s="19"/>
    </row>
    <row r="19" ht="18.75" customHeight="1">
      <c r="A19" s="19"/>
      <c r="B19" s="26"/>
      <c r="C19" s="36" t="s">
        <v>891</v>
      </c>
      <c r="D19" s="263" t="s">
        <v>94</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t="s">
        <v>897</v>
      </c>
      <c r="E20" s="31" t="s">
        <v>891</v>
      </c>
      <c r="F20" s="20"/>
      <c r="G20" s="26"/>
      <c r="H20" s="287" t="s">
        <v>56</v>
      </c>
      <c r="I20" s="288" t="s">
        <v>57</v>
      </c>
      <c r="L20" s="20"/>
      <c r="M20" s="26"/>
      <c r="N20" s="49"/>
      <c r="O20" s="289"/>
      <c r="P20" s="289"/>
      <c r="Q20" s="19"/>
    </row>
    <row r="21" ht="18.75" customHeight="1">
      <c r="A21" s="19"/>
      <c r="B21" s="26"/>
      <c r="C21" s="36" t="s">
        <v>891</v>
      </c>
      <c r="D21" s="263" t="s">
        <v>77</v>
      </c>
      <c r="E21" s="31" t="s">
        <v>891</v>
      </c>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298" t="str">
        <f>IF(DoublePick,"Yes","No")</f>
        <v>No</v>
      </c>
      <c r="K22" s="291"/>
      <c r="L22" s="20"/>
      <c r="M22" s="26"/>
      <c r="N22" s="49"/>
      <c r="O22" s="289"/>
      <c r="P22" s="289"/>
      <c r="Q22" s="19"/>
    </row>
    <row r="23" ht="18.75" customHeight="1">
      <c r="A23" s="19"/>
      <c r="B23" s="26"/>
      <c r="C23" s="36"/>
      <c r="D23" s="292"/>
      <c r="E23" s="36"/>
      <c r="F23" s="20"/>
      <c r="G23" s="26"/>
      <c r="H23" s="287" t="s">
        <v>889</v>
      </c>
      <c r="I23" s="256" t="str">
        <f>IF(DoubleBan,"Yes","No")</f>
        <v>No</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Faz o L</v>
      </c>
      <c r="I25" s="295" t="s">
        <v>752</v>
      </c>
      <c r="J25" s="294" t="s">
        <v>753</v>
      </c>
      <c r="K25" s="294" t="s">
        <v>754</v>
      </c>
      <c r="L25" s="38"/>
      <c r="M25" s="26"/>
      <c r="N25" s="49"/>
      <c r="O25" s="289"/>
      <c r="P25" s="289"/>
      <c r="Q25" s="19"/>
    </row>
    <row r="26" ht="18.75" customHeight="1">
      <c r="A26" s="19"/>
      <c r="B26" s="26"/>
      <c r="C26" s="36"/>
      <c r="D26" s="292"/>
      <c r="E26" s="36"/>
      <c r="F26" s="20"/>
      <c r="G26" s="26"/>
      <c r="H26" s="296" t="str">
        <f t="array" ref="H26:K26">IF(Format="Solo",E2,IFNA(VLOOKUP(E2,TeamList,SEQUENCE(1,4,1),0),""))</f>
        <v>Kittens</v>
      </c>
      <c r="I26" s="297" t="s">
        <v>719</v>
      </c>
      <c r="J26" s="296" t="s">
        <v>720</v>
      </c>
      <c r="K26" s="296" t="s">
        <v>721</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lowrank is my love</v>
      </c>
      <c r="D2" s="235" t="s">
        <v>854</v>
      </c>
      <c r="E2" s="236" t="str">
        <f>IFNA(VLOOKUP(I2,Schedules,5,0),"")</f>
        <v>PLDT ANO NAAA</v>
      </c>
      <c r="F2" s="20"/>
      <c r="G2" s="21" t="s">
        <v>855</v>
      </c>
      <c r="H2" s="237" t="s">
        <v>856</v>
      </c>
      <c r="I2" s="238">
        <v>17.0</v>
      </c>
      <c r="K2" s="238"/>
      <c r="L2" s="20"/>
      <c r="M2" s="21" t="s">
        <v>857</v>
      </c>
      <c r="N2" s="239" t="s">
        <v>25</v>
      </c>
      <c r="O2" s="240" t="s">
        <v>33</v>
      </c>
      <c r="P2" s="4"/>
      <c r="Q2" s="19"/>
    </row>
    <row r="3" ht="18.75" customHeight="1">
      <c r="A3" s="19"/>
      <c r="B3" s="26"/>
      <c r="C3" s="241">
        <f>IF(D6="Blue",-1,COUNTIF(E14:E26,"Red"))</f>
        <v>1</v>
      </c>
      <c r="D3" s="242">
        <f>VLOOKUP(O2,MappoolSettings,2,0)</f>
        <v>9</v>
      </c>
      <c r="E3" s="243">
        <f>IF(D6="Red",-1,COUNTIF(E14:E26,"Blue"))</f>
        <v>5</v>
      </c>
      <c r="F3" s="20"/>
      <c r="G3" s="26"/>
      <c r="H3" s="244" t="s">
        <v>456</v>
      </c>
      <c r="I3" s="35" t="s">
        <v>558</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17**
&lt;https://osu.ppy.sh/community/matches/110206456&gt;
:red_square: lowrank is my love | 1 : 5 | PLDT ANO NAAA :blue_square:
lowrank is my love ban | HD2
PLDT ANO NAAA ban | DT2
First pick | PLDT ANO NAAA
:blue_square: | FM2: Giga-"&amp;"P - Electric Angel [Sonnyc's Insane]
:blue_square: | NM4: sakuraburst - Glacierfall (Park Remix) [haruto x ancel's ins*ne]
:blue_square: | NM3: Tsukuyomi - Dareka no Shinzou ni Nareta nara [too's Insane]
:red_square: | NM2: Fractal Dreamers - Gardens Unde"&amp;"r A Spring Sky [Hyper]
:blue_square: | FM1: OISHII - ONIGIRI FREEWAY [LUKAS' INSANE]
:blue_square: | DT1: Yumeno Yuki - First Time [KoldNoodl's Hard]")</f>
        <v>**Round of 16: Match 17**
&lt;https://osu.ppy.sh/community/matches/110206456&gt;
:red_square: lowrank is my love | 1 : 5 | PLDT ANO NAAA :blue_square:
lowrank is my love ban | HD2
PLDT ANO NAAA ban | DT2
First pick | PLDT ANO NAAA
:blue_square: | FM2: Giga-P - Electric Angel [Sonnyc's Insane]
:blue_square: | NM4: sakuraburst - Glacierfall (Park Remix) [haruto x ancel's ins*ne]
:blue_square: | NM3: Tsukuyomi - Dareka no Shinzou ni Nareta nara [too's Insane]
:red_square: | NM2: Fractal Dreamers - Gardens Under A Spring Sky [Hyper]
:blue_square: | FM1: OISHII - ONIGIRI FREEWAY [LUKAS' INSANE]
:blue_square: | DT1: Yumeno Yuki - First Time [KoldNoodl's Hard]</v>
      </c>
      <c r="E4" s="248"/>
      <c r="F4" s="20"/>
      <c r="G4" s="26"/>
      <c r="H4" s="237" t="s">
        <v>452</v>
      </c>
      <c r="I4" s="249" t="str">
        <f>IFNA(VLOOKUP(I2,Schedules,6,0),"")</f>
        <v>Azasapag</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3446883 0</v>
      </c>
      <c r="E5" s="253" t="s">
        <v>109</v>
      </c>
      <c r="F5" s="20"/>
      <c r="G5" s="26"/>
      <c r="H5" s="237" t="s">
        <v>860</v>
      </c>
      <c r="I5" s="254">
        <f t="array" ref="I5">IFNA(SUM(VLOOKUP(I2,Schedules,{2,3},0)),"")</f>
        <v>45166.54167</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(lowrank is my love) vs (PLDT ANO NAAA)</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lowrank is my love</v>
      </c>
      <c r="D9" s="263" t="s">
        <v>151</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PLDT ANO NAAA</v>
      </c>
      <c r="D10" s="267" t="s">
        <v>163</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Rev1vall</v>
      </c>
      <c r="J11" s="272" t="s">
        <v>898</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1" t="str">
        <f t="array" ref="C14:C22">IF(D11="",,{IF(MOD(SEQUENCE(D3-1,1),2)=1,IF(D11="Red","Red","Blue"),IF(D11="Red","Blue","Red"));"Tiebreaker"})</f>
        <v>Blue</v>
      </c>
      <c r="D14" s="263" t="s">
        <v>172</v>
      </c>
      <c r="E14" s="31" t="s">
        <v>891</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1" t="s">
        <v>893</v>
      </c>
      <c r="D15" s="263" t="s">
        <v>142</v>
      </c>
      <c r="E15" s="31" t="s">
        <v>891</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891</v>
      </c>
      <c r="D16" s="263" t="s">
        <v>139</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893</v>
      </c>
      <c r="D17" s="263" t="s">
        <v>136</v>
      </c>
      <c r="E17" s="31" t="s">
        <v>893</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891</v>
      </c>
      <c r="D18" s="263" t="s">
        <v>169</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893</v>
      </c>
      <c r="D19" s="263" t="s">
        <v>160</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c r="E20" s="31"/>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lowrank is my love</v>
      </c>
      <c r="I25" s="295" t="s">
        <v>725</v>
      </c>
      <c r="J25" s="294" t="s">
        <v>726</v>
      </c>
      <c r="K25" s="294"/>
      <c r="L25" s="38"/>
      <c r="M25" s="26"/>
      <c r="N25" s="49"/>
      <c r="O25" s="289"/>
      <c r="P25" s="289"/>
      <c r="Q25" s="19"/>
    </row>
    <row r="26" ht="18.75" customHeight="1">
      <c r="A26" s="19"/>
      <c r="B26" s="26"/>
      <c r="C26" s="36"/>
      <c r="D26" s="292"/>
      <c r="E26" s="36"/>
      <c r="F26" s="20"/>
      <c r="G26" s="26"/>
      <c r="H26" s="296" t="str">
        <f t="array" ref="H26:K26">IF(Format="Solo",E2,IFNA(VLOOKUP(E2,TeamList,SEQUENCE(1,4,1),0),""))</f>
        <v>PLDT ANO NAAA</v>
      </c>
      <c r="I26" s="297" t="s">
        <v>722</v>
      </c>
      <c r="J26" s="296" t="s">
        <v>723</v>
      </c>
      <c r="K26" s="296" t="s">
        <v>724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The sleepers</v>
      </c>
      <c r="D2" s="235" t="s">
        <v>854</v>
      </c>
      <c r="E2" s="236" t="str">
        <f>IFNA(VLOOKUP(I2,Schedules,5,0),"")</f>
        <v>Mewo My Waifu</v>
      </c>
      <c r="F2" s="20"/>
      <c r="G2" s="21" t="s">
        <v>855</v>
      </c>
      <c r="H2" s="237" t="s">
        <v>856</v>
      </c>
      <c r="I2" s="238">
        <v>18.0</v>
      </c>
      <c r="K2" s="238"/>
      <c r="L2" s="20"/>
      <c r="M2" s="21" t="s">
        <v>857</v>
      </c>
      <c r="N2" s="239" t="s">
        <v>25</v>
      </c>
      <c r="O2" s="240" t="s">
        <v>33</v>
      </c>
      <c r="P2" s="4"/>
      <c r="Q2" s="19"/>
    </row>
    <row r="3" ht="18.75" customHeight="1">
      <c r="A3" s="19"/>
      <c r="B3" s="26"/>
      <c r="C3" s="241">
        <f>IF(D6="Blue",-1,COUNTIF(E14:E26,"Red"))</f>
        <v>5</v>
      </c>
      <c r="D3" s="242">
        <f>VLOOKUP(O2,MappoolSettings,2,0)</f>
        <v>9</v>
      </c>
      <c r="E3" s="243">
        <f>IF(D6="Red",-1,COUNTIF(E14:E26,"Blue"))</f>
        <v>2</v>
      </c>
      <c r="F3" s="20"/>
      <c r="G3" s="26"/>
      <c r="H3" s="244" t="s">
        <v>456</v>
      </c>
      <c r="I3" s="35" t="s">
        <v>548</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18**
&lt;https://osu.ppy.sh/community/matches/110178185&gt;
:red_square: The sleepers | 5 : 2 | Mewo My Waifu :blue_square:
The sleepers ban | DT2
Mewo My Waifu ban | HD2
First pick | Mewo My Waifu
:blue_square: | NM1: Yorushika - Thoug"&amp;"htcrime [Akitoshi's Insane]
:red_square: | NM4: sakuraburst - Glacierfall (Park Remix) [haruto x ancel's ins*ne]
:red_square: | DT1: Yumeno Yuki - First Time [KoldNoodl's Hard]
:red_square: | NM5: sekai - Zange Mairi [Voice's Insane]
:blue_square: | NM3: "&amp;"Tsukuyomi - Dareka no Shinzou ni Nareta nara [too's Insane]
:red_square: | NM2: Fractal Dreamers - Gardens Under A Spring Sky [Hyper]
:red_square: | FM1: OISHII - ONIGIRI FREEWAY [LUKAS' INSANE]")</f>
        <v>**Round of 16: Match 18**
&lt;https://osu.ppy.sh/community/matches/110178185&gt;
:red_square: The sleepers | 5 : 2 | Mewo My Waifu :blue_square:
The sleepers ban | DT2
Mewo My Waifu ban | HD2
First pick | Mewo My Waifu
:blue_square: | NM1: Yorushika - Thoughtcrime [Akitoshi's Insane]
:red_square: | NM4: sakuraburst - Glacierfall (Park Remix) [haruto x ancel's ins*ne]
:red_square: | DT1: Yumeno Yuki - First Time [KoldNoodl's Hard]
:red_square: | NM5: sekai - Zange Mairi [Voice's Insane]
:blue_square: | NM3: Tsukuyomi - Dareka no Shinzou ni Nareta nara [too's Insane]
:red_square: | NM2: Fractal Dreamers - Gardens Under A Spring Sky [Hyper]
:red_square: | FM1: OISHII - ONIGIRI FREEWAY [LUKAS' INSANE]</v>
      </c>
      <c r="E4" s="248"/>
      <c r="F4" s="20"/>
      <c r="G4" s="26"/>
      <c r="H4" s="237" t="s">
        <v>452</v>
      </c>
      <c r="I4" s="249" t="str">
        <f>IFNA(VLOOKUP(I2,Schedules,6,0),"")</f>
        <v>play hd3</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2151207 0</v>
      </c>
      <c r="E5" s="253" t="s">
        <v>122</v>
      </c>
      <c r="F5" s="20"/>
      <c r="G5" s="26"/>
      <c r="H5" s="237" t="s">
        <v>860</v>
      </c>
      <c r="I5" s="254">
        <f t="array" ref="I5">IFNA(SUM(VLOOKUP(I2,Schedules,{2,3},0)),"")</f>
        <v>45164.75</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(The sleepers) vs (Mewo My Waifu)</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The sleepers</v>
      </c>
      <c r="D9" s="263" t="s">
        <v>163</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Mewo My Waifu</v>
      </c>
      <c r="D10" s="267" t="s">
        <v>151</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Alica</v>
      </c>
      <c r="J11" s="272" t="s">
        <v>900</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132</v>
      </c>
      <c r="E14" s="31" t="s">
        <v>891</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893</v>
      </c>
      <c r="D15" s="263" t="s">
        <v>142</v>
      </c>
      <c r="E15" s="31" t="s">
        <v>893</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891</v>
      </c>
      <c r="D16" s="263" t="s">
        <v>160</v>
      </c>
      <c r="E16" s="31" t="s">
        <v>893</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893</v>
      </c>
      <c r="D17" s="263" t="s">
        <v>145</v>
      </c>
      <c r="E17" s="31" t="s">
        <v>893</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891</v>
      </c>
      <c r="D18" s="263" t="s">
        <v>139</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893</v>
      </c>
      <c r="D19" s="263" t="s">
        <v>136</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t="s">
        <v>169</v>
      </c>
      <c r="E20" s="31" t="s">
        <v>893</v>
      </c>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The sleepers</v>
      </c>
      <c r="I25" s="295" t="s">
        <v>779</v>
      </c>
      <c r="J25" s="294" t="s">
        <v>780</v>
      </c>
      <c r="K25" s="294" t="s">
        <v>781</v>
      </c>
      <c r="L25" s="38"/>
      <c r="M25" s="26"/>
      <c r="N25" s="49"/>
      <c r="O25" s="289"/>
      <c r="P25" s="289"/>
      <c r="Q25" s="19"/>
    </row>
    <row r="26" ht="18.75" customHeight="1">
      <c r="A26" s="19"/>
      <c r="B26" s="26"/>
      <c r="C26" s="36"/>
      <c r="D26" s="292"/>
      <c r="E26" s="36"/>
      <c r="F26" s="20"/>
      <c r="G26" s="26"/>
      <c r="H26" s="296" t="str">
        <f t="array" ref="H26:K26">IF(Format="Solo",E2,IFNA(VLOOKUP(E2,TeamList,SEQUENCE(1,4,1),0),""))</f>
        <v>Mewo My Waifu</v>
      </c>
      <c r="I26" s="297" t="s">
        <v>478</v>
      </c>
      <c r="J26" s="296" t="s">
        <v>675</v>
      </c>
      <c r="K26" s="296" t="s">
        <v>676</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Better HD Abusers</v>
      </c>
      <c r="D2" s="235" t="s">
        <v>854</v>
      </c>
      <c r="E2" s="236" t="str">
        <f>IFNA(VLOOKUP(I2,Schedules,5,0),"")</f>
        <v>equipe câo</v>
      </c>
      <c r="F2" s="20"/>
      <c r="G2" s="21" t="s">
        <v>855</v>
      </c>
      <c r="H2" s="237" t="s">
        <v>856</v>
      </c>
      <c r="I2" s="238">
        <v>19.0</v>
      </c>
      <c r="K2" s="238"/>
      <c r="L2" s="20"/>
      <c r="M2" s="21" t="s">
        <v>857</v>
      </c>
      <c r="N2" s="239" t="s">
        <v>25</v>
      </c>
      <c r="O2" s="240" t="s">
        <v>33</v>
      </c>
      <c r="P2" s="4"/>
      <c r="Q2" s="19"/>
    </row>
    <row r="3" ht="18.75" customHeight="1">
      <c r="A3" s="19"/>
      <c r="B3" s="26"/>
      <c r="C3" s="241">
        <f>IF(D6="Blue",-1,COUNTIF(E14:E26,"Red"))</f>
        <v>0</v>
      </c>
      <c r="D3" s="242">
        <f>VLOOKUP(O2,MappoolSettings,2,0)</f>
        <v>9</v>
      </c>
      <c r="E3" s="243">
        <f>IF(D6="Red",-1,COUNTIF(E14:E26,"Blue"))</f>
        <v>5</v>
      </c>
      <c r="F3" s="20"/>
      <c r="G3" s="26"/>
      <c r="H3" s="244" t="s">
        <v>456</v>
      </c>
      <c r="I3" s="35" t="s">
        <v>552</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19**
&lt;https://osu.ppy.sh/community/matches/110190490&gt;
:red_square: Better HD Abusers | 0 : 5 | equipe câo :blue_square:
Better HD Abusers ban | HR1
equipe câo ban | HD1
First pick | equipe câo
:blue_square: | DT1: Yumeno Yuki - Fi"&amp;"rst Time [KoldNoodl's Hard]
:blue_square: | NM1: Yorushika - Thoughtcrime [Akitoshi's Insane]
:blue_square: | NM2: Fractal Dreamers - Gardens Under A Spring Sky [Hyper]
:blue_square: | HD2: Siren - Polaris [8 is not a low ar guys]
:blue_square: | DT2: YUC"&amp;"'e - Future Candy [Hard]")</f>
        <v>**Round of 16: Match 19**
&lt;https://osu.ppy.sh/community/matches/110190490&gt;
:red_square: Better HD Abusers | 0 : 5 | equipe câo :blue_square:
Better HD Abusers ban | HR1
equipe câo ban | HD1
First pick | equipe câo
:blue_square: | DT1: Yumeno Yuki - First Time [KoldNoodl's Hard]
:blue_square: | NM1: Yorushika - Thoughtcrime [Akitoshi's Insane]
:blue_square: | NM2: Fractal Dreamers - Gardens Under A Spring Sky [Hyper]
:blue_square: | HD2: Siren - Polaris [8 is not a low ar guys]
:blue_square: | DT2: YUC'e - Future Candy [Hard]</v>
      </c>
      <c r="E4" s="248"/>
      <c r="F4" s="20"/>
      <c r="G4" s="26"/>
      <c r="H4" s="237" t="s">
        <v>452</v>
      </c>
      <c r="I4" s="249" t="str">
        <f>IFNA(VLOOKUP(I2,Schedules,6,0),"")</f>
        <v>reforna</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1521209 0</v>
      </c>
      <c r="E5" s="253" t="s">
        <v>109</v>
      </c>
      <c r="F5" s="20"/>
      <c r="G5" s="26"/>
      <c r="H5" s="237" t="s">
        <v>860</v>
      </c>
      <c r="I5" s="254">
        <f t="array" ref="I5">IFNA(SUM(VLOOKUP(I2,Schedules,{2,3},0)),"")</f>
        <v>45165.54167</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(Better HD Abusers) vs (equipe câo)</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Better HD Abusers</v>
      </c>
      <c r="D9" s="263" t="s">
        <v>154</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equipe câo</v>
      </c>
      <c r="D10" s="267" t="s">
        <v>148</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HD Abuser</v>
      </c>
      <c r="J11" s="272" t="s">
        <v>902</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160</v>
      </c>
      <c r="E14" s="31" t="s">
        <v>891</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893</v>
      </c>
      <c r="D15" s="263" t="s">
        <v>132</v>
      </c>
      <c r="E15" s="31" t="s">
        <v>891</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891</v>
      </c>
      <c r="D16" s="263" t="s">
        <v>136</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893</v>
      </c>
      <c r="D17" s="263" t="s">
        <v>151</v>
      </c>
      <c r="E17" s="31" t="s">
        <v>891</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891</v>
      </c>
      <c r="D18" s="263" t="s">
        <v>163</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893</v>
      </c>
      <c r="D19" s="263"/>
      <c r="E19" s="31"/>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c r="E20" s="31"/>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Better HD Abusers</v>
      </c>
      <c r="I25" s="295" t="s">
        <v>696</v>
      </c>
      <c r="J25" s="294" t="s">
        <v>697</v>
      </c>
      <c r="K25" s="294" t="s">
        <v>698</v>
      </c>
      <c r="L25" s="38"/>
      <c r="M25" s="26"/>
      <c r="N25" s="49"/>
      <c r="O25" s="289"/>
      <c r="P25" s="289"/>
      <c r="Q25" s="19"/>
    </row>
    <row r="26" ht="18.75" customHeight="1">
      <c r="A26" s="19"/>
      <c r="B26" s="26"/>
      <c r="C26" s="36"/>
      <c r="D26" s="292"/>
      <c r="E26" s="36"/>
      <c r="F26" s="20"/>
      <c r="G26" s="26"/>
      <c r="H26" s="296" t="str">
        <f t="array" ref="H26:K26">IF(Format="Solo",E2,IFNA(VLOOKUP(E2,TeamList,SEQUENCE(1,4,1),0),""))</f>
        <v>equipe câo</v>
      </c>
      <c r="I26" s="297" t="s">
        <v>785</v>
      </c>
      <c r="J26" s="296" t="s">
        <v>786</v>
      </c>
      <c r="K26" s="296" t="s">
        <v>787</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BOCCHER</v>
      </c>
      <c r="D2" s="235" t="s">
        <v>854</v>
      </c>
      <c r="E2" s="236" t="str">
        <f>IFNA(VLOOKUP(I2,Schedules,5,0),"")</f>
        <v>Sightread Buff</v>
      </c>
      <c r="F2" s="20"/>
      <c r="G2" s="21" t="s">
        <v>855</v>
      </c>
      <c r="H2" s="237" t="s">
        <v>856</v>
      </c>
      <c r="I2" s="238">
        <v>20.0</v>
      </c>
      <c r="K2" s="238"/>
      <c r="L2" s="20"/>
      <c r="M2" s="21" t="s">
        <v>857</v>
      </c>
      <c r="N2" s="239" t="s">
        <v>25</v>
      </c>
      <c r="O2" s="240" t="s">
        <v>33</v>
      </c>
      <c r="P2" s="4"/>
      <c r="Q2" s="19"/>
    </row>
    <row r="3" ht="18.75" customHeight="1">
      <c r="A3" s="19"/>
      <c r="B3" s="26"/>
      <c r="C3" s="241">
        <f>IF(D6="Blue",-1,COUNTIF(E14:E26,"Red"))</f>
        <v>1</v>
      </c>
      <c r="D3" s="242">
        <f>VLOOKUP(O2,MappoolSettings,2,0)</f>
        <v>9</v>
      </c>
      <c r="E3" s="243">
        <f>IF(D6="Red",-1,COUNTIF(E14:E26,"Blue"))</f>
        <v>5</v>
      </c>
      <c r="F3" s="20"/>
      <c r="G3" s="26"/>
      <c r="H3" s="244" t="s">
        <v>456</v>
      </c>
      <c r="I3" s="35" t="s">
        <v>557</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20**
&lt;https://osu.ppy.sh/community/matches/110194908&gt;
:red_square: BOCCHER | 1 : 5 | Sightread Buff :blue_square:
BOCCHER ban | HD2
Sightread Buff ban | HR2
First pick | BOCCHER
:red_square: | FM2: Giga-P - Electric Angel [Sonnyc'"&amp;"s Insane]
:blue_square: | HD1: Police Piccadilly feat. Hatsune Miku - Kire Carry On [negusver's Insane]
:blue_square: | HR1: PSYQUI feat. Such - Senchimentaruhatoboi [Insane]
:blue_square: | NM2: Fractal Dreamers - Gardens Under A Spring Sky [Hyper]
:blue"&amp;"_square: | NM5: sekai - Zange Mairi [Voice's Insane]
:blue_square: | NM3: Tsukuyomi - Dareka no Shinzou ni Nareta nara [too's Insane]")</f>
        <v>**Round of 16: Match 20**
&lt;https://osu.ppy.sh/community/matches/110194908&gt;
:red_square: BOCCHER | 1 : 5 | Sightread Buff :blue_square:
BOCCHER ban | HD2
Sightread Buff ban | HR2
First pick | BOCCHER
:red_square: | FM2: Giga-P - Electric Angel [Sonnyc's Insane]
:blue_square: | HD1: Police Piccadilly feat. Hatsune Miku - Kire Carry On [negusver's Insane]
:blue_square: | HR1: PSYQUI feat. Such - Senchimentaruhatoboi [Insane]
:blue_square: | NM2: Fractal Dreamers - Gardens Under A Spring Sky [Hyper]
:blue_square: | NM5: sekai - Zange Mairi [Voice's Insane]
:blue_square: | NM3: Tsukuyomi - Dareka no Shinzou ni Nareta nara [too's Insane]</v>
      </c>
      <c r="E4" s="248"/>
      <c r="F4" s="20"/>
      <c r="G4" s="26"/>
      <c r="H4" s="237" t="s">
        <v>452</v>
      </c>
      <c r="I4" s="249" t="str">
        <f>IFNA(VLOOKUP(I2,Schedules,6,0),"")</f>
        <v>Ninja Mejster</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3239199 0</v>
      </c>
      <c r="E5" s="253" t="s">
        <v>74</v>
      </c>
      <c r="F5" s="20"/>
      <c r="G5" s="26"/>
      <c r="H5" s="237" t="s">
        <v>860</v>
      </c>
      <c r="I5" s="254">
        <f t="array" ref="I5">IFNA(SUM(VLOOKUP(I2,Schedules,{2,3},0)),"")</f>
        <v>45165.75</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(BOCCHER) vs (Sightread Buff)</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BOCCHER</v>
      </c>
      <c r="D9" s="263" t="s">
        <v>151</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Sightread Buff</v>
      </c>
      <c r="D10" s="267" t="s">
        <v>157</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SkyprimeLp</v>
      </c>
      <c r="J11" s="272" t="s">
        <v>914</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172</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891</v>
      </c>
      <c r="D15" s="263" t="s">
        <v>148</v>
      </c>
      <c r="E15" s="31" t="s">
        <v>891</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893</v>
      </c>
      <c r="D16" s="263" t="s">
        <v>154</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891</v>
      </c>
      <c r="D17" s="263" t="s">
        <v>136</v>
      </c>
      <c r="E17" s="31" t="s">
        <v>891</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893</v>
      </c>
      <c r="D18" s="263" t="s">
        <v>145</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891</v>
      </c>
      <c r="D19" s="263" t="s">
        <v>139</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BOCCHER</v>
      </c>
      <c r="I25" s="295" t="s">
        <v>672</v>
      </c>
      <c r="J25" s="294" t="s">
        <v>673</v>
      </c>
      <c r="K25" s="294" t="s">
        <v>674</v>
      </c>
      <c r="L25" s="38"/>
      <c r="M25" s="26"/>
      <c r="N25" s="49"/>
      <c r="O25" s="289"/>
      <c r="P25" s="289"/>
      <c r="Q25" s="19"/>
    </row>
    <row r="26" ht="18.75" customHeight="1">
      <c r="A26" s="19"/>
      <c r="B26" s="26"/>
      <c r="C26" s="36"/>
      <c r="D26" s="292"/>
      <c r="E26" s="36"/>
      <c r="F26" s="20"/>
      <c r="G26" s="26"/>
      <c r="H26" s="296" t="str">
        <f t="array" ref="H26:K26">IF(Format="Solo",E2,IFNA(VLOOKUP(E2,TeamList,SEQUENCE(1,4,1),0),""))</f>
        <v>Sightread Buff</v>
      </c>
      <c r="I26" s="297" t="s">
        <v>638</v>
      </c>
      <c r="J26" s="296" t="s">
        <v>639</v>
      </c>
      <c r="K26" s="296" t="s">
        <v>640</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Beancurd</v>
      </c>
      <c r="D2" s="235" t="s">
        <v>854</v>
      </c>
      <c r="E2" s="236" t="str">
        <f>IFNA(VLOOKUP(I2,Schedules,5,0),"")</f>
        <v>Dino Nuggies</v>
      </c>
      <c r="F2" s="20"/>
      <c r="G2" s="21" t="s">
        <v>855</v>
      </c>
      <c r="H2" s="237" t="s">
        <v>856</v>
      </c>
      <c r="I2" s="238">
        <v>21.0</v>
      </c>
      <c r="K2" s="238"/>
      <c r="L2" s="20"/>
      <c r="M2" s="21" t="s">
        <v>857</v>
      </c>
      <c r="N2" s="239" t="s">
        <v>25</v>
      </c>
      <c r="O2" s="240" t="s">
        <v>33</v>
      </c>
      <c r="P2" s="4"/>
      <c r="Q2" s="19"/>
    </row>
    <row r="3" ht="18.75" customHeight="1">
      <c r="A3" s="19"/>
      <c r="B3" s="26"/>
      <c r="C3" s="241">
        <f>IF(D6="Blue",-1,COUNTIF(E14:E26,"Red"))</f>
        <v>2</v>
      </c>
      <c r="D3" s="242">
        <f>VLOOKUP(O2,MappoolSettings,2,0)</f>
        <v>9</v>
      </c>
      <c r="E3" s="243">
        <f>IF(D6="Red",-1,COUNTIF(E14:E26,"Blue"))</f>
        <v>5</v>
      </c>
      <c r="F3" s="20"/>
      <c r="G3" s="26"/>
      <c r="H3" s="244" t="s">
        <v>456</v>
      </c>
      <c r="I3" s="35" t="s">
        <v>544</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21**
&lt;https://osu.ppy.sh/community/matches/110175433&gt;
:red_square: Beancurd | 2 : 5 | Dino Nuggies :blue_square:
Beancurd ban | HR2
Dino Nuggies ban | HD2
First pick | Dino Nuggies
:blue_square: | NM3: Tsukuyomi - Dareka no Shinzo"&amp;"u ni Nareta nara [too's Insane]
:red_square: | NM5: sekai - Zange Mairi [Voice's Insane]
:red_square: | FM2: Giga-P - Electric Angel [Sonnyc's Insane]
:blue_square: | NM2: Fractal Dreamers - Gardens Under A Spring Sky [Hyper]
:blue_square: | DT1: Yumeno Y"&amp;"uki - First Time [KoldNoodl's Hard]
:blue_square: | DT2: YUC'e - Future Candy [Hard]
:blue_square: | FM1: OISHII - ONIGIRI FREEWAY [LUKAS' INSANE]")</f>
        <v>**Round of 16: Match 21**
&lt;https://osu.ppy.sh/community/matches/110175433&gt;
:red_square: Beancurd | 2 : 5 | Dino Nuggies :blue_square:
Beancurd ban | HR2
Dino Nuggies ban | HD2
First pick | Dino Nuggies
:blue_square: | NM3: Tsukuyomi - Dareka no Shinzou ni Nareta nara [too's Insane]
:red_square: | NM5: sekai - Zange Mairi [Voice's Insane]
:red_square: | FM2: Giga-P - Electric Angel [Sonnyc's Insane]
:blue_square: | NM2: Fractal Dreamers - Gardens Under A Spring Sky [Hyper]
:blue_square: | DT1: Yumeno Yuki - First Time [KoldNoodl's Hard]
:blue_square: | DT2: YUC'e - Future Candy [Hard]
:blue_square: | FM1: OISHII - ONIGIRI FREEWAY [LUKAS' INSANE]</v>
      </c>
      <c r="E4" s="248"/>
      <c r="F4" s="20"/>
      <c r="G4" s="26"/>
      <c r="H4" s="237" t="s">
        <v>452</v>
      </c>
      <c r="I4" s="249" t="str">
        <f>IFNA(VLOOKUP(I2,Schedules,6,0),"")</f>
        <v>reforna</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2151207 0</v>
      </c>
      <c r="E5" s="253" t="s">
        <v>122</v>
      </c>
      <c r="F5" s="20"/>
      <c r="G5" s="26"/>
      <c r="H5" s="237" t="s">
        <v>860</v>
      </c>
      <c r="I5" s="254">
        <f t="array" ref="I5">IFNA(SUM(VLOOKUP(I2,Schedules,{2,3},0)),"")</f>
        <v>45164.625</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(Beancurd) vs (Dino Nuggies)</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Beancurd</v>
      </c>
      <c r="D9" s="263" t="s">
        <v>157</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Dino Nuggies</v>
      </c>
      <c r="D10" s="267" t="s">
        <v>151</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Tsekyro</v>
      </c>
      <c r="J11" s="272" t="s">
        <v>915</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139</v>
      </c>
      <c r="E14" s="31" t="s">
        <v>891</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893</v>
      </c>
      <c r="D15" s="263" t="s">
        <v>145</v>
      </c>
      <c r="E15" s="31" t="s">
        <v>893</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891</v>
      </c>
      <c r="D16" s="263" t="s">
        <v>172</v>
      </c>
      <c r="E16" s="31" t="s">
        <v>893</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893</v>
      </c>
      <c r="D17" s="263" t="s">
        <v>136</v>
      </c>
      <c r="E17" s="31" t="s">
        <v>891</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891</v>
      </c>
      <c r="D18" s="263" t="s">
        <v>160</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893</v>
      </c>
      <c r="D19" s="263" t="s">
        <v>163</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t="s">
        <v>169</v>
      </c>
      <c r="E20" s="31" t="s">
        <v>891</v>
      </c>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Beancurd</v>
      </c>
      <c r="I25" s="295" t="s">
        <v>677</v>
      </c>
      <c r="J25" s="294" t="s">
        <v>678</v>
      </c>
      <c r="K25" s="294" t="s">
        <v>679</v>
      </c>
      <c r="L25" s="38"/>
      <c r="M25" s="26"/>
      <c r="N25" s="49"/>
      <c r="O25" s="289"/>
      <c r="P25" s="289"/>
      <c r="Q25" s="19"/>
    </row>
    <row r="26" ht="18.75" customHeight="1">
      <c r="A26" s="19"/>
      <c r="B26" s="26"/>
      <c r="C26" s="36"/>
      <c r="D26" s="292"/>
      <c r="E26" s="36"/>
      <c r="F26" s="20"/>
      <c r="G26" s="26"/>
      <c r="H26" s="296" t="str">
        <f t="array" ref="H26:K26">IF(Format="Solo",E2,IFNA(VLOOKUP(E2,TeamList,SEQUENCE(1,4,1),0),""))</f>
        <v>Dino Nuggies</v>
      </c>
      <c r="I26" s="297" t="s">
        <v>760</v>
      </c>
      <c r="J26" s="296" t="s">
        <v>761</v>
      </c>
      <c r="K26" s="296" t="s">
        <v>762</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The Mat Munchers</v>
      </c>
      <c r="D2" s="235" t="s">
        <v>854</v>
      </c>
      <c r="E2" s="236" t="str">
        <f>IFNA(VLOOKUP(I2,Schedules,5,0),"")</f>
        <v>PES E9L9</v>
      </c>
      <c r="F2" s="20"/>
      <c r="G2" s="21" t="s">
        <v>855</v>
      </c>
      <c r="H2" s="237" t="s">
        <v>856</v>
      </c>
      <c r="I2" s="238">
        <v>22.0</v>
      </c>
      <c r="K2" s="238"/>
      <c r="L2" s="20"/>
      <c r="M2" s="21" t="s">
        <v>857</v>
      </c>
      <c r="N2" s="239" t="s">
        <v>25</v>
      </c>
      <c r="O2" s="240" t="s">
        <v>33</v>
      </c>
      <c r="P2" s="4"/>
      <c r="Q2" s="19"/>
    </row>
    <row r="3" ht="18.75" customHeight="1">
      <c r="A3" s="19"/>
      <c r="B3" s="26"/>
      <c r="C3" s="241">
        <f>IF(D6="Blue",-1,COUNTIF(E14:E26,"Red"))</f>
        <v>2</v>
      </c>
      <c r="D3" s="242">
        <f>VLOOKUP(O2,MappoolSettings,2,0)</f>
        <v>9</v>
      </c>
      <c r="E3" s="243">
        <f>IF(D6="Red",-1,COUNTIF(E14:E26,"Blue"))</f>
        <v>5</v>
      </c>
      <c r="F3" s="20"/>
      <c r="G3" s="26"/>
      <c r="H3" s="244" t="s">
        <v>456</v>
      </c>
      <c r="I3" s="35" t="s">
        <v>542</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22**
&lt;https://osu.ppy.sh/community/matches/110174567&gt;
:red_square: The Mat Munchers | 2 : 5 | PES E9L9 :blue_square:
The Mat Munchers ban | HR1
PES E9L9 ban | HD1
First pick | The Mat Munchers
:red_square: | DT1: Yumeno Yuki - Fir"&amp;"st Time [KoldNoodl's Hard]
:blue_square: | FM2: Giga-P - Electric Angel [Sonnyc's Insane]
:blue_square: | NM3: Tsukuyomi - Dareka no Shinzou ni Nareta nara [too's Insane]
:blue_square: | NM2: Fractal Dreamers - Gardens Under A Spring Sky [Hyper]
:red_squa"&amp;"re: | NM4: sakuraburst - Glacierfall (Park Remix) [haruto x ancel's ins*ne]
:blue_square: | HR2: Perfume - Laser Beam [Mixagji]
:blue_square: | DT2: YUC'e - Future Candy [Hard]")</f>
        <v>**Round of 16: Match 22**
&lt;https://osu.ppy.sh/community/matches/110174567&gt;
:red_square: The Mat Munchers | 2 : 5 | PES E9L9 :blue_square:
The Mat Munchers ban | HR1
PES E9L9 ban | HD1
First pick | The Mat Munchers
:red_square: | DT1: Yumeno Yuki - First Time [KoldNoodl's Hard]
:blue_square: | FM2: Giga-P - Electric Angel [Sonnyc's Insane]
:blue_square: | NM3: Tsukuyomi - Dareka no Shinzou ni Nareta nara [too's Insane]
:blue_square: | NM2: Fractal Dreamers - Gardens Under A Spring Sky [Hyper]
:red_square: | NM4: sakuraburst - Glacierfall (Park Remix) [haruto x ancel's ins*ne]
:blue_square: | HR2: Perfume - Laser Beam [Mixagji]
:blue_square: | DT2: YUC'e - Future Candy [Hard]</v>
      </c>
      <c r="E4" s="248"/>
      <c r="F4" s="20"/>
      <c r="G4" s="26"/>
      <c r="H4" s="237" t="s">
        <v>452</v>
      </c>
      <c r="I4" s="249" t="str">
        <f>IFNA(VLOOKUP(I2,Schedules,6,0),"")</f>
        <v>reforna</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1521209 0</v>
      </c>
      <c r="E5" s="253" t="s">
        <v>109</v>
      </c>
      <c r="F5" s="20"/>
      <c r="G5" s="26"/>
      <c r="H5" s="237" t="s">
        <v>860</v>
      </c>
      <c r="I5" s="254">
        <f t="array" ref="I5">IFNA(SUM(VLOOKUP(I2,Schedules,{2,3},0)),"")</f>
        <v>45164.58333</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(The Mat Munchers) vs (PES E9L9)</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The Mat Munchers</v>
      </c>
      <c r="D9" s="263" t="s">
        <v>154</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PES E9L9</v>
      </c>
      <c r="D10" s="267" t="s">
        <v>148</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foxy1919191919</v>
      </c>
      <c r="J11" s="272" t="s">
        <v>909</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160</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891</v>
      </c>
      <c r="D15" s="263" t="s">
        <v>172</v>
      </c>
      <c r="E15" s="31" t="s">
        <v>891</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893</v>
      </c>
      <c r="D16" s="263" t="s">
        <v>139</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891</v>
      </c>
      <c r="D17" s="263" t="s">
        <v>136</v>
      </c>
      <c r="E17" s="31" t="s">
        <v>891</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893</v>
      </c>
      <c r="D18" s="263" t="s">
        <v>142</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891</v>
      </c>
      <c r="D19" s="263" t="s">
        <v>157</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t="s">
        <v>163</v>
      </c>
      <c r="E20" s="31" t="s">
        <v>891</v>
      </c>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The Mat Munchers</v>
      </c>
      <c r="I25" s="295" t="s">
        <v>749</v>
      </c>
      <c r="J25" s="294" t="s">
        <v>750</v>
      </c>
      <c r="K25" s="294" t="s">
        <v>751</v>
      </c>
      <c r="L25" s="38"/>
      <c r="M25" s="26"/>
      <c r="N25" s="49"/>
      <c r="O25" s="289"/>
      <c r="P25" s="289"/>
      <c r="Q25" s="19"/>
    </row>
    <row r="26" ht="18.75" customHeight="1">
      <c r="A26" s="19"/>
      <c r="B26" s="26"/>
      <c r="C26" s="36"/>
      <c r="D26" s="292"/>
      <c r="E26" s="36"/>
      <c r="F26" s="20"/>
      <c r="G26" s="26"/>
      <c r="H26" s="296" t="str">
        <f t="array" ref="H26:K26">IF(Format="Solo",E2,IFNA(VLOOKUP(E2,TeamList,SEQUENCE(1,4,1),0),""))</f>
        <v>PES E9L9</v>
      </c>
      <c r="I26" s="297" t="s">
        <v>667</v>
      </c>
      <c r="J26" s="296" t="s">
        <v>668</v>
      </c>
      <c r="K26" s="296" t="s">
        <v>484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Here Forever</v>
      </c>
      <c r="D2" s="235" t="s">
        <v>854</v>
      </c>
      <c r="E2" s="236" t="str">
        <f>IFNA(VLOOKUP(I2,Schedules,5,0),"")</f>
        <v>3000CombinedHours</v>
      </c>
      <c r="F2" s="20"/>
      <c r="G2" s="21" t="s">
        <v>855</v>
      </c>
      <c r="H2" s="237" t="s">
        <v>856</v>
      </c>
      <c r="I2" s="238">
        <v>23.0</v>
      </c>
      <c r="K2" s="238"/>
      <c r="L2" s="20"/>
      <c r="M2" s="21" t="s">
        <v>857</v>
      </c>
      <c r="N2" s="239" t="s">
        <v>25</v>
      </c>
      <c r="O2" s="240" t="s">
        <v>33</v>
      </c>
      <c r="P2" s="4"/>
      <c r="Q2" s="19"/>
    </row>
    <row r="3" ht="18.75" customHeight="1">
      <c r="A3" s="19"/>
      <c r="B3" s="26"/>
      <c r="C3" s="241">
        <f>IF(D6="Blue",-1,COUNTIF(E14:E26,"Red"))</f>
        <v>5</v>
      </c>
      <c r="D3" s="242">
        <f>VLOOKUP(O2,MappoolSettings,2,0)</f>
        <v>9</v>
      </c>
      <c r="E3" s="243">
        <f>IF(D6="Red",-1,COUNTIF(E14:E26,"Blue"))</f>
        <v>0</v>
      </c>
      <c r="F3" s="20"/>
      <c r="G3" s="26"/>
      <c r="H3" s="244" t="s">
        <v>456</v>
      </c>
      <c r="I3" s="35" t="s">
        <v>547</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23**
&lt;https://osu.ppy.sh/community/matches/110177686&gt;
:red_square: Here Forever | 5 : 0 | 3000CombinedHours :blue_square:
Here Forever ban | HR2
3000CombinedHours ban | HD2
First pick | 3000CombinedHours
:red_square: | NM1: Yorush"&amp;"ika - Thoughtcrime [Akitoshi's Insane]
:red_square: | NM2: Fractal Dreamers - Gardens Under A Spring Sky [Hyper]
:red_square: | DT2: YUC'e - Future Candy [Hard]
:red_square: | DT3: tarolabo - eth ken [hard]
:red_square: | NM3: Tsukuyomi - Dareka no Shinzo"&amp;"u ni Nareta nara [too's Insane]")</f>
        <v>**Round of 16: Match 23**
&lt;https://osu.ppy.sh/community/matches/110177686&gt;
:red_square: Here Forever | 5 : 0 | 3000CombinedHours :blue_square:
Here Forever ban | HR2
3000CombinedHours ban | HD2
First pick | 3000CombinedHours
:red_square: | NM1: Yorushika - Thoughtcrime [Akitoshi's Insane]
:red_square: | NM2: Fractal Dreamers - Gardens Under A Spring Sky [Hyper]
:red_square: | DT2: YUC'e - Future Candy [Hard]
:red_square: | DT3: tarolabo - eth ken [hard]
:red_square: | NM3: Tsukuyomi - Dareka no Shinzou ni Nareta nara [too's Insane]</v>
      </c>
      <c r="E4" s="248"/>
      <c r="F4" s="20"/>
      <c r="G4" s="26"/>
      <c r="H4" s="237" t="s">
        <v>452</v>
      </c>
      <c r="I4" s="238" t="s">
        <v>516</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3239199 0</v>
      </c>
      <c r="E5" s="253" t="s">
        <v>74</v>
      </c>
      <c r="F5" s="20"/>
      <c r="G5" s="26"/>
      <c r="H5" s="237" t="s">
        <v>860</v>
      </c>
      <c r="I5" s="254">
        <f t="array" ref="I5">IFNA(SUM(VLOOKUP(I2,Schedules,{2,3},0)),"")</f>
        <v>45164.70833</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(Here Forever) vs (3000CombinedHours)</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Here Forever</v>
      </c>
      <c r="D9" s="263" t="s">
        <v>157</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3000CombinedHours</v>
      </c>
      <c r="D10" s="267" t="s">
        <v>151</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Riidolsk</v>
      </c>
      <c r="J11" s="272" t="s">
        <v>911</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132</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893</v>
      </c>
      <c r="D15" s="263" t="s">
        <v>136</v>
      </c>
      <c r="E15" s="31" t="s">
        <v>893</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891</v>
      </c>
      <c r="D16" s="263" t="s">
        <v>163</v>
      </c>
      <c r="E16" s="31" t="s">
        <v>893</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893</v>
      </c>
      <c r="D17" s="263" t="s">
        <v>166</v>
      </c>
      <c r="E17" s="31" t="s">
        <v>893</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891</v>
      </c>
      <c r="D18" s="263" t="s">
        <v>139</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893</v>
      </c>
      <c r="D19" s="263"/>
      <c r="E19" s="31"/>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c r="E20" s="31"/>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Here Forever</v>
      </c>
      <c r="I25" s="295" t="s">
        <v>802</v>
      </c>
      <c r="J25" s="294" t="s">
        <v>803</v>
      </c>
      <c r="K25" s="294" t="s">
        <v>804</v>
      </c>
      <c r="L25" s="38"/>
      <c r="M25" s="26"/>
      <c r="N25" s="49"/>
      <c r="O25" s="289"/>
      <c r="P25" s="289"/>
      <c r="Q25" s="19"/>
    </row>
    <row r="26" ht="18.75" customHeight="1">
      <c r="A26" s="19"/>
      <c r="B26" s="26"/>
      <c r="C26" s="36"/>
      <c r="D26" s="292"/>
      <c r="E26" s="36"/>
      <c r="F26" s="20"/>
      <c r="G26" s="26"/>
      <c r="H26" s="296" t="str">
        <f t="array" ref="H26:K26">IF(Format="Solo",E2,IFNA(VLOOKUP(E2,TeamList,SEQUENCE(1,4,1),0),""))</f>
        <v>3000CombinedHours</v>
      </c>
      <c r="I26" s="297" t="s">
        <v>688</v>
      </c>
      <c r="J26" s="296" t="s">
        <v>689</v>
      </c>
      <c r="K26" s="296" t="s">
        <v>690</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Lovers + 3rd wheel</v>
      </c>
      <c r="D2" s="235" t="s">
        <v>854</v>
      </c>
      <c r="E2" s="236" t="str">
        <f>IFNA(VLOOKUP(I2,Schedules,5,0),"")</f>
        <v>Faz o L</v>
      </c>
      <c r="F2" s="20"/>
      <c r="G2" s="21" t="s">
        <v>855</v>
      </c>
      <c r="H2" s="237" t="s">
        <v>856</v>
      </c>
      <c r="I2" s="238">
        <v>24.0</v>
      </c>
      <c r="K2" s="238"/>
      <c r="L2" s="20"/>
      <c r="M2" s="21" t="s">
        <v>857</v>
      </c>
      <c r="N2" s="239" t="s">
        <v>25</v>
      </c>
      <c r="O2" s="240" t="s">
        <v>33</v>
      </c>
      <c r="P2" s="4"/>
      <c r="Q2" s="19"/>
    </row>
    <row r="3" ht="18.75" customHeight="1">
      <c r="A3" s="19"/>
      <c r="B3" s="26"/>
      <c r="C3" s="241">
        <f>IF(D6="Blue",-1,COUNTIF(E14:E26,"Red"))</f>
        <v>2</v>
      </c>
      <c r="D3" s="242">
        <f>VLOOKUP(O2,MappoolSettings,2,0)</f>
        <v>9</v>
      </c>
      <c r="E3" s="243">
        <f>IF(D6="Red",-1,COUNTIF(E14:E26,"Blue"))</f>
        <v>5</v>
      </c>
      <c r="F3" s="20"/>
      <c r="G3" s="26"/>
      <c r="H3" s="244" t="s">
        <v>456</v>
      </c>
      <c r="I3" s="35" t="s">
        <v>551</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24**
&lt;https://osu.ppy.sh/community/matches/110185577&gt;
:red_square: Lovers + 3rd wheel | 2 : 5 | Faz o L :blue_square:
Lovers + 3rd wheel ban | HD2
Faz o L ban | DT3
First pick | Lovers + 3rd wheel
:red_square: | NM2: Fractal Dream"&amp;"ers - Gardens Under A Spring Sky [Hyper]
:blue_square: | HD1: Police Piccadilly feat. Hatsune Miku - Kire Carry On [negusver's Insane]
:blue_square: | NM1: Yorushika - Thoughtcrime [Akitoshi's Insane]
:blue_square: | NM3: Tsukuyomi - Dareka no Shinzou ni "&amp;"Nareta nara [too's Insane]
:red_square: | HR2: Perfume - Laser Beam [Mixagji]
:blue_square: | FM2: Giga-P - Electric Angel [Sonnyc's Insane]
:blue_square: | DT2: YUC'e - Future Candy [Hard]")</f>
        <v>**Round of 16: Match 24**
&lt;https://osu.ppy.sh/community/matches/110185577&gt;
:red_square: Lovers + 3rd wheel | 2 : 5 | Faz o L :blue_square:
Lovers + 3rd wheel ban | HD2
Faz o L ban | DT3
First pick | Lovers + 3rd wheel
:red_square: | NM2: Fractal Dreamers - Gardens Under A Spring Sky [Hyper]
:blue_square: | HD1: Police Piccadilly feat. Hatsune Miku - Kire Carry On [negusver's Insane]
:blue_square: | NM1: Yorushika - Thoughtcrime [Akitoshi's Insane]
:blue_square: | NM3: Tsukuyomi - Dareka no Shinzou ni Nareta nara [too's Insane]
:red_square: | HR2: Perfume - Laser Beam [Mixagji]
:blue_square: | FM2: Giga-P - Electric Angel [Sonnyc's Insane]
:blue_square: | DT2: YUC'e - Future Candy [Hard]</v>
      </c>
      <c r="E4" s="248"/>
      <c r="F4" s="20"/>
      <c r="G4" s="26"/>
      <c r="H4" s="237" t="s">
        <v>452</v>
      </c>
      <c r="I4" s="249" t="str">
        <f>IFNA(VLOOKUP(I2,Schedules,6,0),"")</f>
        <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1521209 0</v>
      </c>
      <c r="E5" s="253" t="s">
        <v>109</v>
      </c>
      <c r="F5" s="20"/>
      <c r="G5" s="26"/>
      <c r="H5" s="237" t="s">
        <v>860</v>
      </c>
      <c r="I5" s="254">
        <f t="array" ref="I5">IFNA(SUM(VLOOKUP(I2,Schedules,{2,3},0)),"")</f>
        <v>45165.16667</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(Lovers + 3rd wheel) vs (Faz o L)</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Lovers + 3rd wheel</v>
      </c>
      <c r="D9" s="263" t="s">
        <v>151</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Faz o L</v>
      </c>
      <c r="D10" s="267" t="s">
        <v>166</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TeddyFine</v>
      </c>
      <c r="J11" s="272" t="s">
        <v>916</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136</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891</v>
      </c>
      <c r="D15" s="263" t="s">
        <v>148</v>
      </c>
      <c r="E15" s="31" t="s">
        <v>891</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893</v>
      </c>
      <c r="D16" s="263" t="s">
        <v>132</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891</v>
      </c>
      <c r="D17" s="263" t="s">
        <v>139</v>
      </c>
      <c r="E17" s="31" t="s">
        <v>891</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893</v>
      </c>
      <c r="D18" s="263" t="s">
        <v>157</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891</v>
      </c>
      <c r="D19" s="263" t="s">
        <v>172</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t="s">
        <v>163</v>
      </c>
      <c r="E20" s="31" t="s">
        <v>891</v>
      </c>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Lovers + 3rd wheel</v>
      </c>
      <c r="I25" s="295" t="s">
        <v>646</v>
      </c>
      <c r="J25" s="294" t="s">
        <v>647</v>
      </c>
      <c r="K25" s="294" t="s">
        <v>648</v>
      </c>
      <c r="L25" s="38"/>
      <c r="M25" s="26"/>
      <c r="N25" s="49"/>
      <c r="O25" s="289"/>
      <c r="P25" s="289"/>
      <c r="Q25" s="19"/>
    </row>
    <row r="26" ht="18.75" customHeight="1">
      <c r="A26" s="19"/>
      <c r="B26" s="26"/>
      <c r="C26" s="36"/>
      <c r="D26" s="292"/>
      <c r="E26" s="36"/>
      <c r="F26" s="20"/>
      <c r="G26" s="26"/>
      <c r="H26" s="296" t="str">
        <f t="array" ref="H26:K26">IF(Format="Solo",E2,IFNA(VLOOKUP(E2,TeamList,SEQUENCE(1,4,1),0),""))</f>
        <v>Faz o L</v>
      </c>
      <c r="I26" s="297" t="s">
        <v>752</v>
      </c>
      <c r="J26" s="296" t="s">
        <v>753</v>
      </c>
      <c r="K26" s="296" t="s">
        <v>754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small wiener club</v>
      </c>
      <c r="D2" s="235" t="s">
        <v>854</v>
      </c>
      <c r="E2" s="236" t="str">
        <f>IFNA(VLOOKUP(I2,Schedules,5,0),"")</f>
        <v>middle-schooler wife</v>
      </c>
      <c r="F2" s="20"/>
      <c r="G2" s="21" t="s">
        <v>855</v>
      </c>
      <c r="H2" s="237" t="s">
        <v>856</v>
      </c>
      <c r="I2" s="238">
        <v>25.0</v>
      </c>
      <c r="K2" s="238"/>
      <c r="L2" s="20"/>
      <c r="M2" s="21" t="s">
        <v>857</v>
      </c>
      <c r="N2" s="239" t="s">
        <v>25</v>
      </c>
      <c r="O2" s="240" t="s">
        <v>33</v>
      </c>
      <c r="P2" s="4"/>
      <c r="Q2" s="19"/>
    </row>
    <row r="3" ht="18.75" customHeight="1">
      <c r="A3" s="19"/>
      <c r="B3" s="26"/>
      <c r="C3" s="241">
        <f>IF(D6="Blue",-1,COUNTIF(E14:E26,"Red"))</f>
        <v>5</v>
      </c>
      <c r="D3" s="242">
        <f>VLOOKUP(O2,MappoolSettings,2,0)</f>
        <v>9</v>
      </c>
      <c r="E3" s="243">
        <f>IF(D6="Red",-1,COUNTIF(E14:E26,"Blue"))</f>
        <v>3</v>
      </c>
      <c r="F3" s="20"/>
      <c r="G3" s="26"/>
      <c r="H3" s="244" t="s">
        <v>456</v>
      </c>
      <c r="I3" s="35" t="s">
        <v>553</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25**
&lt;https://osu.ppy.sh/community/matches/110190477&gt;
:red_square: small wiener club | 5 : 3 | middle-schooler wife :blue_square:
small wiener club ban | NM2
middle-schooler wife ban | NM4
First pick | small wiener club
:red_squar"&amp;"e: | DT1: Yumeno Yuki - First Time [KoldNoodl's Hard]
:red_square: | DT2: YUC'e - Future Candy [Hard]
:blue_square: | HR1: PSYQUI feat. Such - Senchimentaruhatoboi [Insane]
:red_square: | HR2: Perfume - Laser Beam [Mixagji]
:blue_square: | DT3: tarolabo -"&amp;" eth ken [hard]
:blue_square: | FM2: Giga-P - Electric Angel [Sonnyc's Insane]
:red_square: | NM3: Tsukuyomi - Dareka no Shinzou ni Nareta nara [too's Insane]
:red_square: | NM1: Yorushika - Thoughtcrime [Akitoshi's Insane]")</f>
        <v>**Round of 16: Match 25**
&lt;https://osu.ppy.sh/community/matches/110190477&gt;
:red_square: small wiener club | 5 : 3 | middle-schooler wife :blue_square:
small wiener club ban | NM2
middle-schooler wife ban | NM4
First pick | small wiener club
:red_square: | DT1: Yumeno Yuki - First Time [KoldNoodl's Hard]
:red_square: | DT2: YUC'e - Future Candy [Hard]
:blue_square: | HR1: PSYQUI feat. Such - Senchimentaruhatoboi [Insane]
:red_square: | HR2: Perfume - Laser Beam [Mixagji]
:blue_square: | DT3: tarolabo - eth ken [hard]
:blue_square: | FM2: Giga-P - Electric Angel [Sonnyc's Insane]
:red_square: | NM3: Tsukuyomi - Dareka no Shinzou ni Nareta nara [too's Insane]
:red_square: | NM1: Yorushika - Thoughtcrime [Akitoshi's Insane]</v>
      </c>
      <c r="E4" s="248"/>
      <c r="F4" s="20"/>
      <c r="G4" s="26"/>
      <c r="H4" s="237" t="s">
        <v>452</v>
      </c>
      <c r="I4" s="249" t="str">
        <f>IFNA(VLOOKUP(I2,Schedules,6,0),"")</f>
        <v>reforna</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2827293 0</v>
      </c>
      <c r="E5" s="253" t="s">
        <v>74</v>
      </c>
      <c r="F5" s="20"/>
      <c r="G5" s="26"/>
      <c r="H5" s="237" t="s">
        <v>860</v>
      </c>
      <c r="I5" s="254">
        <f t="array" ref="I5">IFNA(SUM(VLOOKUP(I2,Schedules,{2,3},0)),"")</f>
        <v>45165.54167</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(small wiener club) vs (middle-schooler wife)</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small wiener club</v>
      </c>
      <c r="D9" s="263" t="s">
        <v>136</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middle-schooler wife</v>
      </c>
      <c r="D10" s="267" t="s">
        <v>142</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SiriusOnly</v>
      </c>
      <c r="J11" s="272" t="s">
        <v>895</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160</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891</v>
      </c>
      <c r="D15" s="263" t="s">
        <v>163</v>
      </c>
      <c r="E15" s="31" t="s">
        <v>893</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893</v>
      </c>
      <c r="D16" s="263" t="s">
        <v>154</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891</v>
      </c>
      <c r="D17" s="263" t="s">
        <v>157</v>
      </c>
      <c r="E17" s="31" t="s">
        <v>893</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893</v>
      </c>
      <c r="D18" s="263" t="s">
        <v>166</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891</v>
      </c>
      <c r="D19" s="263" t="s">
        <v>172</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t="s">
        <v>139</v>
      </c>
      <c r="E20" s="31" t="s">
        <v>893</v>
      </c>
      <c r="F20" s="20"/>
      <c r="G20" s="26"/>
      <c r="H20" s="287" t="s">
        <v>56</v>
      </c>
      <c r="I20" s="288" t="s">
        <v>57</v>
      </c>
      <c r="L20" s="20"/>
      <c r="M20" s="26"/>
      <c r="N20" s="49"/>
      <c r="O20" s="289"/>
      <c r="P20" s="289"/>
      <c r="Q20" s="19"/>
    </row>
    <row r="21" ht="18.75" customHeight="1">
      <c r="A21" s="19"/>
      <c r="B21" s="26"/>
      <c r="C21" s="36" t="s">
        <v>891</v>
      </c>
      <c r="D21" s="263" t="s">
        <v>132</v>
      </c>
      <c r="E21" s="31" t="s">
        <v>893</v>
      </c>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small wiener club</v>
      </c>
      <c r="I25" s="295" t="s">
        <v>766</v>
      </c>
      <c r="J25" s="294" t="s">
        <v>767</v>
      </c>
      <c r="K25" s="294" t="s">
        <v>768</v>
      </c>
      <c r="L25" s="38"/>
      <c r="M25" s="26"/>
      <c r="N25" s="49"/>
      <c r="O25" s="289"/>
      <c r="P25" s="289"/>
      <c r="Q25" s="19"/>
    </row>
    <row r="26" ht="18.75" customHeight="1">
      <c r="A26" s="19"/>
      <c r="B26" s="26"/>
      <c r="C26" s="36"/>
      <c r="D26" s="292"/>
      <c r="E26" s="36"/>
      <c r="F26" s="20"/>
      <c r="G26" s="26"/>
      <c r="H26" s="296" t="str">
        <f t="array" ref="H26:K26">IF(Format="Solo",E2,IFNA(VLOOKUP(E2,TeamList,SEQUENCE(1,4,1),0),""))</f>
        <v>middle-schooler wife</v>
      </c>
      <c r="I26" s="297" t="s">
        <v>693</v>
      </c>
      <c r="J26" s="296" t="s">
        <v>694</v>
      </c>
      <c r="K26" s="296" t="s">
        <v>695</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The 3-star Threats</v>
      </c>
      <c r="D2" s="235" t="s">
        <v>854</v>
      </c>
      <c r="E2" s="236" t="str">
        <f>IFNA(VLOOKUP(I2,Schedules,5,0),"")</f>
        <v>placeholder teamname</v>
      </c>
      <c r="F2" s="20"/>
      <c r="G2" s="21" t="s">
        <v>855</v>
      </c>
      <c r="H2" s="237" t="s">
        <v>856</v>
      </c>
      <c r="I2" s="238">
        <v>26.0</v>
      </c>
      <c r="K2" s="238"/>
      <c r="L2" s="20"/>
      <c r="M2" s="21" t="s">
        <v>857</v>
      </c>
      <c r="N2" s="239" t="s">
        <v>25</v>
      </c>
      <c r="O2" s="240" t="s">
        <v>33</v>
      </c>
      <c r="P2" s="4"/>
      <c r="Q2" s="19"/>
    </row>
    <row r="3" ht="18.75" customHeight="1">
      <c r="A3" s="19"/>
      <c r="B3" s="26"/>
      <c r="C3" s="241">
        <f>IF(D6="Blue",-1,COUNTIF(E14:E26,"Red"))</f>
        <v>1</v>
      </c>
      <c r="D3" s="242">
        <f>VLOOKUP(O2,MappoolSettings,2,0)</f>
        <v>9</v>
      </c>
      <c r="E3" s="243">
        <f>IF(D6="Red",-1,COUNTIF(E14:E26,"Blue"))</f>
        <v>5</v>
      </c>
      <c r="F3" s="20"/>
      <c r="G3" s="26"/>
      <c r="H3" s="244" t="s">
        <v>456</v>
      </c>
      <c r="I3" s="35" t="s">
        <v>545</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26**
&lt;https://osu.ppy.sh/community/matches/110176380&gt;
:red_square: The 3-star Threats | 1 : 5 | placeholder teamname :blue_square:
The 3-star Threats ban | HD2
placeholder teamname ban | NM5
First pick | The 3-star Threats
:red_sq"&amp;"uare: | FM1: OISHII - ONIGIRI FREEWAY [LUKAS' INSANE]
:blue_square: | NM4: sakuraburst - Glacierfall (Park Remix) [haruto x ancel's ins*ne]
:blue_square: | NM2: Fractal Dreamers - Gardens Under A Spring Sky [Hyper]
:blue_square: | DT1: Yumeno Yuki - First"&amp;" Time [KoldNoodl's Hard]
:blue_square: | FM2: Giga-P - Electric Angel [Sonnyc's Insane]
:blue_square: | HD1: Police Piccadilly feat. Hatsune Miku - Kire Carry On [negusver's Insane]")</f>
        <v>**Round of 16: Match 26**
&lt;https://osu.ppy.sh/community/matches/110176380&gt;
:red_square: The 3-star Threats | 1 : 5 | placeholder teamname :blue_square:
The 3-star Threats ban | HD2
placeholder teamname ban | NM5
First pick | The 3-star Threats
:red_square: | FM1: OISHII - ONIGIRI FREEWAY [LUKAS' INSANE]
:blue_square: | NM4: sakuraburst - Glacierfall (Park Remix) [haruto x ancel's ins*ne]
:blue_square: | NM2: Fractal Dreamers - Gardens Under A Spring Sky [Hyper]
:blue_square: | DT1: Yumeno Yuki - First Time [KoldNoodl's Hard]
:blue_square: | FM2: Giga-P - Electric Angel [Sonnyc's Insane]
:blue_square: | HD1: Police Piccadilly feat. Hatsune Miku - Kire Carry On [negusver's Insane]</v>
      </c>
      <c r="E4" s="248"/>
      <c r="F4" s="20"/>
      <c r="G4" s="26"/>
      <c r="H4" s="237" t="s">
        <v>452</v>
      </c>
      <c r="I4" s="249" t="str">
        <f>IFNA(VLOOKUP(I2,Schedules,6,0),"")</f>
        <v>reforna</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1733441 0</v>
      </c>
      <c r="E5" s="253" t="s">
        <v>91</v>
      </c>
      <c r="F5" s="20"/>
      <c r="G5" s="26"/>
      <c r="H5" s="237" t="s">
        <v>860</v>
      </c>
      <c r="I5" s="254">
        <f t="array" ref="I5">IFNA(SUM(VLOOKUP(I2,Schedules,{2,3},0)),"")</f>
        <v>45164.66667</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(The 3-star Threats) vs (placeholder teamname)</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The 3-star Threats</v>
      </c>
      <c r="D9" s="263" t="s">
        <v>151</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placeholder teamname</v>
      </c>
      <c r="D10" s="267" t="s">
        <v>145</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bonnflow</v>
      </c>
      <c r="J11" s="272" t="s">
        <v>917</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169</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891</v>
      </c>
      <c r="D15" s="263" t="s">
        <v>142</v>
      </c>
      <c r="E15" s="31" t="s">
        <v>891</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893</v>
      </c>
      <c r="D16" s="263" t="s">
        <v>136</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891</v>
      </c>
      <c r="D17" s="263" t="s">
        <v>160</v>
      </c>
      <c r="E17" s="31" t="s">
        <v>891</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893</v>
      </c>
      <c r="D18" s="263" t="s">
        <v>172</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891</v>
      </c>
      <c r="D19" s="263" t="s">
        <v>148</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The 3-star Threats</v>
      </c>
      <c r="I25" s="295" t="s">
        <v>799</v>
      </c>
      <c r="J25" s="294" t="s">
        <v>800</v>
      </c>
      <c r="K25" s="294" t="s">
        <v>801</v>
      </c>
      <c r="L25" s="38"/>
      <c r="M25" s="26"/>
      <c r="N25" s="49"/>
      <c r="O25" s="289"/>
      <c r="P25" s="289"/>
      <c r="Q25" s="19"/>
    </row>
    <row r="26" ht="18.75" customHeight="1">
      <c r="A26" s="19"/>
      <c r="B26" s="26"/>
      <c r="C26" s="36"/>
      <c r="D26" s="292"/>
      <c r="E26" s="36"/>
      <c r="F26" s="20"/>
      <c r="G26" s="26"/>
      <c r="H26" s="296" t="str">
        <f t="array" ref="H26:K26">IF(Format="Solo",E2,IFNA(VLOOKUP(E2,TeamList,SEQUENCE(1,4,1),0),""))</f>
        <v>placeholder teamname</v>
      </c>
      <c r="I26" s="297" t="s">
        <v>788</v>
      </c>
      <c r="J26" s="296" t="s">
        <v>789</v>
      </c>
      <c r="K26" s="296" t="s">
        <v>790</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Homossexual Students</v>
      </c>
      <c r="D2" s="235" t="s">
        <v>854</v>
      </c>
      <c r="E2" s="236" t="str">
        <f>IFNA(VLOOKUP(I2,Schedules,5,0),"")</f>
        <v>cake</v>
      </c>
      <c r="F2" s="20"/>
      <c r="G2" s="21" t="s">
        <v>855</v>
      </c>
      <c r="H2" s="237" t="s">
        <v>856</v>
      </c>
      <c r="I2" s="238">
        <v>27.0</v>
      </c>
      <c r="K2" s="238"/>
      <c r="L2" s="20"/>
      <c r="M2" s="21" t="s">
        <v>857</v>
      </c>
      <c r="N2" s="239" t="s">
        <v>25</v>
      </c>
      <c r="O2" s="240" t="s">
        <v>33</v>
      </c>
      <c r="P2" s="4"/>
      <c r="Q2" s="19"/>
    </row>
    <row r="3" ht="18.75" customHeight="1">
      <c r="A3" s="19"/>
      <c r="B3" s="26"/>
      <c r="C3" s="241">
        <f>IF(D6="Blue",-1,COUNTIF(E14:E26,"Red"))</f>
        <v>5</v>
      </c>
      <c r="D3" s="242">
        <f>VLOOKUP(O2,MappoolSettings,2,0)</f>
        <v>9</v>
      </c>
      <c r="E3" s="243">
        <f>IF(D6="Red",-1,COUNTIF(E14:E26,"Blue"))</f>
        <v>4</v>
      </c>
      <c r="F3" s="20"/>
      <c r="G3" s="26"/>
      <c r="H3" s="244" t="s">
        <v>456</v>
      </c>
      <c r="I3" s="35" t="s">
        <v>549</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27**
&lt;https://osu.ppy.sh/community/matches/110179406&gt;
:red_square: Homossexual Students | 5 : 4 | cake :blue_square:
Homossexual Students ban | DT2
cake ban | HD2
First pick | cake
:red_square: | NM4: sakuraburst - Glacierfall (Pa"&amp;"rk Remix) [haruto x ancel's ins*ne]
:blue_square: | DT3: tarolabo - eth ken [hard]
:blue_square: | HR2: Perfume - Laser Beam [Mixagji]
:red_square: | HD1: Police Piccadilly feat. Hatsune Miku - Kire Carry On [negusver's Insane]
:blue_square: | DT1: Yumeno"&amp;" Yuki - First Time [KoldNoodl's Hard]
:red_square: | NM3: Tsukuyomi - Dareka no Shinzou ni Nareta nara [too's Insane]
:blue_square: | FM1: OISHII - ONIGIRI FREEWAY [LUKAS' INSANE]
:red_square: | NM2: Fractal Dreamers - Gardens Under A Spring Sky [Hyper]
:"&amp;"red_square: | TB1: Au5 - Moonland [Collab Another]")</f>
        <v>**Round of 16: Match 27**
&lt;https://osu.ppy.sh/community/matches/110179406&gt;
:red_square: Homossexual Students | 5 : 4 | cake :blue_square:
Homossexual Students ban | DT2
cake ban | HD2
First pick | cake
:red_square: | NM4: sakuraburst - Glacierfall (Park Remix) [haruto x ancel's ins*ne]
:blue_square: | DT3: tarolabo - eth ken [hard]
:blue_square: | HR2: Perfume - Laser Beam [Mixagji]
:red_square: | HD1: Police Piccadilly feat. Hatsune Miku - Kire Carry On [negusver's Insane]
:blue_square: | DT1: Yumeno Yuki - First Time [KoldNoodl's Hard]
:red_square: | NM3: Tsukuyomi - Dareka no Shinzou ni Nareta nara [too's Insane]
:blue_square: | FM1: OISHII - ONIGIRI FREEWAY [LUKAS' INSANE]
:red_square: | NM2: Fractal Dreamers - Gardens Under A Spring Sky [Hyper]
:red_square: | TB1: Au5 - Moonland [Collab Another]</v>
      </c>
      <c r="E4" s="248"/>
      <c r="F4" s="20"/>
      <c r="G4" s="26"/>
      <c r="H4" s="237" t="s">
        <v>452</v>
      </c>
      <c r="I4" s="249" t="str">
        <f>IFNA(VLOOKUP(I2,Schedules,6,0),"")</f>
        <v>play hd3</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1857415 0</v>
      </c>
      <c r="E5" s="253" t="s">
        <v>122</v>
      </c>
      <c r="F5" s="20"/>
      <c r="G5" s="26"/>
      <c r="H5" s="237" t="s">
        <v>860</v>
      </c>
      <c r="I5" s="254">
        <f t="array" ref="I5">IFNA(SUM(VLOOKUP(I2,Schedules,{2,3},0)),"")</f>
        <v>45164.79167</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(Homossexual Students) vs (cake)</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Homossexual Students</v>
      </c>
      <c r="D9" s="263" t="s">
        <v>163</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cake</v>
      </c>
      <c r="D10" s="267" t="s">
        <v>151</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DUM4L77</v>
      </c>
      <c r="J11" s="272" t="s">
        <v>918</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142</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893</v>
      </c>
      <c r="D15" s="263" t="s">
        <v>166</v>
      </c>
      <c r="E15" s="31" t="s">
        <v>891</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891</v>
      </c>
      <c r="D16" s="263" t="s">
        <v>157</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893</v>
      </c>
      <c r="D17" s="263" t="s">
        <v>148</v>
      </c>
      <c r="E17" s="31" t="s">
        <v>893</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891</v>
      </c>
      <c r="D18" s="263" t="s">
        <v>160</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893</v>
      </c>
      <c r="D19" s="263" t="s">
        <v>139</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t="s">
        <v>169</v>
      </c>
      <c r="E20" s="31" t="s">
        <v>891</v>
      </c>
      <c r="F20" s="20"/>
      <c r="G20" s="26"/>
      <c r="H20" s="287" t="s">
        <v>56</v>
      </c>
      <c r="I20" s="288" t="s">
        <v>57</v>
      </c>
      <c r="L20" s="20"/>
      <c r="M20" s="26"/>
      <c r="N20" s="49"/>
      <c r="O20" s="289"/>
      <c r="P20" s="289"/>
      <c r="Q20" s="19"/>
    </row>
    <row r="21" ht="18.75" customHeight="1">
      <c r="A21" s="19"/>
      <c r="B21" s="26"/>
      <c r="C21" s="36" t="s">
        <v>893</v>
      </c>
      <c r="D21" s="263" t="s">
        <v>136</v>
      </c>
      <c r="E21" s="31" t="s">
        <v>893</v>
      </c>
      <c r="F21" s="20"/>
      <c r="G21" s="26"/>
      <c r="H21" s="287" t="s">
        <v>58</v>
      </c>
      <c r="I21" s="290" t="s">
        <v>886</v>
      </c>
      <c r="L21" s="20"/>
      <c r="M21" s="26"/>
      <c r="N21" s="49"/>
      <c r="O21" s="289"/>
      <c r="P21" s="289"/>
      <c r="Q21" s="19"/>
    </row>
    <row r="22" ht="18.75" customHeight="1">
      <c r="A22" s="19"/>
      <c r="B22" s="26"/>
      <c r="C22" s="36" t="s">
        <v>894</v>
      </c>
      <c r="D22" s="263" t="s">
        <v>175</v>
      </c>
      <c r="E22" s="31" t="s">
        <v>893</v>
      </c>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Homossexual Students</v>
      </c>
      <c r="I25" s="295" t="s">
        <v>713</v>
      </c>
      <c r="J25" s="294" t="s">
        <v>714</v>
      </c>
      <c r="K25" s="294" t="s">
        <v>715</v>
      </c>
      <c r="L25" s="38"/>
      <c r="M25" s="26"/>
      <c r="N25" s="49"/>
      <c r="O25" s="289"/>
      <c r="P25" s="289"/>
      <c r="Q25" s="19"/>
    </row>
    <row r="26" ht="18.75" customHeight="1">
      <c r="A26" s="19"/>
      <c r="B26" s="26"/>
      <c r="C26" s="36"/>
      <c r="D26" s="292"/>
      <c r="E26" s="36"/>
      <c r="F26" s="20"/>
      <c r="G26" s="26"/>
      <c r="H26" s="296" t="str">
        <f t="array" ref="H26:K26">IF(Format="Solo",E2,IFNA(VLOOKUP(E2,TeamList,SEQUENCE(1,4,1),0),""))</f>
        <v>cake</v>
      </c>
      <c r="I26" s="297" t="s">
        <v>758</v>
      </c>
      <c r="J26" s="296" t="s">
        <v>759</v>
      </c>
      <c r="K26" s="296"/>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female ass wrestling</v>
      </c>
      <c r="D2" s="235" t="s">
        <v>854</v>
      </c>
      <c r="E2" s="236" t="str">
        <f>IFNA(VLOOKUP(I2,Schedules,5,0),"")</f>
        <v>VN+1</v>
      </c>
      <c r="F2" s="20"/>
      <c r="G2" s="21" t="s">
        <v>855</v>
      </c>
      <c r="H2" s="237" t="s">
        <v>856</v>
      </c>
      <c r="I2" s="238">
        <v>28.0</v>
      </c>
      <c r="K2" s="238"/>
      <c r="L2" s="20"/>
      <c r="M2" s="21" t="s">
        <v>857</v>
      </c>
      <c r="N2" s="239" t="s">
        <v>25</v>
      </c>
      <c r="O2" s="240" t="s">
        <v>33</v>
      </c>
      <c r="P2" s="4"/>
      <c r="Q2" s="19"/>
    </row>
    <row r="3" ht="18.75" customHeight="1">
      <c r="A3" s="19"/>
      <c r="B3" s="26"/>
      <c r="C3" s="241">
        <f>IF(D6="Blue",-1,COUNTIF(E14:E26,"Red"))</f>
        <v>5</v>
      </c>
      <c r="D3" s="242">
        <f>VLOOKUP(O2,MappoolSettings,2,0)</f>
        <v>9</v>
      </c>
      <c r="E3" s="243">
        <f>IF(D6="Red",-1,COUNTIF(E14:E26,"Blue"))</f>
        <v>1</v>
      </c>
      <c r="F3" s="20"/>
      <c r="G3" s="26"/>
      <c r="H3" s="244" t="s">
        <v>456</v>
      </c>
      <c r="I3" s="35" t="s">
        <v>555</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28**
&lt;https://osu.ppy.sh/community/matches/110191205&gt;
:red_square: female ass wrestling | 5 : 1 | VN+1 :blue_square:
female ass wrestling ban | HR2
VN+1 ban | HD2
First pick | VN+1
:red_square: | DT1: Yumeno Yuki - First Time [Kol"&amp;"dNoodl's Hard]
:red_square: | NM2: Fractal Dreamers - Gardens Under A Spring Sky [Hyper]
:red_square: | NM4: sakuraburst - Glacierfall (Park Remix) [haruto x ancel's ins*ne]
:red_square: | NM1: Yorushika - Thoughtcrime [Akitoshi's Insane]
:blue_square: | "&amp;"HR1: PSYQUI feat. Such - Senchimentaruhatoboi [Insane]
:red_square: | NM3: Tsukuyomi - Dareka no Shinzou ni Nareta nara [too's Insane]")</f>
        <v>**Round of 16: Match 28**
&lt;https://osu.ppy.sh/community/matches/110191205&gt;
:red_square: female ass wrestling | 5 : 1 | VN+1 :blue_square:
female ass wrestling ban | HR2
VN+1 ban | HD2
First pick | VN+1
:red_square: | DT1: Yumeno Yuki - First Time [KoldNoodl's Hard]
:red_square: | NM2: Fractal Dreamers - Gardens Under A Spring Sky [Hyper]
:red_square: | NM4: sakuraburst - Glacierfall (Park Remix) [haruto x ancel's ins*ne]
:red_square: | NM1: Yorushika - Thoughtcrime [Akitoshi's Insane]
:blue_square: | HR1: PSYQUI feat. Such - Senchimentaruhatoboi [Insane]
:red_square: | NM3: Tsukuyomi - Dareka no Shinzou ni Nareta nara [too's Insane]</v>
      </c>
      <c r="E4" s="248"/>
      <c r="F4" s="20"/>
      <c r="G4" s="26"/>
      <c r="H4" s="237" t="s">
        <v>452</v>
      </c>
      <c r="I4" s="249" t="str">
        <f>IFNA(VLOOKUP(I2,Schedules,6,0),"")</f>
        <v>RudderFish07</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3239199 0</v>
      </c>
      <c r="E5" s="253" t="s">
        <v>74</v>
      </c>
      <c r="F5" s="20"/>
      <c r="G5" s="26"/>
      <c r="H5" s="237" t="s">
        <v>860</v>
      </c>
      <c r="I5" s="254">
        <f t="array" ref="I5">IFNA(SUM(VLOOKUP(I2,Schedules,{2,3},0)),"")</f>
        <v>45165.58333</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(female ass wrestling) vs (VN+1)</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female ass wrestling</v>
      </c>
      <c r="D9" s="263" t="s">
        <v>157</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VN+1</v>
      </c>
      <c r="D10" s="267" t="s">
        <v>151</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aespect</v>
      </c>
      <c r="J11" s="272" t="s">
        <v>904</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160</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893</v>
      </c>
      <c r="D15" s="263" t="s">
        <v>136</v>
      </c>
      <c r="E15" s="31" t="s">
        <v>893</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891</v>
      </c>
      <c r="D16" s="263" t="s">
        <v>142</v>
      </c>
      <c r="E16" s="31" t="s">
        <v>893</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893</v>
      </c>
      <c r="D17" s="263" t="s">
        <v>132</v>
      </c>
      <c r="E17" s="31" t="s">
        <v>893</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891</v>
      </c>
      <c r="D18" s="263" t="s">
        <v>154</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893</v>
      </c>
      <c r="D19" s="263" t="s">
        <v>139</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c r="E20" s="31"/>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female ass wrestling</v>
      </c>
      <c r="I25" s="295" t="s">
        <v>746</v>
      </c>
      <c r="J25" s="294" t="s">
        <v>747</v>
      </c>
      <c r="K25" s="294" t="s">
        <v>748</v>
      </c>
      <c r="L25" s="38"/>
      <c r="M25" s="26"/>
      <c r="N25" s="49"/>
      <c r="O25" s="289"/>
      <c r="P25" s="289"/>
      <c r="Q25" s="19"/>
    </row>
    <row r="26" ht="18.75" customHeight="1">
      <c r="A26" s="19"/>
      <c r="B26" s="26"/>
      <c r="C26" s="36"/>
      <c r="D26" s="292"/>
      <c r="E26" s="36"/>
      <c r="F26" s="20"/>
      <c r="G26" s="26"/>
      <c r="H26" s="296" t="str">
        <f t="array" ref="H26:K26">IF(Format="Solo",E2,IFNA(VLOOKUP(E2,TeamList,SEQUENCE(1,4,1),0),""))</f>
        <v>VN+1</v>
      </c>
      <c r="I26" s="297" t="s">
        <v>731</v>
      </c>
      <c r="J26" s="296" t="s">
        <v>732</v>
      </c>
      <c r="K26" s="296" t="s">
        <v>733</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:MIPINGA:</v>
      </c>
      <c r="D2" s="235" t="s">
        <v>854</v>
      </c>
      <c r="E2" s="236" t="str">
        <f>IFNA(VLOOKUP(I2,Schedules,5,0),"")</f>
        <v>Chocomaid</v>
      </c>
      <c r="F2" s="20"/>
      <c r="G2" s="21" t="s">
        <v>855</v>
      </c>
      <c r="H2" s="237" t="s">
        <v>856</v>
      </c>
      <c r="I2" s="238">
        <v>29.0</v>
      </c>
      <c r="K2" s="238"/>
      <c r="L2" s="20"/>
      <c r="M2" s="21" t="s">
        <v>857</v>
      </c>
      <c r="N2" s="239" t="s">
        <v>25</v>
      </c>
      <c r="O2" s="240" t="s">
        <v>33</v>
      </c>
      <c r="P2" s="4"/>
      <c r="Q2" s="19"/>
    </row>
    <row r="3" ht="18.75" customHeight="1">
      <c r="A3" s="19"/>
      <c r="B3" s="26"/>
      <c r="C3" s="241">
        <f>IF(D6="Blue",-1,COUNTIF(E14:E26,"Red"))</f>
        <v>5</v>
      </c>
      <c r="D3" s="242">
        <f>VLOOKUP(O2,MappoolSettings,2,0)</f>
        <v>9</v>
      </c>
      <c r="E3" s="243">
        <f>IF(D6="Red",-1,COUNTIF(E14:E26,"Blue"))</f>
        <v>1</v>
      </c>
      <c r="F3" s="20"/>
      <c r="G3" s="26"/>
      <c r="H3" s="244" t="s">
        <v>456</v>
      </c>
      <c r="I3" s="35" t="s">
        <v>550</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29**
&lt;https://osu.ppy.sh/community/matches/110184531&gt;
:red_square: \:MIPINGA: | 5 : 1 | Chocomaid :blue_square:
:MIPINGA: ban | HR1
Chocomaid ban | HD2
First pick | :MIPINGA:
:red_square: | NM3: Tsukuyomi - Dareka no Shinzou ni Na"&amp;"reta nara [too's Insane]
:red_square: | NM5: sekai - Zange Mairi [Voice's Insane]
:red_square: | DT2: YUC'e - Future Candy [Hard]
:red_square: | HR2: Perfume - Laser Beam [Mixagji]
:blue_square: | NM2: Fractal Dreamers - Gardens Under A Spring Sky [Hyper]"&amp;"
:red_square: | FM2: Giga-P - Electric Angel [Sonnyc's Insane]")</f>
        <v>**Round of 16: Match 29**
&lt;https://osu.ppy.sh/community/matches/110184531&gt;
:red_square: \:MIPINGA: | 5 : 1 | Chocomaid :blue_square:
:MIPINGA: ban | HR1
Chocomaid ban | HD2
First pick | :MIPINGA:
:red_square: | NM3: Tsukuyomi - Dareka no Shinzou ni Nareta nara [too's Insane]
:red_square: | NM5: sekai - Zange Mairi [Voice's Insane]
:red_square: | DT2: YUC'e - Future Candy [Hard]
:red_square: | HR2: Perfume - Laser Beam [Mixagji]
:blue_square: | NM2: Fractal Dreamers - Gardens Under A Spring Sky [Hyper]
:red_square: | FM2: Giga-P - Electric Angel [Sonnyc's Insane]</v>
      </c>
      <c r="E4" s="248"/>
      <c r="F4" s="20"/>
      <c r="G4" s="26"/>
      <c r="H4" s="237" t="s">
        <v>452</v>
      </c>
      <c r="I4" s="249" t="str">
        <f>IFNA(VLOOKUP(I2,Schedules,6,0),"")</f>
        <v>play hd3</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417898 0</v>
      </c>
      <c r="E5" s="253" t="s">
        <v>122</v>
      </c>
      <c r="F5" s="20"/>
      <c r="G5" s="26"/>
      <c r="H5" s="237" t="s">
        <v>860</v>
      </c>
      <c r="I5" s="254">
        <f t="array" ref="I5">IFNA(SUM(VLOOKUP(I2,Schedules,{2,3},0)),"")</f>
        <v>45165.10417</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(:MIPINGA:) vs (Chocomaid)</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:MIPINGA:</v>
      </c>
      <c r="D9" s="263" t="s">
        <v>154</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Chocomaid</v>
      </c>
      <c r="D10" s="267" t="s">
        <v>151</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RAAPslimshady</v>
      </c>
      <c r="J11" s="272" t="s">
        <v>892</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139</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891</v>
      </c>
      <c r="D15" s="263" t="s">
        <v>145</v>
      </c>
      <c r="E15" s="31" t="s">
        <v>893</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893</v>
      </c>
      <c r="D16" s="263" t="s">
        <v>163</v>
      </c>
      <c r="E16" s="31" t="s">
        <v>893</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891</v>
      </c>
      <c r="D17" s="263" t="s">
        <v>157</v>
      </c>
      <c r="E17" s="31" t="s">
        <v>893</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893</v>
      </c>
      <c r="D18" s="263" t="s">
        <v>136</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891</v>
      </c>
      <c r="D19" s="263" t="s">
        <v>172</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:MIPINGA:</v>
      </c>
      <c r="I25" s="295" t="s">
        <v>791</v>
      </c>
      <c r="J25" s="294" t="s">
        <v>792</v>
      </c>
      <c r="K25" s="294" t="s">
        <v>793</v>
      </c>
      <c r="L25" s="38"/>
      <c r="M25" s="26"/>
      <c r="N25" s="49"/>
      <c r="O25" s="289"/>
      <c r="P25" s="289"/>
      <c r="Q25" s="19"/>
    </row>
    <row r="26" ht="18.75" customHeight="1">
      <c r="A26" s="19"/>
      <c r="B26" s="26"/>
      <c r="C26" s="36"/>
      <c r="D26" s="292"/>
      <c r="E26" s="36"/>
      <c r="F26" s="20"/>
      <c r="G26" s="26"/>
      <c r="H26" s="296" t="str">
        <f t="array" ref="H26:K26">IF(Format="Solo",E2,IFNA(VLOOKUP(E2,TeamList,SEQUENCE(1,4,1),0),""))</f>
        <v>Chocomaid</v>
      </c>
      <c r="I26" s="297" t="s">
        <v>716</v>
      </c>
      <c r="J26" s="296" t="s">
        <v>717</v>
      </c>
      <c r="K26" s="296" t="s">
        <v>718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Team name pending xd</v>
      </c>
      <c r="D2" s="235" t="s">
        <v>854</v>
      </c>
      <c r="E2" s="236" t="str">
        <f>IFNA(VLOOKUP(I2,Schedules,5,0),"")</f>
        <v>Ghost the Angel</v>
      </c>
      <c r="F2" s="20"/>
      <c r="G2" s="21" t="s">
        <v>855</v>
      </c>
      <c r="H2" s="237" t="s">
        <v>856</v>
      </c>
      <c r="I2" s="238">
        <v>30.0</v>
      </c>
      <c r="K2" s="238"/>
      <c r="L2" s="20"/>
      <c r="M2" s="21" t="s">
        <v>857</v>
      </c>
      <c r="N2" s="239" t="s">
        <v>25</v>
      </c>
      <c r="O2" s="240" t="s">
        <v>33</v>
      </c>
      <c r="P2" s="4"/>
      <c r="Q2" s="19"/>
    </row>
    <row r="3" ht="18.75" customHeight="1">
      <c r="A3" s="19"/>
      <c r="B3" s="26"/>
      <c r="C3" s="241">
        <f>IF(D6="Blue",-1,COUNTIF(E14:E26,"Red"))</f>
        <v>2</v>
      </c>
      <c r="D3" s="242">
        <f>VLOOKUP(O2,MappoolSettings,2,0)</f>
        <v>9</v>
      </c>
      <c r="E3" s="243">
        <f>IF(D6="Red",-1,COUNTIF(E14:E26,"Blue"))</f>
        <v>5</v>
      </c>
      <c r="F3" s="20"/>
      <c r="G3" s="26"/>
      <c r="H3" s="244" t="s">
        <v>456</v>
      </c>
      <c r="I3" s="300" t="s">
        <v>540</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30**
&lt;https://osu.ppy.sh/community/matches/110157424&gt;
:red_square: Team name pending xd | 2 : 5 | Ghost the Angel :blue_square:
Team name pending xd ban | HR2
Ghost the Angel ban | HD2
First pick | Ghost the Angel
:blue_square: | "&amp;"HR1: PSYQUI feat. Such - Senchimentaruhatoboi [Insane]
:red_square: | NM5: sekai - Zange Mairi [Voice's Insane]
:blue_square: | FM2: Giga-P - Electric Angel [Sonnyc's Insane]
:blue_square: | HD1: Police Piccadilly feat. Hatsune Miku - Kire Carry On [negus"&amp;"ver's Insane]
:red_square: | NM3: Tsukuyomi - Dareka no Shinzou ni Nareta nara [too's Insane]
:blue_square: | NM1: Yorushika - Thoughtcrime [Akitoshi's Insane]
:blue_square: | DT2: YUC'e - Future Candy [Hard]")</f>
        <v>**Round of 16: Match 30**
&lt;https://osu.ppy.sh/community/matches/110157424&gt;
:red_square: Team name pending xd | 2 : 5 | Ghost the Angel :blue_square:
Team name pending xd ban | HR2
Ghost the Angel ban | HD2
First pick | Ghost the Angel
:blue_square: | HR1: PSYQUI feat. Such - Senchimentaruhatoboi [Insane]
:red_square: | NM5: sekai - Zange Mairi [Voice's Insane]
:blue_square: | FM2: Giga-P - Electric Angel [Sonnyc's Insane]
:blue_square: | HD1: Police Piccadilly feat. Hatsune Miku - Kire Carry On [negusver's Insane]
:red_square: | NM3: Tsukuyomi - Dareka no Shinzou ni Nareta nara [too's Insane]
:blue_square: | NM1: Yorushika - Thoughtcrime [Akitoshi's Insane]
:blue_square: | DT2: YUC'e - Future Candy [Hard]</v>
      </c>
      <c r="E4" s="248"/>
      <c r="F4" s="20"/>
      <c r="G4" s="26"/>
      <c r="H4" s="237" t="s">
        <v>452</v>
      </c>
      <c r="I4" s="249" t="str">
        <f>IFNA(VLOOKUP(I2,Schedules,6,0),"")</f>
        <v>Lunexia</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1521209 0</v>
      </c>
      <c r="E5" s="253" t="s">
        <v>109</v>
      </c>
      <c r="F5" s="20"/>
      <c r="G5" s="26"/>
      <c r="H5" s="237" t="s">
        <v>860</v>
      </c>
      <c r="I5" s="254">
        <f t="array" ref="I5">IFNA(SUM(VLOOKUP(I2,Schedules,{2,3},0)),"")</f>
        <v>45163.54167</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(Team name pending xd) vs (Ghost the Angel)</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Team name pending xd</v>
      </c>
      <c r="D9" s="263" t="s">
        <v>157</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Ghost the Angel</v>
      </c>
      <c r="D10" s="267" t="s">
        <v>151</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BlooMertz</v>
      </c>
      <c r="J11" s="272" t="s">
        <v>919</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154</v>
      </c>
      <c r="E14" s="31" t="s">
        <v>891</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893</v>
      </c>
      <c r="D15" s="263" t="s">
        <v>145</v>
      </c>
      <c r="E15" s="31" t="s">
        <v>893</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891</v>
      </c>
      <c r="D16" s="263" t="s">
        <v>172</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893</v>
      </c>
      <c r="D17" s="263" t="s">
        <v>148</v>
      </c>
      <c r="E17" s="31" t="s">
        <v>891</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891</v>
      </c>
      <c r="D18" s="263" t="s">
        <v>139</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893</v>
      </c>
      <c r="D19" s="263" t="s">
        <v>132</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t="s">
        <v>163</v>
      </c>
      <c r="E20" s="31" t="s">
        <v>891</v>
      </c>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Team name pending xd</v>
      </c>
      <c r="I25" s="295" t="s">
        <v>510</v>
      </c>
      <c r="J25" s="294" t="s">
        <v>691</v>
      </c>
      <c r="K25" s="294" t="s">
        <v>692</v>
      </c>
      <c r="L25" s="38"/>
      <c r="M25" s="26"/>
      <c r="N25" s="49"/>
      <c r="O25" s="289"/>
      <c r="P25" s="289"/>
      <c r="Q25" s="19"/>
    </row>
    <row r="26" ht="18.75" customHeight="1">
      <c r="A26" s="19"/>
      <c r="B26" s="26"/>
      <c r="C26" s="36"/>
      <c r="D26" s="292"/>
      <c r="E26" s="36"/>
      <c r="F26" s="20"/>
      <c r="G26" s="26"/>
      <c r="H26" s="296" t="str">
        <f t="array" ref="H26:K26">IF(Format="Solo",E2,IFNA(VLOOKUP(E2,TeamList,SEQUENCE(1,4,1),0),""))</f>
        <v>Ghost the Angel</v>
      </c>
      <c r="I26" s="297" t="s">
        <v>596</v>
      </c>
      <c r="J26" s="296" t="s">
        <v>641</v>
      </c>
      <c r="K26" s="296" t="s">
        <v>642</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foxy1919191919's basement</v>
      </c>
      <c r="D2" s="235" t="s">
        <v>854</v>
      </c>
      <c r="E2" s="236" t="str">
        <f>IFNA(VLOOKUP(I2,Schedules,5,0),"")</f>
        <v>match in 15</v>
      </c>
      <c r="F2" s="20"/>
      <c r="G2" s="21" t="s">
        <v>855</v>
      </c>
      <c r="H2" s="237" t="s">
        <v>856</v>
      </c>
      <c r="I2" s="238">
        <v>31.0</v>
      </c>
      <c r="K2" s="238"/>
      <c r="L2" s="20"/>
      <c r="M2" s="21" t="s">
        <v>857</v>
      </c>
      <c r="N2" s="239" t="s">
        <v>25</v>
      </c>
      <c r="O2" s="240" t="s">
        <v>33</v>
      </c>
      <c r="P2" s="4"/>
      <c r="Q2" s="19"/>
    </row>
    <row r="3" ht="18.75" customHeight="1">
      <c r="A3" s="19"/>
      <c r="B3" s="26"/>
      <c r="C3" s="241">
        <f>IF(D6="Blue",-1,COUNTIF(E14:E26,"Red"))</f>
        <v>2</v>
      </c>
      <c r="D3" s="242">
        <f>VLOOKUP(O2,MappoolSettings,2,0)</f>
        <v>9</v>
      </c>
      <c r="E3" s="243">
        <f>IF(D6="Red",-1,COUNTIF(E14:E26,"Blue"))</f>
        <v>5</v>
      </c>
      <c r="F3" s="20"/>
      <c r="G3" s="26"/>
      <c r="H3" s="244" t="s">
        <v>456</v>
      </c>
      <c r="I3" s="35" t="s">
        <v>538</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31**
&lt;https://osu.ppy.sh/community/matches/110156344&gt;
:red_square: foxy1919191919's basement | 2 : 5 | match in 15 :blue_square:
foxy1919191919's basement ban | DT2
match in 15 ban | HD1
First pick | match in 15
:red_square: | NM4"&amp;": sakuraburst - Glacierfall (Park Remix) [haruto x ancel's ins*ne]
:red_square: | HD2: Siren - Polaris [8 is not a low ar guys]
:blue_square: | DT1: Yumeno Yuki - First Time [KoldNoodl's Hard]
:blue_square: | NM5: sekai - Zange Mairi [Voice's Insane]
:blu"&amp;"e_square: | NM3: Tsukuyomi - Dareka no Shinzou ni Nareta nara [too's Insane]
:blue_square: | DT3: tarolabo - eth ken [hard]
:blue_square: | FM1: OISHII - ONIGIRI FREEWAY [LUKAS' INSANE]")</f>
        <v>**Round of 16: Match 31**
&lt;https://osu.ppy.sh/community/matches/110156344&gt;
:red_square: foxy1919191919's basement | 2 : 5 | match in 15 :blue_square:
foxy1919191919's basement ban | DT2
match in 15 ban | HD1
First pick | match in 15
:red_square: | NM4: sakuraburst - Glacierfall (Park Remix) [haruto x ancel's ins*ne]
:red_square: | HD2: Siren - Polaris [8 is not a low ar guys]
:blue_square: | DT1: Yumeno Yuki - First Time [KoldNoodl's Hard]
:blue_square: | NM5: sekai - Zange Mairi [Voice's Insane]
:blue_square: | NM3: Tsukuyomi - Dareka no Shinzou ni Nareta nara [too's Insane]
:blue_square: | DT3: tarolabo - eth ken [hard]
:blue_square: | FM1: OISHII - ONIGIRI FREEWAY [LUKAS' INSANE]</v>
      </c>
      <c r="E4" s="248"/>
      <c r="F4" s="20"/>
      <c r="G4" s="26"/>
      <c r="H4" s="237" t="s">
        <v>452</v>
      </c>
      <c r="I4" s="249" t="str">
        <f>IFNA(VLOOKUP(I2,Schedules,6,0),"")</f>
        <v>Azasapag</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2151207 0</v>
      </c>
      <c r="E5" s="253" t="s">
        <v>122</v>
      </c>
      <c r="F5" s="20"/>
      <c r="G5" s="26"/>
      <c r="H5" s="237" t="s">
        <v>860</v>
      </c>
      <c r="I5" s="254">
        <f t="array" ref="I5">IFNA(SUM(VLOOKUP(I2,Schedules,{2,3},0)),"")</f>
        <v>45163.45833</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(foxy1919191919's basement) vs (match in 15)</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foxy1919191919's basement</v>
      </c>
      <c r="D9" s="263" t="s">
        <v>163</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match in 15</v>
      </c>
      <c r="D10" s="267" t="s">
        <v>148</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Faceie</v>
      </c>
      <c r="J11" s="272" t="s">
        <v>920</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Blue</v>
      </c>
      <c r="D14" s="263" t="s">
        <v>142</v>
      </c>
      <c r="E14" s="31" t="s">
        <v>893</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893</v>
      </c>
      <c r="D15" s="263" t="s">
        <v>151</v>
      </c>
      <c r="E15" s="31" t="s">
        <v>893</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891</v>
      </c>
      <c r="D16" s="263" t="s">
        <v>160</v>
      </c>
      <c r="E16" s="31" t="s">
        <v>891</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893</v>
      </c>
      <c r="D17" s="263" t="s">
        <v>145</v>
      </c>
      <c r="E17" s="31" t="s">
        <v>891</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891</v>
      </c>
      <c r="D18" s="263" t="s">
        <v>139</v>
      </c>
      <c r="E18" s="31" t="s">
        <v>891</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893</v>
      </c>
      <c r="D19" s="263" t="s">
        <v>166</v>
      </c>
      <c r="E19" s="31" t="s">
        <v>891</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891</v>
      </c>
      <c r="D20" s="263" t="s">
        <v>169</v>
      </c>
      <c r="E20" s="31" t="s">
        <v>891</v>
      </c>
      <c r="F20" s="20"/>
      <c r="G20" s="26"/>
      <c r="H20" s="287" t="s">
        <v>56</v>
      </c>
      <c r="I20" s="288" t="s">
        <v>57</v>
      </c>
      <c r="L20" s="20"/>
      <c r="M20" s="26"/>
      <c r="N20" s="49"/>
      <c r="O20" s="289"/>
      <c r="P20" s="289"/>
      <c r="Q20" s="19"/>
    </row>
    <row r="21" ht="18.75" customHeight="1">
      <c r="A21" s="19"/>
      <c r="B21" s="26"/>
      <c r="C21" s="36" t="s">
        <v>893</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foxy1919191919's basement</v>
      </c>
      <c r="I25" s="295" t="s">
        <v>643</v>
      </c>
      <c r="J25" s="294" t="s">
        <v>644</v>
      </c>
      <c r="K25" s="294" t="s">
        <v>645</v>
      </c>
      <c r="L25" s="38"/>
      <c r="M25" s="26"/>
      <c r="N25" s="49"/>
      <c r="O25" s="289"/>
      <c r="P25" s="289"/>
      <c r="Q25" s="19"/>
    </row>
    <row r="26" ht="18.75" customHeight="1">
      <c r="A26" s="19"/>
      <c r="B26" s="26"/>
      <c r="C26" s="36"/>
      <c r="D26" s="292"/>
      <c r="E26" s="36"/>
      <c r="F26" s="20"/>
      <c r="G26" s="26"/>
      <c r="H26" s="296" t="str">
        <f t="array" ref="H26:K26">IF(Format="Solo",E2,IFNA(VLOOKUP(E2,TeamList,SEQUENCE(1,4,1),0),""))</f>
        <v>match in 15</v>
      </c>
      <c r="I26" s="297" t="s">
        <v>737</v>
      </c>
      <c r="J26" s="296" t="s">
        <v>612</v>
      </c>
      <c r="K26" s="296" t="s">
        <v>738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Tom and Jerry</v>
      </c>
      <c r="D2" s="235" t="s">
        <v>854</v>
      </c>
      <c r="E2" s="236" t="str">
        <f>IFNA(VLOOKUP(I2,Schedules,5,0),"")</f>
        <v>Kittens</v>
      </c>
      <c r="F2" s="20"/>
      <c r="G2" s="21" t="s">
        <v>855</v>
      </c>
      <c r="H2" s="237" t="s">
        <v>856</v>
      </c>
      <c r="I2" s="238">
        <v>32.0</v>
      </c>
      <c r="K2" s="238"/>
      <c r="L2" s="20"/>
      <c r="M2" s="21" t="s">
        <v>857</v>
      </c>
      <c r="N2" s="239" t="s">
        <v>25</v>
      </c>
      <c r="O2" s="240" t="s">
        <v>33</v>
      </c>
      <c r="P2" s="4"/>
      <c r="Q2" s="19"/>
    </row>
    <row r="3" ht="18.75" customHeight="1">
      <c r="A3" s="19"/>
      <c r="B3" s="26"/>
      <c r="C3" s="241">
        <f>IF(D6="Blue",-1,COUNTIF(E14:E26,"Red"))</f>
        <v>5</v>
      </c>
      <c r="D3" s="242">
        <f>VLOOKUP(O2,MappoolSettings,2,0)</f>
        <v>9</v>
      </c>
      <c r="E3" s="243">
        <f>IF(D6="Red",-1,COUNTIF(E14:E26,"Blue"))</f>
        <v>3</v>
      </c>
      <c r="F3" s="20"/>
      <c r="G3" s="26"/>
      <c r="H3" s="244" t="s">
        <v>456</v>
      </c>
      <c r="I3" s="35" t="s">
        <v>543</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)"),"**Round of 16: Match 32**
&lt;https://osu.ppy.sh/community/matches/110174570&gt;
:red_square: Tom and Jerry | 5 : 3 | Kittens :blue_square:
Tom and Jerry ban | HR1
Kittens ban | HR2
First pick | Tom and Jerry
:blue_square: | DT1: Yumeno Yuki - First Time [K"&amp;"oldNoodl's Hard]
:blue_square: | HD1: Police Piccadilly feat. Hatsune Miku - Kire Carry On [negusver's Insane]
:red_square: | FM1: OISHII - ONIGIRI FREEWAY [LUKAS' INSANE]
:red_square: | NM4: sakuraburst - Glacierfall (Park Remix) [haruto x ancel's ins*ne"&amp;"]
:red_square: | NM5: sekai - Zange Mairi [Voice's Insane]
:red_square: | NM2: Fractal Dreamers - Gardens Under A Spring Sky [Hyper]
:blue_square: | DT3: tarolabo - eth ken [hard]
:red_square: | DT2: YUC'e - Future Candy [Hard]")</f>
        <v>**Round of 16: Match 32**
&lt;https://osu.ppy.sh/community/matches/110174570&gt;
:red_square: Tom and Jerry | 5 : 3 | Kittens :blue_square:
Tom and Jerry ban | HR1
Kittens ban | HR2
First pick | Tom and Jerry
:blue_square: | DT1: Yumeno Yuki - First Time [KoldNoodl's Hard]
:blue_square: | HD1: Police Piccadilly feat. Hatsune Miku - Kire Carry On [negusver's Insane]
:red_square: | FM1: OISHII - ONIGIRI FREEWAY [LUKAS' INSANE]
:red_square: | NM4: sakuraburst - Glacierfall (Park Remix) [haruto x ancel's ins*ne]
:red_square: | NM5: sekai - Zange Mairi [Voice's Insane]
:red_square: | NM2: Fractal Dreamers - Gardens Under A Spring Sky [Hyper]
:blue_square: | DT3: tarolabo - eth ken [hard]
:red_square: | DT2: YUC'e - Future Candy [Hard]</v>
      </c>
      <c r="E4" s="248"/>
      <c r="F4" s="20"/>
      <c r="G4" s="26"/>
      <c r="H4" s="237" t="s">
        <v>452</v>
      </c>
      <c r="I4" s="249" t="str">
        <f>IFNA(VLOOKUP(I2,Schedules,6,0),"")</f>
        <v>reforna</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!mp map 1521209 0</v>
      </c>
      <c r="E5" s="253" t="s">
        <v>109</v>
      </c>
      <c r="F5" s="20"/>
      <c r="G5" s="26"/>
      <c r="H5" s="237" t="s">
        <v>860</v>
      </c>
      <c r="I5" s="254">
        <f t="array" ref="I5">IFNA(SUM(VLOOKUP(I2,Schedules,{2,3},0)),"")</f>
        <v>45164.58333</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(Tom and Jerry) vs (Kittens)</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Tom and Jerry</v>
      </c>
      <c r="D9" s="263" t="s">
        <v>154</v>
      </c>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Kittens</v>
      </c>
      <c r="D10" s="267" t="s">
        <v>157</v>
      </c>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mblsh</v>
      </c>
      <c r="J11" s="272" t="s">
        <v>913</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t="s">
        <v>160</v>
      </c>
      <c r="E14" s="31" t="s">
        <v>891</v>
      </c>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891</v>
      </c>
      <c r="D15" s="263" t="s">
        <v>148</v>
      </c>
      <c r="E15" s="31" t="s">
        <v>891</v>
      </c>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893</v>
      </c>
      <c r="D16" s="263" t="s">
        <v>169</v>
      </c>
      <c r="E16" s="31" t="s">
        <v>893</v>
      </c>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891</v>
      </c>
      <c r="D17" s="263" t="s">
        <v>142</v>
      </c>
      <c r="E17" s="31" t="s">
        <v>893</v>
      </c>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893</v>
      </c>
      <c r="D18" s="263" t="s">
        <v>145</v>
      </c>
      <c r="E18" s="31" t="s">
        <v>893</v>
      </c>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891</v>
      </c>
      <c r="D19" s="263" t="s">
        <v>136</v>
      </c>
      <c r="E19" s="31" t="s">
        <v>893</v>
      </c>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t="s">
        <v>166</v>
      </c>
      <c r="E20" s="31" t="s">
        <v>891</v>
      </c>
      <c r="F20" s="20"/>
      <c r="G20" s="26"/>
      <c r="H20" s="287" t="s">
        <v>56</v>
      </c>
      <c r="I20" s="288" t="s">
        <v>57</v>
      </c>
      <c r="L20" s="20"/>
      <c r="M20" s="26"/>
      <c r="N20" s="49"/>
      <c r="O20" s="289"/>
      <c r="P20" s="289"/>
      <c r="Q20" s="19"/>
    </row>
    <row r="21" ht="18.75" customHeight="1">
      <c r="A21" s="19"/>
      <c r="B21" s="26"/>
      <c r="C21" s="36" t="s">
        <v>891</v>
      </c>
      <c r="D21" s="263" t="s">
        <v>163</v>
      </c>
      <c r="E21" s="31" t="s">
        <v>893</v>
      </c>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Tom and Jerry</v>
      </c>
      <c r="I25" s="295" t="s">
        <v>794</v>
      </c>
      <c r="J25" s="294" t="s">
        <v>795</v>
      </c>
      <c r="K25" s="294"/>
      <c r="L25" s="38"/>
      <c r="M25" s="26"/>
      <c r="N25" s="49"/>
      <c r="O25" s="289"/>
      <c r="P25" s="289"/>
      <c r="Q25" s="19"/>
    </row>
    <row r="26" ht="18.75" customHeight="1">
      <c r="A26" s="19"/>
      <c r="B26" s="26"/>
      <c r="C26" s="36"/>
      <c r="D26" s="292"/>
      <c r="E26" s="36"/>
      <c r="F26" s="20"/>
      <c r="G26" s="26"/>
      <c r="H26" s="296" t="str">
        <f t="array" ref="H26:K26">IF(Format="Solo",E2,IFNA(VLOOKUP(E2,TeamList,SEQUENCE(1,4,1),0),""))</f>
        <v>Kittens</v>
      </c>
      <c r="I26" s="297" t="s">
        <v>719</v>
      </c>
      <c r="J26" s="296" t="s">
        <v>720</v>
      </c>
      <c r="K26" s="296" t="s">
        <v>721</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s>
  <drawing r:id="rId17"/>
  <legacyDrawing r:id="rId18"/>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middle-schooler wife</v>
      </c>
      <c r="D2" s="235" t="s">
        <v>854</v>
      </c>
      <c r="E2" s="236" t="str">
        <f>IFNA(VLOOKUP(I2,Schedules,5,0),"")</f>
        <v>Faz o L</v>
      </c>
      <c r="F2" s="20"/>
      <c r="G2" s="21" t="s">
        <v>855</v>
      </c>
      <c r="H2" s="237" t="s">
        <v>856</v>
      </c>
      <c r="I2" s="238">
        <v>33.0</v>
      </c>
      <c r="K2" s="238"/>
      <c r="L2" s="20"/>
      <c r="M2" s="21" t="s">
        <v>857</v>
      </c>
      <c r="N2" s="239" t="s">
        <v>25</v>
      </c>
      <c r="O2" s="240" t="s">
        <v>35</v>
      </c>
      <c r="P2" s="4"/>
      <c r="Q2" s="19"/>
    </row>
    <row r="3" ht="18.75" customHeight="1">
      <c r="A3" s="19"/>
      <c r="B3" s="26"/>
      <c r="C3" s="241">
        <f>IF(D6="Blue",-1,COUNTIF(E14:E26,"Red"))</f>
        <v>6</v>
      </c>
      <c r="D3" s="242">
        <f>VLOOKUP(O2,MappoolSettings,2,0)</f>
        <v>11</v>
      </c>
      <c r="E3" s="243">
        <f>IF(D6="Red",-1,COUNTIF(E14:E26,"Blue"))</f>
        <v>2</v>
      </c>
      <c r="F3" s="20"/>
      <c r="G3" s="26"/>
      <c r="H3" s="244" t="s">
        <v>456</v>
      </c>
      <c r="I3" s="35" t="s">
        <v>573</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33**
&lt;https://osu.ppy.sh/community/matches/110301082&gt;
:red_square: middle-schooler wife | 6 : 2 | Faz o L :blue_square:
middle-schooler wife bans | NM1 DT1
Faz o L bans | HR2 NM5
First pick | middle-schooler wife
:red_square: | "&amp;"HR1: kessoku band - Guitar to Kodoku to Aoi Hoshi [kuuti's Insane]
:blue_square: | HD1: Usada Pekora - Discommunication Alien [Ayyken's Another]
:red_square: | FM2: Hiiragi Magnetite - Marshall Maximizer feat. KAFU [Hyper]
:blue_square: | NM2: Thaehan - D"&amp;"oki-Doki [rockstarrzz' Insane]
:red_square: | HR3: NICODE &amp; M2U - Predawn [Mixagji's Insane]
:red_square: | HD3: succducc - me &amp; u [sing's insane]
:red_square: | DT3: Nekomata Master+ - chaos eater -IIDX edition- [HARD]
:red_square: | NM4: Nekomata Master"&amp;"+ - squall [0pp's Insane (Tournament Edit)]")</f>
        <v>**Quarterfinals: Match 33**
&lt;https://osu.ppy.sh/community/matches/110301082&gt;
:red_square: middle-schooler wife | 6 : 2 | Faz o L :blue_square:
middle-schooler wife bans | NM1 DT1
Faz o L bans | HR2 NM5
First pick | middle-schooler wife
:red_square: | HR1: kessoku band - Guitar to Kodoku to Aoi Hoshi [kuuti's Insane]
:blue_square: | HD1: Usada Pekora - Discommunication Alien [Ayyken's Another]
:red_square: | FM2: Hiiragi Magnetite - Marshall Maximizer feat. KAFU [Hyper]
:blue_square: | NM2: Thaehan - Doki-Doki [rockstarrzz' Insane]
:red_square: | HR3: NICODE &amp; M2U - Predawn [Mixagji's Insane]
:red_square: | HD3: succducc - me &amp; u [sing's insane]
:red_square: | DT3: Nekomata Master+ - chaos eater -IIDX edition- [HARD]
:red_square: | NM4: Nekomata Master+ - squall [0pp's Insane (Tournament Edit)]</v>
      </c>
      <c r="E4" s="248"/>
      <c r="F4" s="20"/>
      <c r="G4" s="26"/>
      <c r="H4" s="237" t="s">
        <v>452</v>
      </c>
      <c r="I4" s="249" t="str">
        <f>IFNA(VLOOKUP(I2,Schedules,6,0),"")</f>
        <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3341368 0</v>
      </c>
      <c r="E5" s="253" t="s">
        <v>74</v>
      </c>
      <c r="F5" s="20"/>
      <c r="G5" s="26"/>
      <c r="H5" s="237" t="s">
        <v>860</v>
      </c>
      <c r="I5" s="254">
        <f t="array" ref="I5">IFNA(SUM(VLOOKUP(I2,Schedules,{2,3},0)),"")</f>
        <v>45172.58333</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(middle-schooler wife) vs (Faz o L)</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middle-schooler wife</v>
      </c>
      <c r="D9" s="263" t="s">
        <v>178</v>
      </c>
      <c r="E9" s="238" t="s">
        <v>217</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Faz o L</v>
      </c>
      <c r="D10" s="267" t="s">
        <v>210</v>
      </c>
      <c r="E10" s="268" t="s">
        <v>190</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euouae_</v>
      </c>
      <c r="J11" s="272" t="s">
        <v>916</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207</v>
      </c>
      <c r="E14" s="31" t="s">
        <v>893</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891</v>
      </c>
      <c r="D15" s="263" t="s">
        <v>197</v>
      </c>
      <c r="E15" s="31" t="s">
        <v>891</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893</v>
      </c>
      <c r="D16" s="263" t="s">
        <v>229</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891</v>
      </c>
      <c r="D17" s="263" t="s">
        <v>181</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893</v>
      </c>
      <c r="D18" s="263" t="s">
        <v>214</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891</v>
      </c>
      <c r="D19" s="263" t="s">
        <v>204</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893</v>
      </c>
      <c r="D20" s="263" t="s">
        <v>223</v>
      </c>
      <c r="E20" s="31" t="s">
        <v>893</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891</v>
      </c>
      <c r="D21" s="263" t="s">
        <v>187</v>
      </c>
      <c r="E21" s="31" t="s">
        <v>893</v>
      </c>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893</v>
      </c>
      <c r="D22" s="263"/>
      <c r="E22" s="31"/>
      <c r="F22" s="20"/>
      <c r="G22" s="26"/>
      <c r="H22" s="287" t="s">
        <v>887</v>
      </c>
      <c r="I22" s="48" t="s">
        <v>888</v>
      </c>
      <c r="K22" s="291"/>
      <c r="L22" s="20"/>
      <c r="M22" s="26"/>
      <c r="N22" s="49"/>
      <c r="O22" s="289"/>
      <c r="P22" s="289"/>
      <c r="Q22" s="19"/>
    </row>
    <row r="23" ht="18.75" customHeight="1">
      <c r="A23" s="19"/>
      <c r="B23" s="26"/>
      <c r="C23" s="36" t="s">
        <v>891</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middle-schooler wife</v>
      </c>
      <c r="I25" s="295" t="s">
        <v>693</v>
      </c>
      <c r="J25" s="294" t="s">
        <v>694</v>
      </c>
      <c r="K25" s="294" t="s">
        <v>695</v>
      </c>
      <c r="L25" s="38"/>
      <c r="M25" s="26"/>
      <c r="N25" s="49"/>
      <c r="O25" s="289"/>
      <c r="P25" s="289"/>
      <c r="Q25" s="19"/>
    </row>
    <row r="26" ht="18.75" customHeight="1">
      <c r="A26" s="19"/>
      <c r="B26" s="26"/>
      <c r="C26" s="36"/>
      <c r="D26" s="292"/>
      <c r="E26" s="36"/>
      <c r="F26" s="20"/>
      <c r="G26" s="26"/>
      <c r="H26" s="296" t="str">
        <f t="array" ref="H26:K26">IF(Format="Solo",E2,IFNA(VLOOKUP(E2,TeamList,SEQUENCE(1,4,1),0),""))</f>
        <v>Faz o L</v>
      </c>
      <c r="I26" s="297" t="s">
        <v>752</v>
      </c>
      <c r="J26" s="296" t="s">
        <v>753</v>
      </c>
      <c r="K26" s="296" t="s">
        <v>754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The 3-star Threats</v>
      </c>
      <c r="D2" s="235" t="s">
        <v>854</v>
      </c>
      <c r="E2" s="236" t="str">
        <f>IFNA(VLOOKUP(I2,Schedules,5,0),"")</f>
        <v>Here Forever</v>
      </c>
      <c r="F2" s="20"/>
      <c r="G2" s="21" t="s">
        <v>855</v>
      </c>
      <c r="H2" s="237" t="s">
        <v>856</v>
      </c>
      <c r="I2" s="238">
        <v>34.0</v>
      </c>
      <c r="K2" s="238"/>
      <c r="L2" s="20"/>
      <c r="M2" s="21" t="s">
        <v>857</v>
      </c>
      <c r="N2" s="239" t="s">
        <v>25</v>
      </c>
      <c r="O2" s="240" t="s">
        <v>35</v>
      </c>
      <c r="P2" s="4"/>
      <c r="Q2" s="19"/>
    </row>
    <row r="3" ht="18.75" customHeight="1">
      <c r="A3" s="19"/>
      <c r="B3" s="26"/>
      <c r="C3" s="241">
        <f>IF(D6="Blue",-1,COUNTIF(E14:E26,"Red"))</f>
        <v>6</v>
      </c>
      <c r="D3" s="242">
        <f>VLOOKUP(O2,MappoolSettings,2,0)</f>
        <v>11</v>
      </c>
      <c r="E3" s="243">
        <f>IF(D6="Red",-1,COUNTIF(E14:E26,"Blue"))</f>
        <v>3</v>
      </c>
      <c r="F3" s="20"/>
      <c r="G3" s="26"/>
      <c r="H3" s="244" t="s">
        <v>456</v>
      </c>
      <c r="I3" s="35" t="s">
        <v>567</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34**
&lt;https://osu.ppy.sh/community/matches/110291479&gt;
:red_square: The 3-star Threats | 6 : 3 | Here Forever :blue_square:
The 3-star Threats bans | NM4 NM2
Here Forever bans | HR1 FM1
First pick | The 3-star Threats
:red_square"&amp;": | FM2: Hiiragi Magnetite - Marshall Maximizer feat. KAFU [Hyper]
:red_square: | DT2: -45 - System Sun [Hard]
:red_square: | HD1: Usada Pekora - Discommunication Alien [Ayyken's Another]
:blue_square: | NM5: the Art of Mankind - Unexisted [Insane]
:red_s"&amp;"quare: | HR3: NICODE &amp; M2U - Predawn [Mixagji's Insane]
:blue_square: | DT3: Nekomata Master+ - chaos eater -IIDX edition- [HARD]
:blue_square: | HD3: succducc - me &amp; u [sing's insane]
:red_square: | NM1: Sangatsu no Phantasia - Pink Lemonade [Insane]
:re"&amp;"d_square: | HR2: Cranky - Luvin' You [Alazy's Another]")</f>
        <v>**Quarterfinals: Match 34**
&lt;https://osu.ppy.sh/community/matches/110291479&gt;
:red_square: The 3-star Threats | 6 : 3 | Here Forever :blue_square:
The 3-star Threats bans | NM4 NM2
Here Forever bans | HR1 FM1
First pick | The 3-star Threats
:red_square: | FM2: Hiiragi Magnetite - Marshall Maximizer feat. KAFU [Hyper]
:red_square: | DT2: -45 - System Sun [Hard]
:red_square: | HD1: Usada Pekora - Discommunication Alien [Ayyken's Another]
:blue_square: | NM5: the Art of Mankind - Unexisted [Insane]
:red_square: | HR3: NICODE &amp; M2U - Predawn [Mixagji's Insane]
:blue_square: | DT3: Nekomata Master+ - chaos eater -IIDX edition- [HARD]
:blue_square: | HD3: succducc - me &amp; u [sing's insane]
:red_square: | NM1: Sangatsu no Phantasia - Pink Lemonade [Insane]
:red_square: | HR2: Cranky - Luvin' You [Alazy's Another]</v>
      </c>
      <c r="E4" s="248"/>
      <c r="F4" s="20"/>
      <c r="G4" s="26"/>
      <c r="H4" s="237" t="s">
        <v>452</v>
      </c>
      <c r="I4" s="249" t="str">
        <f>IFNA(VLOOKUP(I2,Schedules,6,0),"")</f>
        <v>play hd3</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37750 0</v>
      </c>
      <c r="E5" s="253" t="s">
        <v>100</v>
      </c>
      <c r="F5" s="20"/>
      <c r="G5" s="26"/>
      <c r="H5" s="237" t="s">
        <v>860</v>
      </c>
      <c r="I5" s="254">
        <f t="array" ref="I5">IFNA(SUM(VLOOKUP(I2,Schedules,{2,3},0)),"")</f>
        <v>45171.95833</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(The 3-star Threats) vs (Here Forever)</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The 3-star Threats</v>
      </c>
      <c r="D9" s="263" t="s">
        <v>187</v>
      </c>
      <c r="E9" s="238" t="s">
        <v>181</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Here Forever</v>
      </c>
      <c r="D10" s="267" t="s">
        <v>207</v>
      </c>
      <c r="E10" s="268" t="s">
        <v>226</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bonnflow</v>
      </c>
      <c r="J11" s="272" t="s">
        <v>910</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229</v>
      </c>
      <c r="E14" s="31" t="s">
        <v>893</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891</v>
      </c>
      <c r="D15" s="263" t="s">
        <v>220</v>
      </c>
      <c r="E15" s="31" t="s">
        <v>893</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893</v>
      </c>
      <c r="D16" s="263" t="s">
        <v>197</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891</v>
      </c>
      <c r="D17" s="263" t="s">
        <v>190</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893</v>
      </c>
      <c r="D18" s="263" t="s">
        <v>214</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891</v>
      </c>
      <c r="D19" s="263" t="s">
        <v>223</v>
      </c>
      <c r="E19" s="31" t="s">
        <v>891</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893</v>
      </c>
      <c r="D20" s="263" t="s">
        <v>204</v>
      </c>
      <c r="E20" s="31" t="s">
        <v>891</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891</v>
      </c>
      <c r="D21" s="263" t="s">
        <v>178</v>
      </c>
      <c r="E21" s="31" t="s">
        <v>893</v>
      </c>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893</v>
      </c>
      <c r="D22" s="263" t="s">
        <v>210</v>
      </c>
      <c r="E22" s="31" t="s">
        <v>893</v>
      </c>
      <c r="F22" s="20"/>
      <c r="G22" s="26"/>
      <c r="H22" s="287" t="s">
        <v>887</v>
      </c>
      <c r="I22" s="48" t="s">
        <v>888</v>
      </c>
      <c r="K22" s="291"/>
      <c r="L22" s="20"/>
      <c r="M22" s="26"/>
      <c r="N22" s="49"/>
      <c r="O22" s="289"/>
      <c r="P22" s="289"/>
      <c r="Q22" s="19"/>
    </row>
    <row r="23" ht="18.75" customHeight="1">
      <c r="A23" s="19"/>
      <c r="B23" s="26"/>
      <c r="C23" s="36" t="s">
        <v>891</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The 3-star Threats</v>
      </c>
      <c r="I25" s="295" t="s">
        <v>799</v>
      </c>
      <c r="J25" s="294" t="s">
        <v>800</v>
      </c>
      <c r="K25" s="294" t="s">
        <v>801</v>
      </c>
      <c r="L25" s="38"/>
      <c r="M25" s="26"/>
      <c r="N25" s="49"/>
      <c r="O25" s="289"/>
      <c r="P25" s="289"/>
      <c r="Q25" s="19"/>
    </row>
    <row r="26" ht="18.75" customHeight="1">
      <c r="A26" s="19"/>
      <c r="B26" s="26"/>
      <c r="C26" s="36"/>
      <c r="D26" s="292"/>
      <c r="E26" s="36"/>
      <c r="F26" s="20"/>
      <c r="G26" s="26"/>
      <c r="H26" s="296" t="str">
        <f t="array" ref="H26:K26">IF(Format="Solo",E2,IFNA(VLOOKUP(E2,TeamList,SEQUENCE(1,4,1),0),""))</f>
        <v>Here Forever</v>
      </c>
      <c r="I26" s="297" t="s">
        <v>802</v>
      </c>
      <c r="J26" s="296" t="s">
        <v>803</v>
      </c>
      <c r="K26" s="296" t="s">
        <v>804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cake</v>
      </c>
      <c r="D2" s="235" t="s">
        <v>854</v>
      </c>
      <c r="E2" s="236" t="str">
        <f>IFNA(VLOOKUP(I2,Schedules,5,0),"")</f>
        <v>PES E9L9</v>
      </c>
      <c r="F2" s="20"/>
      <c r="G2" s="21" t="s">
        <v>855</v>
      </c>
      <c r="H2" s="237" t="s">
        <v>856</v>
      </c>
      <c r="I2" s="238">
        <v>35.0</v>
      </c>
      <c r="K2" s="238"/>
      <c r="L2" s="20"/>
      <c r="M2" s="21" t="s">
        <v>857</v>
      </c>
      <c r="N2" s="239" t="s">
        <v>25</v>
      </c>
      <c r="O2" s="240" t="s">
        <v>35</v>
      </c>
      <c r="P2" s="4"/>
      <c r="Q2" s="19"/>
    </row>
    <row r="3" ht="18.75" customHeight="1">
      <c r="A3" s="19"/>
      <c r="B3" s="26"/>
      <c r="C3" s="241">
        <f>IF(D6="Blue",-1,COUNTIF(E14:E26,"Red"))</f>
        <v>4</v>
      </c>
      <c r="D3" s="242">
        <f>VLOOKUP(O2,MappoolSettings,2,0)</f>
        <v>11</v>
      </c>
      <c r="E3" s="243">
        <f>IF(D6="Red",-1,COUNTIF(E14:E26,"Blue"))</f>
        <v>6</v>
      </c>
      <c r="F3" s="20"/>
      <c r="G3" s="26"/>
      <c r="H3" s="244" t="s">
        <v>456</v>
      </c>
      <c r="I3" s="35" t="s">
        <v>581</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35**
&lt;https://osu.ppy.sh/community/matches/110301327&gt;
:red_square: cake | 4 : 6 | PES E9L9 :blue_square:
cake bans | HD2 NM6
PES E9L9 bans | HR1 DT3
First pick | cake
:red_square: | HR3: NICODE &amp; M2U - Predawn [Mixagji's Insane]"&amp;"
:blue_square: | HD1: Usada Pekora - Discommunication Alien [Ayyken's Another]
:red_square: | DT2: -45 - System Sun [Hard]
:blue_square: | FM1: Two Door Cinema Club - Cigarettes in the Theatre [Insane]
:red_square: | NM5: the Art of Mankind - Unexisted [I"&amp;"nsane]
:red_square: | NM4: Nekomata Master+ - squall [0pp's Insane (Tournament Edit)]
:blue_square: | HR2: Cranky - Luvin' You [Alazy's Another]
:blue_square: | HD3: succducc - me &amp; u [sing's insane]
:blue_square: | DT1: Reol - Asymmetry [pk's Hard]
:blue"&amp;"_square: | NM2: Thaehan - Doki-Doki [rockstarrzz' Insane]")</f>
        <v>**Quarterfinals: Match 35**
&lt;https://osu.ppy.sh/community/matches/110301327&gt;
:red_square: cake | 4 : 6 | PES E9L9 :blue_square:
cake bans | HD2 NM6
PES E9L9 bans | HR1 DT3
First pick | cake
:red_square: | HR3: NICODE &amp; M2U - Predawn [Mixagji's Insane]
:blue_square: | HD1: Usada Pekora - Discommunication Alien [Ayyken's Another]
:red_square: | DT2: -45 - System Sun [Hard]
:blue_square: | FM1: Two Door Cinema Club - Cigarettes in the Theatre [Insane]
:red_square: | NM5: the Art of Mankind - Unexisted [Insane]
:red_square: | NM4: Nekomata Master+ - squall [0pp's Insane (Tournament Edit)]
:blue_square: | HR2: Cranky - Luvin' You [Alazy's Another]
:blue_square: | HD3: succducc - me &amp; u [sing's insane]
:blue_square: | DT1: Reol - Asymmetry [pk's Hard]
:blue_square: | NM2: Thaehan - Doki-Doki [rockstarrzz' Insane]</v>
      </c>
      <c r="E4" s="248"/>
      <c r="F4" s="20"/>
      <c r="G4" s="26"/>
      <c r="H4" s="237" t="s">
        <v>452</v>
      </c>
      <c r="I4" s="249" t="str">
        <f>IFNA(VLOOKUP(I2,Schedules,6,0),"")</f>
        <v>Pischok</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1838159 0</v>
      </c>
      <c r="E5" s="253" t="s">
        <v>74</v>
      </c>
      <c r="F5" s="20"/>
      <c r="G5" s="26"/>
      <c r="H5" s="237" t="s">
        <v>860</v>
      </c>
      <c r="I5" s="254">
        <f t="array" ref="I5">IFNA(SUM(VLOOKUP(I2,Schedules,{2,3},0)),"")</f>
        <v>45172.60417</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(cake) vs (PES E9L9)</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cake</v>
      </c>
      <c r="D9" s="263" t="s">
        <v>200</v>
      </c>
      <c r="E9" s="238" t="s">
        <v>194</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PES E9L9</v>
      </c>
      <c r="D10" s="267" t="s">
        <v>207</v>
      </c>
      <c r="E10" s="268" t="s">
        <v>223</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No1ruf</v>
      </c>
      <c r="J11" s="272" t="s">
        <v>909</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214</v>
      </c>
      <c r="E14" s="31" t="s">
        <v>893</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891</v>
      </c>
      <c r="D15" s="263" t="s">
        <v>197</v>
      </c>
      <c r="E15" s="31" t="s">
        <v>891</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893</v>
      </c>
      <c r="D16" s="263" t="s">
        <v>220</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891</v>
      </c>
      <c r="D17" s="263" t="s">
        <v>226</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893</v>
      </c>
      <c r="D18" s="263" t="s">
        <v>190</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891</v>
      </c>
      <c r="D19" s="263" t="s">
        <v>187</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893</v>
      </c>
      <c r="D20" s="263" t="s">
        <v>210</v>
      </c>
      <c r="E20" s="31" t="s">
        <v>891</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891</v>
      </c>
      <c r="D21" s="263" t="s">
        <v>204</v>
      </c>
      <c r="E21" s="31" t="s">
        <v>891</v>
      </c>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893</v>
      </c>
      <c r="D22" s="263" t="s">
        <v>217</v>
      </c>
      <c r="E22" s="31" t="s">
        <v>891</v>
      </c>
      <c r="F22" s="20"/>
      <c r="G22" s="26"/>
      <c r="H22" s="287" t="s">
        <v>887</v>
      </c>
      <c r="I22" s="48" t="s">
        <v>888</v>
      </c>
      <c r="K22" s="291"/>
      <c r="L22" s="20"/>
      <c r="M22" s="26"/>
      <c r="N22" s="49"/>
      <c r="O22" s="289"/>
      <c r="P22" s="289"/>
      <c r="Q22" s="19"/>
    </row>
    <row r="23" ht="18.75" customHeight="1">
      <c r="A23" s="19"/>
      <c r="B23" s="26"/>
      <c r="C23" s="36" t="s">
        <v>891</v>
      </c>
      <c r="D23" s="263" t="s">
        <v>181</v>
      </c>
      <c r="E23" s="31" t="s">
        <v>891</v>
      </c>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cake</v>
      </c>
      <c r="I25" s="295" t="s">
        <v>758</v>
      </c>
      <c r="J25" s="294" t="s">
        <v>759</v>
      </c>
      <c r="K25" s="294"/>
      <c r="L25" s="38"/>
      <c r="M25" s="26"/>
      <c r="N25" s="49"/>
      <c r="O25" s="289"/>
      <c r="P25" s="289"/>
      <c r="Q25" s="19"/>
    </row>
    <row r="26" ht="18.75" customHeight="1">
      <c r="A26" s="19"/>
      <c r="B26" s="26"/>
      <c r="C26" s="36"/>
      <c r="D26" s="292"/>
      <c r="E26" s="36"/>
      <c r="F26" s="20"/>
      <c r="G26" s="26"/>
      <c r="H26" s="296" t="str">
        <f t="array" ref="H26:K26">IF(Format="Solo",E2,IFNA(VLOOKUP(E2,TeamList,SEQUENCE(1,4,1),0),""))</f>
        <v>PES E9L9</v>
      </c>
      <c r="I26" s="297" t="s">
        <v>667</v>
      </c>
      <c r="J26" s="296" t="s">
        <v>668</v>
      </c>
      <c r="K26" s="296" t="s">
        <v>484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VN+1</v>
      </c>
      <c r="D2" s="235" t="s">
        <v>854</v>
      </c>
      <c r="E2" s="236" t="str">
        <f>IFNA(VLOOKUP(I2,Schedules,5,0),"")</f>
        <v>Dino Nuggies</v>
      </c>
      <c r="F2" s="20"/>
      <c r="G2" s="21" t="s">
        <v>855</v>
      </c>
      <c r="H2" s="237" t="s">
        <v>856</v>
      </c>
      <c r="I2" s="238">
        <v>36.0</v>
      </c>
      <c r="K2" s="238"/>
      <c r="L2" s="20"/>
      <c r="M2" s="21" t="s">
        <v>857</v>
      </c>
      <c r="N2" s="239" t="s">
        <v>25</v>
      </c>
      <c r="O2" s="240" t="s">
        <v>35</v>
      </c>
      <c r="P2" s="4"/>
      <c r="Q2" s="19"/>
    </row>
    <row r="3" ht="18.75" customHeight="1">
      <c r="A3" s="19"/>
      <c r="B3" s="26"/>
      <c r="C3" s="241">
        <f>IF(D6="Blue",-1,COUNTIF(E14:E26,"Red"))</f>
        <v>6</v>
      </c>
      <c r="D3" s="242">
        <f>VLOOKUP(O2,MappoolSettings,2,0)</f>
        <v>11</v>
      </c>
      <c r="E3" s="243">
        <f>IF(D6="Red",-1,COUNTIF(E14:E26,"Blue"))</f>
        <v>0</v>
      </c>
      <c r="F3" s="20"/>
      <c r="G3" s="26"/>
      <c r="H3" s="244" t="s">
        <v>456</v>
      </c>
      <c r="I3" s="35" t="s">
        <v>560</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36**
&lt;https://osu.ppy.sh/community/matches/110275875&gt;
:red_square: VN+1 | 6 : 0 | Dino Nuggies :blue_square:
VN+1 bans | FM1 HD2
Dino Nuggies bans | NM3 HR1
First pick | Dino Nuggies
:red_square: | NM5: the Art of Mankind - Unex"&amp;"isted [Insane]
:red_square: | DT2: -45 - System Sun [Hard]
:red_square: | FM2: Hiiragi Magnetite - Marshall Maximizer feat. KAFU [Hyper]
:red_square: | NM2: Thaehan - Doki-Doki [rockstarrzz' Insane]
:red_square: | NM4: Nekomata Master+ - squall [0pp's Ins"&amp;"ane (Tournament Edit)]
:red_square: | HR3: NICODE &amp; M2U - Predawn [Mixagji's Insane]")</f>
        <v>**Quarterfinals: Match 36**
&lt;https://osu.ppy.sh/community/matches/110275875&gt;
:red_square: VN+1 | 6 : 0 | Dino Nuggies :blue_square:
VN+1 bans | FM1 HD2
Dino Nuggies bans | NM3 HR1
First pick | Dino Nuggies
:red_square: | NM5: the Art of Mankind - Unexisted [Insane]
:red_square: | DT2: -45 - System Sun [Hard]
:red_square: | FM2: Hiiragi Magnetite - Marshall Maximizer feat. KAFU [Hyper]
:red_square: | NM2: Thaehan - Doki-Doki [rockstarrzz' Insane]
:red_square: | NM4: Nekomata Master+ - squall [0pp's Insane (Tournament Edit)]
:red_square: | HR3: NICODE &amp; M2U - Predawn [Mixagji's Insane]</v>
      </c>
      <c r="E4" s="248"/>
      <c r="F4" s="20"/>
      <c r="G4" s="26"/>
      <c r="H4" s="237" t="s">
        <v>452</v>
      </c>
      <c r="I4" s="249" t="str">
        <f>IFNA(VLOOKUP(I2,Schedules,6,0),"")</f>
        <v>play hd3</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3248255 0</v>
      </c>
      <c r="E5" s="253" t="s">
        <v>100</v>
      </c>
      <c r="F5" s="20"/>
      <c r="G5" s="26"/>
      <c r="H5" s="237" t="s">
        <v>860</v>
      </c>
      <c r="I5" s="254">
        <f t="array" ref="I5">IFNA(SUM(VLOOKUP(I2,Schedules,{2,3},0)),"")</f>
        <v>45171.0625</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(VN+1) vs (Dino Nuggies)</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VN+1</v>
      </c>
      <c r="D9" s="263" t="s">
        <v>226</v>
      </c>
      <c r="E9" s="238" t="s">
        <v>200</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Dino Nuggies</v>
      </c>
      <c r="D10" s="267" t="s">
        <v>184</v>
      </c>
      <c r="E10" s="268" t="s">
        <v>207</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fnugus</v>
      </c>
      <c r="J11" s="272" t="s">
        <v>915</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Blue</v>
      </c>
      <c r="D14" s="263" t="s">
        <v>190</v>
      </c>
      <c r="E14" s="31" t="s">
        <v>893</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893</v>
      </c>
      <c r="D15" s="263" t="s">
        <v>220</v>
      </c>
      <c r="E15" s="31" t="s">
        <v>893</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891</v>
      </c>
      <c r="D16" s="263" t="s">
        <v>229</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893</v>
      </c>
      <c r="D17" s="263" t="s">
        <v>181</v>
      </c>
      <c r="E17" s="31" t="s">
        <v>893</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891</v>
      </c>
      <c r="D18" s="263" t="s">
        <v>187</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893</v>
      </c>
      <c r="D19" s="263" t="s">
        <v>214</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891</v>
      </c>
      <c r="D20" s="263"/>
      <c r="E20" s="31"/>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893</v>
      </c>
      <c r="D21" s="263"/>
      <c r="E21" s="31"/>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891</v>
      </c>
      <c r="D22" s="263"/>
      <c r="E22" s="31"/>
      <c r="F22" s="20"/>
      <c r="G22" s="26"/>
      <c r="H22" s="287" t="s">
        <v>887</v>
      </c>
      <c r="I22" s="48" t="s">
        <v>888</v>
      </c>
      <c r="K22" s="291"/>
      <c r="L22" s="20"/>
      <c r="M22" s="26"/>
      <c r="N22" s="49"/>
      <c r="O22" s="289"/>
      <c r="P22" s="289"/>
      <c r="Q22" s="19"/>
    </row>
    <row r="23" ht="18.75" customHeight="1">
      <c r="A23" s="19"/>
      <c r="B23" s="26"/>
      <c r="C23" s="36" t="s">
        <v>893</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VN+1</v>
      </c>
      <c r="I25" s="295" t="s">
        <v>731</v>
      </c>
      <c r="J25" s="294" t="s">
        <v>732</v>
      </c>
      <c r="K25" s="294" t="s">
        <v>733</v>
      </c>
      <c r="L25" s="38"/>
      <c r="M25" s="26"/>
      <c r="N25" s="49"/>
      <c r="O25" s="289"/>
      <c r="P25" s="289"/>
      <c r="Q25" s="19"/>
    </row>
    <row r="26" ht="18.75" customHeight="1">
      <c r="A26" s="19"/>
      <c r="B26" s="26"/>
      <c r="C26" s="36"/>
      <c r="D26" s="292"/>
      <c r="E26" s="36"/>
      <c r="F26" s="20"/>
      <c r="G26" s="26"/>
      <c r="H26" s="296" t="str">
        <f t="array" ref="H26:K26">IF(Format="Solo",E2,IFNA(VLOOKUP(E2,TeamList,SEQUENCE(1,4,1),0),""))</f>
        <v>Dino Nuggies</v>
      </c>
      <c r="I26" s="297" t="s">
        <v>760</v>
      </c>
      <c r="J26" s="296" t="s">
        <v>761</v>
      </c>
      <c r="K26" s="296" t="s">
        <v>762</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Chocomaid</v>
      </c>
      <c r="D2" s="235" t="s">
        <v>854</v>
      </c>
      <c r="E2" s="236" t="str">
        <f>IFNA(VLOOKUP(I2,Schedules,5,0),"")</f>
        <v>Sightread Buff</v>
      </c>
      <c r="F2" s="20"/>
      <c r="G2" s="21" t="s">
        <v>855</v>
      </c>
      <c r="H2" s="237" t="s">
        <v>856</v>
      </c>
      <c r="I2" s="238">
        <v>37.0</v>
      </c>
      <c r="K2" s="238"/>
      <c r="L2" s="20"/>
      <c r="M2" s="21" t="s">
        <v>857</v>
      </c>
      <c r="N2" s="239" t="s">
        <v>25</v>
      </c>
      <c r="O2" s="240" t="s">
        <v>35</v>
      </c>
      <c r="P2" s="4"/>
      <c r="Q2" s="19"/>
    </row>
    <row r="3" ht="18.75" customHeight="1">
      <c r="A3" s="19"/>
      <c r="B3" s="26"/>
      <c r="C3" s="241">
        <f>IF(D6="Blue",-1,COUNTIF(E14:E26,"Red"))</f>
        <v>6</v>
      </c>
      <c r="D3" s="242">
        <f>VLOOKUP(O2,MappoolSettings,2,0)</f>
        <v>11</v>
      </c>
      <c r="E3" s="243">
        <f>IF(D6="Red",-1,COUNTIF(E14:E26,"Blue"))</f>
        <v>1</v>
      </c>
      <c r="F3" s="20"/>
      <c r="G3" s="26"/>
      <c r="H3" s="244" t="s">
        <v>456</v>
      </c>
      <c r="I3" s="35" t="s">
        <v>562</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37**
&lt;https://osu.ppy.sh/community/matches/110283000&gt;
:red_square: Chocomaid | 6 : 1 | Sightread Buff :blue_square:
Chocomaid bans | NM6 HD2
Sightread Buff bans | HR3 DT2
First pick | Chocomaid
:red_square: | HR1: kessoku band -"&amp;" Guitar to Kodoku to Aoi Hoshi [kuuti's Insane]
:red_square: | HD3: succducc - me &amp; u [sing's insane]
:red_square: | DT1: Reol - Asymmetry [pk's Hard]
:red_square: | NM2: Thaehan - Doki-Doki [rockstarrzz' Insane]
:blue_square: | FM1: Two Door Cinema Club "&amp;"- Cigarettes in the Theatre [Insane]
:red_square: | FM2: Hiiragi Magnetite - Marshall Maximizer feat. KAFU [Hyper]
:red_square: | DT3: Nekomata Master+ - chaos eater -IIDX edition- [HARD]")</f>
        <v>**Quarterfinals: Match 37**
&lt;https://osu.ppy.sh/community/matches/110283000&gt;
:red_square: Chocomaid | 6 : 1 | Sightread Buff :blue_square:
Chocomaid bans | NM6 HD2
Sightread Buff bans | HR3 DT2
First pick | Chocomaid
:red_square: | HR1: kessoku band - Guitar to Kodoku to Aoi Hoshi [kuuti's Insane]
:red_square: | HD3: succducc - me &amp; u [sing's insane]
:red_square: | DT1: Reol - Asymmetry [pk's Hard]
:red_square: | NM2: Thaehan - Doki-Doki [rockstarrzz' Insane]
:blue_square: | FM1: Two Door Cinema Club - Cigarettes in the Theatre [Insane]
:red_square: | FM2: Hiiragi Magnetite - Marshall Maximizer feat. KAFU [Hyper]
:red_square: | DT3: Nekomata Master+ - chaos eater -IIDX edition- [HARD]</v>
      </c>
      <c r="E4" s="248"/>
      <c r="F4" s="20"/>
      <c r="G4" s="26"/>
      <c r="H4" s="237" t="s">
        <v>452</v>
      </c>
      <c r="I4" s="249" t="str">
        <f>IFNA(VLOOKUP(I2,Schedules,6,0),"")</f>
        <v>Emerald Ages</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3822599 0</v>
      </c>
      <c r="E5" s="253" t="s">
        <v>109</v>
      </c>
      <c r="F5" s="20"/>
      <c r="G5" s="26"/>
      <c r="H5" s="237" t="s">
        <v>860</v>
      </c>
      <c r="I5" s="254">
        <f t="array" ref="I5">IFNA(SUM(VLOOKUP(I2,Schedules,{2,3},0)),"")</f>
        <v>45171.58333</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(Chocomaid) vs (Sightread Buff)</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Chocomaid</v>
      </c>
      <c r="D9" s="263" t="s">
        <v>194</v>
      </c>
      <c r="E9" s="238" t="s">
        <v>200</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Sightread Buff</v>
      </c>
      <c r="D10" s="267" t="s">
        <v>214</v>
      </c>
      <c r="E10" s="268" t="s">
        <v>220</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Frui Ludo</v>
      </c>
      <c r="J11" s="272" t="s">
        <v>914</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207</v>
      </c>
      <c r="E14" s="31" t="s">
        <v>893</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891</v>
      </c>
      <c r="D15" s="263" t="s">
        <v>204</v>
      </c>
      <c r="E15" s="31" t="s">
        <v>893</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893</v>
      </c>
      <c r="D16" s="263" t="s">
        <v>217</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891</v>
      </c>
      <c r="D17" s="263" t="s">
        <v>181</v>
      </c>
      <c r="E17" s="31" t="s">
        <v>893</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893</v>
      </c>
      <c r="D18" s="263" t="s">
        <v>226</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891</v>
      </c>
      <c r="D19" s="263" t="s">
        <v>229</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893</v>
      </c>
      <c r="D20" s="263" t="s">
        <v>223</v>
      </c>
      <c r="E20" s="31" t="s">
        <v>893</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891</v>
      </c>
      <c r="D21" s="263"/>
      <c r="E21" s="31"/>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893</v>
      </c>
      <c r="D22" s="263"/>
      <c r="E22" s="31"/>
      <c r="F22" s="20"/>
      <c r="G22" s="26"/>
      <c r="H22" s="287" t="s">
        <v>887</v>
      </c>
      <c r="I22" s="48" t="s">
        <v>888</v>
      </c>
      <c r="K22" s="291"/>
      <c r="L22" s="20"/>
      <c r="M22" s="26"/>
      <c r="N22" s="49"/>
      <c r="O22" s="289"/>
      <c r="P22" s="289"/>
      <c r="Q22" s="19"/>
    </row>
    <row r="23" ht="18.75" customHeight="1">
      <c r="A23" s="19"/>
      <c r="B23" s="26"/>
      <c r="C23" s="36" t="s">
        <v>891</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Chocomaid</v>
      </c>
      <c r="I25" s="295" t="s">
        <v>716</v>
      </c>
      <c r="J25" s="294" t="s">
        <v>717</v>
      </c>
      <c r="K25" s="294" t="s">
        <v>718</v>
      </c>
      <c r="L25" s="38"/>
      <c r="M25" s="26"/>
      <c r="N25" s="49"/>
      <c r="O25" s="289"/>
      <c r="P25" s="289"/>
      <c r="Q25" s="19"/>
    </row>
    <row r="26" ht="18.75" customHeight="1">
      <c r="A26" s="19"/>
      <c r="B26" s="26"/>
      <c r="C26" s="36"/>
      <c r="D26" s="292"/>
      <c r="E26" s="36"/>
      <c r="F26" s="20"/>
      <c r="G26" s="26"/>
      <c r="H26" s="296" t="str">
        <f t="array" ref="H26:K26">IF(Format="Solo",E2,IFNA(VLOOKUP(E2,TeamList,SEQUENCE(1,4,1),0),""))</f>
        <v>Sightread Buff</v>
      </c>
      <c r="I26" s="297" t="s">
        <v>638</v>
      </c>
      <c r="J26" s="296" t="s">
        <v>639</v>
      </c>
      <c r="K26" s="296" t="s">
        <v>640</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Team name pending xd</v>
      </c>
      <c r="D2" s="235" t="s">
        <v>854</v>
      </c>
      <c r="E2" s="236" t="str">
        <f>IFNA(VLOOKUP(I2,Schedules,5,0),"")</f>
        <v>equipe câo</v>
      </c>
      <c r="F2" s="20"/>
      <c r="G2" s="21" t="s">
        <v>855</v>
      </c>
      <c r="H2" s="237" t="s">
        <v>856</v>
      </c>
      <c r="I2" s="238">
        <v>38.0</v>
      </c>
      <c r="K2" s="238"/>
      <c r="L2" s="20"/>
      <c r="M2" s="21" t="s">
        <v>857</v>
      </c>
      <c r="N2" s="239" t="s">
        <v>25</v>
      </c>
      <c r="O2" s="240" t="s">
        <v>35</v>
      </c>
      <c r="P2" s="4"/>
      <c r="Q2" s="19"/>
    </row>
    <row r="3" ht="18.75" customHeight="1">
      <c r="A3" s="19"/>
      <c r="B3" s="26"/>
      <c r="C3" s="241">
        <f>IF(D6="Blue",-1,COUNTIF(E14:E26,"Red"))</f>
        <v>6</v>
      </c>
      <c r="D3" s="242">
        <f>VLOOKUP(O2,MappoolSettings,2,0)</f>
        <v>11</v>
      </c>
      <c r="E3" s="243">
        <f>IF(D6="Red",-1,COUNTIF(E14:E26,"Blue"))</f>
        <v>4</v>
      </c>
      <c r="F3" s="20"/>
      <c r="G3" s="26"/>
      <c r="H3" s="244" t="s">
        <v>456</v>
      </c>
      <c r="I3" s="35" t="s">
        <v>564</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38**
&lt;https://osu.ppy.sh/community/matches/110283874&gt;
:red_square: Team name pending xd | 6 : 4 | equipe câo :blue_square:
Team name pending xd bans | NM5 DT1
equipe câo bans | NM3 HR2
First pick | equipe câo
:blue_square: | FM2"&amp;": Hiiragi Magnetite - Marshall Maximizer feat. KAFU [Hyper]
:red_square: | HD3: succducc - me &amp; u [sing's insane]
:red_square: | NM2: Thaehan - Doki-Doki [rockstarrzz' Insane]
:blue_square: | NM4: Nekomata Master+ - squall [0pp's Insane (Tournament Edit)]"&amp;"
:blue_square: | FM1: Two Door Cinema Club - Cigarettes in the Theatre [Insane]
:red_square: | HR1: kessoku band - Guitar to Kodoku to Aoi Hoshi [kuuti's Insane]
:blue_square: | DT3: Nekomata Master+ - chaos eater -IIDX edition- [HARD]
:red_square: | HD1:"&amp;" Usada Pekora - Discommunication Alien [Ayyken's Another]
:red_square: | HD2: BRZion - Game Brain [Insane]
:red_square: | NM1: Sangatsu no Phantasia - Pink Lemonade [Insane]")</f>
        <v>**Quarterfinals: Match 38**
&lt;https://osu.ppy.sh/community/matches/110283874&gt;
:red_square: Team name pending xd | 6 : 4 | equipe câo :blue_square:
Team name pending xd bans | NM5 DT1
equipe câo bans | NM3 HR2
First pick | equipe câo
:blue_square: | FM2: Hiiragi Magnetite - Marshall Maximizer feat. KAFU [Hyper]
:red_square: | HD3: succducc - me &amp; u [sing's insane]
:red_square: | NM2: Thaehan - Doki-Doki [rockstarrzz' Insane]
:blue_square: | NM4: Nekomata Master+ - squall [0pp's Insane (Tournament Edit)]
:blue_square: | FM1: Two Door Cinema Club - Cigarettes in the Theatre [Insane]
:red_square: | HR1: kessoku band - Guitar to Kodoku to Aoi Hoshi [kuuti's Insane]
:blue_square: | DT3: Nekomata Master+ - chaos eater -IIDX edition- [HARD]
:red_square: | HD1: Usada Pekora - Discommunication Alien [Ayyken's Another]
:red_square: | HD2: BRZion - Game Brain [Insane]
:red_square: | NM1: Sangatsu no Phantasia - Pink Lemonade [Insane]</v>
      </c>
      <c r="E4" s="248"/>
      <c r="F4" s="20"/>
      <c r="G4" s="26"/>
      <c r="H4" s="237" t="s">
        <v>452</v>
      </c>
      <c r="I4" s="249" t="str">
        <f>IFNA(VLOOKUP(I2,Schedules,6,0),"")</f>
        <v>Emerald Ages</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1965654 0</v>
      </c>
      <c r="E5" s="253" t="s">
        <v>74</v>
      </c>
      <c r="F5" s="20"/>
      <c r="G5" s="26"/>
      <c r="H5" s="237" t="s">
        <v>860</v>
      </c>
      <c r="I5" s="254">
        <f t="array" ref="I5">IFNA(SUM(VLOOKUP(I2,Schedules,{2,3},0)),"")</f>
        <v>45171.625</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(Team name pending xd) vs (equipe câo)</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Team name pending xd</v>
      </c>
      <c r="D9" s="263" t="s">
        <v>190</v>
      </c>
      <c r="E9" s="238" t="s">
        <v>217</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equipe câo</v>
      </c>
      <c r="D10" s="267" t="s">
        <v>184</v>
      </c>
      <c r="E10" s="268" t="s">
        <v>210</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BlooMertz</v>
      </c>
      <c r="J11" s="272" t="s">
        <v>902</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Blue</v>
      </c>
      <c r="D14" s="263" t="s">
        <v>229</v>
      </c>
      <c r="E14" s="31" t="s">
        <v>891</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893</v>
      </c>
      <c r="D15" s="263" t="s">
        <v>204</v>
      </c>
      <c r="E15" s="31" t="s">
        <v>893</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891</v>
      </c>
      <c r="D16" s="263" t="s">
        <v>181</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893</v>
      </c>
      <c r="D17" s="263" t="s">
        <v>187</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891</v>
      </c>
      <c r="D18" s="263" t="s">
        <v>226</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893</v>
      </c>
      <c r="D19" s="263" t="s">
        <v>207</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891</v>
      </c>
      <c r="D20" s="263" t="s">
        <v>223</v>
      </c>
      <c r="E20" s="31" t="s">
        <v>891</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893</v>
      </c>
      <c r="D21" s="263" t="s">
        <v>197</v>
      </c>
      <c r="E21" s="31" t="s">
        <v>893</v>
      </c>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891</v>
      </c>
      <c r="D22" s="263" t="s">
        <v>200</v>
      </c>
      <c r="E22" s="31" t="s">
        <v>893</v>
      </c>
      <c r="F22" s="20"/>
      <c r="G22" s="26"/>
      <c r="H22" s="287" t="s">
        <v>887</v>
      </c>
      <c r="I22" s="48" t="s">
        <v>888</v>
      </c>
      <c r="K22" s="291"/>
      <c r="L22" s="20"/>
      <c r="M22" s="26"/>
      <c r="N22" s="49"/>
      <c r="O22" s="289"/>
      <c r="P22" s="289"/>
      <c r="Q22" s="19"/>
    </row>
    <row r="23" ht="18.75" customHeight="1">
      <c r="A23" s="19"/>
      <c r="B23" s="26"/>
      <c r="C23" s="36" t="s">
        <v>893</v>
      </c>
      <c r="D23" s="263" t="s">
        <v>178</v>
      </c>
      <c r="E23" s="31" t="s">
        <v>893</v>
      </c>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Team name pending xd</v>
      </c>
      <c r="I25" s="295" t="s">
        <v>510</v>
      </c>
      <c r="J25" s="294" t="s">
        <v>691</v>
      </c>
      <c r="K25" s="294" t="s">
        <v>692</v>
      </c>
      <c r="L25" s="38"/>
      <c r="M25" s="26"/>
      <c r="N25" s="49"/>
      <c r="O25" s="289"/>
      <c r="P25" s="289"/>
      <c r="Q25" s="19"/>
    </row>
    <row r="26" ht="18.75" customHeight="1">
      <c r="A26" s="19"/>
      <c r="B26" s="26"/>
      <c r="C26" s="36"/>
      <c r="D26" s="292"/>
      <c r="E26" s="36"/>
      <c r="F26" s="20"/>
      <c r="G26" s="26"/>
      <c r="H26" s="296" t="str">
        <f t="array" ref="H26:K26">IF(Format="Solo",E2,IFNA(VLOOKUP(E2,TeamList,SEQUENCE(1,4,1),0),""))</f>
        <v>equipe câo</v>
      </c>
      <c r="I26" s="297" t="s">
        <v>785</v>
      </c>
      <c r="J26" s="296" t="s">
        <v>786</v>
      </c>
      <c r="K26" s="296" t="s">
        <v>787</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foxy1919191919's basement</v>
      </c>
      <c r="D2" s="235" t="s">
        <v>854</v>
      </c>
      <c r="E2" s="236" t="str">
        <f>IFNA(VLOOKUP(I2,Schedules,5,0),"")</f>
        <v>The sleepers</v>
      </c>
      <c r="F2" s="20"/>
      <c r="G2" s="21" t="s">
        <v>855</v>
      </c>
      <c r="H2" s="237" t="s">
        <v>856</v>
      </c>
      <c r="I2" s="238">
        <v>39.0</v>
      </c>
      <c r="K2" s="238"/>
      <c r="L2" s="20"/>
      <c r="M2" s="21" t="s">
        <v>857</v>
      </c>
      <c r="N2" s="239" t="s">
        <v>25</v>
      </c>
      <c r="O2" s="240" t="s">
        <v>35</v>
      </c>
      <c r="P2" s="4"/>
      <c r="Q2" s="19"/>
    </row>
    <row r="3" ht="18.75" customHeight="1">
      <c r="A3" s="19"/>
      <c r="B3" s="26"/>
      <c r="C3" s="241">
        <f>IF(D6="Blue",-1,COUNTIF(E14:E26,"Red"))</f>
        <v>-1</v>
      </c>
      <c r="D3" s="242">
        <f>VLOOKUP(O2,MappoolSettings,2,0)</f>
        <v>11</v>
      </c>
      <c r="E3" s="243">
        <f>IF(D6="Red",-1,COUNTIF(E14:E26,"Blue"))</f>
        <v>0</v>
      </c>
      <c r="F3" s="20"/>
      <c r="G3" s="26"/>
      <c r="H3" s="244" t="s">
        <v>456</v>
      </c>
      <c r="I3" s="300" t="s">
        <v>572</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39**
Win by default for The sleepers")</f>
        <v>**Quarterfinals: Match 39**
Win by default for The sleepers</v>
      </c>
      <c r="E4" s="248"/>
      <c r="F4" s="20"/>
      <c r="G4" s="26"/>
      <c r="H4" s="237" t="s">
        <v>452</v>
      </c>
      <c r="I4" s="249" t="str">
        <f>IFNA(VLOOKUP(I2,Schedules,6,0),"")</f>
        <v>Pischok</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
      </c>
      <c r="E5" s="253"/>
      <c r="F5" s="20"/>
      <c r="G5" s="26"/>
      <c r="H5" s="237" t="s">
        <v>860</v>
      </c>
      <c r="I5" s="254">
        <f t="array" ref="I5">IFNA(SUM(VLOOKUP(I2,Schedules,{2,3},0)),"")</f>
        <v>45172.52083</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t="s">
        <v>891</v>
      </c>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(foxy1919191919's basement) vs (The sleepers)</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foxy1919191919's basement</v>
      </c>
      <c r="D9" s="263"/>
      <c r="E9" s="238"/>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The sleepers</v>
      </c>
      <c r="D10" s="267"/>
      <c r="E10" s="268"/>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c r="F11" s="20"/>
      <c r="G11" s="26"/>
      <c r="H11" s="244" t="s">
        <v>871</v>
      </c>
      <c r="I11" s="272" t="str">
        <f t="array" ref="I11:J11">IF({H25,H26}="",,"!mp invite "&amp;{I25,I26})</f>
        <v>!mp invite Faceie</v>
      </c>
      <c r="J11" s="272" t="s">
        <v>899</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IF(D11="",,{IF(MOD(SEQUENCE(D3-1,1),2)=1,IF(D11="Red","Red","Blue"),IF(D11="Red","Blue","Red"));"Tiebreaker"})</f>
        <v/>
      </c>
      <c r="D14" s="263"/>
      <c r="E14" s="31"/>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c r="D15" s="263"/>
      <c r="E15" s="31"/>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c r="D16" s="263"/>
      <c r="E16" s="31"/>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c r="D17" s="263"/>
      <c r="E17" s="31"/>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c r="D18" s="263"/>
      <c r="E18" s="31"/>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c r="D19" s="263"/>
      <c r="E19" s="31"/>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c r="D20" s="263"/>
      <c r="E20" s="31"/>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c r="D21" s="263"/>
      <c r="E21" s="31"/>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c r="D22" s="263"/>
      <c r="E22" s="31"/>
      <c r="F22" s="20"/>
      <c r="G22" s="26"/>
      <c r="H22" s="287" t="s">
        <v>887</v>
      </c>
      <c r="I22" s="48" t="s">
        <v>888</v>
      </c>
      <c r="K22" s="291"/>
      <c r="L22" s="20"/>
      <c r="M22" s="26"/>
      <c r="N22" s="49"/>
      <c r="O22" s="289"/>
      <c r="P22" s="289"/>
      <c r="Q22" s="19"/>
    </row>
    <row r="23" ht="18.75" customHeight="1">
      <c r="A23" s="19"/>
      <c r="B23" s="26"/>
      <c r="C23" s="36"/>
      <c r="D23" s="263"/>
      <c r="E23" s="31"/>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foxy1919191919's basement</v>
      </c>
      <c r="I25" s="295" t="s">
        <v>643</v>
      </c>
      <c r="J25" s="294" t="s">
        <v>644</v>
      </c>
      <c r="K25" s="294" t="s">
        <v>645</v>
      </c>
      <c r="L25" s="38"/>
      <c r="M25" s="26"/>
      <c r="N25" s="49"/>
      <c r="O25" s="289"/>
      <c r="P25" s="289"/>
      <c r="Q25" s="19"/>
    </row>
    <row r="26" ht="18.75" customHeight="1">
      <c r="A26" s="19"/>
      <c r="B26" s="26"/>
      <c r="C26" s="36"/>
      <c r="D26" s="292"/>
      <c r="E26" s="36"/>
      <c r="F26" s="20"/>
      <c r="G26" s="26"/>
      <c r="H26" s="296" t="str">
        <f t="array" ref="H26:K26">IF(Format="Solo",E2,IFNA(VLOOKUP(E2,TeamList,SEQUENCE(1,4,1),0),""))</f>
        <v>The sleepers</v>
      </c>
      <c r="I26" s="297" t="s">
        <v>779</v>
      </c>
      <c r="J26" s="296" t="s">
        <v>780</v>
      </c>
      <c r="K26" s="296" t="s">
        <v>781</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Kittens</v>
      </c>
      <c r="D2" s="235" t="s">
        <v>854</v>
      </c>
      <c r="E2" s="236" t="str">
        <f>IFNA(VLOOKUP(I2,Schedules,5,0),"")</f>
        <v>PLDT ANO NAAA</v>
      </c>
      <c r="F2" s="20"/>
      <c r="G2" s="21" t="s">
        <v>855</v>
      </c>
      <c r="H2" s="237" t="s">
        <v>856</v>
      </c>
      <c r="I2" s="238">
        <v>40.0</v>
      </c>
      <c r="K2" s="238"/>
      <c r="L2" s="20"/>
      <c r="M2" s="21" t="s">
        <v>857</v>
      </c>
      <c r="N2" s="239" t="s">
        <v>25</v>
      </c>
      <c r="O2" s="240" t="s">
        <v>35</v>
      </c>
      <c r="P2" s="4"/>
      <c r="Q2" s="19"/>
    </row>
    <row r="3" ht="18.75" customHeight="1">
      <c r="A3" s="19"/>
      <c r="B3" s="26"/>
      <c r="C3" s="241">
        <f>IF(D6="Blue",-1,COUNTIF(E14:E26,"Red"))</f>
        <v>6</v>
      </c>
      <c r="D3" s="242">
        <f>VLOOKUP(O2,MappoolSettings,2,0)</f>
        <v>11</v>
      </c>
      <c r="E3" s="243">
        <f>IF(D6="Red",-1,COUNTIF(E14:E26,"Blue"))</f>
        <v>3</v>
      </c>
      <c r="F3" s="20"/>
      <c r="G3" s="26"/>
      <c r="H3" s="244" t="s">
        <v>456</v>
      </c>
      <c r="I3" s="35" t="s">
        <v>563</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40**
&lt;https://osu.ppy.sh/community/matches/110283001&gt;
:red_square: Kittens | 6 : 3 | PLDT ANO NAAA :blue_square:
Kittens bans | HD2 NM5
PLDT ANO NAAA bans | HR3 FM2
First pick | Kittens
:red_square: | HR1: kessoku band - Guitar "&amp;"to Kodoku to Aoi Hoshi [kuuti's Insane]
:red_square: | DT3: Nekomata Master+ - chaos eater -IIDX edition- [HARD]
:red_square: | FM1: Two Door Cinema Club - Cigarettes in the Theatre [Insane]
:blue_square: | NM6: Franz Ferdinand - This Fffire (TV Size) [en"&amp;"ri's iNnnsane]
:red_square: | HR2: Cranky - Luvin' You [Alazy's Another]
:blue_square: | HD1: Usada Pekora - Discommunication Alien [Ayyken's Another]
:blue_square: | DT1: Reol - Asymmetry [pk's Hard]
:red_square: | NM4: Nekomata Master+ - squall [0pp's I"&amp;"nsane (Tournament Edit)]
:red_square: | NM3: Meguro Shoji feat. Lyn - Last Surprise -Scramble- [Expert]")</f>
        <v>**Quarterfinals: Match 40**
&lt;https://osu.ppy.sh/community/matches/110283001&gt;
:red_square: Kittens | 6 : 3 | PLDT ANO NAAA :blue_square:
Kittens bans | HD2 NM5
PLDT ANO NAAA bans | HR3 FM2
First pick | Kittens
:red_square: | HR1: kessoku band - Guitar to Kodoku to Aoi Hoshi [kuuti's Insane]
:red_square: | DT3: Nekomata Master+ - chaos eater -IIDX edition- [HARD]
:red_square: | FM1: Two Door Cinema Club - Cigarettes in the Theatre [Insane]
:blue_square: | NM6: Franz Ferdinand - This Fffire (TV Size) [enri's iNnnsane]
:red_square: | HR2: Cranky - Luvin' You [Alazy's Another]
:blue_square: | HD1: Usada Pekora - Discommunication Alien [Ayyken's Another]
:blue_square: | DT1: Reol - Asymmetry [pk's Hard]
:red_square: | NM4: Nekomata Master+ - squall [0pp's Insane (Tournament Edit)]
:red_square: | NM3: Meguro Shoji feat. Lyn - Last Surprise -Scramble- [Expert]</v>
      </c>
      <c r="E4" s="248"/>
      <c r="F4" s="20"/>
      <c r="G4" s="26"/>
      <c r="H4" s="237" t="s">
        <v>452</v>
      </c>
      <c r="I4" s="249" t="str">
        <f>IFNA(VLOOKUP(I2,Schedules,6,0),"")</f>
        <v>Emerald Ages</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2568756 0</v>
      </c>
      <c r="E5" s="253" t="s">
        <v>74</v>
      </c>
      <c r="F5" s="20"/>
      <c r="G5" s="26"/>
      <c r="H5" s="237" t="s">
        <v>860</v>
      </c>
      <c r="I5" s="254">
        <f t="array" ref="I5">IFNA(SUM(VLOOKUP(I2,Schedules,{2,3},0)),"")</f>
        <v>45171.58333</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(Kittens) vs (PLDT ANO NAAA)</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Kittens</v>
      </c>
      <c r="D9" s="263" t="s">
        <v>200</v>
      </c>
      <c r="E9" s="238" t="s">
        <v>190</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PLDT ANO NAAA</v>
      </c>
      <c r="D10" s="267" t="s">
        <v>214</v>
      </c>
      <c r="E10" s="268" t="s">
        <v>229</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Rurup</v>
      </c>
      <c r="J11" s="272" t="s">
        <v>898</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207</v>
      </c>
      <c r="E14" s="31" t="s">
        <v>893</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891</v>
      </c>
      <c r="D15" s="263" t="s">
        <v>223</v>
      </c>
      <c r="E15" s="31" t="s">
        <v>893</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893</v>
      </c>
      <c r="D16" s="263" t="s">
        <v>226</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891</v>
      </c>
      <c r="D17" s="263" t="s">
        <v>194</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893</v>
      </c>
      <c r="D18" s="263" t="s">
        <v>210</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891</v>
      </c>
      <c r="D19" s="263" t="s">
        <v>197</v>
      </c>
      <c r="E19" s="31" t="s">
        <v>891</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893</v>
      </c>
      <c r="D20" s="263" t="s">
        <v>217</v>
      </c>
      <c r="E20" s="31" t="s">
        <v>891</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891</v>
      </c>
      <c r="D21" s="263" t="s">
        <v>187</v>
      </c>
      <c r="E21" s="31" t="s">
        <v>893</v>
      </c>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893</v>
      </c>
      <c r="D22" s="263" t="s">
        <v>184</v>
      </c>
      <c r="E22" s="31" t="s">
        <v>893</v>
      </c>
      <c r="F22" s="20"/>
      <c r="G22" s="26"/>
      <c r="H22" s="287" t="s">
        <v>887</v>
      </c>
      <c r="I22" s="48" t="s">
        <v>888</v>
      </c>
      <c r="K22" s="291"/>
      <c r="L22" s="20"/>
      <c r="M22" s="26"/>
      <c r="N22" s="49"/>
      <c r="O22" s="289"/>
      <c r="P22" s="289"/>
      <c r="Q22" s="19"/>
    </row>
    <row r="23" ht="18.75" customHeight="1">
      <c r="A23" s="19"/>
      <c r="B23" s="26"/>
      <c r="C23" s="36" t="s">
        <v>891</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Kittens</v>
      </c>
      <c r="I25" s="295" t="s">
        <v>719</v>
      </c>
      <c r="J25" s="294" t="s">
        <v>720</v>
      </c>
      <c r="K25" s="294" t="s">
        <v>721</v>
      </c>
      <c r="L25" s="38"/>
      <c r="M25" s="26"/>
      <c r="N25" s="49"/>
      <c r="O25" s="289"/>
      <c r="P25" s="289"/>
      <c r="Q25" s="19"/>
    </row>
    <row r="26" ht="18.75" customHeight="1">
      <c r="A26" s="19"/>
      <c r="B26" s="26"/>
      <c r="C26" s="36"/>
      <c r="D26" s="292"/>
      <c r="E26" s="36"/>
      <c r="F26" s="20"/>
      <c r="G26" s="26"/>
      <c r="H26" s="296" t="str">
        <f t="array" ref="H26:K26">IF(Format="Solo",E2,IFNA(VLOOKUP(E2,TeamList,SEQUENCE(1,4,1),0),""))</f>
        <v>PLDT ANO NAAA</v>
      </c>
      <c r="I26" s="297" t="s">
        <v>722</v>
      </c>
      <c r="J26" s="296" t="s">
        <v>723</v>
      </c>
      <c r="K26" s="296" t="s">
        <v>724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VN+1</v>
      </c>
      <c r="D2" s="235" t="s">
        <v>854</v>
      </c>
      <c r="E2" s="236" t="str">
        <f>IFNA(VLOOKUP(I2,Schedules,5,0),"")</f>
        <v>PES E9L9</v>
      </c>
      <c r="F2" s="20"/>
      <c r="G2" s="21" t="s">
        <v>855</v>
      </c>
      <c r="H2" s="237" t="s">
        <v>856</v>
      </c>
      <c r="I2" s="238">
        <v>42.0</v>
      </c>
      <c r="K2" s="238"/>
      <c r="L2" s="20"/>
      <c r="M2" s="21" t="s">
        <v>857</v>
      </c>
      <c r="N2" s="239" t="s">
        <v>25</v>
      </c>
      <c r="O2" s="240" t="s">
        <v>35</v>
      </c>
      <c r="P2" s="4"/>
      <c r="Q2" s="19"/>
    </row>
    <row r="3" ht="18.75" customHeight="1">
      <c r="A3" s="19"/>
      <c r="B3" s="26"/>
      <c r="C3" s="241">
        <f>IF(D6="Blue",-1,COUNTIF(E14:E26,"Red"))</f>
        <v>6</v>
      </c>
      <c r="D3" s="242">
        <f>VLOOKUP(O2,MappoolSettings,2,0)</f>
        <v>11</v>
      </c>
      <c r="E3" s="243">
        <f>IF(D6="Red",-1,COUNTIF(E14:E26,"Blue"))</f>
        <v>5</v>
      </c>
      <c r="F3" s="20"/>
      <c r="G3" s="26"/>
      <c r="H3" s="244" t="s">
        <v>456</v>
      </c>
      <c r="I3" s="35" t="s">
        <v>583</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42**
&lt;https://osu.ppy.sh/community/matches/110313675&gt;
:red_square: VN+1 | 6 : 5 | PES E9L9 :blue_square:
VN+1 bans | NM6 HD2
PES E9L9 bans | HR1 NM3
First pick | VN+1
:red_square: | HR3: NICODE &amp; M2U - Predawn [Mixagji's Insane]"&amp;"
:red_square: | HD1: Usada Pekora - Discommunication Alien [Ayyken's Another]
:red_square: | DT2: -45 - System Sun [Hard]
:blue_square: | FM2: Hiiragi Magnetite - Marshall Maximizer feat. KAFU [Hyper]
:red_square: | HR2: Cranky - Luvin' You [Alazy's Anoth"&amp;"er]
:red_square: | NM4: Nekomata Master+ - squall [0pp's Insane (Tournament Edit)]
:blue_square: | DT3: Nekomata Master+ - chaos eater -IIDX edition- [HARD]
:blue_square: | HD3: succducc - me &amp; u [sing's insane]
:blue_square: | NM1: Sangatsu no Phantasia "&amp;"- Pink Lemonade [Insane]
:blue_square: | FM1: Two Door Cinema Club - Cigarettes in the Theatre [Insane]
:red_square: | TB1: Halozy - Genryuu Kaiko [Melody of Sanzu]")</f>
        <v>**Quarterfinals: Match 42**
&lt;https://osu.ppy.sh/community/matches/110313675&gt;
:red_square: VN+1 | 6 : 5 | PES E9L9 :blue_square:
VN+1 bans | NM6 HD2
PES E9L9 bans | HR1 NM3
First pick | VN+1
:red_square: | HR3: NICODE &amp; M2U - Predawn [Mixagji's Insane]
:red_square: | HD1: Usada Pekora - Discommunication Alien [Ayyken's Another]
:red_square: | DT2: -45 - System Sun [Hard]
:blue_square: | FM2: Hiiragi Magnetite - Marshall Maximizer feat. KAFU [Hyper]
:red_square: | HR2: Cranky - Luvin' You [Alazy's Another]
:red_square: | NM4: Nekomata Master+ - squall [0pp's Insane (Tournament Edit)]
:blue_square: | DT3: Nekomata Master+ - chaos eater -IIDX edition- [HARD]
:blue_square: | HD3: succducc - me &amp; u [sing's insane]
:blue_square: | NM1: Sangatsu no Phantasia - Pink Lemonade [Insane]
:blue_square: | FM1: Two Door Cinema Club - Cigarettes in the Theatre [Insane]
:red_square: | TB1: Halozy - Genryuu Kaiko [Melody of Sanzu]</v>
      </c>
      <c r="E4" s="248"/>
      <c r="F4" s="20"/>
      <c r="G4" s="26"/>
      <c r="H4" s="237" t="s">
        <v>452</v>
      </c>
      <c r="I4" s="249" t="str">
        <f>IFNA(VLOOKUP(I2,Schedules,6,0),"")</f>
        <v>RudderFish07</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577517 0</v>
      </c>
      <c r="E5" s="253" t="s">
        <v>122</v>
      </c>
      <c r="F5" s="20"/>
      <c r="G5" s="26"/>
      <c r="H5" s="237" t="s">
        <v>860</v>
      </c>
      <c r="I5" s="254">
        <f t="array" ref="I5">IFNA(SUM(VLOOKUP(I2,Schedules,{2,3},0)),"")</f>
        <v>45172.625</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(VN+1) vs (PES E9L9)</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VN+1</v>
      </c>
      <c r="D9" s="263" t="s">
        <v>194</v>
      </c>
      <c r="E9" s="238" t="s">
        <v>200</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PES E9L9</v>
      </c>
      <c r="D10" s="267" t="s">
        <v>207</v>
      </c>
      <c r="E10" s="268" t="s">
        <v>184</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fnugus</v>
      </c>
      <c r="J11" s="272" t="s">
        <v>909</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214</v>
      </c>
      <c r="E14" s="31" t="s">
        <v>893</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891</v>
      </c>
      <c r="D15" s="263" t="s">
        <v>197</v>
      </c>
      <c r="E15" s="31" t="s">
        <v>893</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893</v>
      </c>
      <c r="D16" s="263" t="s">
        <v>220</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891</v>
      </c>
      <c r="D17" s="263" t="s">
        <v>229</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893</v>
      </c>
      <c r="D18" s="263" t="s">
        <v>210</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891</v>
      </c>
      <c r="D19" s="263" t="s">
        <v>187</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893</v>
      </c>
      <c r="D20" s="263" t="s">
        <v>223</v>
      </c>
      <c r="E20" s="31" t="s">
        <v>891</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891</v>
      </c>
      <c r="D21" s="263" t="s">
        <v>204</v>
      </c>
      <c r="E21" s="31" t="s">
        <v>891</v>
      </c>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893</v>
      </c>
      <c r="D22" s="263" t="s">
        <v>178</v>
      </c>
      <c r="E22" s="31" t="s">
        <v>891</v>
      </c>
      <c r="F22" s="20"/>
      <c r="G22" s="26"/>
      <c r="H22" s="287" t="s">
        <v>887</v>
      </c>
      <c r="I22" s="48" t="s">
        <v>888</v>
      </c>
      <c r="K22" s="291"/>
      <c r="L22" s="20"/>
      <c r="M22" s="26"/>
      <c r="N22" s="49"/>
      <c r="O22" s="289"/>
      <c r="P22" s="289"/>
      <c r="Q22" s="19"/>
    </row>
    <row r="23" ht="18.75" customHeight="1">
      <c r="A23" s="19"/>
      <c r="B23" s="26"/>
      <c r="C23" s="36" t="s">
        <v>891</v>
      </c>
      <c r="D23" s="263" t="s">
        <v>226</v>
      </c>
      <c r="E23" s="31" t="s">
        <v>891</v>
      </c>
      <c r="F23" s="20"/>
      <c r="G23" s="26"/>
      <c r="H23" s="287" t="s">
        <v>889</v>
      </c>
      <c r="I23" s="48" t="s">
        <v>888</v>
      </c>
      <c r="K23" s="86"/>
      <c r="L23" s="20"/>
      <c r="M23" s="26"/>
      <c r="N23" s="49"/>
      <c r="O23" s="289"/>
      <c r="P23" s="289"/>
      <c r="Q23" s="19"/>
    </row>
    <row r="24" ht="18.75" customHeight="1">
      <c r="A24" s="19"/>
      <c r="B24" s="26"/>
      <c r="C24" s="36" t="s">
        <v>894</v>
      </c>
      <c r="D24" s="263" t="s">
        <v>232</v>
      </c>
      <c r="E24" s="31" t="s">
        <v>893</v>
      </c>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VN+1</v>
      </c>
      <c r="I25" s="295" t="s">
        <v>731</v>
      </c>
      <c r="J25" s="294" t="s">
        <v>732</v>
      </c>
      <c r="K25" s="294" t="s">
        <v>733</v>
      </c>
      <c r="L25" s="38"/>
      <c r="M25" s="26"/>
      <c r="N25" s="49"/>
      <c r="O25" s="289"/>
      <c r="P25" s="289"/>
      <c r="Q25" s="19"/>
    </row>
    <row r="26" ht="18.75" customHeight="1">
      <c r="A26" s="19"/>
      <c r="B26" s="26"/>
      <c r="C26" s="36"/>
      <c r="D26" s="292"/>
      <c r="E26" s="36"/>
      <c r="F26" s="20"/>
      <c r="G26" s="26"/>
      <c r="H26" s="296" t="str">
        <f t="array" ref="H26:K26">IF(Format="Solo",E2,IFNA(VLOOKUP(E2,TeamList,SEQUENCE(1,4,1),0),""))</f>
        <v>PES E9L9</v>
      </c>
      <c r="I26" s="297" t="s">
        <v>667</v>
      </c>
      <c r="J26" s="296" t="s">
        <v>668</v>
      </c>
      <c r="K26" s="296" t="s">
        <v>484</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Team name pending xd</v>
      </c>
      <c r="D2" s="235" t="s">
        <v>854</v>
      </c>
      <c r="E2" s="236" t="str">
        <f>IFNA(VLOOKUP(I2,Schedules,5,0),"")</f>
        <v>Chocomaid</v>
      </c>
      <c r="F2" s="20"/>
      <c r="G2" s="21" t="s">
        <v>855</v>
      </c>
      <c r="H2" s="237" t="s">
        <v>856</v>
      </c>
      <c r="I2" s="238">
        <v>43.0</v>
      </c>
      <c r="K2" s="238"/>
      <c r="L2" s="20"/>
      <c r="M2" s="21" t="s">
        <v>857</v>
      </c>
      <c r="N2" s="239" t="s">
        <v>25</v>
      </c>
      <c r="O2" s="240" t="s">
        <v>35</v>
      </c>
      <c r="P2" s="4"/>
      <c r="Q2" s="19"/>
    </row>
    <row r="3" ht="18.75" customHeight="1">
      <c r="A3" s="19"/>
      <c r="B3" s="26"/>
      <c r="C3" s="241">
        <f>IF(D6="Blue",-1,COUNTIF(E14:E26,"Red"))</f>
        <v>0</v>
      </c>
      <c r="D3" s="242">
        <f>VLOOKUP(O2,MappoolSettings,2,0)</f>
        <v>11</v>
      </c>
      <c r="E3" s="243">
        <f>IF(D6="Red",-1,COUNTIF(E14:E26,"Blue"))</f>
        <v>6</v>
      </c>
      <c r="F3" s="20"/>
      <c r="G3" s="26"/>
      <c r="H3" s="244" t="s">
        <v>456</v>
      </c>
      <c r="I3" s="35" t="s">
        <v>574</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43**
&lt;https://osu.ppy.sh/community/matches/110298939&gt;
:red_square: Team name pending xd | 0 : 6 | Chocomaid :blue_square:
Team name pending xd bans | NM2 HR1
Chocomaid bans | HD2 NM6
First pick | Chocomaid
:blue_square: | DT2: -"&amp;"45 - System Sun [Hard]
:blue_square: | HD3: succducc - me &amp; u [sing's insane]
:blue_square: | NM4: Nekomata Master+ - squall [0pp's Insane (Tournament Edit)]
:blue_square: | NM1: Sangatsu no Phantasia - Pink Lemonade [Insane]
:blue_square: | FM2: Hiiragi "&amp;"Magnetite - Marshall Maximizer feat. KAFU [Hyper]
:blue_square: | HD1: Usada Pekora - Discommunication Alien [Ayyken's Another]")</f>
        <v>**Quarterfinals: Match 43**
&lt;https://osu.ppy.sh/community/matches/110298939&gt;
:red_square: Team name pending xd | 0 : 6 | Chocomaid :blue_square:
Team name pending xd bans | NM2 HR1
Chocomaid bans | HD2 NM6
First pick | Chocomaid
:blue_square: | DT2: -45 - System Sun [Hard]
:blue_square: | HD3: succducc - me &amp; u [sing's insane]
:blue_square: | NM4: Nekomata Master+ - squall [0pp's Insane (Tournament Edit)]
:blue_square: | NM1: Sangatsu no Phantasia - Pink Lemonade [Insane]
:blue_square: | FM2: Hiiragi Magnetite - Marshall Maximizer feat. KAFU [Hyper]
:blue_square: | HD1: Usada Pekora - Discommunication Alien [Ayyken's Another]</v>
      </c>
      <c r="E4" s="248"/>
      <c r="F4" s="20"/>
      <c r="G4" s="26"/>
      <c r="H4" s="237" t="s">
        <v>452</v>
      </c>
      <c r="I4" s="249" t="str">
        <f>IFNA(VLOOKUP(I2,Schedules,6,0),"")</f>
        <v>reforna</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2671048 0</v>
      </c>
      <c r="E5" s="253" t="s">
        <v>91</v>
      </c>
      <c r="F5" s="20"/>
      <c r="G5" s="26"/>
      <c r="H5" s="237" t="s">
        <v>860</v>
      </c>
      <c r="I5" s="254">
        <f t="array" ref="I5">IFNA(SUM(VLOOKUP(I2,Schedules,{2,3},0)),"")</f>
        <v>45172.58333</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(Team name pending xd) vs (Chocomaid)</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Team name pending xd</v>
      </c>
      <c r="D9" s="263" t="s">
        <v>181</v>
      </c>
      <c r="E9" s="238" t="s">
        <v>207</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Chocomaid</v>
      </c>
      <c r="D10" s="267" t="s">
        <v>200</v>
      </c>
      <c r="E10" s="268" t="s">
        <v>194</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BlooMertz</v>
      </c>
      <c r="J11" s="272" t="s">
        <v>892</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Blue</v>
      </c>
      <c r="D14" s="263" t="s">
        <v>220</v>
      </c>
      <c r="E14" s="31" t="s">
        <v>891</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893</v>
      </c>
      <c r="D15" s="263" t="s">
        <v>204</v>
      </c>
      <c r="E15" s="31" t="s">
        <v>891</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891</v>
      </c>
      <c r="D16" s="263" t="s">
        <v>187</v>
      </c>
      <c r="E16" s="31" t="s">
        <v>891</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893</v>
      </c>
      <c r="D17" s="263" t="s">
        <v>178</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891</v>
      </c>
      <c r="D18" s="263" t="s">
        <v>229</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893</v>
      </c>
      <c r="D19" s="263" t="s">
        <v>197</v>
      </c>
      <c r="E19" s="31" t="s">
        <v>891</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891</v>
      </c>
      <c r="D20" s="263"/>
      <c r="E20" s="31"/>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893</v>
      </c>
      <c r="D21" s="263"/>
      <c r="E21" s="31"/>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891</v>
      </c>
      <c r="D22" s="263"/>
      <c r="E22" s="31"/>
      <c r="F22" s="20"/>
      <c r="G22" s="26"/>
      <c r="H22" s="287" t="s">
        <v>887</v>
      </c>
      <c r="I22" s="48" t="s">
        <v>888</v>
      </c>
      <c r="K22" s="291"/>
      <c r="L22" s="20"/>
      <c r="M22" s="26"/>
      <c r="N22" s="49"/>
      <c r="O22" s="289"/>
      <c r="P22" s="289"/>
      <c r="Q22" s="19"/>
    </row>
    <row r="23" ht="18.75" customHeight="1">
      <c r="A23" s="19"/>
      <c r="B23" s="26"/>
      <c r="C23" s="36" t="s">
        <v>893</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Team name pending xd</v>
      </c>
      <c r="I25" s="295" t="s">
        <v>510</v>
      </c>
      <c r="J25" s="294" t="s">
        <v>691</v>
      </c>
      <c r="K25" s="294" t="s">
        <v>692</v>
      </c>
      <c r="L25" s="38"/>
      <c r="M25" s="26"/>
      <c r="N25" s="49"/>
      <c r="O25" s="289"/>
      <c r="P25" s="289"/>
      <c r="Q25" s="19"/>
    </row>
    <row r="26" ht="18.75" customHeight="1">
      <c r="A26" s="19"/>
      <c r="B26" s="26"/>
      <c r="C26" s="36"/>
      <c r="D26" s="292"/>
      <c r="E26" s="36"/>
      <c r="F26" s="20"/>
      <c r="G26" s="26"/>
      <c r="H26" s="296" t="str">
        <f t="array" ref="H26:K26">IF(Format="Solo",E2,IFNA(VLOOKUP(E2,TeamList,SEQUENCE(1,4,1),0),""))</f>
        <v>Chocomaid</v>
      </c>
      <c r="I26" s="297" t="s">
        <v>716</v>
      </c>
      <c r="J26" s="296" t="s">
        <v>717</v>
      </c>
      <c r="K26" s="296" t="s">
        <v>718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Kittens</v>
      </c>
      <c r="D2" s="235" t="s">
        <v>854</v>
      </c>
      <c r="E2" s="236" t="str">
        <f>IFNA(VLOOKUP(I2,Schedules,5,0),"")</f>
        <v>The sleepers</v>
      </c>
      <c r="F2" s="20"/>
      <c r="G2" s="21" t="s">
        <v>855</v>
      </c>
      <c r="H2" s="237" t="s">
        <v>856</v>
      </c>
      <c r="I2" s="238">
        <v>44.0</v>
      </c>
      <c r="K2" s="238"/>
      <c r="L2" s="20"/>
      <c r="M2" s="21" t="s">
        <v>857</v>
      </c>
      <c r="N2" s="239" t="s">
        <v>25</v>
      </c>
      <c r="O2" s="240" t="s">
        <v>35</v>
      </c>
      <c r="P2" s="4"/>
      <c r="Q2" s="19"/>
    </row>
    <row r="3" ht="18.75" customHeight="1">
      <c r="A3" s="19"/>
      <c r="B3" s="26"/>
      <c r="C3" s="241">
        <f>IF(D6="Blue",-1,COUNTIF(E14:E26,"Red"))</f>
        <v>4</v>
      </c>
      <c r="D3" s="242">
        <f>VLOOKUP(O2,MappoolSettings,2,0)</f>
        <v>11</v>
      </c>
      <c r="E3" s="243">
        <f>IF(D6="Red",-1,COUNTIF(E14:E26,"Blue"))</f>
        <v>6</v>
      </c>
      <c r="F3" s="20"/>
      <c r="G3" s="26"/>
      <c r="H3" s="244" t="s">
        <v>456</v>
      </c>
      <c r="I3" s="300" t="s">
        <v>577</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44**
&lt;https://osu.ppy.sh/community/matches/110300869&gt;
:red_square: Kittens | 4 : 6 | The sleepers :blue_square:
Kittens bans | NM1 NM5
The sleepers bans | HD2 DT3
First pick | The sleepers
:blue_square: | NM3: Meguro Shoji feat."&amp;" Lyn - Last Surprise -Scramble- [Expert]
:blue_square: | HR2: Cranky - Luvin' You [Alazy's Another]
:red_square: | NM4: Nekomata Master+ - squall [0pp's Insane (Tournament Edit)]
:blue_square: | DT1: Reol - Asymmetry [pk's Hard]
:blue_square: | NM2: Thaeh"&amp;"an - Doki-Doki [rockstarrzz' Insane]
:red_square: | FM2: Hiiragi Magnetite - Marshall Maximizer feat. KAFU [Hyper]
:red_square: | HD1: Usada Pekora - Discommunication Alien [Ayyken's Another]
:red_square: | NM6: Franz Ferdinand - This Fffire (TV Size) [en"&amp;"ri's iNnnsane]
:blue_square: | DT2: -45 - System Sun [Hard]
:blue_square: | HR1: kessoku band - Guitar to Kodoku to Aoi Hoshi [kuuti's Insane]")</f>
        <v>**Quarterfinals: Match 44**
&lt;https://osu.ppy.sh/community/matches/110300869&gt;
:red_square: Kittens | 4 : 6 | The sleepers :blue_square:
Kittens bans | NM1 NM5
The sleepers bans | HD2 DT3
First pick | The sleepers
:blue_square: | NM3: Meguro Shoji feat. Lyn - Last Surprise -Scramble- [Expert]
:blue_square: | HR2: Cranky - Luvin' You [Alazy's Another]
:red_square: | NM4: Nekomata Master+ - squall [0pp's Insane (Tournament Edit)]
:blue_square: | DT1: Reol - Asymmetry [pk's Hard]
:blue_square: | NM2: Thaehan - Doki-Doki [rockstarrzz' Insane]
:red_square: | FM2: Hiiragi Magnetite - Marshall Maximizer feat. KAFU [Hyper]
:red_square: | HD1: Usada Pekora - Discommunication Alien [Ayyken's Another]
:red_square: | NM6: Franz Ferdinand - This Fffire (TV Size) [enri's iNnnsane]
:blue_square: | DT2: -45 - System Sun [Hard]
:blue_square: | HR1: kessoku band - Guitar to Kodoku to Aoi Hoshi [kuuti's Insane]</v>
      </c>
      <c r="E4" s="248"/>
      <c r="F4" s="20"/>
      <c r="G4" s="26"/>
      <c r="H4" s="237" t="s">
        <v>452</v>
      </c>
      <c r="I4" s="249" t="str">
        <f>IFNA(VLOOKUP(I2,Schedules,6,0),"")</f>
        <v>Emerald Ages</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3913591 0</v>
      </c>
      <c r="E5" s="253" t="s">
        <v>100</v>
      </c>
      <c r="F5" s="20"/>
      <c r="G5" s="26"/>
      <c r="H5" s="237" t="s">
        <v>860</v>
      </c>
      <c r="I5" s="254">
        <f t="array" ref="I5">IFNA(SUM(VLOOKUP(I2,Schedules,{2,3},0)),"")</f>
        <v>45172.58333</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(Kittens) vs (The sleepers)</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Kittens</v>
      </c>
      <c r="D9" s="263" t="s">
        <v>178</v>
      </c>
      <c r="E9" s="238" t="s">
        <v>190</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The sleepers</v>
      </c>
      <c r="D10" s="267" t="s">
        <v>200</v>
      </c>
      <c r="E10" s="268" t="s">
        <v>223</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Rurup</v>
      </c>
      <c r="J11" s="272" t="s">
        <v>899</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Blue</v>
      </c>
      <c r="D14" s="263" t="s">
        <v>184</v>
      </c>
      <c r="E14" s="31" t="s">
        <v>891</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893</v>
      </c>
      <c r="D15" s="263" t="s">
        <v>210</v>
      </c>
      <c r="E15" s="31" t="s">
        <v>891</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891</v>
      </c>
      <c r="D16" s="263" t="s">
        <v>187</v>
      </c>
      <c r="E16" s="31" t="s">
        <v>893</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893</v>
      </c>
      <c r="D17" s="263" t="s">
        <v>217</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891</v>
      </c>
      <c r="D18" s="263" t="s">
        <v>181</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893</v>
      </c>
      <c r="D19" s="263" t="s">
        <v>229</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891</v>
      </c>
      <c r="D20" s="263" t="s">
        <v>197</v>
      </c>
      <c r="E20" s="31" t="s">
        <v>893</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893</v>
      </c>
      <c r="D21" s="263" t="s">
        <v>194</v>
      </c>
      <c r="E21" s="31" t="s">
        <v>893</v>
      </c>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891</v>
      </c>
      <c r="D22" s="263" t="s">
        <v>220</v>
      </c>
      <c r="E22" s="31" t="s">
        <v>891</v>
      </c>
      <c r="F22" s="20"/>
      <c r="G22" s="26"/>
      <c r="H22" s="287" t="s">
        <v>887</v>
      </c>
      <c r="I22" s="48" t="s">
        <v>888</v>
      </c>
      <c r="K22" s="291"/>
      <c r="L22" s="20"/>
      <c r="M22" s="26"/>
      <c r="N22" s="49"/>
      <c r="O22" s="289"/>
      <c r="P22" s="289"/>
      <c r="Q22" s="19"/>
    </row>
    <row r="23" ht="18.75" customHeight="1">
      <c r="A23" s="19"/>
      <c r="B23" s="26"/>
      <c r="C23" s="36" t="s">
        <v>893</v>
      </c>
      <c r="D23" s="263" t="s">
        <v>207</v>
      </c>
      <c r="E23" s="31" t="s">
        <v>891</v>
      </c>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Kittens</v>
      </c>
      <c r="I25" s="295" t="s">
        <v>719</v>
      </c>
      <c r="J25" s="294" t="s">
        <v>720</v>
      </c>
      <c r="K25" s="294" t="s">
        <v>721</v>
      </c>
      <c r="L25" s="38"/>
      <c r="M25" s="26"/>
      <c r="N25" s="49"/>
      <c r="O25" s="289"/>
      <c r="P25" s="289"/>
      <c r="Q25" s="19"/>
    </row>
    <row r="26" ht="18.75" customHeight="1">
      <c r="A26" s="19"/>
      <c r="B26" s="26"/>
      <c r="C26" s="36"/>
      <c r="D26" s="292"/>
      <c r="E26" s="36"/>
      <c r="F26" s="20"/>
      <c r="G26" s="26"/>
      <c r="H26" s="296" t="str">
        <f t="array" ref="H26:K26">IF(Format="Solo",E2,IFNA(VLOOKUP(E2,TeamList,SEQUENCE(1,4,1),0),""))</f>
        <v>The sleepers</v>
      </c>
      <c r="I26" s="297" t="s">
        <v>779</v>
      </c>
      <c r="J26" s="296" t="s">
        <v>780</v>
      </c>
      <c r="K26" s="296" t="s">
        <v>781</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Homossexual Students</v>
      </c>
      <c r="D2" s="235" t="s">
        <v>854</v>
      </c>
      <c r="E2" s="236" t="str">
        <f>IFNA(VLOOKUP(I2,Schedules,5,0),"")</f>
        <v>female ass wrestling</v>
      </c>
      <c r="F2" s="20"/>
      <c r="G2" s="21" t="s">
        <v>855</v>
      </c>
      <c r="H2" s="237" t="s">
        <v>856</v>
      </c>
      <c r="I2" s="238">
        <v>46.0</v>
      </c>
      <c r="K2" s="238"/>
      <c r="L2" s="20"/>
      <c r="M2" s="21" t="s">
        <v>857</v>
      </c>
      <c r="N2" s="239" t="s">
        <v>25</v>
      </c>
      <c r="O2" s="240" t="s">
        <v>35</v>
      </c>
      <c r="P2" s="4"/>
      <c r="Q2" s="19"/>
    </row>
    <row r="3" ht="18.75" customHeight="1">
      <c r="A3" s="19"/>
      <c r="B3" s="26"/>
      <c r="C3" s="241">
        <f>IF(D6="Blue",-1,COUNTIF(E14:E26,"Red"))</f>
        <v>0</v>
      </c>
      <c r="D3" s="242">
        <f>VLOOKUP(O2,MappoolSettings,2,0)</f>
        <v>11</v>
      </c>
      <c r="E3" s="243">
        <f>IF(D6="Red",-1,COUNTIF(E14:E26,"Blue"))</f>
        <v>6</v>
      </c>
      <c r="F3" s="20"/>
      <c r="G3" s="26"/>
      <c r="H3" s="244" t="s">
        <v>456</v>
      </c>
      <c r="I3" s="35" t="s">
        <v>590</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46**
&lt;https://osu.ppy.sh/community/matches/110289632&gt;
:red_square: Homossexual Students | 0 : 6 | female ass wrestling :blue_square:
Homossexual Students bans | HR3 DT3
female ass wrestling bans | HR1 HD1
First pick | Homossexual"&amp;" Students
:blue_square: | HD2: BRZion - Game Brain [Insane]
:blue_square: | NM6: Franz Ferdinand - This Fffire (TV Size) [enri's iNnnsane]
:blue_square: | NM4: Nekomata Master+ - squall [0pp's Insane (Tournament Edit)]
:blue_square: | FM2: Hiiragi Magnet"&amp;"ite - Marshall Maximizer feat. KAFU [Hyper]
:blue_square: | NM3: Meguro Shoji feat. Lyn - Last Surprise -Scramble- [Expert]
:blue_square: | HR2: Cranky - Luvin' You [Alazy's Another]")</f>
        <v>**Quarterfinals: Match 46**
&lt;https://osu.ppy.sh/community/matches/110289632&gt;
:red_square: Homossexual Students | 0 : 6 | female ass wrestling :blue_square:
Homossexual Students bans | HR3 DT3
female ass wrestling bans | HR1 HD1
First pick | Homossexual Students
:blue_square: | HD2: BRZion - Game Brain [Insane]
:blue_square: | NM6: Franz Ferdinand - This Fffire (TV Size) [enri's iNnnsane]
:blue_square: | NM4: Nekomata Master+ - squall [0pp's Insane (Tournament Edit)]
:blue_square: | FM2: Hiiragi Magnetite - Marshall Maximizer feat. KAFU [Hyper]
:blue_square: | NM3: Meguro Shoji feat. Lyn - Last Surprise -Scramble- [Expert]
:blue_square: | HR2: Cranky - Luvin' You [Alazy's Another]</v>
      </c>
      <c r="E4" s="248"/>
      <c r="F4" s="20"/>
      <c r="G4" s="26"/>
      <c r="H4" s="237" t="s">
        <v>452</v>
      </c>
      <c r="I4" s="238" t="s">
        <v>921</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37750 0</v>
      </c>
      <c r="E5" s="253" t="s">
        <v>100</v>
      </c>
      <c r="F5" s="20"/>
      <c r="G5" s="26"/>
      <c r="H5" s="237" t="s">
        <v>860</v>
      </c>
      <c r="I5" s="254">
        <f t="array" ref="I5">IFNA(SUM(VLOOKUP(I2,Schedules,{2,3},0)),"")</f>
        <v>45172.75</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(Homossexual Students) vs (female ass wrestling)</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Homossexual Students</v>
      </c>
      <c r="D9" s="263" t="s">
        <v>214</v>
      </c>
      <c r="E9" s="238" t="s">
        <v>223</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female ass wrestling</v>
      </c>
      <c r="D10" s="267" t="s">
        <v>207</v>
      </c>
      <c r="E10" s="268" t="s">
        <v>197</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DUM4L77</v>
      </c>
      <c r="J11" s="272" t="s">
        <v>922</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200</v>
      </c>
      <c r="E14" s="31" t="s">
        <v>891</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891</v>
      </c>
      <c r="D15" s="263" t="s">
        <v>194</v>
      </c>
      <c r="E15" s="31" t="s">
        <v>891</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893</v>
      </c>
      <c r="D16" s="263" t="s">
        <v>187</v>
      </c>
      <c r="E16" s="31" t="s">
        <v>891</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891</v>
      </c>
      <c r="D17" s="263" t="s">
        <v>229</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893</v>
      </c>
      <c r="D18" s="263" t="s">
        <v>184</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891</v>
      </c>
      <c r="D19" s="263" t="s">
        <v>210</v>
      </c>
      <c r="E19" s="31" t="s">
        <v>891</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893</v>
      </c>
      <c r="D20" s="263"/>
      <c r="E20" s="31"/>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891</v>
      </c>
      <c r="D21" s="263"/>
      <c r="E21" s="31"/>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893</v>
      </c>
      <c r="D22" s="263"/>
      <c r="E22" s="31"/>
      <c r="F22" s="20"/>
      <c r="G22" s="26"/>
      <c r="H22" s="287" t="s">
        <v>887</v>
      </c>
      <c r="I22" s="48" t="s">
        <v>888</v>
      </c>
      <c r="K22" s="291"/>
      <c r="L22" s="20"/>
      <c r="M22" s="26"/>
      <c r="N22" s="49"/>
      <c r="O22" s="289"/>
      <c r="P22" s="289"/>
      <c r="Q22" s="19"/>
    </row>
    <row r="23" ht="18.75" customHeight="1">
      <c r="A23" s="19"/>
      <c r="B23" s="26"/>
      <c r="C23" s="36" t="s">
        <v>891</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Homossexual Students</v>
      </c>
      <c r="I25" s="295" t="s">
        <v>713</v>
      </c>
      <c r="J25" s="294" t="s">
        <v>714</v>
      </c>
      <c r="K25" s="294" t="s">
        <v>715</v>
      </c>
      <c r="L25" s="38"/>
      <c r="M25" s="26"/>
      <c r="N25" s="49"/>
      <c r="O25" s="289"/>
      <c r="P25" s="289"/>
      <c r="Q25" s="19"/>
    </row>
    <row r="26" ht="18.75" customHeight="1">
      <c r="A26" s="19"/>
      <c r="B26" s="26"/>
      <c r="C26" s="36"/>
      <c r="D26" s="292"/>
      <c r="E26" s="36"/>
      <c r="F26" s="20"/>
      <c r="G26" s="26"/>
      <c r="H26" s="296" t="str">
        <f t="array" ref="H26:K26">IF(Format="Solo",E2,IFNA(VLOOKUP(E2,TeamList,SEQUENCE(1,4,1),0),""))</f>
        <v>female ass wrestling</v>
      </c>
      <c r="I26" s="297" t="s">
        <v>746</v>
      </c>
      <c r="J26" s="296" t="s">
        <v>747</v>
      </c>
      <c r="K26" s="296" t="s">
        <v>748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small wiener club</v>
      </c>
      <c r="D2" s="235" t="s">
        <v>854</v>
      </c>
      <c r="E2" s="236" t="str">
        <f>IFNA(VLOOKUP(I2,Schedules,5,0),"")</f>
        <v>placeholder teamname</v>
      </c>
      <c r="F2" s="20"/>
      <c r="G2" s="21" t="s">
        <v>855</v>
      </c>
      <c r="H2" s="237" t="s">
        <v>856</v>
      </c>
      <c r="I2" s="238">
        <v>45.0</v>
      </c>
      <c r="K2" s="238"/>
      <c r="L2" s="20"/>
      <c r="M2" s="21" t="s">
        <v>857</v>
      </c>
      <c r="N2" s="239" t="s">
        <v>25</v>
      </c>
      <c r="O2" s="240" t="s">
        <v>35</v>
      </c>
      <c r="P2" s="4"/>
      <c r="Q2" s="19"/>
    </row>
    <row r="3" ht="18.75" customHeight="1">
      <c r="A3" s="19"/>
      <c r="B3" s="26"/>
      <c r="C3" s="241">
        <f>IF(D6="Blue",-1,COUNTIF(E14:E26,"Red"))</f>
        <v>2</v>
      </c>
      <c r="D3" s="242">
        <f>VLOOKUP(O2,MappoolSettings,2,0)</f>
        <v>11</v>
      </c>
      <c r="E3" s="243">
        <f>IF(D6="Red",-1,COUNTIF(E14:E26,"Blue"))</f>
        <v>6</v>
      </c>
      <c r="F3" s="20"/>
      <c r="G3" s="26"/>
      <c r="H3" s="244" t="s">
        <v>456</v>
      </c>
      <c r="I3" s="35" t="s">
        <v>561</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45**
&lt;https://osu.ppy.sh/community/matches/110282200&gt;
:red_square: small wiener club | 2 : 6 | placeholder teamname :blue_square:
small wiener club bans | HD2 NM6
placeholder teamname bans | HR1 FM1
First pick | small wiener club"&amp;"
:blue_square: | DT2: -45 - System Sun [Hard]
:blue_square: | NM2: Thaehan - Doki-Doki [rockstarrzz' Insane]
:blue_square: | HR2: Cranky - Luvin' You [Alazy's Another]
:blue_square: | HD1: Usada Pekora - Discommunication Alien [Ayyken's Another]
:red_squ"&amp;"are: | FM2: Hiiragi Magnetite - Marshall Maximizer feat. KAFU [Hyper]
:red_square: | NM3: Meguro Shoji feat. Lyn - Last Surprise -Scramble- [Expert]
:blue_square: | NM4: Nekomata Master+ - squall [0pp's Insane (Tournament Edit)]
:blue_square: | HD3: succd"&amp;"ucc - me &amp; u [sing's insane]")</f>
        <v>**Quarterfinals: Match 45**
&lt;https://osu.ppy.sh/community/matches/110282200&gt;
:red_square: small wiener club | 2 : 6 | placeholder teamname :blue_square:
small wiener club bans | HD2 NM6
placeholder teamname bans | HR1 FM1
First pick | small wiener club
:blue_square: | DT2: -45 - System Sun [Hard]
:blue_square: | NM2: Thaehan - Doki-Doki [rockstarrzz' Insane]
:blue_square: | HR2: Cranky - Luvin' You [Alazy's Another]
:blue_square: | HD1: Usada Pekora - Discommunication Alien [Ayyken's Another]
:red_square: | FM2: Hiiragi Magnetite - Marshall Maximizer feat. KAFU [Hyper]
:red_square: | NM3: Meguro Shoji feat. Lyn - Last Surprise -Scramble- [Expert]
:blue_square: | NM4: Nekomata Master+ - squall [0pp's Insane (Tournament Edit)]
:blue_square: | HD3: succducc - me &amp; u [sing's insane]</v>
      </c>
      <c r="E4" s="248"/>
      <c r="F4" s="20"/>
      <c r="G4" s="26"/>
      <c r="H4" s="237" t="s">
        <v>452</v>
      </c>
      <c r="I4" s="249" t="str">
        <f>IFNA(VLOOKUP(I2,Schedules,6,0),"")</f>
        <v>Emerald Ages</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1491793 0</v>
      </c>
      <c r="E5" s="253" t="s">
        <v>91</v>
      </c>
      <c r="F5" s="20"/>
      <c r="G5" s="26"/>
      <c r="H5" s="237" t="s">
        <v>860</v>
      </c>
      <c r="I5" s="254">
        <f t="array" ref="I5">IFNA(SUM(VLOOKUP(I2,Schedules,{2,3},0)),"")</f>
        <v>45171.54167</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(small wiener club) vs (placeholder teamname)</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small wiener club</v>
      </c>
      <c r="D9" s="263" t="s">
        <v>200</v>
      </c>
      <c r="E9" s="238" t="s">
        <v>194</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placeholder teamname</v>
      </c>
      <c r="D10" s="267" t="s">
        <v>207</v>
      </c>
      <c r="E10" s="268" t="s">
        <v>226</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SiriusOnly</v>
      </c>
      <c r="J11" s="272" t="s">
        <v>917</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220</v>
      </c>
      <c r="E14" s="31" t="s">
        <v>891</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891</v>
      </c>
      <c r="D15" s="263" t="s">
        <v>181</v>
      </c>
      <c r="E15" s="31" t="s">
        <v>891</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893</v>
      </c>
      <c r="D16" s="263" t="s">
        <v>210</v>
      </c>
      <c r="E16" s="31" t="s">
        <v>891</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891</v>
      </c>
      <c r="D17" s="263" t="s">
        <v>197</v>
      </c>
      <c r="E17" s="31" t="s">
        <v>891</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893</v>
      </c>
      <c r="D18" s="263" t="s">
        <v>229</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891</v>
      </c>
      <c r="D19" s="263" t="s">
        <v>184</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893</v>
      </c>
      <c r="D20" s="263" t="s">
        <v>187</v>
      </c>
      <c r="E20" s="31" t="s">
        <v>891</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891</v>
      </c>
      <c r="D21" s="263" t="s">
        <v>204</v>
      </c>
      <c r="E21" s="31" t="s">
        <v>891</v>
      </c>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893</v>
      </c>
      <c r="D22" s="263"/>
      <c r="E22" s="31"/>
      <c r="F22" s="20"/>
      <c r="G22" s="26"/>
      <c r="H22" s="287" t="s">
        <v>887</v>
      </c>
      <c r="I22" s="48" t="s">
        <v>888</v>
      </c>
      <c r="K22" s="291"/>
      <c r="L22" s="20"/>
      <c r="M22" s="26"/>
      <c r="N22" s="49"/>
      <c r="O22" s="289"/>
      <c r="P22" s="289"/>
      <c r="Q22" s="19"/>
    </row>
    <row r="23" ht="18.75" customHeight="1">
      <c r="A23" s="19"/>
      <c r="B23" s="26"/>
      <c r="C23" s="36" t="s">
        <v>891</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small wiener club</v>
      </c>
      <c r="I25" s="295" t="s">
        <v>766</v>
      </c>
      <c r="J25" s="294" t="s">
        <v>767</v>
      </c>
      <c r="K25" s="294" t="s">
        <v>768</v>
      </c>
      <c r="L25" s="38"/>
      <c r="M25" s="26"/>
      <c r="N25" s="49"/>
      <c r="O25" s="289"/>
      <c r="P25" s="289"/>
      <c r="Q25" s="19"/>
    </row>
    <row r="26" ht="18.75" customHeight="1">
      <c r="A26" s="19"/>
      <c r="B26" s="26"/>
      <c r="C26" s="36"/>
      <c r="D26" s="292"/>
      <c r="E26" s="36"/>
      <c r="F26" s="20"/>
      <c r="G26" s="26"/>
      <c r="H26" s="296" t="str">
        <f t="array" ref="H26:K26">IF(Format="Solo",E2,IFNA(VLOOKUP(E2,TeamList,SEQUENCE(1,4,1),0),""))</f>
        <v>placeholder teamname</v>
      </c>
      <c r="I26" s="297" t="s">
        <v>788</v>
      </c>
      <c r="J26" s="296" t="s">
        <v>789</v>
      </c>
      <c r="K26" s="296" t="s">
        <v>790</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:MIPINGA:</v>
      </c>
      <c r="D2" s="235" t="s">
        <v>854</v>
      </c>
      <c r="E2" s="236" t="str">
        <f>IFNA(VLOOKUP(I2,Schedules,5,0),"")</f>
        <v>Ghost the Angel</v>
      </c>
      <c r="F2" s="20"/>
      <c r="G2" s="21" t="s">
        <v>855</v>
      </c>
      <c r="H2" s="237" t="s">
        <v>856</v>
      </c>
      <c r="I2" s="238">
        <v>47.0</v>
      </c>
      <c r="K2" s="238"/>
      <c r="L2" s="20"/>
      <c r="M2" s="21" t="s">
        <v>857</v>
      </c>
      <c r="N2" s="239" t="s">
        <v>25</v>
      </c>
      <c r="O2" s="240" t="s">
        <v>35</v>
      </c>
      <c r="P2" s="4"/>
      <c r="Q2" s="19"/>
    </row>
    <row r="3" ht="18.75" customHeight="1">
      <c r="A3" s="19"/>
      <c r="B3" s="26"/>
      <c r="C3" s="241">
        <f>IF(D6="Blue",-1,COUNTIF(E14:E26,"Red"))</f>
        <v>0</v>
      </c>
      <c r="D3" s="242">
        <f>VLOOKUP(O2,MappoolSettings,2,0)</f>
        <v>11</v>
      </c>
      <c r="E3" s="243">
        <f>IF(D6="Red",-1,COUNTIF(E14:E26,"Blue"))</f>
        <v>-1</v>
      </c>
      <c r="F3" s="20"/>
      <c r="G3" s="26"/>
      <c r="H3" s="244" t="s">
        <v>456</v>
      </c>
      <c r="I3" s="23"/>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47**
Win by default for :MIPINGA:")</f>
        <v>**Quarterfinals: Match 47**
Win by default for :MIPINGA:</v>
      </c>
      <c r="E4" s="248"/>
      <c r="F4" s="20"/>
      <c r="G4" s="26"/>
      <c r="H4" s="237" t="s">
        <v>452</v>
      </c>
      <c r="I4" s="249" t="str">
        <f>IFNA(VLOOKUP(I2,Schedules,6,0),"")</f>
        <v>Pischok</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
      </c>
      <c r="E5" s="253"/>
      <c r="F5" s="20"/>
      <c r="G5" s="26"/>
      <c r="H5" s="237" t="s">
        <v>860</v>
      </c>
      <c r="I5" s="254">
        <f t="array" ref="I5">IFNA(SUM(VLOOKUP(I2,Schedules,{2,3},0)),"")</f>
        <v>45171.625</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t="s">
        <v>893</v>
      </c>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(:MIPINGA:) vs (Ghost the Angel)</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:MIPINGA:</v>
      </c>
      <c r="D9" s="263"/>
      <c r="E9" s="238"/>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Ghost the Angel</v>
      </c>
      <c r="D10" s="267"/>
      <c r="E10" s="268"/>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c r="F11" s="20"/>
      <c r="G11" s="26"/>
      <c r="H11" s="244" t="s">
        <v>871</v>
      </c>
      <c r="I11" s="272" t="str">
        <f t="array" ref="I11:J11">IF({H25,H26}="",,"!mp invite "&amp;{I25,I26})</f>
        <v>!mp invite RAAPslimshady</v>
      </c>
      <c r="J11" s="272" t="s">
        <v>919</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IF(D11="",,{IF(MOD(SEQUENCE(D3-1,1),2)=1,IF(D11="Red","Red","Blue"),IF(D11="Red","Blue","Red"));"Tiebreaker"})</f>
        <v/>
      </c>
      <c r="D14" s="263"/>
      <c r="E14" s="31"/>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c r="D15" s="263"/>
      <c r="E15" s="31"/>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c r="D16" s="263"/>
      <c r="E16" s="31"/>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c r="D17" s="263"/>
      <c r="E17" s="31"/>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c r="D18" s="263"/>
      <c r="E18" s="31"/>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c r="D19" s="263"/>
      <c r="E19" s="31"/>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c r="D20" s="263"/>
      <c r="E20" s="31"/>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c r="D21" s="263"/>
      <c r="E21" s="31"/>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:MIPINGA:</v>
      </c>
      <c r="I25" s="295" t="s">
        <v>791</v>
      </c>
      <c r="J25" s="294" t="s">
        <v>792</v>
      </c>
      <c r="K25" s="294" t="s">
        <v>793</v>
      </c>
      <c r="L25" s="38"/>
      <c r="M25" s="26"/>
      <c r="N25" s="49"/>
      <c r="O25" s="289"/>
      <c r="P25" s="289"/>
      <c r="Q25" s="19"/>
    </row>
    <row r="26" ht="18.75" customHeight="1">
      <c r="A26" s="19"/>
      <c r="B26" s="26"/>
      <c r="C26" s="36"/>
      <c r="D26" s="292"/>
      <c r="E26" s="36"/>
      <c r="F26" s="20"/>
      <c r="G26" s="26"/>
      <c r="H26" s="296" t="str">
        <f t="array" ref="H26:K26">IF(Format="Solo",E2,IFNA(VLOOKUP(E2,TeamList,SEQUENCE(1,4,1),0),""))</f>
        <v>Ghost the Angel</v>
      </c>
      <c r="I26" s="297" t="s">
        <v>596</v>
      </c>
      <c r="J26" s="296" t="s">
        <v>641</v>
      </c>
      <c r="K26" s="296" t="s">
        <v>642</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N5"/>
    <hyperlink r:id="rId3" ref="N6"/>
    <hyperlink r:id="rId4" ref="N7"/>
    <hyperlink r:id="rId5" ref="N8"/>
    <hyperlink r:id="rId6" ref="N9"/>
    <hyperlink r:id="rId7" ref="N10"/>
    <hyperlink r:id="rId8" ref="N11"/>
    <hyperlink r:id="rId9" ref="N12"/>
    <hyperlink r:id="rId10" ref="N13"/>
    <hyperlink r:id="rId11" ref="N14"/>
    <hyperlink r:id="rId12" ref="N15"/>
    <hyperlink r:id="rId13" ref="N16"/>
    <hyperlink r:id="rId14" ref="N17"/>
    <hyperlink r:id="rId15" ref="N18"/>
    <hyperlink r:id="rId16" ref="N19"/>
    <hyperlink r:id="rId17" ref="N20"/>
    <hyperlink r:id="rId18" ref="N21"/>
  </hyperlinks>
  <drawing r:id="rId19"/>
  <legacyDrawing r:id="rId20"/>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match in 15</v>
      </c>
      <c r="D2" s="235" t="s">
        <v>854</v>
      </c>
      <c r="E2" s="236" t="str">
        <f>IFNA(VLOOKUP(I2,Schedules,5,0),"")</f>
        <v>Tom and Jerry</v>
      </c>
      <c r="F2" s="20"/>
      <c r="G2" s="21" t="s">
        <v>855</v>
      </c>
      <c r="H2" s="237" t="s">
        <v>856</v>
      </c>
      <c r="I2" s="238">
        <v>48.0</v>
      </c>
      <c r="K2" s="238"/>
      <c r="L2" s="20"/>
      <c r="M2" s="21" t="s">
        <v>857</v>
      </c>
      <c r="N2" s="239" t="s">
        <v>25</v>
      </c>
      <c r="O2" s="240" t="s">
        <v>35</v>
      </c>
      <c r="P2" s="4"/>
      <c r="Q2" s="19"/>
    </row>
    <row r="3" ht="18.75" customHeight="1">
      <c r="A3" s="19"/>
      <c r="B3" s="26"/>
      <c r="C3" s="241">
        <f>IF(D6="Blue",-1,COUNTIF(E14:E26,"Red"))</f>
        <v>6</v>
      </c>
      <c r="D3" s="242">
        <f>VLOOKUP(O2,MappoolSettings,2,0)</f>
        <v>11</v>
      </c>
      <c r="E3" s="243">
        <f>IF(D6="Red",-1,COUNTIF(E14:E26,"Blue"))</f>
        <v>2</v>
      </c>
      <c r="F3" s="20"/>
      <c r="G3" s="26"/>
      <c r="H3" s="244" t="s">
        <v>456</v>
      </c>
      <c r="I3" s="35" t="s">
        <v>571</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)"),"**Quarterfinals: Match 48**
&lt;https://osu.ppy.sh/community/matches/110299252&gt;
:red_square: match in 15 | 6 : 2 | Tom and Jerry :blue_square:
match in 15 bans | FM1 HD1
Tom and Jerry bans | HD2 NM6
First pick | match in 15
:blue_square: | DT1: Reol - As"&amp;"ymmetry [pk's Hard]
:red_square: | NM1: Sangatsu no Phantasia - Pink Lemonade [Insane]
:blue_square: | NM4: Nekomata Master+ - squall [0pp's Insane (Tournament Edit)]
:red_square: | DT2: -45 - System Sun [Hard]
:red_square: | HR1: kessoku band - Guitar to"&amp;" Kodoku to Aoi Hoshi [kuuti's Insane]
:red_square: | NM2: Thaehan - Doki-Doki [rockstarrzz' Insane]
:red_square: | NM3: Meguro Shoji feat. Lyn - Last Surprise -Scramble- [Expert]
:red_square: | HD3: succducc - me &amp; u [sing's insane]")</f>
        <v>**Quarterfinals: Match 48**
&lt;https://osu.ppy.sh/community/matches/110299252&gt;
:red_square: match in 15 | 6 : 2 | Tom and Jerry :blue_square:
match in 15 bans | FM1 HD1
Tom and Jerry bans | HD2 NM6
First pick | match in 15
:blue_square: | DT1: Reol - Asymmetry [pk's Hard]
:red_square: | NM1: Sangatsu no Phantasia - Pink Lemonade [Insane]
:blue_square: | NM4: Nekomata Master+ - squall [0pp's Insane (Tournament Edit)]
:red_square: | DT2: -45 - System Sun [Hard]
:red_square: | HR1: kessoku band - Guitar to Kodoku to Aoi Hoshi [kuuti's Insane]
:red_square: | NM2: Thaehan - Doki-Doki [rockstarrzz' Insane]
:red_square: | NM3: Meguro Shoji feat. Lyn - Last Surprise -Scramble- [Expert]
:red_square: | HD3: succducc - me &amp; u [sing's insane]</v>
      </c>
      <c r="E4" s="248"/>
      <c r="F4" s="20"/>
      <c r="G4" s="26"/>
      <c r="H4" s="237" t="s">
        <v>452</v>
      </c>
      <c r="I4" s="249" t="str">
        <f>IFNA(VLOOKUP(I2,Schedules,6,0),"")</f>
        <v>reforna</v>
      </c>
      <c r="K4" s="249"/>
      <c r="L4" s="20"/>
      <c r="M4" s="26"/>
      <c r="N4" s="250" t="str">
        <f>IFERROR(__xludf.DUMMYFUNCTION("IF(O2="""",,ARRAY_CONSTRAIN(FILTER(Maps,Mappools!B4:B27=O2),25,3))"),"NM1: Sangatsu no Phantasia - Pink Lemonade [Insane]")</f>
        <v>NM1: Sangatsu no Phantasia - Pink Lemonade [Insane]</v>
      </c>
      <c r="O4" s="251" t="str">
        <f>IFERROR(__xludf.DUMMYFUNCTION("""COMPUTED_VALUE"""),"!mp map 1965654 0")</f>
        <v>!mp map 1965654 0</v>
      </c>
      <c r="P4" s="251" t="str">
        <f>IFERROR(__xludf.DUMMYFUNCTION("""COMPUTED_VALUE"""),"!mp mods NF")</f>
        <v>!mp mods NF</v>
      </c>
      <c r="Q4" s="19"/>
    </row>
    <row r="5" ht="18.75" customHeight="1">
      <c r="A5" s="19"/>
      <c r="B5" s="26"/>
      <c r="C5" s="246" t="s">
        <v>859</v>
      </c>
      <c r="D5" s="252" t="str">
        <f t="array" ref="D5:E5">IFERROR(VLOOKUP(INDEX($D$14:$D$26,COUNTA($D$14:$D$26)),$N$4:$P$26,{2,3},0),"")</f>
        <v>!mp map 1491793 0</v>
      </c>
      <c r="E5" s="253" t="s">
        <v>91</v>
      </c>
      <c r="F5" s="20"/>
      <c r="G5" s="26"/>
      <c r="H5" s="237" t="s">
        <v>860</v>
      </c>
      <c r="I5" s="254">
        <f t="array" ref="I5">IFNA(SUM(VLOOKUP(I2,Schedules,{2,3},0)),"")</f>
        <v>45172.5</v>
      </c>
      <c r="K5" s="254"/>
      <c r="L5" s="20"/>
      <c r="M5" s="26"/>
      <c r="N5" s="250" t="str">
        <f>IFERROR(__xludf.DUMMYFUNCTION("""COMPUTED_VALUE"""),"NM2: Thaehan - Doki-Doki [rockstarrzz' Insane]")</f>
        <v>NM2: Thaehan - Doki-Doki [rockstarrzz' Insane]</v>
      </c>
      <c r="O5" s="251" t="str">
        <f>IFERROR(__xludf.DUMMYFUNCTION("""COMPUTED_VALUE"""),"!mp map 1838159 0")</f>
        <v>!mp map 1838159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Meguro Shoji feat. Lyn - Last Surprise -Scramble- [Expert]")</f>
        <v>NM3: Meguro Shoji feat. Lyn - Last Surprise -Scramble- [Expert]</v>
      </c>
      <c r="O6" s="251" t="str">
        <f>IFERROR(__xludf.DUMMYFUNCTION("""COMPUTED_VALUE"""),"!mp map 2568756 0")</f>
        <v>!mp map 2568756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(match in 15) vs (Tom and Jerry)</v>
      </c>
      <c r="L7" s="20"/>
      <c r="M7" s="26"/>
      <c r="N7" s="250" t="str">
        <f>IFERROR(__xludf.DUMMYFUNCTION("""COMPUTED_VALUE"""),"NM4: Nekomata Master+ - squall [0pp's Insane (Tournament Edit)]")</f>
        <v>NM4: Nekomata Master+ - squall [0pp's Insane (Tournament Edit)]</v>
      </c>
      <c r="O7" s="251" t="str">
        <f>IFERROR(__xludf.DUMMYFUNCTION("""COMPUTED_VALUE"""),"!mp map 3341368 0")</f>
        <v>!mp map 3341368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the Art of Mankind - Unexisted [Insane]")</f>
        <v>NM5: the Art of Mankind - Unexisted [Insane]</v>
      </c>
      <c r="O8" s="251" t="str">
        <f>IFERROR(__xludf.DUMMYFUNCTION("""COMPUTED_VALUE"""),"!mp map 4215637 0")</f>
        <v>!mp map 4215637 0</v>
      </c>
      <c r="P8" s="251" t="str">
        <f>IFERROR(__xludf.DUMMYFUNCTION("""COMPUTED_VALUE"""),"!mp mods NF")</f>
        <v>!mp mods NF</v>
      </c>
      <c r="Q8" s="19"/>
    </row>
    <row r="9" ht="18.75" customHeight="1">
      <c r="A9" s="19"/>
      <c r="B9" s="26"/>
      <c r="C9" s="262" t="str">
        <f>C2</f>
        <v>match in 15</v>
      </c>
      <c r="D9" s="263" t="s">
        <v>226</v>
      </c>
      <c r="E9" s="238" t="s">
        <v>197</v>
      </c>
      <c r="F9" s="20"/>
      <c r="G9" s="26"/>
      <c r="H9" s="237" t="s">
        <v>13</v>
      </c>
      <c r="I9" s="264" t="s">
        <v>868</v>
      </c>
      <c r="K9" s="265"/>
      <c r="L9" s="20"/>
      <c r="M9" s="26"/>
      <c r="N9" s="250" t="str">
        <f>IFERROR(__xludf.DUMMYFUNCTION("""COMPUTED_VALUE"""),"NM6: Franz Ferdinand - This Fffire (TV Size) [enri's iNnnsane]")</f>
        <v>NM6: Franz Ferdinand - This Fffire (TV Size) [enri's iNnnsane]</v>
      </c>
      <c r="O9" s="251" t="str">
        <f>IFERROR(__xludf.DUMMYFUNCTION("""COMPUTED_VALUE"""),"!mp map 3821597 0")</f>
        <v>!mp map 3821597 0</v>
      </c>
      <c r="P9" s="251" t="str">
        <f>IFERROR(__xludf.DUMMYFUNCTION("""COMPUTED_VALUE"""),"!mp mods NF")</f>
        <v>!mp mods NF</v>
      </c>
      <c r="Q9" s="19"/>
    </row>
    <row r="10" ht="18.75" customHeight="1">
      <c r="A10" s="19"/>
      <c r="B10" s="26"/>
      <c r="C10" s="266" t="str">
        <f>E2</f>
        <v>Tom and Jerry</v>
      </c>
      <c r="D10" s="267" t="s">
        <v>200</v>
      </c>
      <c r="E10" s="268" t="s">
        <v>194</v>
      </c>
      <c r="F10" s="20"/>
      <c r="G10" s="26"/>
      <c r="H10" s="244" t="s">
        <v>869</v>
      </c>
      <c r="I10" s="269" t="str">
        <f t="array" ref="I10:J10">IFNA(IF(VLOOKUP(I2,Schedules,{7,8},0)="",,"!mp addref "&amp;VLOOKUP(I2,Schedules,{7,8},0)),"")</f>
        <v/>
      </c>
      <c r="J10" s="269"/>
      <c r="K10" s="270"/>
      <c r="L10" s="20"/>
      <c r="M10" s="26"/>
      <c r="N10" s="250" t="str">
        <f>IFERROR(__xludf.DUMMYFUNCTION("""COMPUTED_VALUE"""),"HD1: Usada Pekora - Discommunication Alien [Ayyken's Another]")</f>
        <v>HD1: Usada Pekora - Discommunication Alien [Ayyken's Another]</v>
      </c>
      <c r="O10" s="251" t="str">
        <f>IFERROR(__xludf.DUMMYFUNCTION("""COMPUTED_VALUE"""),"!mp map 2671048 0")</f>
        <v>!mp map 2671048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X-ill</v>
      </c>
      <c r="J11" s="272" t="s">
        <v>923</v>
      </c>
      <c r="K11" s="273"/>
      <c r="L11" s="20"/>
      <c r="M11" s="26"/>
      <c r="N11" s="250" t="str">
        <f>IFERROR(__xludf.DUMMYFUNCTION("""COMPUTED_VALUE"""),"HD2: BRZion - Game Brain [Insane]")</f>
        <v>HD2: BRZion - Game Brain [Insane]</v>
      </c>
      <c r="O11" s="251" t="str">
        <f>IFERROR(__xludf.DUMMYFUNCTION("""COMPUTED_VALUE"""),"!mp map 105978 0")</f>
        <v>!mp map 105978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succducc - me &amp; u [sing's insane]")</f>
        <v>HD3: succducc - me &amp; u [sing's insane]</v>
      </c>
      <c r="O12" s="251" t="str">
        <f>IFERROR(__xludf.DUMMYFUNCTION("""COMPUTED_VALUE"""),"!mp map 1491793 0")</f>
        <v>!mp map 1491793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kessoku band - Guitar to Kodoku to Aoi Hoshi [kuuti's Insane]")</f>
        <v>HR1: kessoku band - Guitar to Kodoku to Aoi Hoshi [kuuti's Insane]</v>
      </c>
      <c r="O13" s="251" t="str">
        <f>IFERROR(__xludf.DUMMYFUNCTION("""COMPUTED_VALUE"""),"!mp map 3913591 0")</f>
        <v>!mp map 3913591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217</v>
      </c>
      <c r="E14" s="31" t="s">
        <v>891</v>
      </c>
      <c r="F14" s="20"/>
      <c r="G14" s="26"/>
      <c r="H14" s="278" t="s">
        <v>878</v>
      </c>
      <c r="I14" s="260" t="s">
        <v>879</v>
      </c>
      <c r="J14" s="260" t="s">
        <v>880</v>
      </c>
      <c r="K14" s="261"/>
      <c r="L14" s="20"/>
      <c r="M14" s="26"/>
      <c r="N14" s="250" t="str">
        <f>IFERROR(__xludf.DUMMYFUNCTION("""COMPUTED_VALUE"""),"HR2: Cranky - Luvin' You [Alazy's Another]")</f>
        <v>HR2: Cranky - Luvin' You [Alazy's Another]</v>
      </c>
      <c r="O14" s="251" t="str">
        <f>IFERROR(__xludf.DUMMYFUNCTION("""COMPUTED_VALUE"""),"!mp map 37750 0")</f>
        <v>!mp map 37750 0</v>
      </c>
      <c r="P14" s="251" t="str">
        <f>IFERROR(__xludf.DUMMYFUNCTION("""COMPUTED_VALUE"""),"!mp mods HR NF")</f>
        <v>!mp mods HR NF</v>
      </c>
      <c r="Q14" s="19"/>
    </row>
    <row r="15" ht="18.75" customHeight="1">
      <c r="A15" s="19"/>
      <c r="B15" s="26"/>
      <c r="C15" s="36" t="s">
        <v>891</v>
      </c>
      <c r="D15" s="263" t="s">
        <v>178</v>
      </c>
      <c r="E15" s="31" t="s">
        <v>893</v>
      </c>
      <c r="F15" s="20"/>
      <c r="G15" s="20"/>
      <c r="H15" s="20"/>
      <c r="I15" s="20"/>
      <c r="J15" s="20"/>
      <c r="K15" s="20"/>
      <c r="L15" s="20"/>
      <c r="M15" s="26"/>
      <c r="N15" s="250" t="str">
        <f>IFERROR(__xludf.DUMMYFUNCTION("""COMPUTED_VALUE"""),"HR3: NICODE &amp; M2U - Predawn [Mixagji's Insane]")</f>
        <v>HR3: NICODE &amp; M2U - Predawn [Mixagji's Insane]</v>
      </c>
      <c r="O15" s="251" t="str">
        <f>IFERROR(__xludf.DUMMYFUNCTION("""COMPUTED_VALUE"""),"!mp map 3248255 0")</f>
        <v>!mp map 3248255 0</v>
      </c>
      <c r="P15" s="251" t="str">
        <f>IFERROR(__xludf.DUMMYFUNCTION("""COMPUTED_VALUE"""),"!mp mods HR NF")</f>
        <v>!mp mods HR NF</v>
      </c>
      <c r="Q15" s="19"/>
    </row>
    <row r="16" ht="18.75" customHeight="1">
      <c r="A16" s="19"/>
      <c r="B16" s="26"/>
      <c r="C16" s="36" t="s">
        <v>893</v>
      </c>
      <c r="D16" s="263" t="s">
        <v>187</v>
      </c>
      <c r="E16" s="31" t="s">
        <v>891</v>
      </c>
      <c r="F16" s="20"/>
      <c r="G16" s="21" t="s">
        <v>881</v>
      </c>
      <c r="H16" s="279" t="s">
        <v>882</v>
      </c>
      <c r="I16" s="280">
        <f>VLOOKUP(O2,MappoolSettings,3,0)</f>
        <v>2</v>
      </c>
      <c r="K16" s="281"/>
      <c r="L16" s="20"/>
      <c r="M16" s="26"/>
      <c r="N16" s="250" t="str">
        <f>IFERROR(__xludf.DUMMYFUNCTION("""COMPUTED_VALUE"""),"DT1: Reol - Asymmetry [pk's Hard]")</f>
        <v>DT1: Reol - Asymmetry [pk's Hard]</v>
      </c>
      <c r="O16" s="251" t="str">
        <f>IFERROR(__xludf.DUMMYFUNCTION("""COMPUTED_VALUE"""),"!mp map 674080 0")</f>
        <v>!mp map 674080 0</v>
      </c>
      <c r="P16" s="251" t="str">
        <f>IFERROR(__xludf.DUMMYFUNCTION("""COMPUTED_VALUE"""),"!mp mods DT NF")</f>
        <v>!mp mods DT NF</v>
      </c>
      <c r="Q16" s="19"/>
    </row>
    <row r="17" ht="18.75" customHeight="1">
      <c r="A17" s="19"/>
      <c r="B17" s="26"/>
      <c r="C17" s="36" t="s">
        <v>891</v>
      </c>
      <c r="D17" s="263" t="s">
        <v>220</v>
      </c>
      <c r="E17" s="31" t="s">
        <v>893</v>
      </c>
      <c r="F17" s="20"/>
      <c r="G17" s="26"/>
      <c r="H17" s="282" t="s">
        <v>883</v>
      </c>
      <c r="I17" s="283" t="str">
        <f>ForumPostLink</f>
        <v>https://osu.ppy.sh/community/forums/topics/1790898?n=1?</v>
      </c>
      <c r="L17" s="20"/>
      <c r="M17" s="26"/>
      <c r="N17" s="250" t="str">
        <f>IFERROR(__xludf.DUMMYFUNCTION("""COMPUTED_VALUE"""),"DT2: -45 - System Sun [Hard]")</f>
        <v>DT2: -45 - System Sun [Hard]</v>
      </c>
      <c r="O17" s="251" t="str">
        <f>IFERROR(__xludf.DUMMYFUNCTION("""COMPUTED_VALUE"""),"!mp map 3299370 0")</f>
        <v>!mp map 3299370 0</v>
      </c>
      <c r="P17" s="251" t="str">
        <f>IFERROR(__xludf.DUMMYFUNCTION("""COMPUTED_VALUE"""),"!mp mods DT NF")</f>
        <v>!mp mods DT NF</v>
      </c>
      <c r="Q17" s="19"/>
    </row>
    <row r="18" ht="18.75" customHeight="1">
      <c r="A18" s="19"/>
      <c r="B18" s="26"/>
      <c r="C18" s="36" t="s">
        <v>893</v>
      </c>
      <c r="D18" s="263" t="s">
        <v>207</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Nekomata Master+ - chaos eater -IIDX edition- [HARD]")</f>
        <v>DT3: Nekomata Master+ - chaos eater -IIDX edition- [HARD]</v>
      </c>
      <c r="O18" s="251" t="str">
        <f>IFERROR(__xludf.DUMMYFUNCTION("""COMPUTED_VALUE"""),"!mp map 3822599 0")</f>
        <v>!mp map 3822599 0</v>
      </c>
      <c r="P18" s="251" t="str">
        <f>IFERROR(__xludf.DUMMYFUNCTION("""COMPUTED_VALUE"""),"!mp mods DT NF")</f>
        <v>!mp mods DT NF</v>
      </c>
      <c r="Q18" s="19"/>
    </row>
    <row r="19" ht="18.75" customHeight="1">
      <c r="A19" s="19"/>
      <c r="B19" s="26"/>
      <c r="C19" s="36" t="s">
        <v>891</v>
      </c>
      <c r="D19" s="263" t="s">
        <v>181</v>
      </c>
      <c r="E19" s="31" t="s">
        <v>893</v>
      </c>
      <c r="F19" s="20"/>
      <c r="G19" s="26"/>
      <c r="H19" s="282" t="s">
        <v>885</v>
      </c>
      <c r="I19" s="284" t="str">
        <f>"Forfeit: "&amp;IF(NoShow2="","Never",NoShow2&amp;"mins")</f>
        <v>Forfeit: 15mins</v>
      </c>
      <c r="J19" s="285"/>
      <c r="K19" s="286"/>
      <c r="L19" s="20"/>
      <c r="M19" s="26"/>
      <c r="N19" s="250" t="str">
        <f>IFERROR(__xludf.DUMMYFUNCTION("""COMPUTED_VALUE"""),"FM1: Two Door Cinema Club - Cigarettes in the Theatre [Insane]")</f>
        <v>FM1: Two Door Cinema Club - Cigarettes in the Theatre [Insane]</v>
      </c>
      <c r="O19" s="251" t="str">
        <f>IFERROR(__xludf.DUMMYFUNCTION("""COMPUTED_VALUE"""),"!mp map 3274886 0")</f>
        <v>!mp map 3274886 0</v>
      </c>
      <c r="P19" s="251" t="str">
        <f>IFERROR(__xludf.DUMMYFUNCTION("""COMPUTED_VALUE"""),"!mp mods Freemod")</f>
        <v>!mp mods Freemod</v>
      </c>
      <c r="Q19" s="19"/>
    </row>
    <row r="20" ht="18.75" customHeight="1">
      <c r="A20" s="19"/>
      <c r="B20" s="26"/>
      <c r="C20" s="36" t="s">
        <v>893</v>
      </c>
      <c r="D20" s="263" t="s">
        <v>184</v>
      </c>
      <c r="E20" s="31" t="s">
        <v>893</v>
      </c>
      <c r="F20" s="20"/>
      <c r="G20" s="26"/>
      <c r="H20" s="287" t="s">
        <v>56</v>
      </c>
      <c r="I20" s="288" t="s">
        <v>57</v>
      </c>
      <c r="L20" s="20"/>
      <c r="M20" s="26"/>
      <c r="N20" s="49" t="str">
        <f>IFERROR(__xludf.DUMMYFUNCTION("""COMPUTED_VALUE"""),"FM2: Hiiragi Magnetite - Marshall Maximizer feat. KAFU [Hyper]")</f>
        <v>FM2: Hiiragi Magnetite - Marshall Maximizer feat. KAFU [Hyper]</v>
      </c>
      <c r="O20" s="289" t="str">
        <f>IFERROR(__xludf.DUMMYFUNCTION("""COMPUTED_VALUE"""),"!mp map 3804111 0")</f>
        <v>!mp map 3804111 0</v>
      </c>
      <c r="P20" s="289" t="str">
        <f>IFERROR(__xludf.DUMMYFUNCTION("""COMPUTED_VALUE"""),"!mp mods Freemod")</f>
        <v>!mp mods Freemod</v>
      </c>
      <c r="Q20" s="19"/>
    </row>
    <row r="21" ht="18.75" customHeight="1">
      <c r="A21" s="19"/>
      <c r="B21" s="26"/>
      <c r="C21" s="36" t="s">
        <v>891</v>
      </c>
      <c r="D21" s="263" t="s">
        <v>204</v>
      </c>
      <c r="E21" s="31" t="s">
        <v>893</v>
      </c>
      <c r="F21" s="20"/>
      <c r="G21" s="26"/>
      <c r="H21" s="287" t="s">
        <v>58</v>
      </c>
      <c r="I21" s="290" t="s">
        <v>886</v>
      </c>
      <c r="L21" s="20"/>
      <c r="M21" s="26"/>
      <c r="N21" s="49" t="str">
        <f>IFERROR(__xludf.DUMMYFUNCTION("""COMPUTED_VALUE"""),"TB1: Halozy - Genryuu Kaiko [Melody of Sanzu]")</f>
        <v>TB1: Halozy - Genryuu Kaiko [Melody of Sanzu]</v>
      </c>
      <c r="O21" s="289" t="str">
        <f>IFERROR(__xludf.DUMMYFUNCTION("""COMPUTED_VALUE"""),"!mp map 577517 0")</f>
        <v>!mp map 577517 0</v>
      </c>
      <c r="P21" s="289" t="str">
        <f>IFERROR(__xludf.DUMMYFUNCTION("""COMPUTED_VALUE"""),"!mp mods Freemod")</f>
        <v>!mp mods Freemod</v>
      </c>
      <c r="Q21" s="19"/>
    </row>
    <row r="22" ht="18.75" customHeight="1">
      <c r="A22" s="19"/>
      <c r="B22" s="26"/>
      <c r="C22" s="36" t="s">
        <v>893</v>
      </c>
      <c r="D22" s="263"/>
      <c r="E22" s="31"/>
      <c r="F22" s="20"/>
      <c r="G22" s="26"/>
      <c r="H22" s="287" t="s">
        <v>887</v>
      </c>
      <c r="I22" s="48" t="s">
        <v>888</v>
      </c>
      <c r="K22" s="291"/>
      <c r="L22" s="20"/>
      <c r="M22" s="26"/>
      <c r="N22" s="49"/>
      <c r="O22" s="289"/>
      <c r="P22" s="289"/>
      <c r="Q22" s="19"/>
    </row>
    <row r="23" ht="18.75" customHeight="1">
      <c r="A23" s="19"/>
      <c r="B23" s="26"/>
      <c r="C23" s="36" t="s">
        <v>891</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match in 15</v>
      </c>
      <c r="I25" s="295" t="s">
        <v>737</v>
      </c>
      <c r="J25" s="294" t="s">
        <v>612</v>
      </c>
      <c r="K25" s="294" t="s">
        <v>738</v>
      </c>
      <c r="L25" s="38"/>
      <c r="M25" s="26"/>
      <c r="N25" s="49"/>
      <c r="O25" s="289"/>
      <c r="P25" s="289"/>
      <c r="Q25" s="19"/>
    </row>
    <row r="26" ht="18.75" customHeight="1">
      <c r="A26" s="19"/>
      <c r="B26" s="26"/>
      <c r="C26" s="36"/>
      <c r="D26" s="292"/>
      <c r="E26" s="36"/>
      <c r="F26" s="20"/>
      <c r="G26" s="26"/>
      <c r="H26" s="296" t="str">
        <f t="array" ref="H26:K26">IF(Format="Solo",E2,IFNA(VLOOKUP(E2,TeamList,SEQUENCE(1,4,1),0),""))</f>
        <v>Tom and Jerry</v>
      </c>
      <c r="I26" s="297" t="s">
        <v>794</v>
      </c>
      <c r="J26" s="296" t="s">
        <v>795</v>
      </c>
      <c r="K26" s="296"/>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Homossexual Students</v>
      </c>
      <c r="D2" s="235" t="s">
        <v>854</v>
      </c>
      <c r="E2" s="236" t="str">
        <f>IFNA(VLOOKUP(I2,Schedules,5,0),"")</f>
        <v>The sleepers</v>
      </c>
      <c r="F2" s="20"/>
      <c r="G2" s="21" t="s">
        <v>855</v>
      </c>
      <c r="H2" s="237" t="s">
        <v>856</v>
      </c>
      <c r="I2" s="238">
        <v>50.0</v>
      </c>
      <c r="K2" s="238"/>
      <c r="L2" s="20"/>
      <c r="M2" s="21" t="s">
        <v>857</v>
      </c>
      <c r="N2" s="239" t="s">
        <v>25</v>
      </c>
      <c r="O2" s="240" t="s">
        <v>37</v>
      </c>
      <c r="P2" s="4"/>
      <c r="Q2" s="19"/>
    </row>
    <row r="3" ht="18.75" customHeight="1">
      <c r="A3" s="19"/>
      <c r="B3" s="26"/>
      <c r="C3" s="241">
        <f>IF(D6="Blue",-1,COUNTIF(E14:E26,"Red"))</f>
        <v>6</v>
      </c>
      <c r="D3" s="242">
        <f>VLOOKUP(O2,MappoolSettings,2,0)</f>
        <v>11</v>
      </c>
      <c r="E3" s="243">
        <f>IF(D6="Red",-1,COUNTIF(E14:E26,"Blue"))</f>
        <v>0</v>
      </c>
      <c r="F3" s="20"/>
      <c r="G3" s="26"/>
      <c r="H3" s="244" t="s">
        <v>456</v>
      </c>
      <c r="I3" s="35" t="s">
        <v>595</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)"),"**Semifinals: Match 50**
&lt;https://osu.ppy.sh/community/matches/110370451&gt;
:red_square: Homossexual Students | 6 : 0 | The sleepers :blue_square:
Homossexual Students bans | HR2 FM2
The sleepers bans | NM6 HD2
First pick | Homossexual Students
:red_squ"&amp;"are: | HD3: YUC'e - POISON -KO3 Remix- [Insane]
:red_square: | NM3: ALI - Wild Side [Squilly's Insane]
:red_square: | DT2: umu. - Dareka no Shinzou ni Nareta Nara [Hard]
:red_square: | NM2: GIVEON - Favourite Mistake [Halogenix Edit] [Insane]
:red_square:"&amp;" | HD1: Aso Natsuko - Perfect-area complete! [Asuka_-'s Insane]
:red_square: | HR1: Harumaki Gohan feat. Hatsune Miku - Hotaru wa Inakatta [Kuse's Insane]")</f>
        <v>**Semifinals: Match 50**
&lt;https://osu.ppy.sh/community/matches/110370451&gt;
:red_square: Homossexual Students | 6 : 0 | The sleepers :blue_square:
Homossexual Students bans | HR2 FM2
The sleepers bans | NM6 HD2
First pick | Homossexual Students
:red_square: | HD3: YUC'e - POISON -KO3 Remix- [Insane]
:red_square: | NM3: ALI - Wild Side [Squilly's Insane]
:red_square: | DT2: umu. - Dareka no Shinzou ni Nareta Nara [Hard]
:red_square: | NM2: GIVEON - Favourite Mistake [Halogenix Edit] [Insane]
:red_square: | HD1: Aso Natsuko - Perfect-area complete! [Asuka_-'s Insane]
:red_square: | HR1: Harumaki Gohan feat. Hatsune Miku - Hotaru wa Inakatta [Kuse's Insane]</v>
      </c>
      <c r="E4" s="248"/>
      <c r="F4" s="20"/>
      <c r="G4" s="26"/>
      <c r="H4" s="237" t="s">
        <v>452</v>
      </c>
      <c r="I4" s="249" t="str">
        <f>IFNA(VLOOKUP(I2,Schedules,6,0),"")</f>
        <v>Pischok</v>
      </c>
      <c r="K4" s="249"/>
      <c r="L4" s="20"/>
      <c r="M4" s="26"/>
      <c r="N4" s="250" t="str">
        <f>IFERROR(__xludf.DUMMYFUNCTION("IF(O2="""",,ARRAY_CONSTRAIN(FILTER(Maps,Mappools!B4:B27=O2),25,3))"),"NM1: t+pazolite - Party in the HOLLOWood feat. Nanahira [INSane]")</f>
        <v>NM1: t+pazolite - Party in the HOLLOWood feat. Nanahira [INSane]</v>
      </c>
      <c r="O4" s="251" t="str">
        <f>IFERROR(__xludf.DUMMYFUNCTION("""COMPUTED_VALUE"""),"!mp map 1717844 0")</f>
        <v>!mp map 1717844 0</v>
      </c>
      <c r="P4" s="251" t="str">
        <f>IFERROR(__xludf.DUMMYFUNCTION("""COMPUTED_VALUE"""),"!mp mods NF")</f>
        <v>!mp mods NF</v>
      </c>
      <c r="Q4" s="19"/>
    </row>
    <row r="5" ht="18.75" customHeight="1">
      <c r="A5" s="19"/>
      <c r="B5" s="26"/>
      <c r="C5" s="246" t="s">
        <v>859</v>
      </c>
      <c r="D5" s="252" t="str">
        <f t="array" ref="D5:E5">IFERROR(VLOOKUP(INDEX($D$14:$D$26,COUNTA($D$14:$D$26)),$N$4:$P$26,{2,3},0),"")</f>
        <v>!mp map 3454421 0</v>
      </c>
      <c r="E5" s="253" t="s">
        <v>100</v>
      </c>
      <c r="F5" s="20"/>
      <c r="G5" s="26"/>
      <c r="H5" s="237" t="s">
        <v>860</v>
      </c>
      <c r="I5" s="254">
        <f t="array" ref="I5">IFNA(SUM(VLOOKUP(I2,Schedules,{2,3},0)),"")</f>
        <v>45177.79167</v>
      </c>
      <c r="K5" s="254"/>
      <c r="L5" s="20"/>
      <c r="M5" s="26"/>
      <c r="N5" s="250" t="str">
        <f>IFERROR(__xludf.DUMMYFUNCTION("""COMPUTED_VALUE"""),"NM2: GIVEON - Favourite Mistake [Halogenix Edit] [Insane]")</f>
        <v>NM2: GIVEON - Favourite Mistake [Halogenix Edit] [Insane]</v>
      </c>
      <c r="O5" s="251" t="str">
        <f>IFERROR(__xludf.DUMMYFUNCTION("""COMPUTED_VALUE"""),"!mp map 3656173 0")</f>
        <v>!mp map 3656173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ALI - Wild Side [Squilly's Insane]")</f>
        <v>NM3: ALI - Wild Side [Squilly's Insane]</v>
      </c>
      <c r="O6" s="251" t="str">
        <f>IFERROR(__xludf.DUMMYFUNCTION("""COMPUTED_VALUE"""),"!mp map 2715749 0")</f>
        <v>!mp map 2715749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(Homossexual Students) vs (The sleepers)</v>
      </c>
      <c r="L7" s="20"/>
      <c r="M7" s="26"/>
      <c r="N7" s="250" t="str">
        <f>IFERROR(__xludf.DUMMYFUNCTION("""COMPUTED_VALUE"""),"NM4: VeetaCrush - Mole [Kyutei's Insane]")</f>
        <v>NM4: VeetaCrush - Mole [Kyutei's Insane]</v>
      </c>
      <c r="O7" s="251" t="str">
        <f>IFERROR(__xludf.DUMMYFUNCTION("""COMPUTED_VALUE"""),"!mp map 3291796 0")</f>
        <v>!mp map 3291796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Camellia - Killerbeast [Spiritual]")</f>
        <v>NM5: Camellia - Killerbeast [Spiritual]</v>
      </c>
      <c r="O8" s="251" t="str">
        <f>IFERROR(__xludf.DUMMYFUNCTION("""COMPUTED_VALUE"""),"!mp map 3187491 0")</f>
        <v>!mp map 3187491 0</v>
      </c>
      <c r="P8" s="251" t="str">
        <f>IFERROR(__xludf.DUMMYFUNCTION("""COMPUTED_VALUE"""),"!mp mods NF")</f>
        <v>!mp mods NF</v>
      </c>
      <c r="Q8" s="19"/>
    </row>
    <row r="9" ht="18.75" customHeight="1">
      <c r="A9" s="19"/>
      <c r="B9" s="26"/>
      <c r="C9" s="262" t="str">
        <f>C2</f>
        <v>Homossexual Students</v>
      </c>
      <c r="D9" s="263" t="s">
        <v>265</v>
      </c>
      <c r="E9" s="238" t="s">
        <v>283</v>
      </c>
      <c r="F9" s="20"/>
      <c r="G9" s="26"/>
      <c r="H9" s="237" t="s">
        <v>13</v>
      </c>
      <c r="I9" s="264" t="s">
        <v>868</v>
      </c>
      <c r="K9" s="265"/>
      <c r="L9" s="20"/>
      <c r="M9" s="26"/>
      <c r="N9" s="250" t="str">
        <f>IFERROR(__xludf.DUMMYFUNCTION("""COMPUTED_VALUE"""),"NM6: Kai - Junk Lady [Deppy and Wanpachi's Insane]")</f>
        <v>NM6: Kai - Junk Lady [Deppy and Wanpachi's Insane]</v>
      </c>
      <c r="O9" s="251" t="str">
        <f>IFERROR(__xludf.DUMMYFUNCTION("""COMPUTED_VALUE"""),"!mp map 3990086 0")</f>
        <v>!mp map 3990086 0</v>
      </c>
      <c r="P9" s="251" t="str">
        <f>IFERROR(__xludf.DUMMYFUNCTION("""COMPUTED_VALUE"""),"!mp mods NF")</f>
        <v>!mp mods NF</v>
      </c>
      <c r="Q9" s="19"/>
    </row>
    <row r="10" ht="18.75" customHeight="1">
      <c r="A10" s="19"/>
      <c r="B10" s="26"/>
      <c r="C10" s="266" t="str">
        <f>E2</f>
        <v>The sleepers</v>
      </c>
      <c r="D10" s="267" t="s">
        <v>250</v>
      </c>
      <c r="E10" s="268" t="s">
        <v>256</v>
      </c>
      <c r="F10" s="20"/>
      <c r="G10" s="26"/>
      <c r="H10" s="244" t="s">
        <v>869</v>
      </c>
      <c r="I10" s="269" t="str">
        <f t="array" ref="I10:J10">IFNA(IF(VLOOKUP(I2,Schedules,{7,8},0)="",,"!mp addref "&amp;VLOOKUP(I2,Schedules,{7,8},0)),"")</f>
        <v/>
      </c>
      <c r="J10" s="269"/>
      <c r="K10" s="270"/>
      <c r="L10" s="20"/>
      <c r="M10" s="26"/>
      <c r="N10" s="250" t="str">
        <f>IFERROR(__xludf.DUMMYFUNCTION("""COMPUTED_VALUE"""),"HD1: Aso Natsuko - Perfect-area complete! [Asuka_-'s Insane]")</f>
        <v>HD1: Aso Natsuko - Perfect-area complete! [Asuka_-'s Insane]</v>
      </c>
      <c r="O10" s="251" t="str">
        <f>IFERROR(__xludf.DUMMYFUNCTION("""COMPUTED_VALUE"""),"!mp map 1972425 0")</f>
        <v>!mp map 1972425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DUM4L77</v>
      </c>
      <c r="J11" s="272" t="s">
        <v>899</v>
      </c>
      <c r="K11" s="273"/>
      <c r="L11" s="20"/>
      <c r="M11" s="26"/>
      <c r="N11" s="250" t="str">
        <f>IFERROR(__xludf.DUMMYFUNCTION("""COMPUTED_VALUE"""),"HD2: Kola Kid - timer [Insane]")</f>
        <v>HD2: Kola Kid - timer [Insane]</v>
      </c>
      <c r="O11" s="251" t="str">
        <f>IFERROR(__xludf.DUMMYFUNCTION("""COMPUTED_VALUE"""),"!mp map 2277128 0")</f>
        <v>!mp map 2277128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YUC'e - POISON -KO3 Remix- [Insane]")</f>
        <v>HD3: YUC'e - POISON -KO3 Remix- [Insane]</v>
      </c>
      <c r="O12" s="251" t="str">
        <f>IFERROR(__xludf.DUMMYFUNCTION("""COMPUTED_VALUE"""),"!mp map 2044890 0")</f>
        <v>!mp map 2044890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Harumaki Gohan feat. Hatsune Miku - Hotaru wa Inakatta [Kuse's Insane]")</f>
        <v>HR1: Harumaki Gohan feat. Hatsune Miku - Hotaru wa Inakatta [Kuse's Insane]</v>
      </c>
      <c r="O13" s="251" t="str">
        <f>IFERROR(__xludf.DUMMYFUNCTION("""COMPUTED_VALUE"""),"!mp map 3454421 0")</f>
        <v>!mp map 3454421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259</v>
      </c>
      <c r="E14" s="31" t="s">
        <v>893</v>
      </c>
      <c r="F14" s="20"/>
      <c r="G14" s="26"/>
      <c r="H14" s="278" t="s">
        <v>878</v>
      </c>
      <c r="I14" s="260" t="s">
        <v>879</v>
      </c>
      <c r="J14" s="260" t="s">
        <v>880</v>
      </c>
      <c r="K14" s="261"/>
      <c r="L14" s="20"/>
      <c r="M14" s="26"/>
      <c r="N14" s="250" t="str">
        <f>IFERROR(__xludf.DUMMYFUNCTION("""COMPUTED_VALUE"""),"HR2: Cro - Wie ich bin [Trust]")</f>
        <v>HR2: Cro - Wie ich bin [Trust]</v>
      </c>
      <c r="O14" s="251" t="str">
        <f>IFERROR(__xludf.DUMMYFUNCTION("""COMPUTED_VALUE"""),"!mp map 2917786 0")</f>
        <v>!mp map 2917786 0</v>
      </c>
      <c r="P14" s="251" t="str">
        <f>IFERROR(__xludf.DUMMYFUNCTION("""COMPUTED_VALUE"""),"!mp mods HR NF")</f>
        <v>!mp mods HR NF</v>
      </c>
      <c r="Q14" s="19"/>
    </row>
    <row r="15" ht="18.75" customHeight="1">
      <c r="A15" s="19"/>
      <c r="B15" s="26"/>
      <c r="C15" s="36" t="s">
        <v>891</v>
      </c>
      <c r="D15" s="263" t="s">
        <v>241</v>
      </c>
      <c r="E15" s="31" t="s">
        <v>893</v>
      </c>
      <c r="F15" s="20"/>
      <c r="G15" s="20"/>
      <c r="H15" s="20"/>
      <c r="I15" s="20"/>
      <c r="J15" s="20"/>
      <c r="K15" s="20"/>
      <c r="L15" s="20"/>
      <c r="M15" s="26"/>
      <c r="N15" s="250" t="str">
        <f>IFERROR(__xludf.DUMMYFUNCTION("""COMPUTED_VALUE"""),"HR3: Camellia - Routing [Another]")</f>
        <v>HR3: Camellia - Routing [Another]</v>
      </c>
      <c r="O15" s="251" t="str">
        <f>IFERROR(__xludf.DUMMYFUNCTION("""COMPUTED_VALUE"""),"!mp map 1405094 0")</f>
        <v>!mp map 1405094 0</v>
      </c>
      <c r="P15" s="251" t="str">
        <f>IFERROR(__xludf.DUMMYFUNCTION("""COMPUTED_VALUE"""),"!mp mods HR NF")</f>
        <v>!mp mods HR NF</v>
      </c>
      <c r="Q15" s="19"/>
    </row>
    <row r="16" ht="18.75" customHeight="1">
      <c r="A16" s="19"/>
      <c r="B16" s="26"/>
      <c r="C16" s="36" t="s">
        <v>893</v>
      </c>
      <c r="D16" s="263" t="s">
        <v>274</v>
      </c>
      <c r="E16" s="31" t="s">
        <v>893</v>
      </c>
      <c r="F16" s="20"/>
      <c r="G16" s="21" t="s">
        <v>881</v>
      </c>
      <c r="H16" s="279" t="s">
        <v>882</v>
      </c>
      <c r="I16" s="280">
        <f>VLOOKUP(O2,MappoolSettings,3,0)</f>
        <v>2</v>
      </c>
      <c r="K16" s="281"/>
      <c r="L16" s="20"/>
      <c r="M16" s="26"/>
      <c r="N16" s="250" t="str">
        <f>IFERROR(__xludf.DUMMYFUNCTION("""COMPUTED_VALUE"""),"DT1: 96neko - Primitive emotion [Hard]")</f>
        <v>DT1: 96neko - Primitive emotion [Hard]</v>
      </c>
      <c r="O16" s="251" t="str">
        <f>IFERROR(__xludf.DUMMYFUNCTION("""COMPUTED_VALUE"""),"!mp map 1592512 0")</f>
        <v>!mp map 1592512 0</v>
      </c>
      <c r="P16" s="251" t="str">
        <f>IFERROR(__xludf.DUMMYFUNCTION("""COMPUTED_VALUE"""),"!mp mods DT NF")</f>
        <v>!mp mods DT NF</v>
      </c>
      <c r="Q16" s="19"/>
    </row>
    <row r="17" ht="18.75" customHeight="1">
      <c r="A17" s="19"/>
      <c r="B17" s="26"/>
      <c r="C17" s="36" t="s">
        <v>891</v>
      </c>
      <c r="D17" s="263" t="s">
        <v>238</v>
      </c>
      <c r="E17" s="31" t="s">
        <v>893</v>
      </c>
      <c r="F17" s="20"/>
      <c r="G17" s="26"/>
      <c r="H17" s="282" t="s">
        <v>883</v>
      </c>
      <c r="I17" s="283" t="str">
        <f>ForumPostLink</f>
        <v>https://osu.ppy.sh/community/forums/topics/1790898?n=1?</v>
      </c>
      <c r="L17" s="20"/>
      <c r="M17" s="26"/>
      <c r="N17" s="250" t="str">
        <f>IFERROR(__xludf.DUMMYFUNCTION("""COMPUTED_VALUE"""),"DT2: umu. - Dareka no Shinzou ni Nareta Nara [Hard]")</f>
        <v>DT2: umu. - Dareka no Shinzou ni Nareta Nara [Hard]</v>
      </c>
      <c r="O17" s="251" t="str">
        <f>IFERROR(__xludf.DUMMYFUNCTION("""COMPUTED_VALUE"""),"!mp map 2388648 0")</f>
        <v>!mp map 2388648 0</v>
      </c>
      <c r="P17" s="251" t="str">
        <f>IFERROR(__xludf.DUMMYFUNCTION("""COMPUTED_VALUE"""),"!mp mods DT NF")</f>
        <v>!mp mods DT NF</v>
      </c>
      <c r="Q17" s="19"/>
    </row>
    <row r="18" ht="18.75" customHeight="1">
      <c r="A18" s="19"/>
      <c r="B18" s="26"/>
      <c r="C18" s="36" t="s">
        <v>893</v>
      </c>
      <c r="D18" s="263" t="s">
        <v>253</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AAAA + Umeboshi Chazuke - Cait Sith [Setu's Hard]")</f>
        <v>DT3: AAAA + Umeboshi Chazuke - Cait Sith [Setu's Hard]</v>
      </c>
      <c r="O18" s="251" t="str">
        <f>IFERROR(__xludf.DUMMYFUNCTION("""COMPUTED_VALUE"""),"!mp map 3819183 0")</f>
        <v>!mp map 3819183 0</v>
      </c>
      <c r="P18" s="251" t="str">
        <f>IFERROR(__xludf.DUMMYFUNCTION("""COMPUTED_VALUE"""),"!mp mods DT NF")</f>
        <v>!mp mods DT NF</v>
      </c>
      <c r="Q18" s="19"/>
    </row>
    <row r="19" ht="18.75" customHeight="1">
      <c r="A19" s="19"/>
      <c r="B19" s="26"/>
      <c r="C19" s="36" t="s">
        <v>891</v>
      </c>
      <c r="D19" s="263" t="s">
        <v>262</v>
      </c>
      <c r="E19" s="31" t="s">
        <v>893</v>
      </c>
      <c r="F19" s="20"/>
      <c r="G19" s="26"/>
      <c r="H19" s="282" t="s">
        <v>885</v>
      </c>
      <c r="I19" s="284" t="str">
        <f>"Forfeit: "&amp;IF(NoShow2="","Never",NoShow2&amp;"mins")</f>
        <v>Forfeit: 15mins</v>
      </c>
      <c r="J19" s="285"/>
      <c r="K19" s="286"/>
      <c r="L19" s="20"/>
      <c r="M19" s="26"/>
      <c r="N19" s="250" t="str">
        <f>IFERROR(__xludf.DUMMYFUNCTION("""COMPUTED_VALUE"""),"FM1: Wagakki Band - Kagerou Days [Ducky-'s Insane]")</f>
        <v>FM1: Wagakki Band - Kagerou Days [Ducky-'s Insane]</v>
      </c>
      <c r="O19" s="251" t="str">
        <f>IFERROR(__xludf.DUMMYFUNCTION("""COMPUTED_VALUE"""),"!mp map 2514122 0")</f>
        <v>!mp map 2514122 0</v>
      </c>
      <c r="P19" s="251" t="str">
        <f>IFERROR(__xludf.DUMMYFUNCTION("""COMPUTED_VALUE"""),"!mp mods Freemod")</f>
        <v>!mp mods Freemod</v>
      </c>
      <c r="Q19" s="19"/>
    </row>
    <row r="20" ht="18.75" customHeight="1">
      <c r="A20" s="19"/>
      <c r="B20" s="26"/>
      <c r="C20" s="36" t="s">
        <v>893</v>
      </c>
      <c r="D20" s="263"/>
      <c r="E20" s="31"/>
      <c r="F20" s="20"/>
      <c r="G20" s="26"/>
      <c r="H20" s="287" t="s">
        <v>56</v>
      </c>
      <c r="I20" s="288" t="s">
        <v>57</v>
      </c>
      <c r="L20" s="20"/>
      <c r="M20" s="26"/>
      <c r="N20" s="49" t="str">
        <f>IFERROR(__xludf.DUMMYFUNCTION("""COMPUTED_VALUE"""),"FM2: Brandy - Cross Time !! [DJPop Mix]")</f>
        <v>FM2: Brandy - Cross Time !! [DJPop Mix]</v>
      </c>
      <c r="O20" s="289" t="str">
        <f>IFERROR(__xludf.DUMMYFUNCTION("""COMPUTED_VALUE"""),"!mp map 28366 0")</f>
        <v>!mp map 28366 0</v>
      </c>
      <c r="P20" s="289" t="str">
        <f>IFERROR(__xludf.DUMMYFUNCTION("""COMPUTED_VALUE"""),"!mp mods Freemod")</f>
        <v>!mp mods Freemod</v>
      </c>
      <c r="Q20" s="19"/>
    </row>
    <row r="21" ht="18.75" customHeight="1">
      <c r="A21" s="19"/>
      <c r="B21" s="26"/>
      <c r="C21" s="36" t="s">
        <v>891</v>
      </c>
      <c r="D21" s="263"/>
      <c r="E21" s="31"/>
      <c r="F21" s="20"/>
      <c r="G21" s="26"/>
      <c r="H21" s="287" t="s">
        <v>58</v>
      </c>
      <c r="I21" s="290" t="s">
        <v>886</v>
      </c>
      <c r="L21" s="20"/>
      <c r="M21" s="26"/>
      <c r="N21" s="49" t="str">
        <f>IFERROR(__xludf.DUMMYFUNCTION("""COMPUTED_VALUE"""),"TB1: Camellia - EXiT this Earths Atomosphere [Astral]")</f>
        <v>TB1: Camellia - EXiT this Earths Atomosphere [Astral]</v>
      </c>
      <c r="O21" s="289" t="str">
        <f>IFERROR(__xludf.DUMMYFUNCTION("""COMPUTED_VALUE"""),"!mp map 1248147 0")</f>
        <v>!mp map 1248147 0</v>
      </c>
      <c r="P21" s="289" t="str">
        <f>IFERROR(__xludf.DUMMYFUNCTION("""COMPUTED_VALUE"""),"!mp mods Freemod")</f>
        <v>!mp mods Freemod</v>
      </c>
      <c r="Q21" s="19"/>
    </row>
    <row r="22" ht="18.75" customHeight="1">
      <c r="A22" s="19"/>
      <c r="B22" s="26"/>
      <c r="C22" s="36" t="s">
        <v>893</v>
      </c>
      <c r="D22" s="263"/>
      <c r="E22" s="31"/>
      <c r="F22" s="20"/>
      <c r="G22" s="26"/>
      <c r="H22" s="287" t="s">
        <v>887</v>
      </c>
      <c r="I22" s="48" t="s">
        <v>888</v>
      </c>
      <c r="K22" s="291"/>
      <c r="L22" s="20"/>
      <c r="M22" s="26"/>
      <c r="N22" s="49"/>
      <c r="O22" s="289"/>
      <c r="P22" s="289"/>
      <c r="Q22" s="19"/>
    </row>
    <row r="23" ht="18.75" customHeight="1">
      <c r="A23" s="19"/>
      <c r="B23" s="26"/>
      <c r="C23" s="36" t="s">
        <v>891</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Homossexual Students</v>
      </c>
      <c r="I25" s="295" t="s">
        <v>713</v>
      </c>
      <c r="J25" s="294" t="s">
        <v>714</v>
      </c>
      <c r="K25" s="294" t="s">
        <v>715</v>
      </c>
      <c r="L25" s="38"/>
      <c r="M25" s="26"/>
      <c r="N25" s="49"/>
      <c r="O25" s="289"/>
      <c r="P25" s="289"/>
      <c r="Q25" s="19"/>
    </row>
    <row r="26" ht="18.75" customHeight="1">
      <c r="A26" s="19"/>
      <c r="B26" s="26"/>
      <c r="C26" s="36"/>
      <c r="D26" s="292"/>
      <c r="E26" s="36"/>
      <c r="F26" s="20"/>
      <c r="G26" s="26"/>
      <c r="H26" s="296" t="str">
        <f t="array" ref="H26:K26">IF(Format="Solo",E2,IFNA(VLOOKUP(E2,TeamList,SEQUENCE(1,4,1),0),""))</f>
        <v>The sleepers</v>
      </c>
      <c r="I26" s="297" t="s">
        <v>779</v>
      </c>
      <c r="J26" s="296" t="s">
        <v>780</v>
      </c>
      <c r="K26" s="296" t="s">
        <v>781</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Ghost the Angel</v>
      </c>
      <c r="D2" s="235" t="s">
        <v>854</v>
      </c>
      <c r="E2" s="236" t="str">
        <f>IFNA(VLOOKUP(I2,Schedules,5,0),"")</f>
        <v>The 3-star Threats</v>
      </c>
      <c r="F2" s="20"/>
      <c r="G2" s="21" t="s">
        <v>855</v>
      </c>
      <c r="H2" s="237" t="s">
        <v>856</v>
      </c>
      <c r="I2" s="238">
        <v>51.0</v>
      </c>
      <c r="K2" s="238"/>
      <c r="L2" s="20"/>
      <c r="M2" s="21" t="s">
        <v>857</v>
      </c>
      <c r="N2" s="239" t="s">
        <v>25</v>
      </c>
      <c r="O2" s="240" t="s">
        <v>37</v>
      </c>
      <c r="P2" s="4"/>
      <c r="Q2" s="19"/>
    </row>
    <row r="3" ht="18.75" customHeight="1">
      <c r="A3" s="19"/>
      <c r="B3" s="26"/>
      <c r="C3" s="241">
        <f>IF(D6="Blue",-1,COUNTIF(E14:E26,"Red"))</f>
        <v>6</v>
      </c>
      <c r="D3" s="242">
        <f>VLOOKUP(O2,MappoolSettings,2,0)</f>
        <v>11</v>
      </c>
      <c r="E3" s="243">
        <f>IF(D6="Red",-1,COUNTIF(E14:E26,"Blue"))</f>
        <v>1</v>
      </c>
      <c r="F3" s="20"/>
      <c r="G3" s="26"/>
      <c r="H3" s="244" t="s">
        <v>456</v>
      </c>
      <c r="I3" s="35" t="s">
        <v>599</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)"),"**Semifinals: Match 51**
&lt;https://osu.ppy.sh/community/matches/110385386&gt;
:red_square: Ghost the Angel | 6 : 1 | The 3-star Threats :blue_square:
Ghost the Angel bans | DT3 HR2
The 3-star Threats bans | NM4 HD1
First pick | The 3-star Threats
:red_squ"&amp;"are: | HR1: Harumaki Gohan feat. Hatsune Miku - Hotaru wa Inakatta [Kuse's Insane]
:red_square: | NM6: Kai - Junk Lady [Deppy and Wanpachi's Insane]
:red_square: | NM3: ALI - Wild Side [Squilly's Insane]
:red_square: | HD3: YUC'e - POISON -KO3 Remix- [Ins"&amp;"ane]
:blue_square: | HD2: Kola Kid - timer [Insane]
:red_square: | NM2: GIVEON - Favourite Mistake [Halogenix Edit] [Insane]
:red_square: | FM2: Brandy - Cross Time !! [DJPop Mix]")</f>
        <v>**Semifinals: Match 51**
&lt;https://osu.ppy.sh/community/matches/110385386&gt;
:red_square: Ghost the Angel | 6 : 1 | The 3-star Threats :blue_square:
Ghost the Angel bans | DT3 HR2
The 3-star Threats bans | NM4 HD1
First pick | The 3-star Threats
:red_square: | HR1: Harumaki Gohan feat. Hatsune Miku - Hotaru wa Inakatta [Kuse's Insane]
:red_square: | NM6: Kai - Junk Lady [Deppy and Wanpachi's Insane]
:red_square: | NM3: ALI - Wild Side [Squilly's Insane]
:red_square: | HD3: YUC'e - POISON -KO3 Remix- [Insane]
:blue_square: | HD2: Kola Kid - timer [Insane]
:red_square: | NM2: GIVEON - Favourite Mistake [Halogenix Edit] [Insane]
:red_square: | FM2: Brandy - Cross Time !! [DJPop Mix]</v>
      </c>
      <c r="E4" s="248"/>
      <c r="F4" s="20"/>
      <c r="G4" s="26"/>
      <c r="H4" s="237" t="s">
        <v>452</v>
      </c>
      <c r="I4" s="249" t="str">
        <f>IFNA(VLOOKUP(I2,Schedules,6,0),"")</f>
        <v>reforna</v>
      </c>
      <c r="K4" s="249"/>
      <c r="L4" s="20"/>
      <c r="M4" s="26"/>
      <c r="N4" s="250" t="str">
        <f>IFERROR(__xludf.DUMMYFUNCTION("IF(O2="""",,ARRAY_CONSTRAIN(FILTER(Maps,Mappools!B4:B27=O2),25,3))"),"NM1: t+pazolite - Party in the HOLLOWood feat. Nanahira [INSane]")</f>
        <v>NM1: t+pazolite - Party in the HOLLOWood feat. Nanahira [INSane]</v>
      </c>
      <c r="O4" s="251" t="str">
        <f>IFERROR(__xludf.DUMMYFUNCTION("""COMPUTED_VALUE"""),"!mp map 1717844 0")</f>
        <v>!mp map 1717844 0</v>
      </c>
      <c r="P4" s="251" t="str">
        <f>IFERROR(__xludf.DUMMYFUNCTION("""COMPUTED_VALUE"""),"!mp mods NF")</f>
        <v>!mp mods NF</v>
      </c>
      <c r="Q4" s="19"/>
    </row>
    <row r="5" ht="18.75" customHeight="1">
      <c r="A5" s="19"/>
      <c r="B5" s="26"/>
      <c r="C5" s="246" t="s">
        <v>859</v>
      </c>
      <c r="D5" s="252" t="str">
        <f t="array" ref="D5:E5">IFERROR(VLOOKUP(INDEX($D$14:$D$26,COUNTA($D$14:$D$26)),$N$4:$P$26,{2,3},0),"")</f>
        <v>!mp map 28366 0</v>
      </c>
      <c r="E5" s="253" t="s">
        <v>122</v>
      </c>
      <c r="F5" s="20"/>
      <c r="G5" s="26"/>
      <c r="H5" s="237" t="s">
        <v>860</v>
      </c>
      <c r="I5" s="254">
        <f t="array" ref="I5">IFNA(SUM(VLOOKUP(I2,Schedules,{2,3},0)),"")</f>
        <v>45178.66667</v>
      </c>
      <c r="K5" s="254"/>
      <c r="L5" s="20"/>
      <c r="M5" s="26"/>
      <c r="N5" s="250" t="str">
        <f>IFERROR(__xludf.DUMMYFUNCTION("""COMPUTED_VALUE"""),"NM2: GIVEON - Favourite Mistake [Halogenix Edit] [Insane]")</f>
        <v>NM2: GIVEON - Favourite Mistake [Halogenix Edit] [Insane]</v>
      </c>
      <c r="O5" s="251" t="str">
        <f>IFERROR(__xludf.DUMMYFUNCTION("""COMPUTED_VALUE"""),"!mp map 3656173 0")</f>
        <v>!mp map 3656173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ALI - Wild Side [Squilly's Insane]")</f>
        <v>NM3: ALI - Wild Side [Squilly's Insane]</v>
      </c>
      <c r="O6" s="251" t="str">
        <f>IFERROR(__xludf.DUMMYFUNCTION("""COMPUTED_VALUE"""),"!mp map 2715749 0")</f>
        <v>!mp map 2715749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(Ghost the Angel) vs (The 3-star Threats)</v>
      </c>
      <c r="L7" s="20"/>
      <c r="M7" s="26"/>
      <c r="N7" s="250" t="str">
        <f>IFERROR(__xludf.DUMMYFUNCTION("""COMPUTED_VALUE"""),"NM4: VeetaCrush - Mole [Kyutei's Insane]")</f>
        <v>NM4: VeetaCrush - Mole [Kyutei's Insane]</v>
      </c>
      <c r="O7" s="251" t="str">
        <f>IFERROR(__xludf.DUMMYFUNCTION("""COMPUTED_VALUE"""),"!mp map 3291796 0")</f>
        <v>!mp map 3291796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Camellia - Killerbeast [Spiritual]")</f>
        <v>NM5: Camellia - Killerbeast [Spiritual]</v>
      </c>
      <c r="O8" s="251" t="str">
        <f>IFERROR(__xludf.DUMMYFUNCTION("""COMPUTED_VALUE"""),"!mp map 3187491 0")</f>
        <v>!mp map 3187491 0</v>
      </c>
      <c r="P8" s="251" t="str">
        <f>IFERROR(__xludf.DUMMYFUNCTION("""COMPUTED_VALUE"""),"!mp mods NF")</f>
        <v>!mp mods NF</v>
      </c>
      <c r="Q8" s="19"/>
    </row>
    <row r="9" ht="18.75" customHeight="1">
      <c r="A9" s="19"/>
      <c r="B9" s="26"/>
      <c r="C9" s="262" t="str">
        <f>C2</f>
        <v>Ghost the Angel</v>
      </c>
      <c r="D9" s="263" t="s">
        <v>277</v>
      </c>
      <c r="E9" s="238" t="s">
        <v>265</v>
      </c>
      <c r="F9" s="20"/>
      <c r="G9" s="26"/>
      <c r="H9" s="237" t="s">
        <v>13</v>
      </c>
      <c r="I9" s="264" t="s">
        <v>868</v>
      </c>
      <c r="K9" s="265"/>
      <c r="L9" s="20"/>
      <c r="M9" s="26"/>
      <c r="N9" s="250" t="str">
        <f>IFERROR(__xludf.DUMMYFUNCTION("""COMPUTED_VALUE"""),"NM6: Kai - Junk Lady [Deppy and Wanpachi's Insane]")</f>
        <v>NM6: Kai - Junk Lady [Deppy and Wanpachi's Insane]</v>
      </c>
      <c r="O9" s="251" t="str">
        <f>IFERROR(__xludf.DUMMYFUNCTION("""COMPUTED_VALUE"""),"!mp map 3990086 0")</f>
        <v>!mp map 3990086 0</v>
      </c>
      <c r="P9" s="251" t="str">
        <f>IFERROR(__xludf.DUMMYFUNCTION("""COMPUTED_VALUE"""),"!mp mods NF")</f>
        <v>!mp mods NF</v>
      </c>
      <c r="Q9" s="19"/>
    </row>
    <row r="10" ht="18.75" customHeight="1">
      <c r="A10" s="19"/>
      <c r="B10" s="26"/>
      <c r="C10" s="266" t="str">
        <f>E2</f>
        <v>The 3-star Threats</v>
      </c>
      <c r="D10" s="267" t="s">
        <v>244</v>
      </c>
      <c r="E10" s="268" t="s">
        <v>253</v>
      </c>
      <c r="F10" s="20"/>
      <c r="G10" s="26"/>
      <c r="H10" s="244" t="s">
        <v>869</v>
      </c>
      <c r="I10" s="269" t="str">
        <f t="array" ref="I10:J10">IFNA(IF(VLOOKUP(I2,Schedules,{7,8},0)="",,"!mp addref "&amp;VLOOKUP(I2,Schedules,{7,8},0)),"")</f>
        <v/>
      </c>
      <c r="J10" s="269"/>
      <c r="K10" s="270"/>
      <c r="L10" s="20"/>
      <c r="M10" s="26"/>
      <c r="N10" s="250" t="str">
        <f>IFERROR(__xludf.DUMMYFUNCTION("""COMPUTED_VALUE"""),"HD1: Aso Natsuko - Perfect-area complete! [Asuka_-'s Insane]")</f>
        <v>HD1: Aso Natsuko - Perfect-area complete! [Asuka_-'s Insane]</v>
      </c>
      <c r="O10" s="251" t="str">
        <f>IFERROR(__xludf.DUMMYFUNCTION("""COMPUTED_VALUE"""),"!mp map 1972425 0")</f>
        <v>!mp map 1972425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BCraftMG</v>
      </c>
      <c r="J11" s="272" t="s">
        <v>924</v>
      </c>
      <c r="K11" s="273"/>
      <c r="L11" s="20"/>
      <c r="M11" s="26"/>
      <c r="N11" s="250" t="str">
        <f>IFERROR(__xludf.DUMMYFUNCTION("""COMPUTED_VALUE"""),"HD2: Kola Kid - timer [Insane]")</f>
        <v>HD2: Kola Kid - timer [Insane]</v>
      </c>
      <c r="O11" s="251" t="str">
        <f>IFERROR(__xludf.DUMMYFUNCTION("""COMPUTED_VALUE"""),"!mp map 2277128 0")</f>
        <v>!mp map 2277128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YUC'e - POISON -KO3 Remix- [Insane]")</f>
        <v>HD3: YUC'e - POISON -KO3 Remix- [Insane]</v>
      </c>
      <c r="O12" s="251" t="str">
        <f>IFERROR(__xludf.DUMMYFUNCTION("""COMPUTED_VALUE"""),"!mp map 2044890 0")</f>
        <v>!mp map 2044890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Harumaki Gohan feat. Hatsune Miku - Hotaru wa Inakatta [Kuse's Insane]")</f>
        <v>HR1: Harumaki Gohan feat. Hatsune Miku - Hotaru wa Inakatta [Kuse's Insane]</v>
      </c>
      <c r="O13" s="251" t="str">
        <f>IFERROR(__xludf.DUMMYFUNCTION("""COMPUTED_VALUE"""),"!mp map 3454421 0")</f>
        <v>!mp map 3454421 0</v>
      </c>
      <c r="P13" s="251" t="str">
        <f>IFERROR(__xludf.DUMMYFUNCTION("""COMPUTED_VALUE"""),"!mp mods HR NF")</f>
        <v>!mp mods HR NF</v>
      </c>
      <c r="Q13" s="19"/>
    </row>
    <row r="14" ht="18.75" customHeight="1">
      <c r="A14" s="19"/>
      <c r="B14" s="26"/>
      <c r="C14" s="36" t="str">
        <f t="array" ref="C14:C24">IF(D11="",,{IF(MOD(SEQUENCE(D3-1,1),2)=1,IF(D11="Red","Red","Blue"),IF(D11="Red","Blue","Red"));"Tiebreaker"})</f>
        <v>Blue</v>
      </c>
      <c r="D14" s="263" t="s">
        <v>262</v>
      </c>
      <c r="E14" s="31" t="s">
        <v>893</v>
      </c>
      <c r="F14" s="20"/>
      <c r="G14" s="26"/>
      <c r="H14" s="278" t="s">
        <v>878</v>
      </c>
      <c r="I14" s="260" t="s">
        <v>879</v>
      </c>
      <c r="J14" s="260" t="s">
        <v>880</v>
      </c>
      <c r="K14" s="261"/>
      <c r="L14" s="20"/>
      <c r="M14" s="26"/>
      <c r="N14" s="250" t="str">
        <f>IFERROR(__xludf.DUMMYFUNCTION("""COMPUTED_VALUE"""),"HR2: Cro - Wie ich bin [Trust]")</f>
        <v>HR2: Cro - Wie ich bin [Trust]</v>
      </c>
      <c r="O14" s="251" t="str">
        <f>IFERROR(__xludf.DUMMYFUNCTION("""COMPUTED_VALUE"""),"!mp map 2917786 0")</f>
        <v>!mp map 2917786 0</v>
      </c>
      <c r="P14" s="251" t="str">
        <f>IFERROR(__xludf.DUMMYFUNCTION("""COMPUTED_VALUE"""),"!mp mods HR NF")</f>
        <v>!mp mods HR NF</v>
      </c>
      <c r="Q14" s="19"/>
    </row>
    <row r="15" ht="18.75" customHeight="1">
      <c r="A15" s="19"/>
      <c r="B15" s="26"/>
      <c r="C15" s="36" t="s">
        <v>893</v>
      </c>
      <c r="D15" s="263" t="s">
        <v>250</v>
      </c>
      <c r="E15" s="31" t="s">
        <v>893</v>
      </c>
      <c r="F15" s="20"/>
      <c r="G15" s="20"/>
      <c r="H15" s="20"/>
      <c r="I15" s="20"/>
      <c r="J15" s="20"/>
      <c r="K15" s="20"/>
      <c r="L15" s="20"/>
      <c r="M15" s="26"/>
      <c r="N15" s="250" t="str">
        <f>IFERROR(__xludf.DUMMYFUNCTION("""COMPUTED_VALUE"""),"HR3: Camellia - Routing [Another]")</f>
        <v>HR3: Camellia - Routing [Another]</v>
      </c>
      <c r="O15" s="251" t="str">
        <f>IFERROR(__xludf.DUMMYFUNCTION("""COMPUTED_VALUE"""),"!mp map 1405094 0")</f>
        <v>!mp map 1405094 0</v>
      </c>
      <c r="P15" s="251" t="str">
        <f>IFERROR(__xludf.DUMMYFUNCTION("""COMPUTED_VALUE"""),"!mp mods HR NF")</f>
        <v>!mp mods HR NF</v>
      </c>
      <c r="Q15" s="19"/>
    </row>
    <row r="16" ht="18.75" customHeight="1">
      <c r="A16" s="19"/>
      <c r="B16" s="26"/>
      <c r="C16" s="36" t="s">
        <v>891</v>
      </c>
      <c r="D16" s="263" t="s">
        <v>241</v>
      </c>
      <c r="E16" s="31" t="s">
        <v>893</v>
      </c>
      <c r="F16" s="20"/>
      <c r="G16" s="21" t="s">
        <v>881</v>
      </c>
      <c r="H16" s="279" t="s">
        <v>882</v>
      </c>
      <c r="I16" s="280">
        <f>VLOOKUP(O2,MappoolSettings,3,0)</f>
        <v>2</v>
      </c>
      <c r="K16" s="281"/>
      <c r="L16" s="20"/>
      <c r="M16" s="26"/>
      <c r="N16" s="250" t="str">
        <f>IFERROR(__xludf.DUMMYFUNCTION("""COMPUTED_VALUE"""),"DT1: 96neko - Primitive emotion [Hard]")</f>
        <v>DT1: 96neko - Primitive emotion [Hard]</v>
      </c>
      <c r="O16" s="251" t="str">
        <f>IFERROR(__xludf.DUMMYFUNCTION("""COMPUTED_VALUE"""),"!mp map 1592512 0")</f>
        <v>!mp map 1592512 0</v>
      </c>
      <c r="P16" s="251" t="str">
        <f>IFERROR(__xludf.DUMMYFUNCTION("""COMPUTED_VALUE"""),"!mp mods DT NF")</f>
        <v>!mp mods DT NF</v>
      </c>
      <c r="Q16" s="19"/>
    </row>
    <row r="17" ht="18.75" customHeight="1">
      <c r="A17" s="19"/>
      <c r="B17" s="26"/>
      <c r="C17" s="36" t="s">
        <v>893</v>
      </c>
      <c r="D17" s="263" t="s">
        <v>259</v>
      </c>
      <c r="E17" s="31" t="s">
        <v>893</v>
      </c>
      <c r="F17" s="20"/>
      <c r="G17" s="26"/>
      <c r="H17" s="282" t="s">
        <v>883</v>
      </c>
      <c r="I17" s="283" t="str">
        <f>ForumPostLink</f>
        <v>https://osu.ppy.sh/community/forums/topics/1790898?n=1?</v>
      </c>
      <c r="L17" s="20"/>
      <c r="M17" s="26"/>
      <c r="N17" s="250" t="str">
        <f>IFERROR(__xludf.DUMMYFUNCTION("""COMPUTED_VALUE"""),"DT2: umu. - Dareka no Shinzou ni Nareta Nara [Hard]")</f>
        <v>DT2: umu. - Dareka no Shinzou ni Nareta Nara [Hard]</v>
      </c>
      <c r="O17" s="251" t="str">
        <f>IFERROR(__xludf.DUMMYFUNCTION("""COMPUTED_VALUE"""),"!mp map 2388648 0")</f>
        <v>!mp map 2388648 0</v>
      </c>
      <c r="P17" s="251" t="str">
        <f>IFERROR(__xludf.DUMMYFUNCTION("""COMPUTED_VALUE"""),"!mp mods DT NF")</f>
        <v>!mp mods DT NF</v>
      </c>
      <c r="Q17" s="19"/>
    </row>
    <row r="18" ht="18.75" customHeight="1">
      <c r="A18" s="19"/>
      <c r="B18" s="26"/>
      <c r="C18" s="36" t="s">
        <v>891</v>
      </c>
      <c r="D18" s="263" t="s">
        <v>256</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AAAA + Umeboshi Chazuke - Cait Sith [Setu's Hard]")</f>
        <v>DT3: AAAA + Umeboshi Chazuke - Cait Sith [Setu's Hard]</v>
      </c>
      <c r="O18" s="251" t="str">
        <f>IFERROR(__xludf.DUMMYFUNCTION("""COMPUTED_VALUE"""),"!mp map 3819183 0")</f>
        <v>!mp map 3819183 0</v>
      </c>
      <c r="P18" s="251" t="str">
        <f>IFERROR(__xludf.DUMMYFUNCTION("""COMPUTED_VALUE"""),"!mp mods DT NF")</f>
        <v>!mp mods DT NF</v>
      </c>
      <c r="Q18" s="19"/>
    </row>
    <row r="19" ht="18.75" customHeight="1">
      <c r="A19" s="19"/>
      <c r="B19" s="26"/>
      <c r="C19" s="36" t="s">
        <v>893</v>
      </c>
      <c r="D19" s="263" t="s">
        <v>238</v>
      </c>
      <c r="E19" s="31" t="s">
        <v>893</v>
      </c>
      <c r="F19" s="20"/>
      <c r="G19" s="26"/>
      <c r="H19" s="282" t="s">
        <v>885</v>
      </c>
      <c r="I19" s="284" t="str">
        <f>"Forfeit: "&amp;IF(NoShow2="","Never",NoShow2&amp;"mins")</f>
        <v>Forfeit: 15mins</v>
      </c>
      <c r="J19" s="285"/>
      <c r="K19" s="286"/>
      <c r="L19" s="20"/>
      <c r="M19" s="26"/>
      <c r="N19" s="250" t="str">
        <f>IFERROR(__xludf.DUMMYFUNCTION("""COMPUTED_VALUE"""),"FM1: Wagakki Band - Kagerou Days [Ducky-'s Insane]")</f>
        <v>FM1: Wagakki Band - Kagerou Days [Ducky-'s Insane]</v>
      </c>
      <c r="O19" s="251" t="str">
        <f>IFERROR(__xludf.DUMMYFUNCTION("""COMPUTED_VALUE"""),"!mp map 2514122 0")</f>
        <v>!mp map 2514122 0</v>
      </c>
      <c r="P19" s="251" t="str">
        <f>IFERROR(__xludf.DUMMYFUNCTION("""COMPUTED_VALUE"""),"!mp mods Freemod")</f>
        <v>!mp mods Freemod</v>
      </c>
      <c r="Q19" s="19"/>
    </row>
    <row r="20" ht="18.75" customHeight="1">
      <c r="A20" s="19"/>
      <c r="B20" s="26"/>
      <c r="C20" s="36" t="s">
        <v>891</v>
      </c>
      <c r="D20" s="263" t="s">
        <v>283</v>
      </c>
      <c r="E20" s="31" t="s">
        <v>893</v>
      </c>
      <c r="F20" s="20"/>
      <c r="G20" s="26"/>
      <c r="H20" s="287" t="s">
        <v>56</v>
      </c>
      <c r="I20" s="288" t="s">
        <v>57</v>
      </c>
      <c r="L20" s="20"/>
      <c r="M20" s="26"/>
      <c r="N20" s="49" t="str">
        <f>IFERROR(__xludf.DUMMYFUNCTION("""COMPUTED_VALUE"""),"FM2: Brandy - Cross Time !! [DJPop Mix]")</f>
        <v>FM2: Brandy - Cross Time !! [DJPop Mix]</v>
      </c>
      <c r="O20" s="289" t="str">
        <f>IFERROR(__xludf.DUMMYFUNCTION("""COMPUTED_VALUE"""),"!mp map 28366 0")</f>
        <v>!mp map 28366 0</v>
      </c>
      <c r="P20" s="289" t="str">
        <f>IFERROR(__xludf.DUMMYFUNCTION("""COMPUTED_VALUE"""),"!mp mods Freemod")</f>
        <v>!mp mods Freemod</v>
      </c>
      <c r="Q20" s="19"/>
    </row>
    <row r="21" ht="18.75" customHeight="1">
      <c r="A21" s="19"/>
      <c r="B21" s="26"/>
      <c r="C21" s="36" t="s">
        <v>893</v>
      </c>
      <c r="D21" s="263"/>
      <c r="E21" s="31"/>
      <c r="F21" s="20"/>
      <c r="G21" s="26"/>
      <c r="H21" s="287" t="s">
        <v>58</v>
      </c>
      <c r="I21" s="290" t="s">
        <v>886</v>
      </c>
      <c r="L21" s="20"/>
      <c r="M21" s="26"/>
      <c r="N21" s="49" t="str">
        <f>IFERROR(__xludf.DUMMYFUNCTION("""COMPUTED_VALUE"""),"TB1: Camellia - EXiT this Earths Atomosphere [Astral]")</f>
        <v>TB1: Camellia - EXiT this Earths Atomosphere [Astral]</v>
      </c>
      <c r="O21" s="289" t="str">
        <f>IFERROR(__xludf.DUMMYFUNCTION("""COMPUTED_VALUE"""),"!mp map 1248147 0")</f>
        <v>!mp map 1248147 0</v>
      </c>
      <c r="P21" s="289" t="str">
        <f>IFERROR(__xludf.DUMMYFUNCTION("""COMPUTED_VALUE"""),"!mp mods Freemod")</f>
        <v>!mp mods Freemod</v>
      </c>
      <c r="Q21" s="19"/>
    </row>
    <row r="22" ht="18.75" customHeight="1">
      <c r="A22" s="19"/>
      <c r="B22" s="26"/>
      <c r="C22" s="36" t="s">
        <v>891</v>
      </c>
      <c r="D22" s="263"/>
      <c r="E22" s="31"/>
      <c r="F22" s="20"/>
      <c r="G22" s="26"/>
      <c r="H22" s="287" t="s">
        <v>887</v>
      </c>
      <c r="I22" s="48" t="s">
        <v>888</v>
      </c>
      <c r="K22" s="291"/>
      <c r="L22" s="20"/>
      <c r="M22" s="26"/>
      <c r="N22" s="49"/>
      <c r="O22" s="289"/>
      <c r="P22" s="289"/>
      <c r="Q22" s="19"/>
    </row>
    <row r="23" ht="18.75" customHeight="1">
      <c r="A23" s="19"/>
      <c r="B23" s="26"/>
      <c r="C23" s="36" t="s">
        <v>893</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Ghost the Angel</v>
      </c>
      <c r="I25" s="295" t="s">
        <v>596</v>
      </c>
      <c r="J25" s="294" t="s">
        <v>641</v>
      </c>
      <c r="K25" s="294" t="s">
        <v>642</v>
      </c>
      <c r="L25" s="38"/>
      <c r="M25" s="26"/>
      <c r="N25" s="49"/>
      <c r="O25" s="289"/>
      <c r="P25" s="289"/>
      <c r="Q25" s="19"/>
    </row>
    <row r="26" ht="18.75" customHeight="1">
      <c r="A26" s="19"/>
      <c r="B26" s="26"/>
      <c r="C26" s="36"/>
      <c r="D26" s="292"/>
      <c r="E26" s="36"/>
      <c r="F26" s="20"/>
      <c r="G26" s="26"/>
      <c r="H26" s="296" t="str">
        <f t="array" ref="H26:K26">IF(Format="Solo",E2,IFNA(VLOOKUP(E2,TeamList,SEQUENCE(1,4,1),0),""))</f>
        <v>The 3-star Threats</v>
      </c>
      <c r="I26" s="297" t="s">
        <v>799</v>
      </c>
      <c r="J26" s="296" t="s">
        <v>800</v>
      </c>
      <c r="K26" s="296" t="s">
        <v>801</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Tom and Jerry</v>
      </c>
      <c r="D2" s="235" t="s">
        <v>854</v>
      </c>
      <c r="E2" s="236" t="str">
        <f>IFNA(VLOOKUP(I2,Schedules,5,0),"")</f>
        <v>VN+1</v>
      </c>
      <c r="F2" s="20"/>
      <c r="G2" s="21" t="s">
        <v>855</v>
      </c>
      <c r="H2" s="237" t="s">
        <v>856</v>
      </c>
      <c r="I2" s="238">
        <v>52.0</v>
      </c>
      <c r="K2" s="238"/>
      <c r="L2" s="20"/>
      <c r="M2" s="21" t="s">
        <v>857</v>
      </c>
      <c r="N2" s="239" t="s">
        <v>25</v>
      </c>
      <c r="O2" s="240" t="s">
        <v>37</v>
      </c>
      <c r="P2" s="4"/>
      <c r="Q2" s="19"/>
    </row>
    <row r="3" ht="18.75" customHeight="1">
      <c r="A3" s="19"/>
      <c r="B3" s="26"/>
      <c r="C3" s="241">
        <f>IF(D6="Blue",-1,COUNTIF(E14:E26,"Red"))</f>
        <v>6</v>
      </c>
      <c r="D3" s="242">
        <f>VLOOKUP(O2,MappoolSettings,2,0)</f>
        <v>11</v>
      </c>
      <c r="E3" s="243">
        <f>IF(D6="Red",-1,COUNTIF(E14:E26,"Blue"))</f>
        <v>4</v>
      </c>
      <c r="F3" s="20"/>
      <c r="G3" s="26"/>
      <c r="H3" s="244" t="s">
        <v>456</v>
      </c>
      <c r="I3" s="35" t="s">
        <v>598</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)"),"**Semifinals: Match 52**
&lt;https://osu.ppy.sh/community/matches/110379556&gt;
:red_square: Tom and Jerry | 6 : 4 | VN+1 :blue_square:
Tom and Jerry bans | HR1 FM1
VN+1 bans | HD2 NM6
First pick | Tom and Jerry
:red_square: | FM2: Brandy - Cross Time !! [D"&amp;"JPop Mix]
:blue_square: | NM3: ALI - Wild Side [Squilly's Insane]
:red_square: | NM5: Camellia - Killerbeast [Spiritual]
:blue_square: | NM4: VeetaCrush - Mole [Kyutei's Insane]
:red_square: | DT3: AAAA + Umeboshi Chazuke - Cait Sith [Setu's Hard]
:red_sq"&amp;"uare: | NM1: t+pazolite - Party in the HOLLOWood feat. Nanahira [INSane]
:red_square: | HD3: YUC'e - POISON -KO3 Remix- [Insane]
:blue_square: | HR2: Cro - Wie ich bin [Trust]
:blue_square: | DT2: umu. - Dareka no Shinzou ni Nareta Nara [Hard]
:red_square"&amp;": | NM2: GIVEON - Favourite Mistake [Halogenix Edit] [Insane]")</f>
        <v>**Semifinals: Match 52**
&lt;https://osu.ppy.sh/community/matches/110379556&gt;
:red_square: Tom and Jerry | 6 : 4 | VN+1 :blue_square:
Tom and Jerry bans | HR1 FM1
VN+1 bans | HD2 NM6
First pick | Tom and Jerry
:red_square: | FM2: Brandy - Cross Time !! [DJPop Mix]
:blue_square: | NM3: ALI - Wild Side [Squilly's Insane]
:red_square: | NM5: Camellia - Killerbeast [Spiritual]
:blue_square: | NM4: VeetaCrush - Mole [Kyutei's Insane]
:red_square: | DT3: AAAA + Umeboshi Chazuke - Cait Sith [Setu's Hard]
:red_square: | NM1: t+pazolite - Party in the HOLLOWood feat. Nanahira [INSane]
:red_square: | HD3: YUC'e - POISON -KO3 Remix- [Insane]
:blue_square: | HR2: Cro - Wie ich bin [Trust]
:blue_square: | DT2: umu. - Dareka no Shinzou ni Nareta Nara [Hard]
:red_square: | NM2: GIVEON - Favourite Mistake [Halogenix Edit] [Insane]</v>
      </c>
      <c r="E4" s="248"/>
      <c r="F4" s="20"/>
      <c r="G4" s="26"/>
      <c r="H4" s="237" t="s">
        <v>452</v>
      </c>
      <c r="I4" s="249" t="str">
        <f>IFNA(VLOOKUP(I2,Schedules,6,0),"")</f>
        <v>Mewo_</v>
      </c>
      <c r="K4" s="249"/>
      <c r="L4" s="20"/>
      <c r="M4" s="26"/>
      <c r="N4" s="250" t="str">
        <f>IFERROR(__xludf.DUMMYFUNCTION("IF(O2="""",,ARRAY_CONSTRAIN(FILTER(Maps,Mappools!B4:B27=O2),25,3))"),"NM1: t+pazolite - Party in the HOLLOWood feat. Nanahira [INSane]")</f>
        <v>NM1: t+pazolite - Party in the HOLLOWood feat. Nanahira [INSane]</v>
      </c>
      <c r="O4" s="251" t="str">
        <f>IFERROR(__xludf.DUMMYFUNCTION("""COMPUTED_VALUE"""),"!mp map 1717844 0")</f>
        <v>!mp map 1717844 0</v>
      </c>
      <c r="P4" s="251" t="str">
        <f>IFERROR(__xludf.DUMMYFUNCTION("""COMPUTED_VALUE"""),"!mp mods NF")</f>
        <v>!mp mods NF</v>
      </c>
      <c r="Q4" s="19"/>
    </row>
    <row r="5" ht="18.75" customHeight="1">
      <c r="A5" s="19"/>
      <c r="B5" s="26"/>
      <c r="C5" s="246" t="s">
        <v>859</v>
      </c>
      <c r="D5" s="252" t="str">
        <f t="array" ref="D5:E5">IFERROR(VLOOKUP(INDEX($D$14:$D$26,COUNTA($D$14:$D$26)),$N$4:$P$26,{2,3},0),"")</f>
        <v>!mp map 3656173 0</v>
      </c>
      <c r="E5" s="253" t="s">
        <v>74</v>
      </c>
      <c r="F5" s="20"/>
      <c r="G5" s="26"/>
      <c r="H5" s="237" t="s">
        <v>860</v>
      </c>
      <c r="I5" s="254">
        <f t="array" ref="I5">IFNA(SUM(VLOOKUP(I2,Schedules,{2,3},0)),"")</f>
        <v>45178.41667</v>
      </c>
      <c r="K5" s="254"/>
      <c r="L5" s="20"/>
      <c r="M5" s="26"/>
      <c r="N5" s="250" t="str">
        <f>IFERROR(__xludf.DUMMYFUNCTION("""COMPUTED_VALUE"""),"NM2: GIVEON - Favourite Mistake [Halogenix Edit] [Insane]")</f>
        <v>NM2: GIVEON - Favourite Mistake [Halogenix Edit] [Insane]</v>
      </c>
      <c r="O5" s="251" t="str">
        <f>IFERROR(__xludf.DUMMYFUNCTION("""COMPUTED_VALUE"""),"!mp map 3656173 0")</f>
        <v>!mp map 3656173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ALI - Wild Side [Squilly's Insane]")</f>
        <v>NM3: ALI - Wild Side [Squilly's Insane]</v>
      </c>
      <c r="O6" s="251" t="str">
        <f>IFERROR(__xludf.DUMMYFUNCTION("""COMPUTED_VALUE"""),"!mp map 2715749 0")</f>
        <v>!mp map 2715749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(Tom and Jerry) vs (VN+1)</v>
      </c>
      <c r="L7" s="20"/>
      <c r="M7" s="26"/>
      <c r="N7" s="250" t="str">
        <f>IFERROR(__xludf.DUMMYFUNCTION("""COMPUTED_VALUE"""),"NM4: VeetaCrush - Mole [Kyutei's Insane]")</f>
        <v>NM4: VeetaCrush - Mole [Kyutei's Insane]</v>
      </c>
      <c r="O7" s="251" t="str">
        <f>IFERROR(__xludf.DUMMYFUNCTION("""COMPUTED_VALUE"""),"!mp map 3291796 0")</f>
        <v>!mp map 3291796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Camellia - Killerbeast [Spiritual]")</f>
        <v>NM5: Camellia - Killerbeast [Spiritual]</v>
      </c>
      <c r="O8" s="251" t="str">
        <f>IFERROR(__xludf.DUMMYFUNCTION("""COMPUTED_VALUE"""),"!mp map 3187491 0")</f>
        <v>!mp map 3187491 0</v>
      </c>
      <c r="P8" s="251" t="str">
        <f>IFERROR(__xludf.DUMMYFUNCTION("""COMPUTED_VALUE"""),"!mp mods NF")</f>
        <v>!mp mods NF</v>
      </c>
      <c r="Q8" s="19"/>
    </row>
    <row r="9" ht="18.75" customHeight="1">
      <c r="A9" s="19"/>
      <c r="B9" s="26"/>
      <c r="C9" s="262" t="str">
        <f>C2</f>
        <v>Tom and Jerry</v>
      </c>
      <c r="D9" s="263" t="s">
        <v>262</v>
      </c>
      <c r="E9" s="238" t="s">
        <v>280</v>
      </c>
      <c r="F9" s="20"/>
      <c r="G9" s="26"/>
      <c r="H9" s="237" t="s">
        <v>13</v>
      </c>
      <c r="I9" s="264" t="s">
        <v>868</v>
      </c>
      <c r="K9" s="265"/>
      <c r="L9" s="20"/>
      <c r="M9" s="26"/>
      <c r="N9" s="250" t="str">
        <f>IFERROR(__xludf.DUMMYFUNCTION("""COMPUTED_VALUE"""),"NM6: Kai - Junk Lady [Deppy and Wanpachi's Insane]")</f>
        <v>NM6: Kai - Junk Lady [Deppy and Wanpachi's Insane]</v>
      </c>
      <c r="O9" s="251" t="str">
        <f>IFERROR(__xludf.DUMMYFUNCTION("""COMPUTED_VALUE"""),"!mp map 3990086 0")</f>
        <v>!mp map 3990086 0</v>
      </c>
      <c r="P9" s="251" t="str">
        <f>IFERROR(__xludf.DUMMYFUNCTION("""COMPUTED_VALUE"""),"!mp mods NF")</f>
        <v>!mp mods NF</v>
      </c>
      <c r="Q9" s="19"/>
    </row>
    <row r="10" ht="18.75" customHeight="1">
      <c r="A10" s="19"/>
      <c r="B10" s="26"/>
      <c r="C10" s="266" t="str">
        <f>E2</f>
        <v>VN+1</v>
      </c>
      <c r="D10" s="267" t="s">
        <v>256</v>
      </c>
      <c r="E10" s="268" t="s">
        <v>250</v>
      </c>
      <c r="F10" s="20"/>
      <c r="G10" s="26"/>
      <c r="H10" s="244" t="s">
        <v>869</v>
      </c>
      <c r="I10" s="269" t="str">
        <f t="array" ref="I10:J10">IFNA(IF(VLOOKUP(I2,Schedules,{7,8},0)="",,"!mp addref "&amp;VLOOKUP(I2,Schedules,{7,8},0)),"")</f>
        <v>!mp addref BCraftMG</v>
      </c>
      <c r="J10" s="269" t="s">
        <v>925</v>
      </c>
      <c r="K10" s="270"/>
      <c r="L10" s="20"/>
      <c r="M10" s="26"/>
      <c r="N10" s="250" t="str">
        <f>IFERROR(__xludf.DUMMYFUNCTION("""COMPUTED_VALUE"""),"HD1: Aso Natsuko - Perfect-area complete! [Asuka_-'s Insane]")</f>
        <v>HD1: Aso Natsuko - Perfect-area complete! [Asuka_-'s Insane]</v>
      </c>
      <c r="O10" s="251" t="str">
        <f>IFERROR(__xludf.DUMMYFUNCTION("""COMPUTED_VALUE"""),"!mp map 1972425 0")</f>
        <v>!mp map 1972425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mblsh</v>
      </c>
      <c r="J11" s="272" t="s">
        <v>904</v>
      </c>
      <c r="K11" s="273"/>
      <c r="L11" s="20"/>
      <c r="M11" s="26"/>
      <c r="N11" s="250" t="str">
        <f>IFERROR(__xludf.DUMMYFUNCTION("""COMPUTED_VALUE"""),"HD2: Kola Kid - timer [Insane]")</f>
        <v>HD2: Kola Kid - timer [Insane]</v>
      </c>
      <c r="O11" s="251" t="str">
        <f>IFERROR(__xludf.DUMMYFUNCTION("""COMPUTED_VALUE"""),"!mp map 2277128 0")</f>
        <v>!mp map 2277128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YUC'e - POISON -KO3 Remix- [Insane]")</f>
        <v>HD3: YUC'e - POISON -KO3 Remix- [Insane]</v>
      </c>
      <c r="O12" s="251" t="str">
        <f>IFERROR(__xludf.DUMMYFUNCTION("""COMPUTED_VALUE"""),"!mp map 2044890 0")</f>
        <v>!mp map 2044890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Harumaki Gohan feat. Hatsune Miku - Hotaru wa Inakatta [Kuse's Insane]")</f>
        <v>HR1: Harumaki Gohan feat. Hatsune Miku - Hotaru wa Inakatta [Kuse's Insane]</v>
      </c>
      <c r="O13" s="251" t="str">
        <f>IFERROR(__xludf.DUMMYFUNCTION("""COMPUTED_VALUE"""),"!mp map 3454421 0")</f>
        <v>!mp map 3454421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283</v>
      </c>
      <c r="E14" s="31" t="s">
        <v>893</v>
      </c>
      <c r="F14" s="20"/>
      <c r="G14" s="26"/>
      <c r="H14" s="278" t="s">
        <v>878</v>
      </c>
      <c r="I14" s="260" t="s">
        <v>879</v>
      </c>
      <c r="J14" s="260" t="s">
        <v>880</v>
      </c>
      <c r="K14" s="261"/>
      <c r="L14" s="20"/>
      <c r="M14" s="26"/>
      <c r="N14" s="250" t="str">
        <f>IFERROR(__xludf.DUMMYFUNCTION("""COMPUTED_VALUE"""),"HR2: Cro - Wie ich bin [Trust]")</f>
        <v>HR2: Cro - Wie ich bin [Trust]</v>
      </c>
      <c r="O14" s="251" t="str">
        <f>IFERROR(__xludf.DUMMYFUNCTION("""COMPUTED_VALUE"""),"!mp map 2917786 0")</f>
        <v>!mp map 2917786 0</v>
      </c>
      <c r="P14" s="251" t="str">
        <f>IFERROR(__xludf.DUMMYFUNCTION("""COMPUTED_VALUE"""),"!mp mods HR NF")</f>
        <v>!mp mods HR NF</v>
      </c>
      <c r="Q14" s="19"/>
    </row>
    <row r="15" ht="18.75" customHeight="1">
      <c r="A15" s="19"/>
      <c r="B15" s="26"/>
      <c r="C15" s="36" t="s">
        <v>891</v>
      </c>
      <c r="D15" s="263" t="s">
        <v>241</v>
      </c>
      <c r="E15" s="31" t="s">
        <v>891</v>
      </c>
      <c r="F15" s="20"/>
      <c r="G15" s="20"/>
      <c r="H15" s="20"/>
      <c r="I15" s="20"/>
      <c r="J15" s="20"/>
      <c r="K15" s="20"/>
      <c r="L15" s="20"/>
      <c r="M15" s="26"/>
      <c r="N15" s="250" t="str">
        <f>IFERROR(__xludf.DUMMYFUNCTION("""COMPUTED_VALUE"""),"HR3: Camellia - Routing [Another]")</f>
        <v>HR3: Camellia - Routing [Another]</v>
      </c>
      <c r="O15" s="251" t="str">
        <f>IFERROR(__xludf.DUMMYFUNCTION("""COMPUTED_VALUE"""),"!mp map 1405094 0")</f>
        <v>!mp map 1405094 0</v>
      </c>
      <c r="P15" s="251" t="str">
        <f>IFERROR(__xludf.DUMMYFUNCTION("""COMPUTED_VALUE"""),"!mp mods HR NF")</f>
        <v>!mp mods HR NF</v>
      </c>
      <c r="Q15" s="19"/>
    </row>
    <row r="16" ht="18.75" customHeight="1">
      <c r="A16" s="19"/>
      <c r="B16" s="26"/>
      <c r="C16" s="36" t="s">
        <v>893</v>
      </c>
      <c r="D16" s="263" t="s">
        <v>247</v>
      </c>
      <c r="E16" s="31" t="s">
        <v>893</v>
      </c>
      <c r="F16" s="20"/>
      <c r="G16" s="21" t="s">
        <v>881</v>
      </c>
      <c r="H16" s="279" t="s">
        <v>882</v>
      </c>
      <c r="I16" s="280">
        <f>VLOOKUP(O2,MappoolSettings,3,0)</f>
        <v>2</v>
      </c>
      <c r="K16" s="281"/>
      <c r="L16" s="20"/>
      <c r="M16" s="26"/>
      <c r="N16" s="250" t="str">
        <f>IFERROR(__xludf.DUMMYFUNCTION("""COMPUTED_VALUE"""),"DT1: 96neko - Primitive emotion [Hard]")</f>
        <v>DT1: 96neko - Primitive emotion [Hard]</v>
      </c>
      <c r="O16" s="251" t="str">
        <f>IFERROR(__xludf.DUMMYFUNCTION("""COMPUTED_VALUE"""),"!mp map 1592512 0")</f>
        <v>!mp map 1592512 0</v>
      </c>
      <c r="P16" s="251" t="str">
        <f>IFERROR(__xludf.DUMMYFUNCTION("""COMPUTED_VALUE"""),"!mp mods DT NF")</f>
        <v>!mp mods DT NF</v>
      </c>
      <c r="Q16" s="19"/>
    </row>
    <row r="17" ht="18.75" customHeight="1">
      <c r="A17" s="19"/>
      <c r="B17" s="26"/>
      <c r="C17" s="36" t="s">
        <v>891</v>
      </c>
      <c r="D17" s="263" t="s">
        <v>244</v>
      </c>
      <c r="E17" s="31" t="s">
        <v>891</v>
      </c>
      <c r="F17" s="20"/>
      <c r="G17" s="26"/>
      <c r="H17" s="282" t="s">
        <v>883</v>
      </c>
      <c r="I17" s="283" t="str">
        <f>ForumPostLink</f>
        <v>https://osu.ppy.sh/community/forums/topics/1790898?n=1?</v>
      </c>
      <c r="L17" s="20"/>
      <c r="M17" s="26"/>
      <c r="N17" s="250" t="str">
        <f>IFERROR(__xludf.DUMMYFUNCTION("""COMPUTED_VALUE"""),"DT2: umu. - Dareka no Shinzou ni Nareta Nara [Hard]")</f>
        <v>DT2: umu. - Dareka no Shinzou ni Nareta Nara [Hard]</v>
      </c>
      <c r="O17" s="251" t="str">
        <f>IFERROR(__xludf.DUMMYFUNCTION("""COMPUTED_VALUE"""),"!mp map 2388648 0")</f>
        <v>!mp map 2388648 0</v>
      </c>
      <c r="P17" s="251" t="str">
        <f>IFERROR(__xludf.DUMMYFUNCTION("""COMPUTED_VALUE"""),"!mp mods DT NF")</f>
        <v>!mp mods DT NF</v>
      </c>
      <c r="Q17" s="19"/>
    </row>
    <row r="18" ht="18.75" customHeight="1">
      <c r="A18" s="19"/>
      <c r="B18" s="26"/>
      <c r="C18" s="36" t="s">
        <v>893</v>
      </c>
      <c r="D18" s="263" t="s">
        <v>277</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AAAA + Umeboshi Chazuke - Cait Sith [Setu's Hard]")</f>
        <v>DT3: AAAA + Umeboshi Chazuke - Cait Sith [Setu's Hard]</v>
      </c>
      <c r="O18" s="251" t="str">
        <f>IFERROR(__xludf.DUMMYFUNCTION("""COMPUTED_VALUE"""),"!mp map 3819183 0")</f>
        <v>!mp map 3819183 0</v>
      </c>
      <c r="P18" s="251" t="str">
        <f>IFERROR(__xludf.DUMMYFUNCTION("""COMPUTED_VALUE"""),"!mp mods DT NF")</f>
        <v>!mp mods DT NF</v>
      </c>
      <c r="Q18" s="19"/>
    </row>
    <row r="19" ht="18.75" customHeight="1">
      <c r="A19" s="19"/>
      <c r="B19" s="26"/>
      <c r="C19" s="36" t="s">
        <v>891</v>
      </c>
      <c r="D19" s="263" t="s">
        <v>235</v>
      </c>
      <c r="E19" s="31" t="s">
        <v>893</v>
      </c>
      <c r="F19" s="20"/>
      <c r="G19" s="26"/>
      <c r="H19" s="282" t="s">
        <v>885</v>
      </c>
      <c r="I19" s="284" t="str">
        <f>"Forfeit: "&amp;IF(NoShow2="","Never",NoShow2&amp;"mins")</f>
        <v>Forfeit: 15mins</v>
      </c>
      <c r="J19" s="285"/>
      <c r="K19" s="286"/>
      <c r="L19" s="20"/>
      <c r="M19" s="26"/>
      <c r="N19" s="250" t="str">
        <f>IFERROR(__xludf.DUMMYFUNCTION("""COMPUTED_VALUE"""),"FM1: Wagakki Band - Kagerou Days [Ducky-'s Insane]")</f>
        <v>FM1: Wagakki Band - Kagerou Days [Ducky-'s Insane]</v>
      </c>
      <c r="O19" s="251" t="str">
        <f>IFERROR(__xludf.DUMMYFUNCTION("""COMPUTED_VALUE"""),"!mp map 2514122 0")</f>
        <v>!mp map 2514122 0</v>
      </c>
      <c r="P19" s="251" t="str">
        <f>IFERROR(__xludf.DUMMYFUNCTION("""COMPUTED_VALUE"""),"!mp mods Freemod")</f>
        <v>!mp mods Freemod</v>
      </c>
      <c r="Q19" s="19"/>
    </row>
    <row r="20" ht="18.75" customHeight="1">
      <c r="A20" s="19"/>
      <c r="B20" s="26"/>
      <c r="C20" s="36" t="s">
        <v>893</v>
      </c>
      <c r="D20" s="263" t="s">
        <v>259</v>
      </c>
      <c r="E20" s="31" t="s">
        <v>893</v>
      </c>
      <c r="F20" s="20"/>
      <c r="G20" s="26"/>
      <c r="H20" s="287" t="s">
        <v>56</v>
      </c>
      <c r="I20" s="288" t="s">
        <v>57</v>
      </c>
      <c r="L20" s="20"/>
      <c r="M20" s="26"/>
      <c r="N20" s="49" t="str">
        <f>IFERROR(__xludf.DUMMYFUNCTION("""COMPUTED_VALUE"""),"FM2: Brandy - Cross Time !! [DJPop Mix]")</f>
        <v>FM2: Brandy - Cross Time !! [DJPop Mix]</v>
      </c>
      <c r="O20" s="289" t="str">
        <f>IFERROR(__xludf.DUMMYFUNCTION("""COMPUTED_VALUE"""),"!mp map 28366 0")</f>
        <v>!mp map 28366 0</v>
      </c>
      <c r="P20" s="289" t="str">
        <f>IFERROR(__xludf.DUMMYFUNCTION("""COMPUTED_VALUE"""),"!mp mods Freemod")</f>
        <v>!mp mods Freemod</v>
      </c>
      <c r="Q20" s="19"/>
    </row>
    <row r="21" ht="18.75" customHeight="1">
      <c r="A21" s="19"/>
      <c r="B21" s="26"/>
      <c r="C21" s="36" t="s">
        <v>891</v>
      </c>
      <c r="D21" s="263" t="s">
        <v>265</v>
      </c>
      <c r="E21" s="31" t="s">
        <v>891</v>
      </c>
      <c r="F21" s="20"/>
      <c r="G21" s="26"/>
      <c r="H21" s="287" t="s">
        <v>58</v>
      </c>
      <c r="I21" s="290" t="s">
        <v>886</v>
      </c>
      <c r="L21" s="20"/>
      <c r="M21" s="26"/>
      <c r="N21" s="49" t="str">
        <f>IFERROR(__xludf.DUMMYFUNCTION("""COMPUTED_VALUE"""),"TB1: Camellia - EXiT this Earths Atomosphere [Astral]")</f>
        <v>TB1: Camellia - EXiT this Earths Atomosphere [Astral]</v>
      </c>
      <c r="O21" s="289" t="str">
        <f>IFERROR(__xludf.DUMMYFUNCTION("""COMPUTED_VALUE"""),"!mp map 1248147 0")</f>
        <v>!mp map 1248147 0</v>
      </c>
      <c r="P21" s="289" t="str">
        <f>IFERROR(__xludf.DUMMYFUNCTION("""COMPUTED_VALUE"""),"!mp mods Freemod")</f>
        <v>!mp mods Freemod</v>
      </c>
      <c r="Q21" s="19"/>
    </row>
    <row r="22" ht="18.75" customHeight="1">
      <c r="A22" s="19"/>
      <c r="B22" s="26"/>
      <c r="C22" s="36" t="s">
        <v>893</v>
      </c>
      <c r="D22" s="263" t="s">
        <v>274</v>
      </c>
      <c r="E22" s="31" t="s">
        <v>891</v>
      </c>
      <c r="F22" s="20"/>
      <c r="G22" s="26"/>
      <c r="H22" s="287" t="s">
        <v>887</v>
      </c>
      <c r="I22" s="48" t="s">
        <v>888</v>
      </c>
      <c r="K22" s="291"/>
      <c r="L22" s="20"/>
      <c r="M22" s="26"/>
      <c r="N22" s="49"/>
      <c r="O22" s="289"/>
      <c r="P22" s="289"/>
      <c r="Q22" s="19"/>
    </row>
    <row r="23" ht="18.75" customHeight="1">
      <c r="A23" s="19"/>
      <c r="B23" s="26"/>
      <c r="C23" s="36" t="s">
        <v>891</v>
      </c>
      <c r="D23" s="263" t="s">
        <v>238</v>
      </c>
      <c r="E23" s="31" t="s">
        <v>893</v>
      </c>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Tom and Jerry</v>
      </c>
      <c r="I25" s="295" t="s">
        <v>794</v>
      </c>
      <c r="J25" s="294" t="s">
        <v>795</v>
      </c>
      <c r="K25" s="294"/>
      <c r="L25" s="38"/>
      <c r="M25" s="26"/>
      <c r="N25" s="49"/>
      <c r="O25" s="289"/>
      <c r="P25" s="289"/>
      <c r="Q25" s="19"/>
    </row>
    <row r="26" ht="18.75" customHeight="1">
      <c r="A26" s="19"/>
      <c r="B26" s="26"/>
      <c r="C26" s="36"/>
      <c r="D26" s="292"/>
      <c r="E26" s="36"/>
      <c r="F26" s="20"/>
      <c r="G26" s="26"/>
      <c r="H26" s="296" t="str">
        <f t="array" ref="H26:K26">IF(Format="Solo",E2,IFNA(VLOOKUP(E2,TeamList,SEQUENCE(1,4,1),0),""))</f>
        <v>VN+1</v>
      </c>
      <c r="I26" s="297" t="s">
        <v>731</v>
      </c>
      <c r="J26" s="296" t="s">
        <v>732</v>
      </c>
      <c r="K26" s="296" t="s">
        <v>733</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Homossexual Students</v>
      </c>
      <c r="D2" s="235" t="s">
        <v>854</v>
      </c>
      <c r="E2" s="236" t="str">
        <f>IFNA(VLOOKUP(I2,Schedules,5,0),"")</f>
        <v>small wiener club</v>
      </c>
      <c r="F2" s="20"/>
      <c r="G2" s="21" t="s">
        <v>855</v>
      </c>
      <c r="H2" s="237" t="s">
        <v>856</v>
      </c>
      <c r="I2" s="238">
        <v>53.0</v>
      </c>
      <c r="K2" s="238"/>
      <c r="L2" s="20"/>
      <c r="M2" s="21" t="s">
        <v>857</v>
      </c>
      <c r="N2" s="239" t="s">
        <v>25</v>
      </c>
      <c r="O2" s="240" t="s">
        <v>37</v>
      </c>
      <c r="P2" s="4"/>
      <c r="Q2" s="19"/>
    </row>
    <row r="3" ht="18.75" customHeight="1">
      <c r="A3" s="19"/>
      <c r="B3" s="26"/>
      <c r="C3" s="241">
        <f>IF(D6="Blue",-1,COUNTIF(E14:E26,"Red"))</f>
        <v>6</v>
      </c>
      <c r="D3" s="242">
        <f>VLOOKUP(O2,MappoolSettings,2,0)</f>
        <v>11</v>
      </c>
      <c r="E3" s="243">
        <f>IF(D6="Red",-1,COUNTIF(E14:E26,"Blue"))</f>
        <v>5</v>
      </c>
      <c r="F3" s="20"/>
      <c r="G3" s="26"/>
      <c r="H3" s="244" t="s">
        <v>456</v>
      </c>
      <c r="I3" s="300" t="s">
        <v>605</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)"),"**Semifinals: Match 53**
&lt;https://osu.ppy.sh/community/matches/110400479&gt;
:red_square: Homossexual Students | 6 : 5 | small wiener club :blue_square:
Homossexual Students bans | HR2 NM3
small wiener club bans | NM2 HD1
First pick | Homossexual Students"&amp;"
:red_square: | NM5: Camellia - Killerbeast [Spiritual]
:blue_square: | FM1: Wagakki Band - Kagerou Days [Ducky-'s Insane]
:blue_square: | DT2: umu. - Dareka no Shinzou ni Nareta Nara [Hard]
:blue_square: | DT1: 96neko - Primitive emotion [Hard]
:red_squ"&amp;"are: | HD2: Kola Kid - timer [Insane]
:blue_square: | HR1: Harumaki Gohan feat. Hatsune Miku - Hotaru wa Inakatta [Kuse's Insane]
:red_square: | DT3: AAAA + Umeboshi Chazuke - Cait Sith [Setu's Hard]
:red_square: | NM4: VeetaCrush - Mole [Kyutei's Insane]"&amp;"
:red_square: | HD3: YUC'e - POISON -KO3 Remix- [Insane]
:blue_square: | NM1: t+pazolite - Party in the HOLLOWood feat. Nanahira [INSane]
:red_square: | TB1: Camellia - EXiT this Earths Atomosphere [Astral]")</f>
        <v>**Semifinals: Match 53**
&lt;https://osu.ppy.sh/community/matches/110400479&gt;
:red_square: Homossexual Students | 6 : 5 | small wiener club :blue_square:
Homossexual Students bans | HR2 NM3
small wiener club bans | NM2 HD1
First pick | Homossexual Students
:red_square: | NM5: Camellia - Killerbeast [Spiritual]
:blue_square: | FM1: Wagakki Band - Kagerou Days [Ducky-'s Insane]
:blue_square: | DT2: umu. - Dareka no Shinzou ni Nareta Nara [Hard]
:blue_square: | DT1: 96neko - Primitive emotion [Hard]
:red_square: | HD2: Kola Kid - timer [Insane]
:blue_square: | HR1: Harumaki Gohan feat. Hatsune Miku - Hotaru wa Inakatta [Kuse's Insane]
:red_square: | DT3: AAAA + Umeboshi Chazuke - Cait Sith [Setu's Hard]
:red_square: | NM4: VeetaCrush - Mole [Kyutei's Insane]
:red_square: | HD3: YUC'e - POISON -KO3 Remix- [Insane]
:blue_square: | NM1: t+pazolite - Party in the HOLLOWood feat. Nanahira [INSane]
:red_square: | TB1: Camellia - EXiT this Earths Atomosphere [Astral]</v>
      </c>
      <c r="E4" s="248"/>
      <c r="F4" s="20"/>
      <c r="G4" s="26"/>
      <c r="H4" s="237" t="s">
        <v>452</v>
      </c>
      <c r="I4" s="238" t="s">
        <v>589</v>
      </c>
      <c r="K4" s="249"/>
      <c r="L4" s="20"/>
      <c r="M4" s="26"/>
      <c r="N4" s="250" t="str">
        <f>IFERROR(__xludf.DUMMYFUNCTION("IF(O2="""",,ARRAY_CONSTRAIN(FILTER(Maps,Mappools!B4:B27=O2),25,3))"),"NM1: t+pazolite - Party in the HOLLOWood feat. Nanahira [INSane]")</f>
        <v>NM1: t+pazolite - Party in the HOLLOWood feat. Nanahira [INSane]</v>
      </c>
      <c r="O4" s="251" t="str">
        <f>IFERROR(__xludf.DUMMYFUNCTION("""COMPUTED_VALUE"""),"!mp map 1717844 0")</f>
        <v>!mp map 1717844 0</v>
      </c>
      <c r="P4" s="251" t="str">
        <f>IFERROR(__xludf.DUMMYFUNCTION("""COMPUTED_VALUE"""),"!mp mods NF")</f>
        <v>!mp mods NF</v>
      </c>
      <c r="Q4" s="19"/>
    </row>
    <row r="5" ht="18.75" customHeight="1">
      <c r="A5" s="19"/>
      <c r="B5" s="26"/>
      <c r="C5" s="246" t="s">
        <v>859</v>
      </c>
      <c r="D5" s="252" t="str">
        <f t="array" ref="D5:E5">IFERROR(VLOOKUP(INDEX($D$14:$D$26,COUNTA($D$14:$D$26)),$N$4:$P$26,{2,3},0),"")</f>
        <v>!mp map 1248147 0</v>
      </c>
      <c r="E5" s="253" t="s">
        <v>122</v>
      </c>
      <c r="F5" s="20"/>
      <c r="G5" s="26"/>
      <c r="H5" s="237" t="s">
        <v>860</v>
      </c>
      <c r="I5" s="254">
        <f t="array" ref="I5">IFNA(SUM(VLOOKUP(I2,Schedules,{2,3},0)),"")</f>
        <v>45179.58333</v>
      </c>
      <c r="K5" s="254"/>
      <c r="L5" s="20"/>
      <c r="M5" s="26"/>
      <c r="N5" s="250" t="str">
        <f>IFERROR(__xludf.DUMMYFUNCTION("""COMPUTED_VALUE"""),"NM2: GIVEON - Favourite Mistake [Halogenix Edit] [Insane]")</f>
        <v>NM2: GIVEON - Favourite Mistake [Halogenix Edit] [Insane]</v>
      </c>
      <c r="O5" s="251" t="str">
        <f>IFERROR(__xludf.DUMMYFUNCTION("""COMPUTED_VALUE"""),"!mp map 3656173 0")</f>
        <v>!mp map 3656173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ALI - Wild Side [Squilly's Insane]")</f>
        <v>NM3: ALI - Wild Side [Squilly's Insane]</v>
      </c>
      <c r="O6" s="251" t="str">
        <f>IFERROR(__xludf.DUMMYFUNCTION("""COMPUTED_VALUE"""),"!mp map 2715749 0")</f>
        <v>!mp map 2715749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(Homossexual Students) vs (small wiener club)</v>
      </c>
      <c r="L7" s="20"/>
      <c r="M7" s="26"/>
      <c r="N7" s="250" t="str">
        <f>IFERROR(__xludf.DUMMYFUNCTION("""COMPUTED_VALUE"""),"NM4: VeetaCrush - Mole [Kyutei's Insane]")</f>
        <v>NM4: VeetaCrush - Mole [Kyutei's Insane]</v>
      </c>
      <c r="O7" s="251" t="str">
        <f>IFERROR(__xludf.DUMMYFUNCTION("""COMPUTED_VALUE"""),"!mp map 3291796 0")</f>
        <v>!mp map 3291796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Camellia - Killerbeast [Spiritual]")</f>
        <v>NM5: Camellia - Killerbeast [Spiritual]</v>
      </c>
      <c r="O8" s="251" t="str">
        <f>IFERROR(__xludf.DUMMYFUNCTION("""COMPUTED_VALUE"""),"!mp map 3187491 0")</f>
        <v>!mp map 3187491 0</v>
      </c>
      <c r="P8" s="251" t="str">
        <f>IFERROR(__xludf.DUMMYFUNCTION("""COMPUTED_VALUE"""),"!mp mods NF")</f>
        <v>!mp mods NF</v>
      </c>
      <c r="Q8" s="19"/>
    </row>
    <row r="9" ht="18.75" customHeight="1">
      <c r="A9" s="19"/>
      <c r="B9" s="26"/>
      <c r="C9" s="262" t="str">
        <f>C2</f>
        <v>Homossexual Students</v>
      </c>
      <c r="D9" s="263" t="s">
        <v>265</v>
      </c>
      <c r="E9" s="238" t="s">
        <v>241</v>
      </c>
      <c r="F9" s="20"/>
      <c r="G9" s="26"/>
      <c r="H9" s="237" t="s">
        <v>13</v>
      </c>
      <c r="I9" s="264" t="s">
        <v>868</v>
      </c>
      <c r="K9" s="265"/>
      <c r="L9" s="20"/>
      <c r="M9" s="26"/>
      <c r="N9" s="250" t="str">
        <f>IFERROR(__xludf.DUMMYFUNCTION("""COMPUTED_VALUE"""),"NM6: Kai - Junk Lady [Deppy and Wanpachi's Insane]")</f>
        <v>NM6: Kai - Junk Lady [Deppy and Wanpachi's Insane]</v>
      </c>
      <c r="O9" s="251" t="str">
        <f>IFERROR(__xludf.DUMMYFUNCTION("""COMPUTED_VALUE"""),"!mp map 3990086 0")</f>
        <v>!mp map 3990086 0</v>
      </c>
      <c r="P9" s="251" t="str">
        <f>IFERROR(__xludf.DUMMYFUNCTION("""COMPUTED_VALUE"""),"!mp mods NF")</f>
        <v>!mp mods NF</v>
      </c>
      <c r="Q9" s="19"/>
    </row>
    <row r="10" ht="18.75" customHeight="1">
      <c r="A10" s="19"/>
      <c r="B10" s="26"/>
      <c r="C10" s="266" t="str">
        <f>E2</f>
        <v>small wiener club</v>
      </c>
      <c r="D10" s="267" t="s">
        <v>238</v>
      </c>
      <c r="E10" s="268" t="s">
        <v>253</v>
      </c>
      <c r="F10" s="20"/>
      <c r="G10" s="26"/>
      <c r="H10" s="244" t="s">
        <v>869</v>
      </c>
      <c r="I10" s="269" t="str">
        <f t="array" ref="I10:J10">IFNA(IF(VLOOKUP(I2,Schedules,{7,8},0)="",,"!mp addref "&amp;VLOOKUP(I2,Schedules,{7,8},0)),"")</f>
        <v/>
      </c>
      <c r="J10" s="269"/>
      <c r="K10" s="270"/>
      <c r="L10" s="20"/>
      <c r="M10" s="26"/>
      <c r="N10" s="250" t="str">
        <f>IFERROR(__xludf.DUMMYFUNCTION("""COMPUTED_VALUE"""),"HD1: Aso Natsuko - Perfect-area complete! [Asuka_-'s Insane]")</f>
        <v>HD1: Aso Natsuko - Perfect-area complete! [Asuka_-'s Insane]</v>
      </c>
      <c r="O10" s="251" t="str">
        <f>IFERROR(__xludf.DUMMYFUNCTION("""COMPUTED_VALUE"""),"!mp map 1972425 0")</f>
        <v>!mp map 1972425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DUM4L77</v>
      </c>
      <c r="J11" s="272" t="s">
        <v>926</v>
      </c>
      <c r="K11" s="273"/>
      <c r="L11" s="20"/>
      <c r="M11" s="26"/>
      <c r="N11" s="250" t="str">
        <f>IFERROR(__xludf.DUMMYFUNCTION("""COMPUTED_VALUE"""),"HD2: Kola Kid - timer [Insane]")</f>
        <v>HD2: Kola Kid - timer [Insane]</v>
      </c>
      <c r="O11" s="251" t="str">
        <f>IFERROR(__xludf.DUMMYFUNCTION("""COMPUTED_VALUE"""),"!mp map 2277128 0")</f>
        <v>!mp map 2277128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YUC'e - POISON -KO3 Remix- [Insane]")</f>
        <v>HD3: YUC'e - POISON -KO3 Remix- [Insane]</v>
      </c>
      <c r="O12" s="251" t="str">
        <f>IFERROR(__xludf.DUMMYFUNCTION("""COMPUTED_VALUE"""),"!mp map 2044890 0")</f>
        <v>!mp map 2044890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Harumaki Gohan feat. Hatsune Miku - Hotaru wa Inakatta [Kuse's Insane]")</f>
        <v>HR1: Harumaki Gohan feat. Hatsune Miku - Hotaru wa Inakatta [Kuse's Insane]</v>
      </c>
      <c r="O13" s="251" t="str">
        <f>IFERROR(__xludf.DUMMYFUNCTION("""COMPUTED_VALUE"""),"!mp map 3454421 0")</f>
        <v>!mp map 3454421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247</v>
      </c>
      <c r="E14" s="31" t="s">
        <v>893</v>
      </c>
      <c r="F14" s="20"/>
      <c r="G14" s="26"/>
      <c r="H14" s="278" t="s">
        <v>878</v>
      </c>
      <c r="I14" s="260" t="s">
        <v>879</v>
      </c>
      <c r="J14" s="260" t="s">
        <v>880</v>
      </c>
      <c r="K14" s="261"/>
      <c r="L14" s="20"/>
      <c r="M14" s="26"/>
      <c r="N14" s="250" t="str">
        <f>IFERROR(__xludf.DUMMYFUNCTION("""COMPUTED_VALUE"""),"HR2: Cro - Wie ich bin [Trust]")</f>
        <v>HR2: Cro - Wie ich bin [Trust]</v>
      </c>
      <c r="O14" s="251" t="str">
        <f>IFERROR(__xludf.DUMMYFUNCTION("""COMPUTED_VALUE"""),"!mp map 2917786 0")</f>
        <v>!mp map 2917786 0</v>
      </c>
      <c r="P14" s="251" t="str">
        <f>IFERROR(__xludf.DUMMYFUNCTION("""COMPUTED_VALUE"""),"!mp mods HR NF")</f>
        <v>!mp mods HR NF</v>
      </c>
      <c r="Q14" s="19"/>
    </row>
    <row r="15" ht="18.75" customHeight="1">
      <c r="A15" s="19"/>
      <c r="B15" s="26"/>
      <c r="C15" s="36" t="s">
        <v>891</v>
      </c>
      <c r="D15" s="263" t="s">
        <v>280</v>
      </c>
      <c r="E15" s="31" t="s">
        <v>891</v>
      </c>
      <c r="F15" s="20"/>
      <c r="G15" s="20"/>
      <c r="H15" s="20"/>
      <c r="I15" s="20"/>
      <c r="J15" s="20"/>
      <c r="K15" s="20"/>
      <c r="L15" s="20"/>
      <c r="M15" s="26"/>
      <c r="N15" s="250" t="str">
        <f>IFERROR(__xludf.DUMMYFUNCTION("""COMPUTED_VALUE"""),"HR3: Camellia - Routing [Another]")</f>
        <v>HR3: Camellia - Routing [Another]</v>
      </c>
      <c r="O15" s="251" t="str">
        <f>IFERROR(__xludf.DUMMYFUNCTION("""COMPUTED_VALUE"""),"!mp map 1405094 0")</f>
        <v>!mp map 1405094 0</v>
      </c>
      <c r="P15" s="251" t="str">
        <f>IFERROR(__xludf.DUMMYFUNCTION("""COMPUTED_VALUE"""),"!mp mods HR NF")</f>
        <v>!mp mods HR NF</v>
      </c>
      <c r="Q15" s="19"/>
    </row>
    <row r="16" ht="18.75" customHeight="1">
      <c r="A16" s="19"/>
      <c r="B16" s="26"/>
      <c r="C16" s="36" t="s">
        <v>893</v>
      </c>
      <c r="D16" s="263" t="s">
        <v>274</v>
      </c>
      <c r="E16" s="31" t="s">
        <v>891</v>
      </c>
      <c r="F16" s="20"/>
      <c r="G16" s="21" t="s">
        <v>881</v>
      </c>
      <c r="H16" s="279" t="s">
        <v>882</v>
      </c>
      <c r="I16" s="280">
        <f>VLOOKUP(O2,MappoolSettings,3,0)</f>
        <v>2</v>
      </c>
      <c r="K16" s="281"/>
      <c r="L16" s="20"/>
      <c r="M16" s="26"/>
      <c r="N16" s="250" t="str">
        <f>IFERROR(__xludf.DUMMYFUNCTION("""COMPUTED_VALUE"""),"DT1: 96neko - Primitive emotion [Hard]")</f>
        <v>DT1: 96neko - Primitive emotion [Hard]</v>
      </c>
      <c r="O16" s="251" t="str">
        <f>IFERROR(__xludf.DUMMYFUNCTION("""COMPUTED_VALUE"""),"!mp map 1592512 0")</f>
        <v>!mp map 1592512 0</v>
      </c>
      <c r="P16" s="251" t="str">
        <f>IFERROR(__xludf.DUMMYFUNCTION("""COMPUTED_VALUE"""),"!mp mods DT NF")</f>
        <v>!mp mods DT NF</v>
      </c>
      <c r="Q16" s="19"/>
    </row>
    <row r="17" ht="18.75" customHeight="1">
      <c r="A17" s="19"/>
      <c r="B17" s="26"/>
      <c r="C17" s="36" t="s">
        <v>891</v>
      </c>
      <c r="D17" s="263" t="s">
        <v>271</v>
      </c>
      <c r="E17" s="31" t="s">
        <v>891</v>
      </c>
      <c r="F17" s="20"/>
      <c r="G17" s="26"/>
      <c r="H17" s="282" t="s">
        <v>883</v>
      </c>
      <c r="I17" s="283" t="str">
        <f>ForumPostLink</f>
        <v>https://osu.ppy.sh/community/forums/topics/1790898?n=1?</v>
      </c>
      <c r="L17" s="20"/>
      <c r="M17" s="26"/>
      <c r="N17" s="250" t="str">
        <f>IFERROR(__xludf.DUMMYFUNCTION("""COMPUTED_VALUE"""),"DT2: umu. - Dareka no Shinzou ni Nareta Nara [Hard]")</f>
        <v>DT2: umu. - Dareka no Shinzou ni Nareta Nara [Hard]</v>
      </c>
      <c r="O17" s="251" t="str">
        <f>IFERROR(__xludf.DUMMYFUNCTION("""COMPUTED_VALUE"""),"!mp map 2388648 0")</f>
        <v>!mp map 2388648 0</v>
      </c>
      <c r="P17" s="251" t="str">
        <f>IFERROR(__xludf.DUMMYFUNCTION("""COMPUTED_VALUE"""),"!mp mods DT NF")</f>
        <v>!mp mods DT NF</v>
      </c>
      <c r="Q17" s="19"/>
    </row>
    <row r="18" ht="18.75" customHeight="1">
      <c r="A18" s="19"/>
      <c r="B18" s="26"/>
      <c r="C18" s="36" t="s">
        <v>893</v>
      </c>
      <c r="D18" s="263" t="s">
        <v>256</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AAAA + Umeboshi Chazuke - Cait Sith [Setu's Hard]")</f>
        <v>DT3: AAAA + Umeboshi Chazuke - Cait Sith [Setu's Hard]</v>
      </c>
      <c r="O18" s="251" t="str">
        <f>IFERROR(__xludf.DUMMYFUNCTION("""COMPUTED_VALUE"""),"!mp map 3819183 0")</f>
        <v>!mp map 3819183 0</v>
      </c>
      <c r="P18" s="251" t="str">
        <f>IFERROR(__xludf.DUMMYFUNCTION("""COMPUTED_VALUE"""),"!mp mods DT NF")</f>
        <v>!mp mods DT NF</v>
      </c>
      <c r="Q18" s="19"/>
    </row>
    <row r="19" ht="18.75" customHeight="1">
      <c r="A19" s="19"/>
      <c r="B19" s="26"/>
      <c r="C19" s="36" t="s">
        <v>891</v>
      </c>
      <c r="D19" s="263" t="s">
        <v>262</v>
      </c>
      <c r="E19" s="31" t="s">
        <v>891</v>
      </c>
      <c r="F19" s="20"/>
      <c r="G19" s="26"/>
      <c r="H19" s="282" t="s">
        <v>885</v>
      </c>
      <c r="I19" s="284" t="str">
        <f>"Forfeit: "&amp;IF(NoShow2="","Never",NoShow2&amp;"mins")</f>
        <v>Forfeit: 15mins</v>
      </c>
      <c r="J19" s="285"/>
      <c r="K19" s="286"/>
      <c r="L19" s="20"/>
      <c r="M19" s="26"/>
      <c r="N19" s="250" t="str">
        <f>IFERROR(__xludf.DUMMYFUNCTION("""COMPUTED_VALUE"""),"FM1: Wagakki Band - Kagerou Days [Ducky-'s Insane]")</f>
        <v>FM1: Wagakki Band - Kagerou Days [Ducky-'s Insane]</v>
      </c>
      <c r="O19" s="251" t="str">
        <f>IFERROR(__xludf.DUMMYFUNCTION("""COMPUTED_VALUE"""),"!mp map 2514122 0")</f>
        <v>!mp map 2514122 0</v>
      </c>
      <c r="P19" s="251" t="str">
        <f>IFERROR(__xludf.DUMMYFUNCTION("""COMPUTED_VALUE"""),"!mp mods Freemod")</f>
        <v>!mp mods Freemod</v>
      </c>
      <c r="Q19" s="19"/>
    </row>
    <row r="20" ht="18.75" customHeight="1">
      <c r="A20" s="19"/>
      <c r="B20" s="26"/>
      <c r="C20" s="36" t="s">
        <v>893</v>
      </c>
      <c r="D20" s="263" t="s">
        <v>277</v>
      </c>
      <c r="E20" s="31" t="s">
        <v>893</v>
      </c>
      <c r="F20" s="20"/>
      <c r="G20" s="26"/>
      <c r="H20" s="287" t="s">
        <v>56</v>
      </c>
      <c r="I20" s="288" t="s">
        <v>57</v>
      </c>
      <c r="L20" s="20"/>
      <c r="M20" s="26"/>
      <c r="N20" s="49" t="str">
        <f>IFERROR(__xludf.DUMMYFUNCTION("""COMPUTED_VALUE"""),"FM2: Brandy - Cross Time !! [DJPop Mix]")</f>
        <v>FM2: Brandy - Cross Time !! [DJPop Mix]</v>
      </c>
      <c r="O20" s="289" t="str">
        <f>IFERROR(__xludf.DUMMYFUNCTION("""COMPUTED_VALUE"""),"!mp map 28366 0")</f>
        <v>!mp map 28366 0</v>
      </c>
      <c r="P20" s="289" t="str">
        <f>IFERROR(__xludf.DUMMYFUNCTION("""COMPUTED_VALUE"""),"!mp mods Freemod")</f>
        <v>!mp mods Freemod</v>
      </c>
      <c r="Q20" s="19"/>
    </row>
    <row r="21" ht="18.75" customHeight="1">
      <c r="A21" s="19"/>
      <c r="B21" s="26"/>
      <c r="C21" s="36" t="s">
        <v>891</v>
      </c>
      <c r="D21" s="263" t="s">
        <v>244</v>
      </c>
      <c r="E21" s="31" t="s">
        <v>893</v>
      </c>
      <c r="F21" s="20"/>
      <c r="G21" s="26"/>
      <c r="H21" s="287" t="s">
        <v>58</v>
      </c>
      <c r="I21" s="290" t="s">
        <v>886</v>
      </c>
      <c r="L21" s="20"/>
      <c r="M21" s="26"/>
      <c r="N21" s="49" t="str">
        <f>IFERROR(__xludf.DUMMYFUNCTION("""COMPUTED_VALUE"""),"TB1: Camellia - EXiT this Earths Atomosphere [Astral]")</f>
        <v>TB1: Camellia - EXiT this Earths Atomosphere [Astral]</v>
      </c>
      <c r="O21" s="289" t="str">
        <f>IFERROR(__xludf.DUMMYFUNCTION("""COMPUTED_VALUE"""),"!mp map 1248147 0")</f>
        <v>!mp map 1248147 0</v>
      </c>
      <c r="P21" s="289" t="str">
        <f>IFERROR(__xludf.DUMMYFUNCTION("""COMPUTED_VALUE"""),"!mp mods Freemod")</f>
        <v>!mp mods Freemod</v>
      </c>
      <c r="Q21" s="19"/>
    </row>
    <row r="22" ht="18.75" customHeight="1">
      <c r="A22" s="19"/>
      <c r="B22" s="26"/>
      <c r="C22" s="36" t="s">
        <v>893</v>
      </c>
      <c r="D22" s="263" t="s">
        <v>259</v>
      </c>
      <c r="E22" s="31" t="s">
        <v>893</v>
      </c>
      <c r="F22" s="20"/>
      <c r="G22" s="26"/>
      <c r="H22" s="287" t="s">
        <v>887</v>
      </c>
      <c r="I22" s="48" t="s">
        <v>888</v>
      </c>
      <c r="K22" s="291"/>
      <c r="L22" s="20"/>
      <c r="M22" s="26"/>
      <c r="N22" s="49"/>
      <c r="O22" s="289"/>
      <c r="P22" s="289"/>
      <c r="Q22" s="19"/>
    </row>
    <row r="23" ht="18.75" customHeight="1">
      <c r="A23" s="19"/>
      <c r="B23" s="26"/>
      <c r="C23" s="36" t="s">
        <v>891</v>
      </c>
      <c r="D23" s="263" t="s">
        <v>235</v>
      </c>
      <c r="E23" s="31" t="s">
        <v>891</v>
      </c>
      <c r="F23" s="20"/>
      <c r="G23" s="26"/>
      <c r="H23" s="287" t="s">
        <v>889</v>
      </c>
      <c r="I23" s="48" t="s">
        <v>888</v>
      </c>
      <c r="K23" s="86"/>
      <c r="L23" s="20"/>
      <c r="M23" s="26"/>
      <c r="N23" s="49"/>
      <c r="O23" s="289"/>
      <c r="P23" s="289"/>
      <c r="Q23" s="19"/>
    </row>
    <row r="24" ht="18.75" customHeight="1">
      <c r="A24" s="19"/>
      <c r="B24" s="26"/>
      <c r="C24" s="36" t="s">
        <v>894</v>
      </c>
      <c r="D24" s="263" t="s">
        <v>286</v>
      </c>
      <c r="E24" s="31" t="s">
        <v>893</v>
      </c>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Homossexual Students</v>
      </c>
      <c r="I25" s="295" t="s">
        <v>713</v>
      </c>
      <c r="J25" s="294" t="s">
        <v>714</v>
      </c>
      <c r="K25" s="294" t="s">
        <v>715</v>
      </c>
      <c r="L25" s="38"/>
      <c r="M25" s="26"/>
      <c r="N25" s="49"/>
      <c r="O25" s="289"/>
      <c r="P25" s="289"/>
      <c r="Q25" s="19"/>
    </row>
    <row r="26" ht="18.75" customHeight="1">
      <c r="A26" s="19"/>
      <c r="B26" s="26"/>
      <c r="C26" s="36"/>
      <c r="D26" s="292"/>
      <c r="E26" s="36"/>
      <c r="F26" s="20"/>
      <c r="G26" s="26"/>
      <c r="H26" s="296" t="str">
        <f t="array" ref="H26:K26">IF(Format="Solo",E2,IFNA(VLOOKUP(E2,TeamList,SEQUENCE(1,4,1),0),""))</f>
        <v>small wiener club</v>
      </c>
      <c r="I26" s="297" t="s">
        <v>766</v>
      </c>
      <c r="J26" s="296" t="s">
        <v>767</v>
      </c>
      <c r="K26" s="296" t="s">
        <v>768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Tom and Jerry</v>
      </c>
      <c r="D2" s="235" t="s">
        <v>854</v>
      </c>
      <c r="E2" s="236" t="str">
        <f>IFNA(VLOOKUP(I2,Schedules,5,0),"")</f>
        <v>Ghost the Angel</v>
      </c>
      <c r="F2" s="20"/>
      <c r="G2" s="21" t="s">
        <v>855</v>
      </c>
      <c r="H2" s="237" t="s">
        <v>856</v>
      </c>
      <c r="I2" s="238">
        <v>54.0</v>
      </c>
      <c r="K2" s="238"/>
      <c r="L2" s="20"/>
      <c r="M2" s="21" t="s">
        <v>857</v>
      </c>
      <c r="N2" s="239" t="s">
        <v>25</v>
      </c>
      <c r="O2" s="240" t="s">
        <v>37</v>
      </c>
      <c r="P2" s="4"/>
      <c r="Q2" s="19"/>
    </row>
    <row r="3" ht="18.75" customHeight="1">
      <c r="A3" s="19"/>
      <c r="B3" s="26"/>
      <c r="C3" s="241">
        <f>IF(D6="Blue",-1,COUNTIF(E14:E26,"Red"))</f>
        <v>6</v>
      </c>
      <c r="D3" s="242">
        <f>VLOOKUP(O2,MappoolSettings,2,0)</f>
        <v>11</v>
      </c>
      <c r="E3" s="243">
        <f>IF(D6="Red",-1,COUNTIF(E14:E26,"Blue"))</f>
        <v>5</v>
      </c>
      <c r="F3" s="20"/>
      <c r="G3" s="26"/>
      <c r="H3" s="244" t="s">
        <v>456</v>
      </c>
      <c r="I3" s="35" t="s">
        <v>601</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)"),"**Semifinals: Match 54**
&lt;https://osu.ppy.sh/community/matches/110398000&gt;
:red_square: Tom and Jerry | 6 : 5 | Ghost the Angel :blue_square:
Tom and Jerry bans | NM3 HD2
Ghost the Angel bans | DT3 FM1
First pick | Tom and Jerry
:red_square: | HR1: Har"&amp;"umaki Gohan feat. Hatsune Miku - Hotaru wa Inakatta [Kuse's Insane]
:blue_square: | NM6: Kai - Junk Lady [Deppy and Wanpachi's Insane]
:blue_square: | FM2: Brandy - Cross Time !! [DJPop Mix]
:red_square: | NM4: VeetaCrush - Mole [Kyutei's Insane]
:red_squ"&amp;"are: | DT2: umu. - Dareka no Shinzou ni Nareta Nara [Hard]
:blue_square: | HD3: YUC'e - POISON -KO3 Remix- [Insane]
:red_square: | NM5: Camellia - Killerbeast [Spiritual]
:blue_square: | NM1: t+pazolite - Party in the HOLLOWood feat. Nanahira [INSane]
:re"&amp;"d_square: | HR2: Cro - Wie ich bin [Trust]
:blue_square: | HD1: Aso Natsuko - Perfect-area complete! [Asuka_-'s Insane]
:red_square: | TB1: Camellia - EXiT this Earths Atomosphere [Astral]")</f>
        <v>**Semifinals: Match 54**
&lt;https://osu.ppy.sh/community/matches/110398000&gt;
:red_square: Tom and Jerry | 6 : 5 | Ghost the Angel :blue_square:
Tom and Jerry bans | NM3 HD2
Ghost the Angel bans | DT3 FM1
First pick | Tom and Jerry
:red_square: | HR1: Harumaki Gohan feat. Hatsune Miku - Hotaru wa Inakatta [Kuse's Insane]
:blue_square: | NM6: Kai - Junk Lady [Deppy and Wanpachi's Insane]
:blue_square: | FM2: Brandy - Cross Time !! [DJPop Mix]
:red_square: | NM4: VeetaCrush - Mole [Kyutei's Insane]
:red_square: | DT2: umu. - Dareka no Shinzou ni Nareta Nara [Hard]
:blue_square: | HD3: YUC'e - POISON -KO3 Remix- [Insane]
:red_square: | NM5: Camellia - Killerbeast [Spiritual]
:blue_square: | NM1: t+pazolite - Party in the HOLLOWood feat. Nanahira [INSane]
:red_square: | HR2: Cro - Wie ich bin [Trust]
:blue_square: | HD1: Aso Natsuko - Perfect-area complete! [Asuka_-'s Insane]
:red_square: | TB1: Camellia - EXiT this Earths Atomosphere [Astral]</v>
      </c>
      <c r="E4" s="248"/>
      <c r="F4" s="20"/>
      <c r="G4" s="26"/>
      <c r="H4" s="237" t="s">
        <v>452</v>
      </c>
      <c r="I4" s="249" t="str">
        <f>IFNA(VLOOKUP(I2,Schedules,6,0),"")</f>
        <v>RudderFish07</v>
      </c>
      <c r="K4" s="249"/>
      <c r="L4" s="20"/>
      <c r="M4" s="26"/>
      <c r="N4" s="250" t="str">
        <f>IFERROR(__xludf.DUMMYFUNCTION("IF(O2="""",,ARRAY_CONSTRAIN(FILTER(Maps,Mappools!B4:B27=O2),25,3))"),"NM1: t+pazolite - Party in the HOLLOWood feat. Nanahira [INSane]")</f>
        <v>NM1: t+pazolite - Party in the HOLLOWood feat. Nanahira [INSane]</v>
      </c>
      <c r="O4" s="251" t="str">
        <f>IFERROR(__xludf.DUMMYFUNCTION("""COMPUTED_VALUE"""),"!mp map 1717844 0")</f>
        <v>!mp map 1717844 0</v>
      </c>
      <c r="P4" s="251" t="str">
        <f>IFERROR(__xludf.DUMMYFUNCTION("""COMPUTED_VALUE"""),"!mp mods NF")</f>
        <v>!mp mods NF</v>
      </c>
      <c r="Q4" s="19"/>
    </row>
    <row r="5" ht="18.75" customHeight="1">
      <c r="A5" s="19"/>
      <c r="B5" s="26"/>
      <c r="C5" s="246" t="s">
        <v>859</v>
      </c>
      <c r="D5" s="252" t="str">
        <f t="array" ref="D5:E5">IFERROR(VLOOKUP(INDEX($D$14:$D$26,COUNTA($D$14:$D$26)),$N$4:$P$26,{2,3},0),"")</f>
        <v>!mp map 1248147 0</v>
      </c>
      <c r="E5" s="253" t="s">
        <v>122</v>
      </c>
      <c r="F5" s="20"/>
      <c r="G5" s="26"/>
      <c r="H5" s="237" t="s">
        <v>860</v>
      </c>
      <c r="I5" s="254">
        <f t="array" ref="I5">IFNA(SUM(VLOOKUP(I2,Schedules,{2,3},0)),"")</f>
        <v>45179.41667</v>
      </c>
      <c r="K5" s="254"/>
      <c r="L5" s="20"/>
      <c r="M5" s="26"/>
      <c r="N5" s="250" t="str">
        <f>IFERROR(__xludf.DUMMYFUNCTION("""COMPUTED_VALUE"""),"NM2: GIVEON - Favourite Mistake [Halogenix Edit] [Insane]")</f>
        <v>NM2: GIVEON - Favourite Mistake [Halogenix Edit] [Insane]</v>
      </c>
      <c r="O5" s="251" t="str">
        <f>IFERROR(__xludf.DUMMYFUNCTION("""COMPUTED_VALUE"""),"!mp map 3656173 0")</f>
        <v>!mp map 3656173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ALI - Wild Side [Squilly's Insane]")</f>
        <v>NM3: ALI - Wild Side [Squilly's Insane]</v>
      </c>
      <c r="O6" s="251" t="str">
        <f>IFERROR(__xludf.DUMMYFUNCTION("""COMPUTED_VALUE"""),"!mp map 2715749 0")</f>
        <v>!mp map 2715749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(Tom and Jerry) vs (Ghost the Angel)</v>
      </c>
      <c r="L7" s="20"/>
      <c r="M7" s="26"/>
      <c r="N7" s="250" t="str">
        <f>IFERROR(__xludf.DUMMYFUNCTION("""COMPUTED_VALUE"""),"NM4: VeetaCrush - Mole [Kyutei's Insane]")</f>
        <v>NM4: VeetaCrush - Mole [Kyutei's Insane]</v>
      </c>
      <c r="O7" s="251" t="str">
        <f>IFERROR(__xludf.DUMMYFUNCTION("""COMPUTED_VALUE"""),"!mp map 3291796 0")</f>
        <v>!mp map 3291796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Camellia - Killerbeast [Spiritual]")</f>
        <v>NM5: Camellia - Killerbeast [Spiritual]</v>
      </c>
      <c r="O8" s="251" t="str">
        <f>IFERROR(__xludf.DUMMYFUNCTION("""COMPUTED_VALUE"""),"!mp map 3187491 0")</f>
        <v>!mp map 3187491 0</v>
      </c>
      <c r="P8" s="251" t="str">
        <f>IFERROR(__xludf.DUMMYFUNCTION("""COMPUTED_VALUE"""),"!mp mods NF")</f>
        <v>!mp mods NF</v>
      </c>
      <c r="Q8" s="19"/>
    </row>
    <row r="9" ht="18.75" customHeight="1">
      <c r="A9" s="19"/>
      <c r="B9" s="26"/>
      <c r="C9" s="262" t="str">
        <f>C2</f>
        <v>Tom and Jerry</v>
      </c>
      <c r="D9" s="263" t="s">
        <v>241</v>
      </c>
      <c r="E9" s="238" t="s">
        <v>256</v>
      </c>
      <c r="F9" s="20"/>
      <c r="G9" s="26"/>
      <c r="H9" s="237" t="s">
        <v>13</v>
      </c>
      <c r="I9" s="264" t="s">
        <v>868</v>
      </c>
      <c r="K9" s="265"/>
      <c r="L9" s="20"/>
      <c r="M9" s="26"/>
      <c r="N9" s="250" t="str">
        <f>IFERROR(__xludf.DUMMYFUNCTION("""COMPUTED_VALUE"""),"NM6: Kai - Junk Lady [Deppy and Wanpachi's Insane]")</f>
        <v>NM6: Kai - Junk Lady [Deppy and Wanpachi's Insane]</v>
      </c>
      <c r="O9" s="251" t="str">
        <f>IFERROR(__xludf.DUMMYFUNCTION("""COMPUTED_VALUE"""),"!mp map 3990086 0")</f>
        <v>!mp map 3990086 0</v>
      </c>
      <c r="P9" s="251" t="str">
        <f>IFERROR(__xludf.DUMMYFUNCTION("""COMPUTED_VALUE"""),"!mp mods NF")</f>
        <v>!mp mods NF</v>
      </c>
      <c r="Q9" s="19"/>
    </row>
    <row r="10" ht="18.75" customHeight="1">
      <c r="A10" s="19"/>
      <c r="B10" s="26"/>
      <c r="C10" s="266" t="str">
        <f>E2</f>
        <v>Ghost the Angel</v>
      </c>
      <c r="D10" s="267" t="s">
        <v>277</v>
      </c>
      <c r="E10" s="268" t="s">
        <v>280</v>
      </c>
      <c r="F10" s="20"/>
      <c r="G10" s="26"/>
      <c r="H10" s="244" t="s">
        <v>869</v>
      </c>
      <c r="I10" s="269" t="str">
        <f t="array" ref="I10:J10">IFNA(IF(VLOOKUP(I2,Schedules,{7,8},0)="",,"!mp addref "&amp;VLOOKUP(I2,Schedules,{7,8},0)),"")</f>
        <v/>
      </c>
      <c r="J10" s="269"/>
      <c r="K10" s="270"/>
      <c r="L10" s="20"/>
      <c r="M10" s="26"/>
      <c r="N10" s="250" t="str">
        <f>IFERROR(__xludf.DUMMYFUNCTION("""COMPUTED_VALUE"""),"HD1: Aso Natsuko - Perfect-area complete! [Asuka_-'s Insane]")</f>
        <v>HD1: Aso Natsuko - Perfect-area complete! [Asuka_-'s Insane]</v>
      </c>
      <c r="O10" s="251" t="str">
        <f>IFERROR(__xludf.DUMMYFUNCTION("""COMPUTED_VALUE"""),"!mp map 1972425 0")</f>
        <v>!mp map 1972425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mblsh</v>
      </c>
      <c r="J11" s="272" t="s">
        <v>919</v>
      </c>
      <c r="K11" s="273"/>
      <c r="L11" s="20"/>
      <c r="M11" s="26"/>
      <c r="N11" s="250" t="str">
        <f>IFERROR(__xludf.DUMMYFUNCTION("""COMPUTED_VALUE"""),"HD2: Kola Kid - timer [Insane]")</f>
        <v>HD2: Kola Kid - timer [Insane]</v>
      </c>
      <c r="O11" s="251" t="str">
        <f>IFERROR(__xludf.DUMMYFUNCTION("""COMPUTED_VALUE"""),"!mp map 2277128 0")</f>
        <v>!mp map 2277128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YUC'e - POISON -KO3 Remix- [Insane]")</f>
        <v>HD3: YUC'e - POISON -KO3 Remix- [Insane]</v>
      </c>
      <c r="O12" s="251" t="str">
        <f>IFERROR(__xludf.DUMMYFUNCTION("""COMPUTED_VALUE"""),"!mp map 2044890 0")</f>
        <v>!mp map 2044890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Harumaki Gohan feat. Hatsune Miku - Hotaru wa Inakatta [Kuse's Insane]")</f>
        <v>HR1: Harumaki Gohan feat. Hatsune Miku - Hotaru wa Inakatta [Kuse's Insane]</v>
      </c>
      <c r="O13" s="251" t="str">
        <f>IFERROR(__xludf.DUMMYFUNCTION("""COMPUTED_VALUE"""),"!mp map 3454421 0")</f>
        <v>!mp map 3454421 0</v>
      </c>
      <c r="P13" s="251" t="str">
        <f>IFERROR(__xludf.DUMMYFUNCTION("""COMPUTED_VALUE"""),"!mp mods HR NF")</f>
        <v>!mp mods HR NF</v>
      </c>
      <c r="Q13" s="19"/>
    </row>
    <row r="14" ht="18.75" customHeight="1">
      <c r="A14" s="19"/>
      <c r="B14" s="26"/>
      <c r="C14" s="36" t="str">
        <f t="array" ref="C14:C24">IF(D11="",,{IF(MOD(SEQUENCE(D3-1,1),2)=1,IF(D11="Red","Red","Blue"),IF(D11="Red","Blue","Red"));"Tiebreaker"})</f>
        <v>Red</v>
      </c>
      <c r="D14" s="263" t="s">
        <v>262</v>
      </c>
      <c r="E14" s="31" t="s">
        <v>893</v>
      </c>
      <c r="F14" s="20"/>
      <c r="G14" s="26"/>
      <c r="H14" s="278" t="s">
        <v>878</v>
      </c>
      <c r="I14" s="260" t="s">
        <v>879</v>
      </c>
      <c r="J14" s="260" t="s">
        <v>880</v>
      </c>
      <c r="K14" s="261"/>
      <c r="L14" s="20"/>
      <c r="M14" s="26"/>
      <c r="N14" s="250" t="str">
        <f>IFERROR(__xludf.DUMMYFUNCTION("""COMPUTED_VALUE"""),"HR2: Cro - Wie ich bin [Trust]")</f>
        <v>HR2: Cro - Wie ich bin [Trust]</v>
      </c>
      <c r="O14" s="251" t="str">
        <f>IFERROR(__xludf.DUMMYFUNCTION("""COMPUTED_VALUE"""),"!mp map 2917786 0")</f>
        <v>!mp map 2917786 0</v>
      </c>
      <c r="P14" s="251" t="str">
        <f>IFERROR(__xludf.DUMMYFUNCTION("""COMPUTED_VALUE"""),"!mp mods HR NF")</f>
        <v>!mp mods HR NF</v>
      </c>
      <c r="Q14" s="19"/>
    </row>
    <row r="15" ht="18.75" customHeight="1">
      <c r="A15" s="19"/>
      <c r="B15" s="26"/>
      <c r="C15" s="36" t="s">
        <v>891</v>
      </c>
      <c r="D15" s="263" t="s">
        <v>250</v>
      </c>
      <c r="E15" s="31" t="s">
        <v>891</v>
      </c>
      <c r="F15" s="20"/>
      <c r="G15" s="20"/>
      <c r="H15" s="20"/>
      <c r="I15" s="20"/>
      <c r="J15" s="20"/>
      <c r="K15" s="20"/>
      <c r="L15" s="20"/>
      <c r="M15" s="26"/>
      <c r="N15" s="250" t="str">
        <f>IFERROR(__xludf.DUMMYFUNCTION("""COMPUTED_VALUE"""),"HR3: Camellia - Routing [Another]")</f>
        <v>HR3: Camellia - Routing [Another]</v>
      </c>
      <c r="O15" s="251" t="str">
        <f>IFERROR(__xludf.DUMMYFUNCTION("""COMPUTED_VALUE"""),"!mp map 1405094 0")</f>
        <v>!mp map 1405094 0</v>
      </c>
      <c r="P15" s="251" t="str">
        <f>IFERROR(__xludf.DUMMYFUNCTION("""COMPUTED_VALUE"""),"!mp mods HR NF")</f>
        <v>!mp mods HR NF</v>
      </c>
      <c r="Q15" s="19"/>
    </row>
    <row r="16" ht="18.75" customHeight="1">
      <c r="A16" s="19"/>
      <c r="B16" s="26"/>
      <c r="C16" s="36" t="s">
        <v>893</v>
      </c>
      <c r="D16" s="263" t="s">
        <v>283</v>
      </c>
      <c r="E16" s="31" t="s">
        <v>891</v>
      </c>
      <c r="F16" s="20"/>
      <c r="G16" s="21" t="s">
        <v>881</v>
      </c>
      <c r="H16" s="279" t="s">
        <v>882</v>
      </c>
      <c r="I16" s="280">
        <f>VLOOKUP(O2,MappoolSettings,3,0)</f>
        <v>2</v>
      </c>
      <c r="K16" s="281"/>
      <c r="L16" s="20"/>
      <c r="M16" s="26"/>
      <c r="N16" s="250" t="str">
        <f>IFERROR(__xludf.DUMMYFUNCTION("""COMPUTED_VALUE"""),"DT1: 96neko - Primitive emotion [Hard]")</f>
        <v>DT1: 96neko - Primitive emotion [Hard]</v>
      </c>
      <c r="O16" s="251" t="str">
        <f>IFERROR(__xludf.DUMMYFUNCTION("""COMPUTED_VALUE"""),"!mp map 1592512 0")</f>
        <v>!mp map 1592512 0</v>
      </c>
      <c r="P16" s="251" t="str">
        <f>IFERROR(__xludf.DUMMYFUNCTION("""COMPUTED_VALUE"""),"!mp mods DT NF")</f>
        <v>!mp mods DT NF</v>
      </c>
      <c r="Q16" s="19"/>
    </row>
    <row r="17" ht="18.75" customHeight="1">
      <c r="A17" s="19"/>
      <c r="B17" s="26"/>
      <c r="C17" s="36" t="s">
        <v>891</v>
      </c>
      <c r="D17" s="263" t="s">
        <v>244</v>
      </c>
      <c r="E17" s="31" t="s">
        <v>893</v>
      </c>
      <c r="F17" s="20"/>
      <c r="G17" s="26"/>
      <c r="H17" s="282" t="s">
        <v>883</v>
      </c>
      <c r="I17" s="283" t="str">
        <f>ForumPostLink</f>
        <v>https://osu.ppy.sh/community/forums/topics/1790898?n=1?</v>
      </c>
      <c r="L17" s="20"/>
      <c r="M17" s="26"/>
      <c r="N17" s="250" t="str">
        <f>IFERROR(__xludf.DUMMYFUNCTION("""COMPUTED_VALUE"""),"DT2: umu. - Dareka no Shinzou ni Nareta Nara [Hard]")</f>
        <v>DT2: umu. - Dareka no Shinzou ni Nareta Nara [Hard]</v>
      </c>
      <c r="O17" s="251" t="str">
        <f>IFERROR(__xludf.DUMMYFUNCTION("""COMPUTED_VALUE"""),"!mp map 2388648 0")</f>
        <v>!mp map 2388648 0</v>
      </c>
      <c r="P17" s="251" t="str">
        <f>IFERROR(__xludf.DUMMYFUNCTION("""COMPUTED_VALUE"""),"!mp mods DT NF")</f>
        <v>!mp mods DT NF</v>
      </c>
      <c r="Q17" s="19"/>
    </row>
    <row r="18" ht="18.75" customHeight="1">
      <c r="A18" s="19"/>
      <c r="B18" s="26"/>
      <c r="C18" s="36" t="s">
        <v>893</v>
      </c>
      <c r="D18" s="263" t="s">
        <v>274</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AAAA + Umeboshi Chazuke - Cait Sith [Setu's Hard]")</f>
        <v>DT3: AAAA + Umeboshi Chazuke - Cait Sith [Setu's Hard]</v>
      </c>
      <c r="O18" s="251" t="str">
        <f>IFERROR(__xludf.DUMMYFUNCTION("""COMPUTED_VALUE"""),"!mp map 3819183 0")</f>
        <v>!mp map 3819183 0</v>
      </c>
      <c r="P18" s="251" t="str">
        <f>IFERROR(__xludf.DUMMYFUNCTION("""COMPUTED_VALUE"""),"!mp mods DT NF")</f>
        <v>!mp mods DT NF</v>
      </c>
      <c r="Q18" s="19"/>
    </row>
    <row r="19" ht="18.75" customHeight="1">
      <c r="A19" s="19"/>
      <c r="B19" s="26"/>
      <c r="C19" s="36" t="s">
        <v>891</v>
      </c>
      <c r="D19" s="263" t="s">
        <v>259</v>
      </c>
      <c r="E19" s="31" t="s">
        <v>891</v>
      </c>
      <c r="F19" s="20"/>
      <c r="G19" s="26"/>
      <c r="H19" s="282" t="s">
        <v>885</v>
      </c>
      <c r="I19" s="284" t="str">
        <f>"Forfeit: "&amp;IF(NoShow2="","Never",NoShow2&amp;"mins")</f>
        <v>Forfeit: 15mins</v>
      </c>
      <c r="J19" s="285"/>
      <c r="K19" s="286"/>
      <c r="L19" s="20"/>
      <c r="M19" s="26"/>
      <c r="N19" s="250" t="str">
        <f>IFERROR(__xludf.DUMMYFUNCTION("""COMPUTED_VALUE"""),"FM1: Wagakki Band - Kagerou Days [Ducky-'s Insane]")</f>
        <v>FM1: Wagakki Band - Kagerou Days [Ducky-'s Insane]</v>
      </c>
      <c r="O19" s="251" t="str">
        <f>IFERROR(__xludf.DUMMYFUNCTION("""COMPUTED_VALUE"""),"!mp map 2514122 0")</f>
        <v>!mp map 2514122 0</v>
      </c>
      <c r="P19" s="251" t="str">
        <f>IFERROR(__xludf.DUMMYFUNCTION("""COMPUTED_VALUE"""),"!mp mods Freemod")</f>
        <v>!mp mods Freemod</v>
      </c>
      <c r="Q19" s="19"/>
    </row>
    <row r="20" ht="18.75" customHeight="1">
      <c r="A20" s="19"/>
      <c r="B20" s="26"/>
      <c r="C20" s="36" t="s">
        <v>893</v>
      </c>
      <c r="D20" s="263" t="s">
        <v>247</v>
      </c>
      <c r="E20" s="31" t="s">
        <v>893</v>
      </c>
      <c r="F20" s="20"/>
      <c r="G20" s="26"/>
      <c r="H20" s="287" t="s">
        <v>56</v>
      </c>
      <c r="I20" s="288" t="s">
        <v>57</v>
      </c>
      <c r="L20" s="20"/>
      <c r="M20" s="26"/>
      <c r="N20" s="49" t="str">
        <f>IFERROR(__xludf.DUMMYFUNCTION("""COMPUTED_VALUE"""),"FM2: Brandy - Cross Time !! [DJPop Mix]")</f>
        <v>FM2: Brandy - Cross Time !! [DJPop Mix]</v>
      </c>
      <c r="O20" s="289" t="str">
        <f>IFERROR(__xludf.DUMMYFUNCTION("""COMPUTED_VALUE"""),"!mp map 28366 0")</f>
        <v>!mp map 28366 0</v>
      </c>
      <c r="P20" s="289" t="str">
        <f>IFERROR(__xludf.DUMMYFUNCTION("""COMPUTED_VALUE"""),"!mp mods Freemod")</f>
        <v>!mp mods Freemod</v>
      </c>
      <c r="Q20" s="19"/>
    </row>
    <row r="21" ht="18.75" customHeight="1">
      <c r="A21" s="19"/>
      <c r="B21" s="26"/>
      <c r="C21" s="36" t="s">
        <v>891</v>
      </c>
      <c r="D21" s="263" t="s">
        <v>235</v>
      </c>
      <c r="E21" s="31" t="s">
        <v>891</v>
      </c>
      <c r="F21" s="20"/>
      <c r="G21" s="26"/>
      <c r="H21" s="287" t="s">
        <v>58</v>
      </c>
      <c r="I21" s="290" t="s">
        <v>886</v>
      </c>
      <c r="L21" s="20"/>
      <c r="M21" s="26"/>
      <c r="N21" s="49" t="str">
        <f>IFERROR(__xludf.DUMMYFUNCTION("""COMPUTED_VALUE"""),"TB1: Camellia - EXiT this Earths Atomosphere [Astral]")</f>
        <v>TB1: Camellia - EXiT this Earths Atomosphere [Astral]</v>
      </c>
      <c r="O21" s="289" t="str">
        <f>IFERROR(__xludf.DUMMYFUNCTION("""COMPUTED_VALUE"""),"!mp map 1248147 0")</f>
        <v>!mp map 1248147 0</v>
      </c>
      <c r="P21" s="289" t="str">
        <f>IFERROR(__xludf.DUMMYFUNCTION("""COMPUTED_VALUE"""),"!mp mods Freemod")</f>
        <v>!mp mods Freemod</v>
      </c>
      <c r="Q21" s="19"/>
    </row>
    <row r="22" ht="18.75" customHeight="1">
      <c r="A22" s="19"/>
      <c r="B22" s="26"/>
      <c r="C22" s="36" t="s">
        <v>893</v>
      </c>
      <c r="D22" s="263" t="s">
        <v>265</v>
      </c>
      <c r="E22" s="31" t="s">
        <v>893</v>
      </c>
      <c r="F22" s="20"/>
      <c r="G22" s="26"/>
      <c r="H22" s="287" t="s">
        <v>887</v>
      </c>
      <c r="I22" s="48" t="s">
        <v>888</v>
      </c>
      <c r="K22" s="291"/>
      <c r="L22" s="20"/>
      <c r="M22" s="26"/>
      <c r="N22" s="49"/>
      <c r="O22" s="289"/>
      <c r="P22" s="289"/>
      <c r="Q22" s="19"/>
    </row>
    <row r="23" ht="18.75" customHeight="1">
      <c r="A23" s="19"/>
      <c r="B23" s="26"/>
      <c r="C23" s="36" t="s">
        <v>891</v>
      </c>
      <c r="D23" s="263" t="s">
        <v>253</v>
      </c>
      <c r="E23" s="31" t="s">
        <v>891</v>
      </c>
      <c r="F23" s="20"/>
      <c r="G23" s="26"/>
      <c r="H23" s="287" t="s">
        <v>889</v>
      </c>
      <c r="I23" s="48" t="s">
        <v>888</v>
      </c>
      <c r="K23" s="86"/>
      <c r="L23" s="20"/>
      <c r="M23" s="26"/>
      <c r="N23" s="49"/>
      <c r="O23" s="289"/>
      <c r="P23" s="289"/>
      <c r="Q23" s="19"/>
    </row>
    <row r="24" ht="18.75" customHeight="1">
      <c r="A24" s="19"/>
      <c r="B24" s="26"/>
      <c r="C24" s="36" t="s">
        <v>894</v>
      </c>
      <c r="D24" s="263" t="s">
        <v>286</v>
      </c>
      <c r="E24" s="31" t="s">
        <v>893</v>
      </c>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Tom and Jerry</v>
      </c>
      <c r="I25" s="295" t="s">
        <v>794</v>
      </c>
      <c r="J25" s="294" t="s">
        <v>795</v>
      </c>
      <c r="K25" s="294"/>
      <c r="L25" s="38"/>
      <c r="M25" s="26"/>
      <c r="N25" s="49"/>
      <c r="O25" s="289"/>
      <c r="P25" s="289"/>
      <c r="Q25" s="19"/>
    </row>
    <row r="26" ht="18.75" customHeight="1">
      <c r="A26" s="19"/>
      <c r="B26" s="26"/>
      <c r="C26" s="36"/>
      <c r="D26" s="292"/>
      <c r="E26" s="36"/>
      <c r="F26" s="20"/>
      <c r="G26" s="26"/>
      <c r="H26" s="296" t="str">
        <f t="array" ref="H26:K26">IF(Format="Solo",E2,IFNA(VLOOKUP(E2,TeamList,SEQUENCE(1,4,1),0),""))</f>
        <v>Ghost the Angel</v>
      </c>
      <c r="I26" s="297" t="s">
        <v>596</v>
      </c>
      <c r="J26" s="296" t="s">
        <v>641</v>
      </c>
      <c r="K26" s="296" t="s">
        <v>642</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placeholder teamname</v>
      </c>
      <c r="D2" s="235" t="s">
        <v>854</v>
      </c>
      <c r="E2" s="236" t="str">
        <f>IFNA(VLOOKUP(I2,Schedules,5,0),"")</f>
        <v>female ass wrestling</v>
      </c>
      <c r="F2" s="20"/>
      <c r="G2" s="21" t="s">
        <v>855</v>
      </c>
      <c r="H2" s="237" t="s">
        <v>856</v>
      </c>
      <c r="I2" s="238">
        <v>55.0</v>
      </c>
      <c r="K2" s="238"/>
      <c r="L2" s="20"/>
      <c r="M2" s="21" t="s">
        <v>857</v>
      </c>
      <c r="N2" s="239" t="s">
        <v>25</v>
      </c>
      <c r="O2" s="240" t="s">
        <v>37</v>
      </c>
      <c r="P2" s="4"/>
      <c r="Q2" s="19"/>
    </row>
    <row r="3" ht="18.75" customHeight="1">
      <c r="A3" s="19"/>
      <c r="B3" s="26"/>
      <c r="C3" s="241">
        <f>IF(D6="Blue",-1,COUNTIF(E14:E26,"Red"))</f>
        <v>6</v>
      </c>
      <c r="D3" s="242">
        <f>VLOOKUP(O2,MappoolSettings,2,0)</f>
        <v>11</v>
      </c>
      <c r="E3" s="243">
        <f>IF(D6="Red",-1,COUNTIF(E14:E26,"Blue"))</f>
        <v>3</v>
      </c>
      <c r="F3" s="20"/>
      <c r="G3" s="26"/>
      <c r="H3" s="244" t="s">
        <v>456</v>
      </c>
      <c r="I3" s="35" t="s">
        <v>604</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)"),"**Semifinals: Match 55**
&lt;https://osu.ppy.sh/community/matches/110400514&gt;
:red_square: placeholder teamname | 6 : 3 | female ass wrestling :blue_square:
placeholder teamname bans | HR1 FM2
female ass wrestling bans | HR2 FM1
First pick | female ass wre"&amp;"stling
:red_square: | HR3: Camellia - Routing [Another]
:blue_square: | HD2: Kola Kid - timer [Insane]
:red_square: | DT1: 96neko - Primitive emotion [Hard]
:red_square: | DT3: AAAA + Umeboshi Chazuke - Cait Sith [Setu's Hard]
:red_square: | NM3: ALI - W"&amp;"ild Side [Squilly's Insane]
:red_square: | NM5: Camellia - Killerbeast [Spiritual]
:blue_square: | NM6: Kai - Junk Lady [Deppy and Wanpachi's Insane]
:blue_square: | DT2: umu. - Dareka no Shinzou ni Nareta Nara [Hard]
:red_square: | NM4: VeetaCrush - Mole"&amp;" [Kyutei's Insane]")</f>
        <v>**Semifinals: Match 55**
&lt;https://osu.ppy.sh/community/matches/110400514&gt;
:red_square: placeholder teamname | 6 : 3 | female ass wrestling :blue_square:
placeholder teamname bans | HR1 FM2
female ass wrestling bans | HR2 FM1
First pick | female ass wrestling
:red_square: | HR3: Camellia - Routing [Another]
:blue_square: | HD2: Kola Kid - timer [Insane]
:red_square: | DT1: 96neko - Primitive emotion [Hard]
:red_square: | DT3: AAAA + Umeboshi Chazuke - Cait Sith [Setu's Hard]
:red_square: | NM3: ALI - Wild Side [Squilly's Insane]
:red_square: | NM5: Camellia - Killerbeast [Spiritual]
:blue_square: | NM6: Kai - Junk Lady [Deppy and Wanpachi's Insane]
:blue_square: | DT2: umu. - Dareka no Shinzou ni Nareta Nara [Hard]
:red_square: | NM4: VeetaCrush - Mole [Kyutei's Insane]</v>
      </c>
      <c r="E4" s="248"/>
      <c r="F4" s="20"/>
      <c r="G4" s="26"/>
      <c r="H4" s="237" t="s">
        <v>452</v>
      </c>
      <c r="I4" s="238" t="s">
        <v>516</v>
      </c>
      <c r="K4" s="249"/>
      <c r="L4" s="20"/>
      <c r="M4" s="26"/>
      <c r="N4" s="250" t="str">
        <f>IFERROR(__xludf.DUMMYFUNCTION("IF(O2="""",,ARRAY_CONSTRAIN(FILTER(Maps,Mappools!B4:B27=O2),25,3))"),"NM1: t+pazolite - Party in the HOLLOWood feat. Nanahira [INSane]")</f>
        <v>NM1: t+pazolite - Party in the HOLLOWood feat. Nanahira [INSane]</v>
      </c>
      <c r="O4" s="251" t="str">
        <f>IFERROR(__xludf.DUMMYFUNCTION("""COMPUTED_VALUE"""),"!mp map 1717844 0")</f>
        <v>!mp map 1717844 0</v>
      </c>
      <c r="P4" s="251" t="str">
        <f>IFERROR(__xludf.DUMMYFUNCTION("""COMPUTED_VALUE"""),"!mp mods NF")</f>
        <v>!mp mods NF</v>
      </c>
      <c r="Q4" s="19"/>
    </row>
    <row r="5" ht="18.75" customHeight="1">
      <c r="A5" s="19"/>
      <c r="B5" s="26"/>
      <c r="C5" s="246" t="s">
        <v>859</v>
      </c>
      <c r="D5" s="252" t="str">
        <f t="array" ref="D5:E5">IFERROR(VLOOKUP(INDEX($D$14:$D$26,COUNTA($D$14:$D$26)),$N$4:$P$26,{2,3},0),"")</f>
        <v>!mp map 3291796 0</v>
      </c>
      <c r="E5" s="253" t="s">
        <v>74</v>
      </c>
      <c r="F5" s="20"/>
      <c r="G5" s="26"/>
      <c r="H5" s="237" t="s">
        <v>860</v>
      </c>
      <c r="I5" s="254">
        <f t="array" ref="I5">IFNA(SUM(VLOOKUP(I2,Schedules,{2,3},0)),"")</f>
        <v>45179.54167</v>
      </c>
      <c r="K5" s="254"/>
      <c r="L5" s="20"/>
      <c r="M5" s="26"/>
      <c r="N5" s="250" t="str">
        <f>IFERROR(__xludf.DUMMYFUNCTION("""COMPUTED_VALUE"""),"NM2: GIVEON - Favourite Mistake [Halogenix Edit] [Insane]")</f>
        <v>NM2: GIVEON - Favourite Mistake [Halogenix Edit] [Insane]</v>
      </c>
      <c r="O5" s="251" t="str">
        <f>IFERROR(__xludf.DUMMYFUNCTION("""COMPUTED_VALUE"""),"!mp map 3656173 0")</f>
        <v>!mp map 3656173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ALI - Wild Side [Squilly's Insane]")</f>
        <v>NM3: ALI - Wild Side [Squilly's Insane]</v>
      </c>
      <c r="O6" s="251" t="str">
        <f>IFERROR(__xludf.DUMMYFUNCTION("""COMPUTED_VALUE"""),"!mp map 2715749 0")</f>
        <v>!mp map 2715749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(placeholder teamname) vs (female ass wrestling)</v>
      </c>
      <c r="L7" s="20"/>
      <c r="M7" s="26"/>
      <c r="N7" s="250" t="str">
        <f>IFERROR(__xludf.DUMMYFUNCTION("""COMPUTED_VALUE"""),"NM4: VeetaCrush - Mole [Kyutei's Insane]")</f>
        <v>NM4: VeetaCrush - Mole [Kyutei's Insane]</v>
      </c>
      <c r="O7" s="251" t="str">
        <f>IFERROR(__xludf.DUMMYFUNCTION("""COMPUTED_VALUE"""),"!mp map 3291796 0")</f>
        <v>!mp map 3291796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Camellia - Killerbeast [Spiritual]")</f>
        <v>NM5: Camellia - Killerbeast [Spiritual]</v>
      </c>
      <c r="O8" s="251" t="str">
        <f>IFERROR(__xludf.DUMMYFUNCTION("""COMPUTED_VALUE"""),"!mp map 3187491 0")</f>
        <v>!mp map 3187491 0</v>
      </c>
      <c r="P8" s="251" t="str">
        <f>IFERROR(__xludf.DUMMYFUNCTION("""COMPUTED_VALUE"""),"!mp mods NF")</f>
        <v>!mp mods NF</v>
      </c>
      <c r="Q8" s="19"/>
    </row>
    <row r="9" ht="18.75" customHeight="1">
      <c r="A9" s="19"/>
      <c r="B9" s="26"/>
      <c r="C9" s="262" t="str">
        <f>C2</f>
        <v>placeholder teamname</v>
      </c>
      <c r="D9" s="263" t="s">
        <v>262</v>
      </c>
      <c r="E9" s="263" t="s">
        <v>283</v>
      </c>
      <c r="F9" s="20"/>
      <c r="G9" s="26"/>
      <c r="H9" s="237" t="s">
        <v>13</v>
      </c>
      <c r="I9" s="264" t="s">
        <v>868</v>
      </c>
      <c r="K9" s="265"/>
      <c r="L9" s="20"/>
      <c r="M9" s="26"/>
      <c r="N9" s="250" t="str">
        <f>IFERROR(__xludf.DUMMYFUNCTION("""COMPUTED_VALUE"""),"NM6: Kai - Junk Lady [Deppy and Wanpachi's Insane]")</f>
        <v>NM6: Kai - Junk Lady [Deppy and Wanpachi's Insane]</v>
      </c>
      <c r="O9" s="251" t="str">
        <f>IFERROR(__xludf.DUMMYFUNCTION("""COMPUTED_VALUE"""),"!mp map 3990086 0")</f>
        <v>!mp map 3990086 0</v>
      </c>
      <c r="P9" s="251" t="str">
        <f>IFERROR(__xludf.DUMMYFUNCTION("""COMPUTED_VALUE"""),"!mp mods NF")</f>
        <v>!mp mods NF</v>
      </c>
      <c r="Q9" s="19"/>
    </row>
    <row r="10" ht="18.75" customHeight="1">
      <c r="A10" s="19"/>
      <c r="B10" s="26"/>
      <c r="C10" s="266" t="str">
        <f>E2</f>
        <v>female ass wrestling</v>
      </c>
      <c r="D10" s="267" t="s">
        <v>265</v>
      </c>
      <c r="E10" s="268" t="s">
        <v>280</v>
      </c>
      <c r="F10" s="20"/>
      <c r="G10" s="26"/>
      <c r="H10" s="244" t="s">
        <v>869</v>
      </c>
      <c r="I10" s="269" t="str">
        <f t="array" ref="I10:J10">IFNA(IF(VLOOKUP(I2,Schedules,{7,8},0)="",,"!mp addref "&amp;VLOOKUP(I2,Schedules,{7,8},0)),"")</f>
        <v/>
      </c>
      <c r="J10" s="269"/>
      <c r="K10" s="270"/>
      <c r="L10" s="20"/>
      <c r="M10" s="26"/>
      <c r="N10" s="250" t="str">
        <f>IFERROR(__xludf.DUMMYFUNCTION("""COMPUTED_VALUE"""),"HD1: Aso Natsuko - Perfect-area complete! [Asuka_-'s Insane]")</f>
        <v>HD1: Aso Natsuko - Perfect-area complete! [Asuka_-'s Insane]</v>
      </c>
      <c r="O10" s="251" t="str">
        <f>IFERROR(__xludf.DUMMYFUNCTION("""COMPUTED_VALUE"""),"!mp map 1972425 0")</f>
        <v>!mp map 1972425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Qkiryu</v>
      </c>
      <c r="J11" s="272" t="s">
        <v>922</v>
      </c>
      <c r="K11" s="273"/>
      <c r="L11" s="20"/>
      <c r="M11" s="26"/>
      <c r="N11" s="250" t="str">
        <f>IFERROR(__xludf.DUMMYFUNCTION("""COMPUTED_VALUE"""),"HD2: Kola Kid - timer [Insane]")</f>
        <v>HD2: Kola Kid - timer [Insane]</v>
      </c>
      <c r="O11" s="251" t="str">
        <f>IFERROR(__xludf.DUMMYFUNCTION("""COMPUTED_VALUE"""),"!mp map 2277128 0")</f>
        <v>!mp map 2277128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YUC'e - POISON -KO3 Remix- [Insane]")</f>
        <v>HD3: YUC'e - POISON -KO3 Remix- [Insane]</v>
      </c>
      <c r="O12" s="251" t="str">
        <f>IFERROR(__xludf.DUMMYFUNCTION("""COMPUTED_VALUE"""),"!mp map 2044890 0")</f>
        <v>!mp map 2044890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Harumaki Gohan feat. Hatsune Miku - Hotaru wa Inakatta [Kuse's Insane]")</f>
        <v>HR1: Harumaki Gohan feat. Hatsune Miku - Hotaru wa Inakatta [Kuse's Insane]</v>
      </c>
      <c r="O13" s="251" t="str">
        <f>IFERROR(__xludf.DUMMYFUNCTION("""COMPUTED_VALUE"""),"!mp map 3454421 0")</f>
        <v>!mp map 3454421 0</v>
      </c>
      <c r="P13" s="251" t="str">
        <f>IFERROR(__xludf.DUMMYFUNCTION("""COMPUTED_VALUE"""),"!mp mods HR NF")</f>
        <v>!mp mods HR NF</v>
      </c>
      <c r="Q13" s="19"/>
    </row>
    <row r="14" ht="18.75" customHeight="1">
      <c r="A14" s="19"/>
      <c r="B14" s="26"/>
      <c r="C14" s="36" t="str">
        <f t="array" ref="C14:C24">IF(D11="",,{IF(MOD(SEQUENCE(D3-1,1),2)=1,IF(D11="Red","Red","Blue"),IF(D11="Red","Blue","Red"));"Tiebreaker"})</f>
        <v>Blue</v>
      </c>
      <c r="D14" s="263" t="s">
        <v>268</v>
      </c>
      <c r="E14" s="31" t="s">
        <v>893</v>
      </c>
      <c r="F14" s="20"/>
      <c r="G14" s="26"/>
      <c r="H14" s="278" t="s">
        <v>878</v>
      </c>
      <c r="I14" s="260" t="s">
        <v>879</v>
      </c>
      <c r="J14" s="260" t="s">
        <v>880</v>
      </c>
      <c r="K14" s="261"/>
      <c r="L14" s="20"/>
      <c r="M14" s="26"/>
      <c r="N14" s="250" t="str">
        <f>IFERROR(__xludf.DUMMYFUNCTION("""COMPUTED_VALUE"""),"HR2: Cro - Wie ich bin [Trust]")</f>
        <v>HR2: Cro - Wie ich bin [Trust]</v>
      </c>
      <c r="O14" s="251" t="str">
        <f>IFERROR(__xludf.DUMMYFUNCTION("""COMPUTED_VALUE"""),"!mp map 2917786 0")</f>
        <v>!mp map 2917786 0</v>
      </c>
      <c r="P14" s="251" t="str">
        <f>IFERROR(__xludf.DUMMYFUNCTION("""COMPUTED_VALUE"""),"!mp mods HR NF")</f>
        <v>!mp mods HR NF</v>
      </c>
      <c r="Q14" s="19"/>
    </row>
    <row r="15" ht="18.75" customHeight="1">
      <c r="A15" s="19"/>
      <c r="B15" s="26"/>
      <c r="C15" s="36" t="s">
        <v>893</v>
      </c>
      <c r="D15" s="263" t="s">
        <v>256</v>
      </c>
      <c r="E15" s="31" t="s">
        <v>891</v>
      </c>
      <c r="F15" s="20"/>
      <c r="G15" s="20"/>
      <c r="H15" s="20"/>
      <c r="I15" s="20"/>
      <c r="J15" s="20"/>
      <c r="K15" s="20"/>
      <c r="L15" s="20"/>
      <c r="M15" s="26"/>
      <c r="N15" s="250" t="str">
        <f>IFERROR(__xludf.DUMMYFUNCTION("""COMPUTED_VALUE"""),"HR3: Camellia - Routing [Another]")</f>
        <v>HR3: Camellia - Routing [Another]</v>
      </c>
      <c r="O15" s="251" t="str">
        <f>IFERROR(__xludf.DUMMYFUNCTION("""COMPUTED_VALUE"""),"!mp map 1405094 0")</f>
        <v>!mp map 1405094 0</v>
      </c>
      <c r="P15" s="251" t="str">
        <f>IFERROR(__xludf.DUMMYFUNCTION("""COMPUTED_VALUE"""),"!mp mods HR NF")</f>
        <v>!mp mods HR NF</v>
      </c>
      <c r="Q15" s="19"/>
    </row>
    <row r="16" ht="18.75" customHeight="1">
      <c r="A16" s="19"/>
      <c r="B16" s="26"/>
      <c r="C16" s="36" t="s">
        <v>891</v>
      </c>
      <c r="D16" s="263" t="s">
        <v>271</v>
      </c>
      <c r="E16" s="31" t="s">
        <v>893</v>
      </c>
      <c r="F16" s="20"/>
      <c r="G16" s="21" t="s">
        <v>881</v>
      </c>
      <c r="H16" s="279" t="s">
        <v>882</v>
      </c>
      <c r="I16" s="280">
        <f>VLOOKUP(O2,MappoolSettings,3,0)</f>
        <v>2</v>
      </c>
      <c r="K16" s="281"/>
      <c r="L16" s="20"/>
      <c r="M16" s="26"/>
      <c r="N16" s="250" t="str">
        <f>IFERROR(__xludf.DUMMYFUNCTION("""COMPUTED_VALUE"""),"DT1: 96neko - Primitive emotion [Hard]")</f>
        <v>DT1: 96neko - Primitive emotion [Hard]</v>
      </c>
      <c r="O16" s="251" t="str">
        <f>IFERROR(__xludf.DUMMYFUNCTION("""COMPUTED_VALUE"""),"!mp map 1592512 0")</f>
        <v>!mp map 1592512 0</v>
      </c>
      <c r="P16" s="251" t="str">
        <f>IFERROR(__xludf.DUMMYFUNCTION("""COMPUTED_VALUE"""),"!mp mods DT NF")</f>
        <v>!mp mods DT NF</v>
      </c>
      <c r="Q16" s="19"/>
    </row>
    <row r="17" ht="18.75" customHeight="1">
      <c r="A17" s="19"/>
      <c r="B17" s="26"/>
      <c r="C17" s="36" t="s">
        <v>893</v>
      </c>
      <c r="D17" s="263" t="s">
        <v>277</v>
      </c>
      <c r="E17" s="31" t="s">
        <v>893</v>
      </c>
      <c r="F17" s="20"/>
      <c r="G17" s="26"/>
      <c r="H17" s="282" t="s">
        <v>883</v>
      </c>
      <c r="I17" s="283" t="str">
        <f>ForumPostLink</f>
        <v>https://osu.ppy.sh/community/forums/topics/1790898?n=1?</v>
      </c>
      <c r="L17" s="20"/>
      <c r="M17" s="26"/>
      <c r="N17" s="250" t="str">
        <f>IFERROR(__xludf.DUMMYFUNCTION("""COMPUTED_VALUE"""),"DT2: umu. - Dareka no Shinzou ni Nareta Nara [Hard]")</f>
        <v>DT2: umu. - Dareka no Shinzou ni Nareta Nara [Hard]</v>
      </c>
      <c r="O17" s="251" t="str">
        <f>IFERROR(__xludf.DUMMYFUNCTION("""COMPUTED_VALUE"""),"!mp map 2388648 0")</f>
        <v>!mp map 2388648 0</v>
      </c>
      <c r="P17" s="251" t="str">
        <f>IFERROR(__xludf.DUMMYFUNCTION("""COMPUTED_VALUE"""),"!mp mods DT NF")</f>
        <v>!mp mods DT NF</v>
      </c>
      <c r="Q17" s="19"/>
    </row>
    <row r="18" ht="18.75" customHeight="1">
      <c r="A18" s="19"/>
      <c r="B18" s="26"/>
      <c r="C18" s="36" t="s">
        <v>891</v>
      </c>
      <c r="D18" s="263" t="s">
        <v>241</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AAAA + Umeboshi Chazuke - Cait Sith [Setu's Hard]")</f>
        <v>DT3: AAAA + Umeboshi Chazuke - Cait Sith [Setu's Hard]</v>
      </c>
      <c r="O18" s="251" t="str">
        <f>IFERROR(__xludf.DUMMYFUNCTION("""COMPUTED_VALUE"""),"!mp map 3819183 0")</f>
        <v>!mp map 3819183 0</v>
      </c>
      <c r="P18" s="251" t="str">
        <f>IFERROR(__xludf.DUMMYFUNCTION("""COMPUTED_VALUE"""),"!mp mods DT NF")</f>
        <v>!mp mods DT NF</v>
      </c>
      <c r="Q18" s="19"/>
    </row>
    <row r="19" ht="18.75" customHeight="1">
      <c r="A19" s="19"/>
      <c r="B19" s="26"/>
      <c r="C19" s="36" t="s">
        <v>893</v>
      </c>
      <c r="D19" s="263" t="s">
        <v>247</v>
      </c>
      <c r="E19" s="31" t="s">
        <v>893</v>
      </c>
      <c r="F19" s="20"/>
      <c r="G19" s="26"/>
      <c r="H19" s="282" t="s">
        <v>885</v>
      </c>
      <c r="I19" s="284" t="str">
        <f>"Forfeit: "&amp;IF(NoShow2="","Never",NoShow2&amp;"mins")</f>
        <v>Forfeit: 15mins</v>
      </c>
      <c r="J19" s="285"/>
      <c r="K19" s="286"/>
      <c r="L19" s="20"/>
      <c r="M19" s="26"/>
      <c r="N19" s="250" t="str">
        <f>IFERROR(__xludf.DUMMYFUNCTION("""COMPUTED_VALUE"""),"FM1: Wagakki Band - Kagerou Days [Ducky-'s Insane]")</f>
        <v>FM1: Wagakki Band - Kagerou Days [Ducky-'s Insane]</v>
      </c>
      <c r="O19" s="251" t="str">
        <f>IFERROR(__xludf.DUMMYFUNCTION("""COMPUTED_VALUE"""),"!mp map 2514122 0")</f>
        <v>!mp map 2514122 0</v>
      </c>
      <c r="P19" s="251" t="str">
        <f>IFERROR(__xludf.DUMMYFUNCTION("""COMPUTED_VALUE"""),"!mp mods Freemod")</f>
        <v>!mp mods Freemod</v>
      </c>
      <c r="Q19" s="19"/>
    </row>
    <row r="20" ht="18.75" customHeight="1">
      <c r="A20" s="19"/>
      <c r="B20" s="26"/>
      <c r="C20" s="36" t="s">
        <v>891</v>
      </c>
      <c r="D20" s="263" t="s">
        <v>250</v>
      </c>
      <c r="E20" s="31" t="s">
        <v>891</v>
      </c>
      <c r="F20" s="20"/>
      <c r="G20" s="26"/>
      <c r="H20" s="287" t="s">
        <v>56</v>
      </c>
      <c r="I20" s="288" t="s">
        <v>57</v>
      </c>
      <c r="L20" s="20"/>
      <c r="M20" s="26"/>
      <c r="N20" s="49" t="str">
        <f>IFERROR(__xludf.DUMMYFUNCTION("""COMPUTED_VALUE"""),"FM2: Brandy - Cross Time !! [DJPop Mix]")</f>
        <v>FM2: Brandy - Cross Time !! [DJPop Mix]</v>
      </c>
      <c r="O20" s="289" t="str">
        <f>IFERROR(__xludf.DUMMYFUNCTION("""COMPUTED_VALUE"""),"!mp map 28366 0")</f>
        <v>!mp map 28366 0</v>
      </c>
      <c r="P20" s="289" t="str">
        <f>IFERROR(__xludf.DUMMYFUNCTION("""COMPUTED_VALUE"""),"!mp mods Freemod")</f>
        <v>!mp mods Freemod</v>
      </c>
      <c r="Q20" s="19"/>
    </row>
    <row r="21" ht="18.75" customHeight="1">
      <c r="A21" s="19"/>
      <c r="B21" s="26"/>
      <c r="C21" s="36" t="s">
        <v>893</v>
      </c>
      <c r="D21" s="263" t="s">
        <v>274</v>
      </c>
      <c r="E21" s="31" t="s">
        <v>891</v>
      </c>
      <c r="F21" s="20"/>
      <c r="G21" s="26"/>
      <c r="H21" s="287" t="s">
        <v>58</v>
      </c>
      <c r="I21" s="290" t="s">
        <v>886</v>
      </c>
      <c r="L21" s="20"/>
      <c r="M21" s="26"/>
      <c r="N21" s="49" t="str">
        <f>IFERROR(__xludf.DUMMYFUNCTION("""COMPUTED_VALUE"""),"TB1: Camellia - EXiT this Earths Atomosphere [Astral]")</f>
        <v>TB1: Camellia - EXiT this Earths Atomosphere [Astral]</v>
      </c>
      <c r="O21" s="289" t="str">
        <f>IFERROR(__xludf.DUMMYFUNCTION("""COMPUTED_VALUE"""),"!mp map 1248147 0")</f>
        <v>!mp map 1248147 0</v>
      </c>
      <c r="P21" s="289" t="str">
        <f>IFERROR(__xludf.DUMMYFUNCTION("""COMPUTED_VALUE"""),"!mp mods Freemod")</f>
        <v>!mp mods Freemod</v>
      </c>
      <c r="Q21" s="19"/>
    </row>
    <row r="22" ht="18.75" customHeight="1">
      <c r="A22" s="19"/>
      <c r="B22" s="26"/>
      <c r="C22" s="36" t="s">
        <v>891</v>
      </c>
      <c r="D22" s="263" t="s">
        <v>244</v>
      </c>
      <c r="E22" s="31" t="s">
        <v>893</v>
      </c>
      <c r="F22" s="20"/>
      <c r="G22" s="26"/>
      <c r="H22" s="287" t="s">
        <v>887</v>
      </c>
      <c r="I22" s="48" t="s">
        <v>888</v>
      </c>
      <c r="K22" s="291"/>
      <c r="L22" s="20"/>
      <c r="M22" s="26"/>
      <c r="N22" s="49"/>
      <c r="O22" s="289"/>
      <c r="P22" s="289"/>
      <c r="Q22" s="19"/>
    </row>
    <row r="23" ht="18.75" customHeight="1">
      <c r="A23" s="19"/>
      <c r="B23" s="26"/>
      <c r="C23" s="36" t="s">
        <v>893</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placeholder teamname</v>
      </c>
      <c r="I25" s="295" t="s">
        <v>788</v>
      </c>
      <c r="J25" s="294" t="s">
        <v>789</v>
      </c>
      <c r="K25" s="294" t="s">
        <v>790</v>
      </c>
      <c r="L25" s="38"/>
      <c r="M25" s="26"/>
      <c r="N25" s="49"/>
      <c r="O25" s="289"/>
      <c r="P25" s="289"/>
      <c r="Q25" s="19"/>
    </row>
    <row r="26" ht="18.75" customHeight="1">
      <c r="A26" s="19"/>
      <c r="B26" s="26"/>
      <c r="C26" s="36"/>
      <c r="D26" s="292"/>
      <c r="E26" s="36"/>
      <c r="F26" s="20"/>
      <c r="G26" s="26"/>
      <c r="H26" s="296" t="str">
        <f t="array" ref="H26:K26">IF(Format="Solo",E2,IFNA(VLOOKUP(E2,TeamList,SEQUENCE(1,4,1),0),""))</f>
        <v>female ass wrestling</v>
      </c>
      <c r="I26" s="297" t="s">
        <v>746</v>
      </c>
      <c r="J26" s="296" t="s">
        <v>747</v>
      </c>
      <c r="K26" s="296" t="s">
        <v>748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E9">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:MIPINGA:</v>
      </c>
      <c r="D2" s="235" t="s">
        <v>854</v>
      </c>
      <c r="E2" s="236" t="str">
        <f>IFNA(VLOOKUP(I2,Schedules,5,0),"")</f>
        <v>match in 15</v>
      </c>
      <c r="F2" s="20"/>
      <c r="G2" s="21" t="s">
        <v>855</v>
      </c>
      <c r="H2" s="237" t="s">
        <v>856</v>
      </c>
      <c r="I2" s="238">
        <v>56.0</v>
      </c>
      <c r="K2" s="238"/>
      <c r="L2" s="20"/>
      <c r="M2" s="21" t="s">
        <v>857</v>
      </c>
      <c r="N2" s="239" t="s">
        <v>25</v>
      </c>
      <c r="O2" s="240" t="s">
        <v>37</v>
      </c>
      <c r="P2" s="4"/>
      <c r="Q2" s="19"/>
    </row>
    <row r="3" ht="18.75" customHeight="1">
      <c r="A3" s="19"/>
      <c r="B3" s="26"/>
      <c r="C3" s="241">
        <f>IF(D6="Blue",-1,COUNTIF(E14:E26,"Red"))</f>
        <v>6</v>
      </c>
      <c r="D3" s="242">
        <f>VLOOKUP(O2,MappoolSettings,2,0)</f>
        <v>11</v>
      </c>
      <c r="E3" s="243">
        <f>IF(D6="Red",-1,COUNTIF(E14:E26,"Blue"))</f>
        <v>1</v>
      </c>
      <c r="F3" s="20"/>
      <c r="G3" s="26"/>
      <c r="H3" s="244" t="s">
        <v>456</v>
      </c>
      <c r="I3" s="35" t="s">
        <v>600</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)"),"**Semifinals: Match 56**
&lt;https://osu.ppy.sh/community/matches/110388082&gt;
:red_square: \:MIPINGA: | 6 : 1 | match in 15 :blue_square:
:MIPINGA: bans | DT1 HR2
match in 15 bans | HD2 FM2
First pick | match in 15
:red_square: | HR3: Camellia - Routing ["&amp;"Another]
:red_square: | NM2: GIVEON - Favourite Mistake [Halogenix Edit] [Insane]
:red_square: | NM6: Kai - Junk Lady [Deppy and Wanpachi's Insane]
:red_square: | NM4: VeetaCrush - Mole [Kyutei's Insane]
:blue_square: | DT2: umu. - Dareka no Shinzou ni Na"&amp;"reta Nara [Hard]
:red_square: | HD3: YUC'e - POISON -KO3 Remix- [Insane]
:red_square: | NM5: Camellia - Killerbeast [Spiritual]")</f>
        <v>**Semifinals: Match 56**
&lt;https://osu.ppy.sh/community/matches/110388082&gt;
:red_square: \:MIPINGA: | 6 : 1 | match in 15 :blue_square:
:MIPINGA: bans | DT1 HR2
match in 15 bans | HD2 FM2
First pick | match in 15
:red_square: | HR3: Camellia - Routing [Another]
:red_square: | NM2: GIVEON - Favourite Mistake [Halogenix Edit] [Insane]
:red_square: | NM6: Kai - Junk Lady [Deppy and Wanpachi's Insane]
:red_square: | NM4: VeetaCrush - Mole [Kyutei's Insane]
:blue_square: | DT2: umu. - Dareka no Shinzou ni Nareta Nara [Hard]
:red_square: | HD3: YUC'e - POISON -KO3 Remix- [Insane]
:red_square: | NM5: Camellia - Killerbeast [Spiritual]</v>
      </c>
      <c r="E4" s="248"/>
      <c r="F4" s="20"/>
      <c r="G4" s="26"/>
      <c r="H4" s="237" t="s">
        <v>452</v>
      </c>
      <c r="I4" s="249" t="str">
        <f>IFNA(VLOOKUP(I2,Schedules,6,0),"")</f>
        <v>Pischok</v>
      </c>
      <c r="K4" s="249"/>
      <c r="L4" s="20"/>
      <c r="M4" s="26"/>
      <c r="N4" s="250" t="str">
        <f>IFERROR(__xludf.DUMMYFUNCTION("IF(O2="""",,ARRAY_CONSTRAIN(FILTER(Maps,Mappools!B4:B27=O2),25,3))"),"NM1: t+pazolite - Party in the HOLLOWood feat. Nanahira [INSane]")</f>
        <v>NM1: t+pazolite - Party in the HOLLOWood feat. Nanahira [INSane]</v>
      </c>
      <c r="O4" s="251" t="str">
        <f>IFERROR(__xludf.DUMMYFUNCTION("""COMPUTED_VALUE"""),"!mp map 1717844 0")</f>
        <v>!mp map 1717844 0</v>
      </c>
      <c r="P4" s="251" t="str">
        <f>IFERROR(__xludf.DUMMYFUNCTION("""COMPUTED_VALUE"""),"!mp mods NF")</f>
        <v>!mp mods NF</v>
      </c>
      <c r="Q4" s="19"/>
    </row>
    <row r="5" ht="18.75" customHeight="1">
      <c r="A5" s="19"/>
      <c r="B5" s="26"/>
      <c r="C5" s="246" t="s">
        <v>859</v>
      </c>
      <c r="D5" s="252" t="str">
        <f t="array" ref="D5:E5">IFERROR(VLOOKUP(INDEX($D$14:$D$26,COUNTA($D$14:$D$26)),$N$4:$P$26,{2,3},0),"")</f>
        <v>!mp map 3187491 0</v>
      </c>
      <c r="E5" s="253" t="s">
        <v>74</v>
      </c>
      <c r="F5" s="20"/>
      <c r="G5" s="26"/>
      <c r="H5" s="237" t="s">
        <v>860</v>
      </c>
      <c r="I5" s="254">
        <f t="array" ref="I5">IFNA(SUM(VLOOKUP(I2,Schedules,{2,3},0)),"")</f>
        <v>45178.79167</v>
      </c>
      <c r="K5" s="254"/>
      <c r="L5" s="20"/>
      <c r="M5" s="26"/>
      <c r="N5" s="250" t="str">
        <f>IFERROR(__xludf.DUMMYFUNCTION("""COMPUTED_VALUE"""),"NM2: GIVEON - Favourite Mistake [Halogenix Edit] [Insane]")</f>
        <v>NM2: GIVEON - Favourite Mistake [Halogenix Edit] [Insane]</v>
      </c>
      <c r="O5" s="251" t="str">
        <f>IFERROR(__xludf.DUMMYFUNCTION("""COMPUTED_VALUE"""),"!mp map 3656173 0")</f>
        <v>!mp map 3656173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ALI - Wild Side [Squilly's Insane]")</f>
        <v>NM3: ALI - Wild Side [Squilly's Insane]</v>
      </c>
      <c r="O6" s="251" t="str">
        <f>IFERROR(__xludf.DUMMYFUNCTION("""COMPUTED_VALUE"""),"!mp map 2715749 0")</f>
        <v>!mp map 2715749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(:MIPINGA:) vs (match in 15)</v>
      </c>
      <c r="L7" s="20"/>
      <c r="M7" s="26"/>
      <c r="N7" s="250" t="str">
        <f>IFERROR(__xludf.DUMMYFUNCTION("""COMPUTED_VALUE"""),"NM4: VeetaCrush - Mole [Kyutei's Insane]")</f>
        <v>NM4: VeetaCrush - Mole [Kyutei's Insane]</v>
      </c>
      <c r="O7" s="251" t="str">
        <f>IFERROR(__xludf.DUMMYFUNCTION("""COMPUTED_VALUE"""),"!mp map 3291796 0")</f>
        <v>!mp map 3291796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Camellia - Killerbeast [Spiritual]")</f>
        <v>NM5: Camellia - Killerbeast [Spiritual]</v>
      </c>
      <c r="O8" s="251" t="str">
        <f>IFERROR(__xludf.DUMMYFUNCTION("""COMPUTED_VALUE"""),"!mp map 3187491 0")</f>
        <v>!mp map 3187491 0</v>
      </c>
      <c r="P8" s="251" t="str">
        <f>IFERROR(__xludf.DUMMYFUNCTION("""COMPUTED_VALUE"""),"!mp mods NF")</f>
        <v>!mp mods NF</v>
      </c>
      <c r="Q8" s="19"/>
    </row>
    <row r="9" ht="18.75" customHeight="1">
      <c r="A9" s="19"/>
      <c r="B9" s="26"/>
      <c r="C9" s="262" t="str">
        <f>C2</f>
        <v>:MIPINGA:</v>
      </c>
      <c r="D9" s="263" t="s">
        <v>271</v>
      </c>
      <c r="E9" s="238" t="s">
        <v>265</v>
      </c>
      <c r="F9" s="20"/>
      <c r="G9" s="26"/>
      <c r="H9" s="237" t="s">
        <v>13</v>
      </c>
      <c r="I9" s="264" t="s">
        <v>868</v>
      </c>
      <c r="K9" s="265"/>
      <c r="L9" s="20"/>
      <c r="M9" s="26"/>
      <c r="N9" s="250" t="str">
        <f>IFERROR(__xludf.DUMMYFUNCTION("""COMPUTED_VALUE"""),"NM6: Kai - Junk Lady [Deppy and Wanpachi's Insane]")</f>
        <v>NM6: Kai - Junk Lady [Deppy and Wanpachi's Insane]</v>
      </c>
      <c r="O9" s="251" t="str">
        <f>IFERROR(__xludf.DUMMYFUNCTION("""COMPUTED_VALUE"""),"!mp map 3990086 0")</f>
        <v>!mp map 3990086 0</v>
      </c>
      <c r="P9" s="251" t="str">
        <f>IFERROR(__xludf.DUMMYFUNCTION("""COMPUTED_VALUE"""),"!mp mods NF")</f>
        <v>!mp mods NF</v>
      </c>
      <c r="Q9" s="19"/>
    </row>
    <row r="10" ht="18.75" customHeight="1">
      <c r="A10" s="19"/>
      <c r="B10" s="26"/>
      <c r="C10" s="266" t="str">
        <f>E2</f>
        <v>match in 15</v>
      </c>
      <c r="D10" s="267" t="s">
        <v>256</v>
      </c>
      <c r="E10" s="268" t="s">
        <v>283</v>
      </c>
      <c r="F10" s="20"/>
      <c r="G10" s="26"/>
      <c r="H10" s="244" t="s">
        <v>869</v>
      </c>
      <c r="I10" s="269" t="str">
        <f t="array" ref="I10:J10">IFNA(IF(VLOOKUP(I2,Schedules,{7,8},0)="",,"!mp addref "&amp;VLOOKUP(I2,Schedules,{7,8},0)),"")</f>
        <v/>
      </c>
      <c r="J10" s="269"/>
      <c r="K10" s="270"/>
      <c r="L10" s="20"/>
      <c r="M10" s="26"/>
      <c r="N10" s="250" t="str">
        <f>IFERROR(__xludf.DUMMYFUNCTION("""COMPUTED_VALUE"""),"HD1: Aso Natsuko - Perfect-area complete! [Asuka_-'s Insane]")</f>
        <v>HD1: Aso Natsuko - Perfect-area complete! [Asuka_-'s Insane]</v>
      </c>
      <c r="O10" s="251" t="str">
        <f>IFERROR(__xludf.DUMMYFUNCTION("""COMPUTED_VALUE"""),"!mp map 1972425 0")</f>
        <v>!mp map 1972425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RAAPslimshady</v>
      </c>
      <c r="J11" s="272" t="s">
        <v>920</v>
      </c>
      <c r="K11" s="273"/>
      <c r="L11" s="20"/>
      <c r="M11" s="26"/>
      <c r="N11" s="250" t="str">
        <f>IFERROR(__xludf.DUMMYFUNCTION("""COMPUTED_VALUE"""),"HD2: Kola Kid - timer [Insane]")</f>
        <v>HD2: Kola Kid - timer [Insane]</v>
      </c>
      <c r="O11" s="251" t="str">
        <f>IFERROR(__xludf.DUMMYFUNCTION("""COMPUTED_VALUE"""),"!mp map 2277128 0")</f>
        <v>!mp map 2277128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YUC'e - POISON -KO3 Remix- [Insane]")</f>
        <v>HD3: YUC'e - POISON -KO3 Remix- [Insane]</v>
      </c>
      <c r="O12" s="251" t="str">
        <f>IFERROR(__xludf.DUMMYFUNCTION("""COMPUTED_VALUE"""),"!mp map 2044890 0")</f>
        <v>!mp map 2044890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Harumaki Gohan feat. Hatsune Miku - Hotaru wa Inakatta [Kuse's Insane]")</f>
        <v>HR1: Harumaki Gohan feat. Hatsune Miku - Hotaru wa Inakatta [Kuse's Insane]</v>
      </c>
      <c r="O13" s="251" t="str">
        <f>IFERROR(__xludf.DUMMYFUNCTION("""COMPUTED_VALUE"""),"!mp map 3454421 0")</f>
        <v>!mp map 3454421 0</v>
      </c>
      <c r="P13" s="251" t="str">
        <f>IFERROR(__xludf.DUMMYFUNCTION("""COMPUTED_VALUE"""),"!mp mods HR NF")</f>
        <v>!mp mods HR NF</v>
      </c>
      <c r="Q13" s="19"/>
    </row>
    <row r="14" ht="18.75" customHeight="1">
      <c r="A14" s="19"/>
      <c r="B14" s="26"/>
      <c r="C14" s="36" t="str">
        <f t="array" ref="C14:C24">IF(D11="",,{IF(MOD(SEQUENCE(D3-1,1),2)=1,IF(D11="Red","Red","Blue"),IF(D11="Red","Blue","Red"));"Tiebreaker"})</f>
        <v>Blue</v>
      </c>
      <c r="D14" s="263" t="s">
        <v>268</v>
      </c>
      <c r="E14" s="31" t="s">
        <v>893</v>
      </c>
      <c r="F14" s="20"/>
      <c r="G14" s="26"/>
      <c r="H14" s="278" t="s">
        <v>878</v>
      </c>
      <c r="I14" s="260" t="s">
        <v>879</v>
      </c>
      <c r="J14" s="260" t="s">
        <v>880</v>
      </c>
      <c r="K14" s="261"/>
      <c r="L14" s="20"/>
      <c r="M14" s="26"/>
      <c r="N14" s="250" t="str">
        <f>IFERROR(__xludf.DUMMYFUNCTION("""COMPUTED_VALUE"""),"HR2: Cro - Wie ich bin [Trust]")</f>
        <v>HR2: Cro - Wie ich bin [Trust]</v>
      </c>
      <c r="O14" s="251" t="str">
        <f>IFERROR(__xludf.DUMMYFUNCTION("""COMPUTED_VALUE"""),"!mp map 2917786 0")</f>
        <v>!mp map 2917786 0</v>
      </c>
      <c r="P14" s="251" t="str">
        <f>IFERROR(__xludf.DUMMYFUNCTION("""COMPUTED_VALUE"""),"!mp mods HR NF")</f>
        <v>!mp mods HR NF</v>
      </c>
      <c r="Q14" s="19"/>
    </row>
    <row r="15" ht="18.75" customHeight="1">
      <c r="A15" s="19"/>
      <c r="B15" s="26"/>
      <c r="C15" s="36" t="s">
        <v>893</v>
      </c>
      <c r="D15" s="263" t="s">
        <v>238</v>
      </c>
      <c r="E15" s="31" t="s">
        <v>893</v>
      </c>
      <c r="F15" s="20"/>
      <c r="G15" s="20"/>
      <c r="H15" s="20"/>
      <c r="I15" s="20"/>
      <c r="J15" s="20"/>
      <c r="K15" s="20"/>
      <c r="L15" s="20"/>
      <c r="M15" s="26"/>
      <c r="N15" s="250" t="str">
        <f>IFERROR(__xludf.DUMMYFUNCTION("""COMPUTED_VALUE"""),"HR3: Camellia - Routing [Another]")</f>
        <v>HR3: Camellia - Routing [Another]</v>
      </c>
      <c r="O15" s="251" t="str">
        <f>IFERROR(__xludf.DUMMYFUNCTION("""COMPUTED_VALUE"""),"!mp map 1405094 0")</f>
        <v>!mp map 1405094 0</v>
      </c>
      <c r="P15" s="251" t="str">
        <f>IFERROR(__xludf.DUMMYFUNCTION("""COMPUTED_VALUE"""),"!mp mods HR NF")</f>
        <v>!mp mods HR NF</v>
      </c>
      <c r="Q15" s="19"/>
    </row>
    <row r="16" ht="18.75" customHeight="1">
      <c r="A16" s="19"/>
      <c r="B16" s="26"/>
      <c r="C16" s="36" t="s">
        <v>891</v>
      </c>
      <c r="D16" s="263" t="s">
        <v>250</v>
      </c>
      <c r="E16" s="31" t="s">
        <v>893</v>
      </c>
      <c r="F16" s="20"/>
      <c r="G16" s="21" t="s">
        <v>881</v>
      </c>
      <c r="H16" s="279" t="s">
        <v>882</v>
      </c>
      <c r="I16" s="280">
        <f>VLOOKUP(O2,MappoolSettings,3,0)</f>
        <v>2</v>
      </c>
      <c r="K16" s="281"/>
      <c r="L16" s="20"/>
      <c r="M16" s="26"/>
      <c r="N16" s="250" t="str">
        <f>IFERROR(__xludf.DUMMYFUNCTION("""COMPUTED_VALUE"""),"DT1: 96neko - Primitive emotion [Hard]")</f>
        <v>DT1: 96neko - Primitive emotion [Hard]</v>
      </c>
      <c r="O16" s="251" t="str">
        <f>IFERROR(__xludf.DUMMYFUNCTION("""COMPUTED_VALUE"""),"!mp map 1592512 0")</f>
        <v>!mp map 1592512 0</v>
      </c>
      <c r="P16" s="251" t="str">
        <f>IFERROR(__xludf.DUMMYFUNCTION("""COMPUTED_VALUE"""),"!mp mods DT NF")</f>
        <v>!mp mods DT NF</v>
      </c>
      <c r="Q16" s="19"/>
    </row>
    <row r="17" ht="18.75" customHeight="1">
      <c r="A17" s="19"/>
      <c r="B17" s="26"/>
      <c r="C17" s="36" t="s">
        <v>893</v>
      </c>
      <c r="D17" s="263" t="s">
        <v>244</v>
      </c>
      <c r="E17" s="31" t="s">
        <v>893</v>
      </c>
      <c r="F17" s="20"/>
      <c r="G17" s="26"/>
      <c r="H17" s="282" t="s">
        <v>883</v>
      </c>
      <c r="I17" s="283" t="str">
        <f>ForumPostLink</f>
        <v>https://osu.ppy.sh/community/forums/topics/1790898?n=1?</v>
      </c>
      <c r="L17" s="20"/>
      <c r="M17" s="26"/>
      <c r="N17" s="250" t="str">
        <f>IFERROR(__xludf.DUMMYFUNCTION("""COMPUTED_VALUE"""),"DT2: umu. - Dareka no Shinzou ni Nareta Nara [Hard]")</f>
        <v>DT2: umu. - Dareka no Shinzou ni Nareta Nara [Hard]</v>
      </c>
      <c r="O17" s="251" t="str">
        <f>IFERROR(__xludf.DUMMYFUNCTION("""COMPUTED_VALUE"""),"!mp map 2388648 0")</f>
        <v>!mp map 2388648 0</v>
      </c>
      <c r="P17" s="251" t="str">
        <f>IFERROR(__xludf.DUMMYFUNCTION("""COMPUTED_VALUE"""),"!mp mods DT NF")</f>
        <v>!mp mods DT NF</v>
      </c>
      <c r="Q17" s="19"/>
    </row>
    <row r="18" ht="18.75" customHeight="1">
      <c r="A18" s="19"/>
      <c r="B18" s="26"/>
      <c r="C18" s="36" t="s">
        <v>891</v>
      </c>
      <c r="D18" s="263" t="s">
        <v>274</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AAAA + Umeboshi Chazuke - Cait Sith [Setu's Hard]")</f>
        <v>DT3: AAAA + Umeboshi Chazuke - Cait Sith [Setu's Hard]</v>
      </c>
      <c r="O18" s="251" t="str">
        <f>IFERROR(__xludf.DUMMYFUNCTION("""COMPUTED_VALUE"""),"!mp map 3819183 0")</f>
        <v>!mp map 3819183 0</v>
      </c>
      <c r="P18" s="251" t="str">
        <f>IFERROR(__xludf.DUMMYFUNCTION("""COMPUTED_VALUE"""),"!mp mods DT NF")</f>
        <v>!mp mods DT NF</v>
      </c>
      <c r="Q18" s="19"/>
    </row>
    <row r="19" ht="18.75" customHeight="1">
      <c r="A19" s="19"/>
      <c r="B19" s="26"/>
      <c r="C19" s="36" t="s">
        <v>893</v>
      </c>
      <c r="D19" s="263" t="s">
        <v>259</v>
      </c>
      <c r="E19" s="31" t="s">
        <v>893</v>
      </c>
      <c r="F19" s="20"/>
      <c r="G19" s="26"/>
      <c r="H19" s="282" t="s">
        <v>885</v>
      </c>
      <c r="I19" s="284" t="str">
        <f>"Forfeit: "&amp;IF(NoShow2="","Never",NoShow2&amp;"mins")</f>
        <v>Forfeit: 15mins</v>
      </c>
      <c r="J19" s="285"/>
      <c r="K19" s="286"/>
      <c r="L19" s="20"/>
      <c r="M19" s="26"/>
      <c r="N19" s="250" t="str">
        <f>IFERROR(__xludf.DUMMYFUNCTION("""COMPUTED_VALUE"""),"FM1: Wagakki Band - Kagerou Days [Ducky-'s Insane]")</f>
        <v>FM1: Wagakki Band - Kagerou Days [Ducky-'s Insane]</v>
      </c>
      <c r="O19" s="251" t="str">
        <f>IFERROR(__xludf.DUMMYFUNCTION("""COMPUTED_VALUE"""),"!mp map 2514122 0")</f>
        <v>!mp map 2514122 0</v>
      </c>
      <c r="P19" s="251" t="str">
        <f>IFERROR(__xludf.DUMMYFUNCTION("""COMPUTED_VALUE"""),"!mp mods Freemod")</f>
        <v>!mp mods Freemod</v>
      </c>
      <c r="Q19" s="19"/>
    </row>
    <row r="20" ht="18.75" customHeight="1">
      <c r="A20" s="19"/>
      <c r="B20" s="26"/>
      <c r="C20" s="36" t="s">
        <v>891</v>
      </c>
      <c r="D20" s="263" t="s">
        <v>247</v>
      </c>
      <c r="E20" s="31" t="s">
        <v>893</v>
      </c>
      <c r="F20" s="20"/>
      <c r="G20" s="26"/>
      <c r="H20" s="287" t="s">
        <v>56</v>
      </c>
      <c r="I20" s="288" t="s">
        <v>57</v>
      </c>
      <c r="L20" s="20"/>
      <c r="M20" s="26"/>
      <c r="N20" s="49" t="str">
        <f>IFERROR(__xludf.DUMMYFUNCTION("""COMPUTED_VALUE"""),"FM2: Brandy - Cross Time !! [DJPop Mix]")</f>
        <v>FM2: Brandy - Cross Time !! [DJPop Mix]</v>
      </c>
      <c r="O20" s="289" t="str">
        <f>IFERROR(__xludf.DUMMYFUNCTION("""COMPUTED_VALUE"""),"!mp map 28366 0")</f>
        <v>!mp map 28366 0</v>
      </c>
      <c r="P20" s="289" t="str">
        <f>IFERROR(__xludf.DUMMYFUNCTION("""COMPUTED_VALUE"""),"!mp mods Freemod")</f>
        <v>!mp mods Freemod</v>
      </c>
      <c r="Q20" s="19"/>
    </row>
    <row r="21" ht="18.75" customHeight="1">
      <c r="A21" s="19"/>
      <c r="B21" s="26"/>
      <c r="C21" s="36" t="s">
        <v>893</v>
      </c>
      <c r="D21" s="263"/>
      <c r="E21" s="31"/>
      <c r="F21" s="20"/>
      <c r="G21" s="26"/>
      <c r="H21" s="287" t="s">
        <v>58</v>
      </c>
      <c r="I21" s="290" t="s">
        <v>886</v>
      </c>
      <c r="L21" s="20"/>
      <c r="M21" s="26"/>
      <c r="N21" s="49" t="str">
        <f>IFERROR(__xludf.DUMMYFUNCTION("""COMPUTED_VALUE"""),"TB1: Camellia - EXiT this Earths Atomosphere [Astral]")</f>
        <v>TB1: Camellia - EXiT this Earths Atomosphere [Astral]</v>
      </c>
      <c r="O21" s="289" t="str">
        <f>IFERROR(__xludf.DUMMYFUNCTION("""COMPUTED_VALUE"""),"!mp map 1248147 0")</f>
        <v>!mp map 1248147 0</v>
      </c>
      <c r="P21" s="289" t="str">
        <f>IFERROR(__xludf.DUMMYFUNCTION("""COMPUTED_VALUE"""),"!mp mods Freemod")</f>
        <v>!mp mods Freemod</v>
      </c>
      <c r="Q21" s="19"/>
    </row>
    <row r="22" ht="18.75" customHeight="1">
      <c r="A22" s="19"/>
      <c r="B22" s="26"/>
      <c r="C22" s="36" t="s">
        <v>891</v>
      </c>
      <c r="D22" s="263"/>
      <c r="E22" s="31"/>
      <c r="F22" s="20"/>
      <c r="G22" s="26"/>
      <c r="H22" s="287" t="s">
        <v>887</v>
      </c>
      <c r="I22" s="48" t="s">
        <v>888</v>
      </c>
      <c r="K22" s="291"/>
      <c r="L22" s="20"/>
      <c r="M22" s="26"/>
      <c r="N22" s="49"/>
      <c r="O22" s="289"/>
      <c r="P22" s="289"/>
      <c r="Q22" s="19"/>
    </row>
    <row r="23" ht="18.75" customHeight="1">
      <c r="A23" s="19"/>
      <c r="B23" s="26"/>
      <c r="C23" s="36" t="s">
        <v>893</v>
      </c>
      <c r="D23" s="292"/>
      <c r="E23" s="36"/>
      <c r="F23" s="20"/>
      <c r="G23" s="26"/>
      <c r="H23" s="287" t="s">
        <v>889</v>
      </c>
      <c r="I23" s="48" t="s">
        <v>888</v>
      </c>
      <c r="K23" s="86"/>
      <c r="L23" s="20"/>
      <c r="M23" s="26"/>
      <c r="N23" s="49"/>
      <c r="O23" s="289"/>
      <c r="P23" s="289"/>
      <c r="Q23" s="19"/>
    </row>
    <row r="24" ht="18.75" customHeight="1">
      <c r="A24" s="19"/>
      <c r="B24" s="26"/>
      <c r="C24" s="36" t="s">
        <v>894</v>
      </c>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:MIPINGA:</v>
      </c>
      <c r="I25" s="295" t="s">
        <v>791</v>
      </c>
      <c r="J25" s="294" t="s">
        <v>792</v>
      </c>
      <c r="K25" s="294" t="s">
        <v>793</v>
      </c>
      <c r="L25" s="38"/>
      <c r="M25" s="26"/>
      <c r="N25" s="49"/>
      <c r="O25" s="289"/>
      <c r="P25" s="289"/>
      <c r="Q25" s="19"/>
    </row>
    <row r="26" ht="18.75" customHeight="1">
      <c r="A26" s="19"/>
      <c r="B26" s="26"/>
      <c r="C26" s="36"/>
      <c r="D26" s="292"/>
      <c r="E26" s="36"/>
      <c r="F26" s="20"/>
      <c r="G26" s="26"/>
      <c r="H26" s="296" t="str">
        <f t="array" ref="H26:K26">IF(Format="Solo",E2,IFNA(VLOOKUP(E2,TeamList,SEQUENCE(1,4,1),0),""))</f>
        <v>match in 15</v>
      </c>
      <c r="I26" s="297" t="s">
        <v>737</v>
      </c>
      <c r="J26" s="296" t="s">
        <v>612</v>
      </c>
      <c r="K26" s="296" t="s">
        <v>738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s>
  <drawing r:id="rId20"/>
  <legacyDrawing r:id="rId2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female ass wrestling</v>
      </c>
      <c r="D2" s="235" t="s">
        <v>854</v>
      </c>
      <c r="E2" s="236" t="str">
        <f>IFNA(VLOOKUP(I2,Schedules,5,0),"")</f>
        <v>Tom and Jerry</v>
      </c>
      <c r="F2" s="20"/>
      <c r="G2" s="21" t="s">
        <v>855</v>
      </c>
      <c r="H2" s="237" t="s">
        <v>856</v>
      </c>
      <c r="I2" s="238">
        <v>57.0</v>
      </c>
      <c r="K2" s="238"/>
      <c r="L2" s="20"/>
      <c r="M2" s="21" t="s">
        <v>857</v>
      </c>
      <c r="N2" s="239" t="s">
        <v>25</v>
      </c>
      <c r="O2" s="240" t="s">
        <v>39</v>
      </c>
      <c r="P2" s="4"/>
      <c r="Q2" s="19"/>
    </row>
    <row r="3" ht="18.75" customHeight="1">
      <c r="A3" s="19"/>
      <c r="B3" s="26"/>
      <c r="C3" s="241">
        <f>IF(D6="Blue",-1,COUNTIF(E14:E26,"Red"))</f>
        <v>7</v>
      </c>
      <c r="D3" s="242">
        <f>VLOOKUP(O2,MappoolSettings,2,0)</f>
        <v>13</v>
      </c>
      <c r="E3" s="243">
        <f>IF(D6="Red",-1,COUNTIF(E14:E26,"Blue"))</f>
        <v>2</v>
      </c>
      <c r="F3" s="20"/>
      <c r="G3" s="26"/>
      <c r="H3" s="244" t="s">
        <v>456</v>
      </c>
      <c r="I3" s="35" t="s">
        <v>615</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)"),"**Finals: Match 57**
&lt;https://osu.ppy.sh/community/matches/110481100&gt;
:red_square: female ass wrestling | 7 : 2 | Tom and Jerry :blue_square:
female ass wrestling bans | HR3 NM4
Tom and Jerry bans | HD2 NM6
First pick | Tom and Jerry
:red_square: | HR"&amp;"1: BAND-MAID - I can't live without you. [Insane]
:red_square: | FM3: Mysteka - Hesperos [Mayu's Insane]
:red_square: | DT2: Memme - NEW Astronomas [Priti's Hyper]
:red_square: | DT4: KOTOKO - Princess Bride! (Cut Ver.) [Hard]
:red_square: | NM3: Ryokuous"&amp;"hoku Shakai - Zutto Zutto Zutto [Kloyd's Expert]
:red_square: | NM5: Prim - Koisuru*Uchuu Sensou!! [Another 220BPM]
:blue_square: | NM1: Camellia - Racemization [extreme]
:blue_square: | HD3: Kudou Chitose - CHO-DARI- [EX]
:red_square: | DT3: Camellia - C"&amp;"ompute It With Some Devilish Alcoholic Steampunk Engines [F4UZ4N's Hard]")</f>
        <v>**Finals: Match 57**
&lt;https://osu.ppy.sh/community/matches/110481100&gt;
:red_square: female ass wrestling | 7 : 2 | Tom and Jerry :blue_square:
female ass wrestling bans | HR3 NM4
Tom and Jerry bans | HD2 NM6
First pick | Tom and Jerry
:red_square: | HR1: BAND-MAID - I can't live without you. [Insane]
:red_square: | FM3: Mysteka - Hesperos [Mayu's Insane]
:red_square: | DT2: Memme - NEW Astronomas [Priti's Hyper]
:red_square: | DT4: KOTOKO - Princess Bride! (Cut Ver.) [Hard]
:red_square: | NM3: Ryokuoushoku Shakai - Zutto Zutto Zutto [Kloyd's Expert]
:red_square: | NM5: Prim - Koisuru*Uchuu Sensou!! [Another 220BPM]
:blue_square: | NM1: Camellia - Racemization [extreme]
:blue_square: | HD3: Kudou Chitose - CHO-DARI- [EX]
:red_square: | DT3: Camellia - Compute It With Some Devilish Alcoholic Steampunk Engines [F4UZ4N's Hard]</v>
      </c>
      <c r="E4" s="248"/>
      <c r="F4" s="20"/>
      <c r="G4" s="26"/>
      <c r="H4" s="237" t="s">
        <v>452</v>
      </c>
      <c r="I4" s="249" t="str">
        <f>IFNA(VLOOKUP(I2,Schedules,6,0),"")</f>
        <v>Mewo_</v>
      </c>
      <c r="K4" s="249"/>
      <c r="L4" s="20"/>
      <c r="M4" s="26"/>
      <c r="N4" s="250" t="str">
        <f>IFERROR(__xludf.DUMMYFUNCTION("IF(O2="""",,ARRAY_CONSTRAIN(FILTER(Maps,Mappools!B4:B27=O2),25,3))"),"NM1: Camellia - Racemization [extreme]")</f>
        <v>NM1: Camellia - Racemization [extreme]</v>
      </c>
      <c r="O4" s="251" t="str">
        <f>IFERROR(__xludf.DUMMYFUNCTION("""COMPUTED_VALUE"""),"!mp map 2198934 0")</f>
        <v>!mp map 2198934 0</v>
      </c>
      <c r="P4" s="251" t="str">
        <f>IFERROR(__xludf.DUMMYFUNCTION("""COMPUTED_VALUE"""),"!mp mods NF")</f>
        <v>!mp mods NF</v>
      </c>
      <c r="Q4" s="19"/>
    </row>
    <row r="5" ht="18.75" customHeight="1">
      <c r="A5" s="19"/>
      <c r="B5" s="26"/>
      <c r="C5" s="246" t="s">
        <v>859</v>
      </c>
      <c r="D5" s="252" t="str">
        <f t="array" ref="D5:E5">IFERROR(VLOOKUP(INDEX($D$14:$D$26,COUNTA($D$14:$D$26)),$N$4:$P$26,{2,3},0),"")</f>
        <v>!mp map 2671858 0</v>
      </c>
      <c r="E5" s="253" t="s">
        <v>109</v>
      </c>
      <c r="F5" s="20"/>
      <c r="G5" s="26"/>
      <c r="H5" s="237" t="s">
        <v>860</v>
      </c>
      <c r="I5" s="254">
        <f t="array" ref="I5">IFNA(SUM(VLOOKUP(I2,Schedules,{2,3},0)),"")</f>
        <v>45185.52083</v>
      </c>
      <c r="K5" s="254"/>
      <c r="L5" s="20"/>
      <c r="M5" s="26"/>
      <c r="N5" s="250" t="str">
        <f>IFERROR(__xludf.DUMMYFUNCTION("""COMPUTED_VALUE"""),"NM2: vierre cloud - moment [astronic's another]")</f>
        <v>NM2: vierre cloud - moment [astronic's another]</v>
      </c>
      <c r="O5" s="251" t="str">
        <f>IFERROR(__xludf.DUMMYFUNCTION("""COMPUTED_VALUE"""),"!mp map 3010348 0")</f>
        <v>!mp map 3010348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Ryokuoushoku Shakai - Zutto Zutto Zutto [Kloyd's Expert]")</f>
        <v>NM3: Ryokuoushoku Shakai - Zutto Zutto Zutto [Kloyd's Expert]</v>
      </c>
      <c r="O6" s="251" t="str">
        <f>IFERROR(__xludf.DUMMYFUNCTION("""COMPUTED_VALUE"""),"!mp map 3774971 0")</f>
        <v>!mp map 3774971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(female ass wrestling) vs (Tom and Jerry)</v>
      </c>
      <c r="L7" s="20"/>
      <c r="M7" s="26"/>
      <c r="N7" s="250" t="str">
        <f>IFERROR(__xludf.DUMMYFUNCTION("""COMPUTED_VALUE"""),"NM4: USAO - Gruequix [Expert]")</f>
        <v>NM4: USAO - Gruequix [Expert]</v>
      </c>
      <c r="O7" s="251" t="str">
        <f>IFERROR(__xludf.DUMMYFUNCTION("""COMPUTED_VALUE"""),"!mp map 3802110 0")</f>
        <v>!mp map 3802110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Prim - Koisuru*Uchuu Sensou!! [Another 220BPM]")</f>
        <v>NM5: Prim - Koisuru*Uchuu Sensou!! [Another 220BPM]</v>
      </c>
      <c r="O8" s="251" t="str">
        <f>IFERROR(__xludf.DUMMYFUNCTION("""COMPUTED_VALUE"""),"!mp map 309900 0")</f>
        <v>!mp map 309900 0</v>
      </c>
      <c r="P8" s="251" t="str">
        <f>IFERROR(__xludf.DUMMYFUNCTION("""COMPUTED_VALUE"""),"!mp mods NF")</f>
        <v>!mp mods NF</v>
      </c>
      <c r="Q8" s="19"/>
    </row>
    <row r="9" ht="18.75" customHeight="1">
      <c r="A9" s="19"/>
      <c r="B9" s="26"/>
      <c r="C9" s="262" t="str">
        <f>C2</f>
        <v>female ass wrestling</v>
      </c>
      <c r="D9" s="263" t="s">
        <v>322</v>
      </c>
      <c r="E9" s="238" t="s">
        <v>298</v>
      </c>
      <c r="F9" s="20"/>
      <c r="G9" s="26"/>
      <c r="H9" s="237" t="s">
        <v>13</v>
      </c>
      <c r="I9" s="264" t="s">
        <v>868</v>
      </c>
      <c r="K9" s="265"/>
      <c r="L9" s="20"/>
      <c r="M9" s="26"/>
      <c r="N9" s="250" t="str">
        <f>IFERROR(__xludf.DUMMYFUNCTION("""COMPUTED_VALUE"""),"NM6: Kikuo - Yousei no Kiri [Insane]")</f>
        <v>NM6: Kikuo - Yousei no Kiri [Insane]</v>
      </c>
      <c r="O9" s="251" t="str">
        <f>IFERROR(__xludf.DUMMYFUNCTION("""COMPUTED_VALUE"""),"!mp map 3870932 0")</f>
        <v>!mp map 3870932 0</v>
      </c>
      <c r="P9" s="251" t="str">
        <f>IFERROR(__xludf.DUMMYFUNCTION("""COMPUTED_VALUE"""),"!mp mods NF")</f>
        <v>!mp mods NF</v>
      </c>
      <c r="Q9" s="19"/>
    </row>
    <row r="10" ht="18.75" customHeight="1">
      <c r="A10" s="19"/>
      <c r="B10" s="26"/>
      <c r="C10" s="266" t="str">
        <f>E2</f>
        <v>Tom and Jerry</v>
      </c>
      <c r="D10" s="267" t="s">
        <v>310</v>
      </c>
      <c r="E10" s="268" t="s">
        <v>304</v>
      </c>
      <c r="F10" s="20"/>
      <c r="G10" s="26"/>
      <c r="H10" s="244" t="s">
        <v>869</v>
      </c>
      <c r="I10" s="269" t="str">
        <f t="array" ref="I10:J10">IFNA(IF(VLOOKUP(I2,Schedules,{7,8},0)="",,"!mp addref "&amp;VLOOKUP(I2,Schedules,{7,8},0)),"")</f>
        <v>!mp addref BCraftMG</v>
      </c>
      <c r="J10" s="269" t="s">
        <v>927</v>
      </c>
      <c r="K10" s="270"/>
      <c r="L10" s="20"/>
      <c r="M10" s="26"/>
      <c r="N10" s="250" t="str">
        <f>IFERROR(__xludf.DUMMYFUNCTION("""COMPUTED_VALUE"""),"HD1: DJ S3RL - T-T-Techno (feat. Jesskah) [fanzhen's X-Tra]")</f>
        <v>HD1: DJ S3RL - T-T-Techno (feat. Jesskah) [fanzhen's X-Tra]</v>
      </c>
      <c r="O10" s="251" t="str">
        <f>IFERROR(__xludf.DUMMYFUNCTION("""COMPUTED_VALUE"""),"!mp map 571620 0")</f>
        <v>!mp map 571620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aespect</v>
      </c>
      <c r="J11" s="272" t="s">
        <v>923</v>
      </c>
      <c r="K11" s="273"/>
      <c r="L11" s="20"/>
      <c r="M11" s="26"/>
      <c r="N11" s="250" t="str">
        <f>IFERROR(__xludf.DUMMYFUNCTION("""COMPUTED_VALUE"""),"HD2: capsule - A.I. automatic infection [Insane]")</f>
        <v>HD2: capsule - A.I. automatic infection [Insane]</v>
      </c>
      <c r="O11" s="251" t="str">
        <f>IFERROR(__xludf.DUMMYFUNCTION("""COMPUTED_VALUE"""),"!mp map 3563737 0")</f>
        <v>!mp map 3563737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Kudou Chitose - CHO-DARI- [EX]")</f>
        <v>HD3: Kudou Chitose - CHO-DARI- [EX]</v>
      </c>
      <c r="O12" s="251" t="str">
        <f>IFERROR(__xludf.DUMMYFUNCTION("""COMPUTED_VALUE"""),"!mp map 2751338 0")</f>
        <v>!mp map 2751338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BAND-MAID - I can't live without you. [Insane]")</f>
        <v>HR1: BAND-MAID - I can't live without you. [Insane]</v>
      </c>
      <c r="O13" s="251" t="str">
        <f>IFERROR(__xludf.DUMMYFUNCTION("""COMPUTED_VALUE"""),"!mp map 2288966 0")</f>
        <v>!mp map 2288966 0</v>
      </c>
      <c r="P13" s="251" t="str">
        <f>IFERROR(__xludf.DUMMYFUNCTION("""COMPUTED_VALUE"""),"!mp mods HR NF")</f>
        <v>!mp mods HR NF</v>
      </c>
      <c r="Q13" s="19"/>
    </row>
    <row r="14" ht="18.75" customHeight="1">
      <c r="A14" s="19"/>
      <c r="B14" s="26"/>
      <c r="C14" s="36" t="str">
        <f t="array" ref="C14:C26">IF(D11="",,{IF(MOD(SEQUENCE(D3-1,1),2)=1,IF(D11="Red","Red","Blue"),IF(D11="Red","Blue","Red"));"Tiebreaker"})</f>
        <v>Blue</v>
      </c>
      <c r="D14" s="263" t="s">
        <v>316</v>
      </c>
      <c r="E14" s="31" t="s">
        <v>893</v>
      </c>
      <c r="F14" s="20"/>
      <c r="G14" s="26"/>
      <c r="H14" s="278" t="s">
        <v>878</v>
      </c>
      <c r="I14" s="260" t="s">
        <v>879</v>
      </c>
      <c r="J14" s="260" t="s">
        <v>880</v>
      </c>
      <c r="K14" s="261"/>
      <c r="L14" s="20"/>
      <c r="M14" s="26"/>
      <c r="N14" s="250" t="str">
        <f>IFERROR(__xludf.DUMMYFUNCTION("""COMPUTED_VALUE"""),"HR2: Sta &amp; Feryquitous - 2 Minutes Euphoria [Pata-Mon's Insane]")</f>
        <v>HR2: Sta &amp; Feryquitous - 2 Minutes Euphoria [Pata-Mon's Insane]</v>
      </c>
      <c r="O14" s="251" t="str">
        <f>IFERROR(__xludf.DUMMYFUNCTION("""COMPUTED_VALUE"""),"!mp map 2691754 0")</f>
        <v>!mp map 2691754 0</v>
      </c>
      <c r="P14" s="251" t="str">
        <f>IFERROR(__xludf.DUMMYFUNCTION("""COMPUTED_VALUE"""),"!mp mods HR NF")</f>
        <v>!mp mods HR NF</v>
      </c>
      <c r="Q14" s="19"/>
    </row>
    <row r="15" ht="18.75" customHeight="1">
      <c r="A15" s="19"/>
      <c r="B15" s="26"/>
      <c r="C15" s="36" t="s">
        <v>893</v>
      </c>
      <c r="D15" s="263" t="s">
        <v>345</v>
      </c>
      <c r="E15" s="31" t="s">
        <v>893</v>
      </c>
      <c r="F15" s="20"/>
      <c r="G15" s="20"/>
      <c r="H15" s="20"/>
      <c r="I15" s="20"/>
      <c r="J15" s="20"/>
      <c r="K15" s="20"/>
      <c r="L15" s="20"/>
      <c r="M15" s="26"/>
      <c r="N15" s="250" t="str">
        <f>IFERROR(__xludf.DUMMYFUNCTION("""COMPUTED_VALUE"""),"HR3: Eagle - S!ck [Down's Insane]")</f>
        <v>HR3: Eagle - S!ck [Down's Insane]</v>
      </c>
      <c r="O15" s="251" t="str">
        <f>IFERROR(__xludf.DUMMYFUNCTION("""COMPUTED_VALUE"""),"!mp map 2856139 0")</f>
        <v>!mp map 2856139 0</v>
      </c>
      <c r="P15" s="251" t="str">
        <f>IFERROR(__xludf.DUMMYFUNCTION("""COMPUTED_VALUE"""),"!mp mods HR NF")</f>
        <v>!mp mods HR NF</v>
      </c>
      <c r="Q15" s="19"/>
    </row>
    <row r="16" ht="18.75" customHeight="1">
      <c r="A16" s="19"/>
      <c r="B16" s="26"/>
      <c r="C16" s="36" t="s">
        <v>891</v>
      </c>
      <c r="D16" s="263" t="s">
        <v>328</v>
      </c>
      <c r="E16" s="31" t="s">
        <v>893</v>
      </c>
      <c r="F16" s="20"/>
      <c r="G16" s="21" t="s">
        <v>881</v>
      </c>
      <c r="H16" s="279" t="s">
        <v>882</v>
      </c>
      <c r="I16" s="280">
        <f>VLOOKUP(O2,MappoolSettings,3,0)</f>
        <v>2</v>
      </c>
      <c r="K16" s="281"/>
      <c r="L16" s="20"/>
      <c r="M16" s="26"/>
      <c r="N16" s="250" t="str">
        <f>IFERROR(__xludf.DUMMYFUNCTION("""COMPUTED_VALUE"""),"DT1: Komine Lisa - Resuscitated Hope [Insane]")</f>
        <v>DT1: Komine Lisa - Resuscitated Hope [Insane]</v>
      </c>
      <c r="O16" s="251" t="str">
        <f>IFERROR(__xludf.DUMMYFUNCTION("""COMPUTED_VALUE"""),"!mp map 765880 0")</f>
        <v>!mp map 765880 0</v>
      </c>
      <c r="P16" s="251" t="str">
        <f>IFERROR(__xludf.DUMMYFUNCTION("""COMPUTED_VALUE"""),"!mp mods DT NF")</f>
        <v>!mp mods DT NF</v>
      </c>
      <c r="Q16" s="19"/>
    </row>
    <row r="17" ht="18.75" customHeight="1">
      <c r="A17" s="19"/>
      <c r="B17" s="26"/>
      <c r="C17" s="36" t="s">
        <v>893</v>
      </c>
      <c r="D17" s="263" t="s">
        <v>335</v>
      </c>
      <c r="E17" s="31" t="s">
        <v>893</v>
      </c>
      <c r="F17" s="20"/>
      <c r="G17" s="26"/>
      <c r="H17" s="282" t="s">
        <v>883</v>
      </c>
      <c r="I17" s="283" t="str">
        <f>ForumPostLink</f>
        <v>https://osu.ppy.sh/community/forums/topics/1790898?n=1?</v>
      </c>
      <c r="L17" s="20"/>
      <c r="M17" s="26"/>
      <c r="N17" s="250" t="str">
        <f>IFERROR(__xludf.DUMMYFUNCTION("""COMPUTED_VALUE"""),"DT2: Memme - NEW Astronomas [Priti's Hyper]")</f>
        <v>DT2: Memme - NEW Astronomas [Priti's Hyper]</v>
      </c>
      <c r="O17" s="251" t="str">
        <f>IFERROR(__xludf.DUMMYFUNCTION("""COMPUTED_VALUE"""),"!mp map 345642 0")</f>
        <v>!mp map 345642 0</v>
      </c>
      <c r="P17" s="251" t="str">
        <f>IFERROR(__xludf.DUMMYFUNCTION("""COMPUTED_VALUE"""),"!mp mods DT NF")</f>
        <v>!mp mods DT NF</v>
      </c>
      <c r="Q17" s="19"/>
    </row>
    <row r="18" ht="18.75" customHeight="1">
      <c r="A18" s="19"/>
      <c r="B18" s="26"/>
      <c r="C18" s="36" t="s">
        <v>891</v>
      </c>
      <c r="D18" s="263" t="s">
        <v>295</v>
      </c>
      <c r="E18" s="31" t="s">
        <v>893</v>
      </c>
      <c r="F18" s="20"/>
      <c r="G18" s="26"/>
      <c r="H18" s="282" t="s">
        <v>884</v>
      </c>
      <c r="I18" s="283" t="str">
        <f>MainSheetLink</f>
        <v>https://docs.google.com/spreadsheets/d/1u1R-0YeX71qksHP7hWq8QkjcpECX-9LSvskalZ8hxdg/edit?usp=sharing</v>
      </c>
      <c r="L18" s="20"/>
      <c r="M18" s="26"/>
      <c r="N18" s="250" t="str">
        <f>IFERROR(__xludf.DUMMYFUNCTION("""COMPUTED_VALUE"""),"DT3: Camellia - Compute It With Some Devilish Alcoholic Steampunk Engines [F4UZ4N's Hard]")</f>
        <v>DT3: Camellia - Compute It With Some Devilish Alcoholic Steampunk Engines [F4UZ4N's Hard]</v>
      </c>
      <c r="O18" s="251" t="str">
        <f>IFERROR(__xludf.DUMMYFUNCTION("""COMPUTED_VALUE"""),"!mp map 2671858 0")</f>
        <v>!mp map 2671858 0</v>
      </c>
      <c r="P18" s="251" t="str">
        <f>IFERROR(__xludf.DUMMYFUNCTION("""COMPUTED_VALUE"""),"!mp mods DT NF")</f>
        <v>!mp mods DT NF</v>
      </c>
      <c r="Q18" s="19"/>
    </row>
    <row r="19" ht="18.75" customHeight="1">
      <c r="A19" s="19"/>
      <c r="B19" s="26"/>
      <c r="C19" s="36" t="s">
        <v>893</v>
      </c>
      <c r="D19" s="263" t="s">
        <v>301</v>
      </c>
      <c r="E19" s="31" t="s">
        <v>893</v>
      </c>
      <c r="F19" s="20"/>
      <c r="G19" s="26"/>
      <c r="H19" s="282" t="s">
        <v>885</v>
      </c>
      <c r="I19" s="284" t="str">
        <f>"Forfeit: "&amp;IF(NoShow2="","Never",NoShow2&amp;"mins")</f>
        <v>Forfeit: 15mins</v>
      </c>
      <c r="J19" s="285"/>
      <c r="K19" s="286"/>
      <c r="L19" s="20"/>
      <c r="M19" s="26"/>
      <c r="N19" s="250" t="str">
        <f>IFERROR(__xludf.DUMMYFUNCTION("""COMPUTED_VALUE"""),"DT4: KOTOKO - Princess Bride! (Cut Ver.) [Hard]")</f>
        <v>DT4: KOTOKO - Princess Bride! (Cut Ver.) [Hard]</v>
      </c>
      <c r="O19" s="251" t="str">
        <f>IFERROR(__xludf.DUMMYFUNCTION("""COMPUTED_VALUE"""),"!mp map 4150885 0")</f>
        <v>!mp map 4150885 0</v>
      </c>
      <c r="P19" s="251" t="str">
        <f>IFERROR(__xludf.DUMMYFUNCTION("""COMPUTED_VALUE"""),"!mp mods DT NF")</f>
        <v>!mp mods DT NF</v>
      </c>
      <c r="Q19" s="19"/>
    </row>
    <row r="20" ht="18.75" customHeight="1">
      <c r="A20" s="19"/>
      <c r="B20" s="26"/>
      <c r="C20" s="36" t="s">
        <v>891</v>
      </c>
      <c r="D20" s="263" t="s">
        <v>289</v>
      </c>
      <c r="E20" s="31" t="s">
        <v>891</v>
      </c>
      <c r="F20" s="20"/>
      <c r="G20" s="26"/>
      <c r="H20" s="287" t="s">
        <v>56</v>
      </c>
      <c r="I20" s="288" t="s">
        <v>57</v>
      </c>
      <c r="L20" s="20"/>
      <c r="M20" s="26"/>
      <c r="N20" s="49" t="str">
        <f>IFERROR(__xludf.DUMMYFUNCTION("""COMPUTED_VALUE"""),"FM1: Kenshi Yonezu - KICK BACK [STOMPMARK'S INSANE]")</f>
        <v>FM1: Kenshi Yonezu - KICK BACK [STOMPMARK'S INSANE]</v>
      </c>
      <c r="O20" s="289" t="str">
        <f>IFERROR(__xludf.DUMMYFUNCTION("""COMPUTED_VALUE"""),"!mp map 4197268 0")</f>
        <v>!mp map 4197268 0</v>
      </c>
      <c r="P20" s="289" t="str">
        <f>IFERROR(__xludf.DUMMYFUNCTION("""COMPUTED_VALUE"""),"!mp mods Freemod")</f>
        <v>!mp mods Freemod</v>
      </c>
      <c r="Q20" s="19"/>
    </row>
    <row r="21" ht="18.75" customHeight="1">
      <c r="A21" s="19"/>
      <c r="B21" s="26"/>
      <c r="C21" s="36" t="s">
        <v>893</v>
      </c>
      <c r="D21" s="263" t="s">
        <v>313</v>
      </c>
      <c r="E21" s="31" t="s">
        <v>891</v>
      </c>
      <c r="F21" s="20"/>
      <c r="G21" s="26"/>
      <c r="H21" s="287" t="s">
        <v>58</v>
      </c>
      <c r="I21" s="290" t="s">
        <v>886</v>
      </c>
      <c r="L21" s="20"/>
      <c r="M21" s="26"/>
      <c r="N21" s="49" t="str">
        <f>IFERROR(__xludf.DUMMYFUNCTION("""COMPUTED_VALUE"""),"FM2: Memme - Extreme Fantasy [Insane]")</f>
        <v>FM2: Memme - Extreme Fantasy [Insane]</v>
      </c>
      <c r="O21" s="289" t="str">
        <f>IFERROR(__xludf.DUMMYFUNCTION("""COMPUTED_VALUE"""),"!mp map 192181 0")</f>
        <v>!mp map 192181 0</v>
      </c>
      <c r="P21" s="289" t="str">
        <f>IFERROR(__xludf.DUMMYFUNCTION("""COMPUTED_VALUE"""),"!mp mods Freemod")</f>
        <v>!mp mods Freemod</v>
      </c>
      <c r="Q21" s="19"/>
    </row>
    <row r="22" ht="18.75" customHeight="1">
      <c r="A22" s="19"/>
      <c r="B22" s="26"/>
      <c r="C22" s="36" t="s">
        <v>891</v>
      </c>
      <c r="D22" s="263" t="s">
        <v>331</v>
      </c>
      <c r="E22" s="31" t="s">
        <v>893</v>
      </c>
      <c r="F22" s="20"/>
      <c r="G22" s="26"/>
      <c r="H22" s="287" t="s">
        <v>887</v>
      </c>
      <c r="I22" s="48" t="s">
        <v>888</v>
      </c>
      <c r="K22" s="291"/>
      <c r="L22" s="20"/>
      <c r="M22" s="26"/>
      <c r="N22" s="49" t="str">
        <f>IFERROR(__xludf.DUMMYFUNCTION("""COMPUTED_VALUE"""),"FM3: Mysteka - Hesperos [Mayu's Insane]")</f>
        <v>FM3: Mysteka - Hesperos [Mayu's Insane]</v>
      </c>
      <c r="O22" s="289" t="str">
        <f>IFERROR(__xludf.DUMMYFUNCTION("""COMPUTED_VALUE"""),"!mp map 3499229 0")</f>
        <v>!mp map 3499229 0</v>
      </c>
      <c r="P22" s="289" t="str">
        <f>IFERROR(__xludf.DUMMYFUNCTION("""COMPUTED_VALUE"""),"!mp mods Freemod")</f>
        <v>!mp mods Freemod</v>
      </c>
      <c r="Q22" s="19"/>
    </row>
    <row r="23" ht="18.75" customHeight="1">
      <c r="A23" s="19"/>
      <c r="B23" s="26"/>
      <c r="C23" s="36" t="s">
        <v>893</v>
      </c>
      <c r="D23" s="292"/>
      <c r="E23" s="36"/>
      <c r="F23" s="20"/>
      <c r="G23" s="26"/>
      <c r="H23" s="287" t="s">
        <v>889</v>
      </c>
      <c r="I23" s="48" t="s">
        <v>888</v>
      </c>
      <c r="K23" s="86"/>
      <c r="L23" s="20"/>
      <c r="M23" s="26"/>
      <c r="N23" s="49" t="str">
        <f>IFERROR(__xludf.DUMMYFUNCTION("""COMPUTED_VALUE"""),"TB1: Pendulum - Hold Your Colour [Iridescence]")</f>
        <v>TB1: Pendulum - Hold Your Colour [Iridescence]</v>
      </c>
      <c r="O23" s="289" t="str">
        <f>IFERROR(__xludf.DUMMYFUNCTION("""COMPUTED_VALUE"""),"!mp map 1485947 0")</f>
        <v>!mp map 1485947 0</v>
      </c>
      <c r="P23" s="289" t="str">
        <f>IFERROR(__xludf.DUMMYFUNCTION("""COMPUTED_VALUE"""),"!mp mods Freemod")</f>
        <v>!mp mods Freemod</v>
      </c>
      <c r="Q23" s="19"/>
    </row>
    <row r="24" ht="18.75" customHeight="1">
      <c r="A24" s="19"/>
      <c r="B24" s="26"/>
      <c r="C24" s="36" t="s">
        <v>891</v>
      </c>
      <c r="D24" s="292"/>
      <c r="E24" s="36"/>
      <c r="F24" s="20"/>
      <c r="G24" s="20"/>
      <c r="H24" s="20"/>
      <c r="I24" s="20"/>
      <c r="J24" s="20"/>
      <c r="K24" s="20"/>
      <c r="L24" s="20"/>
      <c r="M24" s="26"/>
      <c r="N24" s="49"/>
      <c r="O24" s="289"/>
      <c r="P24" s="289"/>
      <c r="Q24" s="19"/>
    </row>
    <row r="25" ht="18.75" customHeight="1">
      <c r="A25" s="19"/>
      <c r="B25" s="26"/>
      <c r="C25" s="36" t="s">
        <v>893</v>
      </c>
      <c r="D25" s="292"/>
      <c r="E25" s="36"/>
      <c r="F25" s="20"/>
      <c r="G25" s="293" t="s">
        <v>890</v>
      </c>
      <c r="H25" s="294" t="str">
        <f t="array" ref="H25:K25">IF(Format="Solo",C2,IFNA(VLOOKUP(C2,TeamList,SEQUENCE(1,4,1),0),""))</f>
        <v>female ass wrestling</v>
      </c>
      <c r="I25" s="295" t="s">
        <v>746</v>
      </c>
      <c r="J25" s="294" t="s">
        <v>747</v>
      </c>
      <c r="K25" s="294" t="s">
        <v>748</v>
      </c>
      <c r="L25" s="38"/>
      <c r="M25" s="26"/>
      <c r="N25" s="49"/>
      <c r="O25" s="289"/>
      <c r="P25" s="289"/>
      <c r="Q25" s="19"/>
    </row>
    <row r="26" ht="18.75" customHeight="1">
      <c r="A26" s="19"/>
      <c r="B26" s="26"/>
      <c r="C26" s="36" t="s">
        <v>894</v>
      </c>
      <c r="D26" s="292"/>
      <c r="E26" s="36"/>
      <c r="F26" s="20"/>
      <c r="G26" s="26"/>
      <c r="H26" s="296" t="str">
        <f t="array" ref="H26:K26">IF(Format="Solo",E2,IFNA(VLOOKUP(E2,TeamList,SEQUENCE(1,4,1),0),""))</f>
        <v>Tom and Jerry</v>
      </c>
      <c r="I26" s="297" t="s">
        <v>794</v>
      </c>
      <c r="J26" s="296" t="s">
        <v>795</v>
      </c>
      <c r="K26" s="296"/>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 r:id="rId20" ref="N22"/>
    <hyperlink r:id="rId21" ref="N23"/>
  </hyperlinks>
  <drawing r:id="rId22"/>
  <legacyDrawing r:id="rId2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match in 15</v>
      </c>
      <c r="D2" s="235" t="s">
        <v>854</v>
      </c>
      <c r="E2" s="236" t="str">
        <f>IFNA(VLOOKUP(I2,Schedules,5,0),"")</f>
        <v>Homossexual Students</v>
      </c>
      <c r="F2" s="20"/>
      <c r="G2" s="21" t="s">
        <v>855</v>
      </c>
      <c r="H2" s="237" t="s">
        <v>856</v>
      </c>
      <c r="I2" s="238">
        <v>58.0</v>
      </c>
      <c r="K2" s="238"/>
      <c r="L2" s="20"/>
      <c r="M2" s="21" t="s">
        <v>857</v>
      </c>
      <c r="N2" s="239" t="s">
        <v>25</v>
      </c>
      <c r="O2" s="240" t="s">
        <v>39</v>
      </c>
      <c r="P2" s="4"/>
      <c r="Q2" s="19"/>
    </row>
    <row r="3" ht="18.75" customHeight="1">
      <c r="A3" s="19"/>
      <c r="B3" s="26"/>
      <c r="C3" s="241">
        <f>IF(D6="Blue",-1,COUNTIF(E14:E26,"Red"))</f>
        <v>2</v>
      </c>
      <c r="D3" s="242">
        <f>VLOOKUP(O2,MappoolSettings,2,0)</f>
        <v>13</v>
      </c>
      <c r="E3" s="243">
        <f>IF(D6="Red",-1,COUNTIF(E14:E26,"Blue"))</f>
        <v>7</v>
      </c>
      <c r="F3" s="20"/>
      <c r="G3" s="26"/>
      <c r="H3" s="244" t="s">
        <v>456</v>
      </c>
      <c r="I3" s="35" t="s">
        <v>616</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)"),"**Finals: Match 58**
&lt;https://osu.ppy.sh/community/matches/110484639&gt;
:red_square: match in 15 | 2 : 7 | Homossexual Students :blue_square:
match in 15 bans | HD2 NM2
Homossexual Students bans | HR2 FM2
First pick | Homossexual Students
:blue_square: "&amp;"| NM5: Prim - Koisuru*Uchuu Sensou!! [Another 220BPM]
:red_square: | HR1: BAND-MAID - I can't live without you. [Insane]
:blue_square: | NM3: Ryokuoushoku Shakai - Zutto Zutto Zutto [Kloyd's Expert]
:red_square: | NM6: Kikuo - Yousei no Kiri [Insane]
:blu"&amp;"e_square: | HD1: DJ S3RL - T-T-Techno (feat. Jesskah) [fanzhen's X-Tra]
:blue_square: | FM3: Mysteka - Hesperos [Mayu's Insane]
:blue_square: | NM1: Camellia - Racemization [extreme]
:blue_square: | DT2: Memme - NEW Astronomas [Priti's Hyper]
:blue_square"&amp;": | HD3: Kudou Chitose - CHO-DARI- [EX]")</f>
        <v>**Finals: Match 58**
&lt;https://osu.ppy.sh/community/matches/110484639&gt;
:red_square: match in 15 | 2 : 7 | Homossexual Students :blue_square:
match in 15 bans | HD2 NM2
Homossexual Students bans | HR2 FM2
First pick | Homossexual Students
:blue_square: | NM5: Prim - Koisuru*Uchuu Sensou!! [Another 220BPM]
:red_square: | HR1: BAND-MAID - I can't live without you. [Insane]
:blue_square: | NM3: Ryokuoushoku Shakai - Zutto Zutto Zutto [Kloyd's Expert]
:red_square: | NM6: Kikuo - Yousei no Kiri [Insane]
:blue_square: | HD1: DJ S3RL - T-T-Techno (feat. Jesskah) [fanzhen's X-Tra]
:blue_square: | FM3: Mysteka - Hesperos [Mayu's Insane]
:blue_square: | NM1: Camellia - Racemization [extreme]
:blue_square: | DT2: Memme - NEW Astronomas [Priti's Hyper]
:blue_square: | HD3: Kudou Chitose - CHO-DARI- [EX]</v>
      </c>
      <c r="E4" s="248"/>
      <c r="F4" s="20"/>
      <c r="G4" s="26"/>
      <c r="H4" s="237" t="s">
        <v>452</v>
      </c>
      <c r="I4" s="238" t="s">
        <v>516</v>
      </c>
      <c r="K4" s="249"/>
      <c r="L4" s="20"/>
      <c r="M4" s="26"/>
      <c r="N4" s="250" t="str">
        <f>IFERROR(__xludf.DUMMYFUNCTION("IF(O2="""",,ARRAY_CONSTRAIN(FILTER(Maps,Mappools!B4:B27=O2),25,3))"),"NM1: Camellia - Racemization [extreme]")</f>
        <v>NM1: Camellia - Racemization [extreme]</v>
      </c>
      <c r="O4" s="251" t="str">
        <f>IFERROR(__xludf.DUMMYFUNCTION("""COMPUTED_VALUE"""),"!mp map 2198934 0")</f>
        <v>!mp map 2198934 0</v>
      </c>
      <c r="P4" s="251" t="str">
        <f>IFERROR(__xludf.DUMMYFUNCTION("""COMPUTED_VALUE"""),"!mp mods NF")</f>
        <v>!mp mods NF</v>
      </c>
      <c r="Q4" s="19"/>
    </row>
    <row r="5" ht="18.75" customHeight="1">
      <c r="A5" s="19"/>
      <c r="B5" s="26"/>
      <c r="C5" s="246" t="s">
        <v>859</v>
      </c>
      <c r="D5" s="252" t="str">
        <f t="array" ref="D5:E5">IFERROR(VLOOKUP(INDEX($D$14:$D$26,COUNTA($D$14:$D$26)),$N$4:$P$26,{2,3},0),"")</f>
        <v>!mp map 2751338 0</v>
      </c>
      <c r="E5" s="253" t="s">
        <v>91</v>
      </c>
      <c r="F5" s="20"/>
      <c r="G5" s="26"/>
      <c r="H5" s="237" t="s">
        <v>860</v>
      </c>
      <c r="I5" s="254">
        <f t="array" ref="I5">IFNA(SUM(VLOOKUP(I2,Schedules,{2,3},0)),"")</f>
        <v>45185.66667</v>
      </c>
      <c r="K5" s="254"/>
      <c r="L5" s="20"/>
      <c r="M5" s="26"/>
      <c r="N5" s="250" t="str">
        <f>IFERROR(__xludf.DUMMYFUNCTION("""COMPUTED_VALUE"""),"NM2: vierre cloud - moment [astronic's another]")</f>
        <v>NM2: vierre cloud - moment [astronic's another]</v>
      </c>
      <c r="O5" s="251" t="str">
        <f>IFERROR(__xludf.DUMMYFUNCTION("""COMPUTED_VALUE"""),"!mp map 3010348 0")</f>
        <v>!mp map 3010348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Ryokuoushoku Shakai - Zutto Zutto Zutto [Kloyd's Expert]")</f>
        <v>NM3: Ryokuoushoku Shakai - Zutto Zutto Zutto [Kloyd's Expert]</v>
      </c>
      <c r="O6" s="251" t="str">
        <f>IFERROR(__xludf.DUMMYFUNCTION("""COMPUTED_VALUE"""),"!mp map 3774971 0")</f>
        <v>!mp map 3774971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(match in 15) vs (Homossexual Students)</v>
      </c>
      <c r="L7" s="20"/>
      <c r="M7" s="26"/>
      <c r="N7" s="250" t="str">
        <f>IFERROR(__xludf.DUMMYFUNCTION("""COMPUTED_VALUE"""),"NM4: USAO - Gruequix [Expert]")</f>
        <v>NM4: USAO - Gruequix [Expert]</v>
      </c>
      <c r="O7" s="251" t="str">
        <f>IFERROR(__xludf.DUMMYFUNCTION("""COMPUTED_VALUE"""),"!mp map 3802110 0")</f>
        <v>!mp map 3802110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Prim - Koisuru*Uchuu Sensou!! [Another 220BPM]")</f>
        <v>NM5: Prim - Koisuru*Uchuu Sensou!! [Another 220BPM]</v>
      </c>
      <c r="O8" s="251" t="str">
        <f>IFERROR(__xludf.DUMMYFUNCTION("""COMPUTED_VALUE"""),"!mp map 309900 0")</f>
        <v>!mp map 309900 0</v>
      </c>
      <c r="P8" s="251" t="str">
        <f>IFERROR(__xludf.DUMMYFUNCTION("""COMPUTED_VALUE"""),"!mp mods NF")</f>
        <v>!mp mods NF</v>
      </c>
      <c r="Q8" s="19"/>
    </row>
    <row r="9" ht="18.75" customHeight="1">
      <c r="A9" s="19"/>
      <c r="B9" s="26"/>
      <c r="C9" s="262" t="str">
        <f>C2</f>
        <v>match in 15</v>
      </c>
      <c r="D9" s="263" t="s">
        <v>310</v>
      </c>
      <c r="E9" s="238" t="s">
        <v>292</v>
      </c>
      <c r="F9" s="20"/>
      <c r="G9" s="26"/>
      <c r="H9" s="237" t="s">
        <v>13</v>
      </c>
      <c r="I9" s="264" t="s">
        <v>868</v>
      </c>
      <c r="K9" s="265"/>
      <c r="L9" s="20"/>
      <c r="M9" s="26"/>
      <c r="N9" s="250" t="str">
        <f>IFERROR(__xludf.DUMMYFUNCTION("""COMPUTED_VALUE"""),"NM6: Kikuo - Yousei no Kiri [Insane]")</f>
        <v>NM6: Kikuo - Yousei no Kiri [Insane]</v>
      </c>
      <c r="O9" s="251" t="str">
        <f>IFERROR(__xludf.DUMMYFUNCTION("""COMPUTED_VALUE"""),"!mp map 3870932 0")</f>
        <v>!mp map 3870932 0</v>
      </c>
      <c r="P9" s="251" t="str">
        <f>IFERROR(__xludf.DUMMYFUNCTION("""COMPUTED_VALUE"""),"!mp mods NF")</f>
        <v>!mp mods NF</v>
      </c>
      <c r="Q9" s="19"/>
    </row>
    <row r="10" ht="18.75" customHeight="1">
      <c r="A10" s="19"/>
      <c r="B10" s="26"/>
      <c r="C10" s="266" t="str">
        <f>E2</f>
        <v>Homossexual Students</v>
      </c>
      <c r="D10" s="267" t="s">
        <v>319</v>
      </c>
      <c r="E10" s="268" t="s">
        <v>341</v>
      </c>
      <c r="F10" s="20"/>
      <c r="G10" s="26"/>
      <c r="H10" s="244" t="s">
        <v>869</v>
      </c>
      <c r="I10" s="269" t="str">
        <f t="array" ref="I10:J10">IFNA(IF(VLOOKUP(I2,Schedules,{7,8},0)="",,"!mp addref "&amp;VLOOKUP(I2,Schedules,{7,8},0)),"")</f>
        <v/>
      </c>
      <c r="J10" s="269"/>
      <c r="K10" s="270"/>
      <c r="L10" s="20"/>
      <c r="M10" s="26"/>
      <c r="N10" s="250" t="str">
        <f>IFERROR(__xludf.DUMMYFUNCTION("""COMPUTED_VALUE"""),"HD1: DJ S3RL - T-T-Techno (feat. Jesskah) [fanzhen's X-Tra]")</f>
        <v>HD1: DJ S3RL - T-T-Techno (feat. Jesskah) [fanzhen's X-Tra]</v>
      </c>
      <c r="O10" s="251" t="str">
        <f>IFERROR(__xludf.DUMMYFUNCTION("""COMPUTED_VALUE"""),"!mp map 571620 0")</f>
        <v>!mp map 571620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X-ill</v>
      </c>
      <c r="J11" s="272" t="s">
        <v>928</v>
      </c>
      <c r="K11" s="273"/>
      <c r="L11" s="20"/>
      <c r="M11" s="26"/>
      <c r="N11" s="250" t="str">
        <f>IFERROR(__xludf.DUMMYFUNCTION("""COMPUTED_VALUE"""),"HD2: capsule - A.I. automatic infection [Insane]")</f>
        <v>HD2: capsule - A.I. automatic infection [Insane]</v>
      </c>
      <c r="O11" s="251" t="str">
        <f>IFERROR(__xludf.DUMMYFUNCTION("""COMPUTED_VALUE"""),"!mp map 3563737 0")</f>
        <v>!mp map 3563737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Kudou Chitose - CHO-DARI- [EX]")</f>
        <v>HD3: Kudou Chitose - CHO-DARI- [EX]</v>
      </c>
      <c r="O12" s="251" t="str">
        <f>IFERROR(__xludf.DUMMYFUNCTION("""COMPUTED_VALUE"""),"!mp map 2751338 0")</f>
        <v>!mp map 2751338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BAND-MAID - I can't live without you. [Insane]")</f>
        <v>HR1: BAND-MAID - I can't live without you. [Insane]</v>
      </c>
      <c r="O13" s="251" t="str">
        <f>IFERROR(__xludf.DUMMYFUNCTION("""COMPUTED_VALUE"""),"!mp map 2288966 0")</f>
        <v>!mp map 2288966 0</v>
      </c>
      <c r="P13" s="251" t="str">
        <f>IFERROR(__xludf.DUMMYFUNCTION("""COMPUTED_VALUE"""),"!mp mods HR NF")</f>
        <v>!mp mods HR NF</v>
      </c>
      <c r="Q13" s="19"/>
    </row>
    <row r="14" ht="18.75" customHeight="1">
      <c r="A14" s="19"/>
      <c r="B14" s="26"/>
      <c r="C14" s="36" t="str">
        <f t="array" ref="C14:C26">IF(D11="",,{IF(MOD(SEQUENCE(D3-1,1),2)=1,IF(D11="Red","Red","Blue"),IF(D11="Red","Blue","Red"));"Tiebreaker"})</f>
        <v>Blue</v>
      </c>
      <c r="D14" s="263" t="s">
        <v>301</v>
      </c>
      <c r="E14" s="31" t="s">
        <v>891</v>
      </c>
      <c r="F14" s="20"/>
      <c r="G14" s="26"/>
      <c r="H14" s="278" t="s">
        <v>878</v>
      </c>
      <c r="I14" s="260" t="s">
        <v>879</v>
      </c>
      <c r="J14" s="260" t="s">
        <v>880</v>
      </c>
      <c r="K14" s="261"/>
      <c r="L14" s="20"/>
      <c r="M14" s="26"/>
      <c r="N14" s="250" t="str">
        <f>IFERROR(__xludf.DUMMYFUNCTION("""COMPUTED_VALUE"""),"HR2: Sta &amp; Feryquitous - 2 Minutes Euphoria [Pata-Mon's Insane]")</f>
        <v>HR2: Sta &amp; Feryquitous - 2 Minutes Euphoria [Pata-Mon's Insane]</v>
      </c>
      <c r="O14" s="251" t="str">
        <f>IFERROR(__xludf.DUMMYFUNCTION("""COMPUTED_VALUE"""),"!mp map 2691754 0")</f>
        <v>!mp map 2691754 0</v>
      </c>
      <c r="P14" s="251" t="str">
        <f>IFERROR(__xludf.DUMMYFUNCTION("""COMPUTED_VALUE"""),"!mp mods HR NF")</f>
        <v>!mp mods HR NF</v>
      </c>
      <c r="Q14" s="19"/>
    </row>
    <row r="15" ht="18.75" customHeight="1">
      <c r="A15" s="19"/>
      <c r="B15" s="26"/>
      <c r="C15" s="36" t="s">
        <v>893</v>
      </c>
      <c r="D15" s="263" t="s">
        <v>316</v>
      </c>
      <c r="E15" s="31" t="s">
        <v>893</v>
      </c>
      <c r="F15" s="20"/>
      <c r="G15" s="20"/>
      <c r="H15" s="20"/>
      <c r="I15" s="20"/>
      <c r="J15" s="20"/>
      <c r="K15" s="20"/>
      <c r="L15" s="20"/>
      <c r="M15" s="26"/>
      <c r="N15" s="250" t="str">
        <f>IFERROR(__xludf.DUMMYFUNCTION("""COMPUTED_VALUE"""),"HR3: Eagle - S!ck [Down's Insane]")</f>
        <v>HR3: Eagle - S!ck [Down's Insane]</v>
      </c>
      <c r="O15" s="251" t="str">
        <f>IFERROR(__xludf.DUMMYFUNCTION("""COMPUTED_VALUE"""),"!mp map 2856139 0")</f>
        <v>!mp map 2856139 0</v>
      </c>
      <c r="P15" s="251" t="str">
        <f>IFERROR(__xludf.DUMMYFUNCTION("""COMPUTED_VALUE"""),"!mp mods HR NF")</f>
        <v>!mp mods HR NF</v>
      </c>
      <c r="Q15" s="19"/>
    </row>
    <row r="16" ht="18.75" customHeight="1">
      <c r="A16" s="19"/>
      <c r="B16" s="26"/>
      <c r="C16" s="36" t="s">
        <v>891</v>
      </c>
      <c r="D16" s="263" t="s">
        <v>295</v>
      </c>
      <c r="E16" s="31" t="s">
        <v>891</v>
      </c>
      <c r="F16" s="20"/>
      <c r="G16" s="21" t="s">
        <v>881</v>
      </c>
      <c r="H16" s="279" t="s">
        <v>882</v>
      </c>
      <c r="I16" s="280">
        <f>VLOOKUP(O2,MappoolSettings,3,0)</f>
        <v>2</v>
      </c>
      <c r="K16" s="281"/>
      <c r="L16" s="20"/>
      <c r="M16" s="26"/>
      <c r="N16" s="250" t="str">
        <f>IFERROR(__xludf.DUMMYFUNCTION("""COMPUTED_VALUE"""),"DT1: Komine Lisa - Resuscitated Hope [Insane]")</f>
        <v>DT1: Komine Lisa - Resuscitated Hope [Insane]</v>
      </c>
      <c r="O16" s="251" t="str">
        <f>IFERROR(__xludf.DUMMYFUNCTION("""COMPUTED_VALUE"""),"!mp map 765880 0")</f>
        <v>!mp map 765880 0</v>
      </c>
      <c r="P16" s="251" t="str">
        <f>IFERROR(__xludf.DUMMYFUNCTION("""COMPUTED_VALUE"""),"!mp mods DT NF")</f>
        <v>!mp mods DT NF</v>
      </c>
      <c r="Q16" s="19"/>
    </row>
    <row r="17" ht="18.75" customHeight="1">
      <c r="A17" s="19"/>
      <c r="B17" s="26"/>
      <c r="C17" s="36" t="s">
        <v>893</v>
      </c>
      <c r="D17" s="263" t="s">
        <v>304</v>
      </c>
      <c r="E17" s="31" t="s">
        <v>893</v>
      </c>
      <c r="F17" s="20"/>
      <c r="G17" s="26"/>
      <c r="H17" s="282" t="s">
        <v>883</v>
      </c>
      <c r="I17" s="283" t="str">
        <f>ForumPostLink</f>
        <v>https://osu.ppy.sh/community/forums/topics/1790898?n=1?</v>
      </c>
      <c r="L17" s="20"/>
      <c r="M17" s="26"/>
      <c r="N17" s="250" t="str">
        <f>IFERROR(__xludf.DUMMYFUNCTION("""COMPUTED_VALUE"""),"DT2: Memme - NEW Astronomas [Priti's Hyper]")</f>
        <v>DT2: Memme - NEW Astronomas [Priti's Hyper]</v>
      </c>
      <c r="O17" s="251" t="str">
        <f>IFERROR(__xludf.DUMMYFUNCTION("""COMPUTED_VALUE"""),"!mp map 345642 0")</f>
        <v>!mp map 345642 0</v>
      </c>
      <c r="P17" s="251" t="str">
        <f>IFERROR(__xludf.DUMMYFUNCTION("""COMPUTED_VALUE"""),"!mp mods DT NF")</f>
        <v>!mp mods DT NF</v>
      </c>
      <c r="Q17" s="19"/>
    </row>
    <row r="18" ht="18.75" customHeight="1">
      <c r="A18" s="19"/>
      <c r="B18" s="26"/>
      <c r="C18" s="36" t="s">
        <v>891</v>
      </c>
      <c r="D18" s="263" t="s">
        <v>307</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Camellia - Compute It With Some Devilish Alcoholic Steampunk Engines [F4UZ4N's Hard]")</f>
        <v>DT3: Camellia - Compute It With Some Devilish Alcoholic Steampunk Engines [F4UZ4N's Hard]</v>
      </c>
      <c r="O18" s="251" t="str">
        <f>IFERROR(__xludf.DUMMYFUNCTION("""COMPUTED_VALUE"""),"!mp map 2671858 0")</f>
        <v>!mp map 2671858 0</v>
      </c>
      <c r="P18" s="251" t="str">
        <f>IFERROR(__xludf.DUMMYFUNCTION("""COMPUTED_VALUE"""),"!mp mods DT NF")</f>
        <v>!mp mods DT NF</v>
      </c>
      <c r="Q18" s="19"/>
    </row>
    <row r="19" ht="18.75" customHeight="1">
      <c r="A19" s="19"/>
      <c r="B19" s="26"/>
      <c r="C19" s="36" t="s">
        <v>893</v>
      </c>
      <c r="D19" s="263" t="s">
        <v>345</v>
      </c>
      <c r="E19" s="31" t="s">
        <v>891</v>
      </c>
      <c r="F19" s="20"/>
      <c r="G19" s="26"/>
      <c r="H19" s="282" t="s">
        <v>885</v>
      </c>
      <c r="I19" s="284" t="str">
        <f>"Forfeit: "&amp;IF(NoShow2="","Never",NoShow2&amp;"mins")</f>
        <v>Forfeit: 15mins</v>
      </c>
      <c r="J19" s="285"/>
      <c r="K19" s="286"/>
      <c r="L19" s="20"/>
      <c r="M19" s="26"/>
      <c r="N19" s="250" t="str">
        <f>IFERROR(__xludf.DUMMYFUNCTION("""COMPUTED_VALUE"""),"DT4: KOTOKO - Princess Bride! (Cut Ver.) [Hard]")</f>
        <v>DT4: KOTOKO - Princess Bride! (Cut Ver.) [Hard]</v>
      </c>
      <c r="O19" s="251" t="str">
        <f>IFERROR(__xludf.DUMMYFUNCTION("""COMPUTED_VALUE"""),"!mp map 4150885 0")</f>
        <v>!mp map 4150885 0</v>
      </c>
      <c r="P19" s="251" t="str">
        <f>IFERROR(__xludf.DUMMYFUNCTION("""COMPUTED_VALUE"""),"!mp mods DT NF")</f>
        <v>!mp mods DT NF</v>
      </c>
      <c r="Q19" s="19"/>
    </row>
    <row r="20" ht="18.75" customHeight="1">
      <c r="A20" s="19"/>
      <c r="B20" s="26"/>
      <c r="C20" s="36" t="s">
        <v>891</v>
      </c>
      <c r="D20" s="263" t="s">
        <v>289</v>
      </c>
      <c r="E20" s="31" t="s">
        <v>891</v>
      </c>
      <c r="F20" s="20"/>
      <c r="G20" s="26"/>
      <c r="H20" s="287" t="s">
        <v>56</v>
      </c>
      <c r="I20" s="288" t="s">
        <v>57</v>
      </c>
      <c r="L20" s="20"/>
      <c r="M20" s="26"/>
      <c r="N20" s="49" t="str">
        <f>IFERROR(__xludf.DUMMYFUNCTION("""COMPUTED_VALUE"""),"FM1: Kenshi Yonezu - KICK BACK [STOMPMARK'S INSANE]")</f>
        <v>FM1: Kenshi Yonezu - KICK BACK [STOMPMARK'S INSANE]</v>
      </c>
      <c r="O20" s="289" t="str">
        <f>IFERROR(__xludf.DUMMYFUNCTION("""COMPUTED_VALUE"""),"!mp map 4197268 0")</f>
        <v>!mp map 4197268 0</v>
      </c>
      <c r="P20" s="289" t="str">
        <f>IFERROR(__xludf.DUMMYFUNCTION("""COMPUTED_VALUE"""),"!mp mods Freemod")</f>
        <v>!mp mods Freemod</v>
      </c>
      <c r="Q20" s="19"/>
    </row>
    <row r="21" ht="18.75" customHeight="1">
      <c r="A21" s="19"/>
      <c r="B21" s="26"/>
      <c r="C21" s="36" t="s">
        <v>893</v>
      </c>
      <c r="D21" s="263" t="s">
        <v>328</v>
      </c>
      <c r="E21" s="31" t="s">
        <v>891</v>
      </c>
      <c r="F21" s="20"/>
      <c r="G21" s="26"/>
      <c r="H21" s="287" t="s">
        <v>58</v>
      </c>
      <c r="I21" s="290" t="s">
        <v>886</v>
      </c>
      <c r="L21" s="20"/>
      <c r="M21" s="26"/>
      <c r="N21" s="49" t="str">
        <f>IFERROR(__xludf.DUMMYFUNCTION("""COMPUTED_VALUE"""),"FM2: Memme - Extreme Fantasy [Insane]")</f>
        <v>FM2: Memme - Extreme Fantasy [Insane]</v>
      </c>
      <c r="O21" s="289" t="str">
        <f>IFERROR(__xludf.DUMMYFUNCTION("""COMPUTED_VALUE"""),"!mp map 192181 0")</f>
        <v>!mp map 192181 0</v>
      </c>
      <c r="P21" s="289" t="str">
        <f>IFERROR(__xludf.DUMMYFUNCTION("""COMPUTED_VALUE"""),"!mp mods Freemod")</f>
        <v>!mp mods Freemod</v>
      </c>
      <c r="Q21" s="19"/>
    </row>
    <row r="22" ht="18.75" customHeight="1">
      <c r="A22" s="19"/>
      <c r="B22" s="26"/>
      <c r="C22" s="36" t="s">
        <v>891</v>
      </c>
      <c r="D22" s="263" t="s">
        <v>313</v>
      </c>
      <c r="E22" s="31" t="s">
        <v>891</v>
      </c>
      <c r="F22" s="20"/>
      <c r="G22" s="26"/>
      <c r="H22" s="287" t="s">
        <v>887</v>
      </c>
      <c r="I22" s="48" t="s">
        <v>888</v>
      </c>
      <c r="K22" s="291"/>
      <c r="L22" s="20"/>
      <c r="M22" s="26"/>
      <c r="N22" s="49" t="str">
        <f>IFERROR(__xludf.DUMMYFUNCTION("""COMPUTED_VALUE"""),"FM3: Mysteka - Hesperos [Mayu's Insane]")</f>
        <v>FM3: Mysteka - Hesperos [Mayu's Insane]</v>
      </c>
      <c r="O22" s="289" t="str">
        <f>IFERROR(__xludf.DUMMYFUNCTION("""COMPUTED_VALUE"""),"!mp map 3499229 0")</f>
        <v>!mp map 3499229 0</v>
      </c>
      <c r="P22" s="289" t="str">
        <f>IFERROR(__xludf.DUMMYFUNCTION("""COMPUTED_VALUE"""),"!mp mods Freemod")</f>
        <v>!mp mods Freemod</v>
      </c>
      <c r="Q22" s="19"/>
    </row>
    <row r="23" ht="18.75" customHeight="1">
      <c r="A23" s="19"/>
      <c r="B23" s="26"/>
      <c r="C23" s="36" t="s">
        <v>893</v>
      </c>
      <c r="D23" s="292"/>
      <c r="E23" s="36"/>
      <c r="F23" s="20"/>
      <c r="G23" s="26"/>
      <c r="H23" s="287" t="s">
        <v>889</v>
      </c>
      <c r="I23" s="48" t="s">
        <v>888</v>
      </c>
      <c r="K23" s="86"/>
      <c r="L23" s="20"/>
      <c r="M23" s="26"/>
      <c r="N23" s="49" t="str">
        <f>IFERROR(__xludf.DUMMYFUNCTION("""COMPUTED_VALUE"""),"TB1: Pendulum - Hold Your Colour [Iridescence]")</f>
        <v>TB1: Pendulum - Hold Your Colour [Iridescence]</v>
      </c>
      <c r="O23" s="289" t="str">
        <f>IFERROR(__xludf.DUMMYFUNCTION("""COMPUTED_VALUE"""),"!mp map 1485947 0")</f>
        <v>!mp map 1485947 0</v>
      </c>
      <c r="P23" s="289" t="str">
        <f>IFERROR(__xludf.DUMMYFUNCTION("""COMPUTED_VALUE"""),"!mp mods Freemod")</f>
        <v>!mp mods Freemod</v>
      </c>
      <c r="Q23" s="19"/>
    </row>
    <row r="24" ht="18.75" customHeight="1">
      <c r="A24" s="19"/>
      <c r="B24" s="26"/>
      <c r="C24" s="36" t="s">
        <v>891</v>
      </c>
      <c r="D24" s="292"/>
      <c r="E24" s="36"/>
      <c r="F24" s="20"/>
      <c r="G24" s="20"/>
      <c r="H24" s="20"/>
      <c r="I24" s="20"/>
      <c r="J24" s="20"/>
      <c r="K24" s="20"/>
      <c r="L24" s="20"/>
      <c r="M24" s="26"/>
      <c r="N24" s="49"/>
      <c r="O24" s="289"/>
      <c r="P24" s="289"/>
      <c r="Q24" s="19"/>
    </row>
    <row r="25" ht="18.75" customHeight="1">
      <c r="A25" s="19"/>
      <c r="B25" s="26"/>
      <c r="C25" s="36" t="s">
        <v>893</v>
      </c>
      <c r="D25" s="292"/>
      <c r="E25" s="36"/>
      <c r="F25" s="20"/>
      <c r="G25" s="293" t="s">
        <v>890</v>
      </c>
      <c r="H25" s="294" t="str">
        <f t="array" ref="H25:K25">IF(Format="Solo",C2,IFNA(VLOOKUP(C2,TeamList,SEQUENCE(1,4,1),0),""))</f>
        <v>match in 15</v>
      </c>
      <c r="I25" s="295" t="s">
        <v>737</v>
      </c>
      <c r="J25" s="294" t="s">
        <v>612</v>
      </c>
      <c r="K25" s="294" t="s">
        <v>738</v>
      </c>
      <c r="L25" s="38"/>
      <c r="M25" s="26"/>
      <c r="N25" s="49"/>
      <c r="O25" s="289"/>
      <c r="P25" s="289"/>
      <c r="Q25" s="19"/>
    </row>
    <row r="26" ht="18.75" customHeight="1">
      <c r="A26" s="19"/>
      <c r="B26" s="26"/>
      <c r="C26" s="36" t="s">
        <v>894</v>
      </c>
      <c r="D26" s="292"/>
      <c r="E26" s="36"/>
      <c r="F26" s="20"/>
      <c r="G26" s="26"/>
      <c r="H26" s="296" t="str">
        <f t="array" ref="H26:K26">IF(Format="Solo",E2,IFNA(VLOOKUP(E2,TeamList,SEQUENCE(1,4,1),0),""))</f>
        <v>Homossexual Students</v>
      </c>
      <c r="I26" s="297" t="s">
        <v>713</v>
      </c>
      <c r="J26" s="296" t="s">
        <v>714</v>
      </c>
      <c r="K26" s="296" t="s">
        <v>715</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 r:id="rId20" ref="N22"/>
    <hyperlink r:id="rId21" ref="N23"/>
  </hyperlinks>
  <drawing r:id="rId22"/>
  <legacyDrawing r:id="rId23"/>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Homossexual Students</v>
      </c>
      <c r="D2" s="235" t="s">
        <v>854</v>
      </c>
      <c r="E2" s="236" t="str">
        <f>IFNA(VLOOKUP(I2,Schedules,5,0),"")</f>
        <v>female ass wrestling</v>
      </c>
      <c r="F2" s="20"/>
      <c r="G2" s="21" t="s">
        <v>855</v>
      </c>
      <c r="H2" s="237" t="s">
        <v>856</v>
      </c>
      <c r="I2" s="238">
        <v>59.0</v>
      </c>
      <c r="K2" s="238"/>
      <c r="L2" s="20"/>
      <c r="M2" s="21" t="s">
        <v>857</v>
      </c>
      <c r="N2" s="239" t="s">
        <v>25</v>
      </c>
      <c r="O2" s="240" t="s">
        <v>39</v>
      </c>
      <c r="P2" s="4"/>
      <c r="Q2" s="19"/>
    </row>
    <row r="3" ht="18.75" customHeight="1">
      <c r="A3" s="19"/>
      <c r="B3" s="26"/>
      <c r="C3" s="241">
        <f>IF(D6="Blue",-1,COUNTIF(E14:E26,"Red"))</f>
        <v>7</v>
      </c>
      <c r="D3" s="242">
        <f>VLOOKUP(O2,MappoolSettings,2,0)</f>
        <v>13</v>
      </c>
      <c r="E3" s="243">
        <f>IF(D6="Red",-1,COUNTIF(E14:E26,"Blue"))</f>
        <v>5</v>
      </c>
      <c r="F3" s="20"/>
      <c r="G3" s="26"/>
      <c r="H3" s="244" t="s">
        <v>456</v>
      </c>
      <c r="I3" s="300" t="s">
        <v>621</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)"),"**Finals: Match 59**
&lt;https://osu.ppy.sh/community/matches/110507463&gt;
:red_square: Homossexual Students | 7 : 5 | female ass wrestling :blue_square:
Homossexual Students bans | HR1 NM6
female ass wrestling bans | HD1 DT2
First pick | female ass wrestli"&amp;"ng
:blue_square: | FM1: Kenshi Yonezu - KICK BACK [STOMPMARK'S INSANE]
:red_square: | NM5: Prim - Koisuru*Uchuu Sensou!! [Another 220BPM]
:red_square: | NM3: Ryokuoushoku Shakai - Zutto Zutto Zutto [Kloyd's Expert]
:red_square: | FM3: Mysteka - Hesperos "&amp;"[Mayu's Insane]
:blue_square: | DT4: KOTOKO - Princess Bride! (Cut Ver.) [Hard]
:blue_square: | HD3: Kudou Chitose - CHO-DARI- [EX]
:blue_square: | HR3: Eagle - S!ck [Down's Insane]
:red_square: | NM1: Camellia - Racemization [extreme]
:red_square: | DT3:"&amp;" Camellia - Compute It With Some Devilish Alcoholic Steampunk Engines [F4UZ4N's Hard]
:red_square: | NM2: vierre cloud - moment [astronic's another]
:blue_square: | HR2: Sta &amp; Feryquitous - 2 Minutes Euphoria [Pata-Mon's Insane]
:red_square: | DT1: Komine"&amp;" Lisa - Resuscitated Hope [Insane]")</f>
        <v>**Finals: Match 59**
&lt;https://osu.ppy.sh/community/matches/110507463&gt;
:red_square: Homossexual Students | 7 : 5 | female ass wrestling :blue_square:
Homossexual Students bans | HR1 NM6
female ass wrestling bans | HD1 DT2
First pick | female ass wrestling
:blue_square: | FM1: Kenshi Yonezu - KICK BACK [STOMPMARK'S INSANE]
:red_square: | NM5: Prim - Koisuru*Uchuu Sensou!! [Another 220BPM]
:red_square: | NM3: Ryokuoushoku Shakai - Zutto Zutto Zutto [Kloyd's Expert]
:red_square: | FM3: Mysteka - Hesperos [Mayu's Insane]
:blue_square: | DT4: KOTOKO - Princess Bride! (Cut Ver.) [Hard]
:blue_square: | HD3: Kudou Chitose - CHO-DARI- [EX]
:blue_square: | HR3: Eagle - S!ck [Down's Insane]
:red_square: | NM1: Camellia - Racemization [extreme]
:red_square: | DT3: Camellia - Compute It With Some Devilish Alcoholic Steampunk Engines [F4UZ4N's Hard]
:red_square: | NM2: vierre cloud - moment [astronic's another]
:blue_square: | HR2: Sta &amp; Feryquitous - 2 Minutes Euphoria [Pata-Mon's Insane]
:red_square: | DT1: Komine Lisa - Resuscitated Hope [Insane]</v>
      </c>
      <c r="E4" s="248"/>
      <c r="F4" s="20"/>
      <c r="G4" s="26"/>
      <c r="H4" s="237" t="s">
        <v>452</v>
      </c>
      <c r="I4" s="249" t="str">
        <f>IFNA(VLOOKUP(I2,Schedules,6,0),"")</f>
        <v>RudderFish07</v>
      </c>
      <c r="K4" s="249"/>
      <c r="L4" s="20"/>
      <c r="M4" s="26"/>
      <c r="N4" s="250" t="str">
        <f>IFERROR(__xludf.DUMMYFUNCTION("IF(O2="""",,ARRAY_CONSTRAIN(FILTER(Maps,Mappools!B4:B27=O2),25,3))"),"NM1: Camellia - Racemization [extreme]")</f>
        <v>NM1: Camellia - Racemization [extreme]</v>
      </c>
      <c r="O4" s="251" t="str">
        <f>IFERROR(__xludf.DUMMYFUNCTION("""COMPUTED_VALUE"""),"!mp map 2198934 0")</f>
        <v>!mp map 2198934 0</v>
      </c>
      <c r="P4" s="251" t="str">
        <f>IFERROR(__xludf.DUMMYFUNCTION("""COMPUTED_VALUE"""),"!mp mods NF")</f>
        <v>!mp mods NF</v>
      </c>
      <c r="Q4" s="19"/>
    </row>
    <row r="5" ht="18.75" customHeight="1">
      <c r="A5" s="19"/>
      <c r="B5" s="26"/>
      <c r="C5" s="246" t="s">
        <v>859</v>
      </c>
      <c r="D5" s="252" t="str">
        <f t="array" ref="D5:E5">IFERROR(VLOOKUP(INDEX($D$14:$D$26,COUNTA($D$14:$D$26)),$N$4:$P$26,{2,3},0),"")</f>
        <v>!mp map 765880 0</v>
      </c>
      <c r="E5" s="253" t="s">
        <v>109</v>
      </c>
      <c r="F5" s="20"/>
      <c r="G5" s="26"/>
      <c r="H5" s="237" t="s">
        <v>860</v>
      </c>
      <c r="I5" s="254">
        <f t="array" ref="I5">IFNA(SUM(VLOOKUP(I2,Schedules,{2,3},0)),"")</f>
        <v>45186.75</v>
      </c>
      <c r="K5" s="254"/>
      <c r="L5" s="20"/>
      <c r="M5" s="26"/>
      <c r="N5" s="250" t="str">
        <f>IFERROR(__xludf.DUMMYFUNCTION("""COMPUTED_VALUE"""),"NM2: vierre cloud - moment [astronic's another]")</f>
        <v>NM2: vierre cloud - moment [astronic's another]</v>
      </c>
      <c r="O5" s="251" t="str">
        <f>IFERROR(__xludf.DUMMYFUNCTION("""COMPUTED_VALUE"""),"!mp map 3010348 0")</f>
        <v>!mp map 3010348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Ryokuoushoku Shakai - Zutto Zutto Zutto [Kloyd's Expert]")</f>
        <v>NM3: Ryokuoushoku Shakai - Zutto Zutto Zutto [Kloyd's Expert]</v>
      </c>
      <c r="O6" s="251" t="str">
        <f>IFERROR(__xludf.DUMMYFUNCTION("""COMPUTED_VALUE"""),"!mp map 3774971 0")</f>
        <v>!mp map 3774971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(Homossexual Students) vs (female ass wrestling)</v>
      </c>
      <c r="L7" s="20"/>
      <c r="M7" s="26"/>
      <c r="N7" s="250" t="str">
        <f>IFERROR(__xludf.DUMMYFUNCTION("""COMPUTED_VALUE"""),"NM4: USAO - Gruequix [Expert]")</f>
        <v>NM4: USAO - Gruequix [Expert]</v>
      </c>
      <c r="O7" s="251" t="str">
        <f>IFERROR(__xludf.DUMMYFUNCTION("""COMPUTED_VALUE"""),"!mp map 3802110 0")</f>
        <v>!mp map 3802110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Prim - Koisuru*Uchuu Sensou!! [Another 220BPM]")</f>
        <v>NM5: Prim - Koisuru*Uchuu Sensou!! [Another 220BPM]</v>
      </c>
      <c r="O8" s="251" t="str">
        <f>IFERROR(__xludf.DUMMYFUNCTION("""COMPUTED_VALUE"""),"!mp map 309900 0")</f>
        <v>!mp map 309900 0</v>
      </c>
      <c r="P8" s="251" t="str">
        <f>IFERROR(__xludf.DUMMYFUNCTION("""COMPUTED_VALUE"""),"!mp mods NF")</f>
        <v>!mp mods NF</v>
      </c>
      <c r="Q8" s="19"/>
    </row>
    <row r="9" ht="18.75" customHeight="1">
      <c r="A9" s="19"/>
      <c r="B9" s="26"/>
      <c r="C9" s="262" t="str">
        <f>C2</f>
        <v>Homossexual Students</v>
      </c>
      <c r="D9" s="263" t="s">
        <v>316</v>
      </c>
      <c r="E9" s="238" t="s">
        <v>304</v>
      </c>
      <c r="F9" s="20"/>
      <c r="G9" s="26"/>
      <c r="H9" s="237" t="s">
        <v>13</v>
      </c>
      <c r="I9" s="264" t="s">
        <v>868</v>
      </c>
      <c r="K9" s="265"/>
      <c r="L9" s="20"/>
      <c r="M9" s="26"/>
      <c r="N9" s="250" t="str">
        <f>IFERROR(__xludf.DUMMYFUNCTION("""COMPUTED_VALUE"""),"NM6: Kikuo - Yousei no Kiri [Insane]")</f>
        <v>NM6: Kikuo - Yousei no Kiri [Insane]</v>
      </c>
      <c r="O9" s="251" t="str">
        <f>IFERROR(__xludf.DUMMYFUNCTION("""COMPUTED_VALUE"""),"!mp map 3870932 0")</f>
        <v>!mp map 3870932 0</v>
      </c>
      <c r="P9" s="251" t="str">
        <f>IFERROR(__xludf.DUMMYFUNCTION("""COMPUTED_VALUE"""),"!mp mods NF")</f>
        <v>!mp mods NF</v>
      </c>
      <c r="Q9" s="19"/>
    </row>
    <row r="10" ht="18.75" customHeight="1">
      <c r="A10" s="19"/>
      <c r="B10" s="26"/>
      <c r="C10" s="266" t="str">
        <f>E2</f>
        <v>female ass wrestling</v>
      </c>
      <c r="D10" s="267" t="s">
        <v>307</v>
      </c>
      <c r="E10" s="268" t="s">
        <v>328</v>
      </c>
      <c r="F10" s="20"/>
      <c r="G10" s="26"/>
      <c r="H10" s="244" t="s">
        <v>869</v>
      </c>
      <c r="I10" s="269" t="str">
        <f t="array" ref="I10:J10">IFNA(IF(VLOOKUP(I2,Schedules,{7,8},0)="",,"!mp addref "&amp;VLOOKUP(I2,Schedules,{7,8},0)),"")</f>
        <v/>
      </c>
      <c r="J10" s="269"/>
      <c r="K10" s="270"/>
      <c r="L10" s="20"/>
      <c r="M10" s="26"/>
      <c r="N10" s="250" t="str">
        <f>IFERROR(__xludf.DUMMYFUNCTION("""COMPUTED_VALUE"""),"HD1: DJ S3RL - T-T-Techno (feat. Jesskah) [fanzhen's X-Tra]")</f>
        <v>HD1: DJ S3RL - T-T-Techno (feat. Jesskah) [fanzhen's X-Tra]</v>
      </c>
      <c r="O10" s="251" t="str">
        <f>IFERROR(__xludf.DUMMYFUNCTION("""COMPUTED_VALUE"""),"!mp map 571620 0")</f>
        <v>!mp map 571620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DUM4L77</v>
      </c>
      <c r="J11" s="272" t="s">
        <v>922</v>
      </c>
      <c r="K11" s="273"/>
      <c r="L11" s="20"/>
      <c r="M11" s="26"/>
      <c r="N11" s="250" t="str">
        <f>IFERROR(__xludf.DUMMYFUNCTION("""COMPUTED_VALUE"""),"HD2: capsule - A.I. automatic infection [Insane]")</f>
        <v>HD2: capsule - A.I. automatic infection [Insane]</v>
      </c>
      <c r="O11" s="251" t="str">
        <f>IFERROR(__xludf.DUMMYFUNCTION("""COMPUTED_VALUE"""),"!mp map 3563737 0")</f>
        <v>!mp map 3563737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Kudou Chitose - CHO-DARI- [EX]")</f>
        <v>HD3: Kudou Chitose - CHO-DARI- [EX]</v>
      </c>
      <c r="O12" s="251" t="str">
        <f>IFERROR(__xludf.DUMMYFUNCTION("""COMPUTED_VALUE"""),"!mp map 2751338 0")</f>
        <v>!mp map 2751338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BAND-MAID - I can't live without you. [Insane]")</f>
        <v>HR1: BAND-MAID - I can't live without you. [Insane]</v>
      </c>
      <c r="O13" s="251" t="str">
        <f>IFERROR(__xludf.DUMMYFUNCTION("""COMPUTED_VALUE"""),"!mp map 2288966 0")</f>
        <v>!mp map 2288966 0</v>
      </c>
      <c r="P13" s="251" t="str">
        <f>IFERROR(__xludf.DUMMYFUNCTION("""COMPUTED_VALUE"""),"!mp mods HR NF")</f>
        <v>!mp mods HR NF</v>
      </c>
      <c r="Q13" s="19"/>
    </row>
    <row r="14" ht="18.75" customHeight="1">
      <c r="A14" s="19"/>
      <c r="B14" s="26"/>
      <c r="C14" s="36" t="str">
        <f t="array" ref="C14:C26">IF(D11="",,{IF(MOD(SEQUENCE(D3-1,1),2)=1,IF(D11="Red","Red","Blue"),IF(D11="Red","Blue","Red"));"Tiebreaker"})</f>
        <v>Blue</v>
      </c>
      <c r="D14" s="263" t="s">
        <v>338</v>
      </c>
      <c r="E14" s="31" t="s">
        <v>891</v>
      </c>
      <c r="F14" s="20"/>
      <c r="G14" s="26"/>
      <c r="H14" s="278" t="s">
        <v>878</v>
      </c>
      <c r="I14" s="260" t="s">
        <v>879</v>
      </c>
      <c r="J14" s="260" t="s">
        <v>880</v>
      </c>
      <c r="K14" s="261"/>
      <c r="L14" s="20"/>
      <c r="M14" s="26"/>
      <c r="N14" s="250" t="str">
        <f>IFERROR(__xludf.DUMMYFUNCTION("""COMPUTED_VALUE"""),"HR2: Sta &amp; Feryquitous - 2 Minutes Euphoria [Pata-Mon's Insane]")</f>
        <v>HR2: Sta &amp; Feryquitous - 2 Minutes Euphoria [Pata-Mon's Insane]</v>
      </c>
      <c r="O14" s="251" t="str">
        <f>IFERROR(__xludf.DUMMYFUNCTION("""COMPUTED_VALUE"""),"!mp map 2691754 0")</f>
        <v>!mp map 2691754 0</v>
      </c>
      <c r="P14" s="251" t="str">
        <f>IFERROR(__xludf.DUMMYFUNCTION("""COMPUTED_VALUE"""),"!mp mods HR NF")</f>
        <v>!mp mods HR NF</v>
      </c>
      <c r="Q14" s="19"/>
    </row>
    <row r="15" ht="18.75" customHeight="1">
      <c r="A15" s="19"/>
      <c r="B15" s="26"/>
      <c r="C15" s="36" t="s">
        <v>893</v>
      </c>
      <c r="D15" s="263" t="s">
        <v>301</v>
      </c>
      <c r="E15" s="31" t="s">
        <v>893</v>
      </c>
      <c r="F15" s="20"/>
      <c r="G15" s="20"/>
      <c r="H15" s="20"/>
      <c r="I15" s="20"/>
      <c r="J15" s="20"/>
      <c r="K15" s="20"/>
      <c r="L15" s="20"/>
      <c r="M15" s="26"/>
      <c r="N15" s="250" t="str">
        <f>IFERROR(__xludf.DUMMYFUNCTION("""COMPUTED_VALUE"""),"HR3: Eagle - S!ck [Down's Insane]")</f>
        <v>HR3: Eagle - S!ck [Down's Insane]</v>
      </c>
      <c r="O15" s="251" t="str">
        <f>IFERROR(__xludf.DUMMYFUNCTION("""COMPUTED_VALUE"""),"!mp map 2856139 0")</f>
        <v>!mp map 2856139 0</v>
      </c>
      <c r="P15" s="251" t="str">
        <f>IFERROR(__xludf.DUMMYFUNCTION("""COMPUTED_VALUE"""),"!mp mods HR NF")</f>
        <v>!mp mods HR NF</v>
      </c>
      <c r="Q15" s="19"/>
    </row>
    <row r="16" ht="18.75" customHeight="1">
      <c r="A16" s="19"/>
      <c r="B16" s="26"/>
      <c r="C16" s="36" t="s">
        <v>891</v>
      </c>
      <c r="D16" s="263" t="s">
        <v>295</v>
      </c>
      <c r="E16" s="31" t="s">
        <v>893</v>
      </c>
      <c r="F16" s="20"/>
      <c r="G16" s="21" t="s">
        <v>881</v>
      </c>
      <c r="H16" s="279" t="s">
        <v>882</v>
      </c>
      <c r="I16" s="280">
        <f>VLOOKUP(O2,MappoolSettings,3,0)</f>
        <v>2</v>
      </c>
      <c r="K16" s="281"/>
      <c r="L16" s="20"/>
      <c r="M16" s="26"/>
      <c r="N16" s="250" t="str">
        <f>IFERROR(__xludf.DUMMYFUNCTION("""COMPUTED_VALUE"""),"DT1: Komine Lisa - Resuscitated Hope [Insane]")</f>
        <v>DT1: Komine Lisa - Resuscitated Hope [Insane]</v>
      </c>
      <c r="O16" s="251" t="str">
        <f>IFERROR(__xludf.DUMMYFUNCTION("""COMPUTED_VALUE"""),"!mp map 765880 0")</f>
        <v>!mp map 765880 0</v>
      </c>
      <c r="P16" s="251" t="str">
        <f>IFERROR(__xludf.DUMMYFUNCTION("""COMPUTED_VALUE"""),"!mp mods DT NF")</f>
        <v>!mp mods DT NF</v>
      </c>
      <c r="Q16" s="19"/>
    </row>
    <row r="17" ht="18.75" customHeight="1">
      <c r="A17" s="19"/>
      <c r="B17" s="26"/>
      <c r="C17" s="36" t="s">
        <v>893</v>
      </c>
      <c r="D17" s="263" t="s">
        <v>345</v>
      </c>
      <c r="E17" s="31" t="s">
        <v>893</v>
      </c>
      <c r="F17" s="20"/>
      <c r="G17" s="26"/>
      <c r="H17" s="282" t="s">
        <v>883</v>
      </c>
      <c r="I17" s="283" t="str">
        <f>ForumPostLink</f>
        <v>https://osu.ppy.sh/community/forums/topics/1790898?n=1?</v>
      </c>
      <c r="L17" s="20"/>
      <c r="M17" s="26"/>
      <c r="N17" s="250" t="str">
        <f>IFERROR(__xludf.DUMMYFUNCTION("""COMPUTED_VALUE"""),"DT2: Memme - NEW Astronomas [Priti's Hyper]")</f>
        <v>DT2: Memme - NEW Astronomas [Priti's Hyper]</v>
      </c>
      <c r="O17" s="251" t="str">
        <f>IFERROR(__xludf.DUMMYFUNCTION("""COMPUTED_VALUE"""),"!mp map 345642 0")</f>
        <v>!mp map 345642 0</v>
      </c>
      <c r="P17" s="251" t="str">
        <f>IFERROR(__xludf.DUMMYFUNCTION("""COMPUTED_VALUE"""),"!mp mods DT NF")</f>
        <v>!mp mods DT NF</v>
      </c>
      <c r="Q17" s="19"/>
    </row>
    <row r="18" ht="18.75" customHeight="1">
      <c r="A18" s="19"/>
      <c r="B18" s="26"/>
      <c r="C18" s="36" t="s">
        <v>891</v>
      </c>
      <c r="D18" s="263" t="s">
        <v>335</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Camellia - Compute It With Some Devilish Alcoholic Steampunk Engines [F4UZ4N's Hard]")</f>
        <v>DT3: Camellia - Compute It With Some Devilish Alcoholic Steampunk Engines [F4UZ4N's Hard]</v>
      </c>
      <c r="O18" s="251" t="str">
        <f>IFERROR(__xludf.DUMMYFUNCTION("""COMPUTED_VALUE"""),"!mp map 2671858 0")</f>
        <v>!mp map 2671858 0</v>
      </c>
      <c r="P18" s="251" t="str">
        <f>IFERROR(__xludf.DUMMYFUNCTION("""COMPUTED_VALUE"""),"!mp mods DT NF")</f>
        <v>!mp mods DT NF</v>
      </c>
      <c r="Q18" s="19"/>
    </row>
    <row r="19" ht="18.75" customHeight="1">
      <c r="A19" s="19"/>
      <c r="B19" s="26"/>
      <c r="C19" s="36" t="s">
        <v>893</v>
      </c>
      <c r="D19" s="263" t="s">
        <v>313</v>
      </c>
      <c r="E19" s="31" t="s">
        <v>891</v>
      </c>
      <c r="F19" s="20"/>
      <c r="G19" s="26"/>
      <c r="H19" s="282" t="s">
        <v>885</v>
      </c>
      <c r="I19" s="284" t="str">
        <f>"Forfeit: "&amp;IF(NoShow2="","Never",NoShow2&amp;"mins")</f>
        <v>Forfeit: 15mins</v>
      </c>
      <c r="J19" s="285"/>
      <c r="K19" s="286"/>
      <c r="L19" s="20"/>
      <c r="M19" s="26"/>
      <c r="N19" s="250" t="str">
        <f>IFERROR(__xludf.DUMMYFUNCTION("""COMPUTED_VALUE"""),"DT4: KOTOKO - Princess Bride! (Cut Ver.) [Hard]")</f>
        <v>DT4: KOTOKO - Princess Bride! (Cut Ver.) [Hard]</v>
      </c>
      <c r="O19" s="251" t="str">
        <f>IFERROR(__xludf.DUMMYFUNCTION("""COMPUTED_VALUE"""),"!mp map 4150885 0")</f>
        <v>!mp map 4150885 0</v>
      </c>
      <c r="P19" s="251" t="str">
        <f>IFERROR(__xludf.DUMMYFUNCTION("""COMPUTED_VALUE"""),"!mp mods DT NF")</f>
        <v>!mp mods DT NF</v>
      </c>
      <c r="Q19" s="19"/>
    </row>
    <row r="20" ht="18.75" customHeight="1">
      <c r="A20" s="19"/>
      <c r="B20" s="26"/>
      <c r="C20" s="36" t="s">
        <v>891</v>
      </c>
      <c r="D20" s="263" t="s">
        <v>322</v>
      </c>
      <c r="E20" s="31" t="s">
        <v>891</v>
      </c>
      <c r="F20" s="20"/>
      <c r="G20" s="26"/>
      <c r="H20" s="287" t="s">
        <v>56</v>
      </c>
      <c r="I20" s="288" t="s">
        <v>57</v>
      </c>
      <c r="L20" s="20"/>
      <c r="M20" s="26"/>
      <c r="N20" s="49" t="str">
        <f>IFERROR(__xludf.DUMMYFUNCTION("""COMPUTED_VALUE"""),"FM1: Kenshi Yonezu - KICK BACK [STOMPMARK'S INSANE]")</f>
        <v>FM1: Kenshi Yonezu - KICK BACK [STOMPMARK'S INSANE]</v>
      </c>
      <c r="O20" s="289" t="str">
        <f>IFERROR(__xludf.DUMMYFUNCTION("""COMPUTED_VALUE"""),"!mp map 4197268 0")</f>
        <v>!mp map 4197268 0</v>
      </c>
      <c r="P20" s="289" t="str">
        <f>IFERROR(__xludf.DUMMYFUNCTION("""COMPUTED_VALUE"""),"!mp mods Freemod")</f>
        <v>!mp mods Freemod</v>
      </c>
      <c r="Q20" s="19"/>
    </row>
    <row r="21" ht="18.75" customHeight="1">
      <c r="A21" s="19"/>
      <c r="B21" s="26"/>
      <c r="C21" s="36" t="s">
        <v>893</v>
      </c>
      <c r="D21" s="263" t="s">
        <v>289</v>
      </c>
      <c r="E21" s="31" t="s">
        <v>893</v>
      </c>
      <c r="F21" s="20"/>
      <c r="G21" s="26"/>
      <c r="H21" s="287" t="s">
        <v>58</v>
      </c>
      <c r="I21" s="290" t="s">
        <v>886</v>
      </c>
      <c r="L21" s="20"/>
      <c r="M21" s="26"/>
      <c r="N21" s="49" t="str">
        <f>IFERROR(__xludf.DUMMYFUNCTION("""COMPUTED_VALUE"""),"FM2: Memme - Extreme Fantasy [Insane]")</f>
        <v>FM2: Memme - Extreme Fantasy [Insane]</v>
      </c>
      <c r="O21" s="289" t="str">
        <f>IFERROR(__xludf.DUMMYFUNCTION("""COMPUTED_VALUE"""),"!mp map 192181 0")</f>
        <v>!mp map 192181 0</v>
      </c>
      <c r="P21" s="289" t="str">
        <f>IFERROR(__xludf.DUMMYFUNCTION("""COMPUTED_VALUE"""),"!mp mods Freemod")</f>
        <v>!mp mods Freemod</v>
      </c>
      <c r="Q21" s="19"/>
    </row>
    <row r="22" ht="18.75" customHeight="1">
      <c r="A22" s="19"/>
      <c r="B22" s="26"/>
      <c r="C22" s="36" t="s">
        <v>891</v>
      </c>
      <c r="D22" s="263" t="s">
        <v>331</v>
      </c>
      <c r="E22" s="31" t="s">
        <v>893</v>
      </c>
      <c r="F22" s="20"/>
      <c r="G22" s="26"/>
      <c r="H22" s="287" t="s">
        <v>887</v>
      </c>
      <c r="I22" s="48" t="s">
        <v>888</v>
      </c>
      <c r="K22" s="291"/>
      <c r="L22" s="20"/>
      <c r="M22" s="26"/>
      <c r="N22" s="49" t="str">
        <f>IFERROR(__xludf.DUMMYFUNCTION("""COMPUTED_VALUE"""),"FM3: Mysteka - Hesperos [Mayu's Insane]")</f>
        <v>FM3: Mysteka - Hesperos [Mayu's Insane]</v>
      </c>
      <c r="O22" s="289" t="str">
        <f>IFERROR(__xludf.DUMMYFUNCTION("""COMPUTED_VALUE"""),"!mp map 3499229 0")</f>
        <v>!mp map 3499229 0</v>
      </c>
      <c r="P22" s="289" t="str">
        <f>IFERROR(__xludf.DUMMYFUNCTION("""COMPUTED_VALUE"""),"!mp mods Freemod")</f>
        <v>!mp mods Freemod</v>
      </c>
      <c r="Q22" s="19"/>
    </row>
    <row r="23" ht="18.75" customHeight="1">
      <c r="A23" s="19"/>
      <c r="B23" s="26"/>
      <c r="C23" s="36" t="s">
        <v>893</v>
      </c>
      <c r="D23" s="263" t="s">
        <v>292</v>
      </c>
      <c r="E23" s="31" t="s">
        <v>893</v>
      </c>
      <c r="F23" s="20"/>
      <c r="G23" s="26"/>
      <c r="H23" s="287" t="s">
        <v>889</v>
      </c>
      <c r="I23" s="48" t="s">
        <v>888</v>
      </c>
      <c r="K23" s="86"/>
      <c r="L23" s="20"/>
      <c r="M23" s="26"/>
      <c r="N23" s="49" t="str">
        <f>IFERROR(__xludf.DUMMYFUNCTION("""COMPUTED_VALUE"""),"TB1: Pendulum - Hold Your Colour [Iridescence]")</f>
        <v>TB1: Pendulum - Hold Your Colour [Iridescence]</v>
      </c>
      <c r="O23" s="289" t="str">
        <f>IFERROR(__xludf.DUMMYFUNCTION("""COMPUTED_VALUE"""),"!mp map 1485947 0")</f>
        <v>!mp map 1485947 0</v>
      </c>
      <c r="P23" s="289" t="str">
        <f>IFERROR(__xludf.DUMMYFUNCTION("""COMPUTED_VALUE"""),"!mp mods Freemod")</f>
        <v>!mp mods Freemod</v>
      </c>
      <c r="Q23" s="19"/>
    </row>
    <row r="24" ht="18.75" customHeight="1">
      <c r="A24" s="19"/>
      <c r="B24" s="26"/>
      <c r="C24" s="36" t="s">
        <v>891</v>
      </c>
      <c r="D24" s="263" t="s">
        <v>319</v>
      </c>
      <c r="E24" s="31" t="s">
        <v>891</v>
      </c>
      <c r="F24" s="20"/>
      <c r="G24" s="20"/>
      <c r="H24" s="20"/>
      <c r="I24" s="20"/>
      <c r="J24" s="20"/>
      <c r="K24" s="20"/>
      <c r="L24" s="20"/>
      <c r="M24" s="26"/>
      <c r="N24" s="49"/>
      <c r="O24" s="289"/>
      <c r="P24" s="289"/>
      <c r="Q24" s="19"/>
    </row>
    <row r="25" ht="18.75" customHeight="1">
      <c r="A25" s="19"/>
      <c r="B25" s="26"/>
      <c r="C25" s="36" t="s">
        <v>893</v>
      </c>
      <c r="D25" s="263" t="s">
        <v>325</v>
      </c>
      <c r="E25" s="31" t="s">
        <v>893</v>
      </c>
      <c r="F25" s="20"/>
      <c r="G25" s="293" t="s">
        <v>890</v>
      </c>
      <c r="H25" s="294" t="str">
        <f t="array" ref="H25:K25">IF(Format="Solo",C2,IFNA(VLOOKUP(C2,TeamList,SEQUENCE(1,4,1),0),""))</f>
        <v>Homossexual Students</v>
      </c>
      <c r="I25" s="295" t="s">
        <v>713</v>
      </c>
      <c r="J25" s="294" t="s">
        <v>714</v>
      </c>
      <c r="K25" s="294" t="s">
        <v>715</v>
      </c>
      <c r="L25" s="38"/>
      <c r="M25" s="26"/>
      <c r="N25" s="49"/>
      <c r="O25" s="289"/>
      <c r="P25" s="289"/>
      <c r="Q25" s="19"/>
    </row>
    <row r="26" ht="18.75" customHeight="1">
      <c r="A26" s="19"/>
      <c r="B26" s="26"/>
      <c r="C26" s="36" t="s">
        <v>894</v>
      </c>
      <c r="D26" s="292"/>
      <c r="E26" s="36"/>
      <c r="F26" s="20"/>
      <c r="G26" s="26"/>
      <c r="H26" s="296" t="str">
        <f t="array" ref="H26:K26">IF(Format="Solo",E2,IFNA(VLOOKUP(E2,TeamList,SEQUENCE(1,4,1),0),""))</f>
        <v>female ass wrestling</v>
      </c>
      <c r="I26" s="297" t="s">
        <v>746</v>
      </c>
      <c r="J26" s="296" t="s">
        <v>747</v>
      </c>
      <c r="K26" s="296" t="s">
        <v>748</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 r:id="rId20" ref="N22"/>
    <hyperlink r:id="rId21" ref="N23"/>
  </hyperlinks>
  <drawing r:id="rId22"/>
  <legacyDrawing r:id="rId2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placeholder teamname</v>
      </c>
      <c r="D2" s="235" t="s">
        <v>854</v>
      </c>
      <c r="E2" s="236" t="str">
        <f>IFNA(VLOOKUP(I2,Schedules,5,0),"")</f>
        <v>:MIPINGA:</v>
      </c>
      <c r="F2" s="20"/>
      <c r="G2" s="21" t="s">
        <v>855</v>
      </c>
      <c r="H2" s="237" t="s">
        <v>856</v>
      </c>
      <c r="I2" s="238">
        <v>60.0</v>
      </c>
      <c r="K2" s="238"/>
      <c r="L2" s="20"/>
      <c r="M2" s="21" t="s">
        <v>857</v>
      </c>
      <c r="N2" s="239" t="s">
        <v>25</v>
      </c>
      <c r="O2" s="240" t="s">
        <v>39</v>
      </c>
      <c r="P2" s="4"/>
      <c r="Q2" s="19"/>
    </row>
    <row r="3" ht="18.75" customHeight="1">
      <c r="A3" s="19"/>
      <c r="B3" s="26"/>
      <c r="C3" s="241">
        <f>IF(D6="Blue",-1,COUNTIF(E14:E26,"Red"))</f>
        <v>0</v>
      </c>
      <c r="D3" s="242">
        <f>VLOOKUP(O2,MappoolSettings,2,0)</f>
        <v>13</v>
      </c>
      <c r="E3" s="243">
        <f>IF(D6="Red",-1,COUNTIF(E14:E26,"Blue"))</f>
        <v>7</v>
      </c>
      <c r="F3" s="20"/>
      <c r="G3" s="26"/>
      <c r="H3" s="244" t="s">
        <v>456</v>
      </c>
      <c r="I3" s="35" t="s">
        <v>617</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)"),"**Finals: Match 60**
&lt;https://osu.ppy.sh/community/matches/110493889&gt;
:red_square: placeholder teamname | 0 : 7 | :MIPINGA: :blue_square:
placeholder teamname bans | HR3 FM1
:MIPINGA: bans | HD3 DT3
First pick | :MIPINGA:
:blue_square: | HR2: Sta &amp; Fe"&amp;"ryquitous - 2 Minutes Euphoria [Pata-Mon's Insane]
:blue_square: | HD2: capsule - A.I. automatic infection [Insane]
:blue_square: | FM2: Memme - Extreme Fantasy [Insane]
:blue_square: | DT1: Komine Lisa - Resuscitated Hope [Insane]
:blue_square: | NM2: vi"&amp;"erre cloud - moment [astronic's another]
:blue_square: | NM1: Camellia - Racemization [extreme]
:blue_square: | NM6: Kikuo - Yousei no Kiri [Insane]")</f>
        <v>**Finals: Match 60**
&lt;https://osu.ppy.sh/community/matches/110493889&gt;
:red_square: placeholder teamname | 0 : 7 | :MIPINGA: :blue_square:
placeholder teamname bans | HR3 FM1
:MIPINGA: bans | HD3 DT3
First pick | :MIPINGA:
:blue_square: | HR2: Sta &amp; Feryquitous - 2 Minutes Euphoria [Pata-Mon's Insane]
:blue_square: | HD2: capsule - A.I. automatic infection [Insane]
:blue_square: | FM2: Memme - Extreme Fantasy [Insane]
:blue_square: | DT1: Komine Lisa - Resuscitated Hope [Insane]
:blue_square: | NM2: vierre cloud - moment [astronic's another]
:blue_square: | NM1: Camellia - Racemization [extreme]
:blue_square: | NM6: Kikuo - Yousei no Kiri [Insane]</v>
      </c>
      <c r="E4" s="248"/>
      <c r="F4" s="20"/>
      <c r="G4" s="26"/>
      <c r="H4" s="237" t="s">
        <v>452</v>
      </c>
      <c r="I4" s="249" t="str">
        <f>IFNA(VLOOKUP(I2,Schedules,6,0),"")</f>
        <v/>
      </c>
      <c r="K4" s="249"/>
      <c r="L4" s="20"/>
      <c r="M4" s="26"/>
      <c r="N4" s="250" t="str">
        <f>IFERROR(__xludf.DUMMYFUNCTION("IF(O2="""",,ARRAY_CONSTRAIN(FILTER(Maps,Mappools!B4:B27=O2),25,3))"),"NM1: Camellia - Racemization [extreme]")</f>
        <v>NM1: Camellia - Racemization [extreme]</v>
      </c>
      <c r="O4" s="251" t="str">
        <f>IFERROR(__xludf.DUMMYFUNCTION("""COMPUTED_VALUE"""),"!mp map 2198934 0")</f>
        <v>!mp map 2198934 0</v>
      </c>
      <c r="P4" s="251" t="str">
        <f>IFERROR(__xludf.DUMMYFUNCTION("""COMPUTED_VALUE"""),"!mp mods NF")</f>
        <v>!mp mods NF</v>
      </c>
      <c r="Q4" s="19"/>
    </row>
    <row r="5" ht="18.75" customHeight="1">
      <c r="A5" s="19"/>
      <c r="B5" s="26"/>
      <c r="C5" s="246" t="s">
        <v>859</v>
      </c>
      <c r="D5" s="252" t="str">
        <f t="array" ref="D5:E5">IFERROR(VLOOKUP(INDEX($D$14:$D$26,COUNTA($D$14:$D$26)),$N$4:$P$26,{2,3},0),"")</f>
        <v>!mp map 3870932 0</v>
      </c>
      <c r="E5" s="253" t="s">
        <v>74</v>
      </c>
      <c r="F5" s="20"/>
      <c r="G5" s="26"/>
      <c r="H5" s="237" t="s">
        <v>860</v>
      </c>
      <c r="I5" s="254">
        <f t="array" ref="I5">IFNA(SUM(VLOOKUP(I2,Schedules,{2,3},0)),"")</f>
        <v>45186.125</v>
      </c>
      <c r="K5" s="254"/>
      <c r="L5" s="20"/>
      <c r="M5" s="26"/>
      <c r="N5" s="250" t="str">
        <f>IFERROR(__xludf.DUMMYFUNCTION("""COMPUTED_VALUE"""),"NM2: vierre cloud - moment [astronic's another]")</f>
        <v>NM2: vierre cloud - moment [astronic's another]</v>
      </c>
      <c r="O5" s="251" t="str">
        <f>IFERROR(__xludf.DUMMYFUNCTION("""COMPUTED_VALUE"""),"!mp map 3010348 0")</f>
        <v>!mp map 3010348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Ryokuoushoku Shakai - Zutto Zutto Zutto [Kloyd's Expert]")</f>
        <v>NM3: Ryokuoushoku Shakai - Zutto Zutto Zutto [Kloyd's Expert]</v>
      </c>
      <c r="O6" s="251" t="str">
        <f>IFERROR(__xludf.DUMMYFUNCTION("""COMPUTED_VALUE"""),"!mp map 3774971 0")</f>
        <v>!mp map 3774971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(placeholder teamname) vs (:MIPINGA:)</v>
      </c>
      <c r="L7" s="20"/>
      <c r="M7" s="26"/>
      <c r="N7" s="250" t="str">
        <f>IFERROR(__xludf.DUMMYFUNCTION("""COMPUTED_VALUE"""),"NM4: USAO - Gruequix [Expert]")</f>
        <v>NM4: USAO - Gruequix [Expert]</v>
      </c>
      <c r="O7" s="251" t="str">
        <f>IFERROR(__xludf.DUMMYFUNCTION("""COMPUTED_VALUE"""),"!mp map 3802110 0")</f>
        <v>!mp map 3802110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Prim - Koisuru*Uchuu Sensou!! [Another 220BPM]")</f>
        <v>NM5: Prim - Koisuru*Uchuu Sensou!! [Another 220BPM]</v>
      </c>
      <c r="O8" s="251" t="str">
        <f>IFERROR(__xludf.DUMMYFUNCTION("""COMPUTED_VALUE"""),"!mp map 309900 0")</f>
        <v>!mp map 309900 0</v>
      </c>
      <c r="P8" s="251" t="str">
        <f>IFERROR(__xludf.DUMMYFUNCTION("""COMPUTED_VALUE"""),"!mp mods NF")</f>
        <v>!mp mods NF</v>
      </c>
      <c r="Q8" s="19"/>
    </row>
    <row r="9" ht="18.75" customHeight="1">
      <c r="A9" s="19"/>
      <c r="B9" s="26"/>
      <c r="C9" s="262" t="str">
        <f>C2</f>
        <v>placeholder teamname</v>
      </c>
      <c r="D9" s="263" t="s">
        <v>322</v>
      </c>
      <c r="E9" s="238" t="s">
        <v>338</v>
      </c>
      <c r="F9" s="20"/>
      <c r="G9" s="26"/>
      <c r="H9" s="237" t="s">
        <v>13</v>
      </c>
      <c r="I9" s="264" t="s">
        <v>868</v>
      </c>
      <c r="K9" s="265"/>
      <c r="L9" s="20"/>
      <c r="M9" s="26"/>
      <c r="N9" s="250" t="str">
        <f>IFERROR(__xludf.DUMMYFUNCTION("""COMPUTED_VALUE"""),"NM6: Kikuo - Yousei no Kiri [Insane]")</f>
        <v>NM6: Kikuo - Yousei no Kiri [Insane]</v>
      </c>
      <c r="O9" s="251" t="str">
        <f>IFERROR(__xludf.DUMMYFUNCTION("""COMPUTED_VALUE"""),"!mp map 3870932 0")</f>
        <v>!mp map 3870932 0</v>
      </c>
      <c r="P9" s="251" t="str">
        <f>IFERROR(__xludf.DUMMYFUNCTION("""COMPUTED_VALUE"""),"!mp mods NF")</f>
        <v>!mp mods NF</v>
      </c>
      <c r="Q9" s="19"/>
    </row>
    <row r="10" ht="18.75" customHeight="1">
      <c r="A10" s="19"/>
      <c r="B10" s="26"/>
      <c r="C10" s="266" t="str">
        <f>E2</f>
        <v>:MIPINGA:</v>
      </c>
      <c r="D10" s="267" t="s">
        <v>313</v>
      </c>
      <c r="E10" s="268" t="s">
        <v>331</v>
      </c>
      <c r="F10" s="20"/>
      <c r="G10" s="26"/>
      <c r="H10" s="244" t="s">
        <v>869</v>
      </c>
      <c r="I10" s="269" t="str">
        <f t="array" ref="I10:J10">IFNA(IF(VLOOKUP(I2,Schedules,{7,8},0)="",,"!mp addref "&amp;VLOOKUP(I2,Schedules,{7,8},0)),"")</f>
        <v/>
      </c>
      <c r="J10" s="269" t="s">
        <v>929</v>
      </c>
      <c r="K10" s="270"/>
      <c r="L10" s="20"/>
      <c r="M10" s="26"/>
      <c r="N10" s="250" t="str">
        <f>IFERROR(__xludf.DUMMYFUNCTION("""COMPUTED_VALUE"""),"HD1: DJ S3RL - T-T-Techno (feat. Jesskah) [fanzhen's X-Tra]")</f>
        <v>HD1: DJ S3RL - T-T-Techno (feat. Jesskah) [fanzhen's X-Tra]</v>
      </c>
      <c r="O10" s="251" t="str">
        <f>IFERROR(__xludf.DUMMYFUNCTION("""COMPUTED_VALUE"""),"!mp map 571620 0")</f>
        <v>!mp map 571620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Qkiryu</v>
      </c>
      <c r="J11" s="272" t="s">
        <v>930</v>
      </c>
      <c r="K11" s="273"/>
      <c r="L11" s="20"/>
      <c r="M11" s="26"/>
      <c r="N11" s="250" t="str">
        <f>IFERROR(__xludf.DUMMYFUNCTION("""COMPUTED_VALUE"""),"HD2: capsule - A.I. automatic infection [Insane]")</f>
        <v>HD2: capsule - A.I. automatic infection [Insane]</v>
      </c>
      <c r="O11" s="251" t="str">
        <f>IFERROR(__xludf.DUMMYFUNCTION("""COMPUTED_VALUE"""),"!mp map 3563737 0")</f>
        <v>!mp map 3563737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Kudou Chitose - CHO-DARI- [EX]")</f>
        <v>HD3: Kudou Chitose - CHO-DARI- [EX]</v>
      </c>
      <c r="O12" s="251" t="str">
        <f>IFERROR(__xludf.DUMMYFUNCTION("""COMPUTED_VALUE"""),"!mp map 2751338 0")</f>
        <v>!mp map 2751338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BAND-MAID - I can't live without you. [Insane]")</f>
        <v>HR1: BAND-MAID - I can't live without you. [Insane]</v>
      </c>
      <c r="O13" s="251" t="str">
        <f>IFERROR(__xludf.DUMMYFUNCTION("""COMPUTED_VALUE"""),"!mp map 2288966 0")</f>
        <v>!mp map 2288966 0</v>
      </c>
      <c r="P13" s="251" t="str">
        <f>IFERROR(__xludf.DUMMYFUNCTION("""COMPUTED_VALUE"""),"!mp mods HR NF")</f>
        <v>!mp mods HR NF</v>
      </c>
      <c r="Q13" s="19"/>
    </row>
    <row r="14" ht="18.75" customHeight="1">
      <c r="A14" s="19"/>
      <c r="B14" s="26"/>
      <c r="C14" s="36" t="str">
        <f t="array" ref="C14:C26">IF(D11="",,{IF(MOD(SEQUENCE(D3-1,1),2)=1,IF(D11="Red","Red","Blue"),IF(D11="Red","Blue","Red"));"Tiebreaker"})</f>
        <v>Blue</v>
      </c>
      <c r="D14" s="263" t="s">
        <v>319</v>
      </c>
      <c r="E14" s="31" t="s">
        <v>891</v>
      </c>
      <c r="F14" s="20"/>
      <c r="G14" s="26"/>
      <c r="H14" s="278" t="s">
        <v>878</v>
      </c>
      <c r="I14" s="260" t="s">
        <v>879</v>
      </c>
      <c r="J14" s="260" t="s">
        <v>880</v>
      </c>
      <c r="K14" s="261"/>
      <c r="L14" s="20"/>
      <c r="M14" s="26"/>
      <c r="N14" s="250" t="str">
        <f>IFERROR(__xludf.DUMMYFUNCTION("""COMPUTED_VALUE"""),"HR2: Sta &amp; Feryquitous - 2 Minutes Euphoria [Pata-Mon's Insane]")</f>
        <v>HR2: Sta &amp; Feryquitous - 2 Minutes Euphoria [Pata-Mon's Insane]</v>
      </c>
      <c r="O14" s="251" t="str">
        <f>IFERROR(__xludf.DUMMYFUNCTION("""COMPUTED_VALUE"""),"!mp map 2691754 0")</f>
        <v>!mp map 2691754 0</v>
      </c>
      <c r="P14" s="251" t="str">
        <f>IFERROR(__xludf.DUMMYFUNCTION("""COMPUTED_VALUE"""),"!mp mods HR NF")</f>
        <v>!mp mods HR NF</v>
      </c>
      <c r="Q14" s="19"/>
    </row>
    <row r="15" ht="18.75" customHeight="1">
      <c r="A15" s="19"/>
      <c r="B15" s="26"/>
      <c r="C15" s="36" t="s">
        <v>893</v>
      </c>
      <c r="D15" s="263" t="s">
        <v>310</v>
      </c>
      <c r="E15" s="31" t="s">
        <v>891</v>
      </c>
      <c r="F15" s="20"/>
      <c r="G15" s="20"/>
      <c r="H15" s="20"/>
      <c r="I15" s="20"/>
      <c r="J15" s="20"/>
      <c r="K15" s="20"/>
      <c r="L15" s="20"/>
      <c r="M15" s="26"/>
      <c r="N15" s="250" t="str">
        <f>IFERROR(__xludf.DUMMYFUNCTION("""COMPUTED_VALUE"""),"HR3: Eagle - S!ck [Down's Insane]")</f>
        <v>HR3: Eagle - S!ck [Down's Insane]</v>
      </c>
      <c r="O15" s="251" t="str">
        <f>IFERROR(__xludf.DUMMYFUNCTION("""COMPUTED_VALUE"""),"!mp map 2856139 0")</f>
        <v>!mp map 2856139 0</v>
      </c>
      <c r="P15" s="251" t="str">
        <f>IFERROR(__xludf.DUMMYFUNCTION("""COMPUTED_VALUE"""),"!mp mods HR NF")</f>
        <v>!mp mods HR NF</v>
      </c>
      <c r="Q15" s="19"/>
    </row>
    <row r="16" ht="18.75" customHeight="1">
      <c r="A16" s="19"/>
      <c r="B16" s="26"/>
      <c r="C16" s="36" t="s">
        <v>891</v>
      </c>
      <c r="D16" s="263" t="s">
        <v>341</v>
      </c>
      <c r="E16" s="31" t="s">
        <v>891</v>
      </c>
      <c r="F16" s="20"/>
      <c r="G16" s="21" t="s">
        <v>881</v>
      </c>
      <c r="H16" s="279" t="s">
        <v>882</v>
      </c>
      <c r="I16" s="280">
        <f>VLOOKUP(O2,MappoolSettings,3,0)</f>
        <v>2</v>
      </c>
      <c r="K16" s="281"/>
      <c r="L16" s="20"/>
      <c r="M16" s="26"/>
      <c r="N16" s="250" t="str">
        <f>IFERROR(__xludf.DUMMYFUNCTION("""COMPUTED_VALUE"""),"DT1: Komine Lisa - Resuscitated Hope [Insane]")</f>
        <v>DT1: Komine Lisa - Resuscitated Hope [Insane]</v>
      </c>
      <c r="O16" s="251" t="str">
        <f>IFERROR(__xludf.DUMMYFUNCTION("""COMPUTED_VALUE"""),"!mp map 765880 0")</f>
        <v>!mp map 765880 0</v>
      </c>
      <c r="P16" s="251" t="str">
        <f>IFERROR(__xludf.DUMMYFUNCTION("""COMPUTED_VALUE"""),"!mp mods DT NF")</f>
        <v>!mp mods DT NF</v>
      </c>
      <c r="Q16" s="19"/>
    </row>
    <row r="17" ht="18.75" customHeight="1">
      <c r="A17" s="19"/>
      <c r="B17" s="26"/>
      <c r="C17" s="36" t="s">
        <v>893</v>
      </c>
      <c r="D17" s="263" t="s">
        <v>325</v>
      </c>
      <c r="E17" s="31" t="s">
        <v>891</v>
      </c>
      <c r="F17" s="20"/>
      <c r="G17" s="26"/>
      <c r="H17" s="282" t="s">
        <v>883</v>
      </c>
      <c r="I17" s="283" t="str">
        <f>ForumPostLink</f>
        <v>https://osu.ppy.sh/community/forums/topics/1790898?n=1?</v>
      </c>
      <c r="L17" s="20"/>
      <c r="M17" s="26"/>
      <c r="N17" s="250" t="str">
        <f>IFERROR(__xludf.DUMMYFUNCTION("""COMPUTED_VALUE"""),"DT2: Memme - NEW Astronomas [Priti's Hyper]")</f>
        <v>DT2: Memme - NEW Astronomas [Priti's Hyper]</v>
      </c>
      <c r="O17" s="251" t="str">
        <f>IFERROR(__xludf.DUMMYFUNCTION("""COMPUTED_VALUE"""),"!mp map 345642 0")</f>
        <v>!mp map 345642 0</v>
      </c>
      <c r="P17" s="251" t="str">
        <f>IFERROR(__xludf.DUMMYFUNCTION("""COMPUTED_VALUE"""),"!mp mods DT NF")</f>
        <v>!mp mods DT NF</v>
      </c>
      <c r="Q17" s="19"/>
    </row>
    <row r="18" ht="18.75" customHeight="1">
      <c r="A18" s="19"/>
      <c r="B18" s="26"/>
      <c r="C18" s="36" t="s">
        <v>891</v>
      </c>
      <c r="D18" s="263" t="s">
        <v>292</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Camellia - Compute It With Some Devilish Alcoholic Steampunk Engines [F4UZ4N's Hard]")</f>
        <v>DT3: Camellia - Compute It With Some Devilish Alcoholic Steampunk Engines [F4UZ4N's Hard]</v>
      </c>
      <c r="O18" s="251" t="str">
        <f>IFERROR(__xludf.DUMMYFUNCTION("""COMPUTED_VALUE"""),"!mp map 2671858 0")</f>
        <v>!mp map 2671858 0</v>
      </c>
      <c r="P18" s="251" t="str">
        <f>IFERROR(__xludf.DUMMYFUNCTION("""COMPUTED_VALUE"""),"!mp mods DT NF")</f>
        <v>!mp mods DT NF</v>
      </c>
      <c r="Q18" s="19"/>
    </row>
    <row r="19" ht="18.75" customHeight="1">
      <c r="A19" s="19"/>
      <c r="B19" s="26"/>
      <c r="C19" s="36" t="s">
        <v>893</v>
      </c>
      <c r="D19" s="263" t="s">
        <v>289</v>
      </c>
      <c r="E19" s="31" t="s">
        <v>891</v>
      </c>
      <c r="F19" s="20"/>
      <c r="G19" s="26"/>
      <c r="H19" s="282" t="s">
        <v>885</v>
      </c>
      <c r="I19" s="284" t="str">
        <f>"Forfeit: "&amp;IF(NoShow2="","Never",NoShow2&amp;"mins")</f>
        <v>Forfeit: 15mins</v>
      </c>
      <c r="J19" s="285"/>
      <c r="K19" s="286"/>
      <c r="L19" s="20"/>
      <c r="M19" s="26"/>
      <c r="N19" s="250" t="str">
        <f>IFERROR(__xludf.DUMMYFUNCTION("""COMPUTED_VALUE"""),"DT4: KOTOKO - Princess Bride! (Cut Ver.) [Hard]")</f>
        <v>DT4: KOTOKO - Princess Bride! (Cut Ver.) [Hard]</v>
      </c>
      <c r="O19" s="251" t="str">
        <f>IFERROR(__xludf.DUMMYFUNCTION("""COMPUTED_VALUE"""),"!mp map 4150885 0")</f>
        <v>!mp map 4150885 0</v>
      </c>
      <c r="P19" s="251" t="str">
        <f>IFERROR(__xludf.DUMMYFUNCTION("""COMPUTED_VALUE"""),"!mp mods DT NF")</f>
        <v>!mp mods DT NF</v>
      </c>
      <c r="Q19" s="19"/>
    </row>
    <row r="20" ht="18.75" customHeight="1">
      <c r="A20" s="19"/>
      <c r="B20" s="26"/>
      <c r="C20" s="36" t="s">
        <v>891</v>
      </c>
      <c r="D20" s="263" t="s">
        <v>304</v>
      </c>
      <c r="E20" s="31" t="s">
        <v>891</v>
      </c>
      <c r="F20" s="20"/>
      <c r="G20" s="26"/>
      <c r="H20" s="287" t="s">
        <v>56</v>
      </c>
      <c r="I20" s="288" t="s">
        <v>57</v>
      </c>
      <c r="L20" s="20"/>
      <c r="M20" s="26"/>
      <c r="N20" s="49" t="str">
        <f>IFERROR(__xludf.DUMMYFUNCTION("""COMPUTED_VALUE"""),"FM1: Kenshi Yonezu - KICK BACK [STOMPMARK'S INSANE]")</f>
        <v>FM1: Kenshi Yonezu - KICK BACK [STOMPMARK'S INSANE]</v>
      </c>
      <c r="O20" s="289" t="str">
        <f>IFERROR(__xludf.DUMMYFUNCTION("""COMPUTED_VALUE"""),"!mp map 4197268 0")</f>
        <v>!mp map 4197268 0</v>
      </c>
      <c r="P20" s="289" t="str">
        <f>IFERROR(__xludf.DUMMYFUNCTION("""COMPUTED_VALUE"""),"!mp mods Freemod")</f>
        <v>!mp mods Freemod</v>
      </c>
      <c r="Q20" s="19"/>
    </row>
    <row r="21" ht="18.75" customHeight="1">
      <c r="A21" s="19"/>
      <c r="B21" s="26"/>
      <c r="C21" s="36" t="s">
        <v>893</v>
      </c>
      <c r="D21" s="263"/>
      <c r="E21" s="31"/>
      <c r="F21" s="20"/>
      <c r="G21" s="26"/>
      <c r="H21" s="287" t="s">
        <v>58</v>
      </c>
      <c r="I21" s="290" t="s">
        <v>886</v>
      </c>
      <c r="L21" s="20"/>
      <c r="M21" s="26"/>
      <c r="N21" s="49" t="str">
        <f>IFERROR(__xludf.DUMMYFUNCTION("""COMPUTED_VALUE"""),"FM2: Memme - Extreme Fantasy [Insane]")</f>
        <v>FM2: Memme - Extreme Fantasy [Insane]</v>
      </c>
      <c r="O21" s="289" t="str">
        <f>IFERROR(__xludf.DUMMYFUNCTION("""COMPUTED_VALUE"""),"!mp map 192181 0")</f>
        <v>!mp map 192181 0</v>
      </c>
      <c r="P21" s="289" t="str">
        <f>IFERROR(__xludf.DUMMYFUNCTION("""COMPUTED_VALUE"""),"!mp mods Freemod")</f>
        <v>!mp mods Freemod</v>
      </c>
      <c r="Q21" s="19"/>
    </row>
    <row r="22" ht="18.75" customHeight="1">
      <c r="A22" s="19"/>
      <c r="B22" s="26"/>
      <c r="C22" s="36" t="s">
        <v>891</v>
      </c>
      <c r="D22" s="263"/>
      <c r="E22" s="31"/>
      <c r="F22" s="20"/>
      <c r="G22" s="26"/>
      <c r="H22" s="287" t="s">
        <v>887</v>
      </c>
      <c r="I22" s="48" t="s">
        <v>888</v>
      </c>
      <c r="K22" s="291"/>
      <c r="L22" s="20"/>
      <c r="M22" s="26"/>
      <c r="N22" s="49" t="str">
        <f>IFERROR(__xludf.DUMMYFUNCTION("""COMPUTED_VALUE"""),"FM3: Mysteka - Hesperos [Mayu's Insane]")</f>
        <v>FM3: Mysteka - Hesperos [Mayu's Insane]</v>
      </c>
      <c r="O22" s="289" t="str">
        <f>IFERROR(__xludf.DUMMYFUNCTION("""COMPUTED_VALUE"""),"!mp map 3499229 0")</f>
        <v>!mp map 3499229 0</v>
      </c>
      <c r="P22" s="289" t="str">
        <f>IFERROR(__xludf.DUMMYFUNCTION("""COMPUTED_VALUE"""),"!mp mods Freemod")</f>
        <v>!mp mods Freemod</v>
      </c>
      <c r="Q22" s="19"/>
    </row>
    <row r="23" ht="18.75" customHeight="1">
      <c r="A23" s="19"/>
      <c r="B23" s="26"/>
      <c r="C23" s="36" t="s">
        <v>893</v>
      </c>
      <c r="D23" s="292"/>
      <c r="E23" s="36"/>
      <c r="F23" s="20"/>
      <c r="G23" s="26"/>
      <c r="H23" s="287" t="s">
        <v>889</v>
      </c>
      <c r="I23" s="48" t="s">
        <v>888</v>
      </c>
      <c r="K23" s="86"/>
      <c r="L23" s="20"/>
      <c r="M23" s="26"/>
      <c r="N23" s="49" t="str">
        <f>IFERROR(__xludf.DUMMYFUNCTION("""COMPUTED_VALUE"""),"TB1: Pendulum - Hold Your Colour [Iridescence]")</f>
        <v>TB1: Pendulum - Hold Your Colour [Iridescence]</v>
      </c>
      <c r="O23" s="289" t="str">
        <f>IFERROR(__xludf.DUMMYFUNCTION("""COMPUTED_VALUE"""),"!mp map 1485947 0")</f>
        <v>!mp map 1485947 0</v>
      </c>
      <c r="P23" s="289" t="str">
        <f>IFERROR(__xludf.DUMMYFUNCTION("""COMPUTED_VALUE"""),"!mp mods Freemod")</f>
        <v>!mp mods Freemod</v>
      </c>
      <c r="Q23" s="19"/>
    </row>
    <row r="24" ht="18.75" customHeight="1">
      <c r="A24" s="19"/>
      <c r="B24" s="26"/>
      <c r="C24" s="36" t="s">
        <v>891</v>
      </c>
      <c r="D24" s="292"/>
      <c r="E24" s="36"/>
      <c r="F24" s="20"/>
      <c r="G24" s="20"/>
      <c r="H24" s="20"/>
      <c r="I24" s="20"/>
      <c r="J24" s="20"/>
      <c r="K24" s="20"/>
      <c r="L24" s="20"/>
      <c r="M24" s="26"/>
      <c r="N24" s="49"/>
      <c r="O24" s="289"/>
      <c r="P24" s="289"/>
      <c r="Q24" s="19"/>
    </row>
    <row r="25" ht="18.75" customHeight="1">
      <c r="A25" s="19"/>
      <c r="B25" s="26"/>
      <c r="C25" s="36" t="s">
        <v>893</v>
      </c>
      <c r="D25" s="292"/>
      <c r="E25" s="36"/>
      <c r="F25" s="20"/>
      <c r="G25" s="293" t="s">
        <v>890</v>
      </c>
      <c r="H25" s="294" t="str">
        <f t="array" ref="H25:K25">IF(Format="Solo",C2,IFNA(VLOOKUP(C2,TeamList,SEQUENCE(1,4,1),0),""))</f>
        <v>placeholder teamname</v>
      </c>
      <c r="I25" s="295" t="s">
        <v>788</v>
      </c>
      <c r="J25" s="294" t="s">
        <v>789</v>
      </c>
      <c r="K25" s="294" t="s">
        <v>790</v>
      </c>
      <c r="L25" s="38"/>
      <c r="M25" s="26"/>
      <c r="N25" s="49"/>
      <c r="O25" s="289"/>
      <c r="P25" s="289"/>
      <c r="Q25" s="19"/>
    </row>
    <row r="26" ht="18.75" customHeight="1">
      <c r="A26" s="19"/>
      <c r="B26" s="26"/>
      <c r="C26" s="36" t="s">
        <v>894</v>
      </c>
      <c r="D26" s="292"/>
      <c r="E26" s="36"/>
      <c r="F26" s="20"/>
      <c r="G26" s="26"/>
      <c r="H26" s="296" t="str">
        <f t="array" ref="H26:K26">IF(Format="Solo",E2,IFNA(VLOOKUP(E2,TeamList,SEQUENCE(1,4,1),0),""))</f>
        <v>:MIPINGA:</v>
      </c>
      <c r="I26" s="297" t="s">
        <v>791</v>
      </c>
      <c r="J26" s="296" t="s">
        <v>792</v>
      </c>
      <c r="K26" s="296" t="s">
        <v>793</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 r:id="rId20" ref="N22"/>
    <hyperlink r:id="rId21" ref="N23"/>
  </hyperlinks>
  <drawing r:id="rId22"/>
  <legacyDrawing r:id="rId2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placeholder teamname</v>
      </c>
      <c r="D2" s="235" t="s">
        <v>854</v>
      </c>
      <c r="E2" s="236" t="str">
        <f>IFNA(VLOOKUP(I2,Schedules,5,0),"")</f>
        <v>Homossexual Students</v>
      </c>
      <c r="F2" s="20"/>
      <c r="G2" s="21" t="s">
        <v>855</v>
      </c>
      <c r="H2" s="237" t="s">
        <v>856</v>
      </c>
      <c r="I2" s="238">
        <v>61.0</v>
      </c>
      <c r="K2" s="238"/>
      <c r="L2" s="20"/>
      <c r="M2" s="21" t="s">
        <v>857</v>
      </c>
      <c r="N2" s="239" t="s">
        <v>25</v>
      </c>
      <c r="O2" s="240" t="s">
        <v>41</v>
      </c>
      <c r="P2" s="4"/>
      <c r="Q2" s="19"/>
    </row>
    <row r="3" ht="18.75" customHeight="1">
      <c r="A3" s="19"/>
      <c r="B3" s="26"/>
      <c r="C3" s="241">
        <f>IF(D6="Blue",-1,COUNTIF(E14:E26,"Red"))</f>
        <v>0</v>
      </c>
      <c r="D3" s="242">
        <f>VLOOKUP(O2,MappoolSettings,2,0)</f>
        <v>13</v>
      </c>
      <c r="E3" s="243">
        <f>IF(D6="Red",-1,COUNTIF(E14:E26,"Blue"))</f>
        <v>7</v>
      </c>
      <c r="F3" s="20"/>
      <c r="G3" s="26"/>
      <c r="H3" s="244" t="s">
        <v>456</v>
      </c>
      <c r="I3" s="35" t="s">
        <v>624</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)"),"**Grand Finals: Match 61**
&lt;https://osu.ppy.sh/community/matches/110601167&gt;
:red_square: placeholder teamname | 0 : 7 | Homossexual Students :blue_square:
placeholder teamname bans | FM3 NM6
Homossexual Students bans | HR3 DT4
First pick | Homossexual "&amp;"Students
:blue_square: | NM5: deathcount - A Beautiful Degeneracy (Remix by Stazma The Junglechrist) [Expert]
:blue_square: | HD2: Kairiki bear feat. Hatsune Miku - Starry Start [Starstruck (CS4 Edit)]
:blue_square: | DT2: Hana - Gekka Jasmine (2014ver.)"&amp;" [Gyro's Light Insane]
:blue_square: | NM1: Airots - Tougen Roman (Epsilon Remix) [Dailycare's Extra]
:blue_square: | NM3: Hatsuki Yura - Witchcraft [mogumogu]
:blue_square: | HD1: Chikuwa - Jinsei Matatabi [Expert]
:blue_square: | DT3: USAO - FREEDOM (Ex"&amp;"tended Mix) [Hard]")</f>
        <v>**Grand Finals: Match 61**
&lt;https://osu.ppy.sh/community/matches/110601167&gt;
:red_square: placeholder teamname | 0 : 7 | Homossexual Students :blue_square:
placeholder teamname bans | FM3 NM6
Homossexual Students bans | HR3 DT4
First pick | Homossexual Students
:blue_square: | NM5: deathcount - A Beautiful Degeneracy (Remix by Stazma The Junglechrist) [Expert]
:blue_square: | HD2: Kairiki bear feat. Hatsune Miku - Starry Start [Starstruck (CS4 Edit)]
:blue_square: | DT2: Hana - Gekka Jasmine (2014ver.) [Gyro's Light Insane]
:blue_square: | NM1: Airots - Tougen Roman (Epsilon Remix) [Dailycare's Extra]
:blue_square: | NM3: Hatsuki Yura - Witchcraft [mogumogu]
:blue_square: | HD1: Chikuwa - Jinsei Matatabi [Expert]
:blue_square: | DT3: USAO - FREEDOM (Extended Mix) [Hard]</v>
      </c>
      <c r="E4" s="248"/>
      <c r="F4" s="20"/>
      <c r="G4" s="26"/>
      <c r="H4" s="237" t="s">
        <v>452</v>
      </c>
      <c r="I4" s="249" t="str">
        <f>IFNA(VLOOKUP(I2,Schedules,6,0),"")</f>
        <v>YaeMyMommy</v>
      </c>
      <c r="K4" s="249"/>
      <c r="L4" s="20"/>
      <c r="M4" s="26"/>
      <c r="N4" s="250" t="str">
        <f>IFERROR(__xludf.DUMMYFUNCTION("IF(O2="""",,ARRAY_CONSTRAIN(FILTER(Maps,Mappools!B4:B27=O2),25,3))"),"NM1: Airots - Tougen Roman (Epsilon Remix) [Dailycare's Extra]")</f>
        <v>NM1: Airots - Tougen Roman (Epsilon Remix) [Dailycare's Extra]</v>
      </c>
      <c r="O4" s="251" t="str">
        <f>IFERROR(__xludf.DUMMYFUNCTION("""COMPUTED_VALUE"""),"!mp map 2792506 0")</f>
        <v>!mp map 2792506 0</v>
      </c>
      <c r="P4" s="251" t="str">
        <f>IFERROR(__xludf.DUMMYFUNCTION("""COMPUTED_VALUE"""),"!mp mods NF")</f>
        <v>!mp mods NF</v>
      </c>
      <c r="Q4" s="19"/>
    </row>
    <row r="5" ht="18.75" customHeight="1">
      <c r="A5" s="19"/>
      <c r="B5" s="26"/>
      <c r="C5" s="246" t="s">
        <v>859</v>
      </c>
      <c r="D5" s="252" t="str">
        <f t="array" ref="D5:E5">IFERROR(VLOOKUP(INDEX($D$14:$D$26,COUNTA($D$14:$D$26)),$N$4:$P$26,{2,3},0),"")</f>
        <v>!mp map 1707909 0</v>
      </c>
      <c r="E5" s="253" t="s">
        <v>109</v>
      </c>
      <c r="F5" s="20"/>
      <c r="G5" s="26"/>
      <c r="H5" s="237" t="s">
        <v>860</v>
      </c>
      <c r="I5" s="254">
        <f t="array" ref="I5">IFNA(SUM(VLOOKUP(I2,Schedules,{2,3},0)),"")</f>
        <v>45193.625</v>
      </c>
      <c r="K5" s="254"/>
      <c r="L5" s="20"/>
      <c r="M5" s="26"/>
      <c r="N5" s="250" t="str">
        <f>IFERROR(__xludf.DUMMYFUNCTION("""COMPUTED_VALUE"""),"NM2: daisan - -+ [Light Another]")</f>
        <v>NM2: daisan - -+ [Light Another]</v>
      </c>
      <c r="O5" s="251" t="str">
        <f>IFERROR(__xludf.DUMMYFUNCTION("""COMPUTED_VALUE"""),"!mp map 3714369 0")</f>
        <v>!mp map 3714369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Hatsuki Yura - Witchcraft [mogumogu]")</f>
        <v>NM3: Hatsuki Yura - Witchcraft [mogumogu]</v>
      </c>
      <c r="O6" s="251" t="str">
        <f>IFERROR(__xludf.DUMMYFUNCTION("""COMPUTED_VALUE"""),"!mp map 3461206 0")</f>
        <v>!mp map 3461206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(placeholder teamname) vs (Homossexual Students)</v>
      </c>
      <c r="L7" s="20"/>
      <c r="M7" s="26"/>
      <c r="N7" s="250" t="str">
        <f>IFERROR(__xludf.DUMMYFUNCTION("""COMPUTED_VALUE"""),"NM4: Zekk - Feelsleft0ut [Acyl x toybot's Another]")</f>
        <v>NM4: Zekk - Feelsleft0ut [Acyl x toybot's Another]</v>
      </c>
      <c r="O7" s="251" t="str">
        <f>IFERROR(__xludf.DUMMYFUNCTION("""COMPUTED_VALUE"""),"!mp map 1737928 0")</f>
        <v>!mp map 1737928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deathcount - A Beautiful Degeneracy (Remix by Stazma The Junglechrist) [Expert]")</f>
        <v>NM5: deathcount - A Beautiful Degeneracy (Remix by Stazma The Junglechrist) [Expert]</v>
      </c>
      <c r="O8" s="251" t="str">
        <f>IFERROR(__xludf.DUMMYFUNCTION("""COMPUTED_VALUE"""),"!mp map 3711739 0")</f>
        <v>!mp map 3711739 0</v>
      </c>
      <c r="P8" s="251" t="str">
        <f>IFERROR(__xludf.DUMMYFUNCTION("""COMPUTED_VALUE"""),"!mp mods NF")</f>
        <v>!mp mods NF</v>
      </c>
      <c r="Q8" s="19"/>
    </row>
    <row r="9" ht="18.75" customHeight="1">
      <c r="A9" s="19"/>
      <c r="B9" s="26"/>
      <c r="C9" s="262" t="str">
        <f>C2</f>
        <v>placeholder teamname</v>
      </c>
      <c r="D9" s="263" t="s">
        <v>405</v>
      </c>
      <c r="E9" s="238" t="s">
        <v>366</v>
      </c>
      <c r="F9" s="20"/>
      <c r="G9" s="26"/>
      <c r="H9" s="237" t="s">
        <v>13</v>
      </c>
      <c r="I9" s="264" t="s">
        <v>868</v>
      </c>
      <c r="K9" s="265"/>
      <c r="L9" s="20"/>
      <c r="M9" s="26"/>
      <c r="N9" s="250" t="str">
        <f>IFERROR(__xludf.DUMMYFUNCTION("""COMPUTED_VALUE"""),"NM6: Kotoha - Cat Loving [bongo's Insane]")</f>
        <v>NM6: Kotoha - Cat Loving [bongo's Insane]</v>
      </c>
      <c r="O9" s="251" t="str">
        <f>IFERROR(__xludf.DUMMYFUNCTION("""COMPUTED_VALUE"""),"!mp map 3711612 0")</f>
        <v>!mp map 3711612 0</v>
      </c>
      <c r="P9" s="251" t="str">
        <f>IFERROR(__xludf.DUMMYFUNCTION("""COMPUTED_VALUE"""),"!mp mods NF")</f>
        <v>!mp mods NF</v>
      </c>
      <c r="Q9" s="19"/>
    </row>
    <row r="10" ht="18.75" customHeight="1">
      <c r="A10" s="19"/>
      <c r="B10" s="26"/>
      <c r="C10" s="266" t="str">
        <f>E2</f>
        <v>Homossexual Students</v>
      </c>
      <c r="D10" s="267" t="s">
        <v>384</v>
      </c>
      <c r="E10" s="268" t="s">
        <v>396</v>
      </c>
      <c r="F10" s="20"/>
      <c r="G10" s="26"/>
      <c r="H10" s="244" t="s">
        <v>869</v>
      </c>
      <c r="I10" s="269" t="str">
        <f t="array" ref="I10:J10">IFNA(IF(VLOOKUP(I2,Schedules,{7,8},0)="",,"!mp addref "&amp;VLOOKUP(I2,Schedules,{7,8},0)),"")</f>
        <v>!mp addref BCraftMG</v>
      </c>
      <c r="J10" s="269"/>
      <c r="K10" s="270"/>
      <c r="L10" s="20"/>
      <c r="M10" s="26"/>
      <c r="N10" s="250" t="str">
        <f>IFERROR(__xludf.DUMMYFUNCTION("""COMPUTED_VALUE"""),"HD1: Chikuwa - Jinsei Matatabi [Expert]")</f>
        <v>HD1: Chikuwa - Jinsei Matatabi [Expert]</v>
      </c>
      <c r="O10" s="251" t="str">
        <f>IFERROR(__xludf.DUMMYFUNCTION("""COMPUTED_VALUE"""),"!mp map 2348578 0")</f>
        <v>!mp map 2348578 0</v>
      </c>
      <c r="P10" s="251" t="str">
        <f>IFERROR(__xludf.DUMMYFUNCTION("""COMPUTED_VALUE"""),"!mp mods HD NF")</f>
        <v>!mp mods HD NF</v>
      </c>
      <c r="Q10" s="19"/>
    </row>
    <row r="11" ht="18.75" customHeight="1">
      <c r="A11" s="19"/>
      <c r="B11" s="26"/>
      <c r="C11" s="271" t="s">
        <v>870</v>
      </c>
      <c r="D11" s="31" t="s">
        <v>891</v>
      </c>
      <c r="F11" s="20"/>
      <c r="G11" s="26"/>
      <c r="H11" s="244" t="s">
        <v>871</v>
      </c>
      <c r="I11" s="272" t="str">
        <f t="array" ref="I11:J11">IF({H25,H26}="",,"!mp invite "&amp;{I25,I26})</f>
        <v>!mp invite Qkiryu</v>
      </c>
      <c r="J11" s="272" t="s">
        <v>928</v>
      </c>
      <c r="K11" s="273"/>
      <c r="L11" s="20"/>
      <c r="M11" s="26"/>
      <c r="N11" s="250" t="str">
        <f>IFERROR(__xludf.DUMMYFUNCTION("""COMPUTED_VALUE"""),"HD2: Kairiki bear feat. Hatsune Miku - Starry Start [Starstruck (CS4 Edit)]")</f>
        <v>HD2: Kairiki bear feat. Hatsune Miku - Starry Start [Starstruck (CS4 Edit)]</v>
      </c>
      <c r="O11" s="251" t="str">
        <f>IFERROR(__xludf.DUMMYFUNCTION("""COMPUTED_VALUE"""),"!mp map 4134134 0")</f>
        <v>!mp map 4134134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Camellia - Wolves Standing Towards Enemies [Insane]")</f>
        <v>HD3: Camellia - Wolves Standing Towards Enemies [Insane]</v>
      </c>
      <c r="O12" s="251" t="str">
        <f>IFERROR(__xludf.DUMMYFUNCTION("""COMPUTED_VALUE"""),"!mp map 2565268 0")</f>
        <v>!mp map 2565268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Dreamcatcher - Chase Me [Extra]")</f>
        <v>HR1: Dreamcatcher - Chase Me [Extra]</v>
      </c>
      <c r="O13" s="251" t="str">
        <f>IFERROR(__xludf.DUMMYFUNCTION("""COMPUTED_VALUE"""),"!mp map 1258993 0")</f>
        <v>!mp map 1258993 0</v>
      </c>
      <c r="P13" s="251" t="str">
        <f>IFERROR(__xludf.DUMMYFUNCTION("""COMPUTED_VALUE"""),"!mp mods HR NF")</f>
        <v>!mp mods HR NF</v>
      </c>
      <c r="Q13" s="19"/>
    </row>
    <row r="14" ht="18.75" customHeight="1">
      <c r="A14" s="19"/>
      <c r="B14" s="26"/>
      <c r="C14" s="36" t="str">
        <f t="array" ref="C14:C26">IF(D11="",,{IF(MOD(SEQUENCE(D3-1,1),2)=1,IF(D11="Red","Red","Blue"),IF(D11="Red","Blue","Red"));"Tiebreaker"})</f>
        <v>Blue</v>
      </c>
      <c r="D14" s="263" t="s">
        <v>363</v>
      </c>
      <c r="E14" s="31" t="s">
        <v>891</v>
      </c>
      <c r="F14" s="20"/>
      <c r="G14" s="26"/>
      <c r="H14" s="278" t="s">
        <v>878</v>
      </c>
      <c r="I14" s="260" t="s">
        <v>879</v>
      </c>
      <c r="J14" s="260" t="s">
        <v>880</v>
      </c>
      <c r="K14" s="261"/>
      <c r="L14" s="20"/>
      <c r="M14" s="26"/>
      <c r="N14" s="250" t="str">
        <f>IFERROR(__xludf.DUMMYFUNCTION("""COMPUTED_VALUE"""),"HR2: factal - Wake Up While Sleeping [Insane]")</f>
        <v>HR2: factal - Wake Up While Sleeping [Insane]</v>
      </c>
      <c r="O14" s="251" t="str">
        <f>IFERROR(__xludf.DUMMYFUNCTION("""COMPUTED_VALUE"""),"!mp map 1592403 0")</f>
        <v>!mp map 1592403 0</v>
      </c>
      <c r="P14" s="251" t="str">
        <f>IFERROR(__xludf.DUMMYFUNCTION("""COMPUTED_VALUE"""),"!mp mods HR NF")</f>
        <v>!mp mods HR NF</v>
      </c>
      <c r="Q14" s="19"/>
    </row>
    <row r="15" ht="18.75" customHeight="1">
      <c r="A15" s="19"/>
      <c r="B15" s="26"/>
      <c r="C15" s="36" t="s">
        <v>893</v>
      </c>
      <c r="D15" s="263" t="s">
        <v>372</v>
      </c>
      <c r="E15" s="31" t="s">
        <v>891</v>
      </c>
      <c r="F15" s="20"/>
      <c r="G15" s="20"/>
      <c r="H15" s="20"/>
      <c r="I15" s="20"/>
      <c r="J15" s="20"/>
      <c r="K15" s="20"/>
      <c r="L15" s="20"/>
      <c r="M15" s="26"/>
      <c r="N15" s="250" t="str">
        <f>IFERROR(__xludf.DUMMYFUNCTION("""COMPUTED_VALUE"""),"HR3: USAO - Chariot (Extended Mix) [lebronJAM]")</f>
        <v>HR3: USAO - Chariot (Extended Mix) [lebronJAM]</v>
      </c>
      <c r="O15" s="251" t="str">
        <f>IFERROR(__xludf.DUMMYFUNCTION("""COMPUTED_VALUE"""),"!mp map 3333734 0")</f>
        <v>!mp map 3333734 0</v>
      </c>
      <c r="P15" s="251" t="str">
        <f>IFERROR(__xludf.DUMMYFUNCTION("""COMPUTED_VALUE"""),"!mp mods HR NF")</f>
        <v>!mp mods HR NF</v>
      </c>
      <c r="Q15" s="19"/>
    </row>
    <row r="16" ht="18.75" customHeight="1">
      <c r="A16" s="19"/>
      <c r="B16" s="26"/>
      <c r="C16" s="36" t="s">
        <v>891</v>
      </c>
      <c r="D16" s="263" t="s">
        <v>390</v>
      </c>
      <c r="E16" s="31" t="s">
        <v>891</v>
      </c>
      <c r="F16" s="20"/>
      <c r="G16" s="21" t="s">
        <v>881</v>
      </c>
      <c r="H16" s="279" t="s">
        <v>882</v>
      </c>
      <c r="I16" s="280">
        <f>VLOOKUP(O2,MappoolSettings,3,0)</f>
        <v>2</v>
      </c>
      <c r="K16" s="281"/>
      <c r="L16" s="20"/>
      <c r="M16" s="26"/>
      <c r="N16" s="250" t="str">
        <f>IFERROR(__xludf.DUMMYFUNCTION("""COMPUTED_VALUE"""),"DT1: Inui Toko - Kimagure Romantic [Light Insane]")</f>
        <v>DT1: Inui Toko - Kimagure Romantic [Light Insane]</v>
      </c>
      <c r="O16" s="251" t="str">
        <f>IFERROR(__xludf.DUMMYFUNCTION("""COMPUTED_VALUE"""),"!mp map 2519731 0")</f>
        <v>!mp map 2519731 0</v>
      </c>
      <c r="P16" s="251" t="str">
        <f>IFERROR(__xludf.DUMMYFUNCTION("""COMPUTED_VALUE"""),"!mp mods DT NF")</f>
        <v>!mp mods DT NF</v>
      </c>
      <c r="Q16" s="19"/>
    </row>
    <row r="17" ht="18.75" customHeight="1">
      <c r="A17" s="19"/>
      <c r="B17" s="26"/>
      <c r="C17" s="36" t="s">
        <v>893</v>
      </c>
      <c r="D17" s="263" t="s">
        <v>351</v>
      </c>
      <c r="E17" s="31" t="s">
        <v>891</v>
      </c>
      <c r="F17" s="20"/>
      <c r="G17" s="26"/>
      <c r="H17" s="282" t="s">
        <v>883</v>
      </c>
      <c r="I17" s="283" t="str">
        <f>ForumPostLink</f>
        <v>https://osu.ppy.sh/community/forums/topics/1790898?n=1?</v>
      </c>
      <c r="L17" s="20"/>
      <c r="M17" s="26"/>
      <c r="N17" s="250" t="str">
        <f>IFERROR(__xludf.DUMMYFUNCTION("""COMPUTED_VALUE"""),"DT2: Hana - Gekka Jasmine (2014ver.) [Gyro's Light Insane]")</f>
        <v>DT2: Hana - Gekka Jasmine (2014ver.) [Gyro's Light Insane]</v>
      </c>
      <c r="O17" s="251" t="str">
        <f>IFERROR(__xludf.DUMMYFUNCTION("""COMPUTED_VALUE"""),"!mp map 1035068 0")</f>
        <v>!mp map 1035068 0</v>
      </c>
      <c r="P17" s="251" t="str">
        <f>IFERROR(__xludf.DUMMYFUNCTION("""COMPUTED_VALUE"""),"!mp mods DT NF")</f>
        <v>!mp mods DT NF</v>
      </c>
      <c r="Q17" s="19"/>
    </row>
    <row r="18" ht="18.75" customHeight="1">
      <c r="A18" s="19"/>
      <c r="B18" s="26"/>
      <c r="C18" s="36" t="s">
        <v>891</v>
      </c>
      <c r="D18" s="263" t="s">
        <v>357</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USAO - FREEDOM (Extended Mix) [Hard]")</f>
        <v>DT3: USAO - FREEDOM (Extended Mix) [Hard]</v>
      </c>
      <c r="O18" s="251" t="str">
        <f>IFERROR(__xludf.DUMMYFUNCTION("""COMPUTED_VALUE"""),"!mp map 1707909 0")</f>
        <v>!mp map 1707909 0</v>
      </c>
      <c r="P18" s="251" t="str">
        <f>IFERROR(__xludf.DUMMYFUNCTION("""COMPUTED_VALUE"""),"!mp mods DT NF")</f>
        <v>!mp mods DT NF</v>
      </c>
      <c r="Q18" s="19"/>
    </row>
    <row r="19" ht="18.75" customHeight="1">
      <c r="A19" s="19"/>
      <c r="B19" s="26"/>
      <c r="C19" s="36" t="s">
        <v>893</v>
      </c>
      <c r="D19" s="263" t="s">
        <v>369</v>
      </c>
      <c r="E19" s="31" t="s">
        <v>891</v>
      </c>
      <c r="F19" s="20"/>
      <c r="G19" s="26"/>
      <c r="H19" s="282" t="s">
        <v>885</v>
      </c>
      <c r="I19" s="284" t="str">
        <f>"Forfeit: "&amp;IF(NoShow2="","Never",NoShow2&amp;"mins")</f>
        <v>Forfeit: 15mins</v>
      </c>
      <c r="J19" s="285"/>
      <c r="K19" s="286"/>
      <c r="L19" s="20"/>
      <c r="M19" s="26"/>
      <c r="N19" s="250" t="str">
        <f>IFERROR(__xludf.DUMMYFUNCTION("""COMPUTED_VALUE"""),"DT4: Crazy Loop - Love Is A Simple Thing [EEeee's Love Ain't So Simple]")</f>
        <v>DT4: Crazy Loop - Love Is A Simple Thing [EEeee's Love Ain't So Simple]</v>
      </c>
      <c r="O19" s="251" t="str">
        <f>IFERROR(__xludf.DUMMYFUNCTION("""COMPUTED_VALUE"""),"!mp map 25341 0")</f>
        <v>!mp map 25341 0</v>
      </c>
      <c r="P19" s="251" t="str">
        <f>IFERROR(__xludf.DUMMYFUNCTION("""COMPUTED_VALUE"""),"!mp mods DT NF")</f>
        <v>!mp mods DT NF</v>
      </c>
      <c r="Q19" s="19"/>
    </row>
    <row r="20" ht="18.75" customHeight="1">
      <c r="A20" s="19"/>
      <c r="B20" s="26"/>
      <c r="C20" s="36" t="s">
        <v>891</v>
      </c>
      <c r="D20" s="263" t="s">
        <v>393</v>
      </c>
      <c r="E20" s="31" t="s">
        <v>891</v>
      </c>
      <c r="F20" s="20"/>
      <c r="G20" s="26"/>
      <c r="H20" s="287" t="s">
        <v>56</v>
      </c>
      <c r="I20" s="288" t="s">
        <v>57</v>
      </c>
      <c r="L20" s="20"/>
      <c r="M20" s="26"/>
      <c r="N20" s="49" t="str">
        <f>IFERROR(__xludf.DUMMYFUNCTION("""COMPUTED_VALUE"""),"FM1: Natori Sana - Mondainai Tripper! [Insane]")</f>
        <v>FM1: Natori Sana - Mondainai Tripper! [Insane]</v>
      </c>
      <c r="O20" s="289" t="str">
        <f>IFERROR(__xludf.DUMMYFUNCTION("""COMPUTED_VALUE"""),"!mp map 3883278 0")</f>
        <v>!mp map 3883278 0</v>
      </c>
      <c r="P20" s="289" t="str">
        <f>IFERROR(__xludf.DUMMYFUNCTION("""COMPUTED_VALUE"""),"!mp mods Freemod")</f>
        <v>!mp mods Freemod</v>
      </c>
      <c r="Q20" s="19"/>
    </row>
    <row r="21" ht="18.75" customHeight="1">
      <c r="A21" s="19"/>
      <c r="B21" s="26"/>
      <c r="C21" s="36" t="s">
        <v>893</v>
      </c>
      <c r="D21" s="263"/>
      <c r="E21" s="31"/>
      <c r="F21" s="20"/>
      <c r="G21" s="26"/>
      <c r="H21" s="287" t="s">
        <v>58</v>
      </c>
      <c r="I21" s="290" t="s">
        <v>886</v>
      </c>
      <c r="L21" s="20"/>
      <c r="M21" s="26"/>
      <c r="N21" s="49" t="str">
        <f>IFERROR(__xludf.DUMMYFUNCTION("""COMPUTED_VALUE"""),"FM2: IOSYS - Midnight Lightning Bolt [Lunatic]")</f>
        <v>FM2: IOSYS - Midnight Lightning Bolt [Lunatic]</v>
      </c>
      <c r="O21" s="289" t="str">
        <f>IFERROR(__xludf.DUMMYFUNCTION("""COMPUTED_VALUE"""),"!mp map 58701 0")</f>
        <v>!mp map 58701 0</v>
      </c>
      <c r="P21" s="289" t="str">
        <f>IFERROR(__xludf.DUMMYFUNCTION("""COMPUTED_VALUE"""),"!mp mods Freemod")</f>
        <v>!mp mods Freemod</v>
      </c>
      <c r="Q21" s="19"/>
    </row>
    <row r="22" ht="18.75" customHeight="1">
      <c r="A22" s="19"/>
      <c r="B22" s="26"/>
      <c r="C22" s="36" t="s">
        <v>891</v>
      </c>
      <c r="D22" s="263"/>
      <c r="E22" s="31"/>
      <c r="F22" s="20"/>
      <c r="G22" s="26"/>
      <c r="H22" s="287" t="s">
        <v>887</v>
      </c>
      <c r="I22" s="48" t="s">
        <v>888</v>
      </c>
      <c r="K22" s="291"/>
      <c r="L22" s="20"/>
      <c r="M22" s="26"/>
      <c r="N22" s="49" t="str">
        <f>IFERROR(__xludf.DUMMYFUNCTION("""COMPUTED_VALUE"""),"FM3: lapix - Flamenco House [JeZalt's Another]")</f>
        <v>FM3: lapix - Flamenco House [JeZalt's Another]</v>
      </c>
      <c r="O22" s="289" t="str">
        <f>IFERROR(__xludf.DUMMYFUNCTION("""COMPUTED_VALUE"""),"!mp map 3853742 0")</f>
        <v>!mp map 3853742 0</v>
      </c>
      <c r="P22" s="289" t="str">
        <f>IFERROR(__xludf.DUMMYFUNCTION("""COMPUTED_VALUE"""),"!mp mods Freemod")</f>
        <v>!mp mods Freemod</v>
      </c>
      <c r="Q22" s="19"/>
    </row>
    <row r="23" ht="18.75" customHeight="1">
      <c r="A23" s="19"/>
      <c r="B23" s="26"/>
      <c r="C23" s="36" t="s">
        <v>893</v>
      </c>
      <c r="D23" s="292"/>
      <c r="E23" s="36"/>
      <c r="F23" s="20"/>
      <c r="G23" s="26"/>
      <c r="H23" s="287" t="s">
        <v>889</v>
      </c>
      <c r="I23" s="48" t="s">
        <v>888</v>
      </c>
      <c r="K23" s="86"/>
      <c r="L23" s="20"/>
      <c r="M23" s="26"/>
      <c r="N23" s="49" t="str">
        <f>IFERROR(__xludf.DUMMYFUNCTION("""COMPUTED_VALUE"""),"TB1: Camellia - d:for the DELTA [Delirium]")</f>
        <v>TB1: Camellia - d:for the DELTA [Delirium]</v>
      </c>
      <c r="O23" s="289" t="str">
        <f>IFERROR(__xludf.DUMMYFUNCTION("""COMPUTED_VALUE"""),"!mp map 862338 0")</f>
        <v>!mp map 862338 0</v>
      </c>
      <c r="P23" s="289" t="str">
        <f>IFERROR(__xludf.DUMMYFUNCTION("""COMPUTED_VALUE"""),"!mp mods Freemod")</f>
        <v>!mp mods Freemod</v>
      </c>
      <c r="Q23" s="19"/>
    </row>
    <row r="24" ht="18.75" customHeight="1">
      <c r="A24" s="19"/>
      <c r="B24" s="26"/>
      <c r="C24" s="36" t="s">
        <v>891</v>
      </c>
      <c r="D24" s="292"/>
      <c r="E24" s="36"/>
      <c r="F24" s="20"/>
      <c r="G24" s="20"/>
      <c r="H24" s="20"/>
      <c r="I24" s="20"/>
      <c r="J24" s="20"/>
      <c r="K24" s="20"/>
      <c r="L24" s="20"/>
      <c r="M24" s="26"/>
      <c r="N24" s="49"/>
      <c r="O24" s="289"/>
      <c r="P24" s="289"/>
      <c r="Q24" s="19"/>
    </row>
    <row r="25" ht="18.75" customHeight="1">
      <c r="A25" s="19"/>
      <c r="B25" s="26"/>
      <c r="C25" s="36" t="s">
        <v>893</v>
      </c>
      <c r="D25" s="292"/>
      <c r="E25" s="36"/>
      <c r="F25" s="20"/>
      <c r="G25" s="293" t="s">
        <v>890</v>
      </c>
      <c r="H25" s="294" t="str">
        <f t="array" ref="H25:K25">IF(Format="Solo",C2,IFNA(VLOOKUP(C2,TeamList,SEQUENCE(1,4,1),0),""))</f>
        <v>placeholder teamname</v>
      </c>
      <c r="I25" s="295" t="s">
        <v>788</v>
      </c>
      <c r="J25" s="294" t="s">
        <v>789</v>
      </c>
      <c r="K25" s="294" t="s">
        <v>790</v>
      </c>
      <c r="L25" s="38"/>
      <c r="M25" s="26"/>
      <c r="N25" s="49"/>
      <c r="O25" s="289"/>
      <c r="P25" s="289"/>
      <c r="Q25" s="19"/>
    </row>
    <row r="26" ht="18.75" customHeight="1">
      <c r="A26" s="19"/>
      <c r="B26" s="26"/>
      <c r="C26" s="36" t="s">
        <v>894</v>
      </c>
      <c r="D26" s="292"/>
      <c r="E26" s="36"/>
      <c r="F26" s="20"/>
      <c r="G26" s="26"/>
      <c r="H26" s="296" t="str">
        <f t="array" ref="H26:K26">IF(Format="Solo",E2,IFNA(VLOOKUP(E2,TeamList,SEQUENCE(1,4,1),0),""))</f>
        <v>Homossexual Students</v>
      </c>
      <c r="I26" s="297" t="s">
        <v>713</v>
      </c>
      <c r="J26" s="296" t="s">
        <v>714</v>
      </c>
      <c r="K26" s="296" t="s">
        <v>715</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 r:id="rId20" ref="N22"/>
    <hyperlink r:id="rId21" ref="N23"/>
  </hyperlinks>
  <drawing r:id="rId22"/>
  <legacyDrawing r:id="rId2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:MIPINGA:</v>
      </c>
      <c r="D2" s="235" t="s">
        <v>854</v>
      </c>
      <c r="E2" s="236" t="str">
        <f>IFNA(VLOOKUP(I2,Schedules,5,0),"")</f>
        <v>Homossexual Students</v>
      </c>
      <c r="F2" s="20"/>
      <c r="G2" s="21" t="s">
        <v>855</v>
      </c>
      <c r="H2" s="237" t="s">
        <v>856</v>
      </c>
      <c r="I2" s="238">
        <v>62.0</v>
      </c>
      <c r="K2" s="238"/>
      <c r="L2" s="20"/>
      <c r="M2" s="21" t="s">
        <v>857</v>
      </c>
      <c r="N2" s="239" t="s">
        <v>25</v>
      </c>
      <c r="O2" s="240" t="s">
        <v>41</v>
      </c>
      <c r="P2" s="4"/>
      <c r="Q2" s="19"/>
    </row>
    <row r="3" ht="18.75" customHeight="1">
      <c r="A3" s="19"/>
      <c r="B3" s="26"/>
      <c r="C3" s="241">
        <f>IF(D6="Blue",-1,COUNTIF(E14:E26,"Red"))</f>
        <v>7</v>
      </c>
      <c r="D3" s="242">
        <f>VLOOKUP(O2,MappoolSettings,2,0)</f>
        <v>13</v>
      </c>
      <c r="E3" s="243">
        <f>IF(D6="Red",-1,COUNTIF(E14:E26,"Blue"))</f>
        <v>6</v>
      </c>
      <c r="F3" s="20"/>
      <c r="G3" s="26"/>
      <c r="H3" s="244" t="s">
        <v>456</v>
      </c>
      <c r="I3" s="35" t="s">
        <v>626</v>
      </c>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)"),"**Grand Finals: Match 62**
&lt;https://osu.ppy.sh/community/matches/110607052&gt;
:red_square: \:MIPINGA: | 7 : 6 | Homossexual Students :blue_square:
:MIPINGA: bans | DT2 HD2
Homossexual Students bans | DT4 HR3
First pick | :MIPINGA:
:blue_square: | HR1: D"&amp;"reamcatcher - Chase Me [Extra]
:red_square: | NM5: deathcount - A Beautiful Degeneracy (Remix by Stazma The Junglechrist) [Expert]
:blue_square: | FM1: Natori Sana - Mondainai Tripper! [Insane]
:blue_square: | NM3: Hatsuki Yura - Witchcraft [mogumogu]
:bl"&amp;"ue_square: | NM2: daisan - -+ [Light Another]
:blue_square: | HD1: Chikuwa - Jinsei Matatabi [Expert]
:red_square: | HR2: factal - Wake Up While Sleeping [Insane]
:red_square: | DT3: USAO - FREEDOM (Extended Mix) [Hard]
:red_square: | FM2: IOSYS - Midnigh"&amp;"t Lightning Bolt [Lunatic]
:blue_square: | NM4: Zekk - Feelsleft0ut [Acyl x toybot's Another]
:red_square: | NM6: Kotoha - Cat Loving [bongo's Insane]
:red_square: | NM1: Airots - Tougen Roman (Epsilon Remix) [Dailycare's Extra]
:red_square: | TB1: Camell"&amp;"ia - d:for the DELTA [Delirium]")</f>
        <v>**Grand Finals: Match 62**
&lt;https://osu.ppy.sh/community/matches/110607052&gt;
:red_square: \:MIPINGA: | 7 : 6 | Homossexual Students :blue_square:
:MIPINGA: bans | DT2 HD2
Homossexual Students bans | DT4 HR3
First pick | :MIPINGA:
:blue_square: | HR1: Dreamcatcher - Chase Me [Extra]
:red_square: | NM5: deathcount - A Beautiful Degeneracy (Remix by Stazma The Junglechrist) [Expert]
:blue_square: | FM1: Natori Sana - Mondainai Tripper! [Insane]
:blue_square: | NM3: Hatsuki Yura - Witchcraft [mogumogu]
:blue_square: | NM2: daisan - -+ [Light Another]
:blue_square: | HD1: Chikuwa - Jinsei Matatabi [Expert]
:red_square: | HR2: factal - Wake Up While Sleeping [Insane]
:red_square: | DT3: USAO - FREEDOM (Extended Mix) [Hard]
:red_square: | FM2: IOSYS - Midnight Lightning Bolt [Lunatic]
:blue_square: | NM4: Zekk - Feelsleft0ut [Acyl x toybot's Another]
:red_square: | NM6: Kotoha - Cat Loving [bongo's Insane]
:red_square: | NM1: Airots - Tougen Roman (Epsilon Remix) [Dailycare's Extra]
:red_square: | TB1: Camellia - d:for the DELTA [Delirium]</v>
      </c>
      <c r="E4" s="248"/>
      <c r="F4" s="20"/>
      <c r="G4" s="26"/>
      <c r="H4" s="237" t="s">
        <v>452</v>
      </c>
      <c r="I4" s="249" t="str">
        <f>IFNA(VLOOKUP(I2,Schedules,6,0),"")</f>
        <v/>
      </c>
      <c r="K4" s="249"/>
      <c r="L4" s="20"/>
      <c r="M4" s="26"/>
      <c r="N4" s="250" t="str">
        <f>IFERROR(__xludf.DUMMYFUNCTION("IF(O2="""",,ARRAY_CONSTRAIN(FILTER(Maps,Mappools!B4:B27=O2),25,3))"),"NM1: Airots - Tougen Roman (Epsilon Remix) [Dailycare's Extra]")</f>
        <v>NM1: Airots - Tougen Roman (Epsilon Remix) [Dailycare's Extra]</v>
      </c>
      <c r="O4" s="251" t="str">
        <f>IFERROR(__xludf.DUMMYFUNCTION("""COMPUTED_VALUE"""),"!mp map 2792506 0")</f>
        <v>!mp map 2792506 0</v>
      </c>
      <c r="P4" s="251" t="str">
        <f>IFERROR(__xludf.DUMMYFUNCTION("""COMPUTED_VALUE"""),"!mp mods NF")</f>
        <v>!mp mods NF</v>
      </c>
      <c r="Q4" s="19"/>
    </row>
    <row r="5" ht="18.75" customHeight="1">
      <c r="A5" s="19"/>
      <c r="B5" s="26"/>
      <c r="C5" s="246" t="s">
        <v>859</v>
      </c>
      <c r="D5" s="252" t="str">
        <f t="array" ref="D5:E5">IFERROR(VLOOKUP(INDEX($D$14:$D$26,COUNTA($D$14:$D$26)),$N$4:$P$26,{2,3},0),"")</f>
        <v>!mp map 862338 0</v>
      </c>
      <c r="E5" s="253" t="s">
        <v>122</v>
      </c>
      <c r="F5" s="20"/>
      <c r="G5" s="26"/>
      <c r="H5" s="237" t="s">
        <v>860</v>
      </c>
      <c r="I5" s="254">
        <f t="array" ref="I5">IFNA(SUM(VLOOKUP(I2,Schedules,{2,3},0)),"")</f>
        <v>45193.875</v>
      </c>
      <c r="K5" s="254"/>
      <c r="L5" s="20"/>
      <c r="M5" s="26"/>
      <c r="N5" s="250" t="str">
        <f>IFERROR(__xludf.DUMMYFUNCTION("""COMPUTED_VALUE"""),"NM2: daisan - -+ [Light Another]")</f>
        <v>NM2: daisan - -+ [Light Another]</v>
      </c>
      <c r="O5" s="251" t="str">
        <f>IFERROR(__xludf.DUMMYFUNCTION("""COMPUTED_VALUE"""),"!mp map 3714369 0")</f>
        <v>!mp map 3714369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Hatsuki Yura - Witchcraft [mogumogu]")</f>
        <v>NM3: Hatsuki Yura - Witchcraft [mogumogu]</v>
      </c>
      <c r="O6" s="251" t="str">
        <f>IFERROR(__xludf.DUMMYFUNCTION("""COMPUTED_VALUE"""),"!mp map 3461206 0")</f>
        <v>!mp map 3461206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(:MIPINGA:) vs (Homossexual Students)</v>
      </c>
      <c r="L7" s="20"/>
      <c r="M7" s="26"/>
      <c r="N7" s="250" t="str">
        <f>IFERROR(__xludf.DUMMYFUNCTION("""COMPUTED_VALUE"""),"NM4: Zekk - Feelsleft0ut [Acyl x toybot's Another]")</f>
        <v>NM4: Zekk - Feelsleft0ut [Acyl x toybot's Another]</v>
      </c>
      <c r="O7" s="251" t="str">
        <f>IFERROR(__xludf.DUMMYFUNCTION("""COMPUTED_VALUE"""),"!mp map 1737928 0")</f>
        <v>!mp map 1737928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deathcount - A Beautiful Degeneracy (Remix by Stazma The Junglechrist) [Expert]")</f>
        <v>NM5: deathcount - A Beautiful Degeneracy (Remix by Stazma The Junglechrist) [Expert]</v>
      </c>
      <c r="O8" s="251" t="str">
        <f>IFERROR(__xludf.DUMMYFUNCTION("""COMPUTED_VALUE"""),"!mp map 3711739 0")</f>
        <v>!mp map 3711739 0</v>
      </c>
      <c r="P8" s="251" t="str">
        <f>IFERROR(__xludf.DUMMYFUNCTION("""COMPUTED_VALUE"""),"!mp mods NF")</f>
        <v>!mp mods NF</v>
      </c>
      <c r="Q8" s="19"/>
    </row>
    <row r="9" ht="18.75" customHeight="1">
      <c r="A9" s="19"/>
      <c r="B9" s="26"/>
      <c r="C9" s="262" t="str">
        <f>C2</f>
        <v>:MIPINGA:</v>
      </c>
      <c r="D9" s="263" t="s">
        <v>390</v>
      </c>
      <c r="E9" s="238" t="s">
        <v>372</v>
      </c>
      <c r="F9" s="20"/>
      <c r="G9" s="26"/>
      <c r="H9" s="237" t="s">
        <v>13</v>
      </c>
      <c r="I9" s="264" t="s">
        <v>868</v>
      </c>
      <c r="K9" s="265"/>
      <c r="L9" s="20"/>
      <c r="M9" s="26"/>
      <c r="N9" s="250" t="str">
        <f>IFERROR(__xludf.DUMMYFUNCTION("""COMPUTED_VALUE"""),"NM6: Kotoha - Cat Loving [bongo's Insane]")</f>
        <v>NM6: Kotoha - Cat Loving [bongo's Insane]</v>
      </c>
      <c r="O9" s="251" t="str">
        <f>IFERROR(__xludf.DUMMYFUNCTION("""COMPUTED_VALUE"""),"!mp map 3711612 0")</f>
        <v>!mp map 3711612 0</v>
      </c>
      <c r="P9" s="251" t="str">
        <f>IFERROR(__xludf.DUMMYFUNCTION("""COMPUTED_VALUE"""),"!mp mods NF")</f>
        <v>!mp mods NF</v>
      </c>
      <c r="Q9" s="19"/>
    </row>
    <row r="10" ht="18.75" customHeight="1">
      <c r="A10" s="19"/>
      <c r="B10" s="26"/>
      <c r="C10" s="266" t="str">
        <f>E2</f>
        <v>Homossexual Students</v>
      </c>
      <c r="D10" s="267" t="s">
        <v>396</v>
      </c>
      <c r="E10" s="268" t="s">
        <v>384</v>
      </c>
      <c r="F10" s="20"/>
      <c r="G10" s="26"/>
      <c r="H10" s="244" t="s">
        <v>869</v>
      </c>
      <c r="I10" s="269" t="str">
        <f t="array" ref="I10:J10">IFNA(IF(VLOOKUP(I2,Schedules,{7,8},0)="",,"!mp addref "&amp;VLOOKUP(I2,Schedules,{7,8},0)),"")</f>
        <v/>
      </c>
      <c r="J10" s="269"/>
      <c r="K10" s="270"/>
      <c r="L10" s="20"/>
      <c r="M10" s="26"/>
      <c r="N10" s="250" t="str">
        <f>IFERROR(__xludf.DUMMYFUNCTION("""COMPUTED_VALUE"""),"HD1: Chikuwa - Jinsei Matatabi [Expert]")</f>
        <v>HD1: Chikuwa - Jinsei Matatabi [Expert]</v>
      </c>
      <c r="O10" s="251" t="str">
        <f>IFERROR(__xludf.DUMMYFUNCTION("""COMPUTED_VALUE"""),"!mp map 2348578 0")</f>
        <v>!mp map 2348578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RAAPslimshady</v>
      </c>
      <c r="J11" s="272" t="s">
        <v>928</v>
      </c>
      <c r="K11" s="273"/>
      <c r="L11" s="20"/>
      <c r="M11" s="26"/>
      <c r="N11" s="250" t="str">
        <f>IFERROR(__xludf.DUMMYFUNCTION("""COMPUTED_VALUE"""),"HD2: Kairiki bear feat. Hatsune Miku - Starry Start [Starstruck (CS4 Edit)]")</f>
        <v>HD2: Kairiki bear feat. Hatsune Miku - Starry Start [Starstruck (CS4 Edit)]</v>
      </c>
      <c r="O11" s="251" t="str">
        <f>IFERROR(__xludf.DUMMYFUNCTION("""COMPUTED_VALUE"""),"!mp map 4134134 0")</f>
        <v>!mp map 4134134 0</v>
      </c>
      <c r="P11" s="251" t="str">
        <f>IFERROR(__xludf.DUMMYFUNCTION("""COMPUTED_VALUE"""),"!mp mods HD NF")</f>
        <v>!mp mods HD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IFERROR(__xludf.DUMMYFUNCTION("""COMPUTED_VALUE"""),"HD3: Camellia - Wolves Standing Towards Enemies [Insane]")</f>
        <v>HD3: Camellia - Wolves Standing Towards Enemies [Insane]</v>
      </c>
      <c r="O12" s="251" t="str">
        <f>IFERROR(__xludf.DUMMYFUNCTION("""COMPUTED_VALUE"""),"!mp map 2565268 0")</f>
        <v>!mp map 2565268 0</v>
      </c>
      <c r="P12" s="251" t="str">
        <f>IFERROR(__xludf.DUMMYFUNCTION("""COMPUTED_VALUE"""),"!mp mods HD NF")</f>
        <v>!mp mods HD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IFERROR(__xludf.DUMMYFUNCTION("""COMPUTED_VALUE"""),"HR1: Dreamcatcher - Chase Me [Extra]")</f>
        <v>HR1: Dreamcatcher - Chase Me [Extra]</v>
      </c>
      <c r="O13" s="251" t="str">
        <f>IFERROR(__xludf.DUMMYFUNCTION("""COMPUTED_VALUE"""),"!mp map 1258993 0")</f>
        <v>!mp map 1258993 0</v>
      </c>
      <c r="P13" s="251" t="str">
        <f>IFERROR(__xludf.DUMMYFUNCTION("""COMPUTED_VALUE"""),"!mp mods HR NF")</f>
        <v>!mp mods HR NF</v>
      </c>
      <c r="Q13" s="19"/>
    </row>
    <row r="14" ht="18.75" customHeight="1">
      <c r="A14" s="19"/>
      <c r="B14" s="26"/>
      <c r="C14" s="36" t="str">
        <f t="array" ref="C14:C26">IF(D11="",,{IF(MOD(SEQUENCE(D3-1,1),2)=1,IF(D11="Red","Red","Blue"),IF(D11="Red","Blue","Red"));"Tiebreaker"})</f>
        <v>Red</v>
      </c>
      <c r="D14" s="263" t="s">
        <v>378</v>
      </c>
      <c r="E14" s="31" t="s">
        <v>891</v>
      </c>
      <c r="F14" s="20"/>
      <c r="G14" s="26"/>
      <c r="H14" s="278" t="s">
        <v>878</v>
      </c>
      <c r="I14" s="260" t="s">
        <v>879</v>
      </c>
      <c r="J14" s="260" t="s">
        <v>880</v>
      </c>
      <c r="K14" s="261"/>
      <c r="L14" s="20"/>
      <c r="M14" s="26"/>
      <c r="N14" s="250" t="str">
        <f>IFERROR(__xludf.DUMMYFUNCTION("""COMPUTED_VALUE"""),"HR2: factal - Wake Up While Sleeping [Insane]")</f>
        <v>HR2: factal - Wake Up While Sleeping [Insane]</v>
      </c>
      <c r="O14" s="251" t="str">
        <f>IFERROR(__xludf.DUMMYFUNCTION("""COMPUTED_VALUE"""),"!mp map 1592403 0")</f>
        <v>!mp map 1592403 0</v>
      </c>
      <c r="P14" s="251" t="str">
        <f>IFERROR(__xludf.DUMMYFUNCTION("""COMPUTED_VALUE"""),"!mp mods HR NF")</f>
        <v>!mp mods HR NF</v>
      </c>
      <c r="Q14" s="19"/>
    </row>
    <row r="15" ht="18.75" customHeight="1">
      <c r="A15" s="19"/>
      <c r="B15" s="26"/>
      <c r="C15" s="36" t="s">
        <v>891</v>
      </c>
      <c r="D15" s="263" t="s">
        <v>363</v>
      </c>
      <c r="E15" s="31" t="s">
        <v>893</v>
      </c>
      <c r="F15" s="20"/>
      <c r="G15" s="20"/>
      <c r="H15" s="20"/>
      <c r="I15" s="20"/>
      <c r="J15" s="20"/>
      <c r="K15" s="20"/>
      <c r="L15" s="20"/>
      <c r="M15" s="26"/>
      <c r="N15" s="250" t="str">
        <f>IFERROR(__xludf.DUMMYFUNCTION("""COMPUTED_VALUE"""),"HR3: USAO - Chariot (Extended Mix) [lebronJAM]")</f>
        <v>HR3: USAO - Chariot (Extended Mix) [lebronJAM]</v>
      </c>
      <c r="O15" s="251" t="str">
        <f>IFERROR(__xludf.DUMMYFUNCTION("""COMPUTED_VALUE"""),"!mp map 3333734 0")</f>
        <v>!mp map 3333734 0</v>
      </c>
      <c r="P15" s="251" t="str">
        <f>IFERROR(__xludf.DUMMYFUNCTION("""COMPUTED_VALUE"""),"!mp mods HR NF")</f>
        <v>!mp mods HR NF</v>
      </c>
      <c r="Q15" s="19"/>
    </row>
    <row r="16" ht="18.75" customHeight="1">
      <c r="A16" s="19"/>
      <c r="B16" s="26"/>
      <c r="C16" s="36" t="s">
        <v>893</v>
      </c>
      <c r="D16" s="263" t="s">
        <v>399</v>
      </c>
      <c r="E16" s="31" t="s">
        <v>891</v>
      </c>
      <c r="F16" s="20"/>
      <c r="G16" s="21" t="s">
        <v>881</v>
      </c>
      <c r="H16" s="279" t="s">
        <v>882</v>
      </c>
      <c r="I16" s="280">
        <f>VLOOKUP(O2,MappoolSettings,3,0)</f>
        <v>2</v>
      </c>
      <c r="K16" s="281"/>
      <c r="L16" s="20"/>
      <c r="M16" s="26"/>
      <c r="N16" s="250" t="str">
        <f>IFERROR(__xludf.DUMMYFUNCTION("""COMPUTED_VALUE"""),"DT1: Inui Toko - Kimagure Romantic [Light Insane]")</f>
        <v>DT1: Inui Toko - Kimagure Romantic [Light Insane]</v>
      </c>
      <c r="O16" s="251" t="str">
        <f>IFERROR(__xludf.DUMMYFUNCTION("""COMPUTED_VALUE"""),"!mp map 2519731 0")</f>
        <v>!mp map 2519731 0</v>
      </c>
      <c r="P16" s="251" t="str">
        <f>IFERROR(__xludf.DUMMYFUNCTION("""COMPUTED_VALUE"""),"!mp mods DT NF")</f>
        <v>!mp mods DT NF</v>
      </c>
      <c r="Q16" s="19"/>
    </row>
    <row r="17" ht="18.75" customHeight="1">
      <c r="A17" s="19"/>
      <c r="B17" s="26"/>
      <c r="C17" s="36" t="s">
        <v>891</v>
      </c>
      <c r="D17" s="263" t="s">
        <v>357</v>
      </c>
      <c r="E17" s="31" t="s">
        <v>891</v>
      </c>
      <c r="F17" s="20"/>
      <c r="G17" s="26"/>
      <c r="H17" s="282" t="s">
        <v>883</v>
      </c>
      <c r="I17" s="283" t="str">
        <f>ForumPostLink</f>
        <v>https://osu.ppy.sh/community/forums/topics/1790898?n=1?</v>
      </c>
      <c r="L17" s="20"/>
      <c r="M17" s="26"/>
      <c r="N17" s="250" t="str">
        <f>IFERROR(__xludf.DUMMYFUNCTION("""COMPUTED_VALUE"""),"DT2: Hana - Gekka Jasmine (2014ver.) [Gyro's Light Insane]")</f>
        <v>DT2: Hana - Gekka Jasmine (2014ver.) [Gyro's Light Insane]</v>
      </c>
      <c r="O17" s="251" t="str">
        <f>IFERROR(__xludf.DUMMYFUNCTION("""COMPUTED_VALUE"""),"!mp map 1035068 0")</f>
        <v>!mp map 1035068 0</v>
      </c>
      <c r="P17" s="251" t="str">
        <f>IFERROR(__xludf.DUMMYFUNCTION("""COMPUTED_VALUE"""),"!mp mods DT NF")</f>
        <v>!mp mods DT NF</v>
      </c>
      <c r="Q17" s="19"/>
    </row>
    <row r="18" ht="18.75" customHeight="1">
      <c r="A18" s="19"/>
      <c r="B18" s="26"/>
      <c r="C18" s="36" t="s">
        <v>893</v>
      </c>
      <c r="D18" s="263" t="s">
        <v>354</v>
      </c>
      <c r="E18" s="31" t="s">
        <v>891</v>
      </c>
      <c r="F18" s="20"/>
      <c r="G18" s="26"/>
      <c r="H18" s="282" t="s">
        <v>884</v>
      </c>
      <c r="I18" s="283" t="str">
        <f>MainSheetLink</f>
        <v>https://docs.google.com/spreadsheets/d/1u1R-0YeX71qksHP7hWq8QkjcpECX-9LSvskalZ8hxdg/edit?usp=sharing</v>
      </c>
      <c r="L18" s="20"/>
      <c r="M18" s="26"/>
      <c r="N18" s="250" t="str">
        <f>IFERROR(__xludf.DUMMYFUNCTION("""COMPUTED_VALUE"""),"DT3: USAO - FREEDOM (Extended Mix) [Hard]")</f>
        <v>DT3: USAO - FREEDOM (Extended Mix) [Hard]</v>
      </c>
      <c r="O18" s="251" t="str">
        <f>IFERROR(__xludf.DUMMYFUNCTION("""COMPUTED_VALUE"""),"!mp map 1707909 0")</f>
        <v>!mp map 1707909 0</v>
      </c>
      <c r="P18" s="251" t="str">
        <f>IFERROR(__xludf.DUMMYFUNCTION("""COMPUTED_VALUE"""),"!mp mods DT NF")</f>
        <v>!mp mods DT NF</v>
      </c>
      <c r="Q18" s="19"/>
    </row>
    <row r="19" ht="18.75" customHeight="1">
      <c r="A19" s="19"/>
      <c r="B19" s="26"/>
      <c r="C19" s="36" t="s">
        <v>891</v>
      </c>
      <c r="D19" s="263" t="s">
        <v>369</v>
      </c>
      <c r="E19" s="31" t="s">
        <v>891</v>
      </c>
      <c r="F19" s="20"/>
      <c r="G19" s="26"/>
      <c r="H19" s="282" t="s">
        <v>885</v>
      </c>
      <c r="I19" s="284" t="str">
        <f>"Forfeit: "&amp;IF(NoShow2="","Never",NoShow2&amp;"mins")</f>
        <v>Forfeit: 15mins</v>
      </c>
      <c r="J19" s="285"/>
      <c r="K19" s="286"/>
      <c r="L19" s="20"/>
      <c r="M19" s="26"/>
      <c r="N19" s="250" t="str">
        <f>IFERROR(__xludf.DUMMYFUNCTION("""COMPUTED_VALUE"""),"DT4: Crazy Loop - Love Is A Simple Thing [EEeee's Love Ain't So Simple]")</f>
        <v>DT4: Crazy Loop - Love Is A Simple Thing [EEeee's Love Ain't So Simple]</v>
      </c>
      <c r="O19" s="251" t="str">
        <f>IFERROR(__xludf.DUMMYFUNCTION("""COMPUTED_VALUE"""),"!mp map 25341 0")</f>
        <v>!mp map 25341 0</v>
      </c>
      <c r="P19" s="251" t="str">
        <f>IFERROR(__xludf.DUMMYFUNCTION("""COMPUTED_VALUE"""),"!mp mods DT NF")</f>
        <v>!mp mods DT NF</v>
      </c>
      <c r="Q19" s="19"/>
    </row>
    <row r="20" ht="18.75" customHeight="1">
      <c r="A20" s="19"/>
      <c r="B20" s="26"/>
      <c r="C20" s="36" t="s">
        <v>893</v>
      </c>
      <c r="D20" s="263" t="s">
        <v>381</v>
      </c>
      <c r="E20" s="31" t="s">
        <v>893</v>
      </c>
      <c r="F20" s="20"/>
      <c r="G20" s="26"/>
      <c r="H20" s="287" t="s">
        <v>56</v>
      </c>
      <c r="I20" s="288" t="s">
        <v>57</v>
      </c>
      <c r="L20" s="20"/>
      <c r="M20" s="26"/>
      <c r="N20" s="49" t="str">
        <f>IFERROR(__xludf.DUMMYFUNCTION("""COMPUTED_VALUE"""),"FM1: Natori Sana - Mondainai Tripper! [Insane]")</f>
        <v>FM1: Natori Sana - Mondainai Tripper! [Insane]</v>
      </c>
      <c r="O20" s="289" t="str">
        <f>IFERROR(__xludf.DUMMYFUNCTION("""COMPUTED_VALUE"""),"!mp map 3883278 0")</f>
        <v>!mp map 3883278 0</v>
      </c>
      <c r="P20" s="289" t="str">
        <f>IFERROR(__xludf.DUMMYFUNCTION("""COMPUTED_VALUE"""),"!mp mods Freemod")</f>
        <v>!mp mods Freemod</v>
      </c>
      <c r="Q20" s="19"/>
    </row>
    <row r="21" ht="18.75" customHeight="1">
      <c r="A21" s="19"/>
      <c r="B21" s="26"/>
      <c r="C21" s="36" t="s">
        <v>891</v>
      </c>
      <c r="D21" s="263" t="s">
        <v>393</v>
      </c>
      <c r="E21" s="31" t="s">
        <v>893</v>
      </c>
      <c r="F21" s="20"/>
      <c r="G21" s="26"/>
      <c r="H21" s="287" t="s">
        <v>58</v>
      </c>
      <c r="I21" s="290" t="s">
        <v>886</v>
      </c>
      <c r="L21" s="20"/>
      <c r="M21" s="26"/>
      <c r="N21" s="49" t="str">
        <f>IFERROR(__xludf.DUMMYFUNCTION("""COMPUTED_VALUE"""),"FM2: IOSYS - Midnight Lightning Bolt [Lunatic]")</f>
        <v>FM2: IOSYS - Midnight Lightning Bolt [Lunatic]</v>
      </c>
      <c r="O21" s="289" t="str">
        <f>IFERROR(__xludf.DUMMYFUNCTION("""COMPUTED_VALUE"""),"!mp map 58701 0")</f>
        <v>!mp map 58701 0</v>
      </c>
      <c r="P21" s="289" t="str">
        <f>IFERROR(__xludf.DUMMYFUNCTION("""COMPUTED_VALUE"""),"!mp mods Freemod")</f>
        <v>!mp mods Freemod</v>
      </c>
      <c r="Q21" s="19"/>
    </row>
    <row r="22" ht="18.75" customHeight="1">
      <c r="A22" s="19"/>
      <c r="B22" s="26"/>
      <c r="C22" s="36" t="s">
        <v>893</v>
      </c>
      <c r="D22" s="263" t="s">
        <v>402</v>
      </c>
      <c r="E22" s="31" t="s">
        <v>893</v>
      </c>
      <c r="F22" s="20"/>
      <c r="G22" s="26"/>
      <c r="H22" s="287" t="s">
        <v>887</v>
      </c>
      <c r="I22" s="48" t="s">
        <v>888</v>
      </c>
      <c r="K22" s="291"/>
      <c r="L22" s="20"/>
      <c r="M22" s="26"/>
      <c r="N22" s="49" t="str">
        <f>IFERROR(__xludf.DUMMYFUNCTION("""COMPUTED_VALUE"""),"FM3: lapix - Flamenco House [JeZalt's Another]")</f>
        <v>FM3: lapix - Flamenco House [JeZalt's Another]</v>
      </c>
      <c r="O22" s="289" t="str">
        <f>IFERROR(__xludf.DUMMYFUNCTION("""COMPUTED_VALUE"""),"!mp map 3853742 0")</f>
        <v>!mp map 3853742 0</v>
      </c>
      <c r="P22" s="289" t="str">
        <f>IFERROR(__xludf.DUMMYFUNCTION("""COMPUTED_VALUE"""),"!mp mods Freemod")</f>
        <v>!mp mods Freemod</v>
      </c>
      <c r="Q22" s="19"/>
    </row>
    <row r="23" ht="18.75" customHeight="1">
      <c r="A23" s="19"/>
      <c r="B23" s="26"/>
      <c r="C23" s="36" t="s">
        <v>891</v>
      </c>
      <c r="D23" s="263" t="s">
        <v>360</v>
      </c>
      <c r="E23" s="31" t="s">
        <v>891</v>
      </c>
      <c r="F23" s="20"/>
      <c r="G23" s="26"/>
      <c r="H23" s="287" t="s">
        <v>889</v>
      </c>
      <c r="I23" s="48" t="s">
        <v>888</v>
      </c>
      <c r="K23" s="86"/>
      <c r="L23" s="20"/>
      <c r="M23" s="26"/>
      <c r="N23" s="49" t="str">
        <f>IFERROR(__xludf.DUMMYFUNCTION("""COMPUTED_VALUE"""),"TB1: Camellia - d:for the DELTA [Delirium]")</f>
        <v>TB1: Camellia - d:for the DELTA [Delirium]</v>
      </c>
      <c r="O23" s="289" t="str">
        <f>IFERROR(__xludf.DUMMYFUNCTION("""COMPUTED_VALUE"""),"!mp map 862338 0")</f>
        <v>!mp map 862338 0</v>
      </c>
      <c r="P23" s="289" t="str">
        <f>IFERROR(__xludf.DUMMYFUNCTION("""COMPUTED_VALUE"""),"!mp mods Freemod")</f>
        <v>!mp mods Freemod</v>
      </c>
      <c r="Q23" s="19"/>
    </row>
    <row r="24" ht="18.75" customHeight="1">
      <c r="A24" s="19"/>
      <c r="B24" s="26"/>
      <c r="C24" s="36" t="s">
        <v>893</v>
      </c>
      <c r="D24" s="263" t="s">
        <v>366</v>
      </c>
      <c r="E24" s="31" t="s">
        <v>893</v>
      </c>
      <c r="F24" s="20"/>
      <c r="G24" s="20"/>
      <c r="H24" s="20"/>
      <c r="I24" s="20"/>
      <c r="J24" s="20"/>
      <c r="K24" s="20"/>
      <c r="L24" s="20"/>
      <c r="M24" s="26"/>
      <c r="N24" s="49"/>
      <c r="O24" s="289"/>
      <c r="P24" s="289"/>
      <c r="Q24" s="19"/>
    </row>
    <row r="25" ht="18.75" customHeight="1">
      <c r="A25" s="19"/>
      <c r="B25" s="26"/>
      <c r="C25" s="36" t="s">
        <v>891</v>
      </c>
      <c r="D25" s="263" t="s">
        <v>351</v>
      </c>
      <c r="E25" s="31" t="s">
        <v>893</v>
      </c>
      <c r="F25" s="20"/>
      <c r="G25" s="293" t="s">
        <v>890</v>
      </c>
      <c r="H25" s="294" t="str">
        <f t="array" ref="H25:K25">IF(Format="Solo",C2,IFNA(VLOOKUP(C2,TeamList,SEQUENCE(1,4,1),0),""))</f>
        <v>:MIPINGA:</v>
      </c>
      <c r="I25" s="295" t="s">
        <v>791</v>
      </c>
      <c r="J25" s="294" t="s">
        <v>792</v>
      </c>
      <c r="K25" s="294" t="s">
        <v>793</v>
      </c>
      <c r="L25" s="38"/>
      <c r="M25" s="26"/>
      <c r="N25" s="49"/>
      <c r="O25" s="289"/>
      <c r="P25" s="289"/>
      <c r="Q25" s="19"/>
    </row>
    <row r="26" ht="18.75" customHeight="1">
      <c r="A26" s="19"/>
      <c r="B26" s="26"/>
      <c r="C26" s="36" t="s">
        <v>894</v>
      </c>
      <c r="D26" s="263" t="s">
        <v>408</v>
      </c>
      <c r="E26" s="31" t="s">
        <v>893</v>
      </c>
      <c r="F26" s="20"/>
      <c r="G26" s="26"/>
      <c r="H26" s="296" t="str">
        <f t="array" ref="H26:K26">IF(Format="Solo",E2,IFNA(VLOOKUP(E2,TeamList,SEQUENCE(1,4,1),0),""))</f>
        <v>Homossexual Students</v>
      </c>
      <c r="I26" s="297" t="s">
        <v>713</v>
      </c>
      <c r="J26" s="296" t="s">
        <v>714</v>
      </c>
      <c r="K26" s="296" t="s">
        <v>715</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I3"/>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 r:id="rId20" ref="N22"/>
    <hyperlink r:id="rId21" ref="N23"/>
  </hyperlinks>
  <drawing r:id="rId22"/>
  <legacyDrawing r:id="rId23"/>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5" width="15.75"/>
    <col customWidth="1" min="6" max="7" width="3.25"/>
    <col customWidth="1" min="8" max="8" width="15.75"/>
    <col customWidth="1" min="9" max="11" width="12.63"/>
    <col customWidth="1" min="12" max="13" width="3.25"/>
    <col customWidth="1" min="14" max="14" width="12.63"/>
    <col customWidth="1" min="15" max="16" width="15.75"/>
    <col customWidth="1" min="17" max="17" width="3.25"/>
  </cols>
  <sheetData>
    <row r="1" ht="18.75" customHeight="1">
      <c r="A1" s="19"/>
      <c r="B1" s="19"/>
      <c r="C1" s="19"/>
      <c r="D1" s="19"/>
      <c r="E1" s="19"/>
      <c r="F1" s="19"/>
      <c r="G1" s="19"/>
      <c r="H1" s="19"/>
      <c r="I1" s="19"/>
      <c r="J1" s="19"/>
      <c r="K1" s="19"/>
      <c r="L1" s="19"/>
      <c r="M1" s="19"/>
      <c r="N1" s="19"/>
      <c r="O1" s="19"/>
      <c r="P1" s="19"/>
      <c r="Q1" s="19"/>
    </row>
    <row r="2" ht="18.75" customHeight="1">
      <c r="A2" s="19"/>
      <c r="B2" s="233" t="s">
        <v>853</v>
      </c>
      <c r="C2" s="234" t="str">
        <f>IFNA(VLOOKUP(I2,Schedules,4,0),"")</f>
        <v>:MIPINGA:</v>
      </c>
      <c r="D2" s="235" t="s">
        <v>854</v>
      </c>
      <c r="E2" s="236" t="str">
        <f>IFNA(VLOOKUP(I2,Schedules,5,0),"")</f>
        <v>placeholder teamname</v>
      </c>
      <c r="F2" s="20"/>
      <c r="G2" s="21" t="s">
        <v>855</v>
      </c>
      <c r="H2" s="237" t="s">
        <v>856</v>
      </c>
      <c r="I2" s="238">
        <v>63.0</v>
      </c>
      <c r="K2" s="238"/>
      <c r="L2" s="20"/>
      <c r="M2" s="21" t="s">
        <v>857</v>
      </c>
      <c r="N2" s="239" t="s">
        <v>25</v>
      </c>
      <c r="O2" s="240" t="s">
        <v>33</v>
      </c>
      <c r="P2" s="4"/>
      <c r="Q2" s="19"/>
    </row>
    <row r="3" ht="18.75" customHeight="1">
      <c r="A3" s="19"/>
      <c r="B3" s="26"/>
      <c r="C3" s="241">
        <f>IF(D6="Blue",-1,COUNTIF(E14:E26,"Red"))</f>
        <v>0</v>
      </c>
      <c r="D3" s="242">
        <f>VLOOKUP(O2,MappoolSettings,2,0)</f>
        <v>9</v>
      </c>
      <c r="E3" s="243">
        <f>IF(D6="Red",-1,COUNTIF(E14:E26,"Blue"))</f>
        <v>0</v>
      </c>
      <c r="F3" s="20"/>
      <c r="G3" s="26"/>
      <c r="H3" s="244" t="s">
        <v>456</v>
      </c>
      <c r="I3" s="23"/>
      <c r="L3" s="20"/>
      <c r="M3" s="26"/>
      <c r="N3" s="245" t="s">
        <v>858</v>
      </c>
      <c r="O3" s="245" t="s">
        <v>66</v>
      </c>
      <c r="P3" s="245" t="s">
        <v>67</v>
      </c>
      <c r="Q3" s="19"/>
    </row>
    <row r="4" ht="18.75" customHeight="1">
      <c r="A4" s="19"/>
      <c r="B4" s="26"/>
      <c r="C4" s="246" t="s">
        <v>853</v>
      </c>
      <c r="D4" s="247" t="str">
        <f>IFERROR(__xludf.DUMMYFUNCTION("IFS(
I2="""",""ERROR: Match ID missing"",
O2="""",""ERROR: Stage missing"",
D6&lt;&gt;"""",TRIM(JOIN(CHAR(13),""**""&amp;O2&amp;"": Match ""&amp;I2&amp;""**"","""",""Win by default for ""&amp;SWITCH(D6,""Red"",C2,""Blue"",E2,""Tiebreaker""))),
I3="""",""Step: Setup a room and ente"&amp;"r the MP-link"",
OR(COUNTA(D9:E9)&gt;I16,COUNTA(D10:E10)&gt;I16),""ERROR: Too many bans"",
MAX(ARRAYFORMULA(IF(D9:E10="""",0,COUNTIF(D9:E10,D9:E10))))&gt;1,""ERROR: Duplicate bans"",
OR(AND(NOT(DoubleBan),D9&lt;&gt;"""",LEFT(D9,2)=LEFT(E9,2),NOT(AND(ExclNMDouble,LEFT(D9"&amp;",2)=""NM""))),AND(NOT(DoubleBan),D10&lt;&gt;"""",LEFT(D10,2)=LEFT(E10,2),NOT(AND(ExclNMDouble,LEFT(D10,2)=""NM"")))),""ERROR: Double ban not allowed"",
COUNTIF(ARRAYFORMULA(LEFT(D9:E10,2)),""TB"")&gt;0,""ERROR: Banned tiebreaker"",
OR(COUNTA(D9:E9)&lt;I16,COUNTA(D10:"&amp;"E10)&lt;I16),""Step: Enter bans"",
D11="""",""Step: Enter first pick"",
COUNTA(E14:E26)&gt;COUNTA(D14:D26),""ERROR: More points than maps picked"",
COUNTA(E14:E26)&gt;D3,""ERROR: Too many maps picked"",
COUNTA(D14:D26)&gt;COUNTA(E14:E26)+1,""ERROR: No winner entered"&amp;""",
COUNTIF(ARRAYFORMULA(LEFT(D14:D26,2)),""TB"")&gt;2,""ERROR: Too many tiebreakers"",
AND(C3+E3&lt;D3-1,COUNTIF(ARRAYFORMULA(LEFT(D14:D26,2)),""TB"")&gt;0),""ERROR: Tiebreaker picked early"",
MAX(ARRAYFORMULA(IF(D9:E10="""",0,COUNTIF(D14:D26,D9:E10))))&gt;0,""ERROR"&amp;": Picked banned map"",
MAX(ARRAYFORMULA(COUNTIF(D14:D26,D14:D26)))&gt;1,""ERROR: Duplicate pick"",
OR(INDEX(IFNA(NOT(DoublePick)*((LEFT(QUERY(D14:D26,""select * where D is not null skipping 2""),2)={LEFT(QUERY(D14:D26,""select * where D is not null skipping "&amp;"2 offset 1""),2);""""}))*((NOT(ExclNMDouble)+(LEFT(QUERY(D14:D26,""select * where D is not null skipping 2""),2)&lt;&gt;""NM""))&gt;0)&gt;0,FALSE)),INDEX(IFNA(NOT(DoublePick)*((LEFT(QUERY(D15:D26,""select * where D is not null skipping 2""),2)={LEFT(QUERY(D15:D26,""s"&amp;"elect * where D is not null skipping 2 offset 1""),2);""""}))*((NOT(ExclNMDouble)+(LEFT(QUERY(D15:D26,""select * where D is not null skipping 2""),2)&lt;&gt;""NM""))&gt;0)&gt;0,FALSE))),""ERROR: Double pick not allowed"",,""ERROR: Double pick not allowed"",
COUNTA(D1"&amp;"4:D26)=COUNTA(E14:E26)+1,""Match ongoing"",
MAX(C3,E3)&lt;D3/2,IF(LEFT(C2)=""!"",""'"","""")&amp;C2&amp;"" | ""&amp;C3&amp;"" : ""&amp;E3&amp;"" | ""&amp;E2&amp;"" // Next to pick: ""&amp;SWITCH(INDEX(C14:C26,C3+E3+1,1),""Red"",C2,""Blue"",E2,""Tiebreaker""),
TRUE,TRIM(JOIN(CHAR(13),
""**""&amp;O2"&amp;"&amp;"": Match ""&amp;I2&amp;""**"",
""&lt;""&amp;I3&amp;""&gt;"",
"""",
"":red_square: ""&amp;IF(REGEXMATCH(C2,""^:[\w\d]+:$""),""\"","""")&amp;C2&amp;"" | ""&amp;C3&amp;"" : ""&amp;E3&amp;"" | ""&amp;E2&amp;"" :blue_square:"",
"""",
C2&amp;"" ban""&amp;IF(I16=1,"""",""s"")&amp;"" | ""&amp;TRIM(JOIN("" "",INDEX(IFNA(REGEXEXTRACT(D"&amp;"9:E9,""(.*): ""))))),
E2&amp;"" ban""&amp;IF(I16=1,"""",""s"")&amp;"" | ""&amp;TRIM(JOIN("" "",INDEX(IFNA(REGEXEXTRACT(D10:E10,""(.*): ""))))),
"""",
""First pick | ""&amp;SWITCH(C14,""Red"",C2,""Blue"",E2,""Tiebreaker""),
"""",
INDEX(IF(E14:E26="""",,"":""&amp;LOWER(E14:E26)&amp;"""&amp;"_square: | ""&amp;D14:D26))
))
)"),"Step: Setup a room and enter the MP-link")</f>
        <v>Step: Setup a room and enter the MP-link</v>
      </c>
      <c r="E4" s="248"/>
      <c r="F4" s="20"/>
      <c r="G4" s="26"/>
      <c r="H4" s="237" t="s">
        <v>452</v>
      </c>
      <c r="I4" s="249" t="str">
        <f>IFNA(VLOOKUP(I2,Schedules,6,0),"")</f>
        <v/>
      </c>
      <c r="K4" s="249"/>
      <c r="L4" s="20"/>
      <c r="M4" s="26"/>
      <c r="N4" s="250" t="str">
        <f>IFERROR(__xludf.DUMMYFUNCTION("IF(O2="""",,ARRAY_CONSTRAIN(FILTER(Maps,Mappools!B4:B27=O2),25,3))"),"NM1: Yorushika - Thoughtcrime [Akitoshi's Insane]")</f>
        <v>NM1: Yorushika - Thoughtcrime [Akitoshi's Insane]</v>
      </c>
      <c r="O4" s="251" t="str">
        <f>IFERROR(__xludf.DUMMYFUNCTION("""COMPUTED_VALUE"""),"!mp map 2827293 0")</f>
        <v>!mp map 2827293 0</v>
      </c>
      <c r="P4" s="251" t="str">
        <f>IFERROR(__xludf.DUMMYFUNCTION("""COMPUTED_VALUE"""),"!mp mods NF")</f>
        <v>!mp mods NF</v>
      </c>
      <c r="Q4" s="19"/>
    </row>
    <row r="5" ht="18.75" customHeight="1">
      <c r="A5" s="19"/>
      <c r="B5" s="26"/>
      <c r="C5" s="246" t="s">
        <v>859</v>
      </c>
      <c r="D5" s="252" t="str">
        <f t="array" ref="D5:E5">IFERROR(VLOOKUP(INDEX($D$14:$D$26,COUNTA($D$14:$D$26)),$N$4:$P$26,{2,3},0),"")</f>
        <v/>
      </c>
      <c r="E5" s="253"/>
      <c r="F5" s="20"/>
      <c r="G5" s="26"/>
      <c r="H5" s="237" t="s">
        <v>860</v>
      </c>
      <c r="I5" s="254">
        <f t="array" ref="I5">IFNA(SUM(VLOOKUP(I2,Schedules,{2,3},0)),"")</f>
        <v>0</v>
      </c>
      <c r="K5" s="254"/>
      <c r="L5" s="20"/>
      <c r="M5" s="26"/>
      <c r="N5" s="250" t="str">
        <f>IFERROR(__xludf.DUMMYFUNCTION("""COMPUTED_VALUE"""),"NM2: Fractal Dreamers - Gardens Under A Spring Sky [Hyper]")</f>
        <v>NM2: Fractal Dreamers - Gardens Under A Spring Sky [Hyper]</v>
      </c>
      <c r="O5" s="251" t="str">
        <f>IFERROR(__xludf.DUMMYFUNCTION("""COMPUTED_VALUE"""),"!mp map 2004679 0")</f>
        <v>!mp map 2004679 0</v>
      </c>
      <c r="P5" s="251" t="str">
        <f>IFERROR(__xludf.DUMMYFUNCTION("""COMPUTED_VALUE"""),"!mp mods NF")</f>
        <v>!mp mods NF</v>
      </c>
      <c r="Q5" s="19"/>
    </row>
    <row r="6" ht="18.75" customHeight="1">
      <c r="A6" s="19"/>
      <c r="B6" s="26"/>
      <c r="C6" s="246" t="s">
        <v>861</v>
      </c>
      <c r="D6" s="255"/>
      <c r="E6" s="248"/>
      <c r="F6" s="20"/>
      <c r="G6" s="20"/>
      <c r="H6" s="20"/>
      <c r="I6" s="20"/>
      <c r="J6" s="20"/>
      <c r="K6" s="20"/>
      <c r="L6" s="20"/>
      <c r="M6" s="26"/>
      <c r="N6" s="250" t="str">
        <f>IFERROR(__xludf.DUMMYFUNCTION("""COMPUTED_VALUE"""),"NM3: Tsukuyomi - Dareka no Shinzou ni Nareta nara [too's Insane]")</f>
        <v>NM3: Tsukuyomi - Dareka no Shinzou ni Nareta nara [too's Insane]</v>
      </c>
      <c r="O6" s="251" t="str">
        <f>IFERROR(__xludf.DUMMYFUNCTION("""COMPUTED_VALUE"""),"!mp map 3239199 0")</f>
        <v>!mp map 3239199 0</v>
      </c>
      <c r="P6" s="251" t="str">
        <f>IFERROR(__xludf.DUMMYFUNCTION("""COMPUTED_VALUE"""),"!mp mods NF")</f>
        <v>!mp mods NF</v>
      </c>
      <c r="Q6" s="19"/>
    </row>
    <row r="7" ht="18.75" customHeight="1">
      <c r="A7" s="19"/>
      <c r="B7" s="19"/>
      <c r="C7" s="20"/>
      <c r="D7" s="20"/>
      <c r="E7" s="20"/>
      <c r="F7" s="20"/>
      <c r="G7" s="21" t="s">
        <v>862</v>
      </c>
      <c r="H7" s="244" t="s">
        <v>863</v>
      </c>
      <c r="I7" s="256" t="str">
        <f>"!mp make "&amp;TournamentAbbr&amp;": ("&amp;C2&amp;") vs ("&amp;E2&amp;")"</f>
        <v>!mp make PTE: (:MIPINGA:) vs (placeholder teamname)</v>
      </c>
      <c r="L7" s="20"/>
      <c r="M7" s="26"/>
      <c r="N7" s="250" t="str">
        <f>IFERROR(__xludf.DUMMYFUNCTION("""COMPUTED_VALUE"""),"NM4: sakuraburst - Glacierfall (Park Remix) [haruto x ancel's ins*ne]")</f>
        <v>NM4: sakuraburst - Glacierfall (Park Remix) [haruto x ancel's ins*ne]</v>
      </c>
      <c r="O7" s="251" t="str">
        <f>IFERROR(__xludf.DUMMYFUNCTION("""COMPUTED_VALUE"""),"!mp map 2794904 0")</f>
        <v>!mp map 2794904 0</v>
      </c>
      <c r="P7" s="251" t="str">
        <f>IFERROR(__xludf.DUMMYFUNCTION("""COMPUTED_VALUE"""),"!mp mods NF")</f>
        <v>!mp mods NF</v>
      </c>
      <c r="Q7" s="19"/>
    </row>
    <row r="8" ht="18.75" customHeight="1">
      <c r="A8" s="19"/>
      <c r="B8" s="233" t="s">
        <v>864</v>
      </c>
      <c r="C8" s="257" t="str">
        <f>IF(Format="Solo","Player","Team")</f>
        <v>Team</v>
      </c>
      <c r="D8" s="258" t="s">
        <v>865</v>
      </c>
      <c r="E8" s="259" t="s">
        <v>866</v>
      </c>
      <c r="F8" s="20"/>
      <c r="G8" s="26"/>
      <c r="H8" s="244" t="s">
        <v>867</v>
      </c>
      <c r="I8" s="260" t="str">
        <f>IFERROR(__xludf.DUMMYFUNCTION("IF(I2="""",,JOIN("" "",""!mp"",""set"",TeamMode,ScoreMode,TeamSize*2+IF(Format=""Solo"",1,3)))"),"!mp set 2 3 7")</f>
        <v>!mp set 2 3 7</v>
      </c>
      <c r="K8" s="261"/>
      <c r="L8" s="20"/>
      <c r="M8" s="26"/>
      <c r="N8" s="250" t="str">
        <f>IFERROR(__xludf.DUMMYFUNCTION("""COMPUTED_VALUE"""),"NM5: sekai - Zange Mairi [Voice's Insane]")</f>
        <v>NM5: sekai - Zange Mairi [Voice's Insane]</v>
      </c>
      <c r="O8" s="251" t="str">
        <f>IFERROR(__xludf.DUMMYFUNCTION("""COMPUTED_VALUE"""),"!mp map 2853477 0")</f>
        <v>!mp map 2853477 0</v>
      </c>
      <c r="P8" s="251" t="str">
        <f>IFERROR(__xludf.DUMMYFUNCTION("""COMPUTED_VALUE"""),"!mp mods NF")</f>
        <v>!mp mods NF</v>
      </c>
      <c r="Q8" s="19"/>
    </row>
    <row r="9" ht="18.75" customHeight="1">
      <c r="A9" s="19"/>
      <c r="B9" s="26"/>
      <c r="C9" s="262" t="str">
        <f>C2</f>
        <v>:MIPINGA:</v>
      </c>
      <c r="D9" s="263"/>
      <c r="E9" s="238"/>
      <c r="F9" s="20"/>
      <c r="G9" s="26"/>
      <c r="H9" s="237" t="s">
        <v>13</v>
      </c>
      <c r="I9" s="264" t="s">
        <v>868</v>
      </c>
      <c r="K9" s="265"/>
      <c r="L9" s="20"/>
      <c r="M9" s="26"/>
      <c r="N9" s="250" t="str">
        <f>IFERROR(__xludf.DUMMYFUNCTION("""COMPUTED_VALUE"""),"HD1: Police Piccadilly feat. Hatsune Miku - Kire Carry On [negusver's Insane]")</f>
        <v>HD1: Police Piccadilly feat. Hatsune Miku - Kire Carry On [negusver's Insane]</v>
      </c>
      <c r="O9" s="251" t="str">
        <f>IFERROR(__xludf.DUMMYFUNCTION("""COMPUTED_VALUE"""),"!mp map 1733441 0")</f>
        <v>!mp map 1733441 0</v>
      </c>
      <c r="P9" s="251" t="str">
        <f>IFERROR(__xludf.DUMMYFUNCTION("""COMPUTED_VALUE"""),"!mp mods HD NF")</f>
        <v>!mp mods HD NF</v>
      </c>
      <c r="Q9" s="19"/>
    </row>
    <row r="10" ht="18.75" customHeight="1">
      <c r="A10" s="19"/>
      <c r="B10" s="26"/>
      <c r="C10" s="266" t="str">
        <f>E2</f>
        <v>placeholder teamname</v>
      </c>
      <c r="D10" s="267"/>
      <c r="E10" s="268"/>
      <c r="F10" s="20"/>
      <c r="G10" s="26"/>
      <c r="H10" s="244" t="s">
        <v>869</v>
      </c>
      <c r="I10" s="269" t="str">
        <f t="array" ref="I10:J10">IFNA(IF(VLOOKUP(I2,Schedules,{7,8},0)="",,"!mp addref "&amp;VLOOKUP(I2,Schedules,{7,8},0)),"")</f>
        <v/>
      </c>
      <c r="J10" s="269"/>
      <c r="K10" s="270"/>
      <c r="L10" s="20"/>
      <c r="M10" s="26"/>
      <c r="N10" s="250" t="str">
        <f>IFERROR(__xludf.DUMMYFUNCTION("""COMPUTED_VALUE"""),"HD2: Siren - Polaris [8 is not a low ar guys]")</f>
        <v>HD2: Siren - Polaris [8 is not a low ar guys]</v>
      </c>
      <c r="O10" s="251" t="str">
        <f>IFERROR(__xludf.DUMMYFUNCTION("""COMPUTED_VALUE"""),"!mp map 3460069 0")</f>
        <v>!mp map 3460069 0</v>
      </c>
      <c r="P10" s="251" t="str">
        <f>IFERROR(__xludf.DUMMYFUNCTION("""COMPUTED_VALUE"""),"!mp mods HD NF")</f>
        <v>!mp mods HD NF</v>
      </c>
      <c r="Q10" s="19"/>
    </row>
    <row r="11" ht="18.75" customHeight="1">
      <c r="A11" s="19"/>
      <c r="B11" s="26"/>
      <c r="C11" s="271" t="s">
        <v>870</v>
      </c>
      <c r="D11" s="31" t="s">
        <v>893</v>
      </c>
      <c r="F11" s="20"/>
      <c r="G11" s="26"/>
      <c r="H11" s="244" t="s">
        <v>871</v>
      </c>
      <c r="I11" s="272" t="str">
        <f t="array" ref="I11:J11">IF({H25,H26}="",,"!mp invite "&amp;{I25,I26})</f>
        <v>!mp invite RAAPslimshady</v>
      </c>
      <c r="J11" s="272" t="s">
        <v>917</v>
      </c>
      <c r="K11" s="273"/>
      <c r="L11" s="20"/>
      <c r="M11" s="26"/>
      <c r="N11" s="250" t="str">
        <f>IFERROR(__xludf.DUMMYFUNCTION("""COMPUTED_VALUE"""),"HR1: PSYQUI feat. Such - Senchimentaruhatoboi [Insane]")</f>
        <v>HR1: PSYQUI feat. Such - Senchimentaruhatoboi [Insane]</v>
      </c>
      <c r="O11" s="251" t="str">
        <f>IFERROR(__xludf.DUMMYFUNCTION("""COMPUTED_VALUE"""),"!mp map 1956568 0")</f>
        <v>!mp map 1956568 0</v>
      </c>
      <c r="P11" s="251" t="str">
        <f>IFERROR(__xludf.DUMMYFUNCTION("""COMPUTED_VALUE"""),"!mp mods HR NF")</f>
        <v>!mp mods HR NF</v>
      </c>
      <c r="Q11" s="19"/>
    </row>
    <row r="12" ht="18.75" customHeight="1">
      <c r="A12" s="19"/>
      <c r="B12" s="19"/>
      <c r="C12" s="20"/>
      <c r="D12" s="20"/>
      <c r="E12" s="20"/>
      <c r="F12" s="20"/>
      <c r="G12" s="26"/>
      <c r="H12" s="237" t="s">
        <v>872</v>
      </c>
      <c r="I12" s="274">
        <f>PickTimerLength</f>
        <v>90</v>
      </c>
      <c r="J12" s="275"/>
      <c r="K12" s="276"/>
      <c r="L12" s="20"/>
      <c r="M12" s="26"/>
      <c r="N12" s="250" t="str">
        <f>IFERROR(__xludf.DUMMYFUNCTION("""COMPUTED_VALUE"""),"HR2: Perfume - Laser Beam [Mixagji]")</f>
        <v>HR2: Perfume - Laser Beam [Mixagji]</v>
      </c>
      <c r="O12" s="251" t="str">
        <f>IFERROR(__xludf.DUMMYFUNCTION("""COMPUTED_VALUE"""),"!mp map 295650 0")</f>
        <v>!mp map 295650 0</v>
      </c>
      <c r="P12" s="251" t="str">
        <f>IFERROR(__xludf.DUMMYFUNCTION("""COMPUTED_VALUE"""),"!mp mods HR NF")</f>
        <v>!mp mods HR NF</v>
      </c>
      <c r="Q12" s="19"/>
    </row>
    <row r="13" ht="18.75" customHeight="1">
      <c r="A13" s="19"/>
      <c r="B13" s="233" t="s">
        <v>873</v>
      </c>
      <c r="C13" s="24" t="s">
        <v>874</v>
      </c>
      <c r="D13" s="277" t="s">
        <v>858</v>
      </c>
      <c r="E13" s="24" t="s">
        <v>875</v>
      </c>
      <c r="F13" s="20"/>
      <c r="G13" s="26"/>
      <c r="H13" s="237" t="s">
        <v>876</v>
      </c>
      <c r="I13" s="260" t="s">
        <v>877</v>
      </c>
      <c r="J13" s="260"/>
      <c r="K13" s="261"/>
      <c r="L13" s="20"/>
      <c r="M13" s="26"/>
      <c r="N13" s="250" t="str">
        <f>IFERROR(__xludf.DUMMYFUNCTION("""COMPUTED_VALUE"""),"DT1: Yumeno Yuki - First Time [KoldNoodl's Hard]")</f>
        <v>DT1: Yumeno Yuki - First Time [KoldNoodl's Hard]</v>
      </c>
      <c r="O13" s="251" t="str">
        <f>IFERROR(__xludf.DUMMYFUNCTION("""COMPUTED_VALUE"""),"!mp map 3446883 0")</f>
        <v>!mp map 3446883 0</v>
      </c>
      <c r="P13" s="251" t="str">
        <f>IFERROR(__xludf.DUMMYFUNCTION("""COMPUTED_VALUE"""),"!mp mods DT NF")</f>
        <v>!mp mods DT NF</v>
      </c>
      <c r="Q13" s="19"/>
    </row>
    <row r="14" ht="18.75" customHeight="1">
      <c r="A14" s="19"/>
      <c r="B14" s="26"/>
      <c r="C14" s="36" t="str">
        <f t="array" ref="C14:C22">IF(D11="",,{IF(MOD(SEQUENCE(D3-1,1),2)=1,IF(D11="Red","Red","Blue"),IF(D11="Red","Blue","Red"));"Tiebreaker"})</f>
        <v>Red</v>
      </c>
      <c r="D14" s="263"/>
      <c r="E14" s="31"/>
      <c r="F14" s="20"/>
      <c r="G14" s="26"/>
      <c r="H14" s="278" t="s">
        <v>878</v>
      </c>
      <c r="I14" s="260" t="s">
        <v>879</v>
      </c>
      <c r="J14" s="260" t="s">
        <v>880</v>
      </c>
      <c r="K14" s="261"/>
      <c r="L14" s="20"/>
      <c r="M14" s="26"/>
      <c r="N14" s="250" t="str">
        <f>IFERROR(__xludf.DUMMYFUNCTION("""COMPUTED_VALUE"""),"DT2: YUC'e - Future Candy [Hard]")</f>
        <v>DT2: YUC'e - Future Candy [Hard]</v>
      </c>
      <c r="O14" s="251" t="str">
        <f>IFERROR(__xludf.DUMMYFUNCTION("""COMPUTED_VALUE"""),"!mp map 1521209 0")</f>
        <v>!mp map 1521209 0</v>
      </c>
      <c r="P14" s="251" t="str">
        <f>IFERROR(__xludf.DUMMYFUNCTION("""COMPUTED_VALUE"""),"!mp mods DT NF")</f>
        <v>!mp mods DT NF</v>
      </c>
      <c r="Q14" s="19"/>
    </row>
    <row r="15" ht="18.75" customHeight="1">
      <c r="A15" s="19"/>
      <c r="B15" s="26"/>
      <c r="C15" s="36" t="s">
        <v>891</v>
      </c>
      <c r="D15" s="263"/>
      <c r="E15" s="31"/>
      <c r="F15" s="20"/>
      <c r="G15" s="20"/>
      <c r="H15" s="20"/>
      <c r="I15" s="20"/>
      <c r="J15" s="20"/>
      <c r="K15" s="20"/>
      <c r="L15" s="20"/>
      <c r="M15" s="26"/>
      <c r="N15" s="250" t="str">
        <f>IFERROR(__xludf.DUMMYFUNCTION("""COMPUTED_VALUE"""),"DT3: tarolabo - eth ken [hard]")</f>
        <v>DT3: tarolabo - eth ken [hard]</v>
      </c>
      <c r="O15" s="251" t="str">
        <f>IFERROR(__xludf.DUMMYFUNCTION("""COMPUTED_VALUE"""),"!mp map 3616100 0")</f>
        <v>!mp map 3616100 0</v>
      </c>
      <c r="P15" s="251" t="str">
        <f>IFERROR(__xludf.DUMMYFUNCTION("""COMPUTED_VALUE"""),"!mp mods DT NF")</f>
        <v>!mp mods DT NF</v>
      </c>
      <c r="Q15" s="19"/>
    </row>
    <row r="16" ht="18.75" customHeight="1">
      <c r="A16" s="19"/>
      <c r="B16" s="26"/>
      <c r="C16" s="36" t="s">
        <v>893</v>
      </c>
      <c r="D16" s="263"/>
      <c r="E16" s="31"/>
      <c r="F16" s="20"/>
      <c r="G16" s="21" t="s">
        <v>881</v>
      </c>
      <c r="H16" s="279" t="s">
        <v>882</v>
      </c>
      <c r="I16" s="280">
        <f>VLOOKUP(O2,MappoolSettings,3,0)</f>
        <v>1</v>
      </c>
      <c r="K16" s="281"/>
      <c r="L16" s="20"/>
      <c r="M16" s="26"/>
      <c r="N16" s="250" t="str">
        <f>IFERROR(__xludf.DUMMYFUNCTION("""COMPUTED_VALUE"""),"FM1: OISHII - ONIGIRI FREEWAY [LUKAS' INSANE]")</f>
        <v>FM1: OISHII - ONIGIRI FREEWAY [LUKAS' INSANE]</v>
      </c>
      <c r="O16" s="251" t="str">
        <f>IFERROR(__xludf.DUMMYFUNCTION("""COMPUTED_VALUE"""),"!mp map 2151207 0")</f>
        <v>!mp map 2151207 0</v>
      </c>
      <c r="P16" s="251" t="str">
        <f>IFERROR(__xludf.DUMMYFUNCTION("""COMPUTED_VALUE"""),"!mp mods Freemod")</f>
        <v>!mp mods Freemod</v>
      </c>
      <c r="Q16" s="19"/>
    </row>
    <row r="17" ht="18.75" customHeight="1">
      <c r="A17" s="19"/>
      <c r="B17" s="26"/>
      <c r="C17" s="36" t="s">
        <v>891</v>
      </c>
      <c r="D17" s="263"/>
      <c r="E17" s="31"/>
      <c r="F17" s="20"/>
      <c r="G17" s="26"/>
      <c r="H17" s="282" t="s">
        <v>883</v>
      </c>
      <c r="I17" s="283" t="str">
        <f>ForumPostLink</f>
        <v>https://osu.ppy.sh/community/forums/topics/1790898?n=1?</v>
      </c>
      <c r="L17" s="20"/>
      <c r="M17" s="26"/>
      <c r="N17" s="250" t="str">
        <f>IFERROR(__xludf.DUMMYFUNCTION("""COMPUTED_VALUE"""),"FM2: Giga-P - Electric Angel [Sonnyc's Insane]")</f>
        <v>FM2: Giga-P - Electric Angel [Sonnyc's Insane]</v>
      </c>
      <c r="O17" s="251" t="str">
        <f>IFERROR(__xludf.DUMMYFUNCTION("""COMPUTED_VALUE"""),"!mp map 417898 0")</f>
        <v>!mp map 417898 0</v>
      </c>
      <c r="P17" s="251" t="str">
        <f>IFERROR(__xludf.DUMMYFUNCTION("""COMPUTED_VALUE"""),"!mp mods Freemod")</f>
        <v>!mp mods Freemod</v>
      </c>
      <c r="Q17" s="19"/>
    </row>
    <row r="18" ht="18.75" customHeight="1">
      <c r="A18" s="19"/>
      <c r="B18" s="26"/>
      <c r="C18" s="36" t="s">
        <v>893</v>
      </c>
      <c r="D18" s="263"/>
      <c r="E18" s="31"/>
      <c r="F18" s="20"/>
      <c r="G18" s="26"/>
      <c r="H18" s="282" t="s">
        <v>884</v>
      </c>
      <c r="I18" s="283" t="str">
        <f>MainSheetLink</f>
        <v>https://docs.google.com/spreadsheets/d/1u1R-0YeX71qksHP7hWq8QkjcpECX-9LSvskalZ8hxdg/edit?usp=sharing</v>
      </c>
      <c r="L18" s="20"/>
      <c r="M18" s="26"/>
      <c r="N18" s="250" t="str">
        <f>IFERROR(__xludf.DUMMYFUNCTION("""COMPUTED_VALUE"""),"TB1: Au5 - Moonland [Collab Another]")</f>
        <v>TB1: Au5 - Moonland [Collab Another]</v>
      </c>
      <c r="O18" s="251" t="str">
        <f>IFERROR(__xludf.DUMMYFUNCTION("""COMPUTED_VALUE"""),"!mp map 1857415 0")</f>
        <v>!mp map 1857415 0</v>
      </c>
      <c r="P18" s="251" t="str">
        <f>IFERROR(__xludf.DUMMYFUNCTION("""COMPUTED_VALUE"""),"!mp mods Freemod")</f>
        <v>!mp mods Freemod</v>
      </c>
      <c r="Q18" s="19"/>
    </row>
    <row r="19" ht="18.75" customHeight="1">
      <c r="A19" s="19"/>
      <c r="B19" s="26"/>
      <c r="C19" s="36" t="s">
        <v>891</v>
      </c>
      <c r="D19" s="263"/>
      <c r="E19" s="31"/>
      <c r="F19" s="20"/>
      <c r="G19" s="26"/>
      <c r="H19" s="282" t="s">
        <v>885</v>
      </c>
      <c r="I19" s="284" t="str">
        <f>"Forfeit: "&amp;IF(NoShow2="","Never",NoShow2&amp;"mins")</f>
        <v>Forfeit: 15mins</v>
      </c>
      <c r="J19" s="285"/>
      <c r="K19" s="286"/>
      <c r="L19" s="20"/>
      <c r="M19" s="26"/>
      <c r="N19" s="250"/>
      <c r="O19" s="251"/>
      <c r="P19" s="251"/>
      <c r="Q19" s="19"/>
    </row>
    <row r="20" ht="18.75" customHeight="1">
      <c r="A20" s="19"/>
      <c r="B20" s="26"/>
      <c r="C20" s="36" t="s">
        <v>893</v>
      </c>
      <c r="D20" s="263"/>
      <c r="E20" s="31"/>
      <c r="F20" s="20"/>
      <c r="G20" s="26"/>
      <c r="H20" s="287" t="s">
        <v>56</v>
      </c>
      <c r="I20" s="288" t="s">
        <v>57</v>
      </c>
      <c r="L20" s="20"/>
      <c r="M20" s="26"/>
      <c r="N20" s="49"/>
      <c r="O20" s="289"/>
      <c r="P20" s="289"/>
      <c r="Q20" s="19"/>
    </row>
    <row r="21" ht="18.75" customHeight="1">
      <c r="A21" s="19"/>
      <c r="B21" s="26"/>
      <c r="C21" s="36" t="s">
        <v>891</v>
      </c>
      <c r="D21" s="263"/>
      <c r="E21" s="31"/>
      <c r="F21" s="20"/>
      <c r="G21" s="26"/>
      <c r="H21" s="287" t="s">
        <v>58</v>
      </c>
      <c r="I21" s="290" t="s">
        <v>886</v>
      </c>
      <c r="L21" s="20"/>
      <c r="M21" s="26"/>
      <c r="N21" s="49"/>
      <c r="O21" s="289"/>
      <c r="P21" s="289"/>
      <c r="Q21" s="19"/>
    </row>
    <row r="22" ht="18.75" customHeight="1">
      <c r="A22" s="19"/>
      <c r="B22" s="26"/>
      <c r="C22" s="36" t="s">
        <v>894</v>
      </c>
      <c r="D22" s="263"/>
      <c r="E22" s="31"/>
      <c r="F22" s="20"/>
      <c r="G22" s="26"/>
      <c r="H22" s="287" t="s">
        <v>887</v>
      </c>
      <c r="I22" s="48" t="s">
        <v>888</v>
      </c>
      <c r="K22" s="291"/>
      <c r="L22" s="20"/>
      <c r="M22" s="26"/>
      <c r="N22" s="49"/>
      <c r="O22" s="289"/>
      <c r="P22" s="289"/>
      <c r="Q22" s="19"/>
    </row>
    <row r="23" ht="18.75" customHeight="1">
      <c r="A23" s="19"/>
      <c r="B23" s="26"/>
      <c r="C23" s="36"/>
      <c r="D23" s="292"/>
      <c r="E23" s="36"/>
      <c r="F23" s="20"/>
      <c r="G23" s="26"/>
      <c r="H23" s="287" t="s">
        <v>889</v>
      </c>
      <c r="I23" s="48" t="s">
        <v>888</v>
      </c>
      <c r="K23" s="86"/>
      <c r="L23" s="20"/>
      <c r="M23" s="26"/>
      <c r="N23" s="49"/>
      <c r="O23" s="289"/>
      <c r="P23" s="289"/>
      <c r="Q23" s="19"/>
    </row>
    <row r="24" ht="18.75" customHeight="1">
      <c r="A24" s="19"/>
      <c r="B24" s="26"/>
      <c r="C24" s="36"/>
      <c r="D24" s="292"/>
      <c r="E24" s="36"/>
      <c r="F24" s="20"/>
      <c r="G24" s="20"/>
      <c r="H24" s="20"/>
      <c r="I24" s="20"/>
      <c r="J24" s="20"/>
      <c r="K24" s="20"/>
      <c r="L24" s="20"/>
      <c r="M24" s="26"/>
      <c r="N24" s="49"/>
      <c r="O24" s="289"/>
      <c r="P24" s="289"/>
      <c r="Q24" s="19"/>
    </row>
    <row r="25" ht="18.75" customHeight="1">
      <c r="A25" s="19"/>
      <c r="B25" s="26"/>
      <c r="C25" s="36"/>
      <c r="D25" s="292"/>
      <c r="E25" s="36"/>
      <c r="F25" s="20"/>
      <c r="G25" s="293" t="s">
        <v>890</v>
      </c>
      <c r="H25" s="294" t="str">
        <f t="array" ref="H25:K25">IF(Format="Solo",C2,IFNA(VLOOKUP(C2,TeamList,SEQUENCE(1,4,1),0),""))</f>
        <v>:MIPINGA:</v>
      </c>
      <c r="I25" s="295" t="s">
        <v>791</v>
      </c>
      <c r="J25" s="294" t="s">
        <v>792</v>
      </c>
      <c r="K25" s="294" t="s">
        <v>793</v>
      </c>
      <c r="L25" s="38"/>
      <c r="M25" s="26"/>
      <c r="N25" s="49"/>
      <c r="O25" s="289"/>
      <c r="P25" s="289"/>
      <c r="Q25" s="19"/>
    </row>
    <row r="26" ht="18.75" customHeight="1">
      <c r="A26" s="19"/>
      <c r="B26" s="26"/>
      <c r="C26" s="36"/>
      <c r="D26" s="292"/>
      <c r="E26" s="36"/>
      <c r="F26" s="20"/>
      <c r="G26" s="26"/>
      <c r="H26" s="296" t="str">
        <f t="array" ref="H26:K26">IF(Format="Solo",E2,IFNA(VLOOKUP(E2,TeamList,SEQUENCE(1,4,1),0),""))</f>
        <v>placeholder teamname</v>
      </c>
      <c r="I26" s="297" t="s">
        <v>788</v>
      </c>
      <c r="J26" s="296" t="s">
        <v>789</v>
      </c>
      <c r="K26" s="296" t="s">
        <v>790</v>
      </c>
      <c r="L26" s="20"/>
      <c r="M26" s="26"/>
      <c r="N26" s="49"/>
      <c r="O26" s="289"/>
      <c r="P26" s="289"/>
      <c r="Q26" s="19"/>
    </row>
    <row r="27" ht="18.75" customHeight="1">
      <c r="A27" s="19"/>
      <c r="B27" s="19"/>
      <c r="C27" s="19"/>
      <c r="D27" s="19"/>
      <c r="E27" s="19"/>
      <c r="F27" s="19"/>
      <c r="G27" s="19"/>
      <c r="H27" s="19"/>
      <c r="I27" s="19"/>
      <c r="J27" s="19"/>
      <c r="K27" s="19"/>
      <c r="L27" s="19"/>
      <c r="M27" s="19"/>
      <c r="N27" s="19"/>
      <c r="O27" s="19"/>
      <c r="P27" s="19"/>
      <c r="Q27" s="19"/>
    </row>
  </sheetData>
  <mergeCells count="26">
    <mergeCell ref="D11:E11"/>
    <mergeCell ref="G16:G23"/>
    <mergeCell ref="I23:J23"/>
    <mergeCell ref="G25:G26"/>
    <mergeCell ref="I2:J2"/>
    <mergeCell ref="M2:M26"/>
    <mergeCell ref="O2:P2"/>
    <mergeCell ref="I3:K3"/>
    <mergeCell ref="D4:E4"/>
    <mergeCell ref="D6:E6"/>
    <mergeCell ref="I7:K7"/>
    <mergeCell ref="I4:J4"/>
    <mergeCell ref="I5:J5"/>
    <mergeCell ref="G2:G5"/>
    <mergeCell ref="G7:G14"/>
    <mergeCell ref="B2:B6"/>
    <mergeCell ref="B8:B11"/>
    <mergeCell ref="B13:B26"/>
    <mergeCell ref="I8:J8"/>
    <mergeCell ref="I9:J9"/>
    <mergeCell ref="I16:J16"/>
    <mergeCell ref="I17:K17"/>
    <mergeCell ref="I18:K18"/>
    <mergeCell ref="I20:K20"/>
    <mergeCell ref="I21:K21"/>
    <mergeCell ref="I22:J22"/>
  </mergeCells>
  <conditionalFormatting sqref="N4:P26">
    <cfRule type="expression" dxfId="6" priority="1">
      <formula>COUNTIF($D$9:$E$10,$N4)&gt;0</formula>
    </cfRule>
  </conditionalFormatting>
  <conditionalFormatting sqref="N4:P26">
    <cfRule type="expression" dxfId="7" priority="2">
      <formula>COUNTIF($D$14:$D$26,$N4)&gt;0</formula>
    </cfRule>
  </conditionalFormatting>
  <conditionalFormatting sqref="N4:N26 D5 D9:E10 D14:D26">
    <cfRule type="beginsWith" dxfId="0" priority="3" operator="beginsWith" text="NM">
      <formula>LEFT((N4),LEN("NM"))=("NM")</formula>
    </cfRule>
  </conditionalFormatting>
  <conditionalFormatting sqref="N4:N26 D5 D9:E10 D14:D26">
    <cfRule type="beginsWith" dxfId="1" priority="4" operator="beginsWith" text="HD">
      <formula>LEFT((N4),LEN("HD"))=("HD")</formula>
    </cfRule>
  </conditionalFormatting>
  <conditionalFormatting sqref="N4:N26 D5 D9:E10 D14:D26">
    <cfRule type="beginsWith" dxfId="2" priority="5" operator="beginsWith" text="HR">
      <formula>LEFT((N4),LEN("HR"))=("HR")</formula>
    </cfRule>
  </conditionalFormatting>
  <conditionalFormatting sqref="N4:N26 D5 D9:E10 D14:D26">
    <cfRule type="beginsWith" dxfId="3" priority="6" operator="beginsWith" text="DT">
      <formula>LEFT((N4),LEN("DT"))=("DT")</formula>
    </cfRule>
  </conditionalFormatting>
  <conditionalFormatting sqref="N4:N26 D5 D9:E10 D14:D26">
    <cfRule type="beginsWith" dxfId="4" priority="7" operator="beginsWith" text="FM">
      <formula>LEFT((N4),LEN("FM"))=("FM")</formula>
    </cfRule>
  </conditionalFormatting>
  <conditionalFormatting sqref="N4:N26 D5 D9:E10 D14:D26">
    <cfRule type="beginsWith" dxfId="5" priority="8" operator="beginsWith" text="TB">
      <formula>LEFT((N4),LEN("TB"))=("TB")</formula>
    </cfRule>
  </conditionalFormatting>
  <conditionalFormatting sqref="D5:D6 D9:E11 C14:E26">
    <cfRule type="cellIs" dxfId="2" priority="9" operator="equal">
      <formula>"Red"</formula>
    </cfRule>
  </conditionalFormatting>
  <conditionalFormatting sqref="D5:D6 D9:E11 C14:E26">
    <cfRule type="cellIs" dxfId="0" priority="10" operator="equal">
      <formula>"Blue"</formula>
    </cfRule>
  </conditionalFormatting>
  <conditionalFormatting sqref="C14:C26">
    <cfRule type="cellIs" dxfId="5" priority="11" operator="equal">
      <formula>"Tiebreaker"</formula>
    </cfRule>
  </conditionalFormatting>
  <conditionalFormatting sqref="D4:E4">
    <cfRule type="beginsWith" dxfId="8" priority="12" operator="beginsWith" text="ERROR">
      <formula>LEFT((D4),LEN("ERROR"))=("ERROR")</formula>
    </cfRule>
  </conditionalFormatting>
  <conditionalFormatting sqref="C8:D10">
    <cfRule type="expression" dxfId="9" priority="13">
      <formula>$I$16&lt;1</formula>
    </cfRule>
  </conditionalFormatting>
  <conditionalFormatting sqref="E8:E10">
    <cfRule type="expression" dxfId="9" priority="14">
      <formula>$I$16&lt;2</formula>
    </cfRule>
  </conditionalFormatting>
  <conditionalFormatting sqref="D4:E4">
    <cfRule type="beginsWith" dxfId="7" priority="15" operator="beginsWith" text="**">
      <formula>LEFT((D4),LEN("**"))=("**")</formula>
    </cfRule>
  </conditionalFormatting>
  <conditionalFormatting sqref="H25:K26">
    <cfRule type="containsBlanks" dxfId="10" priority="16">
      <formula>LEN(TRIM(H25))=0</formula>
    </cfRule>
  </conditionalFormatting>
  <dataValidations>
    <dataValidation type="list" allowBlank="1" showErrorMessage="1" sqref="D11 E14:E26">
      <formula1>"Red,Blue"</formula1>
    </dataValidation>
    <dataValidation type="list" allowBlank="1" showErrorMessage="1" sqref="D9:E10 D14:D26">
      <formula1>$N$4:$N$26</formula1>
    </dataValidation>
    <dataValidation type="list" allowBlank="1" showErrorMessage="1" sqref="O2">
      <formula1>Settings!$G$3:$G$21</formula1>
    </dataValidation>
    <dataValidation type="list" allowBlank="1" sqref="D6">
      <formula1>"Red,Blue"</formula1>
    </dataValidation>
  </dataValidations>
  <hyperlinks>
    <hyperlink r:id="rId2" ref="N5"/>
    <hyperlink r:id="rId3" ref="N6"/>
    <hyperlink r:id="rId4" ref="N7"/>
    <hyperlink r:id="rId5" ref="N8"/>
    <hyperlink r:id="rId6" ref="N9"/>
    <hyperlink r:id="rId7" ref="N10"/>
    <hyperlink r:id="rId8" ref="N11"/>
    <hyperlink r:id="rId9" ref="N12"/>
    <hyperlink r:id="rId10" ref="N13"/>
    <hyperlink r:id="rId11" ref="N14"/>
    <hyperlink r:id="rId12" ref="N15"/>
    <hyperlink r:id="rId13" ref="N16"/>
    <hyperlink r:id="rId14" ref="N17"/>
    <hyperlink r:id="rId15" ref="N18"/>
  </hyperlinks>
  <drawing r:id="rId16"/>
  <legacyDrawing r:id="rId17"/>
</worksheet>
</file>