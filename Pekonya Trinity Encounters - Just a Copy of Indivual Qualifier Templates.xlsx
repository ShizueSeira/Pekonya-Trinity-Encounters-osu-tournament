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am Qualifier format" sheetId="1" r:id="rId4"/>
    <sheet state="visible" name="Tourney settings" sheetId="2" r:id="rId5"/>
    <sheet state="visible" name="Individual Qualifier format" sheetId="3" r:id="rId6"/>
    <sheet state="visible" name="Pekosign Individual Qualifier f" sheetId="4" r:id="rId7"/>
    <sheet state="visible" name="PoolSample" sheetId="5" r:id="rId8"/>
    <sheet state="visible" name="RefList" sheetId="6" r:id="rId9"/>
    <sheet state="visible" name="Adjust -Pekora-s Solo-Qualifier" sheetId="7" r:id="rId10"/>
    <sheet state="visible" name="v2 adjustment possibilities and" sheetId="8" r:id="rId11"/>
    <sheet state="visible" name="FINALIZING Draft for Individual" sheetId="9" r:id="rId12"/>
    <sheet state="visible" name="Progress 0" sheetId="10" r:id="rId13"/>
    <sheet state="visible" name="Progress 2 (V1)" sheetId="11" r:id="rId14"/>
    <sheet state="visible" name="Progress 1" sheetId="12" r:id="rId15"/>
    <sheet state="visible" name="Pekosign Individual qualifier s" sheetId="13" r:id="rId16"/>
    <sheet state="visible" name="IceDynamixConditionalFormat (no" sheetId="14" r:id="rId17"/>
    <sheet state="visible" name="Team Qualifier Schedules" sheetId="15" r:id="rId18"/>
    <sheet state="visible" name="Copy of Team List" sheetId="16" r:id="rId19"/>
  </sheets>
  <definedNames>
    <definedName name="Scoremode">'Tourney settings'!$C$7</definedName>
    <definedName name="Gamemode">'Tourney settings'!$C$5</definedName>
    <definedName name="TourneyAbb">'Tourney settings'!$C$3</definedName>
    <definedName localSheetId="15" name="TeamList">'Copy of Team List'!$B$3:$E$38</definedName>
    <definedName localSheetId="13" name="Maps">'IceDynamixConditionalFormat (no'!$F$4:$H$510</definedName>
    <definedName name="RefNotes">'Progress 1'!$G$3:$G$5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NM1, NM2, NM3, ....
Do this for all stages.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  <comment authorId="0" ref="E7">
      <text>
        <t xml:space="preserve">Check the box if they are in the lobby!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  <comment authorId="0" ref="E7">
      <text>
        <t xml:space="preserve">Check the box if they are in the lobby!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 Ref sched qual sheet!</t>
      </text>
    </comment>
    <comment authorId="0" ref="D7">
      <text>
        <t xml:space="preserve">Present?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Put the MP Link first always @Referees!</t>
      </text>
    </comment>
    <comment authorId="0" ref="E7">
      <text>
        <t xml:space="preserve">Check the box if they are in the lobby!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Don't forget to put MP Link @Referees!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All fields are generated automatically based on the information on the left</t>
      </text>
    </comment>
    <comment authorId="0" ref="B3">
      <text>
        <t xml:space="preserve">Specify the stage for every map you define</t>
      </text>
    </comment>
    <comment authorId="0" ref="C3">
      <text>
        <t xml:space="preserve">NM1, HD3 etc.
Colors are available for
NM, HD, HR, DT, FM, TB, EZ, HT</t>
      </text>
    </comment>
    <comment authorId="0" ref="E3">
      <text>
        <t xml:space="preserve">Usually "Artist - Song [Difficulty]" format, but you're free to put whatever you like, whether it's just the song title or something completely different</t>
      </text>
    </comment>
  </commentList>
</comments>
</file>

<file path=xl/sharedStrings.xml><?xml version="1.0" encoding="utf-8"?>
<sst xmlns="http://schemas.openxmlformats.org/spreadsheetml/2006/main" count="1197" uniqueCount="283">
  <si>
    <t>Team Name</t>
  </si>
  <si>
    <t>Captain</t>
  </si>
  <si>
    <t>Player 2</t>
  </si>
  <si>
    <t>Player 3</t>
  </si>
  <si>
    <t>Pekora slaves</t>
  </si>
  <si>
    <t>Ha</t>
  </si>
  <si>
    <t>Joyplush</t>
  </si>
  <si>
    <t>Kekw</t>
  </si>
  <si>
    <t>Harambe</t>
  </si>
  <si>
    <t>K</t>
  </si>
  <si>
    <t>Hak</t>
  </si>
  <si>
    <t>Dog</t>
  </si>
  <si>
    <t>Tournament Name</t>
  </si>
  <si>
    <t>Pekora's Tourney</t>
  </si>
  <si>
    <t>Tournament Abbereviation</t>
  </si>
  <si>
    <t>PT</t>
  </si>
  <si>
    <t>Scoremode</t>
  </si>
  <si>
    <t>Gamemode</t>
  </si>
  <si>
    <t>No. of players max in lobby</t>
  </si>
  <si>
    <t>Use NF</t>
  </si>
  <si>
    <t>Forum Post Link</t>
  </si>
  <si>
    <t>https://osu.ppy.sh/community/forums/topics/1619006?n=1</t>
  </si>
  <si>
    <t>Mainsheet Link</t>
  </si>
  <si>
    <t>https://docs.google.com/spreadsheets/d/1Nc4rE3ik1IsfNmEqylu9WdZVyIXj5kHImLweaCQgjZM/edit#gid=1476597357</t>
  </si>
  <si>
    <t>Time preparing for each map</t>
  </si>
  <si>
    <t>Start countdown time</t>
  </si>
  <si>
    <t>Players List</t>
  </si>
  <si>
    <t>Discord User</t>
  </si>
  <si>
    <t>Man</t>
  </si>
  <si>
    <t>Man#0000</t>
  </si>
  <si>
    <t>Pain</t>
  </si>
  <si>
    <t>Pain#7270</t>
  </si>
  <si>
    <t>What</t>
  </si>
  <si>
    <t>What#0000</t>
  </si>
  <si>
    <t>Damn</t>
  </si>
  <si>
    <t>Damn#4424</t>
  </si>
  <si>
    <t>euouae#0944</t>
  </si>
  <si>
    <t>Holy_Shit</t>
  </si>
  <si>
    <t xml:space="preserve">euouae2#3122
</t>
  </si>
  <si>
    <t>Pekor_a</t>
  </si>
  <si>
    <t>Fuwub#0186</t>
  </si>
  <si>
    <t>Unreal</t>
  </si>
  <si>
    <t>Mihari Oyama#7203</t>
  </si>
  <si>
    <t>Seals</t>
  </si>
  <si>
    <t>Nebula#1652</t>
  </si>
  <si>
    <t>Android</t>
  </si>
  <si>
    <t>Smato#1999</t>
  </si>
  <si>
    <t>Craphead</t>
  </si>
  <si>
    <t>Sweeet#9205</t>
  </si>
  <si>
    <t>Retard</t>
  </si>
  <si>
    <t>Ѧ𝖕ѳӄαℜȡїѻꪑέᾗɸక#9610</t>
  </si>
  <si>
    <t>Whatchat</t>
  </si>
  <si>
    <t>𝔇ῗ𝓼ɢϑʂȶℑҋℊ#8986</t>
  </si>
  <si>
    <t>Malding</t>
  </si>
  <si>
    <t>kryptic#6400</t>
  </si>
  <si>
    <t>Halves</t>
  </si>
  <si>
    <t>ashwagafu#0002
DaijobuDes#0870</t>
  </si>
  <si>
    <t>Chin</t>
  </si>
  <si>
    <t>Nance#0001</t>
  </si>
  <si>
    <t>Horse</t>
  </si>
  <si>
    <t>mechadoodle#2614</t>
  </si>
  <si>
    <t>ShizuVoice</t>
  </si>
  <si>
    <t>ShizuVoice#2523</t>
  </si>
  <si>
    <t>Morse</t>
  </si>
  <si>
    <t>Chirijiraden#4992</t>
  </si>
  <si>
    <t>Mod#</t>
  </si>
  <si>
    <t>Song</t>
  </si>
  <si>
    <t>BeatmapID</t>
  </si>
  <si>
    <t>Beatmap String</t>
  </si>
  <si>
    <t>Map Command</t>
  </si>
  <si>
    <t>Mod Command</t>
  </si>
  <si>
    <t>Qualifier</t>
  </si>
  <si>
    <t>NM1</t>
  </si>
  <si>
    <t>Imy - Divine's Game [Extra]</t>
  </si>
  <si>
    <t>NM2</t>
  </si>
  <si>
    <t>technoplanet - Juvenile [Extreme]</t>
  </si>
  <si>
    <t>NM2: technoplanet - Juvenile [Extreme]</t>
  </si>
  <si>
    <t>!mp map 2826730</t>
  </si>
  <si>
    <t>!mp mods NF</t>
  </si>
  <si>
    <t>NM3</t>
  </si>
  <si>
    <t>Nanahoshi Kangengakudan - Andromeda [Galaxy]</t>
  </si>
  <si>
    <t>NM3: Nanahoshi Kangengakudan - Andromeda [Galaxy]</t>
  </si>
  <si>
    <t>!mp map 2347615</t>
  </si>
  <si>
    <t>NM4</t>
  </si>
  <si>
    <t>Function Phantom - Euclid [Fifth Postulate]</t>
  </si>
  <si>
    <t>NM4: Function Phantom - Euclid [Fifth Postulate]</t>
  </si>
  <si>
    <t>!mp map 908093</t>
  </si>
  <si>
    <t>HD1</t>
  </si>
  <si>
    <t>la la larks - ego-izm [bro-ken]</t>
  </si>
  <si>
    <t>HD1: la la larks - ego-izm [bro-ken]</t>
  </si>
  <si>
    <t>!mp map 2514176</t>
  </si>
  <si>
    <t>!mp mods HD NF</t>
  </si>
  <si>
    <t>HD2</t>
  </si>
  <si>
    <t>Wednesday Campanella - Nishi Tamao [Corsace]</t>
  </si>
  <si>
    <t>HD2: Wednesday Campanella - Nishi Tamao [Corsace]</t>
  </si>
  <si>
    <t>!mp map 3167107</t>
  </si>
  <si>
    <t>HR1</t>
  </si>
  <si>
    <t>TUYU - Namikare [Koori's Extra]</t>
  </si>
  <si>
    <t>HR1: TUYU - Namikare [Koori's Extra]</t>
  </si>
  <si>
    <t>!mp map 2349954</t>
  </si>
  <si>
    <t>!mp mods HR NF</t>
  </si>
  <si>
    <t>HR2</t>
  </si>
  <si>
    <t>Chitose Kudou - CHO-DARI- [Darui~]</t>
  </si>
  <si>
    <t>HR2: Chitose Kudou - CHO-DARI- [Darui~]</t>
  </si>
  <si>
    <t>!mp map 2108442</t>
  </si>
  <si>
    <t>DT1</t>
  </si>
  <si>
    <t>Kola Kid - timer [Insane]</t>
  </si>
  <si>
    <t>DT1: Kola Kid - timer [Insane]</t>
  </si>
  <si>
    <t>!mp map 2277128</t>
  </si>
  <si>
    <t>!mp mods DT NF</t>
  </si>
  <si>
    <t>DT2</t>
  </si>
  <si>
    <t>3L - Spring of Dreams [Lunatic]</t>
  </si>
  <si>
    <t>DT2: 3L - Spring of Dreams [Lunatic]</t>
  </si>
  <si>
    <t>!mp map 1559749</t>
  </si>
  <si>
    <t/>
  </si>
  <si>
    <t>Round of 64</t>
  </si>
  <si>
    <t>Round of 32</t>
  </si>
  <si>
    <t>Round of 16</t>
  </si>
  <si>
    <t>Quarterfinals</t>
  </si>
  <si>
    <t>Semifinals</t>
  </si>
  <si>
    <t>Finals</t>
  </si>
  <si>
    <t>Grandfinals</t>
  </si>
  <si>
    <t>Referee List</t>
  </si>
  <si>
    <t>RemIscute07</t>
  </si>
  <si>
    <t>Tsukime</t>
  </si>
  <si>
    <t>- S a y o -</t>
  </si>
  <si>
    <t>you got eczema</t>
  </si>
  <si>
    <t>Dragbit 5</t>
  </si>
  <si>
    <t>MCshitacc</t>
  </si>
  <si>
    <t>InnProve</t>
  </si>
  <si>
    <t>lelxdme</t>
  </si>
  <si>
    <t>-Pekora-</t>
  </si>
  <si>
    <t>Fuwub</t>
  </si>
  <si>
    <t>Social_Distance</t>
  </si>
  <si>
    <t>ShadeCegLgMn</t>
  </si>
  <si>
    <t>Lobby:</t>
  </si>
  <si>
    <t>A</t>
  </si>
  <si>
    <t>Referee:</t>
  </si>
  <si>
    <t>Remarks (Late and Replays)</t>
  </si>
  <si>
    <t>mp timer 120</t>
  </si>
  <si>
    <t>!mp settings</t>
  </si>
  <si>
    <t>MP LINK:</t>
  </si>
  <si>
    <t>:thumbsup: None</t>
  </si>
  <si>
    <t>!mp set 0 3 16</t>
  </si>
  <si>
    <t>!mp abort</t>
  </si>
  <si>
    <t>Room Command:</t>
  </si>
  <si>
    <t>!mp start 10</t>
  </si>
  <si>
    <t>!mp aborttimer</t>
  </si>
  <si>
    <t>Results:</t>
  </si>
  <si>
    <t>MP COMMANDS</t>
  </si>
  <si>
    <t>!mp addref (name)</t>
  </si>
  <si>
    <t>Player Name</t>
  </si>
  <si>
    <t>Command</t>
  </si>
  <si>
    <t>Present?</t>
  </si>
  <si>
    <t>Mappool</t>
  </si>
  <si>
    <t>Map Name</t>
  </si>
  <si>
    <t>A1</t>
  </si>
  <si>
    <t>Present? &lt; shows Discord user here</t>
  </si>
  <si>
    <t>MC &lt; musat be same color as well the other 2 columns</t>
  </si>
  <si>
    <t>Invite commands/Discord user</t>
  </si>
  <si>
    <t>P?</t>
  </si>
  <si>
    <t>Tick for Disc ID</t>
  </si>
  <si>
    <t>Map ID</t>
  </si>
  <si>
    <t>Mods</t>
  </si>
  <si>
    <t>Mp commands</t>
  </si>
  <si>
    <t>Name of Referee</t>
  </si>
  <si>
    <t>mp start 10</t>
  </si>
  <si>
    <t>!mp make formula</t>
  </si>
  <si>
    <t>Time of the lobby</t>
  </si>
  <si>
    <t>Results formula</t>
  </si>
  <si>
    <t>Player formula</t>
  </si>
  <si>
    <t>Formula for player invite</t>
  </si>
  <si>
    <t>!mp map</t>
  </si>
  <si>
    <t>Mod commands w/format</t>
  </si>
  <si>
    <t>***Cross line when present is checked</t>
  </si>
  <si>
    <t>Map Names w/format</t>
  </si>
  <si>
    <t>https://osu.ppy.sh/mp/98134569</t>
  </si>
  <si>
    <t>!mp timer 90</t>
  </si>
  <si>
    <t>Heavily Inspired by Shade template, definitely did not copy formulas from there :tro:</t>
  </si>
  <si>
    <t>D</t>
  </si>
  <si>
    <t>I inted the quals unreal</t>
  </si>
  <si>
    <t>!mp addref #mp_(Number)</t>
  </si>
  <si>
    <t>Importrange the mappool</t>
  </si>
  <si>
    <t>QUALIFIERS SCHEDULES</t>
  </si>
  <si>
    <t>Double click dates</t>
  </si>
  <si>
    <t>UTC+0</t>
  </si>
  <si>
    <t>Lobby</t>
  </si>
  <si>
    <t>Slots taken</t>
  </si>
  <si>
    <t>Date</t>
  </si>
  <si>
    <t>Time</t>
  </si>
  <si>
    <t>Referee</t>
  </si>
  <si>
    <t>Player 1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</si>
  <si>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</si>
  <si>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</si>
  <si>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</si>
  <si>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</si>
  <si>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</si>
  <si>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</si>
  <si>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</si>
  <si>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</si>
  <si>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</si>
  <si>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</si>
  <si>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</si>
  <si>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</si>
  <si>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MP LINK</t>
  </si>
  <si>
    <t>Saturday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</si>
  <si>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</si>
  <si>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</si>
  <si>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</si>
  <si>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</si>
  <si>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</si>
  <si>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</si>
  <si>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</si>
  <si>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</si>
  <si>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</si>
  <si>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Sunday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</si>
  <si>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</si>
  <si>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</si>
  <si>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</si>
  <si>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</si>
  <si>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</si>
  <si>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</si>
  <si>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</si>
  <si>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</si>
  <si>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</si>
  <si>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</si>
  <si>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Custom Lobbies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</si>
  <si>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</si>
  <si>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</si>
  <si>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</si>
  <si>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</si>
  <si>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</si>
  <si>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</si>
  <si>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</si>
  <si>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</si>
  <si>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</si>
  <si>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</si>
  <si>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Input</t>
  </si>
  <si>
    <t>Auto-generated</t>
  </si>
  <si>
    <t>Stage</t>
  </si>
  <si>
    <t>String</t>
  </si>
  <si>
    <t>Qualifiers</t>
  </si>
  <si>
    <t>Kuba Oms - My Love [Insane]</t>
  </si>
  <si>
    <t>NM2: Kuba Oms - My Love [Insane]</t>
  </si>
  <si>
    <t>NM3: Kuba Oms - My Love [Insane]</t>
  </si>
  <si>
    <t>NM4: Kuba Oms - My Love [Insane]</t>
  </si>
  <si>
    <t>HD1: Kuba Oms - My Love [Insane]</t>
  </si>
  <si>
    <t>HD2: Kuba Oms - My Love [Insane]</t>
  </si>
  <si>
    <t>HR1: Kuba Oms - My Love [Insane]</t>
  </si>
  <si>
    <t>HR2: Kuba Oms - My Love [Insane]</t>
  </si>
  <si>
    <t>DT1: Kuba Oms - My Love [Insane]</t>
  </si>
  <si>
    <t>DT2: Kuba Oms - My Love [Insane]</t>
  </si>
  <si>
    <t>FM1</t>
  </si>
  <si>
    <t>FM1: Kuba Oms - My Love [Insane]</t>
  </si>
  <si>
    <t>!mp mods Freemod</t>
  </si>
  <si>
    <t>FM2</t>
  </si>
  <si>
    <t>FM2: Kuba Oms - My Love [Insane]</t>
  </si>
  <si>
    <t>FM3</t>
  </si>
  <si>
    <t>FM3: Kuba Oms - My Love [Insane]</t>
  </si>
  <si>
    <t>FM4</t>
  </si>
  <si>
    <t>FM4: Kuba Oms - My Love [Insane]</t>
  </si>
  <si>
    <t>TB1</t>
  </si>
  <si>
    <t>TB1: Kuba Oms - My Love [Insane]</t>
  </si>
  <si>
    <t xml:space="preserve">Team 1 </t>
  </si>
  <si>
    <t>Team 2</t>
  </si>
  <si>
    <t>Team 3</t>
  </si>
  <si>
    <t>Team 4</t>
  </si>
  <si>
    <t>Team 5</t>
  </si>
  <si>
    <t>W gaming</t>
  </si>
  <si>
    <t>Snails</t>
  </si>
  <si>
    <t>Fnatic</t>
  </si>
  <si>
    <t>EG</t>
  </si>
  <si>
    <t>https://osu.ppy.sh/community/matches/88396460</t>
  </si>
  <si>
    <t>1p1</t>
  </si>
  <si>
    <t>1p2</t>
  </si>
  <si>
    <t>1p3</t>
  </si>
  <si>
    <t>2p1</t>
  </si>
  <si>
    <t>2p2</t>
  </si>
  <si>
    <t>boaster</t>
  </si>
  <si>
    <t>derke</t>
  </si>
  <si>
    <t>demon1</t>
  </si>
  <si>
    <t>boostio</t>
  </si>
  <si>
    <t>jawgemo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</si>
</sst>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"/>
    <numFmt numFmtId="165" formatCode="mmm&quot; &quot;dd&quot; (&quot;dddd&quot;)&quot;"/>
  </numFmts>
  <fonts count="5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ubik"/>
    </font>
    <font>
      <color theme="1"/>
      <name val="Rubik"/>
    </font>
    <font>
      <u/>
      <sz val="8.0"/>
      <color rgb="FF0000FF"/>
      <name val="Rubik"/>
    </font>
    <font>
      <sz val="12.0"/>
      <color rgb="FFFFFFFF"/>
      <name val="Montserrat"/>
    </font>
    <font>
      <b/>
      <color rgb="FF000000"/>
      <name val="Rubik"/>
    </font>
    <font>
      <b/>
      <sz val="18.0"/>
      <color rgb="FF000000"/>
      <name val="Rubik"/>
    </font>
    <font>
      <color rgb="FFDEDEDE"/>
      <name val="Rubik"/>
    </font>
    <font>
      <color rgb="FF000000"/>
      <name val="Rubik"/>
    </font>
    <font>
      <u/>
      <color rgb="FF000000"/>
      <name val="Rubik"/>
    </font>
    <font/>
    <font>
      <u/>
      <color rgb="FF000000"/>
      <name val="Rubik"/>
    </font>
    <font>
      <color rgb="FFF2F2F2"/>
      <name val="Rubik"/>
    </font>
    <font>
      <name val="Rubik"/>
    </font>
    <font>
      <b/>
      <sz val="10.0"/>
      <color theme="1"/>
      <name val="Rubik"/>
    </font>
    <font>
      <b/>
      <sz val="8.0"/>
      <color rgb="FF000000"/>
      <name val="Rubik"/>
    </font>
    <font>
      <b/>
      <sz val="8.0"/>
      <color theme="1"/>
      <name val="Rubik"/>
    </font>
    <font>
      <sz val="10.0"/>
      <color theme="1"/>
      <name val="Rubik"/>
    </font>
    <font>
      <sz val="12.0"/>
      <color theme="1"/>
      <name val="&quot;gg sans&quot;"/>
    </font>
    <font>
      <sz val="10.0"/>
      <color rgb="FF000000"/>
      <name val="Rubik"/>
    </font>
    <font>
      <sz val="8.0"/>
      <color rgb="FF000000"/>
      <name val="Rubik"/>
    </font>
    <font>
      <b/>
      <sz val="12.0"/>
      <color theme="1"/>
      <name val="Rubik"/>
    </font>
    <font>
      <sz val="12.0"/>
      <color rgb="FF000000"/>
      <name val="Rubik"/>
    </font>
    <font>
      <u/>
      <sz val="12.0"/>
      <color rgb="FF000000"/>
      <name val="Rubik"/>
    </font>
    <font>
      <sz val="8.0"/>
      <color theme="1"/>
      <name val="Rubik"/>
    </font>
    <font>
      <sz val="10.0"/>
      <color rgb="FFFFFFFF"/>
      <name val="Rubik"/>
    </font>
    <font>
      <b/>
      <sz val="8.0"/>
      <color rgb="FFFF0000"/>
      <name val="Rubik"/>
    </font>
    <font>
      <b/>
      <sz val="12.0"/>
      <color rgb="FFFF0000"/>
      <name val="Rubik"/>
    </font>
    <font>
      <u/>
      <sz val="10.0"/>
      <color rgb="FF000000"/>
      <name val="Rubik"/>
    </font>
    <font>
      <u/>
      <sz val="8.0"/>
      <color rgb="FF0000FF"/>
      <name val="Rubik"/>
    </font>
    <font>
      <b/>
      <sz val="6.0"/>
      <color theme="1"/>
      <name val="Rubik"/>
    </font>
    <font>
      <sz val="4.0"/>
      <color rgb="FF000000"/>
      <name val="Rubik"/>
    </font>
    <font>
      <u/>
      <sz val="10.0"/>
      <color rgb="FF000000"/>
      <name val="Rubik"/>
    </font>
    <font>
      <sz val="12.0"/>
      <color theme="1"/>
      <name val="Rubik"/>
    </font>
    <font>
      <sz val="12.0"/>
      <color rgb="FFBF9000"/>
      <name val="Rubik"/>
    </font>
    <font>
      <b/>
      <sz val="12.0"/>
      <color rgb="FF7F6000"/>
      <name val="Rubik"/>
    </font>
    <font>
      <u/>
      <sz val="10.0"/>
      <color rgb="FF0000FF"/>
      <name val="Rubik"/>
    </font>
    <font>
      <sz val="12.0"/>
      <color rgb="FF7F6000"/>
      <name val="Rubik"/>
    </font>
    <font>
      <sz val="12.0"/>
      <color rgb="FF284056"/>
      <name val="Rubik"/>
    </font>
    <font>
      <b/>
      <sz val="10.0"/>
      <color rgb="FF7F6000"/>
      <name val="Rubik"/>
    </font>
    <font>
      <sz val="11.0"/>
      <color theme="1"/>
      <name val="Rubik"/>
    </font>
    <font>
      <u/>
      <sz val="12.0"/>
      <color rgb="FF7F6000"/>
      <name val="Rubik"/>
    </font>
    <font>
      <sz val="12.0"/>
      <color theme="0"/>
      <name val="Rubik"/>
    </font>
    <font>
      <u/>
      <sz val="8.0"/>
      <color rgb="FF1155CC"/>
      <name val="Rubik"/>
    </font>
    <font>
      <b/>
      <sz val="12.0"/>
      <color rgb="FFBF9000"/>
      <name val="Rubik"/>
    </font>
    <font>
      <b/>
      <sz val="8.0"/>
      <color rgb="FF990000"/>
      <name val="Rubik"/>
    </font>
    <font>
      <b/>
      <sz val="18.0"/>
      <color rgb="FFFFFFFF"/>
      <name val="Rubik"/>
    </font>
    <font>
      <sz val="8.0"/>
      <color rgb="FFFFFFFF"/>
      <name val="Rubik"/>
    </font>
    <font>
      <color rgb="FFFFFFFF"/>
      <name val="Rubik"/>
    </font>
    <font>
      <sz val="14.0"/>
      <color theme="1"/>
      <name val="Rubik"/>
    </font>
    <font>
      <color rgb="FF434343"/>
      <name val="Nunito"/>
    </font>
    <font>
      <b/>
      <color rgb="FF434343"/>
      <name val="Nunito"/>
    </font>
    <font>
      <sz val="8.0"/>
      <color rgb="FF434343"/>
      <name val="Fira Code"/>
    </font>
    <font>
      <u/>
      <sz val="8.0"/>
      <color rgb="FF0000FF"/>
      <name val="Rubik"/>
    </font>
    <font>
      <color rgb="FF434343"/>
      <name val="Rubik"/>
    </font>
    <font>
      <b/>
      <color rgb="FFFFFFFF"/>
      <name val="Rubik"/>
    </font>
    <font>
      <b/>
      <color rgb="FF434343"/>
      <name val="Rubik"/>
    </font>
  </fonts>
  <fills count="24">
    <fill>
      <patternFill patternType="none"/>
    </fill>
    <fill>
      <patternFill patternType="lightGray"/>
    </fill>
    <fill>
      <patternFill patternType="solid">
        <fgColor rgb="FFD8D3F2"/>
        <bgColor rgb="FFD8D3F2"/>
      </patternFill>
    </fill>
    <fill>
      <patternFill patternType="solid">
        <fgColor rgb="FFF2F2F2"/>
        <bgColor rgb="FFF2F2F2"/>
      </patternFill>
    </fill>
    <fill>
      <patternFill patternType="solid">
        <fgColor rgb="FF0071CE"/>
        <bgColor rgb="FF0071CE"/>
      </patternFill>
    </fill>
    <fill>
      <patternFill patternType="solid">
        <fgColor rgb="FFC3DCEB"/>
        <bgColor rgb="FFC3DCEB"/>
      </patternFill>
    </fill>
    <fill>
      <patternFill patternType="solid">
        <fgColor rgb="FF284056"/>
        <bgColor rgb="FF284056"/>
      </patternFill>
    </fill>
    <fill>
      <patternFill patternType="solid">
        <fgColor rgb="FF36393F"/>
        <bgColor rgb="FF36393F"/>
      </patternFill>
    </fill>
    <fill>
      <patternFill patternType="solid">
        <fgColor rgb="FFDEDEDE"/>
        <bgColor rgb="FFDEDEDE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3BECA"/>
        <bgColor rgb="FFE3BECA"/>
      </patternFill>
    </fill>
    <fill>
      <patternFill patternType="solid">
        <fgColor rgb="FF616D78"/>
        <bgColor rgb="FF616D78"/>
      </patternFill>
    </fill>
    <fill>
      <patternFill patternType="solid">
        <fgColor rgb="FFF1E1F0"/>
        <bgColor rgb="FFF1E1F0"/>
      </patternFill>
    </fill>
    <fill>
      <patternFill patternType="solid">
        <fgColor rgb="FFFDE2EB"/>
        <bgColor rgb="FFFDE2EB"/>
      </patternFill>
    </fill>
    <fill>
      <patternFill patternType="solid">
        <fgColor rgb="FFDFE1AE"/>
        <bgColor rgb="FFDFE1AE"/>
      </patternFill>
    </fill>
    <fill>
      <patternFill patternType="solid">
        <fgColor rgb="FFDD7E6B"/>
        <bgColor rgb="FFDD7E6B"/>
      </patternFill>
    </fill>
    <fill>
      <patternFill patternType="solid">
        <fgColor rgb="FFA6D9F7"/>
        <bgColor rgb="FFA6D9F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5C7387"/>
        <bgColor rgb="FF5C7387"/>
      </patternFill>
    </fill>
  </fills>
  <borders count="64">
    <border/>
    <border>
      <right style="hair">
        <color rgb="FFBEB6EC"/>
      </right>
      <bottom style="hair">
        <color rgb="FFBEB6EC"/>
      </bottom>
    </border>
    <border>
      <bottom style="hair">
        <color rgb="FFBEB6EC"/>
      </bottom>
    </border>
    <border>
      <right style="hair">
        <color rgb="FFBEB6EC"/>
      </right>
    </border>
    <border>
      <left style="dotted">
        <color rgb="FF000000"/>
      </left>
    </border>
    <border>
      <right style="dotted">
        <color rgb="FF0071CE"/>
      </right>
      <bottom style="thick">
        <color rgb="FF0071CE"/>
      </bottom>
    </border>
    <border>
      <bottom style="thick">
        <color rgb="FF0071CE"/>
      </bottom>
    </border>
    <border>
      <left style="dotted">
        <color rgb="FF0071CE"/>
      </left>
    </border>
    <border>
      <right style="dotted">
        <color rgb="FF0071CE"/>
      </right>
    </border>
    <border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FFFFFF"/>
      </right>
    </border>
    <border>
      <left style="thin">
        <color rgb="FFFFFFFF"/>
      </lef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FFFFFF"/>
      </left>
    </border>
    <border>
      <left style="dotted">
        <color rgb="FF000000"/>
      </left>
      <right style="dotted">
        <color rgb="FF000000"/>
      </right>
    </border>
    <border>
      <right style="thick">
        <color rgb="FF000000"/>
      </right>
    </border>
    <border>
      <left style="thick">
        <color rgb="FF000000"/>
      </left>
      <right style="dotted">
        <color rgb="FF000000"/>
      </right>
    </border>
    <border>
      <right style="dotted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right style="thin">
        <color rgb="FFFFFFFF"/>
      </right>
      <top style="thick">
        <color rgb="FF000000"/>
      </top>
    </border>
    <border>
      <bottom style="dotted">
        <color rgb="FF0071CE"/>
      </bottom>
    </border>
    <border>
      <left style="dotted">
        <color rgb="FF0071CE"/>
      </left>
      <right style="dotted">
        <color rgb="FF0071CE"/>
      </right>
      <bottom style="dotted">
        <color rgb="FF0071CE"/>
      </bottom>
    </border>
    <border>
      <left style="dotted">
        <color rgb="FF0071CE"/>
      </left>
      <right style="dotted">
        <color rgb="FF0071CE"/>
      </right>
    </border>
    <border>
      <top style="dotted">
        <color rgb="FF0071CE"/>
      </top>
      <bottom style="dotted">
        <color rgb="FF0071CE"/>
      </bottom>
    </border>
    <border>
      <right style="dotted">
        <color rgb="FF0071CE"/>
      </right>
      <top style="dotted">
        <color rgb="FF0071CE"/>
      </top>
      <bottom style="dotted">
        <color rgb="FF0071CE"/>
      </bottom>
    </border>
    <border>
      <right style="dotted">
        <color rgb="FF0071CE"/>
      </right>
      <bottom style="dotted">
        <color rgb="FF0071CE"/>
      </bottom>
    </border>
    <border>
      <right style="dotted">
        <color rgb="FFBEB6EC"/>
      </right>
      <bottom style="dotted">
        <color rgb="FFBEB6EC"/>
      </bottom>
    </border>
    <border>
      <bottom style="dotted">
        <color rgb="FFBEB6EC"/>
      </bottom>
    </border>
    <border>
      <bottom style="thick">
        <color rgb="FFBEB6EC"/>
      </bottom>
    </border>
    <border>
      <right style="dotted">
        <color rgb="FFBEB6EC"/>
      </right>
    </border>
    <border>
      <left style="thick">
        <color rgb="FFBEB6EC"/>
      </left>
      <right style="thick">
        <color rgb="FFBEB6EC"/>
      </right>
      <bottom style="dotted">
        <color rgb="FFBEB6EC"/>
      </bottom>
    </border>
    <border>
      <left style="thick">
        <color rgb="FFBEB6EC"/>
      </left>
      <right style="thick">
        <color rgb="FFBEB6EC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dotted">
        <color rgb="FF0071CE"/>
      </right>
      <top style="thick">
        <color rgb="FF000000"/>
      </top>
      <bottom style="thick">
        <color rgb="FF0071CE"/>
      </bottom>
    </border>
    <border>
      <right style="dotted">
        <color rgb="FF0071CE"/>
      </right>
      <top style="thick">
        <color rgb="FF000000"/>
      </top>
      <bottom style="thick">
        <color rgb="FF0071CE"/>
      </bottom>
    </border>
    <border>
      <top style="thick">
        <color rgb="FF000000"/>
      </top>
      <bottom style="thick">
        <color rgb="FF0071CE"/>
      </bottom>
    </border>
    <border>
      <right style="thick">
        <color rgb="FF000000"/>
      </right>
      <top style="thick">
        <color rgb="FF000000"/>
      </top>
      <bottom style="thick">
        <color rgb="FF0071CE"/>
      </bottom>
    </border>
    <border>
      <left style="thick">
        <color rgb="FF000000"/>
      </left>
      <right style="dotted">
        <color rgb="FF0071CE"/>
      </right>
    </border>
    <border>
      <left style="thick">
        <color rgb="FF000000"/>
      </left>
      <right style="dotted">
        <color rgb="FF0071CE"/>
      </right>
      <bottom style="thick">
        <color rgb="FF000000"/>
      </bottom>
    </border>
    <border>
      <right style="dotted">
        <color rgb="FF0071CE"/>
      </right>
      <bottom style="thick">
        <color rgb="FF000000"/>
      </bottom>
    </border>
    <border>
      <bottom style="thick">
        <color rgb="FF000000"/>
      </bottom>
    </border>
    <border>
      <left style="dotted">
        <color rgb="FF284056"/>
      </left>
    </border>
    <border>
      <left style="medium">
        <color rgb="FF284056"/>
      </left>
    </border>
    <border>
      <bottom style="dotted">
        <color rgb="FF284056"/>
      </bottom>
    </border>
    <border>
      <left style="medium">
        <color rgb="FF284056"/>
      </left>
      <bottom style="dotted">
        <color rgb="FF284056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dotted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3" fontId="3" numFmtId="0" xfId="0" applyAlignment="1" applyFont="1">
      <alignment readingOrder="0"/>
    </xf>
    <xf borderId="4" fillId="3" fontId="3" numFmtId="0" xfId="0" applyAlignment="1" applyBorder="1" applyFont="1">
      <alignment readingOrder="0"/>
    </xf>
    <xf borderId="0" fillId="3" fontId="3" numFmtId="0" xfId="0" applyFont="1"/>
    <xf borderId="4" fillId="3" fontId="3" numFmtId="0" xfId="0" applyBorder="1" applyFont="1"/>
    <xf borderId="4" fillId="3" fontId="4" numFmtId="0" xfId="0" applyAlignment="1" applyBorder="1" applyFont="1">
      <alignment horizontal="left" readingOrder="0" vertical="center"/>
    </xf>
    <xf borderId="0" fillId="3" fontId="2" numFmtId="0" xfId="0" applyAlignment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6" fillId="3" fontId="2" numFmtId="0" xfId="0" applyAlignment="1" applyBorder="1" applyFont="1">
      <alignment horizontal="center" readingOrder="0"/>
    </xf>
    <xf borderId="0" fillId="4" fontId="1" numFmtId="0" xfId="0" applyFont="1"/>
    <xf borderId="7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0" fillId="4" fontId="3" numFmtId="0" xfId="0" applyFont="1"/>
    <xf borderId="0" fillId="4" fontId="5" numFmtId="0" xfId="0" applyAlignment="1" applyFont="1">
      <alignment readingOrder="0"/>
    </xf>
    <xf borderId="9" fillId="4" fontId="3" numFmtId="0" xfId="0" applyBorder="1" applyFont="1"/>
    <xf borderId="10" fillId="5" fontId="6" numFmtId="0" xfId="0" applyAlignment="1" applyBorder="1" applyFill="1" applyFont="1">
      <alignment horizontal="center" readingOrder="0" vertical="center"/>
    </xf>
    <xf borderId="11" fillId="5" fontId="7" numFmtId="0" xfId="0" applyAlignment="1" applyBorder="1" applyFont="1">
      <alignment horizontal="center" readingOrder="0" textRotation="90" vertical="center"/>
    </xf>
    <xf borderId="12" fillId="6" fontId="8" numFmtId="0" xfId="0" applyAlignment="1" applyBorder="1" applyFill="1" applyFont="1">
      <alignment horizontal="center" readingOrder="0" vertical="center"/>
    </xf>
    <xf borderId="13" fillId="3" fontId="9" numFmtId="0" xfId="0" applyAlignment="1" applyBorder="1" applyFont="1">
      <alignment readingOrder="0" vertical="center"/>
    </xf>
    <xf borderId="14" fillId="3" fontId="9" numFmtId="0" xfId="0" applyAlignment="1" applyBorder="1" applyFont="1">
      <alignment horizontal="left" readingOrder="0" vertical="center"/>
    </xf>
    <xf borderId="15" fillId="3" fontId="9" numFmtId="0" xfId="0" applyAlignment="1" applyBorder="1" applyFont="1">
      <alignment readingOrder="0" vertical="center"/>
    </xf>
    <xf borderId="16" fillId="3" fontId="10" numFmtId="0" xfId="0" applyAlignment="1" applyBorder="1" applyFont="1">
      <alignment horizontal="left" vertical="center"/>
    </xf>
    <xf borderId="17" fillId="3" fontId="9" numFmtId="0" xfId="0" applyAlignment="1" applyBorder="1" applyFont="1">
      <alignment horizontal="center" vertical="center"/>
    </xf>
    <xf borderId="15" fillId="3" fontId="9" numFmtId="0" xfId="0" applyAlignment="1" applyBorder="1" applyFont="1">
      <alignment horizontal="center" vertical="center"/>
    </xf>
    <xf borderId="18" fillId="0" fontId="11" numFmtId="0" xfId="0" applyBorder="1" applyFont="1"/>
    <xf borderId="19" fillId="3" fontId="9" numFmtId="0" xfId="0" applyAlignment="1" applyBorder="1" applyFont="1">
      <alignment readingOrder="0" vertical="center"/>
    </xf>
    <xf borderId="20" fillId="3" fontId="9" numFmtId="0" xfId="0" applyAlignment="1" applyBorder="1" applyFont="1">
      <alignment horizontal="left" readingOrder="0" vertical="center"/>
    </xf>
    <xf borderId="21" fillId="3" fontId="9" numFmtId="0" xfId="0" applyAlignment="1" applyBorder="1" applyFont="1">
      <alignment readingOrder="0" vertical="center"/>
    </xf>
    <xf borderId="22" fillId="3" fontId="12" numFmtId="0" xfId="0" applyAlignment="1" applyBorder="1" applyFont="1">
      <alignment horizontal="left" vertical="center"/>
    </xf>
    <xf borderId="23" fillId="3" fontId="9" numFmtId="0" xfId="0" applyAlignment="1" applyBorder="1" applyFont="1">
      <alignment horizontal="center" vertical="center"/>
    </xf>
    <xf borderId="21" fillId="3" fontId="9" numFmtId="0" xfId="0" applyAlignment="1" applyBorder="1" applyFont="1">
      <alignment horizontal="center" vertical="center"/>
    </xf>
    <xf borderId="20" fillId="3" fontId="9" numFmtId="0" xfId="0" applyAlignment="1" applyBorder="1" applyFont="1">
      <alignment readingOrder="0" vertical="center"/>
    </xf>
    <xf borderId="22" fillId="3" fontId="9" numFmtId="0" xfId="0" applyAlignment="1" applyBorder="1" applyFont="1">
      <alignment horizontal="left" vertical="center"/>
    </xf>
    <xf borderId="19" fillId="3" fontId="9" numFmtId="0" xfId="0" applyAlignment="1" applyBorder="1" applyFont="1">
      <alignment vertical="center"/>
    </xf>
    <xf borderId="20" fillId="3" fontId="9" numFmtId="0" xfId="0" applyAlignment="1" applyBorder="1" applyFont="1">
      <alignment vertical="center"/>
    </xf>
    <xf borderId="21" fillId="3" fontId="9" numFmtId="0" xfId="0" applyAlignment="1" applyBorder="1" applyFont="1">
      <alignment vertical="center"/>
    </xf>
    <xf borderId="24" fillId="0" fontId="11" numFmtId="0" xfId="0" applyBorder="1" applyFont="1"/>
    <xf borderId="25" fillId="6" fontId="8" numFmtId="0" xfId="0" applyAlignment="1" applyBorder="1" applyFont="1">
      <alignment horizontal="center" readingOrder="0" vertical="center"/>
    </xf>
    <xf borderId="26" fillId="3" fontId="9" numFmtId="0" xfId="0" applyAlignment="1" applyBorder="1" applyFont="1">
      <alignment vertical="center"/>
    </xf>
    <xf borderId="27" fillId="3" fontId="9" numFmtId="0" xfId="0" applyAlignment="1" applyBorder="1" applyFont="1">
      <alignment vertical="center"/>
    </xf>
    <xf borderId="28" fillId="3" fontId="9" numFmtId="0" xfId="0" applyAlignment="1" applyBorder="1" applyFont="1">
      <alignment vertical="center"/>
    </xf>
    <xf borderId="29" fillId="3" fontId="9" numFmtId="0" xfId="0" applyAlignment="1" applyBorder="1" applyFont="1">
      <alignment horizontal="left" vertical="center"/>
    </xf>
    <xf borderId="30" fillId="3" fontId="9" numFmtId="0" xfId="0" applyAlignment="1" applyBorder="1" applyFont="1">
      <alignment horizontal="center" vertical="center"/>
    </xf>
    <xf borderId="28" fillId="3" fontId="9" numFmtId="0" xfId="0" applyAlignment="1" applyBorder="1" applyFont="1">
      <alignment horizontal="center" vertical="center"/>
    </xf>
    <xf borderId="12" fillId="6" fontId="13" numFmtId="0" xfId="0" applyAlignment="1" applyBorder="1" applyFont="1">
      <alignment horizontal="center" readingOrder="0" vertical="center"/>
    </xf>
    <xf borderId="31" fillId="6" fontId="13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readingOrder="0" vertical="center"/>
    </xf>
    <xf borderId="16" fillId="3" fontId="9" numFmtId="0" xfId="0" applyAlignment="1" applyBorder="1" applyFont="1">
      <alignment horizontal="left" vertical="center"/>
    </xf>
    <xf borderId="14" fillId="3" fontId="9" numFmtId="0" xfId="0" applyAlignment="1" applyBorder="1" applyFont="1">
      <alignment vertical="center"/>
    </xf>
    <xf borderId="15" fillId="3" fontId="9" numFmtId="0" xfId="0" applyAlignment="1" applyBorder="1" applyFont="1">
      <alignment vertical="center"/>
    </xf>
    <xf borderId="19" fillId="3" fontId="9" numFmtId="0" xfId="0" applyAlignment="1" applyBorder="1" applyFont="1">
      <alignment readingOrder="0" vertical="center"/>
    </xf>
    <xf borderId="25" fillId="6" fontId="13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left" vertical="center"/>
    </xf>
    <xf borderId="0" fillId="3" fontId="3" numFmtId="0" xfId="0" applyAlignment="1" applyFon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8" fillId="3" fontId="15" numFmtId="0" xfId="0" applyAlignment="1" applyBorder="1" applyFont="1">
      <alignment readingOrder="0" vertical="center"/>
    </xf>
    <xf borderId="0" fillId="3" fontId="16" numFmtId="0" xfId="0" applyAlignment="1" applyFont="1">
      <alignment horizontal="center" readingOrder="0" vertical="center"/>
    </xf>
    <xf borderId="0" fillId="4" fontId="1" numFmtId="0" xfId="0" applyAlignment="1" applyFont="1">
      <alignment shrinkToFit="0" wrapText="0"/>
    </xf>
    <xf borderId="0" fillId="3" fontId="17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center" readingOrder="0" vertical="center"/>
    </xf>
    <xf borderId="0" fillId="7" fontId="19" numFmtId="0" xfId="0" applyAlignment="1" applyFill="1" applyFont="1">
      <alignment horizontal="left" readingOrder="0"/>
    </xf>
    <xf borderId="0" fillId="8" fontId="20" numFmtId="0" xfId="0" applyAlignment="1" applyFill="1" applyFont="1">
      <alignment horizontal="center" vertical="center"/>
    </xf>
    <xf borderId="0" fillId="8" fontId="21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readingOrder="0" shrinkToFit="0" vertical="center" wrapText="0"/>
    </xf>
    <xf borderId="0" fillId="8" fontId="20" numFmtId="0" xfId="0" applyAlignment="1" applyFont="1">
      <alignment horizontal="center" readingOrder="0" vertical="center"/>
    </xf>
    <xf borderId="0" fillId="3" fontId="16" numFmtId="0" xfId="0" applyAlignment="1" applyFont="1">
      <alignment readingOrder="0" shrinkToFit="0" vertical="center" wrapText="1"/>
    </xf>
    <xf borderId="32" fillId="9" fontId="22" numFmtId="0" xfId="0" applyAlignment="1" applyBorder="1" applyFill="1" applyFont="1">
      <alignment horizontal="center" readingOrder="0" vertical="center"/>
    </xf>
    <xf borderId="33" fillId="9" fontId="22" numFmtId="0" xfId="0" applyAlignment="1" applyBorder="1" applyFont="1">
      <alignment horizontal="center" readingOrder="0" vertical="center"/>
    </xf>
    <xf borderId="32" fillId="9" fontId="22" numFmtId="0" xfId="0" applyAlignment="1" applyBorder="1" applyFont="1">
      <alignment horizontal="center" vertical="center"/>
    </xf>
    <xf borderId="0" fillId="9" fontId="22" numFmtId="0" xfId="0" applyAlignment="1" applyFont="1">
      <alignment horizontal="center" readingOrder="0"/>
    </xf>
    <xf borderId="0" fillId="9" fontId="23" numFmtId="0" xfId="0" applyAlignment="1" applyFont="1">
      <alignment horizontal="center" readingOrder="0" vertical="center"/>
    </xf>
    <xf borderId="34" fillId="9" fontId="23" numFmtId="0" xfId="0" applyAlignment="1" applyBorder="1" applyFont="1">
      <alignment horizontal="center" readingOrder="0" vertical="center"/>
    </xf>
    <xf borderId="0" fillId="9" fontId="23" numFmtId="0" xfId="0" applyAlignment="1" applyFont="1">
      <alignment horizontal="center" vertical="center"/>
    </xf>
    <xf borderId="35" fillId="3" fontId="22" numFmtId="0" xfId="0" applyAlignment="1" applyBorder="1" applyFont="1">
      <alignment horizontal="center" readingOrder="0" vertical="center"/>
    </xf>
    <xf borderId="36" fillId="3" fontId="22" numFmtId="0" xfId="0" applyAlignment="1" applyBorder="1" applyFont="1">
      <alignment horizontal="center" readingOrder="0" vertical="center"/>
    </xf>
    <xf borderId="0" fillId="10" fontId="23" numFmtId="0" xfId="0" applyAlignment="1" applyFill="1" applyFont="1">
      <alignment horizontal="center" readingOrder="0"/>
    </xf>
    <xf borderId="8" fillId="0" fontId="11" numFmtId="0" xfId="0" applyBorder="1" applyFont="1"/>
    <xf borderId="8" fillId="3" fontId="23" numFmtId="0" xfId="0" applyAlignment="1" applyBorder="1" applyFont="1">
      <alignment horizontal="center" readingOrder="0"/>
    </xf>
    <xf borderId="0" fillId="3" fontId="24" numFmtId="0" xfId="0" applyAlignment="1" applyFont="1">
      <alignment horizontal="left" shrinkToFit="0" wrapText="0"/>
    </xf>
    <xf borderId="0" fillId="10" fontId="23" numFmtId="0" xfId="0" applyAlignment="1" applyFont="1">
      <alignment horizontal="center"/>
    </xf>
    <xf borderId="8" fillId="3" fontId="23" numFmtId="0" xfId="0" applyAlignment="1" applyBorder="1" applyFont="1">
      <alignment horizontal="center"/>
    </xf>
    <xf borderId="0" fillId="11" fontId="23" numFmtId="0" xfId="0" applyAlignment="1" applyFill="1" applyFont="1">
      <alignment horizontal="center"/>
    </xf>
    <xf borderId="0" fillId="12" fontId="23" numFmtId="0" xfId="0" applyAlignment="1" applyFill="1" applyFont="1">
      <alignment horizontal="center"/>
    </xf>
    <xf borderId="0" fillId="13" fontId="23" numFmtId="0" xfId="0" applyAlignment="1" applyFill="1" applyFont="1">
      <alignment horizontal="center"/>
    </xf>
    <xf borderId="0" fillId="3" fontId="23" numFmtId="0" xfId="0" applyAlignment="1" applyFont="1">
      <alignment horizontal="center"/>
    </xf>
    <xf borderId="0" fillId="3" fontId="23" numFmtId="0" xfId="0" applyAlignment="1" applyFont="1">
      <alignment horizontal="left" shrinkToFit="0" wrapText="0"/>
    </xf>
    <xf borderId="0" fillId="14" fontId="25" numFmtId="0" xfId="0" applyAlignment="1" applyFill="1" applyFont="1">
      <alignment readingOrder="0" shrinkToFit="0" vertical="center" wrapText="0"/>
    </xf>
    <xf borderId="0" fillId="15" fontId="26" numFmtId="164" xfId="0" applyAlignment="1" applyFill="1" applyFont="1" applyNumberFormat="1">
      <alignment horizontal="center" vertical="center"/>
    </xf>
    <xf borderId="0" fillId="15" fontId="26" numFmtId="0" xfId="0" applyAlignment="1" applyFont="1">
      <alignment horizontal="center" readingOrder="0" shrinkToFit="0" vertical="center" wrapText="1"/>
    </xf>
    <xf borderId="0" fillId="15" fontId="26" numFmtId="0" xfId="0" applyAlignment="1" applyFont="1">
      <alignment horizontal="center" readingOrder="0" vertical="center"/>
    </xf>
    <xf borderId="0" fillId="3" fontId="25" numFmtId="0" xfId="0" applyAlignment="1" applyFont="1">
      <alignment horizontal="center" readingOrder="0" vertical="center"/>
    </xf>
    <xf borderId="32" fillId="9" fontId="27" numFmtId="0" xfId="0" applyAlignment="1" applyBorder="1" applyFont="1">
      <alignment horizontal="center" readingOrder="0" shrinkToFit="0" vertical="center" wrapText="1"/>
    </xf>
    <xf borderId="0" fillId="9" fontId="20" numFmtId="0" xfId="0" applyAlignment="1" applyFont="1">
      <alignment horizontal="center" readingOrder="0" vertical="center"/>
    </xf>
    <xf borderId="34" fillId="9" fontId="21" numFmtId="0" xfId="0" applyAlignment="1" applyBorder="1" applyFont="1">
      <alignment horizontal="center" readingOrder="0" vertical="center"/>
    </xf>
    <xf borderId="35" fillId="3" fontId="28" numFmtId="0" xfId="0" applyAlignment="1" applyBorder="1" applyFont="1">
      <alignment horizontal="center" readingOrder="0" vertical="center"/>
    </xf>
    <xf borderId="0" fillId="3" fontId="20" numFmtId="0" xfId="0" applyAlignment="1" applyFont="1">
      <alignment horizontal="center" readingOrder="0"/>
    </xf>
    <xf borderId="8" fillId="3" fontId="20" numFmtId="0" xfId="0" applyAlignment="1" applyBorder="1" applyFont="1">
      <alignment horizontal="center"/>
    </xf>
    <xf borderId="8" fillId="3" fontId="20" numFmtId="0" xfId="0" applyAlignment="1" applyBorder="1" applyFont="1">
      <alignment horizontal="center" readingOrder="0"/>
    </xf>
    <xf borderId="0" fillId="3" fontId="29" numFmtId="0" xfId="0" applyAlignment="1" applyFont="1">
      <alignment horizontal="left" shrinkToFit="0" wrapText="0"/>
    </xf>
    <xf borderId="0" fillId="3" fontId="20" numFmtId="0" xfId="0" applyAlignment="1" applyFont="1">
      <alignment horizontal="center"/>
    </xf>
    <xf borderId="0" fillId="3" fontId="20" numFmtId="0" xfId="0" applyAlignment="1" applyFont="1">
      <alignment horizontal="left" shrinkToFit="0" wrapText="0"/>
    </xf>
    <xf borderId="0" fillId="4" fontId="3" numFmtId="0" xfId="0" applyAlignment="1" applyFont="1">
      <alignment shrinkToFit="0" wrapText="0"/>
    </xf>
    <xf borderId="0" fillId="3" fontId="30" numFmtId="0" xfId="0" applyAlignment="1" applyFont="1">
      <alignment horizontal="center" readingOrder="0" vertical="center"/>
    </xf>
    <xf borderId="0" fillId="7" fontId="25" numFmtId="0" xfId="0" applyAlignment="1" applyFont="1">
      <alignment horizontal="left" readingOrder="0" shrinkToFit="0" wrapText="0"/>
    </xf>
    <xf borderId="0" fillId="8" fontId="21" numFmtId="0" xfId="0" applyAlignment="1" applyFont="1">
      <alignment horizontal="center" readingOrder="0" vertical="center"/>
    </xf>
    <xf borderId="0" fillId="8" fontId="20" numFmtId="165" xfId="0" applyAlignment="1" applyFont="1" applyNumberFormat="1">
      <alignment horizontal="center" readingOrder="0" vertical="center"/>
    </xf>
    <xf borderId="0" fillId="3" fontId="21" numFmtId="0" xfId="0" applyAlignment="1" applyFont="1">
      <alignment horizontal="center" readingOrder="0" vertical="center"/>
    </xf>
    <xf borderId="0" fillId="8" fontId="16" numFmtId="0" xfId="0" applyAlignment="1" applyFont="1">
      <alignment readingOrder="0" shrinkToFit="0" vertical="center" wrapText="1"/>
    </xf>
    <xf borderId="0" fillId="8" fontId="20" numFmtId="164" xfId="0" applyAlignment="1" applyFont="1" applyNumberFormat="1">
      <alignment horizontal="center" readingOrder="0" vertical="center"/>
    </xf>
    <xf borderId="33" fillId="9" fontId="17" numFmtId="0" xfId="0" applyAlignment="1" applyBorder="1" applyFont="1">
      <alignment horizontal="center" readingOrder="0" vertical="center"/>
    </xf>
    <xf borderId="37" fillId="9" fontId="31" numFmtId="0" xfId="0" applyAlignment="1" applyBorder="1" applyFont="1">
      <alignment horizontal="center" readingOrder="0" vertical="center"/>
    </xf>
    <xf borderId="32" fillId="9" fontId="15" numFmtId="0" xfId="0" applyAlignment="1" applyBorder="1" applyFont="1">
      <alignment horizontal="center" readingOrder="0" vertical="center"/>
    </xf>
    <xf borderId="34" fillId="9" fontId="20" numFmtId="0" xfId="0" applyAlignment="1" applyBorder="1" applyFont="1">
      <alignment horizontal="center" readingOrder="0" vertical="center"/>
    </xf>
    <xf borderId="8" fillId="9" fontId="32" numFmtId="0" xfId="0" applyAlignment="1" applyBorder="1" applyFont="1">
      <alignment horizontal="center" readingOrder="0" vertical="center"/>
    </xf>
    <xf borderId="8" fillId="9" fontId="21" numFmtId="0" xfId="0" applyAlignment="1" applyBorder="1" applyFont="1">
      <alignment horizontal="center" readingOrder="0" vertical="center"/>
    </xf>
    <xf borderId="36" fillId="0" fontId="11" numFmtId="0" xfId="0" applyBorder="1" applyFont="1"/>
    <xf borderId="0" fillId="10" fontId="20" numFmtId="0" xfId="0" applyAlignment="1" applyFont="1">
      <alignment horizontal="center" readingOrder="0"/>
    </xf>
    <xf borderId="0" fillId="10" fontId="20" numFmtId="0" xfId="0" applyAlignment="1" applyFont="1">
      <alignment horizontal="center"/>
    </xf>
    <xf borderId="0" fillId="11" fontId="20" numFmtId="0" xfId="0" applyAlignment="1" applyFont="1">
      <alignment horizontal="center"/>
    </xf>
    <xf borderId="0" fillId="3" fontId="33" numFmtId="0" xfId="0" applyAlignment="1" applyFont="1">
      <alignment horizontal="left" readingOrder="0" shrinkToFit="0" wrapText="0"/>
    </xf>
    <xf borderId="0" fillId="12" fontId="20" numFmtId="0" xfId="0" applyAlignment="1" applyFont="1">
      <alignment horizontal="center"/>
    </xf>
    <xf borderId="0" fillId="13" fontId="20" numFmtId="0" xfId="0" applyAlignment="1" applyFont="1">
      <alignment horizontal="center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4" numFmtId="0" xfId="0" applyAlignment="1" applyFont="1">
      <alignment horizontal="center" vertical="center"/>
    </xf>
    <xf borderId="0" fillId="2" fontId="34" numFmtId="0" xfId="0" applyFont="1"/>
    <xf borderId="0" fillId="0" fontId="34" numFmtId="0" xfId="0" applyAlignment="1" applyFont="1">
      <alignment horizontal="center" readingOrder="0" vertical="center"/>
    </xf>
    <xf borderId="0" fillId="16" fontId="34" numFmtId="0" xfId="0" applyAlignment="1" applyFill="1" applyFont="1">
      <alignment horizontal="center" readingOrder="0" vertical="center"/>
    </xf>
    <xf borderId="0" fillId="17" fontId="18" numFmtId="0" xfId="0" applyAlignment="1" applyFill="1" applyFont="1">
      <alignment readingOrder="0"/>
    </xf>
    <xf borderId="0" fillId="0" fontId="35" numFmtId="0" xfId="0" applyAlignment="1" applyFont="1">
      <alignment horizontal="center" readingOrder="0" vertical="center"/>
    </xf>
    <xf borderId="0" fillId="3" fontId="34" numFmtId="0" xfId="0" applyAlignment="1" applyFont="1">
      <alignment horizontal="center" readingOrder="0" vertical="center"/>
    </xf>
    <xf borderId="0" fillId="18" fontId="34" numFmtId="0" xfId="0" applyFill="1" applyFont="1"/>
    <xf borderId="38" fillId="0" fontId="34" numFmtId="0" xfId="0" applyAlignment="1" applyBorder="1" applyFont="1">
      <alignment horizontal="center" readingOrder="0" vertical="center"/>
    </xf>
    <xf borderId="39" fillId="0" fontId="34" numFmtId="0" xfId="0" applyAlignment="1" applyBorder="1" applyFont="1">
      <alignment horizontal="center" readingOrder="0" vertical="center"/>
    </xf>
    <xf borderId="40" fillId="3" fontId="34" numFmtId="0" xfId="0" applyAlignment="1" applyBorder="1" applyFont="1">
      <alignment horizontal="center" readingOrder="0"/>
    </xf>
    <xf borderId="40" fillId="0" fontId="11" numFmtId="0" xfId="0" applyBorder="1" applyFont="1"/>
    <xf borderId="41" fillId="0" fontId="35" numFmtId="0" xfId="0" applyAlignment="1" applyBorder="1" applyFont="1">
      <alignment horizontal="center" readingOrder="0" vertical="center"/>
    </xf>
    <xf borderId="39" fillId="3" fontId="34" numFmtId="0" xfId="0" applyAlignment="1" applyBorder="1" applyFont="1">
      <alignment horizontal="center" readingOrder="0"/>
    </xf>
    <xf borderId="42" fillId="3" fontId="34" numFmtId="0" xfId="0" applyAlignment="1" applyBorder="1" applyFont="1">
      <alignment horizontal="center" readingOrder="0"/>
    </xf>
    <xf borderId="41" fillId="0" fontId="34" numFmtId="0" xfId="0" applyAlignment="1" applyBorder="1" applyFont="1">
      <alignment horizontal="center" vertical="center"/>
    </xf>
    <xf borderId="0" fillId="3" fontId="35" numFmtId="0" xfId="0" applyAlignment="1" applyFont="1">
      <alignment readingOrder="0"/>
    </xf>
    <xf borderId="0" fillId="3" fontId="34" numFmtId="0" xfId="0" applyFont="1"/>
    <xf borderId="41" fillId="0" fontId="18" numFmtId="0" xfId="0" applyAlignment="1" applyBorder="1" applyFont="1">
      <alignment horizontal="center" readingOrder="0" vertical="center"/>
    </xf>
    <xf borderId="43" fillId="3" fontId="34" numFmtId="0" xfId="0" applyBorder="1" applyFont="1"/>
    <xf borderId="0" fillId="9" fontId="22" numFmtId="0" xfId="0" applyAlignment="1" applyFont="1">
      <alignment readingOrder="0"/>
    </xf>
    <xf borderId="0" fillId="9" fontId="36" numFmtId="0" xfId="0" applyAlignment="1" applyFont="1">
      <alignment horizontal="center" readingOrder="0" vertical="center"/>
    </xf>
    <xf borderId="0" fillId="3" fontId="22" numFmtId="0" xfId="0" applyAlignment="1" applyFont="1">
      <alignment horizontal="center" readingOrder="0" vertical="center"/>
    </xf>
    <xf borderId="0" fillId="9" fontId="37" numFmtId="0" xfId="0" applyAlignment="1" applyFont="1">
      <alignment readingOrder="0"/>
    </xf>
    <xf borderId="0" fillId="18" fontId="38" numFmtId="0" xfId="0" applyAlignment="1" applyFont="1">
      <alignment horizontal="center" vertical="center"/>
    </xf>
    <xf borderId="0" fillId="18" fontId="39" numFmtId="0" xfId="0" applyAlignment="1" applyFont="1">
      <alignment horizontal="center" readingOrder="0" shrinkToFit="0" vertical="center" wrapText="1"/>
    </xf>
    <xf borderId="0" fillId="9" fontId="36" numFmtId="0" xfId="0" applyAlignment="1" applyFont="1">
      <alignment readingOrder="0"/>
    </xf>
    <xf borderId="0" fillId="18" fontId="38" numFmtId="0" xfId="0" applyAlignment="1" applyFont="1">
      <alignment horizontal="center" readingOrder="0" vertical="center"/>
    </xf>
    <xf borderId="0" fillId="9" fontId="40" numFmtId="0" xfId="0" applyAlignment="1" applyFont="1">
      <alignment readingOrder="0" shrinkToFit="0" wrapText="1"/>
    </xf>
    <xf borderId="0" fillId="19" fontId="34" numFmtId="0" xfId="0" applyAlignment="1" applyFill="1" applyFont="1">
      <alignment horizontal="center" readingOrder="0" vertical="center"/>
    </xf>
    <xf borderId="0" fillId="16" fontId="41" numFmtId="0" xfId="0" applyAlignment="1" applyFont="1">
      <alignment horizontal="center" readingOrder="0" vertical="center"/>
    </xf>
    <xf borderId="38" fillId="9" fontId="22" numFmtId="0" xfId="0" applyAlignment="1" applyBorder="1" applyFont="1">
      <alignment horizontal="center" readingOrder="0" vertical="center"/>
    </xf>
    <xf borderId="0" fillId="9" fontId="22" numFmtId="0" xfId="0" applyAlignment="1" applyFont="1">
      <alignment horizontal="center" vertical="center"/>
    </xf>
    <xf borderId="39" fillId="9" fontId="22" numFmtId="0" xfId="0" applyAlignment="1" applyBorder="1" applyFont="1">
      <alignment horizontal="center" readingOrder="0" vertical="center"/>
    </xf>
    <xf borderId="40" fillId="9" fontId="22" numFmtId="0" xfId="0" applyAlignment="1" applyBorder="1" applyFont="1">
      <alignment horizontal="center" readingOrder="0"/>
    </xf>
    <xf borderId="41" fillId="9" fontId="38" numFmtId="0" xfId="0" applyAlignment="1" applyBorder="1" applyFont="1">
      <alignment horizontal="center" readingOrder="0" vertical="center"/>
    </xf>
    <xf borderId="0" fillId="9" fontId="34" numFmtId="0" xfId="0" applyAlignment="1" applyFont="1">
      <alignment horizontal="center" vertical="center"/>
    </xf>
    <xf borderId="0" fillId="9" fontId="34" numFmtId="0" xfId="0" applyAlignment="1" applyFont="1">
      <alignment horizontal="center" readingOrder="0" vertical="center"/>
    </xf>
    <xf borderId="39" fillId="3" fontId="22" numFmtId="0" xfId="0" applyAlignment="1" applyBorder="1" applyFont="1">
      <alignment horizontal="center" readingOrder="0" vertical="center"/>
    </xf>
    <xf borderId="42" fillId="3" fontId="22" numFmtId="0" xfId="0" applyAlignment="1" applyBorder="1" applyFont="1">
      <alignment horizontal="center" readingOrder="0" vertical="center"/>
    </xf>
    <xf borderId="0" fillId="3" fontId="38" numFmtId="0" xfId="0" applyAlignment="1" applyFont="1">
      <alignment horizontal="center" readingOrder="0"/>
    </xf>
    <xf borderId="0" fillId="3" fontId="38" numFmtId="0" xfId="0" applyAlignment="1" applyFont="1">
      <alignment horizontal="center"/>
    </xf>
    <xf borderId="43" fillId="3" fontId="38" numFmtId="0" xfId="0" applyAlignment="1" applyBorder="1" applyFont="1">
      <alignment horizontal="center" readingOrder="0"/>
    </xf>
    <xf borderId="0" fillId="3" fontId="42" numFmtId="0" xfId="0" applyAlignment="1" applyFont="1">
      <alignment horizontal="left" shrinkToFit="0" wrapText="0"/>
    </xf>
    <xf borderId="43" fillId="3" fontId="38" numFmtId="0" xfId="0" applyAlignment="1" applyBorder="1" applyFont="1">
      <alignment horizontal="center"/>
    </xf>
    <xf borderId="0" fillId="3" fontId="38" numFmtId="0" xfId="0" applyAlignment="1" applyFont="1">
      <alignment horizontal="left" shrinkToFit="0" wrapText="0"/>
    </xf>
    <xf borderId="0" fillId="2" fontId="43" numFmtId="0" xfId="0" applyAlignment="1" applyFont="1">
      <alignment readingOrder="0"/>
    </xf>
    <xf borderId="0" fillId="17" fontId="44" numFmtId="0" xfId="0" applyAlignment="1" applyFont="1">
      <alignment readingOrder="0" shrinkToFit="0" wrapText="0"/>
    </xf>
    <xf borderId="0" fillId="0" fontId="45" numFmtId="0" xfId="0" applyAlignment="1" applyFont="1">
      <alignment horizontal="center" vertical="center"/>
    </xf>
    <xf borderId="0" fillId="0" fontId="45" numFmtId="0" xfId="0" applyAlignment="1" applyFont="1">
      <alignment readingOrder="0"/>
    </xf>
    <xf borderId="0" fillId="0" fontId="45" numFmtId="0" xfId="0" applyAlignment="1" applyFont="1">
      <alignment horizontal="center" readingOrder="0" vertical="center"/>
    </xf>
    <xf borderId="0" fillId="0" fontId="46" numFmtId="0" xfId="0" applyAlignment="1" applyFont="1">
      <alignment readingOrder="0" vertical="center"/>
    </xf>
    <xf borderId="0" fillId="3" fontId="34" numFmtId="0" xfId="0" applyAlignment="1" applyFont="1">
      <alignment readingOrder="0"/>
    </xf>
    <xf borderId="43" fillId="3" fontId="34" numFmtId="0" xfId="0" applyAlignment="1" applyBorder="1" applyFont="1">
      <alignment readingOrder="0"/>
    </xf>
    <xf borderId="44" fillId="20" fontId="47" numFmtId="0" xfId="0" applyAlignment="1" applyBorder="1" applyFill="1" applyFont="1">
      <alignment horizontal="center" readingOrder="0" vertical="center"/>
    </xf>
    <xf borderId="45" fillId="0" fontId="11" numFmtId="0" xfId="0" applyBorder="1" applyFont="1"/>
    <xf borderId="46" fillId="0" fontId="11" numFmtId="0" xfId="0" applyBorder="1" applyFont="1"/>
    <xf borderId="0" fillId="4" fontId="47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48" numFmtId="0" xfId="0" applyAlignment="1" applyFont="1">
      <alignment horizontal="center" readingOrder="0" vertical="center"/>
    </xf>
    <xf borderId="0" fillId="4" fontId="49" numFmtId="0" xfId="0" applyAlignment="1" applyFont="1">
      <alignment horizontal="center" readingOrder="0" vertical="center"/>
    </xf>
    <xf borderId="47" fillId="0" fontId="3" numFmtId="0" xfId="0" applyAlignment="1" applyBorder="1" applyFont="1">
      <alignment horizontal="center" readingOrder="0" vertical="center"/>
    </xf>
    <xf borderId="48" fillId="0" fontId="3" numFmtId="0" xfId="0" applyAlignment="1" applyBorder="1" applyFont="1">
      <alignment horizontal="center" readingOrder="0" vertical="center"/>
    </xf>
    <xf borderId="49" fillId="0" fontId="3" numFmtId="0" xfId="0" applyAlignment="1" applyBorder="1" applyFont="1">
      <alignment horizontal="center" readingOrder="0" vertical="center"/>
    </xf>
    <xf borderId="50" fillId="0" fontId="3" numFmtId="0" xfId="0" applyAlignment="1" applyBorder="1" applyFont="1">
      <alignment horizontal="center" readingOrder="0" vertical="center"/>
    </xf>
    <xf borderId="11" fillId="21" fontId="50" numFmtId="0" xfId="0" applyAlignment="1" applyBorder="1" applyFill="1" applyFont="1">
      <alignment horizontal="center" readingOrder="0" textRotation="90" vertical="center"/>
    </xf>
    <xf borderId="51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8" fillId="21" fontId="3" numFmtId="165" xfId="0" applyAlignment="1" applyBorder="1" applyFont="1" applyNumberFormat="1">
      <alignment horizontal="center" readingOrder="0" vertical="center"/>
    </xf>
    <xf borderId="8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21" fillId="0" fontId="25" numFmtId="0" xfId="0" applyAlignment="1" applyBorder="1" applyFont="1">
      <alignment horizontal="left" readingOrder="0" shrinkToFit="0" vertical="center" wrapText="0"/>
    </xf>
    <xf borderId="8" fillId="0" fontId="3" numFmtId="165" xfId="0" applyAlignment="1" applyBorder="1" applyFont="1" applyNumberFormat="1">
      <alignment horizontal="center" readingOrder="0" vertical="center"/>
    </xf>
    <xf borderId="8" fillId="0" fontId="3" numFmtId="165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readingOrder="0" vertical="center"/>
    </xf>
    <xf borderId="53" fillId="0" fontId="3" numFmtId="0" xfId="0" applyAlignment="1" applyBorder="1" applyFont="1">
      <alignment horizontal="center" readingOrder="0" vertical="center"/>
    </xf>
    <xf borderId="53" fillId="0" fontId="3" numFmtId="165" xfId="0" applyAlignment="1" applyBorder="1" applyFont="1" applyNumberFormat="1">
      <alignment horizontal="center" vertical="center"/>
    </xf>
    <xf borderId="53" fillId="0" fontId="3" numFmtId="46" xfId="0" applyAlignment="1" applyBorder="1" applyFont="1" applyNumberFormat="1">
      <alignment horizontal="center" vertical="center"/>
    </xf>
    <xf borderId="53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readingOrder="0" vertical="center"/>
    </xf>
    <xf borderId="0" fillId="6" fontId="51" numFmtId="0" xfId="0" applyAlignment="1" applyFont="1">
      <alignment horizontal="center" shrinkToFit="0" vertical="center" wrapText="0"/>
    </xf>
    <xf borderId="55" fillId="6" fontId="51" numFmtId="0" xfId="0" applyAlignment="1" applyBorder="1" applyFont="1">
      <alignment horizontal="center" shrinkToFit="0" vertical="center" wrapText="0"/>
    </xf>
    <xf borderId="0" fillId="6" fontId="51" numFmtId="0" xfId="0" applyAlignment="1" applyFont="1">
      <alignment horizontal="left" shrinkToFit="0" vertical="center" wrapText="0"/>
    </xf>
    <xf borderId="56" fillId="6" fontId="51" numFmtId="0" xfId="0" applyAlignment="1" applyBorder="1" applyFont="1">
      <alignment horizontal="left" shrinkToFit="0" vertical="center" wrapText="0"/>
    </xf>
    <xf borderId="57" fillId="0" fontId="52" numFmtId="0" xfId="0" applyAlignment="1" applyBorder="1" applyFont="1">
      <alignment horizontal="center" readingOrder="0" shrinkToFit="0" vertical="center" wrapText="0"/>
    </xf>
    <xf borderId="57" fillId="0" fontId="11" numFmtId="0" xfId="0" applyBorder="1" applyFont="1"/>
    <xf borderId="58" fillId="0" fontId="52" numFmtId="0" xfId="0" applyAlignment="1" applyBorder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shrinkToFit="0" vertical="center" wrapText="0"/>
    </xf>
    <xf borderId="55" fillId="0" fontId="52" numFmtId="0" xfId="0" applyAlignment="1" applyBorder="1" applyFont="1">
      <alignment horizontal="center" readingOrder="0" shrinkToFit="0" vertical="center" wrapText="0"/>
    </xf>
    <xf borderId="56" fillId="0" fontId="52" numFmtId="0" xfId="0" applyAlignment="1" applyBorder="1" applyFont="1">
      <alignment horizontal="center" readingOrder="0" shrinkToFit="0" vertical="center" wrapText="0"/>
    </xf>
    <xf borderId="0" fillId="0" fontId="52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55" fillId="0" fontId="51" numFmtId="0" xfId="0" applyAlignment="1" applyBorder="1" applyFont="1">
      <alignment horizontal="center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56" fillId="0" fontId="51" numFmtId="0" xfId="0" applyAlignment="1" applyBorder="1" applyFont="1">
      <alignment horizontal="left" shrinkToFit="0" vertical="center" wrapText="0"/>
    </xf>
    <xf borderId="0" fillId="0" fontId="53" numFmtId="0" xfId="0" applyAlignment="1" applyFont="1">
      <alignment horizontal="left" readingOrder="0" shrinkToFit="0" vertical="center" wrapText="0"/>
    </xf>
    <xf borderId="0" fillId="0" fontId="53" numFmtId="0" xfId="0" applyAlignment="1" applyFont="1">
      <alignment horizontal="left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0" fillId="0" fontId="51" numFmtId="0" xfId="0" applyAlignment="1" applyFont="1">
      <alignment horizontal="center" shrinkToFit="0" vertical="center" wrapText="0"/>
    </xf>
    <xf borderId="55" fillId="0" fontId="51" numFmtId="0" xfId="0" applyAlignment="1" applyBorder="1" applyFont="1">
      <alignment horizontal="center" shrinkToFit="0" vertical="center" wrapText="0"/>
    </xf>
    <xf borderId="0" fillId="0" fontId="51" numFmtId="0" xfId="0" applyAlignment="1" applyFont="1">
      <alignment horizontal="left" shrinkToFit="0" vertical="center" wrapText="0"/>
    </xf>
    <xf borderId="0" fillId="22" fontId="3" numFmtId="0" xfId="0" applyFill="1" applyFont="1"/>
    <xf borderId="44" fillId="4" fontId="47" numFmtId="0" xfId="0" applyAlignment="1" applyBorder="1" applyFont="1">
      <alignment horizontal="center" readingOrder="0" vertical="center"/>
    </xf>
    <xf borderId="0" fillId="22" fontId="47" numFmtId="0" xfId="0" applyAlignment="1" applyFont="1">
      <alignment horizontal="center" readingOrder="0" vertical="center"/>
    </xf>
    <xf borderId="0" fillId="22" fontId="3" numFmtId="0" xfId="0" applyAlignment="1" applyFont="1">
      <alignment horizontal="center" readingOrder="0" vertical="center"/>
    </xf>
    <xf borderId="0" fillId="22" fontId="48" numFmtId="0" xfId="0" applyAlignment="1" applyFont="1">
      <alignment horizontal="center" readingOrder="0" vertical="center"/>
    </xf>
    <xf borderId="0" fillId="22" fontId="49" numFmtId="0" xfId="0" applyAlignment="1" applyFont="1">
      <alignment horizontal="center" readingOrder="0" vertical="center"/>
    </xf>
    <xf borderId="44" fillId="0" fontId="3" numFmtId="0" xfId="0" applyAlignment="1" applyBorder="1" applyFont="1">
      <alignment horizontal="center" readingOrder="0" vertical="center"/>
    </xf>
    <xf borderId="59" fillId="0" fontId="3" numFmtId="0" xfId="0" applyAlignment="1" applyBorder="1" applyFont="1">
      <alignment horizontal="center" readingOrder="0" vertical="center"/>
    </xf>
    <xf borderId="45" fillId="0" fontId="3" numFmtId="0" xfId="0" applyAlignment="1" applyBorder="1" applyFont="1">
      <alignment horizontal="center" readingOrder="0" vertical="center"/>
    </xf>
    <xf borderId="60" fillId="0" fontId="3" numFmtId="0" xfId="0" applyAlignment="1" applyBorder="1" applyFont="1">
      <alignment horizontal="center" readingOrder="0" vertical="center"/>
    </xf>
    <xf borderId="46" fillId="0" fontId="3" numFmtId="0" xfId="0" applyAlignment="1" applyBorder="1" applyFont="1">
      <alignment horizontal="center" readingOrder="0" vertical="center"/>
    </xf>
    <xf borderId="61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0" fillId="21" fontId="3" numFmtId="165" xfId="0" applyAlignment="1" applyFont="1" applyNumberForma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18" fillId="0" fontId="54" numFmtId="0" xfId="0" applyAlignment="1" applyBorder="1" applyFont="1">
      <alignment horizontal="left" readingOrder="0" shrinkToFit="0" vertical="center" wrapText="0"/>
    </xf>
    <xf borderId="0" fillId="0" fontId="3" numFmtId="165" xfId="0" applyAlignment="1" applyFont="1" applyNumberFormat="1">
      <alignment horizontal="center" readingOrder="0" vertical="center"/>
    </xf>
    <xf borderId="18" fillId="0" fontId="25" numFmtId="0" xfId="0" applyAlignment="1" applyBorder="1" applyFont="1">
      <alignment horizontal="left" readingOrder="0" shrinkToFit="0" vertical="center" wrapText="0"/>
    </xf>
    <xf borderId="0" fillId="0" fontId="3" numFmtId="165" xfId="0" applyAlignment="1" applyFont="1" applyNumberFormat="1">
      <alignment horizontal="center" vertical="center"/>
    </xf>
    <xf borderId="20" fillId="0" fontId="3" numFmtId="0" xfId="0" applyAlignment="1" applyBorder="1" applyFont="1">
      <alignment horizontal="center" vertical="center"/>
    </xf>
    <xf borderId="62" fillId="0" fontId="3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54" fillId="0" fontId="3" numFmtId="165" xfId="0" applyAlignment="1" applyBorder="1" applyFont="1" applyNumberFormat="1">
      <alignment horizontal="center" vertical="center"/>
    </xf>
    <xf borderId="63" fillId="0" fontId="3" numFmtId="46" xfId="0" applyAlignment="1" applyBorder="1" applyFont="1" applyNumberFormat="1">
      <alignment horizontal="center" vertical="center"/>
    </xf>
    <xf borderId="27" fillId="0" fontId="3" numFmtId="0" xfId="0" applyAlignment="1" applyBorder="1" applyFont="1">
      <alignment horizontal="center" vertical="center"/>
    </xf>
    <xf borderId="24" fillId="0" fontId="25" numFmtId="0" xfId="0" applyAlignment="1" applyBorder="1" applyFont="1">
      <alignment horizontal="left" readingOrder="0" shrinkToFit="0" vertical="center" wrapText="0"/>
    </xf>
    <xf borderId="0" fillId="22" fontId="55" numFmtId="0" xfId="0" applyAlignment="1" applyFont="1">
      <alignment horizontal="center" vertical="center"/>
    </xf>
    <xf borderId="0" fillId="23" fontId="56" numFmtId="0" xfId="0" applyAlignment="1" applyFill="1" applyFont="1">
      <alignment horizontal="center" readingOrder="0" vertical="center"/>
    </xf>
    <xf borderId="0" fillId="23" fontId="49" numFmtId="0" xfId="0" applyAlignment="1" applyFont="1">
      <alignment horizontal="center" readingOrder="0" vertical="center"/>
    </xf>
    <xf borderId="0" fillId="0" fontId="57" numFmtId="0" xfId="0" applyAlignment="1" applyFont="1">
      <alignment horizontal="center" vertical="center"/>
    </xf>
    <xf borderId="0" fillId="0" fontId="57" numFmtId="0" xfId="0" applyAlignment="1" applyFont="1">
      <alignment horizontal="center" readingOrder="0" vertical="center"/>
    </xf>
    <xf borderId="55" fillId="0" fontId="55" numFmtId="0" xfId="0" applyAlignment="1" applyBorder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55" fillId="0" fontId="55" numFmtId="0" xfId="0" applyAlignment="1" applyBorder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E3BECA"/>
          <bgColor rgb="FFE3BECA"/>
        </patternFill>
      </fill>
      <border/>
    </dxf>
    <dxf>
      <font>
        <color rgb="FF000000"/>
      </font>
      <fill>
        <patternFill patternType="solid">
          <fgColor rgb="FFDEDEDE"/>
          <bgColor rgb="FFDEDEDE"/>
        </patternFill>
      </fill>
      <border/>
    </dxf>
    <dxf>
      <font>
        <strike/>
        <color rgb="FFFF0000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DE2EB"/>
          <bgColor rgb="FFFDE2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su.ppy.sh/community/forums/topics/1619006?n=1" TargetMode="External"/><Relationship Id="rId2" Type="http://schemas.openxmlformats.org/officeDocument/2006/relationships/hyperlink" Target="https://docs.google.com/spreadsheets/d/1Nc4rE3ik1IsfNmEqylu9WdZVyIXj5kHImLweaCQgjZM/ed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su.ppy.sh/b/2826730" TargetMode="External"/><Relationship Id="rId3" Type="http://schemas.openxmlformats.org/officeDocument/2006/relationships/hyperlink" Target="https://osu.ppy.sh/b/2347615" TargetMode="External"/><Relationship Id="rId4" Type="http://schemas.openxmlformats.org/officeDocument/2006/relationships/hyperlink" Target="https://osu.ppy.sh/b/908093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osu.ppy.sh/b/1559749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osu.ppy.sh/b/2277128" TargetMode="External"/><Relationship Id="rId5" Type="http://schemas.openxmlformats.org/officeDocument/2006/relationships/hyperlink" Target="https://osu.ppy.sh/b/2514176" TargetMode="External"/><Relationship Id="rId6" Type="http://schemas.openxmlformats.org/officeDocument/2006/relationships/hyperlink" Target="https://osu.ppy.sh/b/3167107" TargetMode="External"/><Relationship Id="rId7" Type="http://schemas.openxmlformats.org/officeDocument/2006/relationships/hyperlink" Target="https://osu.ppy.sh/b/2349954" TargetMode="External"/><Relationship Id="rId8" Type="http://schemas.openxmlformats.org/officeDocument/2006/relationships/hyperlink" Target="https://osu.ppy.sh/b/210844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su.ppy.sh/users/16375942" TargetMode="External"/><Relationship Id="rId2" Type="http://schemas.openxmlformats.org/officeDocument/2006/relationships/hyperlink" Target="https://osu.ppy.sh/users/5045440" TargetMode="External"/><Relationship Id="rId3" Type="http://schemas.openxmlformats.org/officeDocument/2006/relationships/hyperlink" Target="https://osu.ppy.sh/users/5054351" TargetMode="External"/><Relationship Id="rId4" Type="http://schemas.openxmlformats.org/officeDocument/2006/relationships/hyperlink" Target="https://osu.ppy.sh/users/4801735" TargetMode="External"/><Relationship Id="rId5" Type="http://schemas.openxmlformats.org/officeDocument/2006/relationships/hyperlink" Target="https://osu.ppy.sh/users/10232179" TargetMode="External"/><Relationship Id="rId6" Type="http://schemas.openxmlformats.org/officeDocument/2006/relationships/hyperlink" Target="https://osu.ppy.sh/users/19455751" TargetMode="External"/><Relationship Id="rId7" Type="http://schemas.openxmlformats.org/officeDocument/2006/relationships/hyperlink" Target="https://osu.ppy.sh/users/13795588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osu.ppy.sh/b/2826730" TargetMode="External"/><Relationship Id="rId3" Type="http://schemas.openxmlformats.org/officeDocument/2006/relationships/hyperlink" Target="https://osu.ppy.sh/b/2347615" TargetMode="External"/><Relationship Id="rId4" Type="http://schemas.openxmlformats.org/officeDocument/2006/relationships/hyperlink" Target="https://osu.ppy.sh/b/908093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osu.ppy.sh/b/1559749" TargetMode="External"/><Relationship Id="rId12" Type="http://schemas.openxmlformats.org/officeDocument/2006/relationships/vmlDrawing" Target="../drawings/vmlDrawing2.vml"/><Relationship Id="rId9" Type="http://schemas.openxmlformats.org/officeDocument/2006/relationships/hyperlink" Target="https://osu.ppy.sh/b/2277128" TargetMode="External"/><Relationship Id="rId5" Type="http://schemas.openxmlformats.org/officeDocument/2006/relationships/hyperlink" Target="https://osu.ppy.sh/b/2514176" TargetMode="External"/><Relationship Id="rId6" Type="http://schemas.openxmlformats.org/officeDocument/2006/relationships/hyperlink" Target="https://osu.ppy.sh/b/3167107" TargetMode="External"/><Relationship Id="rId7" Type="http://schemas.openxmlformats.org/officeDocument/2006/relationships/hyperlink" Target="https://osu.ppy.sh/b/2349954" TargetMode="External"/><Relationship Id="rId8" Type="http://schemas.openxmlformats.org/officeDocument/2006/relationships/hyperlink" Target="https://osu.ppy.sh/b/210844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osu.ppy.sh/b/2826730" TargetMode="External"/><Relationship Id="rId3" Type="http://schemas.openxmlformats.org/officeDocument/2006/relationships/hyperlink" Target="https://osu.ppy.sh/b/2347615" TargetMode="External"/><Relationship Id="rId4" Type="http://schemas.openxmlformats.org/officeDocument/2006/relationships/hyperlink" Target="https://osu.ppy.sh/b/908093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osu.ppy.sh/b/1559749" TargetMode="External"/><Relationship Id="rId12" Type="http://schemas.openxmlformats.org/officeDocument/2006/relationships/vmlDrawing" Target="../drawings/vmlDrawing3.vml"/><Relationship Id="rId9" Type="http://schemas.openxmlformats.org/officeDocument/2006/relationships/hyperlink" Target="https://osu.ppy.sh/b/2277128" TargetMode="External"/><Relationship Id="rId5" Type="http://schemas.openxmlformats.org/officeDocument/2006/relationships/hyperlink" Target="https://osu.ppy.sh/b/2514176" TargetMode="External"/><Relationship Id="rId6" Type="http://schemas.openxmlformats.org/officeDocument/2006/relationships/hyperlink" Target="https://osu.ppy.sh/b/3167107" TargetMode="External"/><Relationship Id="rId7" Type="http://schemas.openxmlformats.org/officeDocument/2006/relationships/hyperlink" Target="https://osu.ppy.sh/b/2349954" TargetMode="External"/><Relationship Id="rId8" Type="http://schemas.openxmlformats.org/officeDocument/2006/relationships/hyperlink" Target="https://osu.ppy.sh/b/2108442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osu.ppy.sh/b/2826730" TargetMode="External"/><Relationship Id="rId3" Type="http://schemas.openxmlformats.org/officeDocument/2006/relationships/hyperlink" Target="https://osu.ppy.sh/b/2347615" TargetMode="External"/><Relationship Id="rId4" Type="http://schemas.openxmlformats.org/officeDocument/2006/relationships/hyperlink" Target="https://osu.ppy.sh/b/908093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osu.ppy.sh/b/1559749" TargetMode="External"/><Relationship Id="rId12" Type="http://schemas.openxmlformats.org/officeDocument/2006/relationships/vmlDrawing" Target="../drawings/vmlDrawing4.vml"/><Relationship Id="rId9" Type="http://schemas.openxmlformats.org/officeDocument/2006/relationships/hyperlink" Target="https://osu.ppy.sh/b/2277128" TargetMode="External"/><Relationship Id="rId5" Type="http://schemas.openxmlformats.org/officeDocument/2006/relationships/hyperlink" Target="https://osu.ppy.sh/b/2514176" TargetMode="External"/><Relationship Id="rId6" Type="http://schemas.openxmlformats.org/officeDocument/2006/relationships/hyperlink" Target="https://osu.ppy.sh/b/3167107" TargetMode="External"/><Relationship Id="rId7" Type="http://schemas.openxmlformats.org/officeDocument/2006/relationships/hyperlink" Target="https://osu.ppy.sh/b/2349954" TargetMode="External"/><Relationship Id="rId8" Type="http://schemas.openxmlformats.org/officeDocument/2006/relationships/hyperlink" Target="https://osu.ppy.sh/b/210844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1559749" TargetMode="External"/><Relationship Id="rId10" Type="http://schemas.openxmlformats.org/officeDocument/2006/relationships/hyperlink" Target="https://osu.ppy.sh/b/2277128" TargetMode="External"/><Relationship Id="rId13" Type="http://schemas.openxmlformats.org/officeDocument/2006/relationships/vmlDrawing" Target="../drawings/vmlDrawing5.vml"/><Relationship Id="rId12" Type="http://schemas.openxmlformats.org/officeDocument/2006/relationships/drawing" Target="../drawings/drawing11.xml"/><Relationship Id="rId1" Type="http://schemas.openxmlformats.org/officeDocument/2006/relationships/comments" Target="../comments5.xml"/><Relationship Id="rId2" Type="http://schemas.openxmlformats.org/officeDocument/2006/relationships/hyperlink" Target="https://osu.ppy.sh/mp/98134569" TargetMode="External"/><Relationship Id="rId3" Type="http://schemas.openxmlformats.org/officeDocument/2006/relationships/hyperlink" Target="https://osu.ppy.sh/b/2826730" TargetMode="External"/><Relationship Id="rId4" Type="http://schemas.openxmlformats.org/officeDocument/2006/relationships/hyperlink" Target="https://osu.ppy.sh/b/2347615" TargetMode="External"/><Relationship Id="rId9" Type="http://schemas.openxmlformats.org/officeDocument/2006/relationships/hyperlink" Target="https://osu.ppy.sh/b/2108442" TargetMode="External"/><Relationship Id="rId5" Type="http://schemas.openxmlformats.org/officeDocument/2006/relationships/hyperlink" Target="https://osu.ppy.sh/b/908093" TargetMode="External"/><Relationship Id="rId6" Type="http://schemas.openxmlformats.org/officeDocument/2006/relationships/hyperlink" Target="https://osu.ppy.sh/b/2514176" TargetMode="External"/><Relationship Id="rId7" Type="http://schemas.openxmlformats.org/officeDocument/2006/relationships/hyperlink" Target="https://osu.ppy.sh/b/3167107" TargetMode="External"/><Relationship Id="rId8" Type="http://schemas.openxmlformats.org/officeDocument/2006/relationships/hyperlink" Target="https://osu.ppy.sh/b/2349954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osu.ppy.sh/b/397535" TargetMode="External"/><Relationship Id="rId10" Type="http://schemas.openxmlformats.org/officeDocument/2006/relationships/hyperlink" Target="https://osu.ppy.sh/b/397535" TargetMode="External"/><Relationship Id="rId13" Type="http://schemas.openxmlformats.org/officeDocument/2006/relationships/hyperlink" Target="https://osu.ppy.sh/b/397535" TargetMode="External"/><Relationship Id="rId12" Type="http://schemas.openxmlformats.org/officeDocument/2006/relationships/hyperlink" Target="https://osu.ppy.sh/b/397535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osu.ppy.sh/b/397535" TargetMode="External"/><Relationship Id="rId3" Type="http://schemas.openxmlformats.org/officeDocument/2006/relationships/hyperlink" Target="https://osu.ppy.sh/b/397535" TargetMode="External"/><Relationship Id="rId4" Type="http://schemas.openxmlformats.org/officeDocument/2006/relationships/hyperlink" Target="https://osu.ppy.sh/b/397535" TargetMode="External"/><Relationship Id="rId9" Type="http://schemas.openxmlformats.org/officeDocument/2006/relationships/hyperlink" Target="https://osu.ppy.sh/b/397535" TargetMode="External"/><Relationship Id="rId15" Type="http://schemas.openxmlformats.org/officeDocument/2006/relationships/hyperlink" Target="https://osu.ppy.sh/b/397535" TargetMode="External"/><Relationship Id="rId14" Type="http://schemas.openxmlformats.org/officeDocument/2006/relationships/hyperlink" Target="https://osu.ppy.sh/b/397535" TargetMode="External"/><Relationship Id="rId17" Type="http://schemas.openxmlformats.org/officeDocument/2006/relationships/vmlDrawing" Target="../drawings/vmlDrawing7.vml"/><Relationship Id="rId16" Type="http://schemas.openxmlformats.org/officeDocument/2006/relationships/drawing" Target="../drawings/drawing14.xml"/><Relationship Id="rId5" Type="http://schemas.openxmlformats.org/officeDocument/2006/relationships/hyperlink" Target="https://osu.ppy.sh/b/397535" TargetMode="External"/><Relationship Id="rId6" Type="http://schemas.openxmlformats.org/officeDocument/2006/relationships/hyperlink" Target="https://osu.ppy.sh/b/397535" TargetMode="External"/><Relationship Id="rId7" Type="http://schemas.openxmlformats.org/officeDocument/2006/relationships/hyperlink" Target="https://osu.ppy.sh/b/397535" TargetMode="External"/><Relationship Id="rId8" Type="http://schemas.openxmlformats.org/officeDocument/2006/relationships/hyperlink" Target="https://osu.ppy.sh/b/397535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su.ppy.sh/community/matches/88396460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3" max="5" width="15.13"/>
    <col customWidth="1" min="6" max="6" width="1.38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 t="s">
        <v>1</v>
      </c>
      <c r="D2" s="3" t="s">
        <v>2</v>
      </c>
      <c r="E2" s="3" t="s">
        <v>3</v>
      </c>
      <c r="F2" s="1"/>
    </row>
    <row r="3">
      <c r="A3" s="1"/>
      <c r="B3" s="4" t="s">
        <v>4</v>
      </c>
      <c r="C3" s="5" t="s">
        <v>5</v>
      </c>
      <c r="D3" s="5" t="s">
        <v>6</v>
      </c>
      <c r="E3" s="5" t="s">
        <v>7</v>
      </c>
      <c r="F3" s="6"/>
    </row>
    <row r="4">
      <c r="A4" s="1"/>
      <c r="B4" s="4" t="s">
        <v>8</v>
      </c>
      <c r="C4" s="5" t="s">
        <v>9</v>
      </c>
      <c r="D4" s="5" t="s">
        <v>10</v>
      </c>
      <c r="E4" s="5" t="s">
        <v>11</v>
      </c>
      <c r="F4" s="6"/>
    </row>
    <row r="5">
      <c r="A5" s="1"/>
      <c r="B5" s="4"/>
      <c r="C5" s="7"/>
      <c r="D5" s="7"/>
      <c r="E5" s="7"/>
      <c r="F5" s="6"/>
    </row>
    <row r="6">
      <c r="A6" s="1"/>
      <c r="B6" s="4"/>
      <c r="C6" s="7"/>
      <c r="D6" s="7"/>
      <c r="E6" s="7"/>
      <c r="F6" s="6"/>
    </row>
    <row r="7">
      <c r="A7" s="1"/>
      <c r="B7" s="4"/>
      <c r="C7" s="7"/>
      <c r="D7" s="7"/>
      <c r="E7" s="7"/>
      <c r="F7" s="6"/>
    </row>
    <row r="8">
      <c r="A8" s="1"/>
      <c r="B8" s="4"/>
      <c r="C8" s="7"/>
      <c r="D8" s="7"/>
      <c r="E8" s="7"/>
      <c r="F8" s="6"/>
    </row>
    <row r="9">
      <c r="A9" s="1"/>
      <c r="B9" s="4"/>
      <c r="C9" s="7"/>
      <c r="D9" s="7"/>
      <c r="E9" s="7"/>
      <c r="F9" s="6"/>
    </row>
    <row r="10">
      <c r="A10" s="1"/>
      <c r="B10" s="4"/>
      <c r="C10" s="7"/>
      <c r="D10" s="7"/>
      <c r="E10" s="7"/>
      <c r="F10" s="6"/>
    </row>
    <row r="11">
      <c r="A11" s="1"/>
      <c r="B11" s="4"/>
      <c r="C11" s="7"/>
      <c r="D11" s="7"/>
      <c r="E11" s="7"/>
      <c r="F11" s="6"/>
    </row>
    <row r="12">
      <c r="A12" s="1"/>
      <c r="B12" s="4"/>
      <c r="C12" s="7"/>
      <c r="D12" s="7"/>
      <c r="E12" s="7"/>
      <c r="F12" s="6"/>
    </row>
    <row r="13">
      <c r="A13" s="1"/>
      <c r="B13" s="4"/>
      <c r="C13" s="7"/>
      <c r="D13" s="7"/>
      <c r="E13" s="7"/>
      <c r="F13" s="6"/>
    </row>
    <row r="14">
      <c r="A14" s="1"/>
      <c r="B14" s="4"/>
      <c r="C14" s="7"/>
      <c r="D14" s="7"/>
      <c r="E14" s="7"/>
      <c r="F14" s="6"/>
    </row>
    <row r="15">
      <c r="A15" s="1"/>
      <c r="B15" s="4"/>
      <c r="C15" s="7"/>
      <c r="D15" s="7"/>
      <c r="E15" s="7"/>
      <c r="F15" s="6"/>
    </row>
    <row r="16">
      <c r="A16" s="1"/>
      <c r="B16" s="4"/>
      <c r="C16" s="7"/>
      <c r="D16" s="7"/>
      <c r="E16" s="7"/>
      <c r="F16" s="6"/>
    </row>
    <row r="17">
      <c r="A17" s="1"/>
      <c r="B17" s="4"/>
      <c r="C17" s="7"/>
      <c r="D17" s="7"/>
      <c r="E17" s="7"/>
      <c r="F17" s="6"/>
    </row>
    <row r="18">
      <c r="A18" s="1"/>
      <c r="B18" s="4"/>
      <c r="C18" s="7"/>
      <c r="D18" s="7"/>
      <c r="E18" s="7"/>
      <c r="F18" s="6"/>
    </row>
    <row r="19">
      <c r="A19" s="1"/>
      <c r="B19" s="4"/>
      <c r="C19" s="7"/>
      <c r="D19" s="7"/>
      <c r="E19" s="7"/>
      <c r="F1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25.13"/>
    <col customWidth="1" min="3" max="3" width="18.88"/>
    <col customWidth="1" min="4" max="4" width="1.38"/>
  </cols>
  <sheetData>
    <row r="1" ht="7.5" customHeight="1">
      <c r="A1" s="8"/>
      <c r="B1" s="8"/>
      <c r="C1" s="8"/>
      <c r="D1" s="8"/>
    </row>
    <row r="2">
      <c r="A2" s="8"/>
      <c r="B2" s="9" t="s">
        <v>12</v>
      </c>
      <c r="C2" s="10" t="s">
        <v>13</v>
      </c>
      <c r="D2" s="8"/>
    </row>
    <row r="3">
      <c r="A3" s="8"/>
      <c r="B3" s="9" t="s">
        <v>14</v>
      </c>
      <c r="C3" s="10" t="s">
        <v>15</v>
      </c>
      <c r="D3" s="8"/>
    </row>
    <row r="4">
      <c r="A4" s="8"/>
      <c r="B4" s="9" t="s">
        <v>16</v>
      </c>
      <c r="C4" s="10">
        <v>0.0</v>
      </c>
      <c r="D4" s="8"/>
    </row>
    <row r="5">
      <c r="A5" s="8"/>
      <c r="B5" s="9" t="s">
        <v>17</v>
      </c>
      <c r="C5" s="10">
        <v>3.0</v>
      </c>
      <c r="D5" s="8"/>
    </row>
    <row r="6">
      <c r="A6" s="8"/>
      <c r="B6" s="9" t="s">
        <v>18</v>
      </c>
      <c r="C6" s="10">
        <v>15.0</v>
      </c>
      <c r="D6" s="8"/>
    </row>
    <row r="7">
      <c r="A7" s="8"/>
      <c r="B7" s="9"/>
      <c r="C7" s="10"/>
      <c r="D7" s="8"/>
    </row>
    <row r="8">
      <c r="A8" s="8"/>
      <c r="B8" s="9" t="s">
        <v>19</v>
      </c>
      <c r="C8" s="10" t="b">
        <v>1</v>
      </c>
      <c r="D8" s="8"/>
    </row>
    <row r="9">
      <c r="A9" s="8"/>
      <c r="B9" s="11"/>
      <c r="C9" s="12"/>
      <c r="D9" s="8"/>
    </row>
    <row r="10">
      <c r="A10" s="8"/>
      <c r="B10" s="9" t="s">
        <v>20</v>
      </c>
      <c r="C10" s="13" t="s">
        <v>21</v>
      </c>
      <c r="D10" s="8"/>
    </row>
    <row r="11">
      <c r="A11" s="8"/>
      <c r="B11" s="9" t="s">
        <v>22</v>
      </c>
      <c r="C11" s="13" t="s">
        <v>23</v>
      </c>
      <c r="D11" s="8"/>
    </row>
    <row r="12">
      <c r="A12" s="8"/>
      <c r="B12" s="9"/>
      <c r="C12" s="12"/>
      <c r="D12" s="8"/>
    </row>
    <row r="13">
      <c r="A13" s="8"/>
      <c r="B13" s="9" t="s">
        <v>24</v>
      </c>
      <c r="C13" s="10">
        <v>90.0</v>
      </c>
      <c r="D13" s="8"/>
    </row>
    <row r="14">
      <c r="A14" s="8"/>
      <c r="B14" s="9" t="s">
        <v>25</v>
      </c>
      <c r="C14" s="10">
        <v>5.0</v>
      </c>
      <c r="D14" s="8"/>
    </row>
    <row r="15" ht="7.5" customHeight="1">
      <c r="A15" s="8"/>
      <c r="B15" s="8"/>
      <c r="C15" s="8"/>
      <c r="D15" s="8"/>
    </row>
  </sheetData>
  <hyperlinks>
    <hyperlink r:id="rId1" ref="C10"/>
    <hyperlink r:id="rId2" location="gid=1476597357" ref="C1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3" max="3" width="31.38"/>
    <col customWidth="1" min="4" max="4" width="1.38"/>
  </cols>
  <sheetData>
    <row r="1" ht="7.5" customHeight="1">
      <c r="A1" s="1"/>
      <c r="B1" s="1"/>
      <c r="C1" s="1"/>
      <c r="D1" s="1"/>
    </row>
    <row r="2">
      <c r="A2" s="1"/>
      <c r="B2" s="2" t="s">
        <v>26</v>
      </c>
      <c r="C2" s="14" t="s">
        <v>27</v>
      </c>
      <c r="D2" s="1"/>
    </row>
    <row r="3" ht="15.0" customHeight="1">
      <c r="A3" s="1"/>
      <c r="B3" s="4" t="s">
        <v>28</v>
      </c>
      <c r="C3" s="5" t="s">
        <v>29</v>
      </c>
      <c r="D3" s="6"/>
    </row>
    <row r="4" ht="15.0" customHeight="1">
      <c r="A4" s="1"/>
      <c r="B4" s="4" t="s">
        <v>30</v>
      </c>
      <c r="C4" s="5" t="s">
        <v>31</v>
      </c>
      <c r="D4" s="6"/>
    </row>
    <row r="5" ht="15.0" customHeight="1">
      <c r="A5" s="1"/>
      <c r="B5" s="4" t="s">
        <v>32</v>
      </c>
      <c r="C5" s="5" t="s">
        <v>33</v>
      </c>
      <c r="D5" s="6"/>
    </row>
    <row r="6" ht="15.0" customHeight="1">
      <c r="A6" s="1"/>
      <c r="B6" s="4" t="s">
        <v>34</v>
      </c>
      <c r="C6" s="5" t="s">
        <v>35</v>
      </c>
      <c r="D6" s="6"/>
    </row>
    <row r="7" ht="15.0" customHeight="1">
      <c r="A7" s="1"/>
      <c r="B7" s="4">
        <v>556353.0</v>
      </c>
      <c r="C7" s="5" t="s">
        <v>36</v>
      </c>
      <c r="D7" s="6"/>
    </row>
    <row r="8" ht="15.0" customHeight="1">
      <c r="A8" s="1"/>
      <c r="B8" s="4" t="s">
        <v>37</v>
      </c>
      <c r="C8" s="5" t="s">
        <v>38</v>
      </c>
      <c r="D8" s="6"/>
    </row>
    <row r="9" ht="15.0" customHeight="1">
      <c r="A9" s="1"/>
      <c r="B9" s="4" t="s">
        <v>39</v>
      </c>
      <c r="C9" s="5" t="s">
        <v>40</v>
      </c>
      <c r="D9" s="6"/>
    </row>
    <row r="10" ht="15.0" customHeight="1">
      <c r="A10" s="1"/>
      <c r="B10" s="4" t="s">
        <v>41</v>
      </c>
      <c r="C10" s="5" t="s">
        <v>42</v>
      </c>
      <c r="D10" s="6"/>
    </row>
    <row r="11" ht="15.0" customHeight="1">
      <c r="A11" s="1"/>
      <c r="B11" s="4" t="s">
        <v>43</v>
      </c>
      <c r="C11" s="5" t="s">
        <v>44</v>
      </c>
      <c r="D11" s="6"/>
    </row>
    <row r="12" ht="15.0" customHeight="1">
      <c r="A12" s="1"/>
      <c r="B12" s="4" t="s">
        <v>45</v>
      </c>
      <c r="C12" s="5" t="s">
        <v>46</v>
      </c>
      <c r="D12" s="6"/>
    </row>
    <row r="13" ht="15.0" customHeight="1">
      <c r="A13" s="1"/>
      <c r="B13" s="4" t="s">
        <v>47</v>
      </c>
      <c r="C13" s="5" t="s">
        <v>48</v>
      </c>
      <c r="D13" s="6"/>
    </row>
    <row r="14" ht="15.0" customHeight="1">
      <c r="A14" s="1"/>
      <c r="B14" s="4" t="s">
        <v>49</v>
      </c>
      <c r="C14" s="5" t="s">
        <v>50</v>
      </c>
      <c r="D14" s="6"/>
    </row>
    <row r="15" ht="15.0" customHeight="1">
      <c r="A15" s="1"/>
      <c r="B15" s="4" t="s">
        <v>51</v>
      </c>
      <c r="C15" s="5" t="s">
        <v>52</v>
      </c>
      <c r="D15" s="6"/>
    </row>
    <row r="16" ht="15.0" customHeight="1">
      <c r="A16" s="1"/>
      <c r="B16" s="4" t="s">
        <v>53</v>
      </c>
      <c r="C16" s="5" t="s">
        <v>54</v>
      </c>
      <c r="D16" s="6"/>
    </row>
    <row r="17" ht="15.0" customHeight="1">
      <c r="A17" s="1"/>
      <c r="B17" s="4" t="s">
        <v>55</v>
      </c>
      <c r="C17" s="5" t="s">
        <v>56</v>
      </c>
      <c r="D17" s="6"/>
    </row>
    <row r="18" ht="15.0" customHeight="1">
      <c r="A18" s="1"/>
      <c r="B18" s="4" t="s">
        <v>57</v>
      </c>
      <c r="C18" s="5" t="s">
        <v>58</v>
      </c>
      <c r="D18" s="6"/>
    </row>
    <row r="19" ht="15.0" customHeight="1">
      <c r="A19" s="1"/>
      <c r="B19" s="4" t="s">
        <v>59</v>
      </c>
      <c r="C19" s="5" t="s">
        <v>60</v>
      </c>
      <c r="D19" s="6"/>
    </row>
    <row r="20" ht="15.0" customHeight="1">
      <c r="A20" s="1"/>
      <c r="B20" s="5" t="s">
        <v>61</v>
      </c>
      <c r="C20" s="5" t="s">
        <v>62</v>
      </c>
      <c r="D20" s="6"/>
    </row>
    <row r="21" ht="15.0" customHeight="1">
      <c r="A21" s="1"/>
      <c r="B21" s="5" t="s">
        <v>63</v>
      </c>
      <c r="C21" s="5" t="s">
        <v>64</v>
      </c>
      <c r="D21" s="6"/>
    </row>
    <row r="22" ht="15.0" customHeight="1">
      <c r="A22" s="1"/>
      <c r="B22" s="5"/>
      <c r="C22" s="5"/>
      <c r="D22" s="6"/>
    </row>
    <row r="23" ht="7.5" customHeight="1">
      <c r="A23" s="1"/>
      <c r="B23" s="1"/>
      <c r="C23" s="1"/>
      <c r="D23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31.38"/>
    <col customWidth="1" min="4" max="4" width="1.38"/>
  </cols>
  <sheetData>
    <row r="1" ht="7.5" customHeight="1">
      <c r="A1" s="8"/>
      <c r="B1" s="8"/>
      <c r="C1" s="8"/>
      <c r="D1" s="8"/>
    </row>
    <row r="2">
      <c r="A2" s="8"/>
      <c r="B2" s="15" t="s">
        <v>26</v>
      </c>
      <c r="C2" s="16" t="s">
        <v>27</v>
      </c>
      <c r="D2" s="17"/>
    </row>
    <row r="3" ht="15.0" customHeight="1">
      <c r="A3" s="8"/>
      <c r="B3" s="5" t="s">
        <v>28</v>
      </c>
      <c r="C3" s="18" t="s">
        <v>29</v>
      </c>
      <c r="D3" s="8"/>
    </row>
    <row r="4" ht="15.0" customHeight="1">
      <c r="A4" s="8"/>
      <c r="B4" s="5" t="s">
        <v>30</v>
      </c>
      <c r="C4" s="18" t="s">
        <v>31</v>
      </c>
      <c r="D4" s="8"/>
    </row>
    <row r="5" ht="15.0" customHeight="1">
      <c r="A5" s="8"/>
      <c r="B5" s="5" t="s">
        <v>32</v>
      </c>
      <c r="C5" s="18" t="s">
        <v>33</v>
      </c>
      <c r="D5" s="8"/>
    </row>
    <row r="6" ht="15.0" customHeight="1">
      <c r="A6" s="8"/>
      <c r="B6" s="5" t="s">
        <v>34</v>
      </c>
      <c r="C6" s="18" t="s">
        <v>35</v>
      </c>
      <c r="D6" s="8"/>
    </row>
    <row r="7" ht="15.0" customHeight="1">
      <c r="A7" s="8"/>
      <c r="B7" s="5">
        <v>556353.0</v>
      </c>
      <c r="C7" s="18" t="s">
        <v>36</v>
      </c>
      <c r="D7" s="8"/>
    </row>
    <row r="8" ht="15.0" customHeight="1">
      <c r="A8" s="8"/>
      <c r="B8" s="5" t="s">
        <v>37</v>
      </c>
      <c r="C8" s="18" t="s">
        <v>38</v>
      </c>
      <c r="D8" s="8"/>
    </row>
    <row r="9" ht="15.0" customHeight="1">
      <c r="A9" s="8"/>
      <c r="B9" s="5" t="s">
        <v>39</v>
      </c>
      <c r="C9" s="18" t="s">
        <v>40</v>
      </c>
      <c r="D9" s="8"/>
    </row>
    <row r="10" ht="15.0" customHeight="1">
      <c r="A10" s="8"/>
      <c r="B10" s="5" t="s">
        <v>41</v>
      </c>
      <c r="C10" s="18" t="s">
        <v>42</v>
      </c>
      <c r="D10" s="8"/>
    </row>
    <row r="11" ht="15.0" customHeight="1">
      <c r="A11" s="8"/>
      <c r="B11" s="5" t="s">
        <v>43</v>
      </c>
      <c r="C11" s="18" t="s">
        <v>44</v>
      </c>
      <c r="D11" s="8"/>
    </row>
    <row r="12" ht="15.0" customHeight="1">
      <c r="A12" s="8"/>
      <c r="B12" s="5" t="s">
        <v>45</v>
      </c>
      <c r="C12" s="18" t="s">
        <v>46</v>
      </c>
      <c r="D12" s="8"/>
    </row>
    <row r="13" ht="15.0" customHeight="1">
      <c r="A13" s="8"/>
      <c r="B13" s="5" t="s">
        <v>47</v>
      </c>
      <c r="C13" s="18" t="s">
        <v>48</v>
      </c>
      <c r="D13" s="8"/>
    </row>
    <row r="14" ht="15.0" customHeight="1">
      <c r="A14" s="8"/>
      <c r="B14" s="5" t="s">
        <v>49</v>
      </c>
      <c r="C14" s="18" t="s">
        <v>50</v>
      </c>
      <c r="D14" s="8"/>
    </row>
    <row r="15" ht="15.0" customHeight="1">
      <c r="A15" s="8"/>
      <c r="B15" s="5" t="s">
        <v>51</v>
      </c>
      <c r="C15" s="18" t="s">
        <v>52</v>
      </c>
      <c r="D15" s="8"/>
    </row>
    <row r="16" ht="15.0" customHeight="1">
      <c r="A16" s="8"/>
      <c r="B16" s="5" t="s">
        <v>53</v>
      </c>
      <c r="C16" s="18" t="s">
        <v>54</v>
      </c>
      <c r="D16" s="8"/>
    </row>
    <row r="17" ht="15.0" customHeight="1">
      <c r="A17" s="8"/>
      <c r="B17" s="5" t="s">
        <v>55</v>
      </c>
      <c r="C17" s="18" t="s">
        <v>56</v>
      </c>
      <c r="D17" s="8"/>
    </row>
    <row r="18" ht="15.0" customHeight="1">
      <c r="A18" s="8"/>
      <c r="B18" s="5" t="s">
        <v>57</v>
      </c>
      <c r="C18" s="18" t="s">
        <v>58</v>
      </c>
      <c r="D18" s="8"/>
    </row>
    <row r="19" ht="15.0" customHeight="1">
      <c r="A19" s="8"/>
      <c r="B19" s="5" t="s">
        <v>59</v>
      </c>
      <c r="C19" s="18" t="s">
        <v>60</v>
      </c>
      <c r="D19" s="8"/>
    </row>
    <row r="20" ht="15.0" customHeight="1">
      <c r="A20" s="8"/>
      <c r="B20" s="5" t="s">
        <v>61</v>
      </c>
      <c r="C20" s="18" t="s">
        <v>62</v>
      </c>
      <c r="D20" s="8"/>
    </row>
    <row r="21" ht="15.0" customHeight="1">
      <c r="A21" s="8"/>
      <c r="B21" s="5" t="s">
        <v>63</v>
      </c>
      <c r="C21" s="18" t="s">
        <v>64</v>
      </c>
      <c r="D21" s="8"/>
    </row>
    <row r="22" ht="15.0" hidden="1" customHeight="1">
      <c r="A22" s="8"/>
      <c r="B22" s="19"/>
      <c r="C22" s="18"/>
      <c r="D22" s="8"/>
    </row>
    <row r="23" ht="15.0" hidden="1" customHeight="1">
      <c r="A23" s="8"/>
      <c r="B23" s="19"/>
      <c r="C23" s="5"/>
      <c r="D23" s="8"/>
    </row>
    <row r="24" ht="15.0" hidden="1" customHeight="1">
      <c r="A24" s="8"/>
      <c r="B24" s="19"/>
      <c r="C24" s="5"/>
      <c r="D24" s="8"/>
    </row>
    <row r="25" ht="15.0" hidden="1" customHeight="1">
      <c r="A25" s="8"/>
      <c r="B25" s="19"/>
      <c r="C25" s="5"/>
      <c r="D25" s="8"/>
    </row>
    <row r="26" ht="15.0" hidden="1" customHeight="1">
      <c r="A26" s="8"/>
      <c r="B26" s="19"/>
      <c r="C26" s="5"/>
      <c r="D26" s="8"/>
    </row>
    <row r="27" ht="15.0" hidden="1" customHeight="1">
      <c r="A27" s="8"/>
      <c r="B27" s="19"/>
      <c r="C27" s="5"/>
      <c r="D27" s="8"/>
    </row>
    <row r="28" ht="15.0" hidden="1" customHeight="1">
      <c r="A28" s="8"/>
      <c r="B28" s="19"/>
      <c r="C28" s="5"/>
      <c r="D28" s="8"/>
    </row>
    <row r="29" ht="15.0" hidden="1" customHeight="1">
      <c r="A29" s="8"/>
      <c r="B29" s="19"/>
      <c r="C29" s="5"/>
      <c r="D29" s="8"/>
    </row>
    <row r="30" ht="15.0" hidden="1" customHeight="1">
      <c r="A30" s="8"/>
      <c r="B30" s="19"/>
      <c r="C30" s="5"/>
      <c r="D30" s="8"/>
    </row>
    <row r="31" ht="15.0" hidden="1" customHeight="1">
      <c r="A31" s="8"/>
      <c r="B31" s="19"/>
      <c r="C31" s="5"/>
      <c r="D31" s="8"/>
    </row>
    <row r="32" ht="15.0" hidden="1" customHeight="1">
      <c r="A32" s="8"/>
      <c r="B32" s="19"/>
      <c r="C32" s="5"/>
      <c r="D32" s="8"/>
    </row>
    <row r="33" ht="15.0" hidden="1" customHeight="1">
      <c r="A33" s="8"/>
      <c r="B33" s="19"/>
      <c r="C33" s="5"/>
      <c r="D33" s="8"/>
    </row>
    <row r="34" ht="15.0" hidden="1" customHeight="1">
      <c r="A34" s="8"/>
      <c r="B34" s="19"/>
      <c r="C34" s="5"/>
      <c r="D34" s="8"/>
    </row>
    <row r="35" ht="15.0" hidden="1" customHeight="1">
      <c r="A35" s="8"/>
      <c r="B35" s="19"/>
      <c r="C35" s="5"/>
      <c r="D35" s="8"/>
    </row>
    <row r="36" ht="15.0" hidden="1" customHeight="1">
      <c r="A36" s="8"/>
      <c r="B36" s="19"/>
      <c r="C36" s="5"/>
      <c r="D36" s="8"/>
    </row>
    <row r="37" ht="15.0" hidden="1" customHeight="1">
      <c r="A37" s="8"/>
      <c r="B37" s="19"/>
      <c r="C37" s="5"/>
      <c r="D37" s="8"/>
    </row>
    <row r="38" ht="15.0" hidden="1" customHeight="1">
      <c r="A38" s="8"/>
      <c r="B38" s="19"/>
      <c r="C38" s="5"/>
      <c r="D38" s="8"/>
    </row>
    <row r="39" ht="15.0" hidden="1" customHeight="1">
      <c r="A39" s="8"/>
      <c r="B39" s="19"/>
      <c r="C39" s="5"/>
      <c r="D39" s="8"/>
    </row>
    <row r="40" ht="15.0" hidden="1" customHeight="1">
      <c r="A40" s="8"/>
      <c r="B40" s="19"/>
      <c r="C40" s="5"/>
      <c r="D40" s="8"/>
    </row>
    <row r="41" ht="15.0" hidden="1" customHeight="1">
      <c r="A41" s="8"/>
      <c r="B41" s="19"/>
      <c r="C41" s="5"/>
      <c r="D41" s="8"/>
    </row>
    <row r="42" ht="15.0" hidden="1" customHeight="1">
      <c r="A42" s="8"/>
      <c r="B42" s="19"/>
      <c r="C42" s="5"/>
      <c r="D42" s="8"/>
    </row>
    <row r="43" ht="15.0" hidden="1" customHeight="1">
      <c r="A43" s="8"/>
      <c r="B43" s="19"/>
      <c r="C43" s="5"/>
      <c r="D43" s="8"/>
    </row>
    <row r="44" ht="15.0" hidden="1" customHeight="1">
      <c r="A44" s="8"/>
      <c r="B44" s="19"/>
      <c r="C44" s="5"/>
      <c r="D44" s="8"/>
    </row>
    <row r="45" ht="15.0" hidden="1" customHeight="1">
      <c r="A45" s="8"/>
      <c r="B45" s="19"/>
      <c r="C45" s="5"/>
      <c r="D45" s="8"/>
    </row>
    <row r="46" ht="15.0" hidden="1" customHeight="1">
      <c r="A46" s="8"/>
      <c r="B46" s="19"/>
      <c r="C46" s="5"/>
      <c r="D46" s="8"/>
    </row>
    <row r="47" ht="15.0" hidden="1" customHeight="1">
      <c r="A47" s="8"/>
      <c r="B47" s="19"/>
      <c r="C47" s="5"/>
      <c r="D47" s="8"/>
    </row>
    <row r="48" ht="15.0" hidden="1" customHeight="1">
      <c r="A48" s="8"/>
      <c r="B48" s="19"/>
      <c r="C48" s="5"/>
      <c r="D48" s="8"/>
    </row>
    <row r="49" ht="15.0" hidden="1" customHeight="1">
      <c r="A49" s="8"/>
      <c r="B49" s="19"/>
      <c r="C49" s="5"/>
      <c r="D49" s="8"/>
    </row>
    <row r="50" ht="15.0" hidden="1" customHeight="1">
      <c r="A50" s="8"/>
      <c r="B50" s="19"/>
      <c r="C50" s="5"/>
      <c r="D50" s="8"/>
    </row>
    <row r="51" ht="15.0" hidden="1" customHeight="1">
      <c r="A51" s="8"/>
      <c r="B51" s="19"/>
      <c r="C51" s="5"/>
      <c r="D51" s="8"/>
    </row>
    <row r="52" ht="15.0" hidden="1" customHeight="1">
      <c r="A52" s="8"/>
      <c r="B52" s="19"/>
      <c r="C52" s="5"/>
      <c r="D52" s="8"/>
    </row>
    <row r="53" ht="15.0" hidden="1" customHeight="1">
      <c r="A53" s="8"/>
      <c r="B53" s="19"/>
      <c r="C53" s="5"/>
      <c r="D53" s="8"/>
    </row>
    <row r="54" ht="15.0" hidden="1" customHeight="1">
      <c r="A54" s="8"/>
      <c r="B54" s="19"/>
      <c r="C54" s="5"/>
      <c r="D54" s="8"/>
    </row>
    <row r="55" ht="15.0" hidden="1" customHeight="1">
      <c r="A55" s="8"/>
      <c r="B55" s="19"/>
      <c r="C55" s="5"/>
      <c r="D55" s="8"/>
    </row>
    <row r="56" ht="15.0" hidden="1" customHeight="1">
      <c r="A56" s="8"/>
      <c r="B56" s="19"/>
      <c r="C56" s="5"/>
      <c r="D56" s="8"/>
    </row>
    <row r="57" ht="15.0" hidden="1" customHeight="1">
      <c r="A57" s="8"/>
      <c r="B57" s="19"/>
      <c r="C57" s="5"/>
      <c r="D57" s="8"/>
    </row>
    <row r="58" ht="15.0" customHeight="1">
      <c r="A58" s="8"/>
      <c r="B58" s="19"/>
      <c r="C58" s="5"/>
      <c r="D58" s="8"/>
    </row>
    <row r="59" ht="7.5" customHeight="1">
      <c r="A59" s="8"/>
      <c r="B59" s="8"/>
      <c r="C59" s="8"/>
      <c r="D59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3.25"/>
    <col customWidth="1" min="2" max="2" width="6.38"/>
    <col customWidth="1" min="3" max="3" width="3.88"/>
    <col customWidth="1" min="7" max="7" width="3.25" outlineLevel="1"/>
    <col customWidth="1" min="8" max="8" width="37.63" outlineLevel="1"/>
    <col customWidth="1" min="9" max="9" width="16.38" outlineLevel="1"/>
    <col customWidth="1" min="10" max="10" width="17.88" outlineLevel="1"/>
    <col customWidth="1" min="11" max="11" width="3.25"/>
  </cols>
  <sheetData>
    <row r="1" ht="18.75" customHeight="1">
      <c r="A1" s="20"/>
      <c r="B1" s="21"/>
      <c r="C1" s="20"/>
      <c r="D1" s="20"/>
      <c r="E1" s="20"/>
      <c r="F1" s="20"/>
      <c r="G1" s="17"/>
      <c r="H1" s="17"/>
      <c r="I1" s="17"/>
      <c r="J1" s="17"/>
      <c r="K1" s="17"/>
    </row>
    <row r="2" ht="18.75" customHeight="1">
      <c r="A2" s="20"/>
      <c r="B2" s="20"/>
      <c r="C2" s="22"/>
      <c r="D2" s="23" t="s">
        <v>65</v>
      </c>
      <c r="E2" s="23" t="s">
        <v>66</v>
      </c>
      <c r="F2" s="23" t="s">
        <v>67</v>
      </c>
      <c r="G2" s="17"/>
      <c r="H2" s="23" t="s">
        <v>68</v>
      </c>
      <c r="I2" s="23" t="s">
        <v>69</v>
      </c>
      <c r="J2" s="23" t="s">
        <v>70</v>
      </c>
      <c r="K2" s="17"/>
    </row>
    <row r="3" ht="18.75" customHeight="1">
      <c r="A3" s="20"/>
      <c r="B3" s="24" t="s">
        <v>71</v>
      </c>
      <c r="C3" s="25">
        <f t="array" ref="C3:C227">MOD(SEQUENCE(9*25,1)-1,25)+1</f>
        <v>1</v>
      </c>
      <c r="D3" s="26" t="s">
        <v>72</v>
      </c>
      <c r="E3" s="27" t="s">
        <v>73</v>
      </c>
      <c r="F3" s="28">
        <v>3276259.0</v>
      </c>
      <c r="G3" s="17"/>
      <c r="H3" s="29" t="str">
        <f t="array" ref="H3:H177">IF(D3:D177="","",HYPERLINK("https://osu.ppy.sh/b/"&amp;F3:F177,D3:D177&amp;": "&amp;E3:E177))</f>
        <v>NM1: Imy - Divine's Game [Extra]</v>
      </c>
      <c r="I3" s="30" t="str">
        <f t="array" ref="I3:I177">IF(F3:F177="","","!mp map "&amp;F3:F177)</f>
        <v>!mp map 3276259</v>
      </c>
      <c r="J3" s="31" t="str">
        <f t="array" ref="J3:J228">IF(D3:D228="","","!mp mods "&amp;IF(LEFT(D3:D177,2)="NM","NF",IF(LEFT(D3:D177,2)="FM","FreeMod",IF(LEFT(D3:D177,2)="TB","FreeMod",LEFT(D3:D177,2)&amp;" NF"))))</f>
        <v>!mp mods NF</v>
      </c>
      <c r="K3" s="17"/>
    </row>
    <row r="4" ht="18.75" customHeight="1">
      <c r="A4" s="20"/>
      <c r="B4" s="32"/>
      <c r="C4" s="25">
        <v>2.0</v>
      </c>
      <c r="D4" s="33" t="s">
        <v>74</v>
      </c>
      <c r="E4" s="34" t="s">
        <v>75</v>
      </c>
      <c r="F4" s="35">
        <v>2826730.0</v>
      </c>
      <c r="G4" s="17"/>
      <c r="H4" s="36" t="s">
        <v>76</v>
      </c>
      <c r="I4" s="37" t="s">
        <v>77</v>
      </c>
      <c r="J4" s="38" t="s">
        <v>78</v>
      </c>
      <c r="K4" s="17"/>
    </row>
    <row r="5" ht="18.75" customHeight="1">
      <c r="A5" s="20"/>
      <c r="B5" s="32"/>
      <c r="C5" s="25">
        <v>3.0</v>
      </c>
      <c r="D5" s="33" t="s">
        <v>79</v>
      </c>
      <c r="E5" s="34" t="s">
        <v>80</v>
      </c>
      <c r="F5" s="35">
        <v>2347615.0</v>
      </c>
      <c r="G5" s="17"/>
      <c r="H5" s="36" t="s">
        <v>81</v>
      </c>
      <c r="I5" s="37" t="s">
        <v>82</v>
      </c>
      <c r="J5" s="38" t="s">
        <v>78</v>
      </c>
      <c r="K5" s="17"/>
    </row>
    <row r="6" ht="18.75" customHeight="1">
      <c r="A6" s="20"/>
      <c r="B6" s="32"/>
      <c r="C6" s="25">
        <v>4.0</v>
      </c>
      <c r="D6" s="33" t="s">
        <v>83</v>
      </c>
      <c r="E6" s="34" t="s">
        <v>84</v>
      </c>
      <c r="F6" s="35">
        <v>908093.0</v>
      </c>
      <c r="G6" s="17"/>
      <c r="H6" s="36" t="s">
        <v>85</v>
      </c>
      <c r="I6" s="37" t="s">
        <v>86</v>
      </c>
      <c r="J6" s="38" t="s">
        <v>78</v>
      </c>
      <c r="K6" s="17"/>
    </row>
    <row r="7" ht="18.75" customHeight="1">
      <c r="A7" s="20"/>
      <c r="B7" s="32"/>
      <c r="C7" s="25">
        <v>5.0</v>
      </c>
      <c r="D7" s="33" t="s">
        <v>87</v>
      </c>
      <c r="E7" s="34" t="s">
        <v>88</v>
      </c>
      <c r="F7" s="35">
        <v>2514176.0</v>
      </c>
      <c r="G7" s="17"/>
      <c r="H7" s="36" t="s">
        <v>89</v>
      </c>
      <c r="I7" s="37" t="s">
        <v>90</v>
      </c>
      <c r="J7" s="38" t="s">
        <v>91</v>
      </c>
      <c r="K7" s="17"/>
    </row>
    <row r="8" ht="18.75" customHeight="1">
      <c r="A8" s="20"/>
      <c r="B8" s="32"/>
      <c r="C8" s="25">
        <v>6.0</v>
      </c>
      <c r="D8" s="33" t="s">
        <v>92</v>
      </c>
      <c r="E8" s="34" t="s">
        <v>93</v>
      </c>
      <c r="F8" s="35">
        <v>3167107.0</v>
      </c>
      <c r="G8" s="17"/>
      <c r="H8" s="36" t="s">
        <v>94</v>
      </c>
      <c r="I8" s="37" t="s">
        <v>95</v>
      </c>
      <c r="J8" s="38" t="s">
        <v>91</v>
      </c>
      <c r="K8" s="17"/>
    </row>
    <row r="9" ht="18.75" customHeight="1">
      <c r="A9" s="20"/>
      <c r="B9" s="32"/>
      <c r="C9" s="25">
        <v>7.0</v>
      </c>
      <c r="D9" s="33" t="s">
        <v>96</v>
      </c>
      <c r="E9" s="34" t="s">
        <v>97</v>
      </c>
      <c r="F9" s="35">
        <v>2349954.0</v>
      </c>
      <c r="G9" s="17"/>
      <c r="H9" s="36" t="s">
        <v>98</v>
      </c>
      <c r="I9" s="37" t="s">
        <v>99</v>
      </c>
      <c r="J9" s="38" t="s">
        <v>100</v>
      </c>
      <c r="K9" s="17"/>
    </row>
    <row r="10" ht="18.75" customHeight="1">
      <c r="A10" s="20"/>
      <c r="B10" s="32"/>
      <c r="C10" s="25">
        <v>8.0</v>
      </c>
      <c r="D10" s="33" t="s">
        <v>101</v>
      </c>
      <c r="E10" s="34" t="s">
        <v>102</v>
      </c>
      <c r="F10" s="35">
        <v>2108442.0</v>
      </c>
      <c r="G10" s="17"/>
      <c r="H10" s="36" t="s">
        <v>103</v>
      </c>
      <c r="I10" s="37" t="s">
        <v>104</v>
      </c>
      <c r="J10" s="38" t="s">
        <v>100</v>
      </c>
      <c r="K10" s="17"/>
    </row>
    <row r="11" ht="18.75" customHeight="1">
      <c r="A11" s="20"/>
      <c r="B11" s="32"/>
      <c r="C11" s="25">
        <v>9.0</v>
      </c>
      <c r="D11" s="33" t="s">
        <v>105</v>
      </c>
      <c r="E11" s="34" t="s">
        <v>106</v>
      </c>
      <c r="F11" s="35">
        <v>2277128.0</v>
      </c>
      <c r="G11" s="17"/>
      <c r="H11" s="36" t="s">
        <v>107</v>
      </c>
      <c r="I11" s="37" t="s">
        <v>108</v>
      </c>
      <c r="J11" s="38" t="s">
        <v>109</v>
      </c>
      <c r="K11" s="17"/>
    </row>
    <row r="12" ht="18.75" customHeight="1">
      <c r="A12" s="20"/>
      <c r="B12" s="32"/>
      <c r="C12" s="25">
        <v>10.0</v>
      </c>
      <c r="D12" s="33" t="s">
        <v>110</v>
      </c>
      <c r="E12" s="34" t="s">
        <v>111</v>
      </c>
      <c r="F12" s="35">
        <v>1559749.0</v>
      </c>
      <c r="G12" s="17"/>
      <c r="H12" s="36" t="s">
        <v>112</v>
      </c>
      <c r="I12" s="37" t="s">
        <v>113</v>
      </c>
      <c r="J12" s="38" t="s">
        <v>109</v>
      </c>
      <c r="K12" s="17"/>
    </row>
    <row r="13" ht="18.75" customHeight="1">
      <c r="A13" s="20"/>
      <c r="B13" s="32"/>
      <c r="C13" s="25">
        <v>11.0</v>
      </c>
      <c r="D13" s="33"/>
      <c r="E13" s="39"/>
      <c r="F13" s="35"/>
      <c r="G13" s="17"/>
      <c r="H13" s="40" t="s">
        <v>114</v>
      </c>
      <c r="I13" s="37" t="s">
        <v>114</v>
      </c>
      <c r="J13" s="38" t="s">
        <v>114</v>
      </c>
      <c r="K13" s="17"/>
    </row>
    <row r="14" ht="18.75" customHeight="1">
      <c r="A14" s="20"/>
      <c r="B14" s="32"/>
      <c r="C14" s="25">
        <v>12.0</v>
      </c>
      <c r="D14" s="33"/>
      <c r="E14" s="39"/>
      <c r="F14" s="35"/>
      <c r="G14" s="17"/>
      <c r="H14" s="40" t="s">
        <v>114</v>
      </c>
      <c r="I14" s="37" t="s">
        <v>114</v>
      </c>
      <c r="J14" s="38" t="s">
        <v>114</v>
      </c>
      <c r="K14" s="17"/>
    </row>
    <row r="15" ht="18.75" customHeight="1">
      <c r="A15" s="20"/>
      <c r="B15" s="32"/>
      <c r="C15" s="25">
        <v>13.0</v>
      </c>
      <c r="D15" s="33"/>
      <c r="E15" s="39"/>
      <c r="F15" s="35"/>
      <c r="G15" s="17"/>
      <c r="H15" s="40" t="s">
        <v>114</v>
      </c>
      <c r="I15" s="37" t="s">
        <v>114</v>
      </c>
      <c r="J15" s="38" t="s">
        <v>114</v>
      </c>
      <c r="K15" s="17"/>
    </row>
    <row r="16" ht="18.75" customHeight="1">
      <c r="A16" s="20"/>
      <c r="B16" s="32"/>
      <c r="C16" s="25">
        <v>14.0</v>
      </c>
      <c r="D16" s="33"/>
      <c r="E16" s="39"/>
      <c r="F16" s="35"/>
      <c r="G16" s="17"/>
      <c r="H16" s="40" t="s">
        <v>114</v>
      </c>
      <c r="I16" s="37" t="s">
        <v>114</v>
      </c>
      <c r="J16" s="38" t="s">
        <v>114</v>
      </c>
      <c r="K16" s="17"/>
    </row>
    <row r="17" ht="18.75" customHeight="1">
      <c r="A17" s="20"/>
      <c r="B17" s="32"/>
      <c r="C17" s="25">
        <v>15.0</v>
      </c>
      <c r="D17" s="33"/>
      <c r="E17" s="39"/>
      <c r="F17" s="35"/>
      <c r="G17" s="17"/>
      <c r="H17" s="40" t="s">
        <v>114</v>
      </c>
      <c r="I17" s="37" t="s">
        <v>114</v>
      </c>
      <c r="J17" s="38" t="s">
        <v>114</v>
      </c>
      <c r="K17" s="17"/>
    </row>
    <row r="18" ht="18.75" customHeight="1">
      <c r="A18" s="20"/>
      <c r="B18" s="32"/>
      <c r="C18" s="25">
        <v>16.0</v>
      </c>
      <c r="D18" s="33"/>
      <c r="E18" s="39"/>
      <c r="F18" s="35"/>
      <c r="G18" s="17"/>
      <c r="H18" s="40" t="s">
        <v>114</v>
      </c>
      <c r="I18" s="37" t="s">
        <v>114</v>
      </c>
      <c r="J18" s="38" t="s">
        <v>114</v>
      </c>
      <c r="K18" s="17"/>
    </row>
    <row r="19" ht="18.75" customHeight="1">
      <c r="A19" s="20"/>
      <c r="B19" s="32"/>
      <c r="C19" s="25">
        <v>17.0</v>
      </c>
      <c r="D19" s="33"/>
      <c r="E19" s="39"/>
      <c r="F19" s="35"/>
      <c r="G19" s="17"/>
      <c r="H19" s="40" t="s">
        <v>114</v>
      </c>
      <c r="I19" s="37" t="s">
        <v>114</v>
      </c>
      <c r="J19" s="38" t="s">
        <v>114</v>
      </c>
      <c r="K19" s="17"/>
    </row>
    <row r="20" ht="18.75" customHeight="1">
      <c r="A20" s="20"/>
      <c r="B20" s="32"/>
      <c r="C20" s="25">
        <v>18.0</v>
      </c>
      <c r="D20" s="33"/>
      <c r="E20" s="39"/>
      <c r="F20" s="35"/>
      <c r="G20" s="17"/>
      <c r="H20" s="40" t="s">
        <v>114</v>
      </c>
      <c r="I20" s="37" t="s">
        <v>114</v>
      </c>
      <c r="J20" s="38" t="s">
        <v>114</v>
      </c>
      <c r="K20" s="17"/>
    </row>
    <row r="21" ht="18.75" customHeight="1">
      <c r="A21" s="20"/>
      <c r="B21" s="32"/>
      <c r="C21" s="25">
        <v>19.0</v>
      </c>
      <c r="D21" s="33"/>
      <c r="E21" s="39"/>
      <c r="F21" s="35"/>
      <c r="G21" s="17"/>
      <c r="H21" s="40" t="s">
        <v>114</v>
      </c>
      <c r="I21" s="37" t="s">
        <v>114</v>
      </c>
      <c r="J21" s="38" t="s">
        <v>114</v>
      </c>
      <c r="K21" s="17"/>
    </row>
    <row r="22" ht="18.75" customHeight="1">
      <c r="A22" s="20"/>
      <c r="B22" s="32"/>
      <c r="C22" s="25">
        <v>20.0</v>
      </c>
      <c r="D22" s="41"/>
      <c r="E22" s="42"/>
      <c r="F22" s="43"/>
      <c r="G22" s="17"/>
      <c r="H22" s="40" t="s">
        <v>114</v>
      </c>
      <c r="I22" s="37" t="s">
        <v>114</v>
      </c>
      <c r="J22" s="38" t="s">
        <v>114</v>
      </c>
      <c r="K22" s="17"/>
    </row>
    <row r="23" ht="18.75" customHeight="1">
      <c r="A23" s="20"/>
      <c r="B23" s="32"/>
      <c r="C23" s="25">
        <v>21.0</v>
      </c>
      <c r="D23" s="41"/>
      <c r="E23" s="42"/>
      <c r="F23" s="43"/>
      <c r="G23" s="17"/>
      <c r="H23" s="40" t="s">
        <v>114</v>
      </c>
      <c r="I23" s="37" t="s">
        <v>114</v>
      </c>
      <c r="J23" s="38" t="s">
        <v>114</v>
      </c>
      <c r="K23" s="17"/>
    </row>
    <row r="24" ht="18.75" customHeight="1">
      <c r="A24" s="20"/>
      <c r="B24" s="32"/>
      <c r="C24" s="25">
        <v>22.0</v>
      </c>
      <c r="D24" s="41"/>
      <c r="E24" s="42"/>
      <c r="F24" s="43"/>
      <c r="G24" s="17"/>
      <c r="H24" s="40" t="s">
        <v>114</v>
      </c>
      <c r="I24" s="37" t="s">
        <v>114</v>
      </c>
      <c r="J24" s="38" t="s">
        <v>114</v>
      </c>
      <c r="K24" s="17"/>
    </row>
    <row r="25" ht="18.75" customHeight="1">
      <c r="A25" s="20"/>
      <c r="B25" s="32"/>
      <c r="C25" s="25">
        <v>23.0</v>
      </c>
      <c r="D25" s="41"/>
      <c r="E25" s="42"/>
      <c r="F25" s="43"/>
      <c r="G25" s="17"/>
      <c r="H25" s="40" t="s">
        <v>114</v>
      </c>
      <c r="I25" s="37" t="s">
        <v>114</v>
      </c>
      <c r="J25" s="38" t="s">
        <v>114</v>
      </c>
      <c r="K25" s="17"/>
    </row>
    <row r="26" ht="18.75" customHeight="1">
      <c r="A26" s="20"/>
      <c r="B26" s="32"/>
      <c r="C26" s="25">
        <v>24.0</v>
      </c>
      <c r="D26" s="41"/>
      <c r="E26" s="42"/>
      <c r="F26" s="43"/>
      <c r="G26" s="17"/>
      <c r="H26" s="40" t="s">
        <v>114</v>
      </c>
      <c r="I26" s="37" t="s">
        <v>114</v>
      </c>
      <c r="J26" s="38" t="s">
        <v>114</v>
      </c>
      <c r="K26" s="17"/>
    </row>
    <row r="27" ht="18.75" customHeight="1">
      <c r="A27" s="20"/>
      <c r="B27" s="44"/>
      <c r="C27" s="45">
        <v>25.0</v>
      </c>
      <c r="D27" s="46"/>
      <c r="E27" s="47"/>
      <c r="F27" s="48"/>
      <c r="G27" s="17"/>
      <c r="H27" s="49" t="s">
        <v>114</v>
      </c>
      <c r="I27" s="50" t="s">
        <v>114</v>
      </c>
      <c r="J27" s="51" t="s">
        <v>114</v>
      </c>
      <c r="K27" s="17"/>
    </row>
    <row r="28" ht="18.75" customHeight="1">
      <c r="A28" s="20"/>
      <c r="B28" s="24" t="s">
        <v>115</v>
      </c>
      <c r="C28" s="52">
        <v>1.0</v>
      </c>
      <c r="D28" s="33"/>
      <c r="E28" s="39"/>
      <c r="F28" s="35"/>
      <c r="G28" s="17"/>
      <c r="H28" s="40" t="s">
        <v>114</v>
      </c>
      <c r="I28" s="37" t="s">
        <v>114</v>
      </c>
      <c r="J28" s="38" t="s">
        <v>114</v>
      </c>
      <c r="K28" s="17"/>
    </row>
    <row r="29" ht="18.75" customHeight="1">
      <c r="A29" s="20"/>
      <c r="B29" s="32"/>
      <c r="C29" s="52">
        <v>2.0</v>
      </c>
      <c r="D29" s="33"/>
      <c r="E29" s="39"/>
      <c r="F29" s="35"/>
      <c r="G29" s="17"/>
      <c r="H29" s="40" t="s">
        <v>114</v>
      </c>
      <c r="I29" s="37" t="s">
        <v>114</v>
      </c>
      <c r="J29" s="38" t="s">
        <v>114</v>
      </c>
      <c r="K29" s="17"/>
    </row>
    <row r="30" ht="18.75" customHeight="1">
      <c r="A30" s="20"/>
      <c r="B30" s="32"/>
      <c r="C30" s="52">
        <v>3.0</v>
      </c>
      <c r="D30" s="33"/>
      <c r="E30" s="39"/>
      <c r="F30" s="35"/>
      <c r="G30" s="17"/>
      <c r="H30" s="40" t="s">
        <v>114</v>
      </c>
      <c r="I30" s="37" t="s">
        <v>114</v>
      </c>
      <c r="J30" s="38" t="s">
        <v>114</v>
      </c>
      <c r="K30" s="17"/>
    </row>
    <row r="31" ht="18.75" customHeight="1">
      <c r="A31" s="20"/>
      <c r="B31" s="32"/>
      <c r="C31" s="52">
        <v>4.0</v>
      </c>
      <c r="D31" s="33"/>
      <c r="E31" s="39"/>
      <c r="F31" s="35"/>
      <c r="G31" s="17"/>
      <c r="H31" s="40" t="s">
        <v>114</v>
      </c>
      <c r="I31" s="37" t="s">
        <v>114</v>
      </c>
      <c r="J31" s="38" t="s">
        <v>114</v>
      </c>
      <c r="K31" s="17"/>
    </row>
    <row r="32" ht="18.75" customHeight="1">
      <c r="A32" s="20"/>
      <c r="B32" s="32"/>
      <c r="C32" s="52">
        <v>5.0</v>
      </c>
      <c r="D32" s="33"/>
      <c r="E32" s="39"/>
      <c r="F32" s="35"/>
      <c r="G32" s="17"/>
      <c r="H32" s="40" t="s">
        <v>114</v>
      </c>
      <c r="I32" s="37" t="s">
        <v>114</v>
      </c>
      <c r="J32" s="38" t="s">
        <v>114</v>
      </c>
      <c r="K32" s="17"/>
    </row>
    <row r="33" ht="18.75" customHeight="1">
      <c r="A33" s="20"/>
      <c r="B33" s="32"/>
      <c r="C33" s="52">
        <v>6.0</v>
      </c>
      <c r="D33" s="33"/>
      <c r="E33" s="39"/>
      <c r="F33" s="35"/>
      <c r="G33" s="17"/>
      <c r="H33" s="40" t="s">
        <v>114</v>
      </c>
      <c r="I33" s="37" t="s">
        <v>114</v>
      </c>
      <c r="J33" s="38" t="s">
        <v>114</v>
      </c>
      <c r="K33" s="17"/>
    </row>
    <row r="34" ht="18.75" customHeight="1">
      <c r="A34" s="20"/>
      <c r="B34" s="32"/>
      <c r="C34" s="52">
        <v>7.0</v>
      </c>
      <c r="D34" s="33"/>
      <c r="E34" s="39"/>
      <c r="F34" s="35"/>
      <c r="G34" s="17"/>
      <c r="H34" s="40" t="s">
        <v>114</v>
      </c>
      <c r="I34" s="37" t="s">
        <v>114</v>
      </c>
      <c r="J34" s="38" t="s">
        <v>114</v>
      </c>
      <c r="K34" s="17"/>
    </row>
    <row r="35" ht="18.75" customHeight="1">
      <c r="A35" s="20"/>
      <c r="B35" s="32"/>
      <c r="C35" s="52">
        <v>8.0</v>
      </c>
      <c r="D35" s="33"/>
      <c r="E35" s="39"/>
      <c r="F35" s="35"/>
      <c r="G35" s="17"/>
      <c r="H35" s="40" t="s">
        <v>114</v>
      </c>
      <c r="I35" s="37" t="s">
        <v>114</v>
      </c>
      <c r="J35" s="38" t="s">
        <v>114</v>
      </c>
      <c r="K35" s="17"/>
    </row>
    <row r="36" ht="18.75" customHeight="1">
      <c r="A36" s="20"/>
      <c r="B36" s="32"/>
      <c r="C36" s="52">
        <v>9.0</v>
      </c>
      <c r="D36" s="33"/>
      <c r="E36" s="39"/>
      <c r="F36" s="35"/>
      <c r="G36" s="17"/>
      <c r="H36" s="40" t="s">
        <v>114</v>
      </c>
      <c r="I36" s="37" t="s">
        <v>114</v>
      </c>
      <c r="J36" s="38" t="s">
        <v>114</v>
      </c>
      <c r="K36" s="17"/>
    </row>
    <row r="37" ht="18.75" customHeight="1">
      <c r="A37" s="20"/>
      <c r="B37" s="32"/>
      <c r="C37" s="52">
        <v>10.0</v>
      </c>
      <c r="D37" s="33"/>
      <c r="E37" s="39"/>
      <c r="F37" s="35"/>
      <c r="G37" s="17"/>
      <c r="H37" s="40" t="s">
        <v>114</v>
      </c>
      <c r="I37" s="37" t="s">
        <v>114</v>
      </c>
      <c r="J37" s="38" t="s">
        <v>114</v>
      </c>
      <c r="K37" s="17"/>
    </row>
    <row r="38" ht="18.75" customHeight="1">
      <c r="A38" s="20"/>
      <c r="B38" s="32"/>
      <c r="C38" s="52">
        <v>11.0</v>
      </c>
      <c r="D38" s="33"/>
      <c r="E38" s="39"/>
      <c r="F38" s="35"/>
      <c r="G38" s="17"/>
      <c r="H38" s="40" t="s">
        <v>114</v>
      </c>
      <c r="I38" s="37" t="s">
        <v>114</v>
      </c>
      <c r="J38" s="38" t="s">
        <v>114</v>
      </c>
      <c r="K38" s="17"/>
    </row>
    <row r="39" ht="18.75" customHeight="1">
      <c r="A39" s="20"/>
      <c r="B39" s="32"/>
      <c r="C39" s="52">
        <v>12.0</v>
      </c>
      <c r="D39" s="33"/>
      <c r="E39" s="39"/>
      <c r="F39" s="35"/>
      <c r="G39" s="17"/>
      <c r="H39" s="40" t="s">
        <v>114</v>
      </c>
      <c r="I39" s="37" t="s">
        <v>114</v>
      </c>
      <c r="J39" s="38" t="s">
        <v>114</v>
      </c>
      <c r="K39" s="17"/>
    </row>
    <row r="40" ht="18.75" customHeight="1">
      <c r="A40" s="20"/>
      <c r="B40" s="32"/>
      <c r="C40" s="52">
        <v>13.0</v>
      </c>
      <c r="D40" s="33"/>
      <c r="E40" s="39"/>
      <c r="F40" s="35"/>
      <c r="G40" s="17"/>
      <c r="H40" s="40" t="s">
        <v>114</v>
      </c>
      <c r="I40" s="37" t="s">
        <v>114</v>
      </c>
      <c r="J40" s="38" t="s">
        <v>114</v>
      </c>
      <c r="K40" s="17"/>
    </row>
    <row r="41" ht="18.75" customHeight="1">
      <c r="A41" s="20"/>
      <c r="B41" s="32"/>
      <c r="C41" s="52">
        <v>14.0</v>
      </c>
      <c r="D41" s="33"/>
      <c r="E41" s="39"/>
      <c r="F41" s="35"/>
      <c r="G41" s="17"/>
      <c r="H41" s="40" t="s">
        <v>114</v>
      </c>
      <c r="I41" s="37" t="s">
        <v>114</v>
      </c>
      <c r="J41" s="38" t="s">
        <v>114</v>
      </c>
      <c r="K41" s="17"/>
    </row>
    <row r="42" ht="18.75" customHeight="1">
      <c r="A42" s="20"/>
      <c r="B42" s="32"/>
      <c r="C42" s="52">
        <v>15.0</v>
      </c>
      <c r="D42" s="33"/>
      <c r="E42" s="39"/>
      <c r="F42" s="35"/>
      <c r="G42" s="17"/>
      <c r="H42" s="40" t="s">
        <v>114</v>
      </c>
      <c r="I42" s="37" t="s">
        <v>114</v>
      </c>
      <c r="J42" s="38" t="s">
        <v>114</v>
      </c>
      <c r="K42" s="17"/>
    </row>
    <row r="43" ht="18.75" customHeight="1">
      <c r="A43" s="20"/>
      <c r="B43" s="32"/>
      <c r="C43" s="52">
        <v>16.0</v>
      </c>
      <c r="D43" s="33"/>
      <c r="E43" s="39"/>
      <c r="F43" s="35"/>
      <c r="G43" s="17"/>
      <c r="H43" s="40" t="s">
        <v>114</v>
      </c>
      <c r="I43" s="37" t="s">
        <v>114</v>
      </c>
      <c r="J43" s="38" t="s">
        <v>114</v>
      </c>
      <c r="K43" s="17"/>
    </row>
    <row r="44" ht="18.75" customHeight="1">
      <c r="A44" s="20"/>
      <c r="B44" s="32"/>
      <c r="C44" s="52">
        <v>17.0</v>
      </c>
      <c r="D44" s="33"/>
      <c r="E44" s="39"/>
      <c r="F44" s="35"/>
      <c r="G44" s="17"/>
      <c r="H44" s="40" t="s">
        <v>114</v>
      </c>
      <c r="I44" s="37" t="s">
        <v>114</v>
      </c>
      <c r="J44" s="38" t="s">
        <v>114</v>
      </c>
      <c r="K44" s="17"/>
    </row>
    <row r="45" ht="18.75" customHeight="1">
      <c r="A45" s="20"/>
      <c r="B45" s="32"/>
      <c r="C45" s="52">
        <v>18.0</v>
      </c>
      <c r="D45" s="33"/>
      <c r="E45" s="39"/>
      <c r="F45" s="35"/>
      <c r="G45" s="17"/>
      <c r="H45" s="40" t="s">
        <v>114</v>
      </c>
      <c r="I45" s="37" t="s">
        <v>114</v>
      </c>
      <c r="J45" s="38" t="s">
        <v>114</v>
      </c>
      <c r="K45" s="17"/>
    </row>
    <row r="46" ht="18.75" customHeight="1">
      <c r="A46" s="20"/>
      <c r="B46" s="32"/>
      <c r="C46" s="52">
        <v>19.0</v>
      </c>
      <c r="D46" s="33"/>
      <c r="E46" s="39"/>
      <c r="F46" s="35"/>
      <c r="G46" s="17"/>
      <c r="H46" s="40" t="s">
        <v>114</v>
      </c>
      <c r="I46" s="37" t="s">
        <v>114</v>
      </c>
      <c r="J46" s="38" t="s">
        <v>114</v>
      </c>
      <c r="K46" s="17"/>
    </row>
    <row r="47" ht="18.75" customHeight="1">
      <c r="A47" s="20"/>
      <c r="B47" s="32"/>
      <c r="C47" s="52">
        <v>20.0</v>
      </c>
      <c r="D47" s="41"/>
      <c r="E47" s="42"/>
      <c r="F47" s="43"/>
      <c r="G47" s="17"/>
      <c r="H47" s="40" t="s">
        <v>114</v>
      </c>
      <c r="I47" s="37" t="s">
        <v>114</v>
      </c>
      <c r="J47" s="38" t="s">
        <v>114</v>
      </c>
      <c r="K47" s="17"/>
    </row>
    <row r="48" ht="18.75" customHeight="1">
      <c r="A48" s="20"/>
      <c r="B48" s="32"/>
      <c r="C48" s="52">
        <v>21.0</v>
      </c>
      <c r="D48" s="41"/>
      <c r="E48" s="42"/>
      <c r="F48" s="43"/>
      <c r="G48" s="17"/>
      <c r="H48" s="40" t="s">
        <v>114</v>
      </c>
      <c r="I48" s="37" t="s">
        <v>114</v>
      </c>
      <c r="J48" s="38" t="s">
        <v>114</v>
      </c>
      <c r="K48" s="17"/>
    </row>
    <row r="49" ht="18.75" customHeight="1">
      <c r="A49" s="20"/>
      <c r="B49" s="32"/>
      <c r="C49" s="52">
        <v>22.0</v>
      </c>
      <c r="D49" s="41"/>
      <c r="E49" s="42"/>
      <c r="F49" s="43"/>
      <c r="G49" s="17"/>
      <c r="H49" s="40" t="s">
        <v>114</v>
      </c>
      <c r="I49" s="37" t="s">
        <v>114</v>
      </c>
      <c r="J49" s="38" t="s">
        <v>114</v>
      </c>
      <c r="K49" s="17"/>
    </row>
    <row r="50" ht="18.75" customHeight="1">
      <c r="A50" s="20"/>
      <c r="B50" s="32"/>
      <c r="C50" s="52">
        <v>23.0</v>
      </c>
      <c r="D50" s="41"/>
      <c r="E50" s="42"/>
      <c r="F50" s="43"/>
      <c r="G50" s="17"/>
      <c r="H50" s="40" t="s">
        <v>114</v>
      </c>
      <c r="I50" s="37" t="s">
        <v>114</v>
      </c>
      <c r="J50" s="38" t="s">
        <v>114</v>
      </c>
      <c r="K50" s="17"/>
    </row>
    <row r="51" ht="18.75" customHeight="1">
      <c r="A51" s="20"/>
      <c r="B51" s="32"/>
      <c r="C51" s="52">
        <v>24.0</v>
      </c>
      <c r="D51" s="41"/>
      <c r="E51" s="42"/>
      <c r="F51" s="43"/>
      <c r="G51" s="17"/>
      <c r="H51" s="40" t="s">
        <v>114</v>
      </c>
      <c r="I51" s="37" t="s">
        <v>114</v>
      </c>
      <c r="J51" s="38" t="s">
        <v>114</v>
      </c>
      <c r="K51" s="17"/>
    </row>
    <row r="52" ht="18.75" customHeight="1">
      <c r="A52" s="20"/>
      <c r="B52" s="44"/>
      <c r="C52" s="52">
        <v>25.0</v>
      </c>
      <c r="D52" s="41"/>
      <c r="E52" s="42"/>
      <c r="F52" s="43"/>
      <c r="G52" s="17"/>
      <c r="H52" s="40" t="s">
        <v>114</v>
      </c>
      <c r="I52" s="37" t="s">
        <v>114</v>
      </c>
      <c r="J52" s="38" t="s">
        <v>114</v>
      </c>
      <c r="K52" s="17"/>
    </row>
    <row r="53" ht="18.75" customHeight="1">
      <c r="A53" s="20"/>
      <c r="B53" s="24" t="s">
        <v>116</v>
      </c>
      <c r="C53" s="53">
        <v>1.0</v>
      </c>
      <c r="D53" s="26"/>
      <c r="E53" s="54"/>
      <c r="F53" s="28"/>
      <c r="G53" s="17"/>
      <c r="H53" s="55" t="s">
        <v>114</v>
      </c>
      <c r="I53" s="30" t="s">
        <v>114</v>
      </c>
      <c r="J53" s="31" t="s">
        <v>114</v>
      </c>
      <c r="K53" s="17"/>
    </row>
    <row r="54" ht="18.75" customHeight="1">
      <c r="A54" s="20"/>
      <c r="B54" s="32"/>
      <c r="C54" s="52">
        <v>2.0</v>
      </c>
      <c r="D54" s="33"/>
      <c r="E54" s="39"/>
      <c r="F54" s="35"/>
      <c r="G54" s="17"/>
      <c r="H54" s="40" t="s">
        <v>114</v>
      </c>
      <c r="I54" s="37" t="s">
        <v>114</v>
      </c>
      <c r="J54" s="38" t="s">
        <v>114</v>
      </c>
      <c r="K54" s="17"/>
    </row>
    <row r="55" ht="18.75" customHeight="1">
      <c r="A55" s="20"/>
      <c r="B55" s="32"/>
      <c r="C55" s="52">
        <v>3.0</v>
      </c>
      <c r="D55" s="33"/>
      <c r="E55" s="39"/>
      <c r="F55" s="35"/>
      <c r="G55" s="17"/>
      <c r="H55" s="40" t="s">
        <v>114</v>
      </c>
      <c r="I55" s="37" t="s">
        <v>114</v>
      </c>
      <c r="J55" s="38" t="s">
        <v>114</v>
      </c>
      <c r="K55" s="17"/>
    </row>
    <row r="56" ht="18.75" customHeight="1">
      <c r="A56" s="20"/>
      <c r="B56" s="32"/>
      <c r="C56" s="52">
        <v>4.0</v>
      </c>
      <c r="D56" s="33"/>
      <c r="E56" s="39"/>
      <c r="F56" s="35"/>
      <c r="G56" s="17"/>
      <c r="H56" s="40" t="s">
        <v>114</v>
      </c>
      <c r="I56" s="37" t="s">
        <v>114</v>
      </c>
      <c r="J56" s="38" t="s">
        <v>114</v>
      </c>
      <c r="K56" s="17"/>
    </row>
    <row r="57" ht="18.75" customHeight="1">
      <c r="A57" s="20"/>
      <c r="B57" s="32"/>
      <c r="C57" s="52">
        <v>5.0</v>
      </c>
      <c r="D57" s="33"/>
      <c r="E57" s="39"/>
      <c r="F57" s="35"/>
      <c r="G57" s="17"/>
      <c r="H57" s="40" t="s">
        <v>114</v>
      </c>
      <c r="I57" s="37" t="s">
        <v>114</v>
      </c>
      <c r="J57" s="38" t="s">
        <v>114</v>
      </c>
      <c r="K57" s="17"/>
    </row>
    <row r="58" ht="18.75" customHeight="1">
      <c r="A58" s="20"/>
      <c r="B58" s="32"/>
      <c r="C58" s="52">
        <v>6.0</v>
      </c>
      <c r="D58" s="33"/>
      <c r="E58" s="39"/>
      <c r="F58" s="35"/>
      <c r="G58" s="17"/>
      <c r="H58" s="40" t="s">
        <v>114</v>
      </c>
      <c r="I58" s="37" t="s">
        <v>114</v>
      </c>
      <c r="J58" s="38" t="s">
        <v>114</v>
      </c>
      <c r="K58" s="17"/>
    </row>
    <row r="59" ht="18.75" customHeight="1">
      <c r="A59" s="20"/>
      <c r="B59" s="32"/>
      <c r="C59" s="52">
        <v>7.0</v>
      </c>
      <c r="D59" s="33"/>
      <c r="E59" s="39"/>
      <c r="F59" s="35"/>
      <c r="G59" s="17"/>
      <c r="H59" s="40" t="s">
        <v>114</v>
      </c>
      <c r="I59" s="37" t="s">
        <v>114</v>
      </c>
      <c r="J59" s="38" t="s">
        <v>114</v>
      </c>
      <c r="K59" s="17"/>
    </row>
    <row r="60" ht="18.75" customHeight="1">
      <c r="A60" s="20"/>
      <c r="B60" s="32"/>
      <c r="C60" s="52">
        <v>8.0</v>
      </c>
      <c r="D60" s="33"/>
      <c r="E60" s="39"/>
      <c r="F60" s="35"/>
      <c r="G60" s="17"/>
      <c r="H60" s="40" t="s">
        <v>114</v>
      </c>
      <c r="I60" s="37" t="s">
        <v>114</v>
      </c>
      <c r="J60" s="38" t="s">
        <v>114</v>
      </c>
      <c r="K60" s="17"/>
    </row>
    <row r="61" ht="18.75" customHeight="1">
      <c r="A61" s="20"/>
      <c r="B61" s="32"/>
      <c r="C61" s="52">
        <v>9.0</v>
      </c>
      <c r="D61" s="33"/>
      <c r="E61" s="39"/>
      <c r="F61" s="35"/>
      <c r="G61" s="17"/>
      <c r="H61" s="40" t="s">
        <v>114</v>
      </c>
      <c r="I61" s="37" t="s">
        <v>114</v>
      </c>
      <c r="J61" s="38" t="s">
        <v>114</v>
      </c>
      <c r="K61" s="17"/>
    </row>
    <row r="62" ht="18.75" customHeight="1">
      <c r="A62" s="20"/>
      <c r="B62" s="32"/>
      <c r="C62" s="52">
        <v>10.0</v>
      </c>
      <c r="D62" s="33"/>
      <c r="E62" s="39"/>
      <c r="F62" s="35"/>
      <c r="G62" s="17"/>
      <c r="H62" s="40" t="s">
        <v>114</v>
      </c>
      <c r="I62" s="37" t="s">
        <v>114</v>
      </c>
      <c r="J62" s="38" t="s">
        <v>114</v>
      </c>
      <c r="K62" s="17"/>
    </row>
    <row r="63" ht="18.75" customHeight="1">
      <c r="A63" s="20"/>
      <c r="B63" s="32"/>
      <c r="C63" s="52">
        <v>11.0</v>
      </c>
      <c r="D63" s="33"/>
      <c r="E63" s="39"/>
      <c r="F63" s="35"/>
      <c r="G63" s="17"/>
      <c r="H63" s="40" t="s">
        <v>114</v>
      </c>
      <c r="I63" s="37" t="s">
        <v>114</v>
      </c>
      <c r="J63" s="38" t="s">
        <v>114</v>
      </c>
      <c r="K63" s="17"/>
    </row>
    <row r="64" ht="18.75" customHeight="1">
      <c r="A64" s="20"/>
      <c r="B64" s="32"/>
      <c r="C64" s="52">
        <v>12.0</v>
      </c>
      <c r="D64" s="33"/>
      <c r="E64" s="39"/>
      <c r="F64" s="35"/>
      <c r="G64" s="17"/>
      <c r="H64" s="40" t="s">
        <v>114</v>
      </c>
      <c r="I64" s="37" t="s">
        <v>114</v>
      </c>
      <c r="J64" s="38" t="s">
        <v>114</v>
      </c>
      <c r="K64" s="17"/>
    </row>
    <row r="65" ht="18.75" customHeight="1">
      <c r="A65" s="20"/>
      <c r="B65" s="32"/>
      <c r="C65" s="52">
        <v>13.0</v>
      </c>
      <c r="D65" s="33"/>
      <c r="E65" s="39"/>
      <c r="F65" s="35"/>
      <c r="G65" s="17"/>
      <c r="H65" s="40" t="s">
        <v>114</v>
      </c>
      <c r="I65" s="37" t="s">
        <v>114</v>
      </c>
      <c r="J65" s="38" t="s">
        <v>114</v>
      </c>
      <c r="K65" s="17"/>
    </row>
    <row r="66" ht="18.75" customHeight="1">
      <c r="A66" s="20"/>
      <c r="B66" s="32"/>
      <c r="C66" s="52">
        <v>14.0</v>
      </c>
      <c r="D66" s="33"/>
      <c r="E66" s="39"/>
      <c r="F66" s="35"/>
      <c r="G66" s="17"/>
      <c r="H66" s="40" t="s">
        <v>114</v>
      </c>
      <c r="I66" s="37" t="s">
        <v>114</v>
      </c>
      <c r="J66" s="38" t="s">
        <v>114</v>
      </c>
      <c r="K66" s="17"/>
    </row>
    <row r="67" ht="18.75" customHeight="1">
      <c r="A67" s="20"/>
      <c r="B67" s="32"/>
      <c r="C67" s="52">
        <v>15.0</v>
      </c>
      <c r="D67" s="33"/>
      <c r="E67" s="39"/>
      <c r="F67" s="35"/>
      <c r="G67" s="17"/>
      <c r="H67" s="40" t="s">
        <v>114</v>
      </c>
      <c r="I67" s="37" t="s">
        <v>114</v>
      </c>
      <c r="J67" s="38" t="s">
        <v>114</v>
      </c>
      <c r="K67" s="17"/>
    </row>
    <row r="68" ht="18.75" customHeight="1">
      <c r="A68" s="20"/>
      <c r="B68" s="32"/>
      <c r="C68" s="52">
        <v>16.0</v>
      </c>
      <c r="D68" s="33"/>
      <c r="E68" s="39"/>
      <c r="F68" s="35"/>
      <c r="G68" s="17"/>
      <c r="H68" s="40" t="s">
        <v>114</v>
      </c>
      <c r="I68" s="37" t="s">
        <v>114</v>
      </c>
      <c r="J68" s="38" t="s">
        <v>114</v>
      </c>
      <c r="K68" s="17"/>
    </row>
    <row r="69" ht="18.75" customHeight="1">
      <c r="A69" s="20"/>
      <c r="B69" s="32"/>
      <c r="C69" s="52">
        <v>17.0</v>
      </c>
      <c r="D69" s="33"/>
      <c r="E69" s="39"/>
      <c r="F69" s="35"/>
      <c r="G69" s="17"/>
      <c r="H69" s="40" t="s">
        <v>114</v>
      </c>
      <c r="I69" s="37" t="s">
        <v>114</v>
      </c>
      <c r="J69" s="38" t="s">
        <v>114</v>
      </c>
      <c r="K69" s="17"/>
    </row>
    <row r="70" ht="18.75" customHeight="1">
      <c r="A70" s="20"/>
      <c r="B70" s="32"/>
      <c r="C70" s="52">
        <v>18.0</v>
      </c>
      <c r="D70" s="33"/>
      <c r="E70" s="39"/>
      <c r="F70" s="35"/>
      <c r="G70" s="17"/>
      <c r="H70" s="40" t="s">
        <v>114</v>
      </c>
      <c r="I70" s="37" t="s">
        <v>114</v>
      </c>
      <c r="J70" s="38" t="s">
        <v>114</v>
      </c>
      <c r="K70" s="17"/>
    </row>
    <row r="71" ht="18.75" customHeight="1">
      <c r="A71" s="20"/>
      <c r="B71" s="32"/>
      <c r="C71" s="52">
        <v>19.0</v>
      </c>
      <c r="D71" s="33"/>
      <c r="E71" s="39"/>
      <c r="F71" s="35"/>
      <c r="G71" s="17"/>
      <c r="H71" s="40" t="s">
        <v>114</v>
      </c>
      <c r="I71" s="37" t="s">
        <v>114</v>
      </c>
      <c r="J71" s="38" t="s">
        <v>114</v>
      </c>
      <c r="K71" s="17"/>
    </row>
    <row r="72" ht="18.75" customHeight="1">
      <c r="A72" s="20"/>
      <c r="B72" s="32"/>
      <c r="C72" s="52">
        <v>20.0</v>
      </c>
      <c r="D72" s="41"/>
      <c r="E72" s="42"/>
      <c r="F72" s="43"/>
      <c r="G72" s="17"/>
      <c r="H72" s="40" t="s">
        <v>114</v>
      </c>
      <c r="I72" s="37" t="s">
        <v>114</v>
      </c>
      <c r="J72" s="38" t="s">
        <v>114</v>
      </c>
      <c r="K72" s="17"/>
    </row>
    <row r="73" ht="18.75" customHeight="1">
      <c r="A73" s="20"/>
      <c r="B73" s="32"/>
      <c r="C73" s="52">
        <v>21.0</v>
      </c>
      <c r="D73" s="41"/>
      <c r="E73" s="42"/>
      <c r="F73" s="43"/>
      <c r="G73" s="17"/>
      <c r="H73" s="40" t="s">
        <v>114</v>
      </c>
      <c r="I73" s="37" t="s">
        <v>114</v>
      </c>
      <c r="J73" s="38" t="s">
        <v>114</v>
      </c>
      <c r="K73" s="17"/>
    </row>
    <row r="74" ht="18.75" customHeight="1">
      <c r="A74" s="20"/>
      <c r="B74" s="32"/>
      <c r="C74" s="52">
        <v>22.0</v>
      </c>
      <c r="D74" s="41"/>
      <c r="E74" s="42"/>
      <c r="F74" s="43"/>
      <c r="G74" s="17"/>
      <c r="H74" s="40" t="s">
        <v>114</v>
      </c>
      <c r="I74" s="37" t="s">
        <v>114</v>
      </c>
      <c r="J74" s="38" t="s">
        <v>114</v>
      </c>
      <c r="K74" s="17"/>
    </row>
    <row r="75" ht="18.75" customHeight="1">
      <c r="A75" s="20"/>
      <c r="B75" s="32"/>
      <c r="C75" s="52">
        <v>23.0</v>
      </c>
      <c r="D75" s="41"/>
      <c r="E75" s="42"/>
      <c r="F75" s="43"/>
      <c r="G75" s="17"/>
      <c r="H75" s="40" t="s">
        <v>114</v>
      </c>
      <c r="I75" s="37" t="s">
        <v>114</v>
      </c>
      <c r="J75" s="38" t="s">
        <v>114</v>
      </c>
      <c r="K75" s="17"/>
    </row>
    <row r="76" ht="18.75" customHeight="1">
      <c r="A76" s="20"/>
      <c r="B76" s="32"/>
      <c r="C76" s="52">
        <v>24.0</v>
      </c>
      <c r="D76" s="41"/>
      <c r="E76" s="42"/>
      <c r="F76" s="43"/>
      <c r="G76" s="17"/>
      <c r="H76" s="40" t="s">
        <v>114</v>
      </c>
      <c r="I76" s="37" t="s">
        <v>114</v>
      </c>
      <c r="J76" s="38" t="s">
        <v>114</v>
      </c>
      <c r="K76" s="17"/>
    </row>
    <row r="77" ht="18.75" customHeight="1">
      <c r="A77" s="20"/>
      <c r="B77" s="44"/>
      <c r="C77" s="52">
        <v>25.0</v>
      </c>
      <c r="D77" s="41"/>
      <c r="E77" s="42"/>
      <c r="F77" s="43"/>
      <c r="G77" s="17"/>
      <c r="H77" s="40" t="s">
        <v>114</v>
      </c>
      <c r="I77" s="37" t="s">
        <v>114</v>
      </c>
      <c r="J77" s="38" t="s">
        <v>114</v>
      </c>
      <c r="K77" s="17"/>
    </row>
    <row r="78" ht="18.75" customHeight="1">
      <c r="A78" s="20"/>
      <c r="B78" s="24" t="s">
        <v>117</v>
      </c>
      <c r="C78" s="53">
        <v>1.0</v>
      </c>
      <c r="D78" s="26"/>
      <c r="E78" s="54"/>
      <c r="F78" s="28"/>
      <c r="G78" s="17"/>
      <c r="H78" s="55" t="s">
        <v>114</v>
      </c>
      <c r="I78" s="30" t="s">
        <v>114</v>
      </c>
      <c r="J78" s="31" t="s">
        <v>114</v>
      </c>
      <c r="K78" s="17"/>
    </row>
    <row r="79" ht="18.75" customHeight="1">
      <c r="A79" s="20"/>
      <c r="B79" s="32"/>
      <c r="C79" s="52">
        <v>2.0</v>
      </c>
      <c r="D79" s="33"/>
      <c r="E79" s="39"/>
      <c r="F79" s="35"/>
      <c r="G79" s="17"/>
      <c r="H79" s="40" t="s">
        <v>114</v>
      </c>
      <c r="I79" s="37" t="s">
        <v>114</v>
      </c>
      <c r="J79" s="38" t="s">
        <v>114</v>
      </c>
      <c r="K79" s="17"/>
    </row>
    <row r="80" ht="18.75" customHeight="1">
      <c r="A80" s="20"/>
      <c r="B80" s="32"/>
      <c r="C80" s="52">
        <v>3.0</v>
      </c>
      <c r="D80" s="33"/>
      <c r="E80" s="39"/>
      <c r="F80" s="35"/>
      <c r="G80" s="17"/>
      <c r="H80" s="40" t="s">
        <v>114</v>
      </c>
      <c r="I80" s="37" t="s">
        <v>114</v>
      </c>
      <c r="J80" s="38" t="s">
        <v>114</v>
      </c>
      <c r="K80" s="17"/>
    </row>
    <row r="81" ht="18.75" customHeight="1">
      <c r="A81" s="20"/>
      <c r="B81" s="32"/>
      <c r="C81" s="52">
        <v>4.0</v>
      </c>
      <c r="D81" s="33"/>
      <c r="E81" s="39"/>
      <c r="F81" s="35"/>
      <c r="G81" s="17"/>
      <c r="H81" s="40" t="s">
        <v>114</v>
      </c>
      <c r="I81" s="37" t="s">
        <v>114</v>
      </c>
      <c r="J81" s="38" t="s">
        <v>114</v>
      </c>
      <c r="K81" s="17"/>
    </row>
    <row r="82" ht="18.75" customHeight="1">
      <c r="A82" s="20"/>
      <c r="B82" s="32"/>
      <c r="C82" s="52">
        <v>5.0</v>
      </c>
      <c r="D82" s="33"/>
      <c r="E82" s="39"/>
      <c r="F82" s="35"/>
      <c r="G82" s="17"/>
      <c r="H82" s="40" t="s">
        <v>114</v>
      </c>
      <c r="I82" s="37" t="s">
        <v>114</v>
      </c>
      <c r="J82" s="38" t="s">
        <v>114</v>
      </c>
      <c r="K82" s="17"/>
    </row>
    <row r="83" ht="18.75" customHeight="1">
      <c r="A83" s="20"/>
      <c r="B83" s="32"/>
      <c r="C83" s="52">
        <v>6.0</v>
      </c>
      <c r="D83" s="33"/>
      <c r="E83" s="39"/>
      <c r="F83" s="35"/>
      <c r="G83" s="17"/>
      <c r="H83" s="40" t="s">
        <v>114</v>
      </c>
      <c r="I83" s="37" t="s">
        <v>114</v>
      </c>
      <c r="J83" s="38" t="s">
        <v>114</v>
      </c>
      <c r="K83" s="17"/>
    </row>
    <row r="84" ht="18.75" customHeight="1">
      <c r="A84" s="20"/>
      <c r="B84" s="32"/>
      <c r="C84" s="52">
        <v>7.0</v>
      </c>
      <c r="D84" s="33"/>
      <c r="E84" s="39"/>
      <c r="F84" s="35"/>
      <c r="G84" s="17"/>
      <c r="H84" s="40" t="s">
        <v>114</v>
      </c>
      <c r="I84" s="37" t="s">
        <v>114</v>
      </c>
      <c r="J84" s="38" t="s">
        <v>114</v>
      </c>
      <c r="K84" s="17"/>
    </row>
    <row r="85" ht="18.75" customHeight="1">
      <c r="A85" s="20"/>
      <c r="B85" s="32"/>
      <c r="C85" s="52">
        <v>8.0</v>
      </c>
      <c r="D85" s="33"/>
      <c r="E85" s="39"/>
      <c r="F85" s="35"/>
      <c r="G85" s="17"/>
      <c r="H85" s="40" t="s">
        <v>114</v>
      </c>
      <c r="I85" s="37" t="s">
        <v>114</v>
      </c>
      <c r="J85" s="38" t="s">
        <v>114</v>
      </c>
      <c r="K85" s="17"/>
    </row>
    <row r="86" ht="18.75" customHeight="1">
      <c r="A86" s="20"/>
      <c r="B86" s="32"/>
      <c r="C86" s="52">
        <v>9.0</v>
      </c>
      <c r="D86" s="33"/>
      <c r="E86" s="39"/>
      <c r="F86" s="35"/>
      <c r="G86" s="17"/>
      <c r="H86" s="40" t="s">
        <v>114</v>
      </c>
      <c r="I86" s="37" t="s">
        <v>114</v>
      </c>
      <c r="J86" s="38" t="s">
        <v>114</v>
      </c>
      <c r="K86" s="17"/>
    </row>
    <row r="87" ht="18.75" customHeight="1">
      <c r="A87" s="20"/>
      <c r="B87" s="32"/>
      <c r="C87" s="52">
        <v>10.0</v>
      </c>
      <c r="D87" s="33"/>
      <c r="E87" s="39"/>
      <c r="F87" s="35"/>
      <c r="G87" s="17"/>
      <c r="H87" s="40" t="s">
        <v>114</v>
      </c>
      <c r="I87" s="37" t="s">
        <v>114</v>
      </c>
      <c r="J87" s="38" t="s">
        <v>114</v>
      </c>
      <c r="K87" s="17"/>
    </row>
    <row r="88" ht="18.75" customHeight="1">
      <c r="A88" s="20"/>
      <c r="B88" s="32"/>
      <c r="C88" s="52">
        <v>11.0</v>
      </c>
      <c r="D88" s="33"/>
      <c r="E88" s="39"/>
      <c r="F88" s="35"/>
      <c r="G88" s="17"/>
      <c r="H88" s="40" t="s">
        <v>114</v>
      </c>
      <c r="I88" s="37" t="s">
        <v>114</v>
      </c>
      <c r="J88" s="38" t="s">
        <v>114</v>
      </c>
      <c r="K88" s="17"/>
    </row>
    <row r="89" ht="18.75" customHeight="1">
      <c r="A89" s="20"/>
      <c r="B89" s="32"/>
      <c r="C89" s="52">
        <v>12.0</v>
      </c>
      <c r="D89" s="33"/>
      <c r="E89" s="39"/>
      <c r="F89" s="35"/>
      <c r="G89" s="17"/>
      <c r="H89" s="40" t="s">
        <v>114</v>
      </c>
      <c r="I89" s="37" t="s">
        <v>114</v>
      </c>
      <c r="J89" s="38" t="s">
        <v>114</v>
      </c>
      <c r="K89" s="17"/>
    </row>
    <row r="90" ht="18.75" customHeight="1">
      <c r="A90" s="20"/>
      <c r="B90" s="32"/>
      <c r="C90" s="52">
        <v>13.0</v>
      </c>
      <c r="D90" s="33"/>
      <c r="E90" s="39"/>
      <c r="F90" s="35"/>
      <c r="G90" s="17"/>
      <c r="H90" s="40" t="s">
        <v>114</v>
      </c>
      <c r="I90" s="37" t="s">
        <v>114</v>
      </c>
      <c r="J90" s="38" t="s">
        <v>114</v>
      </c>
      <c r="K90" s="17"/>
    </row>
    <row r="91" ht="18.75" customHeight="1">
      <c r="A91" s="20"/>
      <c r="B91" s="32"/>
      <c r="C91" s="52">
        <v>14.0</v>
      </c>
      <c r="D91" s="33"/>
      <c r="E91" s="39"/>
      <c r="F91" s="35"/>
      <c r="G91" s="17"/>
      <c r="H91" s="40" t="s">
        <v>114</v>
      </c>
      <c r="I91" s="37" t="s">
        <v>114</v>
      </c>
      <c r="J91" s="38" t="s">
        <v>114</v>
      </c>
      <c r="K91" s="17"/>
    </row>
    <row r="92" ht="18.75" customHeight="1">
      <c r="A92" s="20"/>
      <c r="B92" s="32"/>
      <c r="C92" s="52">
        <v>15.0</v>
      </c>
      <c r="D92" s="33"/>
      <c r="E92" s="39"/>
      <c r="F92" s="35"/>
      <c r="G92" s="17"/>
      <c r="H92" s="40" t="s">
        <v>114</v>
      </c>
      <c r="I92" s="37" t="s">
        <v>114</v>
      </c>
      <c r="J92" s="38" t="s">
        <v>114</v>
      </c>
      <c r="K92" s="17"/>
    </row>
    <row r="93" ht="18.75" customHeight="1">
      <c r="A93" s="20"/>
      <c r="B93" s="32"/>
      <c r="C93" s="52">
        <v>16.0</v>
      </c>
      <c r="D93" s="33"/>
      <c r="E93" s="39"/>
      <c r="F93" s="35"/>
      <c r="G93" s="17"/>
      <c r="H93" s="40" t="s">
        <v>114</v>
      </c>
      <c r="I93" s="37" t="s">
        <v>114</v>
      </c>
      <c r="J93" s="38" t="s">
        <v>114</v>
      </c>
      <c r="K93" s="17"/>
    </row>
    <row r="94" ht="18.75" customHeight="1">
      <c r="A94" s="20"/>
      <c r="B94" s="32"/>
      <c r="C94" s="52">
        <v>17.0</v>
      </c>
      <c r="D94" s="33"/>
      <c r="E94" s="39"/>
      <c r="F94" s="35"/>
      <c r="G94" s="17"/>
      <c r="H94" s="40" t="s">
        <v>114</v>
      </c>
      <c r="I94" s="37" t="s">
        <v>114</v>
      </c>
      <c r="J94" s="38" t="s">
        <v>114</v>
      </c>
      <c r="K94" s="17"/>
    </row>
    <row r="95" ht="18.75" customHeight="1">
      <c r="A95" s="20"/>
      <c r="B95" s="32"/>
      <c r="C95" s="52">
        <v>18.0</v>
      </c>
      <c r="D95" s="33"/>
      <c r="E95" s="39"/>
      <c r="F95" s="35"/>
      <c r="G95" s="17"/>
      <c r="H95" s="40" t="s">
        <v>114</v>
      </c>
      <c r="I95" s="37" t="s">
        <v>114</v>
      </c>
      <c r="J95" s="38" t="s">
        <v>114</v>
      </c>
      <c r="K95" s="17"/>
    </row>
    <row r="96" ht="18.75" customHeight="1">
      <c r="A96" s="20"/>
      <c r="B96" s="32"/>
      <c r="C96" s="52">
        <v>19.0</v>
      </c>
      <c r="D96" s="33"/>
      <c r="E96" s="39"/>
      <c r="F96" s="35"/>
      <c r="G96" s="17"/>
      <c r="H96" s="40" t="s">
        <v>114</v>
      </c>
      <c r="I96" s="37" t="s">
        <v>114</v>
      </c>
      <c r="J96" s="38" t="s">
        <v>114</v>
      </c>
      <c r="K96" s="17"/>
    </row>
    <row r="97" ht="18.75" customHeight="1">
      <c r="A97" s="20"/>
      <c r="B97" s="32"/>
      <c r="C97" s="52">
        <v>20.0</v>
      </c>
      <c r="D97" s="33"/>
      <c r="E97" s="39"/>
      <c r="F97" s="35"/>
      <c r="G97" s="17"/>
      <c r="H97" s="40" t="s">
        <v>114</v>
      </c>
      <c r="I97" s="37" t="s">
        <v>114</v>
      </c>
      <c r="J97" s="38" t="s">
        <v>114</v>
      </c>
      <c r="K97" s="17"/>
    </row>
    <row r="98" ht="18.75" customHeight="1">
      <c r="A98" s="20"/>
      <c r="B98" s="32"/>
      <c r="C98" s="52">
        <v>21.0</v>
      </c>
      <c r="D98" s="33"/>
      <c r="E98" s="39"/>
      <c r="F98" s="35"/>
      <c r="G98" s="17"/>
      <c r="H98" s="40" t="s">
        <v>114</v>
      </c>
      <c r="I98" s="37" t="s">
        <v>114</v>
      </c>
      <c r="J98" s="38" t="s">
        <v>114</v>
      </c>
      <c r="K98" s="17"/>
    </row>
    <row r="99" ht="18.75" customHeight="1">
      <c r="A99" s="20"/>
      <c r="B99" s="32"/>
      <c r="C99" s="52">
        <v>22.0</v>
      </c>
      <c r="D99" s="41"/>
      <c r="E99" s="42"/>
      <c r="F99" s="43"/>
      <c r="G99" s="17"/>
      <c r="H99" s="40" t="s">
        <v>114</v>
      </c>
      <c r="I99" s="37" t="s">
        <v>114</v>
      </c>
      <c r="J99" s="38" t="s">
        <v>114</v>
      </c>
      <c r="K99" s="17"/>
    </row>
    <row r="100" ht="18.75" customHeight="1">
      <c r="A100" s="20"/>
      <c r="B100" s="32"/>
      <c r="C100" s="52">
        <v>23.0</v>
      </c>
      <c r="D100" s="41"/>
      <c r="E100" s="42"/>
      <c r="F100" s="43"/>
      <c r="G100" s="17"/>
      <c r="H100" s="40" t="s">
        <v>114</v>
      </c>
      <c r="I100" s="37" t="s">
        <v>114</v>
      </c>
      <c r="J100" s="38" t="s">
        <v>114</v>
      </c>
      <c r="K100" s="17"/>
    </row>
    <row r="101" ht="18.75" customHeight="1">
      <c r="A101" s="20"/>
      <c r="B101" s="32"/>
      <c r="C101" s="52">
        <v>24.0</v>
      </c>
      <c r="D101" s="41"/>
      <c r="E101" s="42"/>
      <c r="F101" s="43"/>
      <c r="G101" s="17"/>
      <c r="H101" s="40" t="s">
        <v>114</v>
      </c>
      <c r="I101" s="37" t="s">
        <v>114</v>
      </c>
      <c r="J101" s="38" t="s">
        <v>114</v>
      </c>
      <c r="K101" s="17"/>
    </row>
    <row r="102" ht="18.75" customHeight="1">
      <c r="A102" s="20"/>
      <c r="B102" s="44"/>
      <c r="C102" s="52">
        <v>25.0</v>
      </c>
      <c r="D102" s="41"/>
      <c r="E102" s="42"/>
      <c r="F102" s="43"/>
      <c r="G102" s="17"/>
      <c r="H102" s="40" t="s">
        <v>114</v>
      </c>
      <c r="I102" s="37" t="s">
        <v>114</v>
      </c>
      <c r="J102" s="38" t="s">
        <v>114</v>
      </c>
      <c r="K102" s="17"/>
    </row>
    <row r="103" ht="18.75" customHeight="1">
      <c r="A103" s="20"/>
      <c r="B103" s="24" t="s">
        <v>118</v>
      </c>
      <c r="C103" s="53">
        <v>1.0</v>
      </c>
      <c r="D103" s="26"/>
      <c r="E103" s="54"/>
      <c r="F103" s="28"/>
      <c r="G103" s="17"/>
      <c r="H103" s="55" t="s">
        <v>114</v>
      </c>
      <c r="I103" s="30" t="s">
        <v>114</v>
      </c>
      <c r="J103" s="31" t="s">
        <v>114</v>
      </c>
      <c r="K103" s="17"/>
    </row>
    <row r="104" ht="18.75" customHeight="1">
      <c r="A104" s="20"/>
      <c r="B104" s="32"/>
      <c r="C104" s="52">
        <v>2.0</v>
      </c>
      <c r="D104" s="33"/>
      <c r="E104" s="39"/>
      <c r="F104" s="35"/>
      <c r="G104" s="17"/>
      <c r="H104" s="40" t="s">
        <v>114</v>
      </c>
      <c r="I104" s="37" t="s">
        <v>114</v>
      </c>
      <c r="J104" s="38" t="s">
        <v>114</v>
      </c>
      <c r="K104" s="17"/>
    </row>
    <row r="105" ht="18.75" customHeight="1">
      <c r="A105" s="20"/>
      <c r="B105" s="32"/>
      <c r="C105" s="52">
        <v>3.0</v>
      </c>
      <c r="D105" s="33"/>
      <c r="E105" s="39"/>
      <c r="F105" s="35"/>
      <c r="G105" s="17"/>
      <c r="H105" s="40" t="s">
        <v>114</v>
      </c>
      <c r="I105" s="37" t="s">
        <v>114</v>
      </c>
      <c r="J105" s="38" t="s">
        <v>114</v>
      </c>
      <c r="K105" s="17"/>
    </row>
    <row r="106" ht="18.75" customHeight="1">
      <c r="A106" s="20"/>
      <c r="B106" s="32"/>
      <c r="C106" s="52">
        <v>4.0</v>
      </c>
      <c r="D106" s="33"/>
      <c r="E106" s="39"/>
      <c r="F106" s="35"/>
      <c r="G106" s="17"/>
      <c r="H106" s="40" t="s">
        <v>114</v>
      </c>
      <c r="I106" s="37" t="s">
        <v>114</v>
      </c>
      <c r="J106" s="38" t="s">
        <v>114</v>
      </c>
      <c r="K106" s="17"/>
    </row>
    <row r="107" ht="18.75" customHeight="1">
      <c r="A107" s="20"/>
      <c r="B107" s="32"/>
      <c r="C107" s="52">
        <v>5.0</v>
      </c>
      <c r="D107" s="33"/>
      <c r="E107" s="39"/>
      <c r="F107" s="35"/>
      <c r="G107" s="17"/>
      <c r="H107" s="40" t="s">
        <v>114</v>
      </c>
      <c r="I107" s="37" t="s">
        <v>114</v>
      </c>
      <c r="J107" s="38" t="s">
        <v>114</v>
      </c>
      <c r="K107" s="17"/>
    </row>
    <row r="108" ht="18.75" customHeight="1">
      <c r="A108" s="20"/>
      <c r="B108" s="32"/>
      <c r="C108" s="52">
        <v>6.0</v>
      </c>
      <c r="D108" s="33"/>
      <c r="E108" s="39"/>
      <c r="F108" s="35"/>
      <c r="G108" s="17"/>
      <c r="H108" s="40" t="s">
        <v>114</v>
      </c>
      <c r="I108" s="37" t="s">
        <v>114</v>
      </c>
      <c r="J108" s="38" t="s">
        <v>114</v>
      </c>
      <c r="K108" s="17"/>
    </row>
    <row r="109" ht="18.75" customHeight="1">
      <c r="A109" s="20"/>
      <c r="B109" s="32"/>
      <c r="C109" s="52">
        <v>7.0</v>
      </c>
      <c r="D109" s="33"/>
      <c r="E109" s="39"/>
      <c r="F109" s="35"/>
      <c r="G109" s="17"/>
      <c r="H109" s="40" t="s">
        <v>114</v>
      </c>
      <c r="I109" s="37" t="s">
        <v>114</v>
      </c>
      <c r="J109" s="38" t="s">
        <v>114</v>
      </c>
      <c r="K109" s="17"/>
    </row>
    <row r="110" ht="18.75" customHeight="1">
      <c r="A110" s="20"/>
      <c r="B110" s="32"/>
      <c r="C110" s="52">
        <v>8.0</v>
      </c>
      <c r="D110" s="33"/>
      <c r="E110" s="39"/>
      <c r="F110" s="35"/>
      <c r="G110" s="17"/>
      <c r="H110" s="40" t="s">
        <v>114</v>
      </c>
      <c r="I110" s="37" t="s">
        <v>114</v>
      </c>
      <c r="J110" s="38" t="s">
        <v>114</v>
      </c>
      <c r="K110" s="17"/>
    </row>
    <row r="111" ht="18.75" customHeight="1">
      <c r="A111" s="20"/>
      <c r="B111" s="32"/>
      <c r="C111" s="52">
        <v>9.0</v>
      </c>
      <c r="D111" s="33"/>
      <c r="E111" s="39"/>
      <c r="F111" s="35"/>
      <c r="G111" s="17"/>
      <c r="H111" s="40" t="s">
        <v>114</v>
      </c>
      <c r="I111" s="37" t="s">
        <v>114</v>
      </c>
      <c r="J111" s="38" t="s">
        <v>114</v>
      </c>
      <c r="K111" s="17"/>
    </row>
    <row r="112" ht="18.75" customHeight="1">
      <c r="A112" s="20"/>
      <c r="B112" s="32"/>
      <c r="C112" s="52">
        <v>10.0</v>
      </c>
      <c r="D112" s="33"/>
      <c r="E112" s="39"/>
      <c r="F112" s="35"/>
      <c r="G112" s="17"/>
      <c r="H112" s="40" t="s">
        <v>114</v>
      </c>
      <c r="I112" s="37" t="s">
        <v>114</v>
      </c>
      <c r="J112" s="38" t="s">
        <v>114</v>
      </c>
      <c r="K112" s="17"/>
    </row>
    <row r="113" ht="18.75" customHeight="1">
      <c r="A113" s="20"/>
      <c r="B113" s="32"/>
      <c r="C113" s="52">
        <v>11.0</v>
      </c>
      <c r="D113" s="33"/>
      <c r="E113" s="39"/>
      <c r="F113" s="35"/>
      <c r="G113" s="17"/>
      <c r="H113" s="40" t="s">
        <v>114</v>
      </c>
      <c r="I113" s="37" t="s">
        <v>114</v>
      </c>
      <c r="J113" s="38" t="s">
        <v>114</v>
      </c>
      <c r="K113" s="17"/>
    </row>
    <row r="114" ht="18.75" customHeight="1">
      <c r="A114" s="20"/>
      <c r="B114" s="32"/>
      <c r="C114" s="52">
        <v>12.0</v>
      </c>
      <c r="D114" s="33"/>
      <c r="E114" s="39"/>
      <c r="F114" s="35"/>
      <c r="G114" s="17"/>
      <c r="H114" s="40" t="s">
        <v>114</v>
      </c>
      <c r="I114" s="37" t="s">
        <v>114</v>
      </c>
      <c r="J114" s="38" t="s">
        <v>114</v>
      </c>
      <c r="K114" s="17"/>
    </row>
    <row r="115" ht="18.75" customHeight="1">
      <c r="A115" s="20"/>
      <c r="B115" s="32"/>
      <c r="C115" s="52">
        <v>13.0</v>
      </c>
      <c r="D115" s="33"/>
      <c r="E115" s="39"/>
      <c r="F115" s="35"/>
      <c r="G115" s="17"/>
      <c r="H115" s="40" t="s">
        <v>114</v>
      </c>
      <c r="I115" s="37" t="s">
        <v>114</v>
      </c>
      <c r="J115" s="38" t="s">
        <v>114</v>
      </c>
      <c r="K115" s="17"/>
    </row>
    <row r="116" ht="18.75" customHeight="1">
      <c r="A116" s="20"/>
      <c r="B116" s="32"/>
      <c r="C116" s="52">
        <v>14.0</v>
      </c>
      <c r="D116" s="33"/>
      <c r="E116" s="39"/>
      <c r="F116" s="35"/>
      <c r="G116" s="17"/>
      <c r="H116" s="40" t="s">
        <v>114</v>
      </c>
      <c r="I116" s="37" t="s">
        <v>114</v>
      </c>
      <c r="J116" s="38" t="s">
        <v>114</v>
      </c>
      <c r="K116" s="17"/>
    </row>
    <row r="117" ht="18.75" customHeight="1">
      <c r="A117" s="20"/>
      <c r="B117" s="32"/>
      <c r="C117" s="52">
        <v>15.0</v>
      </c>
      <c r="D117" s="33"/>
      <c r="E117" s="39"/>
      <c r="F117" s="35"/>
      <c r="G117" s="17"/>
      <c r="H117" s="40" t="s">
        <v>114</v>
      </c>
      <c r="I117" s="37" t="s">
        <v>114</v>
      </c>
      <c r="J117" s="38" t="s">
        <v>114</v>
      </c>
      <c r="K117" s="17"/>
    </row>
    <row r="118" ht="18.75" customHeight="1">
      <c r="A118" s="20"/>
      <c r="B118" s="32"/>
      <c r="C118" s="52">
        <v>16.0</v>
      </c>
      <c r="D118" s="33"/>
      <c r="E118" s="39"/>
      <c r="F118" s="35"/>
      <c r="G118" s="17"/>
      <c r="H118" s="40" t="s">
        <v>114</v>
      </c>
      <c r="I118" s="37" t="s">
        <v>114</v>
      </c>
      <c r="J118" s="38" t="s">
        <v>114</v>
      </c>
      <c r="K118" s="17"/>
    </row>
    <row r="119" ht="18.75" customHeight="1">
      <c r="A119" s="20"/>
      <c r="B119" s="32"/>
      <c r="C119" s="52">
        <v>17.0</v>
      </c>
      <c r="D119" s="33"/>
      <c r="E119" s="39"/>
      <c r="F119" s="35"/>
      <c r="G119" s="17"/>
      <c r="H119" s="40" t="s">
        <v>114</v>
      </c>
      <c r="I119" s="37" t="s">
        <v>114</v>
      </c>
      <c r="J119" s="38" t="s">
        <v>114</v>
      </c>
      <c r="K119" s="17"/>
    </row>
    <row r="120" ht="18.75" customHeight="1">
      <c r="A120" s="20"/>
      <c r="B120" s="32"/>
      <c r="C120" s="52">
        <v>18.0</v>
      </c>
      <c r="D120" s="33"/>
      <c r="E120" s="39"/>
      <c r="F120" s="35"/>
      <c r="G120" s="17"/>
      <c r="H120" s="40" t="s">
        <v>114</v>
      </c>
      <c r="I120" s="37" t="s">
        <v>114</v>
      </c>
      <c r="J120" s="38" t="s">
        <v>114</v>
      </c>
      <c r="K120" s="17"/>
    </row>
    <row r="121" ht="18.75" customHeight="1">
      <c r="A121" s="20"/>
      <c r="B121" s="32"/>
      <c r="C121" s="52">
        <v>19.0</v>
      </c>
      <c r="D121" s="33"/>
      <c r="E121" s="39"/>
      <c r="F121" s="35"/>
      <c r="G121" s="17"/>
      <c r="H121" s="40" t="s">
        <v>114</v>
      </c>
      <c r="I121" s="37" t="s">
        <v>114</v>
      </c>
      <c r="J121" s="38" t="s">
        <v>114</v>
      </c>
      <c r="K121" s="17"/>
    </row>
    <row r="122" ht="18.75" customHeight="1">
      <c r="A122" s="20"/>
      <c r="B122" s="32"/>
      <c r="C122" s="52">
        <v>20.0</v>
      </c>
      <c r="D122" s="33"/>
      <c r="E122" s="39"/>
      <c r="F122" s="35"/>
      <c r="G122" s="17"/>
      <c r="H122" s="40" t="s">
        <v>114</v>
      </c>
      <c r="I122" s="37" t="s">
        <v>114</v>
      </c>
      <c r="J122" s="38" t="s">
        <v>114</v>
      </c>
      <c r="K122" s="17"/>
    </row>
    <row r="123" ht="18.75" customHeight="1">
      <c r="A123" s="20"/>
      <c r="B123" s="32"/>
      <c r="C123" s="52">
        <v>21.0</v>
      </c>
      <c r="D123" s="33"/>
      <c r="E123" s="39"/>
      <c r="F123" s="35"/>
      <c r="G123" s="17"/>
      <c r="H123" s="40" t="s">
        <v>114</v>
      </c>
      <c r="I123" s="37" t="s">
        <v>114</v>
      </c>
      <c r="J123" s="38" t="s">
        <v>114</v>
      </c>
      <c r="K123" s="17"/>
    </row>
    <row r="124" ht="18.75" customHeight="1">
      <c r="A124" s="20"/>
      <c r="B124" s="32"/>
      <c r="C124" s="52">
        <v>22.0</v>
      </c>
      <c r="D124" s="41"/>
      <c r="E124" s="42"/>
      <c r="F124" s="43"/>
      <c r="G124" s="17"/>
      <c r="H124" s="40" t="s">
        <v>114</v>
      </c>
      <c r="I124" s="37" t="s">
        <v>114</v>
      </c>
      <c r="J124" s="38" t="s">
        <v>114</v>
      </c>
      <c r="K124" s="17"/>
    </row>
    <row r="125" ht="18.75" customHeight="1">
      <c r="A125" s="20"/>
      <c r="B125" s="32"/>
      <c r="C125" s="52">
        <v>23.0</v>
      </c>
      <c r="D125" s="41"/>
      <c r="E125" s="42"/>
      <c r="F125" s="43"/>
      <c r="G125" s="17"/>
      <c r="H125" s="40" t="s">
        <v>114</v>
      </c>
      <c r="I125" s="37" t="s">
        <v>114</v>
      </c>
      <c r="J125" s="38" t="s">
        <v>114</v>
      </c>
      <c r="K125" s="17"/>
    </row>
    <row r="126" ht="18.75" customHeight="1">
      <c r="A126" s="20"/>
      <c r="B126" s="32"/>
      <c r="C126" s="52">
        <v>24.0</v>
      </c>
      <c r="D126" s="41"/>
      <c r="E126" s="42"/>
      <c r="F126" s="43"/>
      <c r="G126" s="17"/>
      <c r="H126" s="40" t="s">
        <v>114</v>
      </c>
      <c r="I126" s="37" t="s">
        <v>114</v>
      </c>
      <c r="J126" s="38" t="s">
        <v>114</v>
      </c>
      <c r="K126" s="17"/>
    </row>
    <row r="127" ht="18.75" customHeight="1">
      <c r="A127" s="20"/>
      <c r="B127" s="44"/>
      <c r="C127" s="52">
        <v>25.0</v>
      </c>
      <c r="D127" s="41"/>
      <c r="E127" s="42"/>
      <c r="F127" s="43"/>
      <c r="G127" s="17"/>
      <c r="H127" s="40" t="s">
        <v>114</v>
      </c>
      <c r="I127" s="37" t="s">
        <v>114</v>
      </c>
      <c r="J127" s="38" t="s">
        <v>114</v>
      </c>
      <c r="K127" s="17"/>
    </row>
    <row r="128" ht="18.75" customHeight="1">
      <c r="A128" s="20"/>
      <c r="B128" s="24" t="s">
        <v>119</v>
      </c>
      <c r="C128" s="53">
        <v>1.0</v>
      </c>
      <c r="D128" s="26"/>
      <c r="E128" s="56"/>
      <c r="F128" s="57"/>
      <c r="G128" s="17"/>
      <c r="H128" s="55" t="s">
        <v>114</v>
      </c>
      <c r="I128" s="30" t="s">
        <v>114</v>
      </c>
      <c r="J128" s="31" t="s">
        <v>114</v>
      </c>
      <c r="K128" s="17"/>
    </row>
    <row r="129" ht="18.75" customHeight="1">
      <c r="A129" s="20"/>
      <c r="B129" s="32"/>
      <c r="C129" s="52">
        <v>2.0</v>
      </c>
      <c r="D129" s="33"/>
      <c r="E129" s="42"/>
      <c r="F129" s="43"/>
      <c r="G129" s="17"/>
      <c r="H129" s="40" t="s">
        <v>114</v>
      </c>
      <c r="I129" s="37" t="s">
        <v>114</v>
      </c>
      <c r="J129" s="38" t="s">
        <v>114</v>
      </c>
      <c r="K129" s="17"/>
    </row>
    <row r="130" ht="18.75" customHeight="1">
      <c r="A130" s="20"/>
      <c r="B130" s="32"/>
      <c r="C130" s="52">
        <v>3.0</v>
      </c>
      <c r="D130" s="33"/>
      <c r="E130" s="42"/>
      <c r="F130" s="43"/>
      <c r="G130" s="17"/>
      <c r="H130" s="40" t="s">
        <v>114</v>
      </c>
      <c r="I130" s="37" t="s">
        <v>114</v>
      </c>
      <c r="J130" s="38" t="s">
        <v>114</v>
      </c>
      <c r="K130" s="17"/>
    </row>
    <row r="131" ht="18.75" customHeight="1">
      <c r="A131" s="20"/>
      <c r="B131" s="32"/>
      <c r="C131" s="52">
        <v>4.0</v>
      </c>
      <c r="D131" s="58"/>
      <c r="E131" s="42"/>
      <c r="F131" s="43"/>
      <c r="G131" s="17"/>
      <c r="H131" s="40" t="s">
        <v>114</v>
      </c>
      <c r="I131" s="37" t="s">
        <v>114</v>
      </c>
      <c r="J131" s="38" t="s">
        <v>114</v>
      </c>
      <c r="K131" s="17"/>
    </row>
    <row r="132" ht="18.75" customHeight="1">
      <c r="A132" s="20"/>
      <c r="B132" s="32"/>
      <c r="C132" s="52">
        <v>5.0</v>
      </c>
      <c r="D132" s="58"/>
      <c r="E132" s="42"/>
      <c r="F132" s="43"/>
      <c r="G132" s="17"/>
      <c r="H132" s="40" t="s">
        <v>114</v>
      </c>
      <c r="I132" s="37" t="s">
        <v>114</v>
      </c>
      <c r="J132" s="38" t="s">
        <v>114</v>
      </c>
      <c r="K132" s="17"/>
    </row>
    <row r="133" ht="18.75" customHeight="1">
      <c r="A133" s="20"/>
      <c r="B133" s="32"/>
      <c r="C133" s="52">
        <v>6.0</v>
      </c>
      <c r="D133" s="58"/>
      <c r="E133" s="42"/>
      <c r="F133" s="43"/>
      <c r="G133" s="17"/>
      <c r="H133" s="40" t="s">
        <v>114</v>
      </c>
      <c r="I133" s="37" t="s">
        <v>114</v>
      </c>
      <c r="J133" s="38" t="s">
        <v>114</v>
      </c>
      <c r="K133" s="17"/>
    </row>
    <row r="134" ht="18.75" customHeight="1">
      <c r="A134" s="20"/>
      <c r="B134" s="32"/>
      <c r="C134" s="52">
        <v>7.0</v>
      </c>
      <c r="D134" s="58"/>
      <c r="E134" s="42"/>
      <c r="F134" s="43"/>
      <c r="G134" s="17"/>
      <c r="H134" s="40" t="s">
        <v>114</v>
      </c>
      <c r="I134" s="37" t="s">
        <v>114</v>
      </c>
      <c r="J134" s="38" t="s">
        <v>114</v>
      </c>
      <c r="K134" s="17"/>
    </row>
    <row r="135" ht="18.75" customHeight="1">
      <c r="A135" s="20"/>
      <c r="B135" s="32"/>
      <c r="C135" s="52">
        <v>8.0</v>
      </c>
      <c r="D135" s="58"/>
      <c r="E135" s="42"/>
      <c r="F135" s="43"/>
      <c r="G135" s="17"/>
      <c r="H135" s="40" t="s">
        <v>114</v>
      </c>
      <c r="I135" s="37" t="s">
        <v>114</v>
      </c>
      <c r="J135" s="38" t="s">
        <v>114</v>
      </c>
      <c r="K135" s="17"/>
    </row>
    <row r="136" ht="18.75" customHeight="1">
      <c r="A136" s="20"/>
      <c r="B136" s="32"/>
      <c r="C136" s="52">
        <v>9.0</v>
      </c>
      <c r="D136" s="58"/>
      <c r="E136" s="42"/>
      <c r="F136" s="43"/>
      <c r="G136" s="17"/>
      <c r="H136" s="40" t="s">
        <v>114</v>
      </c>
      <c r="I136" s="37" t="s">
        <v>114</v>
      </c>
      <c r="J136" s="38" t="s">
        <v>114</v>
      </c>
      <c r="K136" s="17"/>
    </row>
    <row r="137" ht="18.75" customHeight="1">
      <c r="A137" s="20"/>
      <c r="B137" s="32"/>
      <c r="C137" s="52">
        <v>10.0</v>
      </c>
      <c r="D137" s="58"/>
      <c r="E137" s="42"/>
      <c r="F137" s="43"/>
      <c r="G137" s="17"/>
      <c r="H137" s="40" t="s">
        <v>114</v>
      </c>
      <c r="I137" s="37" t="s">
        <v>114</v>
      </c>
      <c r="J137" s="38" t="s">
        <v>114</v>
      </c>
      <c r="K137" s="17"/>
    </row>
    <row r="138" ht="18.75" customHeight="1">
      <c r="A138" s="20"/>
      <c r="B138" s="32"/>
      <c r="C138" s="52">
        <v>11.0</v>
      </c>
      <c r="D138" s="58"/>
      <c r="E138" s="42"/>
      <c r="F138" s="43"/>
      <c r="G138" s="17"/>
      <c r="H138" s="40" t="s">
        <v>114</v>
      </c>
      <c r="I138" s="37" t="s">
        <v>114</v>
      </c>
      <c r="J138" s="38" t="s">
        <v>114</v>
      </c>
      <c r="K138" s="17"/>
    </row>
    <row r="139" ht="18.75" customHeight="1">
      <c r="A139" s="20"/>
      <c r="B139" s="32"/>
      <c r="C139" s="52">
        <v>12.0</v>
      </c>
      <c r="D139" s="58"/>
      <c r="E139" s="42"/>
      <c r="F139" s="43"/>
      <c r="G139" s="17"/>
      <c r="H139" s="40" t="s">
        <v>114</v>
      </c>
      <c r="I139" s="37" t="s">
        <v>114</v>
      </c>
      <c r="J139" s="38" t="s">
        <v>114</v>
      </c>
      <c r="K139" s="17"/>
    </row>
    <row r="140" ht="18.75" customHeight="1">
      <c r="A140" s="20"/>
      <c r="B140" s="32"/>
      <c r="C140" s="52">
        <v>13.0</v>
      </c>
      <c r="D140" s="58"/>
      <c r="E140" s="42"/>
      <c r="F140" s="43"/>
      <c r="G140" s="17"/>
      <c r="H140" s="40" t="s">
        <v>114</v>
      </c>
      <c r="I140" s="37" t="s">
        <v>114</v>
      </c>
      <c r="J140" s="38" t="s">
        <v>114</v>
      </c>
      <c r="K140" s="17"/>
    </row>
    <row r="141" ht="18.75" customHeight="1">
      <c r="A141" s="20"/>
      <c r="B141" s="32"/>
      <c r="C141" s="52">
        <v>14.0</v>
      </c>
      <c r="D141" s="58"/>
      <c r="E141" s="42"/>
      <c r="F141" s="43"/>
      <c r="G141" s="17"/>
      <c r="H141" s="40" t="s">
        <v>114</v>
      </c>
      <c r="I141" s="37" t="s">
        <v>114</v>
      </c>
      <c r="J141" s="38" t="s">
        <v>114</v>
      </c>
      <c r="K141" s="17"/>
    </row>
    <row r="142" ht="18.0" customHeight="1">
      <c r="A142" s="20"/>
      <c r="B142" s="32"/>
      <c r="C142" s="52">
        <v>15.0</v>
      </c>
      <c r="D142" s="58"/>
      <c r="E142" s="42"/>
      <c r="F142" s="43"/>
      <c r="G142" s="17"/>
      <c r="H142" s="40" t="s">
        <v>114</v>
      </c>
      <c r="I142" s="37" t="s">
        <v>114</v>
      </c>
      <c r="J142" s="38" t="s">
        <v>114</v>
      </c>
      <c r="K142" s="17"/>
    </row>
    <row r="143" ht="18.75" customHeight="1">
      <c r="A143" s="20"/>
      <c r="B143" s="32"/>
      <c r="C143" s="52">
        <v>16.0</v>
      </c>
      <c r="D143" s="58"/>
      <c r="E143" s="42"/>
      <c r="F143" s="43"/>
      <c r="G143" s="17"/>
      <c r="H143" s="40" t="s">
        <v>114</v>
      </c>
      <c r="I143" s="37" t="s">
        <v>114</v>
      </c>
      <c r="J143" s="38" t="s">
        <v>114</v>
      </c>
      <c r="K143" s="17"/>
    </row>
    <row r="144" ht="18.75" customHeight="1">
      <c r="A144" s="20"/>
      <c r="B144" s="32"/>
      <c r="C144" s="52">
        <v>17.0</v>
      </c>
      <c r="D144" s="58"/>
      <c r="E144" s="42"/>
      <c r="F144" s="43"/>
      <c r="G144" s="17"/>
      <c r="H144" s="40" t="s">
        <v>114</v>
      </c>
      <c r="I144" s="37" t="s">
        <v>114</v>
      </c>
      <c r="J144" s="38" t="s">
        <v>114</v>
      </c>
      <c r="K144" s="17"/>
    </row>
    <row r="145" ht="18.75" customHeight="1">
      <c r="A145" s="20"/>
      <c r="B145" s="32"/>
      <c r="C145" s="52">
        <v>18.0</v>
      </c>
      <c r="D145" s="58"/>
      <c r="E145" s="42"/>
      <c r="F145" s="43"/>
      <c r="G145" s="17"/>
      <c r="H145" s="40" t="s">
        <v>114</v>
      </c>
      <c r="I145" s="37" t="s">
        <v>114</v>
      </c>
      <c r="J145" s="38" t="s">
        <v>114</v>
      </c>
      <c r="K145" s="17"/>
    </row>
    <row r="146" ht="18.75" customHeight="1">
      <c r="A146" s="20"/>
      <c r="B146" s="32"/>
      <c r="C146" s="52">
        <v>19.0</v>
      </c>
      <c r="D146" s="58"/>
      <c r="E146" s="42"/>
      <c r="F146" s="43"/>
      <c r="G146" s="17"/>
      <c r="H146" s="40" t="s">
        <v>114</v>
      </c>
      <c r="I146" s="37" t="s">
        <v>114</v>
      </c>
      <c r="J146" s="38" t="s">
        <v>114</v>
      </c>
      <c r="K146" s="17"/>
    </row>
    <row r="147" ht="18.75" customHeight="1">
      <c r="A147" s="20"/>
      <c r="B147" s="32"/>
      <c r="C147" s="52">
        <v>20.0</v>
      </c>
      <c r="D147" s="58"/>
      <c r="E147" s="42"/>
      <c r="F147" s="43"/>
      <c r="G147" s="17"/>
      <c r="H147" s="40" t="s">
        <v>114</v>
      </c>
      <c r="I147" s="37" t="s">
        <v>114</v>
      </c>
      <c r="J147" s="38" t="s">
        <v>114</v>
      </c>
      <c r="K147" s="17"/>
    </row>
    <row r="148" ht="18.75" customHeight="1">
      <c r="A148" s="20"/>
      <c r="B148" s="32"/>
      <c r="C148" s="52">
        <v>21.0</v>
      </c>
      <c r="D148" s="58"/>
      <c r="E148" s="42"/>
      <c r="F148" s="43"/>
      <c r="G148" s="17"/>
      <c r="H148" s="40" t="s">
        <v>114</v>
      </c>
      <c r="I148" s="37" t="s">
        <v>114</v>
      </c>
      <c r="J148" s="38" t="s">
        <v>114</v>
      </c>
      <c r="K148" s="17"/>
    </row>
    <row r="149" ht="18.75" customHeight="1">
      <c r="A149" s="20"/>
      <c r="B149" s="32"/>
      <c r="C149" s="52">
        <v>22.0</v>
      </c>
      <c r="D149" s="41"/>
      <c r="E149" s="42"/>
      <c r="F149" s="43"/>
      <c r="G149" s="17"/>
      <c r="H149" s="40" t="s">
        <v>114</v>
      </c>
      <c r="I149" s="37" t="s">
        <v>114</v>
      </c>
      <c r="J149" s="38" t="s">
        <v>114</v>
      </c>
      <c r="K149" s="17"/>
    </row>
    <row r="150" ht="18.75" customHeight="1">
      <c r="A150" s="20"/>
      <c r="B150" s="32"/>
      <c r="C150" s="52">
        <v>23.0</v>
      </c>
      <c r="D150" s="41"/>
      <c r="E150" s="42"/>
      <c r="F150" s="43"/>
      <c r="G150" s="17"/>
      <c r="H150" s="40" t="s">
        <v>114</v>
      </c>
      <c r="I150" s="37" t="s">
        <v>114</v>
      </c>
      <c r="J150" s="38" t="s">
        <v>114</v>
      </c>
      <c r="K150" s="17"/>
    </row>
    <row r="151" ht="18.75" customHeight="1">
      <c r="A151" s="20"/>
      <c r="B151" s="32"/>
      <c r="C151" s="52">
        <v>24.0</v>
      </c>
      <c r="D151" s="41"/>
      <c r="E151" s="42"/>
      <c r="F151" s="43"/>
      <c r="G151" s="17"/>
      <c r="H151" s="40" t="s">
        <v>114</v>
      </c>
      <c r="I151" s="37" t="s">
        <v>114</v>
      </c>
      <c r="J151" s="38" t="s">
        <v>114</v>
      </c>
      <c r="K151" s="17"/>
    </row>
    <row r="152" ht="18.75" customHeight="1">
      <c r="A152" s="20"/>
      <c r="B152" s="44"/>
      <c r="C152" s="52">
        <v>25.0</v>
      </c>
      <c r="D152" s="41"/>
      <c r="E152" s="42"/>
      <c r="F152" s="43"/>
      <c r="G152" s="17"/>
      <c r="H152" s="40" t="s">
        <v>114</v>
      </c>
      <c r="I152" s="37" t="s">
        <v>114</v>
      </c>
      <c r="J152" s="38" t="s">
        <v>114</v>
      </c>
      <c r="K152" s="17"/>
    </row>
    <row r="153" ht="18.75" customHeight="1">
      <c r="A153" s="20"/>
      <c r="B153" s="24" t="s">
        <v>120</v>
      </c>
      <c r="C153" s="53">
        <v>1.0</v>
      </c>
      <c r="D153" s="26"/>
      <c r="E153" s="56"/>
      <c r="F153" s="57"/>
      <c r="G153" s="17"/>
      <c r="H153" s="55" t="s">
        <v>114</v>
      </c>
      <c r="I153" s="30" t="s">
        <v>114</v>
      </c>
      <c r="J153" s="31" t="s">
        <v>114</v>
      </c>
      <c r="K153" s="17"/>
    </row>
    <row r="154" ht="18.75" customHeight="1">
      <c r="A154" s="20"/>
      <c r="B154" s="32"/>
      <c r="C154" s="52">
        <v>2.0</v>
      </c>
      <c r="D154" s="33"/>
      <c r="E154" s="42"/>
      <c r="F154" s="43"/>
      <c r="G154" s="17"/>
      <c r="H154" s="40" t="s">
        <v>114</v>
      </c>
      <c r="I154" s="37" t="s">
        <v>114</v>
      </c>
      <c r="J154" s="38" t="s">
        <v>114</v>
      </c>
      <c r="K154" s="17"/>
    </row>
    <row r="155" ht="18.75" customHeight="1">
      <c r="A155" s="20"/>
      <c r="B155" s="32"/>
      <c r="C155" s="52">
        <v>3.0</v>
      </c>
      <c r="D155" s="33"/>
      <c r="E155" s="42"/>
      <c r="F155" s="43"/>
      <c r="G155" s="17"/>
      <c r="H155" s="40" t="s">
        <v>114</v>
      </c>
      <c r="I155" s="37" t="s">
        <v>114</v>
      </c>
      <c r="J155" s="38" t="s">
        <v>114</v>
      </c>
      <c r="K155" s="17"/>
    </row>
    <row r="156" ht="18.75" customHeight="1">
      <c r="A156" s="20"/>
      <c r="B156" s="32"/>
      <c r="C156" s="52">
        <v>4.0</v>
      </c>
      <c r="D156" s="58"/>
      <c r="E156" s="42"/>
      <c r="F156" s="43"/>
      <c r="G156" s="17"/>
      <c r="H156" s="40" t="s">
        <v>114</v>
      </c>
      <c r="I156" s="37" t="s">
        <v>114</v>
      </c>
      <c r="J156" s="38" t="s">
        <v>114</v>
      </c>
      <c r="K156" s="17"/>
    </row>
    <row r="157" ht="18.75" customHeight="1">
      <c r="A157" s="20"/>
      <c r="B157" s="32"/>
      <c r="C157" s="52">
        <v>5.0</v>
      </c>
      <c r="D157" s="58"/>
      <c r="E157" s="42"/>
      <c r="F157" s="43"/>
      <c r="G157" s="17"/>
      <c r="H157" s="40" t="s">
        <v>114</v>
      </c>
      <c r="I157" s="37" t="s">
        <v>114</v>
      </c>
      <c r="J157" s="38" t="s">
        <v>114</v>
      </c>
      <c r="K157" s="17"/>
    </row>
    <row r="158" ht="18.75" customHeight="1">
      <c r="A158" s="20"/>
      <c r="B158" s="32"/>
      <c r="C158" s="52">
        <v>6.0</v>
      </c>
      <c r="D158" s="58"/>
      <c r="E158" s="42"/>
      <c r="F158" s="43"/>
      <c r="G158" s="17"/>
      <c r="H158" s="40" t="s">
        <v>114</v>
      </c>
      <c r="I158" s="37" t="s">
        <v>114</v>
      </c>
      <c r="J158" s="38" t="s">
        <v>114</v>
      </c>
      <c r="K158" s="17"/>
    </row>
    <row r="159" ht="18.75" customHeight="1">
      <c r="A159" s="20"/>
      <c r="B159" s="32"/>
      <c r="C159" s="52">
        <v>7.0</v>
      </c>
      <c r="D159" s="58"/>
      <c r="E159" s="42"/>
      <c r="F159" s="43"/>
      <c r="G159" s="17"/>
      <c r="H159" s="40" t="s">
        <v>114</v>
      </c>
      <c r="I159" s="37" t="s">
        <v>114</v>
      </c>
      <c r="J159" s="38" t="s">
        <v>114</v>
      </c>
      <c r="K159" s="17"/>
    </row>
    <row r="160" ht="18.75" customHeight="1">
      <c r="A160" s="20"/>
      <c r="B160" s="32"/>
      <c r="C160" s="52">
        <v>8.0</v>
      </c>
      <c r="D160" s="58"/>
      <c r="E160" s="42"/>
      <c r="F160" s="43"/>
      <c r="G160" s="17"/>
      <c r="H160" s="40" t="s">
        <v>114</v>
      </c>
      <c r="I160" s="37" t="s">
        <v>114</v>
      </c>
      <c r="J160" s="38" t="s">
        <v>114</v>
      </c>
      <c r="K160" s="17"/>
    </row>
    <row r="161" ht="18.75" customHeight="1">
      <c r="A161" s="20"/>
      <c r="B161" s="32"/>
      <c r="C161" s="52">
        <v>9.0</v>
      </c>
      <c r="D161" s="58"/>
      <c r="E161" s="42"/>
      <c r="F161" s="43"/>
      <c r="G161" s="17"/>
      <c r="H161" s="40" t="s">
        <v>114</v>
      </c>
      <c r="I161" s="37" t="s">
        <v>114</v>
      </c>
      <c r="J161" s="38" t="s">
        <v>114</v>
      </c>
      <c r="K161" s="17"/>
    </row>
    <row r="162" ht="18.75" customHeight="1">
      <c r="A162" s="20"/>
      <c r="B162" s="32"/>
      <c r="C162" s="52">
        <v>10.0</v>
      </c>
      <c r="D162" s="58"/>
      <c r="E162" s="42"/>
      <c r="F162" s="43"/>
      <c r="G162" s="17"/>
      <c r="H162" s="40" t="s">
        <v>114</v>
      </c>
      <c r="I162" s="37" t="s">
        <v>114</v>
      </c>
      <c r="J162" s="38" t="s">
        <v>114</v>
      </c>
      <c r="K162" s="17"/>
    </row>
    <row r="163" ht="18.75" customHeight="1">
      <c r="A163" s="20"/>
      <c r="B163" s="32"/>
      <c r="C163" s="52">
        <v>11.0</v>
      </c>
      <c r="D163" s="58"/>
      <c r="E163" s="42"/>
      <c r="F163" s="43"/>
      <c r="G163" s="17"/>
      <c r="H163" s="40" t="s">
        <v>114</v>
      </c>
      <c r="I163" s="37" t="s">
        <v>114</v>
      </c>
      <c r="J163" s="38" t="s">
        <v>114</v>
      </c>
      <c r="K163" s="17"/>
    </row>
    <row r="164" ht="18.75" customHeight="1">
      <c r="A164" s="20"/>
      <c r="B164" s="32"/>
      <c r="C164" s="52">
        <v>12.0</v>
      </c>
      <c r="D164" s="58"/>
      <c r="E164" s="42"/>
      <c r="F164" s="43"/>
      <c r="G164" s="17"/>
      <c r="H164" s="40" t="s">
        <v>114</v>
      </c>
      <c r="I164" s="37" t="s">
        <v>114</v>
      </c>
      <c r="J164" s="38" t="s">
        <v>114</v>
      </c>
      <c r="K164" s="17"/>
    </row>
    <row r="165" ht="18.75" customHeight="1">
      <c r="A165" s="20"/>
      <c r="B165" s="32"/>
      <c r="C165" s="52">
        <v>13.0</v>
      </c>
      <c r="D165" s="58"/>
      <c r="E165" s="42"/>
      <c r="F165" s="43"/>
      <c r="G165" s="17"/>
      <c r="H165" s="40" t="s">
        <v>114</v>
      </c>
      <c r="I165" s="37" t="s">
        <v>114</v>
      </c>
      <c r="J165" s="38" t="s">
        <v>114</v>
      </c>
      <c r="K165" s="17"/>
    </row>
    <row r="166" ht="18.75" customHeight="1">
      <c r="A166" s="20"/>
      <c r="B166" s="32"/>
      <c r="C166" s="52">
        <v>14.0</v>
      </c>
      <c r="D166" s="58"/>
      <c r="E166" s="42"/>
      <c r="F166" s="43"/>
      <c r="G166" s="17"/>
      <c r="H166" s="40" t="s">
        <v>114</v>
      </c>
      <c r="I166" s="37" t="s">
        <v>114</v>
      </c>
      <c r="J166" s="38" t="s">
        <v>114</v>
      </c>
      <c r="K166" s="17"/>
    </row>
    <row r="167" ht="18.75" customHeight="1">
      <c r="A167" s="20"/>
      <c r="B167" s="32"/>
      <c r="C167" s="52">
        <v>15.0</v>
      </c>
      <c r="D167" s="58"/>
      <c r="E167" s="42"/>
      <c r="F167" s="43"/>
      <c r="G167" s="17"/>
      <c r="H167" s="40" t="s">
        <v>114</v>
      </c>
      <c r="I167" s="37" t="s">
        <v>114</v>
      </c>
      <c r="J167" s="38" t="s">
        <v>114</v>
      </c>
      <c r="K167" s="17"/>
    </row>
    <row r="168" ht="18.75" customHeight="1">
      <c r="A168" s="20"/>
      <c r="B168" s="32"/>
      <c r="C168" s="52">
        <v>16.0</v>
      </c>
      <c r="D168" s="58"/>
      <c r="E168" s="42"/>
      <c r="F168" s="43"/>
      <c r="G168" s="17"/>
      <c r="H168" s="40" t="s">
        <v>114</v>
      </c>
      <c r="I168" s="37" t="s">
        <v>114</v>
      </c>
      <c r="J168" s="38" t="s">
        <v>114</v>
      </c>
      <c r="K168" s="17"/>
    </row>
    <row r="169" ht="18.75" customHeight="1">
      <c r="A169" s="20"/>
      <c r="B169" s="32"/>
      <c r="C169" s="52">
        <v>17.0</v>
      </c>
      <c r="D169" s="58"/>
      <c r="E169" s="42"/>
      <c r="F169" s="43"/>
      <c r="G169" s="17"/>
      <c r="H169" s="40" t="s">
        <v>114</v>
      </c>
      <c r="I169" s="37" t="s">
        <v>114</v>
      </c>
      <c r="J169" s="38" t="s">
        <v>114</v>
      </c>
      <c r="K169" s="17"/>
    </row>
    <row r="170" ht="18.75" customHeight="1">
      <c r="A170" s="20"/>
      <c r="B170" s="32"/>
      <c r="C170" s="52">
        <v>18.0</v>
      </c>
      <c r="D170" s="58"/>
      <c r="E170" s="42"/>
      <c r="F170" s="43"/>
      <c r="G170" s="17"/>
      <c r="H170" s="40" t="s">
        <v>114</v>
      </c>
      <c r="I170" s="37" t="s">
        <v>114</v>
      </c>
      <c r="J170" s="38" t="s">
        <v>114</v>
      </c>
      <c r="K170" s="17"/>
    </row>
    <row r="171" ht="18.75" customHeight="1">
      <c r="A171" s="20"/>
      <c r="B171" s="32"/>
      <c r="C171" s="52">
        <v>19.0</v>
      </c>
      <c r="D171" s="58"/>
      <c r="E171" s="42"/>
      <c r="F171" s="43"/>
      <c r="G171" s="17"/>
      <c r="H171" s="40" t="s">
        <v>114</v>
      </c>
      <c r="I171" s="37" t="s">
        <v>114</v>
      </c>
      <c r="J171" s="38" t="s">
        <v>114</v>
      </c>
      <c r="K171" s="17"/>
    </row>
    <row r="172" ht="18.75" customHeight="1">
      <c r="A172" s="20"/>
      <c r="B172" s="32"/>
      <c r="C172" s="52">
        <v>20.0</v>
      </c>
      <c r="D172" s="58"/>
      <c r="E172" s="42"/>
      <c r="F172" s="43"/>
      <c r="G172" s="17"/>
      <c r="H172" s="40" t="s">
        <v>114</v>
      </c>
      <c r="I172" s="37" t="s">
        <v>114</v>
      </c>
      <c r="J172" s="38" t="s">
        <v>114</v>
      </c>
      <c r="K172" s="17"/>
    </row>
    <row r="173" ht="18.75" customHeight="1">
      <c r="A173" s="20"/>
      <c r="B173" s="32"/>
      <c r="C173" s="52">
        <v>21.0</v>
      </c>
      <c r="D173" s="58"/>
      <c r="E173" s="42"/>
      <c r="F173" s="43"/>
      <c r="G173" s="17"/>
      <c r="H173" s="40" t="s">
        <v>114</v>
      </c>
      <c r="I173" s="37" t="s">
        <v>114</v>
      </c>
      <c r="J173" s="38" t="s">
        <v>114</v>
      </c>
      <c r="K173" s="17"/>
    </row>
    <row r="174" ht="18.75" customHeight="1">
      <c r="A174" s="20"/>
      <c r="B174" s="32"/>
      <c r="C174" s="52">
        <v>22.0</v>
      </c>
      <c r="D174" s="41"/>
      <c r="E174" s="42"/>
      <c r="F174" s="43"/>
      <c r="G174" s="17"/>
      <c r="H174" s="40" t="s">
        <v>114</v>
      </c>
      <c r="I174" s="37" t="s">
        <v>114</v>
      </c>
      <c r="J174" s="38" t="s">
        <v>114</v>
      </c>
      <c r="K174" s="17"/>
    </row>
    <row r="175" ht="18.75" customHeight="1">
      <c r="A175" s="20"/>
      <c r="B175" s="32"/>
      <c r="C175" s="52">
        <v>23.0</v>
      </c>
      <c r="D175" s="41"/>
      <c r="E175" s="42"/>
      <c r="F175" s="43"/>
      <c r="G175" s="17"/>
      <c r="H175" s="40" t="s">
        <v>114</v>
      </c>
      <c r="I175" s="37" t="s">
        <v>114</v>
      </c>
      <c r="J175" s="38" t="s">
        <v>114</v>
      </c>
      <c r="K175" s="17"/>
    </row>
    <row r="176" ht="18.75" customHeight="1">
      <c r="A176" s="20"/>
      <c r="B176" s="32"/>
      <c r="C176" s="52">
        <v>24.0</v>
      </c>
      <c r="D176" s="41"/>
      <c r="E176" s="42"/>
      <c r="F176" s="43"/>
      <c r="G176" s="17"/>
      <c r="H176" s="40" t="s">
        <v>114</v>
      </c>
      <c r="I176" s="37" t="s">
        <v>114</v>
      </c>
      <c r="J176" s="38" t="s">
        <v>114</v>
      </c>
      <c r="K176" s="17"/>
    </row>
    <row r="177" ht="18.75" customHeight="1">
      <c r="A177" s="20"/>
      <c r="B177" s="44"/>
      <c r="C177" s="52">
        <v>25.0</v>
      </c>
      <c r="D177" s="41"/>
      <c r="E177" s="42"/>
      <c r="F177" s="43"/>
      <c r="G177" s="17"/>
      <c r="H177" s="40" t="s">
        <v>114</v>
      </c>
      <c r="I177" s="37" t="s">
        <v>114</v>
      </c>
      <c r="J177" s="38" t="s">
        <v>114</v>
      </c>
      <c r="K177" s="17"/>
    </row>
    <row r="178" ht="18.75" customHeight="1">
      <c r="A178" s="20"/>
      <c r="B178" s="24" t="s">
        <v>121</v>
      </c>
      <c r="C178" s="53">
        <v>1.0</v>
      </c>
      <c r="D178" s="26"/>
      <c r="E178" s="56"/>
      <c r="F178" s="57"/>
      <c r="G178" s="17"/>
      <c r="H178" s="55"/>
      <c r="I178" s="30"/>
      <c r="J178" s="31" t="s">
        <v>114</v>
      </c>
      <c r="K178" s="17"/>
    </row>
    <row r="179" ht="18.75" customHeight="1">
      <c r="A179" s="20"/>
      <c r="B179" s="32"/>
      <c r="C179" s="52">
        <v>2.0</v>
      </c>
      <c r="D179" s="33"/>
      <c r="E179" s="42"/>
      <c r="F179" s="43"/>
      <c r="G179" s="17"/>
      <c r="H179" s="40"/>
      <c r="I179" s="37"/>
      <c r="J179" s="38" t="s">
        <v>114</v>
      </c>
      <c r="K179" s="17"/>
    </row>
    <row r="180" ht="18.75" customHeight="1">
      <c r="A180" s="20"/>
      <c r="B180" s="32"/>
      <c r="C180" s="52">
        <v>3.0</v>
      </c>
      <c r="D180" s="33"/>
      <c r="E180" s="42"/>
      <c r="F180" s="43"/>
      <c r="G180" s="17"/>
      <c r="H180" s="40"/>
      <c r="I180" s="37"/>
      <c r="J180" s="38" t="s">
        <v>114</v>
      </c>
      <c r="K180" s="17"/>
    </row>
    <row r="181" ht="18.75" customHeight="1">
      <c r="A181" s="20"/>
      <c r="B181" s="32"/>
      <c r="C181" s="52">
        <v>4.0</v>
      </c>
      <c r="D181" s="41"/>
      <c r="E181" s="42"/>
      <c r="F181" s="43"/>
      <c r="G181" s="17"/>
      <c r="H181" s="40"/>
      <c r="I181" s="37"/>
      <c r="J181" s="38" t="s">
        <v>114</v>
      </c>
      <c r="K181" s="17"/>
    </row>
    <row r="182" ht="18.75" customHeight="1">
      <c r="A182" s="20"/>
      <c r="B182" s="32"/>
      <c r="C182" s="52">
        <v>5.0</v>
      </c>
      <c r="D182" s="41"/>
      <c r="E182" s="42"/>
      <c r="F182" s="43"/>
      <c r="G182" s="17"/>
      <c r="H182" s="40"/>
      <c r="I182" s="37"/>
      <c r="J182" s="38" t="s">
        <v>114</v>
      </c>
      <c r="K182" s="17"/>
    </row>
    <row r="183" ht="18.75" customHeight="1">
      <c r="A183" s="20"/>
      <c r="B183" s="32"/>
      <c r="C183" s="52">
        <v>6.0</v>
      </c>
      <c r="D183" s="41"/>
      <c r="E183" s="42"/>
      <c r="F183" s="43"/>
      <c r="G183" s="17"/>
      <c r="H183" s="40"/>
      <c r="I183" s="37"/>
      <c r="J183" s="38" t="s">
        <v>114</v>
      </c>
      <c r="K183" s="17"/>
    </row>
    <row r="184" ht="18.75" customHeight="1">
      <c r="A184" s="20"/>
      <c r="B184" s="32"/>
      <c r="C184" s="52">
        <v>7.0</v>
      </c>
      <c r="D184" s="41"/>
      <c r="E184" s="42"/>
      <c r="F184" s="43"/>
      <c r="G184" s="17"/>
      <c r="H184" s="40"/>
      <c r="I184" s="37"/>
      <c r="J184" s="38" t="s">
        <v>114</v>
      </c>
      <c r="K184" s="17"/>
    </row>
    <row r="185" ht="18.75" customHeight="1">
      <c r="A185" s="20"/>
      <c r="B185" s="32"/>
      <c r="C185" s="52">
        <v>8.0</v>
      </c>
      <c r="D185" s="41"/>
      <c r="E185" s="42"/>
      <c r="F185" s="43"/>
      <c r="G185" s="17"/>
      <c r="H185" s="40"/>
      <c r="I185" s="37"/>
      <c r="J185" s="38" t="s">
        <v>114</v>
      </c>
      <c r="K185" s="17"/>
    </row>
    <row r="186" ht="18.75" customHeight="1">
      <c r="A186" s="20"/>
      <c r="B186" s="32"/>
      <c r="C186" s="52">
        <v>9.0</v>
      </c>
      <c r="D186" s="41"/>
      <c r="E186" s="42"/>
      <c r="F186" s="43"/>
      <c r="G186" s="17"/>
      <c r="H186" s="40"/>
      <c r="I186" s="37"/>
      <c r="J186" s="38" t="s">
        <v>114</v>
      </c>
      <c r="K186" s="17"/>
    </row>
    <row r="187" ht="18.75" customHeight="1">
      <c r="A187" s="20"/>
      <c r="B187" s="32"/>
      <c r="C187" s="52">
        <v>10.0</v>
      </c>
      <c r="D187" s="41"/>
      <c r="E187" s="42"/>
      <c r="F187" s="43"/>
      <c r="G187" s="17"/>
      <c r="H187" s="40"/>
      <c r="I187" s="37"/>
      <c r="J187" s="38" t="s">
        <v>114</v>
      </c>
      <c r="K187" s="17"/>
    </row>
    <row r="188" ht="18.75" customHeight="1">
      <c r="A188" s="20"/>
      <c r="B188" s="32"/>
      <c r="C188" s="52">
        <v>11.0</v>
      </c>
      <c r="D188" s="41"/>
      <c r="E188" s="42"/>
      <c r="F188" s="43"/>
      <c r="G188" s="17"/>
      <c r="H188" s="40"/>
      <c r="I188" s="37"/>
      <c r="J188" s="38" t="s">
        <v>114</v>
      </c>
      <c r="K188" s="17"/>
    </row>
    <row r="189" ht="18.75" customHeight="1">
      <c r="A189" s="20"/>
      <c r="B189" s="32"/>
      <c r="C189" s="52">
        <v>12.0</v>
      </c>
      <c r="D189" s="41"/>
      <c r="E189" s="42"/>
      <c r="F189" s="43"/>
      <c r="G189" s="17"/>
      <c r="H189" s="40"/>
      <c r="I189" s="37"/>
      <c r="J189" s="38" t="s">
        <v>114</v>
      </c>
      <c r="K189" s="17"/>
    </row>
    <row r="190" ht="18.75" customHeight="1">
      <c r="A190" s="20"/>
      <c r="B190" s="32"/>
      <c r="C190" s="52">
        <v>13.0</v>
      </c>
      <c r="D190" s="41"/>
      <c r="E190" s="42"/>
      <c r="F190" s="43"/>
      <c r="G190" s="17"/>
      <c r="H190" s="40"/>
      <c r="I190" s="37"/>
      <c r="J190" s="38" t="s">
        <v>114</v>
      </c>
      <c r="K190" s="17"/>
    </row>
    <row r="191" ht="18.75" customHeight="1">
      <c r="A191" s="20"/>
      <c r="B191" s="32"/>
      <c r="C191" s="52">
        <v>14.0</v>
      </c>
      <c r="D191" s="41"/>
      <c r="E191" s="42"/>
      <c r="F191" s="43"/>
      <c r="G191" s="17"/>
      <c r="H191" s="40"/>
      <c r="I191" s="37"/>
      <c r="J191" s="38" t="s">
        <v>114</v>
      </c>
      <c r="K191" s="17"/>
    </row>
    <row r="192" ht="18.75" customHeight="1">
      <c r="A192" s="20"/>
      <c r="B192" s="32"/>
      <c r="C192" s="52">
        <v>15.0</v>
      </c>
      <c r="D192" s="41"/>
      <c r="E192" s="42"/>
      <c r="F192" s="43"/>
      <c r="G192" s="17"/>
      <c r="H192" s="40"/>
      <c r="I192" s="37"/>
      <c r="J192" s="38" t="s">
        <v>114</v>
      </c>
      <c r="K192" s="17"/>
    </row>
    <row r="193" ht="18.75" customHeight="1">
      <c r="A193" s="20"/>
      <c r="B193" s="32"/>
      <c r="C193" s="52">
        <v>16.0</v>
      </c>
      <c r="D193" s="41"/>
      <c r="E193" s="42"/>
      <c r="F193" s="43"/>
      <c r="G193" s="17"/>
      <c r="H193" s="40"/>
      <c r="I193" s="37"/>
      <c r="J193" s="38" t="s">
        <v>114</v>
      </c>
      <c r="K193" s="17"/>
    </row>
    <row r="194" ht="18.75" customHeight="1">
      <c r="A194" s="20"/>
      <c r="B194" s="32"/>
      <c r="C194" s="52">
        <v>17.0</v>
      </c>
      <c r="D194" s="41"/>
      <c r="E194" s="42"/>
      <c r="F194" s="43"/>
      <c r="G194" s="17"/>
      <c r="H194" s="40"/>
      <c r="I194" s="37"/>
      <c r="J194" s="38" t="s">
        <v>114</v>
      </c>
      <c r="K194" s="17"/>
    </row>
    <row r="195" ht="18.75" customHeight="1">
      <c r="A195" s="20"/>
      <c r="B195" s="32"/>
      <c r="C195" s="52">
        <v>18.0</v>
      </c>
      <c r="D195" s="41"/>
      <c r="E195" s="42"/>
      <c r="F195" s="43"/>
      <c r="G195" s="17"/>
      <c r="H195" s="40"/>
      <c r="I195" s="37"/>
      <c r="J195" s="38" t="s">
        <v>114</v>
      </c>
      <c r="K195" s="17"/>
    </row>
    <row r="196" ht="18.75" customHeight="1">
      <c r="A196" s="20"/>
      <c r="B196" s="32"/>
      <c r="C196" s="52">
        <v>19.0</v>
      </c>
      <c r="D196" s="41"/>
      <c r="E196" s="42"/>
      <c r="F196" s="43"/>
      <c r="G196" s="17"/>
      <c r="H196" s="40"/>
      <c r="I196" s="37"/>
      <c r="J196" s="38" t="s">
        <v>114</v>
      </c>
      <c r="K196" s="17"/>
    </row>
    <row r="197" ht="18.75" customHeight="1">
      <c r="A197" s="20"/>
      <c r="B197" s="32"/>
      <c r="C197" s="52">
        <v>20.0</v>
      </c>
      <c r="D197" s="41"/>
      <c r="E197" s="42"/>
      <c r="F197" s="43"/>
      <c r="G197" s="17"/>
      <c r="H197" s="40"/>
      <c r="I197" s="37"/>
      <c r="J197" s="38" t="s">
        <v>114</v>
      </c>
      <c r="K197" s="17"/>
    </row>
    <row r="198" ht="18.75" customHeight="1">
      <c r="A198" s="20"/>
      <c r="B198" s="32"/>
      <c r="C198" s="52">
        <v>21.0</v>
      </c>
      <c r="D198" s="41"/>
      <c r="E198" s="42"/>
      <c r="F198" s="43"/>
      <c r="G198" s="17"/>
      <c r="H198" s="40"/>
      <c r="I198" s="37"/>
      <c r="J198" s="38" t="s">
        <v>114</v>
      </c>
      <c r="K198" s="17"/>
    </row>
    <row r="199" ht="18.75" customHeight="1">
      <c r="A199" s="20"/>
      <c r="B199" s="32"/>
      <c r="C199" s="52">
        <v>22.0</v>
      </c>
      <c r="D199" s="41"/>
      <c r="E199" s="42"/>
      <c r="F199" s="43"/>
      <c r="G199" s="17"/>
      <c r="H199" s="40"/>
      <c r="I199" s="37"/>
      <c r="J199" s="38" t="s">
        <v>114</v>
      </c>
      <c r="K199" s="17"/>
    </row>
    <row r="200" ht="18.75" customHeight="1">
      <c r="A200" s="20"/>
      <c r="B200" s="32"/>
      <c r="C200" s="52">
        <v>23.0</v>
      </c>
      <c r="D200" s="41"/>
      <c r="E200" s="42"/>
      <c r="F200" s="43"/>
      <c r="G200" s="17"/>
      <c r="H200" s="40"/>
      <c r="I200" s="37"/>
      <c r="J200" s="38" t="s">
        <v>114</v>
      </c>
      <c r="K200" s="17"/>
    </row>
    <row r="201" ht="18.75" customHeight="1">
      <c r="A201" s="20"/>
      <c r="B201" s="32"/>
      <c r="C201" s="52">
        <v>24.0</v>
      </c>
      <c r="D201" s="41"/>
      <c r="E201" s="42"/>
      <c r="F201" s="43"/>
      <c r="G201" s="17"/>
      <c r="H201" s="40"/>
      <c r="I201" s="37"/>
      <c r="J201" s="38" t="s">
        <v>114</v>
      </c>
      <c r="K201" s="17"/>
    </row>
    <row r="202" ht="18.75" customHeight="1">
      <c r="A202" s="20"/>
      <c r="B202" s="44"/>
      <c r="C202" s="52">
        <v>25.0</v>
      </c>
      <c r="D202" s="41"/>
      <c r="E202" s="42"/>
      <c r="F202" s="43"/>
      <c r="G202" s="17"/>
      <c r="H202" s="40"/>
      <c r="I202" s="37"/>
      <c r="J202" s="38" t="s">
        <v>114</v>
      </c>
      <c r="K202" s="17"/>
    </row>
    <row r="203" ht="18.75" customHeight="1">
      <c r="A203" s="20"/>
      <c r="B203" s="24"/>
      <c r="C203" s="53">
        <v>1.0</v>
      </c>
      <c r="D203" s="26"/>
      <c r="E203" s="56"/>
      <c r="F203" s="57"/>
      <c r="G203" s="17"/>
      <c r="H203" s="55"/>
      <c r="I203" s="30"/>
      <c r="J203" s="31" t="s">
        <v>114</v>
      </c>
      <c r="K203" s="17"/>
    </row>
    <row r="204" ht="18.75" customHeight="1">
      <c r="A204" s="20"/>
      <c r="B204" s="32"/>
      <c r="C204" s="52">
        <v>2.0</v>
      </c>
      <c r="D204" s="33"/>
      <c r="E204" s="42"/>
      <c r="F204" s="43"/>
      <c r="G204" s="17"/>
      <c r="H204" s="40"/>
      <c r="I204" s="37"/>
      <c r="J204" s="38" t="s">
        <v>114</v>
      </c>
      <c r="K204" s="17"/>
    </row>
    <row r="205" ht="18.75" customHeight="1">
      <c r="A205" s="20"/>
      <c r="B205" s="32"/>
      <c r="C205" s="52">
        <v>3.0</v>
      </c>
      <c r="D205" s="33"/>
      <c r="E205" s="42"/>
      <c r="F205" s="43"/>
      <c r="G205" s="17"/>
      <c r="H205" s="40"/>
      <c r="I205" s="37"/>
      <c r="J205" s="38" t="s">
        <v>114</v>
      </c>
      <c r="K205" s="17"/>
    </row>
    <row r="206" ht="18.75" customHeight="1">
      <c r="A206" s="20"/>
      <c r="B206" s="32"/>
      <c r="C206" s="52">
        <v>4.0</v>
      </c>
      <c r="D206" s="41"/>
      <c r="E206" s="42"/>
      <c r="F206" s="43"/>
      <c r="G206" s="17"/>
      <c r="H206" s="40"/>
      <c r="I206" s="37"/>
      <c r="J206" s="38" t="s">
        <v>114</v>
      </c>
      <c r="K206" s="17"/>
    </row>
    <row r="207" ht="18.75" customHeight="1">
      <c r="A207" s="20"/>
      <c r="B207" s="32"/>
      <c r="C207" s="52">
        <v>5.0</v>
      </c>
      <c r="D207" s="41"/>
      <c r="E207" s="42"/>
      <c r="F207" s="43"/>
      <c r="G207" s="17"/>
      <c r="H207" s="40"/>
      <c r="I207" s="37"/>
      <c r="J207" s="38" t="s">
        <v>114</v>
      </c>
      <c r="K207" s="17"/>
    </row>
    <row r="208" ht="18.75" customHeight="1">
      <c r="A208" s="20"/>
      <c r="B208" s="32"/>
      <c r="C208" s="52">
        <v>6.0</v>
      </c>
      <c r="D208" s="41"/>
      <c r="E208" s="42"/>
      <c r="F208" s="43"/>
      <c r="G208" s="17"/>
      <c r="H208" s="40"/>
      <c r="I208" s="37"/>
      <c r="J208" s="38" t="s">
        <v>114</v>
      </c>
      <c r="K208" s="17"/>
    </row>
    <row r="209" ht="18.75" customHeight="1">
      <c r="A209" s="20"/>
      <c r="B209" s="32"/>
      <c r="C209" s="52">
        <v>7.0</v>
      </c>
      <c r="D209" s="41"/>
      <c r="E209" s="42"/>
      <c r="F209" s="43"/>
      <c r="G209" s="17"/>
      <c r="H209" s="40"/>
      <c r="I209" s="37"/>
      <c r="J209" s="38" t="s">
        <v>114</v>
      </c>
      <c r="K209" s="17"/>
    </row>
    <row r="210" ht="18.75" customHeight="1">
      <c r="A210" s="20"/>
      <c r="B210" s="32"/>
      <c r="C210" s="52">
        <v>8.0</v>
      </c>
      <c r="D210" s="41"/>
      <c r="E210" s="42"/>
      <c r="F210" s="43"/>
      <c r="G210" s="17"/>
      <c r="H210" s="40"/>
      <c r="I210" s="37"/>
      <c r="J210" s="38" t="s">
        <v>114</v>
      </c>
      <c r="K210" s="17"/>
    </row>
    <row r="211" ht="18.75" customHeight="1">
      <c r="A211" s="20"/>
      <c r="B211" s="32"/>
      <c r="C211" s="52">
        <v>9.0</v>
      </c>
      <c r="D211" s="41"/>
      <c r="E211" s="42"/>
      <c r="F211" s="43"/>
      <c r="G211" s="17"/>
      <c r="H211" s="40"/>
      <c r="I211" s="37"/>
      <c r="J211" s="38" t="s">
        <v>114</v>
      </c>
      <c r="K211" s="17"/>
    </row>
    <row r="212" ht="18.75" customHeight="1">
      <c r="A212" s="20"/>
      <c r="B212" s="32"/>
      <c r="C212" s="52">
        <v>10.0</v>
      </c>
      <c r="D212" s="41"/>
      <c r="E212" s="42"/>
      <c r="F212" s="43"/>
      <c r="G212" s="17"/>
      <c r="H212" s="40"/>
      <c r="I212" s="37"/>
      <c r="J212" s="38" t="s">
        <v>114</v>
      </c>
      <c r="K212" s="17"/>
    </row>
    <row r="213" ht="18.75" customHeight="1">
      <c r="A213" s="20"/>
      <c r="B213" s="32"/>
      <c r="C213" s="52">
        <v>11.0</v>
      </c>
      <c r="D213" s="41"/>
      <c r="E213" s="42"/>
      <c r="F213" s="43"/>
      <c r="G213" s="17"/>
      <c r="H213" s="40"/>
      <c r="I213" s="37"/>
      <c r="J213" s="38" t="s">
        <v>114</v>
      </c>
      <c r="K213" s="17"/>
    </row>
    <row r="214" ht="18.75" customHeight="1">
      <c r="A214" s="20"/>
      <c r="B214" s="32"/>
      <c r="C214" s="52">
        <v>12.0</v>
      </c>
      <c r="D214" s="41"/>
      <c r="E214" s="42"/>
      <c r="F214" s="43"/>
      <c r="G214" s="17"/>
      <c r="H214" s="40"/>
      <c r="I214" s="37"/>
      <c r="J214" s="38" t="s">
        <v>114</v>
      </c>
      <c r="K214" s="17"/>
    </row>
    <row r="215" ht="18.75" customHeight="1">
      <c r="A215" s="20"/>
      <c r="B215" s="32"/>
      <c r="C215" s="52">
        <v>13.0</v>
      </c>
      <c r="D215" s="41"/>
      <c r="E215" s="42"/>
      <c r="F215" s="43"/>
      <c r="G215" s="17"/>
      <c r="H215" s="40"/>
      <c r="I215" s="37"/>
      <c r="J215" s="38" t="s">
        <v>114</v>
      </c>
      <c r="K215" s="17"/>
    </row>
    <row r="216" ht="18.75" customHeight="1">
      <c r="A216" s="20"/>
      <c r="B216" s="32"/>
      <c r="C216" s="52">
        <v>14.0</v>
      </c>
      <c r="D216" s="41"/>
      <c r="E216" s="42"/>
      <c r="F216" s="43"/>
      <c r="G216" s="17"/>
      <c r="H216" s="40"/>
      <c r="I216" s="37"/>
      <c r="J216" s="38" t="s">
        <v>114</v>
      </c>
      <c r="K216" s="17"/>
    </row>
    <row r="217" ht="18.75" customHeight="1">
      <c r="A217" s="20"/>
      <c r="B217" s="32"/>
      <c r="C217" s="52">
        <v>15.0</v>
      </c>
      <c r="D217" s="41"/>
      <c r="E217" s="42"/>
      <c r="F217" s="43"/>
      <c r="G217" s="17"/>
      <c r="H217" s="40"/>
      <c r="I217" s="37"/>
      <c r="J217" s="38" t="s">
        <v>114</v>
      </c>
      <c r="K217" s="17"/>
    </row>
    <row r="218" ht="18.75" customHeight="1">
      <c r="A218" s="20"/>
      <c r="B218" s="32"/>
      <c r="C218" s="52">
        <v>16.0</v>
      </c>
      <c r="D218" s="41"/>
      <c r="E218" s="42"/>
      <c r="F218" s="43"/>
      <c r="G218" s="17"/>
      <c r="H218" s="40"/>
      <c r="I218" s="37"/>
      <c r="J218" s="38" t="s">
        <v>114</v>
      </c>
      <c r="K218" s="17"/>
    </row>
    <row r="219" ht="18.75" customHeight="1">
      <c r="A219" s="20"/>
      <c r="B219" s="32"/>
      <c r="C219" s="52">
        <v>17.0</v>
      </c>
      <c r="D219" s="41"/>
      <c r="E219" s="42"/>
      <c r="F219" s="43"/>
      <c r="G219" s="17"/>
      <c r="H219" s="40"/>
      <c r="I219" s="37"/>
      <c r="J219" s="38" t="s">
        <v>114</v>
      </c>
      <c r="K219" s="17"/>
    </row>
    <row r="220" ht="18.75" customHeight="1">
      <c r="A220" s="20"/>
      <c r="B220" s="32"/>
      <c r="C220" s="52">
        <v>18.0</v>
      </c>
      <c r="D220" s="41"/>
      <c r="E220" s="42"/>
      <c r="F220" s="43"/>
      <c r="G220" s="17"/>
      <c r="H220" s="40"/>
      <c r="I220" s="37"/>
      <c r="J220" s="38" t="s">
        <v>114</v>
      </c>
      <c r="K220" s="17"/>
    </row>
    <row r="221" ht="18.75" customHeight="1">
      <c r="A221" s="20"/>
      <c r="B221" s="32"/>
      <c r="C221" s="52">
        <v>19.0</v>
      </c>
      <c r="D221" s="41"/>
      <c r="E221" s="42"/>
      <c r="F221" s="43"/>
      <c r="G221" s="17"/>
      <c r="H221" s="40"/>
      <c r="I221" s="37"/>
      <c r="J221" s="38" t="s">
        <v>114</v>
      </c>
      <c r="K221" s="17"/>
    </row>
    <row r="222" ht="18.75" customHeight="1">
      <c r="A222" s="20"/>
      <c r="B222" s="32"/>
      <c r="C222" s="52">
        <v>20.0</v>
      </c>
      <c r="D222" s="41"/>
      <c r="E222" s="42"/>
      <c r="F222" s="43"/>
      <c r="G222" s="17"/>
      <c r="H222" s="40"/>
      <c r="I222" s="37"/>
      <c r="J222" s="38" t="s">
        <v>114</v>
      </c>
      <c r="K222" s="17"/>
    </row>
    <row r="223" ht="18.75" customHeight="1">
      <c r="A223" s="20"/>
      <c r="B223" s="32"/>
      <c r="C223" s="52">
        <v>21.0</v>
      </c>
      <c r="D223" s="41"/>
      <c r="E223" s="42"/>
      <c r="F223" s="43"/>
      <c r="G223" s="17"/>
      <c r="H223" s="40"/>
      <c r="I223" s="37"/>
      <c r="J223" s="38" t="s">
        <v>114</v>
      </c>
      <c r="K223" s="17"/>
    </row>
    <row r="224" ht="18.75" customHeight="1">
      <c r="A224" s="20"/>
      <c r="B224" s="32"/>
      <c r="C224" s="52">
        <v>22.0</v>
      </c>
      <c r="D224" s="41"/>
      <c r="E224" s="42"/>
      <c r="F224" s="43"/>
      <c r="G224" s="17"/>
      <c r="H224" s="40"/>
      <c r="I224" s="37"/>
      <c r="J224" s="38" t="s">
        <v>114</v>
      </c>
      <c r="K224" s="17"/>
    </row>
    <row r="225" ht="18.75" customHeight="1">
      <c r="A225" s="20"/>
      <c r="B225" s="32"/>
      <c r="C225" s="52">
        <v>23.0</v>
      </c>
      <c r="D225" s="41"/>
      <c r="E225" s="42"/>
      <c r="F225" s="43"/>
      <c r="G225" s="17"/>
      <c r="H225" s="40"/>
      <c r="I225" s="37"/>
      <c r="J225" s="38" t="s">
        <v>114</v>
      </c>
      <c r="K225" s="17"/>
    </row>
    <row r="226" ht="18.75" customHeight="1">
      <c r="A226" s="20"/>
      <c r="B226" s="32"/>
      <c r="C226" s="52">
        <v>24.0</v>
      </c>
      <c r="D226" s="41"/>
      <c r="E226" s="42"/>
      <c r="F226" s="43"/>
      <c r="G226" s="17"/>
      <c r="H226" s="40"/>
      <c r="I226" s="37"/>
      <c r="J226" s="38" t="s">
        <v>114</v>
      </c>
      <c r="K226" s="17"/>
    </row>
    <row r="227" ht="18.75" customHeight="1">
      <c r="A227" s="20"/>
      <c r="B227" s="44"/>
      <c r="C227" s="59">
        <v>25.0</v>
      </c>
      <c r="D227" s="46"/>
      <c r="E227" s="47"/>
      <c r="F227" s="48"/>
      <c r="G227" s="17"/>
      <c r="H227" s="49"/>
      <c r="I227" s="50"/>
      <c r="J227" s="51" t="s">
        <v>114</v>
      </c>
      <c r="K227" s="17"/>
    </row>
    <row r="228" ht="18.75" customHeight="1">
      <c r="A228" s="17"/>
      <c r="B228" s="17"/>
      <c r="C228" s="17"/>
      <c r="D228" s="17"/>
      <c r="E228" s="17"/>
      <c r="F228" s="17"/>
      <c r="G228" s="17"/>
      <c r="H228" s="60"/>
      <c r="I228" s="8"/>
      <c r="J228" s="8" t="s">
        <v>114</v>
      </c>
      <c r="K228" s="17"/>
    </row>
  </sheetData>
  <mergeCells count="9">
    <mergeCell ref="B178:B202"/>
    <mergeCell ref="B203:B227"/>
    <mergeCell ref="B3:B27"/>
    <mergeCell ref="B28:B52"/>
    <mergeCell ref="B53:B77"/>
    <mergeCell ref="B78:B102"/>
    <mergeCell ref="B103:B127"/>
    <mergeCell ref="B128:B152"/>
    <mergeCell ref="B153:B177"/>
  </mergeCells>
  <hyperlinks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</hyperlinks>
  <drawing r:id="rId11"/>
  <legacy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1.38"/>
  </cols>
  <sheetData>
    <row r="1" ht="7.5" customHeight="1">
      <c r="A1" s="8"/>
      <c r="B1" s="8"/>
      <c r="C1" s="8"/>
    </row>
    <row r="2">
      <c r="A2" s="8"/>
      <c r="B2" s="15" t="s">
        <v>122</v>
      </c>
      <c r="C2" s="17"/>
    </row>
    <row r="3" ht="15.0" customHeight="1">
      <c r="A3" s="8"/>
      <c r="B3" s="61" t="s">
        <v>123</v>
      </c>
      <c r="C3" s="8"/>
    </row>
    <row r="4" ht="15.0" customHeight="1">
      <c r="A4" s="8"/>
      <c r="B4" s="62" t="s">
        <v>124</v>
      </c>
      <c r="C4" s="8"/>
    </row>
    <row r="5" ht="15.0" customHeight="1">
      <c r="A5" s="8"/>
      <c r="B5" s="62" t="s">
        <v>125</v>
      </c>
      <c r="C5" s="8"/>
    </row>
    <row r="6" ht="15.0" customHeight="1">
      <c r="A6" s="8"/>
      <c r="B6" s="62" t="s">
        <v>126</v>
      </c>
      <c r="C6" s="8"/>
    </row>
    <row r="7" ht="15.0" customHeight="1">
      <c r="A7" s="8"/>
      <c r="B7" s="62" t="s">
        <v>127</v>
      </c>
      <c r="C7" s="8"/>
    </row>
    <row r="8" ht="15.0" customHeight="1">
      <c r="A8" s="8"/>
      <c r="B8" s="62" t="s">
        <v>128</v>
      </c>
      <c r="C8" s="8"/>
    </row>
    <row r="9" ht="15.0" customHeight="1">
      <c r="A9" s="8"/>
      <c r="B9" s="62" t="s">
        <v>129</v>
      </c>
      <c r="C9" s="8"/>
    </row>
    <row r="10" ht="15.0" customHeight="1">
      <c r="A10" s="8"/>
      <c r="B10" s="62" t="s">
        <v>130</v>
      </c>
      <c r="C10" s="8"/>
    </row>
    <row r="11" ht="15.0" customHeight="1">
      <c r="A11" s="8"/>
      <c r="B11" s="61" t="s">
        <v>131</v>
      </c>
      <c r="C11" s="8"/>
    </row>
    <row r="12" ht="15.0" customHeight="1">
      <c r="A12" s="8"/>
      <c r="B12" s="61" t="s">
        <v>132</v>
      </c>
      <c r="C12" s="8"/>
    </row>
    <row r="13" ht="15.0" customHeight="1">
      <c r="A13" s="8"/>
      <c r="B13" s="61" t="s">
        <v>133</v>
      </c>
      <c r="C13" s="8"/>
    </row>
    <row r="14" ht="15.0" customHeight="1">
      <c r="A14" s="8"/>
      <c r="B14" s="61" t="s">
        <v>134</v>
      </c>
      <c r="C14" s="8"/>
    </row>
    <row r="15" ht="15.0" customHeight="1">
      <c r="A15" s="8"/>
      <c r="B15" s="61"/>
      <c r="C15" s="8"/>
    </row>
    <row r="16" ht="15.0" customHeight="1">
      <c r="A16" s="8"/>
      <c r="B16" s="5"/>
      <c r="C16" s="8"/>
    </row>
    <row r="17" ht="15.0" customHeight="1">
      <c r="A17" s="8"/>
      <c r="B17" s="5"/>
      <c r="C17" s="8"/>
    </row>
    <row r="18" ht="15.0" customHeight="1">
      <c r="A18" s="8"/>
      <c r="B18" s="5"/>
      <c r="C18" s="8"/>
    </row>
    <row r="19" ht="15.0" customHeight="1">
      <c r="A19" s="8"/>
      <c r="B19" s="5"/>
      <c r="C19" s="8"/>
    </row>
    <row r="20" ht="15.0" customHeight="1">
      <c r="A20" s="8"/>
      <c r="B20" s="5"/>
      <c r="C20" s="8"/>
    </row>
    <row r="21" ht="15.0" customHeight="1">
      <c r="A21" s="8"/>
      <c r="B21" s="5"/>
      <c r="C21" s="8"/>
    </row>
    <row r="22" ht="15.0" hidden="1" customHeight="1">
      <c r="A22" s="8"/>
      <c r="B22" s="19"/>
      <c r="C22" s="8"/>
    </row>
    <row r="23" ht="15.0" hidden="1" customHeight="1">
      <c r="A23" s="8"/>
      <c r="B23" s="19"/>
      <c r="C23" s="8"/>
    </row>
    <row r="24" ht="15.0" hidden="1" customHeight="1">
      <c r="A24" s="8"/>
      <c r="B24" s="19"/>
      <c r="C24" s="8"/>
    </row>
    <row r="25" ht="15.0" hidden="1" customHeight="1">
      <c r="A25" s="8"/>
      <c r="B25" s="19"/>
      <c r="C25" s="8"/>
    </row>
    <row r="26" ht="15.0" hidden="1" customHeight="1">
      <c r="A26" s="8"/>
      <c r="B26" s="19"/>
      <c r="C26" s="8"/>
    </row>
    <row r="27" ht="15.0" hidden="1" customHeight="1">
      <c r="A27" s="8"/>
      <c r="B27" s="19"/>
      <c r="C27" s="8"/>
    </row>
    <row r="28" ht="15.0" hidden="1" customHeight="1">
      <c r="A28" s="8"/>
      <c r="B28" s="19"/>
      <c r="C28" s="8"/>
    </row>
    <row r="29" ht="15.0" hidden="1" customHeight="1">
      <c r="A29" s="8"/>
      <c r="B29" s="19"/>
      <c r="C29" s="8"/>
    </row>
    <row r="30" ht="15.0" hidden="1" customHeight="1">
      <c r="A30" s="8"/>
      <c r="B30" s="19"/>
      <c r="C30" s="8"/>
    </row>
    <row r="31" ht="15.0" hidden="1" customHeight="1">
      <c r="A31" s="8"/>
      <c r="B31" s="19"/>
      <c r="C31" s="8"/>
    </row>
    <row r="32" ht="15.0" hidden="1" customHeight="1">
      <c r="A32" s="8"/>
      <c r="B32" s="19"/>
      <c r="C32" s="8"/>
    </row>
    <row r="33" ht="15.0" hidden="1" customHeight="1">
      <c r="A33" s="8"/>
      <c r="B33" s="19"/>
      <c r="C33" s="8"/>
    </row>
    <row r="34" ht="15.0" hidden="1" customHeight="1">
      <c r="A34" s="8"/>
      <c r="B34" s="19"/>
      <c r="C34" s="8"/>
    </row>
    <row r="35" ht="15.0" hidden="1" customHeight="1">
      <c r="A35" s="8"/>
      <c r="B35" s="19"/>
      <c r="C35" s="8"/>
    </row>
    <row r="36" ht="15.0" hidden="1" customHeight="1">
      <c r="A36" s="8"/>
      <c r="B36" s="19"/>
      <c r="C36" s="8"/>
    </row>
    <row r="37" ht="15.0" hidden="1" customHeight="1">
      <c r="A37" s="8"/>
      <c r="B37" s="19"/>
      <c r="C37" s="8"/>
    </row>
    <row r="38" ht="15.0" hidden="1" customHeight="1">
      <c r="A38" s="8"/>
      <c r="B38" s="19"/>
      <c r="C38" s="8"/>
    </row>
    <row r="39" ht="15.0" hidden="1" customHeight="1">
      <c r="A39" s="8"/>
      <c r="B39" s="19"/>
      <c r="C39" s="8"/>
    </row>
    <row r="40" ht="15.0" hidden="1" customHeight="1">
      <c r="A40" s="8"/>
      <c r="B40" s="19"/>
      <c r="C40" s="8"/>
    </row>
    <row r="41" ht="15.0" hidden="1" customHeight="1">
      <c r="A41" s="8"/>
      <c r="B41" s="19"/>
      <c r="C41" s="8"/>
    </row>
    <row r="42" ht="15.0" hidden="1" customHeight="1">
      <c r="A42" s="8"/>
      <c r="B42" s="19"/>
      <c r="C42" s="8"/>
    </row>
    <row r="43" ht="15.0" hidden="1" customHeight="1">
      <c r="A43" s="8"/>
      <c r="B43" s="19"/>
      <c r="C43" s="8"/>
    </row>
    <row r="44" ht="15.0" hidden="1" customHeight="1">
      <c r="A44" s="8"/>
      <c r="B44" s="19"/>
      <c r="C44" s="8"/>
    </row>
    <row r="45" ht="15.0" hidden="1" customHeight="1">
      <c r="A45" s="8"/>
      <c r="B45" s="19"/>
      <c r="C45" s="8"/>
    </row>
    <row r="46" ht="15.0" hidden="1" customHeight="1">
      <c r="A46" s="8"/>
      <c r="B46" s="19"/>
      <c r="C46" s="8"/>
    </row>
    <row r="47" ht="15.0" hidden="1" customHeight="1">
      <c r="A47" s="8"/>
      <c r="B47" s="19"/>
      <c r="C47" s="8"/>
    </row>
    <row r="48" ht="15.0" hidden="1" customHeight="1">
      <c r="A48" s="8"/>
      <c r="B48" s="19"/>
      <c r="C48" s="8"/>
    </row>
    <row r="49" ht="15.0" hidden="1" customHeight="1">
      <c r="A49" s="8"/>
      <c r="B49" s="19"/>
      <c r="C49" s="8"/>
    </row>
    <row r="50" ht="15.0" hidden="1" customHeight="1">
      <c r="A50" s="8"/>
      <c r="B50" s="19"/>
      <c r="C50" s="8"/>
    </row>
    <row r="51" ht="15.0" hidden="1" customHeight="1">
      <c r="A51" s="8"/>
      <c r="B51" s="19"/>
      <c r="C51" s="8"/>
    </row>
    <row r="52" ht="15.0" hidden="1" customHeight="1">
      <c r="A52" s="8"/>
      <c r="B52" s="19"/>
      <c r="C52" s="8"/>
    </row>
    <row r="53" ht="15.0" hidden="1" customHeight="1">
      <c r="A53" s="8"/>
      <c r="B53" s="19"/>
      <c r="C53" s="8"/>
    </row>
    <row r="54" ht="15.0" hidden="1" customHeight="1">
      <c r="A54" s="8"/>
      <c r="B54" s="19"/>
      <c r="C54" s="8"/>
    </row>
    <row r="55" ht="15.0" hidden="1" customHeight="1">
      <c r="A55" s="8"/>
      <c r="B55" s="19"/>
      <c r="C55" s="8"/>
    </row>
    <row r="56" ht="15.0" hidden="1" customHeight="1">
      <c r="A56" s="8"/>
      <c r="B56" s="19"/>
      <c r="C56" s="8"/>
    </row>
    <row r="57" ht="15.0" hidden="1" customHeight="1">
      <c r="A57" s="8"/>
      <c r="B57" s="19"/>
      <c r="C57" s="8"/>
    </row>
    <row r="58" ht="15.0" customHeight="1">
      <c r="A58" s="8"/>
      <c r="B58" s="19"/>
      <c r="C58" s="8"/>
    </row>
    <row r="59" ht="7.5" customHeight="1">
      <c r="A59" s="8"/>
      <c r="B59" s="8"/>
      <c r="C59" s="8"/>
    </row>
  </sheetData>
  <dataValidations>
    <dataValidation type="list" allowBlank="1" showDropDown="1" showErrorMessage="1" sqref="B11:B14">
      <formula1>RefList!$B$3:$B$58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25.13"/>
    <col customWidth="1" min="4" max="4" width="1.38"/>
    <col customWidth="1" min="5" max="5" width="15.13"/>
    <col customWidth="1" min="6" max="6" width="1.38"/>
    <col customWidth="1" min="7" max="7" width="15.13"/>
    <col customWidth="1" min="8" max="8" width="1.38"/>
    <col customWidth="1" min="9" max="10" width="18.88"/>
    <col customWidth="1" min="11" max="11" width="1.38"/>
  </cols>
  <sheetData>
    <row r="1" ht="7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22.5" customHeight="1">
      <c r="A2" s="17"/>
      <c r="B2" s="63" t="s">
        <v>135</v>
      </c>
      <c r="C2" s="64" t="s">
        <v>136</v>
      </c>
      <c r="D2" s="65"/>
      <c r="E2" s="66" t="s">
        <v>137</v>
      </c>
      <c r="F2" s="17"/>
      <c r="G2" s="67" t="s">
        <v>138</v>
      </c>
      <c r="H2" s="17"/>
      <c r="I2" s="68" t="s">
        <v>139</v>
      </c>
      <c r="J2" s="68" t="s">
        <v>140</v>
      </c>
      <c r="K2" s="17"/>
    </row>
    <row r="3" ht="15.0" customHeight="1">
      <c r="A3" s="17"/>
      <c r="B3" s="63" t="s">
        <v>141</v>
      </c>
      <c r="C3" s="69"/>
      <c r="D3" s="65"/>
      <c r="E3" s="70" t="str">
        <f> VLOOKUP(C2,'Pekosign Individual qualifier s'!C5:V37,4,0) </f>
        <v>#N/A</v>
      </c>
      <c r="F3" s="17"/>
      <c r="G3" s="71" t="s">
        <v>142</v>
      </c>
      <c r="H3" s="17"/>
      <c r="I3" s="68" t="s">
        <v>143</v>
      </c>
      <c r="J3" s="68" t="s">
        <v>144</v>
      </c>
      <c r="K3" s="17"/>
    </row>
    <row r="4" ht="15.0" customHeight="1">
      <c r="A4" s="17"/>
      <c r="B4" s="63" t="s">
        <v>145</v>
      </c>
      <c r="C4" s="72" t="str">
        <f>"!mp make "&amp;TourneyAbb&amp;" : (Qualifiers) vs ("&amp;C2&amp;")"</f>
        <v>!mp make PT : (Qualifiers) vs (A)</v>
      </c>
      <c r="D4" s="65"/>
      <c r="E4" s="73" t="str">
        <f> VLOOKUP(C2,'Pekosign Individual qualifier s'!C5:V37,2,0) </f>
        <v>#N/A</v>
      </c>
      <c r="F4" s="17"/>
      <c r="H4" s="17"/>
      <c r="I4" s="68" t="s">
        <v>146</v>
      </c>
      <c r="J4" s="68" t="s">
        <v>147</v>
      </c>
      <c r="K4" s="17"/>
    </row>
    <row r="5" ht="15.0" customHeight="1">
      <c r="A5" s="17"/>
      <c r="B5" s="63" t="s">
        <v>148</v>
      </c>
      <c r="C5" s="74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65"/>
      <c r="E5" s="73" t="str">
        <f>CONCATENATE(VLOOKUP(C2,'Pekosign Individual qualifier s'!C5:V37,3,0)," UTC")</f>
        <v>#N/A</v>
      </c>
      <c r="F5" s="17"/>
      <c r="H5" s="17"/>
      <c r="I5" s="73" t="s">
        <v>149</v>
      </c>
      <c r="J5" s="68" t="s">
        <v>150</v>
      </c>
      <c r="K5" s="17"/>
    </row>
    <row r="6" ht="7.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ht="18.75" customHeight="1">
      <c r="A7" s="17"/>
      <c r="B7" s="75" t="s">
        <v>151</v>
      </c>
      <c r="C7" s="76" t="s">
        <v>152</v>
      </c>
      <c r="D7" s="77"/>
      <c r="E7" s="75" t="s">
        <v>153</v>
      </c>
      <c r="F7" s="17"/>
      <c r="G7" s="78" t="s">
        <v>154</v>
      </c>
      <c r="K7" s="17"/>
    </row>
    <row r="8" ht="18.0" customHeight="1">
      <c r="A8" s="17"/>
      <c r="B8" s="79" t="str">
        <f>(VLOOKUP($C$2,'Pekosign Individual qualifier s'!$C$5:$V$37,5,0))</f>
        <v>#N/A</v>
      </c>
      <c r="C8" s="80" t="str">
        <f t="shared" ref="C8:C22" si="1">IFS(B8="","",B8&lt;&gt;"","!mp invite "&amp;B8)</f>
        <v>#N/A</v>
      </c>
      <c r="D8" s="81"/>
      <c r="E8" s="79" t="b">
        <v>0</v>
      </c>
      <c r="F8" s="17"/>
      <c r="G8" s="82" t="s">
        <v>69</v>
      </c>
      <c r="H8" s="83"/>
      <c r="I8" s="83" t="s">
        <v>70</v>
      </c>
      <c r="J8" s="82" t="s">
        <v>155</v>
      </c>
      <c r="K8" s="17"/>
    </row>
    <row r="9" ht="18.0" customHeight="1">
      <c r="A9" s="17"/>
      <c r="B9" s="79" t="str">
        <f>(VLOOKUP($C$2,'Pekosign Individual qualifier s'!$C$5:$V$37,6,0))</f>
        <v>#N/A</v>
      </c>
      <c r="C9" s="80" t="str">
        <f t="shared" si="1"/>
        <v>#N/A</v>
      </c>
      <c r="D9" s="81"/>
      <c r="E9" s="79" t="b">
        <v>0</v>
      </c>
      <c r="F9" s="17"/>
      <c r="G9" s="84" t="str">
        <f t="array" ref="G9:G18">PoolSample!I3:I12</f>
        <v>!mp map 3276259</v>
      </c>
      <c r="H9" s="85"/>
      <c r="I9" s="86" t="str">
        <f t="array" ref="I9:I18">PoolSample!J3:J12</f>
        <v>!mp mods NF</v>
      </c>
      <c r="J9" s="87" t="str">
        <f t="array" ref="J9:J18">PoolSample!H3:H12</f>
        <v>NM1: Imy - Divine's Game [Extra]</v>
      </c>
      <c r="K9" s="17"/>
    </row>
    <row r="10" ht="18.0" customHeight="1">
      <c r="A10" s="17"/>
      <c r="B10" s="79" t="str">
        <f>(VLOOKUP($C$2,'Pekosign Individual qualifier s'!$C$5:$V$37,7,0))</f>
        <v>#N/A</v>
      </c>
      <c r="C10" s="80" t="str">
        <f t="shared" si="1"/>
        <v>#N/A</v>
      </c>
      <c r="D10" s="81"/>
      <c r="E10" s="79" t="b">
        <v>0</v>
      </c>
      <c r="F10" s="17"/>
      <c r="G10" s="88" t="s">
        <v>77</v>
      </c>
      <c r="H10" s="85"/>
      <c r="I10" s="89" t="s">
        <v>78</v>
      </c>
      <c r="J10" s="87" t="s">
        <v>76</v>
      </c>
      <c r="K10" s="17"/>
    </row>
    <row r="11" ht="18.0" customHeight="1">
      <c r="A11" s="17"/>
      <c r="B11" s="79" t="str">
        <f>(VLOOKUP($C$2,'Pekosign Individual qualifier s'!$C$5:$V$37,8,0))</f>
        <v>#N/A</v>
      </c>
      <c r="C11" s="80" t="str">
        <f t="shared" si="1"/>
        <v>#N/A</v>
      </c>
      <c r="D11" s="81"/>
      <c r="E11" s="79" t="b">
        <v>0</v>
      </c>
      <c r="F11" s="17"/>
      <c r="G11" s="88" t="s">
        <v>82</v>
      </c>
      <c r="H11" s="85"/>
      <c r="I11" s="89" t="s">
        <v>78</v>
      </c>
      <c r="J11" s="87" t="s">
        <v>81</v>
      </c>
      <c r="K11" s="17"/>
    </row>
    <row r="12" ht="18.0" customHeight="1">
      <c r="A12" s="17"/>
      <c r="B12" s="79" t="str">
        <f>(VLOOKUP($C$2,'Pekosign Individual qualifier s'!$C$5:$V$37,9,0))</f>
        <v>#N/A</v>
      </c>
      <c r="C12" s="80" t="str">
        <f t="shared" si="1"/>
        <v>#N/A</v>
      </c>
      <c r="D12" s="81"/>
      <c r="E12" s="79" t="b">
        <v>0</v>
      </c>
      <c r="F12" s="17"/>
      <c r="G12" s="88" t="s">
        <v>86</v>
      </c>
      <c r="H12" s="85"/>
      <c r="I12" s="89" t="s">
        <v>78</v>
      </c>
      <c r="J12" s="87" t="s">
        <v>85</v>
      </c>
      <c r="K12" s="17"/>
    </row>
    <row r="13" ht="18.0" customHeight="1">
      <c r="A13" s="17"/>
      <c r="B13" s="79" t="str">
        <f>(VLOOKUP($C$2,'Pekosign Individual qualifier s'!$C$5:$V$37,5,0))</f>
        <v>#N/A</v>
      </c>
      <c r="C13" s="80" t="str">
        <f t="shared" si="1"/>
        <v>#N/A</v>
      </c>
      <c r="D13" s="81"/>
      <c r="E13" s="79" t="b">
        <v>0</v>
      </c>
      <c r="F13" s="17"/>
      <c r="G13" s="90" t="s">
        <v>90</v>
      </c>
      <c r="H13" s="85"/>
      <c r="I13" s="89" t="s">
        <v>91</v>
      </c>
      <c r="J13" s="87" t="s">
        <v>89</v>
      </c>
      <c r="K13" s="17"/>
    </row>
    <row r="14" ht="18.0" customHeight="1">
      <c r="A14" s="17"/>
      <c r="B14" s="79" t="str">
        <f>(VLOOKUP($C$2,'Pekosign Individual qualifier s'!$C$5:$V$37,10,0))</f>
        <v>#N/A</v>
      </c>
      <c r="C14" s="80" t="str">
        <f t="shared" si="1"/>
        <v>#N/A</v>
      </c>
      <c r="D14" s="81"/>
      <c r="E14" s="79" t="b">
        <v>0</v>
      </c>
      <c r="F14" s="17"/>
      <c r="G14" s="90" t="s">
        <v>95</v>
      </c>
      <c r="H14" s="85"/>
      <c r="I14" s="89" t="s">
        <v>91</v>
      </c>
      <c r="J14" s="87" t="s">
        <v>94</v>
      </c>
      <c r="K14" s="17"/>
    </row>
    <row r="15" ht="18.0" customHeight="1">
      <c r="A15" s="17"/>
      <c r="B15" s="79" t="str">
        <f>(VLOOKUP($C$2,'Pekosign Individual qualifier s'!$C$5:$V$37,11,0))</f>
        <v>#N/A</v>
      </c>
      <c r="C15" s="80" t="str">
        <f t="shared" si="1"/>
        <v>#N/A</v>
      </c>
      <c r="D15" s="81"/>
      <c r="E15" s="79" t="b">
        <v>0</v>
      </c>
      <c r="F15" s="17"/>
      <c r="G15" s="91" t="s">
        <v>99</v>
      </c>
      <c r="H15" s="85"/>
      <c r="I15" s="89" t="s">
        <v>100</v>
      </c>
      <c r="J15" s="87" t="s">
        <v>98</v>
      </c>
      <c r="K15" s="17"/>
    </row>
    <row r="16" ht="18.0" customHeight="1">
      <c r="A16" s="17"/>
      <c r="B16" s="79" t="str">
        <f>(VLOOKUP($C$2,'Pekosign Individual qualifier s'!$C$5:$V$37,12,0))</f>
        <v>#N/A</v>
      </c>
      <c r="C16" s="80" t="str">
        <f t="shared" si="1"/>
        <v>#N/A</v>
      </c>
      <c r="D16" s="81"/>
      <c r="E16" s="79" t="b">
        <v>0</v>
      </c>
      <c r="F16" s="17"/>
      <c r="G16" s="91" t="s">
        <v>104</v>
      </c>
      <c r="H16" s="85"/>
      <c r="I16" s="89" t="s">
        <v>100</v>
      </c>
      <c r="J16" s="87" t="s">
        <v>103</v>
      </c>
      <c r="K16" s="17"/>
    </row>
    <row r="17" ht="18.0" customHeight="1">
      <c r="A17" s="17"/>
      <c r="B17" s="79" t="str">
        <f>(VLOOKUP($C$2,'Pekosign Individual qualifier s'!$C$5:$V$37,13,0))</f>
        <v>#N/A</v>
      </c>
      <c r="C17" s="80" t="str">
        <f t="shared" si="1"/>
        <v>#N/A</v>
      </c>
      <c r="D17" s="81"/>
      <c r="E17" s="79" t="b">
        <v>0</v>
      </c>
      <c r="F17" s="17"/>
      <c r="G17" s="92" t="s">
        <v>108</v>
      </c>
      <c r="H17" s="85"/>
      <c r="I17" s="89" t="s">
        <v>109</v>
      </c>
      <c r="J17" s="87" t="s">
        <v>107</v>
      </c>
      <c r="K17" s="17"/>
    </row>
    <row r="18" ht="18.0" customHeight="1">
      <c r="A18" s="17"/>
      <c r="B18" s="79" t="str">
        <f>(VLOOKUP($C$2,'Pekosign Individual qualifier s'!$C$5:$V$37,14,0))</f>
        <v>#N/A</v>
      </c>
      <c r="C18" s="80" t="str">
        <f t="shared" si="1"/>
        <v>#N/A</v>
      </c>
      <c r="D18" s="81"/>
      <c r="E18" s="79" t="b">
        <v>0</v>
      </c>
      <c r="F18" s="17"/>
      <c r="G18" s="92" t="s">
        <v>113</v>
      </c>
      <c r="H18" s="85"/>
      <c r="I18" s="89" t="s">
        <v>109</v>
      </c>
      <c r="J18" s="87" t="s">
        <v>112</v>
      </c>
      <c r="K18" s="17"/>
    </row>
    <row r="19" ht="18.0" customHeight="1">
      <c r="A19" s="17"/>
      <c r="B19" s="79" t="str">
        <f>(VLOOKUP($C$2,'Pekosign Individual qualifier s'!$C$5:$V$37,15,0))</f>
        <v>#N/A</v>
      </c>
      <c r="C19" s="80" t="str">
        <f t="shared" si="1"/>
        <v>#N/A</v>
      </c>
      <c r="D19" s="81"/>
      <c r="E19" s="79" t="b">
        <v>0</v>
      </c>
      <c r="F19" s="17"/>
      <c r="G19" s="93"/>
      <c r="H19" s="85"/>
      <c r="I19" s="89"/>
      <c r="J19" s="94"/>
      <c r="K19" s="17"/>
    </row>
    <row r="20" ht="18.0" customHeight="1">
      <c r="A20" s="17"/>
      <c r="B20" s="79" t="str">
        <f>(VLOOKUP($C$2,'Pekosign Individual qualifier s'!$C$5:$V$37,16,0))</f>
        <v>#N/A</v>
      </c>
      <c r="C20" s="80" t="str">
        <f t="shared" si="1"/>
        <v>#N/A</v>
      </c>
      <c r="D20" s="81"/>
      <c r="E20" s="79" t="b">
        <v>0</v>
      </c>
      <c r="F20" s="17"/>
      <c r="G20" s="93"/>
      <c r="H20" s="85"/>
      <c r="I20" s="89"/>
      <c r="J20" s="94"/>
      <c r="K20" s="17"/>
    </row>
    <row r="21" ht="18.0" customHeight="1">
      <c r="A21" s="17"/>
      <c r="B21" s="79" t="str">
        <f>(VLOOKUP($C$2,'Pekosign Individual qualifier s'!$C$5:$V$37,17,0))</f>
        <v>#N/A</v>
      </c>
      <c r="C21" s="80" t="str">
        <f t="shared" si="1"/>
        <v>#N/A</v>
      </c>
      <c r="D21" s="81"/>
      <c r="E21" s="79" t="b">
        <v>0</v>
      </c>
      <c r="F21" s="17"/>
      <c r="G21" s="93"/>
      <c r="H21" s="85"/>
      <c r="I21" s="89"/>
      <c r="J21" s="94"/>
      <c r="K21" s="17"/>
    </row>
    <row r="22" ht="18.0" customHeight="1">
      <c r="A22" s="17"/>
      <c r="B22" s="79" t="str">
        <f>(VLOOKUP($C$2,'Pekosign Individual qualifier s'!$C$5:$V$37,18,0))</f>
        <v>#N/A</v>
      </c>
      <c r="C22" s="80" t="str">
        <f t="shared" si="1"/>
        <v>#N/A</v>
      </c>
      <c r="D22" s="81"/>
      <c r="E22" s="79" t="b">
        <v>0</v>
      </c>
      <c r="F22" s="17"/>
      <c r="G22" s="93"/>
      <c r="H22" s="85"/>
      <c r="I22" s="89"/>
      <c r="J22" s="94"/>
      <c r="K22" s="17"/>
    </row>
    <row r="23" ht="7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mergeCells count="16">
    <mergeCell ref="G3:G5"/>
    <mergeCell ref="G7:J7"/>
    <mergeCell ref="G9:H9"/>
    <mergeCell ref="G10:H10"/>
    <mergeCell ref="G11:H11"/>
    <mergeCell ref="G12:H12"/>
    <mergeCell ref="G13:H13"/>
    <mergeCell ref="G21:H21"/>
    <mergeCell ref="G22:H22"/>
    <mergeCell ref="G14:H14"/>
    <mergeCell ref="G15:H15"/>
    <mergeCell ref="G16:H16"/>
    <mergeCell ref="G17:H17"/>
    <mergeCell ref="G18:H18"/>
    <mergeCell ref="G19:H19"/>
    <mergeCell ref="G20:H20"/>
  </mergeCells>
  <conditionalFormatting sqref="J9:J22">
    <cfRule type="beginsWith" dxfId="0" priority="1" operator="beginsWith" text="NM">
      <formula>LEFT((J9),LEN("NM"))=("NM")</formula>
    </cfRule>
  </conditionalFormatting>
  <conditionalFormatting sqref="J9:J22">
    <cfRule type="beginsWith" dxfId="1" priority="2" operator="beginsWith" text="HD">
      <formula>LEFT((J9),LEN("HD"))=("HD")</formula>
    </cfRule>
  </conditionalFormatting>
  <conditionalFormatting sqref="J9:J22">
    <cfRule type="beginsWith" dxfId="2" priority="3" operator="beginsWith" text="HR">
      <formula>LEFT((J9),LEN("HR"))=("HR")</formula>
    </cfRule>
  </conditionalFormatting>
  <conditionalFormatting sqref="J9:J22">
    <cfRule type="beginsWith" dxfId="3" priority="4" operator="beginsWith" text="DT">
      <formula>LEFT((J9),LEN("DT"))=("DT")</formula>
    </cfRule>
  </conditionalFormatting>
  <conditionalFormatting sqref="G9:G22 I9:I22">
    <cfRule type="cellIs" dxfId="0" priority="5" operator="equal">
      <formula>"!mp mods NF"</formula>
    </cfRule>
  </conditionalFormatting>
  <conditionalFormatting sqref="G9:G22 I9:I22">
    <cfRule type="cellIs" dxfId="1" priority="6" operator="equal">
      <formula>"!mp mods HD NF"</formula>
    </cfRule>
  </conditionalFormatting>
  <conditionalFormatting sqref="G9:G22 I9:I22">
    <cfRule type="cellIs" dxfId="2" priority="7" operator="equal">
      <formula>"!mp mods HR NF"</formula>
    </cfRule>
  </conditionalFormatting>
  <conditionalFormatting sqref="G9:G22 I9:I22">
    <cfRule type="cellIs" dxfId="3" priority="8" operator="equal">
      <formula>"!mp mods DT NF"</formula>
    </cfRule>
  </conditionalFormatting>
  <conditionalFormatting sqref="G9:G22 I9:J22">
    <cfRule type="beginsWith" dxfId="4" priority="9" operator="beginsWith" text="FM">
      <formula>LEFT((G9),LEN("FM"))=("FM")</formula>
    </cfRule>
  </conditionalFormatting>
  <conditionalFormatting sqref="G9:G22 I9:J22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8">
    <cfRule type="expression" dxfId="8" priority="13">
      <formula>E8=TRUE</formula>
    </cfRule>
  </conditionalFormatting>
  <conditionalFormatting sqref="C9">
    <cfRule type="expression" dxfId="8" priority="14">
      <formula>E9=TRUE</formula>
    </cfRule>
  </conditionalFormatting>
  <conditionalFormatting sqref="C10">
    <cfRule type="expression" dxfId="8" priority="15">
      <formula>E10=TRUE</formula>
    </cfRule>
  </conditionalFormatting>
  <conditionalFormatting sqref="C11">
    <cfRule type="expression" dxfId="8" priority="16">
      <formula>E11=TRUE</formula>
    </cfRule>
  </conditionalFormatting>
  <conditionalFormatting sqref="C12">
    <cfRule type="expression" dxfId="8" priority="17">
      <formula>E12=TRUE</formula>
    </cfRule>
  </conditionalFormatting>
  <conditionalFormatting sqref="C13">
    <cfRule type="expression" dxfId="8" priority="18">
      <formula>E13=TRUE</formula>
    </cfRule>
  </conditionalFormatting>
  <conditionalFormatting sqref="C14">
    <cfRule type="expression" dxfId="8" priority="19">
      <formula>E14=TRUE</formula>
    </cfRule>
  </conditionalFormatting>
  <conditionalFormatting sqref="C15">
    <cfRule type="expression" dxfId="8" priority="20">
      <formula>E15=TRUE</formula>
    </cfRule>
  </conditionalFormatting>
  <conditionalFormatting sqref="C16">
    <cfRule type="expression" dxfId="8" priority="21">
      <formula>E16=TRUE</formula>
    </cfRule>
  </conditionalFormatting>
  <conditionalFormatting sqref="C17">
    <cfRule type="expression" dxfId="8" priority="22">
      <formula>E17=TRUE</formula>
    </cfRule>
  </conditionalFormatting>
  <conditionalFormatting sqref="C18">
    <cfRule type="expression" dxfId="8" priority="23">
      <formula>E18=TRUE</formula>
    </cfRule>
  </conditionalFormatting>
  <conditionalFormatting sqref="C19">
    <cfRule type="expression" dxfId="8" priority="24">
      <formula>E19=TRUE</formula>
    </cfRule>
  </conditionalFormatting>
  <conditionalFormatting sqref="C20">
    <cfRule type="expression" dxfId="8" priority="25">
      <formula>E20=TRUE</formula>
    </cfRule>
  </conditionalFormatting>
  <conditionalFormatting sqref="C22">
    <cfRule type="expression" dxfId="8" priority="26">
      <formula>E22=TRUE</formula>
    </cfRule>
  </conditionalFormatting>
  <conditionalFormatting sqref="C21">
    <cfRule type="expression" dxfId="8" priority="27">
      <formula>E21=TRUE</formula>
    </cfRule>
  </conditionalFormatting>
  <dataValidations>
    <dataValidation type="list" allowBlank="1" sqref="C2">
      <formula1>'Pekosign Individual qualifier s'!$C$5:$C37</formula1>
    </dataValidation>
  </dataValidations>
  <hyperlinks>
    <hyperlink r:id="rId2" ref="J10"/>
    <hyperlink r:id="rId3" ref="J11"/>
    <hyperlink r:id="rId4" ref="J12"/>
    <hyperlink r:id="rId5" ref="J13"/>
    <hyperlink r:id="rId6" ref="J14"/>
    <hyperlink r:id="rId7" ref="J15"/>
    <hyperlink r:id="rId8" ref="J16"/>
    <hyperlink r:id="rId9" ref="J17"/>
    <hyperlink r:id="rId10" ref="J18"/>
  </hyperlinks>
  <drawing r:id="rId11"/>
  <legacy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18.88"/>
    <col customWidth="1" min="4" max="4" width="1.38"/>
    <col customWidth="1" min="5" max="5" width="15.13"/>
    <col customWidth="1" min="6" max="6" width="1.38"/>
    <col customWidth="1" min="7" max="7" width="15.13"/>
    <col customWidth="1" min="8" max="8" width="1.38"/>
    <col customWidth="1" min="9" max="9" width="15.13"/>
    <col customWidth="1" min="10" max="10" width="18.88"/>
    <col customWidth="1" min="11" max="11" width="1.38"/>
  </cols>
  <sheetData>
    <row r="1" ht="7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22.5" customHeight="1">
      <c r="A2" s="17"/>
      <c r="B2" s="63" t="s">
        <v>135</v>
      </c>
      <c r="C2" s="64" t="s">
        <v>156</v>
      </c>
      <c r="D2" s="17"/>
      <c r="E2" s="66" t="s">
        <v>137</v>
      </c>
      <c r="F2" s="17"/>
      <c r="G2" s="67" t="s">
        <v>138</v>
      </c>
      <c r="H2" s="17"/>
      <c r="I2" s="68" t="s">
        <v>139</v>
      </c>
      <c r="J2" s="68" t="s">
        <v>140</v>
      </c>
      <c r="K2" s="17"/>
    </row>
    <row r="3" ht="22.5" customHeight="1">
      <c r="A3" s="17"/>
      <c r="B3" s="63" t="s">
        <v>141</v>
      </c>
      <c r="C3" s="95"/>
      <c r="D3" s="17"/>
      <c r="E3" s="96">
        <f> VLOOKUP(C2,'Pekosign Individual qualifier s'!C5:V37,4,0) </f>
        <v>0</v>
      </c>
      <c r="F3" s="17"/>
      <c r="G3" s="97" t="s">
        <v>142</v>
      </c>
      <c r="H3" s="17"/>
      <c r="I3" s="68" t="s">
        <v>143</v>
      </c>
      <c r="J3" s="68" t="s">
        <v>144</v>
      </c>
      <c r="K3" s="17"/>
    </row>
    <row r="4" ht="22.5" customHeight="1">
      <c r="A4" s="17"/>
      <c r="B4" s="63" t="s">
        <v>145</v>
      </c>
      <c r="C4" s="72" t="str">
        <f>"!mp make "&amp;TourneyAbb&amp;" : (Qualifiers) vs ("&amp;C2&amp;")"</f>
        <v>!mp make PT : (Qualifiers) vs (A1)</v>
      </c>
      <c r="D4" s="17"/>
      <c r="E4" s="98" t="str">
        <f> VLOOKUP(C2,'Pekosign Individual qualifier s'!C5:V37,2,0) </f>
        <v>12 / 15</v>
      </c>
      <c r="F4" s="17"/>
      <c r="H4" s="17"/>
      <c r="I4" s="68" t="s">
        <v>146</v>
      </c>
      <c r="J4" s="68" t="s">
        <v>147</v>
      </c>
      <c r="K4" s="17"/>
    </row>
    <row r="5" ht="22.5" customHeight="1">
      <c r="A5" s="17"/>
      <c r="B5" s="63" t="s">
        <v>148</v>
      </c>
      <c r="C5" s="74" t="str">
        <f>IFS(C3="","Put the MP link first!",C3&gt;"", "**Qualifier Lobby "&amp;C2&amp;"**" &amp;CHAR(13)&amp; " MP LINK: "&amp;C3&amp;" "&amp;CHAR(13)&amp;" Referee Notes: "&amp;G3) &amp;CHAR(13)</f>
        <v>Put the MP link first!
</v>
      </c>
      <c r="D5" s="17"/>
      <c r="E5" s="98" t="str">
        <f>CONCATENATE(VLOOKUP(C2,'Pekosign Individual qualifier s'!C5:V37,3,0)," UTC")</f>
        <v>44618 UTC</v>
      </c>
      <c r="F5" s="17"/>
      <c r="H5" s="17"/>
      <c r="I5" s="98" t="s">
        <v>149</v>
      </c>
      <c r="J5" s="99" t="s">
        <v>150</v>
      </c>
      <c r="K5" s="17"/>
    </row>
    <row r="6" ht="7.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ht="22.5" customHeight="1">
      <c r="A7" s="17"/>
      <c r="B7" s="75" t="s">
        <v>151</v>
      </c>
      <c r="C7" s="76" t="s">
        <v>152</v>
      </c>
      <c r="D7" s="77"/>
      <c r="E7" s="100" t="s">
        <v>157</v>
      </c>
      <c r="F7" s="17"/>
      <c r="G7" s="78" t="s">
        <v>154</v>
      </c>
      <c r="K7" s="17"/>
    </row>
    <row r="8" ht="18.75" customHeight="1">
      <c r="A8" s="17"/>
      <c r="B8" s="101" t="str">
        <f>(VLOOKUP($C$2,'Pekosign Individual qualifier s'!$C$5:$V$37,5,0))</f>
        <v>-Pekora-</v>
      </c>
      <c r="C8" s="102" t="str">
        <f t="shared" ref="C8:C22" si="1">IFS(B8="","",B8&lt;&gt;"","!mp invite "&amp;B8)</f>
        <v>!mp invite -Pekora-</v>
      </c>
      <c r="D8" s="81"/>
      <c r="E8" s="79" t="b">
        <v>0</v>
      </c>
      <c r="F8" s="17"/>
      <c r="G8" s="103" t="s">
        <v>158</v>
      </c>
      <c r="H8" s="83"/>
      <c r="I8" s="83" t="s">
        <v>70</v>
      </c>
      <c r="J8" s="82" t="s">
        <v>155</v>
      </c>
      <c r="K8" s="17"/>
    </row>
    <row r="9" ht="18.75" customHeight="1">
      <c r="A9" s="17"/>
      <c r="B9" s="101" t="str">
        <f>(VLOOKUP($C$2,'Pekosign Individual qualifier s'!$C$5:$V$37,6,0))</f>
        <v>Retard</v>
      </c>
      <c r="C9" s="102" t="str">
        <f t="shared" si="1"/>
        <v>!mp invite Retard</v>
      </c>
      <c r="D9" s="81"/>
      <c r="E9" s="79" t="b">
        <v>0</v>
      </c>
      <c r="F9" s="17"/>
      <c r="G9" s="104" t="str">
        <f t="array" ref="G9:G18">PoolSample!I3:I12</f>
        <v>!mp map 3276259</v>
      </c>
      <c r="H9" s="105"/>
      <c r="I9" s="106" t="str">
        <f t="array" ref="I9:I18">PoolSample!J3:J12</f>
        <v>!mp mods NF</v>
      </c>
      <c r="J9" s="107" t="str">
        <f t="array" ref="J9:J18">PoolSample!H3:H12</f>
        <v>NM1: Imy - Divine's Game [Extra]</v>
      </c>
      <c r="K9" s="17"/>
    </row>
    <row r="10" ht="18.75" customHeight="1">
      <c r="A10" s="17"/>
      <c r="B10" s="101">
        <f>(VLOOKUP($C$2,'Pekosign Individual qualifier s'!$C$5:$V$37,7,0))</f>
        <v>556353</v>
      </c>
      <c r="C10" s="102" t="str">
        <f t="shared" si="1"/>
        <v>!mp invite 556353</v>
      </c>
      <c r="D10" s="81"/>
      <c r="E10" s="79" t="b">
        <v>0</v>
      </c>
      <c r="F10" s="17"/>
      <c r="G10" s="108" t="s">
        <v>77</v>
      </c>
      <c r="H10" s="105"/>
      <c r="I10" s="105" t="s">
        <v>78</v>
      </c>
      <c r="J10" s="107" t="s">
        <v>76</v>
      </c>
      <c r="K10" s="17"/>
    </row>
    <row r="11" ht="18.75" customHeight="1">
      <c r="A11" s="17"/>
      <c r="B11" s="101" t="str">
        <f>(VLOOKUP($C$2,'Pekosign Individual qualifier s'!$C$5:$V$37,8,0))</f>
        <v>Whatchat</v>
      </c>
      <c r="C11" s="102" t="str">
        <f t="shared" si="1"/>
        <v>!mp invite Whatchat</v>
      </c>
      <c r="D11" s="81"/>
      <c r="E11" s="79" t="b">
        <v>0</v>
      </c>
      <c r="F11" s="17"/>
      <c r="G11" s="108" t="s">
        <v>82</v>
      </c>
      <c r="H11" s="105"/>
      <c r="I11" s="105" t="s">
        <v>78</v>
      </c>
      <c r="J11" s="107" t="s">
        <v>81</v>
      </c>
      <c r="K11" s="17"/>
    </row>
    <row r="12" ht="18.75" customHeight="1">
      <c r="A12" s="17"/>
      <c r="B12" s="101" t="str">
        <f>(VLOOKUP($C$2,'Pekosign Individual qualifier s'!$C$5:$V$37,9,0))</f>
        <v>Chin</v>
      </c>
      <c r="C12" s="102" t="str">
        <f t="shared" si="1"/>
        <v>!mp invite Chin</v>
      </c>
      <c r="D12" s="81"/>
      <c r="E12" s="79" t="b">
        <v>0</v>
      </c>
      <c r="F12" s="17"/>
      <c r="G12" s="108" t="s">
        <v>86</v>
      </c>
      <c r="H12" s="105"/>
      <c r="I12" s="105" t="s">
        <v>78</v>
      </c>
      <c r="J12" s="107" t="s">
        <v>85</v>
      </c>
      <c r="K12" s="17"/>
    </row>
    <row r="13" ht="18.75" customHeight="1">
      <c r="A13" s="17"/>
      <c r="B13" s="101" t="str">
        <f>(VLOOKUP($C$2,'Pekosign Individual qualifier s'!$C$5:$V$37,5,0))</f>
        <v>-Pekora-</v>
      </c>
      <c r="C13" s="102" t="str">
        <f t="shared" si="1"/>
        <v>!mp invite -Pekora-</v>
      </c>
      <c r="D13" s="81"/>
      <c r="E13" s="79" t="b">
        <v>0</v>
      </c>
      <c r="F13" s="17"/>
      <c r="G13" s="108" t="s">
        <v>90</v>
      </c>
      <c r="H13" s="105"/>
      <c r="I13" s="105" t="s">
        <v>91</v>
      </c>
      <c r="J13" s="107" t="s">
        <v>89</v>
      </c>
      <c r="K13" s="17"/>
    </row>
    <row r="14" ht="18.75" customHeight="1">
      <c r="A14" s="17"/>
      <c r="B14" s="101">
        <f>(VLOOKUP($C$2,'Pekosign Individual qualifier s'!$C$5:$V$37,10,0))</f>
        <v>556353</v>
      </c>
      <c r="C14" s="102" t="str">
        <f t="shared" si="1"/>
        <v>!mp invite 556353</v>
      </c>
      <c r="D14" s="81"/>
      <c r="E14" s="79" t="b">
        <v>0</v>
      </c>
      <c r="F14" s="17"/>
      <c r="G14" s="108" t="s">
        <v>95</v>
      </c>
      <c r="H14" s="105"/>
      <c r="I14" s="105" t="s">
        <v>91</v>
      </c>
      <c r="J14" s="107" t="s">
        <v>94</v>
      </c>
      <c r="K14" s="17"/>
    </row>
    <row r="15" ht="18.75" customHeight="1">
      <c r="A15" s="17"/>
      <c r="B15" s="101" t="str">
        <f>(VLOOKUP($C$2,'Pekosign Individual qualifier s'!$C$5:$V$37,11,0))</f>
        <v>Holy_Shit</v>
      </c>
      <c r="C15" s="102" t="str">
        <f t="shared" si="1"/>
        <v>!mp invite Holy_Shit</v>
      </c>
      <c r="D15" s="81"/>
      <c r="E15" s="79" t="b">
        <v>0</v>
      </c>
      <c r="F15" s="17"/>
      <c r="G15" s="108" t="s">
        <v>99</v>
      </c>
      <c r="H15" s="105"/>
      <c r="I15" s="105" t="s">
        <v>100</v>
      </c>
      <c r="J15" s="107" t="s">
        <v>98</v>
      </c>
      <c r="K15" s="17"/>
    </row>
    <row r="16" ht="18.75" customHeight="1">
      <c r="A16" s="17"/>
      <c r="B16" s="101" t="str">
        <f>(VLOOKUP($C$2,'Pekosign Individual qualifier s'!$C$5:$V$37,12,0))</f>
        <v>Halves</v>
      </c>
      <c r="C16" s="102" t="str">
        <f t="shared" si="1"/>
        <v>!mp invite Halves</v>
      </c>
      <c r="D16" s="81"/>
      <c r="E16" s="79" t="b">
        <v>0</v>
      </c>
      <c r="F16" s="17"/>
      <c r="G16" s="108" t="s">
        <v>104</v>
      </c>
      <c r="H16" s="105"/>
      <c r="I16" s="105" t="s">
        <v>100</v>
      </c>
      <c r="J16" s="107" t="s">
        <v>103</v>
      </c>
      <c r="K16" s="17"/>
    </row>
    <row r="17" ht="18.75" customHeight="1">
      <c r="A17" s="17"/>
      <c r="B17" s="101" t="str">
        <f>(VLOOKUP($C$2,'Pekosign Individual qualifier s'!$C$5:$V$37,13,0))</f>
        <v>Damn</v>
      </c>
      <c r="C17" s="102" t="str">
        <f t="shared" si="1"/>
        <v>!mp invite Damn</v>
      </c>
      <c r="D17" s="81"/>
      <c r="E17" s="79" t="b">
        <v>0</v>
      </c>
      <c r="F17" s="17"/>
      <c r="G17" s="108" t="s">
        <v>108</v>
      </c>
      <c r="H17" s="105"/>
      <c r="I17" s="105" t="s">
        <v>109</v>
      </c>
      <c r="J17" s="107" t="s">
        <v>107</v>
      </c>
      <c r="K17" s="17"/>
    </row>
    <row r="18" ht="18.75" customHeight="1">
      <c r="A18" s="17"/>
      <c r="B18" s="101" t="str">
        <f>(VLOOKUP($C$2,'Pekosign Individual qualifier s'!$C$5:$V$37,14,0))</f>
        <v>Morse</v>
      </c>
      <c r="C18" s="102" t="str">
        <f t="shared" si="1"/>
        <v>!mp invite Morse</v>
      </c>
      <c r="D18" s="81"/>
      <c r="E18" s="79" t="b">
        <v>0</v>
      </c>
      <c r="F18" s="17"/>
      <c r="G18" s="108" t="s">
        <v>113</v>
      </c>
      <c r="H18" s="105"/>
      <c r="I18" s="105" t="s">
        <v>109</v>
      </c>
      <c r="J18" s="107" t="s">
        <v>112</v>
      </c>
      <c r="K18" s="17"/>
    </row>
    <row r="19" ht="18.75" customHeight="1">
      <c r="A19" s="17"/>
      <c r="B19" s="101" t="str">
        <f>(VLOOKUP($C$2,'Pekosign Individual qualifier s'!$C$5:$V$37,15,0))</f>
        <v>What</v>
      </c>
      <c r="C19" s="102" t="str">
        <f t="shared" si="1"/>
        <v>!mp invite What</v>
      </c>
      <c r="D19" s="81"/>
      <c r="E19" s="79" t="b">
        <v>0</v>
      </c>
      <c r="F19" s="17"/>
      <c r="G19" s="108"/>
      <c r="H19" s="105"/>
      <c r="I19" s="105"/>
      <c r="J19" s="109"/>
      <c r="K19" s="17"/>
    </row>
    <row r="20" ht="18.75" customHeight="1">
      <c r="A20" s="17"/>
      <c r="B20" s="101" t="str">
        <f>(VLOOKUP($C$2,'Pekosign Individual qualifier s'!$C$5:$V$37,16,0))</f>
        <v>Holy_Shit</v>
      </c>
      <c r="C20" s="102" t="str">
        <f t="shared" si="1"/>
        <v>!mp invite Holy_Shit</v>
      </c>
      <c r="D20" s="81"/>
      <c r="E20" s="79" t="b">
        <v>0</v>
      </c>
      <c r="F20" s="17"/>
      <c r="G20" s="93"/>
      <c r="H20" s="89"/>
      <c r="I20" s="89"/>
      <c r="J20" s="94"/>
      <c r="K20" s="17"/>
    </row>
    <row r="21" ht="18.75" customHeight="1">
      <c r="A21" s="17"/>
      <c r="B21" s="101" t="str">
        <f>(VLOOKUP($C$2,'Pekosign Individual qualifier s'!$C$5:$V$37,17,0))</f>
        <v>Halves</v>
      </c>
      <c r="C21" s="102" t="str">
        <f t="shared" si="1"/>
        <v>!mp invite Halves</v>
      </c>
      <c r="D21" s="81"/>
      <c r="E21" s="79" t="b">
        <v>0</v>
      </c>
      <c r="F21" s="17"/>
      <c r="G21" s="93"/>
      <c r="H21" s="89"/>
      <c r="I21" s="89"/>
      <c r="J21" s="94"/>
      <c r="K21" s="17"/>
    </row>
    <row r="22" ht="18.75" customHeight="1">
      <c r="A22" s="17"/>
      <c r="B22" s="101" t="str">
        <f>(VLOOKUP($C$2,'Pekosign Individual qualifier s'!$C$5:$V$37,18,0))</f>
        <v>Retard</v>
      </c>
      <c r="C22" s="102" t="str">
        <f t="shared" si="1"/>
        <v>!mp invite Retard</v>
      </c>
      <c r="D22" s="81"/>
      <c r="E22" s="79" t="b">
        <v>0</v>
      </c>
      <c r="F22" s="17"/>
      <c r="G22" s="93"/>
      <c r="H22" s="89"/>
      <c r="I22" s="89"/>
      <c r="J22" s="94"/>
      <c r="K22" s="17"/>
    </row>
    <row r="23" ht="7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mergeCells count="2">
    <mergeCell ref="G3:G5"/>
    <mergeCell ref="G7:J7"/>
  </mergeCells>
  <conditionalFormatting sqref="J9:J22">
    <cfRule type="beginsWith" dxfId="0" priority="1" operator="beginsWith" text="NM">
      <formula>LEFT((J9),LEN("NM"))=("NM")</formula>
    </cfRule>
  </conditionalFormatting>
  <conditionalFormatting sqref="J9:J22">
    <cfRule type="beginsWith" dxfId="1" priority="2" operator="beginsWith" text="HD">
      <formula>LEFT((J9),LEN("HD"))=("HD")</formula>
    </cfRule>
  </conditionalFormatting>
  <conditionalFormatting sqref="J9:J22">
    <cfRule type="beginsWith" dxfId="2" priority="3" operator="beginsWith" text="HR">
      <formula>LEFT((J9),LEN("HR"))=("HR")</formula>
    </cfRule>
  </conditionalFormatting>
  <conditionalFormatting sqref="J9:J22">
    <cfRule type="beginsWith" dxfId="3" priority="4" operator="beginsWith" text="DT">
      <formula>LEFT((J9),LEN("DT"))=("DT")</formula>
    </cfRule>
  </conditionalFormatting>
  <conditionalFormatting sqref="G9:G22 I9:I22">
    <cfRule type="cellIs" dxfId="0" priority="5" operator="equal">
      <formula>"!mp mods NF"</formula>
    </cfRule>
  </conditionalFormatting>
  <conditionalFormatting sqref="G9:G22 I9:I22">
    <cfRule type="cellIs" dxfId="1" priority="6" operator="equal">
      <formula>"!mp mods HD NF"</formula>
    </cfRule>
  </conditionalFormatting>
  <conditionalFormatting sqref="G9:G22 I9:I22">
    <cfRule type="cellIs" dxfId="2" priority="7" operator="equal">
      <formula>"!mp mods HR NF"</formula>
    </cfRule>
  </conditionalFormatting>
  <conditionalFormatting sqref="G9:G22 I9:I22">
    <cfRule type="cellIs" dxfId="3" priority="8" operator="equal">
      <formula>"!mp mods DT NF"</formula>
    </cfRule>
  </conditionalFormatting>
  <conditionalFormatting sqref="G9:G22 I9:J22">
    <cfRule type="beginsWith" dxfId="4" priority="9" operator="beginsWith" text="FM">
      <formula>LEFT((G9),LEN("FM"))=("FM")</formula>
    </cfRule>
  </conditionalFormatting>
  <conditionalFormatting sqref="G9:G22 I9:J22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9" priority="12">
      <formula>LEN(TRIM(C3))&gt;0</formula>
    </cfRule>
  </conditionalFormatting>
  <conditionalFormatting sqref="C8">
    <cfRule type="expression" dxfId="8" priority="13">
      <formula>E8=TRUE</formula>
    </cfRule>
  </conditionalFormatting>
  <conditionalFormatting sqref="C9">
    <cfRule type="expression" dxfId="8" priority="14">
      <formula>E9=TRUE</formula>
    </cfRule>
  </conditionalFormatting>
  <conditionalFormatting sqref="C10">
    <cfRule type="expression" dxfId="8" priority="15">
      <formula>E10=TRUE</formula>
    </cfRule>
  </conditionalFormatting>
  <conditionalFormatting sqref="C11">
    <cfRule type="expression" dxfId="8" priority="16">
      <formula>E11=TRUE</formula>
    </cfRule>
  </conditionalFormatting>
  <conditionalFormatting sqref="C12">
    <cfRule type="expression" dxfId="8" priority="17">
      <formula>E12=TRUE</formula>
    </cfRule>
  </conditionalFormatting>
  <conditionalFormatting sqref="C13">
    <cfRule type="expression" dxfId="8" priority="18">
      <formula>E13=TRUE</formula>
    </cfRule>
  </conditionalFormatting>
  <conditionalFormatting sqref="C14">
    <cfRule type="expression" dxfId="8" priority="19">
      <formula>E14=TRUE</formula>
    </cfRule>
  </conditionalFormatting>
  <conditionalFormatting sqref="C15">
    <cfRule type="expression" dxfId="8" priority="20">
      <formula>E15=TRUE</formula>
    </cfRule>
  </conditionalFormatting>
  <conditionalFormatting sqref="C16">
    <cfRule type="expression" dxfId="8" priority="21">
      <formula>E16=TRUE</formula>
    </cfRule>
  </conditionalFormatting>
  <conditionalFormatting sqref="C17">
    <cfRule type="expression" dxfId="8" priority="22">
      <formula>E17=TRUE</formula>
    </cfRule>
  </conditionalFormatting>
  <conditionalFormatting sqref="C18">
    <cfRule type="expression" dxfId="8" priority="23">
      <formula>E18=TRUE</formula>
    </cfRule>
  </conditionalFormatting>
  <conditionalFormatting sqref="C19">
    <cfRule type="expression" dxfId="8" priority="24">
      <formula>E19=TRUE</formula>
    </cfRule>
  </conditionalFormatting>
  <conditionalFormatting sqref="C20">
    <cfRule type="expression" dxfId="8" priority="25">
      <formula>E20=TRUE</formula>
    </cfRule>
  </conditionalFormatting>
  <conditionalFormatting sqref="C22">
    <cfRule type="expression" dxfId="8" priority="26">
      <formula>E22=TRUE</formula>
    </cfRule>
  </conditionalFormatting>
  <conditionalFormatting sqref="C21">
    <cfRule type="expression" dxfId="8" priority="27">
      <formula>E21=TRUE</formula>
    </cfRule>
  </conditionalFormatting>
  <dataValidations>
    <dataValidation type="list" allowBlank="1" sqref="C2">
      <formula1>'Pekosign Individual qualifier s'!$C$5:$C37</formula1>
    </dataValidation>
  </dataValidations>
  <hyperlinks>
    <hyperlink r:id="rId2" ref="J10"/>
    <hyperlink r:id="rId3" ref="J11"/>
    <hyperlink r:id="rId4" ref="J12"/>
    <hyperlink r:id="rId5" ref="J13"/>
    <hyperlink r:id="rId6" ref="J14"/>
    <hyperlink r:id="rId7" ref="J15"/>
    <hyperlink r:id="rId8" ref="J16"/>
    <hyperlink r:id="rId9" ref="J17"/>
    <hyperlink r:id="rId10" ref="J18"/>
  </hyperlinks>
  <drawing r:id="rId11"/>
  <legacyDrawing r:id="rId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5.13"/>
    <col customWidth="1" min="3" max="3" width="25.13"/>
    <col customWidth="1" min="4" max="4" width="1.38"/>
    <col customWidth="1" min="5" max="5" width="15.13"/>
    <col customWidth="1" min="6" max="6" width="1.38"/>
    <col customWidth="1" min="7" max="7" width="15.13"/>
    <col customWidth="1" min="8" max="8" width="1.38"/>
    <col customWidth="1" min="9" max="10" width="15.13"/>
    <col customWidth="1" min="11" max="11" width="1.38"/>
  </cols>
  <sheetData>
    <row r="1" ht="7.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22.5" customHeight="1">
      <c r="A2" s="17"/>
      <c r="B2" s="63" t="s">
        <v>135</v>
      </c>
      <c r="C2" s="64" t="s">
        <v>156</v>
      </c>
      <c r="D2" s="110"/>
      <c r="E2" s="66" t="s">
        <v>137</v>
      </c>
      <c r="F2" s="20"/>
      <c r="G2" s="67" t="s">
        <v>138</v>
      </c>
      <c r="H2" s="20"/>
      <c r="I2" s="111" t="str">
        <f>HYPERLINK('Tourney settings'!C10,"Forum post")</f>
        <v>Forum post</v>
      </c>
      <c r="J2" s="111" t="str">
        <f>HYPERLINK('Tourney settings'!C11,"Mainsheet")</f>
        <v>Mainsheet</v>
      </c>
      <c r="K2" s="17"/>
    </row>
    <row r="3" ht="15.0" customHeight="1">
      <c r="A3" s="17"/>
      <c r="B3" s="63" t="s">
        <v>141</v>
      </c>
      <c r="C3" s="112" t="str">
        <f>VLOOKUP(C2,'Pekosign Individual qualifier s'!C5:W37,21,0)</f>
        <v/>
      </c>
      <c r="D3" s="110"/>
      <c r="E3" s="70" t="str">
        <f> VLOOKUP(C2,'Pekosign Individual qualifier s'!C5:V37,5,0)</f>
        <v>-Pekora-</v>
      </c>
      <c r="F3" s="20"/>
      <c r="G3" s="71" t="s">
        <v>142</v>
      </c>
      <c r="H3" s="20"/>
      <c r="I3" s="113" t="str">
        <f>"!mp timer " &amp;'Tourney settings'!$C$13</f>
        <v>!mp timer 90</v>
      </c>
      <c r="J3" s="113" t="str">
        <f>"!mp set " &amp;'Tourney settings'!$C$4&amp;" "&amp;'Tourney settings'!$C$5&amp;" "&amp;'Tourney settings'!$C$6</f>
        <v>!mp set 0 3 15</v>
      </c>
      <c r="K3" s="17"/>
    </row>
    <row r="4" ht="15.0" customHeight="1">
      <c r="A4" s="17"/>
      <c r="B4" s="63" t="s">
        <v>145</v>
      </c>
      <c r="C4" s="72" t="str">
        <f>"!mp make "&amp;TourneyAbb&amp;" : (Qualifiers) vs ("&amp;C2&amp;")"</f>
        <v>!mp make PT : (Qualifiers) vs (A1)</v>
      </c>
      <c r="D4" s="110"/>
      <c r="E4" s="114">
        <f> VLOOKUP(C2,'Pekosign Individual qualifier s'!C5:V37,3,0) </f>
        <v>44618</v>
      </c>
      <c r="F4" s="20"/>
      <c r="H4" s="20"/>
      <c r="I4" s="115" t="s">
        <v>140</v>
      </c>
      <c r="J4" s="113" t="str">
        <f>"!mp start " &amp;'Tourney settings'!$C$14</f>
        <v>!mp start 5</v>
      </c>
      <c r="K4" s="17"/>
    </row>
    <row r="5" ht="22.5" customHeight="1">
      <c r="A5" s="17"/>
      <c r="B5" s="63" t="s">
        <v>148</v>
      </c>
      <c r="C5" s="116" t="str">
        <f>IFS(C3="","Put the MP link first @ Ref Schedule Qual sheet!",C3&gt;"", "**Qualifier Lobby "&amp;C2&amp;"**" &amp;CHAR(13)&amp; " MP LINK: "&amp;C3&amp;" "&amp;CHAR(13)&amp;" Ref Notes: "&amp;G3) &amp;CHAR(13)</f>
        <v>Put the MP link first @ Ref Schedule Qual sheet!
</v>
      </c>
      <c r="D5" s="110"/>
      <c r="E5" s="117">
        <f> VLOOKUP(C2,'Pekosign Individual qualifier s'!C5:V37,4,0) </f>
        <v>0</v>
      </c>
      <c r="F5" s="20"/>
      <c r="H5" s="20"/>
      <c r="I5" s="115" t="s">
        <v>147</v>
      </c>
      <c r="J5" s="99" t="s">
        <v>144</v>
      </c>
      <c r="K5" s="17"/>
    </row>
    <row r="6" ht="7.5" customHeight="1">
      <c r="A6" s="17"/>
      <c r="B6" s="20"/>
      <c r="C6" s="20"/>
      <c r="D6" s="20"/>
      <c r="E6" s="20"/>
      <c r="F6" s="20"/>
      <c r="G6" s="20"/>
      <c r="H6" s="20"/>
      <c r="I6" s="20"/>
      <c r="J6" s="20"/>
      <c r="K6" s="17"/>
    </row>
    <row r="7" ht="18.75" customHeight="1">
      <c r="A7" s="17"/>
      <c r="B7" s="75" t="s">
        <v>151</v>
      </c>
      <c r="C7" s="118" t="s">
        <v>159</v>
      </c>
      <c r="D7" s="119" t="s">
        <v>160</v>
      </c>
      <c r="E7" s="120" t="s">
        <v>161</v>
      </c>
      <c r="F7" s="20"/>
      <c r="G7" s="78" t="s">
        <v>154</v>
      </c>
      <c r="K7" s="17"/>
    </row>
    <row r="8" ht="15.0" customHeight="1">
      <c r="A8" s="17"/>
      <c r="B8" s="101" t="str">
        <f>(VLOOKUP($C$2,'Pekosign Individual qualifier s'!$C$5:$V$37,6,0))</f>
        <v>Retard</v>
      </c>
      <c r="C8" s="121" t="str">
        <f>IFERROR(IF(E8=TRUE,VLOOKUP(B8,'Individual Qualifier format'!$B$3:$C$22,2,0),"!mp invite " &amp; B8),"")</f>
        <v>!mp invite Retard</v>
      </c>
      <c r="D8" s="122" t="b">
        <v>0</v>
      </c>
      <c r="E8" s="123" t="b">
        <v>0</v>
      </c>
      <c r="F8" s="20"/>
      <c r="G8" s="82" t="s">
        <v>162</v>
      </c>
      <c r="H8" s="124"/>
      <c r="I8" s="83" t="s">
        <v>163</v>
      </c>
      <c r="J8" s="82" t="s">
        <v>155</v>
      </c>
      <c r="K8" s="17"/>
    </row>
    <row r="9" ht="15.0" customHeight="1">
      <c r="A9" s="17"/>
      <c r="B9" s="101">
        <f>(VLOOKUP($C$2,'Pekosign Individual qualifier s'!$C$5:$V$37,7,0))</f>
        <v>556353</v>
      </c>
      <c r="C9" s="121" t="str">
        <f>IFERROR(IF(E9=TRUE,VLOOKUP(B9,'Individual Qualifier format'!$B$3:$C$22,2,0),"!mp invite " &amp; B9),"")</f>
        <v>!mp invite 556353</v>
      </c>
      <c r="D9" s="122" t="b">
        <v>0</v>
      </c>
      <c r="E9" s="123" t="b">
        <v>0</v>
      </c>
      <c r="F9" s="20"/>
      <c r="G9" s="125" t="str">
        <f t="array" ref="G9:G18">PoolSample!I3:I12</f>
        <v>!mp map 3276259</v>
      </c>
      <c r="H9" s="85"/>
      <c r="I9" s="106" t="str">
        <f t="array" ref="I9:I18">PoolSample!J3:J12</f>
        <v>!mp mods NF</v>
      </c>
      <c r="J9" s="107" t="str">
        <f t="array" ref="J9:J18">PoolSample!H3:H12</f>
        <v>NM1: Imy - Divine's Game [Extra]</v>
      </c>
      <c r="K9" s="17"/>
    </row>
    <row r="10" ht="15.0" customHeight="1">
      <c r="A10" s="17"/>
      <c r="B10" s="101" t="str">
        <f>(VLOOKUP($C$2,'Pekosign Individual qualifier s'!$C$5:$V$37,8,0))</f>
        <v>Whatchat</v>
      </c>
      <c r="C10" s="121" t="str">
        <f>IFERROR(IF(E10=TRUE,VLOOKUP(B10,'Individual Qualifier format'!$B$3:$C$22,2,0),"!mp invite " &amp; B10),"")</f>
        <v>!mp invite Whatchat</v>
      </c>
      <c r="D10" s="122" t="b">
        <v>0</v>
      </c>
      <c r="E10" s="123" t="b">
        <v>0</v>
      </c>
      <c r="F10" s="20"/>
      <c r="G10" s="126" t="s">
        <v>77</v>
      </c>
      <c r="H10" s="85"/>
      <c r="I10" s="105" t="s">
        <v>78</v>
      </c>
      <c r="J10" s="107" t="s">
        <v>76</v>
      </c>
      <c r="K10" s="17"/>
    </row>
    <row r="11" ht="15.0" customHeight="1">
      <c r="A11" s="17"/>
      <c r="B11" s="101" t="str">
        <f>(VLOOKUP($C$2,'Pekosign Individual qualifier s'!$C$5:$V$37,9,0))</f>
        <v>Chin</v>
      </c>
      <c r="C11" s="121" t="str">
        <f>IFERROR(IF(E11=TRUE,VLOOKUP(B11,'Individual Qualifier format'!$B$3:$C$22,2,0),"!mp invite " &amp; B11),"")</f>
        <v>!mp invite Chin</v>
      </c>
      <c r="D11" s="122" t="b">
        <v>0</v>
      </c>
      <c r="E11" s="123" t="b">
        <v>0</v>
      </c>
      <c r="F11" s="20"/>
      <c r="G11" s="126" t="s">
        <v>82</v>
      </c>
      <c r="H11" s="85"/>
      <c r="I11" s="105" t="s">
        <v>78</v>
      </c>
      <c r="J11" s="107" t="s">
        <v>81</v>
      </c>
      <c r="K11" s="17"/>
    </row>
    <row r="12" ht="15.0" customHeight="1">
      <c r="A12" s="17"/>
      <c r="B12" s="101">
        <f>(VLOOKUP($C$2,'Pekosign Individual qualifier s'!$C$5:$V$37,10,0))</f>
        <v>556353</v>
      </c>
      <c r="C12" s="121" t="str">
        <f>IFERROR(IF(E12=TRUE,VLOOKUP(B12,'Individual Qualifier format'!$B$3:$C$22,2,0),"!mp invite " &amp; B12),"")</f>
        <v>!mp invite 556353</v>
      </c>
      <c r="D12" s="122" t="b">
        <v>0</v>
      </c>
      <c r="E12" s="123" t="b">
        <v>0</v>
      </c>
      <c r="F12" s="20"/>
      <c r="G12" s="126" t="s">
        <v>86</v>
      </c>
      <c r="H12" s="85"/>
      <c r="I12" s="105" t="s">
        <v>78</v>
      </c>
      <c r="J12" s="107" t="s">
        <v>85</v>
      </c>
      <c r="K12" s="17"/>
    </row>
    <row r="13" ht="15.0" customHeight="1">
      <c r="A13" s="17"/>
      <c r="B13" s="101" t="str">
        <f>(VLOOKUP($C$2,'Pekosign Individual qualifier s'!$C$5:$V$37,11,0))</f>
        <v>Holy_Shit</v>
      </c>
      <c r="C13" s="121" t="str">
        <f>IFERROR(IF(E13=TRUE,VLOOKUP(B13,'Individual Qualifier format'!$B$3:$C$22,2,0),"!mp invite " &amp; B13),"")</f>
        <v>!mp invite Holy_Shit</v>
      </c>
      <c r="D13" s="122" t="b">
        <v>0</v>
      </c>
      <c r="E13" s="123" t="b">
        <v>0</v>
      </c>
      <c r="F13" s="20"/>
      <c r="G13" s="127" t="s">
        <v>90</v>
      </c>
      <c r="H13" s="85"/>
      <c r="I13" s="105" t="s">
        <v>91</v>
      </c>
      <c r="J13" s="128" t="s">
        <v>89</v>
      </c>
      <c r="K13" s="17"/>
    </row>
    <row r="14" ht="15.0" customHeight="1">
      <c r="A14" s="17"/>
      <c r="B14" s="101" t="str">
        <f>(VLOOKUP($C$2,'Pekosign Individual qualifier s'!$C$5:$V$37,12,0))</f>
        <v>Halves</v>
      </c>
      <c r="C14" s="121" t="str">
        <f>IFERROR(IF(E14=TRUE,VLOOKUP(B14,'Individual Qualifier format'!$B$3:$C$22,2,0),"!mp invite " &amp; B14),"")</f>
        <v>!mp invite Halves</v>
      </c>
      <c r="D14" s="122" t="b">
        <v>0</v>
      </c>
      <c r="E14" s="123" t="b">
        <v>0</v>
      </c>
      <c r="F14" s="20"/>
      <c r="G14" s="127" t="s">
        <v>95</v>
      </c>
      <c r="H14" s="85"/>
      <c r="I14" s="105" t="s">
        <v>91</v>
      </c>
      <c r="J14" s="107" t="s">
        <v>94</v>
      </c>
      <c r="K14" s="17"/>
    </row>
    <row r="15" ht="15.0" customHeight="1">
      <c r="A15" s="17"/>
      <c r="B15" s="101" t="str">
        <f>(VLOOKUP($C$2,'Pekosign Individual qualifier s'!$C$5:$V$37,13,0))</f>
        <v>Damn</v>
      </c>
      <c r="C15" s="121" t="str">
        <f>IFERROR(IF(E15=TRUE,VLOOKUP(B15,'Individual Qualifier format'!$B$3:$C$22,2,0),"!mp invite " &amp; B15),"")</f>
        <v>!mp invite Damn</v>
      </c>
      <c r="D15" s="122" t="b">
        <v>0</v>
      </c>
      <c r="E15" s="123" t="b">
        <v>0</v>
      </c>
      <c r="F15" s="20"/>
      <c r="G15" s="129" t="s">
        <v>99</v>
      </c>
      <c r="H15" s="85"/>
      <c r="I15" s="105" t="s">
        <v>100</v>
      </c>
      <c r="J15" s="107" t="s">
        <v>98</v>
      </c>
      <c r="K15" s="17"/>
    </row>
    <row r="16" ht="15.0" customHeight="1">
      <c r="A16" s="17"/>
      <c r="B16" s="101" t="str">
        <f>(VLOOKUP($C$2,'Pekosign Individual qualifier s'!$C$5:$V$37,14,0))</f>
        <v>Morse</v>
      </c>
      <c r="C16" s="121" t="str">
        <f>IFERROR(IF(E16=TRUE,VLOOKUP(B16,'Individual Qualifier format'!$B$3:$C$22,2,0),"!mp invite " &amp; B16),"")</f>
        <v>!mp invite Morse</v>
      </c>
      <c r="D16" s="122" t="b">
        <v>0</v>
      </c>
      <c r="E16" s="123" t="b">
        <v>0</v>
      </c>
      <c r="F16" s="20"/>
      <c r="G16" s="129" t="s">
        <v>104</v>
      </c>
      <c r="H16" s="85"/>
      <c r="I16" s="105" t="s">
        <v>100</v>
      </c>
      <c r="J16" s="107" t="s">
        <v>103</v>
      </c>
      <c r="K16" s="17"/>
    </row>
    <row r="17" ht="15.0" customHeight="1">
      <c r="A17" s="17"/>
      <c r="B17" s="101" t="str">
        <f>(VLOOKUP($C$2,'Pekosign Individual qualifier s'!$C$5:$V$37,15,0))</f>
        <v>What</v>
      </c>
      <c r="C17" s="121" t="str">
        <f>IFERROR(IF(E17=TRUE,VLOOKUP(B17,'Individual Qualifier format'!$B$3:$C$22,2,0),"!mp invite " &amp; B17),"")</f>
        <v>!mp invite What</v>
      </c>
      <c r="D17" s="122" t="b">
        <v>0</v>
      </c>
      <c r="E17" s="123" t="b">
        <v>0</v>
      </c>
      <c r="F17" s="20"/>
      <c r="G17" s="130" t="s">
        <v>108</v>
      </c>
      <c r="H17" s="85"/>
      <c r="I17" s="105" t="s">
        <v>109</v>
      </c>
      <c r="J17" s="107" t="s">
        <v>107</v>
      </c>
      <c r="K17" s="17"/>
    </row>
    <row r="18" ht="15.0" customHeight="1">
      <c r="A18" s="17"/>
      <c r="B18" s="101" t="str">
        <f>(VLOOKUP($C$2,'Pekosign Individual qualifier s'!$C$5:$V$37,16,0))</f>
        <v>Holy_Shit</v>
      </c>
      <c r="C18" s="121" t="str">
        <f>IFERROR(IF(E18=TRUE,VLOOKUP(B18,'Individual Qualifier format'!$B$3:$C$22,2,0),"!mp invite " &amp; B18),"")</f>
        <v>!mp invite Holy_Shit</v>
      </c>
      <c r="D18" s="122" t="b">
        <v>0</v>
      </c>
      <c r="E18" s="123" t="b">
        <v>0</v>
      </c>
      <c r="F18" s="20"/>
      <c r="G18" s="130" t="s">
        <v>113</v>
      </c>
      <c r="H18" s="85"/>
      <c r="I18" s="105" t="s">
        <v>109</v>
      </c>
      <c r="J18" s="107" t="s">
        <v>112</v>
      </c>
      <c r="K18" s="17"/>
    </row>
    <row r="19" ht="15.0" customHeight="1">
      <c r="A19" s="17"/>
      <c r="B19" s="101" t="str">
        <f>(VLOOKUP($C$2,'Pekosign Individual qualifier s'!$C$5:$V$37,17,0))</f>
        <v>Halves</v>
      </c>
      <c r="C19" s="121" t="str">
        <f>IFERROR(IF(E19=TRUE,VLOOKUP(B19,'Individual Qualifier format'!$B$3:$C$22,2,0),"!mp invite " &amp; B19),"")</f>
        <v>!mp invite Halves</v>
      </c>
      <c r="D19" s="122" t="b">
        <v>0</v>
      </c>
      <c r="E19" s="123" t="b">
        <v>0</v>
      </c>
      <c r="F19" s="20"/>
      <c r="G19" s="108"/>
      <c r="H19" s="85"/>
      <c r="I19" s="105"/>
      <c r="J19" s="109"/>
      <c r="K19" s="17"/>
    </row>
    <row r="20" ht="15.0" customHeight="1">
      <c r="A20" s="17"/>
      <c r="B20" s="101" t="str">
        <f>(VLOOKUP($C$2,'Pekosign Individual qualifier s'!$C$5:$V$37,18,0))</f>
        <v>Retard</v>
      </c>
      <c r="C20" s="121" t="str">
        <f>IFERROR(IF(E20=TRUE,VLOOKUP(B20,'Individual Qualifier format'!$B$3:$C$22,2,0),"!mp invite " &amp; B20),"")</f>
        <v>!mp invite Retard</v>
      </c>
      <c r="D20" s="122" t="b">
        <v>0</v>
      </c>
      <c r="E20" s="123" t="b">
        <v>0</v>
      </c>
      <c r="F20" s="20"/>
      <c r="G20" s="108"/>
      <c r="H20" s="85"/>
      <c r="I20" s="105"/>
      <c r="J20" s="109"/>
      <c r="K20" s="17"/>
    </row>
    <row r="21" ht="15.0" customHeight="1">
      <c r="A21" s="17"/>
      <c r="B21" s="101">
        <f>(VLOOKUP($C$2,'Pekosign Individual qualifier s'!$C$5:$V$37,19,0))</f>
        <v>556353</v>
      </c>
      <c r="C21" s="121" t="str">
        <f>IFERROR(IF(E21=TRUE,VLOOKUP(B21,'Individual Qualifier format'!$B$3:$C$22,2,0),"!mp invite " &amp; B21),"")</f>
        <v>!mp invite 556353</v>
      </c>
      <c r="D21" s="122" t="b">
        <v>0</v>
      </c>
      <c r="E21" s="123" t="b">
        <v>0</v>
      </c>
      <c r="F21" s="20"/>
      <c r="G21" s="108"/>
      <c r="H21" s="85"/>
      <c r="I21" s="105"/>
      <c r="J21" s="109"/>
      <c r="K21" s="17"/>
    </row>
    <row r="22" ht="15.0" customHeight="1">
      <c r="A22" s="17"/>
      <c r="B22" s="101" t="str">
        <f>(VLOOKUP($C$2,'Pekosign Individual qualifier s'!$C$5:$V$37,20,0))</f>
        <v>Man</v>
      </c>
      <c r="C22" s="121" t="str">
        <f>IFERROR(IF(E22=TRUE,VLOOKUP(B22,'Individual Qualifier format'!$B$3:$C$22,2,0),"!mp invite " &amp; B22),"")</f>
        <v>!mp invite Man</v>
      </c>
      <c r="D22" s="122" t="b">
        <v>0</v>
      </c>
      <c r="E22" s="123" t="b">
        <v>0</v>
      </c>
      <c r="F22" s="20"/>
      <c r="G22" s="108"/>
      <c r="H22" s="85"/>
      <c r="I22" s="105"/>
      <c r="J22" s="109"/>
      <c r="K22" s="17"/>
    </row>
    <row r="23" ht="7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</sheetData>
  <mergeCells count="17">
    <mergeCell ref="G3:G5"/>
    <mergeCell ref="G7:J7"/>
    <mergeCell ref="G8:H8"/>
    <mergeCell ref="G9:H9"/>
    <mergeCell ref="G10:H10"/>
    <mergeCell ref="G11:H11"/>
    <mergeCell ref="G12:H12"/>
    <mergeCell ref="G20:H20"/>
    <mergeCell ref="G21:H21"/>
    <mergeCell ref="G22:H22"/>
    <mergeCell ref="G13:H13"/>
    <mergeCell ref="G14:H14"/>
    <mergeCell ref="G15:H15"/>
    <mergeCell ref="G16:H16"/>
    <mergeCell ref="G17:H17"/>
    <mergeCell ref="G18:H18"/>
    <mergeCell ref="G19:H19"/>
  </mergeCells>
  <conditionalFormatting sqref="J9:J22">
    <cfRule type="beginsWith" dxfId="0" priority="1" operator="beginsWith" text="NM">
      <formula>LEFT((J9),LEN("NM"))=("NM")</formula>
    </cfRule>
  </conditionalFormatting>
  <conditionalFormatting sqref="J9:J22">
    <cfRule type="beginsWith" dxfId="1" priority="2" operator="beginsWith" text="HD">
      <formula>LEFT((J9),LEN("HD"))=("HD")</formula>
    </cfRule>
  </conditionalFormatting>
  <conditionalFormatting sqref="J9:J22">
    <cfRule type="beginsWith" dxfId="2" priority="3" operator="beginsWith" text="HR">
      <formula>LEFT((J9),LEN("HR"))=("HR")</formula>
    </cfRule>
  </conditionalFormatting>
  <conditionalFormatting sqref="J9:J22">
    <cfRule type="beginsWith" dxfId="3" priority="4" operator="beginsWith" text="DT">
      <formula>LEFT((J9),LEN("DT"))=("DT")</formula>
    </cfRule>
  </conditionalFormatting>
  <conditionalFormatting sqref="G9:G22 I9:I22">
    <cfRule type="cellIs" dxfId="0" priority="5" operator="equal">
      <formula>"!mp mods NF"</formula>
    </cfRule>
  </conditionalFormatting>
  <conditionalFormatting sqref="G9:G22 I9:I22">
    <cfRule type="cellIs" dxfId="1" priority="6" operator="equal">
      <formula>"!mp mods HD NF"</formula>
    </cfRule>
  </conditionalFormatting>
  <conditionalFormatting sqref="G9:G22 I9:I22">
    <cfRule type="cellIs" dxfId="2" priority="7" operator="equal">
      <formula>"!mp mods HR NF"</formula>
    </cfRule>
  </conditionalFormatting>
  <conditionalFormatting sqref="G9:G22 I9:I22">
    <cfRule type="cellIs" dxfId="3" priority="8" operator="equal">
      <formula>"!mp mods DT NF"</formula>
    </cfRule>
  </conditionalFormatting>
  <conditionalFormatting sqref="G9:G22 I9:J22">
    <cfRule type="beginsWith" dxfId="4" priority="9" operator="beginsWith" text="FM">
      <formula>LEFT((G9),LEN("FM"))=("FM")</formula>
    </cfRule>
  </conditionalFormatting>
  <conditionalFormatting sqref="G9:G22 I9:J22">
    <cfRule type="beginsWith" dxfId="5" priority="10" operator="beginsWith" text="TB">
      <formula>LEFT((G9),LEN("TB"))=("TB")</formula>
    </cfRule>
  </conditionalFormatting>
  <conditionalFormatting sqref="C3">
    <cfRule type="containsBlanks" dxfId="6" priority="11">
      <formula>LEN(TRIM(C3))=0</formula>
    </cfRule>
  </conditionalFormatting>
  <conditionalFormatting sqref="C3">
    <cfRule type="notContainsBlanks" dxfId="7" priority="12">
      <formula>LEN(TRIM(C3))&gt;0</formula>
    </cfRule>
  </conditionalFormatting>
  <conditionalFormatting sqref="C8:C22">
    <cfRule type="expression" dxfId="8" priority="13">
      <formula>D8=TRUE</formula>
    </cfRule>
  </conditionalFormatting>
  <conditionalFormatting sqref="C10">
    <cfRule type="expression" dxfId="8" priority="14">
      <formula>D10=TRUE</formula>
    </cfRule>
  </conditionalFormatting>
  <conditionalFormatting sqref="C11">
    <cfRule type="expression" dxfId="8" priority="15">
      <formula>D11=TRUE</formula>
    </cfRule>
  </conditionalFormatting>
  <conditionalFormatting sqref="C12">
    <cfRule type="expression" dxfId="8" priority="16">
      <formula>D12=TRUE</formula>
    </cfRule>
  </conditionalFormatting>
  <conditionalFormatting sqref="C13">
    <cfRule type="expression" dxfId="8" priority="17">
      <formula>D13=TRUE</formula>
    </cfRule>
  </conditionalFormatting>
  <conditionalFormatting sqref="C14">
    <cfRule type="expression" dxfId="8" priority="18">
      <formula>D14=TRUE</formula>
    </cfRule>
  </conditionalFormatting>
  <conditionalFormatting sqref="C15">
    <cfRule type="expression" dxfId="8" priority="19">
      <formula>D15=TRUE</formula>
    </cfRule>
  </conditionalFormatting>
  <conditionalFormatting sqref="C16">
    <cfRule type="expression" dxfId="8" priority="20">
      <formula>D16=TRUE</formula>
    </cfRule>
  </conditionalFormatting>
  <conditionalFormatting sqref="C17">
    <cfRule type="expression" dxfId="8" priority="21">
      <formula>D17=TRUE</formula>
    </cfRule>
  </conditionalFormatting>
  <conditionalFormatting sqref="C18">
    <cfRule type="expression" dxfId="8" priority="22">
      <formula>D18=TRUE</formula>
    </cfRule>
  </conditionalFormatting>
  <conditionalFormatting sqref="C19">
    <cfRule type="expression" dxfId="8" priority="23">
      <formula>D19=TRUE</formula>
    </cfRule>
  </conditionalFormatting>
  <conditionalFormatting sqref="C20">
    <cfRule type="expression" dxfId="8" priority="24">
      <formula>D20=TRUE</formula>
    </cfRule>
  </conditionalFormatting>
  <conditionalFormatting sqref="C22">
    <cfRule type="expression" dxfId="8" priority="25">
      <formula>D22=TRUE</formula>
    </cfRule>
  </conditionalFormatting>
  <conditionalFormatting sqref="C21">
    <cfRule type="expression" dxfId="8" priority="26">
      <formula>D21=TRUE</formula>
    </cfRule>
  </conditionalFormatting>
  <conditionalFormatting sqref="C5">
    <cfRule type="containsText" dxfId="10" priority="27" operator="containsText" text="PUt the MP link">
      <formula>NOT(ISERROR(SEARCH(("PUt the MP link"),(C5))))</formula>
    </cfRule>
  </conditionalFormatting>
  <dataValidations>
    <dataValidation type="list" allowBlank="1" sqref="C2">
      <formula1>'Pekosign Individual qualifier s'!$C$5:$C37</formula1>
    </dataValidation>
  </dataValidations>
  <hyperlinks>
    <hyperlink r:id="rId2" ref="J10"/>
    <hyperlink r:id="rId3" ref="J11"/>
    <hyperlink r:id="rId4" ref="J12"/>
    <hyperlink r:id="rId5" ref="J13"/>
    <hyperlink r:id="rId6" ref="J14"/>
    <hyperlink r:id="rId7" ref="J15"/>
    <hyperlink r:id="rId8" ref="J16"/>
    <hyperlink r:id="rId9" ref="J17"/>
    <hyperlink r:id="rId10" ref="J18"/>
  </hyperlinks>
  <drawing r:id="rId11"/>
  <legacy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8.88"/>
    <col customWidth="1" min="3" max="3" width="31.38"/>
    <col customWidth="1" min="4" max="4" width="12.63"/>
    <col customWidth="1" min="5" max="5" width="1.38"/>
    <col customWidth="1" min="6" max="6" width="31.38"/>
    <col customWidth="1" min="7" max="7" width="1.38"/>
    <col customWidth="1" min="8" max="8" width="22.0"/>
    <col customWidth="1" min="9" max="9" width="25.13"/>
    <col customWidth="1" min="10" max="10" width="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22.5" customHeight="1">
      <c r="A2" s="1"/>
      <c r="B2" s="131" t="s">
        <v>135</v>
      </c>
      <c r="C2" s="132" t="s">
        <v>136</v>
      </c>
      <c r="D2" s="133"/>
      <c r="E2" s="134"/>
      <c r="F2" s="135" t="s">
        <v>137</v>
      </c>
      <c r="G2" s="134"/>
      <c r="H2" s="136" t="s">
        <v>164</v>
      </c>
      <c r="I2" s="136"/>
      <c r="J2" s="134"/>
    </row>
    <row r="3" ht="22.5" customHeight="1">
      <c r="A3" s="1"/>
      <c r="B3" s="131" t="s">
        <v>141</v>
      </c>
      <c r="C3" s="137"/>
      <c r="D3" s="133"/>
      <c r="E3" s="134"/>
      <c r="F3" s="138" t="s">
        <v>165</v>
      </c>
      <c r="G3" s="134"/>
      <c r="H3" s="136" t="s">
        <v>139</v>
      </c>
      <c r="I3" s="136" t="s">
        <v>166</v>
      </c>
      <c r="J3" s="134"/>
    </row>
    <row r="4" ht="22.5" customHeight="1">
      <c r="A4" s="1"/>
      <c r="B4" s="131" t="s">
        <v>145</v>
      </c>
      <c r="C4" s="132" t="s">
        <v>167</v>
      </c>
      <c r="D4" s="135"/>
      <c r="E4" s="134"/>
      <c r="F4" s="138" t="s">
        <v>168</v>
      </c>
      <c r="G4" s="134"/>
      <c r="H4" s="136" t="s">
        <v>147</v>
      </c>
      <c r="I4" s="136" t="s">
        <v>144</v>
      </c>
      <c r="J4" s="134"/>
    </row>
    <row r="5" ht="7.5" customHeight="1">
      <c r="A5" s="1"/>
      <c r="B5" s="131"/>
      <c r="C5" s="132"/>
      <c r="D5" s="135"/>
      <c r="E5" s="134"/>
      <c r="F5" s="134"/>
      <c r="G5" s="134"/>
      <c r="H5" s="134"/>
      <c r="I5" s="134"/>
      <c r="J5" s="134"/>
    </row>
    <row r="6" ht="22.5" customHeight="1">
      <c r="A6" s="1"/>
      <c r="B6" s="131" t="s">
        <v>148</v>
      </c>
      <c r="C6" s="132" t="s">
        <v>169</v>
      </c>
      <c r="D6" s="135"/>
      <c r="E6" s="134"/>
      <c r="F6" s="139" t="s">
        <v>138</v>
      </c>
      <c r="G6" s="134"/>
      <c r="H6" s="140"/>
      <c r="J6" s="134"/>
    </row>
    <row r="7" ht="7.5" customHeight="1">
      <c r="A7" s="1"/>
      <c r="B7" s="134"/>
      <c r="C7" s="134"/>
      <c r="D7" s="134"/>
      <c r="E7" s="134"/>
      <c r="F7" s="134"/>
      <c r="G7" s="134"/>
      <c r="H7" s="134"/>
      <c r="I7" s="134"/>
      <c r="J7" s="134"/>
    </row>
    <row r="8" ht="22.5" customHeight="1">
      <c r="A8" s="1"/>
      <c r="B8" s="141" t="s">
        <v>151</v>
      </c>
      <c r="C8" s="141" t="s">
        <v>152</v>
      </c>
      <c r="D8" s="142" t="s">
        <v>153</v>
      </c>
      <c r="E8" s="134"/>
      <c r="F8" s="143" t="s">
        <v>154</v>
      </c>
      <c r="G8" s="144"/>
      <c r="H8" s="144"/>
      <c r="I8" s="144"/>
      <c r="J8" s="134"/>
    </row>
    <row r="9" ht="18.75" customHeight="1">
      <c r="A9" s="1"/>
      <c r="B9" s="145" t="s">
        <v>170</v>
      </c>
      <c r="C9" s="145" t="s">
        <v>171</v>
      </c>
      <c r="D9" s="135" t="b">
        <v>0</v>
      </c>
      <c r="E9" s="134"/>
      <c r="F9" s="146" t="s">
        <v>69</v>
      </c>
      <c r="G9" s="146"/>
      <c r="H9" s="147" t="s">
        <v>70</v>
      </c>
      <c r="I9" s="146" t="s">
        <v>155</v>
      </c>
      <c r="J9" s="134"/>
    </row>
    <row r="10" ht="18.75" customHeight="1">
      <c r="A10" s="1"/>
      <c r="B10" s="148"/>
      <c r="C10" s="148"/>
      <c r="D10" s="135" t="b">
        <v>0</v>
      </c>
      <c r="E10" s="134"/>
      <c r="F10" s="149" t="s">
        <v>172</v>
      </c>
      <c r="G10" s="150"/>
      <c r="H10" s="149" t="s">
        <v>173</v>
      </c>
      <c r="I10" s="150"/>
      <c r="J10" s="134"/>
    </row>
    <row r="11" ht="18.75" customHeight="1">
      <c r="A11" s="1"/>
      <c r="B11" s="148"/>
      <c r="C11" s="151" t="s">
        <v>174</v>
      </c>
      <c r="D11" s="133" t="b">
        <v>0</v>
      </c>
      <c r="E11" s="134"/>
      <c r="F11" s="150"/>
      <c r="G11" s="150"/>
      <c r="H11" s="152"/>
      <c r="I11" s="150"/>
      <c r="J11" s="134"/>
    </row>
    <row r="12" ht="18.75" customHeight="1">
      <c r="A12" s="1"/>
      <c r="B12" s="148"/>
      <c r="C12" s="148"/>
      <c r="D12" s="133" t="b">
        <v>0</v>
      </c>
      <c r="E12" s="134"/>
      <c r="F12" s="150"/>
      <c r="G12" s="150"/>
      <c r="H12" s="152"/>
      <c r="I12" s="150"/>
      <c r="J12" s="134"/>
    </row>
    <row r="13" ht="18.75" customHeight="1">
      <c r="A13" s="1"/>
      <c r="B13" s="148"/>
      <c r="C13" s="148"/>
      <c r="D13" s="133" t="b">
        <v>0</v>
      </c>
      <c r="E13" s="134"/>
      <c r="F13" s="150"/>
      <c r="G13" s="150"/>
      <c r="H13" s="152"/>
      <c r="I13" s="150"/>
      <c r="J13" s="134"/>
    </row>
    <row r="14" ht="18.75" customHeight="1">
      <c r="A14" s="1"/>
      <c r="B14" s="148"/>
      <c r="C14" s="148"/>
      <c r="D14" s="133" t="b">
        <v>0</v>
      </c>
      <c r="E14" s="134"/>
      <c r="F14" s="150"/>
      <c r="G14" s="150"/>
      <c r="H14" s="152"/>
      <c r="I14" s="149" t="s">
        <v>175</v>
      </c>
      <c r="J14" s="134"/>
    </row>
    <row r="15" ht="18.75" customHeight="1">
      <c r="A15" s="1"/>
      <c r="B15" s="148"/>
      <c r="C15" s="148"/>
      <c r="D15" s="133" t="b">
        <v>0</v>
      </c>
      <c r="E15" s="134"/>
      <c r="F15" s="150"/>
      <c r="G15" s="150"/>
      <c r="H15" s="152"/>
      <c r="I15" s="150"/>
      <c r="J15" s="134"/>
    </row>
    <row r="16" ht="18.75" customHeight="1">
      <c r="A16" s="1"/>
      <c r="B16" s="148"/>
      <c r="C16" s="148"/>
      <c r="D16" s="133" t="b">
        <v>0</v>
      </c>
      <c r="E16" s="134"/>
      <c r="F16" s="150"/>
      <c r="G16" s="150"/>
      <c r="H16" s="152"/>
      <c r="I16" s="150"/>
      <c r="J16" s="134"/>
    </row>
    <row r="17" ht="18.75" customHeight="1">
      <c r="A17" s="1"/>
      <c r="B17" s="148"/>
      <c r="C17" s="148"/>
      <c r="D17" s="133" t="b">
        <v>0</v>
      </c>
      <c r="E17" s="134"/>
      <c r="F17" s="150"/>
      <c r="G17" s="150"/>
      <c r="H17" s="152"/>
      <c r="I17" s="150"/>
      <c r="J17" s="134"/>
    </row>
    <row r="18" ht="18.75" customHeight="1">
      <c r="A18" s="1"/>
      <c r="B18" s="148"/>
      <c r="C18" s="148"/>
      <c r="D18" s="133" t="b">
        <v>0</v>
      </c>
      <c r="E18" s="134"/>
      <c r="F18" s="150"/>
      <c r="G18" s="150"/>
      <c r="H18" s="152"/>
      <c r="I18" s="150"/>
      <c r="J18" s="134"/>
    </row>
    <row r="19" ht="18.75" customHeight="1">
      <c r="A19" s="1"/>
      <c r="B19" s="148"/>
      <c r="C19" s="148"/>
      <c r="D19" s="135" t="b">
        <v>0</v>
      </c>
      <c r="E19" s="134"/>
      <c r="F19" s="150"/>
      <c r="G19" s="150"/>
      <c r="H19" s="152"/>
      <c r="I19" s="150"/>
      <c r="J19" s="134"/>
    </row>
    <row r="20" ht="18.75" customHeight="1">
      <c r="A20" s="1"/>
      <c r="B20" s="148"/>
      <c r="C20" s="148"/>
      <c r="D20" s="133" t="b">
        <v>0</v>
      </c>
      <c r="E20" s="134"/>
      <c r="F20" s="150"/>
      <c r="G20" s="150"/>
      <c r="H20" s="152"/>
      <c r="I20" s="150"/>
      <c r="J20" s="134"/>
    </row>
    <row r="21" ht="18.75" customHeight="1">
      <c r="A21" s="1"/>
      <c r="B21" s="148"/>
      <c r="C21" s="148"/>
      <c r="D21" s="133" t="b">
        <v>0</v>
      </c>
      <c r="E21" s="134"/>
      <c r="F21" s="150"/>
      <c r="G21" s="150"/>
      <c r="H21" s="152"/>
      <c r="I21" s="150"/>
      <c r="J21" s="134"/>
    </row>
    <row r="22" ht="18.75" customHeight="1">
      <c r="A22" s="1"/>
      <c r="B22" s="148"/>
      <c r="C22" s="148"/>
      <c r="D22" s="133" t="b">
        <v>0</v>
      </c>
      <c r="E22" s="134"/>
      <c r="F22" s="150"/>
      <c r="G22" s="150"/>
      <c r="H22" s="152"/>
      <c r="I22" s="150"/>
      <c r="J22" s="134"/>
    </row>
    <row r="23" ht="18.75" customHeight="1">
      <c r="A23" s="1"/>
      <c r="B23" s="148"/>
      <c r="C23" s="148"/>
      <c r="D23" s="133" t="b">
        <v>0</v>
      </c>
      <c r="E23" s="134"/>
      <c r="F23" s="150"/>
      <c r="G23" s="150"/>
      <c r="H23" s="152"/>
      <c r="I23" s="150"/>
      <c r="J23" s="134"/>
    </row>
    <row r="24" ht="7.5" customHeight="1">
      <c r="A24" s="1"/>
      <c r="B24" s="134"/>
      <c r="C24" s="134"/>
      <c r="D24" s="134"/>
      <c r="E24" s="134"/>
      <c r="F24" s="134"/>
      <c r="G24" s="134"/>
      <c r="H24" s="134"/>
      <c r="I24" s="134"/>
      <c r="J24" s="134"/>
    </row>
  </sheetData>
  <mergeCells count="2">
    <mergeCell ref="H6:I6"/>
    <mergeCell ref="F8:I8"/>
  </mergeCells>
  <conditionalFormatting sqref="F10:F23 H10 I14">
    <cfRule type="beginsWith" dxfId="0" priority="1" operator="beginsWith" text="NM">
      <formula>LEFT((F10),LEN("NM"))=("NM")</formula>
    </cfRule>
  </conditionalFormatting>
  <conditionalFormatting sqref="F10:F23 H10 I14">
    <cfRule type="beginsWith" dxfId="1" priority="2" operator="beginsWith" text="HD">
      <formula>LEFT((F10),LEN("HD"))=("HD")</formula>
    </cfRule>
  </conditionalFormatting>
  <conditionalFormatting sqref="F10:F23 H10 I14">
    <cfRule type="beginsWith" dxfId="2" priority="3" operator="beginsWith" text="HR">
      <formula>LEFT((F10),LEN("HR"))=("HR")</formula>
    </cfRule>
  </conditionalFormatting>
  <conditionalFormatting sqref="F10:F23 H10 I14">
    <cfRule type="beginsWith" dxfId="3" priority="4" operator="beginsWith" text="DT">
      <formula>LEFT((F10),LEN("DT"))=("DT")</formula>
    </cfRule>
  </conditionalFormatting>
  <conditionalFormatting sqref="F10:F23 H10 I14">
    <cfRule type="beginsWith" dxfId="4" priority="5" operator="beginsWith" text="FM">
      <formula>LEFT((F10),LEN("FM"))=("FM")</formula>
    </cfRule>
  </conditionalFormatting>
  <conditionalFormatting sqref="F10:F23 H10 I14">
    <cfRule type="beginsWith" dxfId="5" priority="6" operator="beginsWith" text="TB">
      <formula>LEFT((F10),LEN("TB"))=("TB")</formula>
    </cfRule>
  </conditionalFormatting>
  <conditionalFormatting sqref="C3">
    <cfRule type="containsBlanks" dxfId="11" priority="7">
      <formula>LEN(TRIM(C3))=0</formula>
    </cfRule>
  </conditionalFormatting>
  <conditionalFormatting sqref="C3">
    <cfRule type="notContainsBlanks" dxfId="12" priority="8">
      <formula>LEN(TRIM(C3))&gt;0</formula>
    </cfRule>
  </conditionalFormatting>
  <dataValidations>
    <dataValidation type="list" allowBlank="1" sqref="C2">
      <formula1>'Pekosign Individual qualifier s'!$C$5:$C24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8.88"/>
    <col customWidth="1" min="3" max="3" width="32.63"/>
    <col customWidth="1" min="4" max="4" width="1.38"/>
    <col customWidth="1" min="5" max="5" width="18.88"/>
    <col customWidth="1" min="6" max="6" width="1.38"/>
    <col customWidth="1" min="7" max="7" width="31.38"/>
    <col customWidth="1" min="8" max="8" width="1.38"/>
    <col customWidth="1" min="9" max="9" width="22.0"/>
    <col customWidth="1" min="10" max="10" width="25.13"/>
    <col customWidth="1" min="11" max="11" width="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1"/>
      <c r="B2" s="153" t="s">
        <v>135</v>
      </c>
      <c r="C2" s="154" t="s">
        <v>136</v>
      </c>
      <c r="D2" s="1"/>
      <c r="E2" s="155" t="s">
        <v>137</v>
      </c>
      <c r="F2" s="134"/>
      <c r="G2" s="155" t="s">
        <v>138</v>
      </c>
      <c r="H2" s="134"/>
      <c r="I2" s="136" t="s">
        <v>139</v>
      </c>
      <c r="J2" s="136" t="s">
        <v>140</v>
      </c>
      <c r="K2" s="134"/>
    </row>
    <row r="3" ht="22.5" customHeight="1">
      <c r="A3" s="1"/>
      <c r="B3" s="153" t="s">
        <v>141</v>
      </c>
      <c r="C3" s="156" t="s">
        <v>176</v>
      </c>
      <c r="D3" s="1"/>
      <c r="E3" s="157" t="str">
        <f> VLOOKUP(C2,'Pekosign Individual qualifier s'!C5:V37,4,0) &amp; " :3"</f>
        <v>#N/A</v>
      </c>
      <c r="F3" s="134"/>
      <c r="G3" s="158" t="s">
        <v>142</v>
      </c>
      <c r="H3" s="134"/>
      <c r="I3" s="136" t="s">
        <v>177</v>
      </c>
      <c r="J3" s="136" t="s">
        <v>144</v>
      </c>
      <c r="K3" s="134"/>
    </row>
    <row r="4" ht="22.5" customHeight="1">
      <c r="A4" s="1"/>
      <c r="B4" s="153" t="s">
        <v>145</v>
      </c>
      <c r="C4" s="159" t="str">
        <f>"!mp make "&amp;TourneyAbb&amp;" : (Qualifiers) vs ("&amp;C2&amp;")"</f>
        <v>!mp make PT : (Qualifiers) vs (A)</v>
      </c>
      <c r="D4" s="1"/>
      <c r="E4" s="160" t="str">
        <f> VLOOKUP(C2,'Pekosign Individual qualifier s'!C5:V37,2,0) </f>
        <v>#N/A</v>
      </c>
      <c r="F4" s="134"/>
      <c r="H4" s="134"/>
      <c r="I4" s="136" t="s">
        <v>146</v>
      </c>
      <c r="J4" s="136" t="s">
        <v>147</v>
      </c>
      <c r="K4" s="134"/>
    </row>
    <row r="5" ht="22.5" customHeight="1">
      <c r="A5" s="1"/>
      <c r="B5" s="153" t="s">
        <v>148</v>
      </c>
      <c r="C5" s="161" t="str">
        <f>IFS(C3="","Put the MP link!",C3&gt;"", "**Qualifier Lobby "&amp;C2&amp;"**" &amp;CHAR(13)&amp; " MP LINK: "&amp;C3&amp;" "&amp;CHAR(13)&amp;" Referee Notes: "&amp;G3) &amp;CHAR(13)</f>
        <v>**Qualifier Lobby A**
 MP LINK: https://osu.ppy.sh/mp/98134569 
 Referee Notes: :thumbsup: None
</v>
      </c>
      <c r="D5" s="1"/>
      <c r="E5" s="160" t="str">
        <f> VLOOKUP(C2,'Pekosign Individual qualifier s'!C5:V37,3,0) </f>
        <v>#N/A</v>
      </c>
      <c r="F5" s="134"/>
      <c r="H5" s="134"/>
      <c r="I5" s="162" t="s">
        <v>149</v>
      </c>
      <c r="J5" s="163" t="s">
        <v>150</v>
      </c>
      <c r="K5" s="134"/>
    </row>
    <row r="6" ht="7.5" customHeight="1">
      <c r="A6" s="1"/>
      <c r="B6" s="134"/>
      <c r="C6" s="134"/>
      <c r="D6" s="134"/>
      <c r="E6" s="134"/>
      <c r="F6" s="134"/>
      <c r="G6" s="134"/>
      <c r="H6" s="134"/>
      <c r="I6" s="134"/>
      <c r="J6" s="134"/>
      <c r="K6" s="134"/>
    </row>
    <row r="7" ht="22.5" customHeight="1">
      <c r="A7" s="1"/>
      <c r="B7" s="164" t="s">
        <v>151</v>
      </c>
      <c r="C7" s="164" t="s">
        <v>152</v>
      </c>
      <c r="D7" s="165"/>
      <c r="E7" s="166" t="s">
        <v>153</v>
      </c>
      <c r="F7" s="134"/>
      <c r="G7" s="167" t="s">
        <v>154</v>
      </c>
      <c r="H7" s="144"/>
      <c r="I7" s="144"/>
      <c r="J7" s="144"/>
      <c r="K7" s="134"/>
    </row>
    <row r="8" ht="18.75" customHeight="1">
      <c r="A8" s="1"/>
      <c r="B8" s="168" t="str">
        <f>(VLOOKUP($C$2,'Pekosign Individual qualifier s'!$C$5:$V$37,5,0))</f>
        <v>#N/A</v>
      </c>
      <c r="C8" s="168" t="str">
        <f t="shared" ref="C8:C22" si="1">IFS(B8="","",B8&lt;&gt;"","!mp invite "&amp;B8)</f>
        <v>#N/A</v>
      </c>
      <c r="D8" s="169"/>
      <c r="E8" s="170" t="b">
        <v>1</v>
      </c>
      <c r="F8" s="134"/>
      <c r="G8" s="171" t="s">
        <v>69</v>
      </c>
      <c r="H8" s="171"/>
      <c r="I8" s="172" t="s">
        <v>70</v>
      </c>
      <c r="J8" s="171" t="s">
        <v>155</v>
      </c>
      <c r="K8" s="134"/>
    </row>
    <row r="9" ht="18.75" customHeight="1">
      <c r="A9" s="1"/>
      <c r="B9" s="168" t="str">
        <f>(VLOOKUP($C$2,'Pekosign Individual qualifier s'!$C$5:$V$37,6,0))</f>
        <v>#N/A</v>
      </c>
      <c r="C9" s="168" t="str">
        <f t="shared" si="1"/>
        <v>#N/A</v>
      </c>
      <c r="D9" s="169"/>
      <c r="E9" s="170" t="b">
        <v>1</v>
      </c>
      <c r="F9" s="134"/>
      <c r="G9" s="173" t="str">
        <f t="array" ref="G9:G18">PoolSample!I3:I12</f>
        <v>!mp map 3276259</v>
      </c>
      <c r="H9" s="174"/>
      <c r="I9" s="175" t="str">
        <f t="array" ref="I9:I18">PoolSample!J3:J12</f>
        <v>!mp mods NF</v>
      </c>
      <c r="J9" s="176" t="str">
        <f t="array" ref="J9:J18">PoolSample!H3:H12</f>
        <v>NM1: Imy - Divine's Game [Extra]</v>
      </c>
      <c r="K9" s="134"/>
    </row>
    <row r="10" ht="18.75" customHeight="1">
      <c r="A10" s="1"/>
      <c r="B10" s="168" t="str">
        <f>(VLOOKUP($C$2,'Pekosign Individual qualifier s'!$C$5:$V$37,7,0))</f>
        <v>#N/A</v>
      </c>
      <c r="C10" s="168" t="str">
        <f t="shared" si="1"/>
        <v>#N/A</v>
      </c>
      <c r="D10" s="169"/>
      <c r="E10" s="170" t="b">
        <v>1</v>
      </c>
      <c r="F10" s="134"/>
      <c r="G10" s="174" t="s">
        <v>77</v>
      </c>
      <c r="H10" s="174"/>
      <c r="I10" s="177" t="s">
        <v>78</v>
      </c>
      <c r="J10" s="176" t="s">
        <v>76</v>
      </c>
      <c r="K10" s="134"/>
    </row>
    <row r="11" ht="18.75" customHeight="1">
      <c r="A11" s="1"/>
      <c r="B11" s="168" t="str">
        <f>(VLOOKUP($C$2,'Pekosign Individual qualifier s'!$C$5:$V$37,8,0))</f>
        <v>#N/A</v>
      </c>
      <c r="C11" s="168" t="str">
        <f t="shared" si="1"/>
        <v>#N/A</v>
      </c>
      <c r="D11" s="169"/>
      <c r="E11" s="170" t="b">
        <v>1</v>
      </c>
      <c r="F11" s="134"/>
      <c r="G11" s="174" t="s">
        <v>82</v>
      </c>
      <c r="H11" s="174"/>
      <c r="I11" s="177" t="s">
        <v>78</v>
      </c>
      <c r="J11" s="176" t="s">
        <v>81</v>
      </c>
      <c r="K11" s="134"/>
    </row>
    <row r="12" ht="18.75" customHeight="1">
      <c r="A12" s="1"/>
      <c r="B12" s="168" t="str">
        <f>(VLOOKUP($C$2,'Pekosign Individual qualifier s'!$C$5:$V$37,9,0))</f>
        <v>#N/A</v>
      </c>
      <c r="C12" s="168" t="str">
        <f t="shared" si="1"/>
        <v>#N/A</v>
      </c>
      <c r="D12" s="169"/>
      <c r="E12" s="170" t="b">
        <v>0</v>
      </c>
      <c r="F12" s="134"/>
      <c r="G12" s="174" t="s">
        <v>86</v>
      </c>
      <c r="H12" s="174"/>
      <c r="I12" s="177" t="s">
        <v>78</v>
      </c>
      <c r="J12" s="176" t="s">
        <v>85</v>
      </c>
      <c r="K12" s="134"/>
    </row>
    <row r="13" ht="18.75" customHeight="1">
      <c r="A13" s="1"/>
      <c r="B13" s="168" t="str">
        <f>(VLOOKUP($C$2,'Pekosign Individual qualifier s'!$C$5:$V$37,5,0))</f>
        <v>#N/A</v>
      </c>
      <c r="C13" s="168" t="str">
        <f t="shared" si="1"/>
        <v>#N/A</v>
      </c>
      <c r="D13" s="169"/>
      <c r="E13" s="170" t="b">
        <v>0</v>
      </c>
      <c r="F13" s="134"/>
      <c r="G13" s="174" t="s">
        <v>90</v>
      </c>
      <c r="H13" s="174"/>
      <c r="I13" s="177" t="s">
        <v>91</v>
      </c>
      <c r="J13" s="176" t="s">
        <v>89</v>
      </c>
      <c r="K13" s="134"/>
    </row>
    <row r="14" ht="18.75" customHeight="1">
      <c r="A14" s="1"/>
      <c r="B14" s="168" t="str">
        <f>(VLOOKUP($C$2,'Pekosign Individual qualifier s'!$C$5:$V$37,10,0))</f>
        <v>#N/A</v>
      </c>
      <c r="C14" s="168" t="str">
        <f t="shared" si="1"/>
        <v>#N/A</v>
      </c>
      <c r="D14" s="169"/>
      <c r="E14" s="170" t="b">
        <v>0</v>
      </c>
      <c r="F14" s="134"/>
      <c r="G14" s="174" t="s">
        <v>95</v>
      </c>
      <c r="H14" s="174"/>
      <c r="I14" s="177" t="s">
        <v>91</v>
      </c>
      <c r="J14" s="176" t="s">
        <v>94</v>
      </c>
      <c r="K14" s="134"/>
    </row>
    <row r="15" ht="18.75" customHeight="1">
      <c r="A15" s="1"/>
      <c r="B15" s="168" t="str">
        <f>(VLOOKUP($C$2,'Pekosign Individual qualifier s'!$C$5:$V$37,11,0))</f>
        <v>#N/A</v>
      </c>
      <c r="C15" s="168" t="str">
        <f t="shared" si="1"/>
        <v>#N/A</v>
      </c>
      <c r="D15" s="169"/>
      <c r="E15" s="170" t="b">
        <v>0</v>
      </c>
      <c r="F15" s="134"/>
      <c r="G15" s="174" t="s">
        <v>99</v>
      </c>
      <c r="H15" s="174"/>
      <c r="I15" s="177" t="s">
        <v>100</v>
      </c>
      <c r="J15" s="176" t="s">
        <v>98</v>
      </c>
      <c r="K15" s="134"/>
    </row>
    <row r="16" ht="18.75" customHeight="1">
      <c r="A16" s="1"/>
      <c r="B16" s="168" t="str">
        <f>(VLOOKUP($C$2,'Pekosign Individual qualifier s'!$C$5:$V$37,12,0))</f>
        <v>#N/A</v>
      </c>
      <c r="C16" s="168" t="str">
        <f t="shared" si="1"/>
        <v>#N/A</v>
      </c>
      <c r="D16" s="169"/>
      <c r="E16" s="170" t="b">
        <v>0</v>
      </c>
      <c r="F16" s="134"/>
      <c r="G16" s="174" t="s">
        <v>104</v>
      </c>
      <c r="H16" s="174"/>
      <c r="I16" s="177" t="s">
        <v>100</v>
      </c>
      <c r="J16" s="176" t="s">
        <v>103</v>
      </c>
      <c r="K16" s="134"/>
    </row>
    <row r="17" ht="18.75" customHeight="1">
      <c r="A17" s="1"/>
      <c r="B17" s="168" t="str">
        <f>(VLOOKUP($C$2,'Pekosign Individual qualifier s'!$C$5:$V$37,13,0))</f>
        <v>#N/A</v>
      </c>
      <c r="C17" s="168" t="str">
        <f t="shared" si="1"/>
        <v>#N/A</v>
      </c>
      <c r="D17" s="169"/>
      <c r="E17" s="170" t="b">
        <v>0</v>
      </c>
      <c r="F17" s="134"/>
      <c r="G17" s="174" t="s">
        <v>108</v>
      </c>
      <c r="H17" s="174"/>
      <c r="I17" s="177" t="s">
        <v>109</v>
      </c>
      <c r="J17" s="176" t="s">
        <v>107</v>
      </c>
      <c r="K17" s="134"/>
    </row>
    <row r="18" ht="18.75" customHeight="1">
      <c r="A18" s="1"/>
      <c r="B18" s="168" t="str">
        <f>(VLOOKUP($C$2,'Pekosign Individual qualifier s'!$C$5:$V$37,14,0))</f>
        <v>#N/A</v>
      </c>
      <c r="C18" s="168" t="str">
        <f t="shared" si="1"/>
        <v>#N/A</v>
      </c>
      <c r="D18" s="169"/>
      <c r="E18" s="170" t="b">
        <v>0</v>
      </c>
      <c r="F18" s="134"/>
      <c r="G18" s="174" t="s">
        <v>113</v>
      </c>
      <c r="H18" s="174"/>
      <c r="I18" s="177" t="s">
        <v>109</v>
      </c>
      <c r="J18" s="176" t="s">
        <v>112</v>
      </c>
      <c r="K18" s="134"/>
    </row>
    <row r="19" ht="18.75" customHeight="1">
      <c r="A19" s="1"/>
      <c r="B19" s="168" t="str">
        <f>(VLOOKUP($C$2,'Pekosign Individual qualifier s'!$C$5:$V$37,15,0))</f>
        <v>#N/A</v>
      </c>
      <c r="C19" s="168" t="str">
        <f t="shared" si="1"/>
        <v>#N/A</v>
      </c>
      <c r="D19" s="169"/>
      <c r="E19" s="170" t="b">
        <v>0</v>
      </c>
      <c r="F19" s="134"/>
      <c r="G19" s="174"/>
      <c r="H19" s="174"/>
      <c r="I19" s="177"/>
      <c r="J19" s="178"/>
      <c r="K19" s="134"/>
    </row>
    <row r="20" ht="18.75" customHeight="1">
      <c r="A20" s="1"/>
      <c r="B20" s="168" t="str">
        <f>(VLOOKUP($C$2,'Pekosign Individual qualifier s'!$C$5:$V$37,16,0))</f>
        <v>#N/A</v>
      </c>
      <c r="C20" s="168" t="str">
        <f t="shared" si="1"/>
        <v>#N/A</v>
      </c>
      <c r="D20" s="169"/>
      <c r="E20" s="170" t="b">
        <v>0</v>
      </c>
      <c r="F20" s="134"/>
      <c r="G20" s="174"/>
      <c r="H20" s="174"/>
      <c r="I20" s="177"/>
      <c r="J20" s="178"/>
      <c r="K20" s="134"/>
    </row>
    <row r="21" ht="18.75" customHeight="1">
      <c r="A21" s="1"/>
      <c r="B21" s="168" t="str">
        <f>(VLOOKUP($C$2,'Pekosign Individual qualifier s'!$C$5:$V$37,17,0))</f>
        <v>#N/A</v>
      </c>
      <c r="C21" s="168" t="str">
        <f t="shared" si="1"/>
        <v>#N/A</v>
      </c>
      <c r="D21" s="169"/>
      <c r="E21" s="170" t="b">
        <v>0</v>
      </c>
      <c r="F21" s="134"/>
      <c r="G21" s="174"/>
      <c r="H21" s="174"/>
      <c r="I21" s="177"/>
      <c r="J21" s="178"/>
      <c r="K21" s="134"/>
    </row>
    <row r="22" ht="18.75" customHeight="1">
      <c r="A22" s="1"/>
      <c r="B22" s="168" t="str">
        <f>(VLOOKUP($C$2,'Pekosign Individual qualifier s'!$C$5:$V$37,18,0))</f>
        <v>#N/A</v>
      </c>
      <c r="C22" s="168" t="str">
        <f t="shared" si="1"/>
        <v>#N/A</v>
      </c>
      <c r="D22" s="169"/>
      <c r="E22" s="170" t="b">
        <v>0</v>
      </c>
      <c r="F22" s="134"/>
      <c r="G22" s="174"/>
      <c r="H22" s="174"/>
      <c r="I22" s="177"/>
      <c r="J22" s="178"/>
      <c r="K22" s="134"/>
    </row>
    <row r="23" ht="15.0" customHeight="1">
      <c r="A23" s="1"/>
      <c r="B23" s="134"/>
      <c r="C23" s="134"/>
      <c r="D23" s="134"/>
      <c r="E23" s="134"/>
      <c r="F23" s="134"/>
      <c r="G23" s="179" t="s">
        <v>178</v>
      </c>
      <c r="H23" s="134"/>
      <c r="I23" s="134"/>
      <c r="J23" s="179"/>
      <c r="K23" s="134"/>
    </row>
  </sheetData>
  <mergeCells count="2">
    <mergeCell ref="G3:G5"/>
    <mergeCell ref="G7:J7"/>
  </mergeCells>
  <conditionalFormatting sqref="J9:J22">
    <cfRule type="beginsWith" dxfId="0" priority="1" operator="beginsWith" text="NM">
      <formula>LEFT((J9),LEN("NM"))=("NM")</formula>
    </cfRule>
  </conditionalFormatting>
  <conditionalFormatting sqref="J9:J22">
    <cfRule type="beginsWith" dxfId="1" priority="2" operator="beginsWith" text="HD">
      <formula>LEFT((J9),LEN("HD"))=("HD")</formula>
    </cfRule>
  </conditionalFormatting>
  <conditionalFormatting sqref="J9:J22">
    <cfRule type="beginsWith" dxfId="2" priority="3" operator="beginsWith" text="HR">
      <formula>LEFT((J9),LEN("HR"))=("HR")</formula>
    </cfRule>
  </conditionalFormatting>
  <conditionalFormatting sqref="J9:J22">
    <cfRule type="beginsWith" dxfId="3" priority="4" operator="beginsWith" text="DT">
      <formula>LEFT((J9),LEN("DT"))=("DT")</formula>
    </cfRule>
  </conditionalFormatting>
  <conditionalFormatting sqref="G9:G22 I9:I22">
    <cfRule type="cellIs" dxfId="0" priority="5" operator="equal">
      <formula>"!mp mods NF"</formula>
    </cfRule>
  </conditionalFormatting>
  <conditionalFormatting sqref="G9:G22 I9:I22">
    <cfRule type="cellIs" dxfId="1" priority="6" operator="equal">
      <formula>"!mp mods HD NF"</formula>
    </cfRule>
  </conditionalFormatting>
  <conditionalFormatting sqref="G9:G22 I9:I22">
    <cfRule type="cellIs" dxfId="2" priority="7" operator="equal">
      <formula>"!mp mods HR NF"</formula>
    </cfRule>
  </conditionalFormatting>
  <conditionalFormatting sqref="G9:G22 I9:I22">
    <cfRule type="cellIs" dxfId="3" priority="8" operator="equal">
      <formula>"!mp mods DT NF"</formula>
    </cfRule>
  </conditionalFormatting>
  <conditionalFormatting sqref="G9:G22 I9:J22">
    <cfRule type="beginsWith" dxfId="4" priority="9" operator="beginsWith" text="FM">
      <formula>LEFT((G9),LEN("FM"))=("FM")</formula>
    </cfRule>
  </conditionalFormatting>
  <conditionalFormatting sqref="G9:G22 I9:J22">
    <cfRule type="beginsWith" dxfId="5" priority="10" operator="beginsWith" text="TB">
      <formula>LEFT((G9),LEN("TB"))=("TB")</formula>
    </cfRule>
  </conditionalFormatting>
  <conditionalFormatting sqref="C3">
    <cfRule type="containsBlanks" dxfId="11" priority="11">
      <formula>LEN(TRIM(C3))=0</formula>
    </cfRule>
  </conditionalFormatting>
  <conditionalFormatting sqref="C3">
    <cfRule type="notContainsBlanks" dxfId="9" priority="12">
      <formula>LEN(TRIM(C3))&gt;0</formula>
    </cfRule>
  </conditionalFormatting>
  <conditionalFormatting sqref="C8">
    <cfRule type="expression" dxfId="8" priority="13">
      <formula>E8=TRUE</formula>
    </cfRule>
  </conditionalFormatting>
  <conditionalFormatting sqref="C9">
    <cfRule type="expression" dxfId="8" priority="14">
      <formula>E9=TRUE</formula>
    </cfRule>
  </conditionalFormatting>
  <conditionalFormatting sqref="C10">
    <cfRule type="expression" dxfId="8" priority="15">
      <formula>E10=TRUE</formula>
    </cfRule>
  </conditionalFormatting>
  <conditionalFormatting sqref="C11">
    <cfRule type="expression" dxfId="8" priority="16">
      <formula>E11=TRUE</formula>
    </cfRule>
  </conditionalFormatting>
  <conditionalFormatting sqref="C12">
    <cfRule type="expression" dxfId="8" priority="17">
      <formula>E12=TRUE</formula>
    </cfRule>
  </conditionalFormatting>
  <conditionalFormatting sqref="C13">
    <cfRule type="expression" dxfId="8" priority="18">
      <formula>E13=TRUE</formula>
    </cfRule>
  </conditionalFormatting>
  <conditionalFormatting sqref="C14">
    <cfRule type="expression" dxfId="8" priority="19">
      <formula>E14=TRUE</formula>
    </cfRule>
  </conditionalFormatting>
  <conditionalFormatting sqref="C15">
    <cfRule type="expression" dxfId="8" priority="20">
      <formula>E15=TRUE</formula>
    </cfRule>
  </conditionalFormatting>
  <conditionalFormatting sqref="C16">
    <cfRule type="expression" dxfId="8" priority="21">
      <formula>E16=TRUE</formula>
    </cfRule>
  </conditionalFormatting>
  <conditionalFormatting sqref="C17">
    <cfRule type="expression" dxfId="8" priority="22">
      <formula>E17=TRUE</formula>
    </cfRule>
  </conditionalFormatting>
  <conditionalFormatting sqref="C18">
    <cfRule type="expression" dxfId="8" priority="23">
      <formula>E18=TRUE</formula>
    </cfRule>
  </conditionalFormatting>
  <conditionalFormatting sqref="C19">
    <cfRule type="expression" dxfId="8" priority="24">
      <formula>E19=TRUE</formula>
    </cfRule>
  </conditionalFormatting>
  <conditionalFormatting sqref="C20">
    <cfRule type="expression" dxfId="8" priority="25">
      <formula>E20=TRUE</formula>
    </cfRule>
  </conditionalFormatting>
  <conditionalFormatting sqref="C22">
    <cfRule type="expression" dxfId="8" priority="26">
      <formula>E22=TRUE</formula>
    </cfRule>
  </conditionalFormatting>
  <conditionalFormatting sqref="C21">
    <cfRule type="expression" dxfId="8" priority="27">
      <formula>E21=TRUE</formula>
    </cfRule>
  </conditionalFormatting>
  <dataValidations>
    <dataValidation type="list" allowBlank="1" sqref="C2">
      <formula1>'Pekosign Individual qualifier s'!$C$5:$C37</formula1>
    </dataValidation>
  </dataValidations>
  <hyperlinks>
    <hyperlink r:id="rId2" ref="C3"/>
    <hyperlink r:id="rId3" ref="J10"/>
    <hyperlink r:id="rId4" ref="J11"/>
    <hyperlink r:id="rId5" ref="J12"/>
    <hyperlink r:id="rId6" ref="J13"/>
    <hyperlink r:id="rId7" ref="J14"/>
    <hyperlink r:id="rId8" ref="J15"/>
    <hyperlink r:id="rId9" ref="J16"/>
    <hyperlink r:id="rId10" ref="J17"/>
    <hyperlink r:id="rId11" ref="J18"/>
  </hyperlinks>
  <drawing r:id="rId12"/>
  <legacy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8.88"/>
    <col customWidth="1" min="3" max="3" width="34.63"/>
    <col customWidth="1" min="4" max="4" width="1.38"/>
    <col customWidth="1" min="5" max="5" width="18.88"/>
    <col customWidth="1" min="6" max="6" width="1.38"/>
    <col customWidth="1" min="7" max="7" width="31.38"/>
    <col customWidth="1" min="8" max="8" width="1.38"/>
    <col customWidth="1" min="9" max="9" width="22.0"/>
    <col customWidth="1" min="10" max="10" width="25.13"/>
    <col customWidth="1" min="11" max="11" width="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2.5" customHeight="1">
      <c r="A2" s="1"/>
      <c r="B2" s="131" t="s">
        <v>135</v>
      </c>
      <c r="C2" s="138" t="s">
        <v>179</v>
      </c>
      <c r="D2" s="1"/>
      <c r="E2" s="139" t="s">
        <v>137</v>
      </c>
      <c r="F2" s="134"/>
      <c r="G2" s="139" t="s">
        <v>138</v>
      </c>
      <c r="H2" s="134"/>
      <c r="I2" s="136" t="s">
        <v>139</v>
      </c>
      <c r="J2" s="136" t="s">
        <v>140</v>
      </c>
      <c r="K2" s="134"/>
    </row>
    <row r="3" ht="22.5" customHeight="1">
      <c r="A3" s="1"/>
      <c r="B3" s="131" t="s">
        <v>141</v>
      </c>
      <c r="C3" s="180"/>
      <c r="D3" s="1"/>
      <c r="E3" s="181" t="str">
        <f> VLOOKUP(C2,'Pekosign Individual qualifier s'!C5:V37,4,0) &amp; " :3"</f>
        <v>#N/A</v>
      </c>
      <c r="F3" s="134"/>
      <c r="G3" s="158" t="s">
        <v>180</v>
      </c>
      <c r="H3" s="134"/>
      <c r="I3" s="136" t="s">
        <v>177</v>
      </c>
      <c r="J3" s="136" t="s">
        <v>144</v>
      </c>
      <c r="K3" s="134"/>
    </row>
    <row r="4" ht="22.5" customHeight="1">
      <c r="A4" s="1"/>
      <c r="B4" s="131" t="s">
        <v>145</v>
      </c>
      <c r="C4" s="182" t="str">
        <f>"!mp make "&amp;TourneyAbb&amp;" : (Qualifiers) vs ("&amp;C2&amp;")"</f>
        <v>!mp make PT : (Qualifiers) vs (D)</v>
      </c>
      <c r="D4" s="1"/>
      <c r="E4" s="183" t="str">
        <f> VLOOKUP(C2,'Pekosign Individual qualifier s'!C5:V37,2,0) </f>
        <v>#N/A</v>
      </c>
      <c r="F4" s="134"/>
      <c r="H4" s="134"/>
      <c r="I4" s="136" t="s">
        <v>146</v>
      </c>
      <c r="J4" s="136" t="s">
        <v>147</v>
      </c>
      <c r="K4" s="134"/>
    </row>
    <row r="5" ht="45.0" customHeight="1">
      <c r="A5" s="1"/>
      <c r="B5" s="131" t="s">
        <v>148</v>
      </c>
      <c r="C5" s="184" t="str">
        <f>IFS(C3="","Put the MP link!",C3&gt;"","Qualifier Lobby "&amp;C2&amp;" results: 
"&amp;C3&amp;"
Referee Notes: "&amp;G5)</f>
        <v>Put the MP link!</v>
      </c>
      <c r="D5" s="1"/>
      <c r="E5" s="183" t="str">
        <f> VLOOKUP(C2,'Pekosign Individual qualifier s'!C5:V37,3,0) </f>
        <v>#N/A</v>
      </c>
      <c r="F5" s="134"/>
      <c r="H5" s="134"/>
      <c r="I5" s="162" t="s">
        <v>149</v>
      </c>
      <c r="J5" s="163" t="s">
        <v>181</v>
      </c>
      <c r="K5" s="134"/>
    </row>
    <row r="6" ht="7.5" customHeight="1">
      <c r="A6" s="1"/>
      <c r="B6" s="134"/>
      <c r="C6" s="134"/>
      <c r="D6" s="134"/>
      <c r="E6" s="134"/>
      <c r="F6" s="134"/>
      <c r="G6" s="134"/>
      <c r="H6" s="134"/>
      <c r="I6" s="134"/>
      <c r="J6" s="134"/>
      <c r="K6" s="134"/>
    </row>
    <row r="7" ht="22.5" customHeight="1">
      <c r="A7" s="1"/>
      <c r="B7" s="141" t="s">
        <v>151</v>
      </c>
      <c r="C7" s="141" t="s">
        <v>152</v>
      </c>
      <c r="D7" s="133"/>
      <c r="E7" s="142" t="s">
        <v>153</v>
      </c>
      <c r="F7" s="134"/>
      <c r="G7" s="143" t="s">
        <v>154</v>
      </c>
      <c r="H7" s="144"/>
      <c r="I7" s="144"/>
      <c r="J7" s="144"/>
      <c r="K7" s="134"/>
    </row>
    <row r="8" ht="18.75" customHeight="1">
      <c r="A8" s="1"/>
      <c r="B8" s="145" t="s">
        <v>170</v>
      </c>
      <c r="C8" s="145" t="s">
        <v>171</v>
      </c>
      <c r="D8" s="133"/>
      <c r="E8" s="135" t="b">
        <v>0</v>
      </c>
      <c r="F8" s="134"/>
      <c r="G8" s="185" t="s">
        <v>69</v>
      </c>
      <c r="H8" s="185"/>
      <c r="I8" s="186" t="s">
        <v>70</v>
      </c>
      <c r="J8" s="185" t="s">
        <v>155</v>
      </c>
      <c r="K8" s="134"/>
    </row>
    <row r="9" ht="18.75" customHeight="1">
      <c r="A9" s="1"/>
      <c r="B9" s="148"/>
      <c r="C9" s="148"/>
      <c r="D9" s="133"/>
      <c r="E9" s="135" t="b">
        <v>0</v>
      </c>
      <c r="F9" s="134"/>
      <c r="G9" s="149" t="s">
        <v>182</v>
      </c>
      <c r="H9" s="150"/>
      <c r="I9" s="186"/>
      <c r="J9" s="150"/>
      <c r="K9" s="134"/>
    </row>
    <row r="10" ht="18.75" customHeight="1">
      <c r="A10" s="1"/>
      <c r="B10" s="148"/>
      <c r="C10" s="148"/>
      <c r="D10" s="133"/>
      <c r="E10" s="133" t="b">
        <v>0</v>
      </c>
      <c r="F10" s="134"/>
      <c r="G10" s="150"/>
      <c r="H10" s="150"/>
      <c r="I10" s="152"/>
      <c r="J10" s="150"/>
      <c r="K10" s="134"/>
    </row>
    <row r="11" ht="18.75" customHeight="1">
      <c r="A11" s="1"/>
      <c r="B11" s="148"/>
      <c r="C11" s="148"/>
      <c r="D11" s="133"/>
      <c r="E11" s="133" t="b">
        <v>0</v>
      </c>
      <c r="F11" s="134"/>
      <c r="G11" s="150"/>
      <c r="H11" s="150"/>
      <c r="I11" s="152"/>
      <c r="J11" s="150"/>
      <c r="K11" s="134"/>
    </row>
    <row r="12" ht="18.75" customHeight="1">
      <c r="A12" s="1"/>
      <c r="B12" s="148"/>
      <c r="C12" s="148"/>
      <c r="D12" s="133"/>
      <c r="E12" s="133" t="b">
        <v>0</v>
      </c>
      <c r="F12" s="134"/>
      <c r="G12" s="150"/>
      <c r="H12" s="150"/>
      <c r="I12" s="152"/>
      <c r="J12" s="150"/>
      <c r="K12" s="134"/>
    </row>
    <row r="13" ht="18.75" customHeight="1">
      <c r="A13" s="1"/>
      <c r="B13" s="148"/>
      <c r="C13" s="148"/>
      <c r="D13" s="133"/>
      <c r="E13" s="133" t="b">
        <v>0</v>
      </c>
      <c r="F13" s="134"/>
      <c r="G13" s="150"/>
      <c r="H13" s="150"/>
      <c r="I13" s="152"/>
      <c r="J13" s="150"/>
      <c r="K13" s="134"/>
    </row>
    <row r="14" ht="18.75" customHeight="1">
      <c r="A14" s="1"/>
      <c r="B14" s="148"/>
      <c r="C14" s="148"/>
      <c r="D14" s="133"/>
      <c r="E14" s="135" t="b">
        <v>0</v>
      </c>
      <c r="F14" s="134"/>
      <c r="G14" s="150"/>
      <c r="H14" s="150"/>
      <c r="I14" s="152"/>
      <c r="J14" s="150"/>
      <c r="K14" s="134"/>
    </row>
    <row r="15" ht="18.75" customHeight="1">
      <c r="A15" s="1"/>
      <c r="B15" s="148"/>
      <c r="C15" s="148"/>
      <c r="D15" s="133"/>
      <c r="E15" s="133" t="b">
        <v>0</v>
      </c>
      <c r="F15" s="134"/>
      <c r="G15" s="150"/>
      <c r="H15" s="150"/>
      <c r="I15" s="152"/>
      <c r="J15" s="150"/>
      <c r="K15" s="134"/>
    </row>
    <row r="16" ht="18.75" customHeight="1">
      <c r="A16" s="1"/>
      <c r="B16" s="148"/>
      <c r="C16" s="148"/>
      <c r="D16" s="133"/>
      <c r="E16" s="133" t="b">
        <v>0</v>
      </c>
      <c r="F16" s="134"/>
      <c r="G16" s="150"/>
      <c r="H16" s="150"/>
      <c r="I16" s="152"/>
      <c r="J16" s="150"/>
      <c r="K16" s="134"/>
    </row>
    <row r="17" ht="18.75" customHeight="1">
      <c r="A17" s="1"/>
      <c r="B17" s="148"/>
      <c r="C17" s="148"/>
      <c r="D17" s="133"/>
      <c r="E17" s="133" t="b">
        <v>0</v>
      </c>
      <c r="F17" s="134"/>
      <c r="G17" s="150"/>
      <c r="H17" s="150"/>
      <c r="I17" s="152"/>
      <c r="J17" s="150"/>
      <c r="K17" s="134"/>
    </row>
    <row r="18" ht="18.75" customHeight="1">
      <c r="A18" s="1"/>
      <c r="B18" s="148"/>
      <c r="C18" s="148"/>
      <c r="D18" s="133"/>
      <c r="E18" s="135" t="b">
        <v>0</v>
      </c>
      <c r="F18" s="134"/>
      <c r="G18" s="150"/>
      <c r="H18" s="150"/>
      <c r="I18" s="152"/>
      <c r="J18" s="150"/>
      <c r="K18" s="134"/>
    </row>
    <row r="19" ht="18.75" customHeight="1">
      <c r="A19" s="1"/>
      <c r="B19" s="148"/>
      <c r="C19" s="148"/>
      <c r="D19" s="133"/>
      <c r="E19" s="133" t="b">
        <v>0</v>
      </c>
      <c r="F19" s="134"/>
      <c r="G19" s="150"/>
      <c r="H19" s="150"/>
      <c r="I19" s="152"/>
      <c r="J19" s="150"/>
      <c r="K19" s="134"/>
    </row>
    <row r="20" ht="18.75" customHeight="1">
      <c r="A20" s="1"/>
      <c r="B20" s="148"/>
      <c r="C20" s="148"/>
      <c r="D20" s="133"/>
      <c r="E20" s="133" t="b">
        <v>0</v>
      </c>
      <c r="F20" s="134"/>
      <c r="G20" s="150"/>
      <c r="H20" s="150"/>
      <c r="I20" s="152"/>
      <c r="J20" s="150"/>
      <c r="K20" s="134"/>
    </row>
    <row r="21" ht="18.75" customHeight="1">
      <c r="A21" s="1"/>
      <c r="B21" s="148"/>
      <c r="C21" s="148"/>
      <c r="D21" s="133"/>
      <c r="E21" s="133" t="b">
        <v>0</v>
      </c>
      <c r="F21" s="134"/>
      <c r="G21" s="150"/>
      <c r="H21" s="150"/>
      <c r="I21" s="152"/>
      <c r="J21" s="150"/>
      <c r="K21" s="134"/>
    </row>
    <row r="22" ht="18.75" customHeight="1">
      <c r="A22" s="1"/>
      <c r="B22" s="148"/>
      <c r="C22" s="148"/>
      <c r="D22" s="133"/>
      <c r="E22" s="133" t="b">
        <v>0</v>
      </c>
      <c r="F22" s="134"/>
      <c r="G22" s="150"/>
      <c r="H22" s="150"/>
      <c r="I22" s="152"/>
      <c r="J22" s="150"/>
      <c r="K22" s="134"/>
    </row>
    <row r="23" ht="7.5" customHeight="1">
      <c r="A23" s="1"/>
      <c r="B23" s="134"/>
      <c r="C23" s="134"/>
      <c r="D23" s="134"/>
      <c r="E23" s="134"/>
      <c r="F23" s="134"/>
      <c r="G23" s="134"/>
      <c r="H23" s="134"/>
      <c r="I23" s="134"/>
      <c r="J23" s="134"/>
      <c r="K23" s="134"/>
    </row>
  </sheetData>
  <mergeCells count="2">
    <mergeCell ref="G3:G5"/>
    <mergeCell ref="G7:J7"/>
  </mergeCells>
  <conditionalFormatting sqref="C3">
    <cfRule type="containsBlanks" dxfId="11" priority="1">
      <formula>LEN(TRIM(C3))=0</formula>
    </cfRule>
  </conditionalFormatting>
  <conditionalFormatting sqref="C3">
    <cfRule type="notContainsBlanks" dxfId="12" priority="2">
      <formula>LEN(TRIM(C3))&gt;0</formula>
    </cfRule>
  </conditionalFormatting>
  <dataValidations>
    <dataValidation type="list" allowBlank="1" sqref="C2">
      <formula1>'Pekosign Individual qualifier s'!$C$5:$C37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5"/>
    <col customWidth="1" min="3" max="3" width="6.38"/>
    <col customWidth="1" min="4" max="4" width="8.88"/>
    <col customWidth="1" min="5" max="5" width="16.5"/>
    <col customWidth="1" min="6" max="6" width="6.38"/>
    <col customWidth="1" min="7" max="7" width="15.13"/>
    <col customWidth="1" min="8" max="22" width="10.13"/>
    <col customWidth="1" min="23" max="23" width="12.63"/>
    <col customWidth="1" min="24" max="24" width="3.63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>
      <c r="A2" s="20"/>
      <c r="B2" s="20"/>
      <c r="C2" s="187" t="s">
        <v>183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9"/>
      <c r="O2" s="190"/>
      <c r="P2" s="190"/>
      <c r="Q2" s="190"/>
      <c r="R2" s="190"/>
      <c r="S2" s="190"/>
      <c r="T2" s="190"/>
      <c r="U2" s="190"/>
      <c r="V2" s="190"/>
      <c r="W2" s="190"/>
      <c r="X2" s="20"/>
    </row>
    <row r="3">
      <c r="A3" s="20"/>
      <c r="B3" s="20"/>
      <c r="C3" s="191"/>
      <c r="D3" s="191"/>
      <c r="E3" s="192" t="s">
        <v>184</v>
      </c>
      <c r="F3" s="192" t="s">
        <v>185</v>
      </c>
      <c r="G3" s="193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20"/>
    </row>
    <row r="4">
      <c r="A4" s="20"/>
      <c r="B4" s="20"/>
      <c r="C4" s="194" t="s">
        <v>186</v>
      </c>
      <c r="D4" s="195" t="s">
        <v>187</v>
      </c>
      <c r="E4" s="195" t="s">
        <v>188</v>
      </c>
      <c r="F4" s="195" t="s">
        <v>189</v>
      </c>
      <c r="G4" s="195" t="s">
        <v>190</v>
      </c>
      <c r="H4" s="196" t="s">
        <v>191</v>
      </c>
      <c r="I4" s="196" t="s">
        <v>2</v>
      </c>
      <c r="J4" s="196" t="s">
        <v>3</v>
      </c>
      <c r="K4" s="196" t="s">
        <v>192</v>
      </c>
      <c r="L4" s="196" t="s">
        <v>193</v>
      </c>
      <c r="M4" s="196" t="s">
        <v>194</v>
      </c>
      <c r="N4" s="196" t="s">
        <v>195</v>
      </c>
      <c r="O4" s="196" t="s">
        <v>196</v>
      </c>
      <c r="P4" s="196" t="s">
        <v>197</v>
      </c>
      <c r="Q4" s="196" t="s">
        <v>198</v>
      </c>
      <c r="R4" s="196" t="s">
        <v>199</v>
      </c>
      <c r="S4" s="196" t="s">
        <v>200</v>
      </c>
      <c r="T4" s="196" t="s">
        <v>201</v>
      </c>
      <c r="U4" s="196" t="s">
        <v>202</v>
      </c>
      <c r="V4" s="197" t="s">
        <v>203</v>
      </c>
      <c r="W4" s="197" t="s">
        <v>204</v>
      </c>
      <c r="X4" s="20"/>
    </row>
    <row r="5">
      <c r="A5" s="198" t="s">
        <v>205</v>
      </c>
      <c r="B5" s="20"/>
      <c r="C5" s="199" t="s">
        <v>156</v>
      </c>
      <c r="D5" s="200" t="str">
        <f t="shared" ref="D5:D14" si="1">IF(COUNTIF(H5:V5,"*") = 0, "-", COUNTIF(H5:V5,"*") &amp;" / 15")</f>
        <v>12 / 15</v>
      </c>
      <c r="E5" s="201">
        <v>44618.0</v>
      </c>
      <c r="F5" s="202">
        <v>0.0</v>
      </c>
      <c r="G5" s="200" t="s">
        <v>131</v>
      </c>
      <c r="H5" s="203" t="s">
        <v>49</v>
      </c>
      <c r="I5" s="203">
        <v>556353.0</v>
      </c>
      <c r="J5" s="203" t="s">
        <v>51</v>
      </c>
      <c r="K5" s="203" t="s">
        <v>57</v>
      </c>
      <c r="L5" s="203">
        <v>556353.0</v>
      </c>
      <c r="M5" s="203" t="s">
        <v>37</v>
      </c>
      <c r="N5" s="203" t="s">
        <v>55</v>
      </c>
      <c r="O5" s="203" t="s">
        <v>34</v>
      </c>
      <c r="P5" s="203" t="s">
        <v>63</v>
      </c>
      <c r="Q5" s="203" t="s">
        <v>32</v>
      </c>
      <c r="R5" s="203" t="s">
        <v>37</v>
      </c>
      <c r="S5" s="203" t="s">
        <v>55</v>
      </c>
      <c r="T5" s="203" t="s">
        <v>49</v>
      </c>
      <c r="U5" s="203">
        <v>556353.0</v>
      </c>
      <c r="V5" s="204" t="s">
        <v>28</v>
      </c>
      <c r="W5" s="205"/>
      <c r="X5" s="20"/>
    </row>
    <row r="6">
      <c r="A6" s="32"/>
      <c r="B6" s="20"/>
      <c r="C6" s="199" t="s">
        <v>206</v>
      </c>
      <c r="D6" s="200" t="str">
        <f t="shared" si="1"/>
        <v>1 / 15</v>
      </c>
      <c r="E6" s="206">
        <v>44618.0</v>
      </c>
      <c r="F6" s="202">
        <v>0.08333333333333333</v>
      </c>
      <c r="G6" s="200" t="s">
        <v>132</v>
      </c>
      <c r="H6" s="203" t="s">
        <v>61</v>
      </c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4"/>
      <c r="W6" s="205"/>
      <c r="X6" s="20"/>
    </row>
    <row r="7">
      <c r="A7" s="32"/>
      <c r="B7" s="20"/>
      <c r="C7" s="199" t="s">
        <v>207</v>
      </c>
      <c r="D7" s="200" t="str">
        <f t="shared" si="1"/>
        <v>-</v>
      </c>
      <c r="E7" s="206">
        <v>44618.0</v>
      </c>
      <c r="F7" s="202">
        <v>0.16666666666666666</v>
      </c>
      <c r="G7" s="200" t="s">
        <v>133</v>
      </c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4"/>
      <c r="W7" s="205"/>
      <c r="X7" s="20"/>
    </row>
    <row r="8">
      <c r="A8" s="32"/>
      <c r="B8" s="20"/>
      <c r="C8" s="199" t="s">
        <v>208</v>
      </c>
      <c r="D8" s="200" t="str">
        <f t="shared" si="1"/>
        <v>-</v>
      </c>
      <c r="E8" s="206">
        <v>44618.0</v>
      </c>
      <c r="F8" s="202">
        <v>0.25</v>
      </c>
      <c r="G8" s="200" t="s">
        <v>134</v>
      </c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4"/>
      <c r="W8" s="205"/>
      <c r="X8" s="20"/>
    </row>
    <row r="9">
      <c r="A9" s="32"/>
      <c r="B9" s="20"/>
      <c r="C9" s="199" t="s">
        <v>209</v>
      </c>
      <c r="D9" s="200" t="str">
        <f t="shared" si="1"/>
        <v>-</v>
      </c>
      <c r="E9" s="206"/>
      <c r="F9" s="202">
        <v>0.5</v>
      </c>
      <c r="G9" s="200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4"/>
      <c r="W9" s="205"/>
      <c r="X9" s="20"/>
    </row>
    <row r="10">
      <c r="A10" s="32"/>
      <c r="B10" s="20"/>
      <c r="C10" s="199" t="s">
        <v>210</v>
      </c>
      <c r="D10" s="200" t="str">
        <f t="shared" si="1"/>
        <v>-</v>
      </c>
      <c r="E10" s="206"/>
      <c r="F10" s="202">
        <v>0.5833333333333334</v>
      </c>
      <c r="G10" s="200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4"/>
      <c r="W10" s="205"/>
      <c r="X10" s="20"/>
    </row>
    <row r="11">
      <c r="A11" s="32"/>
      <c r="B11" s="20"/>
      <c r="C11" s="199" t="s">
        <v>211</v>
      </c>
      <c r="D11" s="200" t="str">
        <f t="shared" si="1"/>
        <v>-</v>
      </c>
      <c r="E11" s="206"/>
      <c r="F11" s="202">
        <v>0.6666666666666666</v>
      </c>
      <c r="G11" s="200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4"/>
      <c r="W11" s="205"/>
      <c r="X11" s="20"/>
    </row>
    <row r="12">
      <c r="A12" s="32"/>
      <c r="B12" s="20"/>
      <c r="C12" s="199" t="s">
        <v>212</v>
      </c>
      <c r="D12" s="200" t="str">
        <f t="shared" si="1"/>
        <v>-</v>
      </c>
      <c r="E12" s="206"/>
      <c r="F12" s="202">
        <v>0.75</v>
      </c>
      <c r="G12" s="200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4"/>
      <c r="W12" s="205"/>
      <c r="X12" s="20"/>
    </row>
    <row r="13">
      <c r="A13" s="32"/>
      <c r="B13" s="20"/>
      <c r="C13" s="199" t="s">
        <v>213</v>
      </c>
      <c r="D13" s="200" t="str">
        <f t="shared" si="1"/>
        <v>-</v>
      </c>
      <c r="E13" s="206"/>
      <c r="F13" s="202">
        <v>0.875</v>
      </c>
      <c r="G13" s="200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4"/>
      <c r="W13" s="205"/>
      <c r="X13" s="20"/>
    </row>
    <row r="14">
      <c r="A14" s="44"/>
      <c r="B14" s="20"/>
      <c r="C14" s="199" t="s">
        <v>214</v>
      </c>
      <c r="D14" s="200" t="str">
        <f t="shared" si="1"/>
        <v>-</v>
      </c>
      <c r="E14" s="206"/>
      <c r="F14" s="202">
        <v>0.9993055555555556</v>
      </c>
      <c r="G14" s="200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4"/>
      <c r="W14" s="205"/>
      <c r="X14" s="20"/>
    </row>
    <row r="15">
      <c r="A15" s="20"/>
      <c r="B15" s="20"/>
      <c r="C15" s="199"/>
      <c r="D15" s="200"/>
      <c r="E15" s="206"/>
      <c r="F15" s="202"/>
      <c r="G15" s="200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4"/>
      <c r="W15" s="205"/>
      <c r="X15" s="20"/>
    </row>
    <row r="16">
      <c r="A16" s="198" t="s">
        <v>215</v>
      </c>
      <c r="B16" s="20"/>
      <c r="C16" s="199" t="s">
        <v>216</v>
      </c>
      <c r="D16" s="200" t="str">
        <f t="shared" ref="D16:D25" si="2">IF(COUNTIF(H16:V16,"*") = 0, "-", COUNTIF(H16:V16,"*") &amp;" / 15")</f>
        <v>-</v>
      </c>
      <c r="E16" s="206"/>
      <c r="F16" s="202">
        <v>0.0</v>
      </c>
      <c r="G16" s="200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4"/>
      <c r="W16" s="205"/>
      <c r="X16" s="20"/>
    </row>
    <row r="17">
      <c r="A17" s="32"/>
      <c r="B17" s="20"/>
      <c r="C17" s="199" t="s">
        <v>217</v>
      </c>
      <c r="D17" s="200" t="str">
        <f t="shared" si="2"/>
        <v>-</v>
      </c>
      <c r="E17" s="200"/>
      <c r="F17" s="202">
        <v>0.08333333333333333</v>
      </c>
      <c r="G17" s="200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4"/>
      <c r="W17" s="205"/>
      <c r="X17" s="20"/>
    </row>
    <row r="18">
      <c r="A18" s="32"/>
      <c r="B18" s="20"/>
      <c r="C18" s="199" t="s">
        <v>218</v>
      </c>
      <c r="D18" s="200" t="str">
        <f t="shared" si="2"/>
        <v>-</v>
      </c>
      <c r="E18" s="206"/>
      <c r="F18" s="202">
        <v>0.16666666666666666</v>
      </c>
      <c r="G18" s="200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4"/>
      <c r="W18" s="205"/>
      <c r="X18" s="20"/>
    </row>
    <row r="19">
      <c r="A19" s="32"/>
      <c r="B19" s="20"/>
      <c r="C19" s="199" t="s">
        <v>219</v>
      </c>
      <c r="D19" s="200" t="str">
        <f t="shared" si="2"/>
        <v>-</v>
      </c>
      <c r="E19" s="206"/>
      <c r="F19" s="202">
        <v>0.25</v>
      </c>
      <c r="G19" s="200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4"/>
      <c r="W19" s="205"/>
      <c r="X19" s="20"/>
    </row>
    <row r="20">
      <c r="A20" s="32"/>
      <c r="B20" s="20"/>
      <c r="C20" s="199" t="s">
        <v>220</v>
      </c>
      <c r="D20" s="200" t="str">
        <f t="shared" si="2"/>
        <v>-</v>
      </c>
      <c r="E20" s="206"/>
      <c r="F20" s="202">
        <v>0.5</v>
      </c>
      <c r="G20" s="200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4"/>
      <c r="W20" s="205"/>
      <c r="X20" s="20"/>
    </row>
    <row r="21">
      <c r="A21" s="32"/>
      <c r="B21" s="20"/>
      <c r="C21" s="199" t="s">
        <v>221</v>
      </c>
      <c r="D21" s="200" t="str">
        <f t="shared" si="2"/>
        <v>-</v>
      </c>
      <c r="E21" s="200"/>
      <c r="F21" s="202">
        <v>0.5833333333333334</v>
      </c>
      <c r="G21" s="200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4"/>
      <c r="W21" s="205"/>
      <c r="X21" s="20"/>
    </row>
    <row r="22">
      <c r="A22" s="32"/>
      <c r="B22" s="20"/>
      <c r="C22" s="199" t="s">
        <v>222</v>
      </c>
      <c r="D22" s="200" t="str">
        <f t="shared" si="2"/>
        <v>-</v>
      </c>
      <c r="E22" s="200"/>
      <c r="F22" s="202">
        <v>0.6666666666666666</v>
      </c>
      <c r="G22" s="200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4"/>
      <c r="W22" s="205"/>
      <c r="X22" s="20"/>
    </row>
    <row r="23">
      <c r="A23" s="32"/>
      <c r="B23" s="20"/>
      <c r="C23" s="199" t="s">
        <v>223</v>
      </c>
      <c r="D23" s="200" t="str">
        <f t="shared" si="2"/>
        <v>-</v>
      </c>
      <c r="E23" s="207"/>
      <c r="F23" s="202">
        <v>0.75</v>
      </c>
      <c r="G23" s="208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4"/>
      <c r="W23" s="205"/>
      <c r="X23" s="20"/>
    </row>
    <row r="24">
      <c r="A24" s="32"/>
      <c r="B24" s="20"/>
      <c r="C24" s="199" t="s">
        <v>224</v>
      </c>
      <c r="D24" s="200" t="str">
        <f t="shared" si="2"/>
        <v>-</v>
      </c>
      <c r="E24" s="207"/>
      <c r="F24" s="202">
        <v>0.875</v>
      </c>
      <c r="G24" s="208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4"/>
      <c r="W24" s="205"/>
      <c r="X24" s="20"/>
    </row>
    <row r="25">
      <c r="A25" s="44"/>
      <c r="B25" s="20"/>
      <c r="C25" s="199" t="s">
        <v>225</v>
      </c>
      <c r="D25" s="200" t="str">
        <f t="shared" si="2"/>
        <v>-</v>
      </c>
      <c r="E25" s="207"/>
      <c r="F25" s="202">
        <v>0.9993055555555556</v>
      </c>
      <c r="G25" s="208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4"/>
      <c r="W25" s="205"/>
      <c r="X25" s="20"/>
    </row>
    <row r="26">
      <c r="A26" s="20"/>
      <c r="B26" s="20"/>
      <c r="C26" s="199"/>
      <c r="D26" s="200"/>
      <c r="E26" s="207"/>
      <c r="F26" s="202"/>
      <c r="G26" s="208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4"/>
      <c r="W26" s="205"/>
      <c r="X26" s="20"/>
    </row>
    <row r="27">
      <c r="A27" s="198" t="s">
        <v>226</v>
      </c>
      <c r="B27" s="20"/>
      <c r="C27" s="199" t="s">
        <v>227</v>
      </c>
      <c r="D27" s="200" t="str">
        <f t="shared" ref="D27:D36" si="3">IF(COUNTIF(H27:V27,"*") = 0, "-", COUNTIF(H27:V27,"*") &amp;" / 15")</f>
        <v>-</v>
      </c>
      <c r="E27" s="207"/>
      <c r="F27" s="202"/>
      <c r="G27" s="208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4"/>
      <c r="W27" s="205"/>
      <c r="X27" s="20"/>
    </row>
    <row r="28">
      <c r="A28" s="32"/>
      <c r="B28" s="20"/>
      <c r="C28" s="199" t="s">
        <v>228</v>
      </c>
      <c r="D28" s="200" t="str">
        <f t="shared" si="3"/>
        <v>-</v>
      </c>
      <c r="E28" s="207"/>
      <c r="F28" s="202"/>
      <c r="G28" s="208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4"/>
      <c r="W28" s="205"/>
      <c r="X28" s="20"/>
    </row>
    <row r="29">
      <c r="A29" s="32"/>
      <c r="B29" s="20"/>
      <c r="C29" s="199" t="s">
        <v>229</v>
      </c>
      <c r="D29" s="200" t="str">
        <f t="shared" si="3"/>
        <v>-</v>
      </c>
      <c r="E29" s="207"/>
      <c r="F29" s="202"/>
      <c r="G29" s="208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4"/>
      <c r="W29" s="205"/>
      <c r="X29" s="20"/>
    </row>
    <row r="30">
      <c r="A30" s="32"/>
      <c r="B30" s="20"/>
      <c r="C30" s="199" t="s">
        <v>230</v>
      </c>
      <c r="D30" s="200" t="str">
        <f t="shared" si="3"/>
        <v>-</v>
      </c>
      <c r="E30" s="207"/>
      <c r="F30" s="202"/>
      <c r="G30" s="208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4"/>
      <c r="W30" s="205"/>
      <c r="X30" s="20"/>
    </row>
    <row r="31">
      <c r="A31" s="32"/>
      <c r="B31" s="20"/>
      <c r="C31" s="199" t="s">
        <v>231</v>
      </c>
      <c r="D31" s="200" t="str">
        <f t="shared" si="3"/>
        <v>-</v>
      </c>
      <c r="E31" s="207"/>
      <c r="F31" s="202"/>
      <c r="G31" s="208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4"/>
      <c r="W31" s="205"/>
      <c r="X31" s="20"/>
    </row>
    <row r="32">
      <c r="A32" s="32"/>
      <c r="B32" s="20"/>
      <c r="C32" s="199" t="s">
        <v>232</v>
      </c>
      <c r="D32" s="200" t="str">
        <f t="shared" si="3"/>
        <v>-</v>
      </c>
      <c r="E32" s="207"/>
      <c r="F32" s="202"/>
      <c r="G32" s="208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4"/>
      <c r="W32" s="205"/>
      <c r="X32" s="20"/>
    </row>
    <row r="33">
      <c r="A33" s="32"/>
      <c r="B33" s="20"/>
      <c r="C33" s="199" t="s">
        <v>233</v>
      </c>
      <c r="D33" s="200" t="str">
        <f t="shared" si="3"/>
        <v>-</v>
      </c>
      <c r="E33" s="207"/>
      <c r="F33" s="202"/>
      <c r="G33" s="208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4"/>
      <c r="W33" s="205"/>
      <c r="X33" s="20"/>
    </row>
    <row r="34">
      <c r="A34" s="32"/>
      <c r="B34" s="20"/>
      <c r="C34" s="199" t="s">
        <v>234</v>
      </c>
      <c r="D34" s="200" t="str">
        <f t="shared" si="3"/>
        <v>-</v>
      </c>
      <c r="E34" s="207"/>
      <c r="F34" s="202"/>
      <c r="G34" s="208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4"/>
      <c r="W34" s="205"/>
      <c r="X34" s="20"/>
    </row>
    <row r="35">
      <c r="A35" s="32"/>
      <c r="B35" s="20"/>
      <c r="C35" s="199" t="s">
        <v>235</v>
      </c>
      <c r="D35" s="200" t="str">
        <f t="shared" si="3"/>
        <v>-</v>
      </c>
      <c r="E35" s="207"/>
      <c r="F35" s="202"/>
      <c r="G35" s="208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4"/>
      <c r="W35" s="205"/>
      <c r="X35" s="20"/>
    </row>
    <row r="36">
      <c r="A36" s="44"/>
      <c r="B36" s="20"/>
      <c r="C36" s="199" t="s">
        <v>236</v>
      </c>
      <c r="D36" s="200" t="str">
        <f t="shared" si="3"/>
        <v>-</v>
      </c>
      <c r="E36" s="207"/>
      <c r="F36" s="202"/>
      <c r="G36" s="208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4"/>
      <c r="W36" s="205"/>
      <c r="X36" s="20"/>
    </row>
    <row r="37">
      <c r="A37" s="20"/>
      <c r="B37" s="20"/>
      <c r="C37" s="209"/>
      <c r="D37" s="210"/>
      <c r="E37" s="211"/>
      <c r="F37" s="212"/>
      <c r="G37" s="213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5"/>
      <c r="W37" s="205"/>
      <c r="X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</sheetData>
  <mergeCells count="4">
    <mergeCell ref="C2:N2"/>
    <mergeCell ref="A5:A14"/>
    <mergeCell ref="A16:A25"/>
    <mergeCell ref="A27:A36"/>
  </mergeCells>
  <dataValidations>
    <dataValidation type="list" allowBlank="1" sqref="H5:V37">
      <formula1>'Individual Qualifier format'!$B$3:$B38</formula1>
    </dataValidation>
    <dataValidation type="custom" allowBlank="1" showDropDown="1" sqref="E5:E37">
      <formula1>OR(NOT(ISERROR(DATEVALUE(E5))), AND(ISNUMBER(E5), LEFT(CELL("format", E5))="D"))</formula1>
    </dataValidation>
    <dataValidation type="list" allowBlank="1" showDropDown="1" showErrorMessage="1" sqref="G5:G37">
      <formula1>RefList!$B$3:$B$58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25"/>
    <col customWidth="1" min="2" max="2" width="18.88"/>
    <col customWidth="1" min="5" max="6" width="25.13"/>
    <col customWidth="1" min="9" max="9" width="3.25"/>
  </cols>
  <sheetData>
    <row r="1" ht="18.75" customHeight="1">
      <c r="A1" s="216"/>
      <c r="B1" s="216"/>
      <c r="C1" s="217"/>
      <c r="D1" s="216"/>
      <c r="E1" s="218"/>
      <c r="F1" s="219"/>
      <c r="G1" s="216"/>
      <c r="H1" s="216"/>
      <c r="I1" s="216"/>
    </row>
    <row r="2" ht="18.75" customHeight="1">
      <c r="A2" s="216"/>
      <c r="B2" s="220" t="s">
        <v>237</v>
      </c>
      <c r="C2" s="221"/>
      <c r="D2" s="221"/>
      <c r="E2" s="221"/>
      <c r="F2" s="222" t="s">
        <v>238</v>
      </c>
      <c r="G2" s="221"/>
      <c r="H2" s="221"/>
      <c r="I2" s="216"/>
    </row>
    <row r="3" ht="18.75" customHeight="1">
      <c r="A3" s="216"/>
      <c r="B3" s="223" t="s">
        <v>239</v>
      </c>
      <c r="C3" s="224" t="s">
        <v>65</v>
      </c>
      <c r="D3" s="223" t="s">
        <v>162</v>
      </c>
      <c r="E3" s="223" t="s">
        <v>155</v>
      </c>
      <c r="F3" s="225" t="s">
        <v>240</v>
      </c>
      <c r="G3" s="226" t="s">
        <v>69</v>
      </c>
      <c r="H3" s="226" t="s">
        <v>70</v>
      </c>
      <c r="I3" s="216"/>
    </row>
    <row r="4" ht="18.75" customHeight="1">
      <c r="A4" s="216"/>
      <c r="B4" s="227" t="s">
        <v>241</v>
      </c>
      <c r="C4" s="228" t="s">
        <v>72</v>
      </c>
      <c r="D4" s="227">
        <v>397535.0</v>
      </c>
      <c r="E4" s="229" t="s">
        <v>242</v>
      </c>
      <c r="F4" s="230" t="str">
        <f t="array" ref="F4:F510">IF(C4:C510="",,HYPERLINK("https://osu.ppy.sh/b/"&amp;D4:D510,C4:C510&amp;": "&amp;E4:E510))</f>
        <v>NM1: Kuba Oms - My Love [Insane]</v>
      </c>
      <c r="G4" s="231" t="str">
        <f t="array" ref="G4:G510">IF(D4:D510="",,"!mp map "&amp;D4:D510&amp;" "&amp;Gamemode)</f>
        <v>#NAME?</v>
      </c>
      <c r="H4" s="232" t="str">
        <f t="array" ref="H4:H510">IF(C4:C510="",,"!mp mods "&amp;IFS(LEFT(C4:C510,2)="NM",IF(#REF!,"NF",""),LEFT(C4:C510,2)="FM","Freemod",LEFT(C4:C510,2)="TB","Freemod",TRUE,TRIM(LEFT(C4:C510,2)&amp;" "&amp;IF(#REF!,"NF",""))))</f>
        <v>#REF!</v>
      </c>
      <c r="I4" s="216"/>
    </row>
    <row r="5" ht="18.75" customHeight="1">
      <c r="A5" s="216"/>
      <c r="B5" s="227" t="s">
        <v>241</v>
      </c>
      <c r="C5" s="228" t="s">
        <v>74</v>
      </c>
      <c r="D5" s="233">
        <v>397535.0</v>
      </c>
      <c r="E5" s="234" t="s">
        <v>242</v>
      </c>
      <c r="F5" s="230" t="s">
        <v>243</v>
      </c>
      <c r="G5" s="232" t="e">
        <v>#NAME?</v>
      </c>
      <c r="H5" s="232" t="e">
        <v>#REF!</v>
      </c>
      <c r="I5" s="216"/>
    </row>
    <row r="6" ht="18.75" customHeight="1">
      <c r="A6" s="216"/>
      <c r="B6" s="227" t="s">
        <v>241</v>
      </c>
      <c r="C6" s="228" t="s">
        <v>79</v>
      </c>
      <c r="D6" s="233">
        <v>397535.0</v>
      </c>
      <c r="E6" s="234" t="s">
        <v>242</v>
      </c>
      <c r="F6" s="230" t="s">
        <v>244</v>
      </c>
      <c r="G6" s="232" t="e">
        <v>#NAME?</v>
      </c>
      <c r="H6" s="232" t="e">
        <v>#REF!</v>
      </c>
      <c r="I6" s="216"/>
    </row>
    <row r="7" ht="18.75" customHeight="1">
      <c r="A7" s="216"/>
      <c r="B7" s="227" t="s">
        <v>241</v>
      </c>
      <c r="C7" s="228" t="s">
        <v>83</v>
      </c>
      <c r="D7" s="233">
        <v>397535.0</v>
      </c>
      <c r="E7" s="234" t="s">
        <v>242</v>
      </c>
      <c r="F7" s="230" t="s">
        <v>245</v>
      </c>
      <c r="G7" s="232" t="e">
        <v>#NAME?</v>
      </c>
      <c r="H7" s="232" t="e">
        <v>#REF!</v>
      </c>
      <c r="I7" s="216"/>
    </row>
    <row r="8" ht="18.75" customHeight="1">
      <c r="A8" s="216"/>
      <c r="B8" s="227" t="s">
        <v>241</v>
      </c>
      <c r="C8" s="228" t="s">
        <v>87</v>
      </c>
      <c r="D8" s="227">
        <v>397535.0</v>
      </c>
      <c r="E8" s="229" t="s">
        <v>242</v>
      </c>
      <c r="F8" s="230" t="s">
        <v>246</v>
      </c>
      <c r="G8" s="232" t="e">
        <v>#NAME?</v>
      </c>
      <c r="H8" s="232" t="e">
        <v>#REF!</v>
      </c>
      <c r="I8" s="216"/>
    </row>
    <row r="9" ht="18.75" customHeight="1">
      <c r="A9" s="216"/>
      <c r="B9" s="227" t="s">
        <v>241</v>
      </c>
      <c r="C9" s="228" t="s">
        <v>92</v>
      </c>
      <c r="D9" s="233">
        <v>397535.0</v>
      </c>
      <c r="E9" s="234" t="s">
        <v>242</v>
      </c>
      <c r="F9" s="230" t="s">
        <v>247</v>
      </c>
      <c r="G9" s="232" t="e">
        <v>#NAME?</v>
      </c>
      <c r="H9" s="232" t="e">
        <v>#REF!</v>
      </c>
      <c r="I9" s="216"/>
    </row>
    <row r="10" ht="18.75" customHeight="1">
      <c r="A10" s="216"/>
      <c r="B10" s="227" t="s">
        <v>241</v>
      </c>
      <c r="C10" s="228" t="s">
        <v>96</v>
      </c>
      <c r="D10" s="227">
        <v>397535.0</v>
      </c>
      <c r="E10" s="229" t="s">
        <v>242</v>
      </c>
      <c r="F10" s="230" t="s">
        <v>248</v>
      </c>
      <c r="G10" s="232" t="e">
        <v>#NAME?</v>
      </c>
      <c r="H10" s="232" t="e">
        <v>#REF!</v>
      </c>
      <c r="I10" s="216"/>
    </row>
    <row r="11" ht="18.75" customHeight="1">
      <c r="A11" s="216"/>
      <c r="B11" s="227" t="s">
        <v>241</v>
      </c>
      <c r="C11" s="228" t="s">
        <v>101</v>
      </c>
      <c r="D11" s="233">
        <v>397535.0</v>
      </c>
      <c r="E11" s="234" t="s">
        <v>242</v>
      </c>
      <c r="F11" s="230" t="s">
        <v>249</v>
      </c>
      <c r="G11" s="232" t="e">
        <v>#NAME?</v>
      </c>
      <c r="H11" s="232" t="e">
        <v>#REF!</v>
      </c>
      <c r="I11" s="216"/>
    </row>
    <row r="12" ht="18.75" customHeight="1">
      <c r="A12" s="216"/>
      <c r="B12" s="227" t="s">
        <v>241</v>
      </c>
      <c r="C12" s="228" t="s">
        <v>105</v>
      </c>
      <c r="D12" s="227">
        <v>397535.0</v>
      </c>
      <c r="E12" s="229" t="s">
        <v>242</v>
      </c>
      <c r="F12" s="230" t="s">
        <v>250</v>
      </c>
      <c r="G12" s="232" t="e">
        <v>#NAME?</v>
      </c>
      <c r="H12" s="232" t="e">
        <v>#REF!</v>
      </c>
      <c r="I12" s="216"/>
    </row>
    <row r="13" ht="18.75" customHeight="1">
      <c r="A13" s="216"/>
      <c r="B13" s="227" t="s">
        <v>241</v>
      </c>
      <c r="C13" s="228" t="s">
        <v>110</v>
      </c>
      <c r="D13" s="233">
        <v>397535.0</v>
      </c>
      <c r="E13" s="234" t="s">
        <v>242</v>
      </c>
      <c r="F13" s="230" t="s">
        <v>251</v>
      </c>
      <c r="G13" s="232" t="e">
        <v>#NAME?</v>
      </c>
      <c r="H13" s="232" t="e">
        <v>#REF!</v>
      </c>
      <c r="I13" s="216"/>
    </row>
    <row r="14" ht="18.75" customHeight="1">
      <c r="A14" s="216"/>
      <c r="B14" s="227" t="s">
        <v>241</v>
      </c>
      <c r="C14" s="228" t="s">
        <v>252</v>
      </c>
      <c r="D14" s="227">
        <v>397535.0</v>
      </c>
      <c r="E14" s="229" t="s">
        <v>242</v>
      </c>
      <c r="F14" s="230" t="s">
        <v>253</v>
      </c>
      <c r="G14" s="232" t="e">
        <v>#NAME?</v>
      </c>
      <c r="H14" s="232" t="s">
        <v>254</v>
      </c>
      <c r="I14" s="216"/>
    </row>
    <row r="15" ht="18.75" customHeight="1">
      <c r="A15" s="216"/>
      <c r="B15" s="227" t="s">
        <v>241</v>
      </c>
      <c r="C15" s="228" t="s">
        <v>255</v>
      </c>
      <c r="D15" s="227">
        <v>397535.0</v>
      </c>
      <c r="E15" s="229" t="s">
        <v>242</v>
      </c>
      <c r="F15" s="230" t="s">
        <v>256</v>
      </c>
      <c r="G15" s="232" t="e">
        <v>#NAME?</v>
      </c>
      <c r="H15" s="232" t="s">
        <v>254</v>
      </c>
      <c r="I15" s="216"/>
    </row>
    <row r="16" ht="18.75" customHeight="1">
      <c r="A16" s="216"/>
      <c r="B16" s="227" t="s">
        <v>241</v>
      </c>
      <c r="C16" s="228" t="s">
        <v>257</v>
      </c>
      <c r="D16" s="227">
        <v>397535.0</v>
      </c>
      <c r="E16" s="229" t="s">
        <v>242</v>
      </c>
      <c r="F16" s="230" t="s">
        <v>258</v>
      </c>
      <c r="G16" s="232" t="e">
        <v>#NAME?</v>
      </c>
      <c r="H16" s="232" t="s">
        <v>254</v>
      </c>
      <c r="I16" s="216"/>
    </row>
    <row r="17" ht="18.75" customHeight="1">
      <c r="A17" s="216"/>
      <c r="B17" s="227" t="s">
        <v>241</v>
      </c>
      <c r="C17" s="228" t="s">
        <v>259</v>
      </c>
      <c r="D17" s="227">
        <v>397535.0</v>
      </c>
      <c r="E17" s="229" t="s">
        <v>242</v>
      </c>
      <c r="F17" s="230" t="s">
        <v>260</v>
      </c>
      <c r="G17" s="232" t="e">
        <v>#NAME?</v>
      </c>
      <c r="H17" s="232" t="s">
        <v>254</v>
      </c>
      <c r="I17" s="216"/>
    </row>
    <row r="18" ht="18.75" customHeight="1">
      <c r="A18" s="216"/>
      <c r="B18" s="227" t="s">
        <v>241</v>
      </c>
      <c r="C18" s="228" t="s">
        <v>261</v>
      </c>
      <c r="D18" s="227">
        <v>397535.0</v>
      </c>
      <c r="E18" s="234" t="s">
        <v>242</v>
      </c>
      <c r="F18" s="230" t="s">
        <v>262</v>
      </c>
      <c r="G18" s="232" t="e">
        <v>#NAME?</v>
      </c>
      <c r="H18" s="232" t="s">
        <v>254</v>
      </c>
      <c r="I18" s="216"/>
    </row>
    <row r="19" ht="18.75" customHeight="1">
      <c r="A19" s="216"/>
      <c r="B19" s="235"/>
      <c r="C19" s="236"/>
      <c r="D19" s="235"/>
      <c r="E19" s="237"/>
      <c r="F19" s="230"/>
      <c r="G19" s="232"/>
      <c r="H19" s="232"/>
      <c r="I19" s="216"/>
    </row>
    <row r="20" ht="18.75" customHeight="1">
      <c r="A20" s="216"/>
      <c r="B20" s="235"/>
      <c r="C20" s="236"/>
      <c r="D20" s="235"/>
      <c r="E20" s="237"/>
      <c r="F20" s="230"/>
      <c r="G20" s="232"/>
      <c r="H20" s="232"/>
      <c r="I20" s="216"/>
    </row>
    <row r="21" ht="18.75" customHeight="1">
      <c r="A21" s="216"/>
      <c r="B21" s="235"/>
      <c r="C21" s="236"/>
      <c r="D21" s="235"/>
      <c r="E21" s="237"/>
      <c r="F21" s="230"/>
      <c r="G21" s="232"/>
      <c r="H21" s="232"/>
      <c r="I21" s="216"/>
    </row>
    <row r="22" ht="18.75" customHeight="1">
      <c r="A22" s="216"/>
      <c r="B22" s="235"/>
      <c r="C22" s="236"/>
      <c r="D22" s="235"/>
      <c r="E22" s="237"/>
      <c r="F22" s="230"/>
      <c r="G22" s="232"/>
      <c r="H22" s="232"/>
      <c r="I22" s="216"/>
    </row>
    <row r="23" ht="18.75" customHeight="1">
      <c r="A23" s="216"/>
      <c r="B23" s="235"/>
      <c r="C23" s="236"/>
      <c r="D23" s="235"/>
      <c r="E23" s="237"/>
      <c r="F23" s="230"/>
      <c r="G23" s="232"/>
      <c r="H23" s="232"/>
      <c r="I23" s="216"/>
    </row>
    <row r="24" ht="18.75" customHeight="1">
      <c r="A24" s="216"/>
      <c r="B24" s="235"/>
      <c r="C24" s="236"/>
      <c r="D24" s="235"/>
      <c r="E24" s="237"/>
      <c r="F24" s="230"/>
      <c r="G24" s="232"/>
      <c r="H24" s="232"/>
      <c r="I24" s="216"/>
    </row>
    <row r="25" ht="18.75" customHeight="1">
      <c r="A25" s="216"/>
      <c r="B25" s="235"/>
      <c r="C25" s="236"/>
      <c r="D25" s="235"/>
      <c r="E25" s="237"/>
      <c r="F25" s="230"/>
      <c r="G25" s="232"/>
      <c r="H25" s="232"/>
      <c r="I25" s="216"/>
    </row>
    <row r="26" ht="18.75" customHeight="1">
      <c r="A26" s="216"/>
      <c r="B26" s="235"/>
      <c r="C26" s="236"/>
      <c r="D26" s="235"/>
      <c r="E26" s="237"/>
      <c r="F26" s="230"/>
      <c r="G26" s="232"/>
      <c r="H26" s="232"/>
      <c r="I26" s="216"/>
    </row>
    <row r="27" ht="18.75" customHeight="1">
      <c r="A27" s="216"/>
      <c r="B27" s="235"/>
      <c r="C27" s="236"/>
      <c r="D27" s="235"/>
      <c r="E27" s="237"/>
      <c r="F27" s="230"/>
      <c r="G27" s="232"/>
      <c r="H27" s="232"/>
      <c r="I27" s="216"/>
    </row>
    <row r="28" ht="18.75" customHeight="1">
      <c r="A28" s="216"/>
      <c r="B28" s="235"/>
      <c r="C28" s="236"/>
      <c r="D28" s="235"/>
      <c r="E28" s="237"/>
      <c r="F28" s="230"/>
      <c r="G28" s="232"/>
      <c r="H28" s="232"/>
      <c r="I28" s="216"/>
    </row>
    <row r="29" ht="18.75" customHeight="1">
      <c r="A29" s="216"/>
      <c r="B29" s="235"/>
      <c r="C29" s="236"/>
      <c r="D29" s="235"/>
      <c r="E29" s="237"/>
      <c r="F29" s="230"/>
      <c r="G29" s="232"/>
      <c r="H29" s="232"/>
      <c r="I29" s="216"/>
    </row>
    <row r="30" ht="18.75" customHeight="1">
      <c r="A30" s="216"/>
      <c r="B30" s="235"/>
      <c r="C30" s="236"/>
      <c r="D30" s="235"/>
      <c r="E30" s="237"/>
      <c r="F30" s="230"/>
      <c r="G30" s="232"/>
      <c r="H30" s="232"/>
      <c r="I30" s="216"/>
    </row>
    <row r="31" ht="18.75" customHeight="1">
      <c r="A31" s="216"/>
      <c r="B31" s="235"/>
      <c r="C31" s="236"/>
      <c r="D31" s="235"/>
      <c r="E31" s="237"/>
      <c r="F31" s="230"/>
      <c r="G31" s="232"/>
      <c r="H31" s="232"/>
      <c r="I31" s="216"/>
    </row>
    <row r="32" ht="18.75" customHeight="1">
      <c r="A32" s="216"/>
      <c r="B32" s="235"/>
      <c r="C32" s="236"/>
      <c r="D32" s="235"/>
      <c r="E32" s="237"/>
      <c r="F32" s="230"/>
      <c r="G32" s="232"/>
      <c r="H32" s="232"/>
      <c r="I32" s="216"/>
    </row>
    <row r="33" ht="18.75" customHeight="1">
      <c r="A33" s="216"/>
      <c r="B33" s="235"/>
      <c r="C33" s="236"/>
      <c r="D33" s="235"/>
      <c r="E33" s="237"/>
      <c r="F33" s="230"/>
      <c r="G33" s="232"/>
      <c r="H33" s="232"/>
      <c r="I33" s="216"/>
    </row>
    <row r="34" ht="18.75" customHeight="1">
      <c r="A34" s="216"/>
      <c r="B34" s="235"/>
      <c r="C34" s="236"/>
      <c r="D34" s="235"/>
      <c r="E34" s="237"/>
      <c r="F34" s="230"/>
      <c r="G34" s="232"/>
      <c r="H34" s="232"/>
      <c r="I34" s="216"/>
    </row>
    <row r="35" ht="18.75" customHeight="1">
      <c r="A35" s="216"/>
      <c r="B35" s="235"/>
      <c r="C35" s="236"/>
      <c r="D35" s="235"/>
      <c r="E35" s="237"/>
      <c r="F35" s="230"/>
      <c r="G35" s="232"/>
      <c r="H35" s="232"/>
      <c r="I35" s="216"/>
    </row>
    <row r="36" ht="18.75" customHeight="1">
      <c r="A36" s="216"/>
      <c r="B36" s="235"/>
      <c r="C36" s="236"/>
      <c r="D36" s="235"/>
      <c r="E36" s="237"/>
      <c r="F36" s="230"/>
      <c r="G36" s="232"/>
      <c r="H36" s="232"/>
      <c r="I36" s="216"/>
    </row>
    <row r="37" ht="18.75" customHeight="1">
      <c r="A37" s="216"/>
      <c r="B37" s="235"/>
      <c r="C37" s="236"/>
      <c r="D37" s="235"/>
      <c r="E37" s="237"/>
      <c r="F37" s="230"/>
      <c r="G37" s="232"/>
      <c r="H37" s="232"/>
      <c r="I37" s="216"/>
    </row>
    <row r="38" ht="18.75" customHeight="1">
      <c r="A38" s="216"/>
      <c r="B38" s="235"/>
      <c r="C38" s="236"/>
      <c r="D38" s="235"/>
      <c r="E38" s="237"/>
      <c r="F38" s="230"/>
      <c r="G38" s="232"/>
      <c r="H38" s="232"/>
      <c r="I38" s="216"/>
    </row>
    <row r="39" ht="18.75" customHeight="1">
      <c r="A39" s="216"/>
      <c r="B39" s="235"/>
      <c r="C39" s="236"/>
      <c r="D39" s="235"/>
      <c r="E39" s="237"/>
      <c r="F39" s="230"/>
      <c r="G39" s="232"/>
      <c r="H39" s="232"/>
      <c r="I39" s="216"/>
    </row>
    <row r="40" ht="18.75" customHeight="1">
      <c r="A40" s="216"/>
      <c r="B40" s="235"/>
      <c r="C40" s="236"/>
      <c r="D40" s="235"/>
      <c r="E40" s="237"/>
      <c r="F40" s="230"/>
      <c r="G40" s="232"/>
      <c r="H40" s="232"/>
      <c r="I40" s="216"/>
    </row>
    <row r="41" ht="18.75" customHeight="1">
      <c r="A41" s="216"/>
      <c r="B41" s="235"/>
      <c r="C41" s="236"/>
      <c r="D41" s="235"/>
      <c r="E41" s="237"/>
      <c r="F41" s="230"/>
      <c r="G41" s="232"/>
      <c r="H41" s="232"/>
      <c r="I41" s="216"/>
    </row>
    <row r="42" ht="18.75" customHeight="1">
      <c r="A42" s="216"/>
      <c r="B42" s="235"/>
      <c r="C42" s="236"/>
      <c r="D42" s="235"/>
      <c r="E42" s="237"/>
      <c r="F42" s="230"/>
      <c r="G42" s="232"/>
      <c r="H42" s="232"/>
      <c r="I42" s="216"/>
    </row>
    <row r="43" ht="18.75" customHeight="1">
      <c r="A43" s="216"/>
      <c r="B43" s="235"/>
      <c r="C43" s="236"/>
      <c r="D43" s="235"/>
      <c r="E43" s="237"/>
      <c r="F43" s="230"/>
      <c r="G43" s="232"/>
      <c r="H43" s="232"/>
      <c r="I43" s="216"/>
    </row>
    <row r="44" ht="18.75" customHeight="1">
      <c r="A44" s="216"/>
      <c r="B44" s="235"/>
      <c r="C44" s="236"/>
      <c r="D44" s="235"/>
      <c r="E44" s="237"/>
      <c r="F44" s="230"/>
      <c r="G44" s="232"/>
      <c r="H44" s="232"/>
      <c r="I44" s="216"/>
    </row>
    <row r="45" ht="18.75" customHeight="1">
      <c r="A45" s="216"/>
      <c r="B45" s="235"/>
      <c r="C45" s="236"/>
      <c r="D45" s="235"/>
      <c r="E45" s="237"/>
      <c r="F45" s="230"/>
      <c r="G45" s="232"/>
      <c r="H45" s="232"/>
      <c r="I45" s="216"/>
    </row>
    <row r="46" ht="18.75" customHeight="1">
      <c r="A46" s="216"/>
      <c r="B46" s="235"/>
      <c r="C46" s="236"/>
      <c r="D46" s="235"/>
      <c r="E46" s="237"/>
      <c r="F46" s="230"/>
      <c r="G46" s="232"/>
      <c r="H46" s="232"/>
      <c r="I46" s="216"/>
    </row>
    <row r="47" ht="18.75" customHeight="1">
      <c r="A47" s="216"/>
      <c r="B47" s="235"/>
      <c r="C47" s="236"/>
      <c r="D47" s="235"/>
      <c r="E47" s="237"/>
      <c r="F47" s="230"/>
      <c r="G47" s="232"/>
      <c r="H47" s="232"/>
      <c r="I47" s="216"/>
    </row>
    <row r="48" ht="18.75" customHeight="1">
      <c r="A48" s="216"/>
      <c r="B48" s="235"/>
      <c r="C48" s="236"/>
      <c r="D48" s="235"/>
      <c r="E48" s="237"/>
      <c r="F48" s="230"/>
      <c r="G48" s="232"/>
      <c r="H48" s="232"/>
      <c r="I48" s="216"/>
    </row>
    <row r="49" ht="18.75" customHeight="1">
      <c r="A49" s="216"/>
      <c r="B49" s="235"/>
      <c r="C49" s="236"/>
      <c r="D49" s="235"/>
      <c r="E49" s="237"/>
      <c r="F49" s="230"/>
      <c r="G49" s="232"/>
      <c r="H49" s="232"/>
      <c r="I49" s="216"/>
    </row>
    <row r="50" ht="18.75" customHeight="1">
      <c r="A50" s="216"/>
      <c r="B50" s="235"/>
      <c r="C50" s="236"/>
      <c r="D50" s="235"/>
      <c r="E50" s="237"/>
      <c r="F50" s="230"/>
      <c r="G50" s="232"/>
      <c r="H50" s="232"/>
      <c r="I50" s="216"/>
    </row>
    <row r="51" ht="18.75" customHeight="1">
      <c r="A51" s="216"/>
      <c r="B51" s="235"/>
      <c r="C51" s="236"/>
      <c r="D51" s="235"/>
      <c r="E51" s="237"/>
      <c r="F51" s="230"/>
      <c r="G51" s="232"/>
      <c r="H51" s="232"/>
      <c r="I51" s="216"/>
    </row>
    <row r="52" ht="18.75" customHeight="1">
      <c r="A52" s="216"/>
      <c r="B52" s="235"/>
      <c r="C52" s="236"/>
      <c r="D52" s="235"/>
      <c r="E52" s="237"/>
      <c r="F52" s="230"/>
      <c r="G52" s="232"/>
      <c r="H52" s="232"/>
      <c r="I52" s="216"/>
    </row>
    <row r="53" ht="18.75" customHeight="1">
      <c r="A53" s="216"/>
      <c r="B53" s="235"/>
      <c r="C53" s="236"/>
      <c r="D53" s="235"/>
      <c r="E53" s="237"/>
      <c r="F53" s="230"/>
      <c r="G53" s="232"/>
      <c r="H53" s="232"/>
      <c r="I53" s="216"/>
    </row>
    <row r="54" ht="18.75" customHeight="1">
      <c r="A54" s="216"/>
      <c r="B54" s="235"/>
      <c r="C54" s="236"/>
      <c r="D54" s="235"/>
      <c r="E54" s="237"/>
      <c r="F54" s="230"/>
      <c r="G54" s="232"/>
      <c r="H54" s="232"/>
      <c r="I54" s="216"/>
    </row>
    <row r="55" ht="18.75" customHeight="1">
      <c r="A55" s="216"/>
      <c r="B55" s="235"/>
      <c r="C55" s="236"/>
      <c r="D55" s="235"/>
      <c r="E55" s="237"/>
      <c r="F55" s="230"/>
      <c r="G55" s="232"/>
      <c r="H55" s="232"/>
      <c r="I55" s="216"/>
    </row>
    <row r="56" ht="18.75" customHeight="1">
      <c r="A56" s="216"/>
      <c r="B56" s="235"/>
      <c r="C56" s="236"/>
      <c r="D56" s="235"/>
      <c r="E56" s="237"/>
      <c r="F56" s="230"/>
      <c r="G56" s="232"/>
      <c r="H56" s="232"/>
      <c r="I56" s="216"/>
    </row>
    <row r="57" ht="18.75" customHeight="1">
      <c r="A57" s="216"/>
      <c r="B57" s="235"/>
      <c r="C57" s="236"/>
      <c r="D57" s="235"/>
      <c r="E57" s="237"/>
      <c r="F57" s="230"/>
      <c r="G57" s="232"/>
      <c r="H57" s="232"/>
      <c r="I57" s="216"/>
    </row>
    <row r="58" ht="18.75" customHeight="1">
      <c r="A58" s="216"/>
      <c r="B58" s="235"/>
      <c r="C58" s="236"/>
      <c r="D58" s="235"/>
      <c r="E58" s="237"/>
      <c r="F58" s="230"/>
      <c r="G58" s="232"/>
      <c r="H58" s="232"/>
      <c r="I58" s="216"/>
    </row>
    <row r="59" ht="18.75" customHeight="1">
      <c r="A59" s="216"/>
      <c r="B59" s="235"/>
      <c r="C59" s="236"/>
      <c r="D59" s="235"/>
      <c r="E59" s="237"/>
      <c r="F59" s="230"/>
      <c r="G59" s="232"/>
      <c r="H59" s="232"/>
      <c r="I59" s="216"/>
    </row>
    <row r="60" ht="18.75" customHeight="1">
      <c r="A60" s="216"/>
      <c r="B60" s="235"/>
      <c r="C60" s="236"/>
      <c r="D60" s="235"/>
      <c r="E60" s="237"/>
      <c r="F60" s="230"/>
      <c r="G60" s="232"/>
      <c r="H60" s="232"/>
      <c r="I60" s="216"/>
    </row>
    <row r="61" ht="18.75" customHeight="1">
      <c r="A61" s="216"/>
      <c r="B61" s="235"/>
      <c r="C61" s="236"/>
      <c r="D61" s="235"/>
      <c r="E61" s="237"/>
      <c r="F61" s="230"/>
      <c r="G61" s="232"/>
      <c r="H61" s="232"/>
      <c r="I61" s="216"/>
    </row>
    <row r="62" ht="18.75" customHeight="1">
      <c r="A62" s="216"/>
      <c r="B62" s="235"/>
      <c r="C62" s="236"/>
      <c r="D62" s="235"/>
      <c r="E62" s="237"/>
      <c r="F62" s="230"/>
      <c r="G62" s="232"/>
      <c r="H62" s="232"/>
      <c r="I62" s="216"/>
    </row>
    <row r="63" ht="18.75" customHeight="1">
      <c r="A63" s="216"/>
      <c r="B63" s="235"/>
      <c r="C63" s="236"/>
      <c r="D63" s="235"/>
      <c r="E63" s="237"/>
      <c r="F63" s="230"/>
      <c r="G63" s="232"/>
      <c r="H63" s="232"/>
      <c r="I63" s="216"/>
    </row>
    <row r="64" ht="18.75" customHeight="1">
      <c r="A64" s="216"/>
      <c r="B64" s="235"/>
      <c r="C64" s="236"/>
      <c r="D64" s="235"/>
      <c r="E64" s="237"/>
      <c r="F64" s="230"/>
      <c r="G64" s="232"/>
      <c r="H64" s="232"/>
      <c r="I64" s="216"/>
    </row>
    <row r="65" ht="18.75" customHeight="1">
      <c r="A65" s="216"/>
      <c r="B65" s="235"/>
      <c r="C65" s="236"/>
      <c r="D65" s="235"/>
      <c r="E65" s="237"/>
      <c r="F65" s="230"/>
      <c r="G65" s="232"/>
      <c r="H65" s="232"/>
      <c r="I65" s="216"/>
    </row>
    <row r="66" ht="18.75" customHeight="1">
      <c r="A66" s="216"/>
      <c r="B66" s="235"/>
      <c r="C66" s="236"/>
      <c r="D66" s="235"/>
      <c r="E66" s="237"/>
      <c r="F66" s="230"/>
      <c r="G66" s="232"/>
      <c r="H66" s="232"/>
      <c r="I66" s="216"/>
    </row>
    <row r="67" ht="18.75" customHeight="1">
      <c r="A67" s="216"/>
      <c r="B67" s="235"/>
      <c r="C67" s="236"/>
      <c r="D67" s="235"/>
      <c r="E67" s="237"/>
      <c r="F67" s="230"/>
      <c r="G67" s="232"/>
      <c r="H67" s="232"/>
      <c r="I67" s="216"/>
    </row>
    <row r="68" ht="18.75" customHeight="1">
      <c r="A68" s="216"/>
      <c r="B68" s="235"/>
      <c r="C68" s="236"/>
      <c r="D68" s="235"/>
      <c r="E68" s="237"/>
      <c r="F68" s="230"/>
      <c r="G68" s="232"/>
      <c r="H68" s="232"/>
      <c r="I68" s="216"/>
    </row>
    <row r="69" ht="18.75" customHeight="1">
      <c r="A69" s="216"/>
      <c r="B69" s="235"/>
      <c r="C69" s="236"/>
      <c r="D69" s="235"/>
      <c r="E69" s="237"/>
      <c r="F69" s="230"/>
      <c r="G69" s="232"/>
      <c r="H69" s="232"/>
      <c r="I69" s="216"/>
    </row>
    <row r="70" ht="18.75" customHeight="1">
      <c r="A70" s="216"/>
      <c r="B70" s="235"/>
      <c r="C70" s="236"/>
      <c r="D70" s="235"/>
      <c r="E70" s="237"/>
      <c r="F70" s="230"/>
      <c r="G70" s="232"/>
      <c r="H70" s="232"/>
      <c r="I70" s="216"/>
    </row>
    <row r="71" ht="18.75" customHeight="1">
      <c r="A71" s="216"/>
      <c r="B71" s="235"/>
      <c r="C71" s="236"/>
      <c r="D71" s="235"/>
      <c r="E71" s="237"/>
      <c r="F71" s="230"/>
      <c r="G71" s="232"/>
      <c r="H71" s="232"/>
      <c r="I71" s="216"/>
    </row>
    <row r="72" ht="18.75" customHeight="1">
      <c r="A72" s="216"/>
      <c r="B72" s="235"/>
      <c r="C72" s="236"/>
      <c r="D72" s="235"/>
      <c r="E72" s="237"/>
      <c r="F72" s="230"/>
      <c r="G72" s="232"/>
      <c r="H72" s="232"/>
      <c r="I72" s="216"/>
    </row>
    <row r="73" ht="18.75" customHeight="1">
      <c r="A73" s="216"/>
      <c r="B73" s="235"/>
      <c r="C73" s="236"/>
      <c r="D73" s="235"/>
      <c r="E73" s="237"/>
      <c r="F73" s="230"/>
      <c r="G73" s="232"/>
      <c r="H73" s="232"/>
      <c r="I73" s="216"/>
    </row>
    <row r="74" ht="18.75" customHeight="1">
      <c r="A74" s="216"/>
      <c r="B74" s="235"/>
      <c r="C74" s="236"/>
      <c r="D74" s="235"/>
      <c r="E74" s="237"/>
      <c r="F74" s="230"/>
      <c r="G74" s="232"/>
      <c r="H74" s="232"/>
      <c r="I74" s="216"/>
    </row>
    <row r="75" ht="18.75" customHeight="1">
      <c r="A75" s="216"/>
      <c r="B75" s="235"/>
      <c r="C75" s="236"/>
      <c r="D75" s="235"/>
      <c r="E75" s="237"/>
      <c r="F75" s="230"/>
      <c r="G75" s="232"/>
      <c r="H75" s="232"/>
      <c r="I75" s="216"/>
    </row>
    <row r="76" ht="18.75" customHeight="1">
      <c r="A76" s="216"/>
      <c r="B76" s="235"/>
      <c r="C76" s="236"/>
      <c r="D76" s="235"/>
      <c r="E76" s="237"/>
      <c r="F76" s="230"/>
      <c r="G76" s="232"/>
      <c r="H76" s="232"/>
      <c r="I76" s="216"/>
    </row>
    <row r="77" ht="18.75" customHeight="1">
      <c r="A77" s="216"/>
      <c r="B77" s="235"/>
      <c r="C77" s="236"/>
      <c r="D77" s="235"/>
      <c r="E77" s="237"/>
      <c r="F77" s="230"/>
      <c r="G77" s="232"/>
      <c r="H77" s="232"/>
      <c r="I77" s="216"/>
    </row>
    <row r="78" ht="18.75" customHeight="1">
      <c r="A78" s="216"/>
      <c r="B78" s="235"/>
      <c r="C78" s="236"/>
      <c r="D78" s="235"/>
      <c r="E78" s="237"/>
      <c r="F78" s="230"/>
      <c r="G78" s="232"/>
      <c r="H78" s="232"/>
      <c r="I78" s="216"/>
    </row>
    <row r="79" ht="18.75" customHeight="1">
      <c r="A79" s="216"/>
      <c r="B79" s="235"/>
      <c r="C79" s="236"/>
      <c r="D79" s="235"/>
      <c r="E79" s="237"/>
      <c r="F79" s="230"/>
      <c r="G79" s="232"/>
      <c r="H79" s="232"/>
      <c r="I79" s="216"/>
    </row>
    <row r="80" ht="18.75" customHeight="1">
      <c r="A80" s="216"/>
      <c r="B80" s="235"/>
      <c r="C80" s="236"/>
      <c r="D80" s="235"/>
      <c r="E80" s="237"/>
      <c r="F80" s="230"/>
      <c r="G80" s="232"/>
      <c r="H80" s="232"/>
      <c r="I80" s="216"/>
    </row>
    <row r="81" ht="18.75" customHeight="1">
      <c r="A81" s="216"/>
      <c r="B81" s="235"/>
      <c r="C81" s="236"/>
      <c r="D81" s="235"/>
      <c r="E81" s="237"/>
      <c r="F81" s="230"/>
      <c r="G81" s="232"/>
      <c r="H81" s="232"/>
      <c r="I81" s="216"/>
    </row>
    <row r="82" ht="18.75" customHeight="1">
      <c r="A82" s="216"/>
      <c r="B82" s="235"/>
      <c r="C82" s="236"/>
      <c r="D82" s="235"/>
      <c r="E82" s="237"/>
      <c r="F82" s="230"/>
      <c r="G82" s="232"/>
      <c r="H82" s="232"/>
      <c r="I82" s="216"/>
    </row>
    <row r="83" ht="18.75" customHeight="1">
      <c r="A83" s="216"/>
      <c r="B83" s="235"/>
      <c r="C83" s="236"/>
      <c r="D83" s="235"/>
      <c r="E83" s="237"/>
      <c r="F83" s="230"/>
      <c r="G83" s="232"/>
      <c r="H83" s="232"/>
      <c r="I83" s="216"/>
    </row>
    <row r="84" ht="18.75" customHeight="1">
      <c r="A84" s="216"/>
      <c r="B84" s="235"/>
      <c r="C84" s="236"/>
      <c r="D84" s="235"/>
      <c r="E84" s="237"/>
      <c r="F84" s="230"/>
      <c r="G84" s="232"/>
      <c r="H84" s="232"/>
      <c r="I84" s="216"/>
    </row>
    <row r="85" ht="18.75" customHeight="1">
      <c r="A85" s="216"/>
      <c r="B85" s="235"/>
      <c r="C85" s="236"/>
      <c r="D85" s="235"/>
      <c r="E85" s="237"/>
      <c r="F85" s="230"/>
      <c r="G85" s="232"/>
      <c r="H85" s="232"/>
      <c r="I85" s="216"/>
    </row>
    <row r="86" ht="18.75" customHeight="1">
      <c r="A86" s="216"/>
      <c r="B86" s="235"/>
      <c r="C86" s="236"/>
      <c r="D86" s="235"/>
      <c r="E86" s="237"/>
      <c r="F86" s="230"/>
      <c r="G86" s="232"/>
      <c r="H86" s="232"/>
      <c r="I86" s="216"/>
    </row>
    <row r="87" ht="18.75" customHeight="1">
      <c r="A87" s="216"/>
      <c r="B87" s="235"/>
      <c r="C87" s="236"/>
      <c r="D87" s="235"/>
      <c r="E87" s="237"/>
      <c r="F87" s="230"/>
      <c r="G87" s="232"/>
      <c r="H87" s="232"/>
      <c r="I87" s="216"/>
    </row>
    <row r="88" ht="18.75" customHeight="1">
      <c r="A88" s="216"/>
      <c r="B88" s="235"/>
      <c r="C88" s="236"/>
      <c r="D88" s="235"/>
      <c r="E88" s="237"/>
      <c r="F88" s="230"/>
      <c r="G88" s="232"/>
      <c r="H88" s="232"/>
      <c r="I88" s="216"/>
    </row>
    <row r="89" ht="18.75" customHeight="1">
      <c r="A89" s="216"/>
      <c r="B89" s="235"/>
      <c r="C89" s="236"/>
      <c r="D89" s="235"/>
      <c r="E89" s="237"/>
      <c r="F89" s="230"/>
      <c r="G89" s="232"/>
      <c r="H89" s="232"/>
      <c r="I89" s="216"/>
    </row>
    <row r="90" ht="18.75" customHeight="1">
      <c r="A90" s="216"/>
      <c r="B90" s="235"/>
      <c r="C90" s="236"/>
      <c r="D90" s="235"/>
      <c r="E90" s="237"/>
      <c r="F90" s="230"/>
      <c r="G90" s="232"/>
      <c r="H90" s="232"/>
      <c r="I90" s="216"/>
    </row>
    <row r="91" ht="18.75" customHeight="1">
      <c r="A91" s="216"/>
      <c r="B91" s="235"/>
      <c r="C91" s="236"/>
      <c r="D91" s="235"/>
      <c r="E91" s="237"/>
      <c r="F91" s="230"/>
      <c r="G91" s="232"/>
      <c r="H91" s="232"/>
      <c r="I91" s="216"/>
    </row>
    <row r="92" ht="18.75" customHeight="1">
      <c r="A92" s="216"/>
      <c r="B92" s="235"/>
      <c r="C92" s="236"/>
      <c r="D92" s="235"/>
      <c r="E92" s="237"/>
      <c r="F92" s="230"/>
      <c r="G92" s="232"/>
      <c r="H92" s="232"/>
      <c r="I92" s="216"/>
    </row>
    <row r="93" ht="18.75" customHeight="1">
      <c r="A93" s="216"/>
      <c r="B93" s="235"/>
      <c r="C93" s="236"/>
      <c r="D93" s="235"/>
      <c r="E93" s="237"/>
      <c r="F93" s="230"/>
      <c r="G93" s="232"/>
      <c r="H93" s="232"/>
      <c r="I93" s="216"/>
    </row>
    <row r="94" ht="18.75" customHeight="1">
      <c r="A94" s="216"/>
      <c r="B94" s="235"/>
      <c r="C94" s="236"/>
      <c r="D94" s="235"/>
      <c r="E94" s="237"/>
      <c r="F94" s="230"/>
      <c r="G94" s="232"/>
      <c r="H94" s="232"/>
      <c r="I94" s="216"/>
    </row>
    <row r="95" ht="18.75" customHeight="1">
      <c r="A95" s="216"/>
      <c r="B95" s="235"/>
      <c r="C95" s="236"/>
      <c r="D95" s="235"/>
      <c r="E95" s="237"/>
      <c r="F95" s="230"/>
      <c r="G95" s="232"/>
      <c r="H95" s="232"/>
      <c r="I95" s="216"/>
    </row>
    <row r="96" ht="18.75" customHeight="1">
      <c r="A96" s="216"/>
      <c r="B96" s="235"/>
      <c r="C96" s="236"/>
      <c r="D96" s="235"/>
      <c r="E96" s="237"/>
      <c r="F96" s="230"/>
      <c r="G96" s="232"/>
      <c r="H96" s="232"/>
      <c r="I96" s="216"/>
    </row>
    <row r="97" ht="18.75" customHeight="1">
      <c r="A97" s="216"/>
      <c r="B97" s="235"/>
      <c r="C97" s="236"/>
      <c r="D97" s="235"/>
      <c r="E97" s="237"/>
      <c r="F97" s="230"/>
      <c r="G97" s="232"/>
      <c r="H97" s="232"/>
      <c r="I97" s="216"/>
    </row>
    <row r="98" ht="18.75" customHeight="1">
      <c r="A98" s="216"/>
      <c r="B98" s="235"/>
      <c r="C98" s="236"/>
      <c r="D98" s="235"/>
      <c r="E98" s="237"/>
      <c r="F98" s="230"/>
      <c r="G98" s="232"/>
      <c r="H98" s="232"/>
      <c r="I98" s="216"/>
    </row>
    <row r="99" ht="18.75" customHeight="1">
      <c r="A99" s="216"/>
      <c r="B99" s="235"/>
      <c r="C99" s="236"/>
      <c r="D99" s="235"/>
      <c r="E99" s="237"/>
      <c r="F99" s="230"/>
      <c r="G99" s="232"/>
      <c r="H99" s="232"/>
      <c r="I99" s="216"/>
    </row>
    <row r="100" ht="18.75" customHeight="1">
      <c r="A100" s="216"/>
      <c r="B100" s="235"/>
      <c r="C100" s="236"/>
      <c r="D100" s="235"/>
      <c r="E100" s="237"/>
      <c r="F100" s="230"/>
      <c r="G100" s="232"/>
      <c r="H100" s="232"/>
      <c r="I100" s="216"/>
    </row>
    <row r="101" ht="18.75" customHeight="1">
      <c r="A101" s="216"/>
      <c r="B101" s="235"/>
      <c r="C101" s="236"/>
      <c r="D101" s="235"/>
      <c r="E101" s="237"/>
      <c r="F101" s="230"/>
      <c r="G101" s="232"/>
      <c r="H101" s="232"/>
      <c r="I101" s="216"/>
    </row>
    <row r="102" ht="18.75" customHeight="1">
      <c r="A102" s="216"/>
      <c r="B102" s="235"/>
      <c r="C102" s="236"/>
      <c r="D102" s="235"/>
      <c r="E102" s="237"/>
      <c r="F102" s="230"/>
      <c r="G102" s="232"/>
      <c r="H102" s="232"/>
      <c r="I102" s="216"/>
    </row>
    <row r="103" ht="18.75" customHeight="1">
      <c r="A103" s="216"/>
      <c r="B103" s="235"/>
      <c r="C103" s="236"/>
      <c r="D103" s="235"/>
      <c r="E103" s="237"/>
      <c r="F103" s="230"/>
      <c r="G103" s="232"/>
      <c r="H103" s="232"/>
      <c r="I103" s="216"/>
    </row>
    <row r="104" ht="18.75" customHeight="1">
      <c r="A104" s="216"/>
      <c r="B104" s="235"/>
      <c r="C104" s="236"/>
      <c r="D104" s="235"/>
      <c r="E104" s="237"/>
      <c r="F104" s="230"/>
      <c r="G104" s="232"/>
      <c r="H104" s="232"/>
      <c r="I104" s="216"/>
    </row>
    <row r="105" ht="18.75" customHeight="1">
      <c r="A105" s="216"/>
      <c r="B105" s="235"/>
      <c r="C105" s="236"/>
      <c r="D105" s="235"/>
      <c r="E105" s="237"/>
      <c r="F105" s="230"/>
      <c r="G105" s="232"/>
      <c r="H105" s="232"/>
      <c r="I105" s="216"/>
    </row>
    <row r="106" ht="18.75" customHeight="1">
      <c r="A106" s="216"/>
      <c r="B106" s="235"/>
      <c r="C106" s="236"/>
      <c r="D106" s="235"/>
      <c r="E106" s="237"/>
      <c r="F106" s="230"/>
      <c r="G106" s="232"/>
      <c r="H106" s="232"/>
      <c r="I106" s="216"/>
    </row>
    <row r="107" ht="18.75" customHeight="1">
      <c r="A107" s="216"/>
      <c r="B107" s="235"/>
      <c r="C107" s="236"/>
      <c r="D107" s="235"/>
      <c r="E107" s="237"/>
      <c r="F107" s="230"/>
      <c r="G107" s="232"/>
      <c r="H107" s="232"/>
      <c r="I107" s="216"/>
    </row>
    <row r="108" ht="18.75" customHeight="1">
      <c r="A108" s="216"/>
      <c r="B108" s="235"/>
      <c r="C108" s="236"/>
      <c r="D108" s="235"/>
      <c r="E108" s="237"/>
      <c r="F108" s="230"/>
      <c r="G108" s="232"/>
      <c r="H108" s="232"/>
      <c r="I108" s="216"/>
    </row>
    <row r="109" ht="18.75" customHeight="1">
      <c r="A109" s="216"/>
      <c r="B109" s="235"/>
      <c r="C109" s="236"/>
      <c r="D109" s="235"/>
      <c r="E109" s="237"/>
      <c r="F109" s="230"/>
      <c r="G109" s="232"/>
      <c r="H109" s="232"/>
      <c r="I109" s="216"/>
    </row>
    <row r="110" ht="18.75" customHeight="1">
      <c r="A110" s="216"/>
      <c r="B110" s="235"/>
      <c r="C110" s="236"/>
      <c r="D110" s="235"/>
      <c r="E110" s="237"/>
      <c r="F110" s="230"/>
      <c r="G110" s="232"/>
      <c r="H110" s="232"/>
      <c r="I110" s="216"/>
    </row>
    <row r="111" ht="18.75" customHeight="1">
      <c r="A111" s="216"/>
      <c r="B111" s="235"/>
      <c r="C111" s="236"/>
      <c r="D111" s="235"/>
      <c r="E111" s="237"/>
      <c r="F111" s="230"/>
      <c r="G111" s="232"/>
      <c r="H111" s="232"/>
      <c r="I111" s="216"/>
    </row>
    <row r="112" ht="18.75" customHeight="1">
      <c r="A112" s="216"/>
      <c r="B112" s="235"/>
      <c r="C112" s="236"/>
      <c r="D112" s="235"/>
      <c r="E112" s="237"/>
      <c r="F112" s="230"/>
      <c r="G112" s="232"/>
      <c r="H112" s="232"/>
      <c r="I112" s="216"/>
    </row>
    <row r="113" ht="18.75" customHeight="1">
      <c r="A113" s="216"/>
      <c r="B113" s="235"/>
      <c r="C113" s="236"/>
      <c r="D113" s="235"/>
      <c r="E113" s="237"/>
      <c r="F113" s="230"/>
      <c r="G113" s="232"/>
      <c r="H113" s="232"/>
      <c r="I113" s="216"/>
    </row>
    <row r="114" ht="18.75" customHeight="1">
      <c r="A114" s="216"/>
      <c r="B114" s="235"/>
      <c r="C114" s="236"/>
      <c r="D114" s="235"/>
      <c r="E114" s="237"/>
      <c r="F114" s="230"/>
      <c r="G114" s="232"/>
      <c r="H114" s="232"/>
      <c r="I114" s="216"/>
    </row>
    <row r="115" ht="18.75" customHeight="1">
      <c r="A115" s="216"/>
      <c r="B115" s="235"/>
      <c r="C115" s="236"/>
      <c r="D115" s="235"/>
      <c r="E115" s="237"/>
      <c r="F115" s="230"/>
      <c r="G115" s="232"/>
      <c r="H115" s="232"/>
      <c r="I115" s="216"/>
    </row>
    <row r="116" ht="18.75" customHeight="1">
      <c r="A116" s="216"/>
      <c r="B116" s="235"/>
      <c r="C116" s="236"/>
      <c r="D116" s="235"/>
      <c r="E116" s="237"/>
      <c r="F116" s="230"/>
      <c r="G116" s="232"/>
      <c r="H116" s="232"/>
      <c r="I116" s="216"/>
    </row>
    <row r="117" ht="18.75" customHeight="1">
      <c r="A117" s="216"/>
      <c r="B117" s="235"/>
      <c r="C117" s="236"/>
      <c r="D117" s="235"/>
      <c r="E117" s="237"/>
      <c r="F117" s="230"/>
      <c r="G117" s="232"/>
      <c r="H117" s="232"/>
      <c r="I117" s="216"/>
    </row>
    <row r="118" ht="18.75" customHeight="1">
      <c r="A118" s="216"/>
      <c r="B118" s="235"/>
      <c r="C118" s="236"/>
      <c r="D118" s="235"/>
      <c r="E118" s="237"/>
      <c r="F118" s="230"/>
      <c r="G118" s="232"/>
      <c r="H118" s="232"/>
      <c r="I118" s="216"/>
    </row>
    <row r="119" ht="18.75" customHeight="1">
      <c r="A119" s="216"/>
      <c r="B119" s="235"/>
      <c r="C119" s="236"/>
      <c r="D119" s="235"/>
      <c r="E119" s="237"/>
      <c r="F119" s="230"/>
      <c r="G119" s="232"/>
      <c r="H119" s="232"/>
      <c r="I119" s="216"/>
    </row>
    <row r="120" ht="18.75" customHeight="1">
      <c r="A120" s="216"/>
      <c r="B120" s="235"/>
      <c r="C120" s="236"/>
      <c r="D120" s="235"/>
      <c r="E120" s="237"/>
      <c r="F120" s="230"/>
      <c r="G120" s="232"/>
      <c r="H120" s="232"/>
      <c r="I120" s="216"/>
    </row>
    <row r="121" ht="18.75" customHeight="1">
      <c r="A121" s="216"/>
      <c r="B121" s="235"/>
      <c r="C121" s="236"/>
      <c r="D121" s="235"/>
      <c r="E121" s="237"/>
      <c r="F121" s="230"/>
      <c r="G121" s="232"/>
      <c r="H121" s="232"/>
      <c r="I121" s="216"/>
    </row>
    <row r="122" ht="18.75" customHeight="1">
      <c r="A122" s="216"/>
      <c r="B122" s="235"/>
      <c r="C122" s="236"/>
      <c r="D122" s="235"/>
      <c r="E122" s="237"/>
      <c r="F122" s="230"/>
      <c r="G122" s="232"/>
      <c r="H122" s="232"/>
      <c r="I122" s="216"/>
    </row>
    <row r="123" ht="18.75" customHeight="1">
      <c r="A123" s="216"/>
      <c r="B123" s="235"/>
      <c r="C123" s="236"/>
      <c r="D123" s="235"/>
      <c r="E123" s="237"/>
      <c r="F123" s="230"/>
      <c r="G123" s="232"/>
      <c r="H123" s="232"/>
      <c r="I123" s="216"/>
    </row>
    <row r="124" ht="18.75" customHeight="1">
      <c r="A124" s="216"/>
      <c r="B124" s="235"/>
      <c r="C124" s="236"/>
      <c r="D124" s="235"/>
      <c r="E124" s="237"/>
      <c r="F124" s="230"/>
      <c r="G124" s="232"/>
      <c r="H124" s="232"/>
      <c r="I124" s="216"/>
    </row>
    <row r="125" ht="18.75" customHeight="1">
      <c r="A125" s="216"/>
      <c r="B125" s="235"/>
      <c r="C125" s="236"/>
      <c r="D125" s="235"/>
      <c r="E125" s="237"/>
      <c r="F125" s="230"/>
      <c r="G125" s="232"/>
      <c r="H125" s="232"/>
      <c r="I125" s="216"/>
    </row>
    <row r="126" ht="18.75" customHeight="1">
      <c r="A126" s="216"/>
      <c r="B126" s="235"/>
      <c r="C126" s="236"/>
      <c r="D126" s="235"/>
      <c r="E126" s="237"/>
      <c r="F126" s="230"/>
      <c r="G126" s="232"/>
      <c r="H126" s="232"/>
      <c r="I126" s="216"/>
    </row>
    <row r="127" ht="18.75" customHeight="1">
      <c r="A127" s="216"/>
      <c r="B127" s="235"/>
      <c r="C127" s="236"/>
      <c r="D127" s="235"/>
      <c r="E127" s="237"/>
      <c r="F127" s="230"/>
      <c r="G127" s="232"/>
      <c r="H127" s="232"/>
      <c r="I127" s="216"/>
    </row>
    <row r="128" ht="18.75" customHeight="1">
      <c r="A128" s="216"/>
      <c r="B128" s="235"/>
      <c r="C128" s="236"/>
      <c r="D128" s="235"/>
      <c r="E128" s="237"/>
      <c r="F128" s="230"/>
      <c r="G128" s="232"/>
      <c r="H128" s="232"/>
      <c r="I128" s="216"/>
    </row>
    <row r="129" ht="18.75" customHeight="1">
      <c r="A129" s="216"/>
      <c r="B129" s="235"/>
      <c r="C129" s="236"/>
      <c r="D129" s="235"/>
      <c r="E129" s="237"/>
      <c r="F129" s="230"/>
      <c r="G129" s="232"/>
      <c r="H129" s="232"/>
      <c r="I129" s="216"/>
    </row>
    <row r="130" ht="18.75" customHeight="1">
      <c r="A130" s="216"/>
      <c r="B130" s="235"/>
      <c r="C130" s="236"/>
      <c r="D130" s="235"/>
      <c r="E130" s="237"/>
      <c r="F130" s="230"/>
      <c r="G130" s="232"/>
      <c r="H130" s="232"/>
      <c r="I130" s="216"/>
    </row>
    <row r="131" ht="18.75" customHeight="1">
      <c r="A131" s="216"/>
      <c r="B131" s="235"/>
      <c r="C131" s="236"/>
      <c r="D131" s="235"/>
      <c r="E131" s="237"/>
      <c r="F131" s="230"/>
      <c r="G131" s="232"/>
      <c r="H131" s="232"/>
      <c r="I131" s="216"/>
    </row>
    <row r="132" ht="18.75" customHeight="1">
      <c r="A132" s="216"/>
      <c r="B132" s="235"/>
      <c r="C132" s="236"/>
      <c r="D132" s="235"/>
      <c r="E132" s="237"/>
      <c r="F132" s="230"/>
      <c r="G132" s="232"/>
      <c r="H132" s="232"/>
      <c r="I132" s="216"/>
    </row>
    <row r="133" ht="18.75" customHeight="1">
      <c r="A133" s="216"/>
      <c r="B133" s="235"/>
      <c r="C133" s="236"/>
      <c r="D133" s="235"/>
      <c r="E133" s="237"/>
      <c r="F133" s="230"/>
      <c r="G133" s="232"/>
      <c r="H133" s="232"/>
      <c r="I133" s="216"/>
    </row>
    <row r="134" ht="18.75" customHeight="1">
      <c r="A134" s="216"/>
      <c r="B134" s="235"/>
      <c r="C134" s="236"/>
      <c r="D134" s="235"/>
      <c r="E134" s="237"/>
      <c r="F134" s="230"/>
      <c r="G134" s="232"/>
      <c r="H134" s="232"/>
      <c r="I134" s="216"/>
    </row>
    <row r="135" ht="18.75" customHeight="1">
      <c r="A135" s="216"/>
      <c r="B135" s="235"/>
      <c r="C135" s="236"/>
      <c r="D135" s="235"/>
      <c r="E135" s="237"/>
      <c r="F135" s="230"/>
      <c r="G135" s="232"/>
      <c r="H135" s="232"/>
      <c r="I135" s="216"/>
    </row>
    <row r="136" ht="18.75" customHeight="1">
      <c r="A136" s="216"/>
      <c r="B136" s="235"/>
      <c r="C136" s="236"/>
      <c r="D136" s="235"/>
      <c r="E136" s="237"/>
      <c r="F136" s="230"/>
      <c r="G136" s="232"/>
      <c r="H136" s="232"/>
      <c r="I136" s="216"/>
    </row>
    <row r="137" ht="18.75" customHeight="1">
      <c r="A137" s="216"/>
      <c r="B137" s="235"/>
      <c r="C137" s="236"/>
      <c r="D137" s="235"/>
      <c r="E137" s="237"/>
      <c r="F137" s="230"/>
      <c r="G137" s="232"/>
      <c r="H137" s="232"/>
      <c r="I137" s="216"/>
    </row>
    <row r="138" ht="18.75" customHeight="1">
      <c r="A138" s="216"/>
      <c r="B138" s="235"/>
      <c r="C138" s="236"/>
      <c r="D138" s="235"/>
      <c r="E138" s="237"/>
      <c r="F138" s="230"/>
      <c r="G138" s="232"/>
      <c r="H138" s="232"/>
      <c r="I138" s="216"/>
    </row>
    <row r="139" ht="18.75" customHeight="1">
      <c r="A139" s="216"/>
      <c r="B139" s="235"/>
      <c r="C139" s="236"/>
      <c r="D139" s="235"/>
      <c r="E139" s="237"/>
      <c r="F139" s="230"/>
      <c r="G139" s="232"/>
      <c r="H139" s="232"/>
      <c r="I139" s="216"/>
    </row>
    <row r="140" ht="18.75" customHeight="1">
      <c r="A140" s="216"/>
      <c r="B140" s="235"/>
      <c r="C140" s="236"/>
      <c r="D140" s="235"/>
      <c r="E140" s="237"/>
      <c r="F140" s="230"/>
      <c r="G140" s="232"/>
      <c r="H140" s="232"/>
      <c r="I140" s="216"/>
    </row>
    <row r="141" ht="18.75" customHeight="1">
      <c r="A141" s="216"/>
      <c r="B141" s="235"/>
      <c r="C141" s="236"/>
      <c r="D141" s="235"/>
      <c r="E141" s="237"/>
      <c r="F141" s="230"/>
      <c r="G141" s="232"/>
      <c r="H141" s="232"/>
      <c r="I141" s="216"/>
    </row>
    <row r="142" ht="18.75" customHeight="1">
      <c r="A142" s="216"/>
      <c r="B142" s="235"/>
      <c r="C142" s="236"/>
      <c r="D142" s="235"/>
      <c r="E142" s="237"/>
      <c r="F142" s="230"/>
      <c r="G142" s="232"/>
      <c r="H142" s="232"/>
      <c r="I142" s="216"/>
    </row>
    <row r="143" ht="18.75" customHeight="1">
      <c r="A143" s="216"/>
      <c r="B143" s="235"/>
      <c r="C143" s="236"/>
      <c r="D143" s="235"/>
      <c r="E143" s="237"/>
      <c r="F143" s="230"/>
      <c r="G143" s="232"/>
      <c r="H143" s="232"/>
      <c r="I143" s="216"/>
    </row>
    <row r="144" ht="18.75" customHeight="1">
      <c r="A144" s="216"/>
      <c r="B144" s="235"/>
      <c r="C144" s="236"/>
      <c r="D144" s="235"/>
      <c r="E144" s="237"/>
      <c r="F144" s="230"/>
      <c r="G144" s="232"/>
      <c r="H144" s="232"/>
      <c r="I144" s="216"/>
    </row>
    <row r="145" ht="18.75" customHeight="1">
      <c r="A145" s="216"/>
      <c r="B145" s="235"/>
      <c r="C145" s="236"/>
      <c r="D145" s="235"/>
      <c r="E145" s="237"/>
      <c r="F145" s="230"/>
      <c r="G145" s="232"/>
      <c r="H145" s="232"/>
      <c r="I145" s="216"/>
    </row>
    <row r="146" ht="18.75" customHeight="1">
      <c r="A146" s="216"/>
      <c r="B146" s="235"/>
      <c r="C146" s="236"/>
      <c r="D146" s="235"/>
      <c r="E146" s="237"/>
      <c r="F146" s="230"/>
      <c r="G146" s="232"/>
      <c r="H146" s="232"/>
      <c r="I146" s="216"/>
    </row>
    <row r="147" ht="18.75" customHeight="1">
      <c r="A147" s="216"/>
      <c r="B147" s="235"/>
      <c r="C147" s="236"/>
      <c r="D147" s="235"/>
      <c r="E147" s="237"/>
      <c r="F147" s="230"/>
      <c r="G147" s="232"/>
      <c r="H147" s="232"/>
      <c r="I147" s="216"/>
    </row>
    <row r="148" ht="18.75" customHeight="1">
      <c r="A148" s="216"/>
      <c r="B148" s="235"/>
      <c r="C148" s="236"/>
      <c r="D148" s="235"/>
      <c r="E148" s="237"/>
      <c r="F148" s="230"/>
      <c r="G148" s="232"/>
      <c r="H148" s="232"/>
      <c r="I148" s="216"/>
    </row>
    <row r="149" ht="18.75" customHeight="1">
      <c r="A149" s="216"/>
      <c r="B149" s="235"/>
      <c r="C149" s="236"/>
      <c r="D149" s="235"/>
      <c r="E149" s="237"/>
      <c r="F149" s="230"/>
      <c r="G149" s="232"/>
      <c r="H149" s="232"/>
      <c r="I149" s="216"/>
    </row>
    <row r="150" ht="18.75" customHeight="1">
      <c r="A150" s="216"/>
      <c r="B150" s="235"/>
      <c r="C150" s="236"/>
      <c r="D150" s="235"/>
      <c r="E150" s="237"/>
      <c r="F150" s="230"/>
      <c r="G150" s="232"/>
      <c r="H150" s="232"/>
      <c r="I150" s="216"/>
    </row>
    <row r="151" ht="18.75" customHeight="1">
      <c r="A151" s="216"/>
      <c r="B151" s="235"/>
      <c r="C151" s="236"/>
      <c r="D151" s="235"/>
      <c r="E151" s="237"/>
      <c r="F151" s="230"/>
      <c r="G151" s="232"/>
      <c r="H151" s="232"/>
      <c r="I151" s="216"/>
    </row>
    <row r="152" ht="18.75" customHeight="1">
      <c r="A152" s="216"/>
      <c r="B152" s="235"/>
      <c r="C152" s="236"/>
      <c r="D152" s="235"/>
      <c r="E152" s="237"/>
      <c r="F152" s="230"/>
      <c r="G152" s="232"/>
      <c r="H152" s="232"/>
      <c r="I152" s="216"/>
    </row>
    <row r="153" ht="18.75" customHeight="1">
      <c r="A153" s="216"/>
      <c r="B153" s="235"/>
      <c r="C153" s="236"/>
      <c r="D153" s="235"/>
      <c r="E153" s="237"/>
      <c r="F153" s="230"/>
      <c r="G153" s="232"/>
      <c r="H153" s="232"/>
      <c r="I153" s="216"/>
    </row>
    <row r="154" ht="18.75" customHeight="1">
      <c r="A154" s="216"/>
      <c r="B154" s="235"/>
      <c r="C154" s="236"/>
      <c r="D154" s="235"/>
      <c r="E154" s="237"/>
      <c r="F154" s="230"/>
      <c r="G154" s="232"/>
      <c r="H154" s="232"/>
      <c r="I154" s="216"/>
    </row>
    <row r="155" ht="18.75" customHeight="1">
      <c r="A155" s="216"/>
      <c r="B155" s="235"/>
      <c r="C155" s="236"/>
      <c r="D155" s="235"/>
      <c r="E155" s="237"/>
      <c r="F155" s="230"/>
      <c r="G155" s="232"/>
      <c r="H155" s="232"/>
      <c r="I155" s="216"/>
    </row>
    <row r="156" ht="18.75" customHeight="1">
      <c r="A156" s="216"/>
      <c r="B156" s="235"/>
      <c r="C156" s="236"/>
      <c r="D156" s="235"/>
      <c r="E156" s="237"/>
      <c r="F156" s="230"/>
      <c r="G156" s="232"/>
      <c r="H156" s="232"/>
      <c r="I156" s="216"/>
    </row>
    <row r="157" ht="18.75" customHeight="1">
      <c r="A157" s="216"/>
      <c r="B157" s="235"/>
      <c r="C157" s="236"/>
      <c r="D157" s="235"/>
      <c r="E157" s="237"/>
      <c r="F157" s="230"/>
      <c r="G157" s="232"/>
      <c r="H157" s="232"/>
      <c r="I157" s="216"/>
    </row>
    <row r="158" ht="18.75" customHeight="1">
      <c r="A158" s="216"/>
      <c r="B158" s="235"/>
      <c r="C158" s="236"/>
      <c r="D158" s="235"/>
      <c r="E158" s="237"/>
      <c r="F158" s="230"/>
      <c r="G158" s="232"/>
      <c r="H158" s="232"/>
      <c r="I158" s="216"/>
    </row>
    <row r="159" ht="18.75" customHeight="1">
      <c r="A159" s="216"/>
      <c r="B159" s="235"/>
      <c r="C159" s="236"/>
      <c r="D159" s="235"/>
      <c r="E159" s="237"/>
      <c r="F159" s="230"/>
      <c r="G159" s="232"/>
      <c r="H159" s="232"/>
      <c r="I159" s="216"/>
    </row>
    <row r="160" ht="18.75" customHeight="1">
      <c r="A160" s="216"/>
      <c r="B160" s="235"/>
      <c r="C160" s="236"/>
      <c r="D160" s="235"/>
      <c r="E160" s="237"/>
      <c r="F160" s="230"/>
      <c r="G160" s="232"/>
      <c r="H160" s="232"/>
      <c r="I160" s="216"/>
    </row>
    <row r="161" ht="18.75" customHeight="1">
      <c r="A161" s="216"/>
      <c r="B161" s="235"/>
      <c r="C161" s="236"/>
      <c r="D161" s="235"/>
      <c r="E161" s="237"/>
      <c r="F161" s="230"/>
      <c r="G161" s="232"/>
      <c r="H161" s="232"/>
      <c r="I161" s="216"/>
    </row>
    <row r="162" ht="18.75" customHeight="1">
      <c r="A162" s="216"/>
      <c r="B162" s="235"/>
      <c r="C162" s="236"/>
      <c r="D162" s="235"/>
      <c r="E162" s="237"/>
      <c r="F162" s="230"/>
      <c r="G162" s="232"/>
      <c r="H162" s="232"/>
      <c r="I162" s="216"/>
    </row>
    <row r="163" ht="18.75" customHeight="1">
      <c r="A163" s="216"/>
      <c r="B163" s="235"/>
      <c r="C163" s="236"/>
      <c r="D163" s="235"/>
      <c r="E163" s="237"/>
      <c r="F163" s="230"/>
      <c r="G163" s="232"/>
      <c r="H163" s="232"/>
      <c r="I163" s="216"/>
    </row>
    <row r="164" ht="18.75" customHeight="1">
      <c r="A164" s="216"/>
      <c r="B164" s="235"/>
      <c r="C164" s="236"/>
      <c r="D164" s="235"/>
      <c r="E164" s="237"/>
      <c r="F164" s="230"/>
      <c r="G164" s="232"/>
      <c r="H164" s="232"/>
      <c r="I164" s="216"/>
    </row>
    <row r="165" ht="18.75" customHeight="1">
      <c r="A165" s="216"/>
      <c r="B165" s="235"/>
      <c r="C165" s="236"/>
      <c r="D165" s="235"/>
      <c r="E165" s="237"/>
      <c r="F165" s="230"/>
      <c r="G165" s="232"/>
      <c r="H165" s="232"/>
      <c r="I165" s="216"/>
    </row>
    <row r="166" ht="18.75" customHeight="1">
      <c r="A166" s="216"/>
      <c r="B166" s="235"/>
      <c r="C166" s="236"/>
      <c r="D166" s="235"/>
      <c r="E166" s="237"/>
      <c r="F166" s="230"/>
      <c r="G166" s="232"/>
      <c r="H166" s="232"/>
      <c r="I166" s="216"/>
    </row>
    <row r="167" ht="18.75" customHeight="1">
      <c r="A167" s="216"/>
      <c r="B167" s="235"/>
      <c r="C167" s="236"/>
      <c r="D167" s="235"/>
      <c r="E167" s="237"/>
      <c r="F167" s="230"/>
      <c r="G167" s="232"/>
      <c r="H167" s="232"/>
      <c r="I167" s="216"/>
    </row>
    <row r="168" ht="18.75" customHeight="1">
      <c r="A168" s="216"/>
      <c r="B168" s="235"/>
      <c r="C168" s="236"/>
      <c r="D168" s="235"/>
      <c r="E168" s="237"/>
      <c r="F168" s="230"/>
      <c r="G168" s="232"/>
      <c r="H168" s="232"/>
      <c r="I168" s="216"/>
    </row>
    <row r="169" ht="18.75" customHeight="1">
      <c r="A169" s="216"/>
      <c r="B169" s="235"/>
      <c r="C169" s="236"/>
      <c r="D169" s="235"/>
      <c r="E169" s="237"/>
      <c r="F169" s="230"/>
      <c r="G169" s="232"/>
      <c r="H169" s="232"/>
      <c r="I169" s="216"/>
    </row>
    <row r="170" ht="18.75" customHeight="1">
      <c r="A170" s="216"/>
      <c r="B170" s="235"/>
      <c r="C170" s="236"/>
      <c r="D170" s="235"/>
      <c r="E170" s="237"/>
      <c r="F170" s="230"/>
      <c r="G170" s="232"/>
      <c r="H170" s="232"/>
      <c r="I170" s="216"/>
    </row>
    <row r="171" ht="18.75" customHeight="1">
      <c r="A171" s="216"/>
      <c r="B171" s="235"/>
      <c r="C171" s="236"/>
      <c r="D171" s="235"/>
      <c r="E171" s="237"/>
      <c r="F171" s="230"/>
      <c r="G171" s="232"/>
      <c r="H171" s="232"/>
      <c r="I171" s="216"/>
    </row>
    <row r="172" ht="18.75" customHeight="1">
      <c r="A172" s="216"/>
      <c r="B172" s="235"/>
      <c r="C172" s="236"/>
      <c r="D172" s="235"/>
      <c r="E172" s="237"/>
      <c r="F172" s="230"/>
      <c r="G172" s="232"/>
      <c r="H172" s="232"/>
      <c r="I172" s="216"/>
    </row>
    <row r="173" ht="18.75" customHeight="1">
      <c r="A173" s="216"/>
      <c r="B173" s="235"/>
      <c r="C173" s="236"/>
      <c r="D173" s="235"/>
      <c r="E173" s="237"/>
      <c r="F173" s="230"/>
      <c r="G173" s="232"/>
      <c r="H173" s="232"/>
      <c r="I173" s="216"/>
    </row>
    <row r="174" ht="18.75" customHeight="1">
      <c r="A174" s="216"/>
      <c r="B174" s="235"/>
      <c r="C174" s="236"/>
      <c r="D174" s="235"/>
      <c r="E174" s="237"/>
      <c r="F174" s="230"/>
      <c r="G174" s="232"/>
      <c r="H174" s="232"/>
      <c r="I174" s="216"/>
    </row>
    <row r="175" ht="18.75" customHeight="1">
      <c r="A175" s="216"/>
      <c r="B175" s="235"/>
      <c r="C175" s="236"/>
      <c r="D175" s="235"/>
      <c r="E175" s="237"/>
      <c r="F175" s="230"/>
      <c r="G175" s="232"/>
      <c r="H175" s="232"/>
      <c r="I175" s="216"/>
    </row>
    <row r="176" ht="18.75" customHeight="1">
      <c r="A176" s="216"/>
      <c r="B176" s="235"/>
      <c r="C176" s="236"/>
      <c r="D176" s="235"/>
      <c r="E176" s="237"/>
      <c r="F176" s="230"/>
      <c r="G176" s="232"/>
      <c r="H176" s="232"/>
      <c r="I176" s="216"/>
    </row>
    <row r="177" ht="18.75" customHeight="1">
      <c r="A177" s="216"/>
      <c r="B177" s="235"/>
      <c r="C177" s="236"/>
      <c r="D177" s="235"/>
      <c r="E177" s="237"/>
      <c r="F177" s="230"/>
      <c r="G177" s="232"/>
      <c r="H177" s="232"/>
      <c r="I177" s="216"/>
    </row>
    <row r="178" ht="18.75" customHeight="1">
      <c r="A178" s="216"/>
      <c r="B178" s="235"/>
      <c r="C178" s="236"/>
      <c r="D178" s="235"/>
      <c r="E178" s="237"/>
      <c r="F178" s="230"/>
      <c r="G178" s="232"/>
      <c r="H178" s="232"/>
      <c r="I178" s="216"/>
    </row>
    <row r="179" ht="18.75" customHeight="1">
      <c r="A179" s="216"/>
      <c r="B179" s="235"/>
      <c r="C179" s="236"/>
      <c r="D179" s="235"/>
      <c r="E179" s="237"/>
      <c r="F179" s="230"/>
      <c r="G179" s="232"/>
      <c r="H179" s="232"/>
      <c r="I179" s="216"/>
    </row>
    <row r="180" ht="18.75" customHeight="1">
      <c r="A180" s="216"/>
      <c r="B180" s="235"/>
      <c r="C180" s="236"/>
      <c r="D180" s="235"/>
      <c r="E180" s="237"/>
      <c r="F180" s="230"/>
      <c r="G180" s="232"/>
      <c r="H180" s="232"/>
      <c r="I180" s="216"/>
    </row>
    <row r="181" ht="18.75" customHeight="1">
      <c r="A181" s="216"/>
      <c r="B181" s="235"/>
      <c r="C181" s="236"/>
      <c r="D181" s="235"/>
      <c r="E181" s="237"/>
      <c r="F181" s="230"/>
      <c r="G181" s="232"/>
      <c r="H181" s="232"/>
      <c r="I181" s="216"/>
    </row>
    <row r="182" ht="18.75" customHeight="1">
      <c r="A182" s="216"/>
      <c r="B182" s="235"/>
      <c r="C182" s="236"/>
      <c r="D182" s="235"/>
      <c r="E182" s="237"/>
      <c r="F182" s="230"/>
      <c r="G182" s="232"/>
      <c r="H182" s="232"/>
      <c r="I182" s="216"/>
    </row>
    <row r="183" ht="18.75" customHeight="1">
      <c r="A183" s="216"/>
      <c r="B183" s="235"/>
      <c r="C183" s="236"/>
      <c r="D183" s="235"/>
      <c r="E183" s="237"/>
      <c r="F183" s="230"/>
      <c r="G183" s="232"/>
      <c r="H183" s="232"/>
      <c r="I183" s="216"/>
    </row>
    <row r="184" ht="18.75" customHeight="1">
      <c r="A184" s="216"/>
      <c r="B184" s="235"/>
      <c r="C184" s="236"/>
      <c r="D184" s="235"/>
      <c r="E184" s="237"/>
      <c r="F184" s="230"/>
      <c r="G184" s="232"/>
      <c r="H184" s="232"/>
      <c r="I184" s="216"/>
    </row>
    <row r="185" ht="18.75" customHeight="1">
      <c r="A185" s="216"/>
      <c r="B185" s="235"/>
      <c r="C185" s="236"/>
      <c r="D185" s="235"/>
      <c r="E185" s="237"/>
      <c r="F185" s="230"/>
      <c r="G185" s="232"/>
      <c r="H185" s="232"/>
      <c r="I185" s="216"/>
    </row>
    <row r="186" ht="18.75" customHeight="1">
      <c r="A186" s="216"/>
      <c r="B186" s="235"/>
      <c r="C186" s="236"/>
      <c r="D186" s="235"/>
      <c r="E186" s="237"/>
      <c r="F186" s="230"/>
      <c r="G186" s="232"/>
      <c r="H186" s="232"/>
      <c r="I186" s="216"/>
    </row>
    <row r="187" ht="18.75" customHeight="1">
      <c r="A187" s="216"/>
      <c r="B187" s="235"/>
      <c r="C187" s="236"/>
      <c r="D187" s="235"/>
      <c r="E187" s="237"/>
      <c r="F187" s="230"/>
      <c r="G187" s="232"/>
      <c r="H187" s="232"/>
      <c r="I187" s="216"/>
    </row>
    <row r="188" ht="18.75" customHeight="1">
      <c r="A188" s="216"/>
      <c r="B188" s="235"/>
      <c r="C188" s="236"/>
      <c r="D188" s="235"/>
      <c r="E188" s="237"/>
      <c r="F188" s="230"/>
      <c r="G188" s="232"/>
      <c r="H188" s="232"/>
      <c r="I188" s="216"/>
    </row>
    <row r="189" ht="18.75" customHeight="1">
      <c r="A189" s="216"/>
      <c r="B189" s="235"/>
      <c r="C189" s="236"/>
      <c r="D189" s="235"/>
      <c r="E189" s="237"/>
      <c r="F189" s="230"/>
      <c r="G189" s="232"/>
      <c r="H189" s="232"/>
      <c r="I189" s="216"/>
    </row>
    <row r="190" ht="18.75" customHeight="1">
      <c r="A190" s="216"/>
      <c r="B190" s="235"/>
      <c r="C190" s="236"/>
      <c r="D190" s="235"/>
      <c r="E190" s="237"/>
      <c r="F190" s="230"/>
      <c r="G190" s="232"/>
      <c r="H190" s="232"/>
      <c r="I190" s="216"/>
    </row>
    <row r="191" ht="18.75" customHeight="1">
      <c r="A191" s="216"/>
      <c r="B191" s="235"/>
      <c r="C191" s="236"/>
      <c r="D191" s="235"/>
      <c r="E191" s="237"/>
      <c r="F191" s="230"/>
      <c r="G191" s="232"/>
      <c r="H191" s="232"/>
      <c r="I191" s="216"/>
    </row>
    <row r="192" ht="18.75" customHeight="1">
      <c r="A192" s="216"/>
      <c r="B192" s="235"/>
      <c r="C192" s="236"/>
      <c r="D192" s="235"/>
      <c r="E192" s="237"/>
      <c r="F192" s="230"/>
      <c r="G192" s="232"/>
      <c r="H192" s="232"/>
      <c r="I192" s="216"/>
    </row>
    <row r="193" ht="18.75" customHeight="1">
      <c r="A193" s="216"/>
      <c r="B193" s="235"/>
      <c r="C193" s="236"/>
      <c r="D193" s="235"/>
      <c r="E193" s="237"/>
      <c r="F193" s="230"/>
      <c r="G193" s="232"/>
      <c r="H193" s="232"/>
      <c r="I193" s="216"/>
    </row>
    <row r="194" ht="18.75" customHeight="1">
      <c r="A194" s="216"/>
      <c r="B194" s="235"/>
      <c r="C194" s="236"/>
      <c r="D194" s="235"/>
      <c r="E194" s="237"/>
      <c r="F194" s="230"/>
      <c r="G194" s="232"/>
      <c r="H194" s="232"/>
      <c r="I194" s="216"/>
    </row>
    <row r="195" ht="18.75" customHeight="1">
      <c r="A195" s="216"/>
      <c r="B195" s="235"/>
      <c r="C195" s="236"/>
      <c r="D195" s="235"/>
      <c r="E195" s="237"/>
      <c r="F195" s="230"/>
      <c r="G195" s="232"/>
      <c r="H195" s="232"/>
      <c r="I195" s="216"/>
    </row>
    <row r="196" ht="18.75" customHeight="1">
      <c r="A196" s="216"/>
      <c r="B196" s="235"/>
      <c r="C196" s="236"/>
      <c r="D196" s="235"/>
      <c r="E196" s="237"/>
      <c r="F196" s="230"/>
      <c r="G196" s="232"/>
      <c r="H196" s="232"/>
      <c r="I196" s="216"/>
    </row>
    <row r="197" ht="18.75" customHeight="1">
      <c r="A197" s="216"/>
      <c r="B197" s="235"/>
      <c r="C197" s="236"/>
      <c r="D197" s="235"/>
      <c r="E197" s="237"/>
      <c r="F197" s="230"/>
      <c r="G197" s="232"/>
      <c r="H197" s="232"/>
      <c r="I197" s="216"/>
    </row>
    <row r="198" ht="18.75" customHeight="1">
      <c r="A198" s="216"/>
      <c r="B198" s="235"/>
      <c r="C198" s="236"/>
      <c r="D198" s="235"/>
      <c r="E198" s="237"/>
      <c r="F198" s="230"/>
      <c r="G198" s="232"/>
      <c r="H198" s="232"/>
      <c r="I198" s="216"/>
    </row>
    <row r="199" ht="18.75" customHeight="1">
      <c r="A199" s="216"/>
      <c r="B199" s="235"/>
      <c r="C199" s="236"/>
      <c r="D199" s="235"/>
      <c r="E199" s="237"/>
      <c r="F199" s="230"/>
      <c r="G199" s="232"/>
      <c r="H199" s="232"/>
      <c r="I199" s="216"/>
    </row>
    <row r="200" ht="18.75" customHeight="1">
      <c r="A200" s="216"/>
      <c r="B200" s="235"/>
      <c r="C200" s="236"/>
      <c r="D200" s="235"/>
      <c r="E200" s="237"/>
      <c r="F200" s="230"/>
      <c r="G200" s="232"/>
      <c r="H200" s="232"/>
      <c r="I200" s="216"/>
    </row>
    <row r="201" ht="18.75" customHeight="1">
      <c r="A201" s="216"/>
      <c r="B201" s="235"/>
      <c r="C201" s="236"/>
      <c r="D201" s="235"/>
      <c r="E201" s="237"/>
      <c r="F201" s="230"/>
      <c r="G201" s="232"/>
      <c r="H201" s="232"/>
      <c r="I201" s="216"/>
    </row>
    <row r="202" ht="18.75" customHeight="1">
      <c r="A202" s="216"/>
      <c r="B202" s="235"/>
      <c r="C202" s="236"/>
      <c r="D202" s="235"/>
      <c r="E202" s="237"/>
      <c r="F202" s="230"/>
      <c r="G202" s="232"/>
      <c r="H202" s="232"/>
      <c r="I202" s="216"/>
    </row>
    <row r="203" ht="18.75" customHeight="1">
      <c r="A203" s="216"/>
      <c r="B203" s="235"/>
      <c r="C203" s="236"/>
      <c r="D203" s="235"/>
      <c r="E203" s="237"/>
      <c r="F203" s="230"/>
      <c r="G203" s="232"/>
      <c r="H203" s="232"/>
      <c r="I203" s="216"/>
    </row>
    <row r="204" ht="18.75" customHeight="1">
      <c r="A204" s="216"/>
      <c r="B204" s="235"/>
      <c r="C204" s="236"/>
      <c r="D204" s="235"/>
      <c r="E204" s="237"/>
      <c r="F204" s="230"/>
      <c r="G204" s="232"/>
      <c r="H204" s="232"/>
      <c r="I204" s="216"/>
    </row>
    <row r="205" ht="18.75" customHeight="1">
      <c r="A205" s="216"/>
      <c r="B205" s="235"/>
      <c r="C205" s="236"/>
      <c r="D205" s="235"/>
      <c r="E205" s="237"/>
      <c r="F205" s="230"/>
      <c r="G205" s="232"/>
      <c r="H205" s="232"/>
      <c r="I205" s="216"/>
    </row>
    <row r="206" ht="18.75" customHeight="1">
      <c r="A206" s="216"/>
      <c r="B206" s="235"/>
      <c r="C206" s="236"/>
      <c r="D206" s="235"/>
      <c r="E206" s="237"/>
      <c r="F206" s="230"/>
      <c r="G206" s="232"/>
      <c r="H206" s="232"/>
      <c r="I206" s="216"/>
    </row>
    <row r="207" ht="18.75" customHeight="1">
      <c r="A207" s="216"/>
      <c r="B207" s="235"/>
      <c r="C207" s="236"/>
      <c r="D207" s="235"/>
      <c r="E207" s="237"/>
      <c r="F207" s="230"/>
      <c r="G207" s="232"/>
      <c r="H207" s="232"/>
      <c r="I207" s="216"/>
    </row>
    <row r="208" ht="18.75" customHeight="1">
      <c r="A208" s="216"/>
      <c r="B208" s="235"/>
      <c r="C208" s="236"/>
      <c r="D208" s="235"/>
      <c r="E208" s="237"/>
      <c r="F208" s="230"/>
      <c r="G208" s="232"/>
      <c r="H208" s="232"/>
      <c r="I208" s="216"/>
    </row>
    <row r="209" ht="18.75" customHeight="1">
      <c r="A209" s="216"/>
      <c r="B209" s="235"/>
      <c r="C209" s="236"/>
      <c r="D209" s="235"/>
      <c r="E209" s="237"/>
      <c r="F209" s="230"/>
      <c r="G209" s="232"/>
      <c r="H209" s="232"/>
      <c r="I209" s="216"/>
    </row>
    <row r="210" ht="18.75" customHeight="1">
      <c r="A210" s="216"/>
      <c r="B210" s="235"/>
      <c r="C210" s="236"/>
      <c r="D210" s="235"/>
      <c r="E210" s="237"/>
      <c r="F210" s="230"/>
      <c r="G210" s="232"/>
      <c r="H210" s="232"/>
      <c r="I210" s="216"/>
    </row>
    <row r="211" ht="18.75" customHeight="1">
      <c r="A211" s="216"/>
      <c r="B211" s="235"/>
      <c r="C211" s="236"/>
      <c r="D211" s="235"/>
      <c r="E211" s="237"/>
      <c r="F211" s="230"/>
      <c r="G211" s="232"/>
      <c r="H211" s="232"/>
      <c r="I211" s="216"/>
    </row>
    <row r="212" ht="18.75" customHeight="1">
      <c r="A212" s="216"/>
      <c r="B212" s="235"/>
      <c r="C212" s="236"/>
      <c r="D212" s="235"/>
      <c r="E212" s="237"/>
      <c r="F212" s="230"/>
      <c r="G212" s="232"/>
      <c r="H212" s="232"/>
      <c r="I212" s="216"/>
    </row>
    <row r="213" ht="18.75" customHeight="1">
      <c r="A213" s="216"/>
      <c r="B213" s="235"/>
      <c r="C213" s="236"/>
      <c r="D213" s="235"/>
      <c r="E213" s="237"/>
      <c r="F213" s="230"/>
      <c r="G213" s="232"/>
      <c r="H213" s="232"/>
      <c r="I213" s="216"/>
    </row>
    <row r="214" ht="18.75" customHeight="1">
      <c r="A214" s="216"/>
      <c r="B214" s="235"/>
      <c r="C214" s="236"/>
      <c r="D214" s="235"/>
      <c r="E214" s="237"/>
      <c r="F214" s="230"/>
      <c r="G214" s="232"/>
      <c r="H214" s="232"/>
      <c r="I214" s="216"/>
    </row>
    <row r="215" ht="18.75" customHeight="1">
      <c r="A215" s="216"/>
      <c r="B215" s="235"/>
      <c r="C215" s="236"/>
      <c r="D215" s="235"/>
      <c r="E215" s="237"/>
      <c r="F215" s="230"/>
      <c r="G215" s="232"/>
      <c r="H215" s="232"/>
      <c r="I215" s="216"/>
    </row>
    <row r="216" ht="18.75" customHeight="1">
      <c r="A216" s="216"/>
      <c r="B216" s="235"/>
      <c r="C216" s="236"/>
      <c r="D216" s="235"/>
      <c r="E216" s="237"/>
      <c r="F216" s="230"/>
      <c r="G216" s="232"/>
      <c r="H216" s="232"/>
      <c r="I216" s="216"/>
    </row>
    <row r="217" ht="18.75" customHeight="1">
      <c r="A217" s="216"/>
      <c r="B217" s="235"/>
      <c r="C217" s="236"/>
      <c r="D217" s="235"/>
      <c r="E217" s="237"/>
      <c r="F217" s="230"/>
      <c r="G217" s="232"/>
      <c r="H217" s="232"/>
      <c r="I217" s="216"/>
    </row>
    <row r="218" ht="18.75" customHeight="1">
      <c r="A218" s="216"/>
      <c r="B218" s="235"/>
      <c r="C218" s="236"/>
      <c r="D218" s="235"/>
      <c r="E218" s="237"/>
      <c r="F218" s="230"/>
      <c r="G218" s="232"/>
      <c r="H218" s="232"/>
      <c r="I218" s="216"/>
    </row>
    <row r="219" ht="18.75" customHeight="1">
      <c r="A219" s="216"/>
      <c r="B219" s="235"/>
      <c r="C219" s="236"/>
      <c r="D219" s="235"/>
      <c r="E219" s="237"/>
      <c r="F219" s="230"/>
      <c r="G219" s="232"/>
      <c r="H219" s="232"/>
      <c r="I219" s="216"/>
    </row>
    <row r="220" ht="18.75" customHeight="1">
      <c r="A220" s="216"/>
      <c r="B220" s="235"/>
      <c r="C220" s="236"/>
      <c r="D220" s="235"/>
      <c r="E220" s="237"/>
      <c r="F220" s="230"/>
      <c r="G220" s="232"/>
      <c r="H220" s="232"/>
      <c r="I220" s="216"/>
    </row>
    <row r="221" ht="18.75" customHeight="1">
      <c r="A221" s="216"/>
      <c r="B221" s="235"/>
      <c r="C221" s="236"/>
      <c r="D221" s="235"/>
      <c r="E221" s="237"/>
      <c r="F221" s="230"/>
      <c r="G221" s="232"/>
      <c r="H221" s="232"/>
      <c r="I221" s="216"/>
    </row>
    <row r="222" ht="18.75" customHeight="1">
      <c r="A222" s="216"/>
      <c r="B222" s="235"/>
      <c r="C222" s="236"/>
      <c r="D222" s="235"/>
      <c r="E222" s="237"/>
      <c r="F222" s="230"/>
      <c r="G222" s="232"/>
      <c r="H222" s="232"/>
      <c r="I222" s="216"/>
    </row>
    <row r="223" ht="18.75" customHeight="1">
      <c r="A223" s="216"/>
      <c r="B223" s="235"/>
      <c r="C223" s="236"/>
      <c r="D223" s="235"/>
      <c r="E223" s="237"/>
      <c r="F223" s="230"/>
      <c r="G223" s="232"/>
      <c r="H223" s="232"/>
      <c r="I223" s="216"/>
    </row>
    <row r="224" ht="18.75" customHeight="1">
      <c r="A224" s="216"/>
      <c r="B224" s="235"/>
      <c r="C224" s="236"/>
      <c r="D224" s="235"/>
      <c r="E224" s="237"/>
      <c r="F224" s="230"/>
      <c r="G224" s="232"/>
      <c r="H224" s="232"/>
      <c r="I224" s="216"/>
    </row>
    <row r="225" ht="18.75" customHeight="1">
      <c r="A225" s="216"/>
      <c r="B225" s="235"/>
      <c r="C225" s="236"/>
      <c r="D225" s="235"/>
      <c r="E225" s="237"/>
      <c r="F225" s="230"/>
      <c r="G225" s="232"/>
      <c r="H225" s="232"/>
      <c r="I225" s="216"/>
    </row>
    <row r="226" ht="18.75" customHeight="1">
      <c r="A226" s="216"/>
      <c r="B226" s="235"/>
      <c r="C226" s="236"/>
      <c r="D226" s="235"/>
      <c r="E226" s="237"/>
      <c r="F226" s="230"/>
      <c r="G226" s="232"/>
      <c r="H226" s="232"/>
      <c r="I226" s="216"/>
    </row>
    <row r="227" ht="18.75" customHeight="1">
      <c r="A227" s="216"/>
      <c r="B227" s="235"/>
      <c r="C227" s="236"/>
      <c r="D227" s="235"/>
      <c r="E227" s="237"/>
      <c r="F227" s="230"/>
      <c r="G227" s="232"/>
      <c r="H227" s="232"/>
      <c r="I227" s="216"/>
    </row>
    <row r="228" ht="18.75" customHeight="1">
      <c r="A228" s="216"/>
      <c r="B228" s="235"/>
      <c r="C228" s="236"/>
      <c r="D228" s="235"/>
      <c r="E228" s="237"/>
      <c r="F228" s="230"/>
      <c r="G228" s="232"/>
      <c r="H228" s="232"/>
      <c r="I228" s="216"/>
    </row>
    <row r="229" ht="18.75" customHeight="1">
      <c r="A229" s="216"/>
      <c r="B229" s="235"/>
      <c r="C229" s="236"/>
      <c r="D229" s="235"/>
      <c r="E229" s="237"/>
      <c r="F229" s="230"/>
      <c r="G229" s="232"/>
      <c r="H229" s="232"/>
      <c r="I229" s="216"/>
    </row>
    <row r="230" ht="18.75" customHeight="1">
      <c r="A230" s="216"/>
      <c r="B230" s="235"/>
      <c r="C230" s="236"/>
      <c r="D230" s="235"/>
      <c r="E230" s="237"/>
      <c r="F230" s="230"/>
      <c r="G230" s="232"/>
      <c r="H230" s="232"/>
      <c r="I230" s="216"/>
    </row>
    <row r="231" ht="18.75" customHeight="1">
      <c r="A231" s="216"/>
      <c r="B231" s="235"/>
      <c r="C231" s="236"/>
      <c r="D231" s="235"/>
      <c r="E231" s="237"/>
      <c r="F231" s="230"/>
      <c r="G231" s="232"/>
      <c r="H231" s="232"/>
      <c r="I231" s="216"/>
    </row>
    <row r="232" ht="18.75" customHeight="1">
      <c r="A232" s="216"/>
      <c r="B232" s="235"/>
      <c r="C232" s="236"/>
      <c r="D232" s="235"/>
      <c r="E232" s="237"/>
      <c r="F232" s="230"/>
      <c r="G232" s="232"/>
      <c r="H232" s="232"/>
      <c r="I232" s="216"/>
    </row>
    <row r="233" ht="18.75" customHeight="1">
      <c r="A233" s="216"/>
      <c r="B233" s="235"/>
      <c r="C233" s="236"/>
      <c r="D233" s="235"/>
      <c r="E233" s="237"/>
      <c r="F233" s="230"/>
      <c r="G233" s="232"/>
      <c r="H233" s="232"/>
      <c r="I233" s="216"/>
    </row>
    <row r="234" ht="18.75" customHeight="1">
      <c r="A234" s="216"/>
      <c r="B234" s="235"/>
      <c r="C234" s="236"/>
      <c r="D234" s="235"/>
      <c r="E234" s="237"/>
      <c r="F234" s="230"/>
      <c r="G234" s="232"/>
      <c r="H234" s="232"/>
      <c r="I234" s="216"/>
    </row>
    <row r="235" ht="18.75" customHeight="1">
      <c r="A235" s="216"/>
      <c r="B235" s="235"/>
      <c r="C235" s="236"/>
      <c r="D235" s="235"/>
      <c r="E235" s="237"/>
      <c r="F235" s="230"/>
      <c r="G235" s="232"/>
      <c r="H235" s="232"/>
      <c r="I235" s="216"/>
    </row>
    <row r="236" ht="18.75" customHeight="1">
      <c r="A236" s="216"/>
      <c r="B236" s="235"/>
      <c r="C236" s="236"/>
      <c r="D236" s="235"/>
      <c r="E236" s="237"/>
      <c r="F236" s="230"/>
      <c r="G236" s="232"/>
      <c r="H236" s="232"/>
      <c r="I236" s="216"/>
    </row>
    <row r="237" ht="18.75" customHeight="1">
      <c r="A237" s="216"/>
      <c r="B237" s="235"/>
      <c r="C237" s="236"/>
      <c r="D237" s="235"/>
      <c r="E237" s="237"/>
      <c r="F237" s="230"/>
      <c r="G237" s="232"/>
      <c r="H237" s="232"/>
      <c r="I237" s="216"/>
    </row>
    <row r="238" ht="18.75" customHeight="1">
      <c r="A238" s="216"/>
      <c r="B238" s="235"/>
      <c r="C238" s="236"/>
      <c r="D238" s="235"/>
      <c r="E238" s="237"/>
      <c r="F238" s="230"/>
      <c r="G238" s="232"/>
      <c r="H238" s="232"/>
      <c r="I238" s="216"/>
    </row>
    <row r="239" ht="18.75" customHeight="1">
      <c r="A239" s="216"/>
      <c r="B239" s="235"/>
      <c r="C239" s="236"/>
      <c r="D239" s="235"/>
      <c r="E239" s="237"/>
      <c r="F239" s="230"/>
      <c r="G239" s="232"/>
      <c r="H239" s="232"/>
      <c r="I239" s="216"/>
    </row>
    <row r="240" ht="18.75" customHeight="1">
      <c r="A240" s="216"/>
      <c r="B240" s="235"/>
      <c r="C240" s="236"/>
      <c r="D240" s="235"/>
      <c r="E240" s="237"/>
      <c r="F240" s="230"/>
      <c r="G240" s="232"/>
      <c r="H240" s="232"/>
      <c r="I240" s="216"/>
    </row>
    <row r="241" ht="18.75" customHeight="1">
      <c r="A241" s="216"/>
      <c r="B241" s="235"/>
      <c r="C241" s="236"/>
      <c r="D241" s="235"/>
      <c r="E241" s="237"/>
      <c r="F241" s="230"/>
      <c r="G241" s="232"/>
      <c r="H241" s="232"/>
      <c r="I241" s="216"/>
    </row>
    <row r="242" ht="18.75" customHeight="1">
      <c r="A242" s="216"/>
      <c r="B242" s="235"/>
      <c r="C242" s="236"/>
      <c r="D242" s="235"/>
      <c r="E242" s="237"/>
      <c r="F242" s="230"/>
      <c r="G242" s="232"/>
      <c r="H242" s="232"/>
      <c r="I242" s="216"/>
    </row>
    <row r="243" ht="18.75" customHeight="1">
      <c r="A243" s="216"/>
      <c r="B243" s="235"/>
      <c r="C243" s="236"/>
      <c r="D243" s="235"/>
      <c r="E243" s="237"/>
      <c r="F243" s="230"/>
      <c r="G243" s="232"/>
      <c r="H243" s="232"/>
      <c r="I243" s="216"/>
    </row>
    <row r="244" ht="18.75" customHeight="1">
      <c r="A244" s="216"/>
      <c r="B244" s="235"/>
      <c r="C244" s="236"/>
      <c r="D244" s="235"/>
      <c r="E244" s="237"/>
      <c r="F244" s="230"/>
      <c r="G244" s="232"/>
      <c r="H244" s="232"/>
      <c r="I244" s="216"/>
    </row>
    <row r="245" ht="18.75" customHeight="1">
      <c r="A245" s="216"/>
      <c r="B245" s="235"/>
      <c r="C245" s="236"/>
      <c r="D245" s="235"/>
      <c r="E245" s="237"/>
      <c r="F245" s="230"/>
      <c r="G245" s="232"/>
      <c r="H245" s="232"/>
      <c r="I245" s="216"/>
    </row>
    <row r="246" ht="18.75" customHeight="1">
      <c r="A246" s="216"/>
      <c r="B246" s="235"/>
      <c r="C246" s="236"/>
      <c r="D246" s="235"/>
      <c r="E246" s="237"/>
      <c r="F246" s="230"/>
      <c r="G246" s="232"/>
      <c r="H246" s="232"/>
      <c r="I246" s="216"/>
    </row>
    <row r="247" ht="18.75" customHeight="1">
      <c r="A247" s="216"/>
      <c r="B247" s="235"/>
      <c r="C247" s="236"/>
      <c r="D247" s="235"/>
      <c r="E247" s="237"/>
      <c r="F247" s="230"/>
      <c r="G247" s="232"/>
      <c r="H247" s="232"/>
      <c r="I247" s="216"/>
    </row>
    <row r="248" ht="18.75" customHeight="1">
      <c r="A248" s="216"/>
      <c r="B248" s="235"/>
      <c r="C248" s="236"/>
      <c r="D248" s="235"/>
      <c r="E248" s="237"/>
      <c r="F248" s="230"/>
      <c r="G248" s="232"/>
      <c r="H248" s="232"/>
      <c r="I248" s="216"/>
    </row>
    <row r="249" ht="18.75" customHeight="1">
      <c r="A249" s="216"/>
      <c r="B249" s="235"/>
      <c r="C249" s="236"/>
      <c r="D249" s="235"/>
      <c r="E249" s="237"/>
      <c r="F249" s="230"/>
      <c r="G249" s="232"/>
      <c r="H249" s="232"/>
      <c r="I249" s="216"/>
    </row>
    <row r="250" ht="18.75" customHeight="1">
      <c r="A250" s="216"/>
      <c r="B250" s="235"/>
      <c r="C250" s="236"/>
      <c r="D250" s="235"/>
      <c r="E250" s="237"/>
      <c r="F250" s="230"/>
      <c r="G250" s="232"/>
      <c r="H250" s="232"/>
      <c r="I250" s="216"/>
    </row>
    <row r="251" ht="18.75" customHeight="1">
      <c r="A251" s="216"/>
      <c r="B251" s="235"/>
      <c r="C251" s="236"/>
      <c r="D251" s="235"/>
      <c r="E251" s="237"/>
      <c r="F251" s="230"/>
      <c r="G251" s="232"/>
      <c r="H251" s="232"/>
      <c r="I251" s="216"/>
    </row>
    <row r="252" ht="18.75" customHeight="1">
      <c r="A252" s="216"/>
      <c r="B252" s="235"/>
      <c r="C252" s="236"/>
      <c r="D252" s="235"/>
      <c r="E252" s="237"/>
      <c r="F252" s="230"/>
      <c r="G252" s="232"/>
      <c r="H252" s="232"/>
      <c r="I252" s="216"/>
    </row>
    <row r="253" ht="18.75" customHeight="1">
      <c r="A253" s="216"/>
      <c r="B253" s="235"/>
      <c r="C253" s="236"/>
      <c r="D253" s="235"/>
      <c r="E253" s="237"/>
      <c r="F253" s="230"/>
      <c r="G253" s="232"/>
      <c r="H253" s="232"/>
      <c r="I253" s="216"/>
    </row>
    <row r="254" ht="18.75" customHeight="1">
      <c r="A254" s="216"/>
      <c r="B254" s="235"/>
      <c r="C254" s="236"/>
      <c r="D254" s="235"/>
      <c r="E254" s="237"/>
      <c r="F254" s="230"/>
      <c r="G254" s="232"/>
      <c r="H254" s="232"/>
      <c r="I254" s="216"/>
    </row>
    <row r="255" ht="18.75" customHeight="1">
      <c r="A255" s="216"/>
      <c r="B255" s="235"/>
      <c r="C255" s="236"/>
      <c r="D255" s="235"/>
      <c r="E255" s="237"/>
      <c r="F255" s="230"/>
      <c r="G255" s="232"/>
      <c r="H255" s="232"/>
      <c r="I255" s="216"/>
    </row>
    <row r="256" ht="18.75" customHeight="1">
      <c r="A256" s="216"/>
      <c r="B256" s="235"/>
      <c r="C256" s="236"/>
      <c r="D256" s="235"/>
      <c r="E256" s="237"/>
      <c r="F256" s="230"/>
      <c r="G256" s="232"/>
      <c r="H256" s="232"/>
      <c r="I256" s="216"/>
    </row>
    <row r="257" ht="18.75" customHeight="1">
      <c r="A257" s="216"/>
      <c r="B257" s="235"/>
      <c r="C257" s="236"/>
      <c r="D257" s="235"/>
      <c r="E257" s="237"/>
      <c r="F257" s="230"/>
      <c r="G257" s="232"/>
      <c r="H257" s="232"/>
      <c r="I257" s="216"/>
    </row>
    <row r="258" ht="18.75" customHeight="1">
      <c r="A258" s="216"/>
      <c r="B258" s="235"/>
      <c r="C258" s="236"/>
      <c r="D258" s="235"/>
      <c r="E258" s="237"/>
      <c r="F258" s="230"/>
      <c r="G258" s="232"/>
      <c r="H258" s="232"/>
      <c r="I258" s="216"/>
    </row>
    <row r="259" ht="18.75" customHeight="1">
      <c r="A259" s="216"/>
      <c r="B259" s="235"/>
      <c r="C259" s="236"/>
      <c r="D259" s="235"/>
      <c r="E259" s="237"/>
      <c r="F259" s="230"/>
      <c r="G259" s="232"/>
      <c r="H259" s="232"/>
      <c r="I259" s="216"/>
    </row>
    <row r="260" ht="18.75" customHeight="1">
      <c r="A260" s="216"/>
      <c r="B260" s="235"/>
      <c r="C260" s="236"/>
      <c r="D260" s="235"/>
      <c r="E260" s="237"/>
      <c r="F260" s="230"/>
      <c r="G260" s="232"/>
      <c r="H260" s="232"/>
      <c r="I260" s="216"/>
    </row>
    <row r="261" ht="18.75" customHeight="1">
      <c r="A261" s="216"/>
      <c r="B261" s="235"/>
      <c r="C261" s="236"/>
      <c r="D261" s="235"/>
      <c r="E261" s="237"/>
      <c r="F261" s="230"/>
      <c r="G261" s="232"/>
      <c r="H261" s="232"/>
      <c r="I261" s="216"/>
    </row>
    <row r="262" ht="18.75" customHeight="1">
      <c r="A262" s="216"/>
      <c r="B262" s="235"/>
      <c r="C262" s="236"/>
      <c r="D262" s="235"/>
      <c r="E262" s="237"/>
      <c r="F262" s="230"/>
      <c r="G262" s="232"/>
      <c r="H262" s="232"/>
      <c r="I262" s="216"/>
    </row>
    <row r="263" ht="18.75" customHeight="1">
      <c r="A263" s="216"/>
      <c r="B263" s="235"/>
      <c r="C263" s="236"/>
      <c r="D263" s="235"/>
      <c r="E263" s="237"/>
      <c r="F263" s="230"/>
      <c r="G263" s="232"/>
      <c r="H263" s="232"/>
      <c r="I263" s="216"/>
    </row>
    <row r="264" ht="18.75" customHeight="1">
      <c r="A264" s="216"/>
      <c r="B264" s="235"/>
      <c r="C264" s="236"/>
      <c r="D264" s="235"/>
      <c r="E264" s="237"/>
      <c r="F264" s="230"/>
      <c r="G264" s="232"/>
      <c r="H264" s="232"/>
      <c r="I264" s="216"/>
    </row>
    <row r="265" ht="18.75" customHeight="1">
      <c r="A265" s="216"/>
      <c r="B265" s="235"/>
      <c r="C265" s="236"/>
      <c r="D265" s="235"/>
      <c r="E265" s="237"/>
      <c r="F265" s="230"/>
      <c r="G265" s="232"/>
      <c r="H265" s="232"/>
      <c r="I265" s="216"/>
    </row>
    <row r="266" ht="18.75" customHeight="1">
      <c r="A266" s="216"/>
      <c r="B266" s="235"/>
      <c r="C266" s="236"/>
      <c r="D266" s="235"/>
      <c r="E266" s="237"/>
      <c r="F266" s="230"/>
      <c r="G266" s="232"/>
      <c r="H266" s="232"/>
      <c r="I266" s="216"/>
    </row>
    <row r="267" ht="18.75" customHeight="1">
      <c r="A267" s="216"/>
      <c r="B267" s="235"/>
      <c r="C267" s="236"/>
      <c r="D267" s="235"/>
      <c r="E267" s="237"/>
      <c r="F267" s="230"/>
      <c r="G267" s="232"/>
      <c r="H267" s="232"/>
      <c r="I267" s="216"/>
    </row>
    <row r="268" ht="18.75" customHeight="1">
      <c r="A268" s="216"/>
      <c r="B268" s="235"/>
      <c r="C268" s="236"/>
      <c r="D268" s="235"/>
      <c r="E268" s="237"/>
      <c r="F268" s="230"/>
      <c r="G268" s="232"/>
      <c r="H268" s="232"/>
      <c r="I268" s="216"/>
    </row>
    <row r="269" ht="18.75" customHeight="1">
      <c r="A269" s="216"/>
      <c r="B269" s="235"/>
      <c r="C269" s="236"/>
      <c r="D269" s="235"/>
      <c r="E269" s="237"/>
      <c r="F269" s="230"/>
      <c r="G269" s="232"/>
      <c r="H269" s="232"/>
      <c r="I269" s="216"/>
    </row>
    <row r="270" ht="18.75" customHeight="1">
      <c r="A270" s="216"/>
      <c r="B270" s="235"/>
      <c r="C270" s="236"/>
      <c r="D270" s="235"/>
      <c r="E270" s="237"/>
      <c r="F270" s="230"/>
      <c r="G270" s="232"/>
      <c r="H270" s="232"/>
      <c r="I270" s="216"/>
    </row>
    <row r="271" ht="18.75" customHeight="1">
      <c r="A271" s="216"/>
      <c r="B271" s="235"/>
      <c r="C271" s="236"/>
      <c r="D271" s="235"/>
      <c r="E271" s="237"/>
      <c r="F271" s="230"/>
      <c r="G271" s="232"/>
      <c r="H271" s="232"/>
      <c r="I271" s="216"/>
    </row>
    <row r="272" ht="18.75" customHeight="1">
      <c r="A272" s="216"/>
      <c r="B272" s="235"/>
      <c r="C272" s="236"/>
      <c r="D272" s="235"/>
      <c r="E272" s="237"/>
      <c r="F272" s="230"/>
      <c r="G272" s="232"/>
      <c r="H272" s="232"/>
      <c r="I272" s="216"/>
    </row>
    <row r="273" ht="18.75" customHeight="1">
      <c r="A273" s="216"/>
      <c r="B273" s="235"/>
      <c r="C273" s="236"/>
      <c r="D273" s="235"/>
      <c r="E273" s="237"/>
      <c r="F273" s="230"/>
      <c r="G273" s="232"/>
      <c r="H273" s="232"/>
      <c r="I273" s="216"/>
    </row>
    <row r="274" ht="18.75" customHeight="1">
      <c r="A274" s="216"/>
      <c r="B274" s="235"/>
      <c r="C274" s="236"/>
      <c r="D274" s="235"/>
      <c r="E274" s="237"/>
      <c r="F274" s="230"/>
      <c r="G274" s="232"/>
      <c r="H274" s="232"/>
      <c r="I274" s="216"/>
    </row>
    <row r="275" ht="18.75" customHeight="1">
      <c r="A275" s="216"/>
      <c r="B275" s="235"/>
      <c r="C275" s="236"/>
      <c r="D275" s="235"/>
      <c r="E275" s="237"/>
      <c r="F275" s="230"/>
      <c r="G275" s="232"/>
      <c r="H275" s="232"/>
      <c r="I275" s="216"/>
    </row>
    <row r="276" ht="18.75" customHeight="1">
      <c r="A276" s="216"/>
      <c r="B276" s="235"/>
      <c r="C276" s="236"/>
      <c r="D276" s="235"/>
      <c r="E276" s="237"/>
      <c r="F276" s="230"/>
      <c r="G276" s="232"/>
      <c r="H276" s="232"/>
      <c r="I276" s="216"/>
    </row>
    <row r="277" ht="18.75" customHeight="1">
      <c r="A277" s="216"/>
      <c r="B277" s="235"/>
      <c r="C277" s="236"/>
      <c r="D277" s="235"/>
      <c r="E277" s="237"/>
      <c r="F277" s="230"/>
      <c r="G277" s="232"/>
      <c r="H277" s="232"/>
      <c r="I277" s="216"/>
    </row>
    <row r="278" ht="18.75" customHeight="1">
      <c r="A278" s="216"/>
      <c r="B278" s="235"/>
      <c r="C278" s="236"/>
      <c r="D278" s="235"/>
      <c r="E278" s="237"/>
      <c r="F278" s="230"/>
      <c r="G278" s="232"/>
      <c r="H278" s="232"/>
      <c r="I278" s="216"/>
    </row>
    <row r="279" ht="18.75" customHeight="1">
      <c r="A279" s="216"/>
      <c r="B279" s="235"/>
      <c r="C279" s="236"/>
      <c r="D279" s="235"/>
      <c r="E279" s="237"/>
      <c r="F279" s="230"/>
      <c r="G279" s="232"/>
      <c r="H279" s="232"/>
      <c r="I279" s="216"/>
    </row>
    <row r="280" ht="18.75" customHeight="1">
      <c r="A280" s="216"/>
      <c r="B280" s="235"/>
      <c r="C280" s="236"/>
      <c r="D280" s="235"/>
      <c r="E280" s="237"/>
      <c r="F280" s="230"/>
      <c r="G280" s="232"/>
      <c r="H280" s="232"/>
      <c r="I280" s="216"/>
    </row>
    <row r="281" ht="18.75" customHeight="1">
      <c r="A281" s="216"/>
      <c r="B281" s="235"/>
      <c r="C281" s="236"/>
      <c r="D281" s="235"/>
      <c r="E281" s="237"/>
      <c r="F281" s="230"/>
      <c r="G281" s="232"/>
      <c r="H281" s="232"/>
      <c r="I281" s="216"/>
    </row>
    <row r="282" ht="18.75" customHeight="1">
      <c r="A282" s="216"/>
      <c r="B282" s="235"/>
      <c r="C282" s="236"/>
      <c r="D282" s="235"/>
      <c r="E282" s="237"/>
      <c r="F282" s="230"/>
      <c r="G282" s="232"/>
      <c r="H282" s="232"/>
      <c r="I282" s="216"/>
    </row>
    <row r="283" ht="18.75" customHeight="1">
      <c r="A283" s="216"/>
      <c r="B283" s="235"/>
      <c r="C283" s="236"/>
      <c r="D283" s="235"/>
      <c r="E283" s="237"/>
      <c r="F283" s="230"/>
      <c r="G283" s="232"/>
      <c r="H283" s="232"/>
      <c r="I283" s="216"/>
    </row>
    <row r="284" ht="18.75" customHeight="1">
      <c r="A284" s="216"/>
      <c r="B284" s="235"/>
      <c r="C284" s="236"/>
      <c r="D284" s="235"/>
      <c r="E284" s="237"/>
      <c r="F284" s="230"/>
      <c r="G284" s="232"/>
      <c r="H284" s="232"/>
      <c r="I284" s="216"/>
    </row>
    <row r="285" ht="18.75" customHeight="1">
      <c r="A285" s="216"/>
      <c r="B285" s="235"/>
      <c r="C285" s="236"/>
      <c r="D285" s="235"/>
      <c r="E285" s="237"/>
      <c r="F285" s="230"/>
      <c r="G285" s="232"/>
      <c r="H285" s="232"/>
      <c r="I285" s="216"/>
    </row>
    <row r="286" ht="18.75" customHeight="1">
      <c r="A286" s="216"/>
      <c r="B286" s="235"/>
      <c r="C286" s="236"/>
      <c r="D286" s="235"/>
      <c r="E286" s="237"/>
      <c r="F286" s="230"/>
      <c r="G286" s="232"/>
      <c r="H286" s="232"/>
      <c r="I286" s="216"/>
    </row>
    <row r="287" ht="18.75" customHeight="1">
      <c r="A287" s="216"/>
      <c r="B287" s="235"/>
      <c r="C287" s="236"/>
      <c r="D287" s="235"/>
      <c r="E287" s="237"/>
      <c r="F287" s="230"/>
      <c r="G287" s="232"/>
      <c r="H287" s="232"/>
      <c r="I287" s="216"/>
    </row>
    <row r="288" ht="18.75" customHeight="1">
      <c r="A288" s="216"/>
      <c r="B288" s="235"/>
      <c r="C288" s="236"/>
      <c r="D288" s="235"/>
      <c r="E288" s="237"/>
      <c r="F288" s="230"/>
      <c r="G288" s="232"/>
      <c r="H288" s="232"/>
      <c r="I288" s="216"/>
    </row>
    <row r="289" ht="18.75" customHeight="1">
      <c r="A289" s="216"/>
      <c r="B289" s="235"/>
      <c r="C289" s="236"/>
      <c r="D289" s="235"/>
      <c r="E289" s="237"/>
      <c r="F289" s="230"/>
      <c r="G289" s="232"/>
      <c r="H289" s="232"/>
      <c r="I289" s="216"/>
    </row>
    <row r="290" ht="18.75" customHeight="1">
      <c r="A290" s="216"/>
      <c r="B290" s="235"/>
      <c r="C290" s="236"/>
      <c r="D290" s="235"/>
      <c r="E290" s="237"/>
      <c r="F290" s="230"/>
      <c r="G290" s="232"/>
      <c r="H290" s="232"/>
      <c r="I290" s="216"/>
    </row>
    <row r="291" ht="18.75" customHeight="1">
      <c r="A291" s="216"/>
      <c r="B291" s="235"/>
      <c r="C291" s="236"/>
      <c r="D291" s="235"/>
      <c r="E291" s="237"/>
      <c r="F291" s="230"/>
      <c r="G291" s="232"/>
      <c r="H291" s="232"/>
      <c r="I291" s="216"/>
    </row>
    <row r="292" ht="18.75" customHeight="1">
      <c r="A292" s="216"/>
      <c r="B292" s="235"/>
      <c r="C292" s="236"/>
      <c r="D292" s="235"/>
      <c r="E292" s="237"/>
      <c r="F292" s="230"/>
      <c r="G292" s="232"/>
      <c r="H292" s="232"/>
      <c r="I292" s="216"/>
    </row>
    <row r="293" ht="18.75" customHeight="1">
      <c r="A293" s="216"/>
      <c r="B293" s="235"/>
      <c r="C293" s="236"/>
      <c r="D293" s="235"/>
      <c r="E293" s="237"/>
      <c r="F293" s="230"/>
      <c r="G293" s="232"/>
      <c r="H293" s="232"/>
      <c r="I293" s="216"/>
    </row>
    <row r="294" ht="18.75" customHeight="1">
      <c r="A294" s="216"/>
      <c r="B294" s="235"/>
      <c r="C294" s="236"/>
      <c r="D294" s="235"/>
      <c r="E294" s="237"/>
      <c r="F294" s="230"/>
      <c r="G294" s="232"/>
      <c r="H294" s="232"/>
      <c r="I294" s="216"/>
    </row>
    <row r="295" ht="18.75" customHeight="1">
      <c r="A295" s="216"/>
      <c r="B295" s="235"/>
      <c r="C295" s="236"/>
      <c r="D295" s="235"/>
      <c r="E295" s="237"/>
      <c r="F295" s="230"/>
      <c r="G295" s="232"/>
      <c r="H295" s="232"/>
      <c r="I295" s="216"/>
    </row>
    <row r="296" ht="18.75" customHeight="1">
      <c r="A296" s="216"/>
      <c r="B296" s="235"/>
      <c r="C296" s="236"/>
      <c r="D296" s="235"/>
      <c r="E296" s="237"/>
      <c r="F296" s="230"/>
      <c r="G296" s="232"/>
      <c r="H296" s="232"/>
      <c r="I296" s="216"/>
    </row>
    <row r="297" ht="18.75" customHeight="1">
      <c r="A297" s="216"/>
      <c r="B297" s="235"/>
      <c r="C297" s="236"/>
      <c r="D297" s="235"/>
      <c r="E297" s="237"/>
      <c r="F297" s="230"/>
      <c r="G297" s="232"/>
      <c r="H297" s="232"/>
      <c r="I297" s="216"/>
    </row>
    <row r="298" ht="18.75" customHeight="1">
      <c r="A298" s="216"/>
      <c r="B298" s="235"/>
      <c r="C298" s="236"/>
      <c r="D298" s="235"/>
      <c r="E298" s="237"/>
      <c r="F298" s="230"/>
      <c r="G298" s="232"/>
      <c r="H298" s="232"/>
      <c r="I298" s="216"/>
    </row>
    <row r="299" ht="18.75" customHeight="1">
      <c r="A299" s="216"/>
      <c r="B299" s="235"/>
      <c r="C299" s="236"/>
      <c r="D299" s="235"/>
      <c r="E299" s="237"/>
      <c r="F299" s="230"/>
      <c r="G299" s="232"/>
      <c r="H299" s="232"/>
      <c r="I299" s="216"/>
    </row>
    <row r="300" ht="18.75" customHeight="1">
      <c r="A300" s="216"/>
      <c r="B300" s="235"/>
      <c r="C300" s="236"/>
      <c r="D300" s="235"/>
      <c r="E300" s="237"/>
      <c r="F300" s="230"/>
      <c r="G300" s="232"/>
      <c r="H300" s="232"/>
      <c r="I300" s="216"/>
    </row>
    <row r="301" ht="18.75" customHeight="1">
      <c r="A301" s="216"/>
      <c r="B301" s="235"/>
      <c r="C301" s="236"/>
      <c r="D301" s="235"/>
      <c r="E301" s="237"/>
      <c r="F301" s="230"/>
      <c r="G301" s="232"/>
      <c r="H301" s="232"/>
      <c r="I301" s="216"/>
    </row>
    <row r="302" ht="18.75" customHeight="1">
      <c r="A302" s="216"/>
      <c r="B302" s="235"/>
      <c r="C302" s="236"/>
      <c r="D302" s="235"/>
      <c r="E302" s="237"/>
      <c r="F302" s="230"/>
      <c r="G302" s="232"/>
      <c r="H302" s="232"/>
      <c r="I302" s="216"/>
    </row>
    <row r="303" ht="18.75" customHeight="1">
      <c r="A303" s="216"/>
      <c r="B303" s="235"/>
      <c r="C303" s="236"/>
      <c r="D303" s="235"/>
      <c r="E303" s="237"/>
      <c r="F303" s="230"/>
      <c r="G303" s="232"/>
      <c r="H303" s="232"/>
      <c r="I303" s="216"/>
    </row>
    <row r="304" ht="18.75" customHeight="1">
      <c r="A304" s="216"/>
      <c r="B304" s="235"/>
      <c r="C304" s="236"/>
      <c r="D304" s="235"/>
      <c r="E304" s="237"/>
      <c r="F304" s="230"/>
      <c r="G304" s="232"/>
      <c r="H304" s="232"/>
      <c r="I304" s="216"/>
    </row>
    <row r="305" ht="18.75" customHeight="1">
      <c r="A305" s="216"/>
      <c r="B305" s="235"/>
      <c r="C305" s="236"/>
      <c r="D305" s="235"/>
      <c r="E305" s="237"/>
      <c r="F305" s="230"/>
      <c r="G305" s="232"/>
      <c r="H305" s="232"/>
      <c r="I305" s="216"/>
    </row>
    <row r="306" ht="18.75" customHeight="1">
      <c r="A306" s="216"/>
      <c r="B306" s="235"/>
      <c r="C306" s="236"/>
      <c r="D306" s="235"/>
      <c r="E306" s="237"/>
      <c r="F306" s="230"/>
      <c r="G306" s="232"/>
      <c r="H306" s="232"/>
      <c r="I306" s="216"/>
    </row>
    <row r="307" ht="18.75" customHeight="1">
      <c r="A307" s="216"/>
      <c r="B307" s="235"/>
      <c r="C307" s="236"/>
      <c r="D307" s="235"/>
      <c r="E307" s="237"/>
      <c r="F307" s="230"/>
      <c r="G307" s="232"/>
      <c r="H307" s="232"/>
      <c r="I307" s="216"/>
    </row>
    <row r="308" ht="18.75" customHeight="1">
      <c r="A308" s="216"/>
      <c r="B308" s="235"/>
      <c r="C308" s="236"/>
      <c r="D308" s="235"/>
      <c r="E308" s="237"/>
      <c r="F308" s="230"/>
      <c r="G308" s="232"/>
      <c r="H308" s="232"/>
      <c r="I308" s="216"/>
    </row>
    <row r="309" ht="18.75" customHeight="1">
      <c r="A309" s="216"/>
      <c r="B309" s="235"/>
      <c r="C309" s="236"/>
      <c r="D309" s="235"/>
      <c r="E309" s="237"/>
      <c r="F309" s="230"/>
      <c r="G309" s="232"/>
      <c r="H309" s="232"/>
      <c r="I309" s="216"/>
    </row>
    <row r="310" ht="18.75" customHeight="1">
      <c r="A310" s="216"/>
      <c r="B310" s="235"/>
      <c r="C310" s="236"/>
      <c r="D310" s="235"/>
      <c r="E310" s="237"/>
      <c r="F310" s="230"/>
      <c r="G310" s="232"/>
      <c r="H310" s="232"/>
      <c r="I310" s="216"/>
    </row>
    <row r="311" ht="18.75" customHeight="1">
      <c r="A311" s="216"/>
      <c r="B311" s="235"/>
      <c r="C311" s="236"/>
      <c r="D311" s="235"/>
      <c r="E311" s="237"/>
      <c r="F311" s="230"/>
      <c r="G311" s="232"/>
      <c r="H311" s="232"/>
      <c r="I311" s="216"/>
    </row>
    <row r="312" ht="18.75" customHeight="1">
      <c r="A312" s="216"/>
      <c r="B312" s="235"/>
      <c r="C312" s="236"/>
      <c r="D312" s="235"/>
      <c r="E312" s="237"/>
      <c r="F312" s="230"/>
      <c r="G312" s="232"/>
      <c r="H312" s="232"/>
      <c r="I312" s="216"/>
    </row>
    <row r="313" ht="18.75" customHeight="1">
      <c r="A313" s="216"/>
      <c r="B313" s="235"/>
      <c r="C313" s="236"/>
      <c r="D313" s="235"/>
      <c r="E313" s="237"/>
      <c r="F313" s="230"/>
      <c r="G313" s="232"/>
      <c r="H313" s="232"/>
      <c r="I313" s="216"/>
    </row>
    <row r="314" ht="18.75" customHeight="1">
      <c r="A314" s="216"/>
      <c r="B314" s="235"/>
      <c r="C314" s="236"/>
      <c r="D314" s="235"/>
      <c r="E314" s="237"/>
      <c r="F314" s="230"/>
      <c r="G314" s="232"/>
      <c r="H314" s="232"/>
      <c r="I314" s="216"/>
    </row>
    <row r="315" ht="18.75" customHeight="1">
      <c r="A315" s="216"/>
      <c r="B315" s="235"/>
      <c r="C315" s="236"/>
      <c r="D315" s="235"/>
      <c r="E315" s="237"/>
      <c r="F315" s="230"/>
      <c r="G315" s="232"/>
      <c r="H315" s="232"/>
      <c r="I315" s="216"/>
    </row>
    <row r="316" ht="18.75" customHeight="1">
      <c r="A316" s="216"/>
      <c r="B316" s="235"/>
      <c r="C316" s="236"/>
      <c r="D316" s="235"/>
      <c r="E316" s="237"/>
      <c r="F316" s="230"/>
      <c r="G316" s="232"/>
      <c r="H316" s="232"/>
      <c r="I316" s="216"/>
    </row>
    <row r="317" ht="18.75" customHeight="1">
      <c r="A317" s="216"/>
      <c r="B317" s="235"/>
      <c r="C317" s="236"/>
      <c r="D317" s="235"/>
      <c r="E317" s="237"/>
      <c r="F317" s="230"/>
      <c r="G317" s="232"/>
      <c r="H317" s="232"/>
      <c r="I317" s="216"/>
    </row>
    <row r="318" ht="18.75" customHeight="1">
      <c r="A318" s="216"/>
      <c r="B318" s="235"/>
      <c r="C318" s="236"/>
      <c r="D318" s="235"/>
      <c r="E318" s="237"/>
      <c r="F318" s="230"/>
      <c r="G318" s="232"/>
      <c r="H318" s="232"/>
      <c r="I318" s="216"/>
    </row>
    <row r="319" ht="18.75" customHeight="1">
      <c r="A319" s="216"/>
      <c r="B319" s="235"/>
      <c r="C319" s="236"/>
      <c r="D319" s="235"/>
      <c r="E319" s="237"/>
      <c r="F319" s="230"/>
      <c r="G319" s="232"/>
      <c r="H319" s="232"/>
      <c r="I319" s="216"/>
    </row>
    <row r="320" ht="18.75" customHeight="1">
      <c r="A320" s="216"/>
      <c r="B320" s="235"/>
      <c r="C320" s="236"/>
      <c r="D320" s="235"/>
      <c r="E320" s="237"/>
      <c r="F320" s="230"/>
      <c r="G320" s="232"/>
      <c r="H320" s="232"/>
      <c r="I320" s="216"/>
    </row>
    <row r="321" ht="18.75" customHeight="1">
      <c r="A321" s="216"/>
      <c r="B321" s="235"/>
      <c r="C321" s="236"/>
      <c r="D321" s="235"/>
      <c r="E321" s="237"/>
      <c r="F321" s="230"/>
      <c r="G321" s="232"/>
      <c r="H321" s="232"/>
      <c r="I321" s="216"/>
    </row>
    <row r="322" ht="18.75" customHeight="1">
      <c r="A322" s="216"/>
      <c r="B322" s="235"/>
      <c r="C322" s="236"/>
      <c r="D322" s="235"/>
      <c r="E322" s="237"/>
      <c r="F322" s="230"/>
      <c r="G322" s="232"/>
      <c r="H322" s="232"/>
      <c r="I322" s="216"/>
    </row>
    <row r="323" ht="18.75" customHeight="1">
      <c r="A323" s="216"/>
      <c r="B323" s="235"/>
      <c r="C323" s="236"/>
      <c r="D323" s="235"/>
      <c r="E323" s="237"/>
      <c r="F323" s="230"/>
      <c r="G323" s="232"/>
      <c r="H323" s="232"/>
      <c r="I323" s="216"/>
    </row>
    <row r="324" ht="18.75" customHeight="1">
      <c r="A324" s="216"/>
      <c r="B324" s="235"/>
      <c r="C324" s="236"/>
      <c r="D324" s="235"/>
      <c r="E324" s="237"/>
      <c r="F324" s="230"/>
      <c r="G324" s="232"/>
      <c r="H324" s="232"/>
      <c r="I324" s="216"/>
    </row>
    <row r="325" ht="18.75" customHeight="1">
      <c r="A325" s="216"/>
      <c r="B325" s="235"/>
      <c r="C325" s="236"/>
      <c r="D325" s="235"/>
      <c r="E325" s="237"/>
      <c r="F325" s="230"/>
      <c r="G325" s="232"/>
      <c r="H325" s="232"/>
      <c r="I325" s="216"/>
    </row>
    <row r="326" ht="18.75" customHeight="1">
      <c r="A326" s="216"/>
      <c r="B326" s="235"/>
      <c r="C326" s="236"/>
      <c r="D326" s="235"/>
      <c r="E326" s="237"/>
      <c r="F326" s="230"/>
      <c r="G326" s="232"/>
      <c r="H326" s="232"/>
      <c r="I326" s="216"/>
    </row>
    <row r="327" ht="18.75" customHeight="1">
      <c r="A327" s="216"/>
      <c r="B327" s="235"/>
      <c r="C327" s="236"/>
      <c r="D327" s="235"/>
      <c r="E327" s="237"/>
      <c r="F327" s="230"/>
      <c r="G327" s="232"/>
      <c r="H327" s="232"/>
      <c r="I327" s="216"/>
    </row>
    <row r="328" ht="18.75" customHeight="1">
      <c r="A328" s="216"/>
      <c r="B328" s="235"/>
      <c r="C328" s="236"/>
      <c r="D328" s="235"/>
      <c r="E328" s="237"/>
      <c r="F328" s="230"/>
      <c r="G328" s="232"/>
      <c r="H328" s="232"/>
      <c r="I328" s="216"/>
    </row>
    <row r="329" ht="18.75" customHeight="1">
      <c r="A329" s="216"/>
      <c r="B329" s="235"/>
      <c r="C329" s="236"/>
      <c r="D329" s="235"/>
      <c r="E329" s="237"/>
      <c r="F329" s="230"/>
      <c r="G329" s="232"/>
      <c r="H329" s="232"/>
      <c r="I329" s="216"/>
    </row>
    <row r="330" ht="18.75" customHeight="1">
      <c r="A330" s="216"/>
      <c r="B330" s="235"/>
      <c r="C330" s="236"/>
      <c r="D330" s="235"/>
      <c r="E330" s="237"/>
      <c r="F330" s="230"/>
      <c r="G330" s="232"/>
      <c r="H330" s="232"/>
      <c r="I330" s="216"/>
    </row>
    <row r="331" ht="18.75" customHeight="1">
      <c r="A331" s="216"/>
      <c r="B331" s="235"/>
      <c r="C331" s="236"/>
      <c r="D331" s="235"/>
      <c r="E331" s="237"/>
      <c r="F331" s="230"/>
      <c r="G331" s="232"/>
      <c r="H331" s="232"/>
      <c r="I331" s="216"/>
    </row>
    <row r="332" ht="18.75" customHeight="1">
      <c r="A332" s="216"/>
      <c r="B332" s="235"/>
      <c r="C332" s="236"/>
      <c r="D332" s="235"/>
      <c r="E332" s="237"/>
      <c r="F332" s="230"/>
      <c r="G332" s="232"/>
      <c r="H332" s="232"/>
      <c r="I332" s="216"/>
    </row>
    <row r="333" ht="18.75" customHeight="1">
      <c r="A333" s="216"/>
      <c r="B333" s="235"/>
      <c r="C333" s="236"/>
      <c r="D333" s="235"/>
      <c r="E333" s="237"/>
      <c r="F333" s="230"/>
      <c r="G333" s="232"/>
      <c r="H333" s="232"/>
      <c r="I333" s="216"/>
    </row>
    <row r="334" ht="18.75" customHeight="1">
      <c r="A334" s="216"/>
      <c r="B334" s="235"/>
      <c r="C334" s="236"/>
      <c r="D334" s="235"/>
      <c r="E334" s="237"/>
      <c r="F334" s="230"/>
      <c r="G334" s="232"/>
      <c r="H334" s="232"/>
      <c r="I334" s="216"/>
    </row>
    <row r="335" ht="18.75" customHeight="1">
      <c r="A335" s="216"/>
      <c r="B335" s="235"/>
      <c r="C335" s="236"/>
      <c r="D335" s="235"/>
      <c r="E335" s="237"/>
      <c r="F335" s="230"/>
      <c r="G335" s="232"/>
      <c r="H335" s="232"/>
      <c r="I335" s="216"/>
    </row>
    <row r="336" ht="18.75" customHeight="1">
      <c r="A336" s="216"/>
      <c r="B336" s="235"/>
      <c r="C336" s="236"/>
      <c r="D336" s="235"/>
      <c r="E336" s="237"/>
      <c r="F336" s="230"/>
      <c r="G336" s="232"/>
      <c r="H336" s="232"/>
      <c r="I336" s="216"/>
    </row>
    <row r="337" ht="18.75" customHeight="1">
      <c r="A337" s="216"/>
      <c r="B337" s="235"/>
      <c r="C337" s="236"/>
      <c r="D337" s="235"/>
      <c r="E337" s="237"/>
      <c r="F337" s="230"/>
      <c r="G337" s="232"/>
      <c r="H337" s="232"/>
      <c r="I337" s="216"/>
    </row>
    <row r="338" ht="18.75" customHeight="1">
      <c r="A338" s="216"/>
      <c r="B338" s="235"/>
      <c r="C338" s="236"/>
      <c r="D338" s="235"/>
      <c r="E338" s="237"/>
      <c r="F338" s="230"/>
      <c r="G338" s="232"/>
      <c r="H338" s="232"/>
      <c r="I338" s="216"/>
    </row>
    <row r="339" ht="18.75" customHeight="1">
      <c r="A339" s="216"/>
      <c r="B339" s="235"/>
      <c r="C339" s="236"/>
      <c r="D339" s="235"/>
      <c r="E339" s="237"/>
      <c r="F339" s="230"/>
      <c r="G339" s="232"/>
      <c r="H339" s="232"/>
      <c r="I339" s="216"/>
    </row>
    <row r="340" ht="18.75" customHeight="1">
      <c r="A340" s="216"/>
      <c r="B340" s="235"/>
      <c r="C340" s="236"/>
      <c r="D340" s="235"/>
      <c r="E340" s="237"/>
      <c r="F340" s="230"/>
      <c r="G340" s="232"/>
      <c r="H340" s="232"/>
      <c r="I340" s="216"/>
    </row>
    <row r="341" ht="18.75" customHeight="1">
      <c r="A341" s="216"/>
      <c r="B341" s="235"/>
      <c r="C341" s="236"/>
      <c r="D341" s="235"/>
      <c r="E341" s="237"/>
      <c r="F341" s="230"/>
      <c r="G341" s="232"/>
      <c r="H341" s="232"/>
      <c r="I341" s="216"/>
    </row>
    <row r="342" ht="18.75" customHeight="1">
      <c r="A342" s="216"/>
      <c r="B342" s="235"/>
      <c r="C342" s="236"/>
      <c r="D342" s="235"/>
      <c r="E342" s="237"/>
      <c r="F342" s="230"/>
      <c r="G342" s="232"/>
      <c r="H342" s="232"/>
      <c r="I342" s="216"/>
    </row>
    <row r="343" ht="18.75" customHeight="1">
      <c r="A343" s="216"/>
      <c r="B343" s="235"/>
      <c r="C343" s="236"/>
      <c r="D343" s="235"/>
      <c r="E343" s="237"/>
      <c r="F343" s="230"/>
      <c r="G343" s="232"/>
      <c r="H343" s="232"/>
      <c r="I343" s="216"/>
    </row>
    <row r="344" ht="18.75" customHeight="1">
      <c r="A344" s="216"/>
      <c r="B344" s="235"/>
      <c r="C344" s="236"/>
      <c r="D344" s="235"/>
      <c r="E344" s="237"/>
      <c r="F344" s="230"/>
      <c r="G344" s="232"/>
      <c r="H344" s="232"/>
      <c r="I344" s="216"/>
    </row>
    <row r="345" ht="18.75" customHeight="1">
      <c r="A345" s="216"/>
      <c r="B345" s="235"/>
      <c r="C345" s="236"/>
      <c r="D345" s="235"/>
      <c r="E345" s="237"/>
      <c r="F345" s="230"/>
      <c r="G345" s="232"/>
      <c r="H345" s="232"/>
      <c r="I345" s="216"/>
    </row>
    <row r="346" ht="18.75" customHeight="1">
      <c r="A346" s="216"/>
      <c r="B346" s="235"/>
      <c r="C346" s="236"/>
      <c r="D346" s="235"/>
      <c r="E346" s="237"/>
      <c r="F346" s="230"/>
      <c r="G346" s="232"/>
      <c r="H346" s="232"/>
      <c r="I346" s="216"/>
    </row>
    <row r="347" ht="18.75" customHeight="1">
      <c r="A347" s="216"/>
      <c r="B347" s="235"/>
      <c r="C347" s="236"/>
      <c r="D347" s="235"/>
      <c r="E347" s="237"/>
      <c r="F347" s="230"/>
      <c r="G347" s="232"/>
      <c r="H347" s="232"/>
      <c r="I347" s="216"/>
    </row>
    <row r="348" ht="18.75" customHeight="1">
      <c r="A348" s="216"/>
      <c r="B348" s="235"/>
      <c r="C348" s="236"/>
      <c r="D348" s="235"/>
      <c r="E348" s="237"/>
      <c r="F348" s="230"/>
      <c r="G348" s="232"/>
      <c r="H348" s="232"/>
      <c r="I348" s="216"/>
    </row>
    <row r="349" ht="18.75" customHeight="1">
      <c r="A349" s="216"/>
      <c r="B349" s="235"/>
      <c r="C349" s="236"/>
      <c r="D349" s="235"/>
      <c r="E349" s="237"/>
      <c r="F349" s="230"/>
      <c r="G349" s="232"/>
      <c r="H349" s="232"/>
      <c r="I349" s="216"/>
    </row>
    <row r="350" ht="18.75" customHeight="1">
      <c r="A350" s="216"/>
      <c r="B350" s="235"/>
      <c r="C350" s="236"/>
      <c r="D350" s="235"/>
      <c r="E350" s="237"/>
      <c r="F350" s="230"/>
      <c r="G350" s="232"/>
      <c r="H350" s="232"/>
      <c r="I350" s="216"/>
    </row>
    <row r="351" ht="18.75" customHeight="1">
      <c r="A351" s="216"/>
      <c r="B351" s="235"/>
      <c r="C351" s="236"/>
      <c r="D351" s="235"/>
      <c r="E351" s="237"/>
      <c r="F351" s="230"/>
      <c r="G351" s="232"/>
      <c r="H351" s="232"/>
      <c r="I351" s="216"/>
    </row>
    <row r="352" ht="18.75" customHeight="1">
      <c r="A352" s="216"/>
      <c r="B352" s="235"/>
      <c r="C352" s="236"/>
      <c r="D352" s="235"/>
      <c r="E352" s="237"/>
      <c r="F352" s="230"/>
      <c r="G352" s="232"/>
      <c r="H352" s="232"/>
      <c r="I352" s="216"/>
    </row>
    <row r="353" ht="18.75" customHeight="1">
      <c r="A353" s="216"/>
      <c r="B353" s="235"/>
      <c r="C353" s="236"/>
      <c r="D353" s="235"/>
      <c r="E353" s="237"/>
      <c r="F353" s="230"/>
      <c r="G353" s="232"/>
      <c r="H353" s="232"/>
      <c r="I353" s="216"/>
    </row>
    <row r="354" ht="18.75" customHeight="1">
      <c r="A354" s="216"/>
      <c r="B354" s="235"/>
      <c r="C354" s="236"/>
      <c r="D354" s="235"/>
      <c r="E354" s="237"/>
      <c r="F354" s="230"/>
      <c r="G354" s="232"/>
      <c r="H354" s="232"/>
      <c r="I354" s="216"/>
    </row>
    <row r="355" ht="18.75" customHeight="1">
      <c r="A355" s="216"/>
      <c r="B355" s="235"/>
      <c r="C355" s="236"/>
      <c r="D355" s="235"/>
      <c r="E355" s="237"/>
      <c r="F355" s="230"/>
      <c r="G355" s="232"/>
      <c r="H355" s="232"/>
      <c r="I355" s="216"/>
    </row>
    <row r="356" ht="18.75" customHeight="1">
      <c r="A356" s="216"/>
      <c r="B356" s="235"/>
      <c r="C356" s="236"/>
      <c r="D356" s="235"/>
      <c r="E356" s="237"/>
      <c r="F356" s="230"/>
      <c r="G356" s="232"/>
      <c r="H356" s="232"/>
      <c r="I356" s="216"/>
    </row>
    <row r="357" ht="18.75" customHeight="1">
      <c r="A357" s="216"/>
      <c r="B357" s="235"/>
      <c r="C357" s="236"/>
      <c r="D357" s="235"/>
      <c r="E357" s="237"/>
      <c r="F357" s="230"/>
      <c r="G357" s="232"/>
      <c r="H357" s="232"/>
      <c r="I357" s="216"/>
    </row>
    <row r="358" ht="18.75" customHeight="1">
      <c r="A358" s="216"/>
      <c r="B358" s="235"/>
      <c r="C358" s="236"/>
      <c r="D358" s="235"/>
      <c r="E358" s="237"/>
      <c r="F358" s="230"/>
      <c r="G358" s="232"/>
      <c r="H358" s="232"/>
      <c r="I358" s="216"/>
    </row>
    <row r="359" ht="18.75" customHeight="1">
      <c r="A359" s="216"/>
      <c r="B359" s="235"/>
      <c r="C359" s="236"/>
      <c r="D359" s="235"/>
      <c r="E359" s="237"/>
      <c r="F359" s="230"/>
      <c r="G359" s="232"/>
      <c r="H359" s="232"/>
      <c r="I359" s="216"/>
    </row>
    <row r="360" ht="18.75" customHeight="1">
      <c r="A360" s="216"/>
      <c r="B360" s="235"/>
      <c r="C360" s="236"/>
      <c r="D360" s="235"/>
      <c r="E360" s="237"/>
      <c r="F360" s="230"/>
      <c r="G360" s="232"/>
      <c r="H360" s="232"/>
      <c r="I360" s="216"/>
    </row>
    <row r="361" ht="18.75" customHeight="1">
      <c r="A361" s="216"/>
      <c r="B361" s="235"/>
      <c r="C361" s="236"/>
      <c r="D361" s="235"/>
      <c r="E361" s="237"/>
      <c r="F361" s="230"/>
      <c r="G361" s="232"/>
      <c r="H361" s="232"/>
      <c r="I361" s="216"/>
    </row>
    <row r="362" ht="18.75" customHeight="1">
      <c r="A362" s="216"/>
      <c r="B362" s="235"/>
      <c r="C362" s="236"/>
      <c r="D362" s="235"/>
      <c r="E362" s="237"/>
      <c r="F362" s="230"/>
      <c r="G362" s="232"/>
      <c r="H362" s="232"/>
      <c r="I362" s="216"/>
    </row>
    <row r="363" ht="18.75" customHeight="1">
      <c r="A363" s="216"/>
      <c r="B363" s="235"/>
      <c r="C363" s="236"/>
      <c r="D363" s="235"/>
      <c r="E363" s="237"/>
      <c r="F363" s="230"/>
      <c r="G363" s="232"/>
      <c r="H363" s="232"/>
      <c r="I363" s="216"/>
    </row>
    <row r="364" ht="18.75" customHeight="1">
      <c r="A364" s="216"/>
      <c r="B364" s="235"/>
      <c r="C364" s="236"/>
      <c r="D364" s="235"/>
      <c r="E364" s="237"/>
      <c r="F364" s="230"/>
      <c r="G364" s="232"/>
      <c r="H364" s="232"/>
      <c r="I364" s="216"/>
    </row>
    <row r="365" ht="18.75" customHeight="1">
      <c r="A365" s="216"/>
      <c r="B365" s="235"/>
      <c r="C365" s="236"/>
      <c r="D365" s="235"/>
      <c r="E365" s="237"/>
      <c r="F365" s="230"/>
      <c r="G365" s="232"/>
      <c r="H365" s="232"/>
      <c r="I365" s="216"/>
    </row>
    <row r="366" ht="18.75" customHeight="1">
      <c r="A366" s="216"/>
      <c r="B366" s="235"/>
      <c r="C366" s="236"/>
      <c r="D366" s="235"/>
      <c r="E366" s="237"/>
      <c r="F366" s="230"/>
      <c r="G366" s="232"/>
      <c r="H366" s="232"/>
      <c r="I366" s="216"/>
    </row>
    <row r="367" ht="18.75" customHeight="1">
      <c r="A367" s="216"/>
      <c r="B367" s="235"/>
      <c r="C367" s="236"/>
      <c r="D367" s="235"/>
      <c r="E367" s="237"/>
      <c r="F367" s="230"/>
      <c r="G367" s="232"/>
      <c r="H367" s="232"/>
      <c r="I367" s="216"/>
    </row>
    <row r="368" ht="18.75" customHeight="1">
      <c r="A368" s="216"/>
      <c r="B368" s="235"/>
      <c r="C368" s="236"/>
      <c r="D368" s="235"/>
      <c r="E368" s="237"/>
      <c r="F368" s="230"/>
      <c r="G368" s="232"/>
      <c r="H368" s="232"/>
      <c r="I368" s="216"/>
    </row>
    <row r="369" ht="18.75" customHeight="1">
      <c r="A369" s="216"/>
      <c r="B369" s="235"/>
      <c r="C369" s="236"/>
      <c r="D369" s="235"/>
      <c r="E369" s="237"/>
      <c r="F369" s="230"/>
      <c r="G369" s="232"/>
      <c r="H369" s="232"/>
      <c r="I369" s="216"/>
    </row>
    <row r="370" ht="18.75" customHeight="1">
      <c r="A370" s="216"/>
      <c r="B370" s="235"/>
      <c r="C370" s="236"/>
      <c r="D370" s="235"/>
      <c r="E370" s="237"/>
      <c r="F370" s="230"/>
      <c r="G370" s="232"/>
      <c r="H370" s="232"/>
      <c r="I370" s="216"/>
    </row>
    <row r="371" ht="18.75" customHeight="1">
      <c r="A371" s="216"/>
      <c r="B371" s="235"/>
      <c r="C371" s="236"/>
      <c r="D371" s="235"/>
      <c r="E371" s="237"/>
      <c r="F371" s="230"/>
      <c r="G371" s="232"/>
      <c r="H371" s="232"/>
      <c r="I371" s="216"/>
    </row>
    <row r="372" ht="18.75" customHeight="1">
      <c r="A372" s="216"/>
      <c r="B372" s="235"/>
      <c r="C372" s="236"/>
      <c r="D372" s="235"/>
      <c r="E372" s="237"/>
      <c r="F372" s="230"/>
      <c r="G372" s="232"/>
      <c r="H372" s="232"/>
      <c r="I372" s="216"/>
    </row>
    <row r="373" ht="18.75" customHeight="1">
      <c r="A373" s="216"/>
      <c r="B373" s="235"/>
      <c r="C373" s="236"/>
      <c r="D373" s="235"/>
      <c r="E373" s="237"/>
      <c r="F373" s="230"/>
      <c r="G373" s="232"/>
      <c r="H373" s="232"/>
      <c r="I373" s="216"/>
    </row>
    <row r="374" ht="18.75" customHeight="1">
      <c r="A374" s="216"/>
      <c r="B374" s="235"/>
      <c r="C374" s="236"/>
      <c r="D374" s="235"/>
      <c r="E374" s="237"/>
      <c r="F374" s="230"/>
      <c r="G374" s="232"/>
      <c r="H374" s="232"/>
      <c r="I374" s="216"/>
    </row>
    <row r="375" ht="18.75" customHeight="1">
      <c r="A375" s="216"/>
      <c r="B375" s="235"/>
      <c r="C375" s="236"/>
      <c r="D375" s="235"/>
      <c r="E375" s="237"/>
      <c r="F375" s="230"/>
      <c r="G375" s="232"/>
      <c r="H375" s="232"/>
      <c r="I375" s="216"/>
    </row>
    <row r="376" ht="18.75" customHeight="1">
      <c r="A376" s="216"/>
      <c r="B376" s="235"/>
      <c r="C376" s="236"/>
      <c r="D376" s="235"/>
      <c r="E376" s="237"/>
      <c r="F376" s="230"/>
      <c r="G376" s="232"/>
      <c r="H376" s="232"/>
      <c r="I376" s="216"/>
    </row>
    <row r="377" ht="18.75" customHeight="1">
      <c r="A377" s="216"/>
      <c r="B377" s="235"/>
      <c r="C377" s="236"/>
      <c r="D377" s="235"/>
      <c r="E377" s="237"/>
      <c r="F377" s="230"/>
      <c r="G377" s="232"/>
      <c r="H377" s="232"/>
      <c r="I377" s="216"/>
    </row>
    <row r="378" ht="18.75" customHeight="1">
      <c r="A378" s="216"/>
      <c r="B378" s="235"/>
      <c r="C378" s="236"/>
      <c r="D378" s="235"/>
      <c r="E378" s="237"/>
      <c r="F378" s="230"/>
      <c r="G378" s="232"/>
      <c r="H378" s="232"/>
      <c r="I378" s="216"/>
    </row>
    <row r="379" ht="18.75" customHeight="1">
      <c r="A379" s="216"/>
      <c r="B379" s="235"/>
      <c r="C379" s="236"/>
      <c r="D379" s="235"/>
      <c r="E379" s="237"/>
      <c r="F379" s="230"/>
      <c r="G379" s="232"/>
      <c r="H379" s="232"/>
      <c r="I379" s="216"/>
    </row>
    <row r="380" ht="18.75" customHeight="1">
      <c r="A380" s="216"/>
      <c r="B380" s="235"/>
      <c r="C380" s="236"/>
      <c r="D380" s="235"/>
      <c r="E380" s="237"/>
      <c r="F380" s="230"/>
      <c r="G380" s="232"/>
      <c r="H380" s="232"/>
      <c r="I380" s="216"/>
    </row>
    <row r="381" ht="18.75" customHeight="1">
      <c r="A381" s="216"/>
      <c r="B381" s="235"/>
      <c r="C381" s="236"/>
      <c r="D381" s="235"/>
      <c r="E381" s="237"/>
      <c r="F381" s="230"/>
      <c r="G381" s="232"/>
      <c r="H381" s="232"/>
      <c r="I381" s="216"/>
    </row>
    <row r="382" ht="18.75" customHeight="1">
      <c r="A382" s="216"/>
      <c r="B382" s="235"/>
      <c r="C382" s="236"/>
      <c r="D382" s="235"/>
      <c r="E382" s="237"/>
      <c r="F382" s="230"/>
      <c r="G382" s="232"/>
      <c r="H382" s="232"/>
      <c r="I382" s="216"/>
    </row>
    <row r="383" ht="18.75" customHeight="1">
      <c r="A383" s="216"/>
      <c r="B383" s="235"/>
      <c r="C383" s="236"/>
      <c r="D383" s="235"/>
      <c r="E383" s="237"/>
      <c r="F383" s="230"/>
      <c r="G383" s="232"/>
      <c r="H383" s="232"/>
      <c r="I383" s="216"/>
    </row>
    <row r="384" ht="18.75" customHeight="1">
      <c r="A384" s="216"/>
      <c r="B384" s="235"/>
      <c r="C384" s="236"/>
      <c r="D384" s="235"/>
      <c r="E384" s="237"/>
      <c r="F384" s="230"/>
      <c r="G384" s="232"/>
      <c r="H384" s="232"/>
      <c r="I384" s="216"/>
    </row>
    <row r="385" ht="18.75" customHeight="1">
      <c r="A385" s="216"/>
      <c r="B385" s="235"/>
      <c r="C385" s="236"/>
      <c r="D385" s="235"/>
      <c r="E385" s="237"/>
      <c r="F385" s="230"/>
      <c r="G385" s="232"/>
      <c r="H385" s="232"/>
      <c r="I385" s="216"/>
    </row>
    <row r="386" ht="18.75" customHeight="1">
      <c r="A386" s="216"/>
      <c r="B386" s="235"/>
      <c r="C386" s="236"/>
      <c r="D386" s="235"/>
      <c r="E386" s="237"/>
      <c r="F386" s="230"/>
      <c r="G386" s="232"/>
      <c r="H386" s="232"/>
      <c r="I386" s="216"/>
    </row>
    <row r="387" ht="18.75" customHeight="1">
      <c r="A387" s="216"/>
      <c r="B387" s="235"/>
      <c r="C387" s="236"/>
      <c r="D387" s="235"/>
      <c r="E387" s="237"/>
      <c r="F387" s="230"/>
      <c r="G387" s="232"/>
      <c r="H387" s="232"/>
      <c r="I387" s="216"/>
    </row>
    <row r="388" ht="18.75" customHeight="1">
      <c r="A388" s="216"/>
      <c r="B388" s="235"/>
      <c r="C388" s="236"/>
      <c r="D388" s="235"/>
      <c r="E388" s="237"/>
      <c r="F388" s="230"/>
      <c r="G388" s="232"/>
      <c r="H388" s="232"/>
      <c r="I388" s="216"/>
    </row>
    <row r="389" ht="18.75" customHeight="1">
      <c r="A389" s="216"/>
      <c r="B389" s="235"/>
      <c r="C389" s="236"/>
      <c r="D389" s="235"/>
      <c r="E389" s="237"/>
      <c r="F389" s="230"/>
      <c r="G389" s="232"/>
      <c r="H389" s="232"/>
      <c r="I389" s="216"/>
    </row>
    <row r="390" ht="18.75" customHeight="1">
      <c r="A390" s="216"/>
      <c r="B390" s="235"/>
      <c r="C390" s="236"/>
      <c r="D390" s="235"/>
      <c r="E390" s="237"/>
      <c r="F390" s="230"/>
      <c r="G390" s="232"/>
      <c r="H390" s="232"/>
      <c r="I390" s="216"/>
    </row>
    <row r="391" ht="18.75" customHeight="1">
      <c r="A391" s="216"/>
      <c r="B391" s="235"/>
      <c r="C391" s="236"/>
      <c r="D391" s="235"/>
      <c r="E391" s="237"/>
      <c r="F391" s="230"/>
      <c r="G391" s="232"/>
      <c r="H391" s="232"/>
      <c r="I391" s="216"/>
    </row>
    <row r="392" ht="18.75" customHeight="1">
      <c r="A392" s="216"/>
      <c r="B392" s="235"/>
      <c r="C392" s="236"/>
      <c r="D392" s="235"/>
      <c r="E392" s="237"/>
      <c r="F392" s="230"/>
      <c r="G392" s="232"/>
      <c r="H392" s="232"/>
      <c r="I392" s="216"/>
    </row>
    <row r="393" ht="18.75" customHeight="1">
      <c r="A393" s="216"/>
      <c r="B393" s="235"/>
      <c r="C393" s="236"/>
      <c r="D393" s="235"/>
      <c r="E393" s="237"/>
      <c r="F393" s="230"/>
      <c r="G393" s="232"/>
      <c r="H393" s="232"/>
      <c r="I393" s="216"/>
    </row>
    <row r="394" ht="18.75" customHeight="1">
      <c r="A394" s="216"/>
      <c r="B394" s="235"/>
      <c r="C394" s="236"/>
      <c r="D394" s="235"/>
      <c r="E394" s="237"/>
      <c r="F394" s="230"/>
      <c r="G394" s="232"/>
      <c r="H394" s="232"/>
      <c r="I394" s="216"/>
    </row>
    <row r="395" ht="18.75" customHeight="1">
      <c r="A395" s="216"/>
      <c r="B395" s="235"/>
      <c r="C395" s="236"/>
      <c r="D395" s="235"/>
      <c r="E395" s="237"/>
      <c r="F395" s="230"/>
      <c r="G395" s="232"/>
      <c r="H395" s="232"/>
      <c r="I395" s="216"/>
    </row>
    <row r="396" ht="18.75" customHeight="1">
      <c r="A396" s="216"/>
      <c r="B396" s="235"/>
      <c r="C396" s="236"/>
      <c r="D396" s="235"/>
      <c r="E396" s="237"/>
      <c r="F396" s="230"/>
      <c r="G396" s="232"/>
      <c r="H396" s="232"/>
      <c r="I396" s="216"/>
    </row>
    <row r="397" ht="18.75" customHeight="1">
      <c r="A397" s="216"/>
      <c r="B397" s="235"/>
      <c r="C397" s="236"/>
      <c r="D397" s="235"/>
      <c r="E397" s="237"/>
      <c r="F397" s="230"/>
      <c r="G397" s="232"/>
      <c r="H397" s="232"/>
      <c r="I397" s="216"/>
    </row>
    <row r="398" ht="18.75" customHeight="1">
      <c r="A398" s="216"/>
      <c r="B398" s="235"/>
      <c r="C398" s="236"/>
      <c r="D398" s="235"/>
      <c r="E398" s="237"/>
      <c r="F398" s="230"/>
      <c r="G398" s="232"/>
      <c r="H398" s="232"/>
      <c r="I398" s="216"/>
    </row>
    <row r="399" ht="18.75" customHeight="1">
      <c r="A399" s="216"/>
      <c r="B399" s="235"/>
      <c r="C399" s="236"/>
      <c r="D399" s="235"/>
      <c r="E399" s="237"/>
      <c r="F399" s="230"/>
      <c r="G399" s="232"/>
      <c r="H399" s="232"/>
      <c r="I399" s="216"/>
    </row>
    <row r="400" ht="18.75" customHeight="1">
      <c r="A400" s="216"/>
      <c r="B400" s="235"/>
      <c r="C400" s="236"/>
      <c r="D400" s="235"/>
      <c r="E400" s="237"/>
      <c r="F400" s="230"/>
      <c r="G400" s="232"/>
      <c r="H400" s="232"/>
      <c r="I400" s="216"/>
    </row>
    <row r="401" ht="18.75" customHeight="1">
      <c r="A401" s="216"/>
      <c r="B401" s="235"/>
      <c r="C401" s="236"/>
      <c r="D401" s="235"/>
      <c r="E401" s="237"/>
      <c r="F401" s="230"/>
      <c r="G401" s="232"/>
      <c r="H401" s="232"/>
      <c r="I401" s="216"/>
    </row>
    <row r="402" ht="18.75" customHeight="1">
      <c r="A402" s="216"/>
      <c r="B402" s="235"/>
      <c r="C402" s="236"/>
      <c r="D402" s="235"/>
      <c r="E402" s="237"/>
      <c r="F402" s="230"/>
      <c r="G402" s="232"/>
      <c r="H402" s="232"/>
      <c r="I402" s="216"/>
    </row>
    <row r="403" ht="18.75" customHeight="1">
      <c r="A403" s="216"/>
      <c r="B403" s="235"/>
      <c r="C403" s="236"/>
      <c r="D403" s="235"/>
      <c r="E403" s="237"/>
      <c r="F403" s="230"/>
      <c r="G403" s="232"/>
      <c r="H403" s="232"/>
      <c r="I403" s="216"/>
    </row>
    <row r="404" ht="18.75" customHeight="1">
      <c r="A404" s="216"/>
      <c r="B404" s="235"/>
      <c r="C404" s="236"/>
      <c r="D404" s="235"/>
      <c r="E404" s="237"/>
      <c r="F404" s="230"/>
      <c r="G404" s="232"/>
      <c r="H404" s="232"/>
      <c r="I404" s="216"/>
    </row>
    <row r="405" ht="18.75" customHeight="1">
      <c r="A405" s="216"/>
      <c r="B405" s="235"/>
      <c r="C405" s="236"/>
      <c r="D405" s="235"/>
      <c r="E405" s="237"/>
      <c r="F405" s="230"/>
      <c r="G405" s="232"/>
      <c r="H405" s="232"/>
      <c r="I405" s="216"/>
    </row>
    <row r="406" ht="18.75" customHeight="1">
      <c r="A406" s="216"/>
      <c r="B406" s="235"/>
      <c r="C406" s="236"/>
      <c r="D406" s="235"/>
      <c r="E406" s="237"/>
      <c r="F406" s="230"/>
      <c r="G406" s="232"/>
      <c r="H406" s="232"/>
      <c r="I406" s="216"/>
    </row>
    <row r="407" ht="18.75" customHeight="1">
      <c r="A407" s="216"/>
      <c r="B407" s="235"/>
      <c r="C407" s="236"/>
      <c r="D407" s="235"/>
      <c r="E407" s="237"/>
      <c r="F407" s="230"/>
      <c r="G407" s="232"/>
      <c r="H407" s="232"/>
      <c r="I407" s="216"/>
    </row>
    <row r="408" ht="18.75" customHeight="1">
      <c r="A408" s="216"/>
      <c r="B408" s="235"/>
      <c r="C408" s="236"/>
      <c r="D408" s="235"/>
      <c r="E408" s="237"/>
      <c r="F408" s="230"/>
      <c r="G408" s="232"/>
      <c r="H408" s="232"/>
      <c r="I408" s="216"/>
    </row>
    <row r="409" ht="18.75" customHeight="1">
      <c r="A409" s="216"/>
      <c r="B409" s="235"/>
      <c r="C409" s="236"/>
      <c r="D409" s="235"/>
      <c r="E409" s="237"/>
      <c r="F409" s="230"/>
      <c r="G409" s="232"/>
      <c r="H409" s="232"/>
      <c r="I409" s="216"/>
    </row>
    <row r="410" ht="18.75" customHeight="1">
      <c r="A410" s="216"/>
      <c r="B410" s="235"/>
      <c r="C410" s="236"/>
      <c r="D410" s="235"/>
      <c r="E410" s="237"/>
      <c r="F410" s="230"/>
      <c r="G410" s="232"/>
      <c r="H410" s="232"/>
      <c r="I410" s="216"/>
    </row>
    <row r="411" ht="18.75" customHeight="1">
      <c r="A411" s="216"/>
      <c r="B411" s="235"/>
      <c r="C411" s="236"/>
      <c r="D411" s="235"/>
      <c r="E411" s="237"/>
      <c r="F411" s="230"/>
      <c r="G411" s="232"/>
      <c r="H411" s="232"/>
      <c r="I411" s="216"/>
    </row>
    <row r="412" ht="18.75" customHeight="1">
      <c r="A412" s="216"/>
      <c r="B412" s="235"/>
      <c r="C412" s="236"/>
      <c r="D412" s="235"/>
      <c r="E412" s="237"/>
      <c r="F412" s="230"/>
      <c r="G412" s="232"/>
      <c r="H412" s="232"/>
      <c r="I412" s="216"/>
    </row>
    <row r="413" ht="18.75" customHeight="1">
      <c r="A413" s="216"/>
      <c r="B413" s="235"/>
      <c r="C413" s="236"/>
      <c r="D413" s="235"/>
      <c r="E413" s="237"/>
      <c r="F413" s="230"/>
      <c r="G413" s="232"/>
      <c r="H413" s="232"/>
      <c r="I413" s="216"/>
    </row>
    <row r="414" ht="18.75" customHeight="1">
      <c r="A414" s="216"/>
      <c r="B414" s="235"/>
      <c r="C414" s="236"/>
      <c r="D414" s="235"/>
      <c r="E414" s="237"/>
      <c r="F414" s="230"/>
      <c r="G414" s="232"/>
      <c r="H414" s="232"/>
      <c r="I414" s="216"/>
    </row>
    <row r="415" ht="18.75" customHeight="1">
      <c r="A415" s="216"/>
      <c r="B415" s="235"/>
      <c r="C415" s="236"/>
      <c r="D415" s="235"/>
      <c r="E415" s="237"/>
      <c r="F415" s="230"/>
      <c r="G415" s="232"/>
      <c r="H415" s="232"/>
      <c r="I415" s="216"/>
    </row>
    <row r="416" ht="18.75" customHeight="1">
      <c r="A416" s="216"/>
      <c r="B416" s="235"/>
      <c r="C416" s="236"/>
      <c r="D416" s="235"/>
      <c r="E416" s="237"/>
      <c r="F416" s="230"/>
      <c r="G416" s="232"/>
      <c r="H416" s="232"/>
      <c r="I416" s="216"/>
    </row>
    <row r="417" ht="18.75" customHeight="1">
      <c r="A417" s="216"/>
      <c r="B417" s="235"/>
      <c r="C417" s="236"/>
      <c r="D417" s="235"/>
      <c r="E417" s="237"/>
      <c r="F417" s="230"/>
      <c r="G417" s="232"/>
      <c r="H417" s="232"/>
      <c r="I417" s="216"/>
    </row>
    <row r="418" ht="18.75" customHeight="1">
      <c r="A418" s="216"/>
      <c r="B418" s="235"/>
      <c r="C418" s="236"/>
      <c r="D418" s="235"/>
      <c r="E418" s="237"/>
      <c r="F418" s="230"/>
      <c r="G418" s="232"/>
      <c r="H418" s="232"/>
      <c r="I418" s="216"/>
    </row>
    <row r="419" ht="18.75" customHeight="1">
      <c r="A419" s="216"/>
      <c r="B419" s="235"/>
      <c r="C419" s="236"/>
      <c r="D419" s="235"/>
      <c r="E419" s="237"/>
      <c r="F419" s="230"/>
      <c r="G419" s="232"/>
      <c r="H419" s="232"/>
      <c r="I419" s="216"/>
    </row>
    <row r="420" ht="18.75" customHeight="1">
      <c r="A420" s="216"/>
      <c r="B420" s="235"/>
      <c r="C420" s="236"/>
      <c r="D420" s="235"/>
      <c r="E420" s="237"/>
      <c r="F420" s="230"/>
      <c r="G420" s="232"/>
      <c r="H420" s="232"/>
      <c r="I420" s="216"/>
    </row>
    <row r="421" ht="18.75" customHeight="1">
      <c r="A421" s="216"/>
      <c r="B421" s="235"/>
      <c r="C421" s="236"/>
      <c r="D421" s="235"/>
      <c r="E421" s="237"/>
      <c r="F421" s="230"/>
      <c r="G421" s="232"/>
      <c r="H421" s="232"/>
      <c r="I421" s="216"/>
    </row>
    <row r="422" ht="18.75" customHeight="1">
      <c r="A422" s="216"/>
      <c r="B422" s="235"/>
      <c r="C422" s="236"/>
      <c r="D422" s="235"/>
      <c r="E422" s="237"/>
      <c r="F422" s="230"/>
      <c r="G422" s="232"/>
      <c r="H422" s="232"/>
      <c r="I422" s="216"/>
    </row>
    <row r="423" ht="18.75" customHeight="1">
      <c r="A423" s="216"/>
      <c r="B423" s="235"/>
      <c r="C423" s="236"/>
      <c r="D423" s="235"/>
      <c r="E423" s="237"/>
      <c r="F423" s="230"/>
      <c r="G423" s="232"/>
      <c r="H423" s="232"/>
      <c r="I423" s="216"/>
    </row>
    <row r="424" ht="18.75" customHeight="1">
      <c r="A424" s="216"/>
      <c r="B424" s="235"/>
      <c r="C424" s="236"/>
      <c r="D424" s="235"/>
      <c r="E424" s="237"/>
      <c r="F424" s="230"/>
      <c r="G424" s="232"/>
      <c r="H424" s="232"/>
      <c r="I424" s="216"/>
    </row>
    <row r="425" ht="18.75" customHeight="1">
      <c r="A425" s="216"/>
      <c r="B425" s="235"/>
      <c r="C425" s="236"/>
      <c r="D425" s="235"/>
      <c r="E425" s="237"/>
      <c r="F425" s="230"/>
      <c r="G425" s="232"/>
      <c r="H425" s="232"/>
      <c r="I425" s="216"/>
    </row>
    <row r="426" ht="18.75" customHeight="1">
      <c r="A426" s="216"/>
      <c r="B426" s="235"/>
      <c r="C426" s="236"/>
      <c r="D426" s="235"/>
      <c r="E426" s="237"/>
      <c r="F426" s="230"/>
      <c r="G426" s="232"/>
      <c r="H426" s="232"/>
      <c r="I426" s="216"/>
    </row>
    <row r="427" ht="18.75" customHeight="1">
      <c r="A427" s="216"/>
      <c r="B427" s="235"/>
      <c r="C427" s="236"/>
      <c r="D427" s="235"/>
      <c r="E427" s="237"/>
      <c r="F427" s="230"/>
      <c r="G427" s="232"/>
      <c r="H427" s="232"/>
      <c r="I427" s="216"/>
    </row>
    <row r="428" ht="18.75" customHeight="1">
      <c r="A428" s="216"/>
      <c r="B428" s="235"/>
      <c r="C428" s="236"/>
      <c r="D428" s="235"/>
      <c r="E428" s="237"/>
      <c r="F428" s="230"/>
      <c r="G428" s="232"/>
      <c r="H428" s="232"/>
      <c r="I428" s="216"/>
    </row>
    <row r="429" ht="18.75" customHeight="1">
      <c r="A429" s="216"/>
      <c r="B429" s="235"/>
      <c r="C429" s="236"/>
      <c r="D429" s="235"/>
      <c r="E429" s="237"/>
      <c r="F429" s="230"/>
      <c r="G429" s="232"/>
      <c r="H429" s="232"/>
      <c r="I429" s="216"/>
    </row>
    <row r="430" ht="18.75" customHeight="1">
      <c r="A430" s="216"/>
      <c r="B430" s="235"/>
      <c r="C430" s="236"/>
      <c r="D430" s="235"/>
      <c r="E430" s="237"/>
      <c r="F430" s="230"/>
      <c r="G430" s="232"/>
      <c r="H430" s="232"/>
      <c r="I430" s="216"/>
    </row>
    <row r="431" ht="18.75" customHeight="1">
      <c r="A431" s="216"/>
      <c r="B431" s="235"/>
      <c r="C431" s="236"/>
      <c r="D431" s="235"/>
      <c r="E431" s="237"/>
      <c r="F431" s="230"/>
      <c r="G431" s="232"/>
      <c r="H431" s="232"/>
      <c r="I431" s="216"/>
    </row>
    <row r="432" ht="18.75" customHeight="1">
      <c r="A432" s="216"/>
      <c r="B432" s="235"/>
      <c r="C432" s="236"/>
      <c r="D432" s="235"/>
      <c r="E432" s="237"/>
      <c r="F432" s="230"/>
      <c r="G432" s="232"/>
      <c r="H432" s="232"/>
      <c r="I432" s="216"/>
    </row>
    <row r="433" ht="18.75" customHeight="1">
      <c r="A433" s="216"/>
      <c r="B433" s="235"/>
      <c r="C433" s="236"/>
      <c r="D433" s="235"/>
      <c r="E433" s="237"/>
      <c r="F433" s="230"/>
      <c r="G433" s="232"/>
      <c r="H433" s="232"/>
      <c r="I433" s="216"/>
    </row>
    <row r="434" ht="18.75" customHeight="1">
      <c r="A434" s="216"/>
      <c r="B434" s="235"/>
      <c r="C434" s="236"/>
      <c r="D434" s="235"/>
      <c r="E434" s="237"/>
      <c r="F434" s="230"/>
      <c r="G434" s="232"/>
      <c r="H434" s="232"/>
      <c r="I434" s="216"/>
    </row>
    <row r="435" ht="18.75" customHeight="1">
      <c r="A435" s="216"/>
      <c r="B435" s="235"/>
      <c r="C435" s="236"/>
      <c r="D435" s="235"/>
      <c r="E435" s="237"/>
      <c r="F435" s="230"/>
      <c r="G435" s="232"/>
      <c r="H435" s="232"/>
      <c r="I435" s="216"/>
    </row>
    <row r="436" ht="18.75" customHeight="1">
      <c r="A436" s="216"/>
      <c r="B436" s="235"/>
      <c r="C436" s="236"/>
      <c r="D436" s="235"/>
      <c r="E436" s="237"/>
      <c r="F436" s="230"/>
      <c r="G436" s="232"/>
      <c r="H436" s="232"/>
      <c r="I436" s="216"/>
    </row>
    <row r="437" ht="18.75" customHeight="1">
      <c r="A437" s="216"/>
      <c r="B437" s="235"/>
      <c r="C437" s="236"/>
      <c r="D437" s="235"/>
      <c r="E437" s="237"/>
      <c r="F437" s="230"/>
      <c r="G437" s="232"/>
      <c r="H437" s="232"/>
      <c r="I437" s="216"/>
    </row>
    <row r="438" ht="18.75" customHeight="1">
      <c r="A438" s="216"/>
      <c r="B438" s="235"/>
      <c r="C438" s="236"/>
      <c r="D438" s="235"/>
      <c r="E438" s="237"/>
      <c r="F438" s="230"/>
      <c r="G438" s="232"/>
      <c r="H438" s="232"/>
      <c r="I438" s="216"/>
    </row>
    <row r="439" ht="18.75" customHeight="1">
      <c r="A439" s="216"/>
      <c r="B439" s="235"/>
      <c r="C439" s="236"/>
      <c r="D439" s="235"/>
      <c r="E439" s="237"/>
      <c r="F439" s="230"/>
      <c r="G439" s="232"/>
      <c r="H439" s="232"/>
      <c r="I439" s="216"/>
    </row>
    <row r="440" ht="18.75" customHeight="1">
      <c r="A440" s="216"/>
      <c r="B440" s="235"/>
      <c r="C440" s="236"/>
      <c r="D440" s="235"/>
      <c r="E440" s="237"/>
      <c r="F440" s="230"/>
      <c r="G440" s="232"/>
      <c r="H440" s="232"/>
      <c r="I440" s="216"/>
    </row>
    <row r="441" ht="18.75" customHeight="1">
      <c r="A441" s="216"/>
      <c r="B441" s="235"/>
      <c r="C441" s="236"/>
      <c r="D441" s="235"/>
      <c r="E441" s="237"/>
      <c r="F441" s="230"/>
      <c r="G441" s="232"/>
      <c r="H441" s="232"/>
      <c r="I441" s="216"/>
    </row>
    <row r="442" ht="18.75" customHeight="1">
      <c r="A442" s="216"/>
      <c r="B442" s="235"/>
      <c r="C442" s="236"/>
      <c r="D442" s="235"/>
      <c r="E442" s="237"/>
      <c r="F442" s="230"/>
      <c r="G442" s="232"/>
      <c r="H442" s="232"/>
      <c r="I442" s="216"/>
    </row>
    <row r="443" ht="18.75" customHeight="1">
      <c r="A443" s="216"/>
      <c r="B443" s="235"/>
      <c r="C443" s="236"/>
      <c r="D443" s="235"/>
      <c r="E443" s="237"/>
      <c r="F443" s="230"/>
      <c r="G443" s="232"/>
      <c r="H443" s="232"/>
      <c r="I443" s="216"/>
    </row>
    <row r="444" ht="18.75" customHeight="1">
      <c r="A444" s="216"/>
      <c r="B444" s="235"/>
      <c r="C444" s="236"/>
      <c r="D444" s="235"/>
      <c r="E444" s="237"/>
      <c r="F444" s="230"/>
      <c r="G444" s="232"/>
      <c r="H444" s="232"/>
      <c r="I444" s="216"/>
    </row>
    <row r="445" ht="18.75" customHeight="1">
      <c r="A445" s="216"/>
      <c r="B445" s="235"/>
      <c r="C445" s="236"/>
      <c r="D445" s="235"/>
      <c r="E445" s="237"/>
      <c r="F445" s="230"/>
      <c r="G445" s="232"/>
      <c r="H445" s="232"/>
      <c r="I445" s="216"/>
    </row>
    <row r="446" ht="18.75" customHeight="1">
      <c r="A446" s="216"/>
      <c r="B446" s="235"/>
      <c r="C446" s="236"/>
      <c r="D446" s="235"/>
      <c r="E446" s="237"/>
      <c r="F446" s="230"/>
      <c r="G446" s="232"/>
      <c r="H446" s="232"/>
      <c r="I446" s="216"/>
    </row>
    <row r="447" ht="18.75" customHeight="1">
      <c r="A447" s="216"/>
      <c r="B447" s="235"/>
      <c r="C447" s="236"/>
      <c r="D447" s="235"/>
      <c r="E447" s="237"/>
      <c r="F447" s="230"/>
      <c r="G447" s="232"/>
      <c r="H447" s="232"/>
      <c r="I447" s="216"/>
    </row>
    <row r="448" ht="18.75" customHeight="1">
      <c r="A448" s="216"/>
      <c r="B448" s="235"/>
      <c r="C448" s="236"/>
      <c r="D448" s="235"/>
      <c r="E448" s="237"/>
      <c r="F448" s="230"/>
      <c r="G448" s="232"/>
      <c r="H448" s="232"/>
      <c r="I448" s="216"/>
    </row>
    <row r="449" ht="18.75" customHeight="1">
      <c r="A449" s="216"/>
      <c r="B449" s="235"/>
      <c r="C449" s="236"/>
      <c r="D449" s="235"/>
      <c r="E449" s="237"/>
      <c r="F449" s="230"/>
      <c r="G449" s="232"/>
      <c r="H449" s="232"/>
      <c r="I449" s="216"/>
    </row>
    <row r="450" ht="18.75" customHeight="1">
      <c r="A450" s="216"/>
      <c r="B450" s="235"/>
      <c r="C450" s="236"/>
      <c r="D450" s="235"/>
      <c r="E450" s="237"/>
      <c r="F450" s="230"/>
      <c r="G450" s="232"/>
      <c r="H450" s="232"/>
      <c r="I450" s="216"/>
    </row>
    <row r="451" ht="18.75" customHeight="1">
      <c r="A451" s="216"/>
      <c r="B451" s="235"/>
      <c r="C451" s="236"/>
      <c r="D451" s="235"/>
      <c r="E451" s="237"/>
      <c r="F451" s="230"/>
      <c r="G451" s="232"/>
      <c r="H451" s="232"/>
      <c r="I451" s="216"/>
    </row>
    <row r="452" ht="18.75" customHeight="1">
      <c r="A452" s="216"/>
      <c r="B452" s="235"/>
      <c r="C452" s="236"/>
      <c r="D452" s="235"/>
      <c r="E452" s="237"/>
      <c r="F452" s="230"/>
      <c r="G452" s="232"/>
      <c r="H452" s="232"/>
      <c r="I452" s="216"/>
    </row>
    <row r="453" ht="18.75" customHeight="1">
      <c r="A453" s="216"/>
      <c r="B453" s="235"/>
      <c r="C453" s="236"/>
      <c r="D453" s="235"/>
      <c r="E453" s="237"/>
      <c r="F453" s="230"/>
      <c r="G453" s="232"/>
      <c r="H453" s="232"/>
      <c r="I453" s="216"/>
    </row>
    <row r="454" ht="18.75" customHeight="1">
      <c r="A454" s="216"/>
      <c r="B454" s="235"/>
      <c r="C454" s="236"/>
      <c r="D454" s="235"/>
      <c r="E454" s="237"/>
      <c r="F454" s="230"/>
      <c r="G454" s="232"/>
      <c r="H454" s="232"/>
      <c r="I454" s="216"/>
    </row>
    <row r="455" ht="18.75" customHeight="1">
      <c r="A455" s="216"/>
      <c r="B455" s="235"/>
      <c r="C455" s="236"/>
      <c r="D455" s="235"/>
      <c r="E455" s="237"/>
      <c r="F455" s="230"/>
      <c r="G455" s="232"/>
      <c r="H455" s="232"/>
      <c r="I455" s="216"/>
    </row>
    <row r="456" ht="18.75" customHeight="1">
      <c r="A456" s="216"/>
      <c r="B456" s="235"/>
      <c r="C456" s="236"/>
      <c r="D456" s="235"/>
      <c r="E456" s="237"/>
      <c r="F456" s="230"/>
      <c r="G456" s="232"/>
      <c r="H456" s="232"/>
      <c r="I456" s="216"/>
    </row>
    <row r="457" ht="18.75" customHeight="1">
      <c r="A457" s="216"/>
      <c r="B457" s="235"/>
      <c r="C457" s="236"/>
      <c r="D457" s="235"/>
      <c r="E457" s="237"/>
      <c r="F457" s="230"/>
      <c r="G457" s="232"/>
      <c r="H457" s="232"/>
      <c r="I457" s="216"/>
    </row>
    <row r="458" ht="18.75" customHeight="1">
      <c r="A458" s="216"/>
      <c r="B458" s="235"/>
      <c r="C458" s="236"/>
      <c r="D458" s="235"/>
      <c r="E458" s="237"/>
      <c r="F458" s="230"/>
      <c r="G458" s="232"/>
      <c r="H458" s="232"/>
      <c r="I458" s="216"/>
    </row>
    <row r="459" ht="18.75" customHeight="1">
      <c r="A459" s="216"/>
      <c r="B459" s="235"/>
      <c r="C459" s="236"/>
      <c r="D459" s="235"/>
      <c r="E459" s="237"/>
      <c r="F459" s="230"/>
      <c r="G459" s="232"/>
      <c r="H459" s="232"/>
      <c r="I459" s="216"/>
    </row>
    <row r="460" ht="18.75" customHeight="1">
      <c r="A460" s="216"/>
      <c r="B460" s="235"/>
      <c r="C460" s="236"/>
      <c r="D460" s="235"/>
      <c r="E460" s="237"/>
      <c r="F460" s="230"/>
      <c r="G460" s="232"/>
      <c r="H460" s="232"/>
      <c r="I460" s="216"/>
    </row>
    <row r="461" ht="18.75" customHeight="1">
      <c r="A461" s="216"/>
      <c r="B461" s="235"/>
      <c r="C461" s="236"/>
      <c r="D461" s="235"/>
      <c r="E461" s="237"/>
      <c r="F461" s="230"/>
      <c r="G461" s="232"/>
      <c r="H461" s="232"/>
      <c r="I461" s="216"/>
    </row>
    <row r="462" ht="18.75" customHeight="1">
      <c r="A462" s="216"/>
      <c r="B462" s="235"/>
      <c r="C462" s="236"/>
      <c r="D462" s="235"/>
      <c r="E462" s="237"/>
      <c r="F462" s="230"/>
      <c r="G462" s="232"/>
      <c r="H462" s="232"/>
      <c r="I462" s="216"/>
    </row>
    <row r="463" ht="18.75" customHeight="1">
      <c r="A463" s="216"/>
      <c r="B463" s="235"/>
      <c r="C463" s="236"/>
      <c r="D463" s="235"/>
      <c r="E463" s="237"/>
      <c r="F463" s="230"/>
      <c r="G463" s="232"/>
      <c r="H463" s="232"/>
      <c r="I463" s="216"/>
    </row>
    <row r="464" ht="18.75" customHeight="1">
      <c r="A464" s="216"/>
      <c r="B464" s="235"/>
      <c r="C464" s="236"/>
      <c r="D464" s="235"/>
      <c r="E464" s="237"/>
      <c r="F464" s="230"/>
      <c r="G464" s="232"/>
      <c r="H464" s="232"/>
      <c r="I464" s="216"/>
    </row>
    <row r="465" ht="18.75" customHeight="1">
      <c r="A465" s="216"/>
      <c r="B465" s="235"/>
      <c r="C465" s="236"/>
      <c r="D465" s="235"/>
      <c r="E465" s="237"/>
      <c r="F465" s="230"/>
      <c r="G465" s="232"/>
      <c r="H465" s="232"/>
      <c r="I465" s="216"/>
    </row>
    <row r="466" ht="18.75" customHeight="1">
      <c r="A466" s="216"/>
      <c r="B466" s="235"/>
      <c r="C466" s="236"/>
      <c r="D466" s="235"/>
      <c r="E466" s="237"/>
      <c r="F466" s="230"/>
      <c r="G466" s="232"/>
      <c r="H466" s="232"/>
      <c r="I466" s="216"/>
    </row>
    <row r="467" ht="18.75" customHeight="1">
      <c r="A467" s="216"/>
      <c r="B467" s="235"/>
      <c r="C467" s="236"/>
      <c r="D467" s="235"/>
      <c r="E467" s="237"/>
      <c r="F467" s="230"/>
      <c r="G467" s="232"/>
      <c r="H467" s="232"/>
      <c r="I467" s="216"/>
    </row>
    <row r="468" ht="18.75" customHeight="1">
      <c r="A468" s="216"/>
      <c r="B468" s="235"/>
      <c r="C468" s="236"/>
      <c r="D468" s="235"/>
      <c r="E468" s="237"/>
      <c r="F468" s="230"/>
      <c r="G468" s="232"/>
      <c r="H468" s="232"/>
      <c r="I468" s="216"/>
    </row>
    <row r="469" ht="18.75" customHeight="1">
      <c r="A469" s="216"/>
      <c r="B469" s="235"/>
      <c r="C469" s="236"/>
      <c r="D469" s="235"/>
      <c r="E469" s="237"/>
      <c r="F469" s="230"/>
      <c r="G469" s="232"/>
      <c r="H469" s="232"/>
      <c r="I469" s="216"/>
    </row>
    <row r="470" ht="18.75" customHeight="1">
      <c r="A470" s="216"/>
      <c r="B470" s="235"/>
      <c r="C470" s="236"/>
      <c r="D470" s="235"/>
      <c r="E470" s="237"/>
      <c r="F470" s="230"/>
      <c r="G470" s="232"/>
      <c r="H470" s="232"/>
      <c r="I470" s="216"/>
    </row>
    <row r="471" ht="18.75" customHeight="1">
      <c r="A471" s="216"/>
      <c r="B471" s="235"/>
      <c r="C471" s="236"/>
      <c r="D471" s="235"/>
      <c r="E471" s="237"/>
      <c r="F471" s="230"/>
      <c r="G471" s="232"/>
      <c r="H471" s="232"/>
      <c r="I471" s="216"/>
    </row>
    <row r="472" ht="18.75" customHeight="1">
      <c r="A472" s="216"/>
      <c r="B472" s="235"/>
      <c r="C472" s="236"/>
      <c r="D472" s="235"/>
      <c r="E472" s="237"/>
      <c r="F472" s="230"/>
      <c r="G472" s="232"/>
      <c r="H472" s="232"/>
      <c r="I472" s="216"/>
    </row>
    <row r="473" ht="18.75" customHeight="1">
      <c r="A473" s="216"/>
      <c r="B473" s="235"/>
      <c r="C473" s="236"/>
      <c r="D473" s="235"/>
      <c r="E473" s="237"/>
      <c r="F473" s="230"/>
      <c r="G473" s="232"/>
      <c r="H473" s="232"/>
      <c r="I473" s="216"/>
    </row>
    <row r="474" ht="18.75" customHeight="1">
      <c r="A474" s="216"/>
      <c r="B474" s="235"/>
      <c r="C474" s="236"/>
      <c r="D474" s="235"/>
      <c r="E474" s="237"/>
      <c r="F474" s="230"/>
      <c r="G474" s="232"/>
      <c r="H474" s="232"/>
      <c r="I474" s="216"/>
    </row>
    <row r="475" ht="18.75" customHeight="1">
      <c r="A475" s="216"/>
      <c r="B475" s="235"/>
      <c r="C475" s="236"/>
      <c r="D475" s="235"/>
      <c r="E475" s="237"/>
      <c r="F475" s="230"/>
      <c r="G475" s="232"/>
      <c r="H475" s="232"/>
      <c r="I475" s="216"/>
    </row>
    <row r="476" ht="18.75" customHeight="1">
      <c r="A476" s="216"/>
      <c r="B476" s="235"/>
      <c r="C476" s="236"/>
      <c r="D476" s="235"/>
      <c r="E476" s="237"/>
      <c r="F476" s="230"/>
      <c r="G476" s="232"/>
      <c r="H476" s="232"/>
      <c r="I476" s="216"/>
    </row>
    <row r="477" ht="18.75" customHeight="1">
      <c r="A477" s="216"/>
      <c r="B477" s="235"/>
      <c r="C477" s="236"/>
      <c r="D477" s="235"/>
      <c r="E477" s="237"/>
      <c r="F477" s="230"/>
      <c r="G477" s="232"/>
      <c r="H477" s="232"/>
      <c r="I477" s="216"/>
    </row>
    <row r="478" ht="18.75" customHeight="1">
      <c r="A478" s="216"/>
      <c r="B478" s="235"/>
      <c r="C478" s="236"/>
      <c r="D478" s="235"/>
      <c r="E478" s="237"/>
      <c r="F478" s="230"/>
      <c r="G478" s="232"/>
      <c r="H478" s="232"/>
      <c r="I478" s="216"/>
    </row>
    <row r="479" ht="18.75" customHeight="1">
      <c r="A479" s="216"/>
      <c r="B479" s="235"/>
      <c r="C479" s="236"/>
      <c r="D479" s="235"/>
      <c r="E479" s="237"/>
      <c r="F479" s="230"/>
      <c r="G479" s="232"/>
      <c r="H479" s="232"/>
      <c r="I479" s="216"/>
    </row>
    <row r="480" ht="18.75" customHeight="1">
      <c r="A480" s="216"/>
      <c r="B480" s="235"/>
      <c r="C480" s="236"/>
      <c r="D480" s="235"/>
      <c r="E480" s="237"/>
      <c r="F480" s="230"/>
      <c r="G480" s="232"/>
      <c r="H480" s="232"/>
      <c r="I480" s="216"/>
    </row>
    <row r="481" ht="18.75" customHeight="1">
      <c r="A481" s="216"/>
      <c r="B481" s="235"/>
      <c r="C481" s="236"/>
      <c r="D481" s="235"/>
      <c r="E481" s="237"/>
      <c r="F481" s="230"/>
      <c r="G481" s="232"/>
      <c r="H481" s="232"/>
      <c r="I481" s="216"/>
    </row>
    <row r="482" ht="18.75" customHeight="1">
      <c r="A482" s="216"/>
      <c r="B482" s="235"/>
      <c r="C482" s="236"/>
      <c r="D482" s="235"/>
      <c r="E482" s="237"/>
      <c r="F482" s="230"/>
      <c r="G482" s="232"/>
      <c r="H482" s="232"/>
      <c r="I482" s="216"/>
    </row>
    <row r="483" ht="18.75" customHeight="1">
      <c r="A483" s="216"/>
      <c r="B483" s="235"/>
      <c r="C483" s="236"/>
      <c r="D483" s="235"/>
      <c r="E483" s="237"/>
      <c r="F483" s="230"/>
      <c r="G483" s="232"/>
      <c r="H483" s="232"/>
      <c r="I483" s="216"/>
    </row>
    <row r="484" ht="18.75" customHeight="1">
      <c r="A484" s="216"/>
      <c r="B484" s="235"/>
      <c r="C484" s="236"/>
      <c r="D484" s="235"/>
      <c r="E484" s="237"/>
      <c r="F484" s="230"/>
      <c r="G484" s="232"/>
      <c r="H484" s="232"/>
      <c r="I484" s="216"/>
    </row>
    <row r="485" ht="18.75" customHeight="1">
      <c r="A485" s="216"/>
      <c r="B485" s="235"/>
      <c r="C485" s="236"/>
      <c r="D485" s="235"/>
      <c r="E485" s="237"/>
      <c r="F485" s="230"/>
      <c r="G485" s="232"/>
      <c r="H485" s="232"/>
      <c r="I485" s="216"/>
    </row>
    <row r="486" ht="18.75" customHeight="1">
      <c r="A486" s="216"/>
      <c r="B486" s="235"/>
      <c r="C486" s="236"/>
      <c r="D486" s="235"/>
      <c r="E486" s="237"/>
      <c r="F486" s="230"/>
      <c r="G486" s="232"/>
      <c r="H486" s="232"/>
      <c r="I486" s="216"/>
    </row>
    <row r="487" ht="18.75" customHeight="1">
      <c r="A487" s="216"/>
      <c r="B487" s="235"/>
      <c r="C487" s="236"/>
      <c r="D487" s="235"/>
      <c r="E487" s="237"/>
      <c r="F487" s="230"/>
      <c r="G487" s="232"/>
      <c r="H487" s="232"/>
      <c r="I487" s="216"/>
    </row>
    <row r="488" ht="18.75" customHeight="1">
      <c r="A488" s="216"/>
      <c r="B488" s="235"/>
      <c r="C488" s="236"/>
      <c r="D488" s="235"/>
      <c r="E488" s="237"/>
      <c r="F488" s="230"/>
      <c r="G488" s="232"/>
      <c r="H488" s="232"/>
      <c r="I488" s="216"/>
    </row>
    <row r="489" ht="18.75" customHeight="1">
      <c r="A489" s="216"/>
      <c r="B489" s="235"/>
      <c r="C489" s="236"/>
      <c r="D489" s="235"/>
      <c r="E489" s="237"/>
      <c r="F489" s="230"/>
      <c r="G489" s="232"/>
      <c r="H489" s="232"/>
      <c r="I489" s="216"/>
    </row>
    <row r="490" ht="18.75" customHeight="1">
      <c r="A490" s="216"/>
      <c r="B490" s="235"/>
      <c r="C490" s="236"/>
      <c r="D490" s="235"/>
      <c r="E490" s="237"/>
      <c r="F490" s="230"/>
      <c r="G490" s="232"/>
      <c r="H490" s="232"/>
      <c r="I490" s="216"/>
    </row>
    <row r="491" ht="18.75" customHeight="1">
      <c r="A491" s="216"/>
      <c r="B491" s="235"/>
      <c r="C491" s="236"/>
      <c r="D491" s="235"/>
      <c r="E491" s="237"/>
      <c r="F491" s="230"/>
      <c r="G491" s="232"/>
      <c r="H491" s="232"/>
      <c r="I491" s="216"/>
    </row>
    <row r="492" ht="18.75" customHeight="1">
      <c r="A492" s="216"/>
      <c r="B492" s="235"/>
      <c r="C492" s="236"/>
      <c r="D492" s="235"/>
      <c r="E492" s="237"/>
      <c r="F492" s="230"/>
      <c r="G492" s="232"/>
      <c r="H492" s="232"/>
      <c r="I492" s="216"/>
    </row>
    <row r="493" ht="18.75" customHeight="1">
      <c r="A493" s="216"/>
      <c r="B493" s="235"/>
      <c r="C493" s="236"/>
      <c r="D493" s="235"/>
      <c r="E493" s="237"/>
      <c r="F493" s="230"/>
      <c r="G493" s="232"/>
      <c r="H493" s="232"/>
      <c r="I493" s="216"/>
    </row>
    <row r="494" ht="18.75" customHeight="1">
      <c r="A494" s="216"/>
      <c r="B494" s="235"/>
      <c r="C494" s="236"/>
      <c r="D494" s="235"/>
      <c r="E494" s="237"/>
      <c r="F494" s="230"/>
      <c r="G494" s="232"/>
      <c r="H494" s="232"/>
      <c r="I494" s="216"/>
    </row>
    <row r="495" ht="18.75" customHeight="1">
      <c r="A495" s="216"/>
      <c r="B495" s="235"/>
      <c r="C495" s="236"/>
      <c r="D495" s="235"/>
      <c r="E495" s="237"/>
      <c r="F495" s="230"/>
      <c r="G495" s="232"/>
      <c r="H495" s="232"/>
      <c r="I495" s="216"/>
    </row>
    <row r="496" ht="18.75" customHeight="1">
      <c r="A496" s="216"/>
      <c r="B496" s="235"/>
      <c r="C496" s="236"/>
      <c r="D496" s="235"/>
      <c r="E496" s="237"/>
      <c r="F496" s="230"/>
      <c r="G496" s="232"/>
      <c r="H496" s="232"/>
      <c r="I496" s="216"/>
    </row>
    <row r="497" ht="18.75" customHeight="1">
      <c r="A497" s="216"/>
      <c r="B497" s="235"/>
      <c r="C497" s="236"/>
      <c r="D497" s="235"/>
      <c r="E497" s="237"/>
      <c r="F497" s="230"/>
      <c r="G497" s="232"/>
      <c r="H497" s="232"/>
      <c r="I497" s="216"/>
    </row>
    <row r="498" ht="18.75" customHeight="1">
      <c r="A498" s="216"/>
      <c r="B498" s="235"/>
      <c r="C498" s="236"/>
      <c r="D498" s="235"/>
      <c r="E498" s="237"/>
      <c r="F498" s="230"/>
      <c r="G498" s="232"/>
      <c r="H498" s="232"/>
      <c r="I498" s="216"/>
    </row>
    <row r="499" ht="18.75" customHeight="1">
      <c r="A499" s="216"/>
      <c r="B499" s="235"/>
      <c r="C499" s="236"/>
      <c r="D499" s="235"/>
      <c r="E499" s="237"/>
      <c r="F499" s="230"/>
      <c r="G499" s="232"/>
      <c r="H499" s="232"/>
      <c r="I499" s="216"/>
    </row>
    <row r="500" ht="18.75" customHeight="1">
      <c r="A500" s="216"/>
      <c r="B500" s="235"/>
      <c r="C500" s="236"/>
      <c r="D500" s="235"/>
      <c r="E500" s="237"/>
      <c r="F500" s="230"/>
      <c r="G500" s="232"/>
      <c r="H500" s="232"/>
      <c r="I500" s="216"/>
    </row>
    <row r="501" ht="18.75" customHeight="1">
      <c r="A501" s="216"/>
      <c r="B501" s="235"/>
      <c r="C501" s="236"/>
      <c r="D501" s="235"/>
      <c r="E501" s="237"/>
      <c r="F501" s="230"/>
      <c r="G501" s="232"/>
      <c r="H501" s="232"/>
      <c r="I501" s="216"/>
    </row>
    <row r="502" ht="18.75" customHeight="1">
      <c r="A502" s="216"/>
      <c r="B502" s="235"/>
      <c r="C502" s="236"/>
      <c r="D502" s="235"/>
      <c r="E502" s="237"/>
      <c r="F502" s="230"/>
      <c r="G502" s="232"/>
      <c r="H502" s="232"/>
      <c r="I502" s="216"/>
    </row>
    <row r="503" ht="18.75" customHeight="1">
      <c r="A503" s="216"/>
      <c r="B503" s="235"/>
      <c r="C503" s="236"/>
      <c r="D503" s="235"/>
      <c r="E503" s="237"/>
      <c r="F503" s="230"/>
      <c r="G503" s="232"/>
      <c r="H503" s="232"/>
      <c r="I503" s="216"/>
    </row>
    <row r="504" ht="18.75" customHeight="1">
      <c r="A504" s="216"/>
      <c r="B504" s="235"/>
      <c r="C504" s="236"/>
      <c r="D504" s="235"/>
      <c r="E504" s="237"/>
      <c r="F504" s="230"/>
      <c r="G504" s="232"/>
      <c r="H504" s="232"/>
      <c r="I504" s="216"/>
    </row>
    <row r="505" ht="18.75" customHeight="1">
      <c r="A505" s="216"/>
      <c r="B505" s="235"/>
      <c r="C505" s="236"/>
      <c r="D505" s="235"/>
      <c r="E505" s="237"/>
      <c r="F505" s="230"/>
      <c r="G505" s="232"/>
      <c r="H505" s="232"/>
      <c r="I505" s="216"/>
    </row>
    <row r="506" ht="18.75" customHeight="1">
      <c r="A506" s="216"/>
      <c r="B506" s="235"/>
      <c r="C506" s="236"/>
      <c r="D506" s="235"/>
      <c r="E506" s="237"/>
      <c r="F506" s="230"/>
      <c r="G506" s="232"/>
      <c r="H506" s="232"/>
      <c r="I506" s="216"/>
    </row>
    <row r="507" ht="18.75" customHeight="1">
      <c r="A507" s="216"/>
      <c r="B507" s="235"/>
      <c r="C507" s="236"/>
      <c r="D507" s="235"/>
      <c r="E507" s="237"/>
      <c r="F507" s="230"/>
      <c r="G507" s="232"/>
      <c r="H507" s="232"/>
      <c r="I507" s="216"/>
    </row>
    <row r="508" ht="18.75" customHeight="1">
      <c r="A508" s="216"/>
      <c r="B508" s="235"/>
      <c r="C508" s="236"/>
      <c r="D508" s="235"/>
      <c r="E508" s="237"/>
      <c r="F508" s="230"/>
      <c r="G508" s="232"/>
      <c r="H508" s="232"/>
      <c r="I508" s="216"/>
    </row>
    <row r="509" ht="18.75" customHeight="1">
      <c r="A509" s="216"/>
      <c r="B509" s="235"/>
      <c r="C509" s="236"/>
      <c r="D509" s="235"/>
      <c r="E509" s="237"/>
      <c r="F509" s="230"/>
      <c r="G509" s="232"/>
      <c r="H509" s="232"/>
      <c r="I509" s="216"/>
    </row>
    <row r="510" ht="18.75" customHeight="1">
      <c r="A510" s="216"/>
      <c r="B510" s="235"/>
      <c r="C510" s="236"/>
      <c r="D510" s="235"/>
      <c r="E510" s="237"/>
      <c r="F510" s="230"/>
      <c r="G510" s="232"/>
      <c r="H510" s="232"/>
      <c r="I510" s="216"/>
    </row>
  </sheetData>
  <mergeCells count="2">
    <mergeCell ref="B2:E2"/>
    <mergeCell ref="F2:H2"/>
  </mergeCells>
  <conditionalFormatting sqref="C4:C510 F4:F510">
    <cfRule type="beginsWith" dxfId="0" priority="1" operator="beginsWith" text="NM">
      <formula>LEFT((C4),LEN("NM"))=("NM")</formula>
    </cfRule>
  </conditionalFormatting>
  <conditionalFormatting sqref="C4:C510 F4:F510">
    <cfRule type="beginsWith" dxfId="1" priority="2" operator="beginsWith" text="HD">
      <formula>LEFT((C4),LEN("HD"))=("HD")</formula>
    </cfRule>
  </conditionalFormatting>
  <conditionalFormatting sqref="C4:C510 F4:F510">
    <cfRule type="beginsWith" dxfId="2" priority="3" operator="beginsWith" text="HR">
      <formula>LEFT((C4),LEN("HR"))=("HR")</formula>
    </cfRule>
  </conditionalFormatting>
  <conditionalFormatting sqref="C4:C510 F4:F510">
    <cfRule type="beginsWith" dxfId="3" priority="4" operator="beginsWith" text="DT">
      <formula>LEFT((C4),LEN("DT"))=("DT")</formula>
    </cfRule>
  </conditionalFormatting>
  <conditionalFormatting sqref="C4:C510 F4:F510">
    <cfRule type="beginsWith" dxfId="4" priority="5" operator="beginsWith" text="FM">
      <formula>LEFT((C4),LEN("FM"))=("FM")</formula>
    </cfRule>
  </conditionalFormatting>
  <conditionalFormatting sqref="C4:C510 F4:F510">
    <cfRule type="beginsWith" dxfId="5" priority="6" operator="beginsWith" text="TB">
      <formula>LEFT((C4),LEN("TB"))=("TB")</formula>
    </cfRule>
  </conditionalFormatting>
  <dataValidations>
    <dataValidation type="list" allowBlank="1" sqref="B19:B510">
      <formula1>Settings!$G$3:$G$21</formula1>
    </dataValidation>
    <dataValidation type="list" allowBlank="1" sqref="B4:B18">
      <formula1>#REF!</formula1>
    </dataValidation>
  </dataValidations>
  <hyperlinks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</hyperlinks>
  <drawing r:id="rId16"/>
  <legacy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5"/>
    <col customWidth="1" min="3" max="3" width="6.38"/>
    <col customWidth="1" min="4" max="4" width="8.88"/>
    <col customWidth="1" min="5" max="5" width="16.5"/>
    <col customWidth="1" min="6" max="6" width="6.38"/>
    <col customWidth="1" min="7" max="7" width="15.13"/>
    <col customWidth="1" min="8" max="12" width="10.13"/>
    <col customWidth="1" min="13" max="13" width="12.63"/>
    <col customWidth="1" min="14" max="14" width="3.63"/>
  </cols>
  <sheetData>
    <row r="1">
      <c r="A1" s="238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</row>
    <row r="2">
      <c r="A2" s="238"/>
      <c r="B2" s="238"/>
      <c r="C2" s="239" t="s">
        <v>183</v>
      </c>
      <c r="D2" s="188"/>
      <c r="E2" s="188"/>
      <c r="F2" s="188"/>
      <c r="G2" s="188"/>
      <c r="H2" s="188"/>
      <c r="I2" s="188"/>
      <c r="J2" s="188"/>
      <c r="K2" s="188"/>
      <c r="L2" s="189"/>
      <c r="M2" s="240"/>
      <c r="N2" s="238"/>
    </row>
    <row r="3">
      <c r="A3" s="238"/>
      <c r="B3" s="238"/>
      <c r="C3" s="241"/>
      <c r="D3" s="241"/>
      <c r="E3" s="242" t="s">
        <v>184</v>
      </c>
      <c r="F3" s="242" t="s">
        <v>185</v>
      </c>
      <c r="G3" s="243"/>
      <c r="H3" s="241"/>
      <c r="I3" s="241"/>
      <c r="J3" s="241"/>
      <c r="K3" s="241"/>
      <c r="L3" s="241"/>
      <c r="M3" s="241"/>
      <c r="N3" s="238"/>
    </row>
    <row r="4">
      <c r="A4" s="238"/>
      <c r="B4" s="238"/>
      <c r="C4" s="244" t="s">
        <v>186</v>
      </c>
      <c r="D4" s="245" t="s">
        <v>187</v>
      </c>
      <c r="E4" s="246" t="s">
        <v>188</v>
      </c>
      <c r="F4" s="247" t="s">
        <v>189</v>
      </c>
      <c r="G4" s="245" t="s">
        <v>190</v>
      </c>
      <c r="H4" s="246" t="s">
        <v>263</v>
      </c>
      <c r="I4" s="246" t="s">
        <v>264</v>
      </c>
      <c r="J4" s="246" t="s">
        <v>265</v>
      </c>
      <c r="K4" s="246" t="s">
        <v>266</v>
      </c>
      <c r="L4" s="246" t="s">
        <v>267</v>
      </c>
      <c r="M4" s="248" t="s">
        <v>204</v>
      </c>
      <c r="N4" s="238"/>
    </row>
    <row r="5">
      <c r="A5" s="198" t="s">
        <v>205</v>
      </c>
      <c r="B5" s="238"/>
      <c r="C5" s="249" t="s">
        <v>156</v>
      </c>
      <c r="D5" s="250" t="str">
        <f t="shared" ref="D5:D14" si="1">IF(COUNTIF(H5:L5,"*") = 0, "-", COUNTIF(H5:L5,"*") &amp;" / 15")</f>
        <v>4 / 15</v>
      </c>
      <c r="E5" s="251">
        <v>44618.0</v>
      </c>
      <c r="F5" s="252">
        <v>0.0</v>
      </c>
      <c r="G5" s="250" t="s">
        <v>131</v>
      </c>
      <c r="H5" s="203" t="s">
        <v>268</v>
      </c>
      <c r="I5" s="203" t="s">
        <v>269</v>
      </c>
      <c r="J5" s="203" t="s">
        <v>270</v>
      </c>
      <c r="K5" s="203" t="s">
        <v>271</v>
      </c>
      <c r="L5" s="203"/>
      <c r="M5" s="253" t="s">
        <v>272</v>
      </c>
      <c r="N5" s="238"/>
    </row>
    <row r="6">
      <c r="A6" s="32"/>
      <c r="B6" s="238"/>
      <c r="C6" s="249" t="s">
        <v>206</v>
      </c>
      <c r="D6" s="250" t="str">
        <f t="shared" si="1"/>
        <v>-</v>
      </c>
      <c r="E6" s="254">
        <v>44618.0</v>
      </c>
      <c r="F6" s="252">
        <v>0.08333333333333333</v>
      </c>
      <c r="G6" s="250" t="s">
        <v>132</v>
      </c>
      <c r="H6" s="203"/>
      <c r="I6" s="203"/>
      <c r="J6" s="203"/>
      <c r="K6" s="203"/>
      <c r="L6" s="203"/>
      <c r="M6" s="255"/>
      <c r="N6" s="238"/>
    </row>
    <row r="7">
      <c r="A7" s="32"/>
      <c r="B7" s="238"/>
      <c r="C7" s="249" t="s">
        <v>207</v>
      </c>
      <c r="D7" s="250" t="str">
        <f t="shared" si="1"/>
        <v>-</v>
      </c>
      <c r="E7" s="254">
        <v>44618.0</v>
      </c>
      <c r="F7" s="252">
        <v>0.16666666666666666</v>
      </c>
      <c r="G7" s="250" t="s">
        <v>133</v>
      </c>
      <c r="H7" s="203"/>
      <c r="I7" s="203"/>
      <c r="J7" s="203"/>
      <c r="K7" s="203"/>
      <c r="L7" s="203"/>
      <c r="M7" s="255"/>
      <c r="N7" s="238"/>
    </row>
    <row r="8">
      <c r="A8" s="32"/>
      <c r="B8" s="238"/>
      <c r="C8" s="249" t="s">
        <v>208</v>
      </c>
      <c r="D8" s="250" t="str">
        <f t="shared" si="1"/>
        <v>-</v>
      </c>
      <c r="E8" s="254">
        <v>44618.0</v>
      </c>
      <c r="F8" s="252">
        <v>0.25</v>
      </c>
      <c r="G8" s="250" t="s">
        <v>134</v>
      </c>
      <c r="H8" s="203"/>
      <c r="I8" s="203"/>
      <c r="J8" s="203"/>
      <c r="K8" s="203"/>
      <c r="L8" s="203"/>
      <c r="M8" s="255"/>
      <c r="N8" s="238"/>
    </row>
    <row r="9">
      <c r="A9" s="32"/>
      <c r="B9" s="238"/>
      <c r="C9" s="249" t="s">
        <v>209</v>
      </c>
      <c r="D9" s="250" t="str">
        <f t="shared" si="1"/>
        <v>-</v>
      </c>
      <c r="E9" s="254"/>
      <c r="F9" s="252">
        <v>0.5</v>
      </c>
      <c r="G9" s="250"/>
      <c r="H9" s="203"/>
      <c r="I9" s="203"/>
      <c r="J9" s="203"/>
      <c r="K9" s="203"/>
      <c r="L9" s="203"/>
      <c r="M9" s="255"/>
      <c r="N9" s="238"/>
    </row>
    <row r="10">
      <c r="A10" s="32"/>
      <c r="B10" s="238"/>
      <c r="C10" s="249" t="s">
        <v>210</v>
      </c>
      <c r="D10" s="250" t="str">
        <f t="shared" si="1"/>
        <v>-</v>
      </c>
      <c r="E10" s="254"/>
      <c r="F10" s="252">
        <v>0.5833333333333334</v>
      </c>
      <c r="G10" s="250"/>
      <c r="H10" s="203"/>
      <c r="I10" s="203"/>
      <c r="J10" s="203"/>
      <c r="K10" s="203"/>
      <c r="L10" s="203"/>
      <c r="M10" s="255"/>
      <c r="N10" s="238"/>
    </row>
    <row r="11">
      <c r="A11" s="32"/>
      <c r="B11" s="238"/>
      <c r="C11" s="249" t="s">
        <v>211</v>
      </c>
      <c r="D11" s="250" t="str">
        <f t="shared" si="1"/>
        <v>-</v>
      </c>
      <c r="E11" s="254"/>
      <c r="F11" s="252">
        <v>0.6666666666666666</v>
      </c>
      <c r="G11" s="250"/>
      <c r="H11" s="203"/>
      <c r="I11" s="203"/>
      <c r="J11" s="203"/>
      <c r="K11" s="203"/>
      <c r="L11" s="203"/>
      <c r="M11" s="255"/>
      <c r="N11" s="238"/>
    </row>
    <row r="12">
      <c r="A12" s="32"/>
      <c r="B12" s="238"/>
      <c r="C12" s="249" t="s">
        <v>212</v>
      </c>
      <c r="D12" s="250" t="str">
        <f t="shared" si="1"/>
        <v>-</v>
      </c>
      <c r="E12" s="254"/>
      <c r="F12" s="252">
        <v>0.75</v>
      </c>
      <c r="G12" s="250"/>
      <c r="H12" s="203"/>
      <c r="I12" s="203"/>
      <c r="J12" s="203"/>
      <c r="K12" s="203"/>
      <c r="L12" s="203"/>
      <c r="M12" s="255"/>
      <c r="N12" s="238"/>
    </row>
    <row r="13">
      <c r="A13" s="32"/>
      <c r="B13" s="238"/>
      <c r="C13" s="249" t="s">
        <v>213</v>
      </c>
      <c r="D13" s="250" t="str">
        <f t="shared" si="1"/>
        <v>-</v>
      </c>
      <c r="E13" s="254"/>
      <c r="F13" s="252">
        <v>0.875</v>
      </c>
      <c r="G13" s="250"/>
      <c r="H13" s="203"/>
      <c r="I13" s="203"/>
      <c r="J13" s="203"/>
      <c r="K13" s="203"/>
      <c r="L13" s="203"/>
      <c r="M13" s="255"/>
      <c r="N13" s="238"/>
    </row>
    <row r="14">
      <c r="A14" s="44"/>
      <c r="B14" s="238"/>
      <c r="C14" s="249" t="s">
        <v>214</v>
      </c>
      <c r="D14" s="250" t="str">
        <f t="shared" si="1"/>
        <v>-</v>
      </c>
      <c r="E14" s="254"/>
      <c r="F14" s="252">
        <v>0.9993055555555556</v>
      </c>
      <c r="G14" s="250"/>
      <c r="H14" s="203"/>
      <c r="I14" s="203"/>
      <c r="J14" s="203"/>
      <c r="K14" s="203"/>
      <c r="L14" s="203"/>
      <c r="M14" s="255"/>
      <c r="N14" s="238"/>
    </row>
    <row r="15">
      <c r="A15" s="238"/>
      <c r="B15" s="238"/>
      <c r="C15" s="249"/>
      <c r="D15" s="250"/>
      <c r="E15" s="254"/>
      <c r="F15" s="252"/>
      <c r="G15" s="250"/>
      <c r="H15" s="203"/>
      <c r="I15" s="203"/>
      <c r="J15" s="203"/>
      <c r="K15" s="203"/>
      <c r="L15" s="203"/>
      <c r="M15" s="255"/>
      <c r="N15" s="238"/>
    </row>
    <row r="16">
      <c r="A16" s="198" t="s">
        <v>215</v>
      </c>
      <c r="B16" s="238"/>
      <c r="C16" s="249" t="s">
        <v>216</v>
      </c>
      <c r="D16" s="250" t="str">
        <f t="shared" ref="D16:D25" si="2">IF(COUNTIF(H16:L16,"*") = 0, "-", COUNTIF(H16:L16,"*") &amp;" / 15")</f>
        <v>-</v>
      </c>
      <c r="E16" s="254"/>
      <c r="F16" s="252">
        <v>0.0</v>
      </c>
      <c r="G16" s="250"/>
      <c r="H16" s="203"/>
      <c r="I16" s="203"/>
      <c r="J16" s="203"/>
      <c r="K16" s="203"/>
      <c r="L16" s="203"/>
      <c r="M16" s="255"/>
      <c r="N16" s="238"/>
    </row>
    <row r="17">
      <c r="A17" s="32"/>
      <c r="B17" s="238"/>
      <c r="C17" s="249" t="s">
        <v>217</v>
      </c>
      <c r="D17" s="250" t="str">
        <f t="shared" si="2"/>
        <v>-</v>
      </c>
      <c r="E17" s="203"/>
      <c r="F17" s="252">
        <v>0.08333333333333333</v>
      </c>
      <c r="G17" s="250"/>
      <c r="H17" s="203"/>
      <c r="I17" s="203"/>
      <c r="J17" s="203"/>
      <c r="K17" s="203"/>
      <c r="L17" s="203"/>
      <c r="M17" s="255"/>
      <c r="N17" s="238"/>
    </row>
    <row r="18">
      <c r="A18" s="32"/>
      <c r="B18" s="238"/>
      <c r="C18" s="249" t="s">
        <v>218</v>
      </c>
      <c r="D18" s="250" t="str">
        <f t="shared" si="2"/>
        <v>-</v>
      </c>
      <c r="E18" s="254"/>
      <c r="F18" s="252">
        <v>0.16666666666666666</v>
      </c>
      <c r="G18" s="250"/>
      <c r="H18" s="203"/>
      <c r="I18" s="203"/>
      <c r="J18" s="203"/>
      <c r="K18" s="203"/>
      <c r="L18" s="203"/>
      <c r="M18" s="255"/>
      <c r="N18" s="238"/>
    </row>
    <row r="19">
      <c r="A19" s="32"/>
      <c r="B19" s="238"/>
      <c r="C19" s="249" t="s">
        <v>219</v>
      </c>
      <c r="D19" s="250" t="str">
        <f t="shared" si="2"/>
        <v>-</v>
      </c>
      <c r="E19" s="254"/>
      <c r="F19" s="252">
        <v>0.25</v>
      </c>
      <c r="G19" s="250"/>
      <c r="H19" s="203"/>
      <c r="I19" s="203"/>
      <c r="J19" s="203"/>
      <c r="K19" s="203"/>
      <c r="L19" s="203"/>
      <c r="M19" s="255"/>
      <c r="N19" s="238"/>
    </row>
    <row r="20">
      <c r="A20" s="32"/>
      <c r="B20" s="238"/>
      <c r="C20" s="249" t="s">
        <v>220</v>
      </c>
      <c r="D20" s="250" t="str">
        <f t="shared" si="2"/>
        <v>-</v>
      </c>
      <c r="E20" s="254"/>
      <c r="F20" s="252">
        <v>0.5</v>
      </c>
      <c r="G20" s="250"/>
      <c r="H20" s="203"/>
      <c r="I20" s="203"/>
      <c r="J20" s="203"/>
      <c r="K20" s="203"/>
      <c r="L20" s="203"/>
      <c r="M20" s="255"/>
      <c r="N20" s="238"/>
    </row>
    <row r="21">
      <c r="A21" s="32"/>
      <c r="B21" s="238"/>
      <c r="C21" s="249" t="s">
        <v>221</v>
      </c>
      <c r="D21" s="250" t="str">
        <f t="shared" si="2"/>
        <v>-</v>
      </c>
      <c r="E21" s="203"/>
      <c r="F21" s="252">
        <v>0.5833333333333334</v>
      </c>
      <c r="G21" s="250"/>
      <c r="H21" s="203"/>
      <c r="I21" s="203"/>
      <c r="J21" s="203"/>
      <c r="K21" s="203"/>
      <c r="L21" s="203"/>
      <c r="M21" s="255"/>
      <c r="N21" s="238"/>
    </row>
    <row r="22">
      <c r="A22" s="32"/>
      <c r="B22" s="238"/>
      <c r="C22" s="249" t="s">
        <v>222</v>
      </c>
      <c r="D22" s="250" t="str">
        <f t="shared" si="2"/>
        <v>-</v>
      </c>
      <c r="E22" s="203"/>
      <c r="F22" s="252">
        <v>0.6666666666666666</v>
      </c>
      <c r="G22" s="250"/>
      <c r="H22" s="203"/>
      <c r="I22" s="203"/>
      <c r="J22" s="203"/>
      <c r="K22" s="203"/>
      <c r="L22" s="203"/>
      <c r="M22" s="255"/>
      <c r="N22" s="238"/>
    </row>
    <row r="23">
      <c r="A23" s="32"/>
      <c r="B23" s="238"/>
      <c r="C23" s="249" t="s">
        <v>223</v>
      </c>
      <c r="D23" s="250" t="str">
        <f t="shared" si="2"/>
        <v>-</v>
      </c>
      <c r="E23" s="256"/>
      <c r="F23" s="252">
        <v>0.75</v>
      </c>
      <c r="G23" s="257"/>
      <c r="H23" s="203"/>
      <c r="I23" s="203"/>
      <c r="J23" s="203"/>
      <c r="K23" s="203"/>
      <c r="L23" s="203"/>
      <c r="M23" s="255"/>
      <c r="N23" s="238"/>
    </row>
    <row r="24">
      <c r="A24" s="32"/>
      <c r="B24" s="238"/>
      <c r="C24" s="249" t="s">
        <v>224</v>
      </c>
      <c r="D24" s="250" t="str">
        <f t="shared" si="2"/>
        <v>-</v>
      </c>
      <c r="E24" s="256"/>
      <c r="F24" s="252">
        <v>0.875</v>
      </c>
      <c r="G24" s="257"/>
      <c r="H24" s="203"/>
      <c r="I24" s="203"/>
      <c r="J24" s="203"/>
      <c r="K24" s="203"/>
      <c r="L24" s="203"/>
      <c r="M24" s="255"/>
      <c r="N24" s="238"/>
    </row>
    <row r="25">
      <c r="A25" s="44"/>
      <c r="B25" s="238"/>
      <c r="C25" s="249" t="s">
        <v>225</v>
      </c>
      <c r="D25" s="250" t="str">
        <f t="shared" si="2"/>
        <v>-</v>
      </c>
      <c r="E25" s="256"/>
      <c r="F25" s="252">
        <v>0.9993055555555556</v>
      </c>
      <c r="G25" s="257"/>
      <c r="H25" s="203"/>
      <c r="I25" s="203"/>
      <c r="J25" s="203"/>
      <c r="K25" s="203"/>
      <c r="L25" s="203"/>
      <c r="M25" s="255"/>
      <c r="N25" s="238"/>
    </row>
    <row r="26">
      <c r="A26" s="238"/>
      <c r="B26" s="238"/>
      <c r="C26" s="249"/>
      <c r="D26" s="250"/>
      <c r="E26" s="256"/>
      <c r="F26" s="252"/>
      <c r="G26" s="257"/>
      <c r="H26" s="203"/>
      <c r="I26" s="203"/>
      <c r="J26" s="203"/>
      <c r="K26" s="203"/>
      <c r="L26" s="203"/>
      <c r="M26" s="255"/>
      <c r="N26" s="238"/>
    </row>
    <row r="27">
      <c r="A27" s="198" t="s">
        <v>226</v>
      </c>
      <c r="B27" s="238"/>
      <c r="C27" s="249" t="s">
        <v>227</v>
      </c>
      <c r="D27" s="250" t="str">
        <f t="shared" ref="D27:D36" si="3">IF(COUNTIF(H27:L27,"*") = 0, "-", COUNTIF(H27:L27,"*") &amp;" / 15")</f>
        <v>-</v>
      </c>
      <c r="E27" s="256"/>
      <c r="F27" s="252"/>
      <c r="G27" s="257"/>
      <c r="H27" s="203"/>
      <c r="I27" s="203"/>
      <c r="J27" s="203"/>
      <c r="K27" s="203"/>
      <c r="L27" s="203"/>
      <c r="M27" s="255"/>
      <c r="N27" s="238"/>
    </row>
    <row r="28">
      <c r="A28" s="32"/>
      <c r="B28" s="238"/>
      <c r="C28" s="249" t="s">
        <v>228</v>
      </c>
      <c r="D28" s="250" t="str">
        <f t="shared" si="3"/>
        <v>-</v>
      </c>
      <c r="E28" s="256"/>
      <c r="F28" s="252"/>
      <c r="G28" s="257"/>
      <c r="H28" s="203"/>
      <c r="I28" s="203"/>
      <c r="J28" s="203"/>
      <c r="K28" s="203"/>
      <c r="L28" s="203"/>
      <c r="M28" s="255"/>
      <c r="N28" s="238"/>
    </row>
    <row r="29">
      <c r="A29" s="32"/>
      <c r="B29" s="238"/>
      <c r="C29" s="249" t="s">
        <v>229</v>
      </c>
      <c r="D29" s="250" t="str">
        <f t="shared" si="3"/>
        <v>-</v>
      </c>
      <c r="E29" s="256"/>
      <c r="F29" s="252"/>
      <c r="G29" s="257"/>
      <c r="H29" s="203"/>
      <c r="I29" s="203"/>
      <c r="J29" s="203"/>
      <c r="K29" s="203"/>
      <c r="L29" s="203"/>
      <c r="M29" s="255"/>
      <c r="N29" s="238"/>
    </row>
    <row r="30">
      <c r="A30" s="32"/>
      <c r="B30" s="238"/>
      <c r="C30" s="249" t="s">
        <v>230</v>
      </c>
      <c r="D30" s="250" t="str">
        <f t="shared" si="3"/>
        <v>-</v>
      </c>
      <c r="E30" s="256"/>
      <c r="F30" s="252"/>
      <c r="G30" s="257"/>
      <c r="H30" s="203"/>
      <c r="I30" s="203"/>
      <c r="J30" s="203"/>
      <c r="K30" s="203"/>
      <c r="L30" s="203"/>
      <c r="M30" s="255"/>
      <c r="N30" s="238"/>
    </row>
    <row r="31">
      <c r="A31" s="32"/>
      <c r="B31" s="238"/>
      <c r="C31" s="249" t="s">
        <v>231</v>
      </c>
      <c r="D31" s="250" t="str">
        <f t="shared" si="3"/>
        <v>-</v>
      </c>
      <c r="E31" s="256"/>
      <c r="F31" s="252"/>
      <c r="G31" s="257"/>
      <c r="H31" s="203"/>
      <c r="I31" s="203"/>
      <c r="J31" s="203"/>
      <c r="K31" s="203"/>
      <c r="L31" s="203"/>
      <c r="M31" s="255"/>
      <c r="N31" s="238"/>
    </row>
    <row r="32">
      <c r="A32" s="32"/>
      <c r="B32" s="238"/>
      <c r="C32" s="249" t="s">
        <v>232</v>
      </c>
      <c r="D32" s="250" t="str">
        <f t="shared" si="3"/>
        <v>-</v>
      </c>
      <c r="E32" s="256"/>
      <c r="F32" s="252"/>
      <c r="G32" s="257"/>
      <c r="H32" s="203"/>
      <c r="I32" s="203"/>
      <c r="J32" s="203"/>
      <c r="K32" s="203"/>
      <c r="L32" s="203"/>
      <c r="M32" s="255"/>
      <c r="N32" s="238"/>
    </row>
    <row r="33">
      <c r="A33" s="32"/>
      <c r="B33" s="238"/>
      <c r="C33" s="249" t="s">
        <v>233</v>
      </c>
      <c r="D33" s="250" t="str">
        <f t="shared" si="3"/>
        <v>-</v>
      </c>
      <c r="E33" s="256"/>
      <c r="F33" s="252"/>
      <c r="G33" s="257"/>
      <c r="H33" s="203"/>
      <c r="I33" s="203"/>
      <c r="J33" s="203"/>
      <c r="K33" s="203"/>
      <c r="L33" s="203"/>
      <c r="M33" s="255"/>
      <c r="N33" s="238"/>
    </row>
    <row r="34">
      <c r="A34" s="32"/>
      <c r="B34" s="238"/>
      <c r="C34" s="249" t="s">
        <v>234</v>
      </c>
      <c r="D34" s="250" t="str">
        <f t="shared" si="3"/>
        <v>-</v>
      </c>
      <c r="E34" s="256"/>
      <c r="F34" s="252"/>
      <c r="G34" s="257"/>
      <c r="H34" s="203"/>
      <c r="I34" s="203"/>
      <c r="J34" s="203"/>
      <c r="K34" s="203"/>
      <c r="L34" s="203"/>
      <c r="M34" s="255"/>
      <c r="N34" s="238"/>
    </row>
    <row r="35">
      <c r="A35" s="32"/>
      <c r="B35" s="238"/>
      <c r="C35" s="249" t="s">
        <v>235</v>
      </c>
      <c r="D35" s="250" t="str">
        <f t="shared" si="3"/>
        <v>-</v>
      </c>
      <c r="E35" s="256"/>
      <c r="F35" s="252"/>
      <c r="G35" s="257"/>
      <c r="H35" s="203"/>
      <c r="I35" s="203"/>
      <c r="J35" s="203"/>
      <c r="K35" s="203"/>
      <c r="L35" s="203"/>
      <c r="M35" s="255"/>
      <c r="N35" s="238"/>
    </row>
    <row r="36">
      <c r="A36" s="44"/>
      <c r="B36" s="238"/>
      <c r="C36" s="249" t="s">
        <v>236</v>
      </c>
      <c r="D36" s="250" t="str">
        <f t="shared" si="3"/>
        <v>-</v>
      </c>
      <c r="E36" s="256"/>
      <c r="F36" s="252"/>
      <c r="G36" s="257"/>
      <c r="H36" s="203"/>
      <c r="I36" s="203"/>
      <c r="J36" s="203"/>
      <c r="K36" s="203"/>
      <c r="L36" s="203"/>
      <c r="M36" s="255"/>
      <c r="N36" s="238"/>
    </row>
    <row r="37">
      <c r="A37" s="238"/>
      <c r="B37" s="238"/>
      <c r="C37" s="258"/>
      <c r="D37" s="259"/>
      <c r="E37" s="260"/>
      <c r="F37" s="261"/>
      <c r="G37" s="262"/>
      <c r="H37" s="203"/>
      <c r="I37" s="203"/>
      <c r="J37" s="203"/>
      <c r="K37" s="203"/>
      <c r="L37" s="203"/>
      <c r="M37" s="263"/>
      <c r="N37" s="238"/>
    </row>
    <row r="38">
      <c r="A38" s="238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</row>
  </sheetData>
  <mergeCells count="4">
    <mergeCell ref="C2:L2"/>
    <mergeCell ref="A5:A14"/>
    <mergeCell ref="A16:A25"/>
    <mergeCell ref="A27:A36"/>
  </mergeCells>
  <dataValidations>
    <dataValidation type="custom" allowBlank="1" showDropDown="1" sqref="E5:E37">
      <formula1>OR(NOT(ISERROR(DATEVALUE(E5))), AND(ISNUMBER(E5), LEFT(CELL("format", E5))="D"))</formula1>
    </dataValidation>
    <dataValidation type="list" allowBlank="1" showDropDown="1" showErrorMessage="1" sqref="G5:G37">
      <formula1>RefList!$B$3:$B$58</formula1>
    </dataValidation>
    <dataValidation type="list" allowBlank="1" showErrorMessage="1" sqref="H5:L37">
      <formula1>'Copy of Team List'!$B$3:$B$38</formula1>
    </dataValidation>
  </dataValidations>
  <hyperlinks>
    <hyperlink r:id="rId1" ref="M5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25"/>
    <col hidden="1" min="6" max="8" width="12.63"/>
    <col customWidth="1" min="9" max="9" width="3.25"/>
  </cols>
  <sheetData>
    <row r="1" ht="18.75" customHeight="1">
      <c r="A1" s="264"/>
      <c r="B1" s="264"/>
      <c r="C1" s="264"/>
      <c r="D1" s="264"/>
      <c r="E1" s="264"/>
      <c r="F1" s="264"/>
      <c r="G1" s="264"/>
      <c r="H1" s="264"/>
      <c r="I1" s="264"/>
    </row>
    <row r="2" ht="18.75" customHeight="1">
      <c r="A2" s="264"/>
      <c r="B2" s="265" t="s">
        <v>0</v>
      </c>
      <c r="C2" s="266" t="str">
        <f t="array" ref="C2:E2">"Player "&amp;SEQUENCE(1,3)</f>
        <v>Player 1</v>
      </c>
      <c r="D2" s="266" t="s">
        <v>2</v>
      </c>
      <c r="E2" s="266" t="s">
        <v>3</v>
      </c>
      <c r="F2" s="267"/>
      <c r="G2" s="267"/>
      <c r="H2" s="267"/>
      <c r="I2" s="264"/>
    </row>
    <row r="3" ht="18.75" customHeight="1">
      <c r="A3" s="264"/>
      <c r="B3" s="268" t="s">
        <v>268</v>
      </c>
      <c r="C3" s="269" t="s">
        <v>273</v>
      </c>
      <c r="D3" s="270" t="s">
        <v>274</v>
      </c>
      <c r="E3" s="270" t="s">
        <v>275</v>
      </c>
      <c r="F3" s="270"/>
      <c r="G3" s="270"/>
      <c r="H3" s="270"/>
      <c r="I3" s="264"/>
    </row>
    <row r="4" ht="18.75" customHeight="1">
      <c r="A4" s="264"/>
      <c r="B4" s="268" t="s">
        <v>269</v>
      </c>
      <c r="C4" s="269" t="s">
        <v>276</v>
      </c>
      <c r="D4" s="270" t="s">
        <v>277</v>
      </c>
      <c r="E4" s="270"/>
      <c r="F4" s="270"/>
      <c r="G4" s="270"/>
      <c r="H4" s="270"/>
      <c r="I4" s="264"/>
    </row>
    <row r="5" ht="18.75" customHeight="1">
      <c r="A5" s="264"/>
      <c r="B5" s="268" t="s">
        <v>270</v>
      </c>
      <c r="C5" s="269" t="s">
        <v>278</v>
      </c>
      <c r="D5" s="270" t="s">
        <v>279</v>
      </c>
      <c r="E5" s="271"/>
      <c r="F5" s="271"/>
      <c r="G5" s="271"/>
      <c r="H5" s="271"/>
      <c r="I5" s="264"/>
    </row>
    <row r="6" ht="18.75" customHeight="1">
      <c r="A6" s="264"/>
      <c r="B6" s="268" t="s">
        <v>271</v>
      </c>
      <c r="C6" s="269" t="s">
        <v>280</v>
      </c>
      <c r="D6" s="270" t="s">
        <v>281</v>
      </c>
      <c r="E6" s="270" t="s">
        <v>282</v>
      </c>
      <c r="F6" s="271"/>
      <c r="G6" s="271"/>
      <c r="H6" s="271"/>
      <c r="I6" s="264"/>
    </row>
    <row r="7" ht="18.75" customHeight="1">
      <c r="A7" s="264"/>
      <c r="B7" s="267"/>
      <c r="C7" s="272"/>
      <c r="D7" s="271"/>
      <c r="E7" s="271"/>
      <c r="F7" s="271"/>
      <c r="G7" s="271"/>
      <c r="H7" s="271"/>
      <c r="I7" s="264"/>
    </row>
    <row r="8" ht="18.75" customHeight="1">
      <c r="A8" s="264"/>
      <c r="B8" s="267"/>
      <c r="C8" s="272"/>
      <c r="D8" s="271"/>
      <c r="E8" s="271"/>
      <c r="F8" s="271"/>
      <c r="G8" s="271"/>
      <c r="H8" s="271"/>
      <c r="I8" s="264"/>
    </row>
    <row r="9" ht="18.75" customHeight="1">
      <c r="A9" s="264"/>
      <c r="B9" s="267"/>
      <c r="C9" s="272"/>
      <c r="D9" s="271"/>
      <c r="E9" s="271"/>
      <c r="F9" s="271"/>
      <c r="G9" s="271"/>
      <c r="H9" s="271"/>
      <c r="I9" s="264"/>
    </row>
    <row r="10" ht="18.75" customHeight="1">
      <c r="A10" s="264"/>
      <c r="B10" s="267"/>
      <c r="C10" s="272"/>
      <c r="D10" s="271"/>
      <c r="E10" s="271"/>
      <c r="F10" s="271"/>
      <c r="G10" s="271"/>
      <c r="H10" s="271"/>
      <c r="I10" s="264"/>
    </row>
    <row r="11" ht="18.75" customHeight="1">
      <c r="A11" s="264"/>
      <c r="B11" s="267"/>
      <c r="C11" s="272"/>
      <c r="D11" s="271"/>
      <c r="E11" s="271"/>
      <c r="F11" s="271"/>
      <c r="G11" s="271"/>
      <c r="H11" s="271"/>
      <c r="I11" s="264"/>
    </row>
    <row r="12" ht="18.75" customHeight="1">
      <c r="A12" s="264"/>
      <c r="B12" s="267"/>
      <c r="C12" s="272"/>
      <c r="D12" s="271"/>
      <c r="E12" s="271"/>
      <c r="F12" s="271"/>
      <c r="G12" s="271"/>
      <c r="H12" s="271"/>
      <c r="I12" s="264"/>
    </row>
    <row r="13" ht="18.75" customHeight="1">
      <c r="A13" s="264"/>
      <c r="B13" s="267"/>
      <c r="C13" s="272"/>
      <c r="D13" s="271"/>
      <c r="E13" s="271"/>
      <c r="F13" s="271"/>
      <c r="G13" s="271"/>
      <c r="H13" s="271"/>
      <c r="I13" s="264"/>
    </row>
    <row r="14" ht="18.75" customHeight="1">
      <c r="A14" s="264"/>
      <c r="B14" s="267"/>
      <c r="C14" s="272"/>
      <c r="D14" s="271"/>
      <c r="E14" s="271"/>
      <c r="F14" s="271"/>
      <c r="G14" s="271"/>
      <c r="H14" s="271"/>
      <c r="I14" s="264"/>
    </row>
    <row r="15" ht="18.75" customHeight="1">
      <c r="A15" s="264"/>
      <c r="B15" s="267"/>
      <c r="C15" s="272"/>
      <c r="D15" s="271"/>
      <c r="E15" s="271"/>
      <c r="F15" s="271"/>
      <c r="G15" s="271"/>
      <c r="H15" s="271"/>
      <c r="I15" s="264"/>
    </row>
    <row r="16" ht="18.75" customHeight="1">
      <c r="A16" s="264"/>
      <c r="B16" s="267"/>
      <c r="C16" s="272"/>
      <c r="D16" s="271"/>
      <c r="E16" s="271"/>
      <c r="F16" s="271"/>
      <c r="G16" s="271"/>
      <c r="H16" s="271"/>
      <c r="I16" s="264"/>
    </row>
    <row r="17" ht="18.75" customHeight="1">
      <c r="A17" s="264"/>
      <c r="B17" s="267"/>
      <c r="C17" s="272"/>
      <c r="D17" s="271"/>
      <c r="E17" s="271"/>
      <c r="F17" s="271"/>
      <c r="G17" s="271"/>
      <c r="H17" s="271"/>
      <c r="I17" s="264"/>
    </row>
    <row r="18" ht="18.75" customHeight="1">
      <c r="A18" s="264"/>
      <c r="B18" s="267"/>
      <c r="C18" s="272"/>
      <c r="D18" s="271"/>
      <c r="E18" s="271"/>
      <c r="F18" s="271"/>
      <c r="G18" s="271"/>
      <c r="H18" s="271"/>
      <c r="I18" s="264"/>
    </row>
    <row r="19" ht="18.75" customHeight="1">
      <c r="A19" s="264"/>
      <c r="B19" s="267"/>
      <c r="C19" s="272"/>
      <c r="D19" s="271"/>
      <c r="E19" s="271"/>
      <c r="F19" s="271"/>
      <c r="G19" s="271"/>
      <c r="H19" s="271"/>
      <c r="I19" s="264"/>
    </row>
    <row r="20" ht="18.75" customHeight="1">
      <c r="A20" s="264"/>
      <c r="B20" s="267"/>
      <c r="C20" s="272"/>
      <c r="D20" s="271"/>
      <c r="E20" s="271"/>
      <c r="F20" s="271"/>
      <c r="G20" s="271"/>
      <c r="H20" s="271"/>
      <c r="I20" s="264"/>
    </row>
    <row r="21" ht="18.75" customHeight="1">
      <c r="A21" s="264"/>
      <c r="B21" s="267"/>
      <c r="C21" s="272"/>
      <c r="D21" s="271"/>
      <c r="E21" s="271"/>
      <c r="F21" s="271"/>
      <c r="G21" s="271"/>
      <c r="H21" s="271"/>
      <c r="I21" s="264"/>
    </row>
    <row r="22" ht="18.75" customHeight="1">
      <c r="A22" s="264"/>
      <c r="B22" s="267"/>
      <c r="C22" s="272"/>
      <c r="D22" s="271"/>
      <c r="E22" s="271"/>
      <c r="F22" s="271"/>
      <c r="G22" s="271"/>
      <c r="H22" s="271"/>
      <c r="I22" s="264"/>
    </row>
    <row r="23" ht="18.75" customHeight="1">
      <c r="A23" s="264"/>
      <c r="B23" s="267"/>
      <c r="C23" s="272"/>
      <c r="D23" s="271"/>
      <c r="E23" s="271"/>
      <c r="F23" s="271"/>
      <c r="G23" s="271"/>
      <c r="H23" s="271"/>
      <c r="I23" s="264"/>
    </row>
    <row r="24" ht="18.75" customHeight="1">
      <c r="A24" s="264"/>
      <c r="B24" s="267"/>
      <c r="C24" s="272"/>
      <c r="D24" s="271"/>
      <c r="E24" s="271"/>
      <c r="F24" s="271"/>
      <c r="G24" s="271"/>
      <c r="H24" s="271"/>
      <c r="I24" s="264"/>
    </row>
    <row r="25" ht="18.75" customHeight="1">
      <c r="A25" s="264"/>
      <c r="B25" s="267"/>
      <c r="C25" s="272"/>
      <c r="D25" s="271"/>
      <c r="E25" s="271"/>
      <c r="F25" s="271"/>
      <c r="G25" s="271"/>
      <c r="H25" s="271"/>
      <c r="I25" s="264"/>
    </row>
    <row r="26" ht="18.75" customHeight="1">
      <c r="A26" s="264"/>
      <c r="B26" s="267"/>
      <c r="C26" s="272"/>
      <c r="D26" s="271"/>
      <c r="E26" s="271"/>
      <c r="F26" s="271"/>
      <c r="G26" s="271"/>
      <c r="H26" s="271"/>
      <c r="I26" s="264"/>
    </row>
    <row r="27" ht="18.75" customHeight="1">
      <c r="A27" s="264"/>
      <c r="B27" s="267"/>
      <c r="C27" s="272"/>
      <c r="D27" s="271"/>
      <c r="E27" s="271"/>
      <c r="F27" s="271"/>
      <c r="G27" s="271"/>
      <c r="H27" s="271"/>
      <c r="I27" s="264"/>
    </row>
    <row r="28" ht="18.75" customHeight="1">
      <c r="A28" s="264"/>
      <c r="B28" s="267"/>
      <c r="C28" s="272"/>
      <c r="D28" s="271"/>
      <c r="E28" s="271"/>
      <c r="F28" s="271"/>
      <c r="G28" s="271"/>
      <c r="H28" s="271"/>
      <c r="I28" s="264"/>
    </row>
    <row r="29" ht="18.75" customHeight="1">
      <c r="A29" s="264"/>
      <c r="B29" s="267"/>
      <c r="C29" s="272"/>
      <c r="D29" s="271"/>
      <c r="E29" s="271"/>
      <c r="F29" s="271"/>
      <c r="G29" s="271"/>
      <c r="H29" s="271"/>
      <c r="I29" s="264"/>
    </row>
    <row r="30" ht="18.75" customHeight="1">
      <c r="A30" s="264"/>
      <c r="B30" s="267"/>
      <c r="C30" s="272"/>
      <c r="D30" s="271"/>
      <c r="E30" s="271"/>
      <c r="F30" s="271"/>
      <c r="G30" s="271"/>
      <c r="H30" s="271"/>
      <c r="I30" s="264"/>
    </row>
    <row r="31" ht="18.75" customHeight="1">
      <c r="A31" s="264"/>
      <c r="B31" s="267"/>
      <c r="C31" s="272"/>
      <c r="D31" s="271"/>
      <c r="E31" s="271"/>
      <c r="F31" s="271"/>
      <c r="G31" s="271"/>
      <c r="H31" s="271"/>
      <c r="I31" s="264"/>
    </row>
    <row r="32" ht="18.75" customHeight="1">
      <c r="A32" s="264"/>
      <c r="B32" s="267"/>
      <c r="C32" s="272"/>
      <c r="D32" s="271"/>
      <c r="E32" s="271"/>
      <c r="F32" s="271"/>
      <c r="G32" s="271"/>
      <c r="H32" s="271"/>
      <c r="I32" s="264"/>
    </row>
    <row r="33" ht="18.75" customHeight="1">
      <c r="A33" s="264"/>
      <c r="B33" s="267"/>
      <c r="C33" s="272"/>
      <c r="D33" s="271"/>
      <c r="E33" s="271"/>
      <c r="F33" s="271"/>
      <c r="G33" s="271"/>
      <c r="H33" s="271"/>
      <c r="I33" s="264"/>
    </row>
    <row r="34" ht="18.75" customHeight="1">
      <c r="A34" s="264"/>
      <c r="B34" s="267"/>
      <c r="C34" s="272"/>
      <c r="D34" s="271"/>
      <c r="E34" s="271"/>
      <c r="F34" s="271"/>
      <c r="G34" s="271"/>
      <c r="H34" s="271"/>
      <c r="I34" s="264"/>
    </row>
    <row r="35" ht="18.75" customHeight="1">
      <c r="A35" s="264"/>
      <c r="B35" s="267"/>
      <c r="C35" s="272"/>
      <c r="D35" s="271"/>
      <c r="E35" s="271"/>
      <c r="F35" s="271"/>
      <c r="G35" s="271"/>
      <c r="H35" s="271"/>
      <c r="I35" s="264"/>
    </row>
    <row r="36" ht="18.75" customHeight="1">
      <c r="A36" s="264"/>
      <c r="B36" s="267"/>
      <c r="C36" s="272"/>
      <c r="D36" s="271"/>
      <c r="E36" s="271"/>
      <c r="F36" s="271"/>
      <c r="G36" s="271"/>
      <c r="H36" s="271"/>
      <c r="I36" s="264"/>
    </row>
    <row r="37" ht="18.75" customHeight="1">
      <c r="A37" s="264"/>
      <c r="B37" s="267"/>
      <c r="C37" s="272"/>
      <c r="D37" s="271"/>
      <c r="E37" s="271"/>
      <c r="F37" s="271"/>
      <c r="G37" s="271"/>
      <c r="H37" s="271"/>
      <c r="I37" s="264"/>
    </row>
    <row r="38" ht="14.25" customHeight="1">
      <c r="A38" s="264"/>
      <c r="B38" s="267"/>
      <c r="C38" s="272"/>
      <c r="D38" s="271"/>
      <c r="E38" s="271"/>
      <c r="F38" s="271"/>
      <c r="G38" s="271"/>
      <c r="H38" s="271"/>
      <c r="I38" s="264"/>
    </row>
  </sheetData>
  <drawing r:id="rId1"/>
</worksheet>
</file>