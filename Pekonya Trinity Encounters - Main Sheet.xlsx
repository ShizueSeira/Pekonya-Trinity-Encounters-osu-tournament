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heet" sheetId="1" r:id="rId4"/>
    <sheet state="visible" name="Match Sched Brackets" sheetId="2" r:id="rId5"/>
    <sheet state="visible" name="Map Pool" sheetId="3" r:id="rId6"/>
    <sheet state="visible" name="Team List" sheetId="4" r:id="rId7"/>
    <sheet state="visible" name="Team Contacts &amp; Timezones" sheetId="5" r:id="rId8"/>
    <sheet state="visible" name="Qualifier lobbies" sheetId="6" r:id="rId9"/>
    <sheet state="visible" name="Staff List" sheetId="7" r:id="rId10"/>
    <sheet state="visible" name="Screening List " sheetId="8" r:id="rId11"/>
    <sheet state="visible" name="Free Agents" sheetId="9" r:id="rId12"/>
  </sheets>
  <definedNames/>
  <calcPr/>
</workbook>
</file>

<file path=xl/sharedStrings.xml><?xml version="1.0" encoding="utf-8"?>
<sst xmlns="http://schemas.openxmlformats.org/spreadsheetml/2006/main" count="270" uniqueCount="103">
  <si>
    <t>c</t>
  </si>
  <si>
    <t>CURRENT PHASE :                   TOURNAMENT CONCLUDED !</t>
  </si>
  <si>
    <t>PREVIOUS PHASE :           GRANDFINALS</t>
  </si>
  <si>
    <t>NEXT PHASE :                     UNTIL NEXT TIME !</t>
  </si>
  <si>
    <t>Schedule</t>
  </si>
  <si>
    <r>
      <rPr>
        <rFont val="Bungee"/>
        <i/>
        <strike/>
        <color rgb="FFEEEEEE"/>
        <sz val="12.0"/>
      </rPr>
      <t>FA REGS. FORM</t>
    </r>
    <r>
      <rPr>
        <rFont val="Bungee"/>
        <i/>
        <strike val="0"/>
        <color rgb="FFEEEEEE"/>
        <sz val="12.0"/>
        <u/>
      </rPr>
      <t xml:space="preserve"> (CLOSED)</t>
    </r>
  </si>
  <si>
    <t>TEAM REGS. FORM</t>
  </si>
  <si>
    <t>Registrations</t>
  </si>
  <si>
    <t>&lt; &lt; &lt;   &gt; &gt; &gt;</t>
  </si>
  <si>
    <t>July 10 - July 30</t>
  </si>
  <si>
    <r>
      <rPr>
        <rFont val="Bungee"/>
        <i/>
        <strike/>
        <color rgb="FF1155CC"/>
        <sz val="13.0"/>
      </rPr>
      <t xml:space="preserve">STAFF REGS FORM  </t>
    </r>
    <r>
      <rPr>
        <rFont val="Bungee"/>
        <i/>
        <strike val="0"/>
        <color rgb="FF1155CC"/>
        <sz val="13.0"/>
      </rPr>
      <t>(ONLY OPEN FOR COMMENTATORS AND STREAMERS)</t>
    </r>
  </si>
  <si>
    <t>Manual Screening</t>
  </si>
  <si>
    <t>August 1 - august 6</t>
  </si>
  <si>
    <t>QUALIFIERS</t>
  </si>
  <si>
    <t>August 11 - August 13</t>
  </si>
  <si>
    <t>RO32</t>
  </si>
  <si>
    <t>August 18 - August 20</t>
  </si>
  <si>
    <t>RO16</t>
  </si>
  <si>
    <t>August 25 - August 27</t>
  </si>
  <si>
    <t>FORUM POST &gt;&gt;&gt;</t>
  </si>
  <si>
    <t>QUARTERFINALS</t>
  </si>
  <si>
    <t>September 1 - September 3</t>
  </si>
  <si>
    <t>DISCORD SERVER &gt;&gt;&gt;</t>
  </si>
  <si>
    <t>SEMI-FINALS</t>
  </si>
  <si>
    <t>September 8 - September 10</t>
  </si>
  <si>
    <t>Rule Book &gt;&gt;&gt;</t>
  </si>
  <si>
    <t>FINALS</t>
  </si>
  <si>
    <t>September 15 - September 17</t>
  </si>
  <si>
    <t>TEAM LIST &gt;&gt;&gt;</t>
  </si>
  <si>
    <t>GRAND FINALS</t>
  </si>
  <si>
    <t>September 22 - September 24</t>
  </si>
  <si>
    <t>STAFF LIST &gt;&gt;&gt;</t>
  </si>
  <si>
    <t>FREE AGENT LIST &gt;&gt;&gt;</t>
  </si>
  <si>
    <t>BRACKET SCHEDULE</t>
  </si>
  <si>
    <t>Upper Bracket</t>
  </si>
  <si>
    <t>Lower Bracket</t>
  </si>
  <si>
    <t>Bracket Reset</t>
  </si>
  <si>
    <t>Progress</t>
  </si>
  <si>
    <t>ID</t>
  </si>
  <si>
    <t>Date</t>
  </si>
  <si>
    <t>Time</t>
  </si>
  <si>
    <t>Team 1</t>
  </si>
  <si>
    <t>Score</t>
  </si>
  <si>
    <t xml:space="preserve">Team 2 </t>
  </si>
  <si>
    <t>Referee</t>
  </si>
  <si>
    <t>Streamer</t>
  </si>
  <si>
    <t>Commentator 1</t>
  </si>
  <si>
    <t>Commentator 2</t>
  </si>
  <si>
    <t>MP Link</t>
  </si>
  <si>
    <t>Round of 32</t>
  </si>
  <si>
    <t>Round of 16</t>
  </si>
  <si>
    <t>\</t>
  </si>
  <si>
    <t>Quarterfinals</t>
  </si>
  <si>
    <t>Semifinals</t>
  </si>
  <si>
    <t>Finals</t>
  </si>
  <si>
    <t>Grand Finals</t>
  </si>
  <si>
    <t>GRANDFINALS</t>
  </si>
  <si>
    <t>- mAPPOOL PACK -</t>
  </si>
  <si>
    <t>Banner</t>
  </si>
  <si>
    <t>Mod</t>
  </si>
  <si>
    <t>Artist - Song [Difficulty]</t>
  </si>
  <si>
    <t>SR</t>
  </si>
  <si>
    <t>BPM</t>
  </si>
  <si>
    <t>Length</t>
  </si>
  <si>
    <t>CS</t>
  </si>
  <si>
    <t>AR</t>
  </si>
  <si>
    <t>OD</t>
  </si>
  <si>
    <t>Mapper</t>
  </si>
  <si>
    <t>SEMIFINALS</t>
  </si>
  <si>
    <t>Qualifiers</t>
  </si>
  <si>
    <t>MOD</t>
  </si>
  <si>
    <t>BANNER</t>
  </si>
  <si>
    <t>N</t>
  </si>
  <si>
    <t>CAPTAIN</t>
  </si>
  <si>
    <t>P2 NAME</t>
  </si>
  <si>
    <t>P3 NAME</t>
  </si>
  <si>
    <t>AVERAGE RANK</t>
  </si>
  <si>
    <t>- THE TEAM's MOTTO HERE -</t>
  </si>
  <si>
    <t>#rank</t>
  </si>
  <si>
    <t>TEAM NAME</t>
  </si>
  <si>
    <t>CAPTAIN DISCORD</t>
  </si>
  <si>
    <t>TEAM TIMEZONE</t>
  </si>
  <si>
    <t>TEAM AVAILABILITY (AT LEAST 6 HRS)</t>
  </si>
  <si>
    <t>HOST</t>
  </si>
  <si>
    <t>ADMINS</t>
  </si>
  <si>
    <t>POOLERS</t>
  </si>
  <si>
    <t>REPLAYERS</t>
  </si>
  <si>
    <t>PLAY 
TESTERS</t>
  </si>
  <si>
    <t>REFEREES</t>
  </si>
  <si>
    <t>STREAMERS</t>
  </si>
  <si>
    <t>COMMENTATORS</t>
  </si>
  <si>
    <t>SCREENING LIST</t>
  </si>
  <si>
    <t>No.</t>
  </si>
  <si>
    <t xml:space="preserve">TEAM </t>
  </si>
  <si>
    <t>PFP</t>
  </si>
  <si>
    <t>Player Name</t>
  </si>
  <si>
    <t>REASON</t>
  </si>
  <si>
    <t>FA name</t>
  </si>
  <si>
    <t>- DISCORD ID -</t>
  </si>
  <si>
    <t>- TIMEZONE -</t>
  </si>
  <si>
    <t>- STRENGTHS -</t>
  </si>
  <si>
    <t>- WEAKNESSES -</t>
  </si>
  <si>
    <t xml:space="preserve">-FLAG-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</si>
</sst>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m&quot; &quot;dd&quot;,&quot;yyyy&quot; &quot;"/>
    <numFmt numFmtId="165" formatCode="hh&quot;:&quot;mm&quot; (UTC + 0)&quot;"/>
    <numFmt numFmtId="166" formatCode="&quot;Today is &quot;dddd&quot; !&quot;"/>
    <numFmt numFmtId="167" formatCode="mmm d"/>
    <numFmt numFmtId="168" formatCode="hh:mm"/>
    <numFmt numFmtId="169" formatCode="h&quot;:&quot;mm"/>
    <numFmt numFmtId="170" formatCode="m&quot;:&quot;ss"/>
    <numFmt numFmtId="171" formatCode="0.0"/>
    <numFmt numFmtId="172" formatCode="###,###"/>
    <numFmt numFmtId="173" formatCode="mmm&quot; &quot;dd&quot; (&quot;dddd&quot;)&quot;"/>
  </numFmts>
  <fonts count="15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1155CC"/>
      <name val="Bungee"/>
    </font>
    <font/>
    <font>
      <i/>
      <sz val="12.0"/>
      <color theme="1"/>
      <name val="Bungee"/>
    </font>
    <font>
      <color theme="1"/>
      <name val="Comfortaa"/>
    </font>
    <font>
      <sz val="12.0"/>
      <color theme="1"/>
      <name val="Comfortaa"/>
    </font>
    <font>
      <i/>
      <sz val="10.0"/>
      <color rgb="FF1155CC"/>
      <name val="Bungee"/>
    </font>
    <font>
      <color theme="1"/>
      <name val="Bungee"/>
    </font>
    <font>
      <i/>
      <sz val="12.0"/>
      <color rgb="FFA2BBE3"/>
      <name val="Bungee"/>
    </font>
    <font>
      <sz val="12.0"/>
      <color rgb="FFA2BBE3"/>
      <name val="Comfortaa"/>
    </font>
    <font>
      <sz val="9.0"/>
      <color rgb="FFCCCCCC"/>
      <name val="Bungee"/>
    </font>
    <font>
      <sz val="12.0"/>
      <color rgb="FFB7B7B7"/>
      <name val="Bungee"/>
    </font>
    <font>
      <color rgb="FFB7B7B7"/>
      <name val="Arial"/>
      <scheme val="minor"/>
    </font>
    <font>
      <color theme="1"/>
      <name val="Arial"/>
    </font>
    <font>
      <sz val="20.0"/>
      <color rgb="FF2A7EE6"/>
      <name val="Bungee"/>
    </font>
    <font>
      <b/>
      <color theme="1"/>
      <name val="Arial"/>
      <scheme val="minor"/>
    </font>
    <font>
      <i/>
      <strike/>
      <sz val="12.0"/>
      <color rgb="FFEEEEEE"/>
      <name val="Bungee"/>
    </font>
    <font>
      <sz val="12.0"/>
      <color theme="1"/>
      <name val="Bungee"/>
    </font>
    <font>
      <sz val="8.0"/>
      <color rgb="FF2A7EE6"/>
      <name val="Comfortaa"/>
    </font>
    <font>
      <i/>
      <strike/>
      <sz val="13.0"/>
      <color rgb="FF1155CC"/>
      <name val="Bungee"/>
    </font>
    <font>
      <sz val="10.0"/>
      <color rgb="FFA2BBE3"/>
      <name val="Bungee"/>
    </font>
    <font>
      <sz val="9.0"/>
      <color rgb="FFA2BBE3"/>
      <name val="Bungee"/>
    </font>
    <font>
      <sz val="10.0"/>
      <color rgb="FFB7B7B7"/>
      <name val="Bungee"/>
    </font>
    <font>
      <strike/>
      <sz val="10.0"/>
      <color rgb="FFEEEEEE"/>
      <name val="Bungee"/>
    </font>
    <font>
      <color theme="0"/>
      <name val="Lemon"/>
    </font>
    <font>
      <b/>
      <sz val="12.0"/>
      <color rgb="FFFFFFFF"/>
      <name val="Lemon"/>
    </font>
    <font>
      <sz val="12.0"/>
      <color rgb="FFF3F3F3"/>
      <name val="Bungee"/>
    </font>
    <font>
      <b/>
      <sz val="12.0"/>
      <color rgb="FF0C2D60"/>
      <name val="Lemon"/>
    </font>
    <font>
      <b/>
      <sz val="10.0"/>
      <color rgb="FF0C2D60"/>
      <name val="Lemon"/>
    </font>
    <font>
      <b/>
      <sz val="14.0"/>
      <color rgb="FFFFFFFF"/>
      <name val="Lemon"/>
    </font>
    <font>
      <b/>
      <sz val="9.0"/>
      <color rgb="FFFFFFFF"/>
      <name val="Lemon"/>
    </font>
    <font>
      <sz val="7.0"/>
      <color rgb="FFF3F3F3"/>
      <name val="Bungee"/>
    </font>
    <font>
      <u/>
      <sz val="18.0"/>
      <color rgb="FFFFFFFF"/>
      <name val="Lemon"/>
    </font>
    <font>
      <u/>
      <sz val="14.0"/>
      <color rgb="FFFFFFFF"/>
      <name val="Lemon"/>
    </font>
    <font>
      <b/>
      <sz val="10.0"/>
      <color rgb="FFFFFFFF"/>
      <name val="Fira Mono"/>
    </font>
    <font>
      <b/>
      <sz val="11.0"/>
      <color rgb="FFFFFFFF"/>
      <name val="Fira Mono"/>
    </font>
    <font>
      <b/>
      <u/>
      <sz val="5.0"/>
      <color rgb="FFFFFFFF"/>
      <name val="Fira Mono"/>
    </font>
    <font>
      <sz val="16.0"/>
      <color rgb="FFF3F3F3"/>
      <name val="Bungee"/>
    </font>
    <font>
      <b/>
      <sz val="18.0"/>
      <color rgb="FFEA9999"/>
      <name val="Lemon"/>
    </font>
    <font>
      <b/>
      <sz val="18.0"/>
      <color rgb="FFFFFFFF"/>
      <name val="Lemon"/>
    </font>
    <font>
      <b/>
      <u/>
      <sz val="18.0"/>
      <color rgb="FFFFFFFF"/>
      <name val="Lemon"/>
    </font>
    <font>
      <b/>
      <u/>
      <sz val="5.0"/>
      <color rgb="FFFFFFFF"/>
      <name val="Fira Mono"/>
    </font>
    <font>
      <b/>
      <u/>
      <sz val="10.0"/>
      <color rgb="FFFFFFFF"/>
      <name val="Fira Mono"/>
    </font>
    <font>
      <b/>
      <sz val="18.0"/>
      <color rgb="FFD5A6BD"/>
      <name val="Lemon"/>
    </font>
    <font>
      <b/>
      <u/>
      <sz val="5.0"/>
      <color rgb="FFFFFFFF"/>
      <name val="Fira Mono"/>
    </font>
    <font>
      <u/>
      <sz val="14.0"/>
      <color rgb="FFFFFFFF"/>
      <name val="Lemon"/>
    </font>
    <font>
      <b/>
      <sz val="18.0"/>
      <color rgb="FFB4A7D6"/>
      <name val="Lemon"/>
    </font>
    <font>
      <b/>
      <sz val="13.0"/>
      <color rgb="FFFFFFFF"/>
      <name val="Fira Mono"/>
    </font>
    <font>
      <b/>
      <sz val="8.0"/>
      <color rgb="FFFFFFFF"/>
      <name val="Fira Mono"/>
    </font>
    <font>
      <b/>
      <sz val="5.0"/>
      <color rgb="FFFFFFFF"/>
      <name val="Fira Mono"/>
    </font>
    <font>
      <b/>
      <u/>
      <sz val="5.0"/>
      <color rgb="FFFFFFFF"/>
      <name val="Fira Mono"/>
    </font>
    <font>
      <sz val="14.0"/>
      <color rgb="FFF3F3F3"/>
      <name val="Bungee"/>
    </font>
    <font>
      <b/>
      <u/>
      <sz val="5.0"/>
      <color rgb="FFFFFFFF"/>
      <name val="Fira Mono"/>
    </font>
    <font>
      <b/>
      <sz val="9.0"/>
      <color rgb="FFFFFFFF"/>
      <name val="Fira Mono"/>
    </font>
    <font>
      <b/>
      <u/>
      <sz val="5.0"/>
      <color rgb="FFFFFFFF"/>
      <name val="Fira Mono"/>
    </font>
    <font>
      <b/>
      <sz val="18.0"/>
      <color rgb="FFA4C2F4"/>
      <name val="Lemon"/>
    </font>
    <font>
      <b/>
      <u/>
      <sz val="6.0"/>
      <color rgb="FFFFFFFF"/>
      <name val="Fira Mono"/>
    </font>
    <font>
      <b/>
      <sz val="6.0"/>
      <color rgb="FFFFFFFF"/>
      <name val="Fira Mono"/>
    </font>
    <font>
      <b/>
      <u/>
      <sz val="6.0"/>
      <color rgb="FFFFFFFF"/>
      <name val="Fira Mono"/>
    </font>
    <font>
      <b/>
      <sz val="18.0"/>
      <color rgb="FFF1C232"/>
      <name val="Lemon"/>
    </font>
    <font>
      <b/>
      <u/>
      <sz val="6.0"/>
      <color rgb="FFFFFFFF"/>
      <name val="Fira Mono"/>
    </font>
    <font>
      <color rgb="FFFFFFFF"/>
      <name val="Lemon"/>
    </font>
    <font>
      <sz val="18.0"/>
      <color rgb="FFF3F3F3"/>
      <name val="Play"/>
    </font>
    <font>
      <sz val="6.0"/>
      <color rgb="FF2B282C"/>
      <name val="Play"/>
    </font>
    <font>
      <color rgb="FFF3F3F3"/>
      <name val="Play"/>
    </font>
    <font>
      <u/>
      <sz val="12.0"/>
      <color rgb="FFF3F3F3"/>
      <name val="Bungee"/>
    </font>
    <font>
      <color rgb="FFF3F3F3"/>
      <name val="Bungee"/>
    </font>
    <font>
      <b/>
      <color rgb="FF2B282C"/>
      <name val="Play"/>
    </font>
    <font>
      <sz val="11.0"/>
      <color rgb="FFF3F3F3"/>
      <name val="Comfortaa"/>
    </font>
    <font>
      <u/>
      <sz val="11.0"/>
      <color rgb="FFF3F3F3"/>
      <name val="Comfortaa"/>
    </font>
    <font>
      <sz val="10.0"/>
      <color rgb="FFF3F3F3"/>
      <name val="Comfortaa"/>
    </font>
    <font>
      <sz val="10.0"/>
      <color rgb="FFF3F3F3"/>
      <name val="Lemon"/>
    </font>
    <font>
      <u/>
      <sz val="11.0"/>
      <color rgb="FFF3F3F3"/>
      <name val="Comfortaa"/>
    </font>
    <font>
      <u/>
      <sz val="11.0"/>
      <color rgb="FFCCCFD0"/>
      <name val="Comfortaa"/>
    </font>
    <font>
      <u/>
      <sz val="11.0"/>
      <color rgb="FFF3F3F3"/>
      <name val="Comfortaa"/>
    </font>
    <font>
      <u/>
      <sz val="10.0"/>
      <color rgb="FFCCCFD0"/>
      <name val="Comfortaa"/>
    </font>
    <font>
      <sz val="9.0"/>
      <color rgb="FFF3F3F3"/>
      <name val="Comfortaa"/>
    </font>
    <font>
      <u/>
      <sz val="12.0"/>
      <color rgb="FFFFFFFF"/>
      <name val="Bungee"/>
    </font>
    <font>
      <b/>
      <color rgb="FFF3F3F3"/>
      <name val="Play"/>
    </font>
    <font>
      <sz val="10.0"/>
      <color rgb="FFF3F3F3"/>
      <name val="Bungee"/>
    </font>
    <font>
      <u/>
      <sz val="9.0"/>
      <color rgb="FFF3F3F3"/>
      <name val="Comfortaa"/>
    </font>
    <font>
      <u/>
      <sz val="11.0"/>
      <color rgb="FFF3F3F3"/>
      <name val="Comfortaa"/>
    </font>
    <font>
      <sz val="15.0"/>
      <color rgb="FF2A7EE6"/>
      <name val="Bungee"/>
    </font>
    <font>
      <sz val="11.0"/>
      <color rgb="FFBACEED"/>
      <name val="Bungee"/>
    </font>
    <font>
      <color rgb="FFBACEED"/>
      <name val="Arial"/>
      <scheme val="minor"/>
    </font>
    <font>
      <sz val="10.0"/>
      <color rgb="FFBACEED"/>
      <name val="Bungee"/>
    </font>
    <font>
      <sz val="9.0"/>
      <color rgb="FFBACEED"/>
      <name val="Rubik"/>
    </font>
    <font>
      <sz val="8.0"/>
      <color rgb="FF635A5B"/>
      <name val="Bungee"/>
    </font>
    <font>
      <sz val="10.0"/>
      <color rgb="FF635A5B"/>
      <name val="Bungee"/>
    </font>
    <font>
      <sz val="7.0"/>
      <color rgb="FF635A5B"/>
      <name val="Rubik"/>
    </font>
    <font>
      <color rgb="FF635A5B"/>
      <name val="Arial"/>
      <scheme val="minor"/>
    </font>
    <font>
      <color rgb="FF635A5B"/>
      <name val="Bungee"/>
    </font>
    <font>
      <u/>
      <color rgb="FF635A5B"/>
      <name val="Bungee"/>
    </font>
    <font>
      <u/>
      <color rgb="FF635A5B"/>
      <name val="Bungee"/>
    </font>
    <font>
      <color rgb="FF635A5B"/>
      <name val="Arial"/>
    </font>
    <font>
      <u/>
      <color rgb="FF635A5B"/>
      <name val="Bungee"/>
    </font>
    <font>
      <color theme="1"/>
      <name val="Rubik"/>
    </font>
    <font>
      <sz val="8.0"/>
      <color rgb="FFFFFFFF"/>
      <name val="Rubik"/>
    </font>
    <font>
      <b/>
      <sz val="10.0"/>
      <color rgb="FFFFFFFF"/>
      <name val="Rubik"/>
    </font>
    <font>
      <color rgb="FFFFFFFF"/>
      <name val="Rubik"/>
    </font>
    <font>
      <sz val="12.0"/>
      <color theme="1"/>
      <name val="Rubik"/>
    </font>
    <font>
      <sz val="8.0"/>
      <color theme="1"/>
      <name val="Bungee"/>
    </font>
    <font>
      <sz val="12.0"/>
      <color theme="1"/>
      <name val="Arial"/>
      <scheme val="minor"/>
    </font>
    <font>
      <sz val="14.0"/>
      <color theme="1"/>
      <name val="Bungee"/>
    </font>
    <font>
      <sz val="10.0"/>
      <color theme="1"/>
      <name val="Fira Mono"/>
    </font>
    <font>
      <sz val="9.0"/>
      <color theme="1"/>
      <name val="Fira Mono"/>
    </font>
    <font>
      <sz val="8.0"/>
      <color theme="1"/>
      <name val="Rubik"/>
    </font>
    <font>
      <u/>
      <sz val="7.0"/>
      <color rgb="FF0000FF"/>
      <name val="Fira Mono"/>
    </font>
    <font>
      <sz val="7.0"/>
      <color theme="1"/>
      <name val="Fira Mono"/>
    </font>
    <font>
      <u/>
      <sz val="7.0"/>
      <color rgb="FF0000FF"/>
      <name val="Fira Mono"/>
    </font>
    <font>
      <sz val="15.0"/>
      <color rgb="FF749DF0"/>
      <name val="Bungee"/>
    </font>
    <font>
      <sz val="12.0"/>
      <color rgb="FF2A7EE6"/>
      <name val="Bungee"/>
    </font>
    <font>
      <sz val="15.0"/>
      <color theme="1"/>
      <name val="Bungee"/>
    </font>
    <font>
      <color rgb="FF0000FF"/>
      <name val="Bungee"/>
    </font>
    <font>
      <sz val="12.0"/>
      <color rgb="FF2A7EE6"/>
      <name val="Comfortaa"/>
    </font>
    <font>
      <color rgb="FF749DF0"/>
      <name val="Bungee"/>
    </font>
    <font>
      <sz val="15.0"/>
      <color rgb="FFCF3273"/>
      <name val="Bungee"/>
    </font>
    <font>
      <sz val="10.0"/>
      <color rgb="FF2A7EE6"/>
      <name val="Comfortaa"/>
    </font>
    <font>
      <sz val="15.0"/>
      <color rgb="FF722768"/>
      <name val="Bungee"/>
    </font>
    <font>
      <sz val="7.0"/>
      <color rgb="FFCF3273"/>
      <name val="Bungee"/>
    </font>
    <font>
      <sz val="12.0"/>
      <color rgb="FFCF3273"/>
      <name val="Arial"/>
      <scheme val="minor"/>
    </font>
    <font>
      <sz val="8.0"/>
      <color rgb="FFCF3273"/>
      <name val="Bungee"/>
    </font>
    <font>
      <color rgb="FFCF3273"/>
      <name val="Bungee"/>
    </font>
    <font>
      <sz val="7.0"/>
      <color rgb="FF722768"/>
      <name val="Bungee"/>
    </font>
    <font>
      <color rgb="FF722768"/>
      <name val="Bungee"/>
    </font>
    <font>
      <sz val="9.0"/>
      <color rgb="FF722768"/>
      <name val="Bungee"/>
    </font>
    <font>
      <sz val="12.0"/>
      <color rgb="FFCF3273"/>
      <name val="Comfortaa"/>
    </font>
    <font>
      <sz val="10.0"/>
      <color rgb="FFCF3273"/>
      <name val="Rubik"/>
    </font>
    <font>
      <sz val="10.0"/>
      <color rgb="FF2A7EE6"/>
      <name val="Rubik"/>
    </font>
    <font>
      <color rgb="FFCF3273"/>
      <name val="Arial"/>
      <scheme val="minor"/>
    </font>
    <font>
      <sz val="15.0"/>
      <color rgb="FFEA8FA1"/>
      <name val="Bungee"/>
    </font>
    <font>
      <sz val="20.0"/>
      <color rgb="FF2A8335"/>
      <name val="Bungee"/>
    </font>
    <font>
      <sz val="7.0"/>
      <color rgb="FFEA8FA1"/>
      <name val="Bungee"/>
    </font>
    <font>
      <color rgb="FFEA8FA1"/>
      <name val="Bungee"/>
    </font>
    <font>
      <color rgb="FF2A8335"/>
      <name val="Bungee"/>
    </font>
    <font>
      <sz val="9.0"/>
      <color rgb="FFEA8FA1"/>
      <name val="Bungee"/>
    </font>
    <font>
      <sz val="9.0"/>
      <color rgb="FF2A8335"/>
      <name val="Bungee"/>
    </font>
    <font>
      <b/>
      <sz val="15.0"/>
      <color rgb="FFC09523"/>
      <name val="Bungee"/>
    </font>
    <font>
      <sz val="15.0"/>
      <color rgb="FFDCD281"/>
      <name val="Bungee"/>
    </font>
    <font>
      <color rgb="FFC09523"/>
      <name val="Bungee"/>
    </font>
    <font>
      <sz val="9.0"/>
      <color rgb="FFC09523"/>
      <name val="Bungee"/>
    </font>
    <font>
      <color rgb="FFDCD281"/>
      <name val="Bungee"/>
    </font>
    <font>
      <sz val="9.0"/>
      <color rgb="FFDCD281"/>
      <name val="Bungee"/>
    </font>
    <font>
      <sz val="16.0"/>
      <color rgb="FFEA4335"/>
      <name val="Bungee"/>
    </font>
    <font>
      <sz val="16.0"/>
      <color theme="5"/>
      <name val="Bungee"/>
    </font>
    <font>
      <sz val="7.0"/>
      <color rgb="FFBACEED"/>
      <name val="Bungee"/>
    </font>
    <font>
      <color rgb="FF635A5B"/>
      <name val="Lexend"/>
    </font>
    <font>
      <u/>
      <color rgb="FF635A5B"/>
      <name val="Lexend"/>
    </font>
    <font>
      <u/>
      <color rgb="FF000000"/>
      <name val="Lexend"/>
    </font>
    <font>
      <u/>
      <color rgb="FF635A5B"/>
      <name val="Lexend"/>
    </font>
    <font>
      <sz val="8.0"/>
      <color rgb="FFBACEED"/>
      <name val="Bungee"/>
    </font>
    <font>
      <sz val="8.0"/>
      <color rgb="FFA2BBE3"/>
      <name val="Bungee"/>
    </font>
    <font>
      <sz val="4.0"/>
      <color rgb="FFA2BBE3"/>
      <name val="Bungee"/>
    </font>
    <font>
      <sz val="9.0"/>
      <color rgb="FF635A5B"/>
      <name val="Bungee"/>
    </font>
    <font>
      <sz val="8.0"/>
      <color rgb="FF635A5B"/>
      <name val="Rubik"/>
    </font>
    <font>
      <sz val="8.0"/>
      <color rgb="FF635A5B"/>
      <name val="Arial"/>
      <scheme val="minor"/>
    </font>
    <font>
      <sz val="9.0"/>
      <color rgb="FF635A5B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0F6F8"/>
        <bgColor rgb="FFF0F6F8"/>
      </patternFill>
    </fill>
    <fill>
      <patternFill patternType="solid">
        <fgColor rgb="FF2974E8"/>
        <bgColor rgb="FF2974E8"/>
      </patternFill>
    </fill>
    <fill>
      <patternFill patternType="solid">
        <fgColor rgb="FFBACEED"/>
        <bgColor rgb="FFBACEED"/>
      </patternFill>
    </fill>
    <fill>
      <patternFill patternType="solid">
        <fgColor rgb="FF2A7EE6"/>
        <bgColor rgb="FF2A7EE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0C2D60"/>
        <bgColor rgb="FF0C2D60"/>
      </patternFill>
    </fill>
    <fill>
      <patternFill patternType="solid">
        <fgColor rgb="FF749DF0"/>
        <bgColor rgb="FF749DF0"/>
      </patternFill>
    </fill>
    <fill>
      <patternFill patternType="solid">
        <fgColor rgb="FF0071CE"/>
        <bgColor rgb="FF0071CE"/>
      </patternFill>
    </fill>
    <fill>
      <patternFill patternType="solid">
        <fgColor rgb="FF3D2A83"/>
        <bgColor rgb="FF3D2A83"/>
      </patternFill>
    </fill>
    <fill>
      <patternFill patternType="solid">
        <fgColor rgb="FF7F6000"/>
        <bgColor rgb="FF7F6000"/>
      </patternFill>
    </fill>
    <fill>
      <patternFill patternType="solid">
        <fgColor rgb="FFFFFFFF"/>
        <bgColor rgb="FFFFFFFF"/>
      </patternFill>
    </fill>
    <fill>
      <patternFill patternType="solid">
        <fgColor rgb="FFCCCFD0"/>
        <bgColor rgb="FFCCCFD0"/>
      </patternFill>
    </fill>
    <fill>
      <patternFill patternType="solid">
        <fgColor rgb="FF2B282C"/>
        <bgColor rgb="FF2B282C"/>
      </patternFill>
    </fill>
  </fills>
  <borders count="119">
    <border/>
    <border>
      <left style="dotted">
        <color rgb="FFBACEED"/>
      </left>
      <right style="dotted">
        <color rgb="FFBACEED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C2D60"/>
      </left>
      <top style="thick">
        <color rgb="FF0C2D60"/>
      </top>
    </border>
    <border>
      <top style="thick">
        <color rgb="FF0C2D60"/>
      </top>
    </border>
    <border>
      <right style="thick">
        <color rgb="FF0C2D60"/>
      </right>
      <top style="thick">
        <color rgb="FF0C2D6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C2D60"/>
      </left>
    </border>
    <border>
      <right style="thick">
        <color rgb="FF0C2D6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C2D60"/>
      </right>
      <top style="thin">
        <color rgb="FF0C2D60"/>
      </top>
      <bottom style="thin">
        <color rgb="FF0C2D60"/>
      </bottom>
    </border>
    <border>
      <left style="thin">
        <color rgb="FF000000"/>
      </left>
      <top style="thin">
        <color rgb="FF0C2D60"/>
      </top>
      <bottom style="thin">
        <color rgb="FF0C2D60"/>
      </bottom>
    </border>
    <border>
      <left style="thin">
        <color rgb="FF000000"/>
      </left>
      <right style="thin">
        <color rgb="FF0C2D60"/>
      </right>
      <top style="thin">
        <color rgb="FF0C2D60"/>
      </top>
      <bottom style="thin">
        <color rgb="FF0C2D6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C2D60"/>
      </left>
      <bottom style="thick">
        <color rgb="FF0C2D60"/>
      </bottom>
    </border>
    <border>
      <bottom style="thick">
        <color rgb="FF0C2D60"/>
      </bottom>
    </border>
    <border>
      <right style="thick">
        <color rgb="FF0C2D60"/>
      </right>
      <bottom style="thick">
        <color rgb="FF0C2D6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C2D60"/>
      </left>
      <top style="thin">
        <color rgb="FF0C2D60"/>
      </top>
      <bottom style="thin">
        <color rgb="FF0C2D60"/>
      </bottom>
    </border>
    <border>
      <left style="thin">
        <color rgb="FF000000"/>
      </left>
      <right style="thick">
        <color rgb="FF000000"/>
      </right>
      <top style="thin">
        <color rgb="FF0C2D60"/>
      </top>
      <bottom style="thin">
        <color rgb="FF0C2D60"/>
      </bottom>
    </border>
    <border>
      <top style="thin">
        <color rgb="FF0C2D60"/>
      </top>
      <bottom style="thin">
        <color rgb="FF0C2D60"/>
      </bottom>
    </border>
    <border>
      <right style="thick">
        <color rgb="FF0C2D60"/>
      </right>
      <top style="thin">
        <color rgb="FF0C2D60"/>
      </top>
      <bottom style="thin">
        <color rgb="FF0C2D60"/>
      </bottom>
    </border>
    <border>
      <left style="thick">
        <color rgb="FF000000"/>
      </left>
      <right style="thin">
        <color rgb="FF000000"/>
      </right>
      <top style="thin">
        <color rgb="FF0C2D60"/>
      </top>
      <bottom style="thin">
        <color rgb="FF0C2D60"/>
      </bottom>
    </border>
    <border>
      <left style="thin">
        <color rgb="FF0C2D60"/>
      </left>
      <right style="thick">
        <color rgb="FF0C2D60"/>
      </right>
      <top style="thin">
        <color rgb="FF0C2D60"/>
      </top>
      <bottom style="thin">
        <color rgb="FF0C2D60"/>
      </bottom>
    </border>
    <border>
      <left style="thin">
        <color rgb="FFFFFFFF"/>
      </left>
      <right style="thick">
        <color rgb="FF000000"/>
      </right>
    </border>
    <border>
      <left style="double">
        <color rgb="FF0071CE"/>
      </left>
      <top style="double">
        <color rgb="FF0071CE"/>
      </top>
      <bottom style="double">
        <color rgb="FF0071CE"/>
      </bottom>
    </border>
    <border>
      <top style="double">
        <color rgb="FF0071CE"/>
      </top>
      <bottom style="double">
        <color rgb="FF0071CE"/>
      </bottom>
    </border>
    <border>
      <right style="double">
        <color rgb="FF0071CE"/>
      </right>
      <top style="double">
        <color rgb="FF0071CE"/>
      </top>
      <bottom style="double">
        <color rgb="FF0071CE"/>
      </bottom>
    </border>
    <border>
      <bottom style="thick">
        <color rgb="FF0071CE"/>
      </bottom>
    </border>
    <border>
      <bottom style="thick">
        <color rgb="FF3D2A83"/>
      </bottom>
    </border>
    <border>
      <bottom style="thick">
        <color rgb="FFC09523"/>
      </bottom>
    </border>
    <border>
      <left style="dotted">
        <color rgb="FF0071CE"/>
      </left>
      <right style="dotted">
        <color rgb="FF0071CE"/>
      </right>
      <top style="double">
        <color rgb="FF0071CE"/>
      </top>
      <bottom style="double">
        <color rgb="FF0071CE"/>
      </bottom>
    </border>
    <border>
      <left style="dotted">
        <color rgb="FF0071CE"/>
      </left>
      <top style="double">
        <color rgb="FF0071CE"/>
      </top>
      <bottom style="double">
        <color rgb="FF0071CE"/>
      </bottom>
    </border>
    <border>
      <right style="dotted">
        <color rgb="FF0071CE"/>
      </right>
      <top style="double">
        <color rgb="FF0071CE"/>
      </top>
      <bottom style="double">
        <color rgb="FF0071CE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double">
        <color rgb="FF0071CE"/>
      </left>
      <top style="double">
        <color rgb="FF0071CE"/>
      </top>
    </border>
    <border>
      <right style="double">
        <color rgb="FF0071CE"/>
      </right>
      <top style="double">
        <color rgb="FF0071CE"/>
      </top>
    </border>
    <border>
      <left style="double">
        <color rgb="FF0071CE"/>
      </left>
    </border>
    <border>
      <right style="double">
        <color rgb="FF0071CE"/>
      </right>
    </border>
    <border>
      <left style="double">
        <color rgb="FF0071CE"/>
      </left>
      <bottom style="double">
        <color rgb="FF0071CE"/>
      </bottom>
    </border>
    <border>
      <right style="double">
        <color rgb="FF0071CE"/>
      </right>
      <bottom style="double">
        <color rgb="FF0071CE"/>
      </bottom>
    </border>
    <border>
      <bottom style="thick">
        <color rgb="FFFFFFFF"/>
      </bottom>
    </border>
    <border>
      <left style="thin">
        <color rgb="FFFFFFFF"/>
      </left>
      <right style="thin">
        <color rgb="FFFFFFFF"/>
      </right>
      <bottom style="thick">
        <color rgb="FFFFFFFF"/>
      </bottom>
    </border>
    <border>
      <left style="thin">
        <color rgb="FFFFFFFF"/>
      </left>
      <bottom style="thick">
        <color rgb="FFFFFFFF"/>
      </bottom>
    </border>
    <border>
      <bottom style="dotted">
        <color rgb="FFFFFFFF"/>
      </bottom>
    </border>
    <border>
      <left style="thin">
        <color rgb="FFFFFFFF"/>
      </left>
      <right style="thin">
        <color rgb="FFFFFFFF"/>
      </right>
      <bottom style="dotted">
        <color rgb="FFFFFFFF"/>
      </bottom>
    </border>
    <border>
      <left style="thin">
        <color rgb="FFFFFFFF"/>
      </left>
      <bottom style="dotted">
        <color rgb="FFFFFFFF"/>
      </bottom>
    </border>
    <border>
      <top style="dotted">
        <color rgb="FFFFFFFF"/>
      </top>
    </border>
    <border>
      <left style="thin">
        <color rgb="FFFFFFFF"/>
      </left>
      <right style="thin">
        <color rgb="FFFFFFFF"/>
      </right>
      <top style="dotted">
        <color rgb="FFFFFFFF"/>
      </top>
    </border>
    <border>
      <left style="thin">
        <color rgb="FFFFFFFF"/>
      </left>
      <top style="dotted">
        <color rgb="FFFFFFFF"/>
      </top>
    </border>
    <border>
      <bottom style="hair">
        <color rgb="FFFFFFFF"/>
      </bottom>
    </border>
    <border>
      <left style="thin">
        <color rgb="FFFFFFFF"/>
      </left>
      <bottom style="hair">
        <color rgb="FFFFFFFF"/>
      </bottom>
    </border>
    <border>
      <top style="hair">
        <color rgb="FFFFFFFF"/>
      </top>
    </border>
    <border>
      <left style="thin">
        <color rgb="FFFFFFFF"/>
      </left>
      <right style="thin">
        <color rgb="FFFFFFFF"/>
      </right>
      <top style="hair">
        <color rgb="FFFFFFFF"/>
      </top>
    </border>
    <border>
      <left style="thin">
        <color rgb="FFFFFFFF"/>
      </left>
      <top style="hair">
        <color rgb="FFFFFFFF"/>
      </top>
    </border>
    <border>
      <right style="thin">
        <color rgb="FFFFFFFF"/>
      </right>
    </border>
    <border>
      <right style="thin">
        <color rgb="FFFFFFFF"/>
      </right>
      <top style="thick">
        <color rgb="FFFFFFFF"/>
      </top>
    </border>
    <border>
      <left style="double">
        <color rgb="FFFFFFFF"/>
      </left>
      <right style="double">
        <color rgb="FFFFFFFF"/>
      </right>
    </border>
    <border>
      <right style="double">
        <color rgb="FFFFFFFF"/>
      </right>
    </border>
    <border>
      <bottom style="double">
        <color rgb="FF0071CE"/>
      </bottom>
    </border>
    <border>
      <bottom style="double">
        <color rgb="FF2974E8"/>
      </bottom>
    </border>
    <border>
      <right style="dotted">
        <color rgb="FF0071CE"/>
      </right>
      <bottom style="double">
        <color rgb="FF0071CE"/>
      </bottom>
    </border>
    <border>
      <right style="dotted">
        <color rgb="FF0071CE"/>
      </right>
    </border>
    <border>
      <left style="double">
        <color rgb="FF0071CE"/>
      </left>
      <right style="double">
        <color rgb="FF0071CE"/>
      </right>
    </border>
    <border>
      <left style="dotted">
        <color rgb="FF0071CE"/>
      </left>
      <right style="dotted">
        <color rgb="FF0071CE"/>
      </right>
    </border>
    <border>
      <left style="double">
        <color rgb="FF0071CE"/>
      </left>
      <right style="double">
        <color rgb="FF0071CE"/>
      </right>
      <bottom style="double">
        <color rgb="FF0071CE"/>
      </bottom>
    </border>
    <border>
      <left style="dotted">
        <color rgb="FF0071CE"/>
      </left>
      <right style="dotted">
        <color rgb="FF0071CE"/>
      </right>
      <bottom style="double">
        <color rgb="FF0071CE"/>
      </bottom>
    </border>
    <border>
      <bottom style="thick">
        <color rgb="FFB7B7B7"/>
      </bottom>
    </border>
    <border>
      <left style="double">
        <color rgb="FF0071CE"/>
      </left>
      <right style="double">
        <color rgb="FF0071CE"/>
      </right>
      <top style="double">
        <color rgb="FF0071CE"/>
      </top>
      <bottom style="double">
        <color rgb="FF0071CE"/>
      </bottom>
    </border>
    <border>
      <top style="double">
        <color rgb="FF2974E8"/>
      </top>
      <bottom style="double">
        <color rgb="FF0071CE"/>
      </bottom>
    </border>
    <border>
      <left style="double">
        <color rgb="FF0071CE"/>
      </left>
      <right style="double">
        <color rgb="FF0071CE"/>
      </right>
      <bottom style="double">
        <color rgb="FF2974E8"/>
      </bottom>
    </border>
    <border>
      <left style="dotted">
        <color rgb="FF0071CE"/>
      </left>
      <right style="dotted">
        <color rgb="FF0071CE"/>
      </right>
      <bottom style="double">
        <color rgb="FF2974E8"/>
      </bottom>
    </border>
    <border>
      <left style="hair">
        <color rgb="FFBACEED"/>
      </left>
      <right style="hair">
        <color rgb="FFBACEED"/>
      </right>
    </border>
    <border>
      <left style="hair">
        <color rgb="FFBACEED"/>
      </left>
      <bottom style="hair">
        <color rgb="FFBACEED"/>
      </bottom>
    </border>
    <border>
      <right style="hair">
        <color rgb="FFBACEED"/>
      </right>
      <bottom style="hair">
        <color rgb="FFBACEED"/>
      </bottom>
    </border>
    <border>
      <left style="hair">
        <color rgb="FFBACEED"/>
      </left>
    </border>
    <border>
      <right style="hair">
        <color rgb="FFBACEED"/>
      </right>
    </border>
    <border>
      <bottom style="thick">
        <color rgb="FFBACEED"/>
      </bottom>
    </border>
    <border>
      <left style="thin">
        <color rgb="FFBACEED"/>
      </left>
      <bottom style="thick">
        <color rgb="FFBACEED"/>
      </bottom>
    </border>
    <border>
      <left style="thin">
        <color rgb="FFBACEED"/>
      </left>
    </border>
    <border>
      <right style="thin">
        <color rgb="FF000000"/>
      </right>
      <top style="thin">
        <color rgb="FF0C2D60"/>
      </top>
      <bottom style="thin">
        <color rgb="FF0C2D6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dotted">
        <color rgb="FF000000"/>
      </righ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A2BBE3"/>
      </left>
      <top style="double">
        <color rgb="FFA2BBE3"/>
      </top>
      <bottom style="double">
        <color rgb="FFA2BBE3"/>
      </bottom>
    </border>
    <border>
      <top style="double">
        <color rgb="FFA2BBE3"/>
      </top>
      <bottom style="double">
        <color rgb="FFA2BBE3"/>
      </bottom>
    </border>
    <border>
      <right style="double">
        <color rgb="FFA2BBE3"/>
      </right>
      <top style="double">
        <color rgb="FFA2BBE3"/>
      </top>
      <bottom style="double">
        <color rgb="FFA2BBE3"/>
      </bottom>
    </border>
    <border>
      <left style="double">
        <color rgb="FFA2BBE3"/>
      </left>
      <right style="double">
        <color rgb="FFA2BBE3"/>
      </right>
      <top style="double">
        <color rgb="FFA2BBE3"/>
      </top>
      <bottom style="double">
        <color rgb="FFA2BBE3"/>
      </bottom>
    </border>
    <border>
      <left style="double">
        <color rgb="FFA2BBE3"/>
      </left>
      <right style="double">
        <color rgb="FFA2BBE3"/>
      </right>
      <bottom style="dotted">
        <color rgb="FFA2BBE3"/>
      </bottom>
    </border>
    <border>
      <bottom style="dotted">
        <color rgb="FFA2BBE3"/>
      </bottom>
    </border>
    <border>
      <right style="double">
        <color rgb="FFA2BBE3"/>
      </right>
      <bottom style="dotted">
        <color rgb="FFA2BBE3"/>
      </bottom>
    </border>
    <border>
      <left style="hair">
        <color rgb="FFBACEED"/>
      </left>
      <right style="hair">
        <color rgb="FFBACEED"/>
      </right>
      <top style="hair">
        <color rgb="FFBACEED"/>
      </top>
    </border>
    <border>
      <right style="hair">
        <color rgb="FFBACEED"/>
      </right>
      <top style="hair">
        <color rgb="FFBACEED"/>
      </top>
    </border>
  </borders>
  <cellStyleXfs count="1">
    <xf borderId="0" fillId="0" fontId="0" numFmtId="0" applyAlignment="1" applyFont="1"/>
  </cellStyleXfs>
  <cellXfs count="5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1" fillId="0" fontId="1" numFmtId="0" xfId="0" applyBorder="1" applyFont="1"/>
    <xf borderId="0" fillId="2" fontId="1" numFmtId="0" xfId="0" applyAlignment="1" applyFont="1">
      <alignment readingOrder="0"/>
    </xf>
    <xf borderId="0" fillId="4" fontId="1" numFmtId="0" xfId="0" applyFill="1" applyFont="1"/>
    <xf borderId="0" fillId="5" fontId="1" numFmtId="0" xfId="0" applyFill="1" applyFont="1"/>
    <xf borderId="1" fillId="3" fontId="1" numFmtId="0" xfId="0" applyBorder="1" applyFont="1"/>
    <xf borderId="0" fillId="6" fontId="1" numFmtId="0" xfId="0" applyFill="1" applyFont="1"/>
    <xf borderId="2" fillId="3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7" fontId="1" numFmtId="0" xfId="0" applyBorder="1" applyFill="1" applyFont="1"/>
    <xf borderId="6" fillId="7" fontId="1" numFmtId="0" xfId="0" applyBorder="1" applyFont="1"/>
    <xf borderId="7" fillId="7" fontId="1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7" fontId="1" numFmtId="0" xfId="0" applyBorder="1" applyFont="1"/>
    <xf borderId="0" fillId="7" fontId="1" numFmtId="0" xfId="0" applyFont="1"/>
    <xf borderId="11" fillId="7" fontId="1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5" fontId="1" numFmtId="0" xfId="0" applyAlignment="1" applyFont="1">
      <alignment readingOrder="0"/>
    </xf>
    <xf borderId="9" fillId="6" fontId="1" numFmtId="0" xfId="0" applyBorder="1" applyFont="1"/>
    <xf borderId="0" fillId="8" fontId="4" numFmtId="0" xfId="0" applyAlignment="1" applyFill="1" applyFont="1">
      <alignment horizontal="center" readingOrder="0" shrinkToFit="0" vertical="center" wrapText="1"/>
    </xf>
    <xf borderId="0" fillId="8" fontId="5" numFmtId="0" xfId="0" applyAlignment="1" applyFont="1">
      <alignment horizontal="center"/>
    </xf>
    <xf borderId="0" fillId="8" fontId="5" numFmtId="0" xfId="0" applyFont="1"/>
    <xf borderId="9" fillId="8" fontId="6" numFmtId="0" xfId="0" applyAlignment="1" applyBorder="1" applyFont="1">
      <alignment horizontal="center" readingOrder="0" shrinkToFit="0" vertical="center" wrapText="1"/>
    </xf>
    <xf borderId="15" fillId="3" fontId="7" numFmtId="0" xfId="0" applyAlignment="1" applyBorder="1" applyFont="1">
      <alignment horizontal="center" readingOrder="0" shrinkToFit="0" vertical="center" wrapText="1"/>
    </xf>
    <xf borderId="8" fillId="5" fontId="1" numFmtId="0" xfId="0" applyBorder="1" applyFont="1"/>
    <xf borderId="9" fillId="3" fontId="1" numFmtId="0" xfId="0" applyBorder="1" applyFont="1"/>
    <xf borderId="8" fillId="8" fontId="8" numFmtId="0" xfId="0" applyAlignment="1" applyBorder="1" applyFont="1">
      <alignment horizontal="center" readingOrder="0" shrinkToFit="0" vertical="center" wrapText="1"/>
    </xf>
    <xf borderId="0" fillId="8" fontId="1" numFmtId="0" xfId="0" applyFont="1"/>
    <xf borderId="16" fillId="3" fontId="7" numFmtId="0" xfId="0" applyAlignment="1" applyBorder="1" applyFont="1">
      <alignment horizontal="center" readingOrder="0" shrinkToFit="0" vertical="center" wrapText="1"/>
    </xf>
    <xf borderId="8" fillId="3" fontId="1" numFmtId="0" xfId="0" applyBorder="1" applyFont="1"/>
    <xf borderId="15" fillId="3" fontId="9" numFmtId="0" xfId="0" applyAlignment="1" applyBorder="1" applyFont="1">
      <alignment horizontal="center" readingOrder="0" shrinkToFit="0" vertical="center" wrapText="1"/>
    </xf>
    <xf borderId="9" fillId="8" fontId="10" numFmtId="0" xfId="0" applyAlignment="1" applyBorder="1" applyFont="1">
      <alignment horizontal="center" readingOrder="0" shrinkToFit="0" vertical="center" wrapText="1"/>
    </xf>
    <xf borderId="17" fillId="3" fontId="9" numFmtId="0" xfId="0" applyAlignment="1" applyBorder="1" applyFont="1">
      <alignment horizontal="center" readingOrder="0" shrinkToFit="0" vertical="center" wrapText="1"/>
    </xf>
    <xf borderId="9" fillId="5" fontId="1" numFmtId="0" xfId="0" applyBorder="1" applyFont="1"/>
    <xf borderId="18" fillId="3" fontId="11" numFmtId="164" xfId="0" applyAlignment="1" applyBorder="1" applyFont="1" applyNumberFormat="1">
      <alignment horizontal="center" readingOrder="0" shrinkToFit="0" vertical="center" wrapText="0"/>
    </xf>
    <xf borderId="8" fillId="8" fontId="6" numFmtId="164" xfId="0" applyAlignment="1" applyBorder="1" applyFont="1" applyNumberFormat="1">
      <alignment horizontal="center" readingOrder="0" shrinkToFit="0" vertical="center" wrapText="0"/>
    </xf>
    <xf borderId="19" fillId="3" fontId="12" numFmtId="165" xfId="0" applyAlignment="1" applyBorder="1" applyFont="1" applyNumberFormat="1">
      <alignment horizontal="center" readingOrder="0" shrinkToFit="0" vertical="center" wrapText="0"/>
    </xf>
    <xf borderId="8" fillId="6" fontId="1" numFmtId="0" xfId="0" applyBorder="1" applyFont="1"/>
    <xf borderId="9" fillId="8" fontId="6" numFmtId="165" xfId="0" applyAlignment="1" applyBorder="1" applyFont="1" applyNumberFormat="1">
      <alignment horizontal="center" readingOrder="0" shrinkToFit="0" vertical="center" wrapText="0"/>
    </xf>
    <xf borderId="20" fillId="3" fontId="12" numFmtId="166" xfId="0" applyAlignment="1" applyBorder="1" applyFont="1" applyNumberFormat="1">
      <alignment horizontal="center" readingOrder="0" shrinkToFit="0" vertical="center" wrapText="0"/>
    </xf>
    <xf borderId="21" fillId="0" fontId="3" numFmtId="0" xfId="0" applyBorder="1" applyFont="1"/>
    <xf borderId="22" fillId="0" fontId="3" numFmtId="0" xfId="0" applyBorder="1" applyFont="1"/>
    <xf borderId="23" fillId="7" fontId="1" numFmtId="0" xfId="0" applyBorder="1" applyFont="1"/>
    <xf borderId="24" fillId="7" fontId="1" numFmtId="0" xfId="0" applyBorder="1" applyFont="1"/>
    <xf borderId="25" fillId="7" fontId="1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0" fillId="3" fontId="1" numFmtId="0" xfId="0" applyAlignment="1" applyFont="1">
      <alignment readingOrder="0"/>
    </xf>
    <xf borderId="0" fillId="3" fontId="13" numFmtId="0" xfId="0" applyFont="1"/>
    <xf borderId="0" fillId="3" fontId="14" numFmtId="0" xfId="0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readingOrder="0"/>
    </xf>
    <xf borderId="5" fillId="8" fontId="1" numFmtId="0" xfId="0" applyBorder="1" applyFont="1"/>
    <xf borderId="6" fillId="8" fontId="1" numFmtId="0" xfId="0" applyBorder="1" applyFont="1"/>
    <xf borderId="7" fillId="8" fontId="1" numFmtId="0" xfId="0" applyBorder="1" applyFont="1"/>
    <xf borderId="10" fillId="0" fontId="1" numFmtId="0" xfId="0" applyBorder="1" applyFont="1"/>
    <xf borderId="29" fillId="3" fontId="15" numFmtId="0" xfId="0" applyAlignment="1" applyBorder="1" applyFont="1">
      <alignment horizontal="center" readingOrder="0" shrinkToFit="0" vertical="center" wrapText="1"/>
    </xf>
    <xf borderId="15" fillId="0" fontId="3" numFmtId="0" xfId="0" applyBorder="1" applyFont="1"/>
    <xf borderId="0" fillId="0" fontId="16" numFmtId="0" xfId="0" applyFont="1"/>
    <xf borderId="11" fillId="0" fontId="1" numFmtId="0" xfId="0" applyBorder="1" applyFont="1"/>
    <xf borderId="15" fillId="7" fontId="17" numFmtId="0" xfId="0" applyAlignment="1" applyBorder="1" applyFont="1">
      <alignment horizontal="center" readingOrder="0" shrinkToFit="0" vertical="center" wrapText="1"/>
    </xf>
    <xf borderId="0" fillId="8" fontId="18" numFmtId="0" xfId="0" applyFont="1"/>
    <xf borderId="30" fillId="3" fontId="17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readingOrder="0"/>
    </xf>
    <xf borderId="11" fillId="8" fontId="18" numFmtId="0" xfId="0" applyBorder="1" applyFont="1"/>
    <xf borderId="0" fillId="0" fontId="14" numFmtId="0" xfId="0" applyFont="1"/>
    <xf borderId="29" fillId="3" fontId="19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31" fillId="3" fontId="20" numFmtId="0" xfId="0" applyAlignment="1" applyBorder="1" applyFont="1">
      <alignment horizontal="center" readingOrder="0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3" fontId="21" numFmtId="0" xfId="0" applyAlignment="1" applyBorder="1" applyFont="1">
      <alignment horizontal="center" readingOrder="0" shrinkToFit="0" vertical="center" wrapText="1"/>
    </xf>
    <xf borderId="34" fillId="3" fontId="22" numFmtId="0" xfId="0" applyAlignment="1" applyBorder="1" applyFont="1">
      <alignment horizontal="center" readingOrder="0" shrinkToFit="0" vertical="center" wrapText="1"/>
    </xf>
    <xf borderId="10" fillId="8" fontId="18" numFmtId="0" xfId="0" applyBorder="1" applyFont="1"/>
    <xf borderId="34" fillId="3" fontId="23" numFmtId="0" xfId="0" applyAlignment="1" applyBorder="1" applyFont="1">
      <alignment horizontal="center" readingOrder="0" shrinkToFit="0" vertical="center" wrapText="1"/>
    </xf>
    <xf borderId="33" fillId="3" fontId="23" numFmtId="0" xfId="0" applyAlignment="1" applyBorder="1" applyFont="1">
      <alignment horizontal="center" readingOrder="0" shrinkToFit="0" vertical="center" wrapText="1"/>
    </xf>
    <xf borderId="35" fillId="8" fontId="18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34" fillId="3" fontId="24" numFmtId="0" xfId="0" applyAlignment="1" applyBorder="1" applyFont="1">
      <alignment horizontal="center" readingOrder="0" shrinkToFit="0" vertical="center" wrapText="1"/>
    </xf>
    <xf borderId="23" fillId="8" fontId="18" numFmtId="0" xfId="0" applyBorder="1" applyFont="1"/>
    <xf borderId="24" fillId="8" fontId="18" numFmtId="0" xfId="0" applyBorder="1" applyFont="1"/>
    <xf borderId="25" fillId="8" fontId="18" numFmtId="0" xfId="0" applyBorder="1" applyFont="1"/>
    <xf borderId="0" fillId="2" fontId="25" numFmtId="10" xfId="0" applyFont="1" applyNumberFormat="1"/>
    <xf borderId="0" fillId="5" fontId="25" numFmtId="0" xfId="0" applyFont="1"/>
    <xf borderId="0" fillId="5" fontId="25" numFmtId="10" xfId="0" applyFont="1" applyNumberFormat="1"/>
    <xf borderId="0" fillId="2" fontId="25" numFmtId="0" xfId="0" applyFont="1"/>
    <xf borderId="0" fillId="5" fontId="26" numFmtId="0" xfId="0" applyAlignment="1" applyFont="1">
      <alignment horizontal="center" readingOrder="0" vertical="center"/>
    </xf>
    <xf borderId="36" fillId="9" fontId="27" numFmtId="0" xfId="0" applyAlignment="1" applyBorder="1" applyFill="1" applyFont="1">
      <alignment horizontal="center" readingOrder="0" vertical="center"/>
    </xf>
    <xf borderId="37" fillId="0" fontId="3" numFmtId="0" xfId="0" applyBorder="1" applyFont="1"/>
    <xf borderId="38" fillId="0" fontId="3" numFmtId="0" xfId="0" applyBorder="1" applyFont="1"/>
    <xf borderId="39" fillId="5" fontId="28" numFmtId="0" xfId="0" applyAlignment="1" applyBorder="1" applyFont="1">
      <alignment horizontal="center" readingOrder="0" vertical="center"/>
    </xf>
    <xf borderId="40" fillId="5" fontId="28" numFmtId="0" xfId="0" applyAlignment="1" applyBorder="1" applyFont="1">
      <alignment horizontal="center" readingOrder="0" vertical="center"/>
    </xf>
    <xf borderId="41" fillId="5" fontId="29" numFmtId="0" xfId="0" applyAlignment="1" applyBorder="1" applyFont="1">
      <alignment horizontal="center" readingOrder="0" shrinkToFit="0" vertical="center" wrapText="1"/>
    </xf>
    <xf borderId="0" fillId="5" fontId="30" numFmtId="0" xfId="0" applyAlignment="1" applyFont="1">
      <alignment horizontal="center" readingOrder="0" shrinkToFit="0" wrapText="0"/>
    </xf>
    <xf borderId="0" fillId="10" fontId="31" numFmtId="0" xfId="0" applyAlignment="1" applyFill="1" applyFont="1">
      <alignment horizontal="center" readingOrder="0" vertical="center"/>
    </xf>
    <xf borderId="36" fillId="9" fontId="32" numFmtId="0" xfId="0" applyAlignment="1" applyBorder="1" applyFont="1">
      <alignment horizontal="center" readingOrder="0" vertical="center"/>
    </xf>
    <xf borderId="42" fillId="9" fontId="27" numFmtId="0" xfId="0" applyAlignment="1" applyBorder="1" applyFont="1">
      <alignment horizontal="center" readingOrder="0" vertical="center"/>
    </xf>
    <xf borderId="43" fillId="9" fontId="27" numFmtId="0" xfId="0" applyAlignment="1" applyBorder="1" applyFont="1">
      <alignment horizontal="center" readingOrder="0" vertical="center"/>
    </xf>
    <xf borderId="44" fillId="0" fontId="3" numFmtId="0" xfId="0" applyBorder="1" applyFont="1"/>
    <xf borderId="0" fillId="5" fontId="33" numFmtId="0" xfId="0" applyAlignment="1" applyFont="1">
      <alignment horizontal="center" readingOrder="0" textRotation="90" vertical="center"/>
    </xf>
    <xf borderId="0" fillId="5" fontId="34" numFmtId="0" xfId="0" applyAlignment="1" applyFont="1">
      <alignment horizontal="center" readingOrder="0" textRotation="90" vertical="center"/>
    </xf>
    <xf borderId="0" fillId="11" fontId="26" numFmtId="0" xfId="0" applyAlignment="1" applyFill="1" applyFont="1">
      <alignment horizontal="center" readingOrder="0" vertical="center"/>
    </xf>
    <xf borderId="0" fillId="5" fontId="35" numFmtId="0" xfId="0" applyAlignment="1" applyFont="1">
      <alignment horizontal="center" readingOrder="0" vertical="center"/>
    </xf>
    <xf borderId="45" fillId="5" fontId="36" numFmtId="167" xfId="0" applyAlignment="1" applyBorder="1" applyFont="1" applyNumberFormat="1">
      <alignment horizontal="center" readingOrder="0" vertical="center"/>
    </xf>
    <xf borderId="0" fillId="5" fontId="36" numFmtId="20" xfId="0" applyAlignment="1" applyFont="1" applyNumberFormat="1">
      <alignment horizontal="center" readingOrder="0" vertical="center"/>
    </xf>
    <xf borderId="46" fillId="5" fontId="35" numFmtId="0" xfId="0" applyAlignment="1" applyBorder="1" applyFont="1">
      <alignment horizontal="center" readingOrder="0" vertical="center"/>
    </xf>
    <xf borderId="46" fillId="5" fontId="37" numFmtId="0" xfId="0" applyAlignment="1" applyBorder="1" applyFont="1">
      <alignment horizontal="center" readingOrder="0" shrinkToFit="0" vertical="center" wrapText="0"/>
    </xf>
    <xf borderId="47" fillId="9" fontId="38" numFmtId="0" xfId="0" applyAlignment="1" applyBorder="1" applyFont="1">
      <alignment horizontal="center" readingOrder="0" textRotation="90" vertical="center"/>
    </xf>
    <xf borderId="48" fillId="0" fontId="3" numFmtId="0" xfId="0" applyBorder="1" applyFont="1"/>
    <xf borderId="0" fillId="5" fontId="36" numFmtId="168" xfId="0" applyAlignment="1" applyFont="1" applyNumberFormat="1">
      <alignment horizontal="center" readingOrder="0" vertical="center"/>
    </xf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0" fillId="5" fontId="39" numFmtId="0" xfId="0" applyAlignment="1" applyFont="1">
      <alignment horizontal="center" readingOrder="0" textRotation="90" vertical="center"/>
    </xf>
    <xf borderId="0" fillId="5" fontId="40" numFmtId="0" xfId="0" applyAlignment="1" applyFont="1">
      <alignment horizontal="center" readingOrder="0" textRotation="90" vertical="center"/>
    </xf>
    <xf borderId="0" fillId="5" fontId="41" numFmtId="0" xfId="0" applyAlignment="1" applyFont="1">
      <alignment horizontal="center" readingOrder="0" textRotation="90" vertical="center"/>
    </xf>
    <xf borderId="53" fillId="5" fontId="35" numFmtId="0" xfId="0" applyAlignment="1" applyBorder="1" applyFont="1">
      <alignment horizontal="center" readingOrder="0" vertical="center"/>
    </xf>
    <xf borderId="54" fillId="5" fontId="36" numFmtId="167" xfId="0" applyAlignment="1" applyBorder="1" applyFont="1" applyNumberFormat="1">
      <alignment horizontal="center" readingOrder="0" vertical="center"/>
    </xf>
    <xf borderId="53" fillId="5" fontId="36" numFmtId="168" xfId="0" applyAlignment="1" applyBorder="1" applyFont="1" applyNumberFormat="1">
      <alignment horizontal="center" readingOrder="0" vertical="center"/>
    </xf>
    <xf borderId="55" fillId="5" fontId="35" numFmtId="0" xfId="0" applyAlignment="1" applyBorder="1" applyFont="1">
      <alignment horizontal="center" readingOrder="0" vertical="center"/>
    </xf>
    <xf borderId="55" fillId="5" fontId="42" numFmtId="0" xfId="0" applyAlignment="1" applyBorder="1" applyFont="1">
      <alignment horizontal="center" readingOrder="0" shrinkToFit="0" vertical="center" wrapText="0"/>
    </xf>
    <xf borderId="0" fillId="5" fontId="40" numFmtId="0" xfId="0" applyAlignment="1" applyFont="1">
      <alignment horizontal="center" readingOrder="0" vertical="center"/>
    </xf>
    <xf borderId="0" fillId="12" fontId="26" numFmtId="0" xfId="0" applyAlignment="1" applyFill="1" applyFont="1">
      <alignment horizontal="center" readingOrder="0" vertical="center"/>
    </xf>
    <xf borderId="46" fillId="5" fontId="43" numFmtId="0" xfId="0" applyAlignment="1" applyBorder="1" applyFont="1">
      <alignment horizontal="left" readingOrder="0" shrinkToFit="0" vertical="center" wrapText="0"/>
    </xf>
    <xf borderId="0" fillId="5" fontId="44" numFmtId="0" xfId="0" applyAlignment="1" applyFont="1">
      <alignment horizontal="center" readingOrder="0" textRotation="90" vertical="center"/>
    </xf>
    <xf borderId="56" fillId="5" fontId="35" numFmtId="0" xfId="0" applyAlignment="1" applyBorder="1" applyFont="1">
      <alignment horizontal="center" readingOrder="0" vertical="center"/>
    </xf>
    <xf borderId="57" fillId="5" fontId="36" numFmtId="167" xfId="0" applyAlignment="1" applyBorder="1" applyFont="1" applyNumberFormat="1">
      <alignment horizontal="center" readingOrder="0" vertical="center"/>
    </xf>
    <xf borderId="56" fillId="5" fontId="36" numFmtId="168" xfId="0" applyAlignment="1" applyBorder="1" applyFont="1" applyNumberFormat="1">
      <alignment horizontal="center" readingOrder="0" vertical="center"/>
    </xf>
    <xf borderId="58" fillId="5" fontId="35" numFmtId="0" xfId="0" applyAlignment="1" applyBorder="1" applyFont="1">
      <alignment horizontal="center" readingOrder="0" vertical="center"/>
    </xf>
    <xf borderId="58" fillId="5" fontId="45" numFmtId="0" xfId="0" applyAlignment="1" applyBorder="1" applyFont="1">
      <alignment horizontal="center" readingOrder="0" shrinkToFit="0" vertical="center" wrapText="0"/>
    </xf>
    <xf borderId="53" fillId="5" fontId="40" numFmtId="0" xfId="0" applyAlignment="1" applyBorder="1" applyFont="1">
      <alignment horizontal="center" readingOrder="0" textRotation="90" vertical="center"/>
    </xf>
    <xf borderId="53" fillId="5" fontId="40" numFmtId="0" xfId="0" applyAlignment="1" applyBorder="1" applyFont="1">
      <alignment horizontal="center" readingOrder="0" vertical="center"/>
    </xf>
    <xf borderId="53" fillId="5" fontId="46" numFmtId="0" xfId="0" applyAlignment="1" applyBorder="1" applyFont="1">
      <alignment horizontal="center" readingOrder="0" textRotation="90" vertical="center"/>
    </xf>
    <xf borderId="53" fillId="5" fontId="26" numFmtId="0" xfId="0" applyAlignment="1" applyBorder="1" applyFont="1">
      <alignment horizontal="center" readingOrder="0" vertical="center"/>
    </xf>
    <xf borderId="45" fillId="5" fontId="35" numFmtId="167" xfId="0" applyAlignment="1" applyBorder="1" applyFont="1" applyNumberFormat="1">
      <alignment horizontal="center" readingOrder="0" vertical="center"/>
    </xf>
    <xf borderId="0" fillId="5" fontId="35" numFmtId="169" xfId="0" applyAlignment="1" applyFont="1" applyNumberFormat="1">
      <alignment horizontal="center" readingOrder="0" vertical="center"/>
    </xf>
    <xf borderId="0" fillId="5" fontId="47" numFmtId="0" xfId="0" applyAlignment="1" applyFont="1">
      <alignment horizontal="center" readingOrder="0" textRotation="90" vertical="center"/>
    </xf>
    <xf borderId="57" fillId="5" fontId="35" numFmtId="167" xfId="0" applyAlignment="1" applyBorder="1" applyFont="1" applyNumberFormat="1">
      <alignment horizontal="center" readingOrder="0" vertical="center"/>
    </xf>
    <xf borderId="56" fillId="5" fontId="35" numFmtId="169" xfId="0" applyAlignment="1" applyBorder="1" applyFont="1" applyNumberFormat="1">
      <alignment horizontal="center" readingOrder="0" vertical="center"/>
    </xf>
    <xf borderId="0" fillId="5" fontId="48" numFmtId="0" xfId="0" applyAlignment="1" applyFont="1">
      <alignment horizontal="center" readingOrder="0" vertical="center"/>
    </xf>
    <xf borderId="46" fillId="5" fontId="35" numFmtId="0" xfId="0" applyAlignment="1" applyBorder="1" applyFont="1">
      <alignment horizontal="center" readingOrder="0" shrinkToFit="0" vertical="center" wrapText="0"/>
    </xf>
    <xf borderId="0" fillId="5" fontId="49" numFmtId="0" xfId="0" applyAlignment="1" applyFont="1">
      <alignment horizontal="center" readingOrder="0" vertical="center"/>
    </xf>
    <xf borderId="46" fillId="5" fontId="50" numFmtId="0" xfId="0" applyAlignment="1" applyBorder="1" applyFont="1">
      <alignment horizontal="center" readingOrder="0" shrinkToFit="0" vertical="center" wrapText="0"/>
    </xf>
    <xf borderId="56" fillId="5" fontId="49" numFmtId="0" xfId="0" applyAlignment="1" applyBorder="1" applyFont="1">
      <alignment horizontal="center" readingOrder="0" vertical="center"/>
    </xf>
    <xf borderId="58" fillId="5" fontId="50" numFmtId="0" xfId="0" applyAlignment="1" applyBorder="1" applyFont="1">
      <alignment horizontal="center" readingOrder="0" shrinkToFit="0" vertical="center" wrapText="0"/>
    </xf>
    <xf borderId="59" fillId="5" fontId="35" numFmtId="0" xfId="0" applyAlignment="1" applyBorder="1" applyFont="1">
      <alignment horizontal="center" readingOrder="0" vertical="center"/>
    </xf>
    <xf borderId="60" fillId="5" fontId="35" numFmtId="167" xfId="0" applyAlignment="1" applyBorder="1" applyFont="1" applyNumberFormat="1">
      <alignment horizontal="center" readingOrder="0" vertical="center"/>
    </xf>
    <xf borderId="59" fillId="5" fontId="35" numFmtId="168" xfId="0" applyAlignment="1" applyBorder="1" applyFont="1" applyNumberFormat="1">
      <alignment horizontal="center" readingOrder="0" vertical="center"/>
    </xf>
    <xf borderId="61" fillId="5" fontId="35" numFmtId="0" xfId="0" applyAlignment="1" applyBorder="1" applyFont="1">
      <alignment horizontal="center" readingOrder="0" vertical="center"/>
    </xf>
    <xf borderId="61" fillId="5" fontId="51" numFmtId="0" xfId="0" applyAlignment="1" applyBorder="1" applyFont="1">
      <alignment horizontal="center" readingOrder="0" shrinkToFit="0" vertical="center" wrapText="0"/>
    </xf>
    <xf borderId="54" fillId="5" fontId="35" numFmtId="167" xfId="0" applyAlignment="1" applyBorder="1" applyFont="1" applyNumberFormat="1">
      <alignment horizontal="center" readingOrder="0" vertical="center"/>
    </xf>
    <xf borderId="53" fillId="5" fontId="35" numFmtId="169" xfId="0" applyAlignment="1" applyBorder="1" applyFont="1" applyNumberFormat="1">
      <alignment horizontal="center" readingOrder="0" vertical="center"/>
    </xf>
    <xf borderId="49" fillId="9" fontId="52" numFmtId="0" xfId="0" applyAlignment="1" applyBorder="1" applyFont="1">
      <alignment horizontal="center" readingOrder="0" textRotation="90" vertical="center"/>
    </xf>
    <xf borderId="62" fillId="5" fontId="35" numFmtId="0" xfId="0" applyAlignment="1" applyBorder="1" applyFont="1">
      <alignment horizontal="center" readingOrder="0" vertical="center"/>
    </xf>
    <xf borderId="62" fillId="5" fontId="35" numFmtId="169" xfId="0" applyAlignment="1" applyBorder="1" applyFont="1" applyNumberFormat="1">
      <alignment horizontal="center" readingOrder="0" vertical="center"/>
    </xf>
    <xf borderId="63" fillId="5" fontId="35" numFmtId="0" xfId="0" applyAlignment="1" applyBorder="1" applyFont="1">
      <alignment horizontal="center" readingOrder="0" vertical="center"/>
    </xf>
    <xf borderId="63" fillId="5" fontId="53" numFmtId="0" xfId="0" applyAlignment="1" applyBorder="1" applyFont="1">
      <alignment horizontal="center" readingOrder="0" shrinkToFit="0" vertical="center" wrapText="0"/>
    </xf>
    <xf borderId="0" fillId="5" fontId="54" numFmtId="0" xfId="0" applyAlignment="1" applyFont="1">
      <alignment horizontal="center" readingOrder="0" vertical="center"/>
    </xf>
    <xf borderId="45" fillId="5" fontId="54" numFmtId="167" xfId="0" applyAlignment="1" applyBorder="1" applyFont="1" applyNumberFormat="1">
      <alignment horizontal="center" readingOrder="0" vertical="center"/>
    </xf>
    <xf borderId="0" fillId="5" fontId="54" numFmtId="169" xfId="0" applyAlignment="1" applyFont="1" applyNumberFormat="1">
      <alignment horizontal="center" readingOrder="0" vertical="center"/>
    </xf>
    <xf borderId="46" fillId="5" fontId="54" numFmtId="0" xfId="0" applyAlignment="1" applyBorder="1" applyFont="1">
      <alignment horizontal="center" readingOrder="0" vertical="center"/>
    </xf>
    <xf borderId="64" fillId="5" fontId="35" numFmtId="0" xfId="0" applyAlignment="1" applyBorder="1" applyFont="1">
      <alignment horizontal="center" readingOrder="0" vertical="center"/>
    </xf>
    <xf borderId="65" fillId="5" fontId="35" numFmtId="167" xfId="0" applyAlignment="1" applyBorder="1" applyFont="1" applyNumberFormat="1">
      <alignment horizontal="center" readingOrder="0" vertical="center"/>
    </xf>
    <xf borderId="64" fillId="5" fontId="35" numFmtId="169" xfId="0" applyAlignment="1" applyBorder="1" applyFont="1" applyNumberFormat="1">
      <alignment horizontal="center" readingOrder="0" vertical="center"/>
    </xf>
    <xf borderId="66" fillId="5" fontId="35" numFmtId="0" xfId="0" applyAlignment="1" applyBorder="1" applyFont="1">
      <alignment horizontal="center" readingOrder="0" vertical="center"/>
    </xf>
    <xf borderId="66" fillId="5" fontId="55" numFmtId="0" xfId="0" applyAlignment="1" applyBorder="1" applyFont="1">
      <alignment horizontal="center" readingOrder="0" shrinkToFit="0" vertical="center" wrapText="0"/>
    </xf>
    <xf borderId="53" fillId="5" fontId="56" numFmtId="0" xfId="0" applyAlignment="1" applyBorder="1" applyFont="1">
      <alignment horizontal="center" readingOrder="0" shrinkToFit="0" textRotation="90" vertical="center" wrapText="0"/>
    </xf>
    <xf borderId="0" fillId="5" fontId="56" numFmtId="0" xfId="0" applyAlignment="1" applyFont="1">
      <alignment horizontal="center" readingOrder="0" shrinkToFit="0" textRotation="90" vertical="center" wrapText="0"/>
    </xf>
    <xf borderId="47" fillId="9" fontId="32" numFmtId="0" xfId="0" applyAlignment="1" applyBorder="1" applyFont="1">
      <alignment horizontal="center" readingOrder="0" textRotation="0" vertical="center"/>
    </xf>
    <xf borderId="46" fillId="5" fontId="57" numFmtId="0" xfId="0" applyAlignment="1" applyBorder="1" applyFont="1">
      <alignment horizontal="left" readingOrder="0" shrinkToFit="0" vertical="center" wrapText="0"/>
    </xf>
    <xf borderId="46" fillId="5" fontId="58" numFmtId="0" xfId="0" applyAlignment="1" applyBorder="1" applyFont="1">
      <alignment horizontal="left" readingOrder="0" shrinkToFit="0" vertical="center" wrapText="0"/>
    </xf>
    <xf borderId="63" fillId="5" fontId="58" numFmtId="0" xfId="0" applyAlignment="1" applyBorder="1" applyFont="1">
      <alignment horizontal="left" readingOrder="0" shrinkToFit="0" vertical="center" wrapText="0"/>
    </xf>
    <xf borderId="53" fillId="12" fontId="26" numFmtId="0" xfId="0" applyAlignment="1" applyBorder="1" applyFont="1">
      <alignment horizontal="center" readingOrder="0" vertical="center"/>
    </xf>
    <xf borderId="55" fillId="5" fontId="59" numFmtId="0" xfId="0" applyAlignment="1" applyBorder="1" applyFont="1">
      <alignment horizontal="left" readingOrder="0" shrinkToFit="0" vertical="center" wrapText="0"/>
    </xf>
    <xf borderId="0" fillId="5" fontId="60" numFmtId="0" xfId="0" applyAlignment="1" applyFont="1">
      <alignment horizontal="center" readingOrder="0" shrinkToFit="0" textRotation="90" vertical="center" wrapText="0"/>
    </xf>
    <xf borderId="67" fillId="5" fontId="35" numFmtId="0" xfId="0" applyAlignment="1" applyBorder="1" applyFont="1">
      <alignment horizontal="center" readingOrder="0" vertical="center"/>
    </xf>
    <xf borderId="45" fillId="5" fontId="35" numFmtId="0" xfId="0" applyAlignment="1" applyBorder="1" applyFont="1">
      <alignment horizontal="center" readingOrder="0" vertical="center"/>
    </xf>
    <xf borderId="68" fillId="5" fontId="35" numFmtId="0" xfId="0" applyAlignment="1" applyBorder="1" applyFont="1">
      <alignment horizontal="center" readingOrder="0" vertical="center"/>
    </xf>
    <xf borderId="0" fillId="5" fontId="61" numFmtId="0" xfId="0" applyAlignment="1" applyFont="1">
      <alignment horizontal="left" readingOrder="0" shrinkToFit="0" vertical="center" wrapText="0"/>
    </xf>
    <xf borderId="47" fillId="9" fontId="32" numFmtId="0" xfId="0" applyAlignment="1" applyBorder="1" applyFont="1">
      <alignment horizontal="center" readingOrder="0" shrinkToFit="0" vertical="center" wrapText="1"/>
    </xf>
    <xf borderId="0" fillId="5" fontId="35" numFmtId="168" xfId="0" applyAlignment="1" applyFont="1" applyNumberFormat="1">
      <alignment horizontal="center" readingOrder="0" vertical="center"/>
    </xf>
    <xf borderId="0" fillId="5" fontId="35" numFmtId="0" xfId="0" applyAlignment="1" applyFont="1">
      <alignment horizontal="left" readingOrder="0" shrinkToFit="0" vertical="center" wrapText="0"/>
    </xf>
    <xf borderId="0" fillId="13" fontId="26" numFmtId="0" xfId="0" applyAlignment="1" applyFill="1" applyFont="1">
      <alignment horizontal="center" readingOrder="0" vertical="center"/>
    </xf>
    <xf borderId="0" fillId="5" fontId="62" numFmtId="0" xfId="0" applyFont="1"/>
    <xf borderId="0" fillId="2" fontId="62" numFmtId="0" xfId="0" applyAlignment="1" applyFont="1">
      <alignment readingOrder="0"/>
    </xf>
    <xf borderId="0" fillId="14" fontId="63" numFmtId="0" xfId="0" applyAlignment="1" applyFill="1" applyFont="1">
      <alignment horizontal="center" vertical="center"/>
    </xf>
    <xf borderId="69" fillId="15" fontId="14" numFmtId="0" xfId="0" applyBorder="1" applyFill="1" applyFont="1"/>
    <xf borderId="0" fillId="5" fontId="64" numFmtId="0" xfId="0" applyAlignment="1" applyFont="1">
      <alignment horizontal="center" readingOrder="0" vertical="center"/>
    </xf>
    <xf borderId="69" fillId="15" fontId="14" numFmtId="0" xfId="0" applyAlignment="1" applyBorder="1" applyFont="1">
      <alignment vertical="bottom"/>
    </xf>
    <xf borderId="70" fillId="14" fontId="65" numFmtId="0" xfId="0" applyAlignment="1" applyBorder="1" applyFont="1">
      <alignment horizontal="center"/>
    </xf>
    <xf borderId="50" fillId="5" fontId="14" numFmtId="0" xfId="0" applyBorder="1" applyFont="1"/>
    <xf borderId="37" fillId="9" fontId="27" numFmtId="0" xfId="0" applyAlignment="1" applyBorder="1" applyFont="1">
      <alignment horizontal="center" readingOrder="0"/>
    </xf>
    <xf borderId="37" fillId="9" fontId="27" numFmtId="0" xfId="0" applyAlignment="1" applyBorder="1" applyFont="1">
      <alignment horizontal="center"/>
    </xf>
    <xf borderId="0" fillId="5" fontId="14" numFmtId="0" xfId="0" applyFont="1"/>
    <xf borderId="36" fillId="9" fontId="66" numFmtId="0" xfId="0" applyAlignment="1" applyBorder="1" applyFont="1">
      <alignment horizontal="center" readingOrder="0" vertical="center"/>
    </xf>
    <xf borderId="70" fillId="5" fontId="14" numFmtId="0" xfId="0" applyBorder="1" applyFont="1"/>
    <xf borderId="70" fillId="14" fontId="14" numFmtId="0" xfId="0" applyBorder="1" applyFont="1"/>
    <xf borderId="71" fillId="5" fontId="14" numFmtId="0" xfId="0" applyAlignment="1" applyBorder="1" applyFont="1">
      <alignment horizontal="center"/>
    </xf>
    <xf borderId="71" fillId="5" fontId="14" numFmtId="0" xfId="0" applyBorder="1" applyFont="1"/>
    <xf borderId="72" fillId="5" fontId="14" numFmtId="0" xfId="0" applyBorder="1" applyFont="1"/>
    <xf borderId="52" fillId="9" fontId="27" numFmtId="0" xfId="0" applyAlignment="1" applyBorder="1" applyFont="1">
      <alignment horizontal="center"/>
    </xf>
    <xf borderId="73" fillId="9" fontId="27" numFmtId="0" xfId="0" applyAlignment="1" applyBorder="1" applyFont="1">
      <alignment horizontal="center"/>
    </xf>
    <xf borderId="73" fillId="9" fontId="32" numFmtId="0" xfId="0" applyAlignment="1" applyBorder="1" applyFont="1">
      <alignment horizontal="center"/>
    </xf>
    <xf borderId="52" fillId="9" fontId="67" numFmtId="0" xfId="0" applyAlignment="1" applyBorder="1" applyFont="1">
      <alignment horizontal="center"/>
    </xf>
    <xf borderId="50" fillId="9" fontId="14" numFmtId="0" xfId="0" applyAlignment="1" applyBorder="1" applyFont="1">
      <alignment horizontal="center" vertical="bottom"/>
    </xf>
    <xf borderId="50" fillId="9" fontId="68" numFmtId="0" xfId="0" applyAlignment="1" applyBorder="1" applyFont="1">
      <alignment horizontal="center"/>
    </xf>
    <xf borderId="50" fillId="9" fontId="14" numFmtId="0" xfId="0" applyBorder="1" applyFont="1"/>
    <xf borderId="74" fillId="9" fontId="68" numFmtId="0" xfId="0" applyAlignment="1" applyBorder="1" applyFont="1">
      <alignment horizontal="center"/>
    </xf>
    <xf borderId="74" fillId="9" fontId="14" numFmtId="0" xfId="0" applyBorder="1" applyFont="1"/>
    <xf borderId="74" fillId="9" fontId="14" numFmtId="170" xfId="0" applyBorder="1" applyFont="1" applyNumberFormat="1"/>
    <xf borderId="50" fillId="9" fontId="69" numFmtId="0" xfId="0" applyAlignment="1" applyBorder="1" applyFont="1">
      <alignment horizontal="center"/>
    </xf>
    <xf borderId="50" fillId="9" fontId="14" numFmtId="0" xfId="0" applyAlignment="1" applyBorder="1" applyFont="1">
      <alignment horizontal="center"/>
    </xf>
    <xf borderId="50" fillId="9" fontId="70" numFmtId="0" xfId="0" applyAlignment="1" applyBorder="1" applyFont="1">
      <alignment shrinkToFit="0" wrapText="0"/>
    </xf>
    <xf borderId="74" fillId="9" fontId="69" numFmtId="2" xfId="0" applyAlignment="1" applyBorder="1" applyFont="1" applyNumberFormat="1">
      <alignment horizontal="center"/>
    </xf>
    <xf borderId="74" fillId="9" fontId="69" numFmtId="1" xfId="0" applyAlignment="1" applyBorder="1" applyFont="1" applyNumberFormat="1">
      <alignment horizontal="center"/>
    </xf>
    <xf borderId="74" fillId="9" fontId="69" numFmtId="170" xfId="0" applyAlignment="1" applyBorder="1" applyFont="1" applyNumberFormat="1">
      <alignment horizontal="center"/>
    </xf>
    <xf borderId="74" fillId="9" fontId="69" numFmtId="171" xfId="0" applyAlignment="1" applyBorder="1" applyFont="1" applyNumberFormat="1">
      <alignment horizontal="center"/>
    </xf>
    <xf borderId="50" fillId="9" fontId="69" numFmtId="0" xfId="0" applyAlignment="1" applyBorder="1" applyFont="1">
      <alignment horizontal="center"/>
    </xf>
    <xf borderId="50" fillId="9" fontId="71" numFmtId="0" xfId="0" applyAlignment="1" applyBorder="1" applyFont="1">
      <alignment horizontal="center"/>
    </xf>
    <xf borderId="0" fillId="14" fontId="65" numFmtId="0" xfId="0" applyAlignment="1" applyFont="1">
      <alignment horizontal="center" vertical="center"/>
    </xf>
    <xf borderId="75" fillId="9" fontId="69" numFmtId="0" xfId="0" applyAlignment="1" applyBorder="1" applyFont="1">
      <alignment horizontal="center" vertical="center"/>
    </xf>
    <xf borderId="0" fillId="9" fontId="72" numFmtId="0" xfId="0" applyAlignment="1" applyFont="1">
      <alignment horizontal="center" vertical="center"/>
    </xf>
    <xf borderId="75" fillId="9" fontId="73" numFmtId="0" xfId="0" applyAlignment="1" applyBorder="1" applyFont="1">
      <alignment horizontal="left" shrinkToFit="0" vertical="center" wrapText="0"/>
    </xf>
    <xf borderId="0" fillId="9" fontId="69" numFmtId="2" xfId="0" applyAlignment="1" applyFont="1" applyNumberFormat="1">
      <alignment horizontal="center" vertical="center"/>
    </xf>
    <xf borderId="76" fillId="9" fontId="69" numFmtId="1" xfId="0" applyAlignment="1" applyBorder="1" applyFont="1" applyNumberFormat="1">
      <alignment horizontal="center" vertical="center"/>
    </xf>
    <xf borderId="0" fillId="9" fontId="69" numFmtId="170" xfId="0" applyAlignment="1" applyFont="1" applyNumberFormat="1">
      <alignment horizontal="center" vertical="center"/>
    </xf>
    <xf borderId="76" fillId="9" fontId="69" numFmtId="171" xfId="0" applyAlignment="1" applyBorder="1" applyFont="1" applyNumberFormat="1">
      <alignment horizontal="center" vertical="center"/>
    </xf>
    <xf borderId="0" fillId="9" fontId="69" numFmtId="171" xfId="0" applyAlignment="1" applyFont="1" applyNumberFormat="1">
      <alignment horizontal="center" vertical="center"/>
    </xf>
    <xf borderId="0" fillId="9" fontId="69" numFmtId="0" xfId="0" applyAlignment="1" applyFont="1">
      <alignment horizontal="center" vertical="center"/>
    </xf>
    <xf borderId="75" fillId="9" fontId="74" numFmtId="0" xfId="0" applyAlignment="1" applyBorder="1" applyFont="1">
      <alignment horizontal="left" shrinkToFit="0" vertical="center" wrapText="0"/>
    </xf>
    <xf borderId="77" fillId="9" fontId="69" numFmtId="0" xfId="0" applyAlignment="1" applyBorder="1" applyFont="1">
      <alignment horizontal="center" vertical="center"/>
    </xf>
    <xf borderId="71" fillId="9" fontId="72" numFmtId="0" xfId="0" applyAlignment="1" applyBorder="1" applyFont="1">
      <alignment horizontal="center" vertical="center"/>
    </xf>
    <xf borderId="77" fillId="9" fontId="75" numFmtId="0" xfId="0" applyAlignment="1" applyBorder="1" applyFont="1">
      <alignment horizontal="left" shrinkToFit="0" vertical="center" wrapText="0"/>
    </xf>
    <xf borderId="71" fillId="9" fontId="69" numFmtId="2" xfId="0" applyAlignment="1" applyBorder="1" applyFont="1" applyNumberFormat="1">
      <alignment horizontal="center" vertical="center"/>
    </xf>
    <xf borderId="78" fillId="9" fontId="69" numFmtId="1" xfId="0" applyAlignment="1" applyBorder="1" applyFont="1" applyNumberFormat="1">
      <alignment horizontal="center" vertical="center"/>
    </xf>
    <xf borderId="71" fillId="9" fontId="69" numFmtId="170" xfId="0" applyAlignment="1" applyBorder="1" applyFont="1" applyNumberFormat="1">
      <alignment horizontal="center" vertical="center"/>
    </xf>
    <xf borderId="78" fillId="9" fontId="69" numFmtId="171" xfId="0" applyAlignment="1" applyBorder="1" applyFont="1" applyNumberFormat="1">
      <alignment horizontal="center" vertical="center"/>
    </xf>
    <xf borderId="71" fillId="9" fontId="69" numFmtId="171" xfId="0" applyAlignment="1" applyBorder="1" applyFont="1" applyNumberFormat="1">
      <alignment horizontal="center" vertical="center"/>
    </xf>
    <xf borderId="71" fillId="9" fontId="71" numFmtId="0" xfId="0" applyAlignment="1" applyBorder="1" applyFont="1">
      <alignment horizontal="center" vertical="center"/>
    </xf>
    <xf borderId="71" fillId="9" fontId="69" numFmtId="0" xfId="0" applyAlignment="1" applyBorder="1" applyFont="1">
      <alignment horizontal="center" vertical="center"/>
    </xf>
    <xf borderId="8" fillId="16" fontId="65" numFmtId="0" xfId="0" applyAlignment="1" applyBorder="1" applyFill="1" applyFont="1">
      <alignment horizontal="center" vertical="center"/>
    </xf>
    <xf borderId="0" fillId="16" fontId="65" numFmtId="0" xfId="0" applyAlignment="1" applyFont="1">
      <alignment horizontal="center" vertical="center"/>
    </xf>
    <xf borderId="0" fillId="16" fontId="65" numFmtId="0" xfId="0" applyAlignment="1" applyFont="1">
      <alignment horizontal="left" shrinkToFit="0" vertical="center" wrapText="0"/>
    </xf>
    <xf borderId="0" fillId="16" fontId="65" numFmtId="170" xfId="0" applyAlignment="1" applyFont="1" applyNumberFormat="1">
      <alignment horizontal="center" vertical="center"/>
    </xf>
    <xf borderId="75" fillId="9" fontId="76" numFmtId="0" xfId="0" applyAlignment="1" applyBorder="1" applyFont="1">
      <alignment horizontal="left" shrinkToFit="0" vertical="center" wrapText="0"/>
    </xf>
    <xf borderId="0" fillId="9" fontId="77" numFmtId="0" xfId="0" applyAlignment="1" applyFont="1">
      <alignment horizontal="center" vertical="center"/>
    </xf>
    <xf borderId="0" fillId="9" fontId="71" numFmtId="0" xfId="0" applyAlignment="1" applyFont="1">
      <alignment horizontal="center" vertical="center"/>
    </xf>
    <xf borderId="79" fillId="16" fontId="65" numFmtId="0" xfId="0" applyAlignment="1" applyBorder="1" applyFont="1">
      <alignment horizontal="center" vertical="center"/>
    </xf>
    <xf borderId="79" fillId="16" fontId="65" numFmtId="0" xfId="0" applyAlignment="1" applyBorder="1" applyFont="1">
      <alignment horizontal="left" shrinkToFit="0" vertical="center" wrapText="0"/>
    </xf>
    <xf borderId="79" fillId="16" fontId="65" numFmtId="170" xfId="0" applyAlignment="1" applyBorder="1" applyFont="1" applyNumberFormat="1">
      <alignment horizontal="center" vertical="center"/>
    </xf>
    <xf borderId="0" fillId="14" fontId="65" numFmtId="0" xfId="0" applyAlignment="1" applyFont="1">
      <alignment horizontal="center" readingOrder="0" vertical="center"/>
    </xf>
    <xf borderId="36" fillId="9" fontId="78" numFmtId="0" xfId="0" applyAlignment="1" applyBorder="1" applyFont="1">
      <alignment horizontal="center" readingOrder="0" vertical="center"/>
    </xf>
    <xf borderId="0" fillId="14" fontId="79" numFmtId="0" xfId="0" applyAlignment="1" applyFont="1">
      <alignment horizontal="center" vertical="center"/>
    </xf>
    <xf borderId="80" fillId="9" fontId="27" numFmtId="0" xfId="0" applyAlignment="1" applyBorder="1" applyFont="1">
      <alignment horizontal="center" readingOrder="0" vertical="center"/>
    </xf>
    <xf borderId="37" fillId="9" fontId="27" numFmtId="0" xfId="0" applyAlignment="1" applyBorder="1" applyFont="1">
      <alignment horizontal="center" readingOrder="0" vertical="center"/>
    </xf>
    <xf borderId="37" fillId="9" fontId="32" numFmtId="0" xfId="0" applyAlignment="1" applyBorder="1" applyFont="1">
      <alignment horizontal="center" readingOrder="0" vertical="center"/>
    </xf>
    <xf borderId="81" fillId="9" fontId="27" numFmtId="0" xfId="0" applyAlignment="1" applyBorder="1" applyFont="1">
      <alignment horizontal="center" readingOrder="0" vertical="center"/>
    </xf>
    <xf borderId="80" fillId="9" fontId="80" numFmtId="0" xfId="0" applyAlignment="1" applyBorder="1" applyFont="1">
      <alignment horizontal="center" readingOrder="0" vertical="center"/>
    </xf>
    <xf borderId="75" fillId="9" fontId="68" numFmtId="0" xfId="0" applyAlignment="1" applyBorder="1" applyFont="1">
      <alignment horizontal="center"/>
    </xf>
    <xf borderId="0" fillId="9" fontId="68" numFmtId="0" xfId="0" applyAlignment="1" applyFont="1">
      <alignment horizontal="center" readingOrder="0" vertical="center"/>
    </xf>
    <xf borderId="75" fillId="9" fontId="68" numFmtId="0" xfId="0" applyAlignment="1" applyBorder="1" applyFont="1">
      <alignment horizontal="left" readingOrder="0" shrinkToFit="0" vertical="center" wrapText="0"/>
    </xf>
    <xf borderId="76" fillId="9" fontId="68" numFmtId="0" xfId="0" applyAlignment="1" applyBorder="1" applyFont="1">
      <alignment horizontal="center" readingOrder="0" vertical="center"/>
    </xf>
    <xf borderId="0" fillId="9" fontId="68" numFmtId="170" xfId="0" applyAlignment="1" applyFont="1" applyNumberFormat="1">
      <alignment horizontal="center" readingOrder="0" vertical="center"/>
    </xf>
    <xf borderId="75" fillId="9" fontId="68" numFmtId="0" xfId="0" applyAlignment="1" applyBorder="1" applyFont="1">
      <alignment horizontal="center" readingOrder="0" vertical="center"/>
    </xf>
    <xf borderId="75" fillId="9" fontId="69" numFmtId="0" xfId="0" applyAlignment="1" applyBorder="1" applyFont="1">
      <alignment horizontal="center" readingOrder="0" vertical="center"/>
    </xf>
    <xf borderId="76" fillId="9" fontId="69" numFmtId="0" xfId="0" applyAlignment="1" applyBorder="1" applyFont="1">
      <alignment horizontal="center" vertical="center"/>
    </xf>
    <xf borderId="36" fillId="9" fontId="27" numFmtId="2" xfId="0" applyAlignment="1" applyBorder="1" applyFont="1" applyNumberFormat="1">
      <alignment horizontal="center" readingOrder="0" vertical="center"/>
    </xf>
    <xf borderId="75" fillId="9" fontId="68" numFmtId="0" xfId="0" applyAlignment="1" applyBorder="1" applyFont="1">
      <alignment horizontal="center" readingOrder="0"/>
    </xf>
    <xf borderId="75" fillId="9" fontId="81" numFmtId="0" xfId="0" applyAlignment="1" applyBorder="1" applyFont="1">
      <alignment horizontal="left" shrinkToFit="0" vertical="center" wrapText="0"/>
    </xf>
    <xf borderId="82" fillId="9" fontId="69" numFmtId="0" xfId="0" applyAlignment="1" applyBorder="1" applyFont="1">
      <alignment horizontal="center" vertical="center"/>
    </xf>
    <xf borderId="72" fillId="9" fontId="72" numFmtId="0" xfId="0" applyAlignment="1" applyBorder="1" applyFont="1">
      <alignment horizontal="center" vertical="center"/>
    </xf>
    <xf borderId="82" fillId="9" fontId="82" numFmtId="0" xfId="0" applyAlignment="1" applyBorder="1" applyFont="1">
      <alignment horizontal="left" shrinkToFit="0" vertical="center" wrapText="0"/>
    </xf>
    <xf borderId="72" fillId="9" fontId="69" numFmtId="2" xfId="0" applyAlignment="1" applyBorder="1" applyFont="1" applyNumberFormat="1">
      <alignment horizontal="center" vertical="center"/>
    </xf>
    <xf borderId="83" fillId="9" fontId="69" numFmtId="1" xfId="0" applyAlignment="1" applyBorder="1" applyFont="1" applyNumberFormat="1">
      <alignment horizontal="center" vertical="center"/>
    </xf>
    <xf borderId="72" fillId="9" fontId="69" numFmtId="170" xfId="0" applyAlignment="1" applyBorder="1" applyFont="1" applyNumberFormat="1">
      <alignment horizontal="center" vertical="center"/>
    </xf>
    <xf borderId="83" fillId="9" fontId="69" numFmtId="171" xfId="0" applyAlignment="1" applyBorder="1" applyFont="1" applyNumberFormat="1">
      <alignment horizontal="center" vertical="center"/>
    </xf>
    <xf borderId="72" fillId="9" fontId="69" numFmtId="171" xfId="0" applyAlignment="1" applyBorder="1" applyFont="1" applyNumberFormat="1">
      <alignment horizontal="center" vertical="center"/>
    </xf>
    <xf borderId="72" fillId="9" fontId="69" numFmtId="0" xfId="0" applyAlignment="1" applyBorder="1" applyFont="1">
      <alignment horizontal="center" vertical="center"/>
    </xf>
    <xf borderId="0" fillId="15" fontId="1" numFmtId="0" xfId="0" applyAlignment="1" applyFont="1">
      <alignment vertical="center"/>
    </xf>
    <xf borderId="84" fillId="15" fontId="1" numFmtId="0" xfId="0" applyAlignment="1" applyBorder="1" applyFont="1">
      <alignment horizontal="center" vertical="center"/>
    </xf>
    <xf borderId="0" fillId="15" fontId="1" numFmtId="0" xfId="0" applyAlignment="1" applyFont="1">
      <alignment horizontal="center" vertical="center"/>
    </xf>
    <xf borderId="84" fillId="15" fontId="1" numFmtId="0" xfId="0" applyAlignment="1" applyBorder="1" applyFont="1">
      <alignment vertical="center"/>
    </xf>
    <xf borderId="0" fillId="5" fontId="1" numFmtId="0" xfId="0" applyAlignment="1" applyFont="1">
      <alignment vertical="center"/>
    </xf>
    <xf borderId="84" fillId="5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84" fillId="5" fontId="1" numFmtId="0" xfId="0" applyAlignment="1" applyBorder="1" applyFont="1">
      <alignment vertical="center"/>
    </xf>
    <xf borderId="0" fillId="15" fontId="83" numFmtId="0" xfId="0" applyAlignment="1" applyFont="1">
      <alignment horizontal="center" readingOrder="0" shrinkToFit="0" vertical="center" wrapText="1"/>
    </xf>
    <xf borderId="0" fillId="3" fontId="84" numFmtId="0" xfId="0" applyAlignment="1" applyFont="1">
      <alignment horizontal="center" readingOrder="0" shrinkToFit="0" vertical="center" wrapText="1"/>
    </xf>
    <xf borderId="84" fillId="3" fontId="85" numFmtId="0" xfId="0" applyAlignment="1" applyBorder="1" applyFont="1">
      <alignment horizontal="center" readingOrder="0" vertical="center"/>
    </xf>
    <xf borderId="85" fillId="3" fontId="86" numFmtId="0" xfId="0" applyAlignment="1" applyBorder="1" applyFont="1">
      <alignment horizontal="center" readingOrder="0" shrinkToFit="0" vertical="center" wrapText="1"/>
    </xf>
    <xf borderId="86" fillId="0" fontId="3" numFmtId="0" xfId="0" applyBorder="1" applyFont="1"/>
    <xf borderId="84" fillId="3" fontId="86" numFmtId="0" xfId="0" applyAlignment="1" applyBorder="1" applyFont="1">
      <alignment horizontal="center" readingOrder="0" shrinkToFit="0" vertical="center" wrapText="1"/>
    </xf>
    <xf borderId="87" fillId="3" fontId="86" numFmtId="0" xfId="0" applyAlignment="1" applyBorder="1" applyFont="1">
      <alignment horizontal="center" readingOrder="0" shrinkToFit="0" vertical="center" wrapText="1"/>
    </xf>
    <xf borderId="84" fillId="0" fontId="3" numFmtId="0" xfId="0" applyBorder="1" applyFont="1"/>
    <xf borderId="84" fillId="3" fontId="87" numFmtId="0" xfId="0" applyAlignment="1" applyBorder="1" applyFont="1">
      <alignment horizontal="center" readingOrder="0" shrinkToFit="0" vertical="center" wrapText="1"/>
    </xf>
    <xf borderId="88" fillId="3" fontId="1" numFmtId="0" xfId="0" applyAlignment="1" applyBorder="1" applyFont="1">
      <alignment horizontal="center" readingOrder="0" vertical="center"/>
    </xf>
    <xf borderId="87" fillId="0" fontId="3" numFmtId="0" xfId="0" applyBorder="1" applyFont="1"/>
    <xf borderId="87" fillId="5" fontId="1" numFmtId="0" xfId="0" applyAlignment="1" applyBorder="1" applyFont="1">
      <alignment vertical="center"/>
    </xf>
    <xf borderId="0" fillId="3" fontId="88" numFmtId="0" xfId="0" applyAlignment="1" applyFont="1">
      <alignment horizontal="center" readingOrder="0" shrinkToFit="0" vertical="center" wrapText="1"/>
    </xf>
    <xf borderId="84" fillId="3" fontId="1" numFmtId="0" xfId="0" applyAlignment="1" applyBorder="1" applyFont="1">
      <alignment horizontal="center" readingOrder="0" vertical="center"/>
    </xf>
    <xf borderId="85" fillId="3" fontId="89" numFmtId="0" xfId="0" applyAlignment="1" applyBorder="1" applyFont="1">
      <alignment horizontal="center" readingOrder="0" shrinkToFit="0" vertical="center" wrapText="1"/>
    </xf>
    <xf borderId="84" fillId="3" fontId="89" numFmtId="0" xfId="0" applyAlignment="1" applyBorder="1" applyFont="1">
      <alignment horizontal="center" readingOrder="0" shrinkToFit="0" vertical="center" wrapText="1"/>
    </xf>
    <xf borderId="87" fillId="3" fontId="89" numFmtId="172" xfId="0" applyAlignment="1" applyBorder="1" applyFont="1" applyNumberFormat="1">
      <alignment horizontal="center" readingOrder="0" shrinkToFit="0" vertical="center" wrapText="1"/>
    </xf>
    <xf borderId="87" fillId="3" fontId="89" numFmtId="0" xfId="0" applyAlignment="1" applyBorder="1" applyFont="1">
      <alignment horizontal="center" readingOrder="0" shrinkToFit="0" vertical="center" wrapText="1"/>
    </xf>
    <xf borderId="84" fillId="3" fontId="90" numFmtId="0" xfId="0" applyAlignment="1" applyBorder="1" applyFont="1">
      <alignment horizontal="center" readingOrder="0" shrinkToFit="0" vertical="center" wrapText="1"/>
    </xf>
    <xf borderId="0" fillId="5" fontId="91" numFmtId="0" xfId="0" applyAlignment="1" applyFont="1">
      <alignment vertical="center"/>
    </xf>
    <xf borderId="89" fillId="3" fontId="86" numFmtId="0" xfId="0" applyAlignment="1" applyBorder="1" applyFont="1">
      <alignment horizontal="center" readingOrder="0" shrinkToFit="0" vertical="center" wrapText="1"/>
    </xf>
    <xf borderId="90" fillId="3" fontId="86" numFmtId="0" xfId="0" applyAlignment="1" applyBorder="1" applyFont="1">
      <alignment horizontal="center" readingOrder="0" shrinkToFit="0" vertical="center" wrapText="1"/>
    </xf>
    <xf borderId="0" fillId="3" fontId="92" numFmtId="0" xfId="0" applyAlignment="1" applyFont="1">
      <alignment horizontal="center" readingOrder="0" shrinkToFit="0" vertical="center" wrapText="1"/>
    </xf>
    <xf borderId="91" fillId="3" fontId="93" numFmtId="0" xfId="0" applyAlignment="1" applyBorder="1" applyFont="1">
      <alignment horizontal="center" shrinkToFit="0" vertical="center" wrapText="1"/>
    </xf>
    <xf borderId="0" fillId="3" fontId="92" numFmtId="0" xfId="0" applyAlignment="1" applyFont="1">
      <alignment horizontal="center" shrinkToFit="0" vertical="center" wrapText="1"/>
    </xf>
    <xf borderId="91" fillId="3" fontId="92" numFmtId="0" xfId="0" applyAlignment="1" applyBorder="1" applyFont="1">
      <alignment horizontal="center" shrinkToFit="0" vertical="center" wrapText="1"/>
    </xf>
    <xf borderId="88" fillId="3" fontId="92" numFmtId="0" xfId="0" applyAlignment="1" applyBorder="1" applyFont="1">
      <alignment horizontal="center" shrinkToFit="0" vertical="center" wrapText="1"/>
    </xf>
    <xf borderId="91" fillId="3" fontId="94" numFmtId="0" xfId="0" applyAlignment="1" applyBorder="1" applyFont="1">
      <alignment horizontal="center" shrinkToFit="0" vertical="center" wrapText="1"/>
    </xf>
    <xf borderId="0" fillId="15" fontId="14" numFmtId="0" xfId="0" applyAlignment="1" applyFont="1">
      <alignment horizontal="center" vertical="center"/>
    </xf>
    <xf borderId="0" fillId="5" fontId="14" numFmtId="0" xfId="0" applyAlignment="1" applyFont="1">
      <alignment horizontal="center" vertical="center"/>
    </xf>
    <xf borderId="0" fillId="5" fontId="95" numFmtId="0" xfId="0" applyAlignment="1" applyFont="1">
      <alignment horizontal="center" vertical="center"/>
    </xf>
    <xf borderId="0" fillId="15" fontId="14" numFmtId="0" xfId="0" applyAlignment="1" applyFont="1">
      <alignment horizontal="center" vertical="center"/>
    </xf>
    <xf borderId="0" fillId="5" fontId="91" numFmtId="0" xfId="0" applyAlignment="1" applyFont="1">
      <alignment horizontal="center" vertical="center"/>
    </xf>
    <xf borderId="0" fillId="3" fontId="96" numFmtId="0" xfId="0" applyAlignment="1" applyFont="1">
      <alignment horizontal="center" shrinkToFit="0" vertical="center" wrapText="1"/>
    </xf>
    <xf borderId="0" fillId="2" fontId="97" numFmtId="0" xfId="0" applyFont="1"/>
    <xf borderId="0" fillId="2" fontId="97" numFmtId="0" xfId="0" applyAlignment="1" applyFont="1">
      <alignment horizontal="center" vertical="center"/>
    </xf>
    <xf borderId="0" fillId="5" fontId="97" numFmtId="0" xfId="0" applyFont="1"/>
    <xf borderId="0" fillId="5" fontId="97" numFmtId="0" xfId="0" applyAlignment="1" applyFont="1">
      <alignment horizontal="center" vertical="center"/>
    </xf>
    <xf borderId="92" fillId="0" fontId="3" numFmtId="0" xfId="0" applyBorder="1" applyFont="1"/>
    <xf borderId="29" fillId="3" fontId="83" numFmtId="0" xfId="0" applyAlignment="1" applyBorder="1" applyFont="1">
      <alignment horizontal="center" readingOrder="0" shrinkToFit="0" vertical="center" wrapText="1"/>
    </xf>
    <xf borderId="0" fillId="5" fontId="97" numFmtId="0" xfId="0" applyAlignment="1" applyFont="1">
      <alignment horizontal="center" readingOrder="0" vertical="center"/>
    </xf>
    <xf borderId="0" fillId="5" fontId="98" numFmtId="0" xfId="0" applyAlignment="1" applyFont="1">
      <alignment horizontal="center" readingOrder="0" vertical="center"/>
    </xf>
    <xf borderId="0" fillId="5" fontId="99" numFmtId="0" xfId="0" applyAlignment="1" applyFont="1">
      <alignment horizontal="center" readingOrder="0" vertical="center"/>
    </xf>
    <xf borderId="0" fillId="5" fontId="100" numFmtId="0" xfId="0" applyAlignment="1" applyFont="1">
      <alignment horizontal="center" readingOrder="0" vertical="center"/>
    </xf>
    <xf borderId="0" fillId="2" fontId="101" numFmtId="0" xfId="0" applyFont="1"/>
    <xf borderId="0" fillId="5" fontId="101" numFmtId="0" xfId="0" applyFont="1"/>
    <xf borderId="93" fillId="0" fontId="102" numFmtId="0" xfId="0" applyAlignment="1" applyBorder="1" applyFont="1">
      <alignment horizontal="center" readingOrder="0" vertical="center"/>
    </xf>
    <xf borderId="94" fillId="0" fontId="102" numFmtId="0" xfId="0" applyAlignment="1" applyBorder="1" applyFont="1">
      <alignment horizontal="center" readingOrder="0" shrinkToFit="0" vertical="center" wrapText="1"/>
    </xf>
    <xf borderId="95" fillId="0" fontId="18" numFmtId="0" xfId="0" applyAlignment="1" applyBorder="1" applyFont="1">
      <alignment horizontal="center" readingOrder="0" vertical="center"/>
    </xf>
    <xf borderId="94" fillId="0" fontId="18" numFmtId="0" xfId="0" applyAlignment="1" applyBorder="1" applyFont="1">
      <alignment horizontal="center" readingOrder="0" vertical="center"/>
    </xf>
    <xf borderId="96" fillId="0" fontId="18" numFmtId="0" xfId="0" applyAlignment="1" applyBorder="1" applyFont="1">
      <alignment horizontal="center" readingOrder="0" vertical="center"/>
    </xf>
    <xf borderId="97" fillId="0" fontId="18" numFmtId="0" xfId="0" applyAlignment="1" applyBorder="1" applyFont="1">
      <alignment horizontal="center" readingOrder="0" vertical="center"/>
    </xf>
    <xf borderId="98" fillId="0" fontId="18" numFmtId="0" xfId="0" applyAlignment="1" applyBorder="1" applyFont="1">
      <alignment horizontal="center" readingOrder="0" vertical="center"/>
    </xf>
    <xf borderId="98" fillId="0" fontId="101" numFmtId="0" xfId="0" applyAlignment="1" applyBorder="1" applyFont="1">
      <alignment horizontal="center" readingOrder="0" vertical="center"/>
    </xf>
    <xf borderId="0" fillId="2" fontId="103" numFmtId="0" xfId="0" applyAlignment="1" applyFont="1">
      <alignment readingOrder="0"/>
    </xf>
    <xf borderId="99" fillId="14" fontId="104" numFmtId="0" xfId="0" applyAlignment="1" applyBorder="1" applyFont="1">
      <alignment horizontal="center" readingOrder="0" textRotation="90" vertical="center"/>
    </xf>
    <xf borderId="8" fillId="0" fontId="105" numFmtId="0" xfId="0" applyAlignment="1" applyBorder="1" applyFont="1">
      <alignment horizontal="center" readingOrder="0" vertical="center"/>
    </xf>
    <xf borderId="100" fillId="0" fontId="105" numFmtId="0" xfId="0" applyAlignment="1" applyBorder="1" applyFont="1">
      <alignment horizontal="center"/>
    </xf>
    <xf borderId="0" fillId="0" fontId="105" numFmtId="173" xfId="0" applyAlignment="1" applyFont="1" applyNumberFormat="1">
      <alignment horizontal="center"/>
    </xf>
    <xf borderId="101" fillId="0" fontId="106" numFmtId="169" xfId="0" applyAlignment="1" applyBorder="1" applyFont="1" applyNumberFormat="1">
      <alignment horizontal="center"/>
    </xf>
    <xf borderId="101" fillId="0" fontId="105" numFmtId="0" xfId="0" applyAlignment="1" applyBorder="1" applyFont="1">
      <alignment horizontal="center" readingOrder="0" vertical="center"/>
    </xf>
    <xf borderId="102" fillId="0" fontId="105" numFmtId="0" xfId="0" applyAlignment="1" applyBorder="1" applyFont="1">
      <alignment horizontal="center" readingOrder="0" shrinkToFit="0" vertical="center" wrapText="1"/>
    </xf>
    <xf borderId="0" fillId="0" fontId="105" numFmtId="0" xfId="0" applyAlignment="1" applyFont="1">
      <alignment horizontal="center" readingOrder="0" shrinkToFit="0" vertical="center" wrapText="1"/>
    </xf>
    <xf borderId="103" fillId="0" fontId="105" numFmtId="0" xfId="0" applyAlignment="1" applyBorder="1" applyFont="1">
      <alignment horizontal="center" readingOrder="0" shrinkToFit="0" vertical="center" wrapText="1"/>
    </xf>
    <xf borderId="9" fillId="0" fontId="105" numFmtId="0" xfId="0" applyAlignment="1" applyBorder="1" applyFont="1">
      <alignment horizontal="center" readingOrder="0" shrinkToFit="0" vertical="center" wrapText="1"/>
    </xf>
    <xf borderId="9" fillId="0" fontId="107" numFmtId="0" xfId="0" applyAlignment="1" applyBorder="1" applyFont="1">
      <alignment horizontal="center" readingOrder="0" shrinkToFit="0" vertical="center" wrapText="0"/>
    </xf>
    <xf borderId="104" fillId="0" fontId="3" numFmtId="0" xfId="0" applyBorder="1" applyFont="1"/>
    <xf borderId="101" fillId="0" fontId="105" numFmtId="0" xfId="0" applyAlignment="1" applyBorder="1" applyFont="1">
      <alignment horizontal="center"/>
    </xf>
    <xf borderId="9" fillId="0" fontId="108" numFmtId="0" xfId="0" applyAlignment="1" applyBorder="1" applyFont="1">
      <alignment horizontal="center" readingOrder="0" shrinkToFit="0" vertical="center" wrapText="0"/>
    </xf>
    <xf borderId="102" fillId="0" fontId="109" numFmtId="0" xfId="0" applyAlignment="1" applyBorder="1" applyFont="1">
      <alignment horizontal="center" readingOrder="0" shrinkToFit="0" vertical="center" wrapText="1"/>
    </xf>
    <xf borderId="9" fillId="0" fontId="109" numFmtId="0" xfId="0" applyAlignment="1" applyBorder="1" applyFont="1">
      <alignment horizontal="center" readingOrder="0" shrinkToFit="0" vertical="center" wrapText="0"/>
    </xf>
    <xf borderId="102" fillId="0" fontId="106" numFmtId="0" xfId="0" applyAlignment="1" applyBorder="1" applyFont="1">
      <alignment horizontal="center" readingOrder="0" shrinkToFit="0" vertical="center" wrapText="1"/>
    </xf>
    <xf borderId="105" fillId="0" fontId="3" numFmtId="0" xfId="0" applyBorder="1" applyFont="1"/>
    <xf borderId="101" fillId="0" fontId="105" numFmtId="0" xfId="0" applyAlignment="1" applyBorder="1" applyFont="1">
      <alignment horizontal="center" vertical="center"/>
    </xf>
    <xf borderId="101" fillId="0" fontId="105" numFmtId="0" xfId="0" applyAlignment="1" applyBorder="1" applyFont="1">
      <alignment horizontal="center"/>
    </xf>
    <xf borderId="26" fillId="0" fontId="105" numFmtId="0" xfId="0" applyAlignment="1" applyBorder="1" applyFont="1">
      <alignment horizontal="center" readingOrder="0" vertical="center"/>
    </xf>
    <xf borderId="106" fillId="0" fontId="105" numFmtId="0" xfId="0" applyAlignment="1" applyBorder="1" applyFont="1">
      <alignment horizontal="center"/>
    </xf>
    <xf borderId="27" fillId="0" fontId="105" numFmtId="173" xfId="0" applyAlignment="1" applyBorder="1" applyFont="1" applyNumberFormat="1">
      <alignment horizontal="center"/>
    </xf>
    <xf borderId="106" fillId="0" fontId="106" numFmtId="46" xfId="0" applyAlignment="1" applyBorder="1" applyFont="1" applyNumberFormat="1">
      <alignment horizontal="center"/>
    </xf>
    <xf borderId="106" fillId="0" fontId="105" numFmtId="0" xfId="0" applyAlignment="1" applyBorder="1" applyFont="1">
      <alignment horizontal="center" vertical="center"/>
    </xf>
    <xf borderId="107" fillId="0" fontId="105" numFmtId="0" xfId="0" applyAlignment="1" applyBorder="1" applyFont="1">
      <alignment horizontal="center" readingOrder="0" shrinkToFit="0" vertical="center" wrapText="1"/>
    </xf>
    <xf borderId="27" fillId="0" fontId="105" numFmtId="0" xfId="0" applyAlignment="1" applyBorder="1" applyFont="1">
      <alignment horizontal="center" readingOrder="0" shrinkToFit="0" vertical="center" wrapText="1"/>
    </xf>
    <xf borderId="108" fillId="0" fontId="105" numFmtId="0" xfId="0" applyAlignment="1" applyBorder="1" applyFont="1">
      <alignment horizontal="center" readingOrder="0" shrinkToFit="0" vertical="center" wrapText="1"/>
    </xf>
    <xf borderId="28" fillId="0" fontId="105" numFmtId="0" xfId="0" applyAlignment="1" applyBorder="1" applyFont="1">
      <alignment horizontal="center" readingOrder="0" shrinkToFit="0" vertical="center" wrapText="1"/>
    </xf>
    <xf borderId="28" fillId="0" fontId="110" numFmtId="0" xfId="0" applyAlignment="1" applyBorder="1" applyFont="1">
      <alignment horizontal="center" readingOrder="0" shrinkToFit="0" vertical="center" wrapText="0"/>
    </xf>
    <xf borderId="28" fillId="0" fontId="107" numFmtId="0" xfId="0" applyAlignment="1" applyBorder="1" applyFont="1">
      <alignment horizontal="center" readingOrder="0" shrinkToFit="0" vertical="center" wrapText="0"/>
    </xf>
    <xf borderId="69" fillId="15" fontId="1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0" fillId="2" fontId="14" numFmtId="0" xfId="0" applyAlignment="1" applyFont="1">
      <alignment vertical="center"/>
    </xf>
    <xf borderId="69" fillId="15" fontId="83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vertical="center"/>
    </xf>
    <xf borderId="0" fillId="3" fontId="83" numFmtId="0" xfId="0" applyAlignment="1" applyFont="1">
      <alignment horizontal="center" readingOrder="0" shrinkToFit="0" vertical="center" wrapText="1"/>
    </xf>
    <xf borderId="0" fillId="2" fontId="14" numFmtId="0" xfId="0" applyAlignment="1" applyFont="1">
      <alignment horizontal="center" vertical="center"/>
    </xf>
    <xf borderId="0" fillId="3" fontId="111" numFmtId="0" xfId="0" applyAlignment="1" applyFont="1">
      <alignment horizontal="center" readingOrder="0" shrinkToFit="0" vertical="center" wrapText="1"/>
    </xf>
    <xf borderId="0" fillId="5" fontId="103" numFmtId="0" xfId="0" applyAlignment="1" applyFont="1">
      <alignment horizontal="center" vertical="center"/>
    </xf>
    <xf borderId="0" fillId="5" fontId="112" numFmtId="0" xfId="0" applyAlignment="1" applyFont="1">
      <alignment horizontal="center" readingOrder="0" shrinkToFit="0" vertical="center" wrapText="1"/>
    </xf>
    <xf borderId="2" fillId="8" fontId="1" numFmtId="0" xfId="0" applyAlignment="1" applyBorder="1" applyFont="1">
      <alignment horizontal="center" vertical="center"/>
    </xf>
    <xf borderId="3" fillId="8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14" fontId="103" numFmtId="0" xfId="0" applyAlignment="1" applyBorder="1" applyFont="1">
      <alignment horizontal="center" vertical="center"/>
    </xf>
    <xf borderId="3" fillId="14" fontId="112" numFmtId="0" xfId="0" applyAlignment="1" applyBorder="1" applyFont="1">
      <alignment horizontal="center" readingOrder="0" shrinkToFit="0" vertical="center" wrapText="1"/>
    </xf>
    <xf borderId="4" fillId="14" fontId="112" numFmtId="0" xfId="0" applyAlignment="1" applyBorder="1" applyFont="1">
      <alignment horizontal="center" readingOrder="0" shrinkToFit="0" vertical="center" wrapText="1"/>
    </xf>
    <xf borderId="8" fillId="8" fontId="1" numFmtId="0" xfId="0" applyAlignment="1" applyBorder="1" applyFont="1">
      <alignment horizontal="center" vertical="center"/>
    </xf>
    <xf borderId="109" fillId="8" fontId="1" numFmtId="0" xfId="0" applyAlignment="1" applyBorder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0" fillId="8" fontId="113" numFmtId="0" xfId="0" applyAlignment="1" applyFont="1">
      <alignment horizontal="center" readingOrder="0" vertical="center"/>
    </xf>
    <xf borderId="9" fillId="8" fontId="1" numFmtId="0" xfId="0" applyAlignment="1" applyBorder="1" applyFont="1">
      <alignment horizontal="center" vertical="center"/>
    </xf>
    <xf borderId="8" fillId="14" fontId="14" numFmtId="0" xfId="0" applyAlignment="1" applyBorder="1" applyFont="1">
      <alignment horizontal="center" vertical="center"/>
    </xf>
    <xf borderId="0" fillId="14" fontId="103" numFmtId="0" xfId="0" applyAlignment="1" applyFont="1">
      <alignment horizontal="center" vertical="center"/>
    </xf>
    <xf borderId="0" fillId="8" fontId="1" numFmtId="0" xfId="0" applyAlignment="1" applyFont="1">
      <alignment horizontal="center" readingOrder="0" vertical="center"/>
    </xf>
    <xf borderId="9" fillId="14" fontId="103" numFmtId="0" xfId="0" applyAlignment="1" applyBorder="1" applyFont="1">
      <alignment vertical="center"/>
    </xf>
    <xf borderId="8" fillId="14" fontId="8" numFmtId="0" xfId="0" applyAlignment="1" applyBorder="1" applyFont="1">
      <alignment horizontal="center" vertical="center"/>
    </xf>
    <xf borderId="0" fillId="14" fontId="114" numFmtId="0" xfId="0" applyAlignment="1" applyFont="1">
      <alignment horizontal="center" vertical="center"/>
    </xf>
    <xf borderId="9" fillId="14" fontId="103" numFmtId="0" xfId="0" applyAlignment="1" applyBorder="1" applyFont="1">
      <alignment horizontal="center" vertical="center"/>
    </xf>
    <xf borderId="8" fillId="14" fontId="115" numFmtId="0" xfId="0" applyAlignment="1" applyBorder="1" applyFont="1">
      <alignment horizontal="center" readingOrder="0" shrinkToFit="0" vertical="center" wrapText="1"/>
    </xf>
    <xf borderId="0" fillId="14" fontId="116" numFmtId="0" xfId="0" applyAlignment="1" applyFont="1">
      <alignment horizontal="center" vertical="center"/>
    </xf>
    <xf borderId="3" fillId="5" fontId="1" numFmtId="0" xfId="0" applyAlignment="1" applyBorder="1" applyFont="1">
      <alignment horizontal="center" vertical="center"/>
    </xf>
    <xf borderId="3" fillId="5" fontId="1" numFmtId="0" xfId="0" applyAlignment="1" applyBorder="1" applyFont="1">
      <alignment vertical="center"/>
    </xf>
    <xf borderId="69" fillId="15" fontId="14" numFmtId="0" xfId="0" applyAlignment="1" applyBorder="1" applyFont="1">
      <alignment vertical="center"/>
    </xf>
    <xf borderId="69" fillId="15" fontId="14" numFmtId="0" xfId="0" applyAlignment="1" applyBorder="1" applyFont="1">
      <alignment horizontal="center" vertical="center"/>
    </xf>
    <xf borderId="0" fillId="3" fontId="117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0" fillId="5" fontId="118" numFmtId="0" xfId="0" applyAlignment="1" applyFont="1">
      <alignment horizontal="center" readingOrder="0" shrinkToFit="0" vertical="center" wrapText="1"/>
    </xf>
    <xf borderId="0" fillId="2" fontId="83" numFmtId="0" xfId="0" applyAlignment="1" applyFont="1">
      <alignment horizontal="center" readingOrder="0" shrinkToFit="0" vertical="center" wrapText="1"/>
    </xf>
    <xf borderId="0" fillId="3" fontId="119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vertical="center"/>
    </xf>
    <xf borderId="0" fillId="5" fontId="14" numFmtId="0" xfId="0" applyAlignment="1" applyFont="1">
      <alignment vertical="center"/>
    </xf>
    <xf borderId="2" fillId="14" fontId="103" numFmtId="0" xfId="0" applyAlignment="1" applyBorder="1" applyFont="1">
      <alignment horizontal="center" vertical="center"/>
    </xf>
    <xf borderId="3" fillId="8" fontId="1" numFmtId="0" xfId="0" applyAlignment="1" applyBorder="1" applyFont="1">
      <alignment horizontal="center" readingOrder="0" vertical="center"/>
    </xf>
    <xf borderId="3" fillId="14" fontId="118" numFmtId="0" xfId="0" applyAlignment="1" applyBorder="1" applyFont="1">
      <alignment horizontal="center" readingOrder="0" shrinkToFit="0" vertical="center" wrapText="1"/>
    </xf>
    <xf borderId="4" fillId="14" fontId="118" numFmtId="0" xfId="0" applyAlignment="1" applyBorder="1" applyFont="1">
      <alignment horizontal="center" readingOrder="0" shrinkToFit="0" vertical="center" wrapText="1"/>
    </xf>
    <xf borderId="2" fillId="14" fontId="14" numFmtId="0" xfId="0" applyAlignment="1" applyBorder="1" applyFont="1">
      <alignment horizontal="center" vertical="center"/>
    </xf>
    <xf borderId="3" fillId="14" fontId="14" numFmtId="0" xfId="0" applyAlignment="1" applyBorder="1" applyFont="1">
      <alignment horizontal="center" vertical="center"/>
    </xf>
    <xf borderId="4" fillId="14" fontId="14" numFmtId="0" xfId="0" applyAlignment="1" applyBorder="1" applyFont="1">
      <alignment vertical="center"/>
    </xf>
    <xf borderId="8" fillId="14" fontId="103" numFmtId="0" xfId="0" applyAlignment="1" applyBorder="1" applyFont="1">
      <alignment horizontal="center" vertical="center"/>
    </xf>
    <xf borderId="0" fillId="14" fontId="118" numFmtId="0" xfId="0" applyAlignment="1" applyFont="1">
      <alignment horizontal="center" readingOrder="0" shrinkToFit="0" vertical="center" wrapText="1"/>
    </xf>
    <xf borderId="9" fillId="14" fontId="118" numFmtId="0" xfId="0" applyAlignment="1" applyBorder="1" applyFont="1">
      <alignment horizontal="center" readingOrder="0" shrinkToFit="0" vertical="center" wrapText="1"/>
    </xf>
    <xf borderId="8" fillId="14" fontId="14" numFmtId="0" xfId="0" applyAlignment="1" applyBorder="1" applyFont="1">
      <alignment horizontal="center" vertical="center"/>
    </xf>
    <xf borderId="0" fillId="14" fontId="14" numFmtId="0" xfId="0" applyAlignment="1" applyFont="1">
      <alignment horizontal="center" vertical="center"/>
    </xf>
    <xf borderId="9" fillId="14" fontId="14" numFmtId="0" xfId="0" applyAlignment="1" applyBorder="1" applyFont="1">
      <alignment vertical="center"/>
    </xf>
    <xf borderId="0" fillId="14" fontId="120" numFmtId="0" xfId="0" applyAlignment="1" applyFont="1">
      <alignment horizontal="center" vertical="center"/>
    </xf>
    <xf borderId="0" fillId="14" fontId="121" numFmtId="0" xfId="0" applyAlignment="1" applyFont="1">
      <alignment horizontal="center" vertical="center"/>
    </xf>
    <xf borderId="0" fillId="14" fontId="122" numFmtId="0" xfId="0" applyAlignment="1" applyFont="1">
      <alignment horizontal="center" vertical="center"/>
    </xf>
    <xf borderId="0" fillId="14" fontId="123" numFmtId="0" xfId="0" applyAlignment="1" applyFont="1">
      <alignment horizontal="center" vertical="center"/>
    </xf>
    <xf borderId="0" fillId="14" fontId="124" numFmtId="0" xfId="0" applyAlignment="1" applyFont="1">
      <alignment horizontal="center" readingOrder="0" vertical="center"/>
    </xf>
    <xf borderId="0" fillId="14" fontId="125" numFmtId="0" xfId="0" applyAlignment="1" applyFont="1">
      <alignment horizontal="center" vertical="center"/>
    </xf>
    <xf borderId="0" fillId="14" fontId="126" numFmtId="0" xfId="0" applyAlignment="1" applyFont="1">
      <alignment horizontal="center" vertical="center"/>
    </xf>
    <xf borderId="0" fillId="14" fontId="127" numFmtId="0" xfId="0" applyAlignment="1" applyFont="1">
      <alignment horizontal="center" readingOrder="0" shrinkToFit="0" vertical="center" wrapText="1"/>
    </xf>
    <xf borderId="0" fillId="14" fontId="128" numFmtId="0" xfId="0" applyAlignment="1" applyFont="1">
      <alignment horizontal="center" readingOrder="0" shrinkToFit="0" vertical="center" wrapText="1"/>
    </xf>
    <xf borderId="9" fillId="14" fontId="129" numFmtId="0" xfId="0" applyAlignment="1" applyBorder="1" applyFont="1">
      <alignment horizontal="center" readingOrder="0" shrinkToFit="0" vertical="center" wrapText="1"/>
    </xf>
    <xf borderId="109" fillId="8" fontId="130" numFmtId="0" xfId="0" applyAlignment="1" applyBorder="1" applyFont="1">
      <alignment horizontal="center" readingOrder="0" vertical="center"/>
    </xf>
    <xf borderId="0" fillId="8" fontId="130" numFmtId="0" xfId="0" applyAlignment="1" applyFont="1">
      <alignment horizontal="center" readingOrder="0" vertical="center"/>
    </xf>
    <xf borderId="26" fillId="14" fontId="103" numFmtId="0" xfId="0" applyAlignment="1" applyBorder="1" applyFont="1">
      <alignment horizontal="center" vertical="center"/>
    </xf>
    <xf borderId="27" fillId="14" fontId="103" numFmtId="0" xfId="0" applyAlignment="1" applyBorder="1" applyFont="1">
      <alignment horizontal="center" vertical="center"/>
    </xf>
    <xf borderId="27" fillId="14" fontId="129" numFmtId="0" xfId="0" applyAlignment="1" applyBorder="1" applyFont="1">
      <alignment horizontal="center" readingOrder="0" shrinkToFit="0" vertical="center" wrapText="1"/>
    </xf>
    <xf borderId="28" fillId="14" fontId="129" numFmtId="0" xfId="0" applyAlignment="1" applyBorder="1" applyFont="1">
      <alignment horizontal="center" readingOrder="0" shrinkToFit="0" vertical="center" wrapText="1"/>
    </xf>
    <xf borderId="26" fillId="14" fontId="14" numFmtId="0" xfId="0" applyAlignment="1" applyBorder="1" applyFont="1">
      <alignment horizontal="center" vertical="center"/>
    </xf>
    <xf borderId="27" fillId="14" fontId="14" numFmtId="0" xfId="0" applyAlignment="1" applyBorder="1" applyFont="1">
      <alignment horizontal="center" vertical="center"/>
    </xf>
    <xf borderId="28" fillId="14" fontId="14" numFmtId="0" xfId="0" applyAlignment="1" applyBorder="1" applyFont="1">
      <alignment vertical="center"/>
    </xf>
    <xf borderId="0" fillId="3" fontId="131" numFmtId="0" xfId="0" applyAlignment="1" applyFont="1">
      <alignment horizontal="center" readingOrder="0" shrinkToFit="0" vertical="center" wrapText="1"/>
    </xf>
    <xf borderId="0" fillId="3" fontId="132" numFmtId="0" xfId="0" applyAlignment="1" applyFont="1">
      <alignment horizontal="center" readingOrder="0" shrinkToFit="0" vertical="center" wrapText="1"/>
    </xf>
    <xf borderId="0" fillId="14" fontId="133" numFmtId="0" xfId="0" applyAlignment="1" applyFont="1">
      <alignment horizontal="center" vertical="center"/>
    </xf>
    <xf borderId="0" fillId="14" fontId="134" numFmtId="0" xfId="0" applyAlignment="1" applyFont="1">
      <alignment horizontal="center" vertical="center"/>
    </xf>
    <xf borderId="0" fillId="14" fontId="135" numFmtId="0" xfId="0" applyAlignment="1" applyFont="1">
      <alignment horizontal="center" vertical="center"/>
    </xf>
    <xf borderId="0" fillId="14" fontId="115" numFmtId="0" xfId="0" applyAlignment="1" applyFont="1">
      <alignment horizontal="center" readingOrder="0" shrinkToFit="0" vertical="center" wrapText="1"/>
    </xf>
    <xf borderId="0" fillId="14" fontId="129" numFmtId="0" xfId="0" applyAlignment="1" applyFont="1">
      <alignment horizontal="center" readingOrder="0" shrinkToFit="0" vertical="center" wrapText="1"/>
    </xf>
    <xf borderId="0" fillId="14" fontId="136" numFmtId="0" xfId="0" applyAlignment="1" applyFont="1">
      <alignment horizontal="center" vertical="center"/>
    </xf>
    <xf borderId="0" fillId="14" fontId="137" numFmtId="0" xfId="0" applyAlignment="1" applyFont="1">
      <alignment horizontal="center" vertical="center"/>
    </xf>
    <xf borderId="9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vertical="center"/>
    </xf>
    <xf borderId="0" fillId="3" fontId="138" numFmtId="0" xfId="0" applyAlignment="1" applyFont="1">
      <alignment horizontal="center" readingOrder="0" shrinkToFit="0" vertical="center" wrapText="1"/>
    </xf>
    <xf borderId="0" fillId="3" fontId="139" numFmtId="0" xfId="0" applyAlignment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0" fillId="14" fontId="140" numFmtId="0" xfId="0" applyAlignment="1" applyFont="1">
      <alignment horizontal="center" vertical="center"/>
    </xf>
    <xf borderId="0" fillId="14" fontId="141" numFmtId="0" xfId="0" applyAlignment="1" applyFont="1">
      <alignment horizontal="center" vertical="center"/>
    </xf>
    <xf borderId="0" fillId="14" fontId="142" numFmtId="0" xfId="0" applyAlignment="1" applyFont="1">
      <alignment horizontal="center" vertical="center"/>
    </xf>
    <xf borderId="0" fillId="14" fontId="143" numFmtId="0" xfId="0" applyAlignment="1" applyFont="1">
      <alignment horizontal="center" vertical="center"/>
    </xf>
    <xf borderId="0" fillId="14" fontId="142" numFmtId="0" xfId="0" applyAlignment="1" applyFont="1">
      <alignment horizontal="center" readingOrder="0" vertical="center"/>
    </xf>
    <xf borderId="9" fillId="5" fontId="14" numFmtId="0" xfId="0" applyAlignment="1" applyBorder="1" applyFont="1">
      <alignment horizontal="center" vertical="center"/>
    </xf>
    <xf borderId="0" fillId="14" fontId="14" numFmtId="0" xfId="0" applyAlignment="1" applyFont="1">
      <alignment vertical="center"/>
    </xf>
    <xf borderId="8" fillId="5" fontId="14" numFmtId="0" xfId="0" applyAlignment="1" applyBorder="1" applyFont="1">
      <alignment vertical="center"/>
    </xf>
    <xf borderId="110" fillId="3" fontId="144" numFmtId="0" xfId="0" applyAlignment="1" applyBorder="1" applyFont="1">
      <alignment horizontal="center" readingOrder="0" shrinkToFit="0" vertical="center" wrapText="1"/>
    </xf>
    <xf borderId="111" fillId="0" fontId="3" numFmtId="0" xfId="0" applyBorder="1" applyFont="1"/>
    <xf borderId="112" fillId="0" fontId="3" numFmtId="0" xfId="0" applyBorder="1" applyFont="1"/>
    <xf borderId="113" fillId="3" fontId="145" numFmtId="0" xfId="0" applyAlignment="1" applyBorder="1" applyFont="1">
      <alignment horizontal="center" readingOrder="0" shrinkToFit="0" vertical="center" wrapText="1"/>
    </xf>
    <xf borderId="0" fillId="3" fontId="145" numFmtId="0" xfId="0" applyAlignment="1" applyFont="1">
      <alignment horizontal="center" readingOrder="0" shrinkToFit="0" vertical="center" wrapText="1"/>
    </xf>
    <xf borderId="113" fillId="3" fontId="146" numFmtId="0" xfId="0" applyAlignment="1" applyBorder="1" applyFont="1">
      <alignment horizontal="center" readingOrder="0" shrinkToFit="0" vertical="center" wrapText="1"/>
    </xf>
    <xf borderId="113" fillId="3" fontId="86" numFmtId="0" xfId="0" applyAlignment="1" applyBorder="1" applyFont="1">
      <alignment horizontal="center" readingOrder="0" shrinkToFit="0" vertical="center" wrapText="1"/>
    </xf>
    <xf borderId="0" fillId="3" fontId="147" numFmtId="0" xfId="0" applyAlignment="1" applyFont="1">
      <alignment horizontal="center" readingOrder="0" shrinkToFit="0" vertical="center" wrapText="1"/>
    </xf>
    <xf borderId="114" fillId="3" fontId="147" numFmtId="0" xfId="0" applyAlignment="1" applyBorder="1" applyFont="1">
      <alignment horizontal="center" readingOrder="0" shrinkToFit="0" vertical="center" wrapText="1"/>
    </xf>
    <xf borderId="115" fillId="3" fontId="148" numFmtId="0" xfId="0" applyAlignment="1" applyBorder="1" applyFont="1">
      <alignment horizontal="center" readingOrder="0" shrinkToFit="0" vertical="center" wrapText="1"/>
    </xf>
    <xf borderId="114" fillId="2" fontId="149" numFmtId="0" xfId="0" applyAlignment="1" applyBorder="1" applyFont="1">
      <alignment horizontal="center" readingOrder="0" shrinkToFit="0" vertical="center" wrapText="1"/>
    </xf>
    <xf borderId="116" fillId="3" fontId="147" numFmtId="0" xfId="0" applyAlignment="1" applyBorder="1" applyFont="1">
      <alignment horizontal="center" readingOrder="0" shrinkToFit="0" vertical="center" wrapText="1"/>
    </xf>
    <xf borderId="114" fillId="3" fontId="150" numFmtId="0" xfId="0" applyAlignment="1" applyBorder="1" applyFont="1">
      <alignment horizontal="center" readingOrder="0" shrinkToFit="0" vertical="center" wrapText="1"/>
    </xf>
    <xf borderId="0" fillId="3" fontId="95" numFmtId="0" xfId="0" applyAlignment="1" applyFont="1">
      <alignment horizontal="center" vertical="center"/>
    </xf>
    <xf borderId="87" fillId="3" fontId="22" numFmtId="0" xfId="0" applyAlignment="1" applyBorder="1" applyFont="1">
      <alignment horizontal="center" shrinkToFit="0" vertical="center" wrapText="1"/>
    </xf>
    <xf borderId="88" fillId="0" fontId="3" numFmtId="0" xfId="0" applyBorder="1" applyFont="1"/>
    <xf borderId="84" fillId="3" fontId="151" numFmtId="0" xfId="0" applyAlignment="1" applyBorder="1" applyFont="1">
      <alignment horizontal="center" readingOrder="0" shrinkToFit="0" vertical="center" wrapText="1"/>
    </xf>
    <xf borderId="84" fillId="3" fontId="146" numFmtId="0" xfId="0" applyAlignment="1" applyBorder="1" applyFont="1">
      <alignment horizontal="center" readingOrder="0" shrinkToFit="0" vertical="center" wrapText="1"/>
    </xf>
    <xf borderId="0" fillId="3" fontId="86" numFmtId="0" xfId="0" applyAlignment="1" applyFont="1">
      <alignment horizontal="center" readingOrder="0" shrinkToFit="0" vertical="center" wrapText="1"/>
    </xf>
    <xf borderId="117" fillId="3" fontId="152" numFmtId="0" xfId="0" applyAlignment="1" applyBorder="1" applyFont="1">
      <alignment horizontal="center" shrinkToFit="0" vertical="center" wrapText="1"/>
    </xf>
    <xf borderId="118" fillId="3" fontId="153" numFmtId="0" xfId="0" applyAlignment="1" applyBorder="1" applyFont="1">
      <alignment horizontal="center" shrinkToFit="0" vertical="center" wrapText="1"/>
    </xf>
    <xf borderId="88" fillId="5" fontId="1" numFmtId="0" xfId="0" applyAlignment="1" applyBorder="1" applyFont="1">
      <alignment horizontal="center" vertical="center"/>
    </xf>
    <xf borderId="87" fillId="5" fontId="1" numFmtId="0" xfId="0" applyAlignment="1" applyBorder="1" applyFont="1">
      <alignment horizontal="center" vertical="center"/>
    </xf>
    <xf borderId="87" fillId="3" fontId="154" numFmtId="0" xfId="0" applyAlignment="1" applyBorder="1" applyFont="1">
      <alignment horizontal="center" shrinkToFit="0" vertical="center" wrapText="1"/>
    </xf>
    <xf borderId="88" fillId="3" fontId="88" numFmtId="0" xfId="0" applyAlignment="1" applyBorder="1" applyFont="1">
      <alignment horizontal="center" shrinkToFit="0" vertical="center" wrapText="1"/>
    </xf>
    <xf borderId="88" fillId="3" fontId="154" numFmtId="0" xfId="0" applyAlignment="1" applyBorder="1" applyFont="1">
      <alignment horizontal="center" shrinkToFit="0" vertical="center" wrapText="1"/>
    </xf>
    <xf borderId="87" fillId="3" fontId="92" numFmtId="0" xfId="0" applyAlignment="1" applyBorder="1" applyFont="1">
      <alignment horizontal="center" shrinkToFit="0" vertical="center" wrapText="1"/>
    </xf>
    <xf borderId="117" fillId="3" fontId="155" numFmtId="0" xfId="0" applyAlignment="1" applyBorder="1" applyFont="1">
      <alignment horizontal="center" shrinkToFit="0" vertical="center" wrapText="1"/>
    </xf>
    <xf borderId="118" fillId="3" fontId="90" numFmtId="0" xfId="0" applyAlignment="1" applyBorder="1" applyFont="1">
      <alignment horizontal="center" shrinkToFit="0" vertical="center" wrapText="1"/>
    </xf>
    <xf borderId="88" fillId="5" fontId="156" numFmtId="0" xfId="0" applyAlignment="1" applyBorder="1" applyFont="1">
      <alignment horizontal="center" vertical="center"/>
    </xf>
    <xf borderId="88" fillId="5" fontId="157" numFmtId="0" xfId="0" applyAlignment="1" applyBorder="1" applyFont="1">
      <alignment horizontal="center" vertical="center"/>
    </xf>
    <xf borderId="87" fillId="5" fontId="91" numFmtId="0" xfId="0" applyAlignment="1" applyBorder="1" applyFont="1">
      <alignment horizontal="center" vertical="center"/>
    </xf>
  </cellXfs>
  <cellStyles count="1">
    <cellStyle xfId="0" name="Normal" builtinId="0"/>
  </cellStyles>
  <dxfs count="16">
    <dxf>
      <font>
        <b/>
        <color rgb="FF2B282C"/>
      </font>
      <fill>
        <patternFill patternType="solid">
          <fgColor rgb="FFCFE2F3"/>
          <bgColor rgb="FFCFE2F3"/>
        </patternFill>
      </fill>
      <border/>
    </dxf>
    <dxf>
      <font>
        <b/>
        <color rgb="FF2B282C"/>
      </font>
      <fill>
        <patternFill patternType="solid">
          <fgColor rgb="FFFFF2CC"/>
          <bgColor rgb="FFFFF2CC"/>
        </patternFill>
      </fill>
      <border/>
    </dxf>
    <dxf>
      <font>
        <b/>
        <color rgb="FF2B282C"/>
      </font>
      <fill>
        <patternFill patternType="solid">
          <fgColor rgb="FFF4CCCC"/>
          <bgColor rgb="FFF4CCCC"/>
        </patternFill>
      </fill>
      <border/>
    </dxf>
    <dxf>
      <font>
        <b/>
        <color rgb="FF2B282C"/>
      </font>
      <fill>
        <patternFill patternType="solid">
          <fgColor rgb="FFD9D2E9"/>
          <bgColor rgb="FFD9D2E9"/>
        </patternFill>
      </fill>
      <border/>
    </dxf>
    <dxf>
      <font>
        <b/>
        <color rgb="FF2B282C"/>
      </font>
      <fill>
        <patternFill patternType="solid">
          <fgColor rgb="FFD9EAD3"/>
          <bgColor rgb="FFD9EAD3"/>
        </patternFill>
      </fill>
      <border/>
    </dxf>
    <dxf>
      <font>
        <b/>
        <color rgb="FF2B282C"/>
      </font>
      <fill>
        <patternFill patternType="solid">
          <fgColor rgb="FFEFEFEF"/>
          <bgColor rgb="FFEFEFEF"/>
        </patternFill>
      </fill>
      <border/>
    </dxf>
    <dxf>
      <font>
        <color rgb="FFCFE2F3"/>
      </font>
      <fill>
        <patternFill patternType="none"/>
      </fill>
      <border/>
    </dxf>
    <dxf>
      <font>
        <color rgb="FFFFF2CC"/>
      </font>
      <fill>
        <patternFill patternType="none"/>
      </fill>
      <border/>
    </dxf>
    <dxf>
      <font>
        <color rgb="FFF4CCCC"/>
      </font>
      <fill>
        <patternFill patternType="none"/>
      </fill>
      <border/>
    </dxf>
    <dxf>
      <font>
        <color rgb="FFD9D2E9"/>
      </font>
      <fill>
        <patternFill patternType="none"/>
      </fill>
      <border/>
    </dxf>
    <dxf>
      <font>
        <color rgb="FFD9EAD3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color rgb="FFCEE8DC"/>
      </font>
      <fill>
        <patternFill patternType="solid">
          <fgColor rgb="FF51A97F"/>
          <bgColor rgb="FF51A97F"/>
        </patternFill>
      </fill>
      <border/>
    </dxf>
    <dxf>
      <font>
        <color rgb="FFBE5B5B"/>
      </font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2</xdr:row>
      <xdr:rowOff>85725</xdr:rowOff>
    </xdr:from>
    <xdr:ext cx="5410200" cy="2952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9k6dWZGEULcX8brgyCZkGFTI52YpSpSpe5N9D9E3i8zW2dA/viewform?usp=sf_link" TargetMode="External"/><Relationship Id="rId2" Type="http://schemas.openxmlformats.org/officeDocument/2006/relationships/hyperlink" Target="https://docs.google.com/forms/d/e/1FAIpQLSdw9sbLKZfFbt1KGH9cU-okXaav3YzfJRZZXA5scRejJmVKMw/viewform?pli=1" TargetMode="External"/><Relationship Id="rId3" Type="http://schemas.openxmlformats.org/officeDocument/2006/relationships/hyperlink" Target="https://docs.google.com/forms/d/e/1FAIpQLScHqu0LWVDbxf63GxiN-iPdhtJijWimCc-AUtPN2sAgC6YyyQ/viewform?usp=sf_link" TargetMode="External"/><Relationship Id="rId4" Type="http://schemas.openxmlformats.org/officeDocument/2006/relationships/hyperlink" Target="https://osu.ppy.sh/community/forums/topics/1790898?n=1" TargetMode="External"/><Relationship Id="rId5" Type="http://schemas.openxmlformats.org/officeDocument/2006/relationships/hyperlink" Target="https://discord.gg/E85e2UvD5" TargetMode="External"/><Relationship Id="rId6" Type="http://schemas.openxmlformats.org/officeDocument/2006/relationships/hyperlink" Target="https://docs.google.com/document/d/1bv2A-U-b30gndBWXPqiFzz4xfuGgdbRAfnyuZOyPm18/edit?usp=shari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community/matches/110313675" TargetMode="External"/><Relationship Id="rId42" Type="http://schemas.openxmlformats.org/officeDocument/2006/relationships/hyperlink" Target="https://osu.ppy.sh/community/matches/110300869" TargetMode="External"/><Relationship Id="rId41" Type="http://schemas.openxmlformats.org/officeDocument/2006/relationships/hyperlink" Target="https://osu.ppy.sh/community/matches/110298939" TargetMode="External"/><Relationship Id="rId44" Type="http://schemas.openxmlformats.org/officeDocument/2006/relationships/hyperlink" Target="https://osu.ppy.sh/community/matches/110289632" TargetMode="External"/><Relationship Id="rId43" Type="http://schemas.openxmlformats.org/officeDocument/2006/relationships/hyperlink" Target="https://osu.ppy.sh/community/matches/110282200" TargetMode="External"/><Relationship Id="rId46" Type="http://schemas.openxmlformats.org/officeDocument/2006/relationships/hyperlink" Target="https://osu.ppy.sh/community/matches/110365741" TargetMode="External"/><Relationship Id="rId45" Type="http://schemas.openxmlformats.org/officeDocument/2006/relationships/hyperlink" Target="https://osu.ppy.sh/community/matches/110299252" TargetMode="External"/><Relationship Id="rId1" Type="http://schemas.openxmlformats.org/officeDocument/2006/relationships/hyperlink" Target="https://osu.ppy.sh/mp/110066290" TargetMode="External"/><Relationship Id="rId2" Type="http://schemas.openxmlformats.org/officeDocument/2006/relationships/hyperlink" Target="https://osu.ppy.sh/mp/110090518" TargetMode="External"/><Relationship Id="rId3" Type="http://schemas.openxmlformats.org/officeDocument/2006/relationships/hyperlink" Target="https://osu.ppy.sh/community/matches/110051132" TargetMode="External"/><Relationship Id="rId4" Type="http://schemas.openxmlformats.org/officeDocument/2006/relationships/hyperlink" Target="https://osu.ppy.sh/community/matches/110087766" TargetMode="External"/><Relationship Id="rId9" Type="http://schemas.openxmlformats.org/officeDocument/2006/relationships/hyperlink" Target="https://osu.ppy.sh/community/matches/110068687" TargetMode="External"/><Relationship Id="rId48" Type="http://schemas.openxmlformats.org/officeDocument/2006/relationships/hyperlink" Target="https://osu.ppy.sh/community/matches/110385386" TargetMode="External"/><Relationship Id="rId47" Type="http://schemas.openxmlformats.org/officeDocument/2006/relationships/hyperlink" Target="https://osu.ppy.sh/community/matches/110370451" TargetMode="External"/><Relationship Id="rId49" Type="http://schemas.openxmlformats.org/officeDocument/2006/relationships/hyperlink" Target="https://osu.ppy.sh/community/matches/110379556" TargetMode="External"/><Relationship Id="rId5" Type="http://schemas.openxmlformats.org/officeDocument/2006/relationships/hyperlink" Target="https://osu.ppy.sh/community/matches/110076817" TargetMode="External"/><Relationship Id="rId6" Type="http://schemas.openxmlformats.org/officeDocument/2006/relationships/hyperlink" Target="https://osu.ppy.sh/mp/110067010" TargetMode="External"/><Relationship Id="rId7" Type="http://schemas.openxmlformats.org/officeDocument/2006/relationships/hyperlink" Target="https://osu.ppy.sh/mp/110067659" TargetMode="External"/><Relationship Id="rId8" Type="http://schemas.openxmlformats.org/officeDocument/2006/relationships/hyperlink" Target="https://osu.ppy.sh/community/matches/110077688" TargetMode="External"/><Relationship Id="rId31" Type="http://schemas.openxmlformats.org/officeDocument/2006/relationships/hyperlink" Target="https://osu.ppy.sh/community/matches/110174570" TargetMode="External"/><Relationship Id="rId30" Type="http://schemas.openxmlformats.org/officeDocument/2006/relationships/hyperlink" Target="https://osu.ppy.sh/community/matches/110156344" TargetMode="External"/><Relationship Id="rId33" Type="http://schemas.openxmlformats.org/officeDocument/2006/relationships/hyperlink" Target="https://osu.ppy.sh/community/matches/110291479" TargetMode="External"/><Relationship Id="rId32" Type="http://schemas.openxmlformats.org/officeDocument/2006/relationships/hyperlink" Target="https://osu.ppy.sh/community/matches/110301082" TargetMode="External"/><Relationship Id="rId35" Type="http://schemas.openxmlformats.org/officeDocument/2006/relationships/hyperlink" Target="https://osu.ppy.sh/community/matches/110275875" TargetMode="External"/><Relationship Id="rId34" Type="http://schemas.openxmlformats.org/officeDocument/2006/relationships/hyperlink" Target="https://osu.ppy.sh/community/matches/110301327" TargetMode="External"/><Relationship Id="rId37" Type="http://schemas.openxmlformats.org/officeDocument/2006/relationships/hyperlink" Target="https://osu.ppy.sh/community/matches/110283874" TargetMode="External"/><Relationship Id="rId36" Type="http://schemas.openxmlformats.org/officeDocument/2006/relationships/hyperlink" Target="https://osu.ppy.sh/community/matches/110283000" TargetMode="External"/><Relationship Id="rId39" Type="http://schemas.openxmlformats.org/officeDocument/2006/relationships/hyperlink" Target="https://osu.ppy.sh/community/matches/110283001" TargetMode="External"/><Relationship Id="rId38" Type="http://schemas.openxmlformats.org/officeDocument/2006/relationships/hyperlink" Target="https://osu.ppy.sh/community/matches/110299202" TargetMode="External"/><Relationship Id="rId20" Type="http://schemas.openxmlformats.org/officeDocument/2006/relationships/hyperlink" Target="https://osu.ppy.sh/community/matches/110175433" TargetMode="External"/><Relationship Id="rId22" Type="http://schemas.openxmlformats.org/officeDocument/2006/relationships/hyperlink" Target="https://osu.ppy.sh/community/matches/110177686" TargetMode="External"/><Relationship Id="rId21" Type="http://schemas.openxmlformats.org/officeDocument/2006/relationships/hyperlink" Target="https://osu.ppy.sh/community/matches/110174567" TargetMode="External"/><Relationship Id="rId24" Type="http://schemas.openxmlformats.org/officeDocument/2006/relationships/hyperlink" Target="https://osu.ppy.sh/community/matches/110190477" TargetMode="External"/><Relationship Id="rId23" Type="http://schemas.openxmlformats.org/officeDocument/2006/relationships/hyperlink" Target="https://osu.ppy.sh/community/matches/110185577" TargetMode="External"/><Relationship Id="rId60" Type="http://schemas.openxmlformats.org/officeDocument/2006/relationships/drawing" Target="../drawings/drawing2.xml"/><Relationship Id="rId26" Type="http://schemas.openxmlformats.org/officeDocument/2006/relationships/hyperlink" Target="https://osu.ppy.sh/community/matches/110179406" TargetMode="External"/><Relationship Id="rId25" Type="http://schemas.openxmlformats.org/officeDocument/2006/relationships/hyperlink" Target="https://osu.ppy.sh/community/matches/110176380" TargetMode="External"/><Relationship Id="rId28" Type="http://schemas.openxmlformats.org/officeDocument/2006/relationships/hyperlink" Target="https://osu.ppy.sh/community/matches/110184531" TargetMode="External"/><Relationship Id="rId27" Type="http://schemas.openxmlformats.org/officeDocument/2006/relationships/hyperlink" Target="https://osu.ppy.sh/community/matches/110191205" TargetMode="External"/><Relationship Id="rId29" Type="http://schemas.openxmlformats.org/officeDocument/2006/relationships/hyperlink" Target="https://osu.ppy.sh/community/matches/110157424" TargetMode="External"/><Relationship Id="rId51" Type="http://schemas.openxmlformats.org/officeDocument/2006/relationships/hyperlink" Target="https://osu.ppy.sh/community/matches/110398000" TargetMode="External"/><Relationship Id="rId50" Type="http://schemas.openxmlformats.org/officeDocument/2006/relationships/hyperlink" Target="https://osu.ppy.sh/community/matches/110400479" TargetMode="External"/><Relationship Id="rId53" Type="http://schemas.openxmlformats.org/officeDocument/2006/relationships/hyperlink" Target="https://osu.ppy.sh/community/matches/110388082" TargetMode="External"/><Relationship Id="rId52" Type="http://schemas.openxmlformats.org/officeDocument/2006/relationships/hyperlink" Target="https://osu.ppy.sh/community/matches/110400514" TargetMode="External"/><Relationship Id="rId11" Type="http://schemas.openxmlformats.org/officeDocument/2006/relationships/hyperlink" Target="https://osu.ppy.sh/community/matches/110051882" TargetMode="External"/><Relationship Id="rId55" Type="http://schemas.openxmlformats.org/officeDocument/2006/relationships/hyperlink" Target="https://osu.ppy.sh/community/matches/110484639" TargetMode="External"/><Relationship Id="rId10" Type="http://schemas.openxmlformats.org/officeDocument/2006/relationships/hyperlink" Target="https://osu.ppy.sh/community/matches/110085247" TargetMode="External"/><Relationship Id="rId54" Type="http://schemas.openxmlformats.org/officeDocument/2006/relationships/hyperlink" Target="https://osu.ppy.sh/community/matches/110481100" TargetMode="External"/><Relationship Id="rId13" Type="http://schemas.openxmlformats.org/officeDocument/2006/relationships/hyperlink" Target="https://osu.ppy.sh/community/matches/110067582" TargetMode="External"/><Relationship Id="rId57" Type="http://schemas.openxmlformats.org/officeDocument/2006/relationships/hyperlink" Target="https://osu.ppy.sh/community/matches/110493889" TargetMode="External"/><Relationship Id="rId12" Type="http://schemas.openxmlformats.org/officeDocument/2006/relationships/hyperlink" Target="https://osu.ppy.sh/community/matches/110077387" TargetMode="External"/><Relationship Id="rId56" Type="http://schemas.openxmlformats.org/officeDocument/2006/relationships/hyperlink" Target="https://osu.ppy.sh/community/matches/110507463" TargetMode="External"/><Relationship Id="rId15" Type="http://schemas.openxmlformats.org/officeDocument/2006/relationships/hyperlink" Target="https://osu.ppy.sh/community/matches/110089262" TargetMode="External"/><Relationship Id="rId59" Type="http://schemas.openxmlformats.org/officeDocument/2006/relationships/hyperlink" Target="https://osu.ppy.sh/community/matches/110607052" TargetMode="External"/><Relationship Id="rId14" Type="http://schemas.openxmlformats.org/officeDocument/2006/relationships/hyperlink" Target="https://osu.ppy.sh/community/matches/110063252" TargetMode="External"/><Relationship Id="rId58" Type="http://schemas.openxmlformats.org/officeDocument/2006/relationships/hyperlink" Target="https://osu.ppy.sh/community/matches/110601167" TargetMode="External"/><Relationship Id="rId17" Type="http://schemas.openxmlformats.org/officeDocument/2006/relationships/hyperlink" Target="https://osu.ppy.sh/community/matches/110178185" TargetMode="External"/><Relationship Id="rId16" Type="http://schemas.openxmlformats.org/officeDocument/2006/relationships/hyperlink" Target="https://osu.ppy.sh/community/matches/110206456" TargetMode="External"/><Relationship Id="rId19" Type="http://schemas.openxmlformats.org/officeDocument/2006/relationships/hyperlink" Target="https://osu.ppy.sh/community/matches/110194908" TargetMode="External"/><Relationship Id="rId18" Type="http://schemas.openxmlformats.org/officeDocument/2006/relationships/hyperlink" Target="https://osu.ppy.sh/community/matches/110190490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beatmapsets/49459" TargetMode="External"/><Relationship Id="rId42" Type="http://schemas.openxmlformats.org/officeDocument/2006/relationships/hyperlink" Target="https://osu.ppy.sh/beatmapsets/702272" TargetMode="External"/><Relationship Id="rId41" Type="http://schemas.openxmlformats.org/officeDocument/2006/relationships/hyperlink" Target="https://osu.ppy.sh/beatmapsets/1610294" TargetMode="External"/><Relationship Id="rId44" Type="http://schemas.openxmlformats.org/officeDocument/2006/relationships/hyperlink" Target="https://osu.ppy.sh/beatmapsets/819349" TargetMode="External"/><Relationship Id="rId43" Type="http://schemas.openxmlformats.org/officeDocument/2006/relationships/hyperlink" Target="https://drive.google.com/file/d/17f4HREg2YPn1y1zLQOzyC3aUBQ_ulcWu/view?usp=sharing" TargetMode="External"/><Relationship Id="rId46" Type="http://schemas.openxmlformats.org/officeDocument/2006/relationships/hyperlink" Target="https://osu.ppy.sh/beatmapsets/1109683" TargetMode="External"/><Relationship Id="rId45" Type="http://schemas.openxmlformats.org/officeDocument/2006/relationships/hyperlink" Target="https://osu.ppy.sh/beatmapsets/1785134" TargetMode="External"/><Relationship Id="rId107" Type="http://schemas.openxmlformats.org/officeDocument/2006/relationships/hyperlink" Target="https://osu.ppy.sh/beatmapsets/956595" TargetMode="External"/><Relationship Id="rId106" Type="http://schemas.openxmlformats.org/officeDocument/2006/relationships/hyperlink" Target="https://osu.ppy.sh/beatmapsets/917159" TargetMode="External"/><Relationship Id="rId105" Type="http://schemas.openxmlformats.org/officeDocument/2006/relationships/hyperlink" Target="https://osu.ppy.sh/beatmapsets/1274098" TargetMode="External"/><Relationship Id="rId104" Type="http://schemas.openxmlformats.org/officeDocument/2006/relationships/hyperlink" Target="https://osu.ppy.sh/beatmapsets/42527" TargetMode="External"/><Relationship Id="rId109" Type="http://schemas.openxmlformats.org/officeDocument/2006/relationships/hyperlink" Target="https://osu.ppy.sh/beatmapsets/1663184" TargetMode="External"/><Relationship Id="rId108" Type="http://schemas.openxmlformats.org/officeDocument/2006/relationships/hyperlink" Target="https://osu.ppy.sh/beatmapsets/1131726" TargetMode="External"/><Relationship Id="rId48" Type="http://schemas.openxmlformats.org/officeDocument/2006/relationships/hyperlink" Target="https://osu.ppy.sh/beatmapsets/1349093" TargetMode="External"/><Relationship Id="rId47" Type="http://schemas.openxmlformats.org/officeDocument/2006/relationships/hyperlink" Target="https://osu.ppy.sh/beatmapsets/1574603" TargetMode="External"/><Relationship Id="rId49" Type="http://schemas.openxmlformats.org/officeDocument/2006/relationships/hyperlink" Target="https://osu.ppy.sh/beatmapsets/1901819" TargetMode="External"/><Relationship Id="rId103" Type="http://schemas.openxmlformats.org/officeDocument/2006/relationships/hyperlink" Target="https://osu.ppy.sh/beatmapsets/1533832" TargetMode="External"/><Relationship Id="rId102" Type="http://schemas.openxmlformats.org/officeDocument/2006/relationships/hyperlink" Target="https://osu.ppy.sh/beatmapsets/932654" TargetMode="External"/><Relationship Id="rId101" Type="http://schemas.openxmlformats.org/officeDocument/2006/relationships/hyperlink" Target="https://osu.ppy.sh/beatmapsets/1381824" TargetMode="External"/><Relationship Id="rId100" Type="http://schemas.openxmlformats.org/officeDocument/2006/relationships/hyperlink" Target="https://osu.ppy.sh/beatmapsets/1169856" TargetMode="External"/><Relationship Id="rId31" Type="http://schemas.openxmlformats.org/officeDocument/2006/relationships/hyperlink" Target="https://osu.ppy.sh/beatmapsets/1328138" TargetMode="External"/><Relationship Id="rId30" Type="http://schemas.openxmlformats.org/officeDocument/2006/relationships/hyperlink" Target="https://osu.ppy.sh/beatmapsets/1670118" TargetMode="External"/><Relationship Id="rId33" Type="http://schemas.openxmlformats.org/officeDocument/2006/relationships/hyperlink" Target="https://osu.ppy.sh/beatmapsets/1280207" TargetMode="External"/><Relationship Id="rId32" Type="http://schemas.openxmlformats.org/officeDocument/2006/relationships/hyperlink" Target="https://osu.ppy.sh/beatmapsets/1093430" TargetMode="External"/><Relationship Id="rId35" Type="http://schemas.openxmlformats.org/officeDocument/2006/relationships/hyperlink" Target="https://osu.ppy.sh/beatmapsets/347023" TargetMode="External"/><Relationship Id="rId34" Type="http://schemas.openxmlformats.org/officeDocument/2006/relationships/hyperlink" Target="https://osu.ppy.sh/beatmapsets/1286316" TargetMode="External"/><Relationship Id="rId37" Type="http://schemas.openxmlformats.org/officeDocument/2006/relationships/hyperlink" Target="https://osu.ppy.sh/beatmapsets/1268030" TargetMode="External"/><Relationship Id="rId36" Type="http://schemas.openxmlformats.org/officeDocument/2006/relationships/hyperlink" Target="https://osu.ppy.sh/beatmapsets/87188" TargetMode="External"/><Relationship Id="rId39" Type="http://schemas.openxmlformats.org/officeDocument/2006/relationships/hyperlink" Target="https://osu.ppy.sh/beatmapsets/1954230" TargetMode="External"/><Relationship Id="rId38" Type="http://schemas.openxmlformats.org/officeDocument/2006/relationships/hyperlink" Target="https://osu.ppy.sh/beatmapsets/1997114" TargetMode="External"/><Relationship Id="rId20" Type="http://schemas.openxmlformats.org/officeDocument/2006/relationships/hyperlink" Target="https://osu.ppy.sh/beatmapsets/1865291" TargetMode="External"/><Relationship Id="rId22" Type="http://schemas.openxmlformats.org/officeDocument/2006/relationships/hyperlink" Target="https://drive.google.com/file/d/1d7_OrwOZ3huSa9chA_L-sQX1mLVin2a0/view?usp=sharing" TargetMode="External"/><Relationship Id="rId21" Type="http://schemas.openxmlformats.org/officeDocument/2006/relationships/hyperlink" Target="https://osu.ppy.sh/beatmapsets/396370" TargetMode="External"/><Relationship Id="rId24" Type="http://schemas.openxmlformats.org/officeDocument/2006/relationships/hyperlink" Target="https://osu.ppy.sh/beatmapsets/1366507" TargetMode="External"/><Relationship Id="rId23" Type="http://schemas.openxmlformats.org/officeDocument/2006/relationships/hyperlink" Target="https://osu.ppy.sh/beatmapsets/1052199" TargetMode="External"/><Relationship Id="rId26" Type="http://schemas.openxmlformats.org/officeDocument/2006/relationships/hyperlink" Target="https://osu.ppy.sh/beatmapsets/1850818" TargetMode="External"/><Relationship Id="rId121" Type="http://schemas.openxmlformats.org/officeDocument/2006/relationships/hyperlink" Target="https://osu.ppy.sh/beatmapsets/721320" TargetMode="External"/><Relationship Id="rId25" Type="http://schemas.openxmlformats.org/officeDocument/2006/relationships/hyperlink" Target="https://osu.ppy.sh/beatmapsets/1838113" TargetMode="External"/><Relationship Id="rId120" Type="http://schemas.openxmlformats.org/officeDocument/2006/relationships/hyperlink" Target="https://osu.ppy.sh/beatmapsets/932567" TargetMode="External"/><Relationship Id="rId28" Type="http://schemas.openxmlformats.org/officeDocument/2006/relationships/hyperlink" Target="https://osu.ppy.sh/beatmapsets/1880072" TargetMode="External"/><Relationship Id="rId27" Type="http://schemas.openxmlformats.org/officeDocument/2006/relationships/hyperlink" Target="https://osu.ppy.sh/beatmapsets/120987" TargetMode="External"/><Relationship Id="rId29" Type="http://schemas.openxmlformats.org/officeDocument/2006/relationships/hyperlink" Target="https://osu.ppy.sh/beatmapsets/83560" TargetMode="External"/><Relationship Id="rId124" Type="http://schemas.openxmlformats.org/officeDocument/2006/relationships/drawing" Target="../drawings/drawing3.xml"/><Relationship Id="rId123" Type="http://schemas.openxmlformats.org/officeDocument/2006/relationships/hyperlink" Target="https://osu.ppy.sh/beatmapsets/1724615" TargetMode="External"/><Relationship Id="rId122" Type="http://schemas.openxmlformats.org/officeDocument/2006/relationships/hyperlink" Target="https://osu.ppy.sh/beatmapsets/1977605" TargetMode="External"/><Relationship Id="rId95" Type="http://schemas.openxmlformats.org/officeDocument/2006/relationships/hyperlink" Target="https://osu.ppy.sh/beatmapsets/172900" TargetMode="External"/><Relationship Id="rId94" Type="http://schemas.openxmlformats.org/officeDocument/2006/relationships/hyperlink" Target="https://osu.ppy.sh/beatmapsets/996628" TargetMode="External"/><Relationship Id="rId97" Type="http://schemas.openxmlformats.org/officeDocument/2006/relationships/hyperlink" Target="https://drive.google.com/drive/folders/1fsY9fmS1un8zbn-wPBKV-37xh1yH2Kpf?usp=drive_link" TargetMode="External"/><Relationship Id="rId96" Type="http://schemas.openxmlformats.org/officeDocument/2006/relationships/hyperlink" Target="https://osu.ppy.sh/beatmapsets/790382" TargetMode="External"/><Relationship Id="rId11" Type="http://schemas.openxmlformats.org/officeDocument/2006/relationships/hyperlink" Target="https://osu.ppy.sh/beatmapsets/586144" TargetMode="External"/><Relationship Id="rId99" Type="http://schemas.openxmlformats.org/officeDocument/2006/relationships/hyperlink" Target="https://osu.ppy.sh/beatmapsets/1614904" TargetMode="External"/><Relationship Id="rId10" Type="http://schemas.openxmlformats.org/officeDocument/2006/relationships/hyperlink" Target="https://osu.ppy.sh/beatmapsets/1228132" TargetMode="External"/><Relationship Id="rId98" Type="http://schemas.openxmlformats.org/officeDocument/2006/relationships/hyperlink" Target="https://osu.ppy.sh/beatmapsets/1079281" TargetMode="External"/><Relationship Id="rId13" Type="http://schemas.openxmlformats.org/officeDocument/2006/relationships/hyperlink" Target="https://osu.ppy.sh/beatmapsets/1633242" TargetMode="External"/><Relationship Id="rId12" Type="http://schemas.openxmlformats.org/officeDocument/2006/relationships/hyperlink" Target="https://osu.ppy.sh/beatmapsets/749323" TargetMode="External"/><Relationship Id="rId91" Type="http://schemas.openxmlformats.org/officeDocument/2006/relationships/hyperlink" Target="https://osu.ppy.sh/beatmapsets/1581327" TargetMode="External"/><Relationship Id="rId90" Type="http://schemas.openxmlformats.org/officeDocument/2006/relationships/hyperlink" Target="https://osu.ppy.sh/beatmapsets/106568" TargetMode="External"/><Relationship Id="rId93" Type="http://schemas.openxmlformats.org/officeDocument/2006/relationships/hyperlink" Target="https://osu.ppy.sh/beatmapsets/1765453" TargetMode="External"/><Relationship Id="rId92" Type="http://schemas.openxmlformats.org/officeDocument/2006/relationships/hyperlink" Target="https://osu.ppy.sh/beatmapsets/546820" TargetMode="External"/><Relationship Id="rId118" Type="http://schemas.openxmlformats.org/officeDocument/2006/relationships/hyperlink" Target="https://osu.ppy.sh/beatmapsets/998415" TargetMode="External"/><Relationship Id="rId117" Type="http://schemas.openxmlformats.org/officeDocument/2006/relationships/hyperlink" Target="https://osu.ppy.sh/beatmapsets/1544866" TargetMode="External"/><Relationship Id="rId116" Type="http://schemas.openxmlformats.org/officeDocument/2006/relationships/hyperlink" Target="https://osu.ppy.sh/beatmapsets/1478828" TargetMode="External"/><Relationship Id="rId115" Type="http://schemas.openxmlformats.org/officeDocument/2006/relationships/hyperlink" Target="https://osu.ppy.sh/beatmapsets/357800" TargetMode="External"/><Relationship Id="rId119" Type="http://schemas.openxmlformats.org/officeDocument/2006/relationships/hyperlink" Target="https://osu.ppy.sh/beatmapsets/1238190" TargetMode="External"/><Relationship Id="rId15" Type="http://schemas.openxmlformats.org/officeDocument/2006/relationships/hyperlink" Target="https://osu.ppy.sh/beatmapsets/408745" TargetMode="External"/><Relationship Id="rId110" Type="http://schemas.openxmlformats.org/officeDocument/2006/relationships/hyperlink" Target="https://osu.ppy.sh/beatmapsets/387784" TargetMode="External"/><Relationship Id="rId14" Type="http://schemas.openxmlformats.org/officeDocument/2006/relationships/hyperlink" Target="https://osu.ppy.sh/beatmapsets/1130251" TargetMode="External"/><Relationship Id="rId17" Type="http://schemas.openxmlformats.org/officeDocument/2006/relationships/hyperlink" Target="https://osu.ppy.sh/beatmapsets/4907" TargetMode="External"/><Relationship Id="rId16" Type="http://schemas.openxmlformats.org/officeDocument/2006/relationships/hyperlink" Target="https://osu.ppy.sh/beatmapsets/749304" TargetMode="External"/><Relationship Id="rId19" Type="http://schemas.openxmlformats.org/officeDocument/2006/relationships/hyperlink" Target="https://osu.ppy.sh/beatmapsets/16371" TargetMode="External"/><Relationship Id="rId114" Type="http://schemas.openxmlformats.org/officeDocument/2006/relationships/hyperlink" Target="https://osu.ppy.sh/beatmapsets/1658910" TargetMode="External"/><Relationship Id="rId18" Type="http://schemas.openxmlformats.org/officeDocument/2006/relationships/hyperlink" Target="https://osu.ppy.sh/beatmapsets/1885986" TargetMode="External"/><Relationship Id="rId113" Type="http://schemas.openxmlformats.org/officeDocument/2006/relationships/hyperlink" Target="https://drive.google.com/file/d/1539UBRsLSHCBz1-KBanwTz9QauQ7dXJ2/view?usp=sharing" TargetMode="External"/><Relationship Id="rId112" Type="http://schemas.openxmlformats.org/officeDocument/2006/relationships/hyperlink" Target="https://osu.ppy.sh/beatmapsets/1686408" TargetMode="External"/><Relationship Id="rId111" Type="http://schemas.openxmlformats.org/officeDocument/2006/relationships/hyperlink" Target="https://osu.ppy.sh/beatmapsets/1782707" TargetMode="External"/><Relationship Id="rId84" Type="http://schemas.openxmlformats.org/officeDocument/2006/relationships/hyperlink" Target="https://osu.ppy.sh/beatmapsets/1544600" TargetMode="External"/><Relationship Id="rId83" Type="http://schemas.openxmlformats.org/officeDocument/2006/relationships/hyperlink" Target="https://osu.ppy.sh/beatmapsets/956716" TargetMode="External"/><Relationship Id="rId86" Type="http://schemas.openxmlformats.org/officeDocument/2006/relationships/hyperlink" Target="https://osu.ppy.sh/beatmapsets/1176431" TargetMode="External"/><Relationship Id="rId85" Type="http://schemas.openxmlformats.org/officeDocument/2006/relationships/hyperlink" Target="https://osu.ppy.sh/beatmapsets/1329045" TargetMode="External"/><Relationship Id="rId88" Type="http://schemas.openxmlformats.org/officeDocument/2006/relationships/hyperlink" Target="https://osu.ppy.sh/beatmapsets/1693295" TargetMode="External"/><Relationship Id="rId87" Type="http://schemas.openxmlformats.org/officeDocument/2006/relationships/hyperlink" Target="https://osu.ppy.sh/beatmapsets/824959" TargetMode="External"/><Relationship Id="rId89" Type="http://schemas.openxmlformats.org/officeDocument/2006/relationships/hyperlink" Target="https://osu.ppy.sh/beatmapsets/924701" TargetMode="External"/><Relationship Id="rId80" Type="http://schemas.openxmlformats.org/officeDocument/2006/relationships/hyperlink" Target="https://osu.ppy.sh/beatmapsets/251437" TargetMode="External"/><Relationship Id="rId82" Type="http://schemas.openxmlformats.org/officeDocument/2006/relationships/hyperlink" Target="https://osu.ppy.sh/beatmapsets/1358622" TargetMode="External"/><Relationship Id="rId81" Type="http://schemas.openxmlformats.org/officeDocument/2006/relationships/hyperlink" Target="https://drive.google.com/drive/folders/1HDg2GX6bpGnXddYQVTklq18eLeJbMgwj?usp=sharing" TargetMode="External"/><Relationship Id="rId1" Type="http://schemas.openxmlformats.org/officeDocument/2006/relationships/hyperlink" Target="https://drive.google.com/file/d/1utUeXoIZavs4XabxaC181UE3tZ8CtPZR/view?usp=drive_link" TargetMode="External"/><Relationship Id="rId2" Type="http://schemas.openxmlformats.org/officeDocument/2006/relationships/hyperlink" Target="https://osu.ppy.sh/beatmapsets/1321446" TargetMode="External"/><Relationship Id="rId3" Type="http://schemas.openxmlformats.org/officeDocument/2006/relationships/hyperlink" Target="https://osu.ppy.sh/beatmapsets/1634320" TargetMode="External"/><Relationship Id="rId4" Type="http://schemas.openxmlformats.org/officeDocument/2006/relationships/hyperlink" Target="https://osu.ppy.sh/beatmapsets/1547170" TargetMode="External"/><Relationship Id="rId9" Type="http://schemas.openxmlformats.org/officeDocument/2006/relationships/hyperlink" Target="https://osu.ppy.sh/beatmapsets/1985409" TargetMode="External"/><Relationship Id="rId5" Type="http://schemas.openxmlformats.org/officeDocument/2006/relationships/hyperlink" Target="https://osu.ppy.sh/beatmapsets/821587" TargetMode="External"/><Relationship Id="rId6" Type="http://schemas.openxmlformats.org/officeDocument/2006/relationships/hyperlink" Target="https://osu.ppy.sh/beatmapsets/1809661" TargetMode="External"/><Relationship Id="rId7" Type="http://schemas.openxmlformats.org/officeDocument/2006/relationships/hyperlink" Target="https://osu.ppy.sh/beatmapsets/1809604" TargetMode="External"/><Relationship Id="rId8" Type="http://schemas.openxmlformats.org/officeDocument/2006/relationships/hyperlink" Target="https://osu.ppy.sh/beatmapsets/1123944" TargetMode="External"/><Relationship Id="rId73" Type="http://schemas.openxmlformats.org/officeDocument/2006/relationships/hyperlink" Target="https://osu.ppy.sh/beatmapsets/8923" TargetMode="External"/><Relationship Id="rId72" Type="http://schemas.openxmlformats.org/officeDocument/2006/relationships/hyperlink" Target="https://osu.ppy.sh/beatmapsets/1888886" TargetMode="External"/><Relationship Id="rId75" Type="http://schemas.openxmlformats.org/officeDocument/2006/relationships/hyperlink" Target="https://osu.ppy.sh/beatmapsets/292077" TargetMode="External"/><Relationship Id="rId74" Type="http://schemas.openxmlformats.org/officeDocument/2006/relationships/hyperlink" Target="https://osu.ppy.sh/beatmapsets/1586738" TargetMode="External"/><Relationship Id="rId77" Type="http://schemas.openxmlformats.org/officeDocument/2006/relationships/hyperlink" Target="https://osu.ppy.sh/beatmapsets/1248923" TargetMode="External"/><Relationship Id="rId76" Type="http://schemas.openxmlformats.org/officeDocument/2006/relationships/hyperlink" Target="https://osu.ppy.sh/beatmapsets/1616029" TargetMode="External"/><Relationship Id="rId79" Type="http://schemas.openxmlformats.org/officeDocument/2006/relationships/hyperlink" Target="https://osu.ppy.sh/beatmapsets/1851405" TargetMode="External"/><Relationship Id="rId78" Type="http://schemas.openxmlformats.org/officeDocument/2006/relationships/hyperlink" Target="https://osu.ppy.sh/beatmapsets/1598238" TargetMode="External"/><Relationship Id="rId71" Type="http://schemas.openxmlformats.org/officeDocument/2006/relationships/hyperlink" Target="https://osu.ppy.sh/beatmapsets/699749" TargetMode="External"/><Relationship Id="rId70" Type="http://schemas.openxmlformats.org/officeDocument/2006/relationships/hyperlink" Target="https://osu.ppy.sh/beatmapsets/31224" TargetMode="External"/><Relationship Id="rId62" Type="http://schemas.openxmlformats.org/officeDocument/2006/relationships/hyperlink" Target="https://drive.google.com/file/d/1mMF-A-UCgK5_jo3imix10Cs7wfpsXlpK/view?usp=drive_link" TargetMode="External"/><Relationship Id="rId61" Type="http://schemas.openxmlformats.org/officeDocument/2006/relationships/hyperlink" Target="https://osu.ppy.sh/beatmapsets/589697" TargetMode="External"/><Relationship Id="rId64" Type="http://schemas.openxmlformats.org/officeDocument/2006/relationships/hyperlink" Target="https://osu.ppy.sh/beatmapsets/519054" TargetMode="External"/><Relationship Id="rId63" Type="http://schemas.openxmlformats.org/officeDocument/2006/relationships/hyperlink" Target="https://osu.ppy.sh/beatmapsets/941246" TargetMode="External"/><Relationship Id="rId66" Type="http://schemas.openxmlformats.org/officeDocument/2006/relationships/hyperlink" Target="https://osu.ppy.sh/beatmapsets/1441316" TargetMode="External"/><Relationship Id="rId65" Type="http://schemas.openxmlformats.org/officeDocument/2006/relationships/hyperlink" Target="https://osu.ppy.sh/beatmapsets/1178471" TargetMode="External"/><Relationship Id="rId68" Type="http://schemas.openxmlformats.org/officeDocument/2006/relationships/hyperlink" Target="https://osu.ppy.sh/beatmapsets/1857926" TargetMode="External"/><Relationship Id="rId67" Type="http://schemas.openxmlformats.org/officeDocument/2006/relationships/hyperlink" Target="https://osu.ppy.sh/beatmapsets/2023886" TargetMode="External"/><Relationship Id="rId60" Type="http://schemas.openxmlformats.org/officeDocument/2006/relationships/hyperlink" Target="https://osu.ppy.sh/beatmapsets/5918" TargetMode="External"/><Relationship Id="rId69" Type="http://schemas.openxmlformats.org/officeDocument/2006/relationships/hyperlink" Target="https://osu.ppy.sh/beatmapsets/1181343" TargetMode="External"/><Relationship Id="rId51" Type="http://schemas.openxmlformats.org/officeDocument/2006/relationships/hyperlink" Target="https://osu.ppy.sh/beatmapsets/1089084" TargetMode="External"/><Relationship Id="rId50" Type="http://schemas.openxmlformats.org/officeDocument/2006/relationships/hyperlink" Target="https://osu.ppy.sh/beatmapsets/927758" TargetMode="External"/><Relationship Id="rId53" Type="http://schemas.openxmlformats.org/officeDocument/2006/relationships/hyperlink" Target="https://osu.ppy.sh/beatmapsets/1676960" TargetMode="External"/><Relationship Id="rId52" Type="http://schemas.openxmlformats.org/officeDocument/2006/relationships/hyperlink" Target="https://osu.ppy.sh/beatmapsets/967021" TargetMode="External"/><Relationship Id="rId55" Type="http://schemas.openxmlformats.org/officeDocument/2006/relationships/hyperlink" Target="https://osu.ppy.sh/beatmapsets/663255" TargetMode="External"/><Relationship Id="rId54" Type="http://schemas.openxmlformats.org/officeDocument/2006/relationships/hyperlink" Target="https://osu.ppy.sh/beatmapsets/1415788" TargetMode="External"/><Relationship Id="rId57" Type="http://schemas.openxmlformats.org/officeDocument/2006/relationships/hyperlink" Target="https://osu.ppy.sh/beatmapsets/1098181" TargetMode="External"/><Relationship Id="rId56" Type="http://schemas.openxmlformats.org/officeDocument/2006/relationships/hyperlink" Target="https://osu.ppy.sh/beatmapsets/755512" TargetMode="External"/><Relationship Id="rId59" Type="http://schemas.openxmlformats.org/officeDocument/2006/relationships/hyperlink" Target="https://osu.ppy.sh/beatmapsets/1207286" TargetMode="External"/><Relationship Id="rId58" Type="http://schemas.openxmlformats.org/officeDocument/2006/relationships/hyperlink" Target="https://osu.ppy.sh/beatmapsets/1848926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users/26541211" TargetMode="External"/><Relationship Id="rId42" Type="http://schemas.openxmlformats.org/officeDocument/2006/relationships/hyperlink" Target="https://osu.ppy.sh/users/3603633" TargetMode="External"/><Relationship Id="rId41" Type="http://schemas.openxmlformats.org/officeDocument/2006/relationships/hyperlink" Target="https://osu.ppy.sh/users/4069688" TargetMode="External"/><Relationship Id="rId44" Type="http://schemas.openxmlformats.org/officeDocument/2006/relationships/hyperlink" Target="https://osu.ppy.sh/users/16296371" TargetMode="External"/><Relationship Id="rId43" Type="http://schemas.openxmlformats.org/officeDocument/2006/relationships/hyperlink" Target="https://osu.ppy.sh/users/5031996" TargetMode="External"/><Relationship Id="rId46" Type="http://schemas.openxmlformats.org/officeDocument/2006/relationships/hyperlink" Target="https://osu.ppy.sh/users/23787931" TargetMode="External"/><Relationship Id="rId45" Type="http://schemas.openxmlformats.org/officeDocument/2006/relationships/hyperlink" Target="https://osu.ppy.sh/users/21158269" TargetMode="External"/><Relationship Id="rId107" Type="http://schemas.openxmlformats.org/officeDocument/2006/relationships/hyperlink" Target="https://osu.ppy.sh/users/15262410" TargetMode="External"/><Relationship Id="rId106" Type="http://schemas.openxmlformats.org/officeDocument/2006/relationships/hyperlink" Target="https://osu.ppy.sh/users/9048690" TargetMode="External"/><Relationship Id="rId105" Type="http://schemas.openxmlformats.org/officeDocument/2006/relationships/hyperlink" Target="https://osu.ppy.sh/users/22099512" TargetMode="External"/><Relationship Id="rId104" Type="http://schemas.openxmlformats.org/officeDocument/2006/relationships/hyperlink" Target="https://osu.ppy.sh/users/15772236" TargetMode="External"/><Relationship Id="rId109" Type="http://schemas.openxmlformats.org/officeDocument/2006/relationships/hyperlink" Target="https://osu.ppy.sh/users/13414666" TargetMode="External"/><Relationship Id="rId108" Type="http://schemas.openxmlformats.org/officeDocument/2006/relationships/hyperlink" Target="https://osu.ppy.sh/users/10396090" TargetMode="External"/><Relationship Id="rId48" Type="http://schemas.openxmlformats.org/officeDocument/2006/relationships/hyperlink" Target="https://osu.ppy.sh/users/17064456" TargetMode="External"/><Relationship Id="rId47" Type="http://schemas.openxmlformats.org/officeDocument/2006/relationships/hyperlink" Target="https://osu.ppy.sh/users/24156254" TargetMode="External"/><Relationship Id="rId49" Type="http://schemas.openxmlformats.org/officeDocument/2006/relationships/hyperlink" Target="https://osu.ppy.sh/users/16366097" TargetMode="External"/><Relationship Id="rId103" Type="http://schemas.openxmlformats.org/officeDocument/2006/relationships/hyperlink" Target="https://osu.ppy.sh/users/25151360" TargetMode="External"/><Relationship Id="rId102" Type="http://schemas.openxmlformats.org/officeDocument/2006/relationships/hyperlink" Target="https://osu.ppy.sh/users/14269757" TargetMode="External"/><Relationship Id="rId101" Type="http://schemas.openxmlformats.org/officeDocument/2006/relationships/hyperlink" Target="https://osu.ppy.sh/users/18945443" TargetMode="External"/><Relationship Id="rId100" Type="http://schemas.openxmlformats.org/officeDocument/2006/relationships/hyperlink" Target="https://osu.ppy.sh/users/18328156" TargetMode="External"/><Relationship Id="rId31" Type="http://schemas.openxmlformats.org/officeDocument/2006/relationships/hyperlink" Target="https://osu.ppy.sh/users/24811052" TargetMode="External"/><Relationship Id="rId30" Type="http://schemas.openxmlformats.org/officeDocument/2006/relationships/hyperlink" Target="https://osu.ppy.sh/users/10983752" TargetMode="External"/><Relationship Id="rId33" Type="http://schemas.openxmlformats.org/officeDocument/2006/relationships/hyperlink" Target="https://osu.ppy.sh/users/18480113" TargetMode="External"/><Relationship Id="rId32" Type="http://schemas.openxmlformats.org/officeDocument/2006/relationships/hyperlink" Target="https://osu.ppy.sh/users/8018944" TargetMode="External"/><Relationship Id="rId35" Type="http://schemas.openxmlformats.org/officeDocument/2006/relationships/hyperlink" Target="https://osu.ppy.sh/users/15677059" TargetMode="External"/><Relationship Id="rId34" Type="http://schemas.openxmlformats.org/officeDocument/2006/relationships/hyperlink" Target="https://osu.ppy.sh/users/16172948" TargetMode="External"/><Relationship Id="rId37" Type="http://schemas.openxmlformats.org/officeDocument/2006/relationships/hyperlink" Target="https://osu.ppy.sh/users/26527329" TargetMode="External"/><Relationship Id="rId36" Type="http://schemas.openxmlformats.org/officeDocument/2006/relationships/hyperlink" Target="https://osu.ppy.sh/users/16484750" TargetMode="External"/><Relationship Id="rId39" Type="http://schemas.openxmlformats.org/officeDocument/2006/relationships/hyperlink" Target="https://osu.ppy.sh/users/18109812" TargetMode="External"/><Relationship Id="rId38" Type="http://schemas.openxmlformats.org/officeDocument/2006/relationships/hyperlink" Target="https://osu.ppy.sh/users/21771922" TargetMode="External"/><Relationship Id="rId20" Type="http://schemas.openxmlformats.org/officeDocument/2006/relationships/hyperlink" Target="https://osu.ppy.sh/users/13973026" TargetMode="External"/><Relationship Id="rId22" Type="http://schemas.openxmlformats.org/officeDocument/2006/relationships/hyperlink" Target="https://osu.ppy.sh/users/14647263" TargetMode="External"/><Relationship Id="rId21" Type="http://schemas.openxmlformats.org/officeDocument/2006/relationships/hyperlink" Target="https://osu.ppy.sh/users/17939011" TargetMode="External"/><Relationship Id="rId24" Type="http://schemas.openxmlformats.org/officeDocument/2006/relationships/hyperlink" Target="https://osu.ppy.sh/users/21973870" TargetMode="External"/><Relationship Id="rId23" Type="http://schemas.openxmlformats.org/officeDocument/2006/relationships/hyperlink" Target="https://osu.ppy.sh/users/17998941" TargetMode="External"/><Relationship Id="rId129" Type="http://schemas.openxmlformats.org/officeDocument/2006/relationships/hyperlink" Target="https://osu.ppy.sh/users/15520055" TargetMode="External"/><Relationship Id="rId128" Type="http://schemas.openxmlformats.org/officeDocument/2006/relationships/hyperlink" Target="https://osu.ppy.sh/users/22077074" TargetMode="External"/><Relationship Id="rId127" Type="http://schemas.openxmlformats.org/officeDocument/2006/relationships/hyperlink" Target="https://osu.ppy.sh/users/19643082" TargetMode="External"/><Relationship Id="rId126" Type="http://schemas.openxmlformats.org/officeDocument/2006/relationships/hyperlink" Target="https://osu.ppy.sh/users/16785145" TargetMode="External"/><Relationship Id="rId26" Type="http://schemas.openxmlformats.org/officeDocument/2006/relationships/hyperlink" Target="https://osu.ppy.sh/users/14911130" TargetMode="External"/><Relationship Id="rId121" Type="http://schemas.openxmlformats.org/officeDocument/2006/relationships/hyperlink" Target="https://osu.ppy.sh/users/13481464" TargetMode="External"/><Relationship Id="rId25" Type="http://schemas.openxmlformats.org/officeDocument/2006/relationships/hyperlink" Target="https://osu.ppy.sh/users/12665894" TargetMode="External"/><Relationship Id="rId120" Type="http://schemas.openxmlformats.org/officeDocument/2006/relationships/hyperlink" Target="https://osu.ppy.sh/users/17488247" TargetMode="External"/><Relationship Id="rId28" Type="http://schemas.openxmlformats.org/officeDocument/2006/relationships/hyperlink" Target="https://osu.ppy.sh/users/25216659" TargetMode="External"/><Relationship Id="rId27" Type="http://schemas.openxmlformats.org/officeDocument/2006/relationships/hyperlink" Target="https://osu.ppy.sh/users/6737617" TargetMode="External"/><Relationship Id="rId125" Type="http://schemas.openxmlformats.org/officeDocument/2006/relationships/hyperlink" Target="https://osu.ppy.sh/users/25791634" TargetMode="External"/><Relationship Id="rId29" Type="http://schemas.openxmlformats.org/officeDocument/2006/relationships/hyperlink" Target="https://osu.ppy.sh/users/17616725" TargetMode="External"/><Relationship Id="rId124" Type="http://schemas.openxmlformats.org/officeDocument/2006/relationships/hyperlink" Target="https://osu.ppy.sh/users/17754206" TargetMode="External"/><Relationship Id="rId123" Type="http://schemas.openxmlformats.org/officeDocument/2006/relationships/hyperlink" Target="https://osu.ppy.sh/users/26249419" TargetMode="External"/><Relationship Id="rId122" Type="http://schemas.openxmlformats.org/officeDocument/2006/relationships/hyperlink" Target="https://osu.ppy.sh/users/19895203" TargetMode="External"/><Relationship Id="rId95" Type="http://schemas.openxmlformats.org/officeDocument/2006/relationships/hyperlink" Target="https://osu.ppy.sh/users/19054080" TargetMode="External"/><Relationship Id="rId94" Type="http://schemas.openxmlformats.org/officeDocument/2006/relationships/hyperlink" Target="https://osu.ppy.sh/users/18341280" TargetMode="External"/><Relationship Id="rId97" Type="http://schemas.openxmlformats.org/officeDocument/2006/relationships/hyperlink" Target="https://osu.ppy.sh/users/2151493" TargetMode="External"/><Relationship Id="rId96" Type="http://schemas.openxmlformats.org/officeDocument/2006/relationships/hyperlink" Target="https://osu.ppy.sh/users/24134742" TargetMode="External"/><Relationship Id="rId11" Type="http://schemas.openxmlformats.org/officeDocument/2006/relationships/hyperlink" Target="https://osu.ppy.sh/users/27761185" TargetMode="External"/><Relationship Id="rId99" Type="http://schemas.openxmlformats.org/officeDocument/2006/relationships/hyperlink" Target="https://osu.ppy.sh/users/24745181" TargetMode="External"/><Relationship Id="rId10" Type="http://schemas.openxmlformats.org/officeDocument/2006/relationships/hyperlink" Target="https://osu.ppy.sh/users/11628350" TargetMode="External"/><Relationship Id="rId98" Type="http://schemas.openxmlformats.org/officeDocument/2006/relationships/hyperlink" Target="https://osu.ppy.sh/users/20401638" TargetMode="External"/><Relationship Id="rId13" Type="http://schemas.openxmlformats.org/officeDocument/2006/relationships/hyperlink" Target="https://osu.ppy.sh/users/18866511" TargetMode="External"/><Relationship Id="rId12" Type="http://schemas.openxmlformats.org/officeDocument/2006/relationships/hyperlink" Target="https://osu.ppy.sh/users/26902554" TargetMode="External"/><Relationship Id="rId91" Type="http://schemas.openxmlformats.org/officeDocument/2006/relationships/hyperlink" Target="https://osu.ppy.sh/users/8120078" TargetMode="External"/><Relationship Id="rId90" Type="http://schemas.openxmlformats.org/officeDocument/2006/relationships/hyperlink" Target="https://osu.ppy.sh/users/25523731" TargetMode="External"/><Relationship Id="rId93" Type="http://schemas.openxmlformats.org/officeDocument/2006/relationships/hyperlink" Target="https://osu.ppy.sh/users/28439927" TargetMode="External"/><Relationship Id="rId92" Type="http://schemas.openxmlformats.org/officeDocument/2006/relationships/hyperlink" Target="https://osu.ppy.sh/users/18589374" TargetMode="External"/><Relationship Id="rId118" Type="http://schemas.openxmlformats.org/officeDocument/2006/relationships/hyperlink" Target="https://osu.ppy.sh/users/29043006" TargetMode="External"/><Relationship Id="rId117" Type="http://schemas.openxmlformats.org/officeDocument/2006/relationships/hyperlink" Target="https://osu.ppy.sh/users/22424760" TargetMode="External"/><Relationship Id="rId116" Type="http://schemas.openxmlformats.org/officeDocument/2006/relationships/hyperlink" Target="https://www.youtube.com/watch?v=SzOWy1o2dTA" TargetMode="External"/><Relationship Id="rId115" Type="http://schemas.openxmlformats.org/officeDocument/2006/relationships/hyperlink" Target="https://osu.ppy.sh/users/17764670" TargetMode="External"/><Relationship Id="rId119" Type="http://schemas.openxmlformats.org/officeDocument/2006/relationships/hyperlink" Target="https://osu.ppy.sh/users/17053515" TargetMode="External"/><Relationship Id="rId15" Type="http://schemas.openxmlformats.org/officeDocument/2006/relationships/hyperlink" Target="https://osu.ppy.sh/users/11414644" TargetMode="External"/><Relationship Id="rId110" Type="http://schemas.openxmlformats.org/officeDocument/2006/relationships/hyperlink" Target="https://osu.ppy.sh/users/17991454" TargetMode="External"/><Relationship Id="rId14" Type="http://schemas.openxmlformats.org/officeDocument/2006/relationships/hyperlink" Target="https://osu.ppy.sh/users/18604372" TargetMode="External"/><Relationship Id="rId17" Type="http://schemas.openxmlformats.org/officeDocument/2006/relationships/hyperlink" Target="https://osu.ppy.sh/users/23386757" TargetMode="External"/><Relationship Id="rId16" Type="http://schemas.openxmlformats.org/officeDocument/2006/relationships/hyperlink" Target="https://osu.ppy.sh/users/9858803" TargetMode="External"/><Relationship Id="rId19" Type="http://schemas.openxmlformats.org/officeDocument/2006/relationships/hyperlink" Target="https://osu.ppy.sh/users/16949746" TargetMode="External"/><Relationship Id="rId114" Type="http://schemas.openxmlformats.org/officeDocument/2006/relationships/hyperlink" Target="https://osu.ppy.sh/users/23488576" TargetMode="External"/><Relationship Id="rId18" Type="http://schemas.openxmlformats.org/officeDocument/2006/relationships/hyperlink" Target="https://osu.ppy.sh/users/29294414" TargetMode="External"/><Relationship Id="rId113" Type="http://schemas.openxmlformats.org/officeDocument/2006/relationships/hyperlink" Target="https://osu.ppy.sh/users/18766704" TargetMode="External"/><Relationship Id="rId112" Type="http://schemas.openxmlformats.org/officeDocument/2006/relationships/hyperlink" Target="https://osu.ppy.sh/users/23645908" TargetMode="External"/><Relationship Id="rId111" Type="http://schemas.openxmlformats.org/officeDocument/2006/relationships/hyperlink" Target="https://osu.ppy.sh/users/17455435" TargetMode="External"/><Relationship Id="rId84" Type="http://schemas.openxmlformats.org/officeDocument/2006/relationships/hyperlink" Target="https://osu.ppy.sh/users/20812583" TargetMode="External"/><Relationship Id="rId83" Type="http://schemas.openxmlformats.org/officeDocument/2006/relationships/hyperlink" Target="https://osu.ppy.sh/users/18827293" TargetMode="External"/><Relationship Id="rId86" Type="http://schemas.openxmlformats.org/officeDocument/2006/relationships/hyperlink" Target="https://osu.ppy.sh/users/11855346" TargetMode="External"/><Relationship Id="rId85" Type="http://schemas.openxmlformats.org/officeDocument/2006/relationships/hyperlink" Target="https://osu.ppy.sh/users/22294191" TargetMode="External"/><Relationship Id="rId88" Type="http://schemas.openxmlformats.org/officeDocument/2006/relationships/hyperlink" Target="https://osu.ppy.sh/users/17371223" TargetMode="External"/><Relationship Id="rId150" Type="http://schemas.openxmlformats.org/officeDocument/2006/relationships/hyperlink" Target="https://osu.ppy.sh/users/14618272" TargetMode="External"/><Relationship Id="rId87" Type="http://schemas.openxmlformats.org/officeDocument/2006/relationships/hyperlink" Target="https://osu.ppy.sh/users/10473556" TargetMode="External"/><Relationship Id="rId89" Type="http://schemas.openxmlformats.org/officeDocument/2006/relationships/hyperlink" Target="https://osu.ppy.sh/users/28029337" TargetMode="External"/><Relationship Id="rId80" Type="http://schemas.openxmlformats.org/officeDocument/2006/relationships/hyperlink" Target="https://osu.ppy.sh/users/22122799" TargetMode="External"/><Relationship Id="rId82" Type="http://schemas.openxmlformats.org/officeDocument/2006/relationships/hyperlink" Target="https://osu.ppy.sh/users/16627311" TargetMode="External"/><Relationship Id="rId81" Type="http://schemas.openxmlformats.org/officeDocument/2006/relationships/hyperlink" Target="https://osu.ppy.sh/users/16865059" TargetMode="External"/><Relationship Id="rId1" Type="http://schemas.openxmlformats.org/officeDocument/2006/relationships/hyperlink" Target="https://osu.ppy.sh/users/21113232" TargetMode="External"/><Relationship Id="rId2" Type="http://schemas.openxmlformats.org/officeDocument/2006/relationships/hyperlink" Target="https://osu.ppy.sh/users/23923101" TargetMode="External"/><Relationship Id="rId3" Type="http://schemas.openxmlformats.org/officeDocument/2006/relationships/hyperlink" Target="https://osu.ppy.sh/users/962519" TargetMode="External"/><Relationship Id="rId149" Type="http://schemas.openxmlformats.org/officeDocument/2006/relationships/hyperlink" Target="https://osu.ppy.sh/users/14347059" TargetMode="External"/><Relationship Id="rId4" Type="http://schemas.openxmlformats.org/officeDocument/2006/relationships/hyperlink" Target="https://osu.ppy.sh/users/22287370" TargetMode="External"/><Relationship Id="rId148" Type="http://schemas.openxmlformats.org/officeDocument/2006/relationships/hyperlink" Target="https://osu.ppy.sh/users/22632425" TargetMode="External"/><Relationship Id="rId9" Type="http://schemas.openxmlformats.org/officeDocument/2006/relationships/hyperlink" Target="https://osu.ppy.sh/users/24757316" TargetMode="External"/><Relationship Id="rId143" Type="http://schemas.openxmlformats.org/officeDocument/2006/relationships/hyperlink" Target="https://osu.ppy.sh/users/20334969" TargetMode="External"/><Relationship Id="rId142" Type="http://schemas.openxmlformats.org/officeDocument/2006/relationships/hyperlink" Target="https://osu.ppy.sh/users/23078386" TargetMode="External"/><Relationship Id="rId141" Type="http://schemas.openxmlformats.org/officeDocument/2006/relationships/hyperlink" Target="https://osu.ppy.sh/users/21192207" TargetMode="External"/><Relationship Id="rId140" Type="http://schemas.openxmlformats.org/officeDocument/2006/relationships/hyperlink" Target="https://osu.ppy.sh/users/23864249" TargetMode="External"/><Relationship Id="rId5" Type="http://schemas.openxmlformats.org/officeDocument/2006/relationships/hyperlink" Target="https://osu.ppy.sh/users/13827978" TargetMode="External"/><Relationship Id="rId147" Type="http://schemas.openxmlformats.org/officeDocument/2006/relationships/hyperlink" Target="https://osu.ppy.sh/users/21852094" TargetMode="External"/><Relationship Id="rId6" Type="http://schemas.openxmlformats.org/officeDocument/2006/relationships/hyperlink" Target="https://osu.ppy.sh/users/9087777" TargetMode="External"/><Relationship Id="rId146" Type="http://schemas.openxmlformats.org/officeDocument/2006/relationships/hyperlink" Target="https://osu.ppy.sh/users/14589138" TargetMode="External"/><Relationship Id="rId7" Type="http://schemas.openxmlformats.org/officeDocument/2006/relationships/hyperlink" Target="https://osu.ppy.sh/users/16179606" TargetMode="External"/><Relationship Id="rId145" Type="http://schemas.openxmlformats.org/officeDocument/2006/relationships/hyperlink" Target="https://osu.ppy.sh/users/18347205" TargetMode="External"/><Relationship Id="rId8" Type="http://schemas.openxmlformats.org/officeDocument/2006/relationships/hyperlink" Target="https://osu.ppy.sh/users/9949431" TargetMode="External"/><Relationship Id="rId144" Type="http://schemas.openxmlformats.org/officeDocument/2006/relationships/hyperlink" Target="https://osu.ppy.sh/users/22904826" TargetMode="External"/><Relationship Id="rId73" Type="http://schemas.openxmlformats.org/officeDocument/2006/relationships/hyperlink" Target="https://osu.ppy.sh/users/20308933" TargetMode="External"/><Relationship Id="rId72" Type="http://schemas.openxmlformats.org/officeDocument/2006/relationships/hyperlink" Target="https://osu.ppy.sh/users/10536810" TargetMode="External"/><Relationship Id="rId75" Type="http://schemas.openxmlformats.org/officeDocument/2006/relationships/hyperlink" Target="https://osu.ppy.sh/users/18844163" TargetMode="External"/><Relationship Id="rId74" Type="http://schemas.openxmlformats.org/officeDocument/2006/relationships/hyperlink" Target="https://osu.ppy.sh/users/12238371" TargetMode="External"/><Relationship Id="rId77" Type="http://schemas.openxmlformats.org/officeDocument/2006/relationships/hyperlink" Target="https://osu.ppy.sh/users/12629986" TargetMode="External"/><Relationship Id="rId76" Type="http://schemas.openxmlformats.org/officeDocument/2006/relationships/hyperlink" Target="https://osu.ppy.sh/users/21436323" TargetMode="External"/><Relationship Id="rId79" Type="http://schemas.openxmlformats.org/officeDocument/2006/relationships/hyperlink" Target="https://osu.ppy.sh/users/13827705" TargetMode="External"/><Relationship Id="rId78" Type="http://schemas.openxmlformats.org/officeDocument/2006/relationships/hyperlink" Target="https://osu.ppy.sh/users/16603630" TargetMode="External"/><Relationship Id="rId71" Type="http://schemas.openxmlformats.org/officeDocument/2006/relationships/hyperlink" Target="https://osu.ppy.sh/users/12992299" TargetMode="External"/><Relationship Id="rId70" Type="http://schemas.openxmlformats.org/officeDocument/2006/relationships/hyperlink" Target="https://osu.ppy.sh/users/23298230" TargetMode="External"/><Relationship Id="rId139" Type="http://schemas.openxmlformats.org/officeDocument/2006/relationships/hyperlink" Target="https://osu.ppy.sh/users/23083274" TargetMode="External"/><Relationship Id="rId138" Type="http://schemas.openxmlformats.org/officeDocument/2006/relationships/hyperlink" Target="https://osu.ppy.sh/users/20544707" TargetMode="External"/><Relationship Id="rId137" Type="http://schemas.openxmlformats.org/officeDocument/2006/relationships/hyperlink" Target="https://osu.ppy.sh/users/18716761" TargetMode="External"/><Relationship Id="rId132" Type="http://schemas.openxmlformats.org/officeDocument/2006/relationships/hyperlink" Target="https://osu.ppy.sh/users/14658987" TargetMode="External"/><Relationship Id="rId131" Type="http://schemas.openxmlformats.org/officeDocument/2006/relationships/hyperlink" Target="https://osu.ppy.sh/users/7911634" TargetMode="External"/><Relationship Id="rId130" Type="http://schemas.openxmlformats.org/officeDocument/2006/relationships/hyperlink" Target="https://osu.ppy.sh/users/15520055" TargetMode="External"/><Relationship Id="rId136" Type="http://schemas.openxmlformats.org/officeDocument/2006/relationships/hyperlink" Target="https://osu.ppy.sh/users/22938742" TargetMode="External"/><Relationship Id="rId135" Type="http://schemas.openxmlformats.org/officeDocument/2006/relationships/hyperlink" Target="https://osu.ppy.sh/users/12906792" TargetMode="External"/><Relationship Id="rId134" Type="http://schemas.openxmlformats.org/officeDocument/2006/relationships/hyperlink" Target="https://osu.ppy.sh/users/24077612" TargetMode="External"/><Relationship Id="rId133" Type="http://schemas.openxmlformats.org/officeDocument/2006/relationships/hyperlink" Target="https://osu.ppy.sh/users/24513057" TargetMode="External"/><Relationship Id="rId62" Type="http://schemas.openxmlformats.org/officeDocument/2006/relationships/hyperlink" Target="https://osu.ppy.sh/users/15666887" TargetMode="External"/><Relationship Id="rId61" Type="http://schemas.openxmlformats.org/officeDocument/2006/relationships/hyperlink" Target="https://osu.ppy.sh/users/15429779" TargetMode="External"/><Relationship Id="rId64" Type="http://schemas.openxmlformats.org/officeDocument/2006/relationships/hyperlink" Target="https://osu.ppy.sh/users/30411289" TargetMode="External"/><Relationship Id="rId63" Type="http://schemas.openxmlformats.org/officeDocument/2006/relationships/hyperlink" Target="https://osu.ppy.sh/users/18552275" TargetMode="External"/><Relationship Id="rId66" Type="http://schemas.openxmlformats.org/officeDocument/2006/relationships/hyperlink" Target="https://osu.ppy.sh/users/10301567" TargetMode="External"/><Relationship Id="rId65" Type="http://schemas.openxmlformats.org/officeDocument/2006/relationships/hyperlink" Target="https://osu.ppy.sh/users/20002588" TargetMode="External"/><Relationship Id="rId68" Type="http://schemas.openxmlformats.org/officeDocument/2006/relationships/hyperlink" Target="https://osu.ppy.sh/users/28877521" TargetMode="External"/><Relationship Id="rId67" Type="http://schemas.openxmlformats.org/officeDocument/2006/relationships/hyperlink" Target="https://osu.ppy.sh/users/24320075" TargetMode="External"/><Relationship Id="rId60" Type="http://schemas.openxmlformats.org/officeDocument/2006/relationships/hyperlink" Target="https://osu.ppy.sh/users/13456818" TargetMode="External"/><Relationship Id="rId165" Type="http://schemas.openxmlformats.org/officeDocument/2006/relationships/hyperlink" Target="https://osu.ppy.sh/users/10824449" TargetMode="External"/><Relationship Id="rId69" Type="http://schemas.openxmlformats.org/officeDocument/2006/relationships/hyperlink" Target="https://osu.ppy.sh/users/22986601" TargetMode="External"/><Relationship Id="rId164" Type="http://schemas.openxmlformats.org/officeDocument/2006/relationships/hyperlink" Target="https://osu.ppy.sh/users/25952679" TargetMode="External"/><Relationship Id="rId163" Type="http://schemas.openxmlformats.org/officeDocument/2006/relationships/hyperlink" Target="https://osu.ppy.sh/users/20974846" TargetMode="External"/><Relationship Id="rId162" Type="http://schemas.openxmlformats.org/officeDocument/2006/relationships/hyperlink" Target="https://osu.ppy.sh/users/30974876" TargetMode="External"/><Relationship Id="rId169" Type="http://schemas.openxmlformats.org/officeDocument/2006/relationships/drawing" Target="../drawings/drawing4.xml"/><Relationship Id="rId168" Type="http://schemas.openxmlformats.org/officeDocument/2006/relationships/hyperlink" Target="https://osu.ppy.sh/users/26387213" TargetMode="External"/><Relationship Id="rId167" Type="http://schemas.openxmlformats.org/officeDocument/2006/relationships/hyperlink" Target="https://osu.ppy.sh/users/16099730" TargetMode="External"/><Relationship Id="rId166" Type="http://schemas.openxmlformats.org/officeDocument/2006/relationships/hyperlink" Target="https://osu.ppy.sh/users/21190820" TargetMode="External"/><Relationship Id="rId51" Type="http://schemas.openxmlformats.org/officeDocument/2006/relationships/hyperlink" Target="https://osu.ppy.sh/users/6428195" TargetMode="External"/><Relationship Id="rId50" Type="http://schemas.openxmlformats.org/officeDocument/2006/relationships/hyperlink" Target="https://osu.ppy.sh/users/16036791" TargetMode="External"/><Relationship Id="rId53" Type="http://schemas.openxmlformats.org/officeDocument/2006/relationships/hyperlink" Target="https://osu.ppy.sh/users/14602193" TargetMode="External"/><Relationship Id="rId52" Type="http://schemas.openxmlformats.org/officeDocument/2006/relationships/hyperlink" Target="https://osu.ppy.sh/users/9687861" TargetMode="External"/><Relationship Id="rId55" Type="http://schemas.openxmlformats.org/officeDocument/2006/relationships/hyperlink" Target="https://osu.ppy.sh/users/3984458" TargetMode="External"/><Relationship Id="rId161" Type="http://schemas.openxmlformats.org/officeDocument/2006/relationships/hyperlink" Target="https://osu.ppy.sh/users/25512851" TargetMode="External"/><Relationship Id="rId54" Type="http://schemas.openxmlformats.org/officeDocument/2006/relationships/hyperlink" Target="https://osu.ppy.sh/users/18389558" TargetMode="External"/><Relationship Id="rId160" Type="http://schemas.openxmlformats.org/officeDocument/2006/relationships/hyperlink" Target="https://osu.ppy.sh/users/16676719" TargetMode="External"/><Relationship Id="rId57" Type="http://schemas.openxmlformats.org/officeDocument/2006/relationships/hyperlink" Target="https://osu.ppy.sh/users/17439874" TargetMode="External"/><Relationship Id="rId56" Type="http://schemas.openxmlformats.org/officeDocument/2006/relationships/hyperlink" Target="https://osu.ppy.sh/users/19685449" TargetMode="External"/><Relationship Id="rId159" Type="http://schemas.openxmlformats.org/officeDocument/2006/relationships/hyperlink" Target="https://osu.ppy.sh/users/21547314" TargetMode="External"/><Relationship Id="rId59" Type="http://schemas.openxmlformats.org/officeDocument/2006/relationships/hyperlink" Target="https://osu.ppy.sh/users/28093600" TargetMode="External"/><Relationship Id="rId154" Type="http://schemas.openxmlformats.org/officeDocument/2006/relationships/hyperlink" Target="https://osu.ppy.sh/users/16868806" TargetMode="External"/><Relationship Id="rId58" Type="http://schemas.openxmlformats.org/officeDocument/2006/relationships/hyperlink" Target="https://osu.ppy.sh/users/17117946" TargetMode="External"/><Relationship Id="rId153" Type="http://schemas.openxmlformats.org/officeDocument/2006/relationships/hyperlink" Target="https://osu.ppy.sh/users/23603422" TargetMode="External"/><Relationship Id="rId152" Type="http://schemas.openxmlformats.org/officeDocument/2006/relationships/hyperlink" Target="https://osu.ppy.sh/users/26219372" TargetMode="External"/><Relationship Id="rId151" Type="http://schemas.openxmlformats.org/officeDocument/2006/relationships/hyperlink" Target="https://osu.ppy.sh/users/29426345" TargetMode="External"/><Relationship Id="rId158" Type="http://schemas.openxmlformats.org/officeDocument/2006/relationships/hyperlink" Target="https://osu.ppy.sh/users/22527452" TargetMode="External"/><Relationship Id="rId157" Type="http://schemas.openxmlformats.org/officeDocument/2006/relationships/hyperlink" Target="https://osu.ppy.sh/users/21495549" TargetMode="External"/><Relationship Id="rId156" Type="http://schemas.openxmlformats.org/officeDocument/2006/relationships/hyperlink" Target="https://osu.ppy.sh/users/23545390" TargetMode="External"/><Relationship Id="rId155" Type="http://schemas.openxmlformats.org/officeDocument/2006/relationships/hyperlink" Target="https://osu.ppy.sh/users/24633291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osu.ppy.sh/users/26249419" TargetMode="External"/><Relationship Id="rId42" Type="http://schemas.openxmlformats.org/officeDocument/2006/relationships/hyperlink" Target="https://osu.ppy.sh/users/22904826" TargetMode="External"/><Relationship Id="rId41" Type="http://schemas.openxmlformats.org/officeDocument/2006/relationships/hyperlink" Target="https://osu.ppy.sh/users/28029337" TargetMode="External"/><Relationship Id="rId44" Type="http://schemas.openxmlformats.org/officeDocument/2006/relationships/hyperlink" Target="https://osu.ppy.sh/users/22287370" TargetMode="External"/><Relationship Id="rId43" Type="http://schemas.openxmlformats.org/officeDocument/2006/relationships/hyperlink" Target="https://osu.ppy.sh/users/24745181" TargetMode="External"/><Relationship Id="rId46" Type="http://schemas.openxmlformats.org/officeDocument/2006/relationships/hyperlink" Target="https://osu.ppy.sh/users/16099730" TargetMode="External"/><Relationship Id="rId45" Type="http://schemas.openxmlformats.org/officeDocument/2006/relationships/hyperlink" Target="https://osu.ppy.sh/users/21192207" TargetMode="External"/><Relationship Id="rId48" Type="http://schemas.openxmlformats.org/officeDocument/2006/relationships/hyperlink" Target="https://osu.ppy.sh/users/7911634" TargetMode="External"/><Relationship Id="rId47" Type="http://schemas.openxmlformats.org/officeDocument/2006/relationships/hyperlink" Target="https://osu.ppy.sh/users/22077074" TargetMode="External"/><Relationship Id="rId49" Type="http://schemas.openxmlformats.org/officeDocument/2006/relationships/hyperlink" Target="https://osu.ppy.sh/users/21852094" TargetMode="External"/><Relationship Id="rId31" Type="http://schemas.openxmlformats.org/officeDocument/2006/relationships/hyperlink" Target="https://osu.ppy.sh/users/22986601" TargetMode="External"/><Relationship Id="rId30" Type="http://schemas.openxmlformats.org/officeDocument/2006/relationships/hyperlink" Target="https://osu.ppy.sh/users/20974846" TargetMode="External"/><Relationship Id="rId33" Type="http://schemas.openxmlformats.org/officeDocument/2006/relationships/hyperlink" Target="https://osu.ppy.sh/users/11414644" TargetMode="External"/><Relationship Id="rId32" Type="http://schemas.openxmlformats.org/officeDocument/2006/relationships/hyperlink" Target="https://osu.ppy.sh/users/23787931" TargetMode="External"/><Relationship Id="rId35" Type="http://schemas.openxmlformats.org/officeDocument/2006/relationships/hyperlink" Target="https://osu.ppy.sh/users/23386757" TargetMode="External"/><Relationship Id="rId34" Type="http://schemas.openxmlformats.org/officeDocument/2006/relationships/hyperlink" Target="https://osu.ppy.sh/users/21771922" TargetMode="External"/><Relationship Id="rId37" Type="http://schemas.openxmlformats.org/officeDocument/2006/relationships/hyperlink" Target="https://osu.ppy.sh/users/17439874" TargetMode="External"/><Relationship Id="rId36" Type="http://schemas.openxmlformats.org/officeDocument/2006/relationships/hyperlink" Target="https://osu.ppy.sh/users/22938742" TargetMode="External"/><Relationship Id="rId39" Type="http://schemas.openxmlformats.org/officeDocument/2006/relationships/hyperlink" Target="https://osu.ppy.sh/users/14647263" TargetMode="External"/><Relationship Id="rId38" Type="http://schemas.openxmlformats.org/officeDocument/2006/relationships/hyperlink" Target="https://osu.ppy.sh/users/22122799" TargetMode="External"/><Relationship Id="rId20" Type="http://schemas.openxmlformats.org/officeDocument/2006/relationships/hyperlink" Target="https://osu.ppy.sh/users/18480113" TargetMode="External"/><Relationship Id="rId22" Type="http://schemas.openxmlformats.org/officeDocument/2006/relationships/hyperlink" Target="https://osu.ppy.sh/users/12665894" TargetMode="External"/><Relationship Id="rId21" Type="http://schemas.openxmlformats.org/officeDocument/2006/relationships/hyperlink" Target="https://osu.ppy.sh/users/21113232" TargetMode="External"/><Relationship Id="rId24" Type="http://schemas.openxmlformats.org/officeDocument/2006/relationships/hyperlink" Target="https://osu.ppy.sh/users/9687861" TargetMode="External"/><Relationship Id="rId23" Type="http://schemas.openxmlformats.org/officeDocument/2006/relationships/hyperlink" Target="https://osu.ppy.sh/users/4069688" TargetMode="External"/><Relationship Id="rId26" Type="http://schemas.openxmlformats.org/officeDocument/2006/relationships/hyperlink" Target="https://osu.ppy.sh/users/26902554" TargetMode="External"/><Relationship Id="rId25" Type="http://schemas.openxmlformats.org/officeDocument/2006/relationships/hyperlink" Target="https://osu.ppy.sh/users/18844163" TargetMode="External"/><Relationship Id="rId28" Type="http://schemas.openxmlformats.org/officeDocument/2006/relationships/hyperlink" Target="https://osu.ppy.sh/users/16366097" TargetMode="External"/><Relationship Id="rId27" Type="http://schemas.openxmlformats.org/officeDocument/2006/relationships/hyperlink" Target="https://osu.ppy.sh/users/10536810" TargetMode="External"/><Relationship Id="rId29" Type="http://schemas.openxmlformats.org/officeDocument/2006/relationships/hyperlink" Target="https://osu.ppy.sh/users/18766704" TargetMode="External"/><Relationship Id="rId11" Type="http://schemas.openxmlformats.org/officeDocument/2006/relationships/hyperlink" Target="https://osu.ppy.sh/users/14347059" TargetMode="External"/><Relationship Id="rId10" Type="http://schemas.openxmlformats.org/officeDocument/2006/relationships/hyperlink" Target="https://osu.ppy.sh/users/17991454" TargetMode="External"/><Relationship Id="rId13" Type="http://schemas.openxmlformats.org/officeDocument/2006/relationships/hyperlink" Target="https://osu.ppy.sh/users/11855346" TargetMode="External"/><Relationship Id="rId12" Type="http://schemas.openxmlformats.org/officeDocument/2006/relationships/hyperlink" Target="https://osu.ppy.sh/users/16179606" TargetMode="External"/><Relationship Id="rId15" Type="http://schemas.openxmlformats.org/officeDocument/2006/relationships/hyperlink" Target="https://osu.ppy.sh/users/10301567" TargetMode="External"/><Relationship Id="rId14" Type="http://schemas.openxmlformats.org/officeDocument/2006/relationships/hyperlink" Target="https://osu.ppy.sh/users/24633291" TargetMode="External"/><Relationship Id="rId17" Type="http://schemas.openxmlformats.org/officeDocument/2006/relationships/hyperlink" Target="https://osu.ppy.sh/users/22424760" TargetMode="External"/><Relationship Id="rId16" Type="http://schemas.openxmlformats.org/officeDocument/2006/relationships/hyperlink" Target="https://osu.ppy.sh/users/22527452" TargetMode="External"/><Relationship Id="rId19" Type="http://schemas.openxmlformats.org/officeDocument/2006/relationships/hyperlink" Target="https://osu.ppy.sh/users/24134742" TargetMode="External"/><Relationship Id="rId18" Type="http://schemas.openxmlformats.org/officeDocument/2006/relationships/hyperlink" Target="https://osu.ppy.sh/users/18827293" TargetMode="External"/><Relationship Id="rId1" Type="http://schemas.openxmlformats.org/officeDocument/2006/relationships/hyperlink" Target="https://osu.ppy.sh/users/16484750" TargetMode="External"/><Relationship Id="rId2" Type="http://schemas.openxmlformats.org/officeDocument/2006/relationships/hyperlink" Target="https://osu.ppy.sh/users/18389558" TargetMode="External"/><Relationship Id="rId3" Type="http://schemas.openxmlformats.org/officeDocument/2006/relationships/hyperlink" Target="https://osu.ppy.sh/users/13456818" TargetMode="External"/><Relationship Id="rId4" Type="http://schemas.openxmlformats.org/officeDocument/2006/relationships/hyperlink" Target="https://osu.ppy.sh/users/24757316" TargetMode="External"/><Relationship Id="rId9" Type="http://schemas.openxmlformats.org/officeDocument/2006/relationships/hyperlink" Target="https://osu.ppy.sh/users/18341280" TargetMode="External"/><Relationship Id="rId5" Type="http://schemas.openxmlformats.org/officeDocument/2006/relationships/hyperlink" Target="https://osu.ppy.sh/users/15262410" TargetMode="External"/><Relationship Id="rId6" Type="http://schemas.openxmlformats.org/officeDocument/2006/relationships/hyperlink" Target="https://osu.ppy.sh/users/16603630" TargetMode="External"/><Relationship Id="rId7" Type="http://schemas.openxmlformats.org/officeDocument/2006/relationships/hyperlink" Target="https://osu.ppy.sh/users/18552275" TargetMode="External"/><Relationship Id="rId8" Type="http://schemas.openxmlformats.org/officeDocument/2006/relationships/hyperlink" Target="https://osu.ppy.sh/users/17488247" TargetMode="External"/><Relationship Id="rId62" Type="http://schemas.openxmlformats.org/officeDocument/2006/relationships/hyperlink" Target="https://osu.ppy.sh/users/25791634" TargetMode="External"/><Relationship Id="rId61" Type="http://schemas.openxmlformats.org/officeDocument/2006/relationships/hyperlink" Target="https://osu.ppy.sh/users/25216659" TargetMode="External"/><Relationship Id="rId63" Type="http://schemas.openxmlformats.org/officeDocument/2006/relationships/drawing" Target="../drawings/drawing5.xml"/><Relationship Id="rId60" Type="http://schemas.openxmlformats.org/officeDocument/2006/relationships/hyperlink" Target="https://osu.ppy.sh/users/25512851" TargetMode="External"/><Relationship Id="rId51" Type="http://schemas.openxmlformats.org/officeDocument/2006/relationships/hyperlink" Target="https://osu.ppy.sh/users/5031996" TargetMode="External"/><Relationship Id="rId50" Type="http://schemas.openxmlformats.org/officeDocument/2006/relationships/hyperlink" Target="https://osu.ppy.sh/users/15772236" TargetMode="External"/><Relationship Id="rId53" Type="http://schemas.openxmlformats.org/officeDocument/2006/relationships/hyperlink" Target="https://osu.ppy.sh/users/24077612" TargetMode="External"/><Relationship Id="rId52" Type="http://schemas.openxmlformats.org/officeDocument/2006/relationships/hyperlink" Target="https://osu.ppy.sh/users/16949746" TargetMode="External"/><Relationship Id="rId55" Type="http://schemas.openxmlformats.org/officeDocument/2006/relationships/hyperlink" Target="https://osu.ppy.sh/users/10983752" TargetMode="External"/><Relationship Id="rId54" Type="http://schemas.openxmlformats.org/officeDocument/2006/relationships/hyperlink" Target="https://osu.ppy.sh/users/23083274" TargetMode="External"/><Relationship Id="rId57" Type="http://schemas.openxmlformats.org/officeDocument/2006/relationships/hyperlink" Target="https://osu.ppy.sh/users/10824449" TargetMode="External"/><Relationship Id="rId56" Type="http://schemas.openxmlformats.org/officeDocument/2006/relationships/hyperlink" Target="https://osu.ppy.sh/users/8120078" TargetMode="External"/><Relationship Id="rId59" Type="http://schemas.openxmlformats.org/officeDocument/2006/relationships/hyperlink" Target="https://osu.ppy.sh/users/18945443" TargetMode="External"/><Relationship Id="rId58" Type="http://schemas.openxmlformats.org/officeDocument/2006/relationships/hyperlink" Target="https://osu.ppy.sh/users/26219372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osu.ppy.sh/community/matches/109944161" TargetMode="External"/><Relationship Id="rId30" Type="http://schemas.openxmlformats.org/officeDocument/2006/relationships/hyperlink" Target="https://osu.ppy.sh/community/matches/109943247" TargetMode="External"/><Relationship Id="rId33" Type="http://schemas.openxmlformats.org/officeDocument/2006/relationships/hyperlink" Target="https://osu.ppy.sh/community/matches/109976488" TargetMode="External"/><Relationship Id="rId32" Type="http://schemas.openxmlformats.org/officeDocument/2006/relationships/hyperlink" Target="https://osu.ppy.sh/community/matches/109949863" TargetMode="External"/><Relationship Id="rId35" Type="http://schemas.openxmlformats.org/officeDocument/2006/relationships/hyperlink" Target="https://osu.ppy.sh/community/matches/109966782" TargetMode="External"/><Relationship Id="rId34" Type="http://schemas.openxmlformats.org/officeDocument/2006/relationships/hyperlink" Target="https://osu.ppy.sh/community/matches/109964627" TargetMode="External"/><Relationship Id="rId37" Type="http://schemas.openxmlformats.org/officeDocument/2006/relationships/drawing" Target="../drawings/drawing6.xml"/><Relationship Id="rId36" Type="http://schemas.openxmlformats.org/officeDocument/2006/relationships/hyperlink" Target="https://osu.ppy.sh/community/matches/109978422" TargetMode="External"/><Relationship Id="rId20" Type="http://schemas.openxmlformats.org/officeDocument/2006/relationships/hyperlink" Target="https://osu.ppy.sh/community/matches/109940745" TargetMode="External"/><Relationship Id="rId22" Type="http://schemas.openxmlformats.org/officeDocument/2006/relationships/hyperlink" Target="https://osu.ppy.sh/community/matches/109944141" TargetMode="External"/><Relationship Id="rId21" Type="http://schemas.openxmlformats.org/officeDocument/2006/relationships/hyperlink" Target="https://osu.ppy.sh/community/matches/109946357" TargetMode="External"/><Relationship Id="rId24" Type="http://schemas.openxmlformats.org/officeDocument/2006/relationships/hyperlink" Target="https://osu.ppy.sh/community/matches/109960051" TargetMode="External"/><Relationship Id="rId23" Type="http://schemas.openxmlformats.org/officeDocument/2006/relationships/hyperlink" Target="https://osu.ppy.sh/mp/109943699" TargetMode="External"/><Relationship Id="rId26" Type="http://schemas.openxmlformats.org/officeDocument/2006/relationships/hyperlink" Target="https://osu.ppy.sh/community/matches/109917698" TargetMode="External"/><Relationship Id="rId25" Type="http://schemas.openxmlformats.org/officeDocument/2006/relationships/hyperlink" Target="https://osu.ppy.sh/community/matches/109937609" TargetMode="External"/><Relationship Id="rId28" Type="http://schemas.openxmlformats.org/officeDocument/2006/relationships/hyperlink" Target="https://osu.ppy.sh/community/matches/109927223" TargetMode="External"/><Relationship Id="rId27" Type="http://schemas.openxmlformats.org/officeDocument/2006/relationships/hyperlink" Target="https://osu.ppy.sh/community/matches/109968332" TargetMode="External"/><Relationship Id="rId29" Type="http://schemas.openxmlformats.org/officeDocument/2006/relationships/hyperlink" Target="https://osu.ppy.sh/community/matches/109929843" TargetMode="External"/><Relationship Id="rId11" Type="http://schemas.openxmlformats.org/officeDocument/2006/relationships/hyperlink" Target="https://osu.ppy.sh/community/matches/109970156" TargetMode="External"/><Relationship Id="rId10" Type="http://schemas.openxmlformats.org/officeDocument/2006/relationships/hyperlink" Target="https://osu.ppy.sh/community/matches/109967744" TargetMode="External"/><Relationship Id="rId13" Type="http://schemas.openxmlformats.org/officeDocument/2006/relationships/hyperlink" Target="https://osu.ppy.sh/mp/109973026" TargetMode="External"/><Relationship Id="rId12" Type="http://schemas.openxmlformats.org/officeDocument/2006/relationships/hyperlink" Target="https://osu.ppy.sh/community/matches/109971985" TargetMode="External"/><Relationship Id="rId15" Type="http://schemas.openxmlformats.org/officeDocument/2006/relationships/hyperlink" Target="https://osu.ppy.sh/community/matches/109977543" TargetMode="External"/><Relationship Id="rId14" Type="http://schemas.openxmlformats.org/officeDocument/2006/relationships/hyperlink" Target="https://osu.ppy.sh/community/matches/109973994" TargetMode="External"/><Relationship Id="rId17" Type="http://schemas.openxmlformats.org/officeDocument/2006/relationships/hyperlink" Target="https://osu.ppy.sh/community/matches/109980924" TargetMode="External"/><Relationship Id="rId16" Type="http://schemas.openxmlformats.org/officeDocument/2006/relationships/hyperlink" Target="https://osu.ppy.sh/community/matches/109979426" TargetMode="External"/><Relationship Id="rId19" Type="http://schemas.openxmlformats.org/officeDocument/2006/relationships/hyperlink" Target="https://osu.ppy.sh/community/matches/109980360" TargetMode="External"/><Relationship Id="rId18" Type="http://schemas.openxmlformats.org/officeDocument/2006/relationships/hyperlink" Target="https://osu.ppy.sh/community/matches/109982967" TargetMode="External"/><Relationship Id="rId1" Type="http://schemas.openxmlformats.org/officeDocument/2006/relationships/hyperlink" Target="https://osu.ppy.sh/community/matches/109952322" TargetMode="External"/><Relationship Id="rId2" Type="http://schemas.openxmlformats.org/officeDocument/2006/relationships/hyperlink" Target="https://osu.ppy.sh/mp/109953545" TargetMode="External"/><Relationship Id="rId3" Type="http://schemas.openxmlformats.org/officeDocument/2006/relationships/hyperlink" Target="https://osu.ppy.sh/community/matches/109954652" TargetMode="External"/><Relationship Id="rId4" Type="http://schemas.openxmlformats.org/officeDocument/2006/relationships/hyperlink" Target="https://osu.ppy.sh/mp/109956626" TargetMode="External"/><Relationship Id="rId9" Type="http://schemas.openxmlformats.org/officeDocument/2006/relationships/hyperlink" Target="https://osu.ppy.sh/community/matches/109966515" TargetMode="External"/><Relationship Id="rId5" Type="http://schemas.openxmlformats.org/officeDocument/2006/relationships/hyperlink" Target="https://osu.ppy.sh/mp/109957596" TargetMode="External"/><Relationship Id="rId6" Type="http://schemas.openxmlformats.org/officeDocument/2006/relationships/hyperlink" Target="https://osu.ppy.sh/community/matches/109959176" TargetMode="External"/><Relationship Id="rId7" Type="http://schemas.openxmlformats.org/officeDocument/2006/relationships/hyperlink" Target="https://osu.ppy.sh/community/matches/109962867" TargetMode="External"/><Relationship Id="rId8" Type="http://schemas.openxmlformats.org/officeDocument/2006/relationships/hyperlink" Target="https://osu.ppy.sh/community/matches/109964348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su.ppy.sh/users/8530275" TargetMode="External"/><Relationship Id="rId2" Type="http://schemas.openxmlformats.org/officeDocument/2006/relationships/hyperlink" Target="https://osu.ppy.sh/users/12238371" TargetMode="External"/><Relationship Id="rId3" Type="http://schemas.openxmlformats.org/officeDocument/2006/relationships/hyperlink" Target="https://osu.ppy.sh/users/27909731" TargetMode="External"/><Relationship Id="rId4" Type="http://schemas.openxmlformats.org/officeDocument/2006/relationships/hyperlink" Target="https://osu.ppy.sh/users/27024267" TargetMode="External"/><Relationship Id="rId5" Type="http://schemas.openxmlformats.org/officeDocument/2006/relationships/hyperlink" Target="https://osu.ppy.sh/users/3982856" TargetMode="External"/><Relationship Id="rId6" Type="http://schemas.openxmlformats.org/officeDocument/2006/relationships/hyperlink" Target="https://osu.ppy.sh/users/23294788" TargetMode="External"/><Relationship Id="rId7" Type="http://schemas.openxmlformats.org/officeDocument/2006/relationships/hyperlink" Target="https://osu.ppy.sh/users/27308850" TargetMode="External"/><Relationship Id="rId8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9DF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4" width="1.38"/>
    <col customWidth="1" min="5" max="5" width="3.25"/>
    <col customWidth="1" min="11" max="11" width="3.25"/>
    <col customWidth="1" min="12" max="15" width="1.38"/>
    <col customWidth="1" min="16" max="18" width="0.75"/>
    <col customWidth="1" min="19" max="20" width="1.38"/>
    <col customWidth="1" min="21" max="21" width="18.88"/>
    <col customWidth="1" min="22" max="24" width="1.38"/>
    <col customWidth="1" min="25" max="25" width="18.88"/>
    <col customWidth="1" min="26" max="27" width="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/>
      <c r="R1" s="2"/>
      <c r="S1" s="1"/>
      <c r="T1" s="1"/>
      <c r="U1" s="1"/>
      <c r="V1" s="1"/>
      <c r="W1" s="1"/>
      <c r="X1" s="1"/>
      <c r="Y1" s="4" t="s">
        <v>0</v>
      </c>
      <c r="Z1" s="1"/>
      <c r="AA1" s="1"/>
    </row>
    <row r="2" ht="7.5" customHeight="1">
      <c r="A2" s="1"/>
      <c r="B2" s="5"/>
      <c r="C2" s="5"/>
      <c r="D2" s="5"/>
      <c r="E2" s="5"/>
      <c r="F2" s="5"/>
      <c r="G2" s="2"/>
      <c r="H2" s="6"/>
      <c r="O2" s="1"/>
      <c r="P2" s="2"/>
      <c r="Q2" s="7"/>
      <c r="R2" s="2"/>
      <c r="S2" s="1"/>
      <c r="T2" s="8"/>
      <c r="U2" s="8"/>
      <c r="V2" s="2"/>
      <c r="W2" s="2"/>
      <c r="X2" s="2"/>
      <c r="Y2" s="6"/>
      <c r="Z2" s="6"/>
      <c r="AA2" s="1"/>
    </row>
    <row r="3" ht="15.0" customHeight="1">
      <c r="A3" s="1"/>
      <c r="B3" s="5"/>
      <c r="C3" s="5"/>
      <c r="D3" s="5"/>
      <c r="E3" s="5"/>
      <c r="F3" s="5"/>
      <c r="G3" s="2"/>
      <c r="O3" s="1"/>
      <c r="P3" s="2"/>
      <c r="Q3" s="7"/>
      <c r="R3" s="2"/>
      <c r="S3" s="1"/>
      <c r="T3" s="8"/>
      <c r="U3" s="9" t="s">
        <v>1</v>
      </c>
      <c r="V3" s="10"/>
      <c r="W3" s="10"/>
      <c r="X3" s="10"/>
      <c r="Y3" s="11"/>
      <c r="Z3" s="6"/>
      <c r="AA3" s="1"/>
    </row>
    <row r="4" ht="7.5" customHeight="1">
      <c r="A4" s="1"/>
      <c r="B4" s="8"/>
      <c r="C4" s="8"/>
      <c r="D4" s="8"/>
      <c r="E4" s="12"/>
      <c r="F4" s="13"/>
      <c r="G4" s="13"/>
      <c r="H4" s="13"/>
      <c r="I4" s="13"/>
      <c r="J4" s="13"/>
      <c r="K4" s="13"/>
      <c r="L4" s="14"/>
      <c r="M4" s="6"/>
      <c r="N4" s="6"/>
      <c r="O4" s="1"/>
      <c r="P4" s="2"/>
      <c r="Q4" s="7"/>
      <c r="R4" s="2"/>
      <c r="S4" s="1"/>
      <c r="T4" s="8"/>
      <c r="U4" s="15"/>
      <c r="Y4" s="16"/>
      <c r="Z4" s="6"/>
      <c r="AA4" s="1"/>
    </row>
    <row r="5" ht="7.5" customHeight="1">
      <c r="A5" s="1"/>
      <c r="B5" s="8"/>
      <c r="C5" s="8"/>
      <c r="D5" s="8"/>
      <c r="E5" s="17"/>
      <c r="F5" s="18"/>
      <c r="G5" s="18"/>
      <c r="H5" s="18"/>
      <c r="I5" s="18"/>
      <c r="J5" s="18"/>
      <c r="K5" s="18"/>
      <c r="L5" s="19"/>
      <c r="M5" s="6"/>
      <c r="N5" s="6"/>
      <c r="O5" s="1"/>
      <c r="P5" s="2"/>
      <c r="Q5" s="7"/>
      <c r="R5" s="2"/>
      <c r="S5" s="1"/>
      <c r="T5" s="8"/>
      <c r="U5" s="20"/>
      <c r="V5" s="21"/>
      <c r="W5" s="21"/>
      <c r="X5" s="21"/>
      <c r="Y5" s="22"/>
      <c r="Z5" s="6"/>
      <c r="AA5" s="1"/>
    </row>
    <row r="6" ht="22.5" customHeight="1">
      <c r="A6" s="1"/>
      <c r="B6" s="8"/>
      <c r="C6" s="8"/>
      <c r="D6" s="8"/>
      <c r="E6" s="17"/>
      <c r="F6" s="18"/>
      <c r="G6" s="18"/>
      <c r="H6" s="18"/>
      <c r="I6" s="18"/>
      <c r="J6" s="18"/>
      <c r="K6" s="18"/>
      <c r="L6" s="19"/>
      <c r="M6" s="6"/>
      <c r="N6" s="23"/>
      <c r="O6" s="1"/>
      <c r="P6" s="2"/>
      <c r="Q6" s="7"/>
      <c r="R6" s="2"/>
      <c r="S6" s="1"/>
      <c r="T6" s="24"/>
      <c r="U6" s="25"/>
      <c r="V6" s="26"/>
      <c r="W6" s="27"/>
      <c r="X6" s="27"/>
      <c r="Y6" s="28"/>
      <c r="Z6" s="6"/>
      <c r="AA6" s="1"/>
    </row>
    <row r="7" ht="30.0" customHeight="1">
      <c r="A7" s="1"/>
      <c r="B7" s="8"/>
      <c r="C7" s="8"/>
      <c r="D7" s="8"/>
      <c r="E7" s="17"/>
      <c r="F7" s="18"/>
      <c r="G7" s="18"/>
      <c r="H7" s="18"/>
      <c r="I7" s="18"/>
      <c r="J7" s="18"/>
      <c r="K7" s="18"/>
      <c r="L7" s="19"/>
      <c r="M7" s="6"/>
      <c r="N7" s="23"/>
      <c r="O7" s="1"/>
      <c r="P7" s="2"/>
      <c r="Q7" s="7"/>
      <c r="R7" s="2"/>
      <c r="S7" s="1"/>
      <c r="T7" s="24"/>
      <c r="U7" s="29" t="s">
        <v>2</v>
      </c>
      <c r="V7" s="26"/>
      <c r="W7" s="27"/>
      <c r="X7" s="27"/>
      <c r="Y7" s="28"/>
      <c r="Z7" s="30"/>
      <c r="AA7" s="1"/>
    </row>
    <row r="8" ht="30.0" customHeight="1">
      <c r="A8" s="1"/>
      <c r="B8" s="2"/>
      <c r="C8" s="2"/>
      <c r="D8" s="2"/>
      <c r="E8" s="17"/>
      <c r="F8" s="18"/>
      <c r="G8" s="18"/>
      <c r="H8" s="18"/>
      <c r="I8" s="18"/>
      <c r="J8" s="18"/>
      <c r="K8" s="18"/>
      <c r="L8" s="19"/>
      <c r="M8" s="2"/>
      <c r="N8" s="2"/>
      <c r="O8" s="1"/>
      <c r="P8" s="2"/>
      <c r="Q8" s="7"/>
      <c r="R8" s="2"/>
      <c r="S8" s="1"/>
      <c r="T8" s="31"/>
      <c r="U8" s="32"/>
      <c r="V8" s="33"/>
      <c r="W8" s="33"/>
      <c r="X8" s="33"/>
      <c r="Y8" s="34" t="s">
        <v>3</v>
      </c>
      <c r="Z8" s="35"/>
      <c r="AA8" s="1"/>
    </row>
    <row r="9" ht="30.0" customHeight="1">
      <c r="A9" s="1"/>
      <c r="B9" s="2"/>
      <c r="C9" s="2"/>
      <c r="D9" s="2"/>
      <c r="E9" s="17"/>
      <c r="F9" s="18"/>
      <c r="G9" s="18"/>
      <c r="H9" s="18"/>
      <c r="I9" s="18"/>
      <c r="J9" s="18"/>
      <c r="K9" s="18"/>
      <c r="L9" s="19"/>
      <c r="M9" s="2"/>
      <c r="N9" s="2"/>
      <c r="O9" s="1"/>
      <c r="P9" s="2"/>
      <c r="Q9" s="7"/>
      <c r="R9" s="2"/>
      <c r="S9" s="1"/>
      <c r="T9" s="31"/>
      <c r="U9" s="36" t="str">
        <f>COUNTA('Team List'!N6:N37) &amp; " TEAMS REGISTERED !"</f>
        <v>62 TEAMS REGISTERED !</v>
      </c>
      <c r="V9" s="33"/>
      <c r="W9" s="33"/>
      <c r="X9" s="33"/>
      <c r="Y9" s="37"/>
      <c r="Z9" s="35"/>
      <c r="AA9" s="1"/>
    </row>
    <row r="10" ht="30.0" customHeight="1">
      <c r="A10" s="1"/>
      <c r="B10" s="2"/>
      <c r="C10" s="2"/>
      <c r="D10" s="2"/>
      <c r="E10" s="17"/>
      <c r="F10" s="18"/>
      <c r="G10" s="18"/>
      <c r="H10" s="18"/>
      <c r="I10" s="18"/>
      <c r="J10" s="18"/>
      <c r="K10" s="18"/>
      <c r="L10" s="19"/>
      <c r="M10" s="2"/>
      <c r="N10" s="2"/>
      <c r="O10" s="1"/>
      <c r="P10" s="2"/>
      <c r="Q10" s="7"/>
      <c r="R10" s="2"/>
      <c r="S10" s="1"/>
      <c r="T10" s="31"/>
      <c r="U10" s="32"/>
      <c r="V10" s="33"/>
      <c r="W10" s="33"/>
      <c r="X10" s="33"/>
      <c r="Y10" s="38" t="str">
        <f>IFERROR(__xludf.DUMMYFUNCTION(" IMPORTRANGE(""1HHAHmZTTDlyB4RHaHQ-2bhUchkHOEZhmcQrDYQXnxnw"",""importrange_teams!T2"") &amp; "" PLAYERS REGISTERED !"""),"167 PLAYERS REGISTERED !")</f>
        <v>167 PLAYERS REGISTERED !</v>
      </c>
      <c r="Z10" s="35"/>
      <c r="AA10" s="1"/>
    </row>
    <row r="11" ht="18.75" customHeight="1">
      <c r="A11" s="1"/>
      <c r="B11" s="6"/>
      <c r="C11" s="6"/>
      <c r="D11" s="6"/>
      <c r="E11" s="17"/>
      <c r="F11" s="18"/>
      <c r="G11" s="18"/>
      <c r="H11" s="18"/>
      <c r="I11" s="18"/>
      <c r="J11" s="18"/>
      <c r="K11" s="18"/>
      <c r="L11" s="19"/>
      <c r="M11" s="8"/>
      <c r="N11" s="8"/>
      <c r="O11" s="1"/>
      <c r="P11" s="2"/>
      <c r="Q11" s="7"/>
      <c r="R11" s="2"/>
      <c r="S11" s="1"/>
      <c r="T11" s="39"/>
      <c r="U11" s="40">
        <f>NOW()</f>
        <v>45946.47549</v>
      </c>
      <c r="V11" s="26"/>
      <c r="W11" s="27"/>
      <c r="X11" s="27"/>
      <c r="Y11" s="28"/>
      <c r="Z11" s="35"/>
      <c r="AA11" s="1"/>
    </row>
    <row r="12" ht="18.75" customHeight="1">
      <c r="A12" s="1"/>
      <c r="B12" s="6"/>
      <c r="C12" s="6"/>
      <c r="D12" s="6"/>
      <c r="E12" s="17"/>
      <c r="F12" s="18"/>
      <c r="G12" s="18"/>
      <c r="H12" s="18"/>
      <c r="I12" s="18"/>
      <c r="J12" s="18"/>
      <c r="K12" s="18"/>
      <c r="L12" s="19"/>
      <c r="M12" s="8"/>
      <c r="N12" s="8"/>
      <c r="O12" s="1"/>
      <c r="P12" s="2"/>
      <c r="Q12" s="7"/>
      <c r="R12" s="2"/>
      <c r="S12" s="1"/>
      <c r="T12" s="39"/>
      <c r="U12" s="41"/>
      <c r="V12" s="26"/>
      <c r="W12" s="27"/>
      <c r="X12" s="27"/>
      <c r="Y12" s="42">
        <f>now()</f>
        <v>45946.47549</v>
      </c>
      <c r="Z12" s="43"/>
      <c r="AA12" s="1"/>
    </row>
    <row r="13" ht="22.5" customHeight="1">
      <c r="A13" s="1"/>
      <c r="B13" s="6"/>
      <c r="C13" s="6"/>
      <c r="D13" s="6"/>
      <c r="E13" s="17"/>
      <c r="F13" s="18"/>
      <c r="G13" s="18"/>
      <c r="H13" s="18"/>
      <c r="I13" s="18"/>
      <c r="J13" s="18"/>
      <c r="K13" s="18"/>
      <c r="L13" s="19"/>
      <c r="M13" s="8"/>
      <c r="N13" s="8"/>
      <c r="O13" s="1"/>
      <c r="P13" s="2"/>
      <c r="Q13" s="7"/>
      <c r="R13" s="2"/>
      <c r="S13" s="1"/>
      <c r="T13" s="39"/>
      <c r="U13" s="41"/>
      <c r="V13" s="26"/>
      <c r="W13" s="27"/>
      <c r="X13" s="27"/>
      <c r="Y13" s="44"/>
      <c r="Z13" s="43"/>
      <c r="AA13" s="1"/>
    </row>
    <row r="14" ht="7.5" customHeight="1">
      <c r="A14" s="1"/>
      <c r="B14" s="6"/>
      <c r="C14" s="6"/>
      <c r="D14" s="6"/>
      <c r="E14" s="17"/>
      <c r="F14" s="18"/>
      <c r="G14" s="18"/>
      <c r="H14" s="18"/>
      <c r="I14" s="18"/>
      <c r="J14" s="18"/>
      <c r="K14" s="18"/>
      <c r="L14" s="19"/>
      <c r="M14" s="8"/>
      <c r="N14" s="8"/>
      <c r="O14" s="1"/>
      <c r="P14" s="2"/>
      <c r="Q14" s="7"/>
      <c r="R14" s="2"/>
      <c r="S14" s="1"/>
      <c r="T14" s="39"/>
      <c r="U14" s="45">
        <f>NOW()</f>
        <v>45946.47549</v>
      </c>
      <c r="V14" s="46"/>
      <c r="W14" s="46"/>
      <c r="X14" s="46"/>
      <c r="Y14" s="47"/>
      <c r="Z14" s="43"/>
      <c r="AA14" s="1"/>
    </row>
    <row r="15" ht="7.5" customHeight="1">
      <c r="A15" s="1"/>
      <c r="B15" s="6"/>
      <c r="C15" s="6"/>
      <c r="D15" s="6"/>
      <c r="E15" s="48"/>
      <c r="F15" s="49"/>
      <c r="G15" s="49"/>
      <c r="H15" s="49"/>
      <c r="I15" s="49"/>
      <c r="J15" s="49"/>
      <c r="K15" s="49"/>
      <c r="L15" s="50"/>
      <c r="M15" s="8"/>
      <c r="N15" s="8"/>
      <c r="O15" s="1"/>
      <c r="P15" s="2"/>
      <c r="Q15" s="7"/>
      <c r="R15" s="2"/>
      <c r="S15" s="1"/>
      <c r="T15" s="39"/>
      <c r="U15" s="15"/>
      <c r="Y15" s="16"/>
      <c r="Z15" s="43"/>
      <c r="AA15" s="4" t="s">
        <v>0</v>
      </c>
    </row>
    <row r="16" ht="7.5" customHeight="1">
      <c r="A16" s="1"/>
      <c r="B16" s="6"/>
      <c r="C16" s="6"/>
      <c r="D16" s="6"/>
      <c r="E16" s="6"/>
      <c r="F16" s="6"/>
      <c r="G16" s="6"/>
      <c r="H16" s="6"/>
      <c r="I16" s="2"/>
      <c r="J16" s="8"/>
      <c r="K16" s="8"/>
      <c r="L16" s="8"/>
      <c r="M16" s="8"/>
      <c r="N16" s="8"/>
      <c r="O16" s="1"/>
      <c r="P16" s="2"/>
      <c r="Q16" s="7"/>
      <c r="R16" s="2"/>
      <c r="S16" s="1"/>
      <c r="T16" s="39"/>
      <c r="U16" s="51"/>
      <c r="V16" s="52"/>
      <c r="W16" s="52"/>
      <c r="X16" s="52"/>
      <c r="Y16" s="53"/>
      <c r="Z16" s="8"/>
      <c r="AA16" s="1"/>
    </row>
    <row r="17" ht="7.5" customHeight="1">
      <c r="A17" s="1"/>
      <c r="B17" s="6"/>
      <c r="C17" s="6"/>
      <c r="D17" s="6"/>
      <c r="E17" s="6"/>
      <c r="F17" s="6"/>
      <c r="G17" s="6"/>
      <c r="H17" s="6"/>
      <c r="I17" s="2"/>
      <c r="J17" s="8"/>
      <c r="K17" s="8"/>
      <c r="L17" s="8"/>
      <c r="M17" s="8"/>
      <c r="N17" s="8"/>
      <c r="O17" s="1"/>
      <c r="P17" s="2"/>
      <c r="Q17" s="7"/>
      <c r="R17" s="2"/>
      <c r="S17" s="1"/>
      <c r="T17" s="6"/>
      <c r="U17" s="6"/>
      <c r="V17" s="2"/>
      <c r="W17" s="2"/>
      <c r="X17" s="2"/>
      <c r="Y17" s="8"/>
      <c r="Z17" s="8"/>
      <c r="AA17" s="4" t="s">
        <v>0</v>
      </c>
    </row>
    <row r="18" ht="7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7"/>
      <c r="R18" s="2"/>
      <c r="S18" s="1"/>
      <c r="T18" s="1"/>
      <c r="U18" s="1"/>
      <c r="V18" s="1"/>
      <c r="W18" s="1"/>
      <c r="X18" s="1"/>
      <c r="Y18" s="1"/>
      <c r="Z18" s="1"/>
      <c r="AA18" s="1"/>
    </row>
    <row r="19" ht="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/>
      <c r="R19" s="2"/>
      <c r="S19" s="2"/>
      <c r="T19" s="54"/>
      <c r="U19" s="2"/>
      <c r="V19" s="2"/>
      <c r="W19" s="2"/>
      <c r="X19" s="2"/>
      <c r="Y19" s="2"/>
      <c r="Z19" s="2"/>
      <c r="AA19" s="55"/>
    </row>
    <row r="20" ht="7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7"/>
      <c r="R20" s="2"/>
      <c r="S20" s="1"/>
      <c r="T20" s="1"/>
      <c r="U20" s="1"/>
      <c r="V20" s="1"/>
      <c r="W20" s="1"/>
      <c r="X20" s="1"/>
      <c r="Y20" s="1"/>
      <c r="Z20" s="1"/>
      <c r="AA20" s="1"/>
    </row>
    <row r="21" ht="7.5" customHeight="1">
      <c r="A21" s="1"/>
      <c r="B21" s="6"/>
      <c r="C21" s="6"/>
      <c r="D21" s="6"/>
      <c r="E21" s="6"/>
      <c r="F21" s="6"/>
      <c r="G21" s="2"/>
      <c r="H21" s="2"/>
      <c r="I21" s="8"/>
      <c r="J21" s="8"/>
      <c r="K21" s="8"/>
      <c r="L21" s="8"/>
      <c r="M21" s="8"/>
      <c r="N21" s="8"/>
      <c r="O21" s="1"/>
      <c r="P21" s="2"/>
      <c r="Q21" s="7"/>
      <c r="R21" s="2"/>
      <c r="S21" s="1"/>
      <c r="T21" s="6"/>
      <c r="U21" s="6"/>
      <c r="V21" s="56"/>
      <c r="W21" s="56"/>
      <c r="X21" s="56"/>
      <c r="Y21" s="8"/>
      <c r="Z21" s="8"/>
      <c r="AA21" s="1"/>
    </row>
    <row r="22" ht="7.5" customHeight="1">
      <c r="A22" s="1"/>
      <c r="B22" s="6"/>
      <c r="C22" s="6"/>
      <c r="D22" s="6"/>
      <c r="E22" s="57"/>
      <c r="F22" s="58"/>
      <c r="G22" s="58"/>
      <c r="H22" s="58"/>
      <c r="I22" s="58"/>
      <c r="J22" s="58"/>
      <c r="K22" s="59" t="s">
        <v>0</v>
      </c>
      <c r="L22" s="8"/>
      <c r="M22" s="8"/>
      <c r="N22" s="8"/>
      <c r="O22" s="1"/>
      <c r="P22" s="2"/>
      <c r="Q22" s="7"/>
      <c r="R22" s="2"/>
      <c r="S22" s="1"/>
      <c r="T22" s="6"/>
      <c r="U22" s="60"/>
      <c r="V22" s="61"/>
      <c r="W22" s="61"/>
      <c r="X22" s="61"/>
      <c r="Y22" s="62"/>
      <c r="Z22" s="8"/>
      <c r="AA22" s="1"/>
    </row>
    <row r="23">
      <c r="A23" s="1"/>
      <c r="B23" s="6"/>
      <c r="C23" s="6"/>
      <c r="D23" s="6"/>
      <c r="E23" s="63"/>
      <c r="F23" s="64" t="s">
        <v>4</v>
      </c>
      <c r="G23" s="65"/>
      <c r="J23" s="66"/>
      <c r="K23" s="67"/>
      <c r="L23" s="8"/>
      <c r="M23" s="8"/>
      <c r="N23" s="8"/>
      <c r="O23" s="1"/>
      <c r="P23" s="2"/>
      <c r="Q23" s="7"/>
      <c r="R23" s="2"/>
      <c r="S23" s="1"/>
      <c r="T23" s="39"/>
      <c r="U23" s="68" t="s">
        <v>5</v>
      </c>
      <c r="V23" s="69"/>
      <c r="W23" s="69"/>
      <c r="X23" s="69"/>
      <c r="Y23" s="70" t="s">
        <v>6</v>
      </c>
      <c r="Z23" s="71"/>
      <c r="AA23" s="1"/>
    </row>
    <row r="24">
      <c r="A24" s="1"/>
      <c r="B24" s="6"/>
      <c r="C24" s="6"/>
      <c r="D24" s="6"/>
      <c r="E24" s="63"/>
      <c r="K24" s="67"/>
      <c r="L24" s="8"/>
      <c r="M24" s="8"/>
      <c r="N24" s="8"/>
      <c r="O24" s="1"/>
      <c r="P24" s="2"/>
      <c r="Q24" s="7"/>
      <c r="R24" s="2"/>
      <c r="S24" s="1"/>
      <c r="T24" s="39"/>
      <c r="U24" s="69"/>
      <c r="V24" s="69"/>
      <c r="W24" s="69"/>
      <c r="X24" s="69"/>
      <c r="Y24" s="72"/>
      <c r="Z24" s="8"/>
      <c r="AA24" s="1"/>
    </row>
    <row r="25">
      <c r="A25" s="1"/>
      <c r="B25" s="73"/>
      <c r="C25" s="73"/>
      <c r="D25" s="73"/>
      <c r="E25" s="63"/>
      <c r="F25" s="74" t="s">
        <v>7</v>
      </c>
      <c r="G25" s="65"/>
      <c r="H25" s="75" t="s">
        <v>8</v>
      </c>
      <c r="I25" s="74" t="s">
        <v>9</v>
      </c>
      <c r="J25" s="65"/>
      <c r="K25" s="67"/>
      <c r="L25" s="8"/>
      <c r="M25" s="8"/>
      <c r="N25" s="8"/>
      <c r="O25" s="1"/>
      <c r="P25" s="2"/>
      <c r="Q25" s="7"/>
      <c r="R25" s="2"/>
      <c r="S25" s="1"/>
      <c r="T25" s="39"/>
      <c r="U25" s="76" t="s">
        <v>10</v>
      </c>
      <c r="V25" s="77"/>
      <c r="W25" s="77"/>
      <c r="X25" s="77"/>
      <c r="Y25" s="78"/>
      <c r="Z25" s="8"/>
      <c r="AA25" s="1"/>
    </row>
    <row r="26">
      <c r="A26" s="1"/>
      <c r="B26" s="73"/>
      <c r="C26" s="73"/>
      <c r="D26" s="73"/>
      <c r="E26" s="63"/>
      <c r="F26" s="74" t="s">
        <v>11</v>
      </c>
      <c r="G26" s="65"/>
      <c r="H26" s="75" t="s">
        <v>8</v>
      </c>
      <c r="I26" s="74" t="s">
        <v>12</v>
      </c>
      <c r="J26" s="65"/>
      <c r="K26" s="67"/>
      <c r="L26" s="2"/>
      <c r="M26" s="2"/>
      <c r="N26" s="2"/>
      <c r="O26" s="1"/>
      <c r="P26" s="2"/>
      <c r="Q26" s="7"/>
      <c r="R26" s="2"/>
      <c r="S26" s="1"/>
      <c r="T26" s="31"/>
      <c r="U26" s="69"/>
      <c r="V26" s="69"/>
      <c r="W26" s="69"/>
      <c r="X26" s="69"/>
      <c r="Y26" s="72"/>
      <c r="Z26" s="2"/>
      <c r="AA26" s="1"/>
    </row>
    <row r="27">
      <c r="A27" s="1"/>
      <c r="B27" s="73"/>
      <c r="C27" s="73"/>
      <c r="D27" s="73"/>
      <c r="E27" s="63"/>
      <c r="F27" s="74" t="s">
        <v>13</v>
      </c>
      <c r="G27" s="65"/>
      <c r="H27" s="75" t="s">
        <v>8</v>
      </c>
      <c r="I27" s="74" t="s">
        <v>14</v>
      </c>
      <c r="J27" s="65"/>
      <c r="K27" s="67"/>
      <c r="L27" s="2"/>
      <c r="M27" s="2"/>
      <c r="N27" s="2"/>
      <c r="O27" s="1"/>
      <c r="P27" s="2"/>
      <c r="Q27" s="7"/>
      <c r="R27" s="2"/>
      <c r="S27" s="1"/>
      <c r="T27" s="31"/>
      <c r="U27" s="69"/>
      <c r="V27" s="69"/>
      <c r="W27" s="69"/>
      <c r="X27" s="69"/>
      <c r="Y27" s="72"/>
      <c r="Z27" s="2"/>
      <c r="AA27" s="1"/>
    </row>
    <row r="28">
      <c r="A28" s="1"/>
      <c r="B28" s="73"/>
      <c r="C28" s="73"/>
      <c r="D28" s="73"/>
      <c r="E28" s="63"/>
      <c r="F28" s="74" t="s">
        <v>15</v>
      </c>
      <c r="G28" s="65"/>
      <c r="H28" s="75" t="s">
        <v>8</v>
      </c>
      <c r="I28" s="74" t="s">
        <v>16</v>
      </c>
      <c r="J28" s="65"/>
      <c r="K28" s="67"/>
      <c r="L28" s="2"/>
      <c r="M28" s="2"/>
      <c r="N28" s="54"/>
      <c r="O28" s="1"/>
      <c r="P28" s="2"/>
      <c r="Q28" s="7"/>
      <c r="R28" s="2"/>
      <c r="S28" s="1"/>
      <c r="T28" s="31"/>
      <c r="U28" s="69"/>
      <c r="V28" s="69"/>
      <c r="W28" s="69"/>
      <c r="X28" s="69"/>
      <c r="Y28" s="72"/>
      <c r="Z28" s="2"/>
      <c r="AA28" s="1"/>
    </row>
    <row r="29">
      <c r="A29" s="1"/>
      <c r="B29" s="73"/>
      <c r="C29" s="73"/>
      <c r="D29" s="73"/>
      <c r="E29" s="63"/>
      <c r="F29" s="74" t="s">
        <v>17</v>
      </c>
      <c r="G29" s="65"/>
      <c r="H29" s="75" t="s">
        <v>8</v>
      </c>
      <c r="I29" s="74" t="s">
        <v>18</v>
      </c>
      <c r="J29" s="65"/>
      <c r="K29" s="67"/>
      <c r="L29" s="2"/>
      <c r="M29" s="2"/>
      <c r="N29" s="2"/>
      <c r="O29" s="1"/>
      <c r="P29" s="2"/>
      <c r="Q29" s="7"/>
      <c r="R29" s="2"/>
      <c r="S29" s="1"/>
      <c r="T29" s="31"/>
      <c r="U29" s="79" t="s">
        <v>19</v>
      </c>
      <c r="V29" s="69"/>
      <c r="W29" s="69"/>
      <c r="X29" s="69"/>
      <c r="Y29" s="72"/>
      <c r="Z29" s="2"/>
      <c r="AA29" s="1"/>
    </row>
    <row r="30">
      <c r="A30" s="1"/>
      <c r="B30" s="73"/>
      <c r="C30" s="73"/>
      <c r="D30" s="73"/>
      <c r="E30" s="63"/>
      <c r="F30" s="74" t="s">
        <v>20</v>
      </c>
      <c r="G30" s="65"/>
      <c r="H30" s="75" t="s">
        <v>8</v>
      </c>
      <c r="I30" s="74" t="s">
        <v>21</v>
      </c>
      <c r="J30" s="65"/>
      <c r="K30" s="67"/>
      <c r="L30" s="2"/>
      <c r="M30" s="2"/>
      <c r="N30" s="2"/>
      <c r="O30" s="1"/>
      <c r="P30" s="2"/>
      <c r="Q30" s="7"/>
      <c r="R30" s="2"/>
      <c r="S30" s="1"/>
      <c r="T30" s="31"/>
      <c r="U30" s="69"/>
      <c r="V30" s="69"/>
      <c r="W30" s="69"/>
      <c r="X30" s="69"/>
      <c r="Y30" s="80" t="s">
        <v>22</v>
      </c>
      <c r="Z30" s="2"/>
      <c r="AA30" s="1"/>
    </row>
    <row r="31">
      <c r="A31" s="1"/>
      <c r="B31" s="8"/>
      <c r="C31" s="8"/>
      <c r="D31" s="8"/>
      <c r="E31" s="63"/>
      <c r="F31" s="74" t="s">
        <v>23</v>
      </c>
      <c r="G31" s="65"/>
      <c r="H31" s="75" t="s">
        <v>8</v>
      </c>
      <c r="I31" s="74" t="s">
        <v>24</v>
      </c>
      <c r="J31" s="65"/>
      <c r="K31" s="67"/>
      <c r="L31" s="6"/>
      <c r="M31" s="6"/>
      <c r="N31" s="6"/>
      <c r="O31" s="1"/>
      <c r="P31" s="2"/>
      <c r="Q31" s="7"/>
      <c r="R31" s="2"/>
      <c r="S31" s="1"/>
      <c r="T31" s="8"/>
      <c r="U31" s="79" t="s">
        <v>25</v>
      </c>
      <c r="V31" s="69"/>
      <c r="W31" s="69"/>
      <c r="X31" s="69"/>
      <c r="Y31" s="72"/>
      <c r="Z31" s="6"/>
      <c r="AA31" s="1"/>
    </row>
    <row r="32">
      <c r="A32" s="1"/>
      <c r="B32" s="8"/>
      <c r="C32" s="8"/>
      <c r="D32" s="8"/>
      <c r="E32" s="63"/>
      <c r="F32" s="74" t="s">
        <v>26</v>
      </c>
      <c r="G32" s="65"/>
      <c r="H32" s="75" t="s">
        <v>8</v>
      </c>
      <c r="I32" s="74" t="s">
        <v>27</v>
      </c>
      <c r="J32" s="65"/>
      <c r="K32" s="67"/>
      <c r="L32" s="6"/>
      <c r="M32" s="6"/>
      <c r="N32" s="6"/>
      <c r="O32" s="1"/>
      <c r="P32" s="2"/>
      <c r="Q32" s="7"/>
      <c r="R32" s="2"/>
      <c r="S32" s="1"/>
      <c r="T32" s="8"/>
      <c r="U32" s="81"/>
      <c r="V32" s="69"/>
      <c r="W32" s="69"/>
      <c r="X32" s="69"/>
      <c r="Y32" s="82" t="s">
        <v>28</v>
      </c>
      <c r="Z32" s="6"/>
      <c r="AA32" s="1"/>
    </row>
    <row r="33">
      <c r="A33" s="1"/>
      <c r="B33" s="8"/>
      <c r="C33" s="8"/>
      <c r="D33" s="8"/>
      <c r="E33" s="63"/>
      <c r="F33" s="74" t="s">
        <v>29</v>
      </c>
      <c r="G33" s="65"/>
      <c r="H33" s="75" t="s">
        <v>8</v>
      </c>
      <c r="I33" s="74" t="s">
        <v>30</v>
      </c>
      <c r="J33" s="65"/>
      <c r="K33" s="67"/>
      <c r="L33" s="6"/>
      <c r="M33" s="6"/>
      <c r="N33" s="6"/>
      <c r="O33" s="1"/>
      <c r="P33" s="2"/>
      <c r="Q33" s="7"/>
      <c r="R33" s="2"/>
      <c r="S33" s="1"/>
      <c r="T33" s="8"/>
      <c r="U33" s="83" t="s">
        <v>31</v>
      </c>
      <c r="V33" s="69"/>
      <c r="W33" s="69"/>
      <c r="X33" s="69"/>
      <c r="Y33" s="84"/>
      <c r="Z33" s="6"/>
      <c r="AA33" s="1"/>
    </row>
    <row r="34">
      <c r="A34" s="1"/>
      <c r="B34" s="8"/>
      <c r="C34" s="8"/>
      <c r="D34" s="8"/>
      <c r="E34" s="85"/>
      <c r="F34" s="86"/>
      <c r="G34" s="86"/>
      <c r="H34" s="86"/>
      <c r="I34" s="86"/>
      <c r="J34" s="86"/>
      <c r="K34" s="87"/>
      <c r="L34" s="6"/>
      <c r="M34" s="6"/>
      <c r="N34" s="6"/>
      <c r="O34" s="1"/>
      <c r="P34" s="2"/>
      <c r="Q34" s="7"/>
      <c r="R34" s="2"/>
      <c r="S34" s="1"/>
      <c r="T34" s="8"/>
      <c r="U34" s="81"/>
      <c r="V34" s="69"/>
      <c r="W34" s="69"/>
      <c r="X34" s="69"/>
      <c r="Y34" s="88" t="s">
        <v>32</v>
      </c>
      <c r="Z34" s="6"/>
      <c r="AA34" s="1"/>
    </row>
    <row r="35" ht="11.25" customHeight="1">
      <c r="A35" s="1"/>
      <c r="B35" s="8"/>
      <c r="C35" s="8"/>
      <c r="D35" s="8"/>
      <c r="E35" s="8"/>
      <c r="F35" s="8"/>
      <c r="G35" s="8"/>
      <c r="H35" s="56"/>
      <c r="I35" s="56"/>
      <c r="J35" s="6"/>
      <c r="K35" s="6"/>
      <c r="L35" s="6"/>
      <c r="M35" s="6"/>
      <c r="N35" s="6"/>
      <c r="O35" s="1"/>
      <c r="P35" s="2"/>
      <c r="Q35" s="7"/>
      <c r="R35" s="2"/>
      <c r="S35" s="1"/>
      <c r="T35" s="8"/>
      <c r="U35" s="89"/>
      <c r="V35" s="90"/>
      <c r="W35" s="90"/>
      <c r="X35" s="90"/>
      <c r="Y35" s="91"/>
      <c r="Z35" s="6"/>
      <c r="AA35" s="1"/>
    </row>
    <row r="36" ht="7.5" customHeight="1">
      <c r="A36" s="1"/>
      <c r="B36" s="8"/>
      <c r="C36" s="8"/>
      <c r="D36" s="8"/>
      <c r="E36" s="8"/>
      <c r="F36" s="8"/>
      <c r="G36" s="8"/>
      <c r="H36" s="56"/>
      <c r="I36" s="56"/>
      <c r="J36" s="6"/>
      <c r="K36" s="6"/>
      <c r="L36" s="6"/>
      <c r="M36" s="6"/>
      <c r="N36" s="6"/>
      <c r="O36" s="1"/>
      <c r="P36" s="2"/>
      <c r="Q36" s="7"/>
      <c r="R36" s="2"/>
      <c r="S36" s="1"/>
      <c r="T36" s="8"/>
      <c r="U36" s="8"/>
      <c r="V36" s="2"/>
      <c r="W36" s="2"/>
      <c r="X36" s="2"/>
      <c r="Y36" s="6"/>
      <c r="Z36" s="6"/>
      <c r="AA36" s="1"/>
    </row>
    <row r="37" ht="7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7"/>
      <c r="R37" s="2"/>
      <c r="S37" s="1"/>
      <c r="T37" s="1"/>
      <c r="U37" s="1"/>
      <c r="V37" s="1"/>
      <c r="W37" s="1"/>
      <c r="X37" s="1"/>
      <c r="Y37" s="1"/>
      <c r="Z37" s="1"/>
      <c r="AA37" s="1"/>
    </row>
  </sheetData>
  <mergeCells count="24">
    <mergeCell ref="H2:N3"/>
    <mergeCell ref="U3:Y5"/>
    <mergeCell ref="U14:Y16"/>
    <mergeCell ref="F23:G23"/>
    <mergeCell ref="F24:G24"/>
    <mergeCell ref="I25:J25"/>
    <mergeCell ref="U25:Y25"/>
    <mergeCell ref="I28:J28"/>
    <mergeCell ref="I29:J29"/>
    <mergeCell ref="F30:G30"/>
    <mergeCell ref="I30:J30"/>
    <mergeCell ref="F31:G31"/>
    <mergeCell ref="I31:J31"/>
    <mergeCell ref="F32:G32"/>
    <mergeCell ref="I32:J32"/>
    <mergeCell ref="F33:G33"/>
    <mergeCell ref="I33:J33"/>
    <mergeCell ref="F25:G25"/>
    <mergeCell ref="F26:G26"/>
    <mergeCell ref="I26:J26"/>
    <mergeCell ref="F27:G27"/>
    <mergeCell ref="I27:J27"/>
    <mergeCell ref="F28:G28"/>
    <mergeCell ref="F29:G29"/>
  </mergeCells>
  <hyperlinks>
    <hyperlink r:id="rId1" ref="U23"/>
    <hyperlink r:id="rId2" ref="Y23"/>
    <hyperlink r:id="rId3" ref="U25"/>
    <hyperlink r:id="rId4" ref="U29"/>
    <hyperlink r:id="rId5" ref="Y30"/>
    <hyperlink r:id="rId6" ref="U31"/>
    <hyperlink display="TEAM LIST &gt;&gt;&gt;" location="'Team List'!A1" ref="Y32"/>
    <hyperlink display="STAFF LIST &gt;&gt;&gt;" location="'Staff List'!A1" ref="U33"/>
    <hyperlink display="FREE AGENT LIST &gt;&gt;&gt;" location="'Free Agents'!A1" ref="Y34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74E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3" width="1.25"/>
    <col customWidth="1" min="4" max="5" width="3.25"/>
    <col customWidth="1" min="6" max="6" width="1.38"/>
    <col customWidth="1" min="7" max="9" width="0.75"/>
    <col customWidth="1" min="10" max="10" width="6.38"/>
    <col customWidth="1" min="12" max="12" width="12.63"/>
    <col customWidth="1" min="13" max="13" width="31.38"/>
    <col customWidth="1" min="14" max="15" width="3.88"/>
    <col customWidth="1" min="16" max="16" width="31.38"/>
    <col customWidth="1" min="17" max="20" width="18.88"/>
    <col customWidth="1" min="21" max="21" width="25.13"/>
    <col customWidth="1" min="22" max="25" width="1.25"/>
  </cols>
  <sheetData>
    <row r="1" ht="6.7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</row>
    <row r="2" ht="6.75" customHeight="1">
      <c r="A2" s="92"/>
      <c r="B2" s="92"/>
      <c r="C2" s="92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2"/>
    </row>
    <row r="3" ht="6.75" customHeight="1">
      <c r="A3" s="92"/>
      <c r="B3" s="92"/>
      <c r="C3" s="94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2"/>
    </row>
    <row r="4" ht="6.75" customHeight="1">
      <c r="A4" s="92"/>
      <c r="B4" s="94"/>
      <c r="C4" s="94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2"/>
    </row>
    <row r="5" ht="7.5" customHeight="1">
      <c r="A5" s="95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6"/>
      <c r="T5" s="96"/>
      <c r="U5" s="96"/>
      <c r="V5" s="93"/>
      <c r="W5" s="93"/>
      <c r="X5" s="93"/>
      <c r="Y5" s="95"/>
    </row>
    <row r="6" ht="30.0" customHeight="1">
      <c r="A6" s="95"/>
      <c r="B6" s="93"/>
      <c r="C6" s="93"/>
      <c r="D6" s="96"/>
      <c r="E6" s="96"/>
      <c r="F6" s="96"/>
      <c r="G6" s="96"/>
      <c r="H6" s="96"/>
      <c r="I6" s="96"/>
      <c r="J6" s="96"/>
      <c r="K6" s="96"/>
      <c r="L6" s="96"/>
      <c r="M6" s="97" t="s">
        <v>33</v>
      </c>
      <c r="N6" s="98"/>
      <c r="O6" s="98"/>
      <c r="P6" s="99"/>
      <c r="Q6" s="96"/>
      <c r="R6" s="96"/>
      <c r="S6" s="100" t="s">
        <v>34</v>
      </c>
      <c r="T6" s="101" t="s">
        <v>35</v>
      </c>
      <c r="U6" s="102" t="s">
        <v>36</v>
      </c>
      <c r="V6" s="96"/>
      <c r="W6" s="96"/>
      <c r="X6" s="93"/>
      <c r="Y6" s="95"/>
    </row>
    <row r="7" ht="12.0" customHeight="1">
      <c r="A7" s="95"/>
      <c r="B7" s="93"/>
      <c r="C7" s="93"/>
      <c r="D7" s="96"/>
      <c r="E7" s="96"/>
      <c r="F7" s="96"/>
      <c r="G7" s="96"/>
      <c r="H7" s="96"/>
      <c r="I7" s="96"/>
      <c r="J7" s="96"/>
      <c r="K7" s="96"/>
      <c r="L7" s="96"/>
      <c r="M7" s="103"/>
      <c r="N7" s="103"/>
      <c r="O7" s="103"/>
      <c r="P7" s="96"/>
      <c r="Q7" s="96"/>
      <c r="R7" s="96"/>
      <c r="S7" s="96"/>
      <c r="T7" s="96"/>
      <c r="U7" s="96"/>
      <c r="V7" s="96"/>
      <c r="W7" s="96"/>
      <c r="X7" s="93"/>
      <c r="Y7" s="95"/>
    </row>
    <row r="8" ht="7.5" customHeight="1">
      <c r="A8" s="95"/>
      <c r="B8" s="93"/>
      <c r="C8" s="93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3"/>
      <c r="Y8" s="95"/>
    </row>
    <row r="9" ht="3.75" customHeight="1">
      <c r="A9" s="95"/>
      <c r="B9" s="93"/>
      <c r="C9" s="104" t="s">
        <v>0</v>
      </c>
      <c r="D9" s="104" t="s">
        <v>0</v>
      </c>
      <c r="E9" s="104" t="s">
        <v>0</v>
      </c>
      <c r="F9" s="96"/>
      <c r="G9" s="96"/>
      <c r="H9" s="96"/>
      <c r="I9" s="96"/>
      <c r="J9" s="104" t="s">
        <v>0</v>
      </c>
      <c r="K9" s="104" t="s">
        <v>0</v>
      </c>
      <c r="L9" s="104" t="s">
        <v>0</v>
      </c>
      <c r="M9" s="104" t="s">
        <v>0</v>
      </c>
      <c r="N9" s="104" t="s">
        <v>0</v>
      </c>
      <c r="O9" s="104" t="s">
        <v>0</v>
      </c>
      <c r="P9" s="104" t="s">
        <v>0</v>
      </c>
      <c r="Q9" s="104" t="s">
        <v>0</v>
      </c>
      <c r="R9" s="104" t="s">
        <v>0</v>
      </c>
      <c r="S9" s="104" t="s">
        <v>0</v>
      </c>
      <c r="T9" s="104" t="s">
        <v>0</v>
      </c>
      <c r="U9" s="104" t="s">
        <v>0</v>
      </c>
      <c r="V9" s="96"/>
      <c r="W9" s="96"/>
      <c r="X9" s="93"/>
      <c r="Y9" s="95"/>
    </row>
    <row r="10" ht="22.5" customHeight="1">
      <c r="A10" s="95"/>
      <c r="B10" s="93"/>
      <c r="C10" s="105" t="s">
        <v>37</v>
      </c>
      <c r="D10" s="98"/>
      <c r="E10" s="99"/>
      <c r="F10" s="96"/>
      <c r="G10" s="96"/>
      <c r="H10" s="96"/>
      <c r="I10" s="96"/>
      <c r="J10" s="106" t="s">
        <v>38</v>
      </c>
      <c r="K10" s="106" t="s">
        <v>39</v>
      </c>
      <c r="L10" s="106" t="s">
        <v>40</v>
      </c>
      <c r="M10" s="106" t="s">
        <v>41</v>
      </c>
      <c r="N10" s="107" t="s">
        <v>42</v>
      </c>
      <c r="O10" s="108"/>
      <c r="P10" s="106" t="s">
        <v>43</v>
      </c>
      <c r="Q10" s="106" t="s">
        <v>44</v>
      </c>
      <c r="R10" s="106" t="s">
        <v>45</v>
      </c>
      <c r="S10" s="106" t="s">
        <v>46</v>
      </c>
      <c r="T10" s="106" t="s">
        <v>47</v>
      </c>
      <c r="U10" s="106" t="s">
        <v>48</v>
      </c>
      <c r="V10" s="96"/>
      <c r="W10" s="96"/>
      <c r="X10" s="93"/>
      <c r="Y10" s="95"/>
    </row>
    <row r="11" ht="3.75" customHeight="1">
      <c r="A11" s="95"/>
      <c r="B11" s="93"/>
      <c r="C11" s="104" t="s">
        <v>0</v>
      </c>
      <c r="D11" s="104" t="s">
        <v>0</v>
      </c>
      <c r="E11" s="104" t="s">
        <v>0</v>
      </c>
      <c r="F11" s="96"/>
      <c r="G11" s="96"/>
      <c r="H11" s="96"/>
      <c r="I11" s="96"/>
      <c r="J11" s="104" t="s">
        <v>0</v>
      </c>
      <c r="K11" s="104" t="s">
        <v>0</v>
      </c>
      <c r="L11" s="104" t="s">
        <v>0</v>
      </c>
      <c r="M11" s="104" t="s">
        <v>0</v>
      </c>
      <c r="N11" s="104" t="s">
        <v>0</v>
      </c>
      <c r="O11" s="104" t="s">
        <v>0</v>
      </c>
      <c r="P11" s="104" t="s">
        <v>0</v>
      </c>
      <c r="Q11" s="104" t="s">
        <v>0</v>
      </c>
      <c r="R11" s="104" t="s">
        <v>0</v>
      </c>
      <c r="S11" s="104" t="s">
        <v>0</v>
      </c>
      <c r="T11" s="104" t="s">
        <v>0</v>
      </c>
      <c r="U11" s="104" t="s">
        <v>0</v>
      </c>
      <c r="V11" s="96"/>
      <c r="W11" s="96"/>
      <c r="X11" s="93"/>
      <c r="Y11" s="95"/>
    </row>
    <row r="12" ht="7.5" customHeight="1">
      <c r="A12" s="95"/>
      <c r="B12" s="93"/>
      <c r="C12" s="93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3"/>
      <c r="Y12" s="95"/>
    </row>
    <row r="13" ht="18.75" customHeight="1">
      <c r="A13" s="95"/>
      <c r="B13" s="93"/>
      <c r="C13" s="93"/>
      <c r="D13" s="109"/>
      <c r="E13" s="109"/>
      <c r="F13" s="110"/>
      <c r="G13" s="111" t="s">
        <v>0</v>
      </c>
      <c r="H13" s="96"/>
      <c r="I13" s="96"/>
      <c r="J13" s="112">
        <f>IFERROR(__xludf.DUMMYFUNCTION("IMPORTRANGE(""https://docs.google.com/spreadsheets/d/1furEKtJ5gEFQB_8CRy1iNCTi7QIoca2qGHOcFGl5QjU/edit#gid=1684621565"",""Schedule!D4:G98"") "),1.0)</f>
        <v>1</v>
      </c>
      <c r="K13" s="113">
        <f>IFERROR(__xludf.DUMMYFUNCTION("""COMPUTED_VALUE"""),45156.0)</f>
        <v>45156</v>
      </c>
      <c r="L13" s="114">
        <f>IFERROR(__xludf.DUMMYFUNCTION("""COMPUTED_VALUE"""),0.5833333333333334)</f>
        <v>0.5833333333</v>
      </c>
      <c r="M13" s="115" t="str">
        <f>IFERROR(__xludf.DUMMYFUNCTION("""COMPUTED_VALUE"""),"small wiener club")</f>
        <v>small wiener club</v>
      </c>
      <c r="N13" s="112" t="str">
        <f>IFERROR(__xludf.DUMMYFUNCTION("IMPORTRANGE(""https://docs.google.com/spreadsheets/d/1furEKtJ5gEFQB_8CRy1iNCTi7QIoca2qGHOcFGl5QjU/edit#gid=1684621565"",""Schedule!M4:M98"") "),"5")</f>
        <v>5</v>
      </c>
      <c r="O13" s="112" t="str">
        <f>IFERROR(__xludf.DUMMYFUNCTION("IMPORTRANGE(""https://docs.google.com/spreadsheets/d/1furEKtJ5gEFQB_8CRy1iNCTi7QIoca2qGHOcFGl5QjU/edit#gid=1684621565"",""Schedule!N4:N98"") "),"0")</f>
        <v>0</v>
      </c>
      <c r="P13" s="112" t="str">
        <f>IFERROR(__xludf.DUMMYFUNCTION("IMPORTRANGE(""https://docs.google.com/spreadsheets/d/1furEKtJ5gEFQB_8CRy1iNCTi7QIoca2qGHOcFGl5QjU/edit#gid=1684621565"",""Schedule!H4:L98"") "),"lowrank is my love")</f>
        <v>lowrank is my love</v>
      </c>
      <c r="Q13" s="115" t="str">
        <f>IFERROR(__xludf.DUMMYFUNCTION("""COMPUTED_VALUE"""),"Emerald Ages")</f>
        <v>Emerald Ages</v>
      </c>
      <c r="R13" s="115"/>
      <c r="S13" s="115"/>
      <c r="T13" s="112"/>
      <c r="U13" s="116" t="str">
        <f>IFERROR(__xludf.DUMMYFUNCTION("IMPORTRANGE(""https://docs.google.com/spreadsheets/d/1furEKtJ5gEFQB_8CRy1iNCTi7QIoca2qGHOcFGl5QjU/edit#gid=1684621565"",""Schedule!O4:O98"") "),"https://osu.ppy.sh/community/matches/110051880")</f>
        <v>https://osu.ppy.sh/community/matches/110051880</v>
      </c>
      <c r="V13" s="96"/>
      <c r="W13" s="96"/>
      <c r="X13" s="93"/>
      <c r="Y13" s="95"/>
    </row>
    <row r="14" ht="18.75" customHeight="1">
      <c r="A14" s="95"/>
      <c r="B14" s="93"/>
      <c r="C14" s="93"/>
      <c r="D14" s="117" t="s">
        <v>49</v>
      </c>
      <c r="E14" s="118"/>
      <c r="F14" s="110"/>
      <c r="G14" s="111" t="s">
        <v>0</v>
      </c>
      <c r="H14" s="96"/>
      <c r="I14" s="96"/>
      <c r="J14" s="112">
        <f>IFERROR(__xludf.DUMMYFUNCTION("""COMPUTED_VALUE"""),2.0)</f>
        <v>2</v>
      </c>
      <c r="K14" s="113">
        <f>IFERROR(__xludf.DUMMYFUNCTION("""COMPUTED_VALUE"""),45157.0)</f>
        <v>45157</v>
      </c>
      <c r="L14" s="119">
        <f>IFERROR(__xludf.DUMMYFUNCTION("""COMPUTED_VALUE"""),0.5)</f>
        <v>0.5</v>
      </c>
      <c r="M14" s="115" t="str">
        <f>IFERROR(__xludf.DUMMYFUNCTION("""COMPUTED_VALUE"""),"middle-schooler wife")</f>
        <v>middle-schooler wife</v>
      </c>
      <c r="N14" s="112" t="str">
        <f>IFERROR(__xludf.DUMMYFUNCTION("""COMPUTED_VALUE"""),"5")</f>
        <v>5</v>
      </c>
      <c r="O14" s="112" t="str">
        <f>IFERROR(__xludf.DUMMYFUNCTION("""COMPUTED_VALUE"""),"1")</f>
        <v>1</v>
      </c>
      <c r="P14" s="112" t="str">
        <f>IFERROR(__xludf.DUMMYFUNCTION("""COMPUTED_VALUE"""),"PLDT ANO NAAA")</f>
        <v>PLDT ANO NAAA</v>
      </c>
      <c r="Q14" s="115" t="str">
        <f>IFERROR(__xludf.DUMMYFUNCTION("""COMPUTED_VALUE"""),"Gamillie")</f>
        <v>Gamillie</v>
      </c>
      <c r="R14" s="115"/>
      <c r="S14" s="115"/>
      <c r="T14" s="112"/>
      <c r="U14" s="116" t="str">
        <f>IFERROR(__xludf.DUMMYFUNCTION("""COMPUTED_VALUE"""),"https://osu.ppy.sh/mp/110066290")</f>
        <v>https://osu.ppy.sh/mp/110066290</v>
      </c>
      <c r="V14" s="96"/>
      <c r="W14" s="96"/>
      <c r="X14" s="93"/>
      <c r="Y14" s="95"/>
    </row>
    <row r="15" ht="18.75" customHeight="1">
      <c r="A15" s="95"/>
      <c r="B15" s="93"/>
      <c r="C15" s="93"/>
      <c r="D15" s="120"/>
      <c r="E15" s="121"/>
      <c r="F15" s="110"/>
      <c r="G15" s="111" t="s">
        <v>0</v>
      </c>
      <c r="H15" s="96"/>
      <c r="I15" s="96"/>
      <c r="J15" s="112">
        <f>IFERROR(__xludf.DUMMYFUNCTION("""COMPUTED_VALUE"""),3.0)</f>
        <v>3</v>
      </c>
      <c r="K15" s="113">
        <f>IFERROR(__xludf.DUMMYFUNCTION("""COMPUTED_VALUE"""),45158.0)</f>
        <v>45158</v>
      </c>
      <c r="L15" s="119">
        <f>IFERROR(__xludf.DUMMYFUNCTION("""COMPUTED_VALUE"""),0.875)</f>
        <v>0.875</v>
      </c>
      <c r="M15" s="115" t="str">
        <f>IFERROR(__xludf.DUMMYFUNCTION("""COMPUTED_VALUE"""),"The 3-star Threats")</f>
        <v>The 3-star Threats</v>
      </c>
      <c r="N15" s="112" t="str">
        <f>IFERROR(__xludf.DUMMYFUNCTION("""COMPUTED_VALUE"""),"5")</f>
        <v>5</v>
      </c>
      <c r="O15" s="112" t="str">
        <f>IFERROR(__xludf.DUMMYFUNCTION("""COMPUTED_VALUE"""),"1")</f>
        <v>1</v>
      </c>
      <c r="P15" s="112" t="str">
        <f>IFERROR(__xludf.DUMMYFUNCTION("""COMPUTED_VALUE"""),"The sleepers")</f>
        <v>The sleepers</v>
      </c>
      <c r="Q15" s="115" t="str">
        <f>IFERROR(__xludf.DUMMYFUNCTION("""COMPUTED_VALUE"""),"Mewo_")</f>
        <v>Mewo_</v>
      </c>
      <c r="R15" s="115"/>
      <c r="S15" s="115"/>
      <c r="T15" s="112"/>
      <c r="U15" s="116" t="str">
        <f>IFERROR(__xludf.DUMMYFUNCTION("""COMPUTED_VALUE"""),"https://osu.ppy.sh/mp/110090518")</f>
        <v>https://osu.ppy.sh/mp/110090518</v>
      </c>
      <c r="V15" s="96"/>
      <c r="W15" s="96"/>
      <c r="X15" s="93"/>
      <c r="Y15" s="95"/>
    </row>
    <row r="16" ht="18.75" customHeight="1">
      <c r="A16" s="95"/>
      <c r="B16" s="93"/>
      <c r="C16" s="93"/>
      <c r="D16" s="120"/>
      <c r="E16" s="121"/>
      <c r="F16" s="110"/>
      <c r="G16" s="111" t="s">
        <v>0</v>
      </c>
      <c r="H16" s="96"/>
      <c r="I16" s="96"/>
      <c r="J16" s="112">
        <f>IFERROR(__xludf.DUMMYFUNCTION("""COMPUTED_VALUE"""),4.0)</f>
        <v>4</v>
      </c>
      <c r="K16" s="113">
        <f>IFERROR(__xludf.DUMMYFUNCTION("""COMPUTED_VALUE"""),45156.0)</f>
        <v>45156</v>
      </c>
      <c r="L16" s="119">
        <f>IFERROR(__xludf.DUMMYFUNCTION("""COMPUTED_VALUE"""),0.5416666666666666)</f>
        <v>0.5416666667</v>
      </c>
      <c r="M16" s="115" t="str">
        <f>IFERROR(__xludf.DUMMYFUNCTION("""COMPUTED_VALUE"""),"placeholder teamname")</f>
        <v>placeholder teamname</v>
      </c>
      <c r="N16" s="112" t="str">
        <f>IFERROR(__xludf.DUMMYFUNCTION("""COMPUTED_VALUE"""),"5")</f>
        <v>5</v>
      </c>
      <c r="O16" s="112" t="str">
        <f>IFERROR(__xludf.DUMMYFUNCTION("""COMPUTED_VALUE"""),"1")</f>
        <v>1</v>
      </c>
      <c r="P16" s="112" t="str">
        <f>IFERROR(__xludf.DUMMYFUNCTION("""COMPUTED_VALUE"""),"Mewo My Waifu")</f>
        <v>Mewo My Waifu</v>
      </c>
      <c r="Q16" s="115" t="str">
        <f>IFERROR(__xludf.DUMMYFUNCTION("""COMPUTED_VALUE"""),"Emerald Ages")</f>
        <v>Emerald Ages</v>
      </c>
      <c r="R16" s="115"/>
      <c r="S16" s="115"/>
      <c r="T16" s="112"/>
      <c r="U16" s="116" t="str">
        <f>IFERROR(__xludf.DUMMYFUNCTION("""COMPUTED_VALUE"""),"https://osu.ppy.sh/community/matches/110051132")</f>
        <v>https://osu.ppy.sh/community/matches/110051132</v>
      </c>
      <c r="V16" s="96"/>
      <c r="W16" s="96"/>
      <c r="X16" s="93"/>
      <c r="Y16" s="95"/>
    </row>
    <row r="17" ht="18.75" customHeight="1">
      <c r="A17" s="95"/>
      <c r="B17" s="93"/>
      <c r="C17" s="93"/>
      <c r="D17" s="120"/>
      <c r="E17" s="121"/>
      <c r="F17" s="110"/>
      <c r="G17" s="111" t="s">
        <v>0</v>
      </c>
      <c r="H17" s="96"/>
      <c r="I17" s="96"/>
      <c r="J17" s="112">
        <f>IFERROR(__xludf.DUMMYFUNCTION("""COMPUTED_VALUE"""),5.0)</f>
        <v>5</v>
      </c>
      <c r="K17" s="113">
        <f>IFERROR(__xludf.DUMMYFUNCTION("""COMPUTED_VALUE"""),45158.0)</f>
        <v>45158</v>
      </c>
      <c r="L17" s="119">
        <f>IFERROR(__xludf.DUMMYFUNCTION("""COMPUTED_VALUE"""),0.75)</f>
        <v>0.75</v>
      </c>
      <c r="M17" s="115" t="str">
        <f>IFERROR(__xludf.DUMMYFUNCTION("""COMPUTED_VALUE"""),"Homossexual Students")</f>
        <v>Homossexual Students</v>
      </c>
      <c r="N17" s="112" t="str">
        <f>IFERROR(__xludf.DUMMYFUNCTION("""COMPUTED_VALUE"""),"5")</f>
        <v>5</v>
      </c>
      <c r="O17" s="112" t="str">
        <f>IFERROR(__xludf.DUMMYFUNCTION("""COMPUTED_VALUE"""),"2")</f>
        <v>2</v>
      </c>
      <c r="P17" s="112" t="str">
        <f>IFERROR(__xludf.DUMMYFUNCTION("""COMPUTED_VALUE"""),"Better HD Abusers")</f>
        <v>Better HD Abusers</v>
      </c>
      <c r="Q17" s="115" t="str">
        <f>IFERROR(__xludf.DUMMYFUNCTION("""COMPUTED_VALUE"""),"Mewo_")</f>
        <v>Mewo_</v>
      </c>
      <c r="R17" s="115"/>
      <c r="S17" s="115"/>
      <c r="T17" s="112"/>
      <c r="U17" s="116" t="str">
        <f>IFERROR(__xludf.DUMMYFUNCTION("""COMPUTED_VALUE"""),"https://osu.ppy.sh/community/matches/110087766")</f>
        <v>https://osu.ppy.sh/community/matches/110087766</v>
      </c>
      <c r="V17" s="96"/>
      <c r="W17" s="96"/>
      <c r="X17" s="93"/>
      <c r="Y17" s="95"/>
    </row>
    <row r="18" ht="18.75" customHeight="1">
      <c r="A18" s="95"/>
      <c r="B18" s="93"/>
      <c r="C18" s="93"/>
      <c r="D18" s="120"/>
      <c r="E18" s="121"/>
      <c r="F18" s="110"/>
      <c r="G18" s="111" t="s">
        <v>0</v>
      </c>
      <c r="H18" s="96"/>
      <c r="I18" s="96"/>
      <c r="J18" s="112">
        <f>IFERROR(__xludf.DUMMYFUNCTION("""COMPUTED_VALUE"""),6.0)</f>
        <v>6</v>
      </c>
      <c r="K18" s="113">
        <f>IFERROR(__xludf.DUMMYFUNCTION("""COMPUTED_VALUE"""),45158.0)</f>
        <v>45158</v>
      </c>
      <c r="L18" s="119">
        <f>IFERROR(__xludf.DUMMYFUNCTION("""COMPUTED_VALUE"""),0.041666666666666664)</f>
        <v>0.04166666667</v>
      </c>
      <c r="M18" s="115" t="str">
        <f>IFERROR(__xludf.DUMMYFUNCTION("""COMPUTED_VALUE"""),"cake")</f>
        <v>cake</v>
      </c>
      <c r="N18" s="112" t="str">
        <f>IFERROR(__xludf.DUMMYFUNCTION("""COMPUTED_VALUE"""),"5")</f>
        <v>5</v>
      </c>
      <c r="O18" s="112" t="str">
        <f>IFERROR(__xludf.DUMMYFUNCTION("""COMPUTED_VALUE"""),"1")</f>
        <v>1</v>
      </c>
      <c r="P18" s="112" t="str">
        <f>IFERROR(__xludf.DUMMYFUNCTION("""COMPUTED_VALUE"""),"equipe câo")</f>
        <v>equipe câo</v>
      </c>
      <c r="Q18" s="115" t="str">
        <f>IFERROR(__xludf.DUMMYFUNCTION("""COMPUTED_VALUE"""),"Emerald Ages")</f>
        <v>Emerald Ages</v>
      </c>
      <c r="R18" s="115"/>
      <c r="S18" s="115"/>
      <c r="T18" s="112"/>
      <c r="U18" s="116" t="str">
        <f>IFERROR(__xludf.DUMMYFUNCTION("""COMPUTED_VALUE"""),"https://osu.ppy.sh/community/matches/110076817")</f>
        <v>https://osu.ppy.sh/community/matches/110076817</v>
      </c>
      <c r="V18" s="96"/>
      <c r="W18" s="96"/>
      <c r="X18" s="93"/>
      <c r="Y18" s="95"/>
    </row>
    <row r="19" ht="18.75" customHeight="1">
      <c r="A19" s="95"/>
      <c r="B19" s="93"/>
      <c r="C19" s="93"/>
      <c r="D19" s="120"/>
      <c r="E19" s="121"/>
      <c r="F19" s="110"/>
      <c r="G19" s="111" t="s">
        <v>0</v>
      </c>
      <c r="H19" s="96"/>
      <c r="I19" s="96"/>
      <c r="J19" s="112">
        <f>IFERROR(__xludf.DUMMYFUNCTION("""COMPUTED_VALUE"""),7.0)</f>
        <v>7</v>
      </c>
      <c r="K19" s="113">
        <f>IFERROR(__xludf.DUMMYFUNCTION("""COMPUTED_VALUE"""),45157.0)</f>
        <v>45157</v>
      </c>
      <c r="L19" s="119">
        <f>IFERROR(__xludf.DUMMYFUNCTION("""COMPUTED_VALUE"""),0.5416666666666666)</f>
        <v>0.5416666667</v>
      </c>
      <c r="M19" s="115" t="str">
        <f>IFERROR(__xludf.DUMMYFUNCTION("""COMPUTED_VALUE"""),"female ass wrestling")</f>
        <v>female ass wrestling</v>
      </c>
      <c r="N19" s="112" t="str">
        <f>IFERROR(__xludf.DUMMYFUNCTION("""COMPUTED_VALUE"""),"5")</f>
        <v>5</v>
      </c>
      <c r="O19" s="112" t="str">
        <f>IFERROR(__xludf.DUMMYFUNCTION("""COMPUTED_VALUE"""),"1")</f>
        <v>1</v>
      </c>
      <c r="P19" s="112" t="str">
        <f>IFERROR(__xludf.DUMMYFUNCTION("""COMPUTED_VALUE"""),"BOCCHER")</f>
        <v>BOCCHER</v>
      </c>
      <c r="Q19" s="115" t="str">
        <f>IFERROR(__xludf.DUMMYFUNCTION("""COMPUTED_VALUE"""),"Pischok")</f>
        <v>Pischok</v>
      </c>
      <c r="R19" s="115"/>
      <c r="S19" s="115"/>
      <c r="T19" s="112"/>
      <c r="U19" s="116" t="str">
        <f>IFERROR(__xludf.DUMMYFUNCTION("""COMPUTED_VALUE"""),"https://osu.ppy.sh/mp/110067010")</f>
        <v>https://osu.ppy.sh/mp/110067010</v>
      </c>
      <c r="V19" s="96"/>
      <c r="W19" s="96"/>
      <c r="X19" s="93"/>
      <c r="Y19" s="95"/>
    </row>
    <row r="20" ht="18.75" customHeight="1">
      <c r="A20" s="95"/>
      <c r="B20" s="93"/>
      <c r="C20" s="93"/>
      <c r="D20" s="120"/>
      <c r="E20" s="121"/>
      <c r="F20" s="110"/>
      <c r="G20" s="111" t="s">
        <v>0</v>
      </c>
      <c r="H20" s="96"/>
      <c r="I20" s="96"/>
      <c r="J20" s="112">
        <f>IFERROR(__xludf.DUMMYFUNCTION("""COMPUTED_VALUE"""),8.0)</f>
        <v>8</v>
      </c>
      <c r="K20" s="113">
        <f>IFERROR(__xludf.DUMMYFUNCTION("""COMPUTED_VALUE"""),45157.0)</f>
        <v>45157</v>
      </c>
      <c r="L20" s="119">
        <f>IFERROR(__xludf.DUMMYFUNCTION("""COMPUTED_VALUE"""),0.5833333333333334)</f>
        <v>0.5833333333</v>
      </c>
      <c r="M20" s="115" t="str">
        <f>IFERROR(__xludf.DUMMYFUNCTION("""COMPUTED_VALUE"""),"Sightread Buff")</f>
        <v>Sightread Buff</v>
      </c>
      <c r="N20" s="112" t="str">
        <f>IFERROR(__xludf.DUMMYFUNCTION("""COMPUTED_VALUE"""),"2")</f>
        <v>2</v>
      </c>
      <c r="O20" s="112" t="str">
        <f>IFERROR(__xludf.DUMMYFUNCTION("""COMPUTED_VALUE"""),"5")</f>
        <v>5</v>
      </c>
      <c r="P20" s="112" t="str">
        <f>IFERROR(__xludf.DUMMYFUNCTION("""COMPUTED_VALUE"""),"VN+1")</f>
        <v>VN+1</v>
      </c>
      <c r="Q20" s="115" t="str">
        <f>IFERROR(__xludf.DUMMYFUNCTION("""COMPUTED_VALUE"""),"Gamillie")</f>
        <v>Gamillie</v>
      </c>
      <c r="R20" s="115"/>
      <c r="S20" s="115"/>
      <c r="T20" s="112"/>
      <c r="U20" s="116" t="str">
        <f>IFERROR(__xludf.DUMMYFUNCTION("""COMPUTED_VALUE"""),"https://osu.ppy.sh/mp/110067659")</f>
        <v>https://osu.ppy.sh/mp/110067659</v>
      </c>
      <c r="V20" s="96"/>
      <c r="W20" s="96"/>
      <c r="X20" s="93"/>
      <c r="Y20" s="95"/>
    </row>
    <row r="21" ht="18.75" customHeight="1">
      <c r="A21" s="95"/>
      <c r="B21" s="93"/>
      <c r="C21" s="93"/>
      <c r="D21" s="120"/>
      <c r="E21" s="121"/>
      <c r="F21" s="110"/>
      <c r="G21" s="111" t="s">
        <v>0</v>
      </c>
      <c r="H21" s="96"/>
      <c r="I21" s="96"/>
      <c r="J21" s="112">
        <f>IFERROR(__xludf.DUMMYFUNCTION("""COMPUTED_VALUE"""),9.0)</f>
        <v>9</v>
      </c>
      <c r="K21" s="113">
        <f>IFERROR(__xludf.DUMMYFUNCTION("""COMPUTED_VALUE"""),45158.0)</f>
        <v>45158</v>
      </c>
      <c r="L21" s="119">
        <f>IFERROR(__xludf.DUMMYFUNCTION("""COMPUTED_VALUE"""),0.125)</f>
        <v>0.125</v>
      </c>
      <c r="M21" s="115" t="str">
        <f>IFERROR(__xludf.DUMMYFUNCTION("""COMPUTED_VALUE"""),":MIPINGA:")</f>
        <v>:MIPINGA:</v>
      </c>
      <c r="N21" s="112" t="str">
        <f>IFERROR(__xludf.DUMMYFUNCTION("""COMPUTED_VALUE"""),"5")</f>
        <v>5</v>
      </c>
      <c r="O21" s="112" t="str">
        <f>IFERROR(__xludf.DUMMYFUNCTION("""COMPUTED_VALUE"""),"0")</f>
        <v>0</v>
      </c>
      <c r="P21" s="112" t="str">
        <f>IFERROR(__xludf.DUMMYFUNCTION("""COMPUTED_VALUE"""),"Beancurd")</f>
        <v>Beancurd</v>
      </c>
      <c r="Q21" s="115" t="str">
        <f>IFERROR(__xludf.DUMMYFUNCTION("""COMPUTED_VALUE"""),"play hd3")</f>
        <v>play hd3</v>
      </c>
      <c r="R21" s="115"/>
      <c r="S21" s="115"/>
      <c r="T21" s="112"/>
      <c r="U21" s="116" t="str">
        <f>IFERROR(__xludf.DUMMYFUNCTION("""COMPUTED_VALUE"""),"https://osu.ppy.sh/community/matches/110077688")</f>
        <v>https://osu.ppy.sh/community/matches/110077688</v>
      </c>
      <c r="V21" s="96"/>
      <c r="W21" s="96"/>
      <c r="X21" s="93"/>
      <c r="Y21" s="95"/>
    </row>
    <row r="22" ht="18.75" customHeight="1">
      <c r="A22" s="95"/>
      <c r="B22" s="93"/>
      <c r="C22" s="93"/>
      <c r="D22" s="120"/>
      <c r="E22" s="121"/>
      <c r="F22" s="110"/>
      <c r="G22" s="111" t="s">
        <v>0</v>
      </c>
      <c r="H22" s="96"/>
      <c r="I22" s="96"/>
      <c r="J22" s="112">
        <f>IFERROR(__xludf.DUMMYFUNCTION("""COMPUTED_VALUE"""),10.0)</f>
        <v>10</v>
      </c>
      <c r="K22" s="113">
        <f>IFERROR(__xludf.DUMMYFUNCTION("""COMPUTED_VALUE"""),45157.0)</f>
        <v>45157</v>
      </c>
      <c r="L22" s="119">
        <f>IFERROR(__xludf.DUMMYFUNCTION("""COMPUTED_VALUE"""),0.625)</f>
        <v>0.625</v>
      </c>
      <c r="M22" s="115" t="str">
        <f>IFERROR(__xludf.DUMMYFUNCTION("""COMPUTED_VALUE"""),"Dino Nuggies")</f>
        <v>Dino Nuggies</v>
      </c>
      <c r="N22" s="112" t="str">
        <f>IFERROR(__xludf.DUMMYFUNCTION("""COMPUTED_VALUE"""),"1")</f>
        <v>1</v>
      </c>
      <c r="O22" s="112" t="str">
        <f>IFERROR(__xludf.DUMMYFUNCTION("""COMPUTED_VALUE"""),"5")</f>
        <v>5</v>
      </c>
      <c r="P22" s="112" t="str">
        <f>IFERROR(__xludf.DUMMYFUNCTION("""COMPUTED_VALUE"""),"Chocomaid")</f>
        <v>Chocomaid</v>
      </c>
      <c r="Q22" s="115" t="str">
        <f>IFERROR(__xludf.DUMMYFUNCTION("""COMPUTED_VALUE"""),"Fuwub")</f>
        <v>Fuwub</v>
      </c>
      <c r="R22" s="115"/>
      <c r="S22" s="115"/>
      <c r="T22" s="112"/>
      <c r="U22" s="116" t="str">
        <f>IFERROR(__xludf.DUMMYFUNCTION("""COMPUTED_VALUE"""),"https://osu.ppy.sh/community/matches/110068687")</f>
        <v>https://osu.ppy.sh/community/matches/110068687</v>
      </c>
      <c r="V22" s="96"/>
      <c r="W22" s="96"/>
      <c r="X22" s="93"/>
      <c r="Y22" s="95"/>
    </row>
    <row r="23" ht="18.75" customHeight="1">
      <c r="A23" s="95"/>
      <c r="B23" s="93"/>
      <c r="C23" s="93"/>
      <c r="D23" s="120"/>
      <c r="E23" s="121"/>
      <c r="F23" s="110"/>
      <c r="G23" s="111" t="s">
        <v>0</v>
      </c>
      <c r="H23" s="96"/>
      <c r="I23" s="96"/>
      <c r="J23" s="112">
        <f>IFERROR(__xludf.DUMMYFUNCTION("""COMPUTED_VALUE"""),11.0)</f>
        <v>11</v>
      </c>
      <c r="K23" s="113">
        <f>IFERROR(__xludf.DUMMYFUNCTION("""COMPUTED_VALUE"""),45158.0)</f>
        <v>45158</v>
      </c>
      <c r="L23" s="119">
        <f>IFERROR(__xludf.DUMMYFUNCTION("""COMPUTED_VALUE"""),0.625)</f>
        <v>0.625</v>
      </c>
      <c r="M23" s="115" t="str">
        <f>IFERROR(__xludf.DUMMYFUNCTION("""COMPUTED_VALUE"""),"The Mat Munchers")</f>
        <v>The Mat Munchers</v>
      </c>
      <c r="N23" s="112" t="str">
        <f>IFERROR(__xludf.DUMMYFUNCTION("""COMPUTED_VALUE"""),"0")</f>
        <v>0</v>
      </c>
      <c r="O23" s="112" t="str">
        <f>IFERROR(__xludf.DUMMYFUNCTION("""COMPUTED_VALUE"""),"5")</f>
        <v>5</v>
      </c>
      <c r="P23" s="112" t="str">
        <f>IFERROR(__xludf.DUMMYFUNCTION("""COMPUTED_VALUE"""),"Team name pending xd")</f>
        <v>Team name pending xd</v>
      </c>
      <c r="Q23" s="115" t="str">
        <f>IFERROR(__xludf.DUMMYFUNCTION("""COMPUTED_VALUE"""),"Emerald Ages")</f>
        <v>Emerald Ages</v>
      </c>
      <c r="R23" s="115"/>
      <c r="S23" s="115"/>
      <c r="T23" s="112"/>
      <c r="U23" s="116" t="str">
        <f>IFERROR(__xludf.DUMMYFUNCTION("""COMPUTED_VALUE"""),"https://osu.ppy.sh/community/matches/110085247")</f>
        <v>https://osu.ppy.sh/community/matches/110085247</v>
      </c>
      <c r="V23" s="96"/>
      <c r="W23" s="96"/>
      <c r="X23" s="93"/>
      <c r="Y23" s="95"/>
    </row>
    <row r="24" ht="18.75" customHeight="1">
      <c r="A24" s="95"/>
      <c r="B24" s="93"/>
      <c r="C24" s="93"/>
      <c r="D24" s="120"/>
      <c r="E24" s="121"/>
      <c r="F24" s="110"/>
      <c r="G24" s="111" t="s">
        <v>0</v>
      </c>
      <c r="H24" s="96"/>
      <c r="I24" s="96"/>
      <c r="J24" s="112">
        <f>IFERROR(__xludf.DUMMYFUNCTION("""COMPUTED_VALUE"""),12.0)</f>
        <v>12</v>
      </c>
      <c r="K24" s="113">
        <f>IFERROR(__xludf.DUMMYFUNCTION("""COMPUTED_VALUE"""),45156.0)</f>
        <v>45156</v>
      </c>
      <c r="L24" s="119">
        <f>IFERROR(__xludf.DUMMYFUNCTION("""COMPUTED_VALUE"""),0.5833333333333334)</f>
        <v>0.5833333333</v>
      </c>
      <c r="M24" s="115" t="str">
        <f>IFERROR(__xludf.DUMMYFUNCTION("""COMPUTED_VALUE"""),"Ghost the Angel")</f>
        <v>Ghost the Angel</v>
      </c>
      <c r="N24" s="112" t="str">
        <f>IFERROR(__xludf.DUMMYFUNCTION("""COMPUTED_VALUE"""),"5")</f>
        <v>5</v>
      </c>
      <c r="O24" s="112" t="str">
        <f>IFERROR(__xludf.DUMMYFUNCTION("""COMPUTED_VALUE"""),"3")</f>
        <v>3</v>
      </c>
      <c r="P24" s="112" t="str">
        <f>IFERROR(__xludf.DUMMYFUNCTION("""COMPUTED_VALUE"""),"PES E9L9")</f>
        <v>PES E9L9</v>
      </c>
      <c r="Q24" s="115" t="str">
        <f>IFERROR(__xludf.DUMMYFUNCTION("""COMPUTED_VALUE"""),"Emerald Ages")</f>
        <v>Emerald Ages</v>
      </c>
      <c r="R24" s="115"/>
      <c r="S24" s="115"/>
      <c r="T24" s="112"/>
      <c r="U24" s="116" t="str">
        <f>IFERROR(__xludf.DUMMYFUNCTION("""COMPUTED_VALUE"""),"https://osu.ppy.sh/community/matches/110051882")</f>
        <v>https://osu.ppy.sh/community/matches/110051882</v>
      </c>
      <c r="V24" s="96"/>
      <c r="W24" s="96"/>
      <c r="X24" s="93"/>
      <c r="Y24" s="95"/>
    </row>
    <row r="25" ht="18.75" customHeight="1">
      <c r="A25" s="95"/>
      <c r="B25" s="93"/>
      <c r="C25" s="93"/>
      <c r="D25" s="122"/>
      <c r="E25" s="123"/>
      <c r="F25" s="110"/>
      <c r="G25" s="111" t="s">
        <v>0</v>
      </c>
      <c r="H25" s="96"/>
      <c r="I25" s="96"/>
      <c r="J25" s="112">
        <f>IFERROR(__xludf.DUMMYFUNCTION("""COMPUTED_VALUE"""),13.0)</f>
        <v>13</v>
      </c>
      <c r="K25" s="113">
        <f>IFERROR(__xludf.DUMMYFUNCTION("""COMPUTED_VALUE"""),45158.0)</f>
        <v>45158</v>
      </c>
      <c r="L25" s="119">
        <f>IFERROR(__xludf.DUMMYFUNCTION("""COMPUTED_VALUE"""),0.08333333333333333)</f>
        <v>0.08333333333</v>
      </c>
      <c r="M25" s="115" t="str">
        <f>IFERROR(__xludf.DUMMYFUNCTION("""COMPUTED_VALUE"""),"foxy1919191919's basement")</f>
        <v>foxy1919191919's basement</v>
      </c>
      <c r="N25" s="112" t="str">
        <f>IFERROR(__xludf.DUMMYFUNCTION("""COMPUTED_VALUE"""),"5")</f>
        <v>5</v>
      </c>
      <c r="O25" s="112" t="str">
        <f>IFERROR(__xludf.DUMMYFUNCTION("""COMPUTED_VALUE"""),"1")</f>
        <v>1</v>
      </c>
      <c r="P25" s="112" t="str">
        <f>IFERROR(__xludf.DUMMYFUNCTION("""COMPUTED_VALUE"""),"Here Forever")</f>
        <v>Here Forever</v>
      </c>
      <c r="Q25" s="115" t="str">
        <f>IFERROR(__xludf.DUMMYFUNCTION("""COMPUTED_VALUE"""),"BlooMertz")</f>
        <v>BlooMertz</v>
      </c>
      <c r="R25" s="115"/>
      <c r="S25" s="115"/>
      <c r="T25" s="112"/>
      <c r="U25" s="116" t="str">
        <f>IFERROR(__xludf.DUMMYFUNCTION("""COMPUTED_VALUE"""),"https://osu.ppy.sh/community/matches/110077387")</f>
        <v>https://osu.ppy.sh/community/matches/110077387</v>
      </c>
      <c r="V25" s="96"/>
      <c r="W25" s="96"/>
      <c r="X25" s="93"/>
      <c r="Y25" s="95"/>
    </row>
    <row r="26" ht="18.75" customHeight="1">
      <c r="A26" s="95"/>
      <c r="B26" s="93"/>
      <c r="C26" s="93"/>
      <c r="D26" s="124"/>
      <c r="E26" s="124"/>
      <c r="F26" s="110"/>
      <c r="G26" s="111" t="s">
        <v>0</v>
      </c>
      <c r="H26" s="96"/>
      <c r="I26" s="96"/>
      <c r="J26" s="112">
        <f>IFERROR(__xludf.DUMMYFUNCTION("""COMPUTED_VALUE"""),14.0)</f>
        <v>14</v>
      </c>
      <c r="K26" s="113">
        <f>IFERROR(__xludf.DUMMYFUNCTION("""COMPUTED_VALUE"""),45157.0)</f>
        <v>45157</v>
      </c>
      <c r="L26" s="119">
        <f>IFERROR(__xludf.DUMMYFUNCTION("""COMPUTED_VALUE"""),0.5833333333333334)</f>
        <v>0.5833333333</v>
      </c>
      <c r="M26" s="115" t="str">
        <f>IFERROR(__xludf.DUMMYFUNCTION("""COMPUTED_VALUE"""),"match in 15")</f>
        <v>match in 15</v>
      </c>
      <c r="N26" s="112" t="str">
        <f>IFERROR(__xludf.DUMMYFUNCTION("""COMPUTED_VALUE"""),"5")</f>
        <v>5</v>
      </c>
      <c r="O26" s="112" t="str">
        <f>IFERROR(__xludf.DUMMYFUNCTION("""COMPUTED_VALUE"""),"2")</f>
        <v>2</v>
      </c>
      <c r="P26" s="112" t="str">
        <f>IFERROR(__xludf.DUMMYFUNCTION("""COMPUTED_VALUE"""),"3000CombinedHours")</f>
        <v>3000CombinedHours</v>
      </c>
      <c r="Q26" s="115" t="str">
        <f>IFERROR(__xludf.DUMMYFUNCTION("""COMPUTED_VALUE"""),"Gamillie")</f>
        <v>Gamillie</v>
      </c>
      <c r="R26" s="115"/>
      <c r="S26" s="115"/>
      <c r="T26" s="112"/>
      <c r="U26" s="116" t="str">
        <f>IFERROR(__xludf.DUMMYFUNCTION("""COMPUTED_VALUE"""),"https://osu.ppy.sh/community/matches/110067582")</f>
        <v>https://osu.ppy.sh/community/matches/110067582</v>
      </c>
      <c r="V26" s="96"/>
      <c r="W26" s="96"/>
      <c r="X26" s="93"/>
      <c r="Y26" s="95"/>
    </row>
    <row r="27" ht="18.75" customHeight="1">
      <c r="A27" s="95"/>
      <c r="B27" s="93"/>
      <c r="C27" s="93"/>
      <c r="D27" s="124"/>
      <c r="E27" s="124"/>
      <c r="F27" s="110"/>
      <c r="G27" s="111" t="s">
        <v>0</v>
      </c>
      <c r="H27" s="96"/>
      <c r="I27" s="96"/>
      <c r="J27" s="112">
        <f>IFERROR(__xludf.DUMMYFUNCTION("""COMPUTED_VALUE"""),15.0)</f>
        <v>15</v>
      </c>
      <c r="K27" s="113">
        <f>IFERROR(__xludf.DUMMYFUNCTION("""COMPUTED_VALUE"""),45157.0)</f>
        <v>45157</v>
      </c>
      <c r="L27" s="119">
        <f>IFERROR(__xludf.DUMMYFUNCTION("""COMPUTED_VALUE"""),0.25)</f>
        <v>0.25</v>
      </c>
      <c r="M27" s="115" t="str">
        <f>IFERROR(__xludf.DUMMYFUNCTION("""COMPUTED_VALUE"""),"Tom and Jerry")</f>
        <v>Tom and Jerry</v>
      </c>
      <c r="N27" s="112" t="str">
        <f>IFERROR(__xludf.DUMMYFUNCTION("""COMPUTED_VALUE"""),"5")</f>
        <v>5</v>
      </c>
      <c r="O27" s="112" t="str">
        <f>IFERROR(__xludf.DUMMYFUNCTION("""COMPUTED_VALUE"""),"4")</f>
        <v>4</v>
      </c>
      <c r="P27" s="112" t="str">
        <f>IFERROR(__xludf.DUMMYFUNCTION("""COMPUTED_VALUE"""),"Lovers + 3rd wheel")</f>
        <v>Lovers + 3rd wheel</v>
      </c>
      <c r="Q27" s="115" t="str">
        <f>IFERROR(__xludf.DUMMYFUNCTION("""COMPUTED_VALUE"""),"Mewo_")</f>
        <v>Mewo_</v>
      </c>
      <c r="R27" s="115"/>
      <c r="S27" s="115"/>
      <c r="T27" s="112"/>
      <c r="U27" s="116" t="str">
        <f>IFERROR(__xludf.DUMMYFUNCTION("""COMPUTED_VALUE"""),"https://osu.ppy.sh/community/matches/110063252")</f>
        <v>https://osu.ppy.sh/community/matches/110063252</v>
      </c>
      <c r="V27" s="96"/>
      <c r="W27" s="96"/>
      <c r="X27" s="93"/>
      <c r="Y27" s="95"/>
    </row>
    <row r="28" ht="18.75" customHeight="1">
      <c r="A28" s="95"/>
      <c r="B28" s="93"/>
      <c r="C28" s="93"/>
      <c r="D28" s="125"/>
      <c r="E28" s="126"/>
      <c r="F28" s="110"/>
      <c r="G28" s="126"/>
      <c r="H28" s="96"/>
      <c r="I28" s="96"/>
      <c r="J28" s="127">
        <f>IFERROR(__xludf.DUMMYFUNCTION("""COMPUTED_VALUE"""),16.0)</f>
        <v>16</v>
      </c>
      <c r="K28" s="128">
        <f>IFERROR(__xludf.DUMMYFUNCTION("""COMPUTED_VALUE"""),45158.0)</f>
        <v>45158</v>
      </c>
      <c r="L28" s="129">
        <f>IFERROR(__xludf.DUMMYFUNCTION("""COMPUTED_VALUE"""),0.8125)</f>
        <v>0.8125</v>
      </c>
      <c r="M28" s="130" t="str">
        <f>IFERROR(__xludf.DUMMYFUNCTION("""COMPUTED_VALUE"""),"Faz o L")</f>
        <v>Faz o L</v>
      </c>
      <c r="N28" s="127" t="str">
        <f>IFERROR(__xludf.DUMMYFUNCTION("""COMPUTED_VALUE"""),"3")</f>
        <v>3</v>
      </c>
      <c r="O28" s="127" t="str">
        <f>IFERROR(__xludf.DUMMYFUNCTION("""COMPUTED_VALUE"""),"5")</f>
        <v>5</v>
      </c>
      <c r="P28" s="127" t="str">
        <f>IFERROR(__xludf.DUMMYFUNCTION("""COMPUTED_VALUE"""),"Kittens")</f>
        <v>Kittens</v>
      </c>
      <c r="Q28" s="130" t="str">
        <f>IFERROR(__xludf.DUMMYFUNCTION("""COMPUTED_VALUE"""),"-PeKoRa-")</f>
        <v>-PeKoRa-</v>
      </c>
      <c r="R28" s="130"/>
      <c r="S28" s="130"/>
      <c r="T28" s="127"/>
      <c r="U28" s="131" t="str">
        <f>IFERROR(__xludf.DUMMYFUNCTION("""COMPUTED_VALUE"""),"https://osu.ppy.sh/community/matches/110089262")</f>
        <v>https://osu.ppy.sh/community/matches/110089262</v>
      </c>
      <c r="V28" s="96"/>
      <c r="W28" s="96"/>
      <c r="X28" s="93"/>
      <c r="Y28" s="95"/>
    </row>
    <row r="29" ht="18.75" customHeight="1" outlineLevel="1">
      <c r="A29" s="95"/>
      <c r="B29" s="93"/>
      <c r="C29" s="93"/>
      <c r="D29" s="125"/>
      <c r="E29" s="132"/>
      <c r="F29" s="110"/>
      <c r="G29" s="133" t="s">
        <v>0</v>
      </c>
      <c r="H29" s="96"/>
      <c r="I29" s="96"/>
      <c r="J29" s="112">
        <f>IFERROR(__xludf.DUMMYFUNCTION("""COMPUTED_VALUE"""),17.0)</f>
        <v>17</v>
      </c>
      <c r="K29" s="113">
        <f>IFERROR(__xludf.DUMMYFUNCTION("""COMPUTED_VALUE"""),45166.0)</f>
        <v>45166</v>
      </c>
      <c r="L29" s="119">
        <f>IFERROR(__xludf.DUMMYFUNCTION("""COMPUTED_VALUE"""),0.5416666666666666)</f>
        <v>0.5416666667</v>
      </c>
      <c r="M29" s="115" t="str">
        <f>IFERROR(__xludf.DUMMYFUNCTION("""COMPUTED_VALUE"""),"lowrank is my love")</f>
        <v>lowrank is my love</v>
      </c>
      <c r="N29" s="112" t="str">
        <f>IFERROR(__xludf.DUMMYFUNCTION("""COMPUTED_VALUE"""),"1")</f>
        <v>1</v>
      </c>
      <c r="O29" s="112" t="str">
        <f>IFERROR(__xludf.DUMMYFUNCTION("""COMPUTED_VALUE"""),"5")</f>
        <v>5</v>
      </c>
      <c r="P29" s="112" t="str">
        <f>IFERROR(__xludf.DUMMYFUNCTION("""COMPUTED_VALUE"""),"PLDT ANO NAAA")</f>
        <v>PLDT ANO NAAA</v>
      </c>
      <c r="Q29" s="115" t="str">
        <f>IFERROR(__xludf.DUMMYFUNCTION("""COMPUTED_VALUE"""),"Azasapag")</f>
        <v>Azasapag</v>
      </c>
      <c r="R29" s="115"/>
      <c r="S29" s="115"/>
      <c r="T29" s="112"/>
      <c r="U29" s="134" t="str">
        <f>IFERROR(__xludf.DUMMYFUNCTION("""COMPUTED_VALUE"""),"https://osu.ppy.sh/community/matches/110206456")</f>
        <v>https://osu.ppy.sh/community/matches/110206456</v>
      </c>
      <c r="V29" s="96"/>
      <c r="W29" s="96"/>
      <c r="X29" s="93"/>
      <c r="Y29" s="95"/>
    </row>
    <row r="30" ht="18.75" customHeight="1" outlineLevel="1">
      <c r="A30" s="95"/>
      <c r="B30" s="93"/>
      <c r="C30" s="93"/>
      <c r="D30" s="135"/>
      <c r="E30" s="135"/>
      <c r="F30" s="110"/>
      <c r="G30" s="133" t="s">
        <v>0</v>
      </c>
      <c r="H30" s="96"/>
      <c r="I30" s="96"/>
      <c r="J30" s="112">
        <f>IFERROR(__xludf.DUMMYFUNCTION("""COMPUTED_VALUE"""),18.0)</f>
        <v>18</v>
      </c>
      <c r="K30" s="113">
        <f>IFERROR(__xludf.DUMMYFUNCTION("""COMPUTED_VALUE"""),45164.0)</f>
        <v>45164</v>
      </c>
      <c r="L30" s="119">
        <f>IFERROR(__xludf.DUMMYFUNCTION("""COMPUTED_VALUE"""),0.75)</f>
        <v>0.75</v>
      </c>
      <c r="M30" s="115" t="str">
        <f>IFERROR(__xludf.DUMMYFUNCTION("""COMPUTED_VALUE"""),"The sleepers")</f>
        <v>The sleepers</v>
      </c>
      <c r="N30" s="112" t="str">
        <f>IFERROR(__xludf.DUMMYFUNCTION("""COMPUTED_VALUE"""),"5")</f>
        <v>5</v>
      </c>
      <c r="O30" s="112" t="str">
        <f>IFERROR(__xludf.DUMMYFUNCTION("""COMPUTED_VALUE"""),"2")</f>
        <v>2</v>
      </c>
      <c r="P30" s="112" t="str">
        <f>IFERROR(__xludf.DUMMYFUNCTION("""COMPUTED_VALUE"""),"Mewo My Waifu")</f>
        <v>Mewo My Waifu</v>
      </c>
      <c r="Q30" s="115" t="str">
        <f>IFERROR(__xludf.DUMMYFUNCTION("""COMPUTED_VALUE"""),"play hd3")</f>
        <v>play hd3</v>
      </c>
      <c r="R30" s="115"/>
      <c r="S30" s="115"/>
      <c r="T30" s="112"/>
      <c r="U30" s="116" t="str">
        <f>IFERROR(__xludf.DUMMYFUNCTION("""COMPUTED_VALUE"""),"https://osu.ppy.sh/community/matches/110178185")</f>
        <v>https://osu.ppy.sh/community/matches/110178185</v>
      </c>
      <c r="V30" s="96"/>
      <c r="W30" s="96"/>
      <c r="X30" s="93"/>
      <c r="Y30" s="95"/>
    </row>
    <row r="31" ht="18.75" customHeight="1" outlineLevel="1">
      <c r="A31" s="95"/>
      <c r="B31" s="93"/>
      <c r="C31" s="93"/>
      <c r="D31" s="117" t="s">
        <v>50</v>
      </c>
      <c r="E31" s="118"/>
      <c r="F31" s="110"/>
      <c r="G31" s="133" t="s">
        <v>0</v>
      </c>
      <c r="H31" s="96"/>
      <c r="I31" s="96"/>
      <c r="J31" s="112">
        <f>IFERROR(__xludf.DUMMYFUNCTION("""COMPUTED_VALUE"""),19.0)</f>
        <v>19</v>
      </c>
      <c r="K31" s="113">
        <f>IFERROR(__xludf.DUMMYFUNCTION("""COMPUTED_VALUE"""),45165.0)</f>
        <v>45165</v>
      </c>
      <c r="L31" s="119">
        <f>IFERROR(__xludf.DUMMYFUNCTION("""COMPUTED_VALUE"""),0.5416666666666666)</f>
        <v>0.5416666667</v>
      </c>
      <c r="M31" s="115" t="str">
        <f>IFERROR(__xludf.DUMMYFUNCTION("""COMPUTED_VALUE"""),"Better HD Abusers")</f>
        <v>Better HD Abusers</v>
      </c>
      <c r="N31" s="112" t="str">
        <f>IFERROR(__xludf.DUMMYFUNCTION("""COMPUTED_VALUE"""),"0")</f>
        <v>0</v>
      </c>
      <c r="O31" s="112" t="str">
        <f>IFERROR(__xludf.DUMMYFUNCTION("""COMPUTED_VALUE"""),"5")</f>
        <v>5</v>
      </c>
      <c r="P31" s="112" t="str">
        <f>IFERROR(__xludf.DUMMYFUNCTION("""COMPUTED_VALUE"""),"equipe câo")</f>
        <v>equipe câo</v>
      </c>
      <c r="Q31" s="115" t="str">
        <f>IFERROR(__xludf.DUMMYFUNCTION("""COMPUTED_VALUE"""),"reforna")</f>
        <v>reforna</v>
      </c>
      <c r="R31" s="115"/>
      <c r="S31" s="115"/>
      <c r="T31" s="112"/>
      <c r="U31" s="116" t="str">
        <f>IFERROR(__xludf.DUMMYFUNCTION("""COMPUTED_VALUE"""),"https://osu.ppy.sh/community/matches/110190490")</f>
        <v>https://osu.ppy.sh/community/matches/110190490</v>
      </c>
      <c r="V31" s="96"/>
      <c r="W31" s="96"/>
      <c r="X31" s="93"/>
      <c r="Y31" s="95"/>
    </row>
    <row r="32" ht="18.75" customHeight="1" outlineLevel="1">
      <c r="A32" s="95"/>
      <c r="B32" s="93"/>
      <c r="C32" s="93"/>
      <c r="D32" s="120"/>
      <c r="E32" s="121"/>
      <c r="F32" s="110"/>
      <c r="G32" s="133" t="s">
        <v>0</v>
      </c>
      <c r="H32" s="96"/>
      <c r="I32" s="96"/>
      <c r="J32" s="112">
        <f>IFERROR(__xludf.DUMMYFUNCTION("""COMPUTED_VALUE"""),20.0)</f>
        <v>20</v>
      </c>
      <c r="K32" s="113">
        <f>IFERROR(__xludf.DUMMYFUNCTION("""COMPUTED_VALUE"""),45165.0)</f>
        <v>45165</v>
      </c>
      <c r="L32" s="119">
        <f>IFERROR(__xludf.DUMMYFUNCTION("""COMPUTED_VALUE"""),0.75)</f>
        <v>0.75</v>
      </c>
      <c r="M32" s="115" t="str">
        <f>IFERROR(__xludf.DUMMYFUNCTION("""COMPUTED_VALUE"""),"BOCCHER")</f>
        <v>BOCCHER</v>
      </c>
      <c r="N32" s="112" t="str">
        <f>IFERROR(__xludf.DUMMYFUNCTION("""COMPUTED_VALUE"""),"1")</f>
        <v>1</v>
      </c>
      <c r="O32" s="112" t="str">
        <f>IFERROR(__xludf.DUMMYFUNCTION("""COMPUTED_VALUE"""),"5")</f>
        <v>5</v>
      </c>
      <c r="P32" s="112" t="str">
        <f>IFERROR(__xludf.DUMMYFUNCTION("""COMPUTED_VALUE"""),"Sightread Buff")</f>
        <v>Sightread Buff</v>
      </c>
      <c r="Q32" s="115" t="str">
        <f>IFERROR(__xludf.DUMMYFUNCTION("""COMPUTED_VALUE"""),"Ninja Mejster")</f>
        <v>Ninja Mejster</v>
      </c>
      <c r="R32" s="115"/>
      <c r="S32" s="115"/>
      <c r="T32" s="112"/>
      <c r="U32" s="116" t="str">
        <f>IFERROR(__xludf.DUMMYFUNCTION("""COMPUTED_VALUE"""),"https://osu.ppy.sh/community/matches/110194908")</f>
        <v>https://osu.ppy.sh/community/matches/110194908</v>
      </c>
      <c r="V32" s="96"/>
      <c r="W32" s="96"/>
      <c r="X32" s="93"/>
      <c r="Y32" s="95"/>
    </row>
    <row r="33" ht="18.75" customHeight="1" outlineLevel="1">
      <c r="A33" s="95"/>
      <c r="B33" s="93"/>
      <c r="C33" s="93"/>
      <c r="D33" s="120"/>
      <c r="E33" s="121"/>
      <c r="F33" s="110"/>
      <c r="G33" s="133" t="s">
        <v>0</v>
      </c>
      <c r="H33" s="96"/>
      <c r="I33" s="96"/>
      <c r="J33" s="112">
        <f>IFERROR(__xludf.DUMMYFUNCTION("""COMPUTED_VALUE"""),21.0)</f>
        <v>21</v>
      </c>
      <c r="K33" s="113">
        <f>IFERROR(__xludf.DUMMYFUNCTION("""COMPUTED_VALUE"""),45164.0)</f>
        <v>45164</v>
      </c>
      <c r="L33" s="119">
        <f>IFERROR(__xludf.DUMMYFUNCTION("""COMPUTED_VALUE"""),0.625)</f>
        <v>0.625</v>
      </c>
      <c r="M33" s="115" t="str">
        <f>IFERROR(__xludf.DUMMYFUNCTION("""COMPUTED_VALUE"""),"Beancurd")</f>
        <v>Beancurd</v>
      </c>
      <c r="N33" s="112" t="str">
        <f>IFERROR(__xludf.DUMMYFUNCTION("""COMPUTED_VALUE"""),"2")</f>
        <v>2</v>
      </c>
      <c r="O33" s="112" t="str">
        <f>IFERROR(__xludf.DUMMYFUNCTION("""COMPUTED_VALUE"""),"5")</f>
        <v>5</v>
      </c>
      <c r="P33" s="112" t="str">
        <f>IFERROR(__xludf.DUMMYFUNCTION("""COMPUTED_VALUE"""),"Dino Nuggies")</f>
        <v>Dino Nuggies</v>
      </c>
      <c r="Q33" s="115" t="str">
        <f>IFERROR(__xludf.DUMMYFUNCTION("""COMPUTED_VALUE"""),"reforna")</f>
        <v>reforna</v>
      </c>
      <c r="R33" s="115"/>
      <c r="S33" s="115"/>
      <c r="T33" s="112"/>
      <c r="U33" s="116" t="str">
        <f>IFERROR(__xludf.DUMMYFUNCTION("""COMPUTED_VALUE"""),"https://osu.ppy.sh/community/matches/110175433")</f>
        <v>https://osu.ppy.sh/community/matches/110175433</v>
      </c>
      <c r="V33" s="96"/>
      <c r="W33" s="96"/>
      <c r="X33" s="93"/>
      <c r="Y33" s="95"/>
    </row>
    <row r="34" ht="18.75" customHeight="1" outlineLevel="1">
      <c r="A34" s="95"/>
      <c r="B34" s="93"/>
      <c r="C34" s="93"/>
      <c r="D34" s="120"/>
      <c r="E34" s="121"/>
      <c r="F34" s="110"/>
      <c r="G34" s="133" t="s">
        <v>0</v>
      </c>
      <c r="H34" s="96"/>
      <c r="I34" s="96"/>
      <c r="J34" s="112">
        <f>IFERROR(__xludf.DUMMYFUNCTION("""COMPUTED_VALUE"""),22.0)</f>
        <v>22</v>
      </c>
      <c r="K34" s="113">
        <f>IFERROR(__xludf.DUMMYFUNCTION("""COMPUTED_VALUE"""),45164.0)</f>
        <v>45164</v>
      </c>
      <c r="L34" s="119">
        <f>IFERROR(__xludf.DUMMYFUNCTION("""COMPUTED_VALUE"""),0.5833333333333334)</f>
        <v>0.5833333333</v>
      </c>
      <c r="M34" s="115" t="str">
        <f>IFERROR(__xludf.DUMMYFUNCTION("""COMPUTED_VALUE"""),"The Mat Munchers")</f>
        <v>The Mat Munchers</v>
      </c>
      <c r="N34" s="112" t="str">
        <f>IFERROR(__xludf.DUMMYFUNCTION("""COMPUTED_VALUE"""),"2")</f>
        <v>2</v>
      </c>
      <c r="O34" s="112" t="str">
        <f>IFERROR(__xludf.DUMMYFUNCTION("""COMPUTED_VALUE"""),"5")</f>
        <v>5</v>
      </c>
      <c r="P34" s="112" t="str">
        <f>IFERROR(__xludf.DUMMYFUNCTION("""COMPUTED_VALUE"""),"PES E9L9")</f>
        <v>PES E9L9</v>
      </c>
      <c r="Q34" s="115" t="str">
        <f>IFERROR(__xludf.DUMMYFUNCTION("""COMPUTED_VALUE"""),"reforna")</f>
        <v>reforna</v>
      </c>
      <c r="R34" s="115"/>
      <c r="S34" s="115"/>
      <c r="T34" s="112"/>
      <c r="U34" s="116" t="str">
        <f>IFERROR(__xludf.DUMMYFUNCTION("""COMPUTED_VALUE"""),"https://osu.ppy.sh/community/matches/110174567")</f>
        <v>https://osu.ppy.sh/community/matches/110174567</v>
      </c>
      <c r="V34" s="96"/>
      <c r="W34" s="96"/>
      <c r="X34" s="93"/>
      <c r="Y34" s="95"/>
    </row>
    <row r="35" ht="18.75" customHeight="1" outlineLevel="1">
      <c r="A35" s="95"/>
      <c r="B35" s="93"/>
      <c r="C35" s="93"/>
      <c r="D35" s="120"/>
      <c r="E35" s="121"/>
      <c r="F35" s="110"/>
      <c r="G35" s="133" t="s">
        <v>0</v>
      </c>
      <c r="H35" s="96"/>
      <c r="I35" s="96"/>
      <c r="J35" s="112">
        <f>IFERROR(__xludf.DUMMYFUNCTION("""COMPUTED_VALUE"""),23.0)</f>
        <v>23</v>
      </c>
      <c r="K35" s="113">
        <f>IFERROR(__xludf.DUMMYFUNCTION("""COMPUTED_VALUE"""),45164.0)</f>
        <v>45164</v>
      </c>
      <c r="L35" s="119">
        <f>IFERROR(__xludf.DUMMYFUNCTION("""COMPUTED_VALUE"""),0.7083333333333334)</f>
        <v>0.7083333333</v>
      </c>
      <c r="M35" s="115" t="str">
        <f>IFERROR(__xludf.DUMMYFUNCTION("""COMPUTED_VALUE"""),"Here Forever")</f>
        <v>Here Forever</v>
      </c>
      <c r="N35" s="112" t="str">
        <f>IFERROR(__xludf.DUMMYFUNCTION("""COMPUTED_VALUE"""),"5")</f>
        <v>5</v>
      </c>
      <c r="O35" s="112" t="str">
        <f>IFERROR(__xludf.DUMMYFUNCTION("""COMPUTED_VALUE"""),"0")</f>
        <v>0</v>
      </c>
      <c r="P35" s="112" t="str">
        <f>IFERROR(__xludf.DUMMYFUNCTION("""COMPUTED_VALUE"""),"3000CombinedHours")</f>
        <v>3000CombinedHours</v>
      </c>
      <c r="Q35" s="115" t="str">
        <f>IFERROR(__xludf.DUMMYFUNCTION("""COMPUTED_VALUE"""),"play hd3")</f>
        <v>play hd3</v>
      </c>
      <c r="R35" s="115"/>
      <c r="S35" s="115"/>
      <c r="T35" s="112"/>
      <c r="U35" s="116" t="str">
        <f>IFERROR(__xludf.DUMMYFUNCTION("""COMPUTED_VALUE"""),"https://osu.ppy.sh/community/matches/110177686")</f>
        <v>https://osu.ppy.sh/community/matches/110177686</v>
      </c>
      <c r="V35" s="96"/>
      <c r="W35" s="96"/>
      <c r="X35" s="93"/>
      <c r="Y35" s="95"/>
    </row>
    <row r="36" ht="18.75" customHeight="1" outlineLevel="1">
      <c r="A36" s="95"/>
      <c r="B36" s="93"/>
      <c r="C36" s="93"/>
      <c r="D36" s="120"/>
      <c r="E36" s="121"/>
      <c r="F36" s="110"/>
      <c r="G36" s="133" t="s">
        <v>0</v>
      </c>
      <c r="H36" s="96"/>
      <c r="I36" s="96"/>
      <c r="J36" s="136">
        <f>IFERROR(__xludf.DUMMYFUNCTION("""COMPUTED_VALUE"""),24.0)</f>
        <v>24</v>
      </c>
      <c r="K36" s="137">
        <f>IFERROR(__xludf.DUMMYFUNCTION("""COMPUTED_VALUE"""),45165.0)</f>
        <v>45165</v>
      </c>
      <c r="L36" s="138">
        <f>IFERROR(__xludf.DUMMYFUNCTION("""COMPUTED_VALUE"""),0.16666666666666666)</f>
        <v>0.1666666667</v>
      </c>
      <c r="M36" s="139" t="str">
        <f>IFERROR(__xludf.DUMMYFUNCTION("""COMPUTED_VALUE"""),"Lovers + 3rd wheel")</f>
        <v>Lovers + 3rd wheel</v>
      </c>
      <c r="N36" s="136" t="str">
        <f>IFERROR(__xludf.DUMMYFUNCTION("""COMPUTED_VALUE"""),"2")</f>
        <v>2</v>
      </c>
      <c r="O36" s="136" t="str">
        <f>IFERROR(__xludf.DUMMYFUNCTION("""COMPUTED_VALUE"""),"5")</f>
        <v>5</v>
      </c>
      <c r="P36" s="136" t="str">
        <f>IFERROR(__xludf.DUMMYFUNCTION("""COMPUTED_VALUE"""),"Faz o L")</f>
        <v>Faz o L</v>
      </c>
      <c r="Q36" s="139"/>
      <c r="R36" s="139"/>
      <c r="S36" s="139"/>
      <c r="T36" s="136"/>
      <c r="U36" s="140" t="str">
        <f>IFERROR(__xludf.DUMMYFUNCTION("""COMPUTED_VALUE"""),"https://osu.ppy.sh/community/matches/110185577")</f>
        <v>https://osu.ppy.sh/community/matches/110185577</v>
      </c>
      <c r="V36" s="96"/>
      <c r="W36" s="96"/>
      <c r="X36" s="93"/>
      <c r="Y36" s="95"/>
    </row>
    <row r="37" ht="18.75" customHeight="1" outlineLevel="1">
      <c r="A37" s="95"/>
      <c r="B37" s="93"/>
      <c r="C37" s="93"/>
      <c r="D37" s="120"/>
      <c r="E37" s="121"/>
      <c r="F37" s="110"/>
      <c r="G37" s="111" t="s">
        <v>0</v>
      </c>
      <c r="H37" s="96"/>
      <c r="I37" s="96"/>
      <c r="J37" s="112">
        <f>IFERROR(__xludf.DUMMYFUNCTION("""COMPUTED_VALUE"""),25.0)</f>
        <v>25</v>
      </c>
      <c r="K37" s="113">
        <f>IFERROR(__xludf.DUMMYFUNCTION("""COMPUTED_VALUE"""),45165.0)</f>
        <v>45165</v>
      </c>
      <c r="L37" s="119">
        <f>IFERROR(__xludf.DUMMYFUNCTION("""COMPUTED_VALUE"""),0.5416666666666666)</f>
        <v>0.5416666667</v>
      </c>
      <c r="M37" s="115" t="str">
        <f>IFERROR(__xludf.DUMMYFUNCTION("""COMPUTED_VALUE"""),"small wiener club")</f>
        <v>small wiener club</v>
      </c>
      <c r="N37" s="112" t="str">
        <f>IFERROR(__xludf.DUMMYFUNCTION("""COMPUTED_VALUE"""),"5")</f>
        <v>5</v>
      </c>
      <c r="O37" s="112" t="str">
        <f>IFERROR(__xludf.DUMMYFUNCTION("""COMPUTED_VALUE"""),"3")</f>
        <v>3</v>
      </c>
      <c r="P37" s="112" t="str">
        <f>IFERROR(__xludf.DUMMYFUNCTION("""COMPUTED_VALUE"""),"middle-schooler wife")</f>
        <v>middle-schooler wife</v>
      </c>
      <c r="Q37" s="115" t="str">
        <f>IFERROR(__xludf.DUMMYFUNCTION("""COMPUTED_VALUE"""),"reforna")</f>
        <v>reforna</v>
      </c>
      <c r="R37" s="115"/>
      <c r="S37" s="115"/>
      <c r="T37" s="112"/>
      <c r="U37" s="116" t="str">
        <f>IFERROR(__xludf.DUMMYFUNCTION("""COMPUTED_VALUE"""),"https://osu.ppy.sh/community/matches/110190477")</f>
        <v>https://osu.ppy.sh/community/matches/110190477</v>
      </c>
      <c r="V37" s="96"/>
      <c r="W37" s="96"/>
      <c r="X37" s="93"/>
      <c r="Y37" s="95"/>
    </row>
    <row r="38" ht="18.75" customHeight="1" outlineLevel="1">
      <c r="A38" s="95"/>
      <c r="B38" s="93"/>
      <c r="C38" s="93"/>
      <c r="D38" s="120"/>
      <c r="E38" s="121"/>
      <c r="F38" s="110"/>
      <c r="G38" s="111" t="s">
        <v>0</v>
      </c>
      <c r="H38" s="96"/>
      <c r="I38" s="96"/>
      <c r="J38" s="112">
        <f>IFERROR(__xludf.DUMMYFUNCTION("""COMPUTED_VALUE"""),26.0)</f>
        <v>26</v>
      </c>
      <c r="K38" s="113">
        <f>IFERROR(__xludf.DUMMYFUNCTION("""COMPUTED_VALUE"""),45164.0)</f>
        <v>45164</v>
      </c>
      <c r="L38" s="119">
        <f>IFERROR(__xludf.DUMMYFUNCTION("""COMPUTED_VALUE"""),0.6666666666666666)</f>
        <v>0.6666666667</v>
      </c>
      <c r="M38" s="115" t="str">
        <f>IFERROR(__xludf.DUMMYFUNCTION("""COMPUTED_VALUE"""),"The 3-star Threats")</f>
        <v>The 3-star Threats</v>
      </c>
      <c r="N38" s="112" t="str">
        <f>IFERROR(__xludf.DUMMYFUNCTION("""COMPUTED_VALUE"""),"1")</f>
        <v>1</v>
      </c>
      <c r="O38" s="112" t="str">
        <f>IFERROR(__xludf.DUMMYFUNCTION("""COMPUTED_VALUE"""),"5")</f>
        <v>5</v>
      </c>
      <c r="P38" s="112" t="str">
        <f>IFERROR(__xludf.DUMMYFUNCTION("""COMPUTED_VALUE"""),"placeholder teamname")</f>
        <v>placeholder teamname</v>
      </c>
      <c r="Q38" s="115" t="str">
        <f>IFERROR(__xludf.DUMMYFUNCTION("""COMPUTED_VALUE"""),"reforna")</f>
        <v>reforna</v>
      </c>
      <c r="R38" s="115"/>
      <c r="S38" s="115"/>
      <c r="T38" s="112"/>
      <c r="U38" s="116" t="str">
        <f>IFERROR(__xludf.DUMMYFUNCTION("""COMPUTED_VALUE"""),"https://osu.ppy.sh/community/matches/110176380")</f>
        <v>https://osu.ppy.sh/community/matches/110176380</v>
      </c>
      <c r="V38" s="96"/>
      <c r="W38" s="96"/>
      <c r="X38" s="93"/>
      <c r="Y38" s="95"/>
    </row>
    <row r="39" ht="18.75" customHeight="1" outlineLevel="1">
      <c r="A39" s="95"/>
      <c r="B39" s="93"/>
      <c r="C39" s="93"/>
      <c r="D39" s="120"/>
      <c r="E39" s="121"/>
      <c r="F39" s="110"/>
      <c r="G39" s="111"/>
      <c r="H39" s="96"/>
      <c r="I39" s="96"/>
      <c r="J39" s="112">
        <f>IFERROR(__xludf.DUMMYFUNCTION("""COMPUTED_VALUE"""),27.0)</f>
        <v>27</v>
      </c>
      <c r="K39" s="113">
        <f>IFERROR(__xludf.DUMMYFUNCTION("""COMPUTED_VALUE"""),45164.0)</f>
        <v>45164</v>
      </c>
      <c r="L39" s="119">
        <f>IFERROR(__xludf.DUMMYFUNCTION("""COMPUTED_VALUE"""),0.7916666666666666)</f>
        <v>0.7916666667</v>
      </c>
      <c r="M39" s="115" t="str">
        <f>IFERROR(__xludf.DUMMYFUNCTION("""COMPUTED_VALUE"""),"Homossexual Students")</f>
        <v>Homossexual Students</v>
      </c>
      <c r="N39" s="112" t="str">
        <f>IFERROR(__xludf.DUMMYFUNCTION("""COMPUTED_VALUE"""),"5")</f>
        <v>5</v>
      </c>
      <c r="O39" s="112" t="str">
        <f>IFERROR(__xludf.DUMMYFUNCTION("""COMPUTED_VALUE"""),"4")</f>
        <v>4</v>
      </c>
      <c r="P39" s="112" t="str">
        <f>IFERROR(__xludf.DUMMYFUNCTION("""COMPUTED_VALUE"""),"cake")</f>
        <v>cake</v>
      </c>
      <c r="Q39" s="115" t="str">
        <f>IFERROR(__xludf.DUMMYFUNCTION("""COMPUTED_VALUE"""),"play hd3")</f>
        <v>play hd3</v>
      </c>
      <c r="R39" s="115"/>
      <c r="S39" s="115"/>
      <c r="T39" s="112"/>
      <c r="U39" s="116" t="str">
        <f>IFERROR(__xludf.DUMMYFUNCTION("""COMPUTED_VALUE"""),"https://osu.ppy.sh/community/matches/110179406")</f>
        <v>https://osu.ppy.sh/community/matches/110179406</v>
      </c>
      <c r="V39" s="96"/>
      <c r="W39" s="96"/>
      <c r="X39" s="93"/>
      <c r="Y39" s="95"/>
    </row>
    <row r="40" ht="18.75" customHeight="1" outlineLevel="1">
      <c r="A40" s="95"/>
      <c r="B40" s="93"/>
      <c r="C40" s="93"/>
      <c r="D40" s="120"/>
      <c r="E40" s="121"/>
      <c r="F40" s="110"/>
      <c r="G40" s="111"/>
      <c r="H40" s="96"/>
      <c r="I40" s="96"/>
      <c r="J40" s="112">
        <f>IFERROR(__xludf.DUMMYFUNCTION("""COMPUTED_VALUE"""),28.0)</f>
        <v>28</v>
      </c>
      <c r="K40" s="113">
        <f>IFERROR(__xludf.DUMMYFUNCTION("""COMPUTED_VALUE"""),45165.0)</f>
        <v>45165</v>
      </c>
      <c r="L40" s="119">
        <f>IFERROR(__xludf.DUMMYFUNCTION("""COMPUTED_VALUE"""),0.5833333333333334)</f>
        <v>0.5833333333</v>
      </c>
      <c r="M40" s="115" t="str">
        <f>IFERROR(__xludf.DUMMYFUNCTION("""COMPUTED_VALUE"""),"female ass wrestling")</f>
        <v>female ass wrestling</v>
      </c>
      <c r="N40" s="112" t="str">
        <f>IFERROR(__xludf.DUMMYFUNCTION("""COMPUTED_VALUE"""),"5")</f>
        <v>5</v>
      </c>
      <c r="O40" s="112" t="str">
        <f>IFERROR(__xludf.DUMMYFUNCTION("""COMPUTED_VALUE"""),"1")</f>
        <v>1</v>
      </c>
      <c r="P40" s="112" t="str">
        <f>IFERROR(__xludf.DUMMYFUNCTION("""COMPUTED_VALUE"""),"VN+1")</f>
        <v>VN+1</v>
      </c>
      <c r="Q40" s="115" t="str">
        <f>IFERROR(__xludf.DUMMYFUNCTION("""COMPUTED_VALUE"""),"RudderFish07")</f>
        <v>RudderFish07</v>
      </c>
      <c r="R40" s="115"/>
      <c r="S40" s="115"/>
      <c r="T40" s="112"/>
      <c r="U40" s="116" t="str">
        <f>IFERROR(__xludf.DUMMYFUNCTION("""COMPUTED_VALUE"""),"https://osu.ppy.sh/community/matches/110191205")</f>
        <v>https://osu.ppy.sh/community/matches/110191205</v>
      </c>
      <c r="V40" s="96"/>
      <c r="W40" s="96"/>
      <c r="X40" s="93"/>
      <c r="Y40" s="95"/>
    </row>
    <row r="41" ht="18.75" customHeight="1" outlineLevel="1">
      <c r="A41" s="95"/>
      <c r="B41" s="93"/>
      <c r="C41" s="93"/>
      <c r="D41" s="120"/>
      <c r="E41" s="121"/>
      <c r="F41" s="110"/>
      <c r="G41" s="111"/>
      <c r="H41" s="96"/>
      <c r="I41" s="96"/>
      <c r="J41" s="112">
        <f>IFERROR(__xludf.DUMMYFUNCTION("""COMPUTED_VALUE"""),29.0)</f>
        <v>29</v>
      </c>
      <c r="K41" s="113">
        <f>IFERROR(__xludf.DUMMYFUNCTION("""COMPUTED_VALUE"""),45165.0)</f>
        <v>45165</v>
      </c>
      <c r="L41" s="119">
        <f>IFERROR(__xludf.DUMMYFUNCTION("""COMPUTED_VALUE"""),0.10416666666666667)</f>
        <v>0.1041666667</v>
      </c>
      <c r="M41" s="115" t="str">
        <f>IFERROR(__xludf.DUMMYFUNCTION("""COMPUTED_VALUE"""),":MIPINGA:")</f>
        <v>:MIPINGA:</v>
      </c>
      <c r="N41" s="112" t="str">
        <f>IFERROR(__xludf.DUMMYFUNCTION("""COMPUTED_VALUE"""),"5")</f>
        <v>5</v>
      </c>
      <c r="O41" s="112" t="str">
        <f>IFERROR(__xludf.DUMMYFUNCTION("""COMPUTED_VALUE"""),"1")</f>
        <v>1</v>
      </c>
      <c r="P41" s="112" t="str">
        <f>IFERROR(__xludf.DUMMYFUNCTION("""COMPUTED_VALUE"""),"Chocomaid")</f>
        <v>Chocomaid</v>
      </c>
      <c r="Q41" s="115" t="str">
        <f>IFERROR(__xludf.DUMMYFUNCTION("""COMPUTED_VALUE"""),"play hd3")</f>
        <v>play hd3</v>
      </c>
      <c r="R41" s="115"/>
      <c r="S41" s="115"/>
      <c r="T41" s="112"/>
      <c r="U41" s="116" t="str">
        <f>IFERROR(__xludf.DUMMYFUNCTION("""COMPUTED_VALUE"""),"https://osu.ppy.sh/community/matches/110184531")</f>
        <v>https://osu.ppy.sh/community/matches/110184531</v>
      </c>
      <c r="V41" s="96"/>
      <c r="W41" s="96"/>
      <c r="X41" s="93"/>
      <c r="Y41" s="95"/>
    </row>
    <row r="42" ht="18.75" customHeight="1" outlineLevel="1">
      <c r="A42" s="95"/>
      <c r="B42" s="93"/>
      <c r="C42" s="93"/>
      <c r="D42" s="122"/>
      <c r="E42" s="123"/>
      <c r="F42" s="110"/>
      <c r="G42" s="111"/>
      <c r="H42" s="96"/>
      <c r="I42" s="96"/>
      <c r="J42" s="112">
        <f>IFERROR(__xludf.DUMMYFUNCTION("""COMPUTED_VALUE"""),30.0)</f>
        <v>30</v>
      </c>
      <c r="K42" s="113">
        <f>IFERROR(__xludf.DUMMYFUNCTION("""COMPUTED_VALUE"""),45163.0)</f>
        <v>45163</v>
      </c>
      <c r="L42" s="119">
        <f>IFERROR(__xludf.DUMMYFUNCTION("""COMPUTED_VALUE"""),0.5416666666666666)</f>
        <v>0.5416666667</v>
      </c>
      <c r="M42" s="115" t="str">
        <f>IFERROR(__xludf.DUMMYFUNCTION("""COMPUTED_VALUE"""),"Team name pending xd")</f>
        <v>Team name pending xd</v>
      </c>
      <c r="N42" s="112" t="str">
        <f>IFERROR(__xludf.DUMMYFUNCTION("""COMPUTED_VALUE"""),"2")</f>
        <v>2</v>
      </c>
      <c r="O42" s="112" t="str">
        <f>IFERROR(__xludf.DUMMYFUNCTION("""COMPUTED_VALUE"""),"5")</f>
        <v>5</v>
      </c>
      <c r="P42" s="112" t="str">
        <f>IFERROR(__xludf.DUMMYFUNCTION("""COMPUTED_VALUE"""),"Ghost the Angel")</f>
        <v>Ghost the Angel</v>
      </c>
      <c r="Q42" s="115" t="str">
        <f>IFERROR(__xludf.DUMMYFUNCTION("""COMPUTED_VALUE"""),"Lunexia")</f>
        <v>Lunexia</v>
      </c>
      <c r="R42" s="115"/>
      <c r="S42" s="115"/>
      <c r="T42" s="112"/>
      <c r="U42" s="116" t="str">
        <f>IFERROR(__xludf.DUMMYFUNCTION("""COMPUTED_VALUE"""),"https://osu.ppy.sh/community/matches/110157424")</f>
        <v>https://osu.ppy.sh/community/matches/110157424</v>
      </c>
      <c r="V42" s="96"/>
      <c r="W42" s="96"/>
      <c r="X42" s="93"/>
      <c r="Y42" s="95"/>
    </row>
    <row r="43" ht="18.75" customHeight="1" outlineLevel="1">
      <c r="A43" s="95"/>
      <c r="B43" s="93"/>
      <c r="C43" s="93"/>
      <c r="D43" s="135"/>
      <c r="E43" s="135"/>
      <c r="F43" s="110"/>
      <c r="G43" s="111"/>
      <c r="H43" s="96"/>
      <c r="I43" s="96"/>
      <c r="J43" s="112">
        <f>IFERROR(__xludf.DUMMYFUNCTION("""COMPUTED_VALUE"""),31.0)</f>
        <v>31</v>
      </c>
      <c r="K43" s="113">
        <f>IFERROR(__xludf.DUMMYFUNCTION("""COMPUTED_VALUE"""),45163.0)</f>
        <v>45163</v>
      </c>
      <c r="L43" s="119">
        <f>IFERROR(__xludf.DUMMYFUNCTION("""COMPUTED_VALUE"""),0.4583333333333333)</f>
        <v>0.4583333333</v>
      </c>
      <c r="M43" s="115" t="str">
        <f>IFERROR(__xludf.DUMMYFUNCTION("""COMPUTED_VALUE"""),"foxy1919191919's basement")</f>
        <v>foxy1919191919's basement</v>
      </c>
      <c r="N43" s="112" t="str">
        <f>IFERROR(__xludf.DUMMYFUNCTION("""COMPUTED_VALUE"""),"2")</f>
        <v>2</v>
      </c>
      <c r="O43" s="112" t="str">
        <f>IFERROR(__xludf.DUMMYFUNCTION("""COMPUTED_VALUE"""),"5")</f>
        <v>5</v>
      </c>
      <c r="P43" s="112" t="str">
        <f>IFERROR(__xludf.DUMMYFUNCTION("""COMPUTED_VALUE"""),"match in 15")</f>
        <v>match in 15</v>
      </c>
      <c r="Q43" s="115" t="str">
        <f>IFERROR(__xludf.DUMMYFUNCTION("""COMPUTED_VALUE"""),"Azasapag")</f>
        <v>Azasapag</v>
      </c>
      <c r="R43" s="115"/>
      <c r="S43" s="115"/>
      <c r="T43" s="112"/>
      <c r="U43" s="116" t="str">
        <f>IFERROR(__xludf.DUMMYFUNCTION("""COMPUTED_VALUE"""),"https://osu.ppy.sh/community/matches/110156344")</f>
        <v>https://osu.ppy.sh/community/matches/110156344</v>
      </c>
      <c r="V43" s="96"/>
      <c r="W43" s="96"/>
      <c r="X43" s="93"/>
      <c r="Y43" s="95"/>
    </row>
    <row r="44" ht="18.75" customHeight="1" outlineLevel="1">
      <c r="A44" s="95"/>
      <c r="B44" s="93"/>
      <c r="C44" s="93"/>
      <c r="D44" s="141"/>
      <c r="E44" s="142"/>
      <c r="F44" s="143"/>
      <c r="G44" s="111"/>
      <c r="H44" s="144"/>
      <c r="I44" s="144"/>
      <c r="J44" s="127">
        <f>IFERROR(__xludf.DUMMYFUNCTION("""COMPUTED_VALUE"""),32.0)</f>
        <v>32</v>
      </c>
      <c r="K44" s="128">
        <f>IFERROR(__xludf.DUMMYFUNCTION("""COMPUTED_VALUE"""),45164.0)</f>
        <v>45164</v>
      </c>
      <c r="L44" s="129">
        <f>IFERROR(__xludf.DUMMYFUNCTION("""COMPUTED_VALUE"""),0.5833333333333334)</f>
        <v>0.5833333333</v>
      </c>
      <c r="M44" s="130" t="str">
        <f>IFERROR(__xludf.DUMMYFUNCTION("""COMPUTED_VALUE"""),"Tom and Jerry")</f>
        <v>Tom and Jerry</v>
      </c>
      <c r="N44" s="127" t="str">
        <f>IFERROR(__xludf.DUMMYFUNCTION("""COMPUTED_VALUE"""),"5")</f>
        <v>5</v>
      </c>
      <c r="O44" s="127" t="str">
        <f>IFERROR(__xludf.DUMMYFUNCTION("""COMPUTED_VALUE"""),"3")</f>
        <v>3</v>
      </c>
      <c r="P44" s="127" t="str">
        <f>IFERROR(__xludf.DUMMYFUNCTION("""COMPUTED_VALUE"""),"Kittens")</f>
        <v>Kittens</v>
      </c>
      <c r="Q44" s="130" t="str">
        <f>IFERROR(__xludf.DUMMYFUNCTION("""COMPUTED_VALUE"""),"reforna")</f>
        <v>reforna</v>
      </c>
      <c r="R44" s="130"/>
      <c r="S44" s="130"/>
      <c r="T44" s="127"/>
      <c r="U44" s="131" t="str">
        <f>IFERROR(__xludf.DUMMYFUNCTION("""COMPUTED_VALUE"""),"https://osu.ppy.sh/community/matches/110174570")</f>
        <v>https://osu.ppy.sh/community/matches/110174570</v>
      </c>
      <c r="V44" s="96"/>
      <c r="W44" s="96"/>
      <c r="X44" s="93"/>
      <c r="Y44" s="95"/>
    </row>
    <row r="45" ht="18.75" customHeight="1" outlineLevel="1">
      <c r="A45" s="95"/>
      <c r="B45" s="93"/>
      <c r="C45" s="93"/>
      <c r="D45" s="132"/>
      <c r="E45" s="132"/>
      <c r="F45" s="96"/>
      <c r="G45" s="133" t="s">
        <v>0</v>
      </c>
      <c r="H45" s="96"/>
      <c r="I45" s="96"/>
      <c r="J45" s="112">
        <f>IFERROR(__xludf.DUMMYFUNCTION("""COMPUTED_VALUE"""),33.0)</f>
        <v>33</v>
      </c>
      <c r="K45" s="145">
        <f>IFERROR(__xludf.DUMMYFUNCTION("""COMPUTED_VALUE"""),45172.0)</f>
        <v>45172</v>
      </c>
      <c r="L45" s="146">
        <f>IFERROR(__xludf.DUMMYFUNCTION("""COMPUTED_VALUE"""),0.5833333333333334)</f>
        <v>0.5833333333</v>
      </c>
      <c r="M45" s="115" t="str">
        <f>IFERROR(__xludf.DUMMYFUNCTION("""COMPUTED_VALUE"""),"middle-schooler wife")</f>
        <v>middle-schooler wife</v>
      </c>
      <c r="N45" s="112" t="str">
        <f>IFERROR(__xludf.DUMMYFUNCTION("""COMPUTED_VALUE"""),"6")</f>
        <v>6</v>
      </c>
      <c r="O45" s="112" t="str">
        <f>IFERROR(__xludf.DUMMYFUNCTION("""COMPUTED_VALUE"""),"2")</f>
        <v>2</v>
      </c>
      <c r="P45" s="112" t="str">
        <f>IFERROR(__xludf.DUMMYFUNCTION("""COMPUTED_VALUE"""),"Faz o L")</f>
        <v>Faz o L</v>
      </c>
      <c r="Q45" s="115"/>
      <c r="R45" s="115"/>
      <c r="S45" s="115"/>
      <c r="T45" s="112"/>
      <c r="U45" s="116" t="str">
        <f>IFERROR(__xludf.DUMMYFUNCTION("""COMPUTED_VALUE"""),"https://osu.ppy.sh/community/matches/110301082")</f>
        <v>https://osu.ppy.sh/community/matches/110301082</v>
      </c>
      <c r="V45" s="96"/>
      <c r="W45" s="96"/>
      <c r="X45" s="93"/>
      <c r="Y45" s="95"/>
    </row>
    <row r="46" ht="18.75" customHeight="1" outlineLevel="1">
      <c r="A46" s="95"/>
      <c r="B46" s="93"/>
      <c r="C46" s="93"/>
      <c r="D46" s="147"/>
      <c r="E46" s="147"/>
      <c r="F46" s="96"/>
      <c r="G46" s="133" t="s">
        <v>51</v>
      </c>
      <c r="H46" s="96"/>
      <c r="I46" s="96"/>
      <c r="J46" s="112">
        <f>IFERROR(__xludf.DUMMYFUNCTION("""COMPUTED_VALUE"""),34.0)</f>
        <v>34</v>
      </c>
      <c r="K46" s="145">
        <f>IFERROR(__xludf.DUMMYFUNCTION("""COMPUTED_VALUE"""),45171.0)</f>
        <v>45171</v>
      </c>
      <c r="L46" s="146">
        <f>IFERROR(__xludf.DUMMYFUNCTION("""COMPUTED_VALUE"""),0.9583333333333334)</f>
        <v>0.9583333333</v>
      </c>
      <c r="M46" s="115" t="str">
        <f>IFERROR(__xludf.DUMMYFUNCTION("""COMPUTED_VALUE"""),"The 3-star Threats")</f>
        <v>The 3-star Threats</v>
      </c>
      <c r="N46" s="112" t="str">
        <f>IFERROR(__xludf.DUMMYFUNCTION("""COMPUTED_VALUE"""),"6")</f>
        <v>6</v>
      </c>
      <c r="O46" s="112" t="str">
        <f>IFERROR(__xludf.DUMMYFUNCTION("""COMPUTED_VALUE"""),"3")</f>
        <v>3</v>
      </c>
      <c r="P46" s="112" t="str">
        <f>IFERROR(__xludf.DUMMYFUNCTION("""COMPUTED_VALUE"""),"Here Forever")</f>
        <v>Here Forever</v>
      </c>
      <c r="Q46" s="115" t="str">
        <f>IFERROR(__xludf.DUMMYFUNCTION("""COMPUTED_VALUE"""),"play hd3")</f>
        <v>play hd3</v>
      </c>
      <c r="R46" s="115"/>
      <c r="S46" s="115"/>
      <c r="T46" s="112"/>
      <c r="U46" s="116" t="str">
        <f>IFERROR(__xludf.DUMMYFUNCTION("""COMPUTED_VALUE"""),"https://osu.ppy.sh/community/matches/110291479")</f>
        <v>https://osu.ppy.sh/community/matches/110291479</v>
      </c>
      <c r="V46" s="96"/>
      <c r="W46" s="96"/>
      <c r="X46" s="93"/>
      <c r="Y46" s="95"/>
    </row>
    <row r="47" ht="18.75" customHeight="1" outlineLevel="1">
      <c r="A47" s="95"/>
      <c r="B47" s="93"/>
      <c r="C47" s="93"/>
      <c r="D47" s="117" t="s">
        <v>52</v>
      </c>
      <c r="E47" s="118"/>
      <c r="F47" s="96"/>
      <c r="G47" s="133" t="s">
        <v>0</v>
      </c>
      <c r="H47" s="96"/>
      <c r="I47" s="96"/>
      <c r="J47" s="112">
        <f>IFERROR(__xludf.DUMMYFUNCTION("""COMPUTED_VALUE"""),35.0)</f>
        <v>35</v>
      </c>
      <c r="K47" s="145">
        <f>IFERROR(__xludf.DUMMYFUNCTION("""COMPUTED_VALUE"""),45172.0)</f>
        <v>45172</v>
      </c>
      <c r="L47" s="146">
        <f>IFERROR(__xludf.DUMMYFUNCTION("""COMPUTED_VALUE"""),0.6041666666666666)</f>
        <v>0.6041666667</v>
      </c>
      <c r="M47" s="115" t="str">
        <f>IFERROR(__xludf.DUMMYFUNCTION("""COMPUTED_VALUE"""),"cake")</f>
        <v>cake</v>
      </c>
      <c r="N47" s="112" t="str">
        <f>IFERROR(__xludf.DUMMYFUNCTION("""COMPUTED_VALUE"""),"4")</f>
        <v>4</v>
      </c>
      <c r="O47" s="112" t="str">
        <f>IFERROR(__xludf.DUMMYFUNCTION("""COMPUTED_VALUE"""),"6")</f>
        <v>6</v>
      </c>
      <c r="P47" s="112" t="str">
        <f>IFERROR(__xludf.DUMMYFUNCTION("""COMPUTED_VALUE"""),"PES E9L9")</f>
        <v>PES E9L9</v>
      </c>
      <c r="Q47" s="115" t="str">
        <f>IFERROR(__xludf.DUMMYFUNCTION("""COMPUTED_VALUE"""),"Pischok")</f>
        <v>Pischok</v>
      </c>
      <c r="R47" s="115"/>
      <c r="S47" s="115"/>
      <c r="T47" s="112"/>
      <c r="U47" s="116" t="str">
        <f>IFERROR(__xludf.DUMMYFUNCTION("""COMPUTED_VALUE"""),"https://osu.ppy.sh/community/matches/110301327")</f>
        <v>https://osu.ppy.sh/community/matches/110301327</v>
      </c>
      <c r="V47" s="96"/>
      <c r="W47" s="96"/>
      <c r="X47" s="93"/>
      <c r="Y47" s="95"/>
    </row>
    <row r="48" ht="18.75" customHeight="1" outlineLevel="1">
      <c r="A48" s="95"/>
      <c r="B48" s="93"/>
      <c r="C48" s="93"/>
      <c r="D48" s="120"/>
      <c r="E48" s="121"/>
      <c r="F48" s="96"/>
      <c r="G48" s="133"/>
      <c r="H48" s="96"/>
      <c r="I48" s="96"/>
      <c r="J48" s="112">
        <f>IFERROR(__xludf.DUMMYFUNCTION("""COMPUTED_VALUE"""),36.0)</f>
        <v>36</v>
      </c>
      <c r="K48" s="145">
        <f>IFERROR(__xludf.DUMMYFUNCTION("""COMPUTED_VALUE"""),45171.0)</f>
        <v>45171</v>
      </c>
      <c r="L48" s="146">
        <f>IFERROR(__xludf.DUMMYFUNCTION("""COMPUTED_VALUE"""),0.0625)</f>
        <v>0.0625</v>
      </c>
      <c r="M48" s="115" t="str">
        <f>IFERROR(__xludf.DUMMYFUNCTION("""COMPUTED_VALUE"""),"VN+1")</f>
        <v>VN+1</v>
      </c>
      <c r="N48" s="112" t="str">
        <f>IFERROR(__xludf.DUMMYFUNCTION("""COMPUTED_VALUE"""),"6")</f>
        <v>6</v>
      </c>
      <c r="O48" s="112" t="str">
        <f>IFERROR(__xludf.DUMMYFUNCTION("""COMPUTED_VALUE"""),"0")</f>
        <v>0</v>
      </c>
      <c r="P48" s="112" t="str">
        <f>IFERROR(__xludf.DUMMYFUNCTION("""COMPUTED_VALUE"""),"Dino Nuggies")</f>
        <v>Dino Nuggies</v>
      </c>
      <c r="Q48" s="115" t="str">
        <f>IFERROR(__xludf.DUMMYFUNCTION("""COMPUTED_VALUE"""),"play hd3")</f>
        <v>play hd3</v>
      </c>
      <c r="R48" s="115"/>
      <c r="S48" s="115"/>
      <c r="T48" s="112"/>
      <c r="U48" s="116" t="str">
        <f>IFERROR(__xludf.DUMMYFUNCTION("""COMPUTED_VALUE"""),"https://osu.ppy.sh/community/matches/110275875")</f>
        <v>https://osu.ppy.sh/community/matches/110275875</v>
      </c>
      <c r="V48" s="96"/>
      <c r="W48" s="96"/>
      <c r="X48" s="93"/>
      <c r="Y48" s="95"/>
    </row>
    <row r="49" ht="18.75" customHeight="1" outlineLevel="1">
      <c r="A49" s="95"/>
      <c r="B49" s="93"/>
      <c r="C49" s="93"/>
      <c r="D49" s="120"/>
      <c r="E49" s="121"/>
      <c r="F49" s="96"/>
      <c r="G49" s="133"/>
      <c r="H49" s="96"/>
      <c r="I49" s="96"/>
      <c r="J49" s="112">
        <f>IFERROR(__xludf.DUMMYFUNCTION("""COMPUTED_VALUE"""),37.0)</f>
        <v>37</v>
      </c>
      <c r="K49" s="145">
        <f>IFERROR(__xludf.DUMMYFUNCTION("""COMPUTED_VALUE"""),45171.0)</f>
        <v>45171</v>
      </c>
      <c r="L49" s="146">
        <f>IFERROR(__xludf.DUMMYFUNCTION("""COMPUTED_VALUE"""),0.5833333333333334)</f>
        <v>0.5833333333</v>
      </c>
      <c r="M49" s="115" t="str">
        <f>IFERROR(__xludf.DUMMYFUNCTION("""COMPUTED_VALUE"""),"Chocomaid")</f>
        <v>Chocomaid</v>
      </c>
      <c r="N49" s="112" t="str">
        <f>IFERROR(__xludf.DUMMYFUNCTION("""COMPUTED_VALUE"""),"6")</f>
        <v>6</v>
      </c>
      <c r="O49" s="112" t="str">
        <f>IFERROR(__xludf.DUMMYFUNCTION("""COMPUTED_VALUE"""),"1")</f>
        <v>1</v>
      </c>
      <c r="P49" s="112" t="str">
        <f>IFERROR(__xludf.DUMMYFUNCTION("""COMPUTED_VALUE"""),"Sightread Buff")</f>
        <v>Sightread Buff</v>
      </c>
      <c r="Q49" s="115" t="str">
        <f>IFERROR(__xludf.DUMMYFUNCTION("""COMPUTED_VALUE"""),"Emerald Ages")</f>
        <v>Emerald Ages</v>
      </c>
      <c r="R49" s="115"/>
      <c r="S49" s="115"/>
      <c r="T49" s="112"/>
      <c r="U49" s="116" t="str">
        <f>IFERROR(__xludf.DUMMYFUNCTION("""COMPUTED_VALUE"""),"https://osu.ppy.sh/community/matches/110283000")</f>
        <v>https://osu.ppy.sh/community/matches/110283000</v>
      </c>
      <c r="V49" s="96"/>
      <c r="W49" s="96"/>
      <c r="X49" s="93"/>
      <c r="Y49" s="95"/>
    </row>
    <row r="50" ht="18.75" customHeight="1" outlineLevel="1">
      <c r="A50" s="95"/>
      <c r="B50" s="93"/>
      <c r="C50" s="93"/>
      <c r="D50" s="120"/>
      <c r="E50" s="121"/>
      <c r="F50" s="96"/>
      <c r="G50" s="133"/>
      <c r="H50" s="96"/>
      <c r="I50" s="96"/>
      <c r="J50" s="112">
        <f>IFERROR(__xludf.DUMMYFUNCTION("""COMPUTED_VALUE"""),38.0)</f>
        <v>38</v>
      </c>
      <c r="K50" s="145">
        <f>IFERROR(__xludf.DUMMYFUNCTION("""COMPUTED_VALUE"""),45171.0)</f>
        <v>45171</v>
      </c>
      <c r="L50" s="146">
        <f>IFERROR(__xludf.DUMMYFUNCTION("""COMPUTED_VALUE"""),0.625)</f>
        <v>0.625</v>
      </c>
      <c r="M50" s="115" t="str">
        <f>IFERROR(__xludf.DUMMYFUNCTION("""COMPUTED_VALUE"""),"Team name pending xd")</f>
        <v>Team name pending xd</v>
      </c>
      <c r="N50" s="112" t="str">
        <f>IFERROR(__xludf.DUMMYFUNCTION("""COMPUTED_VALUE"""),"6")</f>
        <v>6</v>
      </c>
      <c r="O50" s="112" t="str">
        <f>IFERROR(__xludf.DUMMYFUNCTION("""COMPUTED_VALUE"""),"4")</f>
        <v>4</v>
      </c>
      <c r="P50" s="112" t="str">
        <f>IFERROR(__xludf.DUMMYFUNCTION("""COMPUTED_VALUE"""),"equipe câo")</f>
        <v>equipe câo</v>
      </c>
      <c r="Q50" s="115" t="str">
        <f>IFERROR(__xludf.DUMMYFUNCTION("""COMPUTED_VALUE"""),"Emerald Ages")</f>
        <v>Emerald Ages</v>
      </c>
      <c r="R50" s="115"/>
      <c r="S50" s="115"/>
      <c r="T50" s="112"/>
      <c r="U50" s="116" t="str">
        <f>IFERROR(__xludf.DUMMYFUNCTION("""COMPUTED_VALUE"""),"https://osu.ppy.sh/community/matches/110283874")</f>
        <v>https://osu.ppy.sh/community/matches/110283874</v>
      </c>
      <c r="V50" s="96"/>
      <c r="W50" s="96"/>
      <c r="X50" s="93"/>
      <c r="Y50" s="95"/>
    </row>
    <row r="51" ht="18.75" customHeight="1" outlineLevel="1">
      <c r="A51" s="95"/>
      <c r="B51" s="93"/>
      <c r="C51" s="93"/>
      <c r="D51" s="120"/>
      <c r="E51" s="121"/>
      <c r="F51" s="96"/>
      <c r="G51" s="133"/>
      <c r="H51" s="96"/>
      <c r="I51" s="96"/>
      <c r="J51" s="112">
        <f>IFERROR(__xludf.DUMMYFUNCTION("""COMPUTED_VALUE"""),39.0)</f>
        <v>39</v>
      </c>
      <c r="K51" s="145">
        <f>IFERROR(__xludf.DUMMYFUNCTION("""COMPUTED_VALUE"""),45172.0)</f>
        <v>45172</v>
      </c>
      <c r="L51" s="146">
        <f>IFERROR(__xludf.DUMMYFUNCTION("""COMPUTED_VALUE"""),0.5208333333333334)</f>
        <v>0.5208333333</v>
      </c>
      <c r="M51" s="115" t="str">
        <f>IFERROR(__xludf.DUMMYFUNCTION("""COMPUTED_VALUE"""),"foxy1919191919's basement")</f>
        <v>foxy1919191919's basement</v>
      </c>
      <c r="N51" s="112" t="str">
        <f>IFERROR(__xludf.DUMMYFUNCTION("""COMPUTED_VALUE"""),"-1")</f>
        <v>-1</v>
      </c>
      <c r="O51" s="112" t="str">
        <f>IFERROR(__xludf.DUMMYFUNCTION("""COMPUTED_VALUE"""),"0")</f>
        <v>0</v>
      </c>
      <c r="P51" s="112" t="str">
        <f>IFERROR(__xludf.DUMMYFUNCTION("""COMPUTED_VALUE"""),"The sleepers")</f>
        <v>The sleepers</v>
      </c>
      <c r="Q51" s="115" t="str">
        <f>IFERROR(__xludf.DUMMYFUNCTION("""COMPUTED_VALUE"""),"Pischok")</f>
        <v>Pischok</v>
      </c>
      <c r="R51" s="115"/>
      <c r="S51" s="115"/>
      <c r="T51" s="112"/>
      <c r="U51" s="116" t="str">
        <f>IFERROR(__xludf.DUMMYFUNCTION("""COMPUTED_VALUE"""),"https://osu.ppy.sh/community/matches/110299202")</f>
        <v>https://osu.ppy.sh/community/matches/110299202</v>
      </c>
      <c r="V51" s="96"/>
      <c r="W51" s="96"/>
      <c r="X51" s="93"/>
      <c r="Y51" s="95"/>
    </row>
    <row r="52" ht="18.75" customHeight="1" outlineLevel="1">
      <c r="A52" s="95"/>
      <c r="B52" s="93"/>
      <c r="C52" s="93"/>
      <c r="D52" s="120"/>
      <c r="E52" s="121"/>
      <c r="F52" s="96"/>
      <c r="G52" s="133" t="s">
        <v>0</v>
      </c>
      <c r="H52" s="96"/>
      <c r="I52" s="96"/>
      <c r="J52" s="136">
        <f>IFERROR(__xludf.DUMMYFUNCTION("""COMPUTED_VALUE"""),40.0)</f>
        <v>40</v>
      </c>
      <c r="K52" s="148">
        <f>IFERROR(__xludf.DUMMYFUNCTION("""COMPUTED_VALUE"""),45171.0)</f>
        <v>45171</v>
      </c>
      <c r="L52" s="149">
        <f>IFERROR(__xludf.DUMMYFUNCTION("""COMPUTED_VALUE"""),0.5833333333333334)</f>
        <v>0.5833333333</v>
      </c>
      <c r="M52" s="139" t="str">
        <f>IFERROR(__xludf.DUMMYFUNCTION("""COMPUTED_VALUE"""),"Kittens")</f>
        <v>Kittens</v>
      </c>
      <c r="N52" s="136" t="str">
        <f>IFERROR(__xludf.DUMMYFUNCTION("""COMPUTED_VALUE"""),"6")</f>
        <v>6</v>
      </c>
      <c r="O52" s="136" t="str">
        <f>IFERROR(__xludf.DUMMYFUNCTION("""COMPUTED_VALUE"""),"3")</f>
        <v>3</v>
      </c>
      <c r="P52" s="136" t="str">
        <f>IFERROR(__xludf.DUMMYFUNCTION("""COMPUTED_VALUE"""),"PLDT ANO NAAA")</f>
        <v>PLDT ANO NAAA</v>
      </c>
      <c r="Q52" s="139" t="str">
        <f>IFERROR(__xludf.DUMMYFUNCTION("""COMPUTED_VALUE"""),"Emerald Ages")</f>
        <v>Emerald Ages</v>
      </c>
      <c r="R52" s="139"/>
      <c r="S52" s="139"/>
      <c r="T52" s="136"/>
      <c r="U52" s="140" t="str">
        <f>IFERROR(__xludf.DUMMYFUNCTION("""COMPUTED_VALUE"""),"https://osu.ppy.sh/community/matches/110283001")</f>
        <v>https://osu.ppy.sh/community/matches/110283001</v>
      </c>
      <c r="V52" s="96"/>
      <c r="W52" s="96"/>
      <c r="X52" s="93"/>
      <c r="Y52" s="95"/>
    </row>
    <row r="53" ht="18.75" customHeight="1" outlineLevel="1">
      <c r="A53" s="95"/>
      <c r="B53" s="93"/>
      <c r="C53" s="93"/>
      <c r="D53" s="120"/>
      <c r="E53" s="121"/>
      <c r="F53" s="96"/>
      <c r="G53" s="133"/>
      <c r="H53" s="133"/>
      <c r="I53" s="96"/>
      <c r="J53" s="150">
        <f>IFERROR(__xludf.DUMMYFUNCTION("""COMPUTED_VALUE"""),41.0)</f>
        <v>41</v>
      </c>
      <c r="K53" s="145">
        <f>IFERROR(__xludf.DUMMYFUNCTION("""COMPUTED_VALUE"""),45172.0)</f>
        <v>45172</v>
      </c>
      <c r="L53" s="146">
        <f>IFERROR(__xludf.DUMMYFUNCTION("""COMPUTED_VALUE"""),0.9583333333333334)</f>
        <v>0.9583333333</v>
      </c>
      <c r="M53" s="115" t="str">
        <f>IFERROR(__xludf.DUMMYFUNCTION("""COMPUTED_VALUE"""),"The 3-star Threats")</f>
        <v>The 3-star Threats</v>
      </c>
      <c r="N53" s="112" t="str">
        <f>IFERROR(__xludf.DUMMYFUNCTION("""COMPUTED_VALUE"""),"6")</f>
        <v>6</v>
      </c>
      <c r="O53" s="112" t="str">
        <f>IFERROR(__xludf.DUMMYFUNCTION("""COMPUTED_VALUE"""),"0")</f>
        <v>0</v>
      </c>
      <c r="P53" s="112" t="str">
        <f>IFERROR(__xludf.DUMMYFUNCTION("""COMPUTED_VALUE"""),"middle-schooler wife")</f>
        <v>middle-schooler wife</v>
      </c>
      <c r="Q53" s="115"/>
      <c r="R53" s="115"/>
      <c r="S53" s="115"/>
      <c r="T53" s="112"/>
      <c r="U53" s="151" t="str">
        <f>IFERROR(__xludf.DUMMYFUNCTION("""COMPUTED_VALUE"""),"asynch")</f>
        <v>asynch</v>
      </c>
      <c r="V53" s="96"/>
      <c r="W53" s="96"/>
      <c r="X53" s="93"/>
      <c r="Y53" s="95"/>
    </row>
    <row r="54" ht="18.75" hidden="1" customHeight="1" outlineLevel="1">
      <c r="A54" s="95"/>
      <c r="B54" s="93"/>
      <c r="C54" s="93"/>
      <c r="D54" s="120"/>
      <c r="E54" s="121"/>
      <c r="F54" s="96"/>
      <c r="G54" s="133"/>
      <c r="H54" s="133"/>
      <c r="I54" s="96"/>
      <c r="J54" s="152" t="str">
        <f>IFERROR(__xludf.DUMMYFUNCTION("""COMPUTED_VALUE"""),"41a")</f>
        <v>41a</v>
      </c>
      <c r="K54" s="145">
        <f>IFERROR(__xludf.DUMMYFUNCTION("""COMPUTED_VALUE"""),45172.0)</f>
        <v>45172</v>
      </c>
      <c r="L54" s="146">
        <f>IFERROR(__xludf.DUMMYFUNCTION("""COMPUTED_VALUE"""),0.625)</f>
        <v>0.625</v>
      </c>
      <c r="M54" s="115" t="str">
        <f>IFERROR(__xludf.DUMMYFUNCTION("""COMPUTED_VALUE"""),"The 3-star Threats")</f>
        <v>The 3-star Threats</v>
      </c>
      <c r="N54" s="112" t="str">
        <f>IFERROR(__xludf.DUMMYFUNCTION("""COMPUTED_VALUE"""),"")</f>
        <v/>
      </c>
      <c r="O54" s="112" t="str">
        <f>IFERROR(__xludf.DUMMYFUNCTION("""COMPUTED_VALUE"""),"")</f>
        <v/>
      </c>
      <c r="P54" s="112" t="str">
        <f>IFERROR(__xludf.DUMMYFUNCTION("""COMPUTED_VALUE"""),"middle-schooler wife")</f>
        <v>middle-schooler wife</v>
      </c>
      <c r="Q54" s="115"/>
      <c r="R54" s="115"/>
      <c r="S54" s="115"/>
      <c r="T54" s="112"/>
      <c r="U54" s="153" t="str">
        <f>IFERROR(__xludf.DUMMYFUNCTION("""COMPUTED_VALUE"""),"")</f>
        <v/>
      </c>
      <c r="V54" s="96"/>
      <c r="W54" s="96"/>
      <c r="X54" s="93"/>
      <c r="Y54" s="95"/>
    </row>
    <row r="55" ht="18.75" hidden="1" customHeight="1" outlineLevel="1">
      <c r="A55" s="95"/>
      <c r="B55" s="93"/>
      <c r="C55" s="93"/>
      <c r="D55" s="120"/>
      <c r="E55" s="121"/>
      <c r="F55" s="96"/>
      <c r="G55" s="133"/>
      <c r="H55" s="133"/>
      <c r="I55" s="96"/>
      <c r="J55" s="152" t="str">
        <f>IFERROR(__xludf.DUMMYFUNCTION("""COMPUTED_VALUE"""),"41b")</f>
        <v>41b</v>
      </c>
      <c r="K55" s="145">
        <f>IFERROR(__xludf.DUMMYFUNCTION("""COMPUTED_VALUE"""),45172.0)</f>
        <v>45172</v>
      </c>
      <c r="L55" s="146">
        <f>IFERROR(__xludf.DUMMYFUNCTION("""COMPUTED_VALUE"""),0.8333333333333334)</f>
        <v>0.8333333333</v>
      </c>
      <c r="M55" s="115" t="str">
        <f>IFERROR(__xludf.DUMMYFUNCTION("""COMPUTED_VALUE"""),"The 3-star Threats")</f>
        <v>The 3-star Threats</v>
      </c>
      <c r="N55" s="112" t="str">
        <f>IFERROR(__xludf.DUMMYFUNCTION("""COMPUTED_VALUE"""),"")</f>
        <v/>
      </c>
      <c r="O55" s="112" t="str">
        <f>IFERROR(__xludf.DUMMYFUNCTION("""COMPUTED_VALUE"""),"")</f>
        <v/>
      </c>
      <c r="P55" s="112" t="str">
        <f>IFERROR(__xludf.DUMMYFUNCTION("""COMPUTED_VALUE"""),"Faz o L")</f>
        <v>Faz o L</v>
      </c>
      <c r="Q55" s="115"/>
      <c r="R55" s="115"/>
      <c r="S55" s="115"/>
      <c r="T55" s="112"/>
      <c r="U55" s="153" t="str">
        <f>IFERROR(__xludf.DUMMYFUNCTION("""COMPUTED_VALUE"""),"")</f>
        <v/>
      </c>
      <c r="V55" s="96"/>
      <c r="W55" s="96"/>
      <c r="X55" s="93"/>
      <c r="Y55" s="95"/>
    </row>
    <row r="56" ht="18.75" hidden="1" customHeight="1" outlineLevel="1">
      <c r="A56" s="95"/>
      <c r="B56" s="93"/>
      <c r="C56" s="93"/>
      <c r="D56" s="120"/>
      <c r="E56" s="121"/>
      <c r="F56" s="96"/>
      <c r="G56" s="133"/>
      <c r="H56" s="133"/>
      <c r="I56" s="96"/>
      <c r="J56" s="152" t="str">
        <f>IFERROR(__xludf.DUMMYFUNCTION("""COMPUTED_VALUE"""),"41c")</f>
        <v>41c</v>
      </c>
      <c r="K56" s="145">
        <f>IFERROR(__xludf.DUMMYFUNCTION("""COMPUTED_VALUE"""),45172.0)</f>
        <v>45172</v>
      </c>
      <c r="L56" s="146">
        <f>IFERROR(__xludf.DUMMYFUNCTION("""COMPUTED_VALUE"""),0.16666666666666666)</f>
        <v>0.1666666667</v>
      </c>
      <c r="M56" s="115" t="str">
        <f>IFERROR(__xludf.DUMMYFUNCTION("""COMPUTED_VALUE"""),"Here Forever")</f>
        <v>Here Forever</v>
      </c>
      <c r="N56" s="112" t="str">
        <f>IFERROR(__xludf.DUMMYFUNCTION("""COMPUTED_VALUE"""),"")</f>
        <v/>
      </c>
      <c r="O56" s="112" t="str">
        <f>IFERROR(__xludf.DUMMYFUNCTION("""COMPUTED_VALUE"""),"")</f>
        <v/>
      </c>
      <c r="P56" s="112" t="str">
        <f>IFERROR(__xludf.DUMMYFUNCTION("""COMPUTED_VALUE"""),"middle-schooler wife")</f>
        <v>middle-schooler wife</v>
      </c>
      <c r="Q56" s="115"/>
      <c r="R56" s="115"/>
      <c r="S56" s="115"/>
      <c r="T56" s="112"/>
      <c r="U56" s="153" t="str">
        <f>IFERROR(__xludf.DUMMYFUNCTION("""COMPUTED_VALUE"""),"")</f>
        <v/>
      </c>
      <c r="V56" s="96"/>
      <c r="W56" s="96"/>
      <c r="X56" s="93"/>
      <c r="Y56" s="95"/>
    </row>
    <row r="57" ht="18.75" hidden="1" customHeight="1" outlineLevel="1">
      <c r="A57" s="95"/>
      <c r="B57" s="93"/>
      <c r="C57" s="93"/>
      <c r="D57" s="120"/>
      <c r="E57" s="121"/>
      <c r="F57" s="96"/>
      <c r="G57" s="133"/>
      <c r="H57" s="133"/>
      <c r="I57" s="96"/>
      <c r="J57" s="152" t="str">
        <f>IFERROR(__xludf.DUMMYFUNCTION("""COMPUTED_VALUE"""),"41d")</f>
        <v>41d</v>
      </c>
      <c r="K57" s="145">
        <f>IFERROR(__xludf.DUMMYFUNCTION("""COMPUTED_VALUE"""),45172.0)</f>
        <v>45172</v>
      </c>
      <c r="L57" s="146">
        <f>IFERROR(__xludf.DUMMYFUNCTION("""COMPUTED_VALUE"""),0.9583333333333334)</f>
        <v>0.9583333333</v>
      </c>
      <c r="M57" s="115" t="str">
        <f>IFERROR(__xludf.DUMMYFUNCTION("""COMPUTED_VALUE"""),"Here Forever")</f>
        <v>Here Forever</v>
      </c>
      <c r="N57" s="112" t="str">
        <f>IFERROR(__xludf.DUMMYFUNCTION("""COMPUTED_VALUE"""),"")</f>
        <v/>
      </c>
      <c r="O57" s="112" t="str">
        <f>IFERROR(__xludf.DUMMYFUNCTION("""COMPUTED_VALUE"""),"")</f>
        <v/>
      </c>
      <c r="P57" s="112" t="str">
        <f>IFERROR(__xludf.DUMMYFUNCTION("""COMPUTED_VALUE"""),"Faz o L")</f>
        <v>Faz o L</v>
      </c>
      <c r="Q57" s="115"/>
      <c r="R57" s="115"/>
      <c r="S57" s="115"/>
      <c r="T57" s="112"/>
      <c r="U57" s="153" t="str">
        <f>IFERROR(__xludf.DUMMYFUNCTION("""COMPUTED_VALUE"""),"")</f>
        <v/>
      </c>
      <c r="V57" s="96"/>
      <c r="W57" s="96"/>
      <c r="X57" s="93"/>
      <c r="Y57" s="95"/>
    </row>
    <row r="58" ht="18.75" customHeight="1" outlineLevel="1">
      <c r="A58" s="95"/>
      <c r="B58" s="93"/>
      <c r="C58" s="93"/>
      <c r="D58" s="120"/>
      <c r="E58" s="121"/>
      <c r="F58" s="96"/>
      <c r="G58" s="133"/>
      <c r="H58" s="133"/>
      <c r="I58" s="96"/>
      <c r="J58" s="150">
        <f>IFERROR(__xludf.DUMMYFUNCTION("""COMPUTED_VALUE"""),42.0)</f>
        <v>42</v>
      </c>
      <c r="K58" s="145">
        <f>IFERROR(__xludf.DUMMYFUNCTION("""COMPUTED_VALUE"""),45172.0)</f>
        <v>45172</v>
      </c>
      <c r="L58" s="146">
        <f>IFERROR(__xludf.DUMMYFUNCTION("""COMPUTED_VALUE"""),0.625)</f>
        <v>0.625</v>
      </c>
      <c r="M58" s="115" t="str">
        <f>IFERROR(__xludf.DUMMYFUNCTION("""COMPUTED_VALUE"""),"VN+1")</f>
        <v>VN+1</v>
      </c>
      <c r="N58" s="112" t="str">
        <f>IFERROR(__xludf.DUMMYFUNCTION("""COMPUTED_VALUE"""),"6")</f>
        <v>6</v>
      </c>
      <c r="O58" s="112" t="str">
        <f>IFERROR(__xludf.DUMMYFUNCTION("""COMPUTED_VALUE"""),"5")</f>
        <v>5</v>
      </c>
      <c r="P58" s="112" t="str">
        <f>IFERROR(__xludf.DUMMYFUNCTION("""COMPUTED_VALUE"""),"PES E9L9")</f>
        <v>PES E9L9</v>
      </c>
      <c r="Q58" s="115" t="str">
        <f>IFERROR(__xludf.DUMMYFUNCTION("""COMPUTED_VALUE"""),"RudderFish07")</f>
        <v>RudderFish07</v>
      </c>
      <c r="R58" s="115"/>
      <c r="S58" s="115"/>
      <c r="T58" s="112"/>
      <c r="U58" s="116" t="str">
        <f>IFERROR(__xludf.DUMMYFUNCTION("""COMPUTED_VALUE"""),"https://osu.ppy.sh/community/matches/110313675")</f>
        <v>https://osu.ppy.sh/community/matches/110313675</v>
      </c>
      <c r="V58" s="96"/>
      <c r="W58" s="96"/>
      <c r="X58" s="93"/>
      <c r="Y58" s="95"/>
    </row>
    <row r="59" ht="18.75" hidden="1" customHeight="1" outlineLevel="1">
      <c r="A59" s="95"/>
      <c r="B59" s="93"/>
      <c r="C59" s="93"/>
      <c r="D59" s="120"/>
      <c r="E59" s="121"/>
      <c r="F59" s="96"/>
      <c r="G59" s="133"/>
      <c r="H59" s="133"/>
      <c r="I59" s="96"/>
      <c r="J59" s="152" t="str">
        <f>IFERROR(__xludf.DUMMYFUNCTION("""COMPUTED_VALUE"""),"42a")</f>
        <v>42a</v>
      </c>
      <c r="K59" s="145">
        <f>IFERROR(__xludf.DUMMYFUNCTION("""COMPUTED_VALUE"""),45172.0)</f>
        <v>45172</v>
      </c>
      <c r="L59" s="146">
        <f>IFERROR(__xludf.DUMMYFUNCTION("""COMPUTED_VALUE"""),0.625)</f>
        <v>0.625</v>
      </c>
      <c r="M59" s="115" t="str">
        <f>IFERROR(__xludf.DUMMYFUNCTION("""COMPUTED_VALUE"""),"VN+1")</f>
        <v>VN+1</v>
      </c>
      <c r="N59" s="112" t="str">
        <f>IFERROR(__xludf.DUMMYFUNCTION("""COMPUTED_VALUE"""),"")</f>
        <v/>
      </c>
      <c r="O59" s="112" t="str">
        <f>IFERROR(__xludf.DUMMYFUNCTION("""COMPUTED_VALUE"""),"")</f>
        <v/>
      </c>
      <c r="P59" s="112" t="str">
        <f>IFERROR(__xludf.DUMMYFUNCTION("""COMPUTED_VALUE"""),"cake")</f>
        <v>cake</v>
      </c>
      <c r="Q59" s="115"/>
      <c r="R59" s="115"/>
      <c r="S59" s="115"/>
      <c r="T59" s="112"/>
      <c r="U59" s="153" t="str">
        <f>IFERROR(__xludf.DUMMYFUNCTION("""COMPUTED_VALUE"""),"")</f>
        <v/>
      </c>
      <c r="V59" s="96"/>
      <c r="W59" s="96"/>
      <c r="X59" s="93"/>
      <c r="Y59" s="95"/>
    </row>
    <row r="60" ht="18.75" hidden="1" customHeight="1" outlineLevel="1">
      <c r="A60" s="95"/>
      <c r="B60" s="93"/>
      <c r="C60" s="93"/>
      <c r="D60" s="120"/>
      <c r="E60" s="121"/>
      <c r="F60" s="96"/>
      <c r="G60" s="133"/>
      <c r="H60" s="133"/>
      <c r="I60" s="96"/>
      <c r="J60" s="152" t="str">
        <f>IFERROR(__xludf.DUMMYFUNCTION("""COMPUTED_VALUE"""),"42b")</f>
        <v>42b</v>
      </c>
      <c r="K60" s="145">
        <f>IFERROR(__xludf.DUMMYFUNCTION("""COMPUTED_VALUE"""),45172.0)</f>
        <v>45172</v>
      </c>
      <c r="L60" s="146">
        <f>IFERROR(__xludf.DUMMYFUNCTION("""COMPUTED_VALUE"""),0.5)</f>
        <v>0.5</v>
      </c>
      <c r="M60" s="115" t="str">
        <f>IFERROR(__xludf.DUMMYFUNCTION("""COMPUTED_VALUE"""),"VN+1")</f>
        <v>VN+1</v>
      </c>
      <c r="N60" s="112" t="str">
        <f>IFERROR(__xludf.DUMMYFUNCTION("""COMPUTED_VALUE"""),"")</f>
        <v/>
      </c>
      <c r="O60" s="112" t="str">
        <f>IFERROR(__xludf.DUMMYFUNCTION("""COMPUTED_VALUE"""),"")</f>
        <v/>
      </c>
      <c r="P60" s="112" t="str">
        <f>IFERROR(__xludf.DUMMYFUNCTION("""COMPUTED_VALUE"""),"PES E9L9")</f>
        <v>PES E9L9</v>
      </c>
      <c r="Q60" s="115"/>
      <c r="R60" s="115"/>
      <c r="S60" s="115"/>
      <c r="T60" s="112"/>
      <c r="U60" s="153" t="str">
        <f>IFERROR(__xludf.DUMMYFUNCTION("""COMPUTED_VALUE"""),"")</f>
        <v/>
      </c>
      <c r="V60" s="96"/>
      <c r="W60" s="96"/>
      <c r="X60" s="93"/>
      <c r="Y60" s="95"/>
    </row>
    <row r="61" ht="18.75" hidden="1" customHeight="1" outlineLevel="1">
      <c r="A61" s="95"/>
      <c r="B61" s="93"/>
      <c r="C61" s="93"/>
      <c r="D61" s="120"/>
      <c r="E61" s="121"/>
      <c r="F61" s="96"/>
      <c r="G61" s="133"/>
      <c r="H61" s="133"/>
      <c r="I61" s="96"/>
      <c r="J61" s="152" t="str">
        <f>IFERROR(__xludf.DUMMYFUNCTION("""COMPUTED_VALUE"""),"42c")</f>
        <v>42c</v>
      </c>
      <c r="K61" s="145">
        <f>IFERROR(__xludf.DUMMYFUNCTION("""COMPUTED_VALUE"""),45172.0)</f>
        <v>45172</v>
      </c>
      <c r="L61" s="146">
        <f>IFERROR(__xludf.DUMMYFUNCTION("""COMPUTED_VALUE"""),0.6666666666666666)</f>
        <v>0.6666666667</v>
      </c>
      <c r="M61" s="115" t="str">
        <f>IFERROR(__xludf.DUMMYFUNCTION("""COMPUTED_VALUE"""),"Dino Nuggies")</f>
        <v>Dino Nuggies</v>
      </c>
      <c r="N61" s="112" t="str">
        <f>IFERROR(__xludf.DUMMYFUNCTION("""COMPUTED_VALUE"""),"")</f>
        <v/>
      </c>
      <c r="O61" s="112" t="str">
        <f>IFERROR(__xludf.DUMMYFUNCTION("""COMPUTED_VALUE"""),"")</f>
        <v/>
      </c>
      <c r="P61" s="112" t="str">
        <f>IFERROR(__xludf.DUMMYFUNCTION("""COMPUTED_VALUE"""),"cake")</f>
        <v>cake</v>
      </c>
      <c r="Q61" s="115"/>
      <c r="R61" s="115"/>
      <c r="S61" s="115"/>
      <c r="T61" s="112"/>
      <c r="U61" s="153" t="str">
        <f>IFERROR(__xludf.DUMMYFUNCTION("""COMPUTED_VALUE"""),"")</f>
        <v/>
      </c>
      <c r="V61" s="96"/>
      <c r="W61" s="96"/>
      <c r="X61" s="93"/>
      <c r="Y61" s="95"/>
    </row>
    <row r="62" ht="18.75" hidden="1" customHeight="1" outlineLevel="1">
      <c r="A62" s="95"/>
      <c r="B62" s="93"/>
      <c r="C62" s="93"/>
      <c r="D62" s="120"/>
      <c r="E62" s="121"/>
      <c r="F62" s="96"/>
      <c r="G62" s="133"/>
      <c r="H62" s="133"/>
      <c r="I62" s="96"/>
      <c r="J62" s="152" t="str">
        <f>IFERROR(__xludf.DUMMYFUNCTION("""COMPUTED_VALUE"""),"42d")</f>
        <v>42d</v>
      </c>
      <c r="K62" s="145">
        <f>IFERROR(__xludf.DUMMYFUNCTION("""COMPUTED_VALUE"""),45172.0)</f>
        <v>45172</v>
      </c>
      <c r="L62" s="146">
        <f>IFERROR(__xludf.DUMMYFUNCTION("""COMPUTED_VALUE"""),0.625)</f>
        <v>0.625</v>
      </c>
      <c r="M62" s="115" t="str">
        <f>IFERROR(__xludf.DUMMYFUNCTION("""COMPUTED_VALUE"""),"Dino Nuggies")</f>
        <v>Dino Nuggies</v>
      </c>
      <c r="N62" s="112" t="str">
        <f>IFERROR(__xludf.DUMMYFUNCTION("""COMPUTED_VALUE"""),"")</f>
        <v/>
      </c>
      <c r="O62" s="112" t="str">
        <f>IFERROR(__xludf.DUMMYFUNCTION("""COMPUTED_VALUE"""),"")</f>
        <v/>
      </c>
      <c r="P62" s="112" t="str">
        <f>IFERROR(__xludf.DUMMYFUNCTION("""COMPUTED_VALUE"""),"PES E9L9")</f>
        <v>PES E9L9</v>
      </c>
      <c r="Q62" s="115"/>
      <c r="R62" s="115"/>
      <c r="S62" s="115"/>
      <c r="T62" s="112"/>
      <c r="U62" s="153" t="str">
        <f>IFERROR(__xludf.DUMMYFUNCTION("""COMPUTED_VALUE"""),"")</f>
        <v/>
      </c>
      <c r="V62" s="96"/>
      <c r="W62" s="96"/>
      <c r="X62" s="93"/>
      <c r="Y62" s="95"/>
    </row>
    <row r="63" ht="18.75" customHeight="1" outlineLevel="1">
      <c r="A63" s="95"/>
      <c r="B63" s="93"/>
      <c r="C63" s="93"/>
      <c r="D63" s="120"/>
      <c r="E63" s="121"/>
      <c r="F63" s="96"/>
      <c r="G63" s="133"/>
      <c r="H63" s="133"/>
      <c r="I63" s="96"/>
      <c r="J63" s="150">
        <f>IFERROR(__xludf.DUMMYFUNCTION("""COMPUTED_VALUE"""),43.0)</f>
        <v>43</v>
      </c>
      <c r="K63" s="145">
        <f>IFERROR(__xludf.DUMMYFUNCTION("""COMPUTED_VALUE"""),45172.0)</f>
        <v>45172</v>
      </c>
      <c r="L63" s="146">
        <f>IFERROR(__xludf.DUMMYFUNCTION("""COMPUTED_VALUE"""),0.5833333333333334)</f>
        <v>0.5833333333</v>
      </c>
      <c r="M63" s="115" t="str">
        <f>IFERROR(__xludf.DUMMYFUNCTION("""COMPUTED_VALUE"""),"Team name pending xd")</f>
        <v>Team name pending xd</v>
      </c>
      <c r="N63" s="112" t="str">
        <f>IFERROR(__xludf.DUMMYFUNCTION("""COMPUTED_VALUE"""),"0")</f>
        <v>0</v>
      </c>
      <c r="O63" s="112" t="str">
        <f>IFERROR(__xludf.DUMMYFUNCTION("""COMPUTED_VALUE"""),"6")</f>
        <v>6</v>
      </c>
      <c r="P63" s="112" t="str">
        <f>IFERROR(__xludf.DUMMYFUNCTION("""COMPUTED_VALUE"""),"Chocomaid")</f>
        <v>Chocomaid</v>
      </c>
      <c r="Q63" s="115" t="str">
        <f>IFERROR(__xludf.DUMMYFUNCTION("""COMPUTED_VALUE"""),"reforna")</f>
        <v>reforna</v>
      </c>
      <c r="R63" s="115"/>
      <c r="S63" s="115"/>
      <c r="T63" s="112"/>
      <c r="U63" s="116" t="str">
        <f>IFERROR(__xludf.DUMMYFUNCTION("""COMPUTED_VALUE"""),"https://osu.ppy.sh/community/matches/110298939")</f>
        <v>https://osu.ppy.sh/community/matches/110298939</v>
      </c>
      <c r="V63" s="96"/>
      <c r="W63" s="96"/>
      <c r="X63" s="93"/>
      <c r="Y63" s="95"/>
    </row>
    <row r="64" ht="18.75" hidden="1" customHeight="1" outlineLevel="1">
      <c r="A64" s="95"/>
      <c r="B64" s="93"/>
      <c r="C64" s="93"/>
      <c r="D64" s="120"/>
      <c r="E64" s="121"/>
      <c r="F64" s="96"/>
      <c r="G64" s="133"/>
      <c r="H64" s="133"/>
      <c r="I64" s="96"/>
      <c r="J64" s="152" t="str">
        <f>IFERROR(__xludf.DUMMYFUNCTION("""COMPUTED_VALUE"""),"43a")</f>
        <v>43a</v>
      </c>
      <c r="K64" s="145">
        <f>IFERROR(__xludf.DUMMYFUNCTION("""COMPUTED_VALUE"""),45172.0)</f>
        <v>45172</v>
      </c>
      <c r="L64" s="146">
        <f>IFERROR(__xludf.DUMMYFUNCTION("""COMPUTED_VALUE"""),0.5833333333333334)</f>
        <v>0.5833333333</v>
      </c>
      <c r="M64" s="115" t="str">
        <f>IFERROR(__xludf.DUMMYFUNCTION("""COMPUTED_VALUE"""),"Team name pending xd")</f>
        <v>Team name pending xd</v>
      </c>
      <c r="N64" s="112" t="str">
        <f>IFERROR(__xludf.DUMMYFUNCTION("""COMPUTED_VALUE"""),"")</f>
        <v/>
      </c>
      <c r="O64" s="112" t="str">
        <f>IFERROR(__xludf.DUMMYFUNCTION("""COMPUTED_VALUE"""),"")</f>
        <v/>
      </c>
      <c r="P64" s="112" t="str">
        <f>IFERROR(__xludf.DUMMYFUNCTION("""COMPUTED_VALUE"""),"Chocomaid")</f>
        <v>Chocomaid</v>
      </c>
      <c r="Q64" s="115"/>
      <c r="R64" s="115"/>
      <c r="S64" s="115"/>
      <c r="T64" s="112"/>
      <c r="U64" s="153" t="str">
        <f>IFERROR(__xludf.DUMMYFUNCTION("""COMPUTED_VALUE"""),"")</f>
        <v/>
      </c>
      <c r="V64" s="96"/>
      <c r="W64" s="96"/>
      <c r="X64" s="93"/>
      <c r="Y64" s="95"/>
    </row>
    <row r="65" ht="18.75" hidden="1" customHeight="1" outlineLevel="1">
      <c r="A65" s="95"/>
      <c r="B65" s="93"/>
      <c r="C65" s="93"/>
      <c r="D65" s="120"/>
      <c r="E65" s="121"/>
      <c r="F65" s="96"/>
      <c r="G65" s="133"/>
      <c r="H65" s="133"/>
      <c r="I65" s="96"/>
      <c r="J65" s="152" t="str">
        <f>IFERROR(__xludf.DUMMYFUNCTION("""COMPUTED_VALUE"""),"43b")</f>
        <v>43b</v>
      </c>
      <c r="K65" s="145">
        <f>IFERROR(__xludf.DUMMYFUNCTION("""COMPUTED_VALUE"""),45172.0)</f>
        <v>45172</v>
      </c>
      <c r="L65" s="146">
        <f>IFERROR(__xludf.DUMMYFUNCTION("""COMPUTED_VALUE"""),0.5833333333333334)</f>
        <v>0.5833333333</v>
      </c>
      <c r="M65" s="115" t="str">
        <f>IFERROR(__xludf.DUMMYFUNCTION("""COMPUTED_VALUE"""),"Team name pending xd")</f>
        <v>Team name pending xd</v>
      </c>
      <c r="N65" s="112" t="str">
        <f>IFERROR(__xludf.DUMMYFUNCTION("""COMPUTED_VALUE"""),"")</f>
        <v/>
      </c>
      <c r="O65" s="112" t="str">
        <f>IFERROR(__xludf.DUMMYFUNCTION("""COMPUTED_VALUE"""),"")</f>
        <v/>
      </c>
      <c r="P65" s="112" t="str">
        <f>IFERROR(__xludf.DUMMYFUNCTION("""COMPUTED_VALUE"""),"Sightread Buff")</f>
        <v>Sightread Buff</v>
      </c>
      <c r="Q65" s="115"/>
      <c r="R65" s="115"/>
      <c r="S65" s="115"/>
      <c r="T65" s="112"/>
      <c r="U65" s="153" t="str">
        <f>IFERROR(__xludf.DUMMYFUNCTION("""COMPUTED_VALUE"""),"")</f>
        <v/>
      </c>
      <c r="V65" s="96"/>
      <c r="W65" s="96"/>
      <c r="X65" s="93"/>
      <c r="Y65" s="95"/>
    </row>
    <row r="66" ht="18.75" hidden="1" customHeight="1" outlineLevel="1">
      <c r="A66" s="95"/>
      <c r="B66" s="93"/>
      <c r="C66" s="93"/>
      <c r="D66" s="120"/>
      <c r="E66" s="121"/>
      <c r="F66" s="96"/>
      <c r="G66" s="133"/>
      <c r="H66" s="133"/>
      <c r="I66" s="96"/>
      <c r="J66" s="152" t="str">
        <f>IFERROR(__xludf.DUMMYFUNCTION("""COMPUTED_VALUE"""),"43c")</f>
        <v>43c</v>
      </c>
      <c r="K66" s="145">
        <f>IFERROR(__xludf.DUMMYFUNCTION("""COMPUTED_VALUE"""),45172.0)</f>
        <v>45172</v>
      </c>
      <c r="L66" s="146">
        <f>IFERROR(__xludf.DUMMYFUNCTION("""COMPUTED_VALUE"""),0.625)</f>
        <v>0.625</v>
      </c>
      <c r="M66" s="115" t="str">
        <f>IFERROR(__xludf.DUMMYFUNCTION("""COMPUTED_VALUE"""),"equipe câo")</f>
        <v>equipe câo</v>
      </c>
      <c r="N66" s="112" t="str">
        <f>IFERROR(__xludf.DUMMYFUNCTION("""COMPUTED_VALUE"""),"")</f>
        <v/>
      </c>
      <c r="O66" s="112" t="str">
        <f>IFERROR(__xludf.DUMMYFUNCTION("""COMPUTED_VALUE"""),"")</f>
        <v/>
      </c>
      <c r="P66" s="112" t="str">
        <f>IFERROR(__xludf.DUMMYFUNCTION("""COMPUTED_VALUE"""),"Chocomaid")</f>
        <v>Chocomaid</v>
      </c>
      <c r="Q66" s="115"/>
      <c r="R66" s="115"/>
      <c r="S66" s="115"/>
      <c r="T66" s="112"/>
      <c r="U66" s="153" t="str">
        <f>IFERROR(__xludf.DUMMYFUNCTION("""COMPUTED_VALUE"""),"")</f>
        <v/>
      </c>
      <c r="V66" s="96"/>
      <c r="W66" s="96"/>
      <c r="X66" s="93"/>
      <c r="Y66" s="95"/>
    </row>
    <row r="67" ht="18.75" hidden="1" customHeight="1" outlineLevel="1">
      <c r="A67" s="95"/>
      <c r="B67" s="93"/>
      <c r="C67" s="93"/>
      <c r="D67" s="120"/>
      <c r="E67" s="121"/>
      <c r="F67" s="96"/>
      <c r="G67" s="133"/>
      <c r="H67" s="133"/>
      <c r="I67" s="96"/>
      <c r="J67" s="152" t="str">
        <f>IFERROR(__xludf.DUMMYFUNCTION("""COMPUTED_VALUE"""),"43d")</f>
        <v>43d</v>
      </c>
      <c r="K67" s="145">
        <f>IFERROR(__xludf.DUMMYFUNCTION("""COMPUTED_VALUE"""),45172.0)</f>
        <v>45172</v>
      </c>
      <c r="L67" s="146">
        <f>IFERROR(__xludf.DUMMYFUNCTION("""COMPUTED_VALUE"""),0.75)</f>
        <v>0.75</v>
      </c>
      <c r="M67" s="115" t="str">
        <f>IFERROR(__xludf.DUMMYFUNCTION("""COMPUTED_VALUE"""),"equipe câo")</f>
        <v>equipe câo</v>
      </c>
      <c r="N67" s="112" t="str">
        <f>IFERROR(__xludf.DUMMYFUNCTION("""COMPUTED_VALUE"""),"")</f>
        <v/>
      </c>
      <c r="O67" s="112" t="str">
        <f>IFERROR(__xludf.DUMMYFUNCTION("""COMPUTED_VALUE"""),"")</f>
        <v/>
      </c>
      <c r="P67" s="112" t="str">
        <f>IFERROR(__xludf.DUMMYFUNCTION("""COMPUTED_VALUE"""),"Sightread Buff")</f>
        <v>Sightread Buff</v>
      </c>
      <c r="Q67" s="115"/>
      <c r="R67" s="115"/>
      <c r="S67" s="115"/>
      <c r="T67" s="112"/>
      <c r="U67" s="153" t="str">
        <f>IFERROR(__xludf.DUMMYFUNCTION("""COMPUTED_VALUE"""),"")</f>
        <v/>
      </c>
      <c r="V67" s="96"/>
      <c r="W67" s="96"/>
      <c r="X67" s="93"/>
      <c r="Y67" s="95"/>
    </row>
    <row r="68" ht="18.75" customHeight="1" outlineLevel="1">
      <c r="A68" s="95"/>
      <c r="B68" s="93"/>
      <c r="C68" s="93"/>
      <c r="D68" s="120"/>
      <c r="E68" s="121"/>
      <c r="F68" s="96"/>
      <c r="G68" s="133"/>
      <c r="H68" s="133"/>
      <c r="I68" s="96"/>
      <c r="J68" s="150">
        <f>IFERROR(__xludf.DUMMYFUNCTION("""COMPUTED_VALUE"""),44.0)</f>
        <v>44</v>
      </c>
      <c r="K68" s="145">
        <f>IFERROR(__xludf.DUMMYFUNCTION("""COMPUTED_VALUE"""),45172.0)</f>
        <v>45172</v>
      </c>
      <c r="L68" s="146">
        <f>IFERROR(__xludf.DUMMYFUNCTION("""COMPUTED_VALUE"""),0.5833333333333334)</f>
        <v>0.5833333333</v>
      </c>
      <c r="M68" s="115" t="str">
        <f>IFERROR(__xludf.DUMMYFUNCTION("""COMPUTED_VALUE"""),"Kittens")</f>
        <v>Kittens</v>
      </c>
      <c r="N68" s="112" t="str">
        <f>IFERROR(__xludf.DUMMYFUNCTION("""COMPUTED_VALUE"""),"4")</f>
        <v>4</v>
      </c>
      <c r="O68" s="112" t="str">
        <f>IFERROR(__xludf.DUMMYFUNCTION("""COMPUTED_VALUE"""),"6")</f>
        <v>6</v>
      </c>
      <c r="P68" s="112" t="str">
        <f>IFERROR(__xludf.DUMMYFUNCTION("""COMPUTED_VALUE"""),"The sleepers")</f>
        <v>The sleepers</v>
      </c>
      <c r="Q68" s="115" t="str">
        <f>IFERROR(__xludf.DUMMYFUNCTION("""COMPUTED_VALUE"""),"Emerald Ages")</f>
        <v>Emerald Ages</v>
      </c>
      <c r="R68" s="115"/>
      <c r="S68" s="115"/>
      <c r="T68" s="112"/>
      <c r="U68" s="116" t="str">
        <f>IFERROR(__xludf.DUMMYFUNCTION("""COMPUTED_VALUE"""),"https://osu.ppy.sh/community/matches/110300869")</f>
        <v>https://osu.ppy.sh/community/matches/110300869</v>
      </c>
      <c r="V68" s="96"/>
      <c r="W68" s="96"/>
      <c r="X68" s="93"/>
      <c r="Y68" s="95"/>
    </row>
    <row r="69" ht="18.75" hidden="1" customHeight="1" outlineLevel="1">
      <c r="A69" s="95"/>
      <c r="B69" s="93"/>
      <c r="C69" s="93"/>
      <c r="D69" s="120"/>
      <c r="E69" s="121"/>
      <c r="F69" s="96"/>
      <c r="G69" s="133"/>
      <c r="H69" s="133"/>
      <c r="I69" s="96"/>
      <c r="J69" s="152" t="str">
        <f>IFERROR(__xludf.DUMMYFUNCTION("""COMPUTED_VALUE"""),"44a")</f>
        <v>44a</v>
      </c>
      <c r="K69" s="145">
        <f>IFERROR(__xludf.DUMMYFUNCTION("""COMPUTED_VALUE"""),45172.0)</f>
        <v>45172</v>
      </c>
      <c r="L69" s="146">
        <f>IFERROR(__xludf.DUMMYFUNCTION("""COMPUTED_VALUE"""),0.5833333333333334)</f>
        <v>0.5833333333</v>
      </c>
      <c r="M69" s="115" t="str">
        <f>IFERROR(__xludf.DUMMYFUNCTION("""COMPUTED_VALUE"""),"Kittens")</f>
        <v>Kittens</v>
      </c>
      <c r="N69" s="112" t="str">
        <f>IFERROR(__xludf.DUMMYFUNCTION("""COMPUTED_VALUE"""),"")</f>
        <v/>
      </c>
      <c r="O69" s="112" t="str">
        <f>IFERROR(__xludf.DUMMYFUNCTION("""COMPUTED_VALUE"""),"")</f>
        <v/>
      </c>
      <c r="P69" s="112" t="str">
        <f>IFERROR(__xludf.DUMMYFUNCTION("""COMPUTED_VALUE"""),"foxy1919191919's basement")</f>
        <v>foxy1919191919's basement</v>
      </c>
      <c r="Q69" s="115"/>
      <c r="R69" s="115"/>
      <c r="S69" s="115"/>
      <c r="T69" s="112"/>
      <c r="U69" s="153" t="str">
        <f>IFERROR(__xludf.DUMMYFUNCTION("""COMPUTED_VALUE"""),"")</f>
        <v/>
      </c>
      <c r="V69" s="96"/>
      <c r="W69" s="96"/>
      <c r="X69" s="93"/>
      <c r="Y69" s="95"/>
    </row>
    <row r="70" ht="18.75" hidden="1" customHeight="1" outlineLevel="1">
      <c r="A70" s="95"/>
      <c r="B70" s="93"/>
      <c r="C70" s="93"/>
      <c r="D70" s="120"/>
      <c r="E70" s="121"/>
      <c r="F70" s="96"/>
      <c r="G70" s="133"/>
      <c r="H70" s="133"/>
      <c r="I70" s="96"/>
      <c r="J70" s="152" t="str">
        <f>IFERROR(__xludf.DUMMYFUNCTION("""COMPUTED_VALUE"""),"44b")</f>
        <v>44b</v>
      </c>
      <c r="K70" s="145">
        <f>IFERROR(__xludf.DUMMYFUNCTION("""COMPUTED_VALUE"""),45172.0)</f>
        <v>45172</v>
      </c>
      <c r="L70" s="146">
        <f>IFERROR(__xludf.DUMMYFUNCTION("""COMPUTED_VALUE"""),0.5833333333333334)</f>
        <v>0.5833333333</v>
      </c>
      <c r="M70" s="115" t="str">
        <f>IFERROR(__xludf.DUMMYFUNCTION("""COMPUTED_VALUE"""),"Kittens")</f>
        <v>Kittens</v>
      </c>
      <c r="N70" s="112" t="str">
        <f>IFERROR(__xludf.DUMMYFUNCTION("""COMPUTED_VALUE"""),"")</f>
        <v/>
      </c>
      <c r="O70" s="112" t="str">
        <f>IFERROR(__xludf.DUMMYFUNCTION("""COMPUTED_VALUE"""),"")</f>
        <v/>
      </c>
      <c r="P70" s="112" t="str">
        <f>IFERROR(__xludf.DUMMYFUNCTION("""COMPUTED_VALUE"""),"The sleepers")</f>
        <v>The sleepers</v>
      </c>
      <c r="Q70" s="115"/>
      <c r="R70" s="115"/>
      <c r="S70" s="115"/>
      <c r="T70" s="112"/>
      <c r="U70" s="153" t="str">
        <f>IFERROR(__xludf.DUMMYFUNCTION("""COMPUTED_VALUE"""),"")</f>
        <v/>
      </c>
      <c r="V70" s="96"/>
      <c r="W70" s="96"/>
      <c r="X70" s="93"/>
      <c r="Y70" s="95"/>
    </row>
    <row r="71" ht="18.75" hidden="1" customHeight="1" outlineLevel="1">
      <c r="A71" s="95"/>
      <c r="B71" s="93"/>
      <c r="C71" s="93"/>
      <c r="D71" s="120"/>
      <c r="E71" s="121"/>
      <c r="F71" s="96"/>
      <c r="G71" s="133"/>
      <c r="H71" s="133"/>
      <c r="I71" s="96"/>
      <c r="J71" s="152" t="str">
        <f>IFERROR(__xludf.DUMMYFUNCTION("""COMPUTED_VALUE"""),"44c")</f>
        <v>44c</v>
      </c>
      <c r="K71" s="145">
        <f>IFERROR(__xludf.DUMMYFUNCTION("""COMPUTED_VALUE"""),45172.0)</f>
        <v>45172</v>
      </c>
      <c r="L71" s="146">
        <f>IFERROR(__xludf.DUMMYFUNCTION("""COMPUTED_VALUE"""),0.3333333333333333)</f>
        <v>0.3333333333</v>
      </c>
      <c r="M71" s="115" t="str">
        <f>IFERROR(__xludf.DUMMYFUNCTION("""COMPUTED_VALUE"""),"PLDT ANO NAAA")</f>
        <v>PLDT ANO NAAA</v>
      </c>
      <c r="N71" s="112" t="str">
        <f>IFERROR(__xludf.DUMMYFUNCTION("""COMPUTED_VALUE"""),"")</f>
        <v/>
      </c>
      <c r="O71" s="112" t="str">
        <f>IFERROR(__xludf.DUMMYFUNCTION("""COMPUTED_VALUE"""),"")</f>
        <v/>
      </c>
      <c r="P71" s="112" t="str">
        <f>IFERROR(__xludf.DUMMYFUNCTION("""COMPUTED_VALUE"""),"foxy1919191919's basement")</f>
        <v>foxy1919191919's basement</v>
      </c>
      <c r="Q71" s="115"/>
      <c r="R71" s="115"/>
      <c r="S71" s="115"/>
      <c r="T71" s="112"/>
      <c r="U71" s="153" t="str">
        <f>IFERROR(__xludf.DUMMYFUNCTION("""COMPUTED_VALUE"""),"")</f>
        <v/>
      </c>
      <c r="V71" s="96"/>
      <c r="W71" s="96"/>
      <c r="X71" s="93"/>
      <c r="Y71" s="95"/>
    </row>
    <row r="72" ht="18.75" hidden="1" customHeight="1" outlineLevel="1">
      <c r="A72" s="95"/>
      <c r="B72" s="93"/>
      <c r="C72" s="93"/>
      <c r="D72" s="120"/>
      <c r="E72" s="121"/>
      <c r="F72" s="96"/>
      <c r="G72" s="133"/>
      <c r="H72" s="133"/>
      <c r="I72" s="96"/>
      <c r="J72" s="154" t="str">
        <f>IFERROR(__xludf.DUMMYFUNCTION("""COMPUTED_VALUE"""),"44d")</f>
        <v>44d</v>
      </c>
      <c r="K72" s="148">
        <f>IFERROR(__xludf.DUMMYFUNCTION("""COMPUTED_VALUE"""),45172.0)</f>
        <v>45172</v>
      </c>
      <c r="L72" s="149">
        <f>IFERROR(__xludf.DUMMYFUNCTION("""COMPUTED_VALUE"""),0.5833333333333334)</f>
        <v>0.5833333333</v>
      </c>
      <c r="M72" s="139" t="str">
        <f>IFERROR(__xludf.DUMMYFUNCTION("""COMPUTED_VALUE"""),"PLDT ANO NAAA")</f>
        <v>PLDT ANO NAAA</v>
      </c>
      <c r="N72" s="136" t="str">
        <f>IFERROR(__xludf.DUMMYFUNCTION("""COMPUTED_VALUE"""),"")</f>
        <v/>
      </c>
      <c r="O72" s="136" t="str">
        <f>IFERROR(__xludf.DUMMYFUNCTION("""COMPUTED_VALUE"""),"")</f>
        <v/>
      </c>
      <c r="P72" s="136" t="str">
        <f>IFERROR(__xludf.DUMMYFUNCTION("""COMPUTED_VALUE"""),"The sleepers")</f>
        <v>The sleepers</v>
      </c>
      <c r="Q72" s="139"/>
      <c r="R72" s="139"/>
      <c r="S72" s="139"/>
      <c r="T72" s="136"/>
      <c r="U72" s="155" t="str">
        <f>IFERROR(__xludf.DUMMYFUNCTION("""COMPUTED_VALUE"""),"")</f>
        <v/>
      </c>
      <c r="V72" s="96"/>
      <c r="W72" s="96"/>
      <c r="X72" s="93"/>
      <c r="Y72" s="95"/>
    </row>
    <row r="73" ht="18.75" customHeight="1" outlineLevel="1">
      <c r="A73" s="95"/>
      <c r="B73" s="93"/>
      <c r="C73" s="93"/>
      <c r="D73" s="120"/>
      <c r="E73" s="121"/>
      <c r="F73" s="96"/>
      <c r="G73" s="111"/>
      <c r="H73" s="96"/>
      <c r="I73" s="96"/>
      <c r="J73" s="156">
        <f>IFERROR(__xludf.DUMMYFUNCTION("""COMPUTED_VALUE"""),45.0)</f>
        <v>45</v>
      </c>
      <c r="K73" s="157">
        <f>IFERROR(__xludf.DUMMYFUNCTION("""COMPUTED_VALUE"""),45171.0)</f>
        <v>45171</v>
      </c>
      <c r="L73" s="158">
        <f>IFERROR(__xludf.DUMMYFUNCTION("""COMPUTED_VALUE"""),0.5416666666666666)</f>
        <v>0.5416666667</v>
      </c>
      <c r="M73" s="159" t="str">
        <f>IFERROR(__xludf.DUMMYFUNCTION("""COMPUTED_VALUE"""),"small wiener club")</f>
        <v>small wiener club</v>
      </c>
      <c r="N73" s="156" t="str">
        <f>IFERROR(__xludf.DUMMYFUNCTION("""COMPUTED_VALUE"""),"2")</f>
        <v>2</v>
      </c>
      <c r="O73" s="156" t="str">
        <f>IFERROR(__xludf.DUMMYFUNCTION("""COMPUTED_VALUE"""),"6")</f>
        <v>6</v>
      </c>
      <c r="P73" s="156" t="str">
        <f>IFERROR(__xludf.DUMMYFUNCTION("""COMPUTED_VALUE"""),"placeholder teamname")</f>
        <v>placeholder teamname</v>
      </c>
      <c r="Q73" s="159" t="str">
        <f>IFERROR(__xludf.DUMMYFUNCTION("""COMPUTED_VALUE"""),"Emerald Ages")</f>
        <v>Emerald Ages</v>
      </c>
      <c r="R73" s="159"/>
      <c r="S73" s="159"/>
      <c r="T73" s="156"/>
      <c r="U73" s="160" t="str">
        <f>IFERROR(__xludf.DUMMYFUNCTION("""COMPUTED_VALUE"""),"https://osu.ppy.sh/community/matches/110282200")</f>
        <v>https://osu.ppy.sh/community/matches/110282200</v>
      </c>
      <c r="V73" s="96"/>
      <c r="W73" s="96"/>
      <c r="X73" s="93"/>
      <c r="Y73" s="95"/>
    </row>
    <row r="74" ht="18.75" customHeight="1" outlineLevel="1">
      <c r="A74" s="95"/>
      <c r="B74" s="93"/>
      <c r="C74" s="93"/>
      <c r="D74" s="122"/>
      <c r="E74" s="123"/>
      <c r="F74" s="96"/>
      <c r="G74" s="111"/>
      <c r="H74" s="96"/>
      <c r="I74" s="96"/>
      <c r="J74" s="112">
        <f>IFERROR(__xludf.DUMMYFUNCTION("""COMPUTED_VALUE"""),46.0)</f>
        <v>46</v>
      </c>
      <c r="K74" s="145">
        <f>IFERROR(__xludf.DUMMYFUNCTION("""COMPUTED_VALUE"""),45172.0)</f>
        <v>45172</v>
      </c>
      <c r="L74" s="146">
        <f>IFERROR(__xludf.DUMMYFUNCTION("""COMPUTED_VALUE"""),0.75)</f>
        <v>0.75</v>
      </c>
      <c r="M74" s="115" t="str">
        <f>IFERROR(__xludf.DUMMYFUNCTION("""COMPUTED_VALUE"""),"Homossexual Students")</f>
        <v>Homossexual Students</v>
      </c>
      <c r="N74" s="112" t="str">
        <f>IFERROR(__xludf.DUMMYFUNCTION("""COMPUTED_VALUE"""),"0")</f>
        <v>0</v>
      </c>
      <c r="O74" s="112" t="str">
        <f>IFERROR(__xludf.DUMMYFUNCTION("""COMPUTED_VALUE"""),"6")</f>
        <v>6</v>
      </c>
      <c r="P74" s="112" t="str">
        <f>IFERROR(__xludf.DUMMYFUNCTION("""COMPUTED_VALUE"""),"female ass wrestling")</f>
        <v>female ass wrestling</v>
      </c>
      <c r="Q74" s="115" t="str">
        <f>IFERROR(__xludf.DUMMYFUNCTION("""COMPUTED_VALUE"""),"Gabys")</f>
        <v>Gabys</v>
      </c>
      <c r="R74" s="115"/>
      <c r="S74" s="115"/>
      <c r="T74" s="112"/>
      <c r="U74" s="116" t="str">
        <f>IFERROR(__xludf.DUMMYFUNCTION("""COMPUTED_VALUE"""),"https://osu.ppy.sh/community/matches/110289632")</f>
        <v>https://osu.ppy.sh/community/matches/110289632</v>
      </c>
      <c r="V74" s="96"/>
      <c r="W74" s="96"/>
      <c r="X74" s="93"/>
      <c r="Y74" s="95"/>
    </row>
    <row r="75" ht="18.75" customHeight="1" outlineLevel="1">
      <c r="A75" s="95"/>
      <c r="B75" s="93"/>
      <c r="C75" s="93"/>
      <c r="D75" s="147"/>
      <c r="E75" s="147"/>
      <c r="F75" s="96"/>
      <c r="G75" s="111"/>
      <c r="H75" s="96"/>
      <c r="I75" s="96"/>
      <c r="J75" s="112">
        <f>IFERROR(__xludf.DUMMYFUNCTION("""COMPUTED_VALUE"""),47.0)</f>
        <v>47</v>
      </c>
      <c r="K75" s="145">
        <f>IFERROR(__xludf.DUMMYFUNCTION("""COMPUTED_VALUE"""),45171.0)</f>
        <v>45171</v>
      </c>
      <c r="L75" s="146">
        <f>IFERROR(__xludf.DUMMYFUNCTION("""COMPUTED_VALUE"""),0.625)</f>
        <v>0.625</v>
      </c>
      <c r="M75" s="115" t="str">
        <f>IFERROR(__xludf.DUMMYFUNCTION("""COMPUTED_VALUE"""),":MIPINGA:")</f>
        <v>:MIPINGA:</v>
      </c>
      <c r="N75" s="112" t="str">
        <f>IFERROR(__xludf.DUMMYFUNCTION("""COMPUTED_VALUE"""),"0")</f>
        <v>0</v>
      </c>
      <c r="O75" s="112" t="str">
        <f>IFERROR(__xludf.DUMMYFUNCTION("""COMPUTED_VALUE"""),"-1")</f>
        <v>-1</v>
      </c>
      <c r="P75" s="112" t="str">
        <f>IFERROR(__xludf.DUMMYFUNCTION("""COMPUTED_VALUE"""),"Ghost the Angel")</f>
        <v>Ghost the Angel</v>
      </c>
      <c r="Q75" s="115" t="str">
        <f>IFERROR(__xludf.DUMMYFUNCTION("""COMPUTED_VALUE"""),"Pischok")</f>
        <v>Pischok</v>
      </c>
      <c r="R75" s="115"/>
      <c r="S75" s="115"/>
      <c r="T75" s="112"/>
      <c r="U75" s="153" t="str">
        <f>IFERROR(__xludf.DUMMYFUNCTION("""COMPUTED_VALUE"""),"")</f>
        <v/>
      </c>
      <c r="V75" s="96"/>
      <c r="W75" s="96"/>
      <c r="X75" s="93"/>
      <c r="Y75" s="95"/>
    </row>
    <row r="76" ht="18.75" customHeight="1" outlineLevel="1">
      <c r="A76" s="95"/>
      <c r="B76" s="93"/>
      <c r="C76" s="93"/>
      <c r="D76" s="142"/>
      <c r="E76" s="142"/>
      <c r="F76" s="144"/>
      <c r="G76" s="111"/>
      <c r="H76" s="144"/>
      <c r="I76" s="144"/>
      <c r="J76" s="127">
        <f>IFERROR(__xludf.DUMMYFUNCTION("""COMPUTED_VALUE"""),48.0)</f>
        <v>48</v>
      </c>
      <c r="K76" s="161">
        <f>IFERROR(__xludf.DUMMYFUNCTION("""COMPUTED_VALUE"""),45172.0)</f>
        <v>45172</v>
      </c>
      <c r="L76" s="162">
        <f>IFERROR(__xludf.DUMMYFUNCTION("""COMPUTED_VALUE"""),0.5)</f>
        <v>0.5</v>
      </c>
      <c r="M76" s="130" t="str">
        <f>IFERROR(__xludf.DUMMYFUNCTION("""COMPUTED_VALUE"""),"match in 15")</f>
        <v>match in 15</v>
      </c>
      <c r="N76" s="127" t="str">
        <f>IFERROR(__xludf.DUMMYFUNCTION("""COMPUTED_VALUE"""),"6")</f>
        <v>6</v>
      </c>
      <c r="O76" s="127" t="str">
        <f>IFERROR(__xludf.DUMMYFUNCTION("""COMPUTED_VALUE"""),"2")</f>
        <v>2</v>
      </c>
      <c r="P76" s="127" t="str">
        <f>IFERROR(__xludf.DUMMYFUNCTION("""COMPUTED_VALUE"""),"Tom and Jerry")</f>
        <v>Tom and Jerry</v>
      </c>
      <c r="Q76" s="130" t="str">
        <f>IFERROR(__xludf.DUMMYFUNCTION("""COMPUTED_VALUE"""),"reforna")</f>
        <v>reforna</v>
      </c>
      <c r="R76" s="130"/>
      <c r="S76" s="130"/>
      <c r="T76" s="127"/>
      <c r="U76" s="131" t="str">
        <f>IFERROR(__xludf.DUMMYFUNCTION("""COMPUTED_VALUE"""),"https://osu.ppy.sh/community/matches/110299252")</f>
        <v>https://osu.ppy.sh/community/matches/110299252</v>
      </c>
      <c r="V76" s="96"/>
      <c r="W76" s="96"/>
      <c r="X76" s="93"/>
      <c r="Y76" s="95"/>
    </row>
    <row r="77" ht="18.75" customHeight="1" outlineLevel="1">
      <c r="A77" s="95"/>
      <c r="B77" s="93"/>
      <c r="C77" s="93"/>
      <c r="D77" s="132"/>
      <c r="E77" s="132"/>
      <c r="F77" s="96"/>
      <c r="G77" s="111" t="s">
        <v>0</v>
      </c>
      <c r="H77" s="96"/>
      <c r="I77" s="96"/>
      <c r="J77" s="112">
        <f>IFERROR(__xludf.DUMMYFUNCTION("""COMPUTED_VALUE"""),49.0)</f>
        <v>49</v>
      </c>
      <c r="K77" s="145">
        <f>IFERROR(__xludf.DUMMYFUNCTION("""COMPUTED_VALUE"""),45177.0)</f>
        <v>45177</v>
      </c>
      <c r="L77" s="146">
        <f>IFERROR(__xludf.DUMMYFUNCTION("""COMPUTED_VALUE"""),0.5833333333333334)</f>
        <v>0.5833333333</v>
      </c>
      <c r="M77" s="115" t="str">
        <f>IFERROR(__xludf.DUMMYFUNCTION("""COMPUTED_VALUE"""),"small wiener club")</f>
        <v>small wiener club</v>
      </c>
      <c r="N77" s="112" t="str">
        <f>IFERROR(__xludf.DUMMYFUNCTION("""COMPUTED_VALUE"""),"6")</f>
        <v>6</v>
      </c>
      <c r="O77" s="112" t="str">
        <f>IFERROR(__xludf.DUMMYFUNCTION("""COMPUTED_VALUE"""),"1")</f>
        <v>1</v>
      </c>
      <c r="P77" s="112" t="str">
        <f>IFERROR(__xludf.DUMMYFUNCTION("""COMPUTED_VALUE"""),"Chocomaid")</f>
        <v>Chocomaid</v>
      </c>
      <c r="Q77" s="115" t="str">
        <f>IFERROR(__xludf.DUMMYFUNCTION("""COMPUTED_VALUE"""),"Emerald Ages")</f>
        <v>Emerald Ages</v>
      </c>
      <c r="R77" s="115"/>
      <c r="S77" s="115"/>
      <c r="T77" s="112"/>
      <c r="U77" s="116" t="str">
        <f>IFERROR(__xludf.DUMMYFUNCTION("""COMPUTED_VALUE"""),"https://osu.ppy.sh/community/matches/110365741")</f>
        <v>https://osu.ppy.sh/community/matches/110365741</v>
      </c>
      <c r="V77" s="96"/>
      <c r="W77" s="96"/>
      <c r="X77" s="93"/>
      <c r="Y77" s="95"/>
    </row>
    <row r="78" ht="18.75" customHeight="1" outlineLevel="1">
      <c r="A78" s="95"/>
      <c r="B78" s="93"/>
      <c r="C78" s="93"/>
      <c r="D78" s="163" t="s">
        <v>53</v>
      </c>
      <c r="E78" s="121"/>
      <c r="F78" s="96"/>
      <c r="G78" s="111"/>
      <c r="H78" s="96"/>
      <c r="I78" s="96"/>
      <c r="J78" s="112">
        <f>IFERROR(__xludf.DUMMYFUNCTION("""COMPUTED_VALUE"""),50.0)</f>
        <v>50</v>
      </c>
      <c r="K78" s="145">
        <f>IFERROR(__xludf.DUMMYFUNCTION("""COMPUTED_VALUE"""),45177.0)</f>
        <v>45177</v>
      </c>
      <c r="L78" s="146">
        <f>IFERROR(__xludf.DUMMYFUNCTION("""COMPUTED_VALUE"""),0.7916666666666666)</f>
        <v>0.7916666667</v>
      </c>
      <c r="M78" s="115" t="str">
        <f>IFERROR(__xludf.DUMMYFUNCTION("""COMPUTED_VALUE"""),"Homossexual Students")</f>
        <v>Homossexual Students</v>
      </c>
      <c r="N78" s="112" t="str">
        <f>IFERROR(__xludf.DUMMYFUNCTION("""COMPUTED_VALUE"""),"6")</f>
        <v>6</v>
      </c>
      <c r="O78" s="112" t="str">
        <f>IFERROR(__xludf.DUMMYFUNCTION("""COMPUTED_VALUE"""),"0")</f>
        <v>0</v>
      </c>
      <c r="P78" s="112" t="str">
        <f>IFERROR(__xludf.DUMMYFUNCTION("""COMPUTED_VALUE"""),"The sleepers")</f>
        <v>The sleepers</v>
      </c>
      <c r="Q78" s="115" t="str">
        <f>IFERROR(__xludf.DUMMYFUNCTION("""COMPUTED_VALUE"""),"Pischok")</f>
        <v>Pischok</v>
      </c>
      <c r="R78" s="115"/>
      <c r="S78" s="115"/>
      <c r="T78" s="112"/>
      <c r="U78" s="116" t="str">
        <f>IFERROR(__xludf.DUMMYFUNCTION("""COMPUTED_VALUE"""),"https://osu.ppy.sh/community/matches/110370451")</f>
        <v>https://osu.ppy.sh/community/matches/110370451</v>
      </c>
      <c r="V78" s="96"/>
      <c r="W78" s="96"/>
      <c r="X78" s="93"/>
      <c r="Y78" s="95"/>
    </row>
    <row r="79" ht="18.75" customHeight="1" outlineLevel="1">
      <c r="A79" s="95"/>
      <c r="B79" s="93"/>
      <c r="C79" s="93"/>
      <c r="D79" s="120"/>
      <c r="E79" s="121"/>
      <c r="F79" s="96"/>
      <c r="G79" s="111"/>
      <c r="H79" s="96"/>
      <c r="I79" s="96"/>
      <c r="J79" s="112">
        <f>IFERROR(__xludf.DUMMYFUNCTION("""COMPUTED_VALUE"""),51.0)</f>
        <v>51</v>
      </c>
      <c r="K79" s="145">
        <f>IFERROR(__xludf.DUMMYFUNCTION("""COMPUTED_VALUE"""),45178.0)</f>
        <v>45178</v>
      </c>
      <c r="L79" s="146">
        <f>IFERROR(__xludf.DUMMYFUNCTION("""COMPUTED_VALUE"""),0.6666666666666666)</f>
        <v>0.6666666667</v>
      </c>
      <c r="M79" s="115" t="str">
        <f>IFERROR(__xludf.DUMMYFUNCTION("""COMPUTED_VALUE"""),"Ghost the Angel")</f>
        <v>Ghost the Angel</v>
      </c>
      <c r="N79" s="112" t="str">
        <f>IFERROR(__xludf.DUMMYFUNCTION("""COMPUTED_VALUE"""),"6")</f>
        <v>6</v>
      </c>
      <c r="O79" s="112" t="str">
        <f>IFERROR(__xludf.DUMMYFUNCTION("""COMPUTED_VALUE"""),"1")</f>
        <v>1</v>
      </c>
      <c r="P79" s="112" t="str">
        <f>IFERROR(__xludf.DUMMYFUNCTION("""COMPUTED_VALUE"""),"The 3-star Threats")</f>
        <v>The 3-star Threats</v>
      </c>
      <c r="Q79" s="115" t="str">
        <f>IFERROR(__xludf.DUMMYFUNCTION("""COMPUTED_VALUE"""),"reforna")</f>
        <v>reforna</v>
      </c>
      <c r="R79" s="115"/>
      <c r="S79" s="115"/>
      <c r="T79" s="112"/>
      <c r="U79" s="116" t="str">
        <f>IFERROR(__xludf.DUMMYFUNCTION("""COMPUTED_VALUE"""),"https://osu.ppy.sh/community/matches/110385386")</f>
        <v>https://osu.ppy.sh/community/matches/110385386</v>
      </c>
      <c r="V79" s="96"/>
      <c r="W79" s="96"/>
      <c r="X79" s="93"/>
      <c r="Y79" s="95"/>
    </row>
    <row r="80" ht="18.75" customHeight="1" outlineLevel="1">
      <c r="A80" s="95"/>
      <c r="B80" s="93"/>
      <c r="C80" s="93"/>
      <c r="D80" s="120"/>
      <c r="E80" s="121"/>
      <c r="F80" s="96"/>
      <c r="G80" s="111"/>
      <c r="H80" s="96"/>
      <c r="I80" s="96"/>
      <c r="J80" s="164">
        <f>IFERROR(__xludf.DUMMYFUNCTION("""COMPUTED_VALUE"""),52.0)</f>
        <v>52</v>
      </c>
      <c r="K80" s="148">
        <f>IFERROR(__xludf.DUMMYFUNCTION("""COMPUTED_VALUE"""),45178.0)</f>
        <v>45178</v>
      </c>
      <c r="L80" s="165">
        <f>IFERROR(__xludf.DUMMYFUNCTION("""COMPUTED_VALUE"""),0.4166666666666667)</f>
        <v>0.4166666667</v>
      </c>
      <c r="M80" s="166" t="str">
        <f>IFERROR(__xludf.DUMMYFUNCTION("""COMPUTED_VALUE"""),"Tom and Jerry")</f>
        <v>Tom and Jerry</v>
      </c>
      <c r="N80" s="164" t="str">
        <f>IFERROR(__xludf.DUMMYFUNCTION("""COMPUTED_VALUE"""),"6")</f>
        <v>6</v>
      </c>
      <c r="O80" s="164" t="str">
        <f>IFERROR(__xludf.DUMMYFUNCTION("""COMPUTED_VALUE"""),"4")</f>
        <v>4</v>
      </c>
      <c r="P80" s="164" t="str">
        <f>IFERROR(__xludf.DUMMYFUNCTION("""COMPUTED_VALUE"""),"VN+1")</f>
        <v>VN+1</v>
      </c>
      <c r="Q80" s="166" t="str">
        <f>IFERROR(__xludf.DUMMYFUNCTION("""COMPUTED_VALUE"""),"Mewo_")</f>
        <v>Mewo_</v>
      </c>
      <c r="R80" s="166" t="str">
        <f>IFERROR(__xludf.DUMMYFUNCTION("""COMPUTED_VALUE"""),"BCraftMG")</f>
        <v>BCraftMG</v>
      </c>
      <c r="S80" s="166" t="str">
        <f>IFERROR(__xludf.DUMMYFUNCTION("""COMPUTED_VALUE"""),"Meiling Hong")</f>
        <v>Meiling Hong</v>
      </c>
      <c r="T80" s="164"/>
      <c r="U80" s="167" t="str">
        <f>IFERROR(__xludf.DUMMYFUNCTION("""COMPUTED_VALUE"""),"https://osu.ppy.sh/community/matches/110379556")</f>
        <v>https://osu.ppy.sh/community/matches/110379556</v>
      </c>
      <c r="V80" s="96"/>
      <c r="W80" s="96"/>
      <c r="X80" s="93"/>
      <c r="Y80" s="95"/>
    </row>
    <row r="81" ht="18.75" customHeight="1" outlineLevel="1">
      <c r="A81" s="95"/>
      <c r="B81" s="93"/>
      <c r="C81" s="93"/>
      <c r="D81" s="120"/>
      <c r="E81" s="121"/>
      <c r="F81" s="96"/>
      <c r="G81" s="133"/>
      <c r="H81" s="133"/>
      <c r="I81" s="96"/>
      <c r="J81" s="112">
        <f>IFERROR(__xludf.DUMMYFUNCTION("""COMPUTED_VALUE"""),53.0)</f>
        <v>53</v>
      </c>
      <c r="K81" s="145">
        <f>IFERROR(__xludf.DUMMYFUNCTION("""COMPUTED_VALUE"""),45179.0)</f>
        <v>45179</v>
      </c>
      <c r="L81" s="146">
        <f>IFERROR(__xludf.DUMMYFUNCTION("""COMPUTED_VALUE"""),0.5833333333333334)</f>
        <v>0.5833333333</v>
      </c>
      <c r="M81" s="115" t="str">
        <f>IFERROR(__xludf.DUMMYFUNCTION("""COMPUTED_VALUE"""),"Homossexual Students")</f>
        <v>Homossexual Students</v>
      </c>
      <c r="N81" s="112" t="str">
        <f>IFERROR(__xludf.DUMMYFUNCTION("""COMPUTED_VALUE"""),"6")</f>
        <v>6</v>
      </c>
      <c r="O81" s="112" t="str">
        <f>IFERROR(__xludf.DUMMYFUNCTION("""COMPUTED_VALUE"""),"5")</f>
        <v>5</v>
      </c>
      <c r="P81" s="112" t="str">
        <f>IFERROR(__xludf.DUMMYFUNCTION("""COMPUTED_VALUE"""),"small wiener club")</f>
        <v>small wiener club</v>
      </c>
      <c r="Q81" s="115" t="str">
        <f>IFERROR(__xludf.DUMMYFUNCTION("""COMPUTED_VALUE"""),"Emerald Ages")</f>
        <v>Emerald Ages</v>
      </c>
      <c r="R81" s="115"/>
      <c r="S81" s="115"/>
      <c r="T81" s="112"/>
      <c r="U81" s="116" t="str">
        <f>IFERROR(__xludf.DUMMYFUNCTION("""COMPUTED_VALUE"""),"https://osu.ppy.sh/community/matches/110400479")</f>
        <v>https://osu.ppy.sh/community/matches/110400479</v>
      </c>
      <c r="V81" s="96"/>
      <c r="W81" s="96"/>
      <c r="X81" s="93"/>
      <c r="Y81" s="95"/>
    </row>
    <row r="82" ht="18.75" hidden="1" customHeight="1" outlineLevel="1">
      <c r="A82" s="95"/>
      <c r="B82" s="93"/>
      <c r="C82" s="93"/>
      <c r="D82" s="120"/>
      <c r="E82" s="121"/>
      <c r="F82" s="96"/>
      <c r="G82" s="133"/>
      <c r="H82" s="133"/>
      <c r="I82" s="96"/>
      <c r="J82" s="168" t="str">
        <f>IFERROR(__xludf.DUMMYFUNCTION("""COMPUTED_VALUE"""),"53a")</f>
        <v>53a</v>
      </c>
      <c r="K82" s="169">
        <f>IFERROR(__xludf.DUMMYFUNCTION("""COMPUTED_VALUE"""),45179.0)</f>
        <v>45179</v>
      </c>
      <c r="L82" s="170">
        <f>IFERROR(__xludf.DUMMYFUNCTION("""COMPUTED_VALUE"""),0.5833333333333334)</f>
        <v>0.5833333333</v>
      </c>
      <c r="M82" s="171" t="str">
        <f>IFERROR(__xludf.DUMMYFUNCTION("""COMPUTED_VALUE"""),"Homossexual Students")</f>
        <v>Homossexual Students</v>
      </c>
      <c r="N82" s="168" t="str">
        <f>IFERROR(__xludf.DUMMYFUNCTION("""COMPUTED_VALUE"""),"")</f>
        <v/>
      </c>
      <c r="O82" s="168" t="str">
        <f>IFERROR(__xludf.DUMMYFUNCTION("""COMPUTED_VALUE"""),"")</f>
        <v/>
      </c>
      <c r="P82" s="168" t="str">
        <f>IFERROR(__xludf.DUMMYFUNCTION("""COMPUTED_VALUE"""),"small wiener club")</f>
        <v>small wiener club</v>
      </c>
      <c r="Q82" s="115" t="str">
        <f>IFERROR(__xludf.DUMMYFUNCTION("""COMPUTED_VALUE"""),"Emerald Ages")</f>
        <v>Emerald Ages</v>
      </c>
      <c r="R82" s="115"/>
      <c r="S82" s="115"/>
      <c r="T82" s="112"/>
      <c r="U82" s="153" t="str">
        <f>IFERROR(__xludf.DUMMYFUNCTION("""COMPUTED_VALUE"""),"")</f>
        <v/>
      </c>
      <c r="V82" s="96"/>
      <c r="W82" s="96"/>
      <c r="X82" s="93"/>
      <c r="Y82" s="95"/>
    </row>
    <row r="83" ht="18.75" hidden="1" customHeight="1" outlineLevel="1">
      <c r="A83" s="95"/>
      <c r="B83" s="93"/>
      <c r="C83" s="93"/>
      <c r="D83" s="120"/>
      <c r="E83" s="121"/>
      <c r="F83" s="96"/>
      <c r="G83" s="133"/>
      <c r="H83" s="133"/>
      <c r="I83" s="96"/>
      <c r="J83" s="168" t="str">
        <f>IFERROR(__xludf.DUMMYFUNCTION("""COMPUTED_VALUE"""),"53b")</f>
        <v>53b</v>
      </c>
      <c r="K83" s="169">
        <f>IFERROR(__xludf.DUMMYFUNCTION("""COMPUTED_VALUE"""),45179.0)</f>
        <v>45179</v>
      </c>
      <c r="L83" s="170">
        <f>IFERROR(__xludf.DUMMYFUNCTION("""COMPUTED_VALUE"""),0.5833333333333334)</f>
        <v>0.5833333333</v>
      </c>
      <c r="M83" s="171" t="str">
        <f>IFERROR(__xludf.DUMMYFUNCTION("""COMPUTED_VALUE"""),"Homossexual Students")</f>
        <v>Homossexual Students</v>
      </c>
      <c r="N83" s="168" t="str">
        <f>IFERROR(__xludf.DUMMYFUNCTION("""COMPUTED_VALUE"""),"")</f>
        <v/>
      </c>
      <c r="O83" s="168" t="str">
        <f>IFERROR(__xludf.DUMMYFUNCTION("""COMPUTED_VALUE"""),"")</f>
        <v/>
      </c>
      <c r="P83" s="168" t="str">
        <f>IFERROR(__xludf.DUMMYFUNCTION("""COMPUTED_VALUE"""),"Chocomaid")</f>
        <v>Chocomaid</v>
      </c>
      <c r="Q83" s="115" t="str">
        <f>IFERROR(__xludf.DUMMYFUNCTION("""COMPUTED_VALUE"""),"Emerald Ages")</f>
        <v>Emerald Ages</v>
      </c>
      <c r="R83" s="115"/>
      <c r="S83" s="115"/>
      <c r="T83" s="112"/>
      <c r="U83" s="153" t="str">
        <f>IFERROR(__xludf.DUMMYFUNCTION("""COMPUTED_VALUE"""),"")</f>
        <v/>
      </c>
      <c r="V83" s="96"/>
      <c r="W83" s="96"/>
      <c r="X83" s="93"/>
      <c r="Y83" s="95"/>
    </row>
    <row r="84" ht="18.75" hidden="1" customHeight="1" outlineLevel="1">
      <c r="A84" s="95"/>
      <c r="B84" s="93"/>
      <c r="C84" s="93"/>
      <c r="D84" s="120"/>
      <c r="E84" s="121"/>
      <c r="F84" s="96"/>
      <c r="G84" s="133"/>
      <c r="H84" s="133"/>
      <c r="I84" s="96"/>
      <c r="J84" s="168" t="str">
        <f>IFERROR(__xludf.DUMMYFUNCTION("""COMPUTED_VALUE"""),"53c")</f>
        <v>53c</v>
      </c>
      <c r="K84" s="169">
        <f>IFERROR(__xludf.DUMMYFUNCTION("""COMPUTED_VALUE"""),45179.0)</f>
        <v>45179</v>
      </c>
      <c r="L84" s="170">
        <f>IFERROR(__xludf.DUMMYFUNCTION("""COMPUTED_VALUE"""),0.6666666666666666)</f>
        <v>0.6666666667</v>
      </c>
      <c r="M84" s="171" t="str">
        <f>IFERROR(__xludf.DUMMYFUNCTION("""COMPUTED_VALUE"""),"The sleepers")</f>
        <v>The sleepers</v>
      </c>
      <c r="N84" s="168" t="str">
        <f>IFERROR(__xludf.DUMMYFUNCTION("""COMPUTED_VALUE"""),"")</f>
        <v/>
      </c>
      <c r="O84" s="168" t="str">
        <f>IFERROR(__xludf.DUMMYFUNCTION("""COMPUTED_VALUE"""),"")</f>
        <v/>
      </c>
      <c r="P84" s="168" t="str">
        <f>IFERROR(__xludf.DUMMYFUNCTION("""COMPUTED_VALUE"""),"small wiener club")</f>
        <v>small wiener club</v>
      </c>
      <c r="Q84" s="115" t="str">
        <f>IFERROR(__xludf.DUMMYFUNCTION("""COMPUTED_VALUE"""),"Emerald Ages")</f>
        <v>Emerald Ages</v>
      </c>
      <c r="R84" s="115"/>
      <c r="S84" s="115"/>
      <c r="T84" s="112"/>
      <c r="U84" s="153" t="str">
        <f>IFERROR(__xludf.DUMMYFUNCTION("""COMPUTED_VALUE"""),"")</f>
        <v/>
      </c>
      <c r="V84" s="96"/>
      <c r="W84" s="96"/>
      <c r="X84" s="93"/>
      <c r="Y84" s="95"/>
    </row>
    <row r="85" ht="18.75" hidden="1" customHeight="1" outlineLevel="1">
      <c r="A85" s="95"/>
      <c r="B85" s="93"/>
      <c r="C85" s="93"/>
      <c r="D85" s="120"/>
      <c r="E85" s="121"/>
      <c r="F85" s="96"/>
      <c r="G85" s="133"/>
      <c r="H85" s="133"/>
      <c r="I85" s="96"/>
      <c r="J85" s="168" t="str">
        <f>IFERROR(__xludf.DUMMYFUNCTION("""COMPUTED_VALUE"""),"53d")</f>
        <v>53d</v>
      </c>
      <c r="K85" s="169">
        <f>IFERROR(__xludf.DUMMYFUNCTION("""COMPUTED_VALUE"""),45179.0)</f>
        <v>45179</v>
      </c>
      <c r="L85" s="170">
        <f>IFERROR(__xludf.DUMMYFUNCTION("""COMPUTED_VALUE"""),0.6666666666666666)</f>
        <v>0.6666666667</v>
      </c>
      <c r="M85" s="171" t="str">
        <f>IFERROR(__xludf.DUMMYFUNCTION("""COMPUTED_VALUE"""),"The sleepers")</f>
        <v>The sleepers</v>
      </c>
      <c r="N85" s="168" t="str">
        <f>IFERROR(__xludf.DUMMYFUNCTION("""COMPUTED_VALUE"""),"")</f>
        <v/>
      </c>
      <c r="O85" s="168" t="str">
        <f>IFERROR(__xludf.DUMMYFUNCTION("""COMPUTED_VALUE"""),"")</f>
        <v/>
      </c>
      <c r="P85" s="168" t="str">
        <f>IFERROR(__xludf.DUMMYFUNCTION("""COMPUTED_VALUE"""),"Chocomaid")</f>
        <v>Chocomaid</v>
      </c>
      <c r="Q85" s="115" t="str">
        <f>IFERROR(__xludf.DUMMYFUNCTION("""COMPUTED_VALUE"""),"Emerald Ages")</f>
        <v>Emerald Ages</v>
      </c>
      <c r="R85" s="115"/>
      <c r="S85" s="115"/>
      <c r="T85" s="112"/>
      <c r="U85" s="153" t="str">
        <f>IFERROR(__xludf.DUMMYFUNCTION("""COMPUTED_VALUE"""),"")</f>
        <v/>
      </c>
      <c r="V85" s="96"/>
      <c r="W85" s="96"/>
      <c r="X85" s="93"/>
      <c r="Y85" s="95"/>
    </row>
    <row r="86" ht="18.75" customHeight="1" outlineLevel="1">
      <c r="A86" s="95"/>
      <c r="B86" s="93"/>
      <c r="C86" s="93"/>
      <c r="D86" s="120"/>
      <c r="E86" s="121"/>
      <c r="F86" s="96"/>
      <c r="G86" s="133"/>
      <c r="H86" s="133"/>
      <c r="I86" s="96"/>
      <c r="J86" s="112">
        <f>IFERROR(__xludf.DUMMYFUNCTION("""COMPUTED_VALUE"""),54.0)</f>
        <v>54</v>
      </c>
      <c r="K86" s="145">
        <f>IFERROR(__xludf.DUMMYFUNCTION("""COMPUTED_VALUE"""),45179.0)</f>
        <v>45179</v>
      </c>
      <c r="L86" s="146">
        <f>IFERROR(__xludf.DUMMYFUNCTION("""COMPUTED_VALUE"""),0.4166666666666667)</f>
        <v>0.4166666667</v>
      </c>
      <c r="M86" s="115" t="str">
        <f>IFERROR(__xludf.DUMMYFUNCTION("""COMPUTED_VALUE"""),"Tom and Jerry")</f>
        <v>Tom and Jerry</v>
      </c>
      <c r="N86" s="112" t="str">
        <f>IFERROR(__xludf.DUMMYFUNCTION("""COMPUTED_VALUE"""),"6")</f>
        <v>6</v>
      </c>
      <c r="O86" s="112" t="str">
        <f>IFERROR(__xludf.DUMMYFUNCTION("""COMPUTED_VALUE"""),"5")</f>
        <v>5</v>
      </c>
      <c r="P86" s="112" t="str">
        <f>IFERROR(__xludf.DUMMYFUNCTION("""COMPUTED_VALUE"""),"Ghost the Angel")</f>
        <v>Ghost the Angel</v>
      </c>
      <c r="Q86" s="115" t="str">
        <f>IFERROR(__xludf.DUMMYFUNCTION("""COMPUTED_VALUE"""),"RudderFish07")</f>
        <v>RudderFish07</v>
      </c>
      <c r="R86" s="115"/>
      <c r="S86" s="115"/>
      <c r="T86" s="112"/>
      <c r="U86" s="116" t="str">
        <f>IFERROR(__xludf.DUMMYFUNCTION("""COMPUTED_VALUE"""),"https://osu.ppy.sh/community/matches/110398000")</f>
        <v>https://osu.ppy.sh/community/matches/110398000</v>
      </c>
      <c r="V86" s="96"/>
      <c r="W86" s="96"/>
      <c r="X86" s="93"/>
      <c r="Y86" s="95"/>
    </row>
    <row r="87" ht="18.75" hidden="1" customHeight="1" outlineLevel="1">
      <c r="A87" s="95"/>
      <c r="B87" s="93"/>
      <c r="C87" s="93"/>
      <c r="D87" s="120"/>
      <c r="E87" s="121"/>
      <c r="F87" s="96"/>
      <c r="G87" s="133"/>
      <c r="H87" s="133"/>
      <c r="I87" s="96"/>
      <c r="J87" s="168" t="str">
        <f>IFERROR(__xludf.DUMMYFUNCTION("""COMPUTED_VALUE"""),"54a")</f>
        <v>54a</v>
      </c>
      <c r="K87" s="169">
        <f>IFERROR(__xludf.DUMMYFUNCTION("""COMPUTED_VALUE"""),45179.0)</f>
        <v>45179</v>
      </c>
      <c r="L87" s="170">
        <f>IFERROR(__xludf.DUMMYFUNCTION("""COMPUTED_VALUE"""),0.4166666666666667)</f>
        <v>0.4166666667</v>
      </c>
      <c r="M87" s="171" t="str">
        <f>IFERROR(__xludf.DUMMYFUNCTION("""COMPUTED_VALUE"""),"Tom and Jerry")</f>
        <v>Tom and Jerry</v>
      </c>
      <c r="N87" s="168" t="str">
        <f>IFERROR(__xludf.DUMMYFUNCTION("""COMPUTED_VALUE"""),"")</f>
        <v/>
      </c>
      <c r="O87" s="168" t="str">
        <f>IFERROR(__xludf.DUMMYFUNCTION("""COMPUTED_VALUE"""),"")</f>
        <v/>
      </c>
      <c r="P87" s="168" t="str">
        <f>IFERROR(__xludf.DUMMYFUNCTION("""COMPUTED_VALUE"""),"Ghost the Angel")</f>
        <v>Ghost the Angel</v>
      </c>
      <c r="Q87" s="115"/>
      <c r="R87" s="115"/>
      <c r="S87" s="115"/>
      <c r="T87" s="112"/>
      <c r="U87" s="153" t="str">
        <f>IFERROR(__xludf.DUMMYFUNCTION("""COMPUTED_VALUE"""),"")</f>
        <v/>
      </c>
      <c r="V87" s="96"/>
      <c r="W87" s="96"/>
      <c r="X87" s="93"/>
      <c r="Y87" s="95"/>
    </row>
    <row r="88" ht="18.75" hidden="1" customHeight="1" outlineLevel="1">
      <c r="A88" s="95"/>
      <c r="B88" s="93"/>
      <c r="C88" s="93"/>
      <c r="D88" s="120"/>
      <c r="E88" s="121"/>
      <c r="F88" s="96"/>
      <c r="G88" s="133"/>
      <c r="H88" s="133"/>
      <c r="I88" s="96"/>
      <c r="J88" s="168" t="str">
        <f>IFERROR(__xludf.DUMMYFUNCTION("""COMPUTED_VALUE"""),"54b")</f>
        <v>54b</v>
      </c>
      <c r="K88" s="169">
        <f>IFERROR(__xludf.DUMMYFUNCTION("""COMPUTED_VALUE"""),45179.0)</f>
        <v>45179</v>
      </c>
      <c r="L88" s="170">
        <f>IFERROR(__xludf.DUMMYFUNCTION("""COMPUTED_VALUE"""),0.625)</f>
        <v>0.625</v>
      </c>
      <c r="M88" s="171" t="str">
        <f>IFERROR(__xludf.DUMMYFUNCTION("""COMPUTED_VALUE"""),"Tom and Jerry")</f>
        <v>Tom and Jerry</v>
      </c>
      <c r="N88" s="168" t="str">
        <f>IFERROR(__xludf.DUMMYFUNCTION("""COMPUTED_VALUE"""),"")</f>
        <v/>
      </c>
      <c r="O88" s="168" t="str">
        <f>IFERROR(__xludf.DUMMYFUNCTION("""COMPUTED_VALUE"""),"")</f>
        <v/>
      </c>
      <c r="P88" s="168" t="str">
        <f>IFERROR(__xludf.DUMMYFUNCTION("""COMPUTED_VALUE"""),"The 3-star Threats")</f>
        <v>The 3-star Threats</v>
      </c>
      <c r="Q88" s="115" t="str">
        <f>IFERROR(__xludf.DUMMYFUNCTION("""COMPUTED_VALUE"""),"Emerald Ages")</f>
        <v>Emerald Ages</v>
      </c>
      <c r="R88" s="115"/>
      <c r="S88" s="115"/>
      <c r="T88" s="112"/>
      <c r="U88" s="153" t="str">
        <f>IFERROR(__xludf.DUMMYFUNCTION("""COMPUTED_VALUE"""),"")</f>
        <v/>
      </c>
      <c r="V88" s="96"/>
      <c r="W88" s="96"/>
      <c r="X88" s="93"/>
      <c r="Y88" s="95"/>
    </row>
    <row r="89" ht="18.75" hidden="1" customHeight="1" outlineLevel="1">
      <c r="A89" s="95"/>
      <c r="B89" s="93"/>
      <c r="C89" s="93"/>
      <c r="D89" s="120"/>
      <c r="E89" s="121"/>
      <c r="F89" s="96"/>
      <c r="G89" s="133"/>
      <c r="H89" s="133"/>
      <c r="I89" s="96"/>
      <c r="J89" s="168" t="str">
        <f>IFERROR(__xludf.DUMMYFUNCTION("""COMPUTED_VALUE"""),"54c")</f>
        <v>54c</v>
      </c>
      <c r="K89" s="169">
        <f>IFERROR(__xludf.DUMMYFUNCTION("""COMPUTED_VALUE"""),45179.0)</f>
        <v>45179</v>
      </c>
      <c r="L89" s="170">
        <f>IFERROR(__xludf.DUMMYFUNCTION("""COMPUTED_VALUE"""),0.5416666666666666)</f>
        <v>0.5416666667</v>
      </c>
      <c r="M89" s="171" t="str">
        <f>IFERROR(__xludf.DUMMYFUNCTION("""COMPUTED_VALUE"""),"VN+1")</f>
        <v>VN+1</v>
      </c>
      <c r="N89" s="168" t="str">
        <f>IFERROR(__xludf.DUMMYFUNCTION("""COMPUTED_VALUE"""),"")</f>
        <v/>
      </c>
      <c r="O89" s="168" t="str">
        <f>IFERROR(__xludf.DUMMYFUNCTION("""COMPUTED_VALUE"""),"")</f>
        <v/>
      </c>
      <c r="P89" s="168" t="str">
        <f>IFERROR(__xludf.DUMMYFUNCTION("""COMPUTED_VALUE"""),"Ghost the Angel")</f>
        <v>Ghost the Angel</v>
      </c>
      <c r="Q89" s="115" t="str">
        <f>IFERROR(__xludf.DUMMYFUNCTION("""COMPUTED_VALUE"""),"Emerald Ages")</f>
        <v>Emerald Ages</v>
      </c>
      <c r="R89" s="115"/>
      <c r="S89" s="115"/>
      <c r="T89" s="112"/>
      <c r="U89" s="153" t="str">
        <f>IFERROR(__xludf.DUMMYFUNCTION("""COMPUTED_VALUE"""),"")</f>
        <v/>
      </c>
      <c r="V89" s="96"/>
      <c r="W89" s="96"/>
      <c r="X89" s="93"/>
      <c r="Y89" s="95"/>
    </row>
    <row r="90" ht="18.75" hidden="1" customHeight="1" outlineLevel="1">
      <c r="A90" s="95"/>
      <c r="B90" s="93"/>
      <c r="C90" s="93"/>
      <c r="D90" s="120"/>
      <c r="E90" s="121"/>
      <c r="F90" s="96"/>
      <c r="G90" s="133"/>
      <c r="H90" s="133"/>
      <c r="I90" s="96"/>
      <c r="J90" s="168" t="str">
        <f>IFERROR(__xludf.DUMMYFUNCTION("""COMPUTED_VALUE"""),"54d")</f>
        <v>54d</v>
      </c>
      <c r="K90" s="169">
        <f>IFERROR(__xludf.DUMMYFUNCTION("""COMPUTED_VALUE"""),45179.0)</f>
        <v>45179</v>
      </c>
      <c r="L90" s="170">
        <f>IFERROR(__xludf.DUMMYFUNCTION("""COMPUTED_VALUE"""),0.625)</f>
        <v>0.625</v>
      </c>
      <c r="M90" s="171" t="str">
        <f>IFERROR(__xludf.DUMMYFUNCTION("""COMPUTED_VALUE"""),"VN+1")</f>
        <v>VN+1</v>
      </c>
      <c r="N90" s="168" t="str">
        <f>IFERROR(__xludf.DUMMYFUNCTION("""COMPUTED_VALUE"""),"")</f>
        <v/>
      </c>
      <c r="O90" s="168" t="str">
        <f>IFERROR(__xludf.DUMMYFUNCTION("""COMPUTED_VALUE"""),"")</f>
        <v/>
      </c>
      <c r="P90" s="168" t="str">
        <f>IFERROR(__xludf.DUMMYFUNCTION("""COMPUTED_VALUE"""),"The 3-star Threats")</f>
        <v>The 3-star Threats</v>
      </c>
      <c r="Q90" s="115" t="str">
        <f>IFERROR(__xludf.DUMMYFUNCTION("""COMPUTED_VALUE"""),"Emerald Ages")</f>
        <v>Emerald Ages</v>
      </c>
      <c r="R90" s="115"/>
      <c r="S90" s="115"/>
      <c r="T90" s="112"/>
      <c r="U90" s="153" t="str">
        <f>IFERROR(__xludf.DUMMYFUNCTION("""COMPUTED_VALUE"""),"")</f>
        <v/>
      </c>
      <c r="V90" s="96"/>
      <c r="W90" s="96"/>
      <c r="X90" s="93"/>
      <c r="Y90" s="95"/>
    </row>
    <row r="91" ht="18.75" customHeight="1" outlineLevel="1">
      <c r="A91" s="95"/>
      <c r="B91" s="93"/>
      <c r="C91" s="93"/>
      <c r="D91" s="122"/>
      <c r="E91" s="123"/>
      <c r="F91" s="96"/>
      <c r="G91" s="133"/>
      <c r="H91" s="96"/>
      <c r="I91" s="96"/>
      <c r="J91" s="172">
        <f>IFERROR(__xludf.DUMMYFUNCTION("""COMPUTED_VALUE"""),55.0)</f>
        <v>55</v>
      </c>
      <c r="K91" s="173">
        <f>IFERROR(__xludf.DUMMYFUNCTION("""COMPUTED_VALUE"""),45179.0)</f>
        <v>45179</v>
      </c>
      <c r="L91" s="174">
        <f>IFERROR(__xludf.DUMMYFUNCTION("""COMPUTED_VALUE"""),0.5416666666666666)</f>
        <v>0.5416666667</v>
      </c>
      <c r="M91" s="175" t="str">
        <f>IFERROR(__xludf.DUMMYFUNCTION("""COMPUTED_VALUE"""),"placeholder teamname")</f>
        <v>placeholder teamname</v>
      </c>
      <c r="N91" s="172" t="str">
        <f>IFERROR(__xludf.DUMMYFUNCTION("""COMPUTED_VALUE"""),"6")</f>
        <v>6</v>
      </c>
      <c r="O91" s="172" t="str">
        <f>IFERROR(__xludf.DUMMYFUNCTION("""COMPUTED_VALUE"""),"3")</f>
        <v>3</v>
      </c>
      <c r="P91" s="172" t="str">
        <f>IFERROR(__xludf.DUMMYFUNCTION("""COMPUTED_VALUE"""),"female ass wrestling")</f>
        <v>female ass wrestling</v>
      </c>
      <c r="Q91" s="175" t="str">
        <f>IFERROR(__xludf.DUMMYFUNCTION("""COMPUTED_VALUE"""),"Emerald Ages")</f>
        <v>Emerald Ages</v>
      </c>
      <c r="R91" s="175"/>
      <c r="S91" s="175"/>
      <c r="T91" s="172"/>
      <c r="U91" s="176" t="str">
        <f>IFERROR(__xludf.DUMMYFUNCTION("""COMPUTED_VALUE"""),"https://osu.ppy.sh/community/matches/110400514")</f>
        <v>https://osu.ppy.sh/community/matches/110400514</v>
      </c>
      <c r="V91" s="96"/>
      <c r="W91" s="96"/>
      <c r="X91" s="93"/>
      <c r="Y91" s="95"/>
    </row>
    <row r="92" ht="18.75" customHeight="1" outlineLevel="1">
      <c r="A92" s="95"/>
      <c r="B92" s="93"/>
      <c r="C92" s="93"/>
      <c r="D92" s="177"/>
      <c r="E92" s="177"/>
      <c r="F92" s="144"/>
      <c r="G92" s="133"/>
      <c r="H92" s="144"/>
      <c r="I92" s="144"/>
      <c r="J92" s="127">
        <f>IFERROR(__xludf.DUMMYFUNCTION("""COMPUTED_VALUE"""),56.0)</f>
        <v>56</v>
      </c>
      <c r="K92" s="161">
        <f>IFERROR(__xludf.DUMMYFUNCTION("""COMPUTED_VALUE"""),45178.0)</f>
        <v>45178</v>
      </c>
      <c r="L92" s="162">
        <f>IFERROR(__xludf.DUMMYFUNCTION("""COMPUTED_VALUE"""),0.7916666666666666)</f>
        <v>0.7916666667</v>
      </c>
      <c r="M92" s="130" t="str">
        <f>IFERROR(__xludf.DUMMYFUNCTION("""COMPUTED_VALUE"""),":MIPINGA:")</f>
        <v>:MIPINGA:</v>
      </c>
      <c r="N92" s="127" t="str">
        <f>IFERROR(__xludf.DUMMYFUNCTION("""COMPUTED_VALUE"""),"6")</f>
        <v>6</v>
      </c>
      <c r="O92" s="127" t="str">
        <f>IFERROR(__xludf.DUMMYFUNCTION("""COMPUTED_VALUE"""),"1")</f>
        <v>1</v>
      </c>
      <c r="P92" s="127" t="str">
        <f>IFERROR(__xludf.DUMMYFUNCTION("""COMPUTED_VALUE"""),"match in 15")</f>
        <v>match in 15</v>
      </c>
      <c r="Q92" s="130" t="str">
        <f>IFERROR(__xludf.DUMMYFUNCTION("""COMPUTED_VALUE"""),"Pischok")</f>
        <v>Pischok</v>
      </c>
      <c r="R92" s="130"/>
      <c r="S92" s="130"/>
      <c r="T92" s="127"/>
      <c r="U92" s="131" t="str">
        <f>IFERROR(__xludf.DUMMYFUNCTION("""COMPUTED_VALUE"""),"https://osu.ppy.sh/community/matches/110388082")</f>
        <v>https://osu.ppy.sh/community/matches/110388082</v>
      </c>
      <c r="V92" s="96"/>
      <c r="W92" s="96"/>
      <c r="X92" s="93"/>
      <c r="Y92" s="95"/>
    </row>
    <row r="93" ht="18.75" customHeight="1" outlineLevel="1">
      <c r="A93" s="95"/>
      <c r="B93" s="93"/>
      <c r="C93" s="93"/>
      <c r="D93" s="178"/>
      <c r="E93" s="178"/>
      <c r="F93" s="96"/>
      <c r="G93" s="111"/>
      <c r="H93" s="178"/>
      <c r="I93" s="96"/>
      <c r="J93" s="112">
        <f>IFERROR(__xludf.DUMMYFUNCTION("""COMPUTED_VALUE"""),57.0)</f>
        <v>57</v>
      </c>
      <c r="K93" s="145">
        <f>IFERROR(__xludf.DUMMYFUNCTION("""COMPUTED_VALUE"""),45185.0)</f>
        <v>45185</v>
      </c>
      <c r="L93" s="146">
        <f>IFERROR(__xludf.DUMMYFUNCTION("""COMPUTED_VALUE"""),0.5208333333333334)</f>
        <v>0.5208333333</v>
      </c>
      <c r="M93" s="115" t="str">
        <f>IFERROR(__xludf.DUMMYFUNCTION("""COMPUTED_VALUE"""),"female ass wrestling")</f>
        <v>female ass wrestling</v>
      </c>
      <c r="N93" s="112" t="str">
        <f>IFERROR(__xludf.DUMMYFUNCTION("""COMPUTED_VALUE"""),"7")</f>
        <v>7</v>
      </c>
      <c r="O93" s="112" t="str">
        <f>IFERROR(__xludf.DUMMYFUNCTION("""COMPUTED_VALUE"""),"2")</f>
        <v>2</v>
      </c>
      <c r="P93" s="112" t="str">
        <f>IFERROR(__xludf.DUMMYFUNCTION("""COMPUTED_VALUE"""),"Tom and Jerry")</f>
        <v>Tom and Jerry</v>
      </c>
      <c r="Q93" s="115" t="str">
        <f>IFERROR(__xludf.DUMMYFUNCTION("""COMPUTED_VALUE"""),"Mewo_")</f>
        <v>Mewo_</v>
      </c>
      <c r="R93" s="115" t="str">
        <f>IFERROR(__xludf.DUMMYFUNCTION("""COMPUTED_VALUE"""),"BCraftMG")</f>
        <v>BCraftMG</v>
      </c>
      <c r="S93" s="115" t="str">
        <f>IFERROR(__xludf.DUMMYFUNCTION("""COMPUTED_VALUE"""),"marshysxn")</f>
        <v>marshysxn</v>
      </c>
      <c r="T93" s="112" t="str">
        <f>IFERROR(__xludf.DUMMYFUNCTION("""COMPUTED_VALUE"""),"mm1678yt")</f>
        <v>mm1678yt</v>
      </c>
      <c r="U93" s="116" t="str">
        <f>IFERROR(__xludf.DUMMYFUNCTION("""COMPUTED_VALUE"""),"https://osu.ppy.sh/community/matches/110481100")</f>
        <v>https://osu.ppy.sh/community/matches/110481100</v>
      </c>
      <c r="V93" s="96"/>
      <c r="W93" s="96"/>
      <c r="X93" s="93"/>
      <c r="Y93" s="95"/>
    </row>
    <row r="94" ht="18.75" customHeight="1" outlineLevel="1">
      <c r="A94" s="95"/>
      <c r="B94" s="93"/>
      <c r="C94" s="93"/>
      <c r="D94" s="179" t="s">
        <v>54</v>
      </c>
      <c r="E94" s="118"/>
      <c r="F94" s="96"/>
      <c r="G94" s="111" t="s">
        <v>0</v>
      </c>
      <c r="H94" s="178"/>
      <c r="I94" s="96"/>
      <c r="J94" s="164">
        <f>IFERROR(__xludf.DUMMYFUNCTION("""COMPUTED_VALUE"""),58.0)</f>
        <v>58</v>
      </c>
      <c r="K94" s="148">
        <f>IFERROR(__xludf.DUMMYFUNCTION("""COMPUTED_VALUE"""),45185.0)</f>
        <v>45185</v>
      </c>
      <c r="L94" s="165">
        <f>IFERROR(__xludf.DUMMYFUNCTION("""COMPUTED_VALUE"""),0.6666666666666666)</f>
        <v>0.6666666667</v>
      </c>
      <c r="M94" s="166" t="str">
        <f>IFERROR(__xludf.DUMMYFUNCTION("""COMPUTED_VALUE"""),"match in 15")</f>
        <v>match in 15</v>
      </c>
      <c r="N94" s="164" t="str">
        <f>IFERROR(__xludf.DUMMYFUNCTION("""COMPUTED_VALUE"""),"2")</f>
        <v>2</v>
      </c>
      <c r="O94" s="164" t="str">
        <f>IFERROR(__xludf.DUMMYFUNCTION("""COMPUTED_VALUE"""),"7")</f>
        <v>7</v>
      </c>
      <c r="P94" s="164" t="str">
        <f>IFERROR(__xludf.DUMMYFUNCTION("""COMPUTED_VALUE"""),"Homossexual Students")</f>
        <v>Homossexual Students</v>
      </c>
      <c r="Q94" s="166" t="str">
        <f>IFERROR(__xludf.DUMMYFUNCTION("""COMPUTED_VALUE"""),"Pischok")</f>
        <v>Pischok</v>
      </c>
      <c r="R94" s="166"/>
      <c r="S94" s="166"/>
      <c r="T94" s="164"/>
      <c r="U94" s="167" t="str">
        <f>IFERROR(__xludf.DUMMYFUNCTION("""COMPUTED_VALUE"""),"https://osu.ppy.sh/community/matches/110484639")</f>
        <v>https://osu.ppy.sh/community/matches/110484639</v>
      </c>
      <c r="V94" s="96"/>
      <c r="W94" s="96"/>
      <c r="X94" s="93"/>
      <c r="Y94" s="95"/>
    </row>
    <row r="95" ht="18.75" customHeight="1" outlineLevel="1">
      <c r="A95" s="95"/>
      <c r="B95" s="93"/>
      <c r="C95" s="93"/>
      <c r="D95" s="120"/>
      <c r="E95" s="121"/>
      <c r="F95" s="96"/>
      <c r="G95" s="133"/>
      <c r="H95" s="133"/>
      <c r="I95" s="96"/>
      <c r="J95" s="112">
        <f>IFERROR(__xludf.DUMMYFUNCTION("""COMPUTED_VALUE"""),59.0)</f>
        <v>59</v>
      </c>
      <c r="K95" s="145">
        <f>IFERROR(__xludf.DUMMYFUNCTION("""COMPUTED_VALUE"""),45186.0)</f>
        <v>45186</v>
      </c>
      <c r="L95" s="146">
        <f>IFERROR(__xludf.DUMMYFUNCTION("""COMPUTED_VALUE"""),0.75)</f>
        <v>0.75</v>
      </c>
      <c r="M95" s="115" t="str">
        <f>IFERROR(__xludf.DUMMYFUNCTION("""COMPUTED_VALUE"""),"Homossexual Students")</f>
        <v>Homossexual Students</v>
      </c>
      <c r="N95" s="112" t="str">
        <f>IFERROR(__xludf.DUMMYFUNCTION("""COMPUTED_VALUE"""),"7")</f>
        <v>7</v>
      </c>
      <c r="O95" s="112" t="str">
        <f>IFERROR(__xludf.DUMMYFUNCTION("""COMPUTED_VALUE"""),"5")</f>
        <v>5</v>
      </c>
      <c r="P95" s="112" t="str">
        <f>IFERROR(__xludf.DUMMYFUNCTION("""COMPUTED_VALUE"""),"female ass wrestling")</f>
        <v>female ass wrestling</v>
      </c>
      <c r="Q95" s="115" t="str">
        <f>IFERROR(__xludf.DUMMYFUNCTION("""COMPUTED_VALUE"""),"RudderFish07")</f>
        <v>RudderFish07</v>
      </c>
      <c r="R95" s="115"/>
      <c r="S95" s="115"/>
      <c r="T95" s="112"/>
      <c r="U95" s="180" t="str">
        <f>IFERROR(__xludf.DUMMYFUNCTION("""COMPUTED_VALUE"""),"https://osu.ppy.sh/community/matches/110507463")</f>
        <v>https://osu.ppy.sh/community/matches/110507463</v>
      </c>
      <c r="V95" s="96"/>
      <c r="W95" s="96"/>
      <c r="X95" s="93"/>
      <c r="Y95" s="95"/>
    </row>
    <row r="96" ht="18.75" hidden="1" customHeight="1" outlineLevel="1">
      <c r="A96" s="95"/>
      <c r="B96" s="93"/>
      <c r="C96" s="93"/>
      <c r="D96" s="120"/>
      <c r="E96" s="121"/>
      <c r="F96" s="96"/>
      <c r="G96" s="133"/>
      <c r="H96" s="133"/>
      <c r="I96" s="96"/>
      <c r="J96" s="112" t="str">
        <f>IFERROR(__xludf.DUMMYFUNCTION("""COMPUTED_VALUE"""),"59a")</f>
        <v>59a</v>
      </c>
      <c r="K96" s="145">
        <f>IFERROR(__xludf.DUMMYFUNCTION("""COMPUTED_VALUE"""),45186.0)</f>
        <v>45186</v>
      </c>
      <c r="L96" s="146">
        <f>IFERROR(__xludf.DUMMYFUNCTION("""COMPUTED_VALUE"""),0.625)</f>
        <v>0.625</v>
      </c>
      <c r="M96" s="115" t="str">
        <f>IFERROR(__xludf.DUMMYFUNCTION("""COMPUTED_VALUE"""),"match in 15")</f>
        <v>match in 15</v>
      </c>
      <c r="N96" s="112" t="str">
        <f>IFERROR(__xludf.DUMMYFUNCTION("""COMPUTED_VALUE"""),"")</f>
        <v/>
      </c>
      <c r="O96" s="112" t="str">
        <f>IFERROR(__xludf.DUMMYFUNCTION("""COMPUTED_VALUE"""),"")</f>
        <v/>
      </c>
      <c r="P96" s="112" t="str">
        <f>IFERROR(__xludf.DUMMYFUNCTION("""COMPUTED_VALUE"""),"female ass wrestling")</f>
        <v>female ass wrestling</v>
      </c>
      <c r="Q96" s="115" t="str">
        <f>IFERROR(__xludf.DUMMYFUNCTION("""COMPUTED_VALUE"""),"Pischok")</f>
        <v>Pischok</v>
      </c>
      <c r="R96" s="115"/>
      <c r="S96" s="115"/>
      <c r="T96" s="112"/>
      <c r="U96" s="181" t="str">
        <f>IFERROR(__xludf.DUMMYFUNCTION("""COMPUTED_VALUE"""),"")</f>
        <v/>
      </c>
      <c r="V96" s="96"/>
      <c r="W96" s="96"/>
      <c r="X96" s="93"/>
      <c r="Y96" s="95"/>
    </row>
    <row r="97" ht="18.75" hidden="1" customHeight="1" outlineLevel="1">
      <c r="A97" s="95"/>
      <c r="B97" s="93"/>
      <c r="C97" s="93"/>
      <c r="D97" s="120"/>
      <c r="E97" s="121"/>
      <c r="F97" s="96"/>
      <c r="G97" s="133"/>
      <c r="H97" s="133"/>
      <c r="I97" s="96"/>
      <c r="J97" s="112" t="str">
        <f>IFERROR(__xludf.DUMMYFUNCTION("""COMPUTED_VALUE"""),"59b")</f>
        <v>59b</v>
      </c>
      <c r="K97" s="145">
        <f>IFERROR(__xludf.DUMMYFUNCTION("""COMPUTED_VALUE"""),45186.0)</f>
        <v>45186</v>
      </c>
      <c r="L97" s="146">
        <f>IFERROR(__xludf.DUMMYFUNCTION("""COMPUTED_VALUE"""),0.5416666666666666)</f>
        <v>0.5416666667</v>
      </c>
      <c r="M97" s="115" t="str">
        <f>IFERROR(__xludf.DUMMYFUNCTION("""COMPUTED_VALUE"""),"match in 15")</f>
        <v>match in 15</v>
      </c>
      <c r="N97" s="112" t="str">
        <f>IFERROR(__xludf.DUMMYFUNCTION("""COMPUTED_VALUE"""),"")</f>
        <v/>
      </c>
      <c r="O97" s="112" t="str">
        <f>IFERROR(__xludf.DUMMYFUNCTION("""COMPUTED_VALUE"""),"")</f>
        <v/>
      </c>
      <c r="P97" s="112" t="str">
        <f>IFERROR(__xludf.DUMMYFUNCTION("""COMPUTED_VALUE"""),"Tom and Jerry")</f>
        <v>Tom and Jerry</v>
      </c>
      <c r="Q97" s="115" t="str">
        <f>IFERROR(__xludf.DUMMYFUNCTION("""COMPUTED_VALUE"""),"RudderFish07")</f>
        <v>RudderFish07</v>
      </c>
      <c r="R97" s="115"/>
      <c r="S97" s="115"/>
      <c r="T97" s="112"/>
      <c r="U97" s="181" t="str">
        <f>IFERROR(__xludf.DUMMYFUNCTION("""COMPUTED_VALUE"""),"")</f>
        <v/>
      </c>
      <c r="V97" s="96"/>
      <c r="W97" s="96"/>
      <c r="X97" s="93"/>
      <c r="Y97" s="95"/>
    </row>
    <row r="98" ht="18.75" hidden="1" customHeight="1" outlineLevel="1">
      <c r="A98" s="95"/>
      <c r="B98" s="93"/>
      <c r="C98" s="93"/>
      <c r="D98" s="120"/>
      <c r="E98" s="121"/>
      <c r="F98" s="96"/>
      <c r="G98" s="133"/>
      <c r="H98" s="133"/>
      <c r="I98" s="96"/>
      <c r="J98" s="112" t="str">
        <f>IFERROR(__xludf.DUMMYFUNCTION("""COMPUTED_VALUE"""),"59c")</f>
        <v>59c</v>
      </c>
      <c r="K98" s="145">
        <f>IFERROR(__xludf.DUMMYFUNCTION("""COMPUTED_VALUE"""),45186.0)</f>
        <v>45186</v>
      </c>
      <c r="L98" s="146">
        <f>IFERROR(__xludf.DUMMYFUNCTION("""COMPUTED_VALUE"""),0.75)</f>
        <v>0.75</v>
      </c>
      <c r="M98" s="115" t="str">
        <f>IFERROR(__xludf.DUMMYFUNCTION("""COMPUTED_VALUE"""),"Homossexual Students")</f>
        <v>Homossexual Students</v>
      </c>
      <c r="N98" s="112" t="str">
        <f>IFERROR(__xludf.DUMMYFUNCTION("""COMPUTED_VALUE"""),"")</f>
        <v/>
      </c>
      <c r="O98" s="112" t="str">
        <f>IFERROR(__xludf.DUMMYFUNCTION("""COMPUTED_VALUE"""),"")</f>
        <v/>
      </c>
      <c r="P98" s="112" t="str">
        <f>IFERROR(__xludf.DUMMYFUNCTION("""COMPUTED_VALUE"""),"female ass wrestling")</f>
        <v>female ass wrestling</v>
      </c>
      <c r="Q98" s="115" t="str">
        <f>IFERROR(__xludf.DUMMYFUNCTION("""COMPUTED_VALUE"""),"Pischok")</f>
        <v>Pischok</v>
      </c>
      <c r="R98" s="115"/>
      <c r="S98" s="115"/>
      <c r="T98" s="112"/>
      <c r="U98" s="181" t="str">
        <f>IFERROR(__xludf.DUMMYFUNCTION("""COMPUTED_VALUE"""),"")</f>
        <v/>
      </c>
      <c r="V98" s="96"/>
      <c r="W98" s="96"/>
      <c r="X98" s="93"/>
      <c r="Y98" s="95"/>
    </row>
    <row r="99" ht="18.75" hidden="1" customHeight="1" outlineLevel="1">
      <c r="A99" s="95"/>
      <c r="B99" s="93"/>
      <c r="C99" s="93"/>
      <c r="D99" s="122"/>
      <c r="E99" s="123"/>
      <c r="F99" s="96"/>
      <c r="G99" s="133"/>
      <c r="H99" s="133"/>
      <c r="I99" s="96"/>
      <c r="J99" s="164" t="str">
        <f>IFERROR(__xludf.DUMMYFUNCTION("""COMPUTED_VALUE"""),"59d")</f>
        <v>59d</v>
      </c>
      <c r="K99" s="145">
        <f>IFERROR(__xludf.DUMMYFUNCTION("""COMPUTED_VALUE"""),45186.0)</f>
        <v>45186</v>
      </c>
      <c r="L99" s="165">
        <f>IFERROR(__xludf.DUMMYFUNCTION("""COMPUTED_VALUE"""),0.5416666666666666)</f>
        <v>0.5416666667</v>
      </c>
      <c r="M99" s="166" t="str">
        <f>IFERROR(__xludf.DUMMYFUNCTION("""COMPUTED_VALUE"""),"Homossexual Students")</f>
        <v>Homossexual Students</v>
      </c>
      <c r="N99" s="164" t="str">
        <f>IFERROR(__xludf.DUMMYFUNCTION("""COMPUTED_VALUE"""),"")</f>
        <v/>
      </c>
      <c r="O99" s="164" t="str">
        <f>IFERROR(__xludf.DUMMYFUNCTION("""COMPUTED_VALUE"""),"")</f>
        <v/>
      </c>
      <c r="P99" s="164" t="str">
        <f>IFERROR(__xludf.DUMMYFUNCTION("""COMPUTED_VALUE"""),"Tom and Jerry")</f>
        <v>Tom and Jerry</v>
      </c>
      <c r="Q99" s="166" t="str">
        <f>IFERROR(__xludf.DUMMYFUNCTION("""COMPUTED_VALUE"""),"RudderFish07")</f>
        <v>RudderFish07</v>
      </c>
      <c r="R99" s="166"/>
      <c r="S99" s="166"/>
      <c r="T99" s="164"/>
      <c r="U99" s="182" t="str">
        <f>IFERROR(__xludf.DUMMYFUNCTION("""COMPUTED_VALUE"""),"")</f>
        <v/>
      </c>
      <c r="V99" s="96"/>
      <c r="W99" s="96"/>
      <c r="X99" s="93"/>
      <c r="Y99" s="95"/>
    </row>
    <row r="100" ht="18.75" customHeight="1" outlineLevel="1">
      <c r="A100" s="95"/>
      <c r="B100" s="93"/>
      <c r="C100" s="93"/>
      <c r="D100" s="177"/>
      <c r="E100" s="177"/>
      <c r="F100" s="144"/>
      <c r="G100" s="183"/>
      <c r="H100" s="144"/>
      <c r="I100" s="144"/>
      <c r="J100" s="127">
        <f>IFERROR(__xludf.DUMMYFUNCTION("""COMPUTED_VALUE"""),60.0)</f>
        <v>60</v>
      </c>
      <c r="K100" s="161">
        <f>IFERROR(__xludf.DUMMYFUNCTION("""COMPUTED_VALUE"""),45186.0)</f>
        <v>45186</v>
      </c>
      <c r="L100" s="162">
        <f>IFERROR(__xludf.DUMMYFUNCTION("""COMPUTED_VALUE"""),0.125)</f>
        <v>0.125</v>
      </c>
      <c r="M100" s="130" t="str">
        <f>IFERROR(__xludf.DUMMYFUNCTION("""COMPUTED_VALUE"""),"placeholder teamname")</f>
        <v>placeholder teamname</v>
      </c>
      <c r="N100" s="127" t="str">
        <f>IFERROR(__xludf.DUMMYFUNCTION("""COMPUTED_VALUE"""),"0")</f>
        <v>0</v>
      </c>
      <c r="O100" s="127" t="str">
        <f>IFERROR(__xludf.DUMMYFUNCTION("""COMPUTED_VALUE"""),"7")</f>
        <v>7</v>
      </c>
      <c r="P100" s="127" t="str">
        <f>IFERROR(__xludf.DUMMYFUNCTION("""COMPUTED_VALUE"""),":MIPINGA:")</f>
        <v>:MIPINGA:</v>
      </c>
      <c r="Q100" s="130"/>
      <c r="R100" s="130"/>
      <c r="S100" s="130" t="str">
        <f>IFERROR(__xludf.DUMMYFUNCTION("""COMPUTED_VALUE"""),"Gamillie")</f>
        <v>Gamillie</v>
      </c>
      <c r="T100" s="112"/>
      <c r="U100" s="184" t="str">
        <f>IFERROR(__xludf.DUMMYFUNCTION("""COMPUTED_VALUE"""),"https://osu.ppy.sh/community/matches/110493889")</f>
        <v>https://osu.ppy.sh/community/matches/110493889</v>
      </c>
      <c r="V100" s="96"/>
      <c r="W100" s="96"/>
      <c r="X100" s="93"/>
      <c r="Y100" s="95"/>
    </row>
    <row r="101" ht="18.75" customHeight="1" outlineLevel="1">
      <c r="A101" s="95"/>
      <c r="B101" s="93"/>
      <c r="C101" s="93"/>
      <c r="D101" s="185"/>
      <c r="E101" s="185"/>
      <c r="F101" s="96"/>
      <c r="G101" s="133"/>
      <c r="H101" s="96"/>
      <c r="I101" s="96"/>
      <c r="J101" s="186">
        <f>IFERROR(__xludf.DUMMYFUNCTION("""COMPUTED_VALUE"""),61.0)</f>
        <v>61</v>
      </c>
      <c r="K101" s="145">
        <f>IFERROR(__xludf.DUMMYFUNCTION("""COMPUTED_VALUE"""),45193.0)</f>
        <v>45193</v>
      </c>
      <c r="L101" s="146">
        <f>IFERROR(__xludf.DUMMYFUNCTION("""COMPUTED_VALUE"""),0.625)</f>
        <v>0.625</v>
      </c>
      <c r="M101" s="115" t="str">
        <f>IFERROR(__xludf.DUMMYFUNCTION("""COMPUTED_VALUE"""),"placeholder teamname")</f>
        <v>placeholder teamname</v>
      </c>
      <c r="N101" s="112" t="str">
        <f>IFERROR(__xludf.DUMMYFUNCTION("""COMPUTED_VALUE"""),"0")</f>
        <v>0</v>
      </c>
      <c r="O101" s="112" t="str">
        <f>IFERROR(__xludf.DUMMYFUNCTION("""COMPUTED_VALUE"""),"7")</f>
        <v>7</v>
      </c>
      <c r="P101" s="112" t="str">
        <f>IFERROR(__xludf.DUMMYFUNCTION("""COMPUTED_VALUE"""),"Homossexual Students")</f>
        <v>Homossexual Students</v>
      </c>
      <c r="Q101" s="187" t="str">
        <f>IFERROR(__xludf.DUMMYFUNCTION("""COMPUTED_VALUE"""),"YaeMyMommy")</f>
        <v>YaeMyMommy</v>
      </c>
      <c r="R101" s="112" t="str">
        <f>IFERROR(__xludf.DUMMYFUNCTION("""COMPUTED_VALUE"""),"BCraftMG")</f>
        <v>BCraftMG</v>
      </c>
      <c r="S101" s="115"/>
      <c r="T101" s="188"/>
      <c r="U101" s="189" t="str">
        <f>IFERROR(__xludf.DUMMYFUNCTION("""COMPUTED_VALUE"""),"https://osu.ppy.sh/community/matches/110601167")</f>
        <v>https://osu.ppy.sh/community/matches/110601167</v>
      </c>
      <c r="V101" s="96"/>
      <c r="W101" s="96"/>
      <c r="X101" s="93"/>
      <c r="Y101" s="95"/>
    </row>
    <row r="102" ht="18.75" customHeight="1" outlineLevel="1">
      <c r="A102" s="95"/>
      <c r="B102" s="93"/>
      <c r="C102" s="93"/>
      <c r="D102" s="190" t="s">
        <v>55</v>
      </c>
      <c r="E102" s="118"/>
      <c r="F102" s="96"/>
      <c r="G102" s="111" t="s">
        <v>0</v>
      </c>
      <c r="H102" s="96"/>
      <c r="I102" s="96"/>
      <c r="J102" s="186">
        <f>IFERROR(__xludf.DUMMYFUNCTION("""COMPUTED_VALUE"""),62.0)</f>
        <v>62</v>
      </c>
      <c r="K102" s="145">
        <f>IFERROR(__xludf.DUMMYFUNCTION("""COMPUTED_VALUE"""),45193.0)</f>
        <v>45193</v>
      </c>
      <c r="L102" s="191">
        <f>IFERROR(__xludf.DUMMYFUNCTION("""COMPUTED_VALUE"""),0.875)</f>
        <v>0.875</v>
      </c>
      <c r="M102" s="115" t="str">
        <f>IFERROR(__xludf.DUMMYFUNCTION("""COMPUTED_VALUE"""),":MIPINGA:")</f>
        <v>:MIPINGA:</v>
      </c>
      <c r="N102" s="112" t="str">
        <f>IFERROR(__xludf.DUMMYFUNCTION("""COMPUTED_VALUE"""),"7")</f>
        <v>7</v>
      </c>
      <c r="O102" s="112" t="str">
        <f>IFERROR(__xludf.DUMMYFUNCTION("""COMPUTED_VALUE"""),"6")</f>
        <v>6</v>
      </c>
      <c r="P102" s="112" t="str">
        <f>IFERROR(__xludf.DUMMYFUNCTION("""COMPUTED_VALUE"""),"Homossexual Students")</f>
        <v>Homossexual Students</v>
      </c>
      <c r="Q102" s="187"/>
      <c r="R102" s="112"/>
      <c r="S102" s="115"/>
      <c r="T102" s="186"/>
      <c r="U102" s="189" t="str">
        <f>IFERROR(__xludf.DUMMYFUNCTION("""COMPUTED_VALUE"""),"https://osu.ppy.sh/community/matches/110607052")</f>
        <v>https://osu.ppy.sh/community/matches/110607052</v>
      </c>
      <c r="V102" s="96"/>
      <c r="W102" s="96"/>
      <c r="X102" s="93"/>
      <c r="Y102" s="95"/>
    </row>
    <row r="103" ht="18.75" hidden="1" customHeight="1" outlineLevel="1">
      <c r="A103" s="95"/>
      <c r="B103" s="93"/>
      <c r="C103" s="93"/>
      <c r="D103" s="120"/>
      <c r="E103" s="121"/>
      <c r="F103" s="96"/>
      <c r="G103" s="111"/>
      <c r="H103" s="96"/>
      <c r="I103" s="96"/>
      <c r="J103" s="186" t="str">
        <f>IFERROR(__xludf.DUMMYFUNCTION("""COMPUTED_VALUE"""),"62a")</f>
        <v>62a</v>
      </c>
      <c r="K103" s="145">
        <f>IFERROR(__xludf.DUMMYFUNCTION("""COMPUTED_VALUE"""),45193.0)</f>
        <v>45193</v>
      </c>
      <c r="L103" s="146">
        <f>IFERROR(__xludf.DUMMYFUNCTION("""COMPUTED_VALUE"""),0.625)</f>
        <v>0.625</v>
      </c>
      <c r="M103" s="115" t="str">
        <f>IFERROR(__xludf.DUMMYFUNCTION("""COMPUTED_VALUE"""),":MIPINGA:")</f>
        <v>:MIPINGA:</v>
      </c>
      <c r="N103" s="112" t="str">
        <f>IFERROR(__xludf.DUMMYFUNCTION("""COMPUTED_VALUE"""),"")</f>
        <v/>
      </c>
      <c r="O103" s="112" t="str">
        <f>IFERROR(__xludf.DUMMYFUNCTION("""COMPUTED_VALUE"""),"")</f>
        <v/>
      </c>
      <c r="P103" s="112" t="str">
        <f>IFERROR(__xludf.DUMMYFUNCTION("""COMPUTED_VALUE"""),"placeholder teamname")</f>
        <v>placeholder teamname</v>
      </c>
      <c r="Q103" s="187"/>
      <c r="R103" s="112"/>
      <c r="S103" s="115"/>
      <c r="T103" s="186"/>
      <c r="U103" s="192" t="str">
        <f>IFERROR(__xludf.DUMMYFUNCTION("""COMPUTED_VALUE"""),"")</f>
        <v/>
      </c>
      <c r="V103" s="96"/>
      <c r="W103" s="96"/>
      <c r="X103" s="93"/>
      <c r="Y103" s="95"/>
    </row>
    <row r="104" ht="18.75" hidden="1" customHeight="1" outlineLevel="1">
      <c r="A104" s="95"/>
      <c r="B104" s="93"/>
      <c r="C104" s="93"/>
      <c r="D104" s="120"/>
      <c r="E104" s="121"/>
      <c r="F104" s="96"/>
      <c r="G104" s="111"/>
      <c r="H104" s="96"/>
      <c r="I104" s="96"/>
      <c r="J104" s="186" t="str">
        <f>IFERROR(__xludf.DUMMYFUNCTION("""COMPUTED_VALUE"""),"62b")</f>
        <v>62b</v>
      </c>
      <c r="K104" s="145">
        <f>IFERROR(__xludf.DUMMYFUNCTION("""COMPUTED_VALUE"""),45193.0)</f>
        <v>45193</v>
      </c>
      <c r="L104" s="146">
        <f>IFERROR(__xludf.DUMMYFUNCTION("""COMPUTED_VALUE"""),0.875)</f>
        <v>0.875</v>
      </c>
      <c r="M104" s="115" t="str">
        <f>IFERROR(__xludf.DUMMYFUNCTION("""COMPUTED_VALUE"""),":MIPINGA:")</f>
        <v>:MIPINGA:</v>
      </c>
      <c r="N104" s="112" t="str">
        <f>IFERROR(__xludf.DUMMYFUNCTION("""COMPUTED_VALUE"""),"")</f>
        <v/>
      </c>
      <c r="O104" s="112" t="str">
        <f>IFERROR(__xludf.DUMMYFUNCTION("""COMPUTED_VALUE"""),"")</f>
        <v/>
      </c>
      <c r="P104" s="112" t="str">
        <f>IFERROR(__xludf.DUMMYFUNCTION("""COMPUTED_VALUE"""),"Homossexual Students")</f>
        <v>Homossexual Students</v>
      </c>
      <c r="Q104" s="187"/>
      <c r="R104" s="112"/>
      <c r="S104" s="115"/>
      <c r="T104" s="186"/>
      <c r="U104" s="192" t="str">
        <f>IFERROR(__xludf.DUMMYFUNCTION("""COMPUTED_VALUE"""),"")</f>
        <v/>
      </c>
      <c r="V104" s="96"/>
      <c r="W104" s="96"/>
      <c r="X104" s="93"/>
      <c r="Y104" s="95"/>
    </row>
    <row r="105" ht="18.75" hidden="1" customHeight="1" outlineLevel="1">
      <c r="A105" s="95"/>
      <c r="B105" s="93"/>
      <c r="C105" s="93"/>
      <c r="D105" s="120"/>
      <c r="E105" s="121"/>
      <c r="F105" s="96"/>
      <c r="G105" s="193"/>
      <c r="H105" s="96"/>
      <c r="I105" s="96"/>
      <c r="J105" s="186">
        <f>IFERROR(__xludf.DUMMYFUNCTION("""COMPUTED_VALUE"""),63.0)</f>
        <v>63</v>
      </c>
      <c r="K105" s="145"/>
      <c r="L105" s="112" t="str">
        <f>IFERROR(__xludf.DUMMYFUNCTION("""COMPUTED_VALUE"""),"TBA")</f>
        <v>TBA</v>
      </c>
      <c r="M105" s="115" t="str">
        <f>IFERROR(__xludf.DUMMYFUNCTION("""COMPUTED_VALUE"""),":MIPINGA:")</f>
        <v>:MIPINGA:</v>
      </c>
      <c r="N105" s="112" t="str">
        <f>IFERROR(__xludf.DUMMYFUNCTION("""COMPUTED_VALUE"""),"0")</f>
        <v>0</v>
      </c>
      <c r="O105" s="112" t="str">
        <f>IFERROR(__xludf.DUMMYFUNCTION("""COMPUTED_VALUE"""),"0")</f>
        <v>0</v>
      </c>
      <c r="P105" s="112" t="str">
        <f>IFERROR(__xludf.DUMMYFUNCTION("""COMPUTED_VALUE"""),"placeholder teamname")</f>
        <v>placeholder teamname</v>
      </c>
      <c r="Q105" s="187"/>
      <c r="R105" s="112"/>
      <c r="S105" s="115"/>
      <c r="T105" s="186"/>
      <c r="U105" s="192" t="str">
        <f>IFERROR(__xludf.DUMMYFUNCTION("""COMPUTED_VALUE"""),"")</f>
        <v/>
      </c>
      <c r="V105" s="96"/>
      <c r="W105" s="96"/>
      <c r="X105" s="93"/>
      <c r="Y105" s="95"/>
    </row>
    <row r="106" ht="18.75" hidden="1" customHeight="1" outlineLevel="1">
      <c r="A106" s="95"/>
      <c r="B106" s="93"/>
      <c r="C106" s="93"/>
      <c r="D106" s="120"/>
      <c r="E106" s="121"/>
      <c r="F106" s="96"/>
      <c r="G106" s="193"/>
      <c r="H106" s="96"/>
      <c r="I106" s="96"/>
      <c r="J106" s="112" t="str">
        <f>IFERROR(__xludf.DUMMYFUNCTION("""COMPUTED_VALUE"""),"63a")</f>
        <v>63a</v>
      </c>
      <c r="K106" s="145">
        <f>IFERROR(__xludf.DUMMYFUNCTION("""COMPUTED_VALUE"""),45199.0)</f>
        <v>45199</v>
      </c>
      <c r="L106" s="146">
        <f>IFERROR(__xludf.DUMMYFUNCTION("""COMPUTED_VALUE"""),0.625)</f>
        <v>0.625</v>
      </c>
      <c r="M106" s="115" t="str">
        <f>IFERROR(__xludf.DUMMYFUNCTION("""COMPUTED_VALUE"""),"placeholder teamname")</f>
        <v>placeholder teamname</v>
      </c>
      <c r="N106" s="112" t="str">
        <f>IFERROR(__xludf.DUMMYFUNCTION("""COMPUTED_VALUE"""),"")</f>
        <v/>
      </c>
      <c r="O106" s="112" t="str">
        <f>IFERROR(__xludf.DUMMYFUNCTION("""COMPUTED_VALUE"""),"")</f>
        <v/>
      </c>
      <c r="P106" s="112" t="str">
        <f>IFERROR(__xludf.DUMMYFUNCTION("""COMPUTED_VALUE"""),":MIPINGA:")</f>
        <v>:MIPINGA:</v>
      </c>
      <c r="Q106" s="187"/>
      <c r="R106" s="112"/>
      <c r="S106" s="115"/>
      <c r="T106" s="186"/>
      <c r="U106" s="192" t="str">
        <f>IFERROR(__xludf.DUMMYFUNCTION("""COMPUTED_VALUE"""),"")</f>
        <v/>
      </c>
      <c r="V106" s="96"/>
      <c r="W106" s="96"/>
      <c r="X106" s="93"/>
      <c r="Y106" s="95"/>
    </row>
    <row r="107" ht="18.75" hidden="1" customHeight="1" outlineLevel="1">
      <c r="A107" s="95"/>
      <c r="B107" s="93"/>
      <c r="C107" s="93"/>
      <c r="D107" s="120"/>
      <c r="E107" s="121"/>
      <c r="F107" s="96"/>
      <c r="G107" s="193"/>
      <c r="H107" s="96"/>
      <c r="I107" s="96"/>
      <c r="J107" s="112" t="str">
        <f>IFERROR(__xludf.DUMMYFUNCTION("""COMPUTED_VALUE"""),"63b")</f>
        <v>63b</v>
      </c>
      <c r="K107" s="145">
        <f>IFERROR(__xludf.DUMMYFUNCTION("""COMPUTED_VALUE"""),45199.0)</f>
        <v>45199</v>
      </c>
      <c r="L107" s="146">
        <f>IFERROR(__xludf.DUMMYFUNCTION("""COMPUTED_VALUE"""),0.875)</f>
        <v>0.875</v>
      </c>
      <c r="M107" s="115" t="str">
        <f>IFERROR(__xludf.DUMMYFUNCTION("""COMPUTED_VALUE"""),"Homossexual Students")</f>
        <v>Homossexual Students</v>
      </c>
      <c r="N107" s="112" t="str">
        <f>IFERROR(__xludf.DUMMYFUNCTION("""COMPUTED_VALUE"""),"")</f>
        <v/>
      </c>
      <c r="O107" s="112" t="str">
        <f>IFERROR(__xludf.DUMMYFUNCTION("""COMPUTED_VALUE"""),"")</f>
        <v/>
      </c>
      <c r="P107" s="112" t="str">
        <f>IFERROR(__xludf.DUMMYFUNCTION("""COMPUTED_VALUE"""),":MIPINGA:")</f>
        <v>:MIPINGA:</v>
      </c>
      <c r="Q107" s="187"/>
      <c r="R107" s="112"/>
      <c r="S107" s="115"/>
      <c r="T107" s="186"/>
      <c r="U107" s="192" t="str">
        <f>IFERROR(__xludf.DUMMYFUNCTION("""COMPUTED_VALUE"""),"")</f>
        <v/>
      </c>
      <c r="V107" s="96"/>
      <c r="W107" s="96"/>
      <c r="X107" s="93"/>
      <c r="Y107" s="95"/>
    </row>
    <row r="108" ht="6.75" customHeight="1">
      <c r="A108" s="95"/>
      <c r="B108" s="93"/>
      <c r="C108" s="93"/>
      <c r="D108" s="120"/>
      <c r="E108" s="121"/>
      <c r="F108" s="93"/>
      <c r="G108" s="93"/>
      <c r="H108" s="93"/>
      <c r="I108" s="93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93"/>
      <c r="W108" s="93"/>
      <c r="X108" s="92"/>
      <c r="Y108" s="95"/>
    </row>
    <row r="109" ht="6.75" customHeight="1">
      <c r="A109" s="95"/>
      <c r="B109" s="93"/>
      <c r="C109" s="93"/>
      <c r="D109" s="122"/>
      <c r="E109" s="12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2"/>
      <c r="X109" s="195"/>
      <c r="Y109" s="92"/>
    </row>
    <row r="110" ht="6.75" customHeight="1">
      <c r="A110" s="95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2"/>
      <c r="W110" s="92"/>
      <c r="X110" s="92"/>
      <c r="Y110" s="95"/>
    </row>
    <row r="111" ht="6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5"/>
    </row>
  </sheetData>
  <mergeCells count="9">
    <mergeCell ref="D94:E99"/>
    <mergeCell ref="D102:E109"/>
    <mergeCell ref="M6:P6"/>
    <mergeCell ref="C10:E10"/>
    <mergeCell ref="N10:O10"/>
    <mergeCell ref="D14:E25"/>
    <mergeCell ref="D31:E42"/>
    <mergeCell ref="D47:E74"/>
    <mergeCell ref="D78:E91"/>
  </mergeCells>
  <conditionalFormatting sqref="J10:N10 P10:U10 D14 D31 D47:D51">
    <cfRule type="containsText" dxfId="0" priority="1" operator="containsText" text="NM">
      <formula>NOT(ISERROR(SEARCH(("NM"),(J10))))</formula>
    </cfRule>
  </conditionalFormatting>
  <conditionalFormatting sqref="J10:N10 P10:U10 D14 D31 D47:D51">
    <cfRule type="containsText" dxfId="1" priority="2" operator="containsText" text="HD">
      <formula>NOT(ISERROR(SEARCH(("HD"),(J10))))</formula>
    </cfRule>
  </conditionalFormatting>
  <conditionalFormatting sqref="J10:N10 P10:U10 D14 D31 D47:D51">
    <cfRule type="containsText" dxfId="2" priority="3" operator="containsText" text="HR">
      <formula>NOT(ISERROR(SEARCH(("HR"),(J10))))</formula>
    </cfRule>
  </conditionalFormatting>
  <conditionalFormatting sqref="J10:N10 P10:U10 D14 D31 D47:D51">
    <cfRule type="containsText" dxfId="3" priority="4" operator="containsText" text="DT">
      <formula>NOT(ISERROR(SEARCH(("DT"),(J10))))</formula>
    </cfRule>
  </conditionalFormatting>
  <conditionalFormatting sqref="J10:N10 P10:U10 D14 D31 D47:D51">
    <cfRule type="containsText" dxfId="4" priority="5" operator="containsText" text="FM">
      <formula>NOT(ISERROR(SEARCH(("FM"),(J10))))</formula>
    </cfRule>
  </conditionalFormatting>
  <conditionalFormatting sqref="J10:N10 P10:U10 D14 D31 D47:D51">
    <cfRule type="containsText" dxfId="5" priority="6" operator="containsText" text="TB">
      <formula>NOT(ISERROR(SEARCH(("TB"),(J10))))</formula>
    </cfRule>
  </conditionalFormatting>
  <conditionalFormatting sqref="M6 C10 J10:N10 P10:U10 D14 D31 D47:D51 D102:D104">
    <cfRule type="expression" dxfId="6" priority="7">
      <formula>IF(LEFT($E6,2)="NM",TRUE,FALSE)</formula>
    </cfRule>
  </conditionalFormatting>
  <conditionalFormatting sqref="M6 C10 J10:N10 P10:U10 D14 D31 D47:D51 D102:D104">
    <cfRule type="expression" dxfId="7" priority="8">
      <formula>IF(LEFT($E6,2)="HD",TRUE,FALSE)</formula>
    </cfRule>
  </conditionalFormatting>
  <conditionalFormatting sqref="M6 C10 J10:N10 P10:U10 D14 D31 D47:D51 D102:D104">
    <cfRule type="expression" dxfId="8" priority="9">
      <formula>IF(LEFT($E6,2)="HR",TRUE,FALSE)</formula>
    </cfRule>
  </conditionalFormatting>
  <conditionalFormatting sqref="M6 C10 J10:N10 P10:U10 D14 D31 D47:D51 D102:D104">
    <cfRule type="expression" dxfId="9" priority="10">
      <formula>IF(LEFT($E6,2)="DT",TRUE,FALSE)</formula>
    </cfRule>
  </conditionalFormatting>
  <conditionalFormatting sqref="M6 C10 J10:N10 P10:U10 D14 D31 D47:D51 D102:D104">
    <cfRule type="expression" dxfId="10" priority="11">
      <formula>IF(LEFT($E6,2)="FM",TRUE,FALSE)</formula>
    </cfRule>
  </conditionalFormatting>
  <conditionalFormatting sqref="M6 C10 J10:N10 P10:U10 D14 D31 D47:D51 D102:D104">
    <cfRule type="expression" dxfId="11" priority="12">
      <formula>IF(LEFT($E6,2)="TB",TRUE,FALSE)</formula>
    </cfRule>
  </conditionalFormatting>
  <conditionalFormatting sqref="N13:N111">
    <cfRule type="expression" dxfId="12" priority="13">
      <formula>N13:N111&gt;O13:O111</formula>
    </cfRule>
  </conditionalFormatting>
  <conditionalFormatting sqref="N13:N111">
    <cfRule type="expression" dxfId="13" priority="14">
      <formula>N13:N111&lt;O13:O111</formula>
    </cfRule>
  </conditionalFormatting>
  <conditionalFormatting sqref="O13:O111">
    <cfRule type="expression" dxfId="13" priority="15">
      <formula>N13:N111&gt;O13:O111</formula>
    </cfRule>
  </conditionalFormatting>
  <conditionalFormatting sqref="O13:O111">
    <cfRule type="expression" dxfId="12" priority="16">
      <formula>N13:N111&lt;O13:O111</formula>
    </cfRule>
  </conditionalFormatting>
  <hyperlinks>
    <hyperlink r:id="rId1" ref="U14"/>
    <hyperlink r:id="rId2" ref="U15"/>
    <hyperlink r:id="rId3" ref="U16"/>
    <hyperlink r:id="rId4" ref="U17"/>
    <hyperlink r:id="rId5" ref="U18"/>
    <hyperlink r:id="rId6" ref="U19"/>
    <hyperlink r:id="rId7" ref="U20"/>
    <hyperlink r:id="rId8" ref="U21"/>
    <hyperlink r:id="rId9" ref="U22"/>
    <hyperlink r:id="rId10" ref="U23"/>
    <hyperlink r:id="rId11" ref="U24"/>
    <hyperlink r:id="rId12" ref="U25"/>
    <hyperlink r:id="rId13" ref="U26"/>
    <hyperlink r:id="rId14" ref="U27"/>
    <hyperlink r:id="rId15" ref="U28"/>
    <hyperlink r:id="rId16" ref="U29"/>
    <hyperlink r:id="rId17" ref="U30"/>
    <hyperlink r:id="rId18" ref="U31"/>
    <hyperlink r:id="rId19" ref="U32"/>
    <hyperlink r:id="rId20" ref="U33"/>
    <hyperlink r:id="rId21" ref="U34"/>
    <hyperlink r:id="rId22" ref="U35"/>
    <hyperlink r:id="rId23" ref="U36"/>
    <hyperlink r:id="rId24" ref="U37"/>
    <hyperlink r:id="rId25" ref="U38"/>
    <hyperlink r:id="rId26" ref="U39"/>
    <hyperlink r:id="rId27" ref="U40"/>
    <hyperlink r:id="rId28" ref="U41"/>
    <hyperlink r:id="rId29" ref="U42"/>
    <hyperlink r:id="rId30" ref="U43"/>
    <hyperlink r:id="rId31" ref="U44"/>
    <hyperlink r:id="rId32" ref="U45"/>
    <hyperlink r:id="rId33" ref="U46"/>
    <hyperlink r:id="rId34" ref="U47"/>
    <hyperlink r:id="rId35" ref="U48"/>
    <hyperlink r:id="rId36" ref="U49"/>
    <hyperlink r:id="rId37" ref="U50"/>
    <hyperlink r:id="rId38" ref="U51"/>
    <hyperlink r:id="rId39" ref="U52"/>
    <hyperlink r:id="rId40" ref="U58"/>
    <hyperlink r:id="rId41" ref="U63"/>
    <hyperlink r:id="rId42" ref="U68"/>
    <hyperlink r:id="rId43" ref="U73"/>
    <hyperlink r:id="rId44" ref="U74"/>
    <hyperlink r:id="rId45" ref="U76"/>
    <hyperlink r:id="rId46" ref="U77"/>
    <hyperlink r:id="rId47" ref="U78"/>
    <hyperlink r:id="rId48" ref="U79"/>
    <hyperlink r:id="rId49" ref="U80"/>
    <hyperlink r:id="rId50" ref="U81"/>
    <hyperlink r:id="rId51" ref="U86"/>
    <hyperlink r:id="rId52" ref="U91"/>
    <hyperlink r:id="rId53" ref="U92"/>
    <hyperlink r:id="rId54" ref="U93"/>
    <hyperlink r:id="rId55" ref="U94"/>
    <hyperlink r:id="rId56" ref="U95"/>
    <hyperlink r:id="rId57" ref="U100"/>
    <hyperlink r:id="rId58" ref="U101"/>
    <hyperlink r:id="rId59" ref="U102"/>
  </hyperlinks>
  <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74E8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3" width="2.0"/>
    <col customWidth="1" min="4" max="4" width="10.13"/>
    <col customWidth="1" min="5" max="5" width="12.0"/>
    <col customWidth="1" min="6" max="6" width="68.88"/>
    <col customWidth="1" min="7" max="9" width="6.38"/>
    <col customWidth="1" min="10" max="12" width="4.88"/>
    <col customWidth="1" min="13" max="14" width="15.13"/>
    <col customWidth="1" min="15" max="15" width="1.38"/>
    <col customWidth="1" min="16" max="16" width="2.63"/>
  </cols>
  <sheetData>
    <row r="1" ht="7.5" customHeight="1">
      <c r="A1" s="196"/>
      <c r="B1" s="197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9"/>
    </row>
    <row r="2" ht="22.5" customHeight="1">
      <c r="A2" s="200" t="s">
        <v>0</v>
      </c>
      <c r="B2" s="199"/>
      <c r="C2" s="201"/>
      <c r="D2" s="202" t="s">
        <v>56</v>
      </c>
      <c r="E2" s="99"/>
      <c r="F2" s="203" t="str">
        <f>"Ave. SR 5.40* &lt;&gt; Ave. Length 2:43"</f>
        <v>Ave. SR 5.40* &lt;&gt; Ave. Length 2:43</v>
      </c>
      <c r="G2" s="98"/>
      <c r="H2" s="99"/>
      <c r="I2" s="204"/>
      <c r="J2" s="204"/>
      <c r="K2" s="201"/>
      <c r="L2" s="205" t="s">
        <v>57</v>
      </c>
      <c r="M2" s="98"/>
      <c r="N2" s="99"/>
      <c r="O2" s="206"/>
      <c r="P2" s="199"/>
    </row>
    <row r="3" ht="7.5" customHeight="1">
      <c r="A3" s="207"/>
      <c r="B3" s="199"/>
      <c r="C3" s="204"/>
      <c r="D3" s="208"/>
      <c r="E3" s="208"/>
      <c r="F3" s="209"/>
      <c r="G3" s="209"/>
      <c r="H3" s="209"/>
      <c r="I3" s="209"/>
      <c r="J3" s="209"/>
      <c r="K3" s="209"/>
      <c r="L3" s="209"/>
      <c r="M3" s="210"/>
      <c r="N3" s="209"/>
      <c r="O3" s="206"/>
      <c r="P3" s="199"/>
    </row>
    <row r="4" ht="22.5" customHeight="1" outlineLevel="1">
      <c r="A4" s="207"/>
      <c r="B4" s="199"/>
      <c r="C4" s="201"/>
      <c r="D4" s="211" t="s">
        <v>58</v>
      </c>
      <c r="E4" s="211" t="s">
        <v>59</v>
      </c>
      <c r="F4" s="211" t="s">
        <v>60</v>
      </c>
      <c r="G4" s="212" t="s">
        <v>61</v>
      </c>
      <c r="H4" s="212" t="s">
        <v>62</v>
      </c>
      <c r="I4" s="213" t="s">
        <v>63</v>
      </c>
      <c r="J4" s="212" t="s">
        <v>64</v>
      </c>
      <c r="K4" s="212" t="s">
        <v>65</v>
      </c>
      <c r="L4" s="212" t="s">
        <v>66</v>
      </c>
      <c r="M4" s="211" t="s">
        <v>67</v>
      </c>
      <c r="N4" s="214" t="s">
        <v>38</v>
      </c>
      <c r="O4" s="206"/>
      <c r="P4" s="199"/>
    </row>
    <row r="5" ht="3.75" customHeight="1" outlineLevel="1">
      <c r="A5" s="207"/>
      <c r="B5" s="199"/>
      <c r="C5" s="201"/>
      <c r="D5" s="215"/>
      <c r="E5" s="216" t="s">
        <v>0</v>
      </c>
      <c r="F5" s="217"/>
      <c r="G5" s="218"/>
      <c r="H5" s="219"/>
      <c r="I5" s="220"/>
      <c r="J5" s="219"/>
      <c r="K5" s="218"/>
      <c r="L5" s="219"/>
      <c r="M5" s="216"/>
      <c r="N5" s="217"/>
      <c r="O5" s="206"/>
      <c r="P5" s="199"/>
    </row>
    <row r="6" ht="18.75" customHeight="1" outlineLevel="1">
      <c r="A6" s="207"/>
      <c r="B6" s="199"/>
      <c r="C6" s="201"/>
      <c r="D6" s="221" t="str">
        <f>IFERROR(__xludf.DUMMYFUNCTION("IMPORTRANGE(""1HHAHmZTTDlyB4RHaHQ-2bhUchkHOEZhmcQrDYQXnxnw"",""Mappool Imports - Pool Sheet!D6:O25"")"),"NM1")</f>
        <v>NM1</v>
      </c>
      <c r="E6" s="222" t="str">
        <f>IFERROR(__xludf.DUMMYFUNCTION("""COMPUTED_VALUE"""),"")</f>
        <v/>
      </c>
      <c r="F6" s="223" t="str">
        <f>IFERROR(__xludf.DUMMYFUNCTION("""COMPUTED_VALUE"""),"Airots - Tougen Roman (Epsilon Remix) [Dailycare's Extra]")</f>
        <v>Airots - Tougen Roman (Epsilon Remix) [Dailycare's Extra]</v>
      </c>
      <c r="G6" s="224">
        <f>IFERROR(__xludf.DUMMYFUNCTION("""COMPUTED_VALUE"""),5.67773)</f>
        <v>5.67773</v>
      </c>
      <c r="H6" s="225">
        <f>IFERROR(__xludf.DUMMYFUNCTION("""COMPUTED_VALUE"""),175.0)</f>
        <v>175</v>
      </c>
      <c r="I6" s="226">
        <f>IFERROR(__xludf.DUMMYFUNCTION("""COMPUTED_VALUE"""),0.002905092591390712)</f>
        <v>0.002905092591</v>
      </c>
      <c r="J6" s="227">
        <f>IFERROR(__xludf.DUMMYFUNCTION("""COMPUTED_VALUE"""),4.2)</f>
        <v>4.2</v>
      </c>
      <c r="K6" s="227">
        <f>IFERROR(__xludf.DUMMYFUNCTION("""COMPUTED_VALUE"""),9.3)</f>
        <v>9.3</v>
      </c>
      <c r="L6" s="227">
        <f>IFERROR(__xludf.DUMMYFUNCTION("""COMPUTED_VALUE"""),8.0)</f>
        <v>8</v>
      </c>
      <c r="M6" s="228" t="str">
        <f>IFERROR(__xludf.DUMMYFUNCTION("""COMPUTED_VALUE"""),"GIDZ")</f>
        <v>GIDZ</v>
      </c>
      <c r="N6" s="228">
        <f>IFERROR(__xludf.DUMMYFUNCTION("""COMPUTED_VALUE"""),2792506.0)</f>
        <v>2792506</v>
      </c>
      <c r="O6" s="206"/>
      <c r="P6" s="199"/>
    </row>
    <row r="7" ht="18.75" customHeight="1" outlineLevel="1">
      <c r="A7" s="207"/>
      <c r="B7" s="199"/>
      <c r="C7" s="201"/>
      <c r="D7" s="228" t="str">
        <f>IFERROR(__xludf.DUMMYFUNCTION("""COMPUTED_VALUE"""),"NM2")</f>
        <v>NM2</v>
      </c>
      <c r="E7" s="222" t="str">
        <f>IFERROR(__xludf.DUMMYFUNCTION("""COMPUTED_VALUE"""),"")</f>
        <v/>
      </c>
      <c r="F7" s="223" t="str">
        <f>IFERROR(__xludf.DUMMYFUNCTION("""COMPUTED_VALUE"""),"daisan - -+ [Light Another]")</f>
        <v>daisan - -+ [Light Another]</v>
      </c>
      <c r="G7" s="224">
        <f>IFERROR(__xludf.DUMMYFUNCTION("""COMPUTED_VALUE"""),5.75189)</f>
        <v>5.75189</v>
      </c>
      <c r="H7" s="225">
        <f>IFERROR(__xludf.DUMMYFUNCTION("""COMPUTED_VALUE"""),185.0)</f>
        <v>185</v>
      </c>
      <c r="I7" s="226">
        <f>IFERROR(__xludf.DUMMYFUNCTION("""COMPUTED_VALUE"""),0.0014120370360615198)</f>
        <v>0.001412037036</v>
      </c>
      <c r="J7" s="227">
        <f>IFERROR(__xludf.DUMMYFUNCTION("""COMPUTED_VALUE"""),4.0)</f>
        <v>4</v>
      </c>
      <c r="K7" s="227">
        <f>IFERROR(__xludf.DUMMYFUNCTION("""COMPUTED_VALUE"""),9.3)</f>
        <v>9.3</v>
      </c>
      <c r="L7" s="227">
        <f>IFERROR(__xludf.DUMMYFUNCTION("""COMPUTED_VALUE"""),8.0)</f>
        <v>8</v>
      </c>
      <c r="M7" s="228" t="str">
        <f>IFERROR(__xludf.DUMMYFUNCTION("""COMPUTED_VALUE"""),"[Crz]Makii")</f>
        <v>[Crz]Makii</v>
      </c>
      <c r="N7" s="228">
        <f>IFERROR(__xludf.DUMMYFUNCTION("""COMPUTED_VALUE"""),3714369.0)</f>
        <v>3714369</v>
      </c>
      <c r="O7" s="206"/>
      <c r="P7" s="199"/>
    </row>
    <row r="8" ht="18.75" customHeight="1" outlineLevel="1">
      <c r="A8" s="207"/>
      <c r="B8" s="199"/>
      <c r="C8" s="201"/>
      <c r="D8" s="228" t="str">
        <f>IFERROR(__xludf.DUMMYFUNCTION("""COMPUTED_VALUE"""),"NM3")</f>
        <v>NM3</v>
      </c>
      <c r="E8" s="222" t="str">
        <f>IFERROR(__xludf.DUMMYFUNCTION("""COMPUTED_VALUE"""),"")</f>
        <v/>
      </c>
      <c r="F8" s="223" t="str">
        <f>IFERROR(__xludf.DUMMYFUNCTION("""COMPUTED_VALUE"""),"Hatsuki Yura - Witchcraft [mogumogu]")</f>
        <v>Hatsuki Yura - Witchcraft [mogumogu]</v>
      </c>
      <c r="G8" s="224">
        <f>IFERROR(__xludf.DUMMYFUNCTION("""COMPUTED_VALUE"""),5.42973)</f>
        <v>5.42973</v>
      </c>
      <c r="H8" s="225">
        <f>IFERROR(__xludf.DUMMYFUNCTION("""COMPUTED_VALUE"""),135.0)</f>
        <v>135</v>
      </c>
      <c r="I8" s="226">
        <f>IFERROR(__xludf.DUMMYFUNCTION("""COMPUTED_VALUE"""),0.002766203702776693)</f>
        <v>0.002766203703</v>
      </c>
      <c r="J8" s="227">
        <f>IFERROR(__xludf.DUMMYFUNCTION("""COMPUTED_VALUE"""),4.2)</f>
        <v>4.2</v>
      </c>
      <c r="K8" s="227">
        <f>IFERROR(__xludf.DUMMYFUNCTION("""COMPUTED_VALUE"""),9.3)</f>
        <v>9.3</v>
      </c>
      <c r="L8" s="227">
        <f>IFERROR(__xludf.DUMMYFUNCTION("""COMPUTED_VALUE"""),8.0)</f>
        <v>8</v>
      </c>
      <c r="M8" s="228" t="str">
        <f>IFERROR(__xludf.DUMMYFUNCTION("""COMPUTED_VALUE"""),"Umbra")</f>
        <v>Umbra</v>
      </c>
      <c r="N8" s="228">
        <f>IFERROR(__xludf.DUMMYFUNCTION("""COMPUTED_VALUE"""),3461206.0)</f>
        <v>3461206</v>
      </c>
      <c r="O8" s="206"/>
      <c r="P8" s="199"/>
    </row>
    <row r="9" ht="18.75" customHeight="1" outlineLevel="1">
      <c r="A9" s="207"/>
      <c r="B9" s="199"/>
      <c r="C9" s="201"/>
      <c r="D9" s="228" t="str">
        <f>IFERROR(__xludf.DUMMYFUNCTION("""COMPUTED_VALUE"""),"NM4")</f>
        <v>NM4</v>
      </c>
      <c r="E9" s="222" t="str">
        <f>IFERROR(__xludf.DUMMYFUNCTION("""COMPUTED_VALUE"""),"")</f>
        <v/>
      </c>
      <c r="F9" s="223" t="str">
        <f>IFERROR(__xludf.DUMMYFUNCTION("""COMPUTED_VALUE"""),"Zekk - Feelsleft0ut [Acyl x toybot's Another]")</f>
        <v>Zekk - Feelsleft0ut [Acyl x toybot's Another]</v>
      </c>
      <c r="G9" s="224">
        <f>IFERROR(__xludf.DUMMYFUNCTION("""COMPUTED_VALUE"""),5.21701)</f>
        <v>5.21701</v>
      </c>
      <c r="H9" s="225">
        <f>IFERROR(__xludf.DUMMYFUNCTION("""COMPUTED_VALUE"""),170.0)</f>
        <v>170</v>
      </c>
      <c r="I9" s="226">
        <f>IFERROR(__xludf.DUMMYFUNCTION("""COMPUTED_VALUE"""),0.0010648148163454607)</f>
        <v>0.001064814816</v>
      </c>
      <c r="J9" s="227">
        <f>IFERROR(__xludf.DUMMYFUNCTION("""COMPUTED_VALUE"""),4.2)</f>
        <v>4.2</v>
      </c>
      <c r="K9" s="227">
        <f>IFERROR(__xludf.DUMMYFUNCTION("""COMPUTED_VALUE"""),9.0)</f>
        <v>9</v>
      </c>
      <c r="L9" s="227">
        <f>IFERROR(__xludf.DUMMYFUNCTION("""COMPUTED_VALUE"""),9.0)</f>
        <v>9</v>
      </c>
      <c r="M9" s="228" t="str">
        <f>IFERROR(__xludf.DUMMYFUNCTION("""COMPUTED_VALUE"""),"J1_")</f>
        <v>J1_</v>
      </c>
      <c r="N9" s="228">
        <f>IFERROR(__xludf.DUMMYFUNCTION("""COMPUTED_VALUE"""),1737928.0)</f>
        <v>1737928</v>
      </c>
      <c r="O9" s="206"/>
      <c r="P9" s="199"/>
    </row>
    <row r="10" ht="18.75" customHeight="1" outlineLevel="1">
      <c r="A10" s="207"/>
      <c r="B10" s="199"/>
      <c r="C10" s="201"/>
      <c r="D10" s="228" t="str">
        <f>IFERROR(__xludf.DUMMYFUNCTION("""COMPUTED_VALUE"""),"NM5")</f>
        <v>NM5</v>
      </c>
      <c r="E10" s="222" t="str">
        <f>IFERROR(__xludf.DUMMYFUNCTION("""COMPUTED_VALUE"""),"")</f>
        <v/>
      </c>
      <c r="F10" s="223" t="str">
        <f>IFERROR(__xludf.DUMMYFUNCTION("""COMPUTED_VALUE"""),"deathcount - A Beautiful Degeneracy (Remix by Stazma The Junglechrist) [Expert]")</f>
        <v>deathcount - A Beautiful Degeneracy (Remix by Stazma The Junglechrist) [Expert]</v>
      </c>
      <c r="G10" s="224">
        <f>IFERROR(__xludf.DUMMYFUNCTION("""COMPUTED_VALUE"""),5.57368)</f>
        <v>5.57368</v>
      </c>
      <c r="H10" s="225">
        <f>IFERROR(__xludf.DUMMYFUNCTION("""COMPUTED_VALUE"""),230.0)</f>
        <v>230</v>
      </c>
      <c r="I10" s="226">
        <f>IFERROR(__xludf.DUMMYFUNCTION("""COMPUTED_VALUE"""),0.0013773148129985202)</f>
        <v>0.001377314813</v>
      </c>
      <c r="J10" s="227">
        <f>IFERROR(__xludf.DUMMYFUNCTION("""COMPUTED_VALUE"""),4.0)</f>
        <v>4</v>
      </c>
      <c r="K10" s="227">
        <f>IFERROR(__xludf.DUMMYFUNCTION("""COMPUTED_VALUE"""),9.0)</f>
        <v>9</v>
      </c>
      <c r="L10" s="227">
        <f>IFERROR(__xludf.DUMMYFUNCTION("""COMPUTED_VALUE"""),8.0)</f>
        <v>8</v>
      </c>
      <c r="M10" s="229" t="str">
        <f>IFERROR(__xludf.DUMMYFUNCTION("""COMPUTED_VALUE"""),"quantumvortex")</f>
        <v>quantumvortex</v>
      </c>
      <c r="N10" s="228">
        <f>IFERROR(__xludf.DUMMYFUNCTION("""COMPUTED_VALUE"""),3711739.0)</f>
        <v>3711739</v>
      </c>
      <c r="O10" s="206"/>
      <c r="P10" s="199"/>
    </row>
    <row r="11" ht="18.75" customHeight="1" outlineLevel="1">
      <c r="A11" s="207"/>
      <c r="B11" s="199"/>
      <c r="C11" s="201"/>
      <c r="D11" s="228" t="str">
        <f>IFERROR(__xludf.DUMMYFUNCTION("""COMPUTED_VALUE"""),"NM6")</f>
        <v>NM6</v>
      </c>
      <c r="E11" s="222" t="str">
        <f>IFERROR(__xludf.DUMMYFUNCTION("""COMPUTED_VALUE"""),"")</f>
        <v/>
      </c>
      <c r="F11" s="223" t="str">
        <f>IFERROR(__xludf.DUMMYFUNCTION("""COMPUTED_VALUE"""),"Kotoha - Cat Loving [bongo's Insane]")</f>
        <v>Kotoha - Cat Loving [bongo's Insane]</v>
      </c>
      <c r="G11" s="224">
        <f>IFERROR(__xludf.DUMMYFUNCTION("""COMPUTED_VALUE"""),4.81674)</f>
        <v>4.81674</v>
      </c>
      <c r="H11" s="225">
        <f>IFERROR(__xludf.DUMMYFUNCTION("""COMPUTED_VALUE"""),163.0)</f>
        <v>163</v>
      </c>
      <c r="I11" s="226">
        <f>IFERROR(__xludf.DUMMYFUNCTION("""COMPUTED_VALUE"""),0.0013194444436521735)</f>
        <v>0.001319444444</v>
      </c>
      <c r="J11" s="227">
        <f>IFERROR(__xludf.DUMMYFUNCTION("""COMPUTED_VALUE"""),4.0)</f>
        <v>4</v>
      </c>
      <c r="K11" s="227">
        <f>IFERROR(__xludf.DUMMYFUNCTION("""COMPUTED_VALUE"""),7.0)</f>
        <v>7</v>
      </c>
      <c r="L11" s="227">
        <f>IFERROR(__xludf.DUMMYFUNCTION("""COMPUTED_VALUE"""),8.0)</f>
        <v>8</v>
      </c>
      <c r="M11" s="228" t="str">
        <f>IFERROR(__xludf.DUMMYFUNCTION("""COMPUTED_VALUE"""),"Kotoha")</f>
        <v>Kotoha</v>
      </c>
      <c r="N11" s="228">
        <f>IFERROR(__xludf.DUMMYFUNCTION("""COMPUTED_VALUE"""),3711612.0)</f>
        <v>3711612</v>
      </c>
      <c r="O11" s="206"/>
      <c r="P11" s="199"/>
    </row>
    <row r="12" ht="18.75" customHeight="1" outlineLevel="1">
      <c r="A12" s="207"/>
      <c r="B12" s="199"/>
      <c r="C12" s="201"/>
      <c r="D12" s="228" t="str">
        <f>IFERROR(__xludf.DUMMYFUNCTION("""COMPUTED_VALUE"""),"HD1")</f>
        <v>HD1</v>
      </c>
      <c r="E12" s="222" t="str">
        <f>IFERROR(__xludf.DUMMYFUNCTION("""COMPUTED_VALUE"""),"")</f>
        <v/>
      </c>
      <c r="F12" s="223" t="str">
        <f>IFERROR(__xludf.DUMMYFUNCTION("""COMPUTED_VALUE"""),"Chikuwa - Jinsei Matatabi [Expert]")</f>
        <v>Chikuwa - Jinsei Matatabi [Expert]</v>
      </c>
      <c r="G12" s="224">
        <f>IFERROR(__xludf.DUMMYFUNCTION("""COMPUTED_VALUE"""),5.68607)</f>
        <v>5.68607</v>
      </c>
      <c r="H12" s="225">
        <f>IFERROR(__xludf.DUMMYFUNCTION("""COMPUTED_VALUE"""),186.0)</f>
        <v>186</v>
      </c>
      <c r="I12" s="226">
        <f>IFERROR(__xludf.DUMMYFUNCTION("""COMPUTED_VALUE"""),0.0022569444445252884)</f>
        <v>0.002256944445</v>
      </c>
      <c r="J12" s="227">
        <f>IFERROR(__xludf.DUMMYFUNCTION("""COMPUTED_VALUE"""),4.0)</f>
        <v>4</v>
      </c>
      <c r="K12" s="227">
        <f>IFERROR(__xludf.DUMMYFUNCTION("""COMPUTED_VALUE"""),9.2)</f>
        <v>9.2</v>
      </c>
      <c r="L12" s="227">
        <f>IFERROR(__xludf.DUMMYFUNCTION("""COMPUTED_VALUE"""),8.9)</f>
        <v>8.9</v>
      </c>
      <c r="M12" s="228" t="str">
        <f>IFERROR(__xludf.DUMMYFUNCTION("""COMPUTED_VALUE"""),"Kuse")</f>
        <v>Kuse</v>
      </c>
      <c r="N12" s="228">
        <f>IFERROR(__xludf.DUMMYFUNCTION("""COMPUTED_VALUE"""),2348578.0)</f>
        <v>2348578</v>
      </c>
      <c r="O12" s="206"/>
      <c r="P12" s="199"/>
    </row>
    <row r="13" ht="18.75" customHeight="1" outlineLevel="1">
      <c r="A13" s="207"/>
      <c r="B13" s="199"/>
      <c r="C13" s="201"/>
      <c r="D13" s="228" t="str">
        <f>IFERROR(__xludf.DUMMYFUNCTION("""COMPUTED_VALUE"""),"HD2")</f>
        <v>HD2</v>
      </c>
      <c r="E13" s="222" t="str">
        <f>IFERROR(__xludf.DUMMYFUNCTION("""COMPUTED_VALUE"""),"")</f>
        <v/>
      </c>
      <c r="F13" s="223" t="str">
        <f>IFERROR(__xludf.DUMMYFUNCTION("""COMPUTED_VALUE"""),"Kairiki bear feat. Hatsune Miku - Starry Start [Starstruck (CS4 Edit)]")</f>
        <v>Kairiki bear feat. Hatsune Miku - Starry Start [Starstruck (CS4 Edit)]</v>
      </c>
      <c r="G13" s="224">
        <f>IFERROR(__xludf.DUMMYFUNCTION("""COMPUTED_VALUE"""),5.22745)</f>
        <v>5.22745</v>
      </c>
      <c r="H13" s="225">
        <f>IFERROR(__xludf.DUMMYFUNCTION("""COMPUTED_VALUE"""),181.0)</f>
        <v>181</v>
      </c>
      <c r="I13" s="226">
        <f>IFERROR(__xludf.DUMMYFUNCTION("""COMPUTED_VALUE"""),0.001747685186273884)</f>
        <v>0.001747685186</v>
      </c>
      <c r="J13" s="227">
        <f>IFERROR(__xludf.DUMMYFUNCTION("""COMPUTED_VALUE"""),4.0)</f>
        <v>4</v>
      </c>
      <c r="K13" s="227">
        <f>IFERROR(__xludf.DUMMYFUNCTION("""COMPUTED_VALUE"""),8.0)</f>
        <v>8</v>
      </c>
      <c r="L13" s="227">
        <f>IFERROR(__xludf.DUMMYFUNCTION("""COMPUTED_VALUE"""),8.0)</f>
        <v>8</v>
      </c>
      <c r="M13" s="228" t="str">
        <f>IFERROR(__xludf.DUMMYFUNCTION("""COMPUTED_VALUE"""),"Ixcors")</f>
        <v>Ixcors</v>
      </c>
      <c r="N13" s="228">
        <f>IFERROR(__xludf.DUMMYFUNCTION("""COMPUTED_VALUE"""),4134134.0)</f>
        <v>4134134</v>
      </c>
      <c r="O13" s="206"/>
      <c r="P13" s="199"/>
    </row>
    <row r="14" ht="18.75" customHeight="1" outlineLevel="1">
      <c r="A14" s="207"/>
      <c r="B14" s="199"/>
      <c r="C14" s="201"/>
      <c r="D14" s="228" t="str">
        <f>IFERROR(__xludf.DUMMYFUNCTION("""COMPUTED_VALUE"""),"HD3")</f>
        <v>HD3</v>
      </c>
      <c r="E14" s="222" t="str">
        <f>IFERROR(__xludf.DUMMYFUNCTION("""COMPUTED_VALUE"""),"")</f>
        <v/>
      </c>
      <c r="F14" s="223" t="str">
        <f>IFERROR(__xludf.DUMMYFUNCTION("""COMPUTED_VALUE"""),"Camellia - Wolves Standing Towards Enemies [Insane]")</f>
        <v>Camellia - Wolves Standing Towards Enemies [Insane]</v>
      </c>
      <c r="G14" s="224">
        <f>IFERROR(__xludf.DUMMYFUNCTION("""COMPUTED_VALUE"""),5.299)</f>
        <v>5.299</v>
      </c>
      <c r="H14" s="225">
        <f>IFERROR(__xludf.DUMMYFUNCTION("""COMPUTED_VALUE"""),191.0)</f>
        <v>191</v>
      </c>
      <c r="I14" s="226">
        <f>IFERROR(__xludf.DUMMYFUNCTION("""COMPUTED_VALUE"""),0.0017824074056989048)</f>
        <v>0.001782407406</v>
      </c>
      <c r="J14" s="227">
        <f>IFERROR(__xludf.DUMMYFUNCTION("""COMPUTED_VALUE"""),4.5)</f>
        <v>4.5</v>
      </c>
      <c r="K14" s="227">
        <f>IFERROR(__xludf.DUMMYFUNCTION("""COMPUTED_VALUE"""),9.2)</f>
        <v>9.2</v>
      </c>
      <c r="L14" s="227">
        <f>IFERROR(__xludf.DUMMYFUNCTION("""COMPUTED_VALUE"""),8.0)</f>
        <v>8</v>
      </c>
      <c r="M14" s="228" t="str">
        <f>IFERROR(__xludf.DUMMYFUNCTION("""COMPUTED_VALUE"""),"Regou")</f>
        <v>Regou</v>
      </c>
      <c r="N14" s="228">
        <f>IFERROR(__xludf.DUMMYFUNCTION("""COMPUTED_VALUE"""),2565268.0)</f>
        <v>2565268</v>
      </c>
      <c r="O14" s="206"/>
      <c r="P14" s="199"/>
    </row>
    <row r="15" ht="18.75" customHeight="1" outlineLevel="1">
      <c r="A15" s="207"/>
      <c r="B15" s="199"/>
      <c r="C15" s="201"/>
      <c r="D15" s="228" t="str">
        <f>IFERROR(__xludf.DUMMYFUNCTION("""COMPUTED_VALUE"""),"HR1")</f>
        <v>HR1</v>
      </c>
      <c r="E15" s="222" t="str">
        <f>IFERROR(__xludf.DUMMYFUNCTION("""COMPUTED_VALUE"""),"")</f>
        <v/>
      </c>
      <c r="F15" s="223" t="str">
        <f>IFERROR(__xludf.DUMMYFUNCTION("""COMPUTED_VALUE"""),"Dreamcatcher - Chase Me [Extra]")</f>
        <v>Dreamcatcher - Chase Me [Extra]</v>
      </c>
      <c r="G15" s="224">
        <f>IFERROR(__xludf.DUMMYFUNCTION("""COMPUTED_VALUE"""),5.49537)</f>
        <v>5.49537</v>
      </c>
      <c r="H15" s="225">
        <f>IFERROR(__xludf.DUMMYFUNCTION("""COMPUTED_VALUE"""),200.0)</f>
        <v>200</v>
      </c>
      <c r="I15" s="226">
        <f>IFERROR(__xludf.DUMMYFUNCTION("""COMPUTED_VALUE"""),0.00204861110978527)</f>
        <v>0.00204861111</v>
      </c>
      <c r="J15" s="227">
        <f>IFERROR(__xludf.DUMMYFUNCTION("""COMPUTED_VALUE"""),5.2)</f>
        <v>5.2</v>
      </c>
      <c r="K15" s="227">
        <f>IFERROR(__xludf.DUMMYFUNCTION("""COMPUTED_VALUE"""),10.0)</f>
        <v>10</v>
      </c>
      <c r="L15" s="227">
        <f>IFERROR(__xludf.DUMMYFUNCTION("""COMPUTED_VALUE"""),10.0)</f>
        <v>10</v>
      </c>
      <c r="M15" s="228" t="str">
        <f>IFERROR(__xludf.DUMMYFUNCTION("""COMPUTED_VALUE"""),"Natsu")</f>
        <v>Natsu</v>
      </c>
      <c r="N15" s="228">
        <f>IFERROR(__xludf.DUMMYFUNCTION("""COMPUTED_VALUE"""),1258993.0)</f>
        <v>1258993</v>
      </c>
      <c r="O15" s="206"/>
      <c r="P15" s="199"/>
    </row>
    <row r="16" ht="18.75" customHeight="1" outlineLevel="1">
      <c r="A16" s="230"/>
      <c r="B16" s="197"/>
      <c r="C16" s="198"/>
      <c r="D16" s="231" t="str">
        <f>IFERROR(__xludf.DUMMYFUNCTION("""COMPUTED_VALUE"""),"HR2")</f>
        <v>HR2</v>
      </c>
      <c r="E16" s="232" t="str">
        <f>IFERROR(__xludf.DUMMYFUNCTION("""COMPUTED_VALUE"""),"")</f>
        <v/>
      </c>
      <c r="F16" s="233" t="str">
        <f>IFERROR(__xludf.DUMMYFUNCTION("""COMPUTED_VALUE"""),"factal - Wake Up While Sleeping [Insane]")</f>
        <v>factal - Wake Up While Sleeping [Insane]</v>
      </c>
      <c r="G16" s="234">
        <f>IFERROR(__xludf.DUMMYFUNCTION("""COMPUTED_VALUE"""),5.31905)</f>
        <v>5.31905</v>
      </c>
      <c r="H16" s="235">
        <f>IFERROR(__xludf.DUMMYFUNCTION("""COMPUTED_VALUE"""),160.0)</f>
        <v>160</v>
      </c>
      <c r="I16" s="236">
        <f>IFERROR(__xludf.DUMMYFUNCTION("""COMPUTED_VALUE"""),0.0017592592594155576)</f>
        <v>0.001759259259</v>
      </c>
      <c r="J16" s="237">
        <f>IFERROR(__xludf.DUMMYFUNCTION("""COMPUTED_VALUE"""),6.5)</f>
        <v>6.5</v>
      </c>
      <c r="K16" s="238">
        <f>IFERROR(__xludf.DUMMYFUNCTION("""COMPUTED_VALUE"""),10.0)</f>
        <v>10</v>
      </c>
      <c r="L16" s="237">
        <f>IFERROR(__xludf.DUMMYFUNCTION("""COMPUTED_VALUE"""),10.0)</f>
        <v>10</v>
      </c>
      <c r="M16" s="239" t="str">
        <f>IFERROR(__xludf.DUMMYFUNCTION("""COMPUTED_VALUE"""),"Nokris")</f>
        <v>Nokris</v>
      </c>
      <c r="N16" s="231">
        <f>IFERROR(__xludf.DUMMYFUNCTION("""COMPUTED_VALUE"""),1592403.0)</f>
        <v>1592403</v>
      </c>
      <c r="O16" s="198"/>
      <c r="P16" s="199"/>
    </row>
    <row r="17" ht="18.75" customHeight="1" outlineLevel="1">
      <c r="A17" s="230"/>
      <c r="B17" s="197"/>
      <c r="C17" s="198"/>
      <c r="D17" s="231" t="str">
        <f>IFERROR(__xludf.DUMMYFUNCTION("""COMPUTED_VALUE"""),"HR3")</f>
        <v>HR3</v>
      </c>
      <c r="E17" s="232" t="str">
        <f>IFERROR(__xludf.DUMMYFUNCTION("""COMPUTED_VALUE"""),"")</f>
        <v/>
      </c>
      <c r="F17" s="240" t="str">
        <f>IFERROR(__xludf.DUMMYFUNCTION("""COMPUTED_VALUE"""),"USAO - Chariot (Extended Mix) [lebronJAM]")</f>
        <v>USAO - Chariot (Extended Mix) [lebronJAM]</v>
      </c>
      <c r="G17" s="234">
        <f>IFERROR(__xludf.DUMMYFUNCTION("""COMPUTED_VALUE"""),5.41149)</f>
        <v>5.41149</v>
      </c>
      <c r="H17" s="235">
        <f>IFERROR(__xludf.DUMMYFUNCTION("""COMPUTED_VALUE"""),128.0)</f>
        <v>128</v>
      </c>
      <c r="I17" s="236">
        <f>IFERROR(__xludf.DUMMYFUNCTION("""COMPUTED_VALUE"""),0.0021874999983992893)</f>
        <v>0.002187499998</v>
      </c>
      <c r="J17" s="237">
        <f>IFERROR(__xludf.DUMMYFUNCTION("""COMPUTED_VALUE"""),5.2)</f>
        <v>5.2</v>
      </c>
      <c r="K17" s="238">
        <f>IFERROR(__xludf.DUMMYFUNCTION("""COMPUTED_VALUE"""),10.0)</f>
        <v>10</v>
      </c>
      <c r="L17" s="237">
        <f>IFERROR(__xludf.DUMMYFUNCTION("""COMPUTED_VALUE"""),10.0)</f>
        <v>10</v>
      </c>
      <c r="M17" s="239" t="str">
        <f>IFERROR(__xludf.DUMMYFUNCTION("""COMPUTED_VALUE"""),"Realazy")</f>
        <v>Realazy</v>
      </c>
      <c r="N17" s="231">
        <f>IFERROR(__xludf.DUMMYFUNCTION("""COMPUTED_VALUE"""),3333734.0)</f>
        <v>3333734</v>
      </c>
      <c r="O17" s="198"/>
      <c r="P17" s="199"/>
    </row>
    <row r="18" ht="18.75" customHeight="1" outlineLevel="1">
      <c r="A18" s="230"/>
      <c r="B18" s="197"/>
      <c r="C18" s="198"/>
      <c r="D18" s="231" t="str">
        <f>IFERROR(__xludf.DUMMYFUNCTION("""COMPUTED_VALUE"""),"DT1")</f>
        <v>DT1</v>
      </c>
      <c r="E18" s="232" t="str">
        <f>IFERROR(__xludf.DUMMYFUNCTION("""COMPUTED_VALUE"""),"")</f>
        <v/>
      </c>
      <c r="F18" s="233" t="str">
        <f>IFERROR(__xludf.DUMMYFUNCTION("""COMPUTED_VALUE"""),"Inui Toko - Kimagure Romantic [Light Insane]")</f>
        <v>Inui Toko - Kimagure Romantic [Light Insane]</v>
      </c>
      <c r="G18" s="234">
        <f>IFERROR(__xludf.DUMMYFUNCTION("""COMPUTED_VALUE"""),5.72936)</f>
        <v>5.72936</v>
      </c>
      <c r="H18" s="235">
        <f>IFERROR(__xludf.DUMMYFUNCTION("""COMPUTED_VALUE"""),255.0)</f>
        <v>255</v>
      </c>
      <c r="I18" s="236">
        <f>IFERROR(__xludf.DUMMYFUNCTION("""COMPUTED_VALUE"""),0.0017592592592592592)</f>
        <v>0.001759259259</v>
      </c>
      <c r="J18" s="237">
        <f>IFERROR(__xludf.DUMMYFUNCTION("""COMPUTED_VALUE"""),4.0)</f>
        <v>4</v>
      </c>
      <c r="K18" s="238">
        <f>IFERROR(__xludf.DUMMYFUNCTION("""COMPUTED_VALUE"""),10.0)</f>
        <v>10</v>
      </c>
      <c r="L18" s="237">
        <f>IFERROR(__xludf.DUMMYFUNCTION("""COMPUTED_VALUE"""),9.083333333333334)</f>
        <v>9.083333333</v>
      </c>
      <c r="M18" s="239" t="str">
        <f>IFERROR(__xludf.DUMMYFUNCTION("""COMPUTED_VALUE"""),"newton-")</f>
        <v>newton-</v>
      </c>
      <c r="N18" s="231">
        <f>IFERROR(__xludf.DUMMYFUNCTION("""COMPUTED_VALUE"""),2519731.0)</f>
        <v>2519731</v>
      </c>
      <c r="O18" s="198"/>
      <c r="P18" s="199"/>
    </row>
    <row r="19" ht="18.75" customHeight="1" outlineLevel="1">
      <c r="A19" s="230"/>
      <c r="B19" s="197"/>
      <c r="C19" s="198"/>
      <c r="D19" s="231" t="str">
        <f>IFERROR(__xludf.DUMMYFUNCTION("""COMPUTED_VALUE"""),"DT2")</f>
        <v>DT2</v>
      </c>
      <c r="E19" s="232" t="str">
        <f>IFERROR(__xludf.DUMMYFUNCTION("""COMPUTED_VALUE"""),"")</f>
        <v/>
      </c>
      <c r="F19" s="233" t="str">
        <f>IFERROR(__xludf.DUMMYFUNCTION("""COMPUTED_VALUE"""),"Hana - Gekka Jasmine (2014ver.) [Gyro's Light Insane]")</f>
        <v>Hana - Gekka Jasmine (2014ver.) [Gyro's Light Insane]</v>
      </c>
      <c r="G19" s="234">
        <f>IFERROR(__xludf.DUMMYFUNCTION("""COMPUTED_VALUE"""),5.68312)</f>
        <v>5.68312</v>
      </c>
      <c r="H19" s="235">
        <f>IFERROR(__xludf.DUMMYFUNCTION("""COMPUTED_VALUE"""),255.0)</f>
        <v>255</v>
      </c>
      <c r="I19" s="236">
        <f>IFERROR(__xludf.DUMMYFUNCTION("""COMPUTED_VALUE"""),0.0015354938271533076)</f>
        <v>0.001535493827</v>
      </c>
      <c r="J19" s="237">
        <f>IFERROR(__xludf.DUMMYFUNCTION("""COMPUTED_VALUE"""),3.8)</f>
        <v>3.8</v>
      </c>
      <c r="K19" s="238">
        <f>IFERROR(__xludf.DUMMYFUNCTION("""COMPUTED_VALUE"""),9.866666666666667)</f>
        <v>9.866666667</v>
      </c>
      <c r="L19" s="237">
        <f>IFERROR(__xludf.DUMMYFUNCTION("""COMPUTED_VALUE"""),9.083333333333334)</f>
        <v>9.083333333</v>
      </c>
      <c r="M19" s="239" t="str">
        <f>IFERROR(__xludf.DUMMYFUNCTION("""COMPUTED_VALUE"""),"PinkHeart")</f>
        <v>PinkHeart</v>
      </c>
      <c r="N19" s="231">
        <f>IFERROR(__xludf.DUMMYFUNCTION("""COMPUTED_VALUE"""),1035068.0)</f>
        <v>1035068</v>
      </c>
      <c r="O19" s="198"/>
      <c r="P19" s="199"/>
    </row>
    <row r="20" ht="18.75" customHeight="1" outlineLevel="1">
      <c r="A20" s="230"/>
      <c r="B20" s="197"/>
      <c r="C20" s="198"/>
      <c r="D20" s="231" t="str">
        <f>IFERROR(__xludf.DUMMYFUNCTION("""COMPUTED_VALUE"""),"DT3")</f>
        <v>DT3</v>
      </c>
      <c r="E20" s="232" t="str">
        <f>IFERROR(__xludf.DUMMYFUNCTION("""COMPUTED_VALUE"""),"")</f>
        <v/>
      </c>
      <c r="F20" s="233" t="str">
        <f>IFERROR(__xludf.DUMMYFUNCTION("""COMPUTED_VALUE"""),"USAO - FREEDOM (Extended Mix) [Hard]")</f>
        <v>USAO - FREEDOM (Extended Mix) [Hard]</v>
      </c>
      <c r="G20" s="234">
        <f>IFERROR(__xludf.DUMMYFUNCTION("""COMPUTED_VALUE"""),5.48578)</f>
        <v>5.48578</v>
      </c>
      <c r="H20" s="235">
        <f>IFERROR(__xludf.DUMMYFUNCTION("""COMPUTED_VALUE"""),255.0)</f>
        <v>255</v>
      </c>
      <c r="I20" s="236">
        <f>IFERROR(__xludf.DUMMYFUNCTION("""COMPUTED_VALUE"""),0.0016358024683237697)</f>
        <v>0.001635802468</v>
      </c>
      <c r="J20" s="237">
        <f>IFERROR(__xludf.DUMMYFUNCTION("""COMPUTED_VALUE"""),4.0)</f>
        <v>4</v>
      </c>
      <c r="K20" s="238">
        <f>IFERROR(__xludf.DUMMYFUNCTION("""COMPUTED_VALUE"""),9.666666666666668)</f>
        <v>9.666666667</v>
      </c>
      <c r="L20" s="237">
        <f>IFERROR(__xludf.DUMMYFUNCTION("""COMPUTED_VALUE"""),8.416666666666666)</f>
        <v>8.416666667</v>
      </c>
      <c r="M20" s="239" t="str">
        <f>IFERROR(__xludf.DUMMYFUNCTION("""COMPUTED_VALUE"""),"C00L")</f>
        <v>C00L</v>
      </c>
      <c r="N20" s="231">
        <f>IFERROR(__xludf.DUMMYFUNCTION("""COMPUTED_VALUE"""),1707909.0)</f>
        <v>1707909</v>
      </c>
      <c r="O20" s="198"/>
      <c r="P20" s="199"/>
    </row>
    <row r="21" ht="18.75" customHeight="1" outlineLevel="1">
      <c r="A21" s="230"/>
      <c r="B21" s="197"/>
      <c r="C21" s="198"/>
      <c r="D21" s="231" t="str">
        <f>IFERROR(__xludf.DUMMYFUNCTION("""COMPUTED_VALUE"""),"DT4")</f>
        <v>DT4</v>
      </c>
      <c r="E21" s="232" t="str">
        <f>IFERROR(__xludf.DUMMYFUNCTION("""COMPUTED_VALUE"""),"")</f>
        <v/>
      </c>
      <c r="F21" s="233" t="str">
        <f>IFERROR(__xludf.DUMMYFUNCTION("""COMPUTED_VALUE"""),"Crazy Loop - Love Is A Simple Thing [EEeee's Love Ain't So Simple]")</f>
        <v>Crazy Loop - Love Is A Simple Thing [EEeee's Love Ain't So Simple]</v>
      </c>
      <c r="G21" s="234">
        <f>IFERROR(__xludf.DUMMYFUNCTION("""COMPUTED_VALUE"""),5.00306)</f>
        <v>5.00306</v>
      </c>
      <c r="H21" s="235">
        <f>IFERROR(__xludf.DUMMYFUNCTION("""COMPUTED_VALUE"""),228.0)</f>
        <v>228</v>
      </c>
      <c r="I21" s="236">
        <f>IFERROR(__xludf.DUMMYFUNCTION("""COMPUTED_VALUE"""),0.0013040123449172825)</f>
        <v>0.001304012345</v>
      </c>
      <c r="J21" s="237">
        <f>IFERROR(__xludf.DUMMYFUNCTION("""COMPUTED_VALUE"""),5.0)</f>
        <v>5</v>
      </c>
      <c r="K21" s="238">
        <f>IFERROR(__xludf.DUMMYFUNCTION("""COMPUTED_VALUE"""),8.333333333333334)</f>
        <v>8.333333333</v>
      </c>
      <c r="L21" s="237">
        <f>IFERROR(__xludf.DUMMYFUNCTION("""COMPUTED_VALUE"""),7.75)</f>
        <v>7.75</v>
      </c>
      <c r="M21" s="239" t="str">
        <f>IFERROR(__xludf.DUMMYFUNCTION("""COMPUTED_VALUE"""),"eee")</f>
        <v>eee</v>
      </c>
      <c r="N21" s="231">
        <f>IFERROR(__xludf.DUMMYFUNCTION("""COMPUTED_VALUE"""),25341.0)</f>
        <v>25341</v>
      </c>
      <c r="O21" s="198"/>
      <c r="P21" s="199"/>
    </row>
    <row r="22" ht="18.75" customHeight="1" outlineLevel="1">
      <c r="A22" s="230"/>
      <c r="B22" s="197"/>
      <c r="C22" s="198"/>
      <c r="D22" s="231" t="str">
        <f>IFERROR(__xludf.DUMMYFUNCTION("""COMPUTED_VALUE"""),"FM1")</f>
        <v>FM1</v>
      </c>
      <c r="E22" s="232" t="str">
        <f>IFERROR(__xludf.DUMMYFUNCTION("""COMPUTED_VALUE"""),"")</f>
        <v/>
      </c>
      <c r="F22" s="233" t="str">
        <f>IFERROR(__xludf.DUMMYFUNCTION("""COMPUTED_VALUE"""),"Natori Sana - Mondainai Tripper! [Insane]")</f>
        <v>Natori Sana - Mondainai Tripper! [Insane]</v>
      </c>
      <c r="G22" s="234">
        <f>IFERROR(__xludf.DUMMYFUNCTION("""COMPUTED_VALUE"""),5.29251)</f>
        <v>5.29251</v>
      </c>
      <c r="H22" s="235">
        <f>IFERROR(__xludf.DUMMYFUNCTION("""COMPUTED_VALUE"""),180.0)</f>
        <v>180</v>
      </c>
      <c r="I22" s="236">
        <f>IFERROR(__xludf.DUMMYFUNCTION("""COMPUTED_VALUE"""),0.002025462963501923)</f>
        <v>0.002025462964</v>
      </c>
      <c r="J22" s="237">
        <f>IFERROR(__xludf.DUMMYFUNCTION("""COMPUTED_VALUE"""),3.0)</f>
        <v>3</v>
      </c>
      <c r="K22" s="238">
        <f>IFERROR(__xludf.DUMMYFUNCTION("""COMPUTED_VALUE"""),9.0)</f>
        <v>9</v>
      </c>
      <c r="L22" s="237">
        <f>IFERROR(__xludf.DUMMYFUNCTION("""COMPUTED_VALUE"""),7.5)</f>
        <v>7.5</v>
      </c>
      <c r="M22" s="239" t="str">
        <f>IFERROR(__xludf.DUMMYFUNCTION("""COMPUTED_VALUE"""),"milr_")</f>
        <v>milr_</v>
      </c>
      <c r="N22" s="231">
        <f>IFERROR(__xludf.DUMMYFUNCTION("""COMPUTED_VALUE"""),3883278.0)</f>
        <v>3883278</v>
      </c>
      <c r="O22" s="198"/>
      <c r="P22" s="199"/>
    </row>
    <row r="23" ht="18.75" customHeight="1" outlineLevel="1">
      <c r="A23" s="230"/>
      <c r="B23" s="197"/>
      <c r="C23" s="198"/>
      <c r="D23" s="231" t="str">
        <f>IFERROR(__xludf.DUMMYFUNCTION("""COMPUTED_VALUE"""),"FM2")</f>
        <v>FM2</v>
      </c>
      <c r="E23" s="232" t="str">
        <f>IFERROR(__xludf.DUMMYFUNCTION("""COMPUTED_VALUE"""),"")</f>
        <v/>
      </c>
      <c r="F23" s="233" t="str">
        <f>IFERROR(__xludf.DUMMYFUNCTION("""COMPUTED_VALUE"""),"IOSYS - Midnight Lightning Bolt [Lunatic]")</f>
        <v>IOSYS - Midnight Lightning Bolt [Lunatic]</v>
      </c>
      <c r="G23" s="234">
        <f>IFERROR(__xludf.DUMMYFUNCTION("""COMPUTED_VALUE"""),5.0039)</f>
        <v>5.0039</v>
      </c>
      <c r="H23" s="235">
        <f>IFERROR(__xludf.DUMMYFUNCTION("""COMPUTED_VALUE"""),155.0)</f>
        <v>155</v>
      </c>
      <c r="I23" s="236">
        <f>IFERROR(__xludf.DUMMYFUNCTION("""COMPUTED_VALUE"""),0.0018634259249665774)</f>
        <v>0.001863425925</v>
      </c>
      <c r="J23" s="237">
        <f>IFERROR(__xludf.DUMMYFUNCTION("""COMPUTED_VALUE"""),5.0)</f>
        <v>5</v>
      </c>
      <c r="K23" s="238">
        <f>IFERROR(__xludf.DUMMYFUNCTION("""COMPUTED_VALUE"""),8.0)</f>
        <v>8</v>
      </c>
      <c r="L23" s="237">
        <f>IFERROR(__xludf.DUMMYFUNCTION("""COMPUTED_VALUE"""),8.0)</f>
        <v>8</v>
      </c>
      <c r="M23" s="239" t="str">
        <f>IFERROR(__xludf.DUMMYFUNCTION("""COMPUTED_VALUE"""),"pieguy1372")</f>
        <v>pieguy1372</v>
      </c>
      <c r="N23" s="231">
        <f>IFERROR(__xludf.DUMMYFUNCTION("""COMPUTED_VALUE"""),58701.0)</f>
        <v>58701</v>
      </c>
      <c r="O23" s="198"/>
      <c r="P23" s="199"/>
    </row>
    <row r="24" ht="18.75" customHeight="1" outlineLevel="1">
      <c r="A24" s="230"/>
      <c r="B24" s="197"/>
      <c r="C24" s="198"/>
      <c r="D24" s="231" t="str">
        <f>IFERROR(__xludf.DUMMYFUNCTION("""COMPUTED_VALUE"""),"FM3")</f>
        <v>FM3</v>
      </c>
      <c r="E24" s="232" t="str">
        <f>IFERROR(__xludf.DUMMYFUNCTION("""COMPUTED_VALUE"""),"")</f>
        <v/>
      </c>
      <c r="F24" s="233" t="str">
        <f>IFERROR(__xludf.DUMMYFUNCTION("""COMPUTED_VALUE"""),"lapix - Flamenco House [JeZalt's Another]")</f>
        <v>lapix - Flamenco House [JeZalt's Another]</v>
      </c>
      <c r="G24" s="234">
        <f>IFERROR(__xludf.DUMMYFUNCTION("""COMPUTED_VALUE"""),5.05375)</f>
        <v>5.05375</v>
      </c>
      <c r="H24" s="235">
        <f>IFERROR(__xludf.DUMMYFUNCTION("""COMPUTED_VALUE"""),130.0)</f>
        <v>130</v>
      </c>
      <c r="I24" s="236">
        <f>IFERROR(__xludf.DUMMYFUNCTION("""COMPUTED_VALUE"""),0.0016203703708015382)</f>
        <v>0.001620370371</v>
      </c>
      <c r="J24" s="237">
        <f>IFERROR(__xludf.DUMMYFUNCTION("""COMPUTED_VALUE"""),3.5)</f>
        <v>3.5</v>
      </c>
      <c r="K24" s="238">
        <f>IFERROR(__xludf.DUMMYFUNCTION("""COMPUTED_VALUE"""),8.8)</f>
        <v>8.8</v>
      </c>
      <c r="L24" s="237">
        <f>IFERROR(__xludf.DUMMYFUNCTION("""COMPUTED_VALUE"""),8.0)</f>
        <v>8</v>
      </c>
      <c r="M24" s="239" t="str">
        <f>IFERROR(__xludf.DUMMYFUNCTION("""COMPUTED_VALUE"""),"Luminiscental")</f>
        <v>Luminiscental</v>
      </c>
      <c r="N24" s="231">
        <f>IFERROR(__xludf.DUMMYFUNCTION("""COMPUTED_VALUE"""),3853742.0)</f>
        <v>3853742</v>
      </c>
      <c r="O24" s="198"/>
      <c r="P24" s="199"/>
    </row>
    <row r="25" ht="18.75" customHeight="1" outlineLevel="1">
      <c r="A25" s="230"/>
      <c r="B25" s="197"/>
      <c r="C25" s="198"/>
      <c r="D25" s="241" t="str">
        <f>IFERROR(__xludf.DUMMYFUNCTION("""COMPUTED_VALUE"""),"TB1")</f>
        <v>TB1</v>
      </c>
      <c r="E25" s="242" t="str">
        <f>IFERROR(__xludf.DUMMYFUNCTION("""COMPUTED_VALUE"""),"")</f>
        <v/>
      </c>
      <c r="F25" s="243" t="str">
        <f>IFERROR(__xludf.DUMMYFUNCTION("""COMPUTED_VALUE"""),"Camellia - d:for the DELTA [Delirium]")</f>
        <v>Camellia - d:for the DELTA [Delirium]</v>
      </c>
      <c r="G25" s="244">
        <f>IFERROR(__xludf.DUMMYFUNCTION("""COMPUTED_VALUE"""),6.01809)</f>
        <v>6.01809</v>
      </c>
      <c r="H25" s="245">
        <f>IFERROR(__xludf.DUMMYFUNCTION("""COMPUTED_VALUE"""),174.0)</f>
        <v>174</v>
      </c>
      <c r="I25" s="246">
        <f>IFERROR(__xludf.DUMMYFUNCTION("""COMPUTED_VALUE"""),0.0033680555570754223)</f>
        <v>0.003368055557</v>
      </c>
      <c r="J25" s="247">
        <f>IFERROR(__xludf.DUMMYFUNCTION("""COMPUTED_VALUE"""),4.0)</f>
        <v>4</v>
      </c>
      <c r="K25" s="248">
        <f>IFERROR(__xludf.DUMMYFUNCTION("""COMPUTED_VALUE"""),9.4)</f>
        <v>9.4</v>
      </c>
      <c r="L25" s="247">
        <f>IFERROR(__xludf.DUMMYFUNCTION("""COMPUTED_VALUE"""),8.5)</f>
        <v>8.5</v>
      </c>
      <c r="M25" s="249" t="str">
        <f>IFERROR(__xludf.DUMMYFUNCTION("""COMPUTED_VALUE"""),"ProfessionalBox")</f>
        <v>ProfessionalBox</v>
      </c>
      <c r="N25" s="241">
        <f>IFERROR(__xludf.DUMMYFUNCTION("""COMPUTED_VALUE"""),862338.0)</f>
        <v>862338</v>
      </c>
      <c r="O25" s="198"/>
      <c r="P25" s="199"/>
    </row>
    <row r="26" ht="18.75" customHeight="1">
      <c r="A26" s="230"/>
      <c r="B26" s="197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9"/>
    </row>
    <row r="27" ht="22.5" customHeight="1">
      <c r="A27" s="200" t="s">
        <v>0</v>
      </c>
      <c r="B27" s="199"/>
      <c r="C27" s="201"/>
      <c r="D27" s="202" t="s">
        <v>26</v>
      </c>
      <c r="E27" s="99"/>
      <c r="F27" s="203" t="str">
        <f>"Ave. SR 5.24* &lt;&gt; Ave. Length 2:30"</f>
        <v>Ave. SR 5.24* &lt;&gt; Ave. Length 2:30</v>
      </c>
      <c r="G27" s="98"/>
      <c r="H27" s="99"/>
      <c r="I27" s="204"/>
      <c r="J27" s="204"/>
      <c r="K27" s="201"/>
      <c r="L27" s="205" t="s">
        <v>57</v>
      </c>
      <c r="M27" s="98"/>
      <c r="N27" s="99"/>
      <c r="O27" s="206"/>
      <c r="P27" s="199"/>
    </row>
    <row r="28" ht="7.5" customHeight="1">
      <c r="A28" s="207"/>
      <c r="B28" s="199"/>
      <c r="C28" s="204"/>
      <c r="D28" s="208"/>
      <c r="E28" s="208"/>
      <c r="F28" s="209"/>
      <c r="G28" s="209"/>
      <c r="H28" s="209"/>
      <c r="I28" s="209"/>
      <c r="J28" s="209"/>
      <c r="K28" s="209"/>
      <c r="L28" s="209"/>
      <c r="M28" s="210"/>
      <c r="N28" s="209"/>
      <c r="O28" s="206"/>
      <c r="P28" s="199"/>
    </row>
    <row r="29" ht="22.5" customHeight="1" outlineLevel="1">
      <c r="A29" s="207"/>
      <c r="B29" s="199"/>
      <c r="C29" s="201"/>
      <c r="D29" s="211" t="s">
        <v>58</v>
      </c>
      <c r="E29" s="211" t="s">
        <v>59</v>
      </c>
      <c r="F29" s="211" t="s">
        <v>60</v>
      </c>
      <c r="G29" s="212" t="s">
        <v>61</v>
      </c>
      <c r="H29" s="212" t="s">
        <v>62</v>
      </c>
      <c r="I29" s="213" t="s">
        <v>63</v>
      </c>
      <c r="J29" s="212" t="s">
        <v>64</v>
      </c>
      <c r="K29" s="212" t="s">
        <v>65</v>
      </c>
      <c r="L29" s="212" t="s">
        <v>66</v>
      </c>
      <c r="M29" s="211" t="s">
        <v>67</v>
      </c>
      <c r="N29" s="214" t="s">
        <v>38</v>
      </c>
      <c r="O29" s="206"/>
      <c r="P29" s="199"/>
    </row>
    <row r="30" ht="3.75" customHeight="1" outlineLevel="1">
      <c r="A30" s="207"/>
      <c r="B30" s="199"/>
      <c r="C30" s="201"/>
      <c r="D30" s="215"/>
      <c r="E30" s="216" t="s">
        <v>0</v>
      </c>
      <c r="F30" s="217"/>
      <c r="G30" s="218"/>
      <c r="H30" s="219"/>
      <c r="I30" s="220"/>
      <c r="J30" s="219"/>
      <c r="K30" s="218"/>
      <c r="L30" s="219"/>
      <c r="M30" s="216"/>
      <c r="N30" s="217"/>
      <c r="O30" s="206"/>
      <c r="P30" s="199"/>
    </row>
    <row r="31" ht="18.75" customHeight="1" outlineLevel="1">
      <c r="A31" s="207"/>
      <c r="B31" s="199"/>
      <c r="C31" s="201"/>
      <c r="D31" s="221" t="str">
        <f>IFERROR(__xludf.DUMMYFUNCTION("IMPORTRANGE(""1HHAHmZTTDlyB4RHaHQ-2bhUchkHOEZhmcQrDYQXnxnw"",""Mappool Imports - Pool Sheet!D31:O50"")"),"NM1")</f>
        <v>NM1</v>
      </c>
      <c r="E31" s="222" t="str">
        <f>IFERROR(__xludf.DUMMYFUNCTION("""COMPUTED_VALUE"""),"")</f>
        <v/>
      </c>
      <c r="F31" s="223" t="str">
        <f>IFERROR(__xludf.DUMMYFUNCTION("""COMPUTED_VALUE"""),"Camellia - Racemization [extreme]")</f>
        <v>Camellia - Racemization [extreme]</v>
      </c>
      <c r="G31" s="224">
        <f>IFERROR(__xludf.DUMMYFUNCTION("""COMPUTED_VALUE"""),5.52323)</f>
        <v>5.52323</v>
      </c>
      <c r="H31" s="225">
        <f>IFERROR(__xludf.DUMMYFUNCTION("""COMPUTED_VALUE"""),202.0)</f>
        <v>202</v>
      </c>
      <c r="I31" s="226">
        <f>IFERROR(__xludf.DUMMYFUNCTION("""COMPUTED_VALUE"""),0.002291666667588288)</f>
        <v>0.002291666668</v>
      </c>
      <c r="J31" s="227">
        <f>IFERROR(__xludf.DUMMYFUNCTION("""COMPUTED_VALUE"""),4.0)</f>
        <v>4</v>
      </c>
      <c r="K31" s="227">
        <f>IFERROR(__xludf.DUMMYFUNCTION("""COMPUTED_VALUE"""),9.3)</f>
        <v>9.3</v>
      </c>
      <c r="L31" s="227">
        <f>IFERROR(__xludf.DUMMYFUNCTION("""COMPUTED_VALUE"""),8.3)</f>
        <v>8.3</v>
      </c>
      <c r="M31" s="228" t="str">
        <f>IFERROR(__xludf.DUMMYFUNCTION("""COMPUTED_VALUE"""),"Ciyus Miapah")</f>
        <v>Ciyus Miapah</v>
      </c>
      <c r="N31" s="228">
        <f>IFERROR(__xludf.DUMMYFUNCTION("""COMPUTED_VALUE"""),2198934.0)</f>
        <v>2198934</v>
      </c>
      <c r="O31" s="206"/>
      <c r="P31" s="199"/>
    </row>
    <row r="32" ht="18.75" customHeight="1" outlineLevel="1">
      <c r="A32" s="207"/>
      <c r="B32" s="199"/>
      <c r="C32" s="201"/>
      <c r="D32" s="228" t="str">
        <f>IFERROR(__xludf.DUMMYFUNCTION("""COMPUTED_VALUE"""),"NM2")</f>
        <v>NM2</v>
      </c>
      <c r="E32" s="222" t="str">
        <f>IFERROR(__xludf.DUMMYFUNCTION("""COMPUTED_VALUE"""),"")</f>
        <v/>
      </c>
      <c r="F32" s="223" t="str">
        <f>IFERROR(__xludf.DUMMYFUNCTION("""COMPUTED_VALUE"""),"vierre cloud - moment [astronic's another]")</f>
        <v>vierre cloud - moment [astronic's another]</v>
      </c>
      <c r="G32" s="224">
        <f>IFERROR(__xludf.DUMMYFUNCTION("""COMPUTED_VALUE"""),5.55254)</f>
        <v>5.55254</v>
      </c>
      <c r="H32" s="225">
        <f>IFERROR(__xludf.DUMMYFUNCTION("""COMPUTED_VALUE"""),171.3)</f>
        <v>171.3</v>
      </c>
      <c r="I32" s="226">
        <f>IFERROR(__xludf.DUMMYFUNCTION("""COMPUTED_VALUE"""),0.0011458333319751546)</f>
        <v>0.001145833332</v>
      </c>
      <c r="J32" s="227">
        <f>IFERROR(__xludf.DUMMYFUNCTION("""COMPUTED_VALUE"""),4.0)</f>
        <v>4</v>
      </c>
      <c r="K32" s="227">
        <f>IFERROR(__xludf.DUMMYFUNCTION("""COMPUTED_VALUE"""),9.0)</f>
        <v>9</v>
      </c>
      <c r="L32" s="227">
        <f>IFERROR(__xludf.DUMMYFUNCTION("""COMPUTED_VALUE"""),8.2)</f>
        <v>8.2</v>
      </c>
      <c r="M32" s="228" t="str">
        <f>IFERROR(__xludf.DUMMYFUNCTION("""COMPUTED_VALUE"""),"Mimari")</f>
        <v>Mimari</v>
      </c>
      <c r="N32" s="228">
        <f>IFERROR(__xludf.DUMMYFUNCTION("""COMPUTED_VALUE"""),3010348.0)</f>
        <v>3010348</v>
      </c>
      <c r="O32" s="206"/>
      <c r="P32" s="199"/>
    </row>
    <row r="33" ht="18.75" customHeight="1" outlineLevel="1">
      <c r="A33" s="207"/>
      <c r="B33" s="199"/>
      <c r="C33" s="201"/>
      <c r="D33" s="228" t="str">
        <f>IFERROR(__xludf.DUMMYFUNCTION("""COMPUTED_VALUE"""),"NM3")</f>
        <v>NM3</v>
      </c>
      <c r="E33" s="222" t="str">
        <f>IFERROR(__xludf.DUMMYFUNCTION("""COMPUTED_VALUE"""),"")</f>
        <v/>
      </c>
      <c r="F33" s="223" t="str">
        <f>IFERROR(__xludf.DUMMYFUNCTION("""COMPUTED_VALUE"""),"Ryokuoushoku Shakai - Zutto Zutto Zutto [Kloyd's Expert]")</f>
        <v>Ryokuoushoku Shakai - Zutto Zutto Zutto [Kloyd's Expert]</v>
      </c>
      <c r="G33" s="224">
        <f>IFERROR(__xludf.DUMMYFUNCTION("""COMPUTED_VALUE"""),5.25357)</f>
        <v>5.25357</v>
      </c>
      <c r="H33" s="225">
        <f>IFERROR(__xludf.DUMMYFUNCTION("""COMPUTED_VALUE"""),128.0)</f>
        <v>128</v>
      </c>
      <c r="I33" s="226">
        <f>IFERROR(__xludf.DUMMYFUNCTION("""COMPUTED_VALUE"""),0.002592592591099674)</f>
        <v>0.002592592591</v>
      </c>
      <c r="J33" s="227">
        <f>IFERROR(__xludf.DUMMYFUNCTION("""COMPUTED_VALUE"""),4.0)</f>
        <v>4</v>
      </c>
      <c r="K33" s="227">
        <f>IFERROR(__xludf.DUMMYFUNCTION("""COMPUTED_VALUE"""),9.4)</f>
        <v>9.4</v>
      </c>
      <c r="L33" s="227">
        <f>IFERROR(__xludf.DUMMYFUNCTION("""COMPUTED_VALUE"""),9.0)</f>
        <v>9</v>
      </c>
      <c r="M33" s="228" t="str">
        <f>IFERROR(__xludf.DUMMYFUNCTION("""COMPUTED_VALUE"""),"mnyui")</f>
        <v>mnyui</v>
      </c>
      <c r="N33" s="228">
        <f>IFERROR(__xludf.DUMMYFUNCTION("""COMPUTED_VALUE"""),3774971.0)</f>
        <v>3774971</v>
      </c>
      <c r="O33" s="206"/>
      <c r="P33" s="199"/>
    </row>
    <row r="34" ht="18.75" customHeight="1" outlineLevel="1">
      <c r="A34" s="207"/>
      <c r="B34" s="199"/>
      <c r="C34" s="201"/>
      <c r="D34" s="228" t="str">
        <f>IFERROR(__xludf.DUMMYFUNCTION("""COMPUTED_VALUE"""),"NM4")</f>
        <v>NM4</v>
      </c>
      <c r="E34" s="222" t="str">
        <f>IFERROR(__xludf.DUMMYFUNCTION("""COMPUTED_VALUE"""),"")</f>
        <v/>
      </c>
      <c r="F34" s="223" t="str">
        <f>IFERROR(__xludf.DUMMYFUNCTION("""COMPUTED_VALUE"""),"USAO - Gruequix [Expert]")</f>
        <v>USAO - Gruequix [Expert]</v>
      </c>
      <c r="G34" s="224">
        <f>IFERROR(__xludf.DUMMYFUNCTION("""COMPUTED_VALUE"""),5.28144)</f>
        <v>5.28144</v>
      </c>
      <c r="H34" s="225">
        <f>IFERROR(__xludf.DUMMYFUNCTION("""COMPUTED_VALUE"""),128.0)</f>
        <v>128</v>
      </c>
      <c r="I34" s="226">
        <f>IFERROR(__xludf.DUMMYFUNCTION("""COMPUTED_VALUE"""),0.001898148148029577)</f>
        <v>0.001898148148</v>
      </c>
      <c r="J34" s="227">
        <f>IFERROR(__xludf.DUMMYFUNCTION("""COMPUTED_VALUE"""),3.7)</f>
        <v>3.7</v>
      </c>
      <c r="K34" s="227">
        <f>IFERROR(__xludf.DUMMYFUNCTION("""COMPUTED_VALUE"""),9.0)</f>
        <v>9</v>
      </c>
      <c r="L34" s="227">
        <f>IFERROR(__xludf.DUMMYFUNCTION("""COMPUTED_VALUE"""),8.0)</f>
        <v>8</v>
      </c>
      <c r="M34" s="228" t="str">
        <f>IFERROR(__xludf.DUMMYFUNCTION("""COMPUTED_VALUE"""),"Cubby")</f>
        <v>Cubby</v>
      </c>
      <c r="N34" s="228">
        <f>IFERROR(__xludf.DUMMYFUNCTION("""COMPUTED_VALUE"""),3802110.0)</f>
        <v>3802110</v>
      </c>
      <c r="O34" s="206"/>
      <c r="P34" s="199"/>
    </row>
    <row r="35" ht="18.75" customHeight="1" outlineLevel="1">
      <c r="A35" s="207"/>
      <c r="B35" s="199"/>
      <c r="C35" s="201"/>
      <c r="D35" s="228" t="str">
        <f>IFERROR(__xludf.DUMMYFUNCTION("""COMPUTED_VALUE"""),"NM5")</f>
        <v>NM5</v>
      </c>
      <c r="E35" s="222" t="str">
        <f>IFERROR(__xludf.DUMMYFUNCTION("""COMPUTED_VALUE"""),"")</f>
        <v/>
      </c>
      <c r="F35" s="223" t="str">
        <f>IFERROR(__xludf.DUMMYFUNCTION("""COMPUTED_VALUE"""),"Prim - Koisuru*Uchuu Sensou!! [Another 220BPM]")</f>
        <v>Prim - Koisuru*Uchuu Sensou!! [Another 220BPM]</v>
      </c>
      <c r="G35" s="224">
        <f>IFERROR(__xludf.DUMMYFUNCTION("""COMPUTED_VALUE"""),5.51825)</f>
        <v>5.51825</v>
      </c>
      <c r="H35" s="225">
        <f>IFERROR(__xludf.DUMMYFUNCTION("""COMPUTED_VALUE"""),220.0)</f>
        <v>220</v>
      </c>
      <c r="I35" s="226">
        <f>IFERROR(__xludf.DUMMYFUNCTION("""COMPUTED_VALUE"""),0.0012268518512428273)</f>
        <v>0.001226851851</v>
      </c>
      <c r="J35" s="227">
        <f>IFERROR(__xludf.DUMMYFUNCTION("""COMPUTED_VALUE"""),4.0)</f>
        <v>4</v>
      </c>
      <c r="K35" s="227">
        <f>IFERROR(__xludf.DUMMYFUNCTION("""COMPUTED_VALUE"""),9.0)</f>
        <v>9</v>
      </c>
      <c r="L35" s="227">
        <f>IFERROR(__xludf.DUMMYFUNCTION("""COMPUTED_VALUE"""),7.0)</f>
        <v>7</v>
      </c>
      <c r="M35" s="228" t="str">
        <f>IFERROR(__xludf.DUMMYFUNCTION("""COMPUTED_VALUE"""),"LemonTT")</f>
        <v>LemonTT</v>
      </c>
      <c r="N35" s="228">
        <f>IFERROR(__xludf.DUMMYFUNCTION("""COMPUTED_VALUE"""),309900.0)</f>
        <v>309900</v>
      </c>
      <c r="O35" s="206"/>
      <c r="P35" s="199"/>
    </row>
    <row r="36" ht="18.75" customHeight="1" outlineLevel="1">
      <c r="A36" s="207"/>
      <c r="B36" s="199"/>
      <c r="C36" s="201"/>
      <c r="D36" s="228" t="str">
        <f>IFERROR(__xludf.DUMMYFUNCTION("""COMPUTED_VALUE"""),"NM6")</f>
        <v>NM6</v>
      </c>
      <c r="E36" s="222" t="str">
        <f>IFERROR(__xludf.DUMMYFUNCTION("""COMPUTED_VALUE"""),"")</f>
        <v/>
      </c>
      <c r="F36" s="223" t="str">
        <f>IFERROR(__xludf.DUMMYFUNCTION("""COMPUTED_VALUE"""),"Kikuo - Yousei no Kiri [Insane]")</f>
        <v>Kikuo - Yousei no Kiri [Insane]</v>
      </c>
      <c r="G36" s="224">
        <f>IFERROR(__xludf.DUMMYFUNCTION("""COMPUTED_VALUE"""),4.62529)</f>
        <v>4.62529</v>
      </c>
      <c r="H36" s="225">
        <f>IFERROR(__xludf.DUMMYFUNCTION("""COMPUTED_VALUE"""),160.0)</f>
        <v>160</v>
      </c>
      <c r="I36" s="226">
        <f>IFERROR(__xludf.DUMMYFUNCTION("""COMPUTED_VALUE"""),0.0014583333322661929)</f>
        <v>0.001458333332</v>
      </c>
      <c r="J36" s="227">
        <f>IFERROR(__xludf.DUMMYFUNCTION("""COMPUTED_VALUE"""),5.0)</f>
        <v>5</v>
      </c>
      <c r="K36" s="227">
        <f>IFERROR(__xludf.DUMMYFUNCTION("""COMPUTED_VALUE"""),7.0)</f>
        <v>7</v>
      </c>
      <c r="L36" s="227">
        <f>IFERROR(__xludf.DUMMYFUNCTION("""COMPUTED_VALUE"""),7.0)</f>
        <v>7</v>
      </c>
      <c r="M36" s="228" t="str">
        <f>IFERROR(__xludf.DUMMYFUNCTION("""COMPUTED_VALUE"""),"Vararaup")</f>
        <v>Vararaup</v>
      </c>
      <c r="N36" s="228">
        <f>IFERROR(__xludf.DUMMYFUNCTION("""COMPUTED_VALUE"""),3870932.0)</f>
        <v>3870932</v>
      </c>
      <c r="O36" s="206"/>
      <c r="P36" s="199"/>
    </row>
    <row r="37" ht="18.75" customHeight="1" outlineLevel="1">
      <c r="A37" s="207"/>
      <c r="B37" s="199"/>
      <c r="C37" s="201"/>
      <c r="D37" s="228" t="str">
        <f>IFERROR(__xludf.DUMMYFUNCTION("""COMPUTED_VALUE"""),"HD1")</f>
        <v>HD1</v>
      </c>
      <c r="E37" s="222" t="str">
        <f>IFERROR(__xludf.DUMMYFUNCTION("""COMPUTED_VALUE"""),"")</f>
        <v/>
      </c>
      <c r="F37" s="223" t="str">
        <f>IFERROR(__xludf.DUMMYFUNCTION("""COMPUTED_VALUE"""),"DJ S3RL - T-T-Techno (feat. Jesskah) [fanzhen's X-Tra]")</f>
        <v>DJ S3RL - T-T-Techno (feat. Jesskah) [fanzhen's X-Tra]</v>
      </c>
      <c r="G37" s="224">
        <f>IFERROR(__xludf.DUMMYFUNCTION("""COMPUTED_VALUE"""),5.50651)</f>
        <v>5.50651</v>
      </c>
      <c r="H37" s="225">
        <f>IFERROR(__xludf.DUMMYFUNCTION("""COMPUTED_VALUE"""),175.0)</f>
        <v>175</v>
      </c>
      <c r="I37" s="226">
        <f>IFERROR(__xludf.DUMMYFUNCTION("""COMPUTED_VALUE"""),0.0018750000017462298)</f>
        <v>0.001875000002</v>
      </c>
      <c r="J37" s="227">
        <f>IFERROR(__xludf.DUMMYFUNCTION("""COMPUTED_VALUE"""),4.2)</f>
        <v>4.2</v>
      </c>
      <c r="K37" s="227">
        <f>IFERROR(__xludf.DUMMYFUNCTION("""COMPUTED_VALUE"""),9.1)</f>
        <v>9.1</v>
      </c>
      <c r="L37" s="227">
        <f>IFERROR(__xludf.DUMMYFUNCTION("""COMPUTED_VALUE"""),8.0)</f>
        <v>8</v>
      </c>
      <c r="M37" s="228" t="str">
        <f>IFERROR(__xludf.DUMMYFUNCTION("""COMPUTED_VALUE"""),"nold_1702")</f>
        <v>nold_1702</v>
      </c>
      <c r="N37" s="228">
        <f>IFERROR(__xludf.DUMMYFUNCTION("""COMPUTED_VALUE"""),571620.0)</f>
        <v>571620</v>
      </c>
      <c r="O37" s="206"/>
      <c r="P37" s="199"/>
    </row>
    <row r="38" ht="18.75" customHeight="1" outlineLevel="1">
      <c r="A38" s="207"/>
      <c r="B38" s="199"/>
      <c r="C38" s="201"/>
      <c r="D38" s="228" t="str">
        <f>IFERROR(__xludf.DUMMYFUNCTION("""COMPUTED_VALUE"""),"HD2")</f>
        <v>HD2</v>
      </c>
      <c r="E38" s="222" t="str">
        <f>IFERROR(__xludf.DUMMYFUNCTION("""COMPUTED_VALUE"""),"")</f>
        <v/>
      </c>
      <c r="F38" s="223" t="str">
        <f>IFERROR(__xludf.DUMMYFUNCTION("""COMPUTED_VALUE"""),"capsule - A.I. automatic infection [Insane]")</f>
        <v>capsule - A.I. automatic infection [Insane]</v>
      </c>
      <c r="G38" s="224">
        <f>IFERROR(__xludf.DUMMYFUNCTION("""COMPUTED_VALUE"""),5.05513)</f>
        <v>5.05513</v>
      </c>
      <c r="H38" s="225">
        <f>IFERROR(__xludf.DUMMYFUNCTION("""COMPUTED_VALUE"""),170.0)</f>
        <v>170</v>
      </c>
      <c r="I38" s="226">
        <f>IFERROR(__xludf.DUMMYFUNCTION("""COMPUTED_VALUE"""),0.00204861110978527)</f>
        <v>0.00204861111</v>
      </c>
      <c r="J38" s="227">
        <f>IFERROR(__xludf.DUMMYFUNCTION("""COMPUTED_VALUE"""),4.0)</f>
        <v>4</v>
      </c>
      <c r="K38" s="227">
        <f>IFERROR(__xludf.DUMMYFUNCTION("""COMPUTED_VALUE"""),8.0)</f>
        <v>8</v>
      </c>
      <c r="L38" s="227">
        <f>IFERROR(__xludf.DUMMYFUNCTION("""COMPUTED_VALUE"""),8.0)</f>
        <v>8</v>
      </c>
      <c r="M38" s="228" t="str">
        <f>IFERROR(__xludf.DUMMYFUNCTION("""COMPUTED_VALUE"""),"_xyliac")</f>
        <v>_xyliac</v>
      </c>
      <c r="N38" s="228">
        <f>IFERROR(__xludf.DUMMYFUNCTION("""COMPUTED_VALUE"""),3563737.0)</f>
        <v>3563737</v>
      </c>
      <c r="O38" s="206"/>
      <c r="P38" s="199"/>
    </row>
    <row r="39" ht="18.75" customHeight="1" outlineLevel="1">
      <c r="A39" s="207"/>
      <c r="B39" s="199"/>
      <c r="C39" s="201"/>
      <c r="D39" s="228" t="str">
        <f>IFERROR(__xludf.DUMMYFUNCTION("""COMPUTED_VALUE"""),"HD3")</f>
        <v>HD3</v>
      </c>
      <c r="E39" s="222" t="str">
        <f>IFERROR(__xludf.DUMMYFUNCTION("""COMPUTED_VALUE"""),"")</f>
        <v/>
      </c>
      <c r="F39" s="223" t="str">
        <f>IFERROR(__xludf.DUMMYFUNCTION("""COMPUTED_VALUE"""),"Kudou Chitose - CHO-DARI- [EX]")</f>
        <v>Kudou Chitose - CHO-DARI- [EX]</v>
      </c>
      <c r="G39" s="224">
        <f>IFERROR(__xludf.DUMMYFUNCTION("""COMPUTED_VALUE"""),5.25951)</f>
        <v>5.25951</v>
      </c>
      <c r="H39" s="225">
        <f>IFERROR(__xludf.DUMMYFUNCTION("""COMPUTED_VALUE"""),80.0)</f>
        <v>80</v>
      </c>
      <c r="I39" s="226">
        <f>IFERROR(__xludf.DUMMYFUNCTION("""COMPUTED_VALUE"""),0.001527777778392192)</f>
        <v>0.001527777778</v>
      </c>
      <c r="J39" s="227">
        <f>IFERROR(__xludf.DUMMYFUNCTION("""COMPUTED_VALUE"""),4.2)</f>
        <v>4.2</v>
      </c>
      <c r="K39" s="227">
        <f>IFERROR(__xludf.DUMMYFUNCTION("""COMPUTED_VALUE"""),9.2)</f>
        <v>9.2</v>
      </c>
      <c r="L39" s="227">
        <f>IFERROR(__xludf.DUMMYFUNCTION("""COMPUTED_VALUE"""),8.7)</f>
        <v>8.7</v>
      </c>
      <c r="M39" s="228" t="str">
        <f>IFERROR(__xludf.DUMMYFUNCTION("""COMPUTED_VALUE"""),"SMOKELIND")</f>
        <v>SMOKELIND</v>
      </c>
      <c r="N39" s="228">
        <f>IFERROR(__xludf.DUMMYFUNCTION("""COMPUTED_VALUE"""),2751338.0)</f>
        <v>2751338</v>
      </c>
      <c r="O39" s="206"/>
      <c r="P39" s="199"/>
    </row>
    <row r="40" ht="18.75" customHeight="1" outlineLevel="1">
      <c r="A40" s="207"/>
      <c r="B40" s="199"/>
      <c r="C40" s="201"/>
      <c r="D40" s="228" t="str">
        <f>IFERROR(__xludf.DUMMYFUNCTION("""COMPUTED_VALUE"""),"HR1")</f>
        <v>HR1</v>
      </c>
      <c r="E40" s="222" t="str">
        <f>IFERROR(__xludf.DUMMYFUNCTION("""COMPUTED_VALUE"""),"")</f>
        <v/>
      </c>
      <c r="F40" s="223" t="str">
        <f>IFERROR(__xludf.DUMMYFUNCTION("""COMPUTED_VALUE"""),"BAND-MAID - I can't live without you. [Insane]")</f>
        <v>BAND-MAID - I can't live without you. [Insane]</v>
      </c>
      <c r="G40" s="224">
        <f>IFERROR(__xludf.DUMMYFUNCTION("""COMPUTED_VALUE"""),5.42869)</f>
        <v>5.42869</v>
      </c>
      <c r="H40" s="225">
        <f>IFERROR(__xludf.DUMMYFUNCTION("""COMPUTED_VALUE"""),180.0)</f>
        <v>180</v>
      </c>
      <c r="I40" s="226">
        <f>IFERROR(__xludf.DUMMYFUNCTION("""COMPUTED_VALUE"""),0.002592592591099674)</f>
        <v>0.002592592591</v>
      </c>
      <c r="J40" s="227">
        <f>IFERROR(__xludf.DUMMYFUNCTION("""COMPUTED_VALUE"""),5.2)</f>
        <v>5.2</v>
      </c>
      <c r="K40" s="227">
        <f>IFERROR(__xludf.DUMMYFUNCTION("""COMPUTED_VALUE"""),10.0)</f>
        <v>10</v>
      </c>
      <c r="L40" s="227">
        <f>IFERROR(__xludf.DUMMYFUNCTION("""COMPUTED_VALUE"""),10.0)</f>
        <v>10</v>
      </c>
      <c r="M40" s="228" t="str">
        <f>IFERROR(__xludf.DUMMYFUNCTION("""COMPUTED_VALUE"""),"Lasse")</f>
        <v>Lasse</v>
      </c>
      <c r="N40" s="228">
        <f>IFERROR(__xludf.DUMMYFUNCTION("""COMPUTED_VALUE"""),2288966.0)</f>
        <v>2288966</v>
      </c>
      <c r="O40" s="206"/>
      <c r="P40" s="199"/>
    </row>
    <row r="41" ht="18.75" customHeight="1" outlineLevel="1">
      <c r="A41" s="230"/>
      <c r="B41" s="197"/>
      <c r="C41" s="198"/>
      <c r="D41" s="231" t="str">
        <f>IFERROR(__xludf.DUMMYFUNCTION("""COMPUTED_VALUE"""),"HR2")</f>
        <v>HR2</v>
      </c>
      <c r="E41" s="232" t="str">
        <f>IFERROR(__xludf.DUMMYFUNCTION("""COMPUTED_VALUE"""),"")</f>
        <v/>
      </c>
      <c r="F41" s="233" t="str">
        <f>IFERROR(__xludf.DUMMYFUNCTION("""COMPUTED_VALUE"""),"Sta &amp; Feryquitous - 2 Minutes Euphoria [Pata-Mon's Insane]")</f>
        <v>Sta &amp; Feryquitous - 2 Minutes Euphoria [Pata-Mon's Insane]</v>
      </c>
      <c r="G41" s="234">
        <f>IFERROR(__xludf.DUMMYFUNCTION("""COMPUTED_VALUE"""),5.20036)</f>
        <v>5.20036</v>
      </c>
      <c r="H41" s="235">
        <f>IFERROR(__xludf.DUMMYFUNCTION("""COMPUTED_VALUE"""),170.0)</f>
        <v>170</v>
      </c>
      <c r="I41" s="236">
        <f>IFERROR(__xludf.DUMMYFUNCTION("""COMPUTED_VALUE"""),0.0018518518518249039)</f>
        <v>0.001851851852</v>
      </c>
      <c r="J41" s="237">
        <f>IFERROR(__xludf.DUMMYFUNCTION("""COMPUTED_VALUE"""),6.5)</f>
        <v>6.5</v>
      </c>
      <c r="K41" s="238">
        <f>IFERROR(__xludf.DUMMYFUNCTION("""COMPUTED_VALUE"""),10.0)</f>
        <v>10</v>
      </c>
      <c r="L41" s="237">
        <f>IFERROR(__xludf.DUMMYFUNCTION("""COMPUTED_VALUE"""),9.799999999999999)</f>
        <v>9.8</v>
      </c>
      <c r="M41" s="239" t="str">
        <f>IFERROR(__xludf.DUMMYFUNCTION("""COMPUTED_VALUE"""),"Ryuusei Aika")</f>
        <v>Ryuusei Aika</v>
      </c>
      <c r="N41" s="231">
        <f>IFERROR(__xludf.DUMMYFUNCTION("""COMPUTED_VALUE"""),2691754.0)</f>
        <v>2691754</v>
      </c>
      <c r="O41" s="198"/>
      <c r="P41" s="199"/>
    </row>
    <row r="42" ht="18.75" customHeight="1" outlineLevel="1">
      <c r="A42" s="230"/>
      <c r="B42" s="197"/>
      <c r="C42" s="198"/>
      <c r="D42" s="231" t="str">
        <f>IFERROR(__xludf.DUMMYFUNCTION("""COMPUTED_VALUE"""),"HR3")</f>
        <v>HR3</v>
      </c>
      <c r="E42" s="232" t="str">
        <f>IFERROR(__xludf.DUMMYFUNCTION("""COMPUTED_VALUE"""),"")</f>
        <v/>
      </c>
      <c r="F42" s="240" t="str">
        <f>IFERROR(__xludf.DUMMYFUNCTION("""COMPUTED_VALUE"""),"Eagle - S!ck [Down's Insane]")</f>
        <v>Eagle - S!ck [Down's Insane]</v>
      </c>
      <c r="G42" s="234">
        <f>IFERROR(__xludf.DUMMYFUNCTION("""COMPUTED_VALUE"""),5.36535)</f>
        <v>5.36535</v>
      </c>
      <c r="H42" s="235">
        <f>IFERROR(__xludf.DUMMYFUNCTION("""COMPUTED_VALUE"""),177.0)</f>
        <v>177</v>
      </c>
      <c r="I42" s="236">
        <f>IFERROR(__xludf.DUMMYFUNCTION("""COMPUTED_VALUE"""),0.0012731481474475004)</f>
        <v>0.001273148147</v>
      </c>
      <c r="J42" s="237">
        <f>IFERROR(__xludf.DUMMYFUNCTION("""COMPUTED_VALUE"""),5.2)</f>
        <v>5.2</v>
      </c>
      <c r="K42" s="238">
        <f>IFERROR(__xludf.DUMMYFUNCTION("""COMPUTED_VALUE"""),10.0)</f>
        <v>10</v>
      </c>
      <c r="L42" s="237">
        <f>IFERROR(__xludf.DUMMYFUNCTION("""COMPUTED_VALUE"""),10.0)</f>
        <v>10</v>
      </c>
      <c r="M42" s="239" t="str">
        <f>IFERROR(__xludf.DUMMYFUNCTION("""COMPUTED_VALUE"""),"Heilia")</f>
        <v>Heilia</v>
      </c>
      <c r="N42" s="231">
        <f>IFERROR(__xludf.DUMMYFUNCTION("""COMPUTED_VALUE"""),2856139.0)</f>
        <v>2856139</v>
      </c>
      <c r="O42" s="198"/>
      <c r="P42" s="199"/>
    </row>
    <row r="43" ht="18.75" customHeight="1" outlineLevel="1">
      <c r="A43" s="230"/>
      <c r="B43" s="197"/>
      <c r="C43" s="198"/>
      <c r="D43" s="231" t="str">
        <f>IFERROR(__xludf.DUMMYFUNCTION("""COMPUTED_VALUE"""),"DT1")</f>
        <v>DT1</v>
      </c>
      <c r="E43" s="232" t="str">
        <f>IFERROR(__xludf.DUMMYFUNCTION("""COMPUTED_VALUE"""),"")</f>
        <v/>
      </c>
      <c r="F43" s="233" t="str">
        <f>IFERROR(__xludf.DUMMYFUNCTION("""COMPUTED_VALUE"""),"Komine Lisa - Resuscitated Hope [Insane]")</f>
        <v>Komine Lisa - Resuscitated Hope [Insane]</v>
      </c>
      <c r="G43" s="234">
        <f>IFERROR(__xludf.DUMMYFUNCTION("""COMPUTED_VALUE"""),5.44841)</f>
        <v>5.44841</v>
      </c>
      <c r="H43" s="235">
        <f>IFERROR(__xludf.DUMMYFUNCTION("""COMPUTED_VALUE"""),195.0)</f>
        <v>195</v>
      </c>
      <c r="I43" s="236">
        <f>IFERROR(__xludf.DUMMYFUNCTION("""COMPUTED_VALUE"""),0.0021527777789742686)</f>
        <v>0.002152777779</v>
      </c>
      <c r="J43" s="237">
        <f>IFERROR(__xludf.DUMMYFUNCTION("""COMPUTED_VALUE"""),4.0)</f>
        <v>4</v>
      </c>
      <c r="K43" s="238">
        <f>IFERROR(__xludf.DUMMYFUNCTION("""COMPUTED_VALUE"""),9.866666666666667)</f>
        <v>9.866666667</v>
      </c>
      <c r="L43" s="237">
        <f>IFERROR(__xludf.DUMMYFUNCTION("""COMPUTED_VALUE"""),9.083333333333334)</f>
        <v>9.083333333</v>
      </c>
      <c r="M43" s="239" t="str">
        <f>IFERROR(__xludf.DUMMYFUNCTION("""COMPUTED_VALUE"""),"Okorin")</f>
        <v>Okorin</v>
      </c>
      <c r="N43" s="231">
        <f>IFERROR(__xludf.DUMMYFUNCTION("""COMPUTED_VALUE"""),765880.0)</f>
        <v>765880</v>
      </c>
      <c r="O43" s="198"/>
      <c r="P43" s="199"/>
    </row>
    <row r="44" ht="18.75" customHeight="1" outlineLevel="1">
      <c r="A44" s="230"/>
      <c r="B44" s="197"/>
      <c r="C44" s="198"/>
      <c r="D44" s="231" t="str">
        <f>IFERROR(__xludf.DUMMYFUNCTION("""COMPUTED_VALUE"""),"DT2")</f>
        <v>DT2</v>
      </c>
      <c r="E44" s="232" t="str">
        <f>IFERROR(__xludf.DUMMYFUNCTION("""COMPUTED_VALUE"""),"")</f>
        <v/>
      </c>
      <c r="F44" s="233" t="str">
        <f>IFERROR(__xludf.DUMMYFUNCTION("""COMPUTED_VALUE"""),"Memme - NEW Astronomas [Priti's Hyper]")</f>
        <v>Memme - NEW Astronomas [Priti's Hyper]</v>
      </c>
      <c r="G44" s="234">
        <f>IFERROR(__xludf.DUMMYFUNCTION("""COMPUTED_VALUE"""),5.50915)</f>
        <v>5.50915</v>
      </c>
      <c r="H44" s="235">
        <f>IFERROR(__xludf.DUMMYFUNCTION("""COMPUTED_VALUE"""),240.0)</f>
        <v>240</v>
      </c>
      <c r="I44" s="236">
        <f>IFERROR(__xludf.DUMMYFUNCTION("""COMPUTED_VALUE"""),8.256172829230005E-4)</f>
        <v>0.0008256172829</v>
      </c>
      <c r="J44" s="237">
        <f>IFERROR(__xludf.DUMMYFUNCTION("""COMPUTED_VALUE"""),4.0)</f>
        <v>4</v>
      </c>
      <c r="K44" s="238">
        <f>IFERROR(__xludf.DUMMYFUNCTION("""COMPUTED_VALUE"""),9.666666666666668)</f>
        <v>9.666666667</v>
      </c>
      <c r="L44" s="237">
        <f>IFERROR(__xludf.DUMMYFUNCTION("""COMPUTED_VALUE"""),8.416666666666666)</f>
        <v>8.416666667</v>
      </c>
      <c r="M44" s="239" t="str">
        <f>IFERROR(__xludf.DUMMYFUNCTION("""COMPUTED_VALUE"""),"Charles445")</f>
        <v>Charles445</v>
      </c>
      <c r="N44" s="231">
        <f>IFERROR(__xludf.DUMMYFUNCTION("""COMPUTED_VALUE"""),345642.0)</f>
        <v>345642</v>
      </c>
      <c r="O44" s="198"/>
      <c r="P44" s="199"/>
    </row>
    <row r="45" ht="18.75" customHeight="1" outlineLevel="1">
      <c r="A45" s="230"/>
      <c r="B45" s="197"/>
      <c r="C45" s="198"/>
      <c r="D45" s="231" t="str">
        <f>IFERROR(__xludf.DUMMYFUNCTION("""COMPUTED_VALUE"""),"DT3")</f>
        <v>DT3</v>
      </c>
      <c r="E45" s="232" t="str">
        <f>IFERROR(__xludf.DUMMYFUNCTION("""COMPUTED_VALUE"""),"")</f>
        <v/>
      </c>
      <c r="F45" s="233" t="str">
        <f>IFERROR(__xludf.DUMMYFUNCTION("""COMPUTED_VALUE"""),"Camellia - Compute It With Some Devilish Alcoholic Steampunk Engines [F4UZ4N's Hard]")</f>
        <v>Camellia - Compute It With Some Devilish Alcoholic Steampunk Engines [F4UZ4N's Hard]</v>
      </c>
      <c r="G45" s="234">
        <f>IFERROR(__xludf.DUMMYFUNCTION("""COMPUTED_VALUE"""),5.36977)</f>
        <v>5.36977</v>
      </c>
      <c r="H45" s="235">
        <f>IFERROR(__xludf.DUMMYFUNCTION("""COMPUTED_VALUE"""),247.5)</f>
        <v>247.5</v>
      </c>
      <c r="I45" s="236">
        <f>IFERROR(__xludf.DUMMYFUNCTION("""COMPUTED_VALUE"""),0.0017438271606806666)</f>
        <v>0.001743827161</v>
      </c>
      <c r="J45" s="237">
        <f>IFERROR(__xludf.DUMMYFUNCTION("""COMPUTED_VALUE"""),3.7)</f>
        <v>3.7</v>
      </c>
      <c r="K45" s="238">
        <f>IFERROR(__xludf.DUMMYFUNCTION("""COMPUTED_VALUE"""),9.666666666666668)</f>
        <v>9.666666667</v>
      </c>
      <c r="L45" s="237">
        <f>IFERROR(__xludf.DUMMYFUNCTION("""COMPUTED_VALUE"""),9.083333333333334)</f>
        <v>9.083333333</v>
      </c>
      <c r="M45" s="239" t="str">
        <f>IFERROR(__xludf.DUMMYFUNCTION("""COMPUTED_VALUE"""),"OneShotFox")</f>
        <v>OneShotFox</v>
      </c>
      <c r="N45" s="231">
        <f>IFERROR(__xludf.DUMMYFUNCTION("""COMPUTED_VALUE"""),2671858.0)</f>
        <v>2671858</v>
      </c>
      <c r="O45" s="198"/>
      <c r="P45" s="199"/>
    </row>
    <row r="46" ht="18.75" customHeight="1" outlineLevel="1">
      <c r="A46" s="230"/>
      <c r="B46" s="197"/>
      <c r="C46" s="198"/>
      <c r="D46" s="231" t="str">
        <f>IFERROR(__xludf.DUMMYFUNCTION("""COMPUTED_VALUE"""),"DT4")</f>
        <v>DT4</v>
      </c>
      <c r="E46" s="232" t="str">
        <f>IFERROR(__xludf.DUMMYFUNCTION("""COMPUTED_VALUE"""),"")</f>
        <v/>
      </c>
      <c r="F46" s="233" t="str">
        <f>IFERROR(__xludf.DUMMYFUNCTION("""COMPUTED_VALUE"""),"KOTOKO - Princess Bride! (Cut Ver.) [Hard]")</f>
        <v>KOTOKO - Princess Bride! (Cut Ver.) [Hard]</v>
      </c>
      <c r="G46" s="234">
        <f>IFERROR(__xludf.DUMMYFUNCTION("""COMPUTED_VALUE"""),4.76974)</f>
        <v>4.76974</v>
      </c>
      <c r="H46" s="235">
        <f>IFERROR(__xludf.DUMMYFUNCTION("""COMPUTED_VALUE"""),232.5)</f>
        <v>232.5</v>
      </c>
      <c r="I46" s="236">
        <f>IFERROR(__xludf.DUMMYFUNCTION("""COMPUTED_VALUE"""),9.953703702194616E-4)</f>
        <v>0.0009953703702</v>
      </c>
      <c r="J46" s="237">
        <f>IFERROR(__xludf.DUMMYFUNCTION("""COMPUTED_VALUE"""),5.0)</f>
        <v>5</v>
      </c>
      <c r="K46" s="238">
        <f>IFERROR(__xludf.DUMMYFUNCTION("""COMPUTED_VALUE"""),8.333333333333334)</f>
        <v>8.333333333</v>
      </c>
      <c r="L46" s="237">
        <f>IFERROR(__xludf.DUMMYFUNCTION("""COMPUTED_VALUE"""),7.75)</f>
        <v>7.75</v>
      </c>
      <c r="M46" s="239" t="str">
        <f>IFERROR(__xludf.DUMMYFUNCTION("""COMPUTED_VALUE"""),"E4pi4mak")</f>
        <v>E4pi4mak</v>
      </c>
      <c r="N46" s="231">
        <f>IFERROR(__xludf.DUMMYFUNCTION("""COMPUTED_VALUE"""),4150885.0)</f>
        <v>4150885</v>
      </c>
      <c r="O46" s="198"/>
      <c r="P46" s="199"/>
    </row>
    <row r="47" ht="18.75" customHeight="1" outlineLevel="1">
      <c r="A47" s="230"/>
      <c r="B47" s="197"/>
      <c r="C47" s="198"/>
      <c r="D47" s="231" t="str">
        <f>IFERROR(__xludf.DUMMYFUNCTION("""COMPUTED_VALUE"""),"FM1")</f>
        <v>FM1</v>
      </c>
      <c r="E47" s="232" t="str">
        <f>IFERROR(__xludf.DUMMYFUNCTION("""COMPUTED_VALUE"""),"")</f>
        <v/>
      </c>
      <c r="F47" s="233" t="str">
        <f>IFERROR(__xludf.DUMMYFUNCTION("""COMPUTED_VALUE"""),"Kenshi Yonezu - KICK BACK [STOMPMARK'S INSANE]")</f>
        <v>Kenshi Yonezu - KICK BACK [STOMPMARK'S INSANE]</v>
      </c>
      <c r="G47" s="234">
        <f>IFERROR(__xludf.DUMMYFUNCTION("""COMPUTED_VALUE"""),5.02118)</f>
        <v>5.02118</v>
      </c>
      <c r="H47" s="235">
        <f>IFERROR(__xludf.DUMMYFUNCTION("""COMPUTED_VALUE"""),204.0)</f>
        <v>204</v>
      </c>
      <c r="I47" s="236">
        <f>IFERROR(__xludf.DUMMYFUNCTION("""COMPUTED_VALUE"""),0.0021064814827695955)</f>
        <v>0.002106481483</v>
      </c>
      <c r="J47" s="237">
        <f>IFERROR(__xludf.DUMMYFUNCTION("""COMPUTED_VALUE"""),3.0)</f>
        <v>3</v>
      </c>
      <c r="K47" s="238">
        <f>IFERROR(__xludf.DUMMYFUNCTION("""COMPUTED_VALUE"""),9.0)</f>
        <v>9</v>
      </c>
      <c r="L47" s="237">
        <f>IFERROR(__xludf.DUMMYFUNCTION("""COMPUTED_VALUE"""),8.0)</f>
        <v>8</v>
      </c>
      <c r="M47" s="239" t="str">
        <f>IFERROR(__xludf.DUMMYFUNCTION("""COMPUTED_VALUE"""),"Mizujin")</f>
        <v>Mizujin</v>
      </c>
      <c r="N47" s="231">
        <f>IFERROR(__xludf.DUMMYFUNCTION("""COMPUTED_VALUE"""),4197268.0)</f>
        <v>4197268</v>
      </c>
      <c r="O47" s="198"/>
      <c r="P47" s="199"/>
    </row>
    <row r="48" ht="18.75" customHeight="1" outlineLevel="1">
      <c r="A48" s="230"/>
      <c r="B48" s="197"/>
      <c r="C48" s="198"/>
      <c r="D48" s="231" t="str">
        <f>IFERROR(__xludf.DUMMYFUNCTION("""COMPUTED_VALUE"""),"FM2")</f>
        <v>FM2</v>
      </c>
      <c r="E48" s="232" t="str">
        <f>IFERROR(__xludf.DUMMYFUNCTION("""COMPUTED_VALUE"""),"")</f>
        <v/>
      </c>
      <c r="F48" s="233" t="str">
        <f>IFERROR(__xludf.DUMMYFUNCTION("""COMPUTED_VALUE"""),"Memme - Extreme Fantasy [Insane]")</f>
        <v>Memme - Extreme Fantasy [Insane]</v>
      </c>
      <c r="G48" s="234">
        <f>IFERROR(__xludf.DUMMYFUNCTION("""COMPUTED_VALUE"""),4.71418)</f>
        <v>4.71418</v>
      </c>
      <c r="H48" s="235">
        <f>IFERROR(__xludf.DUMMYFUNCTION("""COMPUTED_VALUE"""),152.0)</f>
        <v>152</v>
      </c>
      <c r="I48" s="236">
        <f>IFERROR(__xludf.DUMMYFUNCTION("""COMPUTED_VALUE"""),0.0016087962976598646)</f>
        <v>0.001608796298</v>
      </c>
      <c r="J48" s="237">
        <f>IFERROR(__xludf.DUMMYFUNCTION("""COMPUTED_VALUE"""),5.0)</f>
        <v>5</v>
      </c>
      <c r="K48" s="238">
        <f>IFERROR(__xludf.DUMMYFUNCTION("""COMPUTED_VALUE"""),8.0)</f>
        <v>8</v>
      </c>
      <c r="L48" s="237">
        <f>IFERROR(__xludf.DUMMYFUNCTION("""COMPUTED_VALUE"""),7.0)</f>
        <v>7</v>
      </c>
      <c r="M48" s="239" t="str">
        <f>IFERROR(__xludf.DUMMYFUNCTION("""COMPUTED_VALUE"""),"AngelHoney")</f>
        <v>AngelHoney</v>
      </c>
      <c r="N48" s="231">
        <f>IFERROR(__xludf.DUMMYFUNCTION("""COMPUTED_VALUE"""),192181.0)</f>
        <v>192181</v>
      </c>
      <c r="O48" s="198"/>
      <c r="P48" s="199"/>
    </row>
    <row r="49" ht="18.75" customHeight="1" outlineLevel="1">
      <c r="A49" s="230"/>
      <c r="B49" s="197"/>
      <c r="C49" s="198"/>
      <c r="D49" s="231" t="str">
        <f>IFERROR(__xludf.DUMMYFUNCTION("""COMPUTED_VALUE"""),"FM3")</f>
        <v>FM3</v>
      </c>
      <c r="E49" s="232" t="str">
        <f>IFERROR(__xludf.DUMMYFUNCTION("""COMPUTED_VALUE"""),"")</f>
        <v/>
      </c>
      <c r="F49" s="233" t="str">
        <f>IFERROR(__xludf.DUMMYFUNCTION("""COMPUTED_VALUE"""),"Mysteka - Hesperos [Mayu's Insane]")</f>
        <v>Mysteka - Hesperos [Mayu's Insane]</v>
      </c>
      <c r="G49" s="234">
        <f>IFERROR(__xludf.DUMMYFUNCTION("""COMPUTED_VALUE"""),5.12068)</f>
        <v>5.12068</v>
      </c>
      <c r="H49" s="235">
        <f>IFERROR(__xludf.DUMMYFUNCTION("""COMPUTED_VALUE"""),173.0)</f>
        <v>173</v>
      </c>
      <c r="I49" s="236">
        <f>IFERROR(__xludf.DUMMYFUNCTION("""COMPUTED_VALUE"""),0.0018055555556202307)</f>
        <v>0.001805555556</v>
      </c>
      <c r="J49" s="237">
        <f>IFERROR(__xludf.DUMMYFUNCTION("""COMPUTED_VALUE"""),3.8)</f>
        <v>3.8</v>
      </c>
      <c r="K49" s="238">
        <f>IFERROR(__xludf.DUMMYFUNCTION("""COMPUTED_VALUE"""),9.2)</f>
        <v>9.2</v>
      </c>
      <c r="L49" s="237">
        <f>IFERROR(__xludf.DUMMYFUNCTION("""COMPUTED_VALUE"""),8.0)</f>
        <v>8</v>
      </c>
      <c r="M49" s="239" t="str">
        <f>IFERROR(__xludf.DUMMYFUNCTION("""COMPUTED_VALUE"""),"Acylica")</f>
        <v>Acylica</v>
      </c>
      <c r="N49" s="231">
        <f>IFERROR(__xludf.DUMMYFUNCTION("""COMPUTED_VALUE"""),3499229.0)</f>
        <v>3499229</v>
      </c>
      <c r="O49" s="198"/>
      <c r="P49" s="199"/>
    </row>
    <row r="50" ht="18.75" customHeight="1" outlineLevel="1">
      <c r="A50" s="230"/>
      <c r="B50" s="197"/>
      <c r="C50" s="198"/>
      <c r="D50" s="241" t="str">
        <f>IFERROR(__xludf.DUMMYFUNCTION("""COMPUTED_VALUE"""),"TB1")</f>
        <v>TB1</v>
      </c>
      <c r="E50" s="242" t="str">
        <f>IFERROR(__xludf.DUMMYFUNCTION("""COMPUTED_VALUE"""),"")</f>
        <v/>
      </c>
      <c r="F50" s="243" t="str">
        <f>IFERROR(__xludf.DUMMYFUNCTION("""COMPUTED_VALUE"""),"Pendulum - Hold Your Colour [Iridescence]")</f>
        <v>Pendulum - Hold Your Colour [Iridescence]</v>
      </c>
      <c r="G50" s="244">
        <f>IFERROR(__xludf.DUMMYFUNCTION("""COMPUTED_VALUE"""),5.71401)</f>
        <v>5.71401</v>
      </c>
      <c r="H50" s="245">
        <f>IFERROR(__xludf.DUMMYFUNCTION("""COMPUTED_VALUE"""),174.0)</f>
        <v>174</v>
      </c>
      <c r="I50" s="246">
        <f>IFERROR(__xludf.DUMMYFUNCTION("""COMPUTED_VALUE"""),0.003379629630217096)</f>
        <v>0.00337962963</v>
      </c>
      <c r="J50" s="247">
        <f>IFERROR(__xludf.DUMMYFUNCTION("""COMPUTED_VALUE"""),4.0)</f>
        <v>4</v>
      </c>
      <c r="K50" s="248">
        <f>IFERROR(__xludf.DUMMYFUNCTION("""COMPUTED_VALUE"""),9.2)</f>
        <v>9.2</v>
      </c>
      <c r="L50" s="247">
        <f>IFERROR(__xludf.DUMMYFUNCTION("""COMPUTED_VALUE"""),9.0)</f>
        <v>9</v>
      </c>
      <c r="M50" s="250" t="str">
        <f>IFERROR(__xludf.DUMMYFUNCTION("""COMPUTED_VALUE"""),"ProfessionalBox")</f>
        <v>ProfessionalBox</v>
      </c>
      <c r="N50" s="241">
        <f>IFERROR(__xludf.DUMMYFUNCTION("""COMPUTED_VALUE"""),1485947.0)</f>
        <v>1485947</v>
      </c>
      <c r="O50" s="198"/>
      <c r="P50" s="199"/>
    </row>
    <row r="51" ht="3.75" customHeight="1" outlineLevel="1">
      <c r="A51" s="230"/>
      <c r="B51" s="197"/>
      <c r="C51" s="198"/>
      <c r="D51" s="251"/>
      <c r="E51" s="252"/>
      <c r="F51" s="253"/>
      <c r="G51" s="252"/>
      <c r="H51" s="252"/>
      <c r="I51" s="254"/>
      <c r="J51" s="252"/>
      <c r="K51" s="252"/>
      <c r="L51" s="252"/>
      <c r="M51" s="252"/>
      <c r="N51" s="252"/>
      <c r="O51" s="198"/>
      <c r="P51" s="199"/>
    </row>
    <row r="52" ht="18.75" customHeight="1">
      <c r="A52" s="230"/>
      <c r="B52" s="197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9"/>
    </row>
    <row r="53" ht="22.5" customHeight="1">
      <c r="A53" s="200" t="s">
        <v>0</v>
      </c>
      <c r="B53" s="199"/>
      <c r="C53" s="201"/>
      <c r="D53" s="202" t="s">
        <v>68</v>
      </c>
      <c r="E53" s="99"/>
      <c r="F53" s="203" t="str">
        <f>"Ave. SR 5.05* &lt;&gt; Ave. Length 2:49"</f>
        <v>Ave. SR 5.05* &lt;&gt; Ave. Length 2:49</v>
      </c>
      <c r="G53" s="98"/>
      <c r="H53" s="99"/>
      <c r="I53" s="204"/>
      <c r="J53" s="204"/>
      <c r="K53" s="201"/>
      <c r="L53" s="205" t="s">
        <v>57</v>
      </c>
      <c r="M53" s="98"/>
      <c r="N53" s="99"/>
      <c r="O53" s="206"/>
      <c r="P53" s="199"/>
    </row>
    <row r="54" ht="7.5" customHeight="1">
      <c r="A54" s="207"/>
      <c r="B54" s="199"/>
      <c r="C54" s="204"/>
      <c r="D54" s="208"/>
      <c r="E54" s="208"/>
      <c r="F54" s="209"/>
      <c r="G54" s="209"/>
      <c r="H54" s="209"/>
      <c r="I54" s="209"/>
      <c r="J54" s="209"/>
      <c r="K54" s="209"/>
      <c r="L54" s="209"/>
      <c r="M54" s="210"/>
      <c r="N54" s="209"/>
      <c r="O54" s="206"/>
      <c r="P54" s="199"/>
    </row>
    <row r="55" ht="22.5" customHeight="1" outlineLevel="1">
      <c r="A55" s="207"/>
      <c r="B55" s="199"/>
      <c r="C55" s="201"/>
      <c r="D55" s="211" t="s">
        <v>58</v>
      </c>
      <c r="E55" s="211" t="s">
        <v>59</v>
      </c>
      <c r="F55" s="211" t="s">
        <v>60</v>
      </c>
      <c r="G55" s="212" t="s">
        <v>61</v>
      </c>
      <c r="H55" s="212" t="s">
        <v>62</v>
      </c>
      <c r="I55" s="213" t="s">
        <v>63</v>
      </c>
      <c r="J55" s="212" t="s">
        <v>64</v>
      </c>
      <c r="K55" s="212" t="s">
        <v>65</v>
      </c>
      <c r="L55" s="212" t="s">
        <v>66</v>
      </c>
      <c r="M55" s="211" t="s">
        <v>67</v>
      </c>
      <c r="N55" s="214" t="s">
        <v>38</v>
      </c>
      <c r="O55" s="206"/>
      <c r="P55" s="199"/>
    </row>
    <row r="56" ht="3.75" customHeight="1" outlineLevel="1">
      <c r="A56" s="207"/>
      <c r="B56" s="199"/>
      <c r="C56" s="201"/>
      <c r="D56" s="215"/>
      <c r="E56" s="216" t="s">
        <v>0</v>
      </c>
      <c r="F56" s="217"/>
      <c r="G56" s="218"/>
      <c r="H56" s="219"/>
      <c r="I56" s="220"/>
      <c r="J56" s="219"/>
      <c r="K56" s="218"/>
      <c r="L56" s="219"/>
      <c r="M56" s="216"/>
      <c r="N56" s="217"/>
      <c r="O56" s="206"/>
      <c r="P56" s="199"/>
    </row>
    <row r="57" ht="18.75" customHeight="1" outlineLevel="1">
      <c r="A57" s="207"/>
      <c r="B57" s="199"/>
      <c r="C57" s="201"/>
      <c r="D57" s="221" t="str">
        <f>IFERROR(__xludf.DUMMYFUNCTION("IMPORTRANGE(""1HHAHmZTTDlyB4RHaHQ-2bhUchkHOEZhmcQrDYQXnxnw"",""Mappool Imports - Pool Sheet!D57:O74"")"),"NM1")</f>
        <v>NM1</v>
      </c>
      <c r="E57" s="222" t="str">
        <f>IFERROR(__xludf.DUMMYFUNCTION("""COMPUTED_VALUE"""),"")</f>
        <v/>
      </c>
      <c r="F57" s="223" t="str">
        <f>IFERROR(__xludf.DUMMYFUNCTION("""COMPUTED_VALUE"""),"t+pazolite - Party in the HOLLOWood feat. Nanahira [INSane]")</f>
        <v>t+pazolite - Party in the HOLLOWood feat. Nanahira [INSane]</v>
      </c>
      <c r="G57" s="224">
        <f>IFERROR(__xludf.DUMMYFUNCTION("""COMPUTED_VALUE"""),5.37201)</f>
        <v>5.37201</v>
      </c>
      <c r="H57" s="225">
        <f>IFERROR(__xludf.DUMMYFUNCTION("""COMPUTED_VALUE"""),178.0)</f>
        <v>178</v>
      </c>
      <c r="I57" s="226">
        <f>IFERROR(__xludf.DUMMYFUNCTION("""COMPUTED_VALUE"""),0.0026041666678793263)</f>
        <v>0.002604166668</v>
      </c>
      <c r="J57" s="227">
        <f>IFERROR(__xludf.DUMMYFUNCTION("""COMPUTED_VALUE"""),4.0)</f>
        <v>4</v>
      </c>
      <c r="K57" s="227">
        <f>IFERROR(__xludf.DUMMYFUNCTION("""COMPUTED_VALUE"""),9.0)</f>
        <v>9</v>
      </c>
      <c r="L57" s="227">
        <f>IFERROR(__xludf.DUMMYFUNCTION("""COMPUTED_VALUE"""),8.0)</f>
        <v>8</v>
      </c>
      <c r="M57" s="228" t="str">
        <f>IFERROR(__xludf.DUMMYFUNCTION("""COMPUTED_VALUE"""),"eiri-")</f>
        <v>eiri-</v>
      </c>
      <c r="N57" s="228">
        <f>IFERROR(__xludf.DUMMYFUNCTION("""COMPUTED_VALUE"""),1717844.0)</f>
        <v>1717844</v>
      </c>
      <c r="O57" s="206"/>
      <c r="P57" s="199"/>
    </row>
    <row r="58" ht="18.75" customHeight="1" outlineLevel="1">
      <c r="A58" s="207"/>
      <c r="B58" s="199"/>
      <c r="C58" s="201"/>
      <c r="D58" s="228" t="str">
        <f>IFERROR(__xludf.DUMMYFUNCTION("""COMPUTED_VALUE"""),"NM2")</f>
        <v>NM2</v>
      </c>
      <c r="E58" s="222" t="str">
        <f>IFERROR(__xludf.DUMMYFUNCTION("""COMPUTED_VALUE"""),"")</f>
        <v/>
      </c>
      <c r="F58" s="223" t="str">
        <f>IFERROR(__xludf.DUMMYFUNCTION("""COMPUTED_VALUE"""),"GIVEON - Favourite Mistake [Halogenix Edit] [Insane]")</f>
        <v>GIVEON - Favourite Mistake [Halogenix Edit] [Insane]</v>
      </c>
      <c r="G58" s="224">
        <f>IFERROR(__xludf.DUMMYFUNCTION("""COMPUTED_VALUE"""),5.19532)</f>
        <v>5.19532</v>
      </c>
      <c r="H58" s="225">
        <f>IFERROR(__xludf.DUMMYFUNCTION("""COMPUTED_VALUE"""),172.0)</f>
        <v>172</v>
      </c>
      <c r="I58" s="226">
        <f>IFERROR(__xludf.DUMMYFUNCTION("""COMPUTED_VALUE"""),0.001574074074596865)</f>
        <v>0.001574074075</v>
      </c>
      <c r="J58" s="227">
        <f>IFERROR(__xludf.DUMMYFUNCTION("""COMPUTED_VALUE"""),4.0)</f>
        <v>4</v>
      </c>
      <c r="K58" s="227">
        <f>IFERROR(__xludf.DUMMYFUNCTION("""COMPUTED_VALUE"""),9.1)</f>
        <v>9.1</v>
      </c>
      <c r="L58" s="227">
        <f>IFERROR(__xludf.DUMMYFUNCTION("""COMPUTED_VALUE"""),8.0)</f>
        <v>8</v>
      </c>
      <c r="M58" s="229" t="str">
        <f>IFERROR(__xludf.DUMMYFUNCTION("""COMPUTED_VALUE"""),"quantumvortex")</f>
        <v>quantumvortex</v>
      </c>
      <c r="N58" s="228">
        <f>IFERROR(__xludf.DUMMYFUNCTION("""COMPUTED_VALUE"""),3656173.0)</f>
        <v>3656173</v>
      </c>
      <c r="O58" s="206"/>
      <c r="P58" s="199"/>
    </row>
    <row r="59" ht="18.75" customHeight="1" outlineLevel="1">
      <c r="A59" s="207"/>
      <c r="B59" s="199"/>
      <c r="C59" s="201"/>
      <c r="D59" s="228" t="str">
        <f>IFERROR(__xludf.DUMMYFUNCTION("""COMPUTED_VALUE"""),"NM3")</f>
        <v>NM3</v>
      </c>
      <c r="E59" s="222" t="str">
        <f>IFERROR(__xludf.DUMMYFUNCTION("""COMPUTED_VALUE"""),"")</f>
        <v/>
      </c>
      <c r="F59" s="223" t="str">
        <f>IFERROR(__xludf.DUMMYFUNCTION("""COMPUTED_VALUE"""),"ALI - Wild Side [Squilly's Insane]")</f>
        <v>ALI - Wild Side [Squilly's Insane]</v>
      </c>
      <c r="G59" s="224">
        <f>IFERROR(__xludf.DUMMYFUNCTION("""COMPUTED_VALUE"""),5.03898)</f>
        <v>5.03898</v>
      </c>
      <c r="H59" s="225">
        <f>IFERROR(__xludf.DUMMYFUNCTION("""COMPUTED_VALUE"""),134.0)</f>
        <v>134</v>
      </c>
      <c r="I59" s="226">
        <f>IFERROR(__xludf.DUMMYFUNCTION("""COMPUTED_VALUE"""),0.0016550925938645378)</f>
        <v>0.001655092594</v>
      </c>
      <c r="J59" s="227">
        <f>IFERROR(__xludf.DUMMYFUNCTION("""COMPUTED_VALUE"""),3.0)</f>
        <v>3</v>
      </c>
      <c r="K59" s="227">
        <f>IFERROR(__xludf.DUMMYFUNCTION("""COMPUTED_VALUE"""),9.2)</f>
        <v>9.2</v>
      </c>
      <c r="L59" s="227">
        <f>IFERROR(__xludf.DUMMYFUNCTION("""COMPUTED_VALUE"""),8.0)</f>
        <v>8</v>
      </c>
      <c r="M59" s="228" t="str">
        <f>IFERROR(__xludf.DUMMYFUNCTION("""COMPUTED_VALUE"""),"fieryrage")</f>
        <v>fieryrage</v>
      </c>
      <c r="N59" s="228">
        <f>IFERROR(__xludf.DUMMYFUNCTION("""COMPUTED_VALUE"""),2715749.0)</f>
        <v>2715749</v>
      </c>
      <c r="O59" s="206"/>
      <c r="P59" s="199"/>
    </row>
    <row r="60" ht="18.75" customHeight="1" outlineLevel="1">
      <c r="A60" s="207"/>
      <c r="B60" s="199"/>
      <c r="C60" s="201"/>
      <c r="D60" s="228" t="str">
        <f>IFERROR(__xludf.DUMMYFUNCTION("""COMPUTED_VALUE"""),"NM4")</f>
        <v>NM4</v>
      </c>
      <c r="E60" s="222" t="str">
        <f>IFERROR(__xludf.DUMMYFUNCTION("""COMPUTED_VALUE"""),"")</f>
        <v/>
      </c>
      <c r="F60" s="223" t="str">
        <f>IFERROR(__xludf.DUMMYFUNCTION("""COMPUTED_VALUE"""),"VeetaCrush - Mole [Kyutei's Insane]")</f>
        <v>VeetaCrush - Mole [Kyutei's Insane]</v>
      </c>
      <c r="G60" s="224">
        <f>IFERROR(__xludf.DUMMYFUNCTION("""COMPUTED_VALUE"""),4.70195)</f>
        <v>4.70195</v>
      </c>
      <c r="H60" s="225">
        <f>IFERROR(__xludf.DUMMYFUNCTION("""COMPUTED_VALUE"""),172.0)</f>
        <v>172</v>
      </c>
      <c r="I60" s="226">
        <f>IFERROR(__xludf.DUMMYFUNCTION("""COMPUTED_VALUE"""),0.0015625000014551915)</f>
        <v>0.001562500001</v>
      </c>
      <c r="J60" s="227">
        <f>IFERROR(__xludf.DUMMYFUNCTION("""COMPUTED_VALUE"""),3.8)</f>
        <v>3.8</v>
      </c>
      <c r="K60" s="227">
        <f>IFERROR(__xludf.DUMMYFUNCTION("""COMPUTED_VALUE"""),9.0)</f>
        <v>9</v>
      </c>
      <c r="L60" s="227">
        <f>IFERROR(__xludf.DUMMYFUNCTION("""COMPUTED_VALUE"""),8.6)</f>
        <v>8.6</v>
      </c>
      <c r="M60" s="228" t="str">
        <f>IFERROR(__xludf.DUMMYFUNCTION("""COMPUTED_VALUE"""),"JeZag")</f>
        <v>JeZag</v>
      </c>
      <c r="N60" s="228">
        <f>IFERROR(__xludf.DUMMYFUNCTION("""COMPUTED_VALUE"""),3291796.0)</f>
        <v>3291796</v>
      </c>
      <c r="O60" s="206"/>
      <c r="P60" s="199"/>
    </row>
    <row r="61" ht="18.75" customHeight="1" outlineLevel="1">
      <c r="A61" s="207"/>
      <c r="B61" s="199"/>
      <c r="C61" s="201"/>
      <c r="D61" s="228" t="str">
        <f>IFERROR(__xludf.DUMMYFUNCTION("""COMPUTED_VALUE"""),"NM5")</f>
        <v>NM5</v>
      </c>
      <c r="E61" s="222" t="str">
        <f>IFERROR(__xludf.DUMMYFUNCTION("""COMPUTED_VALUE"""),"")</f>
        <v/>
      </c>
      <c r="F61" s="223" t="str">
        <f>IFERROR(__xludf.DUMMYFUNCTION("""COMPUTED_VALUE"""),"Camellia - Killerbeast [Spiritual]")</f>
        <v>Camellia - Killerbeast [Spiritual]</v>
      </c>
      <c r="G61" s="224">
        <f>IFERROR(__xludf.DUMMYFUNCTION("""COMPUTED_VALUE"""),5.1866)</f>
        <v>5.1866</v>
      </c>
      <c r="H61" s="225">
        <f>IFERROR(__xludf.DUMMYFUNCTION("""COMPUTED_VALUE"""),220.0)</f>
        <v>220</v>
      </c>
      <c r="I61" s="226">
        <f>IFERROR(__xludf.DUMMYFUNCTION("""COMPUTED_VALUE"""),0.0024537037024856545)</f>
        <v>0.002453703702</v>
      </c>
      <c r="J61" s="227">
        <f>IFERROR(__xludf.DUMMYFUNCTION("""COMPUTED_VALUE"""),3.8)</f>
        <v>3.8</v>
      </c>
      <c r="K61" s="227">
        <f>IFERROR(__xludf.DUMMYFUNCTION("""COMPUTED_VALUE"""),9.2)</f>
        <v>9.2</v>
      </c>
      <c r="L61" s="227">
        <f>IFERROR(__xludf.DUMMYFUNCTION("""COMPUTED_VALUE"""),8.0)</f>
        <v>8</v>
      </c>
      <c r="M61" s="228" t="str">
        <f>IFERROR(__xludf.DUMMYFUNCTION("""COMPUTED_VALUE"""),"Subokuu")</f>
        <v>Subokuu</v>
      </c>
      <c r="N61" s="228">
        <f>IFERROR(__xludf.DUMMYFUNCTION("""COMPUTED_VALUE"""),3187491.0)</f>
        <v>3187491</v>
      </c>
      <c r="O61" s="206"/>
      <c r="P61" s="199"/>
    </row>
    <row r="62" ht="18.75" customHeight="1" outlineLevel="1">
      <c r="A62" s="207"/>
      <c r="B62" s="199"/>
      <c r="C62" s="201"/>
      <c r="D62" s="228" t="str">
        <f>IFERROR(__xludf.DUMMYFUNCTION("""COMPUTED_VALUE"""),"NM6")</f>
        <v>NM6</v>
      </c>
      <c r="E62" s="222" t="str">
        <f>IFERROR(__xludf.DUMMYFUNCTION("""COMPUTED_VALUE"""),"")</f>
        <v/>
      </c>
      <c r="F62" s="223" t="str">
        <f>IFERROR(__xludf.DUMMYFUNCTION("""COMPUTED_VALUE"""),"Kai - Junk Lady [Deppy and Wanpachi's Insane]")</f>
        <v>Kai - Junk Lady [Deppy and Wanpachi's Insane]</v>
      </c>
      <c r="G62" s="224">
        <f>IFERROR(__xludf.DUMMYFUNCTION("""COMPUTED_VALUE"""),4.56568)</f>
        <v>4.56568</v>
      </c>
      <c r="H62" s="225">
        <f>IFERROR(__xludf.DUMMYFUNCTION("""COMPUTED_VALUE"""),174.0)</f>
        <v>174</v>
      </c>
      <c r="I62" s="226">
        <f>IFERROR(__xludf.DUMMYFUNCTION("""COMPUTED_VALUE"""),0.0013657407398568466)</f>
        <v>0.00136574074</v>
      </c>
      <c r="J62" s="227">
        <f>IFERROR(__xludf.DUMMYFUNCTION("""COMPUTED_VALUE"""),3.8)</f>
        <v>3.8</v>
      </c>
      <c r="K62" s="227">
        <f>IFERROR(__xludf.DUMMYFUNCTION("""COMPUTED_VALUE"""),7.0)</f>
        <v>7</v>
      </c>
      <c r="L62" s="227">
        <f>IFERROR(__xludf.DUMMYFUNCTION("""COMPUTED_VALUE"""),7.0)</f>
        <v>7</v>
      </c>
      <c r="M62" s="228" t="str">
        <f>IFERROR(__xludf.DUMMYFUNCTION("""COMPUTED_VALUE"""),"Deppyforce")</f>
        <v>Deppyforce</v>
      </c>
      <c r="N62" s="228">
        <f>IFERROR(__xludf.DUMMYFUNCTION("""COMPUTED_VALUE"""),3990086.0)</f>
        <v>3990086</v>
      </c>
      <c r="O62" s="206"/>
      <c r="P62" s="199"/>
    </row>
    <row r="63" ht="18.75" customHeight="1" outlineLevel="1">
      <c r="A63" s="207"/>
      <c r="B63" s="199"/>
      <c r="C63" s="201"/>
      <c r="D63" s="228" t="str">
        <f>IFERROR(__xludf.DUMMYFUNCTION("""COMPUTED_VALUE"""),"HD1")</f>
        <v>HD1</v>
      </c>
      <c r="E63" s="222" t="str">
        <f>IFERROR(__xludf.DUMMYFUNCTION("""COMPUTED_VALUE"""),"")</f>
        <v/>
      </c>
      <c r="F63" s="223" t="str">
        <f>IFERROR(__xludf.DUMMYFUNCTION("""COMPUTED_VALUE"""),"Aso Natsuko - Perfect-area complete! [Asuka_-'s Insane]")</f>
        <v>Aso Natsuko - Perfect-area complete! [Asuka_-'s Insane]</v>
      </c>
      <c r="G63" s="224">
        <f>IFERROR(__xludf.DUMMYFUNCTION("""COMPUTED_VALUE"""),5.21311)</f>
        <v>5.21311</v>
      </c>
      <c r="H63" s="225">
        <f>IFERROR(__xludf.DUMMYFUNCTION("""COMPUTED_VALUE"""),183.0)</f>
        <v>183</v>
      </c>
      <c r="I63" s="226">
        <f>IFERROR(__xludf.DUMMYFUNCTION("""COMPUTED_VALUE"""),0.0024537037024856545)</f>
        <v>0.002453703702</v>
      </c>
      <c r="J63" s="227">
        <f>IFERROR(__xludf.DUMMYFUNCTION("""COMPUTED_VALUE"""),3.7)</f>
        <v>3.7</v>
      </c>
      <c r="K63" s="227">
        <f>IFERROR(__xludf.DUMMYFUNCTION("""COMPUTED_VALUE"""),9.3)</f>
        <v>9.3</v>
      </c>
      <c r="L63" s="227">
        <f>IFERROR(__xludf.DUMMYFUNCTION("""COMPUTED_VALUE"""),8.0)</f>
        <v>8</v>
      </c>
      <c r="M63" s="228" t="str">
        <f>IFERROR(__xludf.DUMMYFUNCTION("""COMPUTED_VALUE"""),"gary00737")</f>
        <v>gary00737</v>
      </c>
      <c r="N63" s="228">
        <f>IFERROR(__xludf.DUMMYFUNCTION("""COMPUTED_VALUE"""),1972425.0)</f>
        <v>1972425</v>
      </c>
      <c r="O63" s="206"/>
      <c r="P63" s="199"/>
    </row>
    <row r="64" ht="18.75" customHeight="1" outlineLevel="1">
      <c r="A64" s="207"/>
      <c r="B64" s="199"/>
      <c r="C64" s="201"/>
      <c r="D64" s="228" t="str">
        <f>IFERROR(__xludf.DUMMYFUNCTION("""COMPUTED_VALUE"""),"HD2")</f>
        <v>HD2</v>
      </c>
      <c r="E64" s="222" t="str">
        <f>IFERROR(__xludf.DUMMYFUNCTION("""COMPUTED_VALUE"""),"")</f>
        <v/>
      </c>
      <c r="F64" s="223" t="str">
        <f>IFERROR(__xludf.DUMMYFUNCTION("""COMPUTED_VALUE"""),"Kola Kid - timer [Insane]")</f>
        <v>Kola Kid - timer [Insane]</v>
      </c>
      <c r="G64" s="224">
        <f>IFERROR(__xludf.DUMMYFUNCTION("""COMPUTED_VALUE"""),4.71265)</f>
        <v>4.71265</v>
      </c>
      <c r="H64" s="225">
        <f>IFERROR(__xludf.DUMMYFUNCTION("""COMPUTED_VALUE"""),180.0)</f>
        <v>180</v>
      </c>
      <c r="I64" s="226">
        <f>IFERROR(__xludf.DUMMYFUNCTION("""COMPUTED_VALUE"""),0.0013657407398568466)</f>
        <v>0.00136574074</v>
      </c>
      <c r="J64" s="227">
        <f>IFERROR(__xludf.DUMMYFUNCTION("""COMPUTED_VALUE"""),4.0)</f>
        <v>4</v>
      </c>
      <c r="K64" s="227">
        <f>IFERROR(__xludf.DUMMYFUNCTION("""COMPUTED_VALUE"""),8.0)</f>
        <v>8</v>
      </c>
      <c r="L64" s="227">
        <f>IFERROR(__xludf.DUMMYFUNCTION("""COMPUTED_VALUE"""),7.0)</f>
        <v>7</v>
      </c>
      <c r="M64" s="228" t="str">
        <f>IFERROR(__xludf.DUMMYFUNCTION("""COMPUTED_VALUE"""),"Mirash")</f>
        <v>Mirash</v>
      </c>
      <c r="N64" s="228">
        <f>IFERROR(__xludf.DUMMYFUNCTION("""COMPUTED_VALUE"""),2277128.0)</f>
        <v>2277128</v>
      </c>
      <c r="O64" s="206"/>
      <c r="P64" s="199"/>
    </row>
    <row r="65" ht="18.75" customHeight="1" outlineLevel="1">
      <c r="A65" s="230"/>
      <c r="B65" s="197"/>
      <c r="C65" s="198"/>
      <c r="D65" s="231" t="str">
        <f>IFERROR(__xludf.DUMMYFUNCTION("""COMPUTED_VALUE"""),"HD3")</f>
        <v>HD3</v>
      </c>
      <c r="E65" s="232" t="str">
        <f>IFERROR(__xludf.DUMMYFUNCTION("""COMPUTED_VALUE"""),"")</f>
        <v/>
      </c>
      <c r="F65" s="233" t="str">
        <f>IFERROR(__xludf.DUMMYFUNCTION("""COMPUTED_VALUE"""),"YUC'e - POISON -KO3 Remix- [Insane]")</f>
        <v>YUC'e - POISON -KO3 Remix- [Insane]</v>
      </c>
      <c r="G65" s="234">
        <f>IFERROR(__xludf.DUMMYFUNCTION("""COMPUTED_VALUE"""),5.03191)</f>
        <v>5.03191</v>
      </c>
      <c r="H65" s="235">
        <f>IFERROR(__xludf.DUMMYFUNCTION("""COMPUTED_VALUE"""),170.0)</f>
        <v>170</v>
      </c>
      <c r="I65" s="236">
        <f>IFERROR(__xludf.DUMMYFUNCTION("""COMPUTED_VALUE"""),0.002222222221462289)</f>
        <v>0.002222222221</v>
      </c>
      <c r="J65" s="237">
        <f>IFERROR(__xludf.DUMMYFUNCTION("""COMPUTED_VALUE"""),3.8)</f>
        <v>3.8</v>
      </c>
      <c r="K65" s="238">
        <f>IFERROR(__xludf.DUMMYFUNCTION("""COMPUTED_VALUE"""),9.1)</f>
        <v>9.1</v>
      </c>
      <c r="L65" s="237">
        <f>IFERROR(__xludf.DUMMYFUNCTION("""COMPUTED_VALUE"""),8.0)</f>
        <v>8</v>
      </c>
      <c r="M65" s="239" t="str">
        <f>IFERROR(__xludf.DUMMYFUNCTION("""COMPUTED_VALUE"""),"JrSzZ")</f>
        <v>JrSzZ</v>
      </c>
      <c r="N65" s="231">
        <f>IFERROR(__xludf.DUMMYFUNCTION("""COMPUTED_VALUE"""),2044890.0)</f>
        <v>2044890</v>
      </c>
      <c r="O65" s="198"/>
      <c r="P65" s="199"/>
    </row>
    <row r="66" ht="18.75" customHeight="1" outlineLevel="1">
      <c r="A66" s="230"/>
      <c r="B66" s="197"/>
      <c r="C66" s="198"/>
      <c r="D66" s="231" t="str">
        <f>IFERROR(__xludf.DUMMYFUNCTION("""COMPUTED_VALUE"""),"HR1")</f>
        <v>HR1</v>
      </c>
      <c r="E66" s="232" t="str">
        <f>IFERROR(__xludf.DUMMYFUNCTION("""COMPUTED_VALUE"""),"")</f>
        <v/>
      </c>
      <c r="F66" s="255" t="str">
        <f>IFERROR(__xludf.DUMMYFUNCTION("""COMPUTED_VALUE"""),"Harumaki Gohan feat. Hatsune Miku - Hotaru wa Inakatta [Kuse's Insane]")</f>
        <v>Harumaki Gohan feat. Hatsune Miku - Hotaru wa Inakatta [Kuse's Insane]</v>
      </c>
      <c r="G66" s="234">
        <f>IFERROR(__xludf.DUMMYFUNCTION("""COMPUTED_VALUE"""),5.19533)</f>
        <v>5.19533</v>
      </c>
      <c r="H66" s="235">
        <f>IFERROR(__xludf.DUMMYFUNCTION("""COMPUTED_VALUE"""),206.0)</f>
        <v>206</v>
      </c>
      <c r="I66" s="236">
        <f>IFERROR(__xludf.DUMMYFUNCTION("""COMPUTED_VALUE"""),0.002314814813871635)</f>
        <v>0.002314814814</v>
      </c>
      <c r="J66" s="237">
        <f>IFERROR(__xludf.DUMMYFUNCTION("""COMPUTED_VALUE"""),5.2)</f>
        <v>5.2</v>
      </c>
      <c r="K66" s="238">
        <f>IFERROR(__xludf.DUMMYFUNCTION("""COMPUTED_VALUE"""),10.0)</f>
        <v>10</v>
      </c>
      <c r="L66" s="237">
        <f>IFERROR(__xludf.DUMMYFUNCTION("""COMPUTED_VALUE"""),10.0)</f>
        <v>10</v>
      </c>
      <c r="M66" s="239" t="str">
        <f>IFERROR(__xludf.DUMMYFUNCTION("""COMPUTED_VALUE"""),"Irin")</f>
        <v>Irin</v>
      </c>
      <c r="N66" s="231">
        <f>IFERROR(__xludf.DUMMYFUNCTION("""COMPUTED_VALUE"""),3454421.0)</f>
        <v>3454421</v>
      </c>
      <c r="O66" s="198"/>
      <c r="P66" s="199"/>
    </row>
    <row r="67" ht="18.75" customHeight="1" outlineLevel="1">
      <c r="A67" s="230"/>
      <c r="B67" s="197"/>
      <c r="C67" s="198"/>
      <c r="D67" s="231" t="str">
        <f>IFERROR(__xludf.DUMMYFUNCTION("""COMPUTED_VALUE"""),"HR2")</f>
        <v>HR2</v>
      </c>
      <c r="E67" s="232" t="str">
        <f>IFERROR(__xludf.DUMMYFUNCTION("""COMPUTED_VALUE"""),"")</f>
        <v/>
      </c>
      <c r="F67" s="233" t="str">
        <f>IFERROR(__xludf.DUMMYFUNCTION("""COMPUTED_VALUE"""),"Cro - Wie ich bin [Trust]")</f>
        <v>Cro - Wie ich bin [Trust]</v>
      </c>
      <c r="G67" s="234">
        <f>IFERROR(__xludf.DUMMYFUNCTION("""COMPUTED_VALUE"""),4.85907)</f>
        <v>4.85907</v>
      </c>
      <c r="H67" s="235">
        <f>IFERROR(__xludf.DUMMYFUNCTION("""COMPUTED_VALUE"""),130.0)</f>
        <v>130</v>
      </c>
      <c r="I67" s="236">
        <f>IFERROR(__xludf.DUMMYFUNCTION("""COMPUTED_VALUE"""),0.0019791666672972497)</f>
        <v>0.001979166667</v>
      </c>
      <c r="J67" s="237">
        <f>IFERROR(__xludf.DUMMYFUNCTION("""COMPUTED_VALUE"""),6.5)</f>
        <v>6.5</v>
      </c>
      <c r="K67" s="238">
        <f>IFERROR(__xludf.DUMMYFUNCTION("""COMPUTED_VALUE"""),10.0)</f>
        <v>10</v>
      </c>
      <c r="L67" s="237">
        <f>IFERROR(__xludf.DUMMYFUNCTION("""COMPUTED_VALUE"""),10.0)</f>
        <v>10</v>
      </c>
      <c r="M67" s="239" t="str">
        <f>IFERROR(__xludf.DUMMYFUNCTION("""COMPUTED_VALUE"""),"Cacturne")</f>
        <v>Cacturne</v>
      </c>
      <c r="N67" s="231">
        <f>IFERROR(__xludf.DUMMYFUNCTION("""COMPUTED_VALUE"""),2917786.0)</f>
        <v>2917786</v>
      </c>
      <c r="O67" s="198"/>
      <c r="P67" s="199"/>
    </row>
    <row r="68" ht="18.75" customHeight="1" outlineLevel="1">
      <c r="A68" s="230"/>
      <c r="B68" s="197"/>
      <c r="C68" s="198"/>
      <c r="D68" s="231" t="str">
        <f>IFERROR(__xludf.DUMMYFUNCTION("""COMPUTED_VALUE"""),"HR3")</f>
        <v>HR3</v>
      </c>
      <c r="E68" s="232" t="str">
        <f>IFERROR(__xludf.DUMMYFUNCTION("""COMPUTED_VALUE"""),"")</f>
        <v/>
      </c>
      <c r="F68" s="233" t="str">
        <f>IFERROR(__xludf.DUMMYFUNCTION("""COMPUTED_VALUE"""),"Camellia - Routing [Another]")</f>
        <v>Camellia - Routing [Another]</v>
      </c>
      <c r="G68" s="234">
        <f>IFERROR(__xludf.DUMMYFUNCTION("""COMPUTED_VALUE"""),5.0835)</f>
        <v>5.0835</v>
      </c>
      <c r="H68" s="235">
        <f>IFERROR(__xludf.DUMMYFUNCTION("""COMPUTED_VALUE"""),144.0)</f>
        <v>144</v>
      </c>
      <c r="I68" s="236">
        <f>IFERROR(__xludf.DUMMYFUNCTION("""COMPUTED_VALUE"""),0.0012731481474475004)</f>
        <v>0.001273148147</v>
      </c>
      <c r="J68" s="237">
        <f>IFERROR(__xludf.DUMMYFUNCTION("""COMPUTED_VALUE"""),4.55)</f>
        <v>4.55</v>
      </c>
      <c r="K68" s="238">
        <f>IFERROR(__xludf.DUMMYFUNCTION("""COMPUTED_VALUE"""),10.0)</f>
        <v>10</v>
      </c>
      <c r="L68" s="237">
        <f>IFERROR(__xludf.DUMMYFUNCTION("""COMPUTED_VALUE"""),10.0)</f>
        <v>10</v>
      </c>
      <c r="M68" s="239" t="str">
        <f>IFERROR(__xludf.DUMMYFUNCTION("""COMPUTED_VALUE"""),"Mir")</f>
        <v>Mir</v>
      </c>
      <c r="N68" s="231">
        <f>IFERROR(__xludf.DUMMYFUNCTION("""COMPUTED_VALUE"""),1405094.0)</f>
        <v>1405094</v>
      </c>
      <c r="O68" s="198"/>
      <c r="P68" s="199"/>
    </row>
    <row r="69" ht="18.75" customHeight="1" outlineLevel="1">
      <c r="A69" s="230"/>
      <c r="B69" s="197"/>
      <c r="C69" s="198"/>
      <c r="D69" s="231" t="str">
        <f>IFERROR(__xludf.DUMMYFUNCTION("""COMPUTED_VALUE"""),"DT1")</f>
        <v>DT1</v>
      </c>
      <c r="E69" s="232" t="str">
        <f>IFERROR(__xludf.DUMMYFUNCTION("""COMPUTED_VALUE"""),"")</f>
        <v/>
      </c>
      <c r="F69" s="233" t="str">
        <f>IFERROR(__xludf.DUMMYFUNCTION("""COMPUTED_VALUE"""),"96neko - Primitive emotion [Hard]")</f>
        <v>96neko - Primitive emotion [Hard]</v>
      </c>
      <c r="G69" s="234">
        <f>IFERROR(__xludf.DUMMYFUNCTION("""COMPUTED_VALUE"""),5.31524)</f>
        <v>5.31524</v>
      </c>
      <c r="H69" s="235">
        <f>IFERROR(__xludf.DUMMYFUNCTION("""COMPUTED_VALUE"""),285.0)</f>
        <v>285</v>
      </c>
      <c r="I69" s="236">
        <f>IFERROR(__xludf.DUMMYFUNCTION("""COMPUTED_VALUE"""),0.0016126543220404226)</f>
        <v>0.001612654322</v>
      </c>
      <c r="J69" s="237">
        <f>IFERROR(__xludf.DUMMYFUNCTION("""COMPUTED_VALUE"""),4.0)</f>
        <v>4</v>
      </c>
      <c r="K69" s="238">
        <f>IFERROR(__xludf.DUMMYFUNCTION("""COMPUTED_VALUE"""),9.666666666666668)</f>
        <v>9.666666667</v>
      </c>
      <c r="L69" s="237">
        <f>IFERROR(__xludf.DUMMYFUNCTION("""COMPUTED_VALUE"""),8.75)</f>
        <v>8.75</v>
      </c>
      <c r="M69" s="239" t="str">
        <f>IFERROR(__xludf.DUMMYFUNCTION("""COMPUTED_VALUE"""),"Lasse")</f>
        <v>Lasse</v>
      </c>
      <c r="N69" s="231">
        <f>IFERROR(__xludf.DUMMYFUNCTION("""COMPUTED_VALUE"""),1592512.0)</f>
        <v>1592512</v>
      </c>
      <c r="O69" s="198"/>
      <c r="P69" s="199"/>
    </row>
    <row r="70" ht="18.75" customHeight="1" outlineLevel="1">
      <c r="A70" s="230"/>
      <c r="B70" s="197"/>
      <c r="C70" s="198"/>
      <c r="D70" s="231" t="str">
        <f>IFERROR(__xludf.DUMMYFUNCTION("""COMPUTED_VALUE"""),"DT2")</f>
        <v>DT2</v>
      </c>
      <c r="E70" s="232" t="str">
        <f>IFERROR(__xludf.DUMMYFUNCTION("""COMPUTED_VALUE"""),"")</f>
        <v/>
      </c>
      <c r="F70" s="233" t="str">
        <f>IFERROR(__xludf.DUMMYFUNCTION("""COMPUTED_VALUE"""),"umu. - Dareka no Shinzou ni Nareta Nara [Hard]")</f>
        <v>umu. - Dareka no Shinzou ni Nareta Nara [Hard]</v>
      </c>
      <c r="G70" s="234">
        <f>IFERROR(__xludf.DUMMYFUNCTION("""COMPUTED_VALUE"""),5.127)</f>
        <v>5.127</v>
      </c>
      <c r="H70" s="235">
        <f>IFERROR(__xludf.DUMMYFUNCTION("""COMPUTED_VALUE"""),217.5)</f>
        <v>217.5</v>
      </c>
      <c r="I70" s="236">
        <f>IFERROR(__xludf.DUMMYFUNCTION("""COMPUTED_VALUE"""),0.001697530863263334)</f>
        <v>0.001697530863</v>
      </c>
      <c r="J70" s="237">
        <f>IFERROR(__xludf.DUMMYFUNCTION("""COMPUTED_VALUE"""),3.8)</f>
        <v>3.8</v>
      </c>
      <c r="K70" s="238">
        <f>IFERROR(__xludf.DUMMYFUNCTION("""COMPUTED_VALUE"""),9.666666666666668)</f>
        <v>9.666666667</v>
      </c>
      <c r="L70" s="237">
        <f>IFERROR(__xludf.DUMMYFUNCTION("""COMPUTED_VALUE"""),9.083333333333334)</f>
        <v>9.083333333</v>
      </c>
      <c r="M70" s="239" t="str">
        <f>IFERROR(__xludf.DUMMYFUNCTION("""COMPUTED_VALUE"""),"xbopost")</f>
        <v>xbopost</v>
      </c>
      <c r="N70" s="231">
        <f>IFERROR(__xludf.DUMMYFUNCTION("""COMPUTED_VALUE"""),2388648.0)</f>
        <v>2388648</v>
      </c>
      <c r="O70" s="198"/>
      <c r="P70" s="199"/>
    </row>
    <row r="71" ht="18.75" customHeight="1" outlineLevel="1">
      <c r="A71" s="230"/>
      <c r="B71" s="197"/>
      <c r="C71" s="198"/>
      <c r="D71" s="231" t="str">
        <f>IFERROR(__xludf.DUMMYFUNCTION("""COMPUTED_VALUE"""),"DT3")</f>
        <v>DT3</v>
      </c>
      <c r="E71" s="232" t="str">
        <f>IFERROR(__xludf.DUMMYFUNCTION("""COMPUTED_VALUE"""),"")</f>
        <v/>
      </c>
      <c r="F71" s="233" t="str">
        <f>IFERROR(__xludf.DUMMYFUNCTION("""COMPUTED_VALUE"""),"AAAA + Umeboshi Chazuke - Cait Sith [Setu's Hard]")</f>
        <v>AAAA + Umeboshi Chazuke - Cait Sith [Setu's Hard]</v>
      </c>
      <c r="G71" s="234">
        <f>IFERROR(__xludf.DUMMYFUNCTION("""COMPUTED_VALUE"""),5.16896)</f>
        <v>5.16896</v>
      </c>
      <c r="H71" s="235">
        <f>IFERROR(__xludf.DUMMYFUNCTION("""COMPUTED_VALUE"""),255.0)</f>
        <v>255</v>
      </c>
      <c r="I71" s="236">
        <f>IFERROR(__xludf.DUMMYFUNCTION("""COMPUTED_VALUE"""),0.0013503086423346151)</f>
        <v>0.001350308642</v>
      </c>
      <c r="J71" s="237">
        <f>IFERROR(__xludf.DUMMYFUNCTION("""COMPUTED_VALUE"""),3.5)</f>
        <v>3.5</v>
      </c>
      <c r="K71" s="238">
        <f>IFERROR(__xludf.DUMMYFUNCTION("""COMPUTED_VALUE"""),9.666666666666668)</f>
        <v>9.666666667</v>
      </c>
      <c r="L71" s="237">
        <f>IFERROR(__xludf.DUMMYFUNCTION("""COMPUTED_VALUE"""),8.416666666666666)</f>
        <v>8.416666667</v>
      </c>
      <c r="M71" s="239" t="str">
        <f>IFERROR(__xludf.DUMMYFUNCTION("""COMPUTED_VALUE"""),"bob")</f>
        <v>bob</v>
      </c>
      <c r="N71" s="231">
        <f>IFERROR(__xludf.DUMMYFUNCTION("""COMPUTED_VALUE"""),3819183.0)</f>
        <v>3819183</v>
      </c>
      <c r="O71" s="198"/>
      <c r="P71" s="199"/>
    </row>
    <row r="72" ht="18.75" customHeight="1" outlineLevel="1">
      <c r="A72" s="230"/>
      <c r="B72" s="197"/>
      <c r="C72" s="198"/>
      <c r="D72" s="231" t="str">
        <f>IFERROR(__xludf.DUMMYFUNCTION("""COMPUTED_VALUE"""),"FM1")</f>
        <v>FM1</v>
      </c>
      <c r="E72" s="232" t="str">
        <f>IFERROR(__xludf.DUMMYFUNCTION("""COMPUTED_VALUE"""),"")</f>
        <v/>
      </c>
      <c r="F72" s="233" t="str">
        <f>IFERROR(__xludf.DUMMYFUNCTION("""COMPUTED_VALUE"""),"Wagakki Band - Kagerou Days [Ducky-'s Insane]")</f>
        <v>Wagakki Band - Kagerou Days [Ducky-'s Insane]</v>
      </c>
      <c r="G72" s="234">
        <f>IFERROR(__xludf.DUMMYFUNCTION("""COMPUTED_VALUE"""),4.95233)</f>
        <v>4.95233</v>
      </c>
      <c r="H72" s="235">
        <f>IFERROR(__xludf.DUMMYFUNCTION("""COMPUTED_VALUE"""),200.0)</f>
        <v>200</v>
      </c>
      <c r="I72" s="236">
        <f>IFERROR(__xludf.DUMMYFUNCTION("""COMPUTED_VALUE"""),0.0025810185179580003)</f>
        <v>0.002581018518</v>
      </c>
      <c r="J72" s="237">
        <f>IFERROR(__xludf.DUMMYFUNCTION("""COMPUTED_VALUE"""),3.0)</f>
        <v>3</v>
      </c>
      <c r="K72" s="238">
        <f>IFERROR(__xludf.DUMMYFUNCTION("""COMPUTED_VALUE"""),9.0)</f>
        <v>9</v>
      </c>
      <c r="L72" s="237">
        <f>IFERROR(__xludf.DUMMYFUNCTION("""COMPUTED_VALUE"""),8.0)</f>
        <v>8</v>
      </c>
      <c r="M72" s="239" t="str">
        <f>IFERROR(__xludf.DUMMYFUNCTION("""COMPUTED_VALUE"""),"IOException")</f>
        <v>IOException</v>
      </c>
      <c r="N72" s="231">
        <f>IFERROR(__xludf.DUMMYFUNCTION("""COMPUTED_VALUE"""),2514122.0)</f>
        <v>2514122</v>
      </c>
      <c r="O72" s="198"/>
      <c r="P72" s="199"/>
    </row>
    <row r="73" ht="18.75" customHeight="1" outlineLevel="1">
      <c r="A73" s="230"/>
      <c r="B73" s="197"/>
      <c r="C73" s="198"/>
      <c r="D73" s="231" t="str">
        <f>IFERROR(__xludf.DUMMYFUNCTION("""COMPUTED_VALUE"""),"FM2")</f>
        <v>FM2</v>
      </c>
      <c r="E73" s="232" t="str">
        <f>IFERROR(__xludf.DUMMYFUNCTION("""COMPUTED_VALUE"""),"")</f>
        <v/>
      </c>
      <c r="F73" s="233" t="str">
        <f>IFERROR(__xludf.DUMMYFUNCTION("""COMPUTED_VALUE"""),"Brandy - Cross Time !! [DJPop Mix]")</f>
        <v>Brandy - Cross Time !! [DJPop Mix]</v>
      </c>
      <c r="G73" s="234">
        <f>IFERROR(__xludf.DUMMYFUNCTION("""COMPUTED_VALUE"""),4.71486)</f>
        <v>4.71486</v>
      </c>
      <c r="H73" s="235">
        <f>IFERROR(__xludf.DUMMYFUNCTION("""COMPUTED_VALUE"""),160.0)</f>
        <v>160</v>
      </c>
      <c r="I73" s="236">
        <f>IFERROR(__xludf.DUMMYFUNCTION("""COMPUTED_VALUE"""),0.0016203703708015382)</f>
        <v>0.001620370371</v>
      </c>
      <c r="J73" s="237">
        <f>IFERROR(__xludf.DUMMYFUNCTION("""COMPUTED_VALUE"""),5.0)</f>
        <v>5</v>
      </c>
      <c r="K73" s="238">
        <f>IFERROR(__xludf.DUMMYFUNCTION("""COMPUTED_VALUE"""),8.0)</f>
        <v>8</v>
      </c>
      <c r="L73" s="237">
        <f>IFERROR(__xludf.DUMMYFUNCTION("""COMPUTED_VALUE"""),8.0)</f>
        <v>8</v>
      </c>
      <c r="M73" s="256" t="str">
        <f>IFERROR(__xludf.DUMMYFUNCTION("""COMPUTED_VALUE"""),"buraimaster1234")</f>
        <v>buraimaster1234</v>
      </c>
      <c r="N73" s="231">
        <f>IFERROR(__xludf.DUMMYFUNCTION("""COMPUTED_VALUE"""),28366.0)</f>
        <v>28366</v>
      </c>
      <c r="O73" s="198"/>
      <c r="P73" s="199"/>
    </row>
    <row r="74" ht="18.75" customHeight="1" outlineLevel="1">
      <c r="A74" s="230"/>
      <c r="B74" s="197"/>
      <c r="C74" s="198"/>
      <c r="D74" s="241" t="str">
        <f>IFERROR(__xludf.DUMMYFUNCTION("""COMPUTED_VALUE"""),"TB1")</f>
        <v>TB1</v>
      </c>
      <c r="E74" s="242" t="str">
        <f>IFERROR(__xludf.DUMMYFUNCTION("""COMPUTED_VALUE"""),"")</f>
        <v/>
      </c>
      <c r="F74" s="243" t="str">
        <f>IFERROR(__xludf.DUMMYFUNCTION("""COMPUTED_VALUE"""),"Camellia - EXiT this Earths Atomosphere [Astral]")</f>
        <v>Camellia - EXiT this Earths Atomosphere [Astral]</v>
      </c>
      <c r="G74" s="244">
        <f>IFERROR(__xludf.DUMMYFUNCTION("""COMPUTED_VALUE"""),5.47932)</f>
        <v>5.47932</v>
      </c>
      <c r="H74" s="245">
        <f>IFERROR(__xludf.DUMMYFUNCTION("""COMPUTED_VALUE"""),170.0)</f>
        <v>170</v>
      </c>
      <c r="I74" s="246">
        <f>IFERROR(__xludf.DUMMYFUNCTION("""COMPUTED_VALUE"""),0.0035648148150357883)</f>
        <v>0.003564814815</v>
      </c>
      <c r="J74" s="247">
        <f>IFERROR(__xludf.DUMMYFUNCTION("""COMPUTED_VALUE"""),4.0)</f>
        <v>4</v>
      </c>
      <c r="K74" s="248">
        <f>IFERROR(__xludf.DUMMYFUNCTION("""COMPUTED_VALUE"""),9.4)</f>
        <v>9.4</v>
      </c>
      <c r="L74" s="247">
        <f>IFERROR(__xludf.DUMMYFUNCTION("""COMPUTED_VALUE"""),8.0)</f>
        <v>8</v>
      </c>
      <c r="M74" s="250" t="str">
        <f>IFERROR(__xludf.DUMMYFUNCTION("""COMPUTED_VALUE"""),"DWShin")</f>
        <v>DWShin</v>
      </c>
      <c r="N74" s="241">
        <f>IFERROR(__xludf.DUMMYFUNCTION("""COMPUTED_VALUE"""),1248147.0)</f>
        <v>1248147</v>
      </c>
      <c r="O74" s="198"/>
      <c r="P74" s="199"/>
    </row>
    <row r="75" ht="3.75" customHeight="1" outlineLevel="1">
      <c r="A75" s="230"/>
      <c r="B75" s="197"/>
      <c r="C75" s="198"/>
      <c r="D75" s="251"/>
      <c r="E75" s="252"/>
      <c r="F75" s="253"/>
      <c r="G75" s="252"/>
      <c r="H75" s="252"/>
      <c r="I75" s="254"/>
      <c r="J75" s="252"/>
      <c r="K75" s="252"/>
      <c r="L75" s="252"/>
      <c r="M75" s="252"/>
      <c r="N75" s="252"/>
      <c r="O75" s="198"/>
      <c r="P75" s="199"/>
    </row>
    <row r="76" ht="18.75" customHeight="1">
      <c r="A76" s="230"/>
      <c r="B76" s="197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7"/>
    </row>
    <row r="77" ht="22.5" customHeight="1">
      <c r="A77" s="200" t="s">
        <v>0</v>
      </c>
      <c r="B77" s="199"/>
      <c r="C77" s="201"/>
      <c r="D77" s="202" t="s">
        <v>20</v>
      </c>
      <c r="E77" s="99"/>
      <c r="F77" s="203" t="str">
        <f>"Ave. SR 4.85* &lt;&gt; Ave. Length 2:44"</f>
        <v>Ave. SR 4.85* &lt;&gt; Ave. Length 2:44</v>
      </c>
      <c r="G77" s="98"/>
      <c r="H77" s="99"/>
      <c r="I77" s="204"/>
      <c r="J77" s="204"/>
      <c r="K77" s="201"/>
      <c r="L77" s="205" t="s">
        <v>57</v>
      </c>
      <c r="M77" s="98"/>
      <c r="N77" s="99"/>
      <c r="O77" s="206"/>
      <c r="P77" s="199"/>
    </row>
    <row r="78" ht="7.5" customHeight="1">
      <c r="A78" s="207"/>
      <c r="B78" s="199"/>
      <c r="C78" s="204"/>
      <c r="D78" s="208"/>
      <c r="E78" s="208"/>
      <c r="F78" s="209"/>
      <c r="G78" s="209"/>
      <c r="H78" s="209"/>
      <c r="I78" s="209"/>
      <c r="J78" s="209"/>
      <c r="K78" s="209"/>
      <c r="L78" s="209"/>
      <c r="M78" s="210"/>
      <c r="N78" s="209"/>
      <c r="O78" s="206"/>
      <c r="P78" s="199"/>
    </row>
    <row r="79" ht="22.5" customHeight="1" outlineLevel="1">
      <c r="A79" s="207"/>
      <c r="B79" s="199"/>
      <c r="C79" s="201"/>
      <c r="D79" s="211" t="s">
        <v>58</v>
      </c>
      <c r="E79" s="211" t="s">
        <v>59</v>
      </c>
      <c r="F79" s="211" t="s">
        <v>60</v>
      </c>
      <c r="G79" s="212" t="s">
        <v>61</v>
      </c>
      <c r="H79" s="212" t="s">
        <v>62</v>
      </c>
      <c r="I79" s="213" t="s">
        <v>63</v>
      </c>
      <c r="J79" s="212" t="s">
        <v>64</v>
      </c>
      <c r="K79" s="212" t="s">
        <v>65</v>
      </c>
      <c r="L79" s="212" t="s">
        <v>66</v>
      </c>
      <c r="M79" s="211" t="s">
        <v>67</v>
      </c>
      <c r="N79" s="214" t="s">
        <v>38</v>
      </c>
      <c r="O79" s="206"/>
      <c r="P79" s="199"/>
    </row>
    <row r="80" ht="3.75" customHeight="1" outlineLevel="1">
      <c r="A80" s="207"/>
      <c r="B80" s="199"/>
      <c r="C80" s="201"/>
      <c r="D80" s="215"/>
      <c r="E80" s="216" t="s">
        <v>0</v>
      </c>
      <c r="F80" s="217"/>
      <c r="G80" s="218"/>
      <c r="H80" s="219"/>
      <c r="I80" s="220"/>
      <c r="J80" s="219"/>
      <c r="K80" s="218"/>
      <c r="L80" s="219"/>
      <c r="M80" s="216"/>
      <c r="N80" s="217"/>
      <c r="O80" s="206"/>
      <c r="P80" s="199"/>
    </row>
    <row r="81" ht="18.75" customHeight="1" outlineLevel="1">
      <c r="A81" s="207"/>
      <c r="B81" s="199"/>
      <c r="C81" s="201"/>
      <c r="D81" s="221" t="str">
        <f>IFERROR(__xludf.DUMMYFUNCTION("IMPORTRANGE(""1HHAHmZTTDlyB4RHaHQ-2bhUchkHOEZhmcQrDYQXnxnw"",""Mappool Imports - Pool Sheet!D81:O100"")"),"NM1")</f>
        <v>NM1</v>
      </c>
      <c r="E81" s="222" t="str">
        <f>IFERROR(__xludf.DUMMYFUNCTION("""COMPUTED_VALUE"""),"")</f>
        <v/>
      </c>
      <c r="F81" s="223" t="str">
        <f>IFERROR(__xludf.DUMMYFUNCTION("""COMPUTED_VALUE"""),"Sangatsu no Phantasia - Pink Lemonade [Insane]")</f>
        <v>Sangatsu no Phantasia - Pink Lemonade [Insane]</v>
      </c>
      <c r="G81" s="224">
        <f>IFERROR(__xludf.DUMMYFUNCTION("""COMPUTED_VALUE"""),5.08315)</f>
        <v>5.08315</v>
      </c>
      <c r="H81" s="225">
        <f>IFERROR(__xludf.DUMMYFUNCTION("""COMPUTED_VALUE"""),191.0)</f>
        <v>191</v>
      </c>
      <c r="I81" s="226">
        <f>IFERROR(__xludf.DUMMYFUNCTION("""COMPUTED_VALUE"""),0.0028703703719656914)</f>
        <v>0.002870370372</v>
      </c>
      <c r="J81" s="227">
        <f>IFERROR(__xludf.DUMMYFUNCTION("""COMPUTED_VALUE"""),4.0)</f>
        <v>4</v>
      </c>
      <c r="K81" s="227">
        <f>IFERROR(__xludf.DUMMYFUNCTION("""COMPUTED_VALUE"""),9.0)</f>
        <v>9</v>
      </c>
      <c r="L81" s="227">
        <f>IFERROR(__xludf.DUMMYFUNCTION("""COMPUTED_VALUE"""),7.0)</f>
        <v>7</v>
      </c>
      <c r="M81" s="228" t="str">
        <f>IFERROR(__xludf.DUMMYFUNCTION("""COMPUTED_VALUE"""),"Chirony")</f>
        <v>Chirony</v>
      </c>
      <c r="N81" s="228">
        <f>IFERROR(__xludf.DUMMYFUNCTION("""COMPUTED_VALUE"""),1965654.0)</f>
        <v>1965654</v>
      </c>
      <c r="O81" s="206"/>
      <c r="P81" s="199"/>
    </row>
    <row r="82" ht="18.75" customHeight="1" outlineLevel="1">
      <c r="A82" s="207"/>
      <c r="B82" s="199"/>
      <c r="C82" s="201"/>
      <c r="D82" s="228" t="str">
        <f>IFERROR(__xludf.DUMMYFUNCTION("""COMPUTED_VALUE"""),"NM2")</f>
        <v>NM2</v>
      </c>
      <c r="E82" s="222" t="str">
        <f>IFERROR(__xludf.DUMMYFUNCTION("""COMPUTED_VALUE"""),"")</f>
        <v/>
      </c>
      <c r="F82" s="223" t="str">
        <f>IFERROR(__xludf.DUMMYFUNCTION("""COMPUTED_VALUE"""),"Thaehan - Doki-Doki [rockstarrzz' Insane]")</f>
        <v>Thaehan - Doki-Doki [rockstarrzz' Insane]</v>
      </c>
      <c r="G82" s="224">
        <f>IFERROR(__xludf.DUMMYFUNCTION("""COMPUTED_VALUE"""),5.15169)</f>
        <v>5.15169</v>
      </c>
      <c r="H82" s="225">
        <f>IFERROR(__xludf.DUMMYFUNCTION("""COMPUTED_VALUE"""),180.0)</f>
        <v>180</v>
      </c>
      <c r="I82" s="226">
        <f>IFERROR(__xludf.DUMMYFUNCTION("""COMPUTED_VALUE"""),0.0011805555550381541)</f>
        <v>0.001180555555</v>
      </c>
      <c r="J82" s="227">
        <f>IFERROR(__xludf.DUMMYFUNCTION("""COMPUTED_VALUE"""),3.8)</f>
        <v>3.8</v>
      </c>
      <c r="K82" s="227">
        <f>IFERROR(__xludf.DUMMYFUNCTION("""COMPUTED_VALUE"""),9.0)</f>
        <v>9</v>
      </c>
      <c r="L82" s="227">
        <f>IFERROR(__xludf.DUMMYFUNCTION("""COMPUTED_VALUE"""),7.5)</f>
        <v>7.5</v>
      </c>
      <c r="M82" s="228" t="str">
        <f>IFERROR(__xludf.DUMMYFUNCTION("""COMPUTED_VALUE"""),"Mr HeliX")</f>
        <v>Mr HeliX</v>
      </c>
      <c r="N82" s="228">
        <f>IFERROR(__xludf.DUMMYFUNCTION("""COMPUTED_VALUE"""),1838159.0)</f>
        <v>1838159</v>
      </c>
      <c r="O82" s="206"/>
      <c r="P82" s="199"/>
    </row>
    <row r="83" ht="18.75" customHeight="1" outlineLevel="1">
      <c r="A83" s="207"/>
      <c r="B83" s="199"/>
      <c r="C83" s="201"/>
      <c r="D83" s="228" t="str">
        <f>IFERROR(__xludf.DUMMYFUNCTION("""COMPUTED_VALUE"""),"NM3")</f>
        <v>NM3</v>
      </c>
      <c r="E83" s="222" t="str">
        <f>IFERROR(__xludf.DUMMYFUNCTION("""COMPUTED_VALUE"""),"")</f>
        <v/>
      </c>
      <c r="F83" s="223" t="str">
        <f>IFERROR(__xludf.DUMMYFUNCTION("""COMPUTED_VALUE"""),"Meguro Shoji feat. Lyn - Last Surprise -Scramble- [Expert]")</f>
        <v>Meguro Shoji feat. Lyn - Last Surprise -Scramble- [Expert]</v>
      </c>
      <c r="G83" s="224">
        <f>IFERROR(__xludf.DUMMYFUNCTION("""COMPUTED_VALUE"""),4.81073)</f>
        <v>4.81073</v>
      </c>
      <c r="H83" s="225">
        <f>IFERROR(__xludf.DUMMYFUNCTION("""COMPUTED_VALUE"""),123.0)</f>
        <v>123</v>
      </c>
      <c r="I83" s="226">
        <f>IFERROR(__xludf.DUMMYFUNCTION("""COMPUTED_VALUE"""),0.00251157407546998)</f>
        <v>0.002511574075</v>
      </c>
      <c r="J83" s="227">
        <f>IFERROR(__xludf.DUMMYFUNCTION("""COMPUTED_VALUE"""),3.6)</f>
        <v>3.6</v>
      </c>
      <c r="K83" s="227">
        <f>IFERROR(__xludf.DUMMYFUNCTION("""COMPUTED_VALUE"""),9.1)</f>
        <v>9.1</v>
      </c>
      <c r="L83" s="227">
        <f>IFERROR(__xludf.DUMMYFUNCTION("""COMPUTED_VALUE"""),8.0)</f>
        <v>8</v>
      </c>
      <c r="M83" s="228" t="str">
        <f>IFERROR(__xludf.DUMMYFUNCTION("""COMPUTED_VALUE"""),"moph")</f>
        <v>moph</v>
      </c>
      <c r="N83" s="228">
        <f>IFERROR(__xludf.DUMMYFUNCTION("""COMPUTED_VALUE"""),2568756.0)</f>
        <v>2568756</v>
      </c>
      <c r="O83" s="206"/>
      <c r="P83" s="199"/>
    </row>
    <row r="84" ht="18.75" customHeight="1" outlineLevel="1">
      <c r="A84" s="207"/>
      <c r="B84" s="199"/>
      <c r="C84" s="201"/>
      <c r="D84" s="228" t="str">
        <f>IFERROR(__xludf.DUMMYFUNCTION("""COMPUTED_VALUE"""),"NM4")</f>
        <v>NM4</v>
      </c>
      <c r="E84" s="222" t="str">
        <f>IFERROR(__xludf.DUMMYFUNCTION("""COMPUTED_VALUE"""),"")</f>
        <v/>
      </c>
      <c r="F84" s="223" t="str">
        <f>IFERROR(__xludf.DUMMYFUNCTION("""COMPUTED_VALUE"""),"Nekomata Master+ - squall [0pp's Insane (Tournament Edit)]")</f>
        <v>Nekomata Master+ - squall [0pp's Insane (Tournament Edit)]</v>
      </c>
      <c r="G84" s="224">
        <f>IFERROR(__xludf.DUMMYFUNCTION("""COMPUTED_VALUE"""),4.59923)</f>
        <v>4.59923</v>
      </c>
      <c r="H84" s="225">
        <f>IFERROR(__xludf.DUMMYFUNCTION("""COMPUTED_VALUE"""),190.0)</f>
        <v>190</v>
      </c>
      <c r="I84" s="226">
        <f>IFERROR(__xludf.DUMMYFUNCTION("""COMPUTED_VALUE"""),0.0013888888897781726)</f>
        <v>0.00138888889</v>
      </c>
      <c r="J84" s="227">
        <f>IFERROR(__xludf.DUMMYFUNCTION("""COMPUTED_VALUE"""),4.0)</f>
        <v>4</v>
      </c>
      <c r="K84" s="227">
        <f>IFERROR(__xludf.DUMMYFUNCTION("""COMPUTED_VALUE"""),9.2)</f>
        <v>9.2</v>
      </c>
      <c r="L84" s="227">
        <f>IFERROR(__xludf.DUMMYFUNCTION("""COMPUTED_VALUE"""),7.0)</f>
        <v>7</v>
      </c>
      <c r="M84" s="228" t="str">
        <f>IFERROR(__xludf.DUMMYFUNCTION("""COMPUTED_VALUE"""),"Kyrian")</f>
        <v>Kyrian</v>
      </c>
      <c r="N84" s="228">
        <f>IFERROR(__xludf.DUMMYFUNCTION("""COMPUTED_VALUE"""),3341368.0)</f>
        <v>3341368</v>
      </c>
      <c r="O84" s="206"/>
      <c r="P84" s="199"/>
    </row>
    <row r="85" ht="18.75" customHeight="1" outlineLevel="1">
      <c r="A85" s="207"/>
      <c r="B85" s="199"/>
      <c r="C85" s="201"/>
      <c r="D85" s="228" t="str">
        <f>IFERROR(__xludf.DUMMYFUNCTION("""COMPUTED_VALUE"""),"NM5")</f>
        <v>NM5</v>
      </c>
      <c r="E85" s="222" t="str">
        <f>IFERROR(__xludf.DUMMYFUNCTION("""COMPUTED_VALUE"""),"")</f>
        <v/>
      </c>
      <c r="F85" s="223" t="str">
        <f>IFERROR(__xludf.DUMMYFUNCTION("""COMPUTED_VALUE"""),"the Art of Mankind - Unexisted [Insane]")</f>
        <v>the Art of Mankind - Unexisted [Insane]</v>
      </c>
      <c r="G85" s="224">
        <f>IFERROR(__xludf.DUMMYFUNCTION("""COMPUTED_VALUE"""),5.01002)</f>
        <v>5.01002</v>
      </c>
      <c r="H85" s="225">
        <f>IFERROR(__xludf.DUMMYFUNCTION("""COMPUTED_VALUE"""),217.0)</f>
        <v>217</v>
      </c>
      <c r="I85" s="226">
        <f>IFERROR(__xludf.DUMMYFUNCTION("""COMPUTED_VALUE"""),0.002141203702194616)</f>
        <v>0.002141203702</v>
      </c>
      <c r="J85" s="227">
        <f>IFERROR(__xludf.DUMMYFUNCTION("""COMPUTED_VALUE"""),4.0)</f>
        <v>4</v>
      </c>
      <c r="K85" s="227">
        <f>IFERROR(__xludf.DUMMYFUNCTION("""COMPUTED_VALUE"""),9.0)</f>
        <v>9</v>
      </c>
      <c r="L85" s="227">
        <f>IFERROR(__xludf.DUMMYFUNCTION("""COMPUTED_VALUE"""),8.0)</f>
        <v>8</v>
      </c>
      <c r="M85" s="229" t="str">
        <f>IFERROR(__xludf.DUMMYFUNCTION("""COMPUTED_VALUE"""),"quantumvortex")</f>
        <v>quantumvortex</v>
      </c>
      <c r="N85" s="228">
        <f>IFERROR(__xludf.DUMMYFUNCTION("""COMPUTED_VALUE"""),4215637.0)</f>
        <v>4215637</v>
      </c>
      <c r="O85" s="206"/>
      <c r="P85" s="199"/>
    </row>
    <row r="86" ht="18.75" customHeight="1" outlineLevel="1">
      <c r="A86" s="207"/>
      <c r="B86" s="199"/>
      <c r="C86" s="201"/>
      <c r="D86" s="228" t="str">
        <f>IFERROR(__xludf.DUMMYFUNCTION("""COMPUTED_VALUE"""),"NM6")</f>
        <v>NM6</v>
      </c>
      <c r="E86" s="222" t="str">
        <f>IFERROR(__xludf.DUMMYFUNCTION("""COMPUTED_VALUE"""),"")</f>
        <v/>
      </c>
      <c r="F86" s="223" t="str">
        <f>IFERROR(__xludf.DUMMYFUNCTION("""COMPUTED_VALUE"""),"Franz Ferdinand - This Fffire (TV Size) [enri's iNnnsane]")</f>
        <v>Franz Ferdinand - This Fffire (TV Size) [enri's iNnnsane]</v>
      </c>
      <c r="G86" s="224">
        <f>IFERROR(__xludf.DUMMYFUNCTION("""COMPUTED_VALUE"""),4.11281)</f>
        <v>4.11281</v>
      </c>
      <c r="H86" s="225">
        <f>IFERROR(__xludf.DUMMYFUNCTION("""COMPUTED_VALUE"""),146.5)</f>
        <v>146.5</v>
      </c>
      <c r="I86" s="226">
        <f>IFERROR(__xludf.DUMMYFUNCTION("""COMPUTED_VALUE"""),9.606481471564621E-4)</f>
        <v>0.0009606481472</v>
      </c>
      <c r="J86" s="227">
        <f>IFERROR(__xludf.DUMMYFUNCTION("""COMPUTED_VALUE"""),5.0)</f>
        <v>5</v>
      </c>
      <c r="K86" s="227">
        <f>IFERROR(__xludf.DUMMYFUNCTION("""COMPUTED_VALUE"""),6.9)</f>
        <v>6.9</v>
      </c>
      <c r="L86" s="227">
        <f>IFERROR(__xludf.DUMMYFUNCTION("""COMPUTED_VALUE"""),6.9)</f>
        <v>6.9</v>
      </c>
      <c r="M86" s="228" t="str">
        <f>IFERROR(__xludf.DUMMYFUNCTION("""COMPUTED_VALUE"""),"ninore")</f>
        <v>ninore</v>
      </c>
      <c r="N86" s="228">
        <f>IFERROR(__xludf.DUMMYFUNCTION("""COMPUTED_VALUE"""),3821597.0)</f>
        <v>3821597</v>
      </c>
      <c r="O86" s="206"/>
      <c r="P86" s="199"/>
    </row>
    <row r="87" ht="18.75" customHeight="1" outlineLevel="1">
      <c r="A87" s="207"/>
      <c r="B87" s="199"/>
      <c r="C87" s="201"/>
      <c r="D87" s="228" t="str">
        <f>IFERROR(__xludf.DUMMYFUNCTION("""COMPUTED_VALUE"""),"HD1")</f>
        <v>HD1</v>
      </c>
      <c r="E87" s="222" t="str">
        <f>IFERROR(__xludf.DUMMYFUNCTION("""COMPUTED_VALUE"""),"")</f>
        <v/>
      </c>
      <c r="F87" s="223" t="str">
        <f>IFERROR(__xludf.DUMMYFUNCTION("""COMPUTED_VALUE"""),"Usada Pekora - Discommunication Alien [Ayyken's Another]")</f>
        <v>Usada Pekora - Discommunication Alien [Ayyken's Another]</v>
      </c>
      <c r="G87" s="224">
        <f>IFERROR(__xludf.DUMMYFUNCTION("""COMPUTED_VALUE"""),5.08091)</f>
        <v>5.08091</v>
      </c>
      <c r="H87" s="225">
        <f>IFERROR(__xludf.DUMMYFUNCTION("""COMPUTED_VALUE"""),170.0)</f>
        <v>170</v>
      </c>
      <c r="I87" s="226">
        <f>IFERROR(__xludf.DUMMYFUNCTION("""COMPUTED_VALUE"""),0.002395833333139308)</f>
        <v>0.002395833333</v>
      </c>
      <c r="J87" s="227">
        <f>IFERROR(__xludf.DUMMYFUNCTION("""COMPUTED_VALUE"""),4.5)</f>
        <v>4.5</v>
      </c>
      <c r="K87" s="227">
        <f>IFERROR(__xludf.DUMMYFUNCTION("""COMPUTED_VALUE"""),9.0)</f>
        <v>9</v>
      </c>
      <c r="L87" s="227">
        <f>IFERROR(__xludf.DUMMYFUNCTION("""COMPUTED_VALUE"""),8.5)</f>
        <v>8.5</v>
      </c>
      <c r="M87" s="228" t="str">
        <f>IFERROR(__xludf.DUMMYFUNCTION("""COMPUTED_VALUE"""),"Yugu")</f>
        <v>Yugu</v>
      </c>
      <c r="N87" s="228">
        <f>IFERROR(__xludf.DUMMYFUNCTION("""COMPUTED_VALUE"""),2671048.0)</f>
        <v>2671048</v>
      </c>
      <c r="O87" s="206"/>
      <c r="P87" s="199"/>
    </row>
    <row r="88" ht="18.75" customHeight="1" outlineLevel="1">
      <c r="A88" s="207"/>
      <c r="B88" s="199"/>
      <c r="C88" s="201"/>
      <c r="D88" s="228" t="str">
        <f>IFERROR(__xludf.DUMMYFUNCTION("""COMPUTED_VALUE"""),"HD2")</f>
        <v>HD2</v>
      </c>
      <c r="E88" s="222" t="str">
        <f>IFERROR(__xludf.DUMMYFUNCTION("""COMPUTED_VALUE"""),"")</f>
        <v/>
      </c>
      <c r="F88" s="223" t="str">
        <f>IFERROR(__xludf.DUMMYFUNCTION("""COMPUTED_VALUE"""),"BRZion - Game Brain [Insane]")</f>
        <v>BRZion - Game Brain [Insane]</v>
      </c>
      <c r="G88" s="224">
        <f>IFERROR(__xludf.DUMMYFUNCTION("""COMPUTED_VALUE"""),4.51204)</f>
        <v>4.51204</v>
      </c>
      <c r="H88" s="225">
        <f>IFERROR(__xludf.DUMMYFUNCTION("""COMPUTED_VALUE"""),190.0)</f>
        <v>190</v>
      </c>
      <c r="I88" s="226">
        <f>IFERROR(__xludf.DUMMYFUNCTION("""COMPUTED_VALUE"""),0.0017129629632108845)</f>
        <v>0.001712962963</v>
      </c>
      <c r="J88" s="227">
        <f>IFERROR(__xludf.DUMMYFUNCTION("""COMPUTED_VALUE"""),4.0)</f>
        <v>4</v>
      </c>
      <c r="K88" s="227">
        <f>IFERROR(__xludf.DUMMYFUNCTION("""COMPUTED_VALUE"""),8.0)</f>
        <v>8</v>
      </c>
      <c r="L88" s="227">
        <f>IFERROR(__xludf.DUMMYFUNCTION("""COMPUTED_VALUE"""),6.0)</f>
        <v>6</v>
      </c>
      <c r="M88" s="228" t="str">
        <f>IFERROR(__xludf.DUMMYFUNCTION("""COMPUTED_VALUE"""),"Zapy")</f>
        <v>Zapy</v>
      </c>
      <c r="N88" s="228">
        <f>IFERROR(__xludf.DUMMYFUNCTION("""COMPUTED_VALUE"""),105978.0)</f>
        <v>105978</v>
      </c>
      <c r="O88" s="206"/>
      <c r="P88" s="199"/>
    </row>
    <row r="89" ht="18.75" customHeight="1" outlineLevel="1">
      <c r="A89" s="207"/>
      <c r="B89" s="199"/>
      <c r="C89" s="201"/>
      <c r="D89" s="228" t="str">
        <f>IFERROR(__xludf.DUMMYFUNCTION("""COMPUTED_VALUE"""),"HD3")</f>
        <v>HD3</v>
      </c>
      <c r="E89" s="222" t="str">
        <f>IFERROR(__xludf.DUMMYFUNCTION("""COMPUTED_VALUE"""),"")</f>
        <v/>
      </c>
      <c r="F89" s="223" t="str">
        <f>IFERROR(__xludf.DUMMYFUNCTION("""COMPUTED_VALUE"""),"succducc - me &amp; u [sing's insane]")</f>
        <v>succducc - me &amp; u [sing's insane]</v>
      </c>
      <c r="G89" s="224">
        <f>IFERROR(__xludf.DUMMYFUNCTION("""COMPUTED_VALUE"""),4.95782)</f>
        <v>4.95782</v>
      </c>
      <c r="H89" s="225">
        <f>IFERROR(__xludf.DUMMYFUNCTION("""COMPUTED_VALUE"""),160.0)</f>
        <v>160</v>
      </c>
      <c r="I89" s="226">
        <f>IFERROR(__xludf.DUMMYFUNCTION("""COMPUTED_VALUE"""),0.0018865740748879034)</f>
        <v>0.001886574075</v>
      </c>
      <c r="J89" s="227">
        <f>IFERROR(__xludf.DUMMYFUNCTION("""COMPUTED_VALUE"""),4.0)</f>
        <v>4</v>
      </c>
      <c r="K89" s="227">
        <f>IFERROR(__xludf.DUMMYFUNCTION("""COMPUTED_VALUE"""),9.0)</f>
        <v>9</v>
      </c>
      <c r="L89" s="227">
        <f>IFERROR(__xludf.DUMMYFUNCTION("""COMPUTED_VALUE"""),8.0)</f>
        <v>8</v>
      </c>
      <c r="M89" s="228" t="str">
        <f>IFERROR(__xludf.DUMMYFUNCTION("""COMPUTED_VALUE"""),"Nathan")</f>
        <v>Nathan</v>
      </c>
      <c r="N89" s="228">
        <f>IFERROR(__xludf.DUMMYFUNCTION("""COMPUTED_VALUE"""),1491793.0)</f>
        <v>1491793</v>
      </c>
      <c r="O89" s="206"/>
      <c r="P89" s="199"/>
    </row>
    <row r="90" ht="18.75" customHeight="1" outlineLevel="1">
      <c r="A90" s="207"/>
      <c r="B90" s="199"/>
      <c r="C90" s="201"/>
      <c r="D90" s="228" t="str">
        <f>IFERROR(__xludf.DUMMYFUNCTION("""COMPUTED_VALUE"""),"HR1")</f>
        <v>HR1</v>
      </c>
      <c r="E90" s="222" t="str">
        <f>IFERROR(__xludf.DUMMYFUNCTION("""COMPUTED_VALUE"""),"")</f>
        <v/>
      </c>
      <c r="F90" s="223" t="str">
        <f>IFERROR(__xludf.DUMMYFUNCTION("""COMPUTED_VALUE"""),"kessoku band - Guitar to Kodoku to Aoi Hoshi [kuuti's Insane]")</f>
        <v>kessoku band - Guitar to Kodoku to Aoi Hoshi [kuuti's Insane]</v>
      </c>
      <c r="G90" s="224">
        <f>IFERROR(__xludf.DUMMYFUNCTION("""COMPUTED_VALUE"""),5.01388)</f>
        <v>5.01388</v>
      </c>
      <c r="H90" s="225">
        <f>IFERROR(__xludf.DUMMYFUNCTION("""COMPUTED_VALUE"""),193.0)</f>
        <v>193</v>
      </c>
      <c r="I90" s="226">
        <f>IFERROR(__xludf.DUMMYFUNCTION("""COMPUTED_VALUE"""),0.0024305555562023073)</f>
        <v>0.002430555556</v>
      </c>
      <c r="J90" s="227">
        <f>IFERROR(__xludf.DUMMYFUNCTION("""COMPUTED_VALUE"""),5.2)</f>
        <v>5.2</v>
      </c>
      <c r="K90" s="227">
        <f>IFERROR(__xludf.DUMMYFUNCTION("""COMPUTED_VALUE"""),10.0)</f>
        <v>10</v>
      </c>
      <c r="L90" s="227">
        <f>IFERROR(__xludf.DUMMYFUNCTION("""COMPUTED_VALUE"""),10.0)</f>
        <v>10</v>
      </c>
      <c r="M90" s="228" t="str">
        <f>IFERROR(__xludf.DUMMYFUNCTION("""COMPUTED_VALUE"""),"Shurelia")</f>
        <v>Shurelia</v>
      </c>
      <c r="N90" s="228">
        <f>IFERROR(__xludf.DUMMYFUNCTION("""COMPUTED_VALUE"""),3913591.0)</f>
        <v>3913591</v>
      </c>
      <c r="O90" s="206"/>
      <c r="P90" s="199"/>
    </row>
    <row r="91" ht="18.75" customHeight="1" outlineLevel="1">
      <c r="A91" s="230"/>
      <c r="B91" s="197"/>
      <c r="C91" s="198"/>
      <c r="D91" s="231" t="str">
        <f>IFERROR(__xludf.DUMMYFUNCTION("""COMPUTED_VALUE"""),"HR2")</f>
        <v>HR2</v>
      </c>
      <c r="E91" s="222" t="str">
        <f>IFERROR(__xludf.DUMMYFUNCTION("""COMPUTED_VALUE"""),"")</f>
        <v/>
      </c>
      <c r="F91" s="233" t="str">
        <f>IFERROR(__xludf.DUMMYFUNCTION("""COMPUTED_VALUE"""),"Cranky - Luvin' You [Alazy's Another]")</f>
        <v>Cranky - Luvin' You [Alazy's Another]</v>
      </c>
      <c r="G91" s="234">
        <f>IFERROR(__xludf.DUMMYFUNCTION("""COMPUTED_VALUE"""),4.74237)</f>
        <v>4.74237</v>
      </c>
      <c r="H91" s="235">
        <f>IFERROR(__xludf.DUMMYFUNCTION("""COMPUTED_VALUE"""),160.0)</f>
        <v>160</v>
      </c>
      <c r="I91" s="236">
        <f>IFERROR(__xludf.DUMMYFUNCTION("""COMPUTED_VALUE"""),0.001354166666715173)</f>
        <v>0.001354166667</v>
      </c>
      <c r="J91" s="237">
        <f>IFERROR(__xludf.DUMMYFUNCTION("""COMPUTED_VALUE"""),6.5)</f>
        <v>6.5</v>
      </c>
      <c r="K91" s="238">
        <f>IFERROR(__xludf.DUMMYFUNCTION("""COMPUTED_VALUE"""),9.799999999999999)</f>
        <v>9.8</v>
      </c>
      <c r="L91" s="237">
        <f>IFERROR(__xludf.DUMMYFUNCTION("""COMPUTED_VALUE"""),9.799999999999999)</f>
        <v>9.8</v>
      </c>
      <c r="M91" s="239" t="str">
        <f>IFERROR(__xludf.DUMMYFUNCTION("""COMPUTED_VALUE"""),"avira0922")</f>
        <v>avira0922</v>
      </c>
      <c r="N91" s="231">
        <f>IFERROR(__xludf.DUMMYFUNCTION("""COMPUTED_VALUE"""),37750.0)</f>
        <v>37750</v>
      </c>
      <c r="O91" s="198"/>
      <c r="P91" s="199"/>
    </row>
    <row r="92" ht="18.75" customHeight="1" outlineLevel="1">
      <c r="A92" s="230"/>
      <c r="B92" s="197"/>
      <c r="C92" s="198"/>
      <c r="D92" s="231" t="str">
        <f>IFERROR(__xludf.DUMMYFUNCTION("""COMPUTED_VALUE"""),"HR3")</f>
        <v>HR3</v>
      </c>
      <c r="E92" s="222" t="str">
        <f>IFERROR(__xludf.DUMMYFUNCTION("""COMPUTED_VALUE"""),"")</f>
        <v/>
      </c>
      <c r="F92" s="240" t="str">
        <f>IFERROR(__xludf.DUMMYFUNCTION("""COMPUTED_VALUE"""),"NICODE &amp; M2U - Predawn [Mixagji's Insane]")</f>
        <v>NICODE &amp; M2U - Predawn [Mixagji's Insane]</v>
      </c>
      <c r="G92" s="234">
        <f>IFERROR(__xludf.DUMMYFUNCTION("""COMPUTED_VALUE"""),4.87767)</f>
        <v>4.87767</v>
      </c>
      <c r="H92" s="235">
        <f>IFERROR(__xludf.DUMMYFUNCTION("""COMPUTED_VALUE"""),140.0)</f>
        <v>140</v>
      </c>
      <c r="I92" s="236">
        <f>IFERROR(__xludf.DUMMYFUNCTION("""COMPUTED_VALUE"""),0.0014236111128411721)</f>
        <v>0.001423611113</v>
      </c>
      <c r="J92" s="237">
        <f>IFERROR(__xludf.DUMMYFUNCTION("""COMPUTED_VALUE"""),5.2)</f>
        <v>5.2</v>
      </c>
      <c r="K92" s="238">
        <f>IFERROR(__xludf.DUMMYFUNCTION("""COMPUTED_VALUE"""),10.0)</f>
        <v>10</v>
      </c>
      <c r="L92" s="237">
        <f>IFERROR(__xludf.DUMMYFUNCTION("""COMPUTED_VALUE"""),10.0)</f>
        <v>10</v>
      </c>
      <c r="M92" s="257" t="str">
        <f>IFERROR(__xludf.DUMMYFUNCTION("""COMPUTED_VALUE"""),"Hishiro Chizuru")</f>
        <v>Hishiro Chizuru</v>
      </c>
      <c r="N92" s="231">
        <f>IFERROR(__xludf.DUMMYFUNCTION("""COMPUTED_VALUE"""),3248255.0)</f>
        <v>3248255</v>
      </c>
      <c r="O92" s="198"/>
      <c r="P92" s="199"/>
    </row>
    <row r="93" ht="18.75" customHeight="1" outlineLevel="1">
      <c r="A93" s="230"/>
      <c r="B93" s="197"/>
      <c r="C93" s="198"/>
      <c r="D93" s="231" t="str">
        <f>IFERROR(__xludf.DUMMYFUNCTION("""COMPUTED_VALUE"""),"DT1")</f>
        <v>DT1</v>
      </c>
      <c r="E93" s="222" t="str">
        <f>IFERROR(__xludf.DUMMYFUNCTION("""COMPUTED_VALUE"""),"")</f>
        <v/>
      </c>
      <c r="F93" s="233" t="str">
        <f>IFERROR(__xludf.DUMMYFUNCTION("""COMPUTED_VALUE"""),"Reol - Asymmetry [pk's Hard]")</f>
        <v>Reol - Asymmetry [pk's Hard]</v>
      </c>
      <c r="G93" s="234">
        <f>IFERROR(__xludf.DUMMYFUNCTION("""COMPUTED_VALUE"""),5.0485)</f>
        <v>5.0485</v>
      </c>
      <c r="H93" s="235">
        <f>IFERROR(__xludf.DUMMYFUNCTION("""COMPUTED_VALUE"""),276.0)</f>
        <v>276</v>
      </c>
      <c r="I93" s="236">
        <f>IFERROR(__xludf.DUMMYFUNCTION("""COMPUTED_VALUE"""),0.0019135802479771276)</f>
        <v>0.001913580248</v>
      </c>
      <c r="J93" s="237">
        <f>IFERROR(__xludf.DUMMYFUNCTION("""COMPUTED_VALUE"""),4.0)</f>
        <v>4</v>
      </c>
      <c r="K93" s="238">
        <f>IFERROR(__xludf.DUMMYFUNCTION("""COMPUTED_VALUE"""),9.666666666666668)</f>
        <v>9.666666667</v>
      </c>
      <c r="L93" s="237">
        <f>IFERROR(__xludf.DUMMYFUNCTION("""COMPUTED_VALUE"""),8.416666666666666)</f>
        <v>8.416666667</v>
      </c>
      <c r="M93" s="239" t="str">
        <f>IFERROR(__xludf.DUMMYFUNCTION("""COMPUTED_VALUE"""),"Gaia")</f>
        <v>Gaia</v>
      </c>
      <c r="N93" s="231">
        <f>IFERROR(__xludf.DUMMYFUNCTION("""COMPUTED_VALUE"""),674080.0)</f>
        <v>674080</v>
      </c>
      <c r="O93" s="198"/>
      <c r="P93" s="199"/>
    </row>
    <row r="94" ht="18.75" customHeight="1" outlineLevel="1">
      <c r="A94" s="230"/>
      <c r="B94" s="197"/>
      <c r="C94" s="198"/>
      <c r="D94" s="231" t="str">
        <f>IFERROR(__xludf.DUMMYFUNCTION("""COMPUTED_VALUE"""),"DT2")</f>
        <v>DT2</v>
      </c>
      <c r="E94" s="222" t="str">
        <f>IFERROR(__xludf.DUMMYFUNCTION("""COMPUTED_VALUE"""),"")</f>
        <v/>
      </c>
      <c r="F94" s="233" t="str">
        <f>IFERROR(__xludf.DUMMYFUNCTION("""COMPUTED_VALUE"""),"-45 - System Sun [Hard]")</f>
        <v>-45 - System Sun [Hard]</v>
      </c>
      <c r="G94" s="234">
        <f>IFERROR(__xludf.DUMMYFUNCTION("""COMPUTED_VALUE"""),4.96093)</f>
        <v>4.96093</v>
      </c>
      <c r="H94" s="235">
        <f>IFERROR(__xludf.DUMMYFUNCTION("""COMPUTED_VALUE"""),228.0)</f>
        <v>228</v>
      </c>
      <c r="I94" s="236">
        <f>IFERROR(__xludf.DUMMYFUNCTION("""COMPUTED_VALUE"""),0.001697530863263334)</f>
        <v>0.001697530863</v>
      </c>
      <c r="J94" s="237">
        <f>IFERROR(__xludf.DUMMYFUNCTION("""COMPUTED_VALUE"""),4.0)</f>
        <v>4</v>
      </c>
      <c r="K94" s="238">
        <f>IFERROR(__xludf.DUMMYFUNCTION("""COMPUTED_VALUE"""),9.666666666666668)</f>
        <v>9.666666667</v>
      </c>
      <c r="L94" s="237">
        <f>IFERROR(__xludf.DUMMYFUNCTION("""COMPUTED_VALUE"""),9.083333333333334)</f>
        <v>9.083333333</v>
      </c>
      <c r="M94" s="239" t="str">
        <f>IFERROR(__xludf.DUMMYFUNCTION("""COMPUTED_VALUE"""),"Lasse")</f>
        <v>Lasse</v>
      </c>
      <c r="N94" s="231">
        <f>IFERROR(__xludf.DUMMYFUNCTION("""COMPUTED_VALUE"""),3299370.0)</f>
        <v>3299370</v>
      </c>
      <c r="O94" s="198"/>
      <c r="P94" s="199"/>
    </row>
    <row r="95" ht="18.75" customHeight="1" outlineLevel="1">
      <c r="A95" s="230"/>
      <c r="B95" s="197"/>
      <c r="C95" s="198"/>
      <c r="D95" s="231" t="str">
        <f>IFERROR(__xludf.DUMMYFUNCTION("""COMPUTED_VALUE"""),"DT3")</f>
        <v>DT3</v>
      </c>
      <c r="E95" s="222" t="str">
        <f>IFERROR(__xludf.DUMMYFUNCTION("""COMPUTED_VALUE"""),"")</f>
        <v/>
      </c>
      <c r="F95" s="233" t="str">
        <f>IFERROR(__xludf.DUMMYFUNCTION("""COMPUTED_VALUE"""),"Nekomata Master+ - chaos eater -IIDX edition- [HARD]")</f>
        <v>Nekomata Master+ - chaos eater -IIDX edition- [HARD]</v>
      </c>
      <c r="G95" s="234">
        <f>IFERROR(__xludf.DUMMYFUNCTION("""COMPUTED_VALUE"""),4.91921)</f>
        <v>4.91921</v>
      </c>
      <c r="H95" s="235">
        <f>IFERROR(__xludf.DUMMYFUNCTION("""COMPUTED_VALUE"""),315.0)</f>
        <v>315</v>
      </c>
      <c r="I95" s="236">
        <f>IFERROR(__xludf.DUMMYFUNCTION("""COMPUTED_VALUE"""),8.333333341094354E-4)</f>
        <v>0.0008333333341</v>
      </c>
      <c r="J95" s="237">
        <f>IFERROR(__xludf.DUMMYFUNCTION("""COMPUTED_VALUE"""),3.5)</f>
        <v>3.5</v>
      </c>
      <c r="K95" s="238">
        <f>IFERROR(__xludf.DUMMYFUNCTION("""COMPUTED_VALUE"""),9.666666666666668)</f>
        <v>9.666666667</v>
      </c>
      <c r="L95" s="237">
        <f>IFERROR(__xludf.DUMMYFUNCTION("""COMPUTED_VALUE"""),8.416666666666666)</f>
        <v>8.416666667</v>
      </c>
      <c r="M95" s="239" t="str">
        <f>IFERROR(__xludf.DUMMYFUNCTION("""COMPUTED_VALUE"""),"pocket-")</f>
        <v>pocket-</v>
      </c>
      <c r="N95" s="231">
        <f>IFERROR(__xludf.DUMMYFUNCTION("""COMPUTED_VALUE"""),3822599.0)</f>
        <v>3822599</v>
      </c>
      <c r="O95" s="198"/>
      <c r="P95" s="199"/>
    </row>
    <row r="96" ht="18.75" customHeight="1" outlineLevel="1">
      <c r="A96" s="230"/>
      <c r="B96" s="197"/>
      <c r="C96" s="198"/>
      <c r="D96" s="231" t="str">
        <f>IFERROR(__xludf.DUMMYFUNCTION("""COMPUTED_VALUE"""),"FM1")</f>
        <v>FM1</v>
      </c>
      <c r="E96" s="222" t="str">
        <f>IFERROR(__xludf.DUMMYFUNCTION("""COMPUTED_VALUE"""),"")</f>
        <v/>
      </c>
      <c r="F96" s="233" t="str">
        <f>IFERROR(__xludf.DUMMYFUNCTION("""COMPUTED_VALUE"""),"Two Door Cinema Club - Cigarettes in the Theatre [Insane]")</f>
        <v>Two Door Cinema Club - Cigarettes in the Theatre [Insane]</v>
      </c>
      <c r="G96" s="234">
        <f>IFERROR(__xludf.DUMMYFUNCTION("""COMPUTED_VALUE"""),4.70593)</f>
        <v>4.70593</v>
      </c>
      <c r="H96" s="235">
        <f>IFERROR(__xludf.DUMMYFUNCTION("""COMPUTED_VALUE"""),169.0)</f>
        <v>169</v>
      </c>
      <c r="I96" s="236">
        <f>IFERROR(__xludf.DUMMYFUNCTION("""COMPUTED_VALUE"""),0.0021874999983992893)</f>
        <v>0.002187499998</v>
      </c>
      <c r="J96" s="237">
        <f>IFERROR(__xludf.DUMMYFUNCTION("""COMPUTED_VALUE"""),4.2)</f>
        <v>4.2</v>
      </c>
      <c r="K96" s="238">
        <f>IFERROR(__xludf.DUMMYFUNCTION("""COMPUTED_VALUE"""),8.7)</f>
        <v>8.7</v>
      </c>
      <c r="L96" s="237">
        <f>IFERROR(__xludf.DUMMYFUNCTION("""COMPUTED_VALUE"""),8.2)</f>
        <v>8.2</v>
      </c>
      <c r="M96" s="239" t="str">
        <f>IFERROR(__xludf.DUMMYFUNCTION("""COMPUTED_VALUE"""),"entsetzen")</f>
        <v>entsetzen</v>
      </c>
      <c r="N96" s="231">
        <f>IFERROR(__xludf.DUMMYFUNCTION("""COMPUTED_VALUE"""),3274886.0)</f>
        <v>3274886</v>
      </c>
      <c r="O96" s="198"/>
      <c r="P96" s="199"/>
    </row>
    <row r="97" ht="18.75" customHeight="1" outlineLevel="1">
      <c r="A97" s="230"/>
      <c r="B97" s="197"/>
      <c r="C97" s="198"/>
      <c r="D97" s="231" t="str">
        <f>IFERROR(__xludf.DUMMYFUNCTION("""COMPUTED_VALUE"""),"FM2")</f>
        <v>FM2</v>
      </c>
      <c r="E97" s="222" t="str">
        <f>IFERROR(__xludf.DUMMYFUNCTION("""COMPUTED_VALUE"""),"")</f>
        <v/>
      </c>
      <c r="F97" s="233" t="str">
        <f>IFERROR(__xludf.DUMMYFUNCTION("""COMPUTED_VALUE"""),"Hiiragi Magnetite - Marshall Maximizer feat. KAFU [Hyper]")</f>
        <v>Hiiragi Magnetite - Marshall Maximizer feat. KAFU [Hyper]</v>
      </c>
      <c r="G97" s="234">
        <f>IFERROR(__xludf.DUMMYFUNCTION("""COMPUTED_VALUE"""),4.323)</f>
        <v>4.323</v>
      </c>
      <c r="H97" s="235">
        <f>IFERROR(__xludf.DUMMYFUNCTION("""COMPUTED_VALUE"""),190.0)</f>
        <v>190</v>
      </c>
      <c r="I97" s="236">
        <f>IFERROR(__xludf.DUMMYFUNCTION("""COMPUTED_VALUE"""),0.0017824074056989048)</f>
        <v>0.001782407406</v>
      </c>
      <c r="J97" s="237">
        <f>IFERROR(__xludf.DUMMYFUNCTION("""COMPUTED_VALUE"""),5.0)</f>
        <v>5</v>
      </c>
      <c r="K97" s="238">
        <f>IFERROR(__xludf.DUMMYFUNCTION("""COMPUTED_VALUE"""),8.0)</f>
        <v>8</v>
      </c>
      <c r="L97" s="237">
        <f>IFERROR(__xludf.DUMMYFUNCTION("""COMPUTED_VALUE"""),7.0)</f>
        <v>7</v>
      </c>
      <c r="M97" s="239" t="str">
        <f>IFERROR(__xludf.DUMMYFUNCTION("""COMPUTED_VALUE"""),"Ixcors")</f>
        <v>Ixcors</v>
      </c>
      <c r="N97" s="231">
        <f>IFERROR(__xludf.DUMMYFUNCTION("""COMPUTED_VALUE"""),3804111.0)</f>
        <v>3804111</v>
      </c>
      <c r="O97" s="198"/>
      <c r="P97" s="199"/>
    </row>
    <row r="98" ht="18.75" customHeight="1" outlineLevel="1">
      <c r="A98" s="230"/>
      <c r="B98" s="197"/>
      <c r="C98" s="198"/>
      <c r="D98" s="241" t="str">
        <f>IFERROR(__xludf.DUMMYFUNCTION("""COMPUTED_VALUE"""),"TB1")</f>
        <v>TB1</v>
      </c>
      <c r="E98" s="242" t="str">
        <f>IFERROR(__xludf.DUMMYFUNCTION("""COMPUTED_VALUE"""),"")</f>
        <v/>
      </c>
      <c r="F98" s="243" t="str">
        <f>IFERROR(__xludf.DUMMYFUNCTION("""COMPUTED_VALUE"""),"Halozy - Genryuu Kaiko [Melody of Sanzu]")</f>
        <v>Halozy - Genryuu Kaiko [Melody of Sanzu]</v>
      </c>
      <c r="G98" s="244">
        <f>IFERROR(__xludf.DUMMYFUNCTION("""COMPUTED_VALUE"""),5.38366)</f>
        <v>5.38366</v>
      </c>
      <c r="H98" s="245">
        <f>IFERROR(__xludf.DUMMYFUNCTION("""COMPUTED_VALUE"""),173.0)</f>
        <v>173</v>
      </c>
      <c r="I98" s="246">
        <f>IFERROR(__xludf.DUMMYFUNCTION("""COMPUTED_VALUE"""),0.003472222222626442)</f>
        <v>0.003472222223</v>
      </c>
      <c r="J98" s="247">
        <f>IFERROR(__xludf.DUMMYFUNCTION("""COMPUTED_VALUE"""),4.0)</f>
        <v>4</v>
      </c>
      <c r="K98" s="248">
        <f>IFERROR(__xludf.DUMMYFUNCTION("""COMPUTED_VALUE"""),9.2)</f>
        <v>9.2</v>
      </c>
      <c r="L98" s="247">
        <f>IFERROR(__xludf.DUMMYFUNCTION("""COMPUTED_VALUE"""),8.0)</f>
        <v>8</v>
      </c>
      <c r="M98" s="250" t="str">
        <f>IFERROR(__xludf.DUMMYFUNCTION("""COMPUTED_VALUE"""),"Mira-san")</f>
        <v>Mira-san</v>
      </c>
      <c r="N98" s="241">
        <f>IFERROR(__xludf.DUMMYFUNCTION("""COMPUTED_VALUE"""),577517.0)</f>
        <v>577517</v>
      </c>
      <c r="O98" s="198"/>
      <c r="P98" s="199"/>
    </row>
    <row r="99" ht="3.75" customHeight="1" outlineLevel="1">
      <c r="A99" s="230"/>
      <c r="B99" s="197"/>
      <c r="C99" s="198"/>
      <c r="D99" s="251"/>
      <c r="E99" s="252"/>
      <c r="F99" s="253"/>
      <c r="G99" s="252"/>
      <c r="H99" s="252"/>
      <c r="I99" s="254"/>
      <c r="J99" s="252"/>
      <c r="K99" s="252"/>
      <c r="L99" s="252"/>
      <c r="M99" s="252"/>
      <c r="N99" s="252"/>
      <c r="O99" s="198"/>
      <c r="P99" s="199"/>
    </row>
    <row r="100" ht="18.75" customHeight="1">
      <c r="A100" s="230"/>
      <c r="B100" s="197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7"/>
    </row>
    <row r="101" ht="22.5" customHeight="1">
      <c r="A101" s="200" t="s">
        <v>0</v>
      </c>
      <c r="B101" s="199"/>
      <c r="C101" s="201"/>
      <c r="D101" s="202" t="s">
        <v>17</v>
      </c>
      <c r="E101" s="99"/>
      <c r="F101" s="203" t="str">
        <f>"Ave. SR 4.74* &lt;&gt; Ave. Length 2:47"</f>
        <v>Ave. SR 4.74* &lt;&gt; Ave. Length 2:47</v>
      </c>
      <c r="G101" s="98"/>
      <c r="H101" s="99"/>
      <c r="I101" s="204"/>
      <c r="J101" s="204"/>
      <c r="K101" s="201"/>
      <c r="L101" s="205" t="s">
        <v>57</v>
      </c>
      <c r="M101" s="98"/>
      <c r="N101" s="99"/>
      <c r="O101" s="206"/>
      <c r="P101" s="199"/>
    </row>
    <row r="102" ht="7.5" customHeight="1">
      <c r="A102" s="207"/>
      <c r="B102" s="199"/>
      <c r="C102" s="204"/>
      <c r="D102" s="208"/>
      <c r="E102" s="208"/>
      <c r="F102" s="209"/>
      <c r="G102" s="209"/>
      <c r="H102" s="209"/>
      <c r="I102" s="209"/>
      <c r="J102" s="209"/>
      <c r="K102" s="209"/>
      <c r="L102" s="209"/>
      <c r="M102" s="210"/>
      <c r="N102" s="209"/>
      <c r="O102" s="206"/>
      <c r="P102" s="199"/>
    </row>
    <row r="103" ht="22.5" customHeight="1" outlineLevel="1">
      <c r="A103" s="207"/>
      <c r="B103" s="199"/>
      <c r="C103" s="201"/>
      <c r="D103" s="211" t="s">
        <v>58</v>
      </c>
      <c r="E103" s="211" t="s">
        <v>59</v>
      </c>
      <c r="F103" s="211" t="s">
        <v>60</v>
      </c>
      <c r="G103" s="212" t="s">
        <v>61</v>
      </c>
      <c r="H103" s="212" t="s">
        <v>62</v>
      </c>
      <c r="I103" s="213" t="s">
        <v>63</v>
      </c>
      <c r="J103" s="212" t="s">
        <v>64</v>
      </c>
      <c r="K103" s="212" t="s">
        <v>65</v>
      </c>
      <c r="L103" s="212" t="s">
        <v>66</v>
      </c>
      <c r="M103" s="211" t="s">
        <v>67</v>
      </c>
      <c r="N103" s="214" t="s">
        <v>38</v>
      </c>
      <c r="O103" s="206"/>
      <c r="P103" s="199"/>
    </row>
    <row r="104" ht="3.75" customHeight="1" outlineLevel="1">
      <c r="A104" s="207"/>
      <c r="B104" s="199"/>
      <c r="C104" s="201"/>
      <c r="D104" s="215"/>
      <c r="E104" s="216" t="s">
        <v>0</v>
      </c>
      <c r="F104" s="217"/>
      <c r="G104" s="218"/>
      <c r="H104" s="219"/>
      <c r="I104" s="220"/>
      <c r="J104" s="219"/>
      <c r="K104" s="218"/>
      <c r="L104" s="219"/>
      <c r="M104" s="216"/>
      <c r="N104" s="217"/>
      <c r="O104" s="206"/>
      <c r="P104" s="199"/>
    </row>
    <row r="105" ht="18.75" customHeight="1" outlineLevel="1">
      <c r="A105" s="207"/>
      <c r="B105" s="199"/>
      <c r="C105" s="201"/>
      <c r="D105" s="221" t="str">
        <f>IFERROR(__xludf.DUMMYFUNCTION("IMPORTRANGE(""1HHAHmZTTDlyB4RHaHQ-2bhUchkHOEZhmcQrDYQXnxnw"",""Mappool Imports - Pool Sheet!D105:O121"")"),"NM1")</f>
        <v>NM1</v>
      </c>
      <c r="E105" s="222" t="str">
        <f>IFERROR(__xludf.DUMMYFUNCTION("""COMPUTED_VALUE"""),"")</f>
        <v/>
      </c>
      <c r="F105" s="223" t="str">
        <f>IFERROR(__xludf.DUMMYFUNCTION("""COMPUTED_VALUE"""),"Yorushika - Thoughtcrime [Akitoshi's Insane]")</f>
        <v>Yorushika - Thoughtcrime [Akitoshi's Insane]</v>
      </c>
      <c r="G105" s="224">
        <f>IFERROR(__xludf.DUMMYFUNCTION("""COMPUTED_VALUE"""),4.88906)</f>
        <v>4.88906</v>
      </c>
      <c r="H105" s="225">
        <f>IFERROR(__xludf.DUMMYFUNCTION("""COMPUTED_VALUE"""),200.0)</f>
        <v>200</v>
      </c>
      <c r="I105" s="226">
        <f>IFERROR(__xludf.DUMMYFUNCTION("""COMPUTED_VALUE"""),0.00268518518350902)</f>
        <v>0.002685185184</v>
      </c>
      <c r="J105" s="227">
        <f>IFERROR(__xludf.DUMMYFUNCTION("""COMPUTED_VALUE"""),3.8)</f>
        <v>3.8</v>
      </c>
      <c r="K105" s="227">
        <f>IFERROR(__xludf.DUMMYFUNCTION("""COMPUTED_VALUE"""),9.0)</f>
        <v>9</v>
      </c>
      <c r="L105" s="227">
        <f>IFERROR(__xludf.DUMMYFUNCTION("""COMPUTED_VALUE"""),7.8)</f>
        <v>7.8</v>
      </c>
      <c r="M105" s="228" t="str">
        <f>IFERROR(__xludf.DUMMYFUNCTION("""COMPUTED_VALUE"""),"Meg")</f>
        <v>Meg</v>
      </c>
      <c r="N105" s="228">
        <f>IFERROR(__xludf.DUMMYFUNCTION("""COMPUTED_VALUE"""),2827293.0)</f>
        <v>2827293</v>
      </c>
      <c r="O105" s="206"/>
      <c r="P105" s="199"/>
    </row>
    <row r="106" ht="18.75" customHeight="1" outlineLevel="1">
      <c r="A106" s="207"/>
      <c r="B106" s="199"/>
      <c r="C106" s="201"/>
      <c r="D106" s="228" t="str">
        <f>IFERROR(__xludf.DUMMYFUNCTION("""COMPUTED_VALUE"""),"NM2")</f>
        <v>NM2</v>
      </c>
      <c r="E106" s="222" t="str">
        <f>IFERROR(__xludf.DUMMYFUNCTION("""COMPUTED_VALUE"""),"")</f>
        <v/>
      </c>
      <c r="F106" s="223" t="str">
        <f>IFERROR(__xludf.DUMMYFUNCTION("""COMPUTED_VALUE"""),"Fractal Dreamers - Gardens Under A Spring Sky [Hyper]")</f>
        <v>Fractal Dreamers - Gardens Under A Spring Sky [Hyper]</v>
      </c>
      <c r="G106" s="224">
        <f>IFERROR(__xludf.DUMMYFUNCTION("""COMPUTED_VALUE"""),4.90416)</f>
        <v>4.90416</v>
      </c>
      <c r="H106" s="225">
        <f>IFERROR(__xludf.DUMMYFUNCTION("""COMPUTED_VALUE"""),195.0)</f>
        <v>195</v>
      </c>
      <c r="I106" s="226">
        <f>IFERROR(__xludf.DUMMYFUNCTION("""COMPUTED_VALUE"""),0.0014351851859828457)</f>
        <v>0.001435185186</v>
      </c>
      <c r="J106" s="227">
        <f>IFERROR(__xludf.DUMMYFUNCTION("""COMPUTED_VALUE"""),4.5)</f>
        <v>4.5</v>
      </c>
      <c r="K106" s="227">
        <f>IFERROR(__xludf.DUMMYFUNCTION("""COMPUTED_VALUE"""),9.0)</f>
        <v>9</v>
      </c>
      <c r="L106" s="227">
        <f>IFERROR(__xludf.DUMMYFUNCTION("""COMPUTED_VALUE"""),8.0)</f>
        <v>8</v>
      </c>
      <c r="M106" s="228" t="str">
        <f>IFERROR(__xludf.DUMMYFUNCTION("""COMPUTED_VALUE"""),"Lasse")</f>
        <v>Lasse</v>
      </c>
      <c r="N106" s="228">
        <f>IFERROR(__xludf.DUMMYFUNCTION("""COMPUTED_VALUE"""),2004679.0)</f>
        <v>2004679</v>
      </c>
      <c r="O106" s="206"/>
      <c r="P106" s="199"/>
    </row>
    <row r="107" ht="18.75" customHeight="1" outlineLevel="1">
      <c r="A107" s="207"/>
      <c r="B107" s="199"/>
      <c r="C107" s="201"/>
      <c r="D107" s="228" t="str">
        <f>IFERROR(__xludf.DUMMYFUNCTION("""COMPUTED_VALUE"""),"NM3")</f>
        <v>NM3</v>
      </c>
      <c r="E107" s="222" t="str">
        <f>IFERROR(__xludf.DUMMYFUNCTION("""COMPUTED_VALUE"""),"")</f>
        <v/>
      </c>
      <c r="F107" s="223" t="str">
        <f>IFERROR(__xludf.DUMMYFUNCTION("""COMPUTED_VALUE"""),"Tsukuyomi - Dareka no Shinzou ni Nareta nara [too's Insane]")</f>
        <v>Tsukuyomi - Dareka no Shinzou ni Nareta nara [too's Insane]</v>
      </c>
      <c r="G107" s="224">
        <f>IFERROR(__xludf.DUMMYFUNCTION("""COMPUTED_VALUE"""),4.71336)</f>
        <v>4.71336</v>
      </c>
      <c r="H107" s="225">
        <f>IFERROR(__xludf.DUMMYFUNCTION("""COMPUTED_VALUE"""),143.0)</f>
        <v>143</v>
      </c>
      <c r="I107" s="226">
        <f>IFERROR(__xludf.DUMMYFUNCTION("""COMPUTED_VALUE"""),0.0026273148141626734)</f>
        <v>0.002627314814</v>
      </c>
      <c r="J107" s="227">
        <f>IFERROR(__xludf.DUMMYFUNCTION("""COMPUTED_VALUE"""),4.0)</f>
        <v>4</v>
      </c>
      <c r="K107" s="227">
        <f>IFERROR(__xludf.DUMMYFUNCTION("""COMPUTED_VALUE"""),9.0)</f>
        <v>9</v>
      </c>
      <c r="L107" s="227">
        <f>IFERROR(__xludf.DUMMYFUNCTION("""COMPUTED_VALUE"""),8.0)</f>
        <v>8</v>
      </c>
      <c r="M107" s="228" t="str">
        <f>IFERROR(__xludf.DUMMYFUNCTION("""COMPUTED_VALUE"""),"Mononymous")</f>
        <v>Mononymous</v>
      </c>
      <c r="N107" s="228">
        <f>IFERROR(__xludf.DUMMYFUNCTION("""COMPUTED_VALUE"""),3239199.0)</f>
        <v>3239199</v>
      </c>
      <c r="O107" s="206"/>
      <c r="P107" s="199"/>
    </row>
    <row r="108" ht="18.75" customHeight="1" outlineLevel="1">
      <c r="A108" s="207"/>
      <c r="B108" s="199"/>
      <c r="C108" s="201"/>
      <c r="D108" s="228" t="str">
        <f>IFERROR(__xludf.DUMMYFUNCTION("""COMPUTED_VALUE"""),"NM4")</f>
        <v>NM4</v>
      </c>
      <c r="E108" s="222" t="str">
        <f>IFERROR(__xludf.DUMMYFUNCTION("""COMPUTED_VALUE"""),"")</f>
        <v/>
      </c>
      <c r="F108" s="223" t="str">
        <f>IFERROR(__xludf.DUMMYFUNCTION("""COMPUTED_VALUE"""),"sakuraburst - Glacierfall (Park Remix) [haruto x ancel's ins*ne]")</f>
        <v>sakuraburst - Glacierfall (Park Remix) [haruto x ancel's ins*ne]</v>
      </c>
      <c r="G108" s="224">
        <f>IFERROR(__xludf.DUMMYFUNCTION("""COMPUTED_VALUE"""),4.57912)</f>
        <v>4.57912</v>
      </c>
      <c r="H108" s="225">
        <f>IFERROR(__xludf.DUMMYFUNCTION("""COMPUTED_VALUE"""),170.0)</f>
        <v>170</v>
      </c>
      <c r="I108" s="226">
        <f>IFERROR(__xludf.DUMMYFUNCTION("""COMPUTED_VALUE"""),0.0016435185170848854)</f>
        <v>0.001643518517</v>
      </c>
      <c r="J108" s="227">
        <f>IFERROR(__xludf.DUMMYFUNCTION("""COMPUTED_VALUE"""),4.0)</f>
        <v>4</v>
      </c>
      <c r="K108" s="227">
        <f>IFERROR(__xludf.DUMMYFUNCTION("""COMPUTED_VALUE"""),9.0)</f>
        <v>9</v>
      </c>
      <c r="L108" s="227">
        <f>IFERROR(__xludf.DUMMYFUNCTION("""COMPUTED_VALUE"""),7.5)</f>
        <v>7.5</v>
      </c>
      <c r="M108" s="228" t="str">
        <f>IFERROR(__xludf.DUMMYFUNCTION("""COMPUTED_VALUE"""),"ScubDomino")</f>
        <v>ScubDomino</v>
      </c>
      <c r="N108" s="228">
        <f>IFERROR(__xludf.DUMMYFUNCTION("""COMPUTED_VALUE"""),2794904.0)</f>
        <v>2794904</v>
      </c>
      <c r="O108" s="206"/>
      <c r="P108" s="199"/>
    </row>
    <row r="109" ht="18.75" customHeight="1" outlineLevel="1">
      <c r="A109" s="207"/>
      <c r="B109" s="199"/>
      <c r="C109" s="201"/>
      <c r="D109" s="228" t="str">
        <f>IFERROR(__xludf.DUMMYFUNCTION("""COMPUTED_VALUE"""),"NM5")</f>
        <v>NM5</v>
      </c>
      <c r="E109" s="222" t="str">
        <f>IFERROR(__xludf.DUMMYFUNCTION("""COMPUTED_VALUE"""),"")</f>
        <v/>
      </c>
      <c r="F109" s="223" t="str">
        <f>IFERROR(__xludf.DUMMYFUNCTION("""COMPUTED_VALUE"""),"sekai - Zange Mairi [Voice's Insane]")</f>
        <v>sekai - Zange Mairi [Voice's Insane]</v>
      </c>
      <c r="G109" s="224">
        <f>IFERROR(__xludf.DUMMYFUNCTION("""COMPUTED_VALUE"""),4.6484)</f>
        <v>4.6484</v>
      </c>
      <c r="H109" s="225">
        <f>IFERROR(__xludf.DUMMYFUNCTION("""COMPUTED_VALUE"""),140.0)</f>
        <v>140</v>
      </c>
      <c r="I109" s="226">
        <f>IFERROR(__xludf.DUMMYFUNCTION("""COMPUTED_VALUE"""),0.002071759259706596)</f>
        <v>0.00207175926</v>
      </c>
      <c r="J109" s="227">
        <f>IFERROR(__xludf.DUMMYFUNCTION("""COMPUTED_VALUE"""),4.4)</f>
        <v>4.4</v>
      </c>
      <c r="K109" s="227">
        <f>IFERROR(__xludf.DUMMYFUNCTION("""COMPUTED_VALUE"""),8.3)</f>
        <v>8.3</v>
      </c>
      <c r="L109" s="227">
        <f>IFERROR(__xludf.DUMMYFUNCTION("""COMPUTED_VALUE"""),7.0)</f>
        <v>7</v>
      </c>
      <c r="M109" s="228" t="str">
        <f>IFERROR(__xludf.DUMMYFUNCTION("""COMPUTED_VALUE"""),"Yugu")</f>
        <v>Yugu</v>
      </c>
      <c r="N109" s="228">
        <f>IFERROR(__xludf.DUMMYFUNCTION("""COMPUTED_VALUE"""),2853477.0)</f>
        <v>2853477</v>
      </c>
      <c r="O109" s="206"/>
      <c r="P109" s="199"/>
    </row>
    <row r="110" ht="18.75" customHeight="1" outlineLevel="1">
      <c r="A110" s="207"/>
      <c r="B110" s="199"/>
      <c r="C110" s="201"/>
      <c r="D110" s="228" t="str">
        <f>IFERROR(__xludf.DUMMYFUNCTION("""COMPUTED_VALUE"""),"HD1")</f>
        <v>HD1</v>
      </c>
      <c r="E110" s="222" t="str">
        <f>IFERROR(__xludf.DUMMYFUNCTION("""COMPUTED_VALUE"""),"")</f>
        <v/>
      </c>
      <c r="F110" s="223" t="str">
        <f>IFERROR(__xludf.DUMMYFUNCTION("""COMPUTED_VALUE"""),"Police Piccadilly feat. Hatsune Miku - Kire Carry On [negusver's Insane]")</f>
        <v>Police Piccadilly feat. Hatsune Miku - Kire Carry On [negusver's Insane]</v>
      </c>
      <c r="G110" s="224">
        <f>IFERROR(__xludf.DUMMYFUNCTION("""COMPUTED_VALUE"""),4.95838)</f>
        <v>4.95838</v>
      </c>
      <c r="H110" s="225">
        <f>IFERROR(__xludf.DUMMYFUNCTION("""COMPUTED_VALUE"""),170.0)</f>
        <v>170</v>
      </c>
      <c r="I110" s="226">
        <f>IFERROR(__xludf.DUMMYFUNCTION("""COMPUTED_VALUE"""),0.001724537036352558)</f>
        <v>0.001724537036</v>
      </c>
      <c r="J110" s="227">
        <f>IFERROR(__xludf.DUMMYFUNCTION("""COMPUTED_VALUE"""),4.0)</f>
        <v>4</v>
      </c>
      <c r="K110" s="227">
        <f>IFERROR(__xludf.DUMMYFUNCTION("""COMPUTED_VALUE"""),9.0)</f>
        <v>9</v>
      </c>
      <c r="L110" s="227">
        <f>IFERROR(__xludf.DUMMYFUNCTION("""COMPUTED_VALUE"""),8.0)</f>
        <v>8</v>
      </c>
      <c r="M110" s="228" t="str">
        <f>IFERROR(__xludf.DUMMYFUNCTION("""COMPUTED_VALUE"""),"Sinnoh")</f>
        <v>Sinnoh</v>
      </c>
      <c r="N110" s="228">
        <f>IFERROR(__xludf.DUMMYFUNCTION("""COMPUTED_VALUE"""),1733441.0)</f>
        <v>1733441</v>
      </c>
      <c r="O110" s="206"/>
      <c r="P110" s="199"/>
    </row>
    <row r="111" ht="18.75" customHeight="1" outlineLevel="1">
      <c r="A111" s="207"/>
      <c r="B111" s="199"/>
      <c r="C111" s="201"/>
      <c r="D111" s="228" t="str">
        <f>IFERROR(__xludf.DUMMYFUNCTION("""COMPUTED_VALUE"""),"HD2")</f>
        <v>HD2</v>
      </c>
      <c r="E111" s="222" t="str">
        <f>IFERROR(__xludf.DUMMYFUNCTION("""COMPUTED_VALUE"""),"")</f>
        <v/>
      </c>
      <c r="F111" s="223" t="str">
        <f>IFERROR(__xludf.DUMMYFUNCTION("""COMPUTED_VALUE"""),"Siren - Polaris [8 is not a low ar guys]")</f>
        <v>Siren - Polaris [8 is not a low ar guys]</v>
      </c>
      <c r="G111" s="224">
        <f>IFERROR(__xludf.DUMMYFUNCTION("""COMPUTED_VALUE"""),4.42032)</f>
        <v>4.42032</v>
      </c>
      <c r="H111" s="225">
        <f>IFERROR(__xludf.DUMMYFUNCTION("""COMPUTED_VALUE"""),174.0)</f>
        <v>174</v>
      </c>
      <c r="I111" s="226">
        <f>IFERROR(__xludf.DUMMYFUNCTION("""COMPUTED_VALUE"""),0.0012731481474475004)</f>
        <v>0.001273148147</v>
      </c>
      <c r="J111" s="227">
        <f>IFERROR(__xludf.DUMMYFUNCTION("""COMPUTED_VALUE"""),4.0)</f>
        <v>4</v>
      </c>
      <c r="K111" s="227">
        <f>IFERROR(__xludf.DUMMYFUNCTION("""COMPUTED_VALUE"""),8.0)</f>
        <v>8</v>
      </c>
      <c r="L111" s="227">
        <f>IFERROR(__xludf.DUMMYFUNCTION("""COMPUTED_VALUE"""),7.0)</f>
        <v>7</v>
      </c>
      <c r="M111" s="228" t="str">
        <f>IFERROR(__xludf.DUMMYFUNCTION("""COMPUTED_VALUE"""),"-Cermia")</f>
        <v>-Cermia</v>
      </c>
      <c r="N111" s="228">
        <f>IFERROR(__xludf.DUMMYFUNCTION("""COMPUTED_VALUE"""),3460069.0)</f>
        <v>3460069</v>
      </c>
      <c r="O111" s="206"/>
      <c r="P111" s="199"/>
    </row>
    <row r="112" ht="18.75" customHeight="1" outlineLevel="1">
      <c r="A112" s="207"/>
      <c r="B112" s="199"/>
      <c r="C112" s="201"/>
      <c r="D112" s="228" t="str">
        <f>IFERROR(__xludf.DUMMYFUNCTION("""COMPUTED_VALUE"""),"HR1")</f>
        <v>HR1</v>
      </c>
      <c r="E112" s="222" t="str">
        <f>IFERROR(__xludf.DUMMYFUNCTION("""COMPUTED_VALUE"""),"")</f>
        <v/>
      </c>
      <c r="F112" s="223" t="str">
        <f>IFERROR(__xludf.DUMMYFUNCTION("""COMPUTED_VALUE"""),"PSYQUI feat. Such - Senchimentaruhatoboi [Insane]")</f>
        <v>PSYQUI feat. Such - Senchimentaruhatoboi [Insane]</v>
      </c>
      <c r="G112" s="224">
        <f>IFERROR(__xludf.DUMMYFUNCTION("""COMPUTED_VALUE"""),4.85394)</f>
        <v>4.85394</v>
      </c>
      <c r="H112" s="225">
        <f>IFERROR(__xludf.DUMMYFUNCTION("""COMPUTED_VALUE"""),160.0)</f>
        <v>160</v>
      </c>
      <c r="I112" s="226">
        <f>IFERROR(__xludf.DUMMYFUNCTION("""COMPUTED_VALUE"""),0.0024999999986903276)</f>
        <v>0.002499999999</v>
      </c>
      <c r="J112" s="227">
        <f>IFERROR(__xludf.DUMMYFUNCTION("""COMPUTED_VALUE"""),4.9399999999999995)</f>
        <v>4.94</v>
      </c>
      <c r="K112" s="227">
        <f>IFERROR(__xludf.DUMMYFUNCTION("""COMPUTED_VALUE"""),10.0)</f>
        <v>10</v>
      </c>
      <c r="L112" s="227">
        <f>IFERROR(__xludf.DUMMYFUNCTION("""COMPUTED_VALUE"""),10.0)</f>
        <v>10</v>
      </c>
      <c r="M112" s="228" t="str">
        <f>IFERROR(__xludf.DUMMYFUNCTION("""COMPUTED_VALUE"""),"eeezzzeee")</f>
        <v>eeezzzeee</v>
      </c>
      <c r="N112" s="228">
        <f>IFERROR(__xludf.DUMMYFUNCTION("""COMPUTED_VALUE"""),1956568.0)</f>
        <v>1956568</v>
      </c>
      <c r="O112" s="206"/>
      <c r="P112" s="199"/>
    </row>
    <row r="113" ht="18.75" customHeight="1" outlineLevel="1">
      <c r="A113" s="207"/>
      <c r="B113" s="199"/>
      <c r="C113" s="201"/>
      <c r="D113" s="228" t="str">
        <f>IFERROR(__xludf.DUMMYFUNCTION("""COMPUTED_VALUE"""),"HR2")</f>
        <v>HR2</v>
      </c>
      <c r="E113" s="222" t="str">
        <f>IFERROR(__xludf.DUMMYFUNCTION("""COMPUTED_VALUE"""),"")</f>
        <v/>
      </c>
      <c r="F113" s="223" t="str">
        <f>IFERROR(__xludf.DUMMYFUNCTION("""COMPUTED_VALUE"""),"Perfume - Laser Beam [Mixagji]")</f>
        <v>Perfume - Laser Beam [Mixagji]</v>
      </c>
      <c r="G113" s="224">
        <f>IFERROR(__xludf.DUMMYFUNCTION("""COMPUTED_VALUE"""),4.62781)</f>
        <v>4.62781</v>
      </c>
      <c r="H113" s="225">
        <f>IFERROR(__xludf.DUMMYFUNCTION("""COMPUTED_VALUE"""),135.0)</f>
        <v>135</v>
      </c>
      <c r="I113" s="226">
        <f>IFERROR(__xludf.DUMMYFUNCTION("""COMPUTED_VALUE"""),0.002245370371383615)</f>
        <v>0.002245370371</v>
      </c>
      <c r="J113" s="227">
        <f>IFERROR(__xludf.DUMMYFUNCTION("""COMPUTED_VALUE"""),6.5)</f>
        <v>6.5</v>
      </c>
      <c r="K113" s="227">
        <f>IFERROR(__xludf.DUMMYFUNCTION("""COMPUTED_VALUE"""),10.0)</f>
        <v>10</v>
      </c>
      <c r="L113" s="227">
        <f>IFERROR(__xludf.DUMMYFUNCTION("""COMPUTED_VALUE"""),9.799999999999999)</f>
        <v>9.8</v>
      </c>
      <c r="M113" s="228" t="str">
        <f>IFERROR(__xludf.DUMMYFUNCTION("""COMPUTED_VALUE"""),"Raging Bull")</f>
        <v>Raging Bull</v>
      </c>
      <c r="N113" s="228">
        <f>IFERROR(__xludf.DUMMYFUNCTION("""COMPUTED_VALUE"""),295650.0)</f>
        <v>295650</v>
      </c>
      <c r="O113" s="206"/>
      <c r="P113" s="199"/>
    </row>
    <row r="114" ht="18.75" customHeight="1" outlineLevel="1">
      <c r="A114" s="207"/>
      <c r="B114" s="199"/>
      <c r="C114" s="201"/>
      <c r="D114" s="228" t="str">
        <f>IFERROR(__xludf.DUMMYFUNCTION("""COMPUTED_VALUE"""),"DT1")</f>
        <v>DT1</v>
      </c>
      <c r="E114" s="222" t="str">
        <f>IFERROR(__xludf.DUMMYFUNCTION("""COMPUTED_VALUE"""),"")</f>
        <v/>
      </c>
      <c r="F114" s="223" t="str">
        <f>IFERROR(__xludf.DUMMYFUNCTION("""COMPUTED_VALUE"""),"Yumeno Yuki - First Time [KoldNoodl's Hard]")</f>
        <v>Yumeno Yuki - First Time [KoldNoodl's Hard]</v>
      </c>
      <c r="G114" s="224">
        <f>IFERROR(__xludf.DUMMYFUNCTION("""COMPUTED_VALUE"""),4.94646)</f>
        <v>4.94646</v>
      </c>
      <c r="H114" s="225">
        <f>IFERROR(__xludf.DUMMYFUNCTION("""COMPUTED_VALUE"""),193.5)</f>
        <v>193.5</v>
      </c>
      <c r="I114" s="226">
        <f>IFERROR(__xludf.DUMMYFUNCTION("""COMPUTED_VALUE"""),0.0016820987657411024)</f>
        <v>0.001682098766</v>
      </c>
      <c r="J114" s="227">
        <f>IFERROR(__xludf.DUMMYFUNCTION("""COMPUTED_VALUE"""),3.8)</f>
        <v>3.8</v>
      </c>
      <c r="K114" s="227">
        <f>IFERROR(__xludf.DUMMYFUNCTION("""COMPUTED_VALUE"""),9.666666666666668)</f>
        <v>9.666666667</v>
      </c>
      <c r="L114" s="227">
        <f>IFERROR(__xludf.DUMMYFUNCTION("""COMPUTED_VALUE"""),9.083333333333334)</f>
        <v>9.083333333</v>
      </c>
      <c r="M114" s="228" t="str">
        <f>IFERROR(__xludf.DUMMYFUNCTION("""COMPUTED_VALUE"""),"ImpurePug")</f>
        <v>ImpurePug</v>
      </c>
      <c r="N114" s="228">
        <f>IFERROR(__xludf.DUMMYFUNCTION("""COMPUTED_VALUE"""),3446883.0)</f>
        <v>3446883</v>
      </c>
      <c r="O114" s="206"/>
      <c r="P114" s="199"/>
    </row>
    <row r="115" ht="18.75" customHeight="1" outlineLevel="1">
      <c r="A115" s="230"/>
      <c r="B115" s="197"/>
      <c r="C115" s="198"/>
      <c r="D115" s="231" t="str">
        <f>IFERROR(__xludf.DUMMYFUNCTION("""COMPUTED_VALUE"""),"DT2")</f>
        <v>DT2</v>
      </c>
      <c r="E115" s="232" t="str">
        <f>IFERROR(__xludf.DUMMYFUNCTION("""COMPUTED_VALUE"""),"")</f>
        <v/>
      </c>
      <c r="F115" s="240" t="str">
        <f>IFERROR(__xludf.DUMMYFUNCTION("""COMPUTED_VALUE"""),"YUC'e - Future Candy [Hard]")</f>
        <v>YUC'e - Future Candy [Hard]</v>
      </c>
      <c r="G115" s="234">
        <f>IFERROR(__xludf.DUMMYFUNCTION("""COMPUTED_VALUE"""),4.76186)</f>
        <v>4.76186</v>
      </c>
      <c r="H115" s="235">
        <f>IFERROR(__xludf.DUMMYFUNCTION("""COMPUTED_VALUE"""),270.0)</f>
        <v>270</v>
      </c>
      <c r="I115" s="236">
        <f>IFERROR(__xludf.DUMMYFUNCTION("""COMPUTED_VALUE"""),0.0013348765423870645)</f>
        <v>0.001334876542</v>
      </c>
      <c r="J115" s="237">
        <f>IFERROR(__xludf.DUMMYFUNCTION("""COMPUTED_VALUE"""),3.5)</f>
        <v>3.5</v>
      </c>
      <c r="K115" s="238">
        <f>IFERROR(__xludf.DUMMYFUNCTION("""COMPUTED_VALUE"""),9.666666666666668)</f>
        <v>9.666666667</v>
      </c>
      <c r="L115" s="237">
        <f>IFERROR(__xludf.DUMMYFUNCTION("""COMPUTED_VALUE"""),8.416666666666666)</f>
        <v>8.416666667</v>
      </c>
      <c r="M115" s="239" t="str">
        <f>IFERROR(__xludf.DUMMYFUNCTION("""COMPUTED_VALUE"""),"Nathan")</f>
        <v>Nathan</v>
      </c>
      <c r="N115" s="231">
        <f>IFERROR(__xludf.DUMMYFUNCTION("""COMPUTED_VALUE"""),1521209.0)</f>
        <v>1521209</v>
      </c>
      <c r="O115" s="198"/>
      <c r="P115" s="199"/>
    </row>
    <row r="116" ht="18.75" customHeight="1" outlineLevel="1">
      <c r="A116" s="230"/>
      <c r="B116" s="197"/>
      <c r="C116" s="198"/>
      <c r="D116" s="231" t="str">
        <f>IFERROR(__xludf.DUMMYFUNCTION("""COMPUTED_VALUE"""),"DT3")</f>
        <v>DT3</v>
      </c>
      <c r="E116" s="232" t="str">
        <f>IFERROR(__xludf.DUMMYFUNCTION("""COMPUTED_VALUE"""),"")</f>
        <v/>
      </c>
      <c r="F116" s="233" t="str">
        <f>IFERROR(__xludf.DUMMYFUNCTION("""COMPUTED_VALUE"""),"tarolabo - eth ken [hard]")</f>
        <v>tarolabo - eth ken [hard]</v>
      </c>
      <c r="G116" s="234">
        <f>IFERROR(__xludf.DUMMYFUNCTION("""COMPUTED_VALUE"""),4.72433)</f>
        <v>4.72433</v>
      </c>
      <c r="H116" s="235">
        <f>IFERROR(__xludf.DUMMYFUNCTION("""COMPUTED_VALUE"""),189.0)</f>
        <v>189</v>
      </c>
      <c r="I116" s="236">
        <f>IFERROR(__xludf.DUMMYFUNCTION("""COMPUTED_VALUE"""),9.413580240410132E-4)</f>
        <v>0.000941358024</v>
      </c>
      <c r="J116" s="237">
        <f>IFERROR(__xludf.DUMMYFUNCTION("""COMPUTED_VALUE"""),3.6)</f>
        <v>3.6</v>
      </c>
      <c r="K116" s="238">
        <f>IFERROR(__xludf.DUMMYFUNCTION("""COMPUTED_VALUE"""),9.666666666666668)</f>
        <v>9.666666667</v>
      </c>
      <c r="L116" s="237">
        <f>IFERROR(__xludf.DUMMYFUNCTION("""COMPUTED_VALUE"""),8.75)</f>
        <v>8.75</v>
      </c>
      <c r="M116" s="239" t="str">
        <f>IFERROR(__xludf.DUMMYFUNCTION("""COMPUTED_VALUE"""),"DeviousPanda")</f>
        <v>DeviousPanda</v>
      </c>
      <c r="N116" s="231">
        <f>IFERROR(__xludf.DUMMYFUNCTION("""COMPUTED_VALUE"""),3616100.0)</f>
        <v>3616100</v>
      </c>
      <c r="O116" s="198"/>
      <c r="P116" s="199"/>
    </row>
    <row r="117" ht="18.75" customHeight="1" outlineLevel="1">
      <c r="A117" s="230"/>
      <c r="B117" s="197"/>
      <c r="C117" s="198"/>
      <c r="D117" s="231" t="str">
        <f>IFERROR(__xludf.DUMMYFUNCTION("""COMPUTED_VALUE"""),"FM1")</f>
        <v>FM1</v>
      </c>
      <c r="E117" s="232" t="str">
        <f>IFERROR(__xludf.DUMMYFUNCTION("""COMPUTED_VALUE"""),"")</f>
        <v/>
      </c>
      <c r="F117" s="233" t="str">
        <f>IFERROR(__xludf.DUMMYFUNCTION("""COMPUTED_VALUE"""),"OISHII - ONIGIRI FREEWAY [LUKAS' INSANE]")</f>
        <v>OISHII - ONIGIRI FREEWAY [LUKAS' INSANE]</v>
      </c>
      <c r="G117" s="234">
        <f>IFERROR(__xludf.DUMMYFUNCTION("""COMPUTED_VALUE"""),4.63282)</f>
        <v>4.63282</v>
      </c>
      <c r="H117" s="235">
        <f>IFERROR(__xludf.DUMMYFUNCTION("""COMPUTED_VALUE"""),210.0)</f>
        <v>210</v>
      </c>
      <c r="I117" s="236">
        <f>IFERROR(__xludf.DUMMYFUNCTION("""COMPUTED_VALUE"""),0.0017592592594155576)</f>
        <v>0.001759259259</v>
      </c>
      <c r="J117" s="237">
        <f>IFERROR(__xludf.DUMMYFUNCTION("""COMPUTED_VALUE"""),3.0)</f>
        <v>3</v>
      </c>
      <c r="K117" s="238">
        <f>IFERROR(__xludf.DUMMYFUNCTION("""COMPUTED_VALUE"""),9.0)</f>
        <v>9</v>
      </c>
      <c r="L117" s="237">
        <f>IFERROR(__xludf.DUMMYFUNCTION("""COMPUTED_VALUE"""),8.0)</f>
        <v>8</v>
      </c>
      <c r="M117" s="239" t="str">
        <f>IFERROR(__xludf.DUMMYFUNCTION("""COMPUTED_VALUE"""),"Hazu-")</f>
        <v>Hazu-</v>
      </c>
      <c r="N117" s="231">
        <f>IFERROR(__xludf.DUMMYFUNCTION("""COMPUTED_VALUE"""),2151207.0)</f>
        <v>2151207</v>
      </c>
      <c r="O117" s="198"/>
      <c r="P117" s="199"/>
    </row>
    <row r="118" ht="18.75" customHeight="1" outlineLevel="1">
      <c r="A118" s="230"/>
      <c r="B118" s="197"/>
      <c r="C118" s="198"/>
      <c r="D118" s="231" t="str">
        <f>IFERROR(__xludf.DUMMYFUNCTION("""COMPUTED_VALUE"""),"FM2")</f>
        <v>FM2</v>
      </c>
      <c r="E118" s="232" t="str">
        <f>IFERROR(__xludf.DUMMYFUNCTION("""COMPUTED_VALUE"""),"")</f>
        <v/>
      </c>
      <c r="F118" s="233" t="str">
        <f>IFERROR(__xludf.DUMMYFUNCTION("""COMPUTED_VALUE"""),"Giga-P - Electric Angel [Sonnyc's Insane]")</f>
        <v>Giga-P - Electric Angel [Sonnyc's Insane]</v>
      </c>
      <c r="G118" s="234">
        <f>IFERROR(__xludf.DUMMYFUNCTION("""COMPUTED_VALUE"""),4.3997)</f>
        <v>4.3997</v>
      </c>
      <c r="H118" s="235">
        <f>IFERROR(__xludf.DUMMYFUNCTION("""COMPUTED_VALUE"""),150.0)</f>
        <v>150</v>
      </c>
      <c r="I118" s="236">
        <f>IFERROR(__xludf.DUMMYFUNCTION("""COMPUTED_VALUE"""),0.0015856481477385387)</f>
        <v>0.001585648148</v>
      </c>
      <c r="J118" s="237">
        <f>IFERROR(__xludf.DUMMYFUNCTION("""COMPUTED_VALUE"""),5.0)</f>
        <v>5</v>
      </c>
      <c r="K118" s="238">
        <f>IFERROR(__xludf.DUMMYFUNCTION("""COMPUTED_VALUE"""),8.0)</f>
        <v>8</v>
      </c>
      <c r="L118" s="237">
        <f>IFERROR(__xludf.DUMMYFUNCTION("""COMPUTED_VALUE"""),7.0)</f>
        <v>7</v>
      </c>
      <c r="M118" s="239" t="str">
        <f>IFERROR(__xludf.DUMMYFUNCTION("""COMPUTED_VALUE"""),"koreapenguin")</f>
        <v>koreapenguin</v>
      </c>
      <c r="N118" s="231">
        <f>IFERROR(__xludf.DUMMYFUNCTION("""COMPUTED_VALUE"""),417898.0)</f>
        <v>417898</v>
      </c>
      <c r="O118" s="198"/>
      <c r="P118" s="199"/>
    </row>
    <row r="119" ht="18.75" customHeight="1" outlineLevel="1">
      <c r="A119" s="230"/>
      <c r="B119" s="197"/>
      <c r="C119" s="198"/>
      <c r="D119" s="241" t="str">
        <f>IFERROR(__xludf.DUMMYFUNCTION("""COMPUTED_VALUE"""),"TB1")</f>
        <v>TB1</v>
      </c>
      <c r="E119" s="242" t="str">
        <f>IFERROR(__xludf.DUMMYFUNCTION("""COMPUTED_VALUE"""),"")</f>
        <v/>
      </c>
      <c r="F119" s="243" t="str">
        <f>IFERROR(__xludf.DUMMYFUNCTION("""COMPUTED_VALUE"""),"Au5 - Moonland [Collab Another]")</f>
        <v>Au5 - Moonland [Collab Another]</v>
      </c>
      <c r="G119" s="244">
        <f>IFERROR(__xludf.DUMMYFUNCTION("""COMPUTED_VALUE"""),5.08792)</f>
        <v>5.08792</v>
      </c>
      <c r="H119" s="245">
        <f>IFERROR(__xludf.DUMMYFUNCTION("""COMPUTED_VALUE"""),170.0)</f>
        <v>170</v>
      </c>
      <c r="I119" s="246">
        <f>IFERROR(__xludf.DUMMYFUNCTION("""COMPUTED_VALUE"""),0.003402777776500443)</f>
        <v>0.003402777777</v>
      </c>
      <c r="J119" s="247">
        <f>IFERROR(__xludf.DUMMYFUNCTION("""COMPUTED_VALUE"""),4.0)</f>
        <v>4</v>
      </c>
      <c r="K119" s="248">
        <f>IFERROR(__xludf.DUMMYFUNCTION("""COMPUTED_VALUE"""),9.0)</f>
        <v>9</v>
      </c>
      <c r="L119" s="247">
        <f>IFERROR(__xludf.DUMMYFUNCTION("""COMPUTED_VALUE"""),8.0)</f>
        <v>8</v>
      </c>
      <c r="M119" s="250" t="str">
        <f>IFERROR(__xludf.DUMMYFUNCTION("""COMPUTED_VALUE"""),"DTM9 Nowa")</f>
        <v>DTM9 Nowa</v>
      </c>
      <c r="N119" s="241">
        <f>IFERROR(__xludf.DUMMYFUNCTION("""COMPUTED_VALUE"""),1857415.0)</f>
        <v>1857415</v>
      </c>
      <c r="O119" s="198"/>
      <c r="P119" s="199"/>
    </row>
    <row r="120" ht="3.75" customHeight="1" outlineLevel="1">
      <c r="A120" s="230"/>
      <c r="B120" s="197"/>
      <c r="C120" s="198"/>
      <c r="D120" s="258"/>
      <c r="E120" s="258"/>
      <c r="F120" s="259"/>
      <c r="G120" s="258"/>
      <c r="H120" s="258"/>
      <c r="I120" s="260"/>
      <c r="J120" s="258"/>
      <c r="K120" s="258"/>
      <c r="L120" s="258"/>
      <c r="M120" s="258"/>
      <c r="N120" s="258"/>
      <c r="O120" s="198"/>
      <c r="P120" s="197"/>
    </row>
    <row r="121" ht="18.75" customHeight="1">
      <c r="A121" s="230"/>
      <c r="B121" s="197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7"/>
    </row>
    <row r="122" ht="22.5" customHeight="1">
      <c r="A122" s="261" t="s">
        <v>0</v>
      </c>
      <c r="B122" s="197"/>
      <c r="C122" s="198"/>
      <c r="D122" s="97" t="s">
        <v>15</v>
      </c>
      <c r="E122" s="99"/>
      <c r="F122" s="97" t="str">
        <f>"Ave. SR 4.55* &lt;&gt; Ave. Length 2:32"</f>
        <v>Ave. SR 4.55* &lt;&gt; Ave. Length 2:32</v>
      </c>
      <c r="G122" s="98"/>
      <c r="H122" s="99"/>
      <c r="I122" s="198"/>
      <c r="J122" s="198"/>
      <c r="K122" s="198"/>
      <c r="L122" s="262" t="s">
        <v>57</v>
      </c>
      <c r="M122" s="98"/>
      <c r="N122" s="99"/>
      <c r="O122" s="198"/>
      <c r="P122" s="199"/>
    </row>
    <row r="123" ht="7.5" customHeight="1">
      <c r="A123" s="196"/>
      <c r="B123" s="197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9"/>
    </row>
    <row r="124" ht="22.5" customHeight="1" outlineLevel="1">
      <c r="A124" s="263"/>
      <c r="B124" s="197"/>
      <c r="C124" s="198"/>
      <c r="D124" s="264" t="s">
        <v>58</v>
      </c>
      <c r="E124" s="265" t="s">
        <v>59</v>
      </c>
      <c r="F124" s="264" t="s">
        <v>60</v>
      </c>
      <c r="G124" s="265" t="s">
        <v>61</v>
      </c>
      <c r="H124" s="106" t="s">
        <v>62</v>
      </c>
      <c r="I124" s="266" t="s">
        <v>63</v>
      </c>
      <c r="J124" s="106" t="s">
        <v>64</v>
      </c>
      <c r="K124" s="265" t="s">
        <v>65</v>
      </c>
      <c r="L124" s="106" t="s">
        <v>66</v>
      </c>
      <c r="M124" s="267" t="s">
        <v>67</v>
      </c>
      <c r="N124" s="268" t="s">
        <v>38</v>
      </c>
      <c r="O124" s="198"/>
      <c r="P124" s="199"/>
    </row>
    <row r="125" ht="3.75" customHeight="1" outlineLevel="1">
      <c r="A125" s="263"/>
      <c r="B125" s="197"/>
      <c r="C125" s="198"/>
      <c r="D125" s="269"/>
      <c r="E125" s="270" t="s">
        <v>0</v>
      </c>
      <c r="F125" s="271"/>
      <c r="G125" s="270"/>
      <c r="H125" s="272"/>
      <c r="I125" s="273"/>
      <c r="J125" s="272"/>
      <c r="K125" s="270"/>
      <c r="L125" s="272"/>
      <c r="M125" s="270"/>
      <c r="N125" s="274"/>
      <c r="O125" s="198"/>
      <c r="P125" s="199"/>
    </row>
    <row r="126" ht="18.75" customHeight="1" outlineLevel="1">
      <c r="A126" s="230"/>
      <c r="B126" s="197"/>
      <c r="C126" s="198"/>
      <c r="D126" s="275" t="str">
        <f>IFERROR(__xludf.DUMMYFUNCTION("IMPORTRANGE(""1HHAHmZTTDlyB4RHaHQ-2bhUchkHOEZhmcQrDYQXnxnw"",""Mappool Imports - Pool Sheet!D126:O140"")"),"NM1")</f>
        <v>NM1</v>
      </c>
      <c r="E126" s="232" t="str">
        <f>IFERROR(__xludf.DUMMYFUNCTION("""COMPUTED_VALUE"""),"")</f>
        <v/>
      </c>
      <c r="F126" s="233" t="str">
        <f>IFERROR(__xludf.DUMMYFUNCTION("""COMPUTED_VALUE"""),"Hazuki - Uso to Shinjitsu [Insane]")</f>
        <v>Hazuki - Uso to Shinjitsu [Insane]</v>
      </c>
      <c r="G126" s="234">
        <f>IFERROR(__xludf.DUMMYFUNCTION("""COMPUTED_VALUE"""),4.71288)</f>
        <v>4.71288</v>
      </c>
      <c r="H126" s="235">
        <f>IFERROR(__xludf.DUMMYFUNCTION("""COMPUTED_VALUE"""),190.0)</f>
        <v>190</v>
      </c>
      <c r="I126" s="236">
        <f>IFERROR(__xludf.DUMMYFUNCTION("""COMPUTED_VALUE"""),0.0027430555564933456)</f>
        <v>0.002743055556</v>
      </c>
      <c r="J126" s="237">
        <f>IFERROR(__xludf.DUMMYFUNCTION("""COMPUTED_VALUE"""),3.8)</f>
        <v>3.8</v>
      </c>
      <c r="K126" s="238">
        <f>IFERROR(__xludf.DUMMYFUNCTION("""COMPUTED_VALUE"""),9.0)</f>
        <v>9</v>
      </c>
      <c r="L126" s="276">
        <f>IFERROR(__xludf.DUMMYFUNCTION("""COMPUTED_VALUE"""),7.5)</f>
        <v>7.5</v>
      </c>
      <c r="M126" s="239" t="str">
        <f>IFERROR(__xludf.DUMMYFUNCTION("""COMPUTED_VALUE"""),"Akitoshi")</f>
        <v>Akitoshi</v>
      </c>
      <c r="N126" s="231">
        <f>IFERROR(__xludf.DUMMYFUNCTION("""COMPUTED_VALUE"""),2277989.0)</f>
        <v>2277989</v>
      </c>
      <c r="O126" s="198"/>
      <c r="P126" s="199"/>
    </row>
    <row r="127" ht="18.75" customHeight="1" outlineLevel="1">
      <c r="A127" s="230"/>
      <c r="B127" s="197"/>
      <c r="C127" s="198"/>
      <c r="D127" s="231" t="str">
        <f>IFERROR(__xludf.DUMMYFUNCTION("""COMPUTED_VALUE"""),"NM2")</f>
        <v>NM2</v>
      </c>
      <c r="E127" s="232" t="str">
        <f>IFERROR(__xludf.DUMMYFUNCTION("""COMPUTED_VALUE"""),"")</f>
        <v/>
      </c>
      <c r="F127" s="233" t="str">
        <f>IFERROR(__xludf.DUMMYFUNCTION("""COMPUTED_VALUE"""),"Jun Kuroda - Terpsichore [Dancer's Delight]")</f>
        <v>Jun Kuroda - Terpsichore [Dancer's Delight]</v>
      </c>
      <c r="G127" s="234">
        <f>IFERROR(__xludf.DUMMYFUNCTION("""COMPUTED_VALUE"""),4.74275)</f>
        <v>4.74275</v>
      </c>
      <c r="H127" s="235">
        <f>IFERROR(__xludf.DUMMYFUNCTION("""COMPUTED_VALUE"""),181.0)</f>
        <v>181</v>
      </c>
      <c r="I127" s="236">
        <f>IFERROR(__xludf.DUMMYFUNCTION("""COMPUTED_VALUE"""),0.0014120370360615198)</f>
        <v>0.001412037036</v>
      </c>
      <c r="J127" s="237">
        <f>IFERROR(__xludf.DUMMYFUNCTION("""COMPUTED_VALUE"""),4.0)</f>
        <v>4</v>
      </c>
      <c r="K127" s="238">
        <f>IFERROR(__xludf.DUMMYFUNCTION("""COMPUTED_VALUE"""),9.0)</f>
        <v>9</v>
      </c>
      <c r="L127" s="237">
        <f>IFERROR(__xludf.DUMMYFUNCTION("""COMPUTED_VALUE"""),7.6)</f>
        <v>7.6</v>
      </c>
      <c r="M127" s="239" t="str">
        <f>IFERROR(__xludf.DUMMYFUNCTION("""COMPUTED_VALUE"""),"Quag")</f>
        <v>Quag</v>
      </c>
      <c r="N127" s="231">
        <f>IFERROR(__xludf.DUMMYFUNCTION("""COMPUTED_VALUE"""),3297107.0)</f>
        <v>3297107</v>
      </c>
      <c r="O127" s="198"/>
      <c r="P127" s="199"/>
    </row>
    <row r="128" ht="18.75" customHeight="1" outlineLevel="1">
      <c r="A128" s="230"/>
      <c r="B128" s="197"/>
      <c r="C128" s="198"/>
      <c r="D128" s="231" t="str">
        <f>IFERROR(__xludf.DUMMYFUNCTION("""COMPUTED_VALUE"""),"NM3")</f>
        <v>NM3</v>
      </c>
      <c r="E128" s="232" t="str">
        <f>IFERROR(__xludf.DUMMYFUNCTION("""COMPUTED_VALUE"""),"")</f>
        <v/>
      </c>
      <c r="F128" s="233" t="str">
        <f>IFERROR(__xludf.DUMMYFUNCTION("""COMPUTED_VALUE"""),"PUP - Anaphylaxis [Insane]")</f>
        <v>PUP - Anaphylaxis [Insane]</v>
      </c>
      <c r="G128" s="234">
        <f>IFERROR(__xludf.DUMMYFUNCTION("""COMPUTED_VALUE"""),4.59244)</f>
        <v>4.59244</v>
      </c>
      <c r="H128" s="235">
        <f>IFERROR(__xludf.DUMMYFUNCTION("""COMPUTED_VALUE"""),252.0)</f>
        <v>252</v>
      </c>
      <c r="I128" s="236">
        <f>IFERROR(__xludf.DUMMYFUNCTION("""COMPUTED_VALUE"""),0.0019328703710925765)</f>
        <v>0.001932870371</v>
      </c>
      <c r="J128" s="237">
        <f>IFERROR(__xludf.DUMMYFUNCTION("""COMPUTED_VALUE"""),4.0)</f>
        <v>4</v>
      </c>
      <c r="K128" s="238">
        <f>IFERROR(__xludf.DUMMYFUNCTION("""COMPUTED_VALUE"""),9.0)</f>
        <v>9</v>
      </c>
      <c r="L128" s="237">
        <f>IFERROR(__xludf.DUMMYFUNCTION("""COMPUTED_VALUE"""),7.7)</f>
        <v>7.7</v>
      </c>
      <c r="M128" s="239" t="str">
        <f>IFERROR(__xludf.DUMMYFUNCTION("""COMPUTED_VALUE"""),"Hobbes2")</f>
        <v>Hobbes2</v>
      </c>
      <c r="N128" s="231">
        <f>IFERROR(__xludf.DUMMYFUNCTION("""COMPUTED_VALUE"""),2440455.0)</f>
        <v>2440455</v>
      </c>
      <c r="O128" s="198"/>
      <c r="P128" s="199"/>
    </row>
    <row r="129" ht="18.75" customHeight="1" outlineLevel="1">
      <c r="A129" s="230"/>
      <c r="B129" s="197"/>
      <c r="C129" s="198"/>
      <c r="D129" s="231" t="str">
        <f>IFERROR(__xludf.DUMMYFUNCTION("""COMPUTED_VALUE"""),"NM4")</f>
        <v>NM4</v>
      </c>
      <c r="E129" s="232" t="str">
        <f>IFERROR(__xludf.DUMMYFUNCTION("""COMPUTED_VALUE"""),"")</f>
        <v/>
      </c>
      <c r="F129" s="233" t="str">
        <f>IFERROR(__xludf.DUMMYFUNCTION("""COMPUTED_VALUE"""),"ISOMERZ (DJ Raisei + seatrus) - Symmetric [BOUYAAA's Insane]")</f>
        <v>ISOMERZ (DJ Raisei + seatrus) - Symmetric [BOUYAAA's Insane]</v>
      </c>
      <c r="G129" s="234">
        <f>IFERROR(__xludf.DUMMYFUNCTION("""COMPUTED_VALUE"""),4.42076)</f>
        <v>4.42076</v>
      </c>
      <c r="H129" s="235">
        <f>IFERROR(__xludf.DUMMYFUNCTION("""COMPUTED_VALUE"""),200.0)</f>
        <v>200</v>
      </c>
      <c r="I129" s="236">
        <f>IFERROR(__xludf.DUMMYFUNCTION("""COMPUTED_VALUE"""),0.0014120370360615198)</f>
        <v>0.001412037036</v>
      </c>
      <c r="J129" s="237">
        <f>IFERROR(__xludf.DUMMYFUNCTION("""COMPUTED_VALUE"""),4.0)</f>
        <v>4</v>
      </c>
      <c r="K129" s="238">
        <f>IFERROR(__xludf.DUMMYFUNCTION("""COMPUTED_VALUE"""),9.0)</f>
        <v>9</v>
      </c>
      <c r="L129" s="237">
        <f>IFERROR(__xludf.DUMMYFUNCTION("""COMPUTED_VALUE"""),8.0)</f>
        <v>8</v>
      </c>
      <c r="M129" s="239" t="str">
        <f>IFERROR(__xludf.DUMMYFUNCTION("""COMPUTED_VALUE"""),"Realazy")</f>
        <v>Realazy</v>
      </c>
      <c r="N129" s="231">
        <f>IFERROR(__xludf.DUMMYFUNCTION("""COMPUTED_VALUE"""),3248876.0)</f>
        <v>3248876</v>
      </c>
      <c r="O129" s="198"/>
      <c r="P129" s="199"/>
    </row>
    <row r="130" ht="18.75" customHeight="1" outlineLevel="1">
      <c r="A130" s="230"/>
      <c r="B130" s="197"/>
      <c r="C130" s="198"/>
      <c r="D130" s="231" t="str">
        <f>IFERROR(__xludf.DUMMYFUNCTION("""COMPUTED_VALUE"""),"NM5")</f>
        <v>NM5</v>
      </c>
      <c r="E130" s="232" t="str">
        <f>IFERROR(__xludf.DUMMYFUNCTION("""COMPUTED_VALUE"""),"")</f>
        <v/>
      </c>
      <c r="F130" s="233" t="str">
        <f>IFERROR(__xludf.DUMMYFUNCTION("""COMPUTED_VALUE"""),"Pastel*Palettes - Happy Synthesizer [Insane]")</f>
        <v>Pastel*Palettes - Happy Synthesizer [Insane]</v>
      </c>
      <c r="G130" s="234">
        <f>IFERROR(__xludf.DUMMYFUNCTION("""COMPUTED_VALUE"""),4.58083)</f>
        <v>4.58083</v>
      </c>
      <c r="H130" s="235">
        <f>IFERROR(__xludf.DUMMYFUNCTION("""COMPUTED_VALUE"""),127.0)</f>
        <v>127</v>
      </c>
      <c r="I130" s="236">
        <f>IFERROR(__xludf.DUMMYFUNCTION("""COMPUTED_VALUE"""),0.0015393518515338656)</f>
        <v>0.001539351852</v>
      </c>
      <c r="J130" s="237">
        <f>IFERROR(__xludf.DUMMYFUNCTION("""COMPUTED_VALUE"""),4.0)</f>
        <v>4</v>
      </c>
      <c r="K130" s="238">
        <f>IFERROR(__xludf.DUMMYFUNCTION("""COMPUTED_VALUE"""),8.3)</f>
        <v>8.3</v>
      </c>
      <c r="L130" s="237">
        <f>IFERROR(__xludf.DUMMYFUNCTION("""COMPUTED_VALUE"""),7.0)</f>
        <v>7</v>
      </c>
      <c r="M130" s="239" t="str">
        <f>IFERROR(__xludf.DUMMYFUNCTION("""COMPUTED_VALUE"""),"ktgster")</f>
        <v>ktgster</v>
      </c>
      <c r="N130" s="231">
        <f>IFERROR(__xludf.DUMMYFUNCTION("""COMPUTED_VALUE"""),1989991.0)</f>
        <v>1989991</v>
      </c>
      <c r="O130" s="198"/>
      <c r="P130" s="199"/>
    </row>
    <row r="131" ht="18.75" customHeight="1" outlineLevel="1">
      <c r="A131" s="230"/>
      <c r="B131" s="197"/>
      <c r="C131" s="198"/>
      <c r="D131" s="231" t="str">
        <f>IFERROR(__xludf.DUMMYFUNCTION("""COMPUTED_VALUE"""),"HD1")</f>
        <v>HD1</v>
      </c>
      <c r="E131" s="232" t="str">
        <f>IFERROR(__xludf.DUMMYFUNCTION("""COMPUTED_VALUE"""),"")</f>
        <v/>
      </c>
      <c r="F131" s="233" t="str">
        <f>IFERROR(__xludf.DUMMYFUNCTION("""COMPUTED_VALUE"""),"Tsumiki - phony [Hatsune Miku's Insane]")</f>
        <v>Tsumiki - phony [Hatsune Miku's Insane]</v>
      </c>
      <c r="G131" s="234">
        <f>IFERROR(__xludf.DUMMYFUNCTION("""COMPUTED_VALUE"""),4.75975)</f>
        <v>4.75975</v>
      </c>
      <c r="H131" s="235">
        <f>IFERROR(__xludf.DUMMYFUNCTION("""COMPUTED_VALUE"""),170.0)</f>
        <v>170</v>
      </c>
      <c r="I131" s="236">
        <f>IFERROR(__xludf.DUMMYFUNCTION("""COMPUTED_VALUE"""),0.002013888890360249)</f>
        <v>0.00201388889</v>
      </c>
      <c r="J131" s="237">
        <f>IFERROR(__xludf.DUMMYFUNCTION("""COMPUTED_VALUE"""),3.3)</f>
        <v>3.3</v>
      </c>
      <c r="K131" s="238">
        <f>IFERROR(__xludf.DUMMYFUNCTION("""COMPUTED_VALUE"""),9.0)</f>
        <v>9</v>
      </c>
      <c r="L131" s="237">
        <f>IFERROR(__xludf.DUMMYFUNCTION("""COMPUTED_VALUE"""),8.0)</f>
        <v>8</v>
      </c>
      <c r="M131" s="239" t="str">
        <f>IFERROR(__xludf.DUMMYFUNCTION("""COMPUTED_VALUE"""),"Ryuusei Aika")</f>
        <v>Ryuusei Aika</v>
      </c>
      <c r="N131" s="231">
        <f>IFERROR(__xludf.DUMMYFUNCTION("""COMPUTED_VALUE"""),3280686.0)</f>
        <v>3280686</v>
      </c>
      <c r="O131" s="198"/>
      <c r="P131" s="199"/>
    </row>
    <row r="132" ht="18.75" customHeight="1" outlineLevel="1">
      <c r="A132" s="230"/>
      <c r="B132" s="197"/>
      <c r="C132" s="198"/>
      <c r="D132" s="231" t="str">
        <f>IFERROR(__xludf.DUMMYFUNCTION("""COMPUTED_VALUE"""),"HD2")</f>
        <v>HD2</v>
      </c>
      <c r="E132" s="232" t="str">
        <f>IFERROR(__xludf.DUMMYFUNCTION("""COMPUTED_VALUE"""),"")</f>
        <v/>
      </c>
      <c r="F132" s="233" t="str">
        <f>IFERROR(__xludf.DUMMYFUNCTION("""COMPUTED_VALUE"""),"P*Light - Poppin' Shower [Hyper]")</f>
        <v>P*Light - Poppin' Shower [Hyper]</v>
      </c>
      <c r="G132" s="234">
        <f>IFERROR(__xludf.DUMMYFUNCTION("""COMPUTED_VALUE"""),4.33398)</f>
        <v>4.33398</v>
      </c>
      <c r="H132" s="235">
        <f>IFERROR(__xludf.DUMMYFUNCTION("""COMPUTED_VALUE"""),175.0)</f>
        <v>175</v>
      </c>
      <c r="I132" s="236">
        <f>IFERROR(__xludf.DUMMYFUNCTION("""COMPUTED_VALUE"""),0.0012268518512428273)</f>
        <v>0.001226851851</v>
      </c>
      <c r="J132" s="237">
        <f>IFERROR(__xludf.DUMMYFUNCTION("""COMPUTED_VALUE"""),4.0)</f>
        <v>4</v>
      </c>
      <c r="K132" s="238">
        <f>IFERROR(__xludf.DUMMYFUNCTION("""COMPUTED_VALUE"""),8.0)</f>
        <v>8</v>
      </c>
      <c r="L132" s="237">
        <f>IFERROR(__xludf.DUMMYFUNCTION("""COMPUTED_VALUE"""),6.0)</f>
        <v>6</v>
      </c>
      <c r="M132" s="256" t="str">
        <f>IFERROR(__xludf.DUMMYFUNCTION("""COMPUTED_VALUE"""),"Reisen Udongein")</f>
        <v>Reisen Udongein</v>
      </c>
      <c r="N132" s="231">
        <f>IFERROR(__xludf.DUMMYFUNCTION("""COMPUTED_VALUE"""),134141.0)</f>
        <v>134141</v>
      </c>
      <c r="O132" s="198"/>
      <c r="P132" s="199"/>
    </row>
    <row r="133" ht="18.75" customHeight="1" outlineLevel="1">
      <c r="A133" s="230"/>
      <c r="B133" s="197"/>
      <c r="C133" s="198"/>
      <c r="D133" s="231" t="str">
        <f>IFERROR(__xludf.DUMMYFUNCTION("""COMPUTED_VALUE"""),"HR1")</f>
        <v>HR1</v>
      </c>
      <c r="E133" s="232" t="str">
        <f>IFERROR(__xludf.DUMMYFUNCTION("""COMPUTED_VALUE"""),"")</f>
        <v/>
      </c>
      <c r="F133" s="233" t="str">
        <f>IFERROR(__xludf.DUMMYFUNCTION("""COMPUTED_VALUE"""),"Omoi - Teo [waji's Insane]")</f>
        <v>Omoi - Teo [waji's Insane]</v>
      </c>
      <c r="G133" s="234">
        <f>IFERROR(__xludf.DUMMYFUNCTION("""COMPUTED_VALUE"""),4.597)</f>
        <v>4.597</v>
      </c>
      <c r="H133" s="235">
        <f>IFERROR(__xludf.DUMMYFUNCTION("""COMPUTED_VALUE"""),185.0)</f>
        <v>185</v>
      </c>
      <c r="I133" s="236">
        <f>IFERROR(__xludf.DUMMYFUNCTION("""COMPUTED_VALUE"""),0.0019907407404389232)</f>
        <v>0.00199074074</v>
      </c>
      <c r="J133" s="237">
        <f>IFERROR(__xludf.DUMMYFUNCTION("""COMPUTED_VALUE"""),5.2)</f>
        <v>5.2</v>
      </c>
      <c r="K133" s="238">
        <f>IFERROR(__xludf.DUMMYFUNCTION("""COMPUTED_VALUE"""),10.0)</f>
        <v>10</v>
      </c>
      <c r="L133" s="237">
        <f>IFERROR(__xludf.DUMMYFUNCTION("""COMPUTED_VALUE"""),9.799999999999999)</f>
        <v>9.8</v>
      </c>
      <c r="M133" s="239" t="str">
        <f>IFERROR(__xludf.DUMMYFUNCTION("""COMPUTED_VALUE"""),"Shmiklak")</f>
        <v>Shmiklak</v>
      </c>
      <c r="N133" s="231">
        <f>IFERROR(__xludf.DUMMYFUNCTION("""COMPUTED_VALUE"""),2659337.0)</f>
        <v>2659337</v>
      </c>
      <c r="O133" s="198"/>
      <c r="P133" s="199"/>
    </row>
    <row r="134" ht="18.75" customHeight="1" outlineLevel="1">
      <c r="A134" s="230"/>
      <c r="B134" s="197"/>
      <c r="C134" s="198"/>
      <c r="D134" s="231" t="str">
        <f>IFERROR(__xludf.DUMMYFUNCTION("""COMPUTED_VALUE"""),"HR2")</f>
        <v>HR2</v>
      </c>
      <c r="E134" s="232" t="str">
        <f>IFERROR(__xludf.DUMMYFUNCTION("""COMPUTED_VALUE"""),"")</f>
        <v/>
      </c>
      <c r="F134" s="233" t="str">
        <f>IFERROR(__xludf.DUMMYFUNCTION("""COMPUTED_VALUE"""),"Silentroom - NULCTRL [Pattern 03a ""exHRD"" LMT]")</f>
        <v>Silentroom - NULCTRL [Pattern 03a "exHRD" LMT]</v>
      </c>
      <c r="G134" s="234">
        <f>IFERROR(__xludf.DUMMYFUNCTION("""COMPUTED_VALUE"""),4.26034)</f>
        <v>4.26034</v>
      </c>
      <c r="H134" s="235">
        <f>IFERROR(__xludf.DUMMYFUNCTION("""COMPUTED_VALUE"""),100.0)</f>
        <v>100</v>
      </c>
      <c r="I134" s="236">
        <f>IFERROR(__xludf.DUMMYFUNCTION("""COMPUTED_VALUE"""),0.0016666666670062114)</f>
        <v>0.001666666667</v>
      </c>
      <c r="J134" s="237">
        <f>IFERROR(__xludf.DUMMYFUNCTION("""COMPUTED_VALUE"""),6.5)</f>
        <v>6.5</v>
      </c>
      <c r="K134" s="238">
        <f>IFERROR(__xludf.DUMMYFUNCTION("""COMPUTED_VALUE"""),10.0)</f>
        <v>10</v>
      </c>
      <c r="L134" s="237">
        <f>IFERROR(__xludf.DUMMYFUNCTION("""COMPUTED_VALUE"""),9.799999999999999)</f>
        <v>9.8</v>
      </c>
      <c r="M134" s="239" t="str">
        <f>IFERROR(__xludf.DUMMYFUNCTION("""COMPUTED_VALUE"""),"Nerova Riuz GX")</f>
        <v>Nerova Riuz GX</v>
      </c>
      <c r="N134" s="231">
        <f>IFERROR(__xludf.DUMMYFUNCTION("""COMPUTED_VALUE"""),2110801.0)</f>
        <v>2110801</v>
      </c>
      <c r="O134" s="198"/>
      <c r="P134" s="199"/>
    </row>
    <row r="135" ht="18.75" customHeight="1" outlineLevel="1">
      <c r="A135" s="230"/>
      <c r="B135" s="197"/>
      <c r="C135" s="198"/>
      <c r="D135" s="231" t="str">
        <f>IFERROR(__xludf.DUMMYFUNCTION("""COMPUTED_VALUE"""),"DT1")</f>
        <v>DT1</v>
      </c>
      <c r="E135" s="232" t="str">
        <f>IFERROR(__xludf.DUMMYFUNCTION("""COMPUTED_VALUE"""),"")</f>
        <v/>
      </c>
      <c r="F135" s="233" t="str">
        <f>IFERROR(__xludf.DUMMYFUNCTION("""COMPUTED_VALUE"""),"mafumafu - Moudoku ga Osou [Hard]")</f>
        <v>mafumafu - Moudoku ga Osou [Hard]</v>
      </c>
      <c r="G135" s="234">
        <f>IFERROR(__xludf.DUMMYFUNCTION("""COMPUTED_VALUE"""),4.67429)</f>
        <v>4.67429</v>
      </c>
      <c r="H135" s="235">
        <f>IFERROR(__xludf.DUMMYFUNCTION("""COMPUTED_VALUE"""),234.0)</f>
        <v>234</v>
      </c>
      <c r="I135" s="236">
        <f>IFERROR(__xludf.DUMMYFUNCTION("""COMPUTED_VALUE"""),0.0015740740733842056)</f>
        <v>0.001574074073</v>
      </c>
      <c r="J135" s="237">
        <f>IFERROR(__xludf.DUMMYFUNCTION("""COMPUTED_VALUE"""),4.0)</f>
        <v>4</v>
      </c>
      <c r="K135" s="238">
        <f>IFERROR(__xludf.DUMMYFUNCTION("""COMPUTED_VALUE"""),9.666666666666668)</f>
        <v>9.666666667</v>
      </c>
      <c r="L135" s="237">
        <f>IFERROR(__xludf.DUMMYFUNCTION("""COMPUTED_VALUE"""),8.416666666666666)</f>
        <v>8.416666667</v>
      </c>
      <c r="M135" s="239" t="str">
        <f>IFERROR(__xludf.DUMMYFUNCTION("""COMPUTED_VALUE"""),"Namki")</f>
        <v>Namki</v>
      </c>
      <c r="N135" s="231">
        <f>IFERROR(__xludf.DUMMYFUNCTION("""COMPUTED_VALUE"""),2044893.0)</f>
        <v>2044893</v>
      </c>
      <c r="O135" s="198"/>
      <c r="P135" s="199"/>
    </row>
    <row r="136" ht="18.75" customHeight="1" outlineLevel="1">
      <c r="A136" s="230"/>
      <c r="B136" s="197"/>
      <c r="C136" s="198"/>
      <c r="D136" s="231" t="str">
        <f>IFERROR(__xludf.DUMMYFUNCTION("""COMPUTED_VALUE"""),"DT2")</f>
        <v>DT2</v>
      </c>
      <c r="E136" s="232" t="str">
        <f>IFERROR(__xludf.DUMMYFUNCTION("""COMPUTED_VALUE"""),"")</f>
        <v/>
      </c>
      <c r="F136" s="233" t="str">
        <f>IFERROR(__xludf.DUMMYFUNCTION("""COMPUTED_VALUE"""),"ARForest - Aoba [Hard]")</f>
        <v>ARForest - Aoba [Hard]</v>
      </c>
      <c r="G136" s="234">
        <f>IFERROR(__xludf.DUMMYFUNCTION("""COMPUTED_VALUE"""),4.72202)</f>
        <v>4.72202</v>
      </c>
      <c r="H136" s="235">
        <f>IFERROR(__xludf.DUMMYFUNCTION("""COMPUTED_VALUE"""),225.0)</f>
        <v>225</v>
      </c>
      <c r="I136" s="236">
        <f>IFERROR(__xludf.DUMMYFUNCTION("""COMPUTED_VALUE"""),0.0011342592600461405)</f>
        <v>0.00113425926</v>
      </c>
      <c r="J136" s="237">
        <f>IFERROR(__xludf.DUMMYFUNCTION("""COMPUTED_VALUE"""),3.5)</f>
        <v>3.5</v>
      </c>
      <c r="K136" s="238">
        <f>IFERROR(__xludf.DUMMYFUNCTION("""COMPUTED_VALUE"""),9.666666666666668)</f>
        <v>9.666666667</v>
      </c>
      <c r="L136" s="237">
        <f>IFERROR(__xludf.DUMMYFUNCTION("""COMPUTED_VALUE"""),8.416666666666666)</f>
        <v>8.416666667</v>
      </c>
      <c r="M136" s="239" t="str">
        <f>IFERROR(__xludf.DUMMYFUNCTION("""COMPUTED_VALUE"""),"Niva")</f>
        <v>Niva</v>
      </c>
      <c r="N136" s="231">
        <f>IFERROR(__xludf.DUMMYFUNCTION("""COMPUTED_VALUE"""),2366848.0)</f>
        <v>2366848</v>
      </c>
      <c r="O136" s="198"/>
      <c r="P136" s="199"/>
    </row>
    <row r="137" ht="18.75" customHeight="1" outlineLevel="1">
      <c r="A137" s="230"/>
      <c r="B137" s="197"/>
      <c r="C137" s="198"/>
      <c r="D137" s="231" t="str">
        <f>IFERROR(__xludf.DUMMYFUNCTION("""COMPUTED_VALUE"""),"DT3")</f>
        <v>DT3</v>
      </c>
      <c r="E137" s="232" t="str">
        <f>IFERROR(__xludf.DUMMYFUNCTION("""COMPUTED_VALUE"""),"")</f>
        <v/>
      </c>
      <c r="F137" s="233" t="str">
        <f>IFERROR(__xludf.DUMMYFUNCTION("""COMPUTED_VALUE"""),"xi - Mirage Garden [PaRaDogi's Hard]")</f>
        <v>xi - Mirage Garden [PaRaDogi's Hard]</v>
      </c>
      <c r="G137" s="234">
        <f>IFERROR(__xludf.DUMMYFUNCTION("""COMPUTED_VALUE"""),4.66036)</f>
        <v>4.66036</v>
      </c>
      <c r="H137" s="235">
        <f>IFERROR(__xludf.DUMMYFUNCTION("""COMPUTED_VALUE"""),234.0)</f>
        <v>234</v>
      </c>
      <c r="I137" s="236">
        <f>IFERROR(__xludf.DUMMYFUNCTION("""COMPUTED_VALUE"""),0.0010570987651590258)</f>
        <v>0.001057098765</v>
      </c>
      <c r="J137" s="237">
        <f>IFERROR(__xludf.DUMMYFUNCTION("""COMPUTED_VALUE"""),3.8)</f>
        <v>3.8</v>
      </c>
      <c r="K137" s="238">
        <f>IFERROR(__xludf.DUMMYFUNCTION("""COMPUTED_VALUE"""),9.666666666666668)</f>
        <v>9.666666667</v>
      </c>
      <c r="L137" s="237">
        <f>IFERROR(__xludf.DUMMYFUNCTION("""COMPUTED_VALUE"""),9.083333333333334)</f>
        <v>9.083333333</v>
      </c>
      <c r="M137" s="239" t="str">
        <f>IFERROR(__xludf.DUMMYFUNCTION("""COMPUTED_VALUE"""),"DeviousPanda")</f>
        <v>DeviousPanda</v>
      </c>
      <c r="N137" s="231">
        <f>IFERROR(__xludf.DUMMYFUNCTION("""COMPUTED_VALUE"""),3396305.0)</f>
        <v>3396305</v>
      </c>
      <c r="O137" s="198"/>
      <c r="P137" s="199"/>
    </row>
    <row r="138" ht="18.75" customHeight="1" outlineLevel="1">
      <c r="A138" s="230"/>
      <c r="B138" s="197"/>
      <c r="C138" s="198"/>
      <c r="D138" s="231" t="str">
        <f>IFERROR(__xludf.DUMMYFUNCTION("""COMPUTED_VALUE"""),"FM1")</f>
        <v>FM1</v>
      </c>
      <c r="E138" s="232" t="str">
        <f>IFERROR(__xludf.DUMMYFUNCTION("""COMPUTED_VALUE"""),"")</f>
        <v/>
      </c>
      <c r="F138" s="233" t="str">
        <f>IFERROR(__xludf.DUMMYFUNCTION("""COMPUTED_VALUE"""),"Shawn Wasabi - Marble Soda [Narcissu's Insane]")</f>
        <v>Shawn Wasabi - Marble Soda [Narcissu's Insane]</v>
      </c>
      <c r="G138" s="234">
        <f>IFERROR(__xludf.DUMMYFUNCTION("""COMPUTED_VALUE"""),4.40919)</f>
        <v>4.40919</v>
      </c>
      <c r="H138" s="235">
        <f>IFERROR(__xludf.DUMMYFUNCTION("""COMPUTED_VALUE"""),168.0)</f>
        <v>168</v>
      </c>
      <c r="I138" s="236">
        <f>IFERROR(__xludf.DUMMYFUNCTION("""COMPUTED_VALUE"""),0.0017129629632108845)</f>
        <v>0.001712962963</v>
      </c>
      <c r="J138" s="237">
        <f>IFERROR(__xludf.DUMMYFUNCTION("""COMPUTED_VALUE"""),4.0)</f>
        <v>4</v>
      </c>
      <c r="K138" s="238">
        <f>IFERROR(__xludf.DUMMYFUNCTION("""COMPUTED_VALUE"""),9.0)</f>
        <v>9</v>
      </c>
      <c r="L138" s="237">
        <f>IFERROR(__xludf.DUMMYFUNCTION("""COMPUTED_VALUE"""),7.5)</f>
        <v>7.5</v>
      </c>
      <c r="M138" s="239" t="str">
        <f>IFERROR(__xludf.DUMMYFUNCTION("""COMPUTED_VALUE"""),"Len")</f>
        <v>Len</v>
      </c>
      <c r="N138" s="231">
        <f>IFERROR(__xludf.DUMMYFUNCTION("""COMPUTED_VALUE"""),846261.0)</f>
        <v>846261</v>
      </c>
      <c r="O138" s="198"/>
      <c r="P138" s="199"/>
    </row>
    <row r="139" ht="18.75" customHeight="1" outlineLevel="1">
      <c r="A139" s="230"/>
      <c r="B139" s="197"/>
      <c r="C139" s="198"/>
      <c r="D139" s="231" t="str">
        <f>IFERROR(__xludf.DUMMYFUNCTION("""COMPUTED_VALUE"""),"FM2")</f>
        <v>FM2</v>
      </c>
      <c r="E139" s="232" t="str">
        <f>IFERROR(__xludf.DUMMYFUNCTION("""COMPUTED_VALUE"""),"")</f>
        <v/>
      </c>
      <c r="F139" s="233" t="str">
        <f>IFERROR(__xludf.DUMMYFUNCTION("""COMPUTED_VALUE"""),"-45 - Total Eclipse of The Sun [Hard]")</f>
        <v>-45 - Total Eclipse of The Sun [Hard]</v>
      </c>
      <c r="G139" s="234">
        <f>IFERROR(__xludf.DUMMYFUNCTION("""COMPUTED_VALUE"""),3.73927)</f>
        <v>3.73927</v>
      </c>
      <c r="H139" s="235">
        <f>IFERROR(__xludf.DUMMYFUNCTION("""COMPUTED_VALUE"""),120.0)</f>
        <v>120</v>
      </c>
      <c r="I139" s="236">
        <f>IFERROR(__xludf.DUMMYFUNCTION("""COMPUTED_VALUE"""),0.001527777778392192)</f>
        <v>0.001527777778</v>
      </c>
      <c r="J139" s="237">
        <f>IFERROR(__xludf.DUMMYFUNCTION("""COMPUTED_VALUE"""),5.0)</f>
        <v>5</v>
      </c>
      <c r="K139" s="238">
        <f>IFERROR(__xludf.DUMMYFUNCTION("""COMPUTED_VALUE"""),8.0)</f>
        <v>8</v>
      </c>
      <c r="L139" s="237">
        <f>IFERROR(__xludf.DUMMYFUNCTION("""COMPUTED_VALUE"""),6.0)</f>
        <v>6</v>
      </c>
      <c r="M139" s="239" t="str">
        <f>IFERROR(__xludf.DUMMYFUNCTION("""COMPUTED_VALUE"""),"Matrix")</f>
        <v>Matrix</v>
      </c>
      <c r="N139" s="231">
        <f>IFERROR(__xludf.DUMMYFUNCTION("""COMPUTED_VALUE"""),3743202.0)</f>
        <v>3743202</v>
      </c>
      <c r="O139" s="198"/>
      <c r="P139" s="199"/>
    </row>
    <row r="140" ht="18.75" customHeight="1" outlineLevel="1">
      <c r="A140" s="230"/>
      <c r="B140" s="197"/>
      <c r="C140" s="198"/>
      <c r="D140" s="241" t="str">
        <f>IFERROR(__xludf.DUMMYFUNCTION("""COMPUTED_VALUE"""),"TB1")</f>
        <v>TB1</v>
      </c>
      <c r="E140" s="242" t="str">
        <f>IFERROR(__xludf.DUMMYFUNCTION("""COMPUTED_VALUE"""),"")</f>
        <v/>
      </c>
      <c r="F140" s="243" t="str">
        <f>IFERROR(__xludf.DUMMYFUNCTION("""COMPUTED_VALUE"""),"Ata - Euphoria [Aiq's Insane]")</f>
        <v>Ata - Euphoria [Aiq's Insane]</v>
      </c>
      <c r="G140" s="244">
        <f>IFERROR(__xludf.DUMMYFUNCTION("""COMPUTED_VALUE"""),5.07342)</f>
        <v>5.07342</v>
      </c>
      <c r="H140" s="245">
        <f>IFERROR(__xludf.DUMMYFUNCTION("""COMPUTED_VALUE"""),190.0)</f>
        <v>190</v>
      </c>
      <c r="I140" s="246">
        <f>IFERROR(__xludf.DUMMYFUNCTION("""COMPUTED_VALUE"""),0.003518518518831115)</f>
        <v>0.003518518519</v>
      </c>
      <c r="J140" s="247">
        <f>IFERROR(__xludf.DUMMYFUNCTION("""COMPUTED_VALUE"""),4.0)</f>
        <v>4</v>
      </c>
      <c r="K140" s="248">
        <f>IFERROR(__xludf.DUMMYFUNCTION("""COMPUTED_VALUE"""),9.2)</f>
        <v>9.2</v>
      </c>
      <c r="L140" s="247">
        <f>IFERROR(__xludf.DUMMYFUNCTION("""COMPUTED_VALUE"""),8.6)</f>
        <v>8.6</v>
      </c>
      <c r="M140" s="250" t="str">
        <f>IFERROR(__xludf.DUMMYFUNCTION("""COMPUTED_VALUE"""),"-Cermia")</f>
        <v>-Cermia</v>
      </c>
      <c r="N140" s="241">
        <f>IFERROR(__xludf.DUMMYFUNCTION("""COMPUTED_VALUE"""),3446761.0)</f>
        <v>3446761</v>
      </c>
      <c r="O140" s="198"/>
      <c r="P140" s="199"/>
    </row>
    <row r="141" ht="3.75" customHeight="1" outlineLevel="1">
      <c r="A141" s="230"/>
      <c r="B141" s="197"/>
      <c r="C141" s="198"/>
      <c r="D141" s="258"/>
      <c r="E141" s="258"/>
      <c r="F141" s="259"/>
      <c r="G141" s="258"/>
      <c r="H141" s="258"/>
      <c r="I141" s="260"/>
      <c r="J141" s="258"/>
      <c r="K141" s="258"/>
      <c r="L141" s="258"/>
      <c r="M141" s="258"/>
      <c r="N141" s="258"/>
      <c r="O141" s="198"/>
      <c r="P141" s="197"/>
    </row>
    <row r="142" ht="18.75" customHeight="1">
      <c r="A142" s="230"/>
      <c r="B142" s="197"/>
      <c r="C142" s="198"/>
      <c r="D142" s="198"/>
      <c r="E142" s="198"/>
      <c r="F142" s="198" t="s">
        <v>0</v>
      </c>
      <c r="G142" s="198"/>
      <c r="H142" s="198"/>
      <c r="I142" s="198"/>
      <c r="J142" s="198"/>
      <c r="K142" s="198"/>
      <c r="L142" s="198"/>
      <c r="M142" s="198"/>
      <c r="N142" s="198"/>
      <c r="O142" s="198"/>
      <c r="P142" s="197"/>
    </row>
    <row r="143" ht="22.5" customHeight="1">
      <c r="A143" s="261" t="s">
        <v>0</v>
      </c>
      <c r="B143" s="197"/>
      <c r="C143" s="198"/>
      <c r="D143" s="97" t="s">
        <v>69</v>
      </c>
      <c r="E143" s="99"/>
      <c r="F143" s="277" t="str">
        <f>"Ave. SR 4.87* &lt;&gt; Ave. Length 2:56"</f>
        <v>Ave. SR 4.87* &lt;&gt; Ave. Length 2:56</v>
      </c>
      <c r="G143" s="98"/>
      <c r="H143" s="99"/>
      <c r="I143" s="198"/>
      <c r="J143" s="198"/>
      <c r="K143" s="198"/>
      <c r="L143" s="262" t="s">
        <v>57</v>
      </c>
      <c r="M143" s="98"/>
      <c r="N143" s="99"/>
      <c r="O143" s="198"/>
      <c r="P143" s="199"/>
    </row>
    <row r="144" ht="7.5" customHeight="1">
      <c r="A144" s="196"/>
      <c r="B144" s="197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9"/>
    </row>
    <row r="145" ht="22.5" customHeight="1" outlineLevel="1">
      <c r="A145" s="263"/>
      <c r="B145" s="197"/>
      <c r="C145" s="198"/>
      <c r="D145" s="264" t="s">
        <v>70</v>
      </c>
      <c r="E145" s="265" t="s">
        <v>71</v>
      </c>
      <c r="F145" s="264" t="s">
        <v>60</v>
      </c>
      <c r="G145" s="265" t="s">
        <v>61</v>
      </c>
      <c r="H145" s="106" t="s">
        <v>62</v>
      </c>
      <c r="I145" s="266" t="s">
        <v>63</v>
      </c>
      <c r="J145" s="106" t="s">
        <v>64</v>
      </c>
      <c r="K145" s="265" t="s">
        <v>65</v>
      </c>
      <c r="L145" s="106" t="s">
        <v>66</v>
      </c>
      <c r="M145" s="267" t="s">
        <v>67</v>
      </c>
      <c r="N145" s="268" t="s">
        <v>38</v>
      </c>
      <c r="O145" s="198"/>
      <c r="P145" s="199"/>
    </row>
    <row r="146" ht="3.75" customHeight="1" outlineLevel="1">
      <c r="A146" s="263"/>
      <c r="B146" s="197"/>
      <c r="C146" s="198"/>
      <c r="D146" s="278" t="s">
        <v>72</v>
      </c>
      <c r="E146" s="270" t="s">
        <v>0</v>
      </c>
      <c r="F146" s="271"/>
      <c r="G146" s="270"/>
      <c r="H146" s="272"/>
      <c r="I146" s="273"/>
      <c r="J146" s="272"/>
      <c r="K146" s="270"/>
      <c r="L146" s="272"/>
      <c r="M146" s="270"/>
      <c r="N146" s="274"/>
      <c r="O146" s="198"/>
      <c r="P146" s="199"/>
    </row>
    <row r="147" ht="18.75" customHeight="1" outlineLevel="1">
      <c r="A147" s="230"/>
      <c r="B147" s="197"/>
      <c r="C147" s="198"/>
      <c r="D147" s="275" t="str">
        <f>IFERROR(__xludf.DUMMYFUNCTION("IMPORTRANGE(""1HHAHmZTTDlyB4RHaHQ-2bhUchkHOEZhmcQrDYQXnxnw"",""Mappool Imports - Pool Sheet!D147:O156"")"),"NM1")</f>
        <v>NM1</v>
      </c>
      <c r="E147" s="232" t="str">
        <f>IFERROR(__xludf.DUMMYFUNCTION("""COMPUTED_VALUE"""),"")</f>
        <v/>
      </c>
      <c r="F147" s="233" t="str">
        <f>IFERROR(__xludf.DUMMYFUNCTION("""COMPUTED_VALUE"""),"nonoc - Relive [Insane]")</f>
        <v>nonoc - Relive [Insane]</v>
      </c>
      <c r="G147" s="234">
        <f>IFERROR(__xludf.DUMMYFUNCTION("""COMPUTED_VALUE"""),5.04539)</f>
        <v>5.04539</v>
      </c>
      <c r="H147" s="235">
        <f>IFERROR(__xludf.DUMMYFUNCTION("""COMPUTED_VALUE"""),196.0)</f>
        <v>196</v>
      </c>
      <c r="I147" s="236">
        <f>IFERROR(__xludf.DUMMYFUNCTION("""COMPUTED_VALUE"""),0.002534722221753327)</f>
        <v>0.002534722222</v>
      </c>
      <c r="J147" s="237">
        <f>IFERROR(__xludf.DUMMYFUNCTION("""COMPUTED_VALUE"""),3.5)</f>
        <v>3.5</v>
      </c>
      <c r="K147" s="238">
        <f>IFERROR(__xludf.DUMMYFUNCTION("""COMPUTED_VALUE"""),9.0)</f>
        <v>9</v>
      </c>
      <c r="L147" s="237">
        <f>IFERROR(__xludf.DUMMYFUNCTION("""COMPUTED_VALUE"""),8.0)</f>
        <v>8</v>
      </c>
      <c r="M147" s="239" t="str">
        <f>IFERROR(__xludf.DUMMYFUNCTION("""COMPUTED_VALUE"""),"SkyFlame")</f>
        <v>SkyFlame</v>
      </c>
      <c r="N147" s="231">
        <f>IFERROR(__xludf.DUMMYFUNCTION("""COMPUTED_VALUE"""),3924030.0)</f>
        <v>3924030</v>
      </c>
      <c r="O147" s="198"/>
      <c r="P147" s="199"/>
    </row>
    <row r="148" ht="18.75" customHeight="1" outlineLevel="1">
      <c r="A148" s="230"/>
      <c r="B148" s="197"/>
      <c r="C148" s="198"/>
      <c r="D148" s="231" t="str">
        <f>IFERROR(__xludf.DUMMYFUNCTION("""COMPUTED_VALUE"""),"NM2")</f>
        <v>NM2</v>
      </c>
      <c r="E148" s="232" t="str">
        <f>IFERROR(__xludf.DUMMYFUNCTION("""COMPUTED_VALUE"""),"")</f>
        <v/>
      </c>
      <c r="F148" s="233" t="str">
        <f>IFERROR(__xludf.DUMMYFUNCTION("""COMPUTED_VALUE"""),"void - Crisscrosser [Insane]")</f>
        <v>void - Crisscrosser [Insane]</v>
      </c>
      <c r="G148" s="234">
        <f>IFERROR(__xludf.DUMMYFUNCTION("""COMPUTED_VALUE"""),5.06513)</f>
        <v>5.06513</v>
      </c>
      <c r="H148" s="235">
        <f>IFERROR(__xludf.DUMMYFUNCTION("""COMPUTED_VALUE"""),170.0)</f>
        <v>170</v>
      </c>
      <c r="I148" s="236">
        <f>IFERROR(__xludf.DUMMYFUNCTION("""COMPUTED_VALUE"""),0.0013194444436521735)</f>
        <v>0.001319444444</v>
      </c>
      <c r="J148" s="237">
        <f>IFERROR(__xludf.DUMMYFUNCTION("""COMPUTED_VALUE"""),4.0)</f>
        <v>4</v>
      </c>
      <c r="K148" s="238">
        <f>IFERROR(__xludf.DUMMYFUNCTION("""COMPUTED_VALUE"""),9.0)</f>
        <v>9</v>
      </c>
      <c r="L148" s="237">
        <f>IFERROR(__xludf.DUMMYFUNCTION("""COMPUTED_VALUE"""),8.0)</f>
        <v>8</v>
      </c>
      <c r="M148" s="239" t="str">
        <f>IFERROR(__xludf.DUMMYFUNCTION("""COMPUTED_VALUE"""),"ouranhshc")</f>
        <v>ouranhshc</v>
      </c>
      <c r="N148" s="231">
        <f>IFERROR(__xludf.DUMMYFUNCTION("""COMPUTED_VALUE"""),908887.0)</f>
        <v>908887</v>
      </c>
      <c r="O148" s="198"/>
      <c r="P148" s="199"/>
    </row>
    <row r="149" ht="18.75" customHeight="1" outlineLevel="1">
      <c r="A149" s="230"/>
      <c r="B149" s="197"/>
      <c r="C149" s="198"/>
      <c r="D149" s="231" t="str">
        <f>IFERROR(__xludf.DUMMYFUNCTION("""COMPUTED_VALUE"""),"NM3")</f>
        <v>NM3</v>
      </c>
      <c r="E149" s="232" t="str">
        <f>IFERROR(__xludf.DUMMYFUNCTION("""COMPUTED_VALUE"""),"")</f>
        <v/>
      </c>
      <c r="F149" s="233" t="str">
        <f>IFERROR(__xludf.DUMMYFUNCTION("""COMPUTED_VALUE"""),"Sangatsu no Phantasia - Koufuku na Wagamama [Insane]")</f>
        <v>Sangatsu no Phantasia - Koufuku na Wagamama [Insane]</v>
      </c>
      <c r="G149" s="234">
        <f>IFERROR(__xludf.DUMMYFUNCTION("""COMPUTED_VALUE"""),4.88183)</f>
        <v>4.88183</v>
      </c>
      <c r="H149" s="235">
        <f>IFERROR(__xludf.DUMMYFUNCTION("""COMPUTED_VALUE"""),135.0)</f>
        <v>135</v>
      </c>
      <c r="I149" s="236">
        <f>IFERROR(__xludf.DUMMYFUNCTION("""COMPUTED_VALUE"""),0.002442129629343981)</f>
        <v>0.002442129629</v>
      </c>
      <c r="J149" s="237">
        <f>IFERROR(__xludf.DUMMYFUNCTION("""COMPUTED_VALUE"""),4.0)</f>
        <v>4</v>
      </c>
      <c r="K149" s="238">
        <f>IFERROR(__xludf.DUMMYFUNCTION("""COMPUTED_VALUE"""),9.0)</f>
        <v>9</v>
      </c>
      <c r="L149" s="237">
        <f>IFERROR(__xludf.DUMMYFUNCTION("""COMPUTED_VALUE"""),8.0)</f>
        <v>8</v>
      </c>
      <c r="M149" s="239" t="str">
        <f>IFERROR(__xludf.DUMMYFUNCTION("""COMPUTED_VALUE"""),"Jiysea")</f>
        <v>Jiysea</v>
      </c>
      <c r="N149" s="231">
        <f>IFERROR(__xludf.DUMMYFUNCTION("""COMPUTED_VALUE"""),3035501.0)</f>
        <v>3035501</v>
      </c>
      <c r="O149" s="198"/>
      <c r="P149" s="199"/>
    </row>
    <row r="150" ht="18.75" customHeight="1" outlineLevel="1">
      <c r="A150" s="230"/>
      <c r="B150" s="197"/>
      <c r="C150" s="198"/>
      <c r="D150" s="231" t="str">
        <f>IFERROR(__xludf.DUMMYFUNCTION("""COMPUTED_VALUE"""),"NM4")</f>
        <v>NM4</v>
      </c>
      <c r="E150" s="232" t="str">
        <f>IFERROR(__xludf.DUMMYFUNCTION("""COMPUTED_VALUE"""),"")</f>
        <v/>
      </c>
      <c r="F150" s="233" t="str">
        <f>IFERROR(__xludf.DUMMYFUNCTION("""COMPUTED_VALUE"""),"PSYQUI - Education [sorciere's Insane]")</f>
        <v>PSYQUI - Education [sorciere's Insane]</v>
      </c>
      <c r="G150" s="234">
        <f>IFERROR(__xludf.DUMMYFUNCTION("""COMPUTED_VALUE"""),4.71109)</f>
        <v>4.71109</v>
      </c>
      <c r="H150" s="235">
        <f>IFERROR(__xludf.DUMMYFUNCTION("""COMPUTED_VALUE"""),180.0)</f>
        <v>180</v>
      </c>
      <c r="I150" s="236">
        <f>IFERROR(__xludf.DUMMYFUNCTION("""COMPUTED_VALUE"""),0.002488425925548654)</f>
        <v>0.002488425926</v>
      </c>
      <c r="J150" s="237">
        <f>IFERROR(__xludf.DUMMYFUNCTION("""COMPUTED_VALUE"""),4.0)</f>
        <v>4</v>
      </c>
      <c r="K150" s="238">
        <f>IFERROR(__xludf.DUMMYFUNCTION("""COMPUTED_VALUE"""),9.0)</f>
        <v>9</v>
      </c>
      <c r="L150" s="237">
        <f>IFERROR(__xludf.DUMMYFUNCTION("""COMPUTED_VALUE"""),8.0)</f>
        <v>8</v>
      </c>
      <c r="M150" s="239" t="str">
        <f>IFERROR(__xludf.DUMMYFUNCTION("""COMPUTED_VALUE"""),"JeZag")</f>
        <v>JeZag</v>
      </c>
      <c r="N150" s="231">
        <f>IFERROR(__xludf.DUMMYFUNCTION("""COMPUTED_VALUE"""),3737825.0)</f>
        <v>3737825</v>
      </c>
      <c r="O150" s="198"/>
      <c r="P150" s="199"/>
    </row>
    <row r="151" ht="18.75" customHeight="1" outlineLevel="1">
      <c r="A151" s="230"/>
      <c r="B151" s="197"/>
      <c r="C151" s="198"/>
      <c r="D151" s="231" t="str">
        <f>IFERROR(__xludf.DUMMYFUNCTION("""COMPUTED_VALUE"""),"HD1")</f>
        <v>HD1</v>
      </c>
      <c r="E151" s="232" t="str">
        <f>IFERROR(__xludf.DUMMYFUNCTION("""COMPUTED_VALUE"""),"")</f>
        <v/>
      </c>
      <c r="F151" s="233" t="str">
        <f>IFERROR(__xludf.DUMMYFUNCTION("""COMPUTED_VALUE"""),"Ax feat. Natsukawa Yoko - Sakimori Renka [Insane]")</f>
        <v>Ax feat. Natsukawa Yoko - Sakimori Renka [Insane]</v>
      </c>
      <c r="G151" s="234">
        <f>IFERROR(__xludf.DUMMYFUNCTION("""COMPUTED_VALUE"""),5.05371)</f>
        <v>5.05371</v>
      </c>
      <c r="H151" s="235">
        <f>IFERROR(__xludf.DUMMYFUNCTION("""COMPUTED_VALUE"""),170.0)</f>
        <v>170</v>
      </c>
      <c r="I151" s="236">
        <f>IFERROR(__xludf.DUMMYFUNCTION("""COMPUTED_VALUE"""),0.002002314813580597)</f>
        <v>0.002002314814</v>
      </c>
      <c r="J151" s="237">
        <f>IFERROR(__xludf.DUMMYFUNCTION("""COMPUTED_VALUE"""),4.5)</f>
        <v>4.5</v>
      </c>
      <c r="K151" s="238">
        <f>IFERROR(__xludf.DUMMYFUNCTION("""COMPUTED_VALUE"""),9.0)</f>
        <v>9</v>
      </c>
      <c r="L151" s="237">
        <f>IFERROR(__xludf.DUMMYFUNCTION("""COMPUTED_VALUE"""),8.0)</f>
        <v>8</v>
      </c>
      <c r="M151" s="239" t="str">
        <f>IFERROR(__xludf.DUMMYFUNCTION("""COMPUTED_VALUE"""),"Yusomi")</f>
        <v>Yusomi</v>
      </c>
      <c r="N151" s="231">
        <f>IFERROR(__xludf.DUMMYFUNCTION("""COMPUTED_VALUE"""),2094462.0)</f>
        <v>2094462</v>
      </c>
      <c r="O151" s="198"/>
      <c r="P151" s="199"/>
    </row>
    <row r="152" ht="18.75" customHeight="1" outlineLevel="1">
      <c r="A152" s="230"/>
      <c r="B152" s="197"/>
      <c r="C152" s="198"/>
      <c r="D152" s="231" t="str">
        <f>IFERROR(__xludf.DUMMYFUNCTION("""COMPUTED_VALUE"""),"HD2")</f>
        <v>HD2</v>
      </c>
      <c r="E152" s="232" t="str">
        <f>IFERROR(__xludf.DUMMYFUNCTION("""COMPUTED_VALUE"""),"")</f>
        <v/>
      </c>
      <c r="F152" s="233" t="str">
        <f>IFERROR(__xludf.DUMMYFUNCTION("""COMPUTED_VALUE"""),"Amane - BOOZEHOUND [Down's Insane]")</f>
        <v>Amane - BOOZEHOUND [Down's Insane]</v>
      </c>
      <c r="G152" s="234">
        <f>IFERROR(__xludf.DUMMYFUNCTION("""COMPUTED_VALUE"""),4.61004)</f>
        <v>4.61004</v>
      </c>
      <c r="H152" s="235">
        <f>IFERROR(__xludf.DUMMYFUNCTION("""COMPUTED_VALUE"""),165.0)</f>
        <v>165</v>
      </c>
      <c r="I152" s="236">
        <f>IFERROR(__xludf.DUMMYFUNCTION("""COMPUTED_VALUE"""),0.0016550925938645378)</f>
        <v>0.001655092594</v>
      </c>
      <c r="J152" s="237">
        <f>IFERROR(__xludf.DUMMYFUNCTION("""COMPUTED_VALUE"""),5.0)</f>
        <v>5</v>
      </c>
      <c r="K152" s="238">
        <f>IFERROR(__xludf.DUMMYFUNCTION("""COMPUTED_VALUE"""),8.0)</f>
        <v>8</v>
      </c>
      <c r="L152" s="237">
        <f>IFERROR(__xludf.DUMMYFUNCTION("""COMPUTED_VALUE"""),7.0)</f>
        <v>7</v>
      </c>
      <c r="M152" s="239" t="str">
        <f>IFERROR(__xludf.DUMMYFUNCTION("""COMPUTED_VALUE"""),"Luscent")</f>
        <v>Luscent</v>
      </c>
      <c r="N152" s="231">
        <f>IFERROR(__xludf.DUMMYFUNCTION("""COMPUTED_VALUE"""),2619929.0)</f>
        <v>2619929</v>
      </c>
      <c r="O152" s="198"/>
      <c r="P152" s="199"/>
    </row>
    <row r="153" ht="18.75" customHeight="1" outlineLevel="1">
      <c r="A153" s="230"/>
      <c r="B153" s="197"/>
      <c r="C153" s="198"/>
      <c r="D153" s="231" t="str">
        <f>IFERROR(__xludf.DUMMYFUNCTION("""COMPUTED_VALUE"""),"HR1")</f>
        <v>HR1</v>
      </c>
      <c r="E153" s="232" t="str">
        <f>IFERROR(__xludf.DUMMYFUNCTION("""COMPUTED_VALUE"""),"")</f>
        <v/>
      </c>
      <c r="F153" s="279" t="str">
        <f>IFERROR(__xludf.DUMMYFUNCTION("""COMPUTED_VALUE"""),"THE ORAL CIGARETTES - Wagamama de Gomakasanaide [Panda &amp; Melwoine's Insane]")</f>
        <v>THE ORAL CIGARETTES - Wagamama de Gomakasanaide [Panda &amp; Melwoine's Insane]</v>
      </c>
      <c r="G153" s="234">
        <f>IFERROR(__xludf.DUMMYFUNCTION("""COMPUTED_VALUE"""),5.00382)</f>
        <v>5.00382</v>
      </c>
      <c r="H153" s="235">
        <f>IFERROR(__xludf.DUMMYFUNCTION("""COMPUTED_VALUE"""),142.0)</f>
        <v>142</v>
      </c>
      <c r="I153" s="236">
        <f>IFERROR(__xludf.DUMMYFUNCTION("""COMPUTED_VALUE"""),0.0029166666681703646)</f>
        <v>0.002916666668</v>
      </c>
      <c r="J153" s="237">
        <f>IFERROR(__xludf.DUMMYFUNCTION("""COMPUTED_VALUE"""),4.9399999999999995)</f>
        <v>4.94</v>
      </c>
      <c r="K153" s="238">
        <f>IFERROR(__xludf.DUMMYFUNCTION("""COMPUTED_VALUE"""),10.0)</f>
        <v>10</v>
      </c>
      <c r="L153" s="237">
        <f>IFERROR(__xludf.DUMMYFUNCTION("""COMPUTED_VALUE"""),10.0)</f>
        <v>10</v>
      </c>
      <c r="M153" s="239" t="str">
        <f>IFERROR(__xludf.DUMMYFUNCTION("""COMPUTED_VALUE"""),"DeviousPanda")</f>
        <v>DeviousPanda</v>
      </c>
      <c r="N153" s="231">
        <f>IFERROR(__xludf.DUMMYFUNCTION("""COMPUTED_VALUE"""),2027623.0)</f>
        <v>2027623</v>
      </c>
      <c r="O153" s="198"/>
      <c r="P153" s="199"/>
    </row>
    <row r="154" ht="18.75" customHeight="1" outlineLevel="1">
      <c r="A154" s="230"/>
      <c r="B154" s="197"/>
      <c r="C154" s="198"/>
      <c r="D154" s="231" t="str">
        <f>IFERROR(__xludf.DUMMYFUNCTION("""COMPUTED_VALUE"""),"HR2")</f>
        <v>HR2</v>
      </c>
      <c r="E154" s="232" t="str">
        <f>IFERROR(__xludf.DUMMYFUNCTION("""COMPUTED_VALUE"""),"")</f>
        <v/>
      </c>
      <c r="F154" s="233" t="str">
        <f>IFERROR(__xludf.DUMMYFUNCTION("""COMPUTED_VALUE"""),"Kajiura Yuki - Sis puella magica! [Tea Party]")</f>
        <v>Kajiura Yuki - Sis puella magica! [Tea Party]</v>
      </c>
      <c r="G154" s="234">
        <f>IFERROR(__xludf.DUMMYFUNCTION("""COMPUTED_VALUE"""),4.44079)</f>
        <v>4.44079</v>
      </c>
      <c r="H154" s="235">
        <f>IFERROR(__xludf.DUMMYFUNCTION("""COMPUTED_VALUE"""),155.42)</f>
        <v>155.42</v>
      </c>
      <c r="I154" s="236">
        <f>IFERROR(__xludf.DUMMYFUNCTION("""COMPUTED_VALUE"""),0.001678240740147885)</f>
        <v>0.00167824074</v>
      </c>
      <c r="J154" s="237">
        <f>IFERROR(__xludf.DUMMYFUNCTION("""COMPUTED_VALUE"""),6.5)</f>
        <v>6.5</v>
      </c>
      <c r="K154" s="238">
        <f>IFERROR(__xludf.DUMMYFUNCTION("""COMPUTED_VALUE"""),10.0)</f>
        <v>10</v>
      </c>
      <c r="L154" s="237">
        <f>IFERROR(__xludf.DUMMYFUNCTION("""COMPUTED_VALUE"""),10.0)</f>
        <v>10</v>
      </c>
      <c r="M154" s="239" t="str">
        <f>IFERROR(__xludf.DUMMYFUNCTION("""COMPUTED_VALUE"""),"Asonate")</f>
        <v>Asonate</v>
      </c>
      <c r="N154" s="231">
        <f>IFERROR(__xludf.DUMMYFUNCTION("""COMPUTED_VALUE"""),1523138.0)</f>
        <v>1523138</v>
      </c>
      <c r="O154" s="198"/>
      <c r="P154" s="199"/>
    </row>
    <row r="155" ht="18.75" customHeight="1" outlineLevel="1">
      <c r="A155" s="230"/>
      <c r="B155" s="197"/>
      <c r="C155" s="198"/>
      <c r="D155" s="231" t="str">
        <f>IFERROR(__xludf.DUMMYFUNCTION("""COMPUTED_VALUE"""),"DT1")</f>
        <v>DT1</v>
      </c>
      <c r="E155" s="232" t="str">
        <f>IFERROR(__xludf.DUMMYFUNCTION("""COMPUTED_VALUE"""),"")</f>
        <v/>
      </c>
      <c r="F155" s="233" t="str">
        <f>IFERROR(__xludf.DUMMYFUNCTION("""COMPUTED_VALUE"""),"ICHIKO - YOU'RE THE ONE [ANDREA &amp; ASUKO'S HARD]")</f>
        <v>ICHIKO - YOU'RE THE ONE [ANDREA &amp; ASUKO'S HARD]</v>
      </c>
      <c r="G155" s="234">
        <f>IFERROR(__xludf.DUMMYFUNCTION("""COMPUTED_VALUE"""),5.08077)</f>
        <v>5.08077</v>
      </c>
      <c r="H155" s="235">
        <f>IFERROR(__xludf.DUMMYFUNCTION("""COMPUTED_VALUE"""),235.5)</f>
        <v>235.5</v>
      </c>
      <c r="I155" s="236">
        <f>IFERROR(__xludf.DUMMYFUNCTION("""COMPUTED_VALUE"""),0.0017052469144497688)</f>
        <v>0.001705246914</v>
      </c>
      <c r="J155" s="237">
        <f>IFERROR(__xludf.DUMMYFUNCTION("""COMPUTED_VALUE"""),3.8)</f>
        <v>3.8</v>
      </c>
      <c r="K155" s="238">
        <f>IFERROR(__xludf.DUMMYFUNCTION("""COMPUTED_VALUE"""),9.666666666666668)</f>
        <v>9.666666667</v>
      </c>
      <c r="L155" s="237">
        <f>IFERROR(__xludf.DUMMYFUNCTION("""COMPUTED_VALUE"""),8.416666666666666)</f>
        <v>8.416666667</v>
      </c>
      <c r="M155" s="239" t="str">
        <f>IFERROR(__xludf.DUMMYFUNCTION("""COMPUTED_VALUE"""),"Andrea")</f>
        <v>Andrea</v>
      </c>
      <c r="N155" s="231">
        <f>IFERROR(__xludf.DUMMYFUNCTION("""COMPUTED_VALUE"""),4105349.0)</f>
        <v>4105349</v>
      </c>
      <c r="O155" s="198"/>
      <c r="P155" s="199"/>
    </row>
    <row r="156" ht="18.75" customHeight="1" outlineLevel="1">
      <c r="A156" s="230"/>
      <c r="B156" s="197"/>
      <c r="C156" s="198"/>
      <c r="D156" s="280" t="str">
        <f>IFERROR(__xludf.DUMMYFUNCTION("""COMPUTED_VALUE"""),"DT2")</f>
        <v>DT2</v>
      </c>
      <c r="E156" s="281" t="str">
        <f>IFERROR(__xludf.DUMMYFUNCTION("""COMPUTED_VALUE"""),"")</f>
        <v/>
      </c>
      <c r="F156" s="282" t="str">
        <f>IFERROR(__xludf.DUMMYFUNCTION("""COMPUTED_VALUE"""),"DIANA - Beethoven Virus [Aranel's Hard]")</f>
        <v>DIANA - Beethoven Virus [Aranel's Hard]</v>
      </c>
      <c r="G156" s="283">
        <f>IFERROR(__xludf.DUMMYFUNCTION("""COMPUTED_VALUE"""),4.78925)</f>
        <v>4.78925</v>
      </c>
      <c r="H156" s="284">
        <f>IFERROR(__xludf.DUMMYFUNCTION("""COMPUTED_VALUE"""),234.0)</f>
        <v>234</v>
      </c>
      <c r="I156" s="285">
        <f>IFERROR(__xludf.DUMMYFUNCTION("""COMPUTED_VALUE"""),0.0016512345682713203)</f>
        <v>0.001651234568</v>
      </c>
      <c r="J156" s="286">
        <f>IFERROR(__xludf.DUMMYFUNCTION("""COMPUTED_VALUE"""),3.6)</f>
        <v>3.6</v>
      </c>
      <c r="K156" s="287">
        <f>IFERROR(__xludf.DUMMYFUNCTION("""COMPUTED_VALUE"""),9.0)</f>
        <v>9</v>
      </c>
      <c r="L156" s="286">
        <f>IFERROR(__xludf.DUMMYFUNCTION("""COMPUTED_VALUE"""),8.683333333333335)</f>
        <v>8.683333333</v>
      </c>
      <c r="M156" s="288" t="str">
        <f>IFERROR(__xludf.DUMMYFUNCTION("""COMPUTED_VALUE"""),"Orkay")</f>
        <v>Orkay</v>
      </c>
      <c r="N156" s="280">
        <f>IFERROR(__xludf.DUMMYFUNCTION("""COMPUTED_VALUE"""),3533589.0)</f>
        <v>3533589</v>
      </c>
      <c r="O156" s="198"/>
      <c r="P156" s="199"/>
    </row>
    <row r="157" ht="18.75" customHeight="1">
      <c r="A157" s="230"/>
      <c r="B157" s="197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7"/>
    </row>
  </sheetData>
  <mergeCells count="21">
    <mergeCell ref="F53:H53"/>
    <mergeCell ref="L53:N53"/>
    <mergeCell ref="D2:E2"/>
    <mergeCell ref="F2:H2"/>
    <mergeCell ref="L2:N2"/>
    <mergeCell ref="D27:E27"/>
    <mergeCell ref="F27:H27"/>
    <mergeCell ref="L27:N27"/>
    <mergeCell ref="D53:E53"/>
    <mergeCell ref="F122:H122"/>
    <mergeCell ref="L122:N122"/>
    <mergeCell ref="D143:E143"/>
    <mergeCell ref="F143:H143"/>
    <mergeCell ref="L143:N143"/>
    <mergeCell ref="D77:E77"/>
    <mergeCell ref="F77:H77"/>
    <mergeCell ref="L77:N77"/>
    <mergeCell ref="D101:E101"/>
    <mergeCell ref="F101:H101"/>
    <mergeCell ref="L101:N101"/>
    <mergeCell ref="D122:E122"/>
  </mergeCells>
  <conditionalFormatting sqref="E4:E25 F4:N4 E29:E51 F29:N29 E55:E75 F55:N55 E79:E99 F79:N79 E103:E120 F103:N103 E124:E141 F124:N124 E145:E156 F145:N145">
    <cfRule type="containsText" dxfId="0" priority="1" operator="containsText" text="NM">
      <formula>NOT(ISERROR(SEARCH(("NM"),(E4))))</formula>
    </cfRule>
  </conditionalFormatting>
  <conditionalFormatting sqref="E4:E25 F4:N4 E29:E51 F29:N29 E55:E75 F55:N55 E79:E99 F79:N79 E103:E120 F103:N103 E124:E141 F124:N124 E145:E156 F145:N145">
    <cfRule type="containsText" dxfId="1" priority="2" operator="containsText" text="HD">
      <formula>NOT(ISERROR(SEARCH(("HD"),(E4))))</formula>
    </cfRule>
  </conditionalFormatting>
  <conditionalFormatting sqref="E4:E25 F4:N4 E29:E51 F29:N29 E55:E75 F55:N55 E79:E99 F79:N79 E103:E120 F103:N103 E124:E141 F124:N124 E145:E156 F145:N145">
    <cfRule type="containsText" dxfId="2" priority="3" operator="containsText" text="HR">
      <formula>NOT(ISERROR(SEARCH(("HR"),(E4))))</formula>
    </cfRule>
  </conditionalFormatting>
  <conditionalFormatting sqref="E4:E25 F4:N4 E29:E51 F29:N29 E55:E75 F55:N55 E79:E99 F79:N79 E103:E120 F103:N103 E124:E141 F124:N124 E145:E156 F145:N145">
    <cfRule type="containsText" dxfId="3" priority="4" operator="containsText" text="DT">
      <formula>NOT(ISERROR(SEARCH(("DT"),(E4))))</formula>
    </cfRule>
  </conditionalFormatting>
  <conditionalFormatting sqref="E4:E25 F4:N4 E29:E51 F29:N29 E55:E75 F55:N55 E79:E99 F79:N79 E103:E120 F103:N103 E124:E141 F124:N124 E145:E156 F145:N145">
    <cfRule type="containsText" dxfId="4" priority="5" operator="containsText" text="FM">
      <formula>NOT(ISERROR(SEARCH(("FM"),(E4))))</formula>
    </cfRule>
  </conditionalFormatting>
  <conditionalFormatting sqref="E4:E25 F4:N4 E29:E51 F29:N29 E55:E75 F55:N55 E79:E99 F79:N79 E103:E120 F103:N103 E124:E141 F124:N124 E145:E156 F145:N145">
    <cfRule type="containsText" dxfId="5" priority="6" operator="containsText" text="TB">
      <formula>NOT(ISERROR(SEARCH(("TB"),(E4))))</formula>
    </cfRule>
  </conditionalFormatting>
  <conditionalFormatting sqref="D2 F2 D4:N25 D27 F27 D29:N51 D53 F53 D55:N75 D77 F77 D79:N99 D101 F101 D103:N120 D122 F122 D124:N141 D143 F143 D145:N156">
    <cfRule type="expression" dxfId="6" priority="7">
      <formula>IF(LEFT($E2,2)="NM",TRUE,FALSE)</formula>
    </cfRule>
  </conditionalFormatting>
  <conditionalFormatting sqref="D2 F2 D4:N25 D27 F27 D29:N51 D53 F53 D55:N75 D77 F77 D79:N99 D101 F101 D103:N120 D122 F122 D124:N141 D143 F143 D145:N156">
    <cfRule type="expression" dxfId="7" priority="8">
      <formula>IF(LEFT($E2,2)="HD",TRUE,FALSE)</formula>
    </cfRule>
  </conditionalFormatting>
  <conditionalFormatting sqref="D2 F2 D4:N25 D27 F27 D29:N51 D53 F53 D55:N75 D77 F77 D79:N99 D101 F101 D103:N120 D122 F122 D124:N141 D143 F143 D145:N156">
    <cfRule type="expression" dxfId="8" priority="9">
      <formula>IF(LEFT($E2,2)="HR",TRUE,FALSE)</formula>
    </cfRule>
  </conditionalFormatting>
  <conditionalFormatting sqref="D2 F2 D4:N25 D27 F27 D29:N51 D53 F53 D55:N75 D77 F77 D79:N99 D101 F101 D103:N120 D122 F122 D124:N141 D143 F143 D145:N156">
    <cfRule type="expression" dxfId="9" priority="10">
      <formula>IF(LEFT($E2,2)="DT",TRUE,FALSE)</formula>
    </cfRule>
  </conditionalFormatting>
  <conditionalFormatting sqref="D2 F2 D4:N25 D27 F27 D29:N51 D53 F53 D55:N75 D77 F77 D79:N99 D101 F101 D103:N120 D122 F122 D124:N141 D143 F143 D145:N156">
    <cfRule type="expression" dxfId="10" priority="11">
      <formula>IF(LEFT($E2,2)="FM",TRUE,FALSE)</formula>
    </cfRule>
  </conditionalFormatting>
  <conditionalFormatting sqref="D2 F2 D4:N25 D27 F27 D29:N51 D53 F53 D55:N75 D77 F77 D79:N99 D101 F101 D103:N120 D122 F122 D124:N141 D143 F143 D145:N156">
    <cfRule type="expression" dxfId="11" priority="12">
      <formula>IF(LEFT($E2,2)="TB",TRUE,FALSE)</formula>
    </cfRule>
  </conditionalFormatting>
  <hyperlinks>
    <hyperlink r:id="rId1" ref="L2"/>
    <hyperlink r:id="rId2" location="osu/2792506" ref="F6"/>
    <hyperlink r:id="rId3" location="osu/3714369" ref="F7"/>
    <hyperlink r:id="rId4" location="osu/3461206" ref="F8"/>
    <hyperlink r:id="rId5" location="osu/1737928" ref="F9"/>
    <hyperlink r:id="rId6" location="osu/3711739" ref="F10"/>
    <hyperlink r:id="rId7" location="osu/3711612" ref="F11"/>
    <hyperlink r:id="rId8" location="osu/2348578" ref="F12"/>
    <hyperlink r:id="rId9" location="osu/4134134" ref="F13"/>
    <hyperlink r:id="rId10" location="osu/2565268" ref="F14"/>
    <hyperlink r:id="rId11" location="osu/1258993" ref="F15"/>
    <hyperlink r:id="rId12" location="osu/1592403" ref="F16"/>
    <hyperlink r:id="rId13" location="osu/3333734" ref="F17"/>
    <hyperlink r:id="rId14" location="osu/2519731" ref="F18"/>
    <hyperlink r:id="rId15" location="osu/1035068" ref="F19"/>
    <hyperlink r:id="rId16" location="osu/1707909" ref="F20"/>
    <hyperlink r:id="rId17" location="osu/25341" ref="F21"/>
    <hyperlink r:id="rId18" location="osu/3883278" ref="F22"/>
    <hyperlink r:id="rId19" location="osu/58701" ref="F23"/>
    <hyperlink r:id="rId20" location="osu/3853742" ref="F24"/>
    <hyperlink r:id="rId21" location="osu/862338" ref="F25"/>
    <hyperlink r:id="rId22" ref="L27"/>
    <hyperlink r:id="rId23" location="osu/2198934" ref="F31"/>
    <hyperlink r:id="rId24" location="osu/3010348" ref="F32"/>
    <hyperlink r:id="rId25" location="osu/3774971" ref="F33"/>
    <hyperlink r:id="rId26" location="osu/3802110" ref="F34"/>
    <hyperlink r:id="rId27" location="osu/309900" ref="F35"/>
    <hyperlink r:id="rId28" location="osu/3870932" ref="F36"/>
    <hyperlink r:id="rId29" location="osu/571620" ref="F37"/>
    <hyperlink r:id="rId30" location="osu/3563737" ref="F38"/>
    <hyperlink r:id="rId31" location="osu/2751338" ref="F39"/>
    <hyperlink r:id="rId32" location="osu/2288966" ref="F40"/>
    <hyperlink r:id="rId33" location="osu/2691754" ref="F41"/>
    <hyperlink r:id="rId34" location="osu/2856139" ref="F42"/>
    <hyperlink r:id="rId35" location="osu/765880" ref="F43"/>
    <hyperlink r:id="rId36" location="osu/345642" ref="F44"/>
    <hyperlink r:id="rId37" location="osu/2671858" ref="F45"/>
    <hyperlink r:id="rId38" location="osu/4150885" ref="F46"/>
    <hyperlink r:id="rId39" location="osu/4197268" ref="F47"/>
    <hyperlink r:id="rId40" location="osu/192181" ref="F48"/>
    <hyperlink r:id="rId41" location="osu/3499229" ref="F49"/>
    <hyperlink r:id="rId42" location="osu/1485947" ref="F50"/>
    <hyperlink r:id="rId43" ref="L53"/>
    <hyperlink r:id="rId44" location="osu/1717844" ref="F57"/>
    <hyperlink r:id="rId45" location="osu/3656173" ref="F58"/>
    <hyperlink r:id="rId46" location="osu/2715749" ref="F59"/>
    <hyperlink r:id="rId47" location="osu/3291796" ref="F60"/>
    <hyperlink r:id="rId48" location="osu/3187491" ref="F61"/>
    <hyperlink r:id="rId49" location="osu/3990086" ref="F62"/>
    <hyperlink r:id="rId50" location="osu/1972425" ref="F63"/>
    <hyperlink r:id="rId51" location="osu/2277128" ref="F64"/>
    <hyperlink r:id="rId52" location="osu/2044890" ref="F65"/>
    <hyperlink r:id="rId53" location="osu/3454421" ref="F66"/>
    <hyperlink r:id="rId54" location="osu/2917786" ref="F67"/>
    <hyperlink r:id="rId55" location="osu/1405094" ref="F68"/>
    <hyperlink r:id="rId56" location="osu/1592512" ref="F69"/>
    <hyperlink r:id="rId57" location="osu/2388648" ref="F70"/>
    <hyperlink r:id="rId58" location="osu/3819183" ref="F71"/>
    <hyperlink r:id="rId59" location="osu/2514122" ref="F72"/>
    <hyperlink r:id="rId60" location="osu/28366" ref="F73"/>
    <hyperlink r:id="rId61" location="osu/1248147" ref="F74"/>
    <hyperlink r:id="rId62" ref="L77"/>
    <hyperlink r:id="rId63" location="osu/1965654" ref="F81"/>
    <hyperlink r:id="rId64" location="osu/1838159" ref="F82"/>
    <hyperlink r:id="rId65" location="osu/2568756" ref="F83"/>
    <hyperlink r:id="rId66" location="osu/3341368" ref="F84"/>
    <hyperlink r:id="rId67" location="osu/4215637" ref="F85"/>
    <hyperlink r:id="rId68" location="osu/3821597" ref="F86"/>
    <hyperlink r:id="rId69" location="osu/2671048" ref="F87"/>
    <hyperlink r:id="rId70" location="osu/105978" ref="F88"/>
    <hyperlink r:id="rId71" location="osu/1491793" ref="F89"/>
    <hyperlink r:id="rId72" location="osu/3913591" ref="F90"/>
    <hyperlink r:id="rId73" location="osu/37750" ref="F91"/>
    <hyperlink r:id="rId74" location="osu/3248255" ref="F92"/>
    <hyperlink r:id="rId75" location="osu/674080" ref="F93"/>
    <hyperlink r:id="rId76" location="osu/3299370" ref="F94"/>
    <hyperlink r:id="rId77" location="osu/3822599" ref="F95"/>
    <hyperlink r:id="rId78" location="osu/3274886" ref="F96"/>
    <hyperlink r:id="rId79" location="osu/3804111" ref="F97"/>
    <hyperlink r:id="rId80" location="osu/577517" ref="F98"/>
    <hyperlink r:id="rId81" ref="L101"/>
    <hyperlink r:id="rId82" location="osu/2827293" ref="F105"/>
    <hyperlink r:id="rId83" location="osu/2004679" ref="F106"/>
    <hyperlink r:id="rId84" location="osu/3239199" ref="F107"/>
    <hyperlink r:id="rId85" location="osu/2794904" ref="F108"/>
    <hyperlink r:id="rId86" location="osu/2853477" ref="F109"/>
    <hyperlink r:id="rId87" location="osu/1733441" ref="F110"/>
    <hyperlink r:id="rId88" location="osu/3460069" ref="F111"/>
    <hyperlink r:id="rId89" location="osu/1956568" ref="F112"/>
    <hyperlink r:id="rId90" location="osu/295650" ref="F113"/>
    <hyperlink r:id="rId91" location="osu/3446883" ref="F114"/>
    <hyperlink r:id="rId92" location="osu/1521209" ref="F115"/>
    <hyperlink r:id="rId93" location="osu/3616100" ref="F116"/>
    <hyperlink r:id="rId94" location="osu/2151207" ref="F117"/>
    <hyperlink r:id="rId95" location="osu/417898" ref="F118"/>
    <hyperlink r:id="rId96" location="osu/1857415" ref="F119"/>
    <hyperlink r:id="rId97" ref="L122"/>
    <hyperlink r:id="rId98" location="osu/2277989" ref="F126"/>
    <hyperlink r:id="rId99" location="osu/3297107" ref="F127"/>
    <hyperlink r:id="rId100" location="osu/2440455" ref="F128"/>
    <hyperlink r:id="rId101" location="osu/3248876" ref="F129"/>
    <hyperlink r:id="rId102" location="osu/1989991" ref="F130"/>
    <hyperlink r:id="rId103" location="osu/3280686" ref="F131"/>
    <hyperlink r:id="rId104" location="osu/134141" ref="F132"/>
    <hyperlink r:id="rId105" location="osu/2659337" ref="F133"/>
    <hyperlink r:id="rId106" location="osu/2110801" ref="F134"/>
    <hyperlink r:id="rId107" location="osu/2044893" ref="F135"/>
    <hyperlink r:id="rId108" location="osu/2366848" ref="F136"/>
    <hyperlink r:id="rId109" location="osu/3396305" ref="F137"/>
    <hyperlink r:id="rId110" location="osu/846261" ref="F138"/>
    <hyperlink r:id="rId111" location="osu/3743202" ref="F139"/>
    <hyperlink r:id="rId112" location="osu/3446761" ref="F140"/>
    <hyperlink r:id="rId113" ref="L143"/>
    <hyperlink r:id="rId114" location="osu/3924030" ref="F147"/>
    <hyperlink r:id="rId115" location="osu/908887" ref="F148"/>
    <hyperlink r:id="rId116" location="osu/3035501" ref="F149"/>
    <hyperlink r:id="rId117" location="osu/3737825" ref="F150"/>
    <hyperlink r:id="rId118" location="osu/2094462" ref="F151"/>
    <hyperlink r:id="rId119" location="osu/2619929" ref="F152"/>
    <hyperlink r:id="rId120" location="osu/2027623" ref="F153"/>
    <hyperlink r:id="rId121" location="osu/1523138" ref="F154"/>
    <hyperlink r:id="rId122" location="osu/4105349" ref="F155"/>
    <hyperlink r:id="rId123" location="osu/3533589" ref="F156"/>
  </hyperlinks>
  <drawing r:id="rId1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9DF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12.63"/>
    <col customWidth="1" min="4" max="4" width="8.25"/>
    <col customWidth="1" min="5" max="5" width="12.63"/>
    <col customWidth="1" min="6" max="6" width="3.88"/>
    <col customWidth="1" min="7" max="7" width="8.25"/>
    <col customWidth="1" min="8" max="8" width="12.63"/>
    <col customWidth="1" min="9" max="9" width="3.88"/>
    <col customWidth="1" min="10" max="10" width="8.25"/>
    <col customWidth="1" min="11" max="11" width="12.63"/>
    <col customWidth="1" min="12" max="12" width="3.88"/>
    <col customWidth="1" min="13" max="13" width="9.5"/>
    <col customWidth="1" min="14" max="14" width="62.63"/>
    <col customWidth="1" min="15" max="17" width="1.38"/>
  </cols>
  <sheetData>
    <row r="1" ht="7.5" customHeight="1">
      <c r="A1" s="289"/>
      <c r="B1" s="289"/>
      <c r="C1" s="289"/>
      <c r="D1" s="290"/>
      <c r="E1" s="289"/>
      <c r="F1" s="291"/>
      <c r="G1" s="292"/>
      <c r="H1" s="291"/>
      <c r="I1" s="291"/>
      <c r="J1" s="292"/>
      <c r="K1" s="289"/>
      <c r="L1" s="289"/>
      <c r="M1" s="289"/>
      <c r="N1" s="289"/>
      <c r="O1" s="289"/>
      <c r="P1" s="289"/>
      <c r="Q1" s="289"/>
    </row>
    <row r="2" ht="3.75" customHeight="1">
      <c r="A2" s="289"/>
      <c r="B2" s="293"/>
      <c r="C2" s="293"/>
      <c r="D2" s="294"/>
      <c r="E2" s="293"/>
      <c r="F2" s="295"/>
      <c r="G2" s="296"/>
      <c r="H2" s="295"/>
      <c r="I2" s="295"/>
      <c r="J2" s="296"/>
      <c r="K2" s="293"/>
      <c r="L2" s="293"/>
      <c r="M2" s="293"/>
      <c r="N2" s="293"/>
      <c r="O2" s="293"/>
      <c r="P2" s="293"/>
      <c r="Q2" s="289"/>
    </row>
    <row r="3" ht="30.0" customHeight="1">
      <c r="A3" s="297"/>
      <c r="B3" s="293"/>
      <c r="C3" s="298" t="str">
        <f> "NO OF TEAMS            ( " 
&amp; COUNTIF(N6:N191,"*") &amp; " )" </f>
        <v>NO OF TEAMS            ( 62 )</v>
      </c>
      <c r="D3" s="299" t="str">
        <f>IMAGE("https://a.ppy.sh/17959882?1687932364.jpeg",4,55,55)</f>
        <v>#REF!</v>
      </c>
      <c r="E3" s="300" t="s">
        <v>73</v>
      </c>
      <c r="F3" s="301"/>
      <c r="G3" s="302" t="str">
        <f>IMAGE("https://a.ppy.sh/14238097?1686376598.jpeg",4,55,55)</f>
        <v>#REF!</v>
      </c>
      <c r="H3" s="300" t="s">
        <v>74</v>
      </c>
      <c r="I3" s="301"/>
      <c r="J3" s="302" t="str">
        <f>IMAGE("https://a.ppy.sh/12609866?1679925424.jpeg",4,55,55)</f>
        <v>#REF!</v>
      </c>
      <c r="K3" s="300" t="s">
        <v>75</v>
      </c>
      <c r="L3" s="301"/>
      <c r="M3" s="303" t="s">
        <v>76</v>
      </c>
      <c r="N3" s="303" t="s">
        <v>77</v>
      </c>
      <c r="P3" s="293"/>
      <c r="Q3" s="289"/>
    </row>
    <row r="4" ht="18.75" customHeight="1">
      <c r="A4" s="297"/>
      <c r="B4" s="293"/>
      <c r="D4" s="304"/>
      <c r="E4" s="305" t="s">
        <v>78</v>
      </c>
      <c r="F4" s="306"/>
      <c r="G4" s="304"/>
      <c r="H4" s="305" t="s">
        <v>78</v>
      </c>
      <c r="I4" s="306"/>
      <c r="J4" s="304"/>
      <c r="K4" s="305" t="s">
        <v>78</v>
      </c>
      <c r="L4" s="306"/>
      <c r="M4" s="307"/>
      <c r="N4" s="307"/>
      <c r="P4" s="293"/>
      <c r="Q4" s="289"/>
    </row>
    <row r="5" ht="3.75" customHeight="1">
      <c r="A5" s="289"/>
      <c r="B5" s="293"/>
      <c r="C5" s="293"/>
      <c r="D5" s="294"/>
      <c r="E5" s="293"/>
      <c r="F5" s="295"/>
      <c r="G5" s="296"/>
      <c r="H5" s="295"/>
      <c r="I5" s="295"/>
      <c r="J5" s="296"/>
      <c r="K5" s="293"/>
      <c r="L5" s="293"/>
      <c r="M5" s="308"/>
      <c r="N5" s="308"/>
      <c r="O5" s="293"/>
      <c r="P5" s="293"/>
      <c r="Q5" s="289"/>
    </row>
    <row r="6" ht="30.0" customHeight="1">
      <c r="A6" s="297"/>
      <c r="B6" s="293"/>
      <c r="C6" s="309" t="str">
        <f>IFERROR(__xludf.DUMMYFUNCTION("IMPORTRANGE(""1HHAHmZTTDlyB4RHaHQ-2bhUchkHOEZhmcQrDYQXnxnw"",""importrange_teams!U3:AG188"")"),"Better HD Abusers")</f>
        <v>Better HD Abusers</v>
      </c>
      <c r="D6" s="310" t="str">
        <f>IFERROR(__xludf.DUMMYFUNCTION("""COMPUTED_VALUE"""),"")</f>
        <v/>
      </c>
      <c r="E6" s="311" t="str">
        <f>IFERROR(__xludf.DUMMYFUNCTION("""COMPUTED_VALUE"""),"HD Abuser")</f>
        <v>HD Abuser</v>
      </c>
      <c r="F6" s="301"/>
      <c r="G6" s="312" t="str">
        <f>IFERROR(__xludf.DUMMYFUNCTION("""COMPUTED_VALUE"""),"")</f>
        <v/>
      </c>
      <c r="H6" s="311" t="str">
        <f>IFERROR(__xludf.DUMMYFUNCTION("""COMPUTED_VALUE"""),"Ultima_")</f>
        <v>Ultima_</v>
      </c>
      <c r="I6" s="301"/>
      <c r="J6" s="312" t="str">
        <f>IFERROR(__xludf.DUMMYFUNCTION("""COMPUTED_VALUE"""),"")</f>
        <v/>
      </c>
      <c r="K6" s="311" t="str">
        <f>IFERROR(__xludf.DUMMYFUNCTION("""COMPUTED_VALUE"""),"Kaeldori")</f>
        <v>Kaeldori</v>
      </c>
      <c r="L6" s="301"/>
      <c r="M6" s="313">
        <f>IFERROR(__xludf.DUMMYFUNCTION("""COMPUTED_VALUE"""),102799.0)</f>
        <v>102799</v>
      </c>
      <c r="N6" s="314" t="str">
        <f>IFERROR(__xludf.DUMMYFUNCTION("""COMPUTED_VALUE"""),"asexual people when theres chicago pizza at the function")</f>
        <v>asexual people when theres chicago pizza at the function</v>
      </c>
      <c r="P6" s="293"/>
      <c r="Q6" s="289"/>
    </row>
    <row r="7" ht="18.75" customHeight="1">
      <c r="A7" s="297"/>
      <c r="B7" s="293"/>
      <c r="D7" s="304"/>
      <c r="E7" s="315"/>
      <c r="F7" s="306" t="str">
        <f>IFERROR(__xludf.DUMMYFUNCTION("""COMPUTED_VALUE"""),"")</f>
        <v/>
      </c>
      <c r="G7" s="304"/>
      <c r="H7" s="315">
        <f>IFERROR(__xludf.DUMMYFUNCTION("""COMPUTED_VALUE"""),102600.0)</f>
        <v>102600</v>
      </c>
      <c r="I7" s="306" t="str">
        <f>IFERROR(__xludf.DUMMYFUNCTION("""COMPUTED_VALUE"""),"")</f>
        <v/>
      </c>
      <c r="J7" s="304"/>
      <c r="K7" s="315">
        <f>IFERROR(__xludf.DUMMYFUNCTION("""COMPUTED_VALUE"""),103267.0)</f>
        <v>103267</v>
      </c>
      <c r="L7" s="306" t="str">
        <f>IFERROR(__xludf.DUMMYFUNCTION("""COMPUTED_VALUE"""),"")</f>
        <v/>
      </c>
      <c r="M7" s="307"/>
      <c r="N7" s="307"/>
      <c r="P7" s="293"/>
      <c r="Q7" s="289"/>
    </row>
    <row r="8" ht="3.75" customHeight="1">
      <c r="A8" s="289"/>
      <c r="B8" s="293"/>
      <c r="C8" s="316"/>
      <c r="D8" s="294"/>
      <c r="E8" s="293"/>
      <c r="F8" s="295"/>
      <c r="G8" s="296"/>
      <c r="H8" s="295"/>
      <c r="I8" s="295"/>
      <c r="J8" s="296"/>
      <c r="K8" s="293"/>
      <c r="L8" s="308"/>
      <c r="M8" s="308"/>
      <c r="N8" s="308"/>
      <c r="O8" s="293"/>
      <c r="P8" s="293"/>
      <c r="Q8" s="289"/>
    </row>
    <row r="9" ht="30.0" customHeight="1">
      <c r="A9" s="297"/>
      <c r="B9" s="293"/>
      <c r="C9" s="309" t="str">
        <f>IFERROR(__xludf.DUMMYFUNCTION("""COMPUTED_VALUE"""),"small wiener club")</f>
        <v>small wiener club</v>
      </c>
      <c r="D9" s="310" t="str">
        <f>IFERROR(__xludf.DUMMYFUNCTION("""COMPUTED_VALUE"""),"")</f>
        <v/>
      </c>
      <c r="E9" s="311" t="str">
        <f>IFERROR(__xludf.DUMMYFUNCTION("""COMPUTED_VALUE"""),"SiriusOnly")</f>
        <v>SiriusOnly</v>
      </c>
      <c r="F9" s="301"/>
      <c r="G9" s="312" t="str">
        <f>IFERROR(__xludf.DUMMYFUNCTION("""COMPUTED_VALUE"""),"")</f>
        <v/>
      </c>
      <c r="H9" s="311" t="str">
        <f>IFERROR(__xludf.DUMMYFUNCTION("""COMPUTED_VALUE"""),"Kuranami_Kazu")</f>
        <v>Kuranami_Kazu</v>
      </c>
      <c r="I9" s="301"/>
      <c r="J9" s="312" t="str">
        <f>IFERROR(__xludf.DUMMYFUNCTION("""COMPUTED_VALUE"""),"")</f>
        <v/>
      </c>
      <c r="K9" s="311" t="str">
        <f>IFERROR(__xludf.DUMMYFUNCTION("""COMPUTED_VALUE"""),"DeathByDarwin")</f>
        <v>DeathByDarwin</v>
      </c>
      <c r="L9" s="301"/>
      <c r="M9" s="313">
        <f>IFERROR(__xludf.DUMMYFUNCTION("""COMPUTED_VALUE"""),102977.0)</f>
        <v>102977</v>
      </c>
      <c r="N9" s="314" t="str">
        <f>IFERROR(__xludf.DUMMYFUNCTION("""COMPUTED_VALUE"""),"We signed our Membership to the small wiener club with all the rights, privileges and honors appertaining. ")</f>
        <v>We signed our Membership to the small wiener club with all the rights, privileges and honors appertaining. </v>
      </c>
      <c r="P9" s="293"/>
      <c r="Q9" s="289"/>
    </row>
    <row r="10" ht="18.75" customHeight="1">
      <c r="A10" s="297"/>
      <c r="B10" s="293"/>
      <c r="D10" s="304"/>
      <c r="E10" s="315"/>
      <c r="F10" s="306" t="str">
        <f>IFERROR(__xludf.DUMMYFUNCTION("""COMPUTED_VALUE"""),"")</f>
        <v/>
      </c>
      <c r="G10" s="304"/>
      <c r="H10" s="315">
        <f>IFERROR(__xludf.DUMMYFUNCTION("""COMPUTED_VALUE"""),103490.0)</f>
        <v>103490</v>
      </c>
      <c r="I10" s="306" t="str">
        <f>IFERROR(__xludf.DUMMYFUNCTION("""COMPUTED_VALUE"""),"")</f>
        <v/>
      </c>
      <c r="J10" s="304"/>
      <c r="K10" s="315">
        <f>IFERROR(__xludf.DUMMYFUNCTION("""COMPUTED_VALUE"""),104988.0)</f>
        <v>104988</v>
      </c>
      <c r="L10" s="306" t="str">
        <f>IFERROR(__xludf.DUMMYFUNCTION("""COMPUTED_VALUE"""),"")</f>
        <v/>
      </c>
      <c r="M10" s="307"/>
      <c r="N10" s="307"/>
      <c r="P10" s="293"/>
      <c r="Q10" s="289"/>
    </row>
    <row r="11" ht="3.75" customHeight="1">
      <c r="A11" s="289"/>
      <c r="B11" s="293"/>
      <c r="C11" s="316"/>
      <c r="D11" s="294"/>
      <c r="E11" s="293"/>
      <c r="F11" s="295"/>
      <c r="G11" s="296"/>
      <c r="H11" s="295"/>
      <c r="I11" s="295"/>
      <c r="J11" s="296"/>
      <c r="K11" s="293"/>
      <c r="L11" s="308"/>
      <c r="M11" s="308"/>
      <c r="N11" s="308"/>
      <c r="O11" s="293"/>
      <c r="P11" s="293"/>
      <c r="Q11" s="289"/>
    </row>
    <row r="12" ht="30.0" customHeight="1">
      <c r="A12" s="297"/>
      <c r="B12" s="293"/>
      <c r="C12" s="309" t="str">
        <f>IFERROR(__xludf.DUMMYFUNCTION("""COMPUTED_VALUE"""),"phony :)")</f>
        <v>phony :)</v>
      </c>
      <c r="D12" s="310" t="str">
        <f>IFERROR(__xludf.DUMMYFUNCTION("""COMPUTED_VALUE"""),"")</f>
        <v/>
      </c>
      <c r="E12" s="311" t="str">
        <f>IFERROR(__xludf.DUMMYFUNCTION("""COMPUTED_VALUE"""),"AZKi")</f>
        <v>AZKi</v>
      </c>
      <c r="F12" s="301"/>
      <c r="G12" s="312" t="str">
        <f>IFERROR(__xludf.DUMMYFUNCTION("""COMPUTED_VALUE"""),"")</f>
        <v/>
      </c>
      <c r="H12" s="311" t="str">
        <f>IFERROR(__xludf.DUMMYFUNCTION("""COMPUTED_VALUE"""),"SomeLongName")</f>
        <v>SomeLongName</v>
      </c>
      <c r="I12" s="301"/>
      <c r="J12" s="312"/>
      <c r="K12" s="311"/>
      <c r="L12" s="301"/>
      <c r="M12" s="313">
        <f>IFERROR(__xludf.DUMMYFUNCTION("""COMPUTED_VALUE"""),103524.5)</f>
        <v>103524.5</v>
      </c>
      <c r="N12" s="314" t="str">
        <f>IFERROR(__xludf.DUMMYFUNCTION("""COMPUTED_VALUE"""),"a")</f>
        <v>a</v>
      </c>
      <c r="P12" s="293"/>
      <c r="Q12" s="289"/>
    </row>
    <row r="13" ht="18.75" customHeight="1">
      <c r="A13" s="297"/>
      <c r="B13" s="293"/>
      <c r="D13" s="304"/>
      <c r="E13" s="315"/>
      <c r="F13" s="306" t="str">
        <f>IFERROR(__xludf.DUMMYFUNCTION("""COMPUTED_VALUE"""),"")</f>
        <v/>
      </c>
      <c r="G13" s="304"/>
      <c r="H13" s="315">
        <f>IFERROR(__xludf.DUMMYFUNCTION("""COMPUTED_VALUE"""),103620.0)</f>
        <v>103620</v>
      </c>
      <c r="I13" s="306" t="str">
        <f>IFERROR(__xludf.DUMMYFUNCTION("""COMPUTED_VALUE"""),"")</f>
        <v/>
      </c>
      <c r="J13" s="304"/>
      <c r="K13" s="315"/>
      <c r="L13" s="306"/>
      <c r="M13" s="307"/>
      <c r="N13" s="307"/>
      <c r="P13" s="293"/>
      <c r="Q13" s="289"/>
    </row>
    <row r="14" ht="3.75" customHeight="1">
      <c r="A14" s="289"/>
      <c r="B14" s="293"/>
      <c r="C14" s="316"/>
      <c r="D14" s="294"/>
      <c r="E14" s="293"/>
      <c r="F14" s="295"/>
      <c r="G14" s="296"/>
      <c r="H14" s="295"/>
      <c r="I14" s="295"/>
      <c r="J14" s="296"/>
      <c r="K14" s="293"/>
      <c r="L14" s="308"/>
      <c r="M14" s="308"/>
      <c r="N14" s="308"/>
      <c r="O14" s="293"/>
      <c r="P14" s="293"/>
      <c r="Q14" s="289"/>
    </row>
    <row r="15" ht="30.0" customHeight="1">
      <c r="A15" s="297"/>
      <c r="B15" s="293"/>
      <c r="C15" s="309" t="str">
        <f>IFERROR(__xludf.DUMMYFUNCTION("""COMPUTED_VALUE"""),"foxy1919191919's basement")</f>
        <v>foxy1919191919's basement</v>
      </c>
      <c r="D15" s="310" t="str">
        <f>IFERROR(__xludf.DUMMYFUNCTION("""COMPUTED_VALUE"""),"")</f>
        <v/>
      </c>
      <c r="E15" s="311" t="str">
        <f>IFERROR(__xludf.DUMMYFUNCTION("""COMPUTED_VALUE"""),"Faceie")</f>
        <v>Faceie</v>
      </c>
      <c r="F15" s="301"/>
      <c r="G15" s="312" t="str">
        <f>IFERROR(__xludf.DUMMYFUNCTION("""COMPUTED_VALUE"""),"")</f>
        <v/>
      </c>
      <c r="H15" s="311" t="str">
        <f>IFERROR(__xludf.DUMMYFUNCTION("""COMPUTED_VALUE"""),"Flare_Drake")</f>
        <v>Flare_Drake</v>
      </c>
      <c r="I15" s="301"/>
      <c r="J15" s="312" t="str">
        <f>IFERROR(__xludf.DUMMYFUNCTION("""COMPUTED_VALUE"""),"")</f>
        <v/>
      </c>
      <c r="K15" s="311" t="str">
        <f>IFERROR(__xludf.DUMMYFUNCTION("""COMPUTED_VALUE"""),"vortexta")</f>
        <v>vortexta</v>
      </c>
      <c r="L15" s="301"/>
      <c r="M15" s="313">
        <f>IFERROR(__xludf.DUMMYFUNCTION("""COMPUTED_VALUE"""),106209.0)</f>
        <v>106209</v>
      </c>
      <c r="N15" s="314" t="str">
        <f>IFERROR(__xludf.DUMMYFUNCTION("""COMPUTED_VALUE"""),"pizza parties every wednesday")</f>
        <v>pizza parties every wednesday</v>
      </c>
      <c r="P15" s="293"/>
      <c r="Q15" s="289"/>
    </row>
    <row r="16" ht="18.75" customHeight="1">
      <c r="A16" s="297"/>
      <c r="B16" s="293"/>
      <c r="D16" s="304"/>
      <c r="E16" s="315"/>
      <c r="F16" s="306" t="str">
        <f>IFERROR(__xludf.DUMMYFUNCTION("""COMPUTED_VALUE"""),"")</f>
        <v/>
      </c>
      <c r="G16" s="304"/>
      <c r="H16" s="315">
        <f>IFERROR(__xludf.DUMMYFUNCTION("""COMPUTED_VALUE"""),109093.0)</f>
        <v>109093</v>
      </c>
      <c r="I16" s="306" t="str">
        <f>IFERROR(__xludf.DUMMYFUNCTION("""COMPUTED_VALUE"""),"")</f>
        <v/>
      </c>
      <c r="J16" s="304"/>
      <c r="K16" s="315">
        <f>IFERROR(__xludf.DUMMYFUNCTION("""COMPUTED_VALUE"""),108051.0)</f>
        <v>108051</v>
      </c>
      <c r="L16" s="306" t="str">
        <f>IFERROR(__xludf.DUMMYFUNCTION("""COMPUTED_VALUE"""),"")</f>
        <v/>
      </c>
      <c r="M16" s="307"/>
      <c r="N16" s="307"/>
      <c r="P16" s="293"/>
      <c r="Q16" s="289"/>
    </row>
    <row r="17" ht="3.75" customHeight="1">
      <c r="A17" s="289"/>
      <c r="B17" s="293"/>
      <c r="C17" s="316"/>
      <c r="D17" s="294"/>
      <c r="E17" s="293"/>
      <c r="F17" s="295"/>
      <c r="G17" s="296"/>
      <c r="H17" s="295"/>
      <c r="I17" s="295"/>
      <c r="J17" s="296"/>
      <c r="K17" s="293"/>
      <c r="L17" s="308"/>
      <c r="M17" s="308"/>
      <c r="N17" s="308"/>
      <c r="O17" s="293"/>
      <c r="P17" s="293"/>
      <c r="Q17" s="289"/>
    </row>
    <row r="18" ht="30.0" customHeight="1">
      <c r="A18" s="297"/>
      <c r="B18" s="293"/>
      <c r="C18" s="309" t="str">
        <f>IFERROR(__xludf.DUMMYFUNCTION("""COMPUTED_VALUE"""),"Homossexual Students")</f>
        <v>Homossexual Students</v>
      </c>
      <c r="D18" s="310" t="str">
        <f>IFERROR(__xludf.DUMMYFUNCTION("""COMPUTED_VALUE"""),"")</f>
        <v/>
      </c>
      <c r="E18" s="311" t="str">
        <f>IFERROR(__xludf.DUMMYFUNCTION("""COMPUTED_VALUE"""),"DUM4L77")</f>
        <v>DUM4L77</v>
      </c>
      <c r="F18" s="301"/>
      <c r="G18" s="312" t="str">
        <f>IFERROR(__xludf.DUMMYFUNCTION("""COMPUTED_VALUE"""),"")</f>
        <v/>
      </c>
      <c r="H18" s="311" t="str">
        <f>IFERROR(__xludf.DUMMYFUNCTION("""COMPUTED_VALUE"""),"Simabuco")</f>
        <v>Simabuco</v>
      </c>
      <c r="I18" s="301"/>
      <c r="J18" s="312" t="str">
        <f>IFERROR(__xludf.DUMMYFUNCTION("""COMPUTED_VALUE"""),"")</f>
        <v/>
      </c>
      <c r="K18" s="311" t="str">
        <f>IFERROR(__xludf.DUMMYFUNCTION("""COMPUTED_VALUE"""),"Loopyng")</f>
        <v>Loopyng</v>
      </c>
      <c r="L18" s="301"/>
      <c r="M18" s="313">
        <f>IFERROR(__xludf.DUMMYFUNCTION("""COMPUTED_VALUE"""),106606.66666666667)</f>
        <v>106606.6667</v>
      </c>
      <c r="N18" s="314" t="str">
        <f>IFERROR(__xludf.DUMMYFUNCTION("""COMPUTED_VALUE"""),":rainbow_flag: :student: ")</f>
        <v>:rainbow_flag: :student: </v>
      </c>
      <c r="P18" s="293"/>
      <c r="Q18" s="289"/>
    </row>
    <row r="19" ht="18.75" customHeight="1">
      <c r="A19" s="297"/>
      <c r="B19" s="293"/>
      <c r="D19" s="304"/>
      <c r="E19" s="315"/>
      <c r="F19" s="306" t="str">
        <f>IFERROR(__xludf.DUMMYFUNCTION("""COMPUTED_VALUE"""),"")</f>
        <v/>
      </c>
      <c r="G19" s="304"/>
      <c r="H19" s="315">
        <f>IFERROR(__xludf.DUMMYFUNCTION("""COMPUTED_VALUE"""),99423.0)</f>
        <v>99423</v>
      </c>
      <c r="I19" s="306" t="str">
        <f>IFERROR(__xludf.DUMMYFUNCTION("""COMPUTED_VALUE"""),"")</f>
        <v/>
      </c>
      <c r="J19" s="304"/>
      <c r="K19" s="315">
        <f>IFERROR(__xludf.DUMMYFUNCTION("""COMPUTED_VALUE"""),118391.0)</f>
        <v>118391</v>
      </c>
      <c r="L19" s="306" t="str">
        <f>IFERROR(__xludf.DUMMYFUNCTION("""COMPUTED_VALUE"""),"")</f>
        <v/>
      </c>
      <c r="M19" s="307"/>
      <c r="N19" s="307"/>
      <c r="P19" s="293"/>
      <c r="Q19" s="289"/>
    </row>
    <row r="20" ht="3.75" customHeight="1">
      <c r="A20" s="289"/>
      <c r="B20" s="293"/>
      <c r="C20" s="316"/>
      <c r="D20" s="294"/>
      <c r="E20" s="293"/>
      <c r="F20" s="295"/>
      <c r="G20" s="296"/>
      <c r="H20" s="295"/>
      <c r="I20" s="295"/>
      <c r="J20" s="296"/>
      <c r="K20" s="293"/>
      <c r="L20" s="308"/>
      <c r="M20" s="308"/>
      <c r="N20" s="308"/>
      <c r="O20" s="293"/>
      <c r="P20" s="293"/>
      <c r="Q20" s="289"/>
    </row>
    <row r="21" ht="30.0" customHeight="1">
      <c r="A21" s="297"/>
      <c r="B21" s="293"/>
      <c r="C21" s="309" t="str">
        <f>IFERROR(__xludf.DUMMYFUNCTION("""COMPUTED_VALUE"""),"hmmmm")</f>
        <v>hmmmm</v>
      </c>
      <c r="D21" s="310" t="str">
        <f>IFERROR(__xludf.DUMMYFUNCTION("""COMPUTED_VALUE"""),"")</f>
        <v/>
      </c>
      <c r="E21" s="311" t="str">
        <f>IFERROR(__xludf.DUMMYFUNCTION("""COMPUTED_VALUE"""),"VMPR13")</f>
        <v>VMPR13</v>
      </c>
      <c r="F21" s="301"/>
      <c r="G21" s="312" t="str">
        <f>IFERROR(__xludf.DUMMYFUNCTION("""COMPUTED_VALUE"""),"")</f>
        <v/>
      </c>
      <c r="H21" s="311" t="str">
        <f>IFERROR(__xludf.DUMMYFUNCTION("""COMPUTED_VALUE"""),"u-litay")</f>
        <v>u-litay</v>
      </c>
      <c r="I21" s="301"/>
      <c r="J21" s="312"/>
      <c r="K21" s="311"/>
      <c r="L21" s="301"/>
      <c r="M21" s="313">
        <f>IFERROR(__xludf.DUMMYFUNCTION("""COMPUTED_VALUE"""),106964.5)</f>
        <v>106964.5</v>
      </c>
      <c r="N21" s="314" t="str">
        <f>IFERROR(__xludf.DUMMYFUNCTION("""COMPUTED_VALUE"""),"ABSOLUTE GODMODE ON 4.4* + REACTION")</f>
        <v>ABSOLUTE GODMODE ON 4.4* + REACTION</v>
      </c>
      <c r="P21" s="293"/>
      <c r="Q21" s="289"/>
    </row>
    <row r="22" ht="18.75" customHeight="1">
      <c r="A22" s="297"/>
      <c r="B22" s="293"/>
      <c r="D22" s="304"/>
      <c r="E22" s="315"/>
      <c r="F22" s="306" t="str">
        <f>IFERROR(__xludf.DUMMYFUNCTION("""COMPUTED_VALUE"""),"")</f>
        <v/>
      </c>
      <c r="G22" s="304"/>
      <c r="H22" s="315">
        <f>IFERROR(__xludf.DUMMYFUNCTION("""COMPUTED_VALUE"""),100518.0)</f>
        <v>100518</v>
      </c>
      <c r="I22" s="306" t="str">
        <f>IFERROR(__xludf.DUMMYFUNCTION("""COMPUTED_VALUE"""),"")</f>
        <v/>
      </c>
      <c r="J22" s="304"/>
      <c r="K22" s="315"/>
      <c r="L22" s="306"/>
      <c r="M22" s="307"/>
      <c r="N22" s="307"/>
      <c r="P22" s="293"/>
      <c r="Q22" s="289"/>
    </row>
    <row r="23" ht="3.75" customHeight="1">
      <c r="A23" s="289"/>
      <c r="B23" s="293"/>
      <c r="C23" s="316"/>
      <c r="D23" s="294"/>
      <c r="E23" s="293"/>
      <c r="F23" s="295"/>
      <c r="G23" s="296"/>
      <c r="H23" s="295"/>
      <c r="I23" s="295"/>
      <c r="J23" s="296"/>
      <c r="K23" s="293"/>
      <c r="L23" s="308"/>
      <c r="M23" s="308"/>
      <c r="N23" s="308"/>
      <c r="O23" s="293"/>
      <c r="P23" s="293"/>
      <c r="Q23" s="289"/>
    </row>
    <row r="24" ht="30.0" customHeight="1">
      <c r="A24" s="297"/>
      <c r="B24" s="293"/>
      <c r="C24" s="309" t="str">
        <f>IFERROR(__xludf.DUMMYFUNCTION("""COMPUTED_VALUE"""),"animefoot69")</f>
        <v>animefoot69</v>
      </c>
      <c r="D24" s="310" t="str">
        <f>IFERROR(__xludf.DUMMYFUNCTION("""COMPUTED_VALUE"""),"")</f>
        <v/>
      </c>
      <c r="E24" s="311" t="str">
        <f>IFERROR(__xludf.DUMMYFUNCTION("""COMPUTED_VALUE"""),"cyclone290")</f>
        <v>cyclone290</v>
      </c>
      <c r="F24" s="301"/>
      <c r="G24" s="312" t="str">
        <f>IFERROR(__xludf.DUMMYFUNCTION("""COMPUTED_VALUE"""),"")</f>
        <v/>
      </c>
      <c r="H24" s="311" t="str">
        <f>IFERROR(__xludf.DUMMYFUNCTION("""COMPUTED_VALUE"""),"Aever")</f>
        <v>Aever</v>
      </c>
      <c r="I24" s="301"/>
      <c r="J24" s="312"/>
      <c r="K24" s="311"/>
      <c r="L24" s="301"/>
      <c r="M24" s="313">
        <f>IFERROR(__xludf.DUMMYFUNCTION("""COMPUTED_VALUE"""),107711.0)</f>
        <v>107711</v>
      </c>
      <c r="N24" s="314" t="str">
        <f>IFERROR(__xludf.DUMMYFUNCTION("""COMPUTED_VALUE"""),"we hate foots")</f>
        <v>we hate foots</v>
      </c>
      <c r="P24" s="293"/>
      <c r="Q24" s="289"/>
    </row>
    <row r="25" ht="18.75" customHeight="1">
      <c r="A25" s="297"/>
      <c r="B25" s="293"/>
      <c r="D25" s="304"/>
      <c r="E25" s="315"/>
      <c r="F25" s="306" t="str">
        <f>IFERROR(__xludf.DUMMYFUNCTION("""COMPUTED_VALUE"""),"")</f>
        <v/>
      </c>
      <c r="G25" s="304"/>
      <c r="H25" s="315">
        <f>IFERROR(__xludf.DUMMYFUNCTION("""COMPUTED_VALUE"""),114832.0)</f>
        <v>114832</v>
      </c>
      <c r="I25" s="306" t="str">
        <f>IFERROR(__xludf.DUMMYFUNCTION("""COMPUTED_VALUE"""),"")</f>
        <v/>
      </c>
      <c r="J25" s="304"/>
      <c r="K25" s="315"/>
      <c r="L25" s="306"/>
      <c r="M25" s="307"/>
      <c r="N25" s="307"/>
      <c r="P25" s="293"/>
      <c r="Q25" s="289"/>
    </row>
    <row r="26" ht="3.75" customHeight="1">
      <c r="A26" s="289"/>
      <c r="B26" s="293"/>
      <c r="C26" s="316"/>
      <c r="D26" s="294"/>
      <c r="E26" s="293"/>
      <c r="F26" s="295"/>
      <c r="G26" s="296"/>
      <c r="H26" s="295"/>
      <c r="I26" s="295"/>
      <c r="J26" s="296"/>
      <c r="K26" s="293"/>
      <c r="L26" s="308"/>
      <c r="M26" s="308"/>
      <c r="N26" s="308"/>
      <c r="O26" s="293"/>
      <c r="P26" s="293"/>
      <c r="Q26" s="289"/>
    </row>
    <row r="27" ht="30.0" customHeight="1">
      <c r="A27" s="297"/>
      <c r="B27" s="293"/>
      <c r="C27" s="309" t="str">
        <f>IFERROR(__xludf.DUMMYFUNCTION("""COMPUTED_VALUE"""),":MIPINGA:")</f>
        <v>:MIPINGA:</v>
      </c>
      <c r="D27" s="310" t="str">
        <f>IFERROR(__xludf.DUMMYFUNCTION("""COMPUTED_VALUE"""),"")</f>
        <v/>
      </c>
      <c r="E27" s="311" t="str">
        <f>IFERROR(__xludf.DUMMYFUNCTION("""COMPUTED_VALUE"""),"RAAPslimshady")</f>
        <v>RAAPslimshady</v>
      </c>
      <c r="F27" s="301"/>
      <c r="G27" s="312" t="str">
        <f>IFERROR(__xludf.DUMMYFUNCTION("""COMPUTED_VALUE"""),"")</f>
        <v/>
      </c>
      <c r="H27" s="311" t="str">
        <f>IFERROR(__xludf.DUMMYFUNCTION("""COMPUTED_VALUE"""),"Isita")</f>
        <v>Isita</v>
      </c>
      <c r="I27" s="301"/>
      <c r="J27" s="312" t="str">
        <f>IFERROR(__xludf.DUMMYFUNCTION("""COMPUTED_VALUE"""),"")</f>
        <v/>
      </c>
      <c r="K27" s="311" t="str">
        <f>IFERROR(__xludf.DUMMYFUNCTION("""COMPUTED_VALUE"""),"Lyxin")</f>
        <v>Lyxin</v>
      </c>
      <c r="L27" s="301"/>
      <c r="M27" s="313">
        <f>IFERROR(__xludf.DUMMYFUNCTION("""COMPUTED_VALUE"""),108009.33333333333)</f>
        <v>108009.3333</v>
      </c>
      <c r="N27" s="314" t="str">
        <f>IFERROR(__xludf.DUMMYFUNCTION("""COMPUTED_VALUE"""),"Puto el que lo lea")</f>
        <v>Puto el que lo lea</v>
      </c>
      <c r="P27" s="293"/>
      <c r="Q27" s="289"/>
    </row>
    <row r="28" ht="18.75" customHeight="1">
      <c r="A28" s="297"/>
      <c r="B28" s="293"/>
      <c r="D28" s="304"/>
      <c r="E28" s="315"/>
      <c r="F28" s="306" t="str">
        <f>IFERROR(__xludf.DUMMYFUNCTION("""COMPUTED_VALUE"""),"")</f>
        <v/>
      </c>
      <c r="G28" s="304"/>
      <c r="H28" s="315">
        <f>IFERROR(__xludf.DUMMYFUNCTION("""COMPUTED_VALUE"""),112224.0)</f>
        <v>112224</v>
      </c>
      <c r="I28" s="306" t="str">
        <f>IFERROR(__xludf.DUMMYFUNCTION("""COMPUTED_VALUE"""),"")</f>
        <v/>
      </c>
      <c r="J28" s="304"/>
      <c r="K28" s="315">
        <f>IFERROR(__xludf.DUMMYFUNCTION("""COMPUTED_VALUE"""),106279.0)</f>
        <v>106279</v>
      </c>
      <c r="L28" s="306" t="str">
        <f>IFERROR(__xludf.DUMMYFUNCTION("""COMPUTED_VALUE"""),"")</f>
        <v/>
      </c>
      <c r="M28" s="307"/>
      <c r="N28" s="307"/>
      <c r="P28" s="293"/>
      <c r="Q28" s="289"/>
    </row>
    <row r="29" ht="3.75" customHeight="1">
      <c r="A29" s="289"/>
      <c r="B29" s="293"/>
      <c r="C29" s="316"/>
      <c r="D29" s="294"/>
      <c r="E29" s="293"/>
      <c r="F29" s="295"/>
      <c r="G29" s="296"/>
      <c r="H29" s="295"/>
      <c r="I29" s="295"/>
      <c r="J29" s="296"/>
      <c r="K29" s="293"/>
      <c r="L29" s="308"/>
      <c r="M29" s="308"/>
      <c r="N29" s="308"/>
      <c r="O29" s="293"/>
      <c r="P29" s="293"/>
      <c r="Q29" s="289"/>
    </row>
    <row r="30" ht="30.0" customHeight="1">
      <c r="A30" s="297"/>
      <c r="B30" s="293"/>
      <c r="C30" s="309" t="str">
        <f>IFERROR(__xludf.DUMMYFUNCTION("""COMPUTED_VALUE"""),"Faz o L")</f>
        <v>Faz o L</v>
      </c>
      <c r="D30" s="310" t="str">
        <f>IFERROR(__xludf.DUMMYFUNCTION("""COMPUTED_VALUE"""),"")</f>
        <v/>
      </c>
      <c r="E30" s="311" t="str">
        <f>IFERROR(__xludf.DUMMYFUNCTION("""COMPUTED_VALUE"""),"jujubinhas2")</f>
        <v>jujubinhas2</v>
      </c>
      <c r="F30" s="301"/>
      <c r="G30" s="312" t="str">
        <f>IFERROR(__xludf.DUMMYFUNCTION("""COMPUTED_VALUE"""),"")</f>
        <v/>
      </c>
      <c r="H30" s="311" t="str">
        <f>IFERROR(__xludf.DUMMYFUNCTION("""COMPUTED_VALUE"""),"Iite")</f>
        <v>Iite</v>
      </c>
      <c r="I30" s="301"/>
      <c r="J30" s="312" t="str">
        <f>IFERROR(__xludf.DUMMYFUNCTION("""COMPUTED_VALUE"""),"")</f>
        <v/>
      </c>
      <c r="K30" s="311" t="str">
        <f>IFERROR(__xludf.DUMMYFUNCTION("""COMPUTED_VALUE"""),"Sporinho")</f>
        <v>Sporinho</v>
      </c>
      <c r="L30" s="301"/>
      <c r="M30" s="313">
        <f>IFERROR(__xludf.DUMMYFUNCTION("""COMPUTED_VALUE"""),109692.33333333333)</f>
        <v>109692.3333</v>
      </c>
      <c r="N30" s="314" t="str">
        <f>IFERROR(__xludf.DUMMYFUNCTION("""COMPUTED_VALUE"""),"Oieee linda passa o zap &gt;///&lt;?")</f>
        <v>Oieee linda passa o zap &gt;///&lt;?</v>
      </c>
      <c r="P30" s="293"/>
      <c r="Q30" s="289"/>
    </row>
    <row r="31" ht="18.75" customHeight="1">
      <c r="A31" s="297"/>
      <c r="B31" s="293"/>
      <c r="D31" s="304"/>
      <c r="E31" s="315"/>
      <c r="F31" s="306" t="str">
        <f>IFERROR(__xludf.DUMMYFUNCTION("""COMPUTED_VALUE"""),"")</f>
        <v/>
      </c>
      <c r="G31" s="304"/>
      <c r="H31" s="315">
        <f>IFERROR(__xludf.DUMMYFUNCTION("""COMPUTED_VALUE"""),104628.0)</f>
        <v>104628</v>
      </c>
      <c r="I31" s="306" t="str">
        <f>IFERROR(__xludf.DUMMYFUNCTION("""COMPUTED_VALUE"""),"")</f>
        <v/>
      </c>
      <c r="J31" s="304"/>
      <c r="K31" s="315">
        <f>IFERROR(__xludf.DUMMYFUNCTION("""COMPUTED_VALUE"""),100919.0)</f>
        <v>100919</v>
      </c>
      <c r="L31" s="306" t="str">
        <f>IFERROR(__xludf.DUMMYFUNCTION("""COMPUTED_VALUE"""),"")</f>
        <v/>
      </c>
      <c r="M31" s="307"/>
      <c r="N31" s="307"/>
      <c r="P31" s="293"/>
      <c r="Q31" s="289"/>
    </row>
    <row r="32" ht="3.75" customHeight="1">
      <c r="A32" s="289"/>
      <c r="B32" s="293"/>
      <c r="C32" s="316"/>
      <c r="D32" s="294"/>
      <c r="E32" s="293"/>
      <c r="F32" s="295"/>
      <c r="G32" s="296"/>
      <c r="H32" s="295"/>
      <c r="I32" s="295"/>
      <c r="J32" s="296"/>
      <c r="K32" s="293"/>
      <c r="L32" s="308"/>
      <c r="M32" s="308"/>
      <c r="N32" s="308"/>
      <c r="O32" s="293"/>
      <c r="P32" s="293"/>
      <c r="Q32" s="289"/>
    </row>
    <row r="33" ht="30.0" customHeight="1">
      <c r="A33" s="297"/>
      <c r="B33" s="293"/>
      <c r="C33" s="309" t="str">
        <f>IFERROR(__xludf.DUMMYFUNCTION("""COMPUTED_VALUE"""),"DSE victims")</f>
        <v>DSE victims</v>
      </c>
      <c r="D33" s="310" t="str">
        <f>IFERROR(__xludf.DUMMYFUNCTION("""COMPUTED_VALUE"""),"")</f>
        <v/>
      </c>
      <c r="E33" s="311" t="str">
        <f>IFERROR(__xludf.DUMMYFUNCTION("""COMPUTED_VALUE"""),"Himman")</f>
        <v>Himman</v>
      </c>
      <c r="F33" s="301"/>
      <c r="G33" s="312" t="str">
        <f>IFERROR(__xludf.DUMMYFUNCTION("""COMPUTED_VALUE"""),"")</f>
        <v/>
      </c>
      <c r="H33" s="311" t="str">
        <f>IFERROR(__xludf.DUMMYFUNCTION("""COMPUTED_VALUE"""),"C00KI3C00KIY")</f>
        <v>C00KI3C00KIY</v>
      </c>
      <c r="I33" s="301"/>
      <c r="J33" s="312" t="str">
        <f>IFERROR(__xludf.DUMMYFUNCTION("""COMPUTED_VALUE"""),"")</f>
        <v/>
      </c>
      <c r="K33" s="311" t="str">
        <f>IFERROR(__xludf.DUMMYFUNCTION("""COMPUTED_VALUE"""),"Cola1228")</f>
        <v>Cola1228</v>
      </c>
      <c r="L33" s="301"/>
      <c r="M33" s="313">
        <f>IFERROR(__xludf.DUMMYFUNCTION("""COMPUTED_VALUE"""),110310.0)</f>
        <v>110310</v>
      </c>
      <c r="N33" s="314" t="str">
        <f>IFERROR(__xludf.DUMMYFUNCTION("""COMPUTED_VALUE"""),"We go to school by bus")</f>
        <v>We go to school by bus</v>
      </c>
      <c r="P33" s="293"/>
      <c r="Q33" s="289"/>
    </row>
    <row r="34" ht="18.75" customHeight="1">
      <c r="A34" s="297"/>
      <c r="B34" s="293"/>
      <c r="D34" s="304"/>
      <c r="E34" s="315"/>
      <c r="F34" s="306" t="str">
        <f>IFERROR(__xludf.DUMMYFUNCTION("""COMPUTED_VALUE"""),"")</f>
        <v/>
      </c>
      <c r="G34" s="304"/>
      <c r="H34" s="315">
        <f>IFERROR(__xludf.DUMMYFUNCTION("""COMPUTED_VALUE"""),107761.0)</f>
        <v>107761</v>
      </c>
      <c r="I34" s="306" t="str">
        <f>IFERROR(__xludf.DUMMYFUNCTION("""COMPUTED_VALUE"""),"")</f>
        <v/>
      </c>
      <c r="J34" s="304"/>
      <c r="K34" s="315">
        <f>IFERROR(__xludf.DUMMYFUNCTION("""COMPUTED_VALUE"""),104444.0)</f>
        <v>104444</v>
      </c>
      <c r="L34" s="306" t="str">
        <f>IFERROR(__xludf.DUMMYFUNCTION("""COMPUTED_VALUE"""),"")</f>
        <v/>
      </c>
      <c r="M34" s="307"/>
      <c r="N34" s="307"/>
      <c r="P34" s="293"/>
      <c r="Q34" s="289"/>
    </row>
    <row r="35" ht="3.75" customHeight="1">
      <c r="A35" s="289"/>
      <c r="B35" s="293"/>
      <c r="C35" s="316"/>
      <c r="D35" s="294"/>
      <c r="E35" s="293"/>
      <c r="F35" s="295"/>
      <c r="G35" s="296"/>
      <c r="H35" s="295"/>
      <c r="I35" s="295"/>
      <c r="J35" s="296"/>
      <c r="K35" s="293"/>
      <c r="L35" s="308"/>
      <c r="M35" s="308"/>
      <c r="N35" s="308"/>
      <c r="O35" s="293"/>
      <c r="P35" s="293"/>
      <c r="Q35" s="289"/>
    </row>
    <row r="36" ht="30.0" customHeight="1">
      <c r="A36" s="297"/>
      <c r="B36" s="293"/>
      <c r="C36" s="309" t="str">
        <f>IFERROR(__xludf.DUMMYFUNCTION("""COMPUTED_VALUE"""),"underdogs ")</f>
        <v>underdogs </v>
      </c>
      <c r="D36" s="310" t="str">
        <f>IFERROR(__xludf.DUMMYFUNCTION("""COMPUTED_VALUE"""),"")</f>
        <v/>
      </c>
      <c r="E36" s="311" t="str">
        <f>IFERROR(__xludf.DUMMYFUNCTION("""COMPUTED_VALUE"""),"Hatchi115")</f>
        <v>Hatchi115</v>
      </c>
      <c r="F36" s="301"/>
      <c r="G36" s="312" t="str">
        <f>IFERROR(__xludf.DUMMYFUNCTION("""COMPUTED_VALUE"""),"")</f>
        <v/>
      </c>
      <c r="H36" s="311" t="str">
        <f>IFERROR(__xludf.DUMMYFUNCTION("""COMPUTED_VALUE"""),"Yeayea")</f>
        <v>Yeayea</v>
      </c>
      <c r="I36" s="301"/>
      <c r="J36" s="312"/>
      <c r="K36" s="311"/>
      <c r="L36" s="301"/>
      <c r="M36" s="313">
        <f>IFERROR(__xludf.DUMMYFUNCTION("""COMPUTED_VALUE"""),111044.5)</f>
        <v>111044.5</v>
      </c>
      <c r="N36" s="314" t="str">
        <f>IFERROR(__xludf.DUMMYFUNCTION("""COMPUTED_VALUE"""),"we will win")</f>
        <v>we will win</v>
      </c>
      <c r="P36" s="293"/>
      <c r="Q36" s="289"/>
    </row>
    <row r="37" ht="18.75" customHeight="1">
      <c r="A37" s="297"/>
      <c r="B37" s="293"/>
      <c r="D37" s="304"/>
      <c r="E37" s="315"/>
      <c r="F37" s="306" t="str">
        <f>IFERROR(__xludf.DUMMYFUNCTION("""COMPUTED_VALUE"""),"")</f>
        <v/>
      </c>
      <c r="G37" s="304"/>
      <c r="H37" s="315">
        <f>IFERROR(__xludf.DUMMYFUNCTION("""COMPUTED_VALUE"""),106474.0)</f>
        <v>106474</v>
      </c>
      <c r="I37" s="306" t="str">
        <f>IFERROR(__xludf.DUMMYFUNCTION("""COMPUTED_VALUE"""),"")</f>
        <v/>
      </c>
      <c r="J37" s="304"/>
      <c r="K37" s="315"/>
      <c r="L37" s="306"/>
      <c r="M37" s="307"/>
      <c r="N37" s="307"/>
      <c r="P37" s="293"/>
      <c r="Q37" s="289"/>
    </row>
    <row r="38" ht="3.75" customHeight="1">
      <c r="A38" s="289"/>
      <c r="B38" s="293"/>
      <c r="C38" s="316"/>
      <c r="D38" s="294"/>
      <c r="E38" s="293"/>
      <c r="F38" s="295"/>
      <c r="G38" s="296"/>
      <c r="H38" s="295"/>
      <c r="I38" s="295"/>
      <c r="J38" s="296"/>
      <c r="K38" s="293"/>
      <c r="L38" s="308"/>
      <c r="M38" s="308"/>
      <c r="N38" s="308"/>
      <c r="O38" s="293"/>
      <c r="P38" s="293"/>
      <c r="Q38" s="289"/>
    </row>
    <row r="39" ht="30.0" customHeight="1">
      <c r="A39" s="297"/>
      <c r="B39" s="293"/>
      <c r="C39" s="309" t="str">
        <f>IFERROR(__xludf.DUMMYFUNCTION("""COMPUTED_VALUE"""),"The 3-star Threats")</f>
        <v>The 3-star Threats</v>
      </c>
      <c r="D39" s="310" t="str">
        <f>IFERROR(__xludf.DUMMYFUNCTION("""COMPUTED_VALUE"""),"")</f>
        <v/>
      </c>
      <c r="E39" s="311" t="str">
        <f>IFERROR(__xludf.DUMMYFUNCTION("""COMPUTED_VALUE"""),"bonnflow")</f>
        <v>bonnflow</v>
      </c>
      <c r="F39" s="301"/>
      <c r="G39" s="312" t="str">
        <f>IFERROR(__xludf.DUMMYFUNCTION("""COMPUTED_VALUE"""),"")</f>
        <v/>
      </c>
      <c r="H39" s="311" t="str">
        <f>IFERROR(__xludf.DUMMYFUNCTION("""COMPUTED_VALUE"""),"DarkHalis9")</f>
        <v>DarkHalis9</v>
      </c>
      <c r="I39" s="301"/>
      <c r="J39" s="312" t="str">
        <f>IFERROR(__xludf.DUMMYFUNCTION("""COMPUTED_VALUE"""),"")</f>
        <v/>
      </c>
      <c r="K39" s="311" t="str">
        <f>IFERROR(__xludf.DUMMYFUNCTION("""COMPUTED_VALUE"""),"maicon192011")</f>
        <v>maicon192011</v>
      </c>
      <c r="L39" s="301"/>
      <c r="M39" s="313">
        <f>IFERROR(__xludf.DUMMYFUNCTION("""COMPUTED_VALUE"""),112263.0)</f>
        <v>112263</v>
      </c>
      <c r="N39" s="314" t="str">
        <f>IFERROR(__xludf.DUMMYFUNCTION("""COMPUTED_VALUE"""),"No PP? No problem!")</f>
        <v>No PP? No problem!</v>
      </c>
      <c r="P39" s="293"/>
      <c r="Q39" s="289"/>
    </row>
    <row r="40" ht="18.75" customHeight="1">
      <c r="A40" s="297"/>
      <c r="B40" s="293"/>
      <c r="D40" s="304"/>
      <c r="E40" s="315"/>
      <c r="F40" s="306" t="str">
        <f>IFERROR(__xludf.DUMMYFUNCTION("""COMPUTED_VALUE"""),"")</f>
        <v/>
      </c>
      <c r="G40" s="304"/>
      <c r="H40" s="315">
        <f>IFERROR(__xludf.DUMMYFUNCTION("""COMPUTED_VALUE"""),133603.0)</f>
        <v>133603</v>
      </c>
      <c r="I40" s="306" t="str">
        <f>IFERROR(__xludf.DUMMYFUNCTION("""COMPUTED_VALUE"""),"")</f>
        <v/>
      </c>
      <c r="J40" s="304"/>
      <c r="K40" s="315">
        <f>IFERROR(__xludf.DUMMYFUNCTION("""COMPUTED_VALUE"""),106420.0)</f>
        <v>106420</v>
      </c>
      <c r="L40" s="306" t="str">
        <f>IFERROR(__xludf.DUMMYFUNCTION("""COMPUTED_VALUE"""),"")</f>
        <v/>
      </c>
      <c r="M40" s="307"/>
      <c r="N40" s="307"/>
      <c r="P40" s="293"/>
      <c r="Q40" s="289"/>
    </row>
    <row r="41" ht="3.75" customHeight="1">
      <c r="A41" s="289"/>
      <c r="B41" s="293"/>
      <c r="C41" s="316"/>
      <c r="D41" s="294"/>
      <c r="E41" s="293"/>
      <c r="F41" s="295"/>
      <c r="G41" s="296"/>
      <c r="H41" s="295"/>
      <c r="I41" s="295"/>
      <c r="J41" s="296"/>
      <c r="K41" s="293"/>
      <c r="L41" s="308"/>
      <c r="M41" s="308"/>
      <c r="N41" s="308"/>
      <c r="O41" s="293"/>
      <c r="P41" s="293"/>
      <c r="Q41" s="289"/>
    </row>
    <row r="42" ht="30.0" customHeight="1">
      <c r="A42" s="297"/>
      <c r="B42" s="293"/>
      <c r="C42" s="309" t="str">
        <f>IFERROR(__xludf.DUMMYFUNCTION("""COMPUTED_VALUE"""),"middle-schooler wife")</f>
        <v>middle-schooler wife</v>
      </c>
      <c r="D42" s="310" t="str">
        <f>IFERROR(__xludf.DUMMYFUNCTION("""COMPUTED_VALUE"""),"")</f>
        <v/>
      </c>
      <c r="E42" s="311" t="str">
        <f>IFERROR(__xludf.DUMMYFUNCTION("""COMPUTED_VALUE"""),"euouae_")</f>
        <v>euouae_</v>
      </c>
      <c r="F42" s="301"/>
      <c r="G42" s="312" t="str">
        <f>IFERROR(__xludf.DUMMYFUNCTION("""COMPUTED_VALUE"""),"")</f>
        <v/>
      </c>
      <c r="H42" s="311" t="str">
        <f>IFERROR(__xludf.DUMMYFUNCTION("""COMPUTED_VALUE"""),"HecaRegina")</f>
        <v>HecaRegina</v>
      </c>
      <c r="I42" s="301"/>
      <c r="J42" s="312" t="str">
        <f>IFERROR(__xludf.DUMMYFUNCTION("""COMPUTED_VALUE"""),"")</f>
        <v/>
      </c>
      <c r="K42" s="311" t="str">
        <f>IFERROR(__xludf.DUMMYFUNCTION("""COMPUTED_VALUE"""),"Onii karma")</f>
        <v>Onii karma</v>
      </c>
      <c r="L42" s="301"/>
      <c r="M42" s="313">
        <f>IFERROR(__xludf.DUMMYFUNCTION("""COMPUTED_VALUE"""),113045.66666666667)</f>
        <v>113045.6667</v>
      </c>
      <c r="N42" s="314" t="str">
        <f>IFERROR(__xludf.DUMMYFUNCTION("""COMPUTED_VALUE"""),"I want a middle-schooler wife")</f>
        <v>I want a middle-schooler wife</v>
      </c>
      <c r="P42" s="293"/>
      <c r="Q42" s="289"/>
    </row>
    <row r="43" ht="18.75" customHeight="1">
      <c r="A43" s="297"/>
      <c r="B43" s="293"/>
      <c r="D43" s="304"/>
      <c r="E43" s="315"/>
      <c r="F43" s="306" t="str">
        <f>IFERROR(__xludf.DUMMYFUNCTION("""COMPUTED_VALUE"""),"")</f>
        <v/>
      </c>
      <c r="G43" s="304"/>
      <c r="H43" s="315">
        <f>IFERROR(__xludf.DUMMYFUNCTION("""COMPUTED_VALUE"""),125599.0)</f>
        <v>125599</v>
      </c>
      <c r="I43" s="306" t="str">
        <f>IFERROR(__xludf.DUMMYFUNCTION("""COMPUTED_VALUE"""),"")</f>
        <v/>
      </c>
      <c r="J43" s="304"/>
      <c r="K43" s="315">
        <f>IFERROR(__xludf.DUMMYFUNCTION("""COMPUTED_VALUE"""),115656.0)</f>
        <v>115656</v>
      </c>
      <c r="L43" s="306" t="str">
        <f>IFERROR(__xludf.DUMMYFUNCTION("""COMPUTED_VALUE"""),"")</f>
        <v/>
      </c>
      <c r="M43" s="307"/>
      <c r="N43" s="307"/>
      <c r="P43" s="293"/>
      <c r="Q43" s="289"/>
    </row>
    <row r="44" ht="3.75" customHeight="1">
      <c r="A44" s="289"/>
      <c r="B44" s="293"/>
      <c r="C44" s="316"/>
      <c r="D44" s="294"/>
      <c r="E44" s="293"/>
      <c r="F44" s="295"/>
      <c r="G44" s="296"/>
      <c r="H44" s="295"/>
      <c r="I44" s="295"/>
      <c r="J44" s="296"/>
      <c r="K44" s="293"/>
      <c r="L44" s="308"/>
      <c r="M44" s="308"/>
      <c r="N44" s="308"/>
      <c r="O44" s="293"/>
      <c r="P44" s="293"/>
      <c r="Q44" s="289"/>
    </row>
    <row r="45" ht="30.0" customHeight="1">
      <c r="A45" s="297"/>
      <c r="B45" s="293"/>
      <c r="C45" s="309" t="str">
        <f>IFERROR(__xludf.DUMMYFUNCTION("""COMPUTED_VALUE"""),"PoorQuaIityMeatpilow")</f>
        <v>PoorQuaIityMeatpilow</v>
      </c>
      <c r="D45" s="310" t="str">
        <f>IFERROR(__xludf.DUMMYFUNCTION("""COMPUTED_VALUE"""),"")</f>
        <v/>
      </c>
      <c r="E45" s="311" t="str">
        <f>IFERROR(__xludf.DUMMYFUNCTION("""COMPUTED_VALUE"""),"PoorQuaIityMeat")</f>
        <v>PoorQuaIityMeat</v>
      </c>
      <c r="F45" s="301"/>
      <c r="G45" s="312" t="str">
        <f>IFERROR(__xludf.DUMMYFUNCTION("""COMPUTED_VALUE"""),"")</f>
        <v/>
      </c>
      <c r="H45" s="311" t="str">
        <f>IFERROR(__xludf.DUMMYFUNCTION("""COMPUTED_VALUE"""),"Pilllow")</f>
        <v>Pilllow</v>
      </c>
      <c r="I45" s="301"/>
      <c r="J45" s="312"/>
      <c r="K45" s="311"/>
      <c r="L45" s="301"/>
      <c r="M45" s="313">
        <f>IFERROR(__xludf.DUMMYFUNCTION("""COMPUTED_VALUE"""),113343.5)</f>
        <v>113343.5</v>
      </c>
      <c r="N45" s="314" t="str">
        <f>IFERROR(__xludf.DUMMYFUNCTION("""COMPUTED_VALUE"""),"el cojin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")</f>
        <v>el cojin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﷽</v>
      </c>
      <c r="P45" s="293"/>
      <c r="Q45" s="289"/>
    </row>
    <row r="46" ht="18.75" customHeight="1">
      <c r="A46" s="297"/>
      <c r="B46" s="293"/>
      <c r="D46" s="304"/>
      <c r="E46" s="315" t="str">
        <f>IFERROR(__xludf.DUMMYFUNCTION("""COMPUTED_VALUE"""),"#REF!")</f>
        <v>#REF!</v>
      </c>
      <c r="F46" s="306" t="str">
        <f>IFERROR(__xludf.DUMMYFUNCTION("""COMPUTED_VALUE"""),"")</f>
        <v/>
      </c>
      <c r="G46" s="304"/>
      <c r="H46" s="315">
        <f>IFERROR(__xludf.DUMMYFUNCTION("""COMPUTED_VALUE"""),126633.0)</f>
        <v>126633</v>
      </c>
      <c r="I46" s="306" t="str">
        <f>IFERROR(__xludf.DUMMYFUNCTION("""COMPUTED_VALUE"""),"")</f>
        <v/>
      </c>
      <c r="J46" s="304"/>
      <c r="K46" s="315"/>
      <c r="L46" s="306"/>
      <c r="M46" s="307"/>
      <c r="N46" s="307"/>
      <c r="P46" s="293"/>
      <c r="Q46" s="289"/>
    </row>
    <row r="47" ht="3.75" customHeight="1">
      <c r="A47" s="289"/>
      <c r="B47" s="293"/>
      <c r="C47" s="316"/>
      <c r="D47" s="294"/>
      <c r="E47" s="293"/>
      <c r="F47" s="295"/>
      <c r="G47" s="296"/>
      <c r="H47" s="295"/>
      <c r="I47" s="295"/>
      <c r="J47" s="296"/>
      <c r="K47" s="293"/>
      <c r="L47" s="308"/>
      <c r="M47" s="308"/>
      <c r="N47" s="308"/>
      <c r="O47" s="293"/>
      <c r="P47" s="293"/>
      <c r="Q47" s="289"/>
    </row>
    <row r="48" ht="30.0" customHeight="1">
      <c r="A48" s="297"/>
      <c r="B48" s="293"/>
      <c r="C48" s="309" t="str">
        <f>IFERROR(__xludf.DUMMYFUNCTION("""COMPUTED_VALUE"""),"match in 15")</f>
        <v>match in 15</v>
      </c>
      <c r="D48" s="310" t="str">
        <f>IFERROR(__xludf.DUMMYFUNCTION("""COMPUTED_VALUE"""),"")</f>
        <v/>
      </c>
      <c r="E48" s="311" t="str">
        <f>IFERROR(__xludf.DUMMYFUNCTION("""COMPUTED_VALUE"""),"X-ill")</f>
        <v>X-ill</v>
      </c>
      <c r="F48" s="301"/>
      <c r="G48" s="312" t="str">
        <f>IFERROR(__xludf.DUMMYFUNCTION("""COMPUTED_VALUE"""),"")</f>
        <v/>
      </c>
      <c r="H48" s="311" t="str">
        <f>IFERROR(__xludf.DUMMYFUNCTION("""COMPUTED_VALUE"""),"marshysxn")</f>
        <v>marshysxn</v>
      </c>
      <c r="I48" s="301"/>
      <c r="J48" s="312" t="str">
        <f>IFERROR(__xludf.DUMMYFUNCTION("""COMPUTED_VALUE"""),"")</f>
        <v/>
      </c>
      <c r="K48" s="311" t="str">
        <f>IFERROR(__xludf.DUMMYFUNCTION("""COMPUTED_VALUE"""),"felixgg")</f>
        <v>felixgg</v>
      </c>
      <c r="L48" s="301"/>
      <c r="M48" s="313">
        <f>IFERROR(__xludf.DUMMYFUNCTION("""COMPUTED_VALUE"""),113444.33333333333)</f>
        <v>113444.3333</v>
      </c>
      <c r="N48" s="314" t="str">
        <f>IFERROR(__xludf.DUMMYFUNCTION("""COMPUTED_VALUE"""),"invites in 10")</f>
        <v>invites in 10</v>
      </c>
      <c r="P48" s="293"/>
      <c r="Q48" s="289"/>
    </row>
    <row r="49" ht="18.75" customHeight="1">
      <c r="A49" s="297"/>
      <c r="B49" s="293"/>
      <c r="D49" s="304"/>
      <c r="E49" s="315"/>
      <c r="F49" s="306" t="str">
        <f>IFERROR(__xludf.DUMMYFUNCTION("""COMPUTED_VALUE"""),"")</f>
        <v/>
      </c>
      <c r="G49" s="304"/>
      <c r="H49" s="315">
        <f>IFERROR(__xludf.DUMMYFUNCTION("""COMPUTED_VALUE"""),102998.0)</f>
        <v>102998</v>
      </c>
      <c r="I49" s="306" t="str">
        <f>IFERROR(__xludf.DUMMYFUNCTION("""COMPUTED_VALUE"""),"")</f>
        <v/>
      </c>
      <c r="J49" s="304"/>
      <c r="K49" s="315">
        <f>IFERROR(__xludf.DUMMYFUNCTION("""COMPUTED_VALUE"""),133232.0)</f>
        <v>133232</v>
      </c>
      <c r="L49" s="306" t="str">
        <f>IFERROR(__xludf.DUMMYFUNCTION("""COMPUTED_VALUE"""),"")</f>
        <v/>
      </c>
      <c r="M49" s="307"/>
      <c r="N49" s="307"/>
      <c r="P49" s="293"/>
      <c r="Q49" s="289"/>
    </row>
    <row r="50" ht="3.75" customHeight="1">
      <c r="A50" s="289"/>
      <c r="B50" s="293"/>
      <c r="C50" s="316"/>
      <c r="D50" s="294"/>
      <c r="E50" s="293"/>
      <c r="F50" s="295"/>
      <c r="G50" s="296"/>
      <c r="H50" s="295"/>
      <c r="I50" s="295"/>
      <c r="J50" s="296"/>
      <c r="K50" s="293"/>
      <c r="L50" s="308"/>
      <c r="M50" s="308"/>
      <c r="N50" s="308"/>
      <c r="O50" s="293"/>
      <c r="P50" s="293"/>
      <c r="Q50" s="289"/>
    </row>
    <row r="51" ht="30.0" customHeight="1">
      <c r="A51" s="297"/>
      <c r="B51" s="293"/>
      <c r="C51" s="309" t="str">
        <f>IFERROR(__xludf.DUMMYFUNCTION("""COMPUTED_VALUE"""),"Flexgang")</f>
        <v>Flexgang</v>
      </c>
      <c r="D51" s="310" t="str">
        <f>IFERROR(__xludf.DUMMYFUNCTION("""COMPUTED_VALUE"""),"")</f>
        <v/>
      </c>
      <c r="E51" s="311" t="str">
        <f>IFERROR(__xludf.DUMMYFUNCTION("""COMPUTED_VALUE"""),"lipefree")</f>
        <v>lipefree</v>
      </c>
      <c r="F51" s="301"/>
      <c r="G51" s="312" t="str">
        <f>IFERROR(__xludf.DUMMYFUNCTION("""COMPUTED_VALUE"""),"")</f>
        <v/>
      </c>
      <c r="H51" s="311" t="str">
        <f>IFERROR(__xludf.DUMMYFUNCTION("""COMPUTED_VALUE"""),"Darvgaea")</f>
        <v>Darvgaea</v>
      </c>
      <c r="I51" s="301"/>
      <c r="J51" s="312"/>
      <c r="K51" s="311"/>
      <c r="L51" s="301"/>
      <c r="M51" s="313">
        <f>IFERROR(__xludf.DUMMYFUNCTION("""COMPUTED_VALUE"""),113517.0)</f>
        <v>113517</v>
      </c>
      <c r="N51" s="314" t="str">
        <f>IFERROR(__xludf.DUMMYFUNCTION("""COMPUTED_VALUE"""),"yes")</f>
        <v>yes</v>
      </c>
      <c r="P51" s="293"/>
      <c r="Q51" s="289"/>
    </row>
    <row r="52" ht="18.75" customHeight="1">
      <c r="A52" s="297"/>
      <c r="B52" s="293"/>
      <c r="D52" s="304"/>
      <c r="E52" s="315"/>
      <c r="F52" s="306" t="str">
        <f>IFERROR(__xludf.DUMMYFUNCTION("""COMPUTED_VALUE"""),"")</f>
        <v/>
      </c>
      <c r="G52" s="304"/>
      <c r="H52" s="315">
        <f>IFERROR(__xludf.DUMMYFUNCTION("""COMPUTED_VALUE"""),117345.0)</f>
        <v>117345</v>
      </c>
      <c r="I52" s="306" t="str">
        <f>IFERROR(__xludf.DUMMYFUNCTION("""COMPUTED_VALUE"""),"")</f>
        <v/>
      </c>
      <c r="J52" s="304"/>
      <c r="K52" s="315"/>
      <c r="L52" s="306"/>
      <c r="M52" s="307"/>
      <c r="N52" s="307"/>
      <c r="P52" s="293"/>
      <c r="Q52" s="289"/>
    </row>
    <row r="53" ht="3.75" customHeight="1">
      <c r="A53" s="289"/>
      <c r="B53" s="293"/>
      <c r="C53" s="316"/>
      <c r="D53" s="294"/>
      <c r="E53" s="293"/>
      <c r="F53" s="295"/>
      <c r="G53" s="296"/>
      <c r="H53" s="295"/>
      <c r="I53" s="295"/>
      <c r="J53" s="296"/>
      <c r="K53" s="293"/>
      <c r="L53" s="308"/>
      <c r="M53" s="308"/>
      <c r="N53" s="308"/>
      <c r="O53" s="293"/>
      <c r="P53" s="293"/>
      <c r="Q53" s="289"/>
    </row>
    <row r="54" ht="30.0" customHeight="1">
      <c r="A54" s="297"/>
      <c r="B54" s="293"/>
      <c r="C54" s="309" t="str">
        <f>IFERROR(__xludf.DUMMYFUNCTION("""COMPUTED_VALUE"""),"placeholder teamname")</f>
        <v>placeholder teamname</v>
      </c>
      <c r="D54" s="310" t="str">
        <f>IFERROR(__xludf.DUMMYFUNCTION("""COMPUTED_VALUE"""),"")</f>
        <v/>
      </c>
      <c r="E54" s="311" t="str">
        <f>IFERROR(__xludf.DUMMYFUNCTION("""COMPUTED_VALUE"""),"Qkiryu")</f>
        <v>Qkiryu</v>
      </c>
      <c r="F54" s="301"/>
      <c r="G54" s="312" t="str">
        <f>IFERROR(__xludf.DUMMYFUNCTION("""COMPUTED_VALUE"""),"")</f>
        <v/>
      </c>
      <c r="H54" s="311" t="str">
        <f>IFERROR(__xludf.DUMMYFUNCTION("""COMPUTED_VALUE"""),"FireRed88")</f>
        <v>FireRed88</v>
      </c>
      <c r="I54" s="301"/>
      <c r="J54" s="312" t="str">
        <f>IFERROR(__xludf.DUMMYFUNCTION("""COMPUTED_VALUE"""),"")</f>
        <v/>
      </c>
      <c r="K54" s="311" t="str">
        <f>IFERROR(__xludf.DUMMYFUNCTION("""COMPUTED_VALUE"""),"CGXWasTaken")</f>
        <v>CGXWasTaken</v>
      </c>
      <c r="L54" s="301"/>
      <c r="M54" s="313">
        <f>IFERROR(__xludf.DUMMYFUNCTION("""COMPUTED_VALUE"""),113944.66666666667)</f>
        <v>113944.6667</v>
      </c>
      <c r="N54" s="314" t="str">
        <f>IFERROR(__xludf.DUMMYFUNCTION("""COMPUTED_VALUE"""),"will an american be able to adjust to southeast asian timezones??")</f>
        <v>will an american be able to adjust to southeast asian timezones??</v>
      </c>
      <c r="P54" s="293"/>
      <c r="Q54" s="289"/>
    </row>
    <row r="55" ht="18.75" customHeight="1">
      <c r="A55" s="297"/>
      <c r="B55" s="293"/>
      <c r="D55" s="304"/>
      <c r="E55" s="315"/>
      <c r="F55" s="306" t="str">
        <f>IFERROR(__xludf.DUMMYFUNCTION("""COMPUTED_VALUE"""),"")</f>
        <v/>
      </c>
      <c r="G55" s="304"/>
      <c r="H55" s="315">
        <f>IFERROR(__xludf.DUMMYFUNCTION("""COMPUTED_VALUE"""),120425.0)</f>
        <v>120425</v>
      </c>
      <c r="I55" s="306" t="str">
        <f>IFERROR(__xludf.DUMMYFUNCTION("""COMPUTED_VALUE"""),"")</f>
        <v/>
      </c>
      <c r="J55" s="304"/>
      <c r="K55" s="315">
        <f>IFERROR(__xludf.DUMMYFUNCTION("""COMPUTED_VALUE"""),101519.0)</f>
        <v>101519</v>
      </c>
      <c r="L55" s="306" t="str">
        <f>IFERROR(__xludf.DUMMYFUNCTION("""COMPUTED_VALUE"""),"")</f>
        <v/>
      </c>
      <c r="M55" s="307"/>
      <c r="N55" s="307"/>
      <c r="P55" s="293"/>
      <c r="Q55" s="289"/>
    </row>
    <row r="56" ht="3.75" customHeight="1">
      <c r="A56" s="289"/>
      <c r="B56" s="293"/>
      <c r="C56" s="316"/>
      <c r="D56" s="294"/>
      <c r="E56" s="293"/>
      <c r="F56" s="295"/>
      <c r="G56" s="296"/>
      <c r="H56" s="295"/>
      <c r="I56" s="295"/>
      <c r="J56" s="296"/>
      <c r="K56" s="293"/>
      <c r="L56" s="308"/>
      <c r="M56" s="308"/>
      <c r="N56" s="308"/>
      <c r="O56" s="293"/>
      <c r="P56" s="293"/>
      <c r="Q56" s="289"/>
    </row>
    <row r="57" ht="30.0" customHeight="1">
      <c r="A57" s="297"/>
      <c r="B57" s="293"/>
      <c r="C57" s="309" t="str">
        <f>IFERROR(__xludf.DUMMYFUNCTION("""COMPUTED_VALUE"""),"VN+1")</f>
        <v>VN+1</v>
      </c>
      <c r="D57" s="310" t="str">
        <f>IFERROR(__xludf.DUMMYFUNCTION("""COMPUTED_VALUE"""),"")</f>
        <v/>
      </c>
      <c r="E57" s="311" t="str">
        <f>IFERROR(__xludf.DUMMYFUNCTION("""COMPUTED_VALUE"""),"fnugus")</f>
        <v>fnugus</v>
      </c>
      <c r="F57" s="301"/>
      <c r="G57" s="312" t="str">
        <f>IFERROR(__xludf.DUMMYFUNCTION("""COMPUTED_VALUE"""),"")</f>
        <v/>
      </c>
      <c r="H57" s="311" t="str">
        <f>IFERROR(__xludf.DUMMYFUNCTION("""COMPUTED_VALUE"""),"RaiRei")</f>
        <v>RaiRei</v>
      </c>
      <c r="I57" s="301"/>
      <c r="J57" s="312" t="str">
        <f>IFERROR(__xludf.DUMMYFUNCTION("""COMPUTED_VALUE"""),"")</f>
        <v/>
      </c>
      <c r="K57" s="311" t="str">
        <f>IFERROR(__xludf.DUMMYFUNCTION("""COMPUTED_VALUE"""),"Elfie125")</f>
        <v>Elfie125</v>
      </c>
      <c r="L57" s="301"/>
      <c r="M57" s="313">
        <f>IFERROR(__xludf.DUMMYFUNCTION("""COMPUTED_VALUE"""),117106.0)</f>
        <v>117106</v>
      </c>
      <c r="N57" s="314" t="str">
        <f>IFERROR(__xludf.DUMMYFUNCTION("""COMPUTED_VALUE"""),"&gt;w&lt;  uwu  &gt;///&lt;")</f>
        <v>&gt;w&lt;  uwu  &gt;///&lt;</v>
      </c>
      <c r="P57" s="293"/>
      <c r="Q57" s="289"/>
    </row>
    <row r="58" ht="18.75" customHeight="1">
      <c r="A58" s="297"/>
      <c r="B58" s="293"/>
      <c r="D58" s="304"/>
      <c r="E58" s="315"/>
      <c r="F58" s="306" t="str">
        <f>IFERROR(__xludf.DUMMYFUNCTION("""COMPUTED_VALUE"""),"")</f>
        <v/>
      </c>
      <c r="G58" s="304"/>
      <c r="H58" s="315">
        <f>IFERROR(__xludf.DUMMYFUNCTION("""COMPUTED_VALUE"""),130034.0)</f>
        <v>130034</v>
      </c>
      <c r="I58" s="306" t="str">
        <f>IFERROR(__xludf.DUMMYFUNCTION("""COMPUTED_VALUE"""),"")</f>
        <v/>
      </c>
      <c r="J58" s="304"/>
      <c r="K58" s="315">
        <f>IFERROR(__xludf.DUMMYFUNCTION("""COMPUTED_VALUE"""),101971.0)</f>
        <v>101971</v>
      </c>
      <c r="L58" s="306" t="str">
        <f>IFERROR(__xludf.DUMMYFUNCTION("""COMPUTED_VALUE"""),"")</f>
        <v/>
      </c>
      <c r="M58" s="307"/>
      <c r="N58" s="307"/>
      <c r="P58" s="293"/>
      <c r="Q58" s="289"/>
    </row>
    <row r="59" ht="3.75" customHeight="1">
      <c r="A59" s="289"/>
      <c r="B59" s="293"/>
      <c r="C59" s="316"/>
      <c r="D59" s="294"/>
      <c r="E59" s="293"/>
      <c r="F59" s="295"/>
      <c r="G59" s="296"/>
      <c r="H59" s="295"/>
      <c r="I59" s="295"/>
      <c r="J59" s="296"/>
      <c r="K59" s="293"/>
      <c r="L59" s="308"/>
      <c r="M59" s="308"/>
      <c r="N59" s="308"/>
      <c r="O59" s="293"/>
      <c r="P59" s="293"/>
      <c r="Q59" s="289"/>
    </row>
    <row r="60" ht="30.0" customHeight="1">
      <c r="A60" s="297"/>
      <c r="B60" s="293"/>
      <c r="C60" s="309" t="str">
        <f>IFERROR(__xludf.DUMMYFUNCTION("""COMPUTED_VALUE"""),"Kittens")</f>
        <v>Kittens</v>
      </c>
      <c r="D60" s="310" t="str">
        <f>IFERROR(__xludf.DUMMYFUNCTION("""COMPUTED_VALUE"""),"")</f>
        <v/>
      </c>
      <c r="E60" s="311" t="str">
        <f>IFERROR(__xludf.DUMMYFUNCTION("""COMPUTED_VALUE"""),"Rurup")</f>
        <v>Rurup</v>
      </c>
      <c r="F60" s="301"/>
      <c r="G60" s="312" t="str">
        <f>IFERROR(__xludf.DUMMYFUNCTION("""COMPUTED_VALUE"""),"")</f>
        <v/>
      </c>
      <c r="H60" s="311" t="str">
        <f>IFERROR(__xludf.DUMMYFUNCTION("""COMPUTED_VALUE"""),"Shaddie_")</f>
        <v>Shaddie_</v>
      </c>
      <c r="I60" s="301"/>
      <c r="J60" s="312" t="str">
        <f>IFERROR(__xludf.DUMMYFUNCTION("""COMPUTED_VALUE"""),"")</f>
        <v/>
      </c>
      <c r="K60" s="311" t="str">
        <f>IFERROR(__xludf.DUMMYFUNCTION("""COMPUTED_VALUE"""),"DzikaSwinia")</f>
        <v>DzikaSwinia</v>
      </c>
      <c r="L60" s="301"/>
      <c r="M60" s="313">
        <f>IFERROR(__xludf.DUMMYFUNCTION("""COMPUTED_VALUE"""),117478.66666666667)</f>
        <v>117478.6667</v>
      </c>
      <c r="N60" s="314" t="str">
        <f>IFERROR(__xludf.DUMMYFUNCTION("""COMPUTED_VALUE"""),"Is Shaddie gonna quit?")</f>
        <v>Is Shaddie gonna quit?</v>
      </c>
      <c r="P60" s="293"/>
      <c r="Q60" s="289"/>
    </row>
    <row r="61" ht="18.75" customHeight="1">
      <c r="A61" s="297"/>
      <c r="B61" s="293"/>
      <c r="D61" s="304"/>
      <c r="E61" s="315"/>
      <c r="F61" s="306" t="str">
        <f>IFERROR(__xludf.DUMMYFUNCTION("""COMPUTED_VALUE"""),"")</f>
        <v/>
      </c>
      <c r="G61" s="304"/>
      <c r="H61" s="315">
        <f>IFERROR(__xludf.DUMMYFUNCTION("""COMPUTED_VALUE"""),100637.0)</f>
        <v>100637</v>
      </c>
      <c r="I61" s="306" t="str">
        <f>IFERROR(__xludf.DUMMYFUNCTION("""COMPUTED_VALUE"""),"")</f>
        <v/>
      </c>
      <c r="J61" s="304"/>
      <c r="K61" s="315">
        <f>IFERROR(__xludf.DUMMYFUNCTION("""COMPUTED_VALUE"""),125538.0)</f>
        <v>125538</v>
      </c>
      <c r="L61" s="306" t="str">
        <f>IFERROR(__xludf.DUMMYFUNCTION("""COMPUTED_VALUE"""),"")</f>
        <v/>
      </c>
      <c r="M61" s="307"/>
      <c r="N61" s="307"/>
      <c r="P61" s="293"/>
      <c r="Q61" s="289"/>
    </row>
    <row r="62" ht="3.75" customHeight="1">
      <c r="A62" s="289"/>
      <c r="B62" s="293"/>
      <c r="C62" s="316"/>
      <c r="D62" s="294"/>
      <c r="E62" s="293"/>
      <c r="F62" s="295"/>
      <c r="G62" s="296"/>
      <c r="H62" s="295"/>
      <c r="I62" s="295"/>
      <c r="J62" s="296"/>
      <c r="K62" s="293"/>
      <c r="L62" s="308"/>
      <c r="M62" s="308"/>
      <c r="N62" s="308"/>
      <c r="O62" s="293"/>
      <c r="P62" s="293"/>
      <c r="Q62" s="289"/>
    </row>
    <row r="63" ht="30.0" customHeight="1">
      <c r="A63" s="297"/>
      <c r="B63" s="293"/>
      <c r="C63" s="309" t="str">
        <f>IFERROR(__xludf.DUMMYFUNCTION("""COMPUTED_VALUE"""),"blpka")</f>
        <v>blpka</v>
      </c>
      <c r="D63" s="310" t="str">
        <f>IFERROR(__xludf.DUMMYFUNCTION("""COMPUTED_VALUE"""),"")</f>
        <v/>
      </c>
      <c r="E63" s="311" t="str">
        <f>IFERROR(__xludf.DUMMYFUNCTION("""COMPUTED_VALUE"""),"- Enkidu -")</f>
        <v>- Enkidu -</v>
      </c>
      <c r="F63" s="301"/>
      <c r="G63" s="312" t="str">
        <f>IFERROR(__xludf.DUMMYFUNCTION("""COMPUTED_VALUE"""),"")</f>
        <v/>
      </c>
      <c r="H63" s="311" t="str">
        <f>IFERROR(__xludf.DUMMYFUNCTION("""COMPUTED_VALUE"""),"dffTu")</f>
        <v>dffTu</v>
      </c>
      <c r="I63" s="301"/>
      <c r="J63" s="312"/>
      <c r="K63" s="311"/>
      <c r="L63" s="301"/>
      <c r="M63" s="313">
        <f>IFERROR(__xludf.DUMMYFUNCTION("""COMPUTED_VALUE"""),119467.0)</f>
        <v>119467</v>
      </c>
      <c r="N63" s="314" t="str">
        <f>IFERROR(__xludf.DUMMYFUNCTION("""COMPUTED_VALUE"""),"They don't know...")</f>
        <v>They don't know...</v>
      </c>
      <c r="P63" s="293"/>
      <c r="Q63" s="289"/>
    </row>
    <row r="64" ht="18.75" customHeight="1">
      <c r="A64" s="297"/>
      <c r="B64" s="293"/>
      <c r="D64" s="304"/>
      <c r="E64" s="315"/>
      <c r="F64" s="306" t="str">
        <f>IFERROR(__xludf.DUMMYFUNCTION("""COMPUTED_VALUE"""),"")</f>
        <v/>
      </c>
      <c r="G64" s="304"/>
      <c r="H64" s="315">
        <f>IFERROR(__xludf.DUMMYFUNCTION("""COMPUTED_VALUE"""),104839.0)</f>
        <v>104839</v>
      </c>
      <c r="I64" s="306" t="str">
        <f>IFERROR(__xludf.DUMMYFUNCTION("""COMPUTED_VALUE"""),"")</f>
        <v/>
      </c>
      <c r="J64" s="304"/>
      <c r="K64" s="315"/>
      <c r="L64" s="306"/>
      <c r="M64" s="307"/>
      <c r="N64" s="307"/>
      <c r="P64" s="293"/>
      <c r="Q64" s="289"/>
    </row>
    <row r="65" ht="3.75" customHeight="1">
      <c r="A65" s="289"/>
      <c r="B65" s="293"/>
      <c r="C65" s="316"/>
      <c r="D65" s="294"/>
      <c r="E65" s="293"/>
      <c r="F65" s="295"/>
      <c r="G65" s="296"/>
      <c r="H65" s="295"/>
      <c r="I65" s="295"/>
      <c r="J65" s="296"/>
      <c r="K65" s="293"/>
      <c r="L65" s="308"/>
      <c r="M65" s="308"/>
      <c r="N65" s="308"/>
      <c r="O65" s="293"/>
      <c r="P65" s="293"/>
      <c r="Q65" s="289"/>
    </row>
    <row r="66" ht="30.0" customHeight="1">
      <c r="A66" s="297"/>
      <c r="B66" s="293"/>
      <c r="C66" s="309" t="str">
        <f>IFERROR(__xludf.DUMMYFUNCTION("""COMPUTED_VALUE"""),"Sightread Buff")</f>
        <v>Sightread Buff</v>
      </c>
      <c r="D66" s="310" t="str">
        <f>IFERROR(__xludf.DUMMYFUNCTION("""COMPUTED_VALUE"""),"")</f>
        <v/>
      </c>
      <c r="E66" s="311" t="str">
        <f>IFERROR(__xludf.DUMMYFUNCTION("""COMPUTED_VALUE"""),"O_re_O")</f>
        <v>O_re_O</v>
      </c>
      <c r="F66" s="301"/>
      <c r="G66" s="312" t="str">
        <f>IFERROR(__xludf.DUMMYFUNCTION("""COMPUTED_VALUE"""),"")</f>
        <v/>
      </c>
      <c r="H66" s="311" t="str">
        <f>IFERROR(__xludf.DUMMYFUNCTION("""COMPUTED_VALUE"""),"depict1")</f>
        <v>depict1</v>
      </c>
      <c r="I66" s="301"/>
      <c r="J66" s="312" t="str">
        <f>IFERROR(__xludf.DUMMYFUNCTION("""COMPUTED_VALUE"""),"")</f>
        <v/>
      </c>
      <c r="K66" s="311" t="str">
        <f>IFERROR(__xludf.DUMMYFUNCTION("""COMPUTED_VALUE"""),"NemiTrailRider")</f>
        <v>NemiTrailRider</v>
      </c>
      <c r="L66" s="301"/>
      <c r="M66" s="313">
        <f>IFERROR(__xludf.DUMMYFUNCTION("""COMPUTED_VALUE"""),121975.0)</f>
        <v>121975</v>
      </c>
      <c r="N66" s="314" t="str">
        <f>IFERROR(__xludf.DUMMYFUNCTION("""COMPUTED_VALUE"""),"You can't int when you sightreading pool")</f>
        <v>You can't int when you sightreading pool</v>
      </c>
      <c r="P66" s="293"/>
      <c r="Q66" s="289"/>
    </row>
    <row r="67" ht="18.75" customHeight="1">
      <c r="A67" s="297"/>
      <c r="B67" s="293"/>
      <c r="D67" s="304"/>
      <c r="E67" s="315"/>
      <c r="F67" s="306" t="str">
        <f>IFERROR(__xludf.DUMMYFUNCTION("""COMPUTED_VALUE"""),"")</f>
        <v/>
      </c>
      <c r="G67" s="304"/>
      <c r="H67" s="315">
        <f>IFERROR(__xludf.DUMMYFUNCTION("""COMPUTED_VALUE"""),123387.0)</f>
        <v>123387</v>
      </c>
      <c r="I67" s="306" t="str">
        <f>IFERROR(__xludf.DUMMYFUNCTION("""COMPUTED_VALUE"""),"")</f>
        <v/>
      </c>
      <c r="J67" s="304"/>
      <c r="K67" s="315">
        <f>IFERROR(__xludf.DUMMYFUNCTION("""COMPUTED_VALUE"""),140066.0)</f>
        <v>140066</v>
      </c>
      <c r="L67" s="306" t="str">
        <f>IFERROR(__xludf.DUMMYFUNCTION("""COMPUTED_VALUE"""),"")</f>
        <v/>
      </c>
      <c r="M67" s="307"/>
      <c r="N67" s="307"/>
      <c r="P67" s="293"/>
      <c r="Q67" s="289"/>
    </row>
    <row r="68" ht="3.75" customHeight="1">
      <c r="A68" s="289"/>
      <c r="B68" s="293"/>
      <c r="C68" s="316"/>
      <c r="D68" s="294"/>
      <c r="E68" s="293"/>
      <c r="F68" s="295"/>
      <c r="G68" s="296"/>
      <c r="H68" s="295"/>
      <c r="I68" s="295"/>
      <c r="J68" s="296"/>
      <c r="K68" s="293"/>
      <c r="L68" s="308"/>
      <c r="M68" s="308"/>
      <c r="N68" s="308"/>
      <c r="O68" s="293"/>
      <c r="P68" s="293"/>
      <c r="Q68" s="289"/>
    </row>
    <row r="69" ht="30.0" customHeight="1">
      <c r="A69" s="297"/>
      <c r="B69" s="293"/>
      <c r="C69" s="309" t="str">
        <f>IFERROR(__xludf.DUMMYFUNCTION("""COMPUTED_VALUE"""),"female ass wrestling")</f>
        <v>female ass wrestling</v>
      </c>
      <c r="D69" s="310" t="str">
        <f>IFERROR(__xludf.DUMMYFUNCTION("""COMPUTED_VALUE"""),"")</f>
        <v/>
      </c>
      <c r="E69" s="311" t="str">
        <f>IFERROR(__xludf.DUMMYFUNCTION("""COMPUTED_VALUE"""),"aespect")</f>
        <v>aespect</v>
      </c>
      <c r="F69" s="301"/>
      <c r="G69" s="312" t="str">
        <f>IFERROR(__xludf.DUMMYFUNCTION("""COMPUTED_VALUE"""),"")</f>
        <v/>
      </c>
      <c r="H69" s="311" t="str">
        <f>IFERROR(__xludf.DUMMYFUNCTION("""COMPUTED_VALUE"""),"qiyo")</f>
        <v>qiyo</v>
      </c>
      <c r="I69" s="301"/>
      <c r="J69" s="312" t="str">
        <f>IFERROR(__xludf.DUMMYFUNCTION("""COMPUTED_VALUE"""),"")</f>
        <v/>
      </c>
      <c r="K69" s="311" t="str">
        <f>IFERROR(__xludf.DUMMYFUNCTION("""COMPUTED_VALUE"""),"not_peder")</f>
        <v>not_peder</v>
      </c>
      <c r="L69" s="301"/>
      <c r="M69" s="313">
        <f>IFERROR(__xludf.DUMMYFUNCTION("""COMPUTED_VALUE"""),123232.66666666667)</f>
        <v>123232.6667</v>
      </c>
      <c r="N69" s="314" t="str">
        <f>IFERROR(__xludf.DUMMYFUNCTION("""COMPUTED_VALUE"""),"@not_peder ... Wer ist @not_peder überhaupt??? @not_peder ist ein Asiate der osu spielt und derankt ...")</f>
        <v>@not_peder ... Wer ist @not_peder überhaupt??? @not_peder ist ein Asiate der osu spielt und derankt ...</v>
      </c>
      <c r="P69" s="293"/>
      <c r="Q69" s="289"/>
    </row>
    <row r="70" ht="18.75" customHeight="1">
      <c r="A70" s="297"/>
      <c r="B70" s="293"/>
      <c r="D70" s="304"/>
      <c r="E70" s="315"/>
      <c r="F70" s="306" t="str">
        <f>IFERROR(__xludf.DUMMYFUNCTION("""COMPUTED_VALUE"""),"")</f>
        <v/>
      </c>
      <c r="G70" s="304"/>
      <c r="H70" s="315">
        <f>IFERROR(__xludf.DUMMYFUNCTION("""COMPUTED_VALUE"""),139299.0)</f>
        <v>139299</v>
      </c>
      <c r="I70" s="306" t="str">
        <f>IFERROR(__xludf.DUMMYFUNCTION("""COMPUTED_VALUE"""),"")</f>
        <v/>
      </c>
      <c r="J70" s="304"/>
      <c r="K70" s="315">
        <f>IFERROR(__xludf.DUMMYFUNCTION("""COMPUTED_VALUE"""),103565.0)</f>
        <v>103565</v>
      </c>
      <c r="L70" s="306" t="str">
        <f>IFERROR(__xludf.DUMMYFUNCTION("""COMPUTED_VALUE"""),"")</f>
        <v/>
      </c>
      <c r="M70" s="307"/>
      <c r="N70" s="307"/>
      <c r="P70" s="293"/>
      <c r="Q70" s="289"/>
    </row>
    <row r="71" ht="3.75" customHeight="1">
      <c r="A71" s="289"/>
      <c r="B71" s="293"/>
      <c r="C71" s="316"/>
      <c r="D71" s="294"/>
      <c r="E71" s="293"/>
      <c r="F71" s="295"/>
      <c r="G71" s="296"/>
      <c r="H71" s="295"/>
      <c r="I71" s="295"/>
      <c r="J71" s="296"/>
      <c r="K71" s="293"/>
      <c r="L71" s="308"/>
      <c r="M71" s="308"/>
      <c r="N71" s="308"/>
      <c r="O71" s="293"/>
      <c r="P71" s="293"/>
      <c r="Q71" s="289"/>
    </row>
    <row r="72" ht="30.0" customHeight="1">
      <c r="A72" s="297"/>
      <c r="B72" s="293"/>
      <c r="C72" s="309" t="str">
        <f>IFERROR(__xludf.DUMMYFUNCTION("""COMPUTED_VALUE"""),"Ghost the Angel")</f>
        <v>Ghost the Angel</v>
      </c>
      <c r="D72" s="310" t="str">
        <f>IFERROR(__xludf.DUMMYFUNCTION("""COMPUTED_VALUE"""),"")</f>
        <v/>
      </c>
      <c r="E72" s="311" t="str">
        <f>IFERROR(__xludf.DUMMYFUNCTION("""COMPUTED_VALUE"""),"BCraftMG")</f>
        <v>BCraftMG</v>
      </c>
      <c r="F72" s="301"/>
      <c r="G72" s="312" t="str">
        <f>IFERROR(__xludf.DUMMYFUNCTION("""COMPUTED_VALUE"""),"")</f>
        <v/>
      </c>
      <c r="H72" s="311" t="str">
        <f>IFERROR(__xludf.DUMMYFUNCTION("""COMPUTED_VALUE"""),"Lugost Angel")</f>
        <v>Lugost Angel</v>
      </c>
      <c r="I72" s="301"/>
      <c r="J72" s="312" t="str">
        <f>IFERROR(__xludf.DUMMYFUNCTION("""COMPUTED_VALUE"""),"")</f>
        <v/>
      </c>
      <c r="K72" s="311" t="str">
        <f>IFERROR(__xludf.DUMMYFUNCTION("""COMPUTED_VALUE"""),"quay4")</f>
        <v>quay4</v>
      </c>
      <c r="L72" s="301"/>
      <c r="M72" s="313">
        <f>IFERROR(__xludf.DUMMYFUNCTION("""COMPUTED_VALUE"""),124250.66666666667)</f>
        <v>124250.6667</v>
      </c>
      <c r="N72" s="314" t="str">
        <f>IFERROR(__xludf.DUMMYFUNCTION("""COMPUTED_VALUE"""),":deadge:")</f>
        <v>:deadge:</v>
      </c>
      <c r="P72" s="293"/>
      <c r="Q72" s="289"/>
    </row>
    <row r="73" ht="18.75" customHeight="1">
      <c r="A73" s="297"/>
      <c r="B73" s="293"/>
      <c r="D73" s="304"/>
      <c r="E73" s="315"/>
      <c r="F73" s="306" t="str">
        <f>IFERROR(__xludf.DUMMYFUNCTION("""COMPUTED_VALUE"""),"")</f>
        <v/>
      </c>
      <c r="G73" s="304"/>
      <c r="H73" s="315">
        <f>IFERROR(__xludf.DUMMYFUNCTION("""COMPUTED_VALUE"""),120812.0)</f>
        <v>120812</v>
      </c>
      <c r="I73" s="306" t="str">
        <f>IFERROR(__xludf.DUMMYFUNCTION("""COMPUTED_VALUE"""),"")</f>
        <v/>
      </c>
      <c r="J73" s="304"/>
      <c r="K73" s="315">
        <f>IFERROR(__xludf.DUMMYFUNCTION("""COMPUTED_VALUE"""),151227.0)</f>
        <v>151227</v>
      </c>
      <c r="L73" s="306" t="str">
        <f>IFERROR(__xludf.DUMMYFUNCTION("""COMPUTED_VALUE"""),"")</f>
        <v/>
      </c>
      <c r="M73" s="307"/>
      <c r="N73" s="307"/>
      <c r="P73" s="293"/>
      <c r="Q73" s="289"/>
    </row>
    <row r="74" ht="3.75" customHeight="1">
      <c r="A74" s="289"/>
      <c r="B74" s="293"/>
      <c r="C74" s="316"/>
      <c r="D74" s="294"/>
      <c r="E74" s="293"/>
      <c r="F74" s="295"/>
      <c r="G74" s="296"/>
      <c r="H74" s="295"/>
      <c r="I74" s="295"/>
      <c r="J74" s="296"/>
      <c r="K74" s="293"/>
      <c r="L74" s="308"/>
      <c r="M74" s="308"/>
      <c r="N74" s="308"/>
      <c r="O74" s="293"/>
      <c r="P74" s="293"/>
      <c r="Q74" s="289"/>
    </row>
    <row r="75" ht="30.0" customHeight="1">
      <c r="A75" s="297"/>
      <c r="B75" s="293"/>
      <c r="C75" s="309" t="str">
        <f>IFERROR(__xludf.DUMMYFUNCTION("""COMPUTED_VALUE"""),"The One 100s")</f>
        <v>The One 100s</v>
      </c>
      <c r="D75" s="310" t="str">
        <f>IFERROR(__xludf.DUMMYFUNCTION("""COMPUTED_VALUE"""),"")</f>
        <v/>
      </c>
      <c r="E75" s="311" t="str">
        <f>IFERROR(__xludf.DUMMYFUNCTION("""COMPUTED_VALUE"""),"Ugetora")</f>
        <v>Ugetora</v>
      </c>
      <c r="F75" s="301"/>
      <c r="G75" s="312" t="str">
        <f>IFERROR(__xludf.DUMMYFUNCTION("""COMPUTED_VALUE"""),"")</f>
        <v/>
      </c>
      <c r="H75" s="311" t="str">
        <f>IFERROR(__xludf.DUMMYFUNCTION("""COMPUTED_VALUE"""),"Zeon_beyond")</f>
        <v>Zeon_beyond</v>
      </c>
      <c r="I75" s="301"/>
      <c r="J75" s="312" t="str">
        <f>IFERROR(__xludf.DUMMYFUNCTION("""COMPUTED_VALUE"""),"")</f>
        <v/>
      </c>
      <c r="K75" s="311" t="str">
        <f>IFERROR(__xludf.DUMMYFUNCTION("""COMPUTED_VALUE"""),"bunnytoro")</f>
        <v>bunnytoro</v>
      </c>
      <c r="L75" s="301"/>
      <c r="M75" s="313">
        <f>IFERROR(__xludf.DUMMYFUNCTION("""COMPUTED_VALUE"""),124384.0)</f>
        <v>124384</v>
      </c>
      <c r="N75" s="314" t="str">
        <f>IFERROR(__xludf.DUMMYFUNCTION("""COMPUTED_VALUE"""),"NEVER BACK DOWN")</f>
        <v>NEVER BACK DOWN</v>
      </c>
      <c r="P75" s="293"/>
      <c r="Q75" s="289"/>
    </row>
    <row r="76" ht="18.75" customHeight="1">
      <c r="A76" s="297"/>
      <c r="B76" s="293"/>
      <c r="D76" s="304"/>
      <c r="E76" s="315"/>
      <c r="F76" s="306" t="str">
        <f>IFERROR(__xludf.DUMMYFUNCTION("""COMPUTED_VALUE"""),"")</f>
        <v/>
      </c>
      <c r="G76" s="304"/>
      <c r="H76" s="315">
        <f>IFERROR(__xludf.DUMMYFUNCTION("""COMPUTED_VALUE"""),157989.0)</f>
        <v>157989</v>
      </c>
      <c r="I76" s="306" t="str">
        <f>IFERROR(__xludf.DUMMYFUNCTION("""COMPUTED_VALUE"""),"")</f>
        <v/>
      </c>
      <c r="J76" s="304"/>
      <c r="K76" s="315">
        <f>IFERROR(__xludf.DUMMYFUNCTION("""COMPUTED_VALUE"""),87283.0)</f>
        <v>87283</v>
      </c>
      <c r="L76" s="306" t="str">
        <f>IFERROR(__xludf.DUMMYFUNCTION("""COMPUTED_VALUE"""),"")</f>
        <v/>
      </c>
      <c r="M76" s="307"/>
      <c r="N76" s="307"/>
      <c r="P76" s="293"/>
      <c r="Q76" s="289"/>
    </row>
    <row r="77" ht="3.75" customHeight="1">
      <c r="A77" s="289"/>
      <c r="B77" s="293"/>
      <c r="C77" s="316"/>
      <c r="D77" s="294"/>
      <c r="E77" s="293"/>
      <c r="F77" s="295"/>
      <c r="G77" s="296"/>
      <c r="H77" s="295"/>
      <c r="I77" s="295"/>
      <c r="J77" s="296"/>
      <c r="K77" s="293"/>
      <c r="L77" s="308"/>
      <c r="M77" s="308"/>
      <c r="N77" s="308"/>
      <c r="O77" s="293"/>
      <c r="P77" s="293"/>
      <c r="Q77" s="289"/>
    </row>
    <row r="78" ht="30.0" customHeight="1">
      <c r="A78" s="297"/>
      <c r="B78" s="293"/>
      <c r="C78" s="309" t="str">
        <f>IFERROR(__xludf.DUMMYFUNCTION("""COMPUTED_VALUE"""),"Beancurd")</f>
        <v>Beancurd</v>
      </c>
      <c r="D78" s="310" t="str">
        <f>IFERROR(__xludf.DUMMYFUNCTION("""COMPUTED_VALUE"""),"")</f>
        <v/>
      </c>
      <c r="E78" s="311" t="str">
        <f>IFERROR(__xludf.DUMMYFUNCTION("""COMPUTED_VALUE"""),"Tsekyro")</f>
        <v>Tsekyro</v>
      </c>
      <c r="F78" s="301"/>
      <c r="G78" s="312" t="str">
        <f>IFERROR(__xludf.DUMMYFUNCTION("""COMPUTED_VALUE"""),"")</f>
        <v/>
      </c>
      <c r="H78" s="311" t="str">
        <f>IFERROR(__xludf.DUMMYFUNCTION("""COMPUTED_VALUE"""),"GeneralMayo")</f>
        <v>GeneralMayo</v>
      </c>
      <c r="I78" s="301"/>
      <c r="J78" s="312" t="str">
        <f>IFERROR(__xludf.DUMMYFUNCTION("""COMPUTED_VALUE"""),"")</f>
        <v/>
      </c>
      <c r="K78" s="311" t="str">
        <f>IFERROR(__xludf.DUMMYFUNCTION("""COMPUTED_VALUE"""),"Carsoon")</f>
        <v>Carsoon</v>
      </c>
      <c r="L78" s="301"/>
      <c r="M78" s="313">
        <f>IFERROR(__xludf.DUMMYFUNCTION("""COMPUTED_VALUE"""),127214.33333333333)</f>
        <v>127214.3333</v>
      </c>
      <c r="N78" s="314" t="str">
        <f>IFERROR(__xludf.DUMMYFUNCTION("""COMPUTED_VALUE"""),"Glory to beancurds")</f>
        <v>Glory to beancurds</v>
      </c>
      <c r="P78" s="293"/>
      <c r="Q78" s="289"/>
    </row>
    <row r="79" ht="18.75" customHeight="1">
      <c r="A79" s="297"/>
      <c r="B79" s="293"/>
      <c r="D79" s="304"/>
      <c r="E79" s="315"/>
      <c r="F79" s="306" t="str">
        <f>IFERROR(__xludf.DUMMYFUNCTION("""COMPUTED_VALUE"""),"")</f>
        <v/>
      </c>
      <c r="G79" s="304"/>
      <c r="H79" s="315">
        <f>IFERROR(__xludf.DUMMYFUNCTION("""COMPUTED_VALUE"""),154496.0)</f>
        <v>154496</v>
      </c>
      <c r="I79" s="306" t="str">
        <f>IFERROR(__xludf.DUMMYFUNCTION("""COMPUTED_VALUE"""),"")</f>
        <v/>
      </c>
      <c r="J79" s="304"/>
      <c r="K79" s="315">
        <f>IFERROR(__xludf.DUMMYFUNCTION("""COMPUTED_VALUE"""),120551.0)</f>
        <v>120551</v>
      </c>
      <c r="L79" s="306" t="str">
        <f>IFERROR(__xludf.DUMMYFUNCTION("""COMPUTED_VALUE"""),"")</f>
        <v/>
      </c>
      <c r="M79" s="307"/>
      <c r="N79" s="307"/>
      <c r="P79" s="293"/>
      <c r="Q79" s="289"/>
    </row>
    <row r="80" ht="3.75" customHeight="1">
      <c r="A80" s="289"/>
      <c r="B80" s="293"/>
      <c r="C80" s="316"/>
      <c r="D80" s="294"/>
      <c r="E80" s="293"/>
      <c r="F80" s="295"/>
      <c r="G80" s="296"/>
      <c r="H80" s="295"/>
      <c r="I80" s="295"/>
      <c r="J80" s="296"/>
      <c r="K80" s="293"/>
      <c r="L80" s="308"/>
      <c r="M80" s="308"/>
      <c r="N80" s="308"/>
      <c r="O80" s="293"/>
      <c r="P80" s="293"/>
      <c r="Q80" s="289"/>
    </row>
    <row r="81" ht="30.0" customHeight="1">
      <c r="A81" s="297"/>
      <c r="B81" s="293"/>
      <c r="C81" s="309" t="str">
        <f>IFERROR(__xludf.DUMMYFUNCTION("""COMPUTED_VALUE"""),"китирики")</f>
        <v>китирики</v>
      </c>
      <c r="D81" s="310" t="str">
        <f>IFERROR(__xludf.DUMMYFUNCTION("""COMPUTED_VALUE"""),"")</f>
        <v/>
      </c>
      <c r="E81" s="311" t="str">
        <f>IFERROR(__xludf.DUMMYFUNCTION("""COMPUTED_VALUE"""),"Kl4dys")</f>
        <v>Kl4dys</v>
      </c>
      <c r="F81" s="301"/>
      <c r="G81" s="312" t="str">
        <f>IFERROR(__xludf.DUMMYFUNCTION("""COMPUTED_VALUE"""),"")</f>
        <v/>
      </c>
      <c r="H81" s="311" t="str">
        <f>IFERROR(__xludf.DUMMYFUNCTION("""COMPUTED_VALUE"""),"KWIzYiii")</f>
        <v>KWIzYiii</v>
      </c>
      <c r="I81" s="301"/>
      <c r="J81" s="312" t="str">
        <f>IFERROR(__xludf.DUMMYFUNCTION("""COMPUTED_VALUE"""),"")</f>
        <v/>
      </c>
      <c r="K81" s="311" t="str">
        <f>IFERROR(__xludf.DUMMYFUNCTION("""COMPUTED_VALUE"""),"Petrovkosta")</f>
        <v>Petrovkosta</v>
      </c>
      <c r="L81" s="301"/>
      <c r="M81" s="313">
        <f>IFERROR(__xludf.DUMMYFUNCTION("""COMPUTED_VALUE"""),128762.33333333333)</f>
        <v>128762.3333</v>
      </c>
      <c r="N81" s="314" t="str">
        <f>IFERROR(__xludf.DUMMYFUNCTION("""COMPUTED_VALUE"""),"Есть идея, есть команда китирики")</f>
        <v>Есть идея, есть команда китирики</v>
      </c>
      <c r="P81" s="293"/>
      <c r="Q81" s="289"/>
    </row>
    <row r="82" ht="18.75" customHeight="1">
      <c r="A82" s="297"/>
      <c r="B82" s="293"/>
      <c r="D82" s="304"/>
      <c r="E82" s="315"/>
      <c r="F82" s="306" t="str">
        <f>IFERROR(__xludf.DUMMYFUNCTION("""COMPUTED_VALUE"""),"")</f>
        <v/>
      </c>
      <c r="G82" s="304"/>
      <c r="H82" s="315">
        <f>IFERROR(__xludf.DUMMYFUNCTION("""COMPUTED_VALUE"""),115409.0)</f>
        <v>115409</v>
      </c>
      <c r="I82" s="306" t="str">
        <f>IFERROR(__xludf.DUMMYFUNCTION("""COMPUTED_VALUE"""),"")</f>
        <v/>
      </c>
      <c r="J82" s="304"/>
      <c r="K82" s="315">
        <f>IFERROR(__xludf.DUMMYFUNCTION("""COMPUTED_VALUE"""),148589.0)</f>
        <v>148589</v>
      </c>
      <c r="L82" s="306" t="str">
        <f>IFERROR(__xludf.DUMMYFUNCTION("""COMPUTED_VALUE"""),"")</f>
        <v/>
      </c>
      <c r="M82" s="307"/>
      <c r="N82" s="307"/>
      <c r="P82" s="293"/>
      <c r="Q82" s="289"/>
    </row>
    <row r="83" ht="3.75" customHeight="1">
      <c r="A83" s="289"/>
      <c r="B83" s="293"/>
      <c r="C83" s="316"/>
      <c r="D83" s="294"/>
      <c r="E83" s="293"/>
      <c r="F83" s="295"/>
      <c r="G83" s="296"/>
      <c r="H83" s="295"/>
      <c r="I83" s="295"/>
      <c r="J83" s="296"/>
      <c r="K83" s="293"/>
      <c r="L83" s="308"/>
      <c r="M83" s="308"/>
      <c r="N83" s="308"/>
      <c r="O83" s="293"/>
      <c r="P83" s="293"/>
      <c r="Q83" s="289"/>
    </row>
    <row r="84" ht="30.0" customHeight="1">
      <c r="A84" s="297"/>
      <c r="B84" s="293"/>
      <c r="C84" s="309" t="str">
        <f>IFERROR(__xludf.DUMMYFUNCTION("""COMPUTED_VALUE"""),"Chocomaid")</f>
        <v>Chocomaid</v>
      </c>
      <c r="D84" s="310" t="str">
        <f>IFERROR(__xludf.DUMMYFUNCTION("""COMPUTED_VALUE"""),"")</f>
        <v/>
      </c>
      <c r="E84" s="311" t="str">
        <f>IFERROR(__xludf.DUMMYFUNCTION("""COMPUTED_VALUE"""),"Frui Ludo")</f>
        <v>Frui Ludo</v>
      </c>
      <c r="F84" s="301"/>
      <c r="G84" s="312" t="str">
        <f>IFERROR(__xludf.DUMMYFUNCTION("""COMPUTED_VALUE"""),"")</f>
        <v/>
      </c>
      <c r="H84" s="311" t="str">
        <f>IFERROR(__xludf.DUMMYFUNCTION("""COMPUTED_VALUE"""),"Chokecomint")</f>
        <v>Chokecomint</v>
      </c>
      <c r="I84" s="301"/>
      <c r="J84" s="312"/>
      <c r="K84" s="311" t="str">
        <f>IFERROR(__xludf.DUMMYFUNCTION("""COMPUTED_VALUE"""),"Azcazay")</f>
        <v>Azcazay</v>
      </c>
      <c r="L84" s="301"/>
      <c r="M84" s="313">
        <f>IFERROR(__xludf.DUMMYFUNCTION("""COMPUTED_VALUE"""),129507.0)</f>
        <v>129507</v>
      </c>
      <c r="N84" s="314" t="str">
        <f>IFERROR(__xludf.DUMMYFUNCTION("""COMPUTED_VALUE"""),"We love chocolate and maids &gt;_&lt;")</f>
        <v>We love chocolate and maids &gt;_&lt;</v>
      </c>
      <c r="P84" s="293"/>
      <c r="Q84" s="289"/>
    </row>
    <row r="85" ht="18.75" customHeight="1">
      <c r="A85" s="297"/>
      <c r="B85" s="293"/>
      <c r="D85" s="304"/>
      <c r="E85" s="315"/>
      <c r="F85" s="306" t="str">
        <f>IFERROR(__xludf.DUMMYFUNCTION("""COMPUTED_VALUE"""),"")</f>
        <v/>
      </c>
      <c r="G85" s="304"/>
      <c r="H85" s="315">
        <f>IFERROR(__xludf.DUMMYFUNCTION("""COMPUTED_VALUE"""),101554.0)</f>
        <v>101554</v>
      </c>
      <c r="I85" s="306" t="str">
        <f>IFERROR(__xludf.DUMMYFUNCTION("""COMPUTED_VALUE"""),"")</f>
        <v/>
      </c>
      <c r="J85" s="304"/>
      <c r="K85" s="315">
        <f>IFERROR(__xludf.DUMMYFUNCTION("""COMPUTED_VALUE"""),111422.0)</f>
        <v>111422</v>
      </c>
      <c r="L85" s="306" t="str">
        <f>IFERROR(__xludf.DUMMYFUNCTION("""COMPUTED_VALUE"""),"")</f>
        <v/>
      </c>
      <c r="M85" s="307"/>
      <c r="N85" s="307"/>
      <c r="P85" s="293"/>
      <c r="Q85" s="289"/>
    </row>
    <row r="86" ht="3.75" customHeight="1">
      <c r="A86" s="289"/>
      <c r="B86" s="293"/>
      <c r="C86" s="316"/>
      <c r="D86" s="294"/>
      <c r="E86" s="293"/>
      <c r="F86" s="295"/>
      <c r="G86" s="296"/>
      <c r="H86" s="295"/>
      <c r="I86" s="295"/>
      <c r="J86" s="296"/>
      <c r="K86" s="293"/>
      <c r="L86" s="308"/>
      <c r="M86" s="308"/>
      <c r="N86" s="308"/>
      <c r="O86" s="293"/>
      <c r="P86" s="293"/>
      <c r="Q86" s="289"/>
    </row>
    <row r="87" ht="30.0" customHeight="1">
      <c r="A87" s="297"/>
      <c r="B87" s="293"/>
      <c r="C87" s="309" t="str">
        <f>IFERROR(__xludf.DUMMYFUNCTION("""COMPUTED_VALUE"""),"Side Characters")</f>
        <v>Side Characters</v>
      </c>
      <c r="D87" s="310" t="str">
        <f>IFERROR(__xludf.DUMMYFUNCTION("""COMPUTED_VALUE"""),"")</f>
        <v/>
      </c>
      <c r="E87" s="311" t="str">
        <f>IFERROR(__xludf.DUMMYFUNCTION("""COMPUTED_VALUE"""),"Heaki")</f>
        <v>Heaki</v>
      </c>
      <c r="F87" s="301"/>
      <c r="G87" s="312" t="str">
        <f>IFERROR(__xludf.DUMMYFUNCTION("""COMPUTED_VALUE"""),"")</f>
        <v/>
      </c>
      <c r="H87" s="311" t="str">
        <f>IFERROR(__xludf.DUMMYFUNCTION("""COMPUTED_VALUE"""),"miimo__miimo")</f>
        <v>miimo__miimo</v>
      </c>
      <c r="I87" s="301"/>
      <c r="J87" s="312" t="str">
        <f>IFERROR(__xludf.DUMMYFUNCTION("""COMPUTED_VALUE"""),"")</f>
        <v/>
      </c>
      <c r="K87" s="311" t="str">
        <f>IFERROR(__xludf.DUMMYFUNCTION("""COMPUTED_VALUE"""),"karimovic")</f>
        <v>karimovic</v>
      </c>
      <c r="L87" s="301"/>
      <c r="M87" s="313">
        <f>IFERROR(__xludf.DUMMYFUNCTION("""COMPUTED_VALUE"""),129889.0)</f>
        <v>129889</v>
      </c>
      <c r="N87" s="314" t="str">
        <f>IFERROR(__xludf.DUMMYFUNCTION("""COMPUTED_VALUE"""),"Even side characters have their battles to fight nya.")</f>
        <v>Even side characters have their battles to fight nya.</v>
      </c>
      <c r="P87" s="293"/>
      <c r="Q87" s="289"/>
    </row>
    <row r="88" ht="18.75" customHeight="1">
      <c r="A88" s="297"/>
      <c r="B88" s="293"/>
      <c r="D88" s="304"/>
      <c r="E88" s="315"/>
      <c r="F88" s="306" t="str">
        <f>IFERROR(__xludf.DUMMYFUNCTION("""COMPUTED_VALUE"""),"")</f>
        <v/>
      </c>
      <c r="G88" s="304"/>
      <c r="H88" s="315">
        <f>IFERROR(__xludf.DUMMYFUNCTION("""COMPUTED_VALUE"""),113563.0)</f>
        <v>113563</v>
      </c>
      <c r="I88" s="306" t="str">
        <f>IFERROR(__xludf.DUMMYFUNCTION("""COMPUTED_VALUE"""),"")</f>
        <v/>
      </c>
      <c r="J88" s="304"/>
      <c r="K88" s="315">
        <f>IFERROR(__xludf.DUMMYFUNCTION("""COMPUTED_VALUE"""),158344.0)</f>
        <v>158344</v>
      </c>
      <c r="L88" s="306" t="str">
        <f>IFERROR(__xludf.DUMMYFUNCTION("""COMPUTED_VALUE"""),"")</f>
        <v/>
      </c>
      <c r="M88" s="307"/>
      <c r="N88" s="307"/>
      <c r="P88" s="293"/>
      <c r="Q88" s="289"/>
    </row>
    <row r="89" ht="3.75" customHeight="1">
      <c r="A89" s="289"/>
      <c r="B89" s="293"/>
      <c r="C89" s="316"/>
      <c r="D89" s="294"/>
      <c r="E89" s="293"/>
      <c r="F89" s="295"/>
      <c r="G89" s="296"/>
      <c r="H89" s="295"/>
      <c r="I89" s="295"/>
      <c r="J89" s="296"/>
      <c r="K89" s="293"/>
      <c r="L89" s="308"/>
      <c r="M89" s="308"/>
      <c r="N89" s="308"/>
      <c r="O89" s="293"/>
      <c r="P89" s="293"/>
      <c r="Q89" s="289"/>
    </row>
    <row r="90" ht="30.0" customHeight="1">
      <c r="A90" s="297"/>
      <c r="B90" s="293"/>
      <c r="C90" s="309" t="str">
        <f>IFERROR(__xludf.DUMMYFUNCTION("""COMPUTED_VALUE"""),"copium abusers")</f>
        <v>copium abusers</v>
      </c>
      <c r="D90" s="310" t="str">
        <f>IFERROR(__xludf.DUMMYFUNCTION("""COMPUTED_VALUE"""),"")</f>
        <v/>
      </c>
      <c r="E90" s="311" t="str">
        <f>IFERROR(__xludf.DUMMYFUNCTION("""COMPUTED_VALUE"""),"PapaAinsley")</f>
        <v>PapaAinsley</v>
      </c>
      <c r="F90" s="301"/>
      <c r="G90" s="312" t="str">
        <f>IFERROR(__xludf.DUMMYFUNCTION("""COMPUTED_VALUE"""),"")</f>
        <v/>
      </c>
      <c r="H90" s="311" t="str">
        <f>IFERROR(__xludf.DUMMYFUNCTION("""COMPUTED_VALUE"""),"Josiper")</f>
        <v>Josiper</v>
      </c>
      <c r="I90" s="301"/>
      <c r="J90" s="312"/>
      <c r="K90" s="311"/>
      <c r="L90" s="301"/>
      <c r="M90" s="313">
        <f>IFERROR(__xludf.DUMMYFUNCTION("""COMPUTED_VALUE"""),130672.0)</f>
        <v>130672</v>
      </c>
      <c r="N90" s="314" t="str">
        <f>IFERROR(__xludf.DUMMYFUNCTION("""COMPUTED_VALUE"""),"turning copium into hopium")</f>
        <v>turning copium into hopium</v>
      </c>
      <c r="P90" s="293"/>
      <c r="Q90" s="289"/>
    </row>
    <row r="91" ht="18.75" customHeight="1">
      <c r="A91" s="297"/>
      <c r="B91" s="293"/>
      <c r="D91" s="304"/>
      <c r="E91" s="315"/>
      <c r="F91" s="306" t="str">
        <f>IFERROR(__xludf.DUMMYFUNCTION("""COMPUTED_VALUE"""),"")</f>
        <v/>
      </c>
      <c r="G91" s="304"/>
      <c r="H91" s="315">
        <f>IFERROR(__xludf.DUMMYFUNCTION("""COMPUTED_VALUE"""),164680.0)</f>
        <v>164680</v>
      </c>
      <c r="I91" s="306" t="str">
        <f>IFERROR(__xludf.DUMMYFUNCTION("""COMPUTED_VALUE"""),"")</f>
        <v/>
      </c>
      <c r="J91" s="304"/>
      <c r="K91" s="315"/>
      <c r="L91" s="306"/>
      <c r="M91" s="307"/>
      <c r="N91" s="307"/>
      <c r="P91" s="293"/>
      <c r="Q91" s="289"/>
    </row>
    <row r="92" ht="3.75" customHeight="1">
      <c r="A92" s="289"/>
      <c r="B92" s="293"/>
      <c r="C92" s="316"/>
      <c r="D92" s="294"/>
      <c r="E92" s="293"/>
      <c r="F92" s="295"/>
      <c r="G92" s="296"/>
      <c r="H92" s="295"/>
      <c r="I92" s="295"/>
      <c r="J92" s="296"/>
      <c r="K92" s="293"/>
      <c r="L92" s="308"/>
      <c r="M92" s="308"/>
      <c r="N92" s="308"/>
      <c r="O92" s="293"/>
      <c r="P92" s="293"/>
      <c r="Q92" s="289"/>
    </row>
    <row r="93" ht="30.0" customHeight="1">
      <c r="A93" s="297"/>
      <c r="B93" s="293"/>
      <c r="C93" s="309" t="str">
        <f>IFERROR(__xludf.DUMMYFUNCTION("""COMPUTED_VALUE"""),"The Mat Munchers")</f>
        <v>The Mat Munchers</v>
      </c>
      <c r="D93" s="310" t="str">
        <f>IFERROR(__xludf.DUMMYFUNCTION("""COMPUTED_VALUE"""),"")</f>
        <v/>
      </c>
      <c r="E93" s="311" t="str">
        <f>IFERROR(__xludf.DUMMYFUNCTION("""COMPUTED_VALUE"""),"foxy1919191919")</f>
        <v>foxy1919191919</v>
      </c>
      <c r="F93" s="301"/>
      <c r="G93" s="312" t="str">
        <f>IFERROR(__xludf.DUMMYFUNCTION("""COMPUTED_VALUE"""),"")</f>
        <v/>
      </c>
      <c r="H93" s="311" t="str">
        <f>IFERROR(__xludf.DUMMYFUNCTION("""COMPUTED_VALUE"""),"SneakyDingus")</f>
        <v>SneakyDingus</v>
      </c>
      <c r="I93" s="301"/>
      <c r="J93" s="312" t="str">
        <f>IFERROR(__xludf.DUMMYFUNCTION("""COMPUTED_VALUE"""),"")</f>
        <v/>
      </c>
      <c r="K93" s="311" t="str">
        <f>IFERROR(__xludf.DUMMYFUNCTION("""COMPUTED_VALUE"""),"Gwnet")</f>
        <v>Gwnet</v>
      </c>
      <c r="L93" s="301"/>
      <c r="M93" s="313">
        <f>IFERROR(__xludf.DUMMYFUNCTION("""COMPUTED_VALUE"""),131334.0)</f>
        <v>131334</v>
      </c>
      <c r="N93" s="314" t="str">
        <f>IFERROR(__xludf.DUMMYFUNCTION("""COMPUTED_VALUE"""),"2$ paypal for win dm on discord for details")</f>
        <v>2$ paypal for win dm on discord for details</v>
      </c>
      <c r="P93" s="293"/>
      <c r="Q93" s="289"/>
    </row>
    <row r="94" ht="18.75" customHeight="1">
      <c r="A94" s="297"/>
      <c r="B94" s="293"/>
      <c r="D94" s="304"/>
      <c r="E94" s="315"/>
      <c r="F94" s="306" t="str">
        <f>IFERROR(__xludf.DUMMYFUNCTION("""COMPUTED_VALUE"""),"")</f>
        <v/>
      </c>
      <c r="G94" s="304"/>
      <c r="H94" s="315">
        <f>IFERROR(__xludf.DUMMYFUNCTION("""COMPUTED_VALUE"""),133889.0)</f>
        <v>133889</v>
      </c>
      <c r="I94" s="306" t="str">
        <f>IFERROR(__xludf.DUMMYFUNCTION("""COMPUTED_VALUE"""),"")</f>
        <v/>
      </c>
      <c r="J94" s="304"/>
      <c r="K94" s="315">
        <f>IFERROR(__xludf.DUMMYFUNCTION("""COMPUTED_VALUE"""),158417.0)</f>
        <v>158417</v>
      </c>
      <c r="L94" s="306" t="str">
        <f>IFERROR(__xludf.DUMMYFUNCTION("""COMPUTED_VALUE"""),"")</f>
        <v/>
      </c>
      <c r="M94" s="307"/>
      <c r="N94" s="307"/>
      <c r="P94" s="293"/>
      <c r="Q94" s="289"/>
    </row>
    <row r="95" ht="3.75" customHeight="1">
      <c r="A95" s="289"/>
      <c r="B95" s="293"/>
      <c r="C95" s="316"/>
      <c r="D95" s="294"/>
      <c r="E95" s="293"/>
      <c r="F95" s="295"/>
      <c r="G95" s="296"/>
      <c r="H95" s="295"/>
      <c r="I95" s="295"/>
      <c r="J95" s="296"/>
      <c r="K95" s="293"/>
      <c r="L95" s="308"/>
      <c r="M95" s="308"/>
      <c r="N95" s="308"/>
      <c r="O95" s="293"/>
      <c r="P95" s="293"/>
      <c r="Q95" s="289"/>
    </row>
    <row r="96" ht="30.0" customHeight="1">
      <c r="A96" s="297"/>
      <c r="B96" s="293"/>
      <c r="C96" s="309" t="str">
        <f>IFERROR(__xludf.DUMMYFUNCTION("""COMPUTED_VALUE"""),"3000CombinedHours")</f>
        <v>3000CombinedHours</v>
      </c>
      <c r="D96" s="310" t="str">
        <f>IFERROR(__xludf.DUMMYFUNCTION("""COMPUTED_VALUE"""),"")</f>
        <v/>
      </c>
      <c r="E96" s="311" t="str">
        <f>IFERROR(__xludf.DUMMYFUNCTION("""COMPUTED_VALUE"""),"RakiMiku")</f>
        <v>RakiMiku</v>
      </c>
      <c r="F96" s="301"/>
      <c r="G96" s="312" t="str">
        <f>IFERROR(__xludf.DUMMYFUNCTION("""COMPUTED_VALUE"""),"")</f>
        <v/>
      </c>
      <c r="H96" s="311" t="str">
        <f>IFERROR(__xludf.DUMMYFUNCTION("""COMPUTED_VALUE"""),"WorstGamer")</f>
        <v>WorstGamer</v>
      </c>
      <c r="I96" s="301"/>
      <c r="J96" s="312" t="str">
        <f>IFERROR(__xludf.DUMMYFUNCTION("""COMPUTED_VALUE"""),"")</f>
        <v/>
      </c>
      <c r="K96" s="311" t="str">
        <f>IFERROR(__xludf.DUMMYFUNCTION("""COMPUTED_VALUE"""),"C L O N E")</f>
        <v>C L O N E</v>
      </c>
      <c r="L96" s="301"/>
      <c r="M96" s="313">
        <f>IFERROR(__xludf.DUMMYFUNCTION("""COMPUTED_VALUE"""),131446.66666666666)</f>
        <v>131446.6667</v>
      </c>
      <c r="N96" s="314" t="str">
        <f>IFERROR(__xludf.DUMMYFUNCTION("""COMPUTED_VALUE"""),"""forever hardstuck 6 digits"" ")</f>
        <v>"forever hardstuck 6 digits" </v>
      </c>
      <c r="P96" s="293"/>
      <c r="Q96" s="289"/>
    </row>
    <row r="97" ht="18.75" customHeight="1">
      <c r="A97" s="297"/>
      <c r="B97" s="293"/>
      <c r="D97" s="304"/>
      <c r="E97" s="315"/>
      <c r="F97" s="306" t="str">
        <f>IFERROR(__xludf.DUMMYFUNCTION("""COMPUTED_VALUE"""),"")</f>
        <v/>
      </c>
      <c r="G97" s="304"/>
      <c r="H97" s="315">
        <f>IFERROR(__xludf.DUMMYFUNCTION("""COMPUTED_VALUE"""),126035.0)</f>
        <v>126035</v>
      </c>
      <c r="I97" s="306" t="str">
        <f>IFERROR(__xludf.DUMMYFUNCTION("""COMPUTED_VALUE"""),"")</f>
        <v/>
      </c>
      <c r="J97" s="304"/>
      <c r="K97" s="315">
        <f>IFERROR(__xludf.DUMMYFUNCTION("""COMPUTED_VALUE"""),118983.0)</f>
        <v>118983</v>
      </c>
      <c r="L97" s="306" t="str">
        <f>IFERROR(__xludf.DUMMYFUNCTION("""COMPUTED_VALUE"""),"")</f>
        <v/>
      </c>
      <c r="M97" s="307"/>
      <c r="N97" s="307"/>
      <c r="P97" s="293"/>
      <c r="Q97" s="289"/>
    </row>
    <row r="98" ht="3.75" customHeight="1">
      <c r="A98" s="289"/>
      <c r="B98" s="293"/>
      <c r="C98" s="316"/>
      <c r="D98" s="294"/>
      <c r="E98" s="293"/>
      <c r="F98" s="295"/>
      <c r="G98" s="296"/>
      <c r="H98" s="295"/>
      <c r="I98" s="295"/>
      <c r="J98" s="296"/>
      <c r="K98" s="293"/>
      <c r="L98" s="308"/>
      <c r="M98" s="308"/>
      <c r="N98" s="308"/>
      <c r="O98" s="293"/>
      <c r="P98" s="293"/>
      <c r="Q98" s="289"/>
    </row>
    <row r="99" ht="30.0" customHeight="1">
      <c r="A99" s="297"/>
      <c r="B99" s="293"/>
      <c r="C99" s="309" t="str">
        <f>IFERROR(__xludf.DUMMYFUNCTION("""COMPUTED_VALUE"""),"BOCCHER")</f>
        <v>BOCCHER</v>
      </c>
      <c r="D99" s="310" t="str">
        <f>IFERROR(__xludf.DUMMYFUNCTION("""COMPUTED_VALUE"""),"")</f>
        <v/>
      </c>
      <c r="E99" s="311" t="str">
        <f>IFERROR(__xludf.DUMMYFUNCTION("""COMPUTED_VALUE"""),"SkyprimeLp")</f>
        <v>SkyprimeLp</v>
      </c>
      <c r="F99" s="301"/>
      <c r="G99" s="312" t="str">
        <f>IFERROR(__xludf.DUMMYFUNCTION("""COMPUTED_VALUE"""),"")</f>
        <v/>
      </c>
      <c r="H99" s="311" t="str">
        <f>IFERROR(__xludf.DUMMYFUNCTION("""COMPUTED_VALUE"""),"Knax")</f>
        <v>Knax</v>
      </c>
      <c r="I99" s="301"/>
      <c r="J99" s="312" t="str">
        <f>IFERROR(__xludf.DUMMYFUNCTION("""COMPUTED_VALUE"""),"")</f>
        <v/>
      </c>
      <c r="K99" s="311" t="str">
        <f>IFERROR(__xludf.DUMMYFUNCTION("""COMPUTED_VALUE"""),"uhzyk")</f>
        <v>uhzyk</v>
      </c>
      <c r="L99" s="301"/>
      <c r="M99" s="313">
        <f>IFERROR(__xludf.DUMMYFUNCTION("""COMPUTED_VALUE"""),133509.0)</f>
        <v>133509</v>
      </c>
      <c r="N99" s="314" t="str">
        <f>IFERROR(__xludf.DUMMYFUNCTION("""COMPUTED_VALUE"""),"BOCCHER")</f>
        <v>BOCCHER</v>
      </c>
      <c r="P99" s="293"/>
      <c r="Q99" s="289"/>
    </row>
    <row r="100" ht="18.75" customHeight="1">
      <c r="A100" s="297"/>
      <c r="B100" s="293"/>
      <c r="D100" s="304"/>
      <c r="E100" s="315"/>
      <c r="F100" s="306" t="str">
        <f>IFERROR(__xludf.DUMMYFUNCTION("""COMPUTED_VALUE"""),"")</f>
        <v/>
      </c>
      <c r="G100" s="304"/>
      <c r="H100" s="315">
        <f>IFERROR(__xludf.DUMMYFUNCTION("""COMPUTED_VALUE"""),125215.0)</f>
        <v>125215</v>
      </c>
      <c r="I100" s="306" t="str">
        <f>IFERROR(__xludf.DUMMYFUNCTION("""COMPUTED_VALUE"""),"")</f>
        <v/>
      </c>
      <c r="J100" s="304"/>
      <c r="K100" s="315">
        <f>IFERROR(__xludf.DUMMYFUNCTION("""COMPUTED_VALUE"""),108293.0)</f>
        <v>108293</v>
      </c>
      <c r="L100" s="306" t="str">
        <f>IFERROR(__xludf.DUMMYFUNCTION("""COMPUTED_VALUE"""),"")</f>
        <v/>
      </c>
      <c r="M100" s="307"/>
      <c r="N100" s="307"/>
      <c r="P100" s="293"/>
      <c r="Q100" s="289"/>
    </row>
    <row r="101" ht="3.75" customHeight="1">
      <c r="A101" s="289"/>
      <c r="B101" s="293"/>
      <c r="C101" s="316"/>
      <c r="D101" s="294"/>
      <c r="E101" s="293"/>
      <c r="F101" s="295"/>
      <c r="G101" s="296"/>
      <c r="H101" s="295"/>
      <c r="I101" s="295"/>
      <c r="J101" s="296"/>
      <c r="K101" s="293"/>
      <c r="L101" s="308"/>
      <c r="M101" s="308"/>
      <c r="N101" s="308"/>
      <c r="O101" s="293"/>
      <c r="P101" s="293"/>
      <c r="Q101" s="289"/>
    </row>
    <row r="102" ht="30.0" customHeight="1">
      <c r="A102" s="297"/>
      <c r="B102" s="293"/>
      <c r="C102" s="309" t="str">
        <f>IFERROR(__xludf.DUMMYFUNCTION("""COMPUTED_VALUE"""),"cake")</f>
        <v>cake</v>
      </c>
      <c r="D102" s="310" t="str">
        <f>IFERROR(__xludf.DUMMYFUNCTION("""COMPUTED_VALUE"""),"")</f>
        <v/>
      </c>
      <c r="E102" s="311" t="str">
        <f>IFERROR(__xludf.DUMMYFUNCTION("""COMPUTED_VALUE"""),"No1ruf")</f>
        <v>No1ruf</v>
      </c>
      <c r="F102" s="301"/>
      <c r="G102" s="312" t="str">
        <f>IFERROR(__xludf.DUMMYFUNCTION("""COMPUTED_VALUE"""),"")</f>
        <v/>
      </c>
      <c r="H102" s="311" t="str">
        <f>IFERROR(__xludf.DUMMYFUNCTION("""COMPUTED_VALUE"""),"Leonan")</f>
        <v>Leonan</v>
      </c>
      <c r="I102" s="301"/>
      <c r="J102" s="312"/>
      <c r="K102" s="311"/>
      <c r="L102" s="301"/>
      <c r="M102" s="313">
        <f>IFERROR(__xludf.DUMMYFUNCTION("""COMPUTED_VALUE"""),134765.5)</f>
        <v>134765.5</v>
      </c>
      <c r="N102" s="314" t="str">
        <f>IFERROR(__xludf.DUMMYFUNCTION("""COMPUTED_VALUE"""),"cake")</f>
        <v>cake</v>
      </c>
      <c r="P102" s="293"/>
      <c r="Q102" s="289"/>
    </row>
    <row r="103" ht="18.75" customHeight="1">
      <c r="A103" s="297"/>
      <c r="B103" s="293"/>
      <c r="D103" s="304"/>
      <c r="E103" s="315"/>
      <c r="F103" s="306" t="str">
        <f>IFERROR(__xludf.DUMMYFUNCTION("""COMPUTED_VALUE"""),"")</f>
        <v/>
      </c>
      <c r="G103" s="304"/>
      <c r="H103" s="315">
        <f>IFERROR(__xludf.DUMMYFUNCTION("""COMPUTED_VALUE"""),105460.0)</f>
        <v>105460</v>
      </c>
      <c r="I103" s="306" t="str">
        <f>IFERROR(__xludf.DUMMYFUNCTION("""COMPUTED_VALUE"""),"")</f>
        <v/>
      </c>
      <c r="J103" s="304"/>
      <c r="K103" s="315"/>
      <c r="L103" s="306"/>
      <c r="M103" s="307"/>
      <c r="N103" s="307"/>
      <c r="P103" s="293"/>
      <c r="Q103" s="289"/>
    </row>
    <row r="104" ht="3.75" customHeight="1">
      <c r="A104" s="289"/>
      <c r="B104" s="293"/>
      <c r="C104" s="316"/>
      <c r="D104" s="294"/>
      <c r="E104" s="293"/>
      <c r="F104" s="295"/>
      <c r="G104" s="296"/>
      <c r="H104" s="295"/>
      <c r="I104" s="295"/>
      <c r="J104" s="296"/>
      <c r="K104" s="293"/>
      <c r="L104" s="308"/>
      <c r="M104" s="308"/>
      <c r="N104" s="308"/>
      <c r="O104" s="293"/>
      <c r="P104" s="293"/>
      <c r="Q104" s="289"/>
    </row>
    <row r="105" ht="30.0" customHeight="1">
      <c r="A105" s="297"/>
      <c r="B105" s="293"/>
      <c r="C105" s="309" t="str">
        <f>IFERROR(__xludf.DUMMYFUNCTION("""COMPUTED_VALUE"""),"Here Forever")</f>
        <v>Here Forever</v>
      </c>
      <c r="D105" s="310" t="str">
        <f>IFERROR(__xludf.DUMMYFUNCTION("""COMPUTED_VALUE"""),"")</f>
        <v/>
      </c>
      <c r="E105" s="311" t="str">
        <f>IFERROR(__xludf.DUMMYFUNCTION("""COMPUTED_VALUE"""),"Riidolsk")</f>
        <v>Riidolsk</v>
      </c>
      <c r="F105" s="301"/>
      <c r="G105" s="312" t="str">
        <f>IFERROR(__xludf.DUMMYFUNCTION("""COMPUTED_VALUE"""),"")</f>
        <v/>
      </c>
      <c r="H105" s="311" t="str">
        <f>IFERROR(__xludf.DUMMYFUNCTION("""COMPUTED_VALUE"""),"Kyarma")</f>
        <v>Kyarma</v>
      </c>
      <c r="I105" s="301"/>
      <c r="J105" s="312" t="str">
        <f>IFERROR(__xludf.DUMMYFUNCTION("""COMPUTED_VALUE"""),"")</f>
        <v/>
      </c>
      <c r="K105" s="311" t="str">
        <f>IFERROR(__xludf.DUMMYFUNCTION("""COMPUTED_VALUE"""),"stupid femboy")</f>
        <v>stupid femboy</v>
      </c>
      <c r="L105" s="301"/>
      <c r="M105" s="313">
        <f>IFERROR(__xludf.DUMMYFUNCTION("""COMPUTED_VALUE"""),134945.33333333334)</f>
        <v>134945.3333</v>
      </c>
      <c r="N105" s="314" t="str">
        <f>IFERROR(__xludf.DUMMYFUNCTION("""COMPUTED_VALUE"""),"don't forget")</f>
        <v>don't forget</v>
      </c>
      <c r="P105" s="293"/>
      <c r="Q105" s="289"/>
    </row>
    <row r="106" ht="18.75" customHeight="1">
      <c r="A106" s="297"/>
      <c r="B106" s="293"/>
      <c r="D106" s="304"/>
      <c r="E106" s="315"/>
      <c r="F106" s="306" t="str">
        <f>IFERROR(__xludf.DUMMYFUNCTION("""COMPUTED_VALUE"""),"")</f>
        <v/>
      </c>
      <c r="G106" s="304"/>
      <c r="H106" s="315">
        <f>IFERROR(__xludf.DUMMYFUNCTION("""COMPUTED_VALUE"""),115787.0)</f>
        <v>115787</v>
      </c>
      <c r="I106" s="306" t="str">
        <f>IFERROR(__xludf.DUMMYFUNCTION("""COMPUTED_VALUE"""),"")</f>
        <v/>
      </c>
      <c r="J106" s="304"/>
      <c r="K106" s="315">
        <f>IFERROR(__xludf.DUMMYFUNCTION("""COMPUTED_VALUE"""),138780.0)</f>
        <v>138780</v>
      </c>
      <c r="L106" s="306" t="str">
        <f>IFERROR(__xludf.DUMMYFUNCTION("""COMPUTED_VALUE"""),"")</f>
        <v/>
      </c>
      <c r="M106" s="307"/>
      <c r="N106" s="307"/>
      <c r="P106" s="293"/>
      <c r="Q106" s="289"/>
    </row>
    <row r="107" ht="3.75" customHeight="1">
      <c r="A107" s="289"/>
      <c r="B107" s="293"/>
      <c r="C107" s="316"/>
      <c r="D107" s="294"/>
      <c r="E107" s="293"/>
      <c r="F107" s="295"/>
      <c r="G107" s="296"/>
      <c r="H107" s="295"/>
      <c r="I107" s="295"/>
      <c r="J107" s="296"/>
      <c r="K107" s="293"/>
      <c r="L107" s="308"/>
      <c r="M107" s="308"/>
      <c r="N107" s="308"/>
      <c r="O107" s="293"/>
      <c r="P107" s="293"/>
      <c r="Q107" s="289"/>
    </row>
    <row r="108" ht="30.0" customHeight="1">
      <c r="A108" s="297"/>
      <c r="B108" s="293"/>
      <c r="C108" s="309" t="str">
        <f>IFERROR(__xludf.DUMMYFUNCTION("""COMPUTED_VALUE"""),"noodle team")</f>
        <v>noodle team</v>
      </c>
      <c r="D108" s="310" t="str">
        <f>IFERROR(__xludf.DUMMYFUNCTION("""COMPUTED_VALUE"""),"")</f>
        <v/>
      </c>
      <c r="E108" s="311" t="str">
        <f>IFERROR(__xludf.DUMMYFUNCTION("""COMPUTED_VALUE"""),"Lowuki")</f>
        <v>Lowuki</v>
      </c>
      <c r="F108" s="301"/>
      <c r="G108" s="312" t="str">
        <f>IFERROR(__xludf.DUMMYFUNCTION("""COMPUTED_VALUE"""),"")</f>
        <v/>
      </c>
      <c r="H108" s="311" t="str">
        <f>IFERROR(__xludf.DUMMYFUNCTION("""COMPUTED_VALUE"""),"Kuw")</f>
        <v>Kuw</v>
      </c>
      <c r="I108" s="301"/>
      <c r="J108" s="312"/>
      <c r="K108" s="311"/>
      <c r="L108" s="301"/>
      <c r="M108" s="313">
        <f>IFERROR(__xludf.DUMMYFUNCTION("""COMPUTED_VALUE"""),136062.5)</f>
        <v>136062.5</v>
      </c>
      <c r="N108" s="314" t="str">
        <f>IFERROR(__xludf.DUMMYFUNCTION("""COMPUTED_VALUE"""),"how to v2")</f>
        <v>how to v2</v>
      </c>
      <c r="P108" s="293"/>
      <c r="Q108" s="289"/>
    </row>
    <row r="109" ht="18.75" customHeight="1">
      <c r="A109" s="297"/>
      <c r="B109" s="293"/>
      <c r="D109" s="304"/>
      <c r="E109" s="315"/>
      <c r="F109" s="306" t="str">
        <f>IFERROR(__xludf.DUMMYFUNCTION("""COMPUTED_VALUE"""),"")</f>
        <v/>
      </c>
      <c r="G109" s="304"/>
      <c r="H109" s="315">
        <f>IFERROR(__xludf.DUMMYFUNCTION("""COMPUTED_VALUE"""),115527.0)</f>
        <v>115527</v>
      </c>
      <c r="I109" s="306" t="str">
        <f>IFERROR(__xludf.DUMMYFUNCTION("""COMPUTED_VALUE"""),"")</f>
        <v/>
      </c>
      <c r="J109" s="304"/>
      <c r="K109" s="315"/>
      <c r="L109" s="306"/>
      <c r="M109" s="307"/>
      <c r="N109" s="307"/>
      <c r="P109" s="293"/>
      <c r="Q109" s="289"/>
    </row>
    <row r="110" ht="3.75" customHeight="1">
      <c r="A110" s="289"/>
      <c r="B110" s="293"/>
      <c r="C110" s="316"/>
      <c r="D110" s="294"/>
      <c r="E110" s="293"/>
      <c r="F110" s="295"/>
      <c r="G110" s="296"/>
      <c r="H110" s="295"/>
      <c r="I110" s="295"/>
      <c r="J110" s="296"/>
      <c r="K110" s="293"/>
      <c r="L110" s="308"/>
      <c r="M110" s="308"/>
      <c r="N110" s="308"/>
      <c r="O110" s="293"/>
      <c r="P110" s="293"/>
      <c r="Q110" s="289"/>
    </row>
    <row r="111" ht="30.0" customHeight="1">
      <c r="A111" s="297"/>
      <c r="B111" s="293"/>
      <c r="C111" s="309" t="str">
        <f>IFERROR(__xludf.DUMMYFUNCTION("""COMPUTED_VALUE"""),"Team name pending xd")</f>
        <v>Team name pending xd</v>
      </c>
      <c r="D111" s="310" t="str">
        <f>IFERROR(__xludf.DUMMYFUNCTION("""COMPUTED_VALUE"""),"")</f>
        <v/>
      </c>
      <c r="E111" s="311" t="str">
        <f>IFERROR(__xludf.DUMMYFUNCTION("""COMPUTED_VALUE"""),"BlooMertz")</f>
        <v>BlooMertz</v>
      </c>
      <c r="F111" s="301"/>
      <c r="G111" s="312" t="str">
        <f>IFERROR(__xludf.DUMMYFUNCTION("""COMPUTED_VALUE"""),"")</f>
        <v/>
      </c>
      <c r="H111" s="311" t="str">
        <f>IFERROR(__xludf.DUMMYFUNCTION("""COMPUTED_VALUE"""),"cxyren")</f>
        <v>cxyren</v>
      </c>
      <c r="I111" s="301"/>
      <c r="J111" s="312" t="str">
        <f>IFERROR(__xludf.DUMMYFUNCTION("""COMPUTED_VALUE"""),"")</f>
        <v/>
      </c>
      <c r="K111" s="311" t="str">
        <f>IFERROR(__xludf.DUMMYFUNCTION("""COMPUTED_VALUE"""),"Dragonslash354")</f>
        <v>Dragonslash354</v>
      </c>
      <c r="L111" s="301"/>
      <c r="M111" s="313">
        <f>IFERROR(__xludf.DUMMYFUNCTION("""COMPUTED_VALUE"""),136263.66666666666)</f>
        <v>136263.6667</v>
      </c>
      <c r="N111" s="314" t="str">
        <f>IFERROR(__xludf.DUMMYFUNCTION("""COMPUTED_VALUE"""),"99% of gamblers quit before they win big")</f>
        <v>99% of gamblers quit before they win big</v>
      </c>
      <c r="P111" s="293"/>
      <c r="Q111" s="289"/>
    </row>
    <row r="112" ht="18.75" customHeight="1">
      <c r="A112" s="297"/>
      <c r="B112" s="293"/>
      <c r="D112" s="304"/>
      <c r="E112" s="315"/>
      <c r="F112" s="306" t="str">
        <f>IFERROR(__xludf.DUMMYFUNCTION("""COMPUTED_VALUE"""),"")</f>
        <v/>
      </c>
      <c r="G112" s="304"/>
      <c r="H112" s="315">
        <f>IFERROR(__xludf.DUMMYFUNCTION("""COMPUTED_VALUE"""),146973.0)</f>
        <v>146973</v>
      </c>
      <c r="I112" s="306" t="str">
        <f>IFERROR(__xludf.DUMMYFUNCTION("""COMPUTED_VALUE"""),"")</f>
        <v/>
      </c>
      <c r="J112" s="304"/>
      <c r="K112" s="315">
        <f>IFERROR(__xludf.DUMMYFUNCTION("""COMPUTED_VALUE"""),127501.0)</f>
        <v>127501</v>
      </c>
      <c r="L112" s="306" t="str">
        <f>IFERROR(__xludf.DUMMYFUNCTION("""COMPUTED_VALUE"""),"")</f>
        <v/>
      </c>
      <c r="M112" s="307"/>
      <c r="N112" s="307"/>
      <c r="P112" s="293"/>
      <c r="Q112" s="289"/>
    </row>
    <row r="113" ht="3.75" customHeight="1">
      <c r="A113" s="289"/>
      <c r="B113" s="293"/>
      <c r="C113" s="316"/>
      <c r="D113" s="294"/>
      <c r="E113" s="293"/>
      <c r="F113" s="295"/>
      <c r="G113" s="296"/>
      <c r="H113" s="295"/>
      <c r="I113" s="295"/>
      <c r="J113" s="296"/>
      <c r="K113" s="293"/>
      <c r="L113" s="308"/>
      <c r="M113" s="308"/>
      <c r="N113" s="308"/>
      <c r="O113" s="293"/>
      <c r="P113" s="293"/>
      <c r="Q113" s="289"/>
    </row>
    <row r="114" ht="30.0" customHeight="1">
      <c r="A114" s="297"/>
      <c r="B114" s="293"/>
      <c r="C114" s="309" t="str">
        <f>IFERROR(__xludf.DUMMYFUNCTION("""COMPUTED_VALUE"""),"jedrew")</f>
        <v>jedrew</v>
      </c>
      <c r="D114" s="310" t="str">
        <f>IFERROR(__xludf.DUMMYFUNCTION("""COMPUTED_VALUE"""),"")</f>
        <v/>
      </c>
      <c r="E114" s="311" t="str">
        <f>IFERROR(__xludf.DUMMYFUNCTION("""COMPUTED_VALUE"""),"jeffreybot")</f>
        <v>jeffreybot</v>
      </c>
      <c r="F114" s="301"/>
      <c r="G114" s="312" t="str">
        <f>IFERROR(__xludf.DUMMYFUNCTION("""COMPUTED_VALUE"""),"")</f>
        <v/>
      </c>
      <c r="H114" s="311" t="str">
        <f>IFERROR(__xludf.DUMMYFUNCTION("""COMPUTED_VALUE"""),"CBF45")</f>
        <v>CBF45</v>
      </c>
      <c r="I114" s="301"/>
      <c r="J114" s="312"/>
      <c r="K114" s="311"/>
      <c r="L114" s="301"/>
      <c r="M114" s="313">
        <f>IFERROR(__xludf.DUMMYFUNCTION("""COMPUTED_VALUE"""),136917.5)</f>
        <v>136917.5</v>
      </c>
      <c r="N114" s="314" t="str">
        <f>IFERROR(__xludf.DUMMYFUNCTION("""COMPUTED_VALUE"""),"we win")</f>
        <v>we win</v>
      </c>
      <c r="P114" s="293"/>
      <c r="Q114" s="289"/>
    </row>
    <row r="115" ht="18.75" customHeight="1">
      <c r="A115" s="297"/>
      <c r="B115" s="293"/>
      <c r="D115" s="304"/>
      <c r="E115" s="315"/>
      <c r="F115" s="306" t="str">
        <f>IFERROR(__xludf.DUMMYFUNCTION("""COMPUTED_VALUE"""),"")</f>
        <v/>
      </c>
      <c r="G115" s="304"/>
      <c r="H115" s="315">
        <f>IFERROR(__xludf.DUMMYFUNCTION("""COMPUTED_VALUE"""),166406.0)</f>
        <v>166406</v>
      </c>
      <c r="I115" s="306" t="str">
        <f>IFERROR(__xludf.DUMMYFUNCTION("""COMPUTED_VALUE"""),"")</f>
        <v/>
      </c>
      <c r="J115" s="304"/>
      <c r="K115" s="315"/>
      <c r="L115" s="306"/>
      <c r="M115" s="307"/>
      <c r="N115" s="307"/>
      <c r="P115" s="293"/>
      <c r="Q115" s="289"/>
    </row>
    <row r="116" ht="3.75" customHeight="1">
      <c r="A116" s="289"/>
      <c r="B116" s="293"/>
      <c r="C116" s="316"/>
      <c r="D116" s="294"/>
      <c r="E116" s="293"/>
      <c r="F116" s="295"/>
      <c r="G116" s="296"/>
      <c r="H116" s="295"/>
      <c r="I116" s="295"/>
      <c r="J116" s="296"/>
      <c r="K116" s="293"/>
      <c r="L116" s="308"/>
      <c r="M116" s="308"/>
      <c r="N116" s="308"/>
      <c r="O116" s="293"/>
      <c r="P116" s="293"/>
      <c r="Q116" s="289"/>
    </row>
    <row r="117" ht="30.0" customHeight="1">
      <c r="A117" s="297"/>
      <c r="B117" s="293"/>
      <c r="C117" s="309" t="str">
        <f>IFERROR(__xludf.DUMMYFUNCTION("""COMPUTED_VALUE"""),"APELPIES MY MOMMY")</f>
        <v>APELPIES MY MOMMY</v>
      </c>
      <c r="D117" s="310" t="str">
        <f>IFERROR(__xludf.DUMMYFUNCTION("""COMPUTED_VALUE"""),"")</f>
        <v/>
      </c>
      <c r="E117" s="311" t="str">
        <f>IFERROR(__xludf.DUMMYFUNCTION("""COMPUTED_VALUE"""),"TheGrabi")</f>
        <v>TheGrabi</v>
      </c>
      <c r="F117" s="301"/>
      <c r="G117" s="312" t="str">
        <f>IFERROR(__xludf.DUMMYFUNCTION("""COMPUTED_VALUE"""),"")</f>
        <v/>
      </c>
      <c r="H117" s="311" t="str">
        <f>IFERROR(__xludf.DUMMYFUNCTION("""COMPUTED_VALUE"""),"Miryuo")</f>
        <v>Miryuo</v>
      </c>
      <c r="I117" s="301"/>
      <c r="J117" s="312" t="str">
        <f>IFERROR(__xludf.DUMMYFUNCTION("""COMPUTED_VALUE"""),"")</f>
        <v/>
      </c>
      <c r="K117" s="311" t="str">
        <f>IFERROR(__xludf.DUMMYFUNCTION("""COMPUTED_VALUE"""),"apelpies")</f>
        <v>apelpies</v>
      </c>
      <c r="L117" s="301"/>
      <c r="M117" s="313">
        <f>IFERROR(__xludf.DUMMYFUNCTION("""COMPUTED_VALUE"""),137113.0)</f>
        <v>137113</v>
      </c>
      <c r="N117" s="314" t="str">
        <f>IFERROR(__xludf.DUMMYFUNCTION("""COMPUTED_VALUE"""),"apel never gave up")</f>
        <v>apel never gave up</v>
      </c>
      <c r="P117" s="293"/>
      <c r="Q117" s="289"/>
    </row>
    <row r="118" ht="18.75" customHeight="1">
      <c r="A118" s="297"/>
      <c r="B118" s="293"/>
      <c r="D118" s="304"/>
      <c r="E118" s="315"/>
      <c r="F118" s="306" t="str">
        <f>IFERROR(__xludf.DUMMYFUNCTION("""COMPUTED_VALUE"""),"")</f>
        <v/>
      </c>
      <c r="G118" s="304"/>
      <c r="H118" s="315">
        <f>IFERROR(__xludf.DUMMYFUNCTION("""COMPUTED_VALUE"""),111901.0)</f>
        <v>111901</v>
      </c>
      <c r="I118" s="306" t="str">
        <f>IFERROR(__xludf.DUMMYFUNCTION("""COMPUTED_VALUE"""),"")</f>
        <v/>
      </c>
      <c r="J118" s="304"/>
      <c r="K118" s="315">
        <f>IFERROR(__xludf.DUMMYFUNCTION("""COMPUTED_VALUE"""),198905.0)</f>
        <v>198905</v>
      </c>
      <c r="L118" s="306" t="str">
        <f>IFERROR(__xludf.DUMMYFUNCTION("""COMPUTED_VALUE"""),"")</f>
        <v/>
      </c>
      <c r="M118" s="307"/>
      <c r="N118" s="307"/>
      <c r="P118" s="293"/>
      <c r="Q118" s="289"/>
    </row>
    <row r="119" ht="3.75" customHeight="1">
      <c r="A119" s="289"/>
      <c r="B119" s="293"/>
      <c r="C119" s="316"/>
      <c r="D119" s="294"/>
      <c r="E119" s="293"/>
      <c r="F119" s="295"/>
      <c r="G119" s="296"/>
      <c r="H119" s="295"/>
      <c r="I119" s="295"/>
      <c r="J119" s="296"/>
      <c r="K119" s="293"/>
      <c r="L119" s="308"/>
      <c r="M119" s="308"/>
      <c r="N119" s="308"/>
      <c r="O119" s="293"/>
      <c r="P119" s="293"/>
      <c r="Q119" s="289"/>
    </row>
    <row r="120" ht="30.0" customHeight="1">
      <c r="A120" s="297"/>
      <c r="B120" s="293"/>
      <c r="C120" s="309" t="str">
        <f>IFERROR(__xludf.DUMMYFUNCTION("""COMPUTED_VALUE"""),"equipe câo")</f>
        <v>equipe câo</v>
      </c>
      <c r="D120" s="310" t="str">
        <f>IFERROR(__xludf.DUMMYFUNCTION("""COMPUTED_VALUE"""),"")</f>
        <v/>
      </c>
      <c r="E120" s="311" t="str">
        <f>IFERROR(__xludf.DUMMYFUNCTION("""COMPUTED_VALUE"""),"KillerLink")</f>
        <v>KillerLink</v>
      </c>
      <c r="F120" s="301"/>
      <c r="G120" s="312" t="str">
        <f>IFERROR(__xludf.DUMMYFUNCTION("""COMPUTED_VALUE"""),"")</f>
        <v/>
      </c>
      <c r="H120" s="311" t="str">
        <f>IFERROR(__xludf.DUMMYFUNCTION("""COMPUTED_VALUE"""),"lipeposo")</f>
        <v>lipeposo</v>
      </c>
      <c r="I120" s="301"/>
      <c r="J120" s="312" t="str">
        <f>IFERROR(__xludf.DUMMYFUNCTION("""COMPUTED_VALUE"""),"")</f>
        <v/>
      </c>
      <c r="K120" s="311" t="str">
        <f>IFERROR(__xludf.DUMMYFUNCTION("""COMPUTED_VALUE"""),"Ren245")</f>
        <v>Ren245</v>
      </c>
      <c r="L120" s="301"/>
      <c r="M120" s="313">
        <f>IFERROR(__xludf.DUMMYFUNCTION("""COMPUTED_VALUE"""),138047.33333333334)</f>
        <v>138047.3333</v>
      </c>
      <c r="N120" s="314" t="str">
        <f>IFERROR(__xludf.DUMMYFUNCTION("""COMPUTED_VALUE"""),"Team Motto *")</f>
        <v>Team Motto *</v>
      </c>
      <c r="P120" s="293"/>
      <c r="Q120" s="289"/>
    </row>
    <row r="121" ht="18.75" customHeight="1">
      <c r="A121" s="297"/>
      <c r="B121" s="293"/>
      <c r="D121" s="304"/>
      <c r="E121" s="315"/>
      <c r="F121" s="306" t="str">
        <f>IFERROR(__xludf.DUMMYFUNCTION("""COMPUTED_VALUE"""),"")</f>
        <v/>
      </c>
      <c r="G121" s="304"/>
      <c r="H121" s="315">
        <f>IFERROR(__xludf.DUMMYFUNCTION("""COMPUTED_VALUE"""),150575.0)</f>
        <v>150575</v>
      </c>
      <c r="I121" s="306" t="str">
        <f>IFERROR(__xludf.DUMMYFUNCTION("""COMPUTED_VALUE"""),"")</f>
        <v/>
      </c>
      <c r="J121" s="304"/>
      <c r="K121" s="315">
        <f>IFERROR(__xludf.DUMMYFUNCTION("""COMPUTED_VALUE"""),113332.0)</f>
        <v>113332</v>
      </c>
      <c r="L121" s="306" t="str">
        <f>IFERROR(__xludf.DUMMYFUNCTION("""COMPUTED_VALUE"""),"")</f>
        <v/>
      </c>
      <c r="M121" s="307"/>
      <c r="N121" s="307"/>
      <c r="P121" s="293"/>
      <c r="Q121" s="289"/>
    </row>
    <row r="122" ht="3.75" customHeight="1">
      <c r="A122" s="289"/>
      <c r="B122" s="293"/>
      <c r="C122" s="316"/>
      <c r="D122" s="294"/>
      <c r="E122" s="293"/>
      <c r="F122" s="295"/>
      <c r="G122" s="296"/>
      <c r="H122" s="295"/>
      <c r="I122" s="295"/>
      <c r="J122" s="296"/>
      <c r="K122" s="293"/>
      <c r="L122" s="308"/>
      <c r="M122" s="308"/>
      <c r="N122" s="308"/>
      <c r="O122" s="293"/>
      <c r="P122" s="293"/>
      <c r="Q122" s="289"/>
    </row>
    <row r="123" ht="30.0" customHeight="1">
      <c r="A123" s="297"/>
      <c r="B123" s="293"/>
      <c r="C123" s="309" t="str">
        <f>IFERROR(__xludf.DUMMYFUNCTION("""COMPUTED_VALUE"""),"Lovers + 3rd wheel")</f>
        <v>Lovers + 3rd wheel</v>
      </c>
      <c r="D123" s="310" t="str">
        <f>IFERROR(__xludf.DUMMYFUNCTION("""COMPUTED_VALUE"""),"")</f>
        <v/>
      </c>
      <c r="E123" s="311" t="str">
        <f>IFERROR(__xludf.DUMMYFUNCTION("""COMPUTED_VALUE"""),"TeddyFine")</f>
        <v>TeddyFine</v>
      </c>
      <c r="F123" s="301"/>
      <c r="G123" s="312" t="str">
        <f>IFERROR(__xludf.DUMMYFUNCTION("""COMPUTED_VALUE"""),"")</f>
        <v/>
      </c>
      <c r="H123" s="311" t="str">
        <f>IFERROR(__xludf.DUMMYFUNCTION("""COMPUTED_VALUE"""),"Entro")</f>
        <v>Entro</v>
      </c>
      <c r="I123" s="301"/>
      <c r="J123" s="312" t="str">
        <f>IFERROR(__xludf.DUMMYFUNCTION("""COMPUTED_VALUE"""),"")</f>
        <v/>
      </c>
      <c r="K123" s="311" t="str">
        <f>IFERROR(__xludf.DUMMYFUNCTION("""COMPUTED_VALUE"""),"BubblyQT")</f>
        <v>BubblyQT</v>
      </c>
      <c r="L123" s="301"/>
      <c r="M123" s="313">
        <f>IFERROR(__xludf.DUMMYFUNCTION("""COMPUTED_VALUE"""),138996.66666666666)</f>
        <v>138996.6667</v>
      </c>
      <c r="N123" s="314" t="str">
        <f>IFERROR(__xludf.DUMMYFUNCTION("""COMPUTED_VALUE"""),"سوف يلتهم الخمور الحار روحك")</f>
        <v>سوف يلتهم الخمور الحار روحك</v>
      </c>
      <c r="P123" s="293"/>
      <c r="Q123" s="289"/>
    </row>
    <row r="124" ht="18.75" customHeight="1">
      <c r="A124" s="297"/>
      <c r="B124" s="293"/>
      <c r="D124" s="304"/>
      <c r="E124" s="315"/>
      <c r="F124" s="306" t="str">
        <f>IFERROR(__xludf.DUMMYFUNCTION("""COMPUTED_VALUE"""),"")</f>
        <v/>
      </c>
      <c r="G124" s="304"/>
      <c r="H124" s="315">
        <f>IFERROR(__xludf.DUMMYFUNCTION("""COMPUTED_VALUE"""),107456.0)</f>
        <v>107456</v>
      </c>
      <c r="I124" s="306" t="str">
        <f>IFERROR(__xludf.DUMMYFUNCTION("""COMPUTED_VALUE"""),"")</f>
        <v/>
      </c>
      <c r="J124" s="304"/>
      <c r="K124" s="315">
        <f>IFERROR(__xludf.DUMMYFUNCTION("""COMPUTED_VALUE"""),123302.0)</f>
        <v>123302</v>
      </c>
      <c r="L124" s="306" t="str">
        <f>IFERROR(__xludf.DUMMYFUNCTION("""COMPUTED_VALUE"""),"")</f>
        <v/>
      </c>
      <c r="M124" s="307"/>
      <c r="N124" s="307"/>
      <c r="P124" s="293"/>
      <c r="Q124" s="289"/>
    </row>
    <row r="125" ht="3.75" customHeight="1">
      <c r="A125" s="289"/>
      <c r="B125" s="293"/>
      <c r="C125" s="316"/>
      <c r="D125" s="294"/>
      <c r="E125" s="293"/>
      <c r="F125" s="295"/>
      <c r="G125" s="296"/>
      <c r="H125" s="295"/>
      <c r="I125" s="295"/>
      <c r="J125" s="296"/>
      <c r="K125" s="293"/>
      <c r="L125" s="308"/>
      <c r="M125" s="308"/>
      <c r="N125" s="308"/>
      <c r="O125" s="293"/>
      <c r="P125" s="293"/>
      <c r="Q125" s="289"/>
    </row>
    <row r="126" ht="30.0" customHeight="1">
      <c r="A126" s="297"/>
      <c r="B126" s="293"/>
      <c r="C126" s="309" t="str">
        <f>IFERROR(__xludf.DUMMYFUNCTION("""COMPUTED_VALUE"""),"Ahjin")</f>
        <v>Ahjin</v>
      </c>
      <c r="D126" s="310" t="str">
        <f>IFERROR(__xludf.DUMMYFUNCTION("""COMPUTED_VALUE"""),"")</f>
        <v/>
      </c>
      <c r="E126" s="311" t="str">
        <f>IFERROR(__xludf.DUMMYFUNCTION("""COMPUTED_VALUE"""),"TzJake")</f>
        <v>TzJake</v>
      </c>
      <c r="F126" s="301"/>
      <c r="G126" s="312" t="str">
        <f>IFERROR(__xludf.DUMMYFUNCTION("""COMPUTED_VALUE"""),"")</f>
        <v/>
      </c>
      <c r="H126" s="311" t="str">
        <f>IFERROR(__xludf.DUMMYFUNCTION("""COMPUTED_VALUE"""),"rafaeldel7")</f>
        <v>rafaeldel7</v>
      </c>
      <c r="I126" s="301"/>
      <c r="J126" s="312" t="str">
        <f>IFERROR(__xludf.DUMMYFUNCTION("""COMPUTED_VALUE"""),"")</f>
        <v/>
      </c>
      <c r="K126" s="311" t="str">
        <f>IFERROR(__xludf.DUMMYFUNCTION("""COMPUTED_VALUE"""),"-Darklune-")</f>
        <v>-Darklune-</v>
      </c>
      <c r="L126" s="301"/>
      <c r="M126" s="313">
        <f>IFERROR(__xludf.DUMMYFUNCTION("""COMPUTED_VALUE"""),139126.33333333334)</f>
        <v>139126.3333</v>
      </c>
      <c r="N126" s="314" t="str">
        <f>IFERROR(__xludf.DUMMYFUNCTION("""COMPUTED_VALUE"""),"Inca kola GOD")</f>
        <v>Inca kola GOD</v>
      </c>
      <c r="P126" s="293"/>
      <c r="Q126" s="289"/>
    </row>
    <row r="127" ht="18.75" customHeight="1">
      <c r="A127" s="297"/>
      <c r="B127" s="293"/>
      <c r="D127" s="304"/>
      <c r="E127" s="315"/>
      <c r="F127" s="306" t="str">
        <f>IFERROR(__xludf.DUMMYFUNCTION("""COMPUTED_VALUE"""),"")</f>
        <v/>
      </c>
      <c r="G127" s="304"/>
      <c r="H127" s="315">
        <f>IFERROR(__xludf.DUMMYFUNCTION("""COMPUTED_VALUE"""),111387.0)</f>
        <v>111387</v>
      </c>
      <c r="I127" s="306" t="str">
        <f>IFERROR(__xludf.DUMMYFUNCTION("""COMPUTED_VALUE"""),"")</f>
        <v/>
      </c>
      <c r="J127" s="304"/>
      <c r="K127" s="315">
        <f>IFERROR(__xludf.DUMMYFUNCTION("""COMPUTED_VALUE"""),163039.0)</f>
        <v>163039</v>
      </c>
      <c r="L127" s="306" t="str">
        <f>IFERROR(__xludf.DUMMYFUNCTION("""COMPUTED_VALUE"""),"")</f>
        <v/>
      </c>
      <c r="M127" s="307"/>
      <c r="N127" s="307"/>
      <c r="P127" s="293"/>
      <c r="Q127" s="289"/>
    </row>
    <row r="128" ht="3.75" customHeight="1">
      <c r="A128" s="289"/>
      <c r="B128" s="293"/>
      <c r="C128" s="316"/>
      <c r="D128" s="294"/>
      <c r="E128" s="293"/>
      <c r="F128" s="295"/>
      <c r="G128" s="296"/>
      <c r="H128" s="295"/>
      <c r="I128" s="295"/>
      <c r="J128" s="296"/>
      <c r="K128" s="293"/>
      <c r="L128" s="308"/>
      <c r="M128" s="308"/>
      <c r="N128" s="308"/>
      <c r="O128" s="293"/>
      <c r="P128" s="293"/>
      <c r="Q128" s="289"/>
    </row>
    <row r="129" ht="30.0" customHeight="1">
      <c r="A129" s="297"/>
      <c r="B129" s="293"/>
      <c r="C129" s="309" t="str">
        <f>IFERROR(__xludf.DUMMYFUNCTION("""COMPUTED_VALUE"""),"PLDT ANO NAAA")</f>
        <v>PLDT ANO NAAA</v>
      </c>
      <c r="D129" s="310" t="str">
        <f>IFERROR(__xludf.DUMMYFUNCTION("""COMPUTED_VALUE"""),"")</f>
        <v/>
      </c>
      <c r="E129" s="311" t="str">
        <f>IFERROR(__xludf.DUMMYFUNCTION("""COMPUTED_VALUE"""),"Shion Yorigami")</f>
        <v>Shion Yorigami</v>
      </c>
      <c r="F129" s="301"/>
      <c r="G129" s="312" t="str">
        <f>IFERROR(__xludf.DUMMYFUNCTION("""COMPUTED_VALUE"""),"")</f>
        <v/>
      </c>
      <c r="H129" s="311" t="str">
        <f>IFERROR(__xludf.DUMMYFUNCTION("""COMPUTED_VALUE"""),"iSimp22")</f>
        <v>iSimp22</v>
      </c>
      <c r="I129" s="301"/>
      <c r="J129" s="312" t="str">
        <f>IFERROR(__xludf.DUMMYFUNCTION("""COMPUTED_VALUE"""),"")</f>
        <v/>
      </c>
      <c r="K129" s="311" t="str">
        <f>IFERROR(__xludf.DUMMYFUNCTION("""COMPUTED_VALUE"""),"BluNuggets")</f>
        <v>BluNuggets</v>
      </c>
      <c r="L129" s="301"/>
      <c r="M129" s="313">
        <f>IFERROR(__xludf.DUMMYFUNCTION("""COMPUTED_VALUE"""),140207.66666666666)</f>
        <v>140207.6667</v>
      </c>
      <c r="N129" s="314" t="str">
        <f>IFERROR(__xludf.DUMMYFUNCTION("""COMPUTED_VALUE"""),"https://www.youtube.com/watch?v=SzOWy1o2dTA")</f>
        <v>https://www.youtube.com/watch?v=SzOWy1o2dTA</v>
      </c>
      <c r="P129" s="293"/>
      <c r="Q129" s="289"/>
    </row>
    <row r="130" ht="18.75" customHeight="1">
      <c r="A130" s="297"/>
      <c r="B130" s="293"/>
      <c r="D130" s="304"/>
      <c r="E130" s="315"/>
      <c r="F130" s="306" t="str">
        <f>IFERROR(__xludf.DUMMYFUNCTION("""COMPUTED_VALUE"""),"")</f>
        <v/>
      </c>
      <c r="G130" s="304"/>
      <c r="H130" s="315">
        <f>IFERROR(__xludf.DUMMYFUNCTION("""COMPUTED_VALUE"""),142438.0)</f>
        <v>142438</v>
      </c>
      <c r="I130" s="306" t="str">
        <f>IFERROR(__xludf.DUMMYFUNCTION("""COMPUTED_VALUE"""),"")</f>
        <v/>
      </c>
      <c r="J130" s="304"/>
      <c r="K130" s="315">
        <f>IFERROR(__xludf.DUMMYFUNCTION("""COMPUTED_VALUE"""),118495.0)</f>
        <v>118495</v>
      </c>
      <c r="L130" s="306" t="str">
        <f>IFERROR(__xludf.DUMMYFUNCTION("""COMPUTED_VALUE"""),"")</f>
        <v/>
      </c>
      <c r="M130" s="307"/>
      <c r="N130" s="307"/>
      <c r="P130" s="293"/>
      <c r="Q130" s="289"/>
    </row>
    <row r="131" ht="3.75" customHeight="1">
      <c r="A131" s="289"/>
      <c r="B131" s="293"/>
      <c r="C131" s="316"/>
      <c r="D131" s="294"/>
      <c r="E131" s="293"/>
      <c r="F131" s="295"/>
      <c r="G131" s="296"/>
      <c r="H131" s="295"/>
      <c r="I131" s="295"/>
      <c r="J131" s="296"/>
      <c r="K131" s="293"/>
      <c r="L131" s="308"/>
      <c r="M131" s="308"/>
      <c r="N131" s="308"/>
      <c r="O131" s="293"/>
      <c r="P131" s="293"/>
      <c r="Q131" s="289"/>
    </row>
    <row r="132" ht="30.0" customHeight="1">
      <c r="A132" s="297"/>
      <c r="B132" s="293"/>
      <c r="C132" s="309" t="str">
        <f>IFERROR(__xludf.DUMMYFUNCTION("""COMPUTED_VALUE"""),"Retired Aces")</f>
        <v>Retired Aces</v>
      </c>
      <c r="D132" s="310" t="str">
        <f>IFERROR(__xludf.DUMMYFUNCTION("""COMPUTED_VALUE"""),"")</f>
        <v/>
      </c>
      <c r="E132" s="311" t="str">
        <f>IFERROR(__xludf.DUMMYFUNCTION("""COMPUTED_VALUE"""),"Todi37")</f>
        <v>Todi37</v>
      </c>
      <c r="F132" s="301"/>
      <c r="G132" s="312" t="str">
        <f>IFERROR(__xludf.DUMMYFUNCTION("""COMPUTED_VALUE"""),"")</f>
        <v/>
      </c>
      <c r="H132" s="311" t="str">
        <f>IFERROR(__xludf.DUMMYFUNCTION("""COMPUTED_VALUE"""),"Flaming_Galaxy")</f>
        <v>Flaming_Galaxy</v>
      </c>
      <c r="I132" s="301"/>
      <c r="J132" s="312" t="str">
        <f>IFERROR(__xludf.DUMMYFUNCTION("""COMPUTED_VALUE"""),"")</f>
        <v/>
      </c>
      <c r="K132" s="311" t="str">
        <f>IFERROR(__xludf.DUMMYFUNCTION("""COMPUTED_VALUE"""),"MomoNagi")</f>
        <v>MomoNagi</v>
      </c>
      <c r="L132" s="301"/>
      <c r="M132" s="313">
        <f>IFERROR(__xludf.DUMMYFUNCTION("""COMPUTED_VALUE"""),141068.0)</f>
        <v>141068</v>
      </c>
      <c r="N132" s="314" t="str">
        <f>IFERROR(__xludf.DUMMYFUNCTION("""COMPUTED_VALUE"""),"Too old to play")</f>
        <v>Too old to play</v>
      </c>
      <c r="P132" s="293"/>
      <c r="Q132" s="289"/>
    </row>
    <row r="133" ht="18.75" customHeight="1">
      <c r="A133" s="297"/>
      <c r="B133" s="293"/>
      <c r="D133" s="304"/>
      <c r="E133" s="315"/>
      <c r="F133" s="306" t="str">
        <f>IFERROR(__xludf.DUMMYFUNCTION("""COMPUTED_VALUE"""),"")</f>
        <v/>
      </c>
      <c r="G133" s="304"/>
      <c r="H133" s="315">
        <f>IFERROR(__xludf.DUMMYFUNCTION("""COMPUTED_VALUE"""),102506.0)</f>
        <v>102506</v>
      </c>
      <c r="I133" s="306" t="str">
        <f>IFERROR(__xludf.DUMMYFUNCTION("""COMPUTED_VALUE"""),"")</f>
        <v/>
      </c>
      <c r="J133" s="304"/>
      <c r="K133" s="315">
        <f>IFERROR(__xludf.DUMMYFUNCTION("""COMPUTED_VALUE"""),130829.0)</f>
        <v>130829</v>
      </c>
      <c r="L133" s="306" t="str">
        <f>IFERROR(__xludf.DUMMYFUNCTION("""COMPUTED_VALUE"""),"")</f>
        <v/>
      </c>
      <c r="M133" s="307"/>
      <c r="N133" s="307"/>
      <c r="P133" s="293"/>
      <c r="Q133" s="289"/>
    </row>
    <row r="134" ht="3.75" customHeight="1">
      <c r="A134" s="289"/>
      <c r="B134" s="293"/>
      <c r="C134" s="316"/>
      <c r="D134" s="294"/>
      <c r="E134" s="293"/>
      <c r="F134" s="295"/>
      <c r="G134" s="296"/>
      <c r="H134" s="295"/>
      <c r="I134" s="295"/>
      <c r="J134" s="296"/>
      <c r="K134" s="293"/>
      <c r="L134" s="308"/>
      <c r="M134" s="308"/>
      <c r="N134" s="308"/>
      <c r="O134" s="293"/>
      <c r="P134" s="293"/>
      <c r="Q134" s="289"/>
    </row>
    <row r="135" ht="30.0" customHeight="1">
      <c r="A135" s="297"/>
      <c r="B135" s="293"/>
      <c r="C135" s="309" t="str">
        <f>IFERROR(__xludf.DUMMYFUNCTION("""COMPUTED_VALUE"""),"Nameless Waifulovers")</f>
        <v>Nameless Waifulovers</v>
      </c>
      <c r="D135" s="310" t="str">
        <f>IFERROR(__xludf.DUMMYFUNCTION("""COMPUTED_VALUE"""),"")</f>
        <v/>
      </c>
      <c r="E135" s="311" t="str">
        <f>IFERROR(__xludf.DUMMYFUNCTION("""COMPUTED_VALUE"""),"Feroshi")</f>
        <v>Feroshi</v>
      </c>
      <c r="F135" s="301"/>
      <c r="G135" s="312" t="str">
        <f>IFERROR(__xludf.DUMMYFUNCTION("""COMPUTED_VALUE"""),"")</f>
        <v/>
      </c>
      <c r="H135" s="311" t="str">
        <f>IFERROR(__xludf.DUMMYFUNCTION("""COMPUTED_VALUE"""),"Scaly007")</f>
        <v>Scaly007</v>
      </c>
      <c r="I135" s="301"/>
      <c r="J135" s="312" t="str">
        <f>IFERROR(__xludf.DUMMYFUNCTION("""COMPUTED_VALUE"""),"")</f>
        <v/>
      </c>
      <c r="K135" s="311" t="str">
        <f>IFERROR(__xludf.DUMMYFUNCTION("""COMPUTED_VALUE"""),"yunasky")</f>
        <v>yunasky</v>
      </c>
      <c r="L135" s="301"/>
      <c r="M135" s="313">
        <f>IFERROR(__xludf.DUMMYFUNCTION("""COMPUTED_VALUE"""),144650.33333333334)</f>
        <v>144650.3333</v>
      </c>
      <c r="N135" s="314" t="str">
        <f>IFERROR(__xludf.DUMMYFUNCTION("""COMPUTED_VALUE"""),"frick HR")</f>
        <v>frick HR</v>
      </c>
      <c r="P135" s="293"/>
      <c r="Q135" s="289"/>
    </row>
    <row r="136" ht="18.75" customHeight="1">
      <c r="A136" s="297"/>
      <c r="B136" s="293"/>
      <c r="D136" s="304"/>
      <c r="E136" s="315"/>
      <c r="F136" s="306" t="str">
        <f>IFERROR(__xludf.DUMMYFUNCTION("""COMPUTED_VALUE"""),"")</f>
        <v/>
      </c>
      <c r="G136" s="304"/>
      <c r="H136" s="315">
        <f>IFERROR(__xludf.DUMMYFUNCTION("""COMPUTED_VALUE"""),153162.0)</f>
        <v>153162</v>
      </c>
      <c r="I136" s="306" t="str">
        <f>IFERROR(__xludf.DUMMYFUNCTION("""COMPUTED_VALUE"""),"")</f>
        <v/>
      </c>
      <c r="J136" s="304"/>
      <c r="K136" s="315">
        <f>IFERROR(__xludf.DUMMYFUNCTION("""COMPUTED_VALUE"""),106839.0)</f>
        <v>106839</v>
      </c>
      <c r="L136" s="306" t="str">
        <f>IFERROR(__xludf.DUMMYFUNCTION("""COMPUTED_VALUE"""),"")</f>
        <v/>
      </c>
      <c r="M136" s="307"/>
      <c r="N136" s="307"/>
      <c r="P136" s="293"/>
      <c r="Q136" s="289"/>
    </row>
    <row r="137" ht="3.75" customHeight="1">
      <c r="A137" s="289"/>
      <c r="B137" s="293"/>
      <c r="C137" s="316"/>
      <c r="D137" s="294"/>
      <c r="E137" s="293"/>
      <c r="F137" s="295"/>
      <c r="G137" s="296"/>
      <c r="H137" s="295"/>
      <c r="I137" s="295"/>
      <c r="J137" s="296"/>
      <c r="K137" s="293"/>
      <c r="L137" s="308"/>
      <c r="M137" s="308"/>
      <c r="N137" s="308"/>
      <c r="O137" s="293"/>
      <c r="P137" s="293"/>
      <c r="Q137" s="289"/>
    </row>
    <row r="138" ht="30.0" customHeight="1">
      <c r="A138" s="297"/>
      <c r="B138" s="293"/>
      <c r="C138" s="309" t="str">
        <f>IFERROR(__xludf.DUMMYFUNCTION("""COMPUTED_VALUE"""),"The Michis Gang")</f>
        <v>The Michis Gang</v>
      </c>
      <c r="D138" s="310" t="str">
        <f>IFERROR(__xludf.DUMMYFUNCTION("""COMPUTED_VALUE"""),"")</f>
        <v/>
      </c>
      <c r="E138" s="311" t="str">
        <f>IFERROR(__xludf.DUMMYFUNCTION("""COMPUTED_VALUE"""),"[MG] Alitzer")</f>
        <v>[MG] Alitzer</v>
      </c>
      <c r="F138" s="301"/>
      <c r="G138" s="312" t="str">
        <f>IFERROR(__xludf.DUMMYFUNCTION("""COMPUTED_VALUE"""),"")</f>
        <v/>
      </c>
      <c r="H138" s="311" t="str">
        <f>IFERROR(__xludf.DUMMYFUNCTION("""COMPUTED_VALUE"""),"[MG] Lizeim")</f>
        <v>[MG] Lizeim</v>
      </c>
      <c r="I138" s="301"/>
      <c r="J138" s="312"/>
      <c r="K138" s="311"/>
      <c r="L138" s="301"/>
      <c r="M138" s="313">
        <f>IFERROR(__xludf.DUMMYFUNCTION("""COMPUTED_VALUE"""),145276.5)</f>
        <v>145276.5</v>
      </c>
      <c r="N138" s="314" t="str">
        <f>IFERROR(__xludf.DUMMYFUNCTION("""COMPUTED_VALUE"""),"meow meowmeowmeow meow meow meowmeow meow meowmeowmeowmeow meow meow meow meowmeowmeow meowmeow, meow meow?? meow meow!!")</f>
        <v>meow meowmeowmeow meow meow meowmeow meow meowmeowmeowmeow meow meow meow meowmeowmeow meowmeow, meow meow?? meow meow!!</v>
      </c>
      <c r="P138" s="293"/>
      <c r="Q138" s="289"/>
    </row>
    <row r="139" ht="18.75" customHeight="1">
      <c r="A139" s="297"/>
      <c r="B139" s="293"/>
      <c r="D139" s="304"/>
      <c r="E139" s="315"/>
      <c r="F139" s="306" t="str">
        <f>IFERROR(__xludf.DUMMYFUNCTION("""COMPUTED_VALUE"""),"")</f>
        <v/>
      </c>
      <c r="G139" s="304"/>
      <c r="H139" s="315">
        <f>IFERROR(__xludf.DUMMYFUNCTION("""COMPUTED_VALUE"""),171500.0)</f>
        <v>171500</v>
      </c>
      <c r="I139" s="306" t="str">
        <f>IFERROR(__xludf.DUMMYFUNCTION("""COMPUTED_VALUE"""),"")</f>
        <v/>
      </c>
      <c r="J139" s="304"/>
      <c r="K139" s="315"/>
      <c r="L139" s="306"/>
      <c r="M139" s="307"/>
      <c r="N139" s="307"/>
      <c r="P139" s="293"/>
      <c r="Q139" s="289"/>
    </row>
    <row r="140" ht="3.75" customHeight="1">
      <c r="A140" s="289"/>
      <c r="B140" s="293"/>
      <c r="C140" s="316"/>
      <c r="D140" s="294"/>
      <c r="E140" s="293"/>
      <c r="F140" s="295"/>
      <c r="G140" s="296"/>
      <c r="H140" s="295"/>
      <c r="I140" s="295"/>
      <c r="J140" s="296"/>
      <c r="K140" s="293"/>
      <c r="L140" s="308"/>
      <c r="M140" s="308"/>
      <c r="N140" s="308"/>
      <c r="O140" s="293"/>
      <c r="P140" s="293"/>
      <c r="Q140" s="289"/>
    </row>
    <row r="141" ht="30.0" customHeight="1">
      <c r="A141" s="297"/>
      <c r="B141" s="293"/>
      <c r="C141" s="309" t="str">
        <f>IFERROR(__xludf.DUMMYFUNCTION("""COMPUTED_VALUE"""),"Minor assault squad")</f>
        <v>Minor assault squad</v>
      </c>
      <c r="D141" s="310" t="str">
        <f>IFERROR(__xludf.DUMMYFUNCTION("""COMPUTED_VALUE"""),"")</f>
        <v/>
      </c>
      <c r="E141" s="311" t="str">
        <f>IFERROR(__xludf.DUMMYFUNCTION("""COMPUTED_VALUE"""),"007dodo")</f>
        <v>007dodo</v>
      </c>
      <c r="F141" s="301"/>
      <c r="G141" s="312" t="str">
        <f>IFERROR(__xludf.DUMMYFUNCTION("""COMPUTED_VALUE"""),"")</f>
        <v/>
      </c>
      <c r="H141" s="311" t="str">
        <f>IFERROR(__xludf.DUMMYFUNCTION("""COMPUTED_VALUE"""),"-Shichimiya-")</f>
        <v>-Shichimiya-</v>
      </c>
      <c r="I141" s="301"/>
      <c r="J141" s="312" t="str">
        <f>IFERROR(__xludf.DUMMYFUNCTION("""COMPUTED_VALUE"""),"")</f>
        <v/>
      </c>
      <c r="K141" s="311" t="str">
        <f>IFERROR(__xludf.DUMMYFUNCTION("""COMPUTED_VALUE"""),"Skillerix")</f>
        <v>Skillerix</v>
      </c>
      <c r="L141" s="301"/>
      <c r="M141" s="313">
        <f>IFERROR(__xludf.DUMMYFUNCTION("""COMPUTED_VALUE"""),147746.33333333334)</f>
        <v>147746.3333</v>
      </c>
      <c r="N141" s="314" t="str">
        <f>IFERROR(__xludf.DUMMYFUNCTION("""COMPUTED_VALUE"""),"assaulting barriers")</f>
        <v>assaulting barriers</v>
      </c>
      <c r="P141" s="293"/>
      <c r="Q141" s="289"/>
    </row>
    <row r="142" ht="18.75" customHeight="1">
      <c r="A142" s="297"/>
      <c r="B142" s="293"/>
      <c r="D142" s="304"/>
      <c r="E142" s="315"/>
      <c r="F142" s="306" t="str">
        <f>IFERROR(__xludf.DUMMYFUNCTION("""COMPUTED_VALUE"""),"")</f>
        <v/>
      </c>
      <c r="G142" s="304"/>
      <c r="H142" s="315">
        <f>IFERROR(__xludf.DUMMYFUNCTION("""COMPUTED_VALUE"""),149394.0)</f>
        <v>149394</v>
      </c>
      <c r="I142" s="306" t="str">
        <f>IFERROR(__xludf.DUMMYFUNCTION("""COMPUTED_VALUE"""),"")</f>
        <v/>
      </c>
      <c r="J142" s="304"/>
      <c r="K142" s="315">
        <f>IFERROR(__xludf.DUMMYFUNCTION("""COMPUTED_VALUE"""),162780.0)</f>
        <v>162780</v>
      </c>
      <c r="L142" s="306" t="str">
        <f>IFERROR(__xludf.DUMMYFUNCTION("""COMPUTED_VALUE"""),"")</f>
        <v/>
      </c>
      <c r="M142" s="307"/>
      <c r="N142" s="307"/>
      <c r="P142" s="293"/>
      <c r="Q142" s="289"/>
    </row>
    <row r="143" ht="3.75" customHeight="1">
      <c r="A143" s="289"/>
      <c r="B143" s="293"/>
      <c r="C143" s="316"/>
      <c r="D143" s="294"/>
      <c r="E143" s="293"/>
      <c r="F143" s="295"/>
      <c r="G143" s="296"/>
      <c r="H143" s="295"/>
      <c r="I143" s="295"/>
      <c r="J143" s="296"/>
      <c r="K143" s="293"/>
      <c r="L143" s="308"/>
      <c r="M143" s="308"/>
      <c r="N143" s="308"/>
      <c r="O143" s="293"/>
      <c r="P143" s="293"/>
      <c r="Q143" s="289"/>
    </row>
    <row r="144" ht="30.0" customHeight="1">
      <c r="A144" s="297"/>
      <c r="B144" s="293"/>
      <c r="C144" s="309" t="str">
        <f>IFERROR(__xludf.DUMMYFUNCTION("""COMPUTED_VALUE"""),"LongTreep")</f>
        <v>LongTreep</v>
      </c>
      <c r="D144" s="310" t="str">
        <f>IFERROR(__xludf.DUMMYFUNCTION("""COMPUTED_VALUE"""),"")</f>
        <v/>
      </c>
      <c r="E144" s="311" t="str">
        <f>IFERROR(__xludf.DUMMYFUNCTION("""COMPUTED_VALUE"""),"XXVII")</f>
        <v>XXVII</v>
      </c>
      <c r="F144" s="301"/>
      <c r="G144" s="312" t="str">
        <f>IFERROR(__xludf.DUMMYFUNCTION("""COMPUTED_VALUE"""),"")</f>
        <v/>
      </c>
      <c r="H144" s="311" t="str">
        <f>IFERROR(__xludf.DUMMYFUNCTION("""COMPUTED_VALUE"""),"SnaME")</f>
        <v>SnaME</v>
      </c>
      <c r="I144" s="301"/>
      <c r="J144" s="312" t="str">
        <f>IFERROR(__xludf.DUMMYFUNCTION("""COMPUTED_VALUE"""),"")</f>
        <v/>
      </c>
      <c r="K144" s="311" t="str">
        <f>IFERROR(__xludf.DUMMYFUNCTION("""COMPUTED_VALUE"""),"SnaME")</f>
        <v>SnaME</v>
      </c>
      <c r="L144" s="301"/>
      <c r="M144" s="313">
        <f>IFERROR(__xludf.DUMMYFUNCTION("""COMPUTED_VALUE"""),147948.33333333334)</f>
        <v>147948.3333</v>
      </c>
      <c r="N144" s="314" t="str">
        <f>IFERROR(__xludf.DUMMYFUNCTION("""COMPUTED_VALUE"""),"Team LongTreep")</f>
        <v>Team LongTreep</v>
      </c>
      <c r="P144" s="293"/>
      <c r="Q144" s="289"/>
    </row>
    <row r="145" ht="18.75" customHeight="1">
      <c r="A145" s="297"/>
      <c r="B145" s="293"/>
      <c r="D145" s="304"/>
      <c r="E145" s="315"/>
      <c r="F145" s="306" t="str">
        <f>IFERROR(__xludf.DUMMYFUNCTION("""COMPUTED_VALUE"""),"")</f>
        <v/>
      </c>
      <c r="G145" s="304"/>
      <c r="H145" s="315">
        <f>IFERROR(__xludf.DUMMYFUNCTION("""COMPUTED_VALUE"""),122636.0)</f>
        <v>122636</v>
      </c>
      <c r="I145" s="306" t="str">
        <f>IFERROR(__xludf.DUMMYFUNCTION("""COMPUTED_VALUE"""),"")</f>
        <v/>
      </c>
      <c r="J145" s="304"/>
      <c r="K145" s="315">
        <f>IFERROR(__xludf.DUMMYFUNCTION("""COMPUTED_VALUE"""),122636.0)</f>
        <v>122636</v>
      </c>
      <c r="L145" s="306" t="str">
        <f>IFERROR(__xludf.DUMMYFUNCTION("""COMPUTED_VALUE"""),"")</f>
        <v/>
      </c>
      <c r="M145" s="307"/>
      <c r="N145" s="307"/>
      <c r="P145" s="293"/>
      <c r="Q145" s="289"/>
    </row>
    <row r="146" ht="3.75" customHeight="1">
      <c r="A146" s="289"/>
      <c r="B146" s="293"/>
      <c r="C146" s="316"/>
      <c r="D146" s="294"/>
      <c r="E146" s="293"/>
      <c r="F146" s="295"/>
      <c r="G146" s="296"/>
      <c r="H146" s="295"/>
      <c r="I146" s="295"/>
      <c r="J146" s="296"/>
      <c r="K146" s="293"/>
      <c r="L146" s="308"/>
      <c r="M146" s="308"/>
      <c r="N146" s="308"/>
      <c r="O146" s="293"/>
      <c r="P146" s="293"/>
      <c r="Q146" s="289"/>
    </row>
    <row r="147" ht="30.0" customHeight="1">
      <c r="A147" s="297"/>
      <c r="B147" s="293"/>
      <c r="C147" s="309" t="str">
        <f>IFERROR(__xludf.DUMMYFUNCTION("""COMPUTED_VALUE"""),"The sleepers")</f>
        <v>The sleepers</v>
      </c>
      <c r="D147" s="310" t="str">
        <f>IFERROR(__xludf.DUMMYFUNCTION("""COMPUTED_VALUE"""),"")</f>
        <v/>
      </c>
      <c r="E147" s="311" t="str">
        <f>IFERROR(__xludf.DUMMYFUNCTION("""COMPUTED_VALUE"""),"Alica")</f>
        <v>Alica</v>
      </c>
      <c r="F147" s="301"/>
      <c r="G147" s="312" t="str">
        <f>IFERROR(__xludf.DUMMYFUNCTION("""COMPUTED_VALUE"""),"")</f>
        <v/>
      </c>
      <c r="H147" s="311" t="str">
        <f>IFERROR(__xludf.DUMMYFUNCTION("""COMPUTED_VALUE"""),"GreenMelonX")</f>
        <v>GreenMelonX</v>
      </c>
      <c r="I147" s="301"/>
      <c r="J147" s="312" t="str">
        <f>IFERROR(__xludf.DUMMYFUNCTION("""COMPUTED_VALUE"""),"")</f>
        <v/>
      </c>
      <c r="K147" s="311" t="str">
        <f>IFERROR(__xludf.DUMMYFUNCTION("""COMPUTED_VALUE"""),"smun")</f>
        <v>smun</v>
      </c>
      <c r="L147" s="301"/>
      <c r="M147" s="313">
        <f>IFERROR(__xludf.DUMMYFUNCTION("""COMPUTED_VALUE"""),147981.0)</f>
        <v>147981</v>
      </c>
      <c r="N147" s="314" t="str">
        <f>IFERROR(__xludf.DUMMYFUNCTION("""COMPUTED_VALUE"""),"Bonne nuit Alica, is the way to go")</f>
        <v>Bonne nuit Alica, is the way to go</v>
      </c>
      <c r="P147" s="293"/>
      <c r="Q147" s="289"/>
    </row>
    <row r="148" ht="18.75" customHeight="1">
      <c r="A148" s="297"/>
      <c r="B148" s="293"/>
      <c r="D148" s="304"/>
      <c r="E148" s="315"/>
      <c r="F148" s="306" t="str">
        <f>IFERROR(__xludf.DUMMYFUNCTION("""COMPUTED_VALUE"""),"")</f>
        <v/>
      </c>
      <c r="G148" s="304"/>
      <c r="H148" s="315">
        <f>IFERROR(__xludf.DUMMYFUNCTION("""COMPUTED_VALUE"""),140379.0)</f>
        <v>140379</v>
      </c>
      <c r="I148" s="306" t="str">
        <f>IFERROR(__xludf.DUMMYFUNCTION("""COMPUTED_VALUE"""),"")</f>
        <v/>
      </c>
      <c r="J148" s="304"/>
      <c r="K148" s="315">
        <f>IFERROR(__xludf.DUMMYFUNCTION("""COMPUTED_VALUE"""),123851.0)</f>
        <v>123851</v>
      </c>
      <c r="L148" s="306" t="str">
        <f>IFERROR(__xludf.DUMMYFUNCTION("""COMPUTED_VALUE"""),"")</f>
        <v/>
      </c>
      <c r="M148" s="307"/>
      <c r="N148" s="307"/>
      <c r="P148" s="293"/>
      <c r="Q148" s="289"/>
    </row>
    <row r="149" ht="3.75" customHeight="1">
      <c r="A149" s="289"/>
      <c r="B149" s="293"/>
      <c r="C149" s="316"/>
      <c r="D149" s="294"/>
      <c r="E149" s="293"/>
      <c r="F149" s="295"/>
      <c r="G149" s="296"/>
      <c r="H149" s="295"/>
      <c r="I149" s="295"/>
      <c r="J149" s="296"/>
      <c r="K149" s="293"/>
      <c r="L149" s="308"/>
      <c r="M149" s="308"/>
      <c r="N149" s="308"/>
      <c r="O149" s="293"/>
      <c r="P149" s="293"/>
      <c r="Q149" s="289"/>
    </row>
    <row r="150" ht="30.0" customHeight="1">
      <c r="A150" s="297"/>
      <c r="B150" s="293"/>
      <c r="C150" s="309" t="str">
        <f>IFERROR(__xludf.DUMMYFUNCTION("""COMPUTED_VALUE"""),"Tom and Jerry")</f>
        <v>Tom and Jerry</v>
      </c>
      <c r="D150" s="310" t="str">
        <f>IFERROR(__xludf.DUMMYFUNCTION("""COMPUTED_VALUE"""),"")</f>
        <v/>
      </c>
      <c r="E150" s="311" t="str">
        <f>IFERROR(__xludf.DUMMYFUNCTION("""COMPUTED_VALUE"""),"mblsh")</f>
        <v>mblsh</v>
      </c>
      <c r="F150" s="301"/>
      <c r="G150" s="312" t="str">
        <f>IFERROR(__xludf.DUMMYFUNCTION("""COMPUTED_VALUE"""),"")</f>
        <v/>
      </c>
      <c r="H150" s="311" t="str">
        <f>IFERROR(__xludf.DUMMYFUNCTION("""COMPUTED_VALUE"""),"dark cat")</f>
        <v>dark cat</v>
      </c>
      <c r="I150" s="301"/>
      <c r="J150" s="312"/>
      <c r="K150" s="311"/>
      <c r="L150" s="301"/>
      <c r="M150" s="313">
        <f>IFERROR(__xludf.DUMMYFUNCTION("""COMPUTED_VALUE"""),149118.0)</f>
        <v>149118</v>
      </c>
      <c r="N150" s="314" t="str">
        <f>IFERROR(__xludf.DUMMYFUNCTION("""COMPUTED_VALUE"""),"murr mrrp meow nya-nya ")</f>
        <v>murr mrrp meow nya-nya </v>
      </c>
      <c r="P150" s="293"/>
      <c r="Q150" s="289"/>
    </row>
    <row r="151" ht="18.75" customHeight="1">
      <c r="A151" s="297"/>
      <c r="B151" s="293"/>
      <c r="D151" s="304"/>
      <c r="E151" s="315"/>
      <c r="F151" s="306" t="str">
        <f>IFERROR(__xludf.DUMMYFUNCTION("""COMPUTED_VALUE"""),"")</f>
        <v/>
      </c>
      <c r="G151" s="304"/>
      <c r="H151" s="315">
        <f>IFERROR(__xludf.DUMMYFUNCTION("""COMPUTED_VALUE"""),103059.0)</f>
        <v>103059</v>
      </c>
      <c r="I151" s="306" t="str">
        <f>IFERROR(__xludf.DUMMYFUNCTION("""COMPUTED_VALUE"""),"")</f>
        <v/>
      </c>
      <c r="J151" s="304"/>
      <c r="K151" s="315"/>
      <c r="L151" s="306"/>
      <c r="M151" s="307"/>
      <c r="N151" s="307"/>
      <c r="P151" s="293"/>
      <c r="Q151" s="289"/>
    </row>
    <row r="152" ht="3.75" customHeight="1">
      <c r="A152" s="289"/>
      <c r="B152" s="293"/>
      <c r="C152" s="316"/>
      <c r="D152" s="294"/>
      <c r="E152" s="293"/>
      <c r="F152" s="295"/>
      <c r="G152" s="296"/>
      <c r="H152" s="295"/>
      <c r="I152" s="295"/>
      <c r="J152" s="296"/>
      <c r="K152" s="293"/>
      <c r="L152" s="308"/>
      <c r="M152" s="308"/>
      <c r="N152" s="308"/>
      <c r="O152" s="293"/>
      <c r="P152" s="293"/>
      <c r="Q152" s="289"/>
    </row>
    <row r="153" ht="30.0" customHeight="1">
      <c r="A153" s="297"/>
      <c r="B153" s="293"/>
      <c r="C153" s="309" t="str">
        <f>IFERROR(__xludf.DUMMYFUNCTION("""COMPUTED_VALUE"""),"CocoaGoats")</f>
        <v>CocoaGoats</v>
      </c>
      <c r="D153" s="310" t="str">
        <f>IFERROR(__xludf.DUMMYFUNCTION("""COMPUTED_VALUE"""),"")</f>
        <v/>
      </c>
      <c r="E153" s="311" t="str">
        <f>IFERROR(__xludf.DUMMYFUNCTION("""COMPUTED_VALUE"""),"Tohkura")</f>
        <v>Tohkura</v>
      </c>
      <c r="F153" s="301"/>
      <c r="G153" s="312" t="str">
        <f>IFERROR(__xludf.DUMMYFUNCTION("""COMPUTED_VALUE"""),"")</f>
        <v/>
      </c>
      <c r="H153" s="311" t="str">
        <f>IFERROR(__xludf.DUMMYFUNCTION("""COMPUTED_VALUE"""),"pika_Zero")</f>
        <v>pika_Zero</v>
      </c>
      <c r="I153" s="301"/>
      <c r="J153" s="312" t="str">
        <f>IFERROR(__xludf.DUMMYFUNCTION("""COMPUTED_VALUE"""),"")</f>
        <v/>
      </c>
      <c r="K153" s="311" t="str">
        <f>IFERROR(__xludf.DUMMYFUNCTION("""COMPUTED_VALUE"""),"Glaucia")</f>
        <v>Glaucia</v>
      </c>
      <c r="L153" s="301"/>
      <c r="M153" s="313">
        <f>IFERROR(__xludf.DUMMYFUNCTION("""COMPUTED_VALUE"""),149348.66666666666)</f>
        <v>149348.6667</v>
      </c>
      <c r="N153" s="314" t="str">
        <f>IFERROR(__xludf.DUMMYFUNCTION("""COMPUTED_VALUE"""),"We Ball")</f>
        <v>We Ball</v>
      </c>
      <c r="P153" s="293"/>
      <c r="Q153" s="289"/>
    </row>
    <row r="154" ht="18.75" customHeight="1">
      <c r="A154" s="297"/>
      <c r="B154" s="293"/>
      <c r="D154" s="304"/>
      <c r="E154" s="315"/>
      <c r="F154" s="306" t="str">
        <f>IFERROR(__xludf.DUMMYFUNCTION("""COMPUTED_VALUE"""),"")</f>
        <v/>
      </c>
      <c r="G154" s="304"/>
      <c r="H154" s="315">
        <f>IFERROR(__xludf.DUMMYFUNCTION("""COMPUTED_VALUE"""),140514.0)</f>
        <v>140514</v>
      </c>
      <c r="I154" s="306" t="str">
        <f>IFERROR(__xludf.DUMMYFUNCTION("""COMPUTED_VALUE"""),"")</f>
        <v/>
      </c>
      <c r="J154" s="304"/>
      <c r="K154" s="315">
        <f>IFERROR(__xludf.DUMMYFUNCTION("""COMPUTED_VALUE"""),132361.0)</f>
        <v>132361</v>
      </c>
      <c r="L154" s="306" t="str">
        <f>IFERROR(__xludf.DUMMYFUNCTION("""COMPUTED_VALUE"""),"")</f>
        <v/>
      </c>
      <c r="M154" s="307"/>
      <c r="N154" s="307"/>
      <c r="P154" s="293"/>
      <c r="Q154" s="289"/>
    </row>
    <row r="155" ht="3.75" customHeight="1">
      <c r="A155" s="289"/>
      <c r="B155" s="293"/>
      <c r="C155" s="316"/>
      <c r="D155" s="294"/>
      <c r="E155" s="293"/>
      <c r="F155" s="295"/>
      <c r="G155" s="296"/>
      <c r="H155" s="295"/>
      <c r="I155" s="295"/>
      <c r="J155" s="296"/>
      <c r="K155" s="293"/>
      <c r="L155" s="308"/>
      <c r="M155" s="308"/>
      <c r="N155" s="308"/>
      <c r="O155" s="293"/>
      <c r="P155" s="293"/>
      <c r="Q155" s="289"/>
    </row>
    <row r="156" ht="30.0" customHeight="1">
      <c r="A156" s="297"/>
      <c r="B156" s="293"/>
      <c r="C156" s="309" t="str">
        <f>IFERROR(__xludf.DUMMYFUNCTION("""COMPUTED_VALUE"""),"Our team left us")</f>
        <v>Our team left us</v>
      </c>
      <c r="D156" s="310" t="str">
        <f>IFERROR(__xludf.DUMMYFUNCTION("""COMPUTED_VALUE"""),"")</f>
        <v/>
      </c>
      <c r="E156" s="311" t="str">
        <f>IFERROR(__xludf.DUMMYFUNCTION("""COMPUTED_VALUE"""),"SealDeGawd")</f>
        <v>SealDeGawd</v>
      </c>
      <c r="F156" s="301"/>
      <c r="G156" s="312" t="str">
        <f>IFERROR(__xludf.DUMMYFUNCTION("""COMPUTED_VALUE"""),"")</f>
        <v/>
      </c>
      <c r="H156" s="311" t="str">
        <f>IFERROR(__xludf.DUMMYFUNCTION("""COMPUTED_VALUE"""),"asdfuhuo")</f>
        <v>asdfuhuo</v>
      </c>
      <c r="I156" s="301"/>
      <c r="J156" s="312"/>
      <c r="K156" s="311"/>
      <c r="L156" s="301"/>
      <c r="M156" s="313">
        <f>IFERROR(__xludf.DUMMYFUNCTION("""COMPUTED_VALUE"""),149895.0)</f>
        <v>149895</v>
      </c>
      <c r="N156" s="314" t="str">
        <f>IFERROR(__xludf.DUMMYFUNCTION("""COMPUTED_VALUE"""),"Having friends is hard")</f>
        <v>Having friends is hard</v>
      </c>
      <c r="P156" s="293"/>
      <c r="Q156" s="289"/>
    </row>
    <row r="157" ht="18.75" customHeight="1">
      <c r="A157" s="297"/>
      <c r="B157" s="293"/>
      <c r="D157" s="304"/>
      <c r="E157" s="315"/>
      <c r="F157" s="306" t="str">
        <f>IFERROR(__xludf.DUMMYFUNCTION("""COMPUTED_VALUE"""),"")</f>
        <v/>
      </c>
      <c r="G157" s="304"/>
      <c r="H157" s="315">
        <f>IFERROR(__xludf.DUMMYFUNCTION("""COMPUTED_VALUE"""),155219.0)</f>
        <v>155219</v>
      </c>
      <c r="I157" s="306" t="str">
        <f>IFERROR(__xludf.DUMMYFUNCTION("""COMPUTED_VALUE"""),"")</f>
        <v/>
      </c>
      <c r="J157" s="304"/>
      <c r="K157" s="315"/>
      <c r="L157" s="306"/>
      <c r="M157" s="307"/>
      <c r="N157" s="307"/>
      <c r="P157" s="293"/>
      <c r="Q157" s="289"/>
    </row>
    <row r="158" ht="3.75" customHeight="1">
      <c r="A158" s="289"/>
      <c r="B158" s="293"/>
      <c r="C158" s="316"/>
      <c r="D158" s="294"/>
      <c r="E158" s="293"/>
      <c r="F158" s="295"/>
      <c r="G158" s="296"/>
      <c r="H158" s="295"/>
      <c r="I158" s="295"/>
      <c r="J158" s="296"/>
      <c r="K158" s="293"/>
      <c r="L158" s="308"/>
      <c r="M158" s="308"/>
      <c r="N158" s="308"/>
      <c r="O158" s="293"/>
      <c r="P158" s="293"/>
      <c r="Q158" s="289"/>
    </row>
    <row r="159" ht="30.0" customHeight="1">
      <c r="A159" s="297"/>
      <c r="B159" s="293"/>
      <c r="C159" s="309" t="str">
        <f>IFERROR(__xludf.DUMMYFUNCTION("""COMPUTED_VALUE"""),"BallzDeep69")</f>
        <v>BallzDeep69</v>
      </c>
      <c r="D159" s="310" t="str">
        <f>IFERROR(__xludf.DUMMYFUNCTION("""COMPUTED_VALUE"""),"")</f>
        <v/>
      </c>
      <c r="E159" s="311" t="str">
        <f>IFERROR(__xludf.DUMMYFUNCTION("""COMPUTED_VALUE"""),"_BlackStar")</f>
        <v>_BlackStar</v>
      </c>
      <c r="F159" s="301"/>
      <c r="G159" s="312" t="str">
        <f>IFERROR(__xludf.DUMMYFUNCTION("""COMPUTED_VALUE"""),"")</f>
        <v/>
      </c>
      <c r="H159" s="311" t="str">
        <f>IFERROR(__xludf.DUMMYFUNCTION("""COMPUTED_VALUE"""),"Iamthecabra")</f>
        <v>Iamthecabra</v>
      </c>
      <c r="I159" s="301"/>
      <c r="J159" s="312" t="str">
        <f>IFERROR(__xludf.DUMMYFUNCTION("""COMPUTED_VALUE"""),"")</f>
        <v/>
      </c>
      <c r="K159" s="311" t="str">
        <f>IFERROR(__xludf.DUMMYFUNCTION("""COMPUTED_VALUE"""),"Alogi")</f>
        <v>Alogi</v>
      </c>
      <c r="L159" s="301"/>
      <c r="M159" s="313">
        <f>IFERROR(__xludf.DUMMYFUNCTION("""COMPUTED_VALUE"""),153173.0)</f>
        <v>153173</v>
      </c>
      <c r="N159" s="314" t="str">
        <f>IFERROR(__xludf.DUMMYFUNCTION("""COMPUTED_VALUE"""),"Deeper than ever before we shall go ")</f>
        <v>Deeper than ever before we shall go </v>
      </c>
      <c r="P159" s="293"/>
      <c r="Q159" s="289"/>
    </row>
    <row r="160" ht="18.75" customHeight="1">
      <c r="A160" s="297"/>
      <c r="B160" s="293"/>
      <c r="D160" s="304"/>
      <c r="E160" s="315"/>
      <c r="F160" s="306" t="str">
        <f>IFERROR(__xludf.DUMMYFUNCTION("""COMPUTED_VALUE"""),"")</f>
        <v/>
      </c>
      <c r="G160" s="304"/>
      <c r="H160" s="315">
        <f>IFERROR(__xludf.DUMMYFUNCTION("""COMPUTED_VALUE"""),146032.0)</f>
        <v>146032</v>
      </c>
      <c r="I160" s="306" t="str">
        <f>IFERROR(__xludf.DUMMYFUNCTION("""COMPUTED_VALUE"""),"")</f>
        <v/>
      </c>
      <c r="J160" s="304"/>
      <c r="K160" s="315">
        <f>IFERROR(__xludf.DUMMYFUNCTION("""COMPUTED_VALUE"""),156642.0)</f>
        <v>156642</v>
      </c>
      <c r="L160" s="306" t="str">
        <f>IFERROR(__xludf.DUMMYFUNCTION("""COMPUTED_VALUE"""),"")</f>
        <v/>
      </c>
      <c r="M160" s="307"/>
      <c r="N160" s="307"/>
      <c r="P160" s="293"/>
      <c r="Q160" s="289"/>
    </row>
    <row r="161" ht="3.75" customHeight="1">
      <c r="A161" s="289"/>
      <c r="B161" s="293"/>
      <c r="C161" s="316"/>
      <c r="D161" s="294"/>
      <c r="E161" s="293"/>
      <c r="F161" s="295"/>
      <c r="G161" s="296"/>
      <c r="H161" s="295"/>
      <c r="I161" s="295"/>
      <c r="J161" s="296"/>
      <c r="K161" s="293"/>
      <c r="L161" s="308"/>
      <c r="M161" s="308"/>
      <c r="N161" s="308"/>
      <c r="O161" s="293"/>
      <c r="P161" s="293"/>
      <c r="Q161" s="289"/>
    </row>
    <row r="162" ht="30.0" customHeight="1">
      <c r="A162" s="297"/>
      <c r="B162" s="293"/>
      <c r="C162" s="309" t="str">
        <f>IFERROR(__xludf.DUMMYFUNCTION("""COMPUTED_VALUE"""),"Dino Nuggies ")</f>
        <v>Dino Nuggies </v>
      </c>
      <c r="D162" s="310" t="str">
        <f>IFERROR(__xludf.DUMMYFUNCTION("""COMPUTED_VALUE"""),"")</f>
        <v/>
      </c>
      <c r="E162" s="311" t="str">
        <f>IFERROR(__xludf.DUMMYFUNCTION("""COMPUTED_VALUE"""),"Therizard")</f>
        <v>Therizard</v>
      </c>
      <c r="F162" s="301"/>
      <c r="G162" s="312" t="str">
        <f>IFERROR(__xludf.DUMMYFUNCTION("""COMPUTED_VALUE"""),"")</f>
        <v/>
      </c>
      <c r="H162" s="311" t="str">
        <f>IFERROR(__xludf.DUMMYFUNCTION("""COMPUTED_VALUE"""),"Calibruh03")</f>
        <v>Calibruh03</v>
      </c>
      <c r="I162" s="301"/>
      <c r="J162" s="312" t="str">
        <f>IFERROR(__xludf.DUMMYFUNCTION("""COMPUTED_VALUE"""),"")</f>
        <v/>
      </c>
      <c r="K162" s="311" t="str">
        <f>IFERROR(__xludf.DUMMYFUNCTION("""COMPUTED_VALUE"""),"Spudsachi")</f>
        <v>Spudsachi</v>
      </c>
      <c r="L162" s="301"/>
      <c r="M162" s="313">
        <f>IFERROR(__xludf.DUMMYFUNCTION("""COMPUTED_VALUE"""),153889.33333333334)</f>
        <v>153889.3333</v>
      </c>
      <c r="N162" s="314" t="str">
        <f>IFERROR(__xludf.DUMMYFUNCTION("""COMPUTED_VALUE"""),"Gambling is fun")</f>
        <v>Gambling is fun</v>
      </c>
      <c r="P162" s="293"/>
      <c r="Q162" s="289"/>
    </row>
    <row r="163" ht="18.75" customHeight="1">
      <c r="A163" s="297"/>
      <c r="B163" s="293"/>
      <c r="D163" s="304"/>
      <c r="E163" s="315"/>
      <c r="F163" s="306" t="str">
        <f>IFERROR(__xludf.DUMMYFUNCTION("""COMPUTED_VALUE"""),"")</f>
        <v/>
      </c>
      <c r="G163" s="304"/>
      <c r="H163" s="315">
        <f>IFERROR(__xludf.DUMMYFUNCTION("""COMPUTED_VALUE"""),151845.0)</f>
        <v>151845</v>
      </c>
      <c r="I163" s="306" t="str">
        <f>IFERROR(__xludf.DUMMYFUNCTION("""COMPUTED_VALUE"""),"")</f>
        <v/>
      </c>
      <c r="J163" s="304"/>
      <c r="K163" s="315">
        <f>IFERROR(__xludf.DUMMYFUNCTION("""COMPUTED_VALUE"""),162464.0)</f>
        <v>162464</v>
      </c>
      <c r="L163" s="306" t="str">
        <f>IFERROR(__xludf.DUMMYFUNCTION("""COMPUTED_VALUE"""),"")</f>
        <v/>
      </c>
      <c r="M163" s="307"/>
      <c r="N163" s="307"/>
      <c r="P163" s="293"/>
      <c r="Q163" s="289"/>
    </row>
    <row r="164" ht="3.75" customHeight="1">
      <c r="A164" s="289"/>
      <c r="B164" s="293"/>
      <c r="C164" s="316"/>
      <c r="D164" s="294"/>
      <c r="E164" s="293"/>
      <c r="F164" s="295"/>
      <c r="G164" s="296"/>
      <c r="H164" s="295"/>
      <c r="I164" s="295"/>
      <c r="J164" s="296"/>
      <c r="K164" s="293"/>
      <c r="L164" s="308"/>
      <c r="M164" s="308"/>
      <c r="N164" s="308"/>
      <c r="O164" s="293"/>
      <c r="P164" s="293"/>
      <c r="Q164" s="289"/>
    </row>
    <row r="165" ht="30.0" customHeight="1">
      <c r="A165" s="297"/>
      <c r="B165" s="293"/>
      <c r="C165" s="309" t="str">
        <f>IFERROR(__xludf.DUMMYFUNCTION("""COMPUTED_VALUE"""),"Cottonpickers")</f>
        <v>Cottonpickers</v>
      </c>
      <c r="D165" s="310" t="str">
        <f>IFERROR(__xludf.DUMMYFUNCTION("""COMPUTED_VALUE"""),"")</f>
        <v/>
      </c>
      <c r="E165" s="311" t="str">
        <f>IFERROR(__xludf.DUMMYFUNCTION("""COMPUTED_VALUE"""),"Gilky")</f>
        <v>Gilky</v>
      </c>
      <c r="F165" s="301"/>
      <c r="G165" s="312" t="str">
        <f>IFERROR(__xludf.DUMMYFUNCTION("""COMPUTED_VALUE"""),"")</f>
        <v/>
      </c>
      <c r="H165" s="311" t="str">
        <f>IFERROR(__xludf.DUMMYFUNCTION("""COMPUTED_VALUE"""),"StreamsGuru")</f>
        <v>StreamsGuru</v>
      </c>
      <c r="I165" s="301"/>
      <c r="J165" s="312"/>
      <c r="K165" s="311"/>
      <c r="L165" s="301"/>
      <c r="M165" s="313">
        <f>IFERROR(__xludf.DUMMYFUNCTION("""COMPUTED_VALUE"""),156335.5)</f>
        <v>156335.5</v>
      </c>
      <c r="N165" s="314" t="str">
        <f>IFERROR(__xludf.DUMMYFUNCTION("""COMPUTED_VALUE"""),"Femboys4Life")</f>
        <v>Femboys4Life</v>
      </c>
      <c r="P165" s="293"/>
      <c r="Q165" s="289"/>
    </row>
    <row r="166" ht="18.75" customHeight="1">
      <c r="A166" s="297"/>
      <c r="B166" s="293"/>
      <c r="D166" s="304"/>
      <c r="E166" s="315"/>
      <c r="F166" s="306" t="str">
        <f>IFERROR(__xludf.DUMMYFUNCTION("""COMPUTED_VALUE"""),"")</f>
        <v/>
      </c>
      <c r="G166" s="304"/>
      <c r="H166" s="315">
        <f>IFERROR(__xludf.DUMMYFUNCTION("""COMPUTED_VALUE"""),153586.0)</f>
        <v>153586</v>
      </c>
      <c r="I166" s="306" t="str">
        <f>IFERROR(__xludf.DUMMYFUNCTION("""COMPUTED_VALUE"""),"")</f>
        <v/>
      </c>
      <c r="J166" s="304"/>
      <c r="K166" s="315"/>
      <c r="L166" s="306"/>
      <c r="M166" s="307"/>
      <c r="N166" s="307"/>
      <c r="P166" s="293"/>
      <c r="Q166" s="289"/>
    </row>
    <row r="167" ht="3.75" customHeight="1">
      <c r="A167" s="289"/>
      <c r="B167" s="293"/>
      <c r="C167" s="316"/>
      <c r="D167" s="294"/>
      <c r="E167" s="293"/>
      <c r="F167" s="295"/>
      <c r="G167" s="296"/>
      <c r="H167" s="295"/>
      <c r="I167" s="295"/>
      <c r="J167" s="296"/>
      <c r="K167" s="293"/>
      <c r="L167" s="308"/>
      <c r="M167" s="308"/>
      <c r="N167" s="308"/>
      <c r="O167" s="293"/>
      <c r="P167" s="293"/>
      <c r="Q167" s="289"/>
    </row>
    <row r="168" ht="30.0" customHeight="1">
      <c r="A168" s="297"/>
      <c r="B168" s="293"/>
      <c r="C168" s="309" t="str">
        <f>IFERROR(__xludf.DUMMYFUNCTION("""COMPUTED_VALUE"""),"PES E9L9")</f>
        <v>PES E9L9</v>
      </c>
      <c r="D168" s="310" t="str">
        <f>IFERROR(__xludf.DUMMYFUNCTION("""COMPUTED_VALUE"""),"")</f>
        <v/>
      </c>
      <c r="E168" s="311" t="str">
        <f>IFERROR(__xludf.DUMMYFUNCTION("""COMPUTED_VALUE"""),"Kochindera")</f>
        <v>Kochindera</v>
      </c>
      <c r="F168" s="301"/>
      <c r="G168" s="312" t="str">
        <f>IFERROR(__xludf.DUMMYFUNCTION("""COMPUTED_VALUE"""),"")</f>
        <v/>
      </c>
      <c r="H168" s="311" t="str">
        <f>IFERROR(__xludf.DUMMYFUNCTION("""COMPUTED_VALUE"""),"Hoshifurii")</f>
        <v>Hoshifurii</v>
      </c>
      <c r="I168" s="301"/>
      <c r="J168" s="312" t="str">
        <f>IFERROR(__xludf.DUMMYFUNCTION("""COMPUTED_VALUE"""),"")</f>
        <v/>
      </c>
      <c r="K168" s="311" t="str">
        <f>IFERROR(__xludf.DUMMYFUNCTION("""COMPUTED_VALUE"""),"Gamillie")</f>
        <v>Gamillie</v>
      </c>
      <c r="L168" s="301"/>
      <c r="M168" s="313">
        <f>IFERROR(__xludf.DUMMYFUNCTION("""COMPUTED_VALUE"""),159660.66666666666)</f>
        <v>159660.6667</v>
      </c>
      <c r="N168" s="314" t="str">
        <f>IFERROR(__xludf.DUMMYFUNCTION("""COMPUTED_VALUE"""),"Wii aa za Japaniizu goburin! 👹 Du yuu habu kei no takatobi oni goroshi~ ₍⁠₍⁠◞⁠(⁠ ⁠•⁠௰⁠•⁠ ⁠)⁠◟⁠₎⁠₎")</f>
        <v>Wii aa za Japaniizu goburin! 👹 Du yuu habu kei no takatobi oni goroshi~ ₍⁠₍⁠◞⁠(⁠ ⁠•⁠௰⁠•⁠ ⁠)⁠◟⁠₎⁠₎</v>
      </c>
      <c r="P168" s="293"/>
      <c r="Q168" s="289"/>
    </row>
    <row r="169" ht="18.75" customHeight="1">
      <c r="A169" s="297"/>
      <c r="B169" s="293"/>
      <c r="D169" s="304"/>
      <c r="E169" s="315"/>
      <c r="F169" s="306" t="str">
        <f>IFERROR(__xludf.DUMMYFUNCTION("""COMPUTED_VALUE"""),"")</f>
        <v/>
      </c>
      <c r="G169" s="304"/>
      <c r="H169" s="315">
        <f>IFERROR(__xludf.DUMMYFUNCTION("""COMPUTED_VALUE"""),125493.0)</f>
        <v>125493</v>
      </c>
      <c r="I169" s="306" t="str">
        <f>IFERROR(__xludf.DUMMYFUNCTION("""COMPUTED_VALUE"""),"")</f>
        <v/>
      </c>
      <c r="J169" s="304"/>
      <c r="K169" s="315">
        <f>IFERROR(__xludf.DUMMYFUNCTION("""COMPUTED_VALUE"""),193579.0)</f>
        <v>193579</v>
      </c>
      <c r="L169" s="306" t="str">
        <f>IFERROR(__xludf.DUMMYFUNCTION("""COMPUTED_VALUE"""),"")</f>
        <v/>
      </c>
      <c r="M169" s="307"/>
      <c r="N169" s="307"/>
      <c r="P169" s="293"/>
      <c r="Q169" s="289"/>
    </row>
    <row r="170" ht="3.75" customHeight="1">
      <c r="A170" s="289"/>
      <c r="B170" s="293"/>
      <c r="C170" s="316"/>
      <c r="D170" s="294"/>
      <c r="E170" s="293"/>
      <c r="F170" s="295"/>
      <c r="G170" s="296"/>
      <c r="H170" s="295"/>
      <c r="I170" s="295"/>
      <c r="J170" s="296"/>
      <c r="K170" s="293"/>
      <c r="L170" s="308"/>
      <c r="M170" s="308"/>
      <c r="N170" s="308"/>
      <c r="O170" s="293"/>
      <c r="P170" s="293"/>
      <c r="Q170" s="289"/>
    </row>
    <row r="171" ht="30.0" customHeight="1">
      <c r="A171" s="297"/>
      <c r="B171" s="293"/>
      <c r="C171" s="309" t="str">
        <f>IFERROR(__xludf.DUMMYFUNCTION("""COMPUTED_VALUE"""),"Skills issue")</f>
        <v>Skills issue</v>
      </c>
      <c r="D171" s="310" t="str">
        <f>IFERROR(__xludf.DUMMYFUNCTION("""COMPUTED_VALUE"""),"")</f>
        <v/>
      </c>
      <c r="E171" s="311" t="str">
        <f>IFERROR(__xludf.DUMMYFUNCTION("""COMPUTED_VALUE"""),"duckcute0902")</f>
        <v>duckcute0902</v>
      </c>
      <c r="F171" s="301"/>
      <c r="G171" s="312" t="str">
        <f>IFERROR(__xludf.DUMMYFUNCTION("""COMPUTED_VALUE"""),"")</f>
        <v/>
      </c>
      <c r="H171" s="311" t="str">
        <f>IFERROR(__xludf.DUMMYFUNCTION("""COMPUTED_VALUE"""),"Laplus Enjoyer")</f>
        <v>Laplus Enjoyer</v>
      </c>
      <c r="I171" s="301"/>
      <c r="J171" s="312" t="str">
        <f>IFERROR(__xludf.DUMMYFUNCTION("""COMPUTED_VALUE"""),"")</f>
        <v/>
      </c>
      <c r="K171" s="311" t="str">
        <f>IFERROR(__xludf.DUMMYFUNCTION("""COMPUTED_VALUE"""),"Cessna")</f>
        <v>Cessna</v>
      </c>
      <c r="L171" s="301"/>
      <c r="M171" s="313">
        <f>IFERROR(__xludf.DUMMYFUNCTION("""COMPUTED_VALUE"""),170036.66666666666)</f>
        <v>170036.6667</v>
      </c>
      <c r="N171" s="314" t="str">
        <f>IFERROR(__xludf.DUMMYFUNCTION("""COMPUTED_VALUE"""),"slurp slurp slurp")</f>
        <v>slurp slurp slurp</v>
      </c>
      <c r="P171" s="293"/>
      <c r="Q171" s="289"/>
    </row>
    <row r="172" ht="18.75" customHeight="1">
      <c r="A172" s="297"/>
      <c r="B172" s="293"/>
      <c r="D172" s="304"/>
      <c r="E172" s="315"/>
      <c r="F172" s="306" t="str">
        <f>IFERROR(__xludf.DUMMYFUNCTION("""COMPUTED_VALUE"""),"")</f>
        <v/>
      </c>
      <c r="G172" s="304"/>
      <c r="H172" s="315">
        <f>IFERROR(__xludf.DUMMYFUNCTION("""COMPUTED_VALUE"""),166635.0)</f>
        <v>166635</v>
      </c>
      <c r="I172" s="306" t="str">
        <f>IFERROR(__xludf.DUMMYFUNCTION("""COMPUTED_VALUE"""),"")</f>
        <v/>
      </c>
      <c r="J172" s="304"/>
      <c r="K172" s="315">
        <f>IFERROR(__xludf.DUMMYFUNCTION("""COMPUTED_VALUE"""),156315.0)</f>
        <v>156315</v>
      </c>
      <c r="L172" s="306" t="str">
        <f>IFERROR(__xludf.DUMMYFUNCTION("""COMPUTED_VALUE"""),"")</f>
        <v/>
      </c>
      <c r="M172" s="307"/>
      <c r="N172" s="307"/>
      <c r="P172" s="293"/>
      <c r="Q172" s="289"/>
    </row>
    <row r="173" ht="3.75" customHeight="1">
      <c r="A173" s="289"/>
      <c r="B173" s="293"/>
      <c r="C173" s="316"/>
      <c r="D173" s="295"/>
      <c r="E173" s="293"/>
      <c r="F173" s="295"/>
      <c r="G173" s="293"/>
      <c r="H173" s="295"/>
      <c r="I173" s="295"/>
      <c r="J173" s="293"/>
      <c r="K173" s="293"/>
      <c r="L173" s="293"/>
      <c r="M173" s="293"/>
      <c r="N173" s="293"/>
      <c r="O173" s="293"/>
      <c r="P173" s="293"/>
      <c r="Q173" s="289"/>
    </row>
    <row r="174" ht="30.0" customHeight="1">
      <c r="A174" s="297"/>
      <c r="B174" s="293"/>
      <c r="C174" s="309" t="str">
        <f>IFERROR(__xludf.DUMMYFUNCTION("""COMPUTED_VALUE"""),"Mewo My Waifu")</f>
        <v>Mewo My Waifu</v>
      </c>
      <c r="D174" s="310" t="str">
        <f>IFERROR(__xludf.DUMMYFUNCTION("""COMPUTED_VALUE"""),"")</f>
        <v/>
      </c>
      <c r="E174" s="311" t="str">
        <f>IFERROR(__xludf.DUMMYFUNCTION("""COMPUTED_VALUE"""),"Mewo_")</f>
        <v>Mewo_</v>
      </c>
      <c r="F174" s="301"/>
      <c r="G174" s="312" t="str">
        <f>IFERROR(__xludf.DUMMYFUNCTION("""COMPUTED_VALUE"""),"")</f>
        <v/>
      </c>
      <c r="H174" s="311" t="str">
        <f>IFERROR(__xludf.DUMMYFUNCTION("""COMPUTED_VALUE"""),"Zertoaster")</f>
        <v>Zertoaster</v>
      </c>
      <c r="I174" s="301"/>
      <c r="J174" s="312" t="str">
        <f>IFERROR(__xludf.DUMMYFUNCTION("""COMPUTED_VALUE"""),"")</f>
        <v/>
      </c>
      <c r="K174" s="311" t="str">
        <f>IFERROR(__xludf.DUMMYFUNCTION("""COMPUTED_VALUE"""),"Lol3270")</f>
        <v>Lol3270</v>
      </c>
      <c r="L174" s="301"/>
      <c r="M174" s="313">
        <f>IFERROR(__xludf.DUMMYFUNCTION("""COMPUTED_VALUE"""),172331.33333333334)</f>
        <v>172331.3333</v>
      </c>
      <c r="N174" s="314" t="str">
        <f>IFERROR(__xludf.DUMMYFUNCTION("""COMPUTED_VALUE"""),"In my laifu, only mewo can be my waifu")</f>
        <v>In my laifu, only mewo can be my waifu</v>
      </c>
      <c r="P174" s="293"/>
      <c r="Q174" s="289"/>
    </row>
    <row r="175" ht="18.75" customHeight="1">
      <c r="A175" s="297"/>
      <c r="B175" s="293"/>
      <c r="D175" s="304"/>
      <c r="E175" s="315"/>
      <c r="F175" s="306" t="str">
        <f>IFERROR(__xludf.DUMMYFUNCTION("""COMPUTED_VALUE"""),"")</f>
        <v/>
      </c>
      <c r="G175" s="304"/>
      <c r="H175" s="315">
        <f>IFERROR(__xludf.DUMMYFUNCTION("""COMPUTED_VALUE"""),153904.0)</f>
        <v>153904</v>
      </c>
      <c r="I175" s="306" t="str">
        <f>IFERROR(__xludf.DUMMYFUNCTION("""COMPUTED_VALUE"""),"")</f>
        <v/>
      </c>
      <c r="J175" s="304"/>
      <c r="K175" s="315">
        <f>IFERROR(__xludf.DUMMYFUNCTION("""COMPUTED_VALUE"""),194997.0)</f>
        <v>194997</v>
      </c>
      <c r="L175" s="306" t="str">
        <f>IFERROR(__xludf.DUMMYFUNCTION("""COMPUTED_VALUE"""),"")</f>
        <v/>
      </c>
      <c r="M175" s="307"/>
      <c r="N175" s="307"/>
      <c r="P175" s="293"/>
      <c r="Q175" s="289"/>
    </row>
    <row r="176" ht="3.75" customHeight="1">
      <c r="A176" s="289"/>
      <c r="B176" s="293"/>
      <c r="C176" s="316"/>
      <c r="D176" s="295"/>
      <c r="E176" s="293"/>
      <c r="F176" s="295"/>
      <c r="G176" s="293"/>
      <c r="H176" s="295"/>
      <c r="I176" s="295"/>
      <c r="J176" s="293"/>
      <c r="K176" s="293"/>
      <c r="L176" s="293"/>
      <c r="M176" s="293"/>
      <c r="N176" s="293"/>
      <c r="O176" s="293"/>
      <c r="P176" s="293"/>
      <c r="Q176" s="289"/>
    </row>
    <row r="177" ht="30.0" customHeight="1">
      <c r="A177" s="297"/>
      <c r="B177" s="293"/>
      <c r="C177" s="309" t="str">
        <f>IFERROR(__xludf.DUMMYFUNCTION("""COMPUTED_VALUE"""),"Koteykaaa team")</f>
        <v>Koteykaaa team</v>
      </c>
      <c r="D177" s="310" t="str">
        <f>IFERROR(__xludf.DUMMYFUNCTION("""COMPUTED_VALUE"""),"")</f>
        <v/>
      </c>
      <c r="E177" s="311" t="str">
        <f>IFERROR(__xludf.DUMMYFUNCTION("""COMPUTED_VALUE"""),"Aria Holmes")</f>
        <v>Aria Holmes</v>
      </c>
      <c r="F177" s="301"/>
      <c r="G177" s="312" t="str">
        <f>IFERROR(__xludf.DUMMYFUNCTION("""COMPUTED_VALUE"""),"")</f>
        <v/>
      </c>
      <c r="H177" s="311" t="str">
        <f>IFERROR(__xludf.DUMMYFUNCTION("""COMPUTED_VALUE"""),"Regihorn")</f>
        <v>Regihorn</v>
      </c>
      <c r="I177" s="301"/>
      <c r="J177" s="312" t="str">
        <f>IFERROR(__xludf.DUMMYFUNCTION("""COMPUTED_VALUE"""),"")</f>
        <v/>
      </c>
      <c r="K177" s="311" t="str">
        <f>IFERROR(__xludf.DUMMYFUNCTION("""COMPUTED_VALUE"""),"FurryWolf_RU")</f>
        <v>FurryWolf_RU</v>
      </c>
      <c r="L177" s="301"/>
      <c r="M177" s="313">
        <f>IFERROR(__xludf.DUMMYFUNCTION("""COMPUTED_VALUE"""),177240.66666666666)</f>
        <v>177240.6667</v>
      </c>
      <c r="N177" s="314" t="str">
        <f>IFERROR(__xludf.DUMMYFUNCTION("""COMPUTED_VALUE"""),"REGIHORN♿ВЫЕХАЛ♿ВОТКНУЛ♿ПЯТУЮ♿ПЕРЕДАЧУ♿ВЫПУСКАЙ♿LYXIN♿ARIA♿HOLMES♿НЕ♿ДВИГАЙ♿НОТЫ♿KOTEYKAAA♿НАЗАД♿")</f>
        <v>REGIHORN♿ВЫЕХАЛ♿ВОТКНУЛ♿ПЯТУЮ♿ПЕРЕДАЧУ♿ВЫПУСКАЙ♿LYXIN♿ARIA♿HOLMES♿НЕ♿ДВИГАЙ♿НОТЫ♿KOTEYKAAA♿НАЗАД♿</v>
      </c>
      <c r="P177" s="293"/>
      <c r="Q177" s="289"/>
    </row>
    <row r="178" ht="18.75" customHeight="1">
      <c r="A178" s="297"/>
      <c r="B178" s="293"/>
      <c r="D178" s="304"/>
      <c r="E178" s="315"/>
      <c r="F178" s="306" t="str">
        <f>IFERROR(__xludf.DUMMYFUNCTION("""COMPUTED_VALUE"""),"")</f>
        <v/>
      </c>
      <c r="G178" s="304"/>
      <c r="H178" s="315">
        <f>IFERROR(__xludf.DUMMYFUNCTION("""COMPUTED_VALUE"""),156374.0)</f>
        <v>156374</v>
      </c>
      <c r="I178" s="306" t="str">
        <f>IFERROR(__xludf.DUMMYFUNCTION("""COMPUTED_VALUE"""),"")</f>
        <v/>
      </c>
      <c r="J178" s="304"/>
      <c r="K178" s="315">
        <f>IFERROR(__xludf.DUMMYFUNCTION("""COMPUTED_VALUE"""),179547.0)</f>
        <v>179547</v>
      </c>
      <c r="L178" s="306" t="str">
        <f>IFERROR(__xludf.DUMMYFUNCTION("""COMPUTED_VALUE"""),"")</f>
        <v/>
      </c>
      <c r="M178" s="307"/>
      <c r="N178" s="307"/>
      <c r="P178" s="293"/>
      <c r="Q178" s="289"/>
    </row>
    <row r="179" ht="3.75" customHeight="1">
      <c r="A179" s="289"/>
      <c r="B179" s="293"/>
      <c r="C179" s="316"/>
      <c r="D179" s="295"/>
      <c r="E179" s="293"/>
      <c r="F179" s="295"/>
      <c r="G179" s="293"/>
      <c r="H179" s="295"/>
      <c r="I179" s="295"/>
      <c r="J179" s="293"/>
      <c r="K179" s="293"/>
      <c r="L179" s="293"/>
      <c r="M179" s="293"/>
      <c r="N179" s="293"/>
      <c r="O179" s="293"/>
      <c r="P179" s="293"/>
      <c r="Q179" s="289"/>
    </row>
    <row r="180" ht="30.0" customHeight="1">
      <c r="A180" s="297"/>
      <c r="B180" s="293"/>
      <c r="C180" s="309" t="str">
        <f>IFERROR(__xludf.DUMMYFUNCTION("""COMPUTED_VALUE"""),"Untitled Document")</f>
        <v>Untitled Document</v>
      </c>
      <c r="D180" s="310" t="str">
        <f>IFERROR(__xludf.DUMMYFUNCTION("""COMPUTED_VALUE"""),"")</f>
        <v/>
      </c>
      <c r="E180" s="311" t="str">
        <f>IFERROR(__xludf.DUMMYFUNCTION("""COMPUTED_VALUE"""),"CavemanOof")</f>
        <v>CavemanOof</v>
      </c>
      <c r="F180" s="301"/>
      <c r="G180" s="312" t="str">
        <f>IFERROR(__xludf.DUMMYFUNCTION("""COMPUTED_VALUE"""),"")</f>
        <v/>
      </c>
      <c r="H180" s="311" t="str">
        <f>IFERROR(__xludf.DUMMYFUNCTION("""COMPUTED_VALUE"""),"ASURAX10")</f>
        <v>ASURAX10</v>
      </c>
      <c r="I180" s="301"/>
      <c r="J180" s="312"/>
      <c r="K180" s="311"/>
      <c r="L180" s="301"/>
      <c r="M180" s="313">
        <f>IFERROR(__xludf.DUMMYFUNCTION("""COMPUTED_VALUE"""),177281.5)</f>
        <v>177281.5</v>
      </c>
      <c r="N180" s="314" t="str">
        <f>IFERROR(__xludf.DUMMYFUNCTION("""COMPUTED_VALUE"""),"please help its dark and foxy hasn't given me food or water for a week please help is anyone there")</f>
        <v>please help its dark and foxy hasn't given me food or water for a week please help is anyone there</v>
      </c>
      <c r="P180" s="293"/>
      <c r="Q180" s="289"/>
    </row>
    <row r="181" ht="18.75" customHeight="1">
      <c r="A181" s="297"/>
      <c r="B181" s="293"/>
      <c r="D181" s="304"/>
      <c r="E181" s="315"/>
      <c r="F181" s="306" t="str">
        <f>IFERROR(__xludf.DUMMYFUNCTION("""COMPUTED_VALUE"""),"")</f>
        <v/>
      </c>
      <c r="G181" s="304"/>
      <c r="H181" s="315">
        <f>IFERROR(__xludf.DUMMYFUNCTION("""COMPUTED_VALUE"""),199310.0)</f>
        <v>199310</v>
      </c>
      <c r="I181" s="306" t="str">
        <f>IFERROR(__xludf.DUMMYFUNCTION("""COMPUTED_VALUE"""),"")</f>
        <v/>
      </c>
      <c r="J181" s="304"/>
      <c r="K181" s="315"/>
      <c r="L181" s="306"/>
      <c r="M181" s="307"/>
      <c r="N181" s="307"/>
      <c r="P181" s="293"/>
      <c r="Q181" s="289"/>
    </row>
    <row r="182" ht="3.75" customHeight="1">
      <c r="A182" s="289"/>
      <c r="B182" s="293"/>
      <c r="C182" s="316"/>
      <c r="D182" s="295"/>
      <c r="E182" s="293"/>
      <c r="F182" s="295"/>
      <c r="G182" s="293"/>
      <c r="H182" s="295"/>
      <c r="I182" s="295"/>
      <c r="J182" s="293"/>
      <c r="K182" s="293"/>
      <c r="L182" s="293"/>
      <c r="M182" s="293"/>
      <c r="N182" s="293"/>
      <c r="O182" s="293"/>
      <c r="P182" s="293"/>
      <c r="Q182" s="289"/>
    </row>
    <row r="183" ht="30.0" customHeight="1">
      <c r="A183" s="297"/>
      <c r="B183" s="293"/>
      <c r="C183" s="309" t="str">
        <f>IFERROR(__xludf.DUMMYFUNCTION("""COMPUTED_VALUE"""),"lowrank is my love")</f>
        <v>lowrank is my love</v>
      </c>
      <c r="D183" s="310" t="str">
        <f>IFERROR(__xludf.DUMMYFUNCTION("""COMPUTED_VALUE"""),"")</f>
        <v/>
      </c>
      <c r="E183" s="311" t="str">
        <f>IFERROR(__xludf.DUMMYFUNCTION("""COMPUTED_VALUE"""),"Rev1vall")</f>
        <v>Rev1vall</v>
      </c>
      <c r="F183" s="301"/>
      <c r="G183" s="312" t="str">
        <f>IFERROR(__xludf.DUMMYFUNCTION("""COMPUTED_VALUE"""),"")</f>
        <v/>
      </c>
      <c r="H183" s="311" t="str">
        <f>IFERROR(__xludf.DUMMYFUNCTION("""COMPUTED_VALUE"""),"Sosedov")</f>
        <v>Sosedov</v>
      </c>
      <c r="I183" s="301"/>
      <c r="J183" s="312"/>
      <c r="K183" s="311"/>
      <c r="L183" s="301"/>
      <c r="M183" s="313">
        <f>IFERROR(__xludf.DUMMYFUNCTION("""COMPUTED_VALUE"""),186269.5)</f>
        <v>186269.5</v>
      </c>
      <c r="N183" s="314" t="str">
        <f>IFERROR(__xludf.DUMMYFUNCTION("""COMPUTED_VALUE"""),"(читайте с выражением как вы читали вчера в школе) НЫЫЫЫЫЫЫЫЫЫЫЫААААЫНЫЫЫЫЫЫЫЫЫЫЫЫЫЫЫЫЫААА ТВАРЬ ЧТО БОЛЯТЬ ТЫ ХОЧЕШЬ?? ")</f>
        <v>(читайте с выражением как вы читали вчера в школе) НЫЫЫЫЫЫЫЫЫЫЫЫААААЫНЫЫЫЫЫЫЫЫЫЫЫЫЫЫЫЫЫААА ТВАРЬ ЧТО БОЛЯТЬ ТЫ ХОЧЕШЬ?? </v>
      </c>
      <c r="P183" s="293"/>
      <c r="Q183" s="289"/>
    </row>
    <row r="184" ht="18.75" customHeight="1">
      <c r="A184" s="297"/>
      <c r="B184" s="293"/>
      <c r="D184" s="304"/>
      <c r="E184" s="315"/>
      <c r="F184" s="306" t="str">
        <f>IFERROR(__xludf.DUMMYFUNCTION("""COMPUTED_VALUE"""),"")</f>
        <v/>
      </c>
      <c r="G184" s="304"/>
      <c r="H184" s="315">
        <f>IFERROR(__xludf.DUMMYFUNCTION("""COMPUTED_VALUE"""),172725.0)</f>
        <v>172725</v>
      </c>
      <c r="I184" s="306" t="str">
        <f>IFERROR(__xludf.DUMMYFUNCTION("""COMPUTED_VALUE"""),"")</f>
        <v/>
      </c>
      <c r="J184" s="304"/>
      <c r="K184" s="315"/>
      <c r="L184" s="306"/>
      <c r="M184" s="307"/>
      <c r="N184" s="307"/>
      <c r="P184" s="293"/>
      <c r="Q184" s="289"/>
    </row>
    <row r="185" ht="3.75" customHeight="1">
      <c r="A185" s="289"/>
      <c r="B185" s="293"/>
      <c r="C185" s="316"/>
      <c r="D185" s="295"/>
      <c r="E185" s="293"/>
      <c r="F185" s="295"/>
      <c r="G185" s="293"/>
      <c r="H185" s="295"/>
      <c r="I185" s="295"/>
      <c r="J185" s="293"/>
      <c r="K185" s="293"/>
      <c r="L185" s="293"/>
      <c r="M185" s="293"/>
      <c r="N185" s="293"/>
      <c r="O185" s="293"/>
      <c r="P185" s="293"/>
      <c r="Q185" s="289"/>
    </row>
    <row r="186" ht="30.0" customHeight="1">
      <c r="A186" s="297"/>
      <c r="B186" s="293"/>
      <c r="C186" s="309" t="str">
        <f>IFERROR(__xludf.DUMMYFUNCTION("""COMPUTED_VALUE"""),"Angleseekers")</f>
        <v>Angleseekers</v>
      </c>
      <c r="D186" s="310" t="str">
        <f>IFERROR(__xludf.DUMMYFUNCTION("""COMPUTED_VALUE"""),"")</f>
        <v/>
      </c>
      <c r="E186" s="311" t="str">
        <f>IFERROR(__xludf.DUMMYFUNCTION("""COMPUTED_VALUE"""),"Newtech66")</f>
        <v>Newtech66</v>
      </c>
      <c r="F186" s="301"/>
      <c r="G186" s="312" t="str">
        <f>IFERROR(__xludf.DUMMYFUNCTION("""COMPUTED_VALUE"""),"")</f>
        <v/>
      </c>
      <c r="H186" s="311" t="str">
        <f>IFERROR(__xludf.DUMMYFUNCTION("""COMPUTED_VALUE"""),"spicyparatha")</f>
        <v>spicyparatha</v>
      </c>
      <c r="I186" s="301"/>
      <c r="J186" s="312"/>
      <c r="K186" s="311"/>
      <c r="L186" s="301"/>
      <c r="M186" s="313">
        <f>IFERROR(__xludf.DUMMYFUNCTION("""COMPUTED_VALUE"""),187192.0)</f>
        <v>187192</v>
      </c>
      <c r="N186" s="314" t="str">
        <f>IFERROR(__xludf.DUMMYFUNCTION("""COMPUTED_VALUE"""),"No streams pls")</f>
        <v>No streams pls</v>
      </c>
      <c r="P186" s="293"/>
      <c r="Q186" s="289"/>
    </row>
    <row r="187" ht="18.75" customHeight="1">
      <c r="A187" s="297"/>
      <c r="B187" s="293"/>
      <c r="D187" s="304"/>
      <c r="E187" s="315"/>
      <c r="F187" s="306" t="str">
        <f>IFERROR(__xludf.DUMMYFUNCTION("""COMPUTED_VALUE"""),"")</f>
        <v/>
      </c>
      <c r="G187" s="304"/>
      <c r="H187" s="315">
        <f>IFERROR(__xludf.DUMMYFUNCTION("""COMPUTED_VALUE"""),182818.0)</f>
        <v>182818</v>
      </c>
      <c r="I187" s="306" t="str">
        <f>IFERROR(__xludf.DUMMYFUNCTION("""COMPUTED_VALUE"""),"")</f>
        <v/>
      </c>
      <c r="J187" s="304"/>
      <c r="K187" s="315"/>
      <c r="L187" s="306"/>
      <c r="M187" s="307"/>
      <c r="N187" s="307"/>
      <c r="P187" s="293"/>
      <c r="Q187" s="289"/>
    </row>
    <row r="188" ht="3.75" customHeight="1">
      <c r="A188" s="289"/>
      <c r="B188" s="293"/>
      <c r="C188" s="316"/>
      <c r="D188" s="295"/>
      <c r="E188" s="293"/>
      <c r="F188" s="295"/>
      <c r="G188" s="293"/>
      <c r="H188" s="295"/>
      <c r="I188" s="295"/>
      <c r="J188" s="293"/>
      <c r="K188" s="293"/>
      <c r="L188" s="293"/>
      <c r="M188" s="293"/>
      <c r="N188" s="293"/>
      <c r="O188" s="293"/>
      <c r="P188" s="293"/>
      <c r="Q188" s="289"/>
    </row>
    <row r="189" ht="30.0" customHeight="1">
      <c r="A189" s="297"/>
      <c r="B189" s="293"/>
      <c r="C189" s="309" t="str">
        <f>IFERROR(__xludf.DUMMYFUNCTION("""COMPUTED_VALUE"""),"BLack Agents")</f>
        <v>BLack Agents</v>
      </c>
      <c r="D189" s="310" t="str">
        <f>IFERROR(__xludf.DUMMYFUNCTION("""COMPUTED_VALUE"""),"")</f>
        <v/>
      </c>
      <c r="E189" s="311" t="str">
        <f>IFERROR(__xludf.DUMMYFUNCTION("""COMPUTED_VALUE"""),"Article iwnl")</f>
        <v>Article iwnl</v>
      </c>
      <c r="F189" s="301"/>
      <c r="G189" s="312" t="str">
        <f>IFERROR(__xludf.DUMMYFUNCTION("""COMPUTED_VALUE"""),"")</f>
        <v/>
      </c>
      <c r="H189" s="311" t="str">
        <f>IFERROR(__xludf.DUMMYFUNCTION("""COMPUTED_VALUE"""),"Xiyang Ye")</f>
        <v>Xiyang Ye</v>
      </c>
      <c r="I189" s="301"/>
      <c r="J189" s="312"/>
      <c r="K189" s="311"/>
      <c r="L189" s="301"/>
      <c r="M189" s="313">
        <f>IFERROR(__xludf.DUMMYFUNCTION("""COMPUTED_VALUE"""),193701.0)</f>
        <v>193701</v>
      </c>
      <c r="N189" s="314" t="str">
        <f>IFERROR(__xludf.DUMMYFUNCTION("""COMPUTED_VALUE"""),"yes you read that right.. we are black agents")</f>
        <v>yes you read that right.. we are black agents</v>
      </c>
      <c r="P189" s="293"/>
      <c r="Q189" s="289"/>
    </row>
    <row r="190" ht="18.75" customHeight="1">
      <c r="A190" s="297"/>
      <c r="B190" s="293"/>
      <c r="D190" s="304"/>
      <c r="E190" s="315"/>
      <c r="F190" s="306" t="str">
        <f>IFERROR(__xludf.DUMMYFUNCTION("""COMPUTED_VALUE"""),"")</f>
        <v/>
      </c>
      <c r="G190" s="304"/>
      <c r="H190" s="315">
        <f>IFERROR(__xludf.DUMMYFUNCTION("""COMPUTED_VALUE"""),194151.0)</f>
        <v>194151</v>
      </c>
      <c r="I190" s="306" t="str">
        <f>IFERROR(__xludf.DUMMYFUNCTION("""COMPUTED_VALUE"""),"")</f>
        <v/>
      </c>
      <c r="J190" s="304"/>
      <c r="K190" s="315"/>
      <c r="L190" s="306"/>
      <c r="M190" s="307"/>
      <c r="N190" s="307"/>
      <c r="P190" s="293"/>
      <c r="Q190" s="289"/>
    </row>
    <row r="191" ht="3.75" customHeight="1">
      <c r="A191" s="289"/>
      <c r="B191" s="293"/>
      <c r="C191" s="316"/>
      <c r="D191" s="295"/>
      <c r="E191" s="293"/>
      <c r="F191" s="295"/>
      <c r="G191" s="293"/>
      <c r="H191" s="295"/>
      <c r="I191" s="295"/>
      <c r="J191" s="293"/>
      <c r="K191" s="293"/>
      <c r="L191" s="293"/>
      <c r="M191" s="293"/>
      <c r="N191" s="293"/>
      <c r="O191" s="293"/>
      <c r="P191" s="293"/>
      <c r="Q191" s="289"/>
    </row>
  </sheetData>
  <mergeCells count="567">
    <mergeCell ref="M180:M181"/>
    <mergeCell ref="N180:O181"/>
    <mergeCell ref="C180:C181"/>
    <mergeCell ref="D180:D181"/>
    <mergeCell ref="E180:F180"/>
    <mergeCell ref="G180:G181"/>
    <mergeCell ref="H180:I180"/>
    <mergeCell ref="J180:J181"/>
    <mergeCell ref="K180:L180"/>
    <mergeCell ref="M183:M184"/>
    <mergeCell ref="N183:O184"/>
    <mergeCell ref="C183:C184"/>
    <mergeCell ref="D183:D184"/>
    <mergeCell ref="E183:F183"/>
    <mergeCell ref="G183:G184"/>
    <mergeCell ref="H183:I183"/>
    <mergeCell ref="J183:J184"/>
    <mergeCell ref="K183:L183"/>
    <mergeCell ref="M186:M187"/>
    <mergeCell ref="N186:O187"/>
    <mergeCell ref="C186:C187"/>
    <mergeCell ref="D186:D187"/>
    <mergeCell ref="E186:F186"/>
    <mergeCell ref="G186:G187"/>
    <mergeCell ref="H186:I186"/>
    <mergeCell ref="J186:J187"/>
    <mergeCell ref="K186:L186"/>
    <mergeCell ref="M3:M4"/>
    <mergeCell ref="N3:O4"/>
    <mergeCell ref="C3:C4"/>
    <mergeCell ref="D3:D4"/>
    <mergeCell ref="E3:F3"/>
    <mergeCell ref="G3:G4"/>
    <mergeCell ref="H3:I3"/>
    <mergeCell ref="J3:J4"/>
    <mergeCell ref="K3:L3"/>
    <mergeCell ref="M6:M7"/>
    <mergeCell ref="N6:O7"/>
    <mergeCell ref="C6:C7"/>
    <mergeCell ref="D6:D7"/>
    <mergeCell ref="E6:F6"/>
    <mergeCell ref="G6:G7"/>
    <mergeCell ref="H6:I6"/>
    <mergeCell ref="J6:J7"/>
    <mergeCell ref="K6:L6"/>
    <mergeCell ref="M9:M10"/>
    <mergeCell ref="N9:O10"/>
    <mergeCell ref="C9:C10"/>
    <mergeCell ref="D9:D10"/>
    <mergeCell ref="E9:F9"/>
    <mergeCell ref="G9:G10"/>
    <mergeCell ref="H9:I9"/>
    <mergeCell ref="J9:J10"/>
    <mergeCell ref="K9:L9"/>
    <mergeCell ref="M189:M190"/>
    <mergeCell ref="N189:O190"/>
    <mergeCell ref="C189:C190"/>
    <mergeCell ref="D189:D190"/>
    <mergeCell ref="E189:F189"/>
    <mergeCell ref="G189:G190"/>
    <mergeCell ref="H189:I189"/>
    <mergeCell ref="J189:J190"/>
    <mergeCell ref="K189:L189"/>
    <mergeCell ref="M159:M160"/>
    <mergeCell ref="N159:O160"/>
    <mergeCell ref="C159:C160"/>
    <mergeCell ref="D159:D160"/>
    <mergeCell ref="E159:F159"/>
    <mergeCell ref="G159:G160"/>
    <mergeCell ref="H159:I159"/>
    <mergeCell ref="J159:J160"/>
    <mergeCell ref="K159:L159"/>
    <mergeCell ref="M162:M163"/>
    <mergeCell ref="N162:O163"/>
    <mergeCell ref="C162:C163"/>
    <mergeCell ref="D162:D163"/>
    <mergeCell ref="E162:F162"/>
    <mergeCell ref="G162:G163"/>
    <mergeCell ref="H162:I162"/>
    <mergeCell ref="J162:J163"/>
    <mergeCell ref="K162:L162"/>
    <mergeCell ref="M165:M166"/>
    <mergeCell ref="N165:O166"/>
    <mergeCell ref="C165:C166"/>
    <mergeCell ref="D165:D166"/>
    <mergeCell ref="E165:F165"/>
    <mergeCell ref="G165:G166"/>
    <mergeCell ref="H165:I165"/>
    <mergeCell ref="J165:J166"/>
    <mergeCell ref="K165:L165"/>
    <mergeCell ref="M168:M169"/>
    <mergeCell ref="N168:O169"/>
    <mergeCell ref="C168:C169"/>
    <mergeCell ref="D168:D169"/>
    <mergeCell ref="E168:F168"/>
    <mergeCell ref="G168:G169"/>
    <mergeCell ref="H168:I168"/>
    <mergeCell ref="J168:J169"/>
    <mergeCell ref="K168:L168"/>
    <mergeCell ref="M171:M172"/>
    <mergeCell ref="N171:O172"/>
    <mergeCell ref="C171:C172"/>
    <mergeCell ref="D171:D172"/>
    <mergeCell ref="E171:F171"/>
    <mergeCell ref="G171:G172"/>
    <mergeCell ref="H171:I171"/>
    <mergeCell ref="J171:J172"/>
    <mergeCell ref="K171:L171"/>
    <mergeCell ref="M174:M175"/>
    <mergeCell ref="N174:O175"/>
    <mergeCell ref="C174:C175"/>
    <mergeCell ref="D174:D175"/>
    <mergeCell ref="E174:F174"/>
    <mergeCell ref="G174:G175"/>
    <mergeCell ref="H174:I174"/>
    <mergeCell ref="J174:J175"/>
    <mergeCell ref="K174:L174"/>
    <mergeCell ref="M177:M178"/>
    <mergeCell ref="N177:O178"/>
    <mergeCell ref="C177:C178"/>
    <mergeCell ref="D177:D178"/>
    <mergeCell ref="E177:F177"/>
    <mergeCell ref="G177:G178"/>
    <mergeCell ref="H177:I177"/>
    <mergeCell ref="J177:J178"/>
    <mergeCell ref="K177:L177"/>
    <mergeCell ref="M12:M13"/>
    <mergeCell ref="N12:O13"/>
    <mergeCell ref="C12:C13"/>
    <mergeCell ref="D12:D13"/>
    <mergeCell ref="E12:F12"/>
    <mergeCell ref="G12:G13"/>
    <mergeCell ref="H12:I12"/>
    <mergeCell ref="J12:J13"/>
    <mergeCell ref="K12:L12"/>
    <mergeCell ref="M15:M16"/>
    <mergeCell ref="N15:O16"/>
    <mergeCell ref="C15:C16"/>
    <mergeCell ref="D15:D16"/>
    <mergeCell ref="E15:F15"/>
    <mergeCell ref="G15:G16"/>
    <mergeCell ref="H15:I15"/>
    <mergeCell ref="J15:J16"/>
    <mergeCell ref="K15:L15"/>
    <mergeCell ref="M18:M19"/>
    <mergeCell ref="N18:O19"/>
    <mergeCell ref="C18:C19"/>
    <mergeCell ref="D18:D19"/>
    <mergeCell ref="E18:F18"/>
    <mergeCell ref="G18:G19"/>
    <mergeCell ref="H18:I18"/>
    <mergeCell ref="J18:J19"/>
    <mergeCell ref="K18:L18"/>
    <mergeCell ref="M21:M22"/>
    <mergeCell ref="N21:O22"/>
    <mergeCell ref="C21:C22"/>
    <mergeCell ref="D21:D22"/>
    <mergeCell ref="E21:F21"/>
    <mergeCell ref="G21:G22"/>
    <mergeCell ref="H21:I21"/>
    <mergeCell ref="J21:J22"/>
    <mergeCell ref="K21:L21"/>
    <mergeCell ref="M24:M25"/>
    <mergeCell ref="N24:O25"/>
    <mergeCell ref="C24:C25"/>
    <mergeCell ref="D24:D25"/>
    <mergeCell ref="E24:F24"/>
    <mergeCell ref="G24:G25"/>
    <mergeCell ref="H24:I24"/>
    <mergeCell ref="J24:J25"/>
    <mergeCell ref="K24:L24"/>
    <mergeCell ref="M27:M28"/>
    <mergeCell ref="N27:O28"/>
    <mergeCell ref="C27:C28"/>
    <mergeCell ref="D27:D28"/>
    <mergeCell ref="E27:F27"/>
    <mergeCell ref="G27:G28"/>
    <mergeCell ref="H27:I27"/>
    <mergeCell ref="J27:J28"/>
    <mergeCell ref="K27:L27"/>
    <mergeCell ref="M30:M31"/>
    <mergeCell ref="N30:O31"/>
    <mergeCell ref="C30:C31"/>
    <mergeCell ref="D30:D31"/>
    <mergeCell ref="E30:F30"/>
    <mergeCell ref="G30:G31"/>
    <mergeCell ref="H30:I30"/>
    <mergeCell ref="J30:J31"/>
    <mergeCell ref="K30:L30"/>
    <mergeCell ref="M33:M34"/>
    <mergeCell ref="N33:O34"/>
    <mergeCell ref="C33:C34"/>
    <mergeCell ref="D33:D34"/>
    <mergeCell ref="E33:F33"/>
    <mergeCell ref="G33:G34"/>
    <mergeCell ref="H33:I33"/>
    <mergeCell ref="J33:J34"/>
    <mergeCell ref="K33:L33"/>
    <mergeCell ref="M36:M37"/>
    <mergeCell ref="N36:O37"/>
    <mergeCell ref="C36:C37"/>
    <mergeCell ref="D36:D37"/>
    <mergeCell ref="E36:F36"/>
    <mergeCell ref="G36:G37"/>
    <mergeCell ref="H36:I36"/>
    <mergeCell ref="J36:J37"/>
    <mergeCell ref="K36:L36"/>
    <mergeCell ref="M39:M40"/>
    <mergeCell ref="N39:O40"/>
    <mergeCell ref="C39:C40"/>
    <mergeCell ref="D39:D40"/>
    <mergeCell ref="E39:F39"/>
    <mergeCell ref="G39:G40"/>
    <mergeCell ref="H39:I39"/>
    <mergeCell ref="J39:J40"/>
    <mergeCell ref="K39:L39"/>
    <mergeCell ref="M42:M43"/>
    <mergeCell ref="N42:O43"/>
    <mergeCell ref="C42:C43"/>
    <mergeCell ref="D42:D43"/>
    <mergeCell ref="E42:F42"/>
    <mergeCell ref="G42:G43"/>
    <mergeCell ref="H42:I42"/>
    <mergeCell ref="J42:J43"/>
    <mergeCell ref="K42:L42"/>
    <mergeCell ref="M45:M46"/>
    <mergeCell ref="N45:O46"/>
    <mergeCell ref="C45:C46"/>
    <mergeCell ref="D45:D46"/>
    <mergeCell ref="E45:F45"/>
    <mergeCell ref="G45:G46"/>
    <mergeCell ref="H45:I45"/>
    <mergeCell ref="J45:J46"/>
    <mergeCell ref="K45:L45"/>
    <mergeCell ref="M48:M49"/>
    <mergeCell ref="N48:O49"/>
    <mergeCell ref="C48:C49"/>
    <mergeCell ref="D48:D49"/>
    <mergeCell ref="E48:F48"/>
    <mergeCell ref="G48:G49"/>
    <mergeCell ref="H48:I48"/>
    <mergeCell ref="J48:J49"/>
    <mergeCell ref="K48:L48"/>
    <mergeCell ref="M51:M52"/>
    <mergeCell ref="N51:O52"/>
    <mergeCell ref="C51:C52"/>
    <mergeCell ref="D51:D52"/>
    <mergeCell ref="E51:F51"/>
    <mergeCell ref="G51:G52"/>
    <mergeCell ref="H51:I51"/>
    <mergeCell ref="J51:J52"/>
    <mergeCell ref="K51:L51"/>
    <mergeCell ref="M54:M55"/>
    <mergeCell ref="N54:O55"/>
    <mergeCell ref="C54:C55"/>
    <mergeCell ref="D54:D55"/>
    <mergeCell ref="E54:F54"/>
    <mergeCell ref="G54:G55"/>
    <mergeCell ref="H54:I54"/>
    <mergeCell ref="J54:J55"/>
    <mergeCell ref="K54:L54"/>
    <mergeCell ref="M57:M58"/>
    <mergeCell ref="N57:O58"/>
    <mergeCell ref="C57:C58"/>
    <mergeCell ref="D57:D58"/>
    <mergeCell ref="E57:F57"/>
    <mergeCell ref="G57:G58"/>
    <mergeCell ref="H57:I57"/>
    <mergeCell ref="J57:J58"/>
    <mergeCell ref="K57:L57"/>
    <mergeCell ref="M60:M61"/>
    <mergeCell ref="N60:O61"/>
    <mergeCell ref="C60:C61"/>
    <mergeCell ref="D60:D61"/>
    <mergeCell ref="E60:F60"/>
    <mergeCell ref="G60:G61"/>
    <mergeCell ref="H60:I60"/>
    <mergeCell ref="J60:J61"/>
    <mergeCell ref="K60:L60"/>
    <mergeCell ref="M63:M64"/>
    <mergeCell ref="N63:O64"/>
    <mergeCell ref="C63:C64"/>
    <mergeCell ref="D63:D64"/>
    <mergeCell ref="E63:F63"/>
    <mergeCell ref="G63:G64"/>
    <mergeCell ref="H63:I63"/>
    <mergeCell ref="J63:J64"/>
    <mergeCell ref="K63:L63"/>
    <mergeCell ref="M66:M67"/>
    <mergeCell ref="N66:O67"/>
    <mergeCell ref="C66:C67"/>
    <mergeCell ref="D66:D67"/>
    <mergeCell ref="E66:F66"/>
    <mergeCell ref="G66:G67"/>
    <mergeCell ref="H66:I66"/>
    <mergeCell ref="J66:J67"/>
    <mergeCell ref="K66:L66"/>
    <mergeCell ref="M69:M70"/>
    <mergeCell ref="N69:O70"/>
    <mergeCell ref="C69:C70"/>
    <mergeCell ref="D69:D70"/>
    <mergeCell ref="E69:F69"/>
    <mergeCell ref="G69:G70"/>
    <mergeCell ref="H69:I69"/>
    <mergeCell ref="J69:J70"/>
    <mergeCell ref="K69:L69"/>
    <mergeCell ref="M72:M73"/>
    <mergeCell ref="N72:O73"/>
    <mergeCell ref="C72:C73"/>
    <mergeCell ref="D72:D73"/>
    <mergeCell ref="E72:F72"/>
    <mergeCell ref="G72:G73"/>
    <mergeCell ref="H72:I72"/>
    <mergeCell ref="J72:J73"/>
    <mergeCell ref="K72:L72"/>
    <mergeCell ref="M75:M76"/>
    <mergeCell ref="N75:O76"/>
    <mergeCell ref="C75:C76"/>
    <mergeCell ref="D75:D76"/>
    <mergeCell ref="E75:F75"/>
    <mergeCell ref="G75:G76"/>
    <mergeCell ref="H75:I75"/>
    <mergeCell ref="J75:J76"/>
    <mergeCell ref="K75:L75"/>
    <mergeCell ref="M78:M79"/>
    <mergeCell ref="N78:O79"/>
    <mergeCell ref="C78:C79"/>
    <mergeCell ref="D78:D79"/>
    <mergeCell ref="E78:F78"/>
    <mergeCell ref="G78:G79"/>
    <mergeCell ref="H78:I78"/>
    <mergeCell ref="J78:J79"/>
    <mergeCell ref="K78:L78"/>
    <mergeCell ref="M81:M82"/>
    <mergeCell ref="N81:O82"/>
    <mergeCell ref="C81:C82"/>
    <mergeCell ref="D81:D82"/>
    <mergeCell ref="E81:F81"/>
    <mergeCell ref="G81:G82"/>
    <mergeCell ref="H81:I81"/>
    <mergeCell ref="J81:J82"/>
    <mergeCell ref="K81:L81"/>
    <mergeCell ref="M84:M85"/>
    <mergeCell ref="N84:O85"/>
    <mergeCell ref="C84:C85"/>
    <mergeCell ref="D84:D85"/>
    <mergeCell ref="E84:F84"/>
    <mergeCell ref="G84:G85"/>
    <mergeCell ref="H84:I84"/>
    <mergeCell ref="J84:J85"/>
    <mergeCell ref="K84:L84"/>
    <mergeCell ref="M87:M88"/>
    <mergeCell ref="N87:O88"/>
    <mergeCell ref="C87:C88"/>
    <mergeCell ref="D87:D88"/>
    <mergeCell ref="E87:F87"/>
    <mergeCell ref="G87:G88"/>
    <mergeCell ref="H87:I87"/>
    <mergeCell ref="J87:J88"/>
    <mergeCell ref="K87:L87"/>
    <mergeCell ref="M90:M91"/>
    <mergeCell ref="N90:O91"/>
    <mergeCell ref="C90:C91"/>
    <mergeCell ref="D90:D91"/>
    <mergeCell ref="E90:F90"/>
    <mergeCell ref="G90:G91"/>
    <mergeCell ref="H90:I90"/>
    <mergeCell ref="J90:J91"/>
    <mergeCell ref="K90:L90"/>
    <mergeCell ref="M93:M94"/>
    <mergeCell ref="N93:O94"/>
    <mergeCell ref="C93:C94"/>
    <mergeCell ref="D93:D94"/>
    <mergeCell ref="E93:F93"/>
    <mergeCell ref="G93:G94"/>
    <mergeCell ref="H93:I93"/>
    <mergeCell ref="J93:J94"/>
    <mergeCell ref="K93:L93"/>
    <mergeCell ref="M96:M97"/>
    <mergeCell ref="N96:O97"/>
    <mergeCell ref="C96:C97"/>
    <mergeCell ref="D96:D97"/>
    <mergeCell ref="E96:F96"/>
    <mergeCell ref="G96:G97"/>
    <mergeCell ref="H96:I96"/>
    <mergeCell ref="J96:J97"/>
    <mergeCell ref="K96:L96"/>
    <mergeCell ref="M99:M100"/>
    <mergeCell ref="N99:O100"/>
    <mergeCell ref="C99:C100"/>
    <mergeCell ref="D99:D100"/>
    <mergeCell ref="E99:F99"/>
    <mergeCell ref="G99:G100"/>
    <mergeCell ref="H99:I99"/>
    <mergeCell ref="J99:J100"/>
    <mergeCell ref="K99:L99"/>
    <mergeCell ref="M102:M103"/>
    <mergeCell ref="N102:O103"/>
    <mergeCell ref="C102:C103"/>
    <mergeCell ref="D102:D103"/>
    <mergeCell ref="E102:F102"/>
    <mergeCell ref="G102:G103"/>
    <mergeCell ref="H102:I102"/>
    <mergeCell ref="J102:J103"/>
    <mergeCell ref="K102:L102"/>
    <mergeCell ref="M105:M106"/>
    <mergeCell ref="N105:O106"/>
    <mergeCell ref="C105:C106"/>
    <mergeCell ref="D105:D106"/>
    <mergeCell ref="E105:F105"/>
    <mergeCell ref="G105:G106"/>
    <mergeCell ref="H105:I105"/>
    <mergeCell ref="J105:J106"/>
    <mergeCell ref="K105:L105"/>
    <mergeCell ref="M108:M109"/>
    <mergeCell ref="N108:O109"/>
    <mergeCell ref="C108:C109"/>
    <mergeCell ref="D108:D109"/>
    <mergeCell ref="E108:F108"/>
    <mergeCell ref="G108:G109"/>
    <mergeCell ref="H108:I108"/>
    <mergeCell ref="J108:J109"/>
    <mergeCell ref="K108:L108"/>
    <mergeCell ref="M111:M112"/>
    <mergeCell ref="N111:O112"/>
    <mergeCell ref="C111:C112"/>
    <mergeCell ref="D111:D112"/>
    <mergeCell ref="E111:F111"/>
    <mergeCell ref="G111:G112"/>
    <mergeCell ref="H111:I111"/>
    <mergeCell ref="J111:J112"/>
    <mergeCell ref="K111:L111"/>
    <mergeCell ref="M114:M115"/>
    <mergeCell ref="N114:O115"/>
    <mergeCell ref="C114:C115"/>
    <mergeCell ref="D114:D115"/>
    <mergeCell ref="E114:F114"/>
    <mergeCell ref="G114:G115"/>
    <mergeCell ref="H114:I114"/>
    <mergeCell ref="J114:J115"/>
    <mergeCell ref="K114:L114"/>
    <mergeCell ref="M117:M118"/>
    <mergeCell ref="N117:O118"/>
    <mergeCell ref="C117:C118"/>
    <mergeCell ref="D117:D118"/>
    <mergeCell ref="E117:F117"/>
    <mergeCell ref="G117:G118"/>
    <mergeCell ref="H117:I117"/>
    <mergeCell ref="J117:J118"/>
    <mergeCell ref="K117:L117"/>
    <mergeCell ref="M120:M121"/>
    <mergeCell ref="N120:O121"/>
    <mergeCell ref="C120:C121"/>
    <mergeCell ref="D120:D121"/>
    <mergeCell ref="E120:F120"/>
    <mergeCell ref="G120:G121"/>
    <mergeCell ref="H120:I120"/>
    <mergeCell ref="J120:J121"/>
    <mergeCell ref="K120:L120"/>
    <mergeCell ref="M123:M124"/>
    <mergeCell ref="N123:O124"/>
    <mergeCell ref="C123:C124"/>
    <mergeCell ref="D123:D124"/>
    <mergeCell ref="E123:F123"/>
    <mergeCell ref="G123:G124"/>
    <mergeCell ref="H123:I123"/>
    <mergeCell ref="J123:J124"/>
    <mergeCell ref="K123:L123"/>
    <mergeCell ref="M126:M127"/>
    <mergeCell ref="N126:O127"/>
    <mergeCell ref="C126:C127"/>
    <mergeCell ref="D126:D127"/>
    <mergeCell ref="E126:F126"/>
    <mergeCell ref="G126:G127"/>
    <mergeCell ref="H126:I126"/>
    <mergeCell ref="J126:J127"/>
    <mergeCell ref="K126:L126"/>
    <mergeCell ref="M129:M130"/>
    <mergeCell ref="N129:O130"/>
    <mergeCell ref="C129:C130"/>
    <mergeCell ref="D129:D130"/>
    <mergeCell ref="E129:F129"/>
    <mergeCell ref="G129:G130"/>
    <mergeCell ref="H129:I129"/>
    <mergeCell ref="J129:J130"/>
    <mergeCell ref="K129:L129"/>
    <mergeCell ref="M132:M133"/>
    <mergeCell ref="N132:O133"/>
    <mergeCell ref="C132:C133"/>
    <mergeCell ref="D132:D133"/>
    <mergeCell ref="E132:F132"/>
    <mergeCell ref="G132:G133"/>
    <mergeCell ref="H132:I132"/>
    <mergeCell ref="J132:J133"/>
    <mergeCell ref="K132:L132"/>
    <mergeCell ref="M135:M136"/>
    <mergeCell ref="N135:O136"/>
    <mergeCell ref="C135:C136"/>
    <mergeCell ref="D135:D136"/>
    <mergeCell ref="E135:F135"/>
    <mergeCell ref="G135:G136"/>
    <mergeCell ref="H135:I135"/>
    <mergeCell ref="J135:J136"/>
    <mergeCell ref="K135:L135"/>
    <mergeCell ref="M138:M139"/>
    <mergeCell ref="N138:O139"/>
    <mergeCell ref="C138:C139"/>
    <mergeCell ref="D138:D139"/>
    <mergeCell ref="E138:F138"/>
    <mergeCell ref="G138:G139"/>
    <mergeCell ref="H138:I138"/>
    <mergeCell ref="J138:J139"/>
    <mergeCell ref="K138:L138"/>
    <mergeCell ref="M141:M142"/>
    <mergeCell ref="N141:O142"/>
    <mergeCell ref="C141:C142"/>
    <mergeCell ref="D141:D142"/>
    <mergeCell ref="E141:F141"/>
    <mergeCell ref="G141:G142"/>
    <mergeCell ref="H141:I141"/>
    <mergeCell ref="J141:J142"/>
    <mergeCell ref="K141:L141"/>
    <mergeCell ref="M144:M145"/>
    <mergeCell ref="N144:O145"/>
    <mergeCell ref="C144:C145"/>
    <mergeCell ref="D144:D145"/>
    <mergeCell ref="E144:F144"/>
    <mergeCell ref="G144:G145"/>
    <mergeCell ref="H144:I144"/>
    <mergeCell ref="J144:J145"/>
    <mergeCell ref="K144:L144"/>
    <mergeCell ref="M147:M148"/>
    <mergeCell ref="N147:O148"/>
    <mergeCell ref="C147:C148"/>
    <mergeCell ref="D147:D148"/>
    <mergeCell ref="E147:F147"/>
    <mergeCell ref="G147:G148"/>
    <mergeCell ref="H147:I147"/>
    <mergeCell ref="J147:J148"/>
    <mergeCell ref="K147:L147"/>
    <mergeCell ref="M150:M151"/>
    <mergeCell ref="N150:O151"/>
    <mergeCell ref="C150:C151"/>
    <mergeCell ref="D150:D151"/>
    <mergeCell ref="E150:F150"/>
    <mergeCell ref="G150:G151"/>
    <mergeCell ref="H150:I150"/>
    <mergeCell ref="J150:J151"/>
    <mergeCell ref="K150:L150"/>
    <mergeCell ref="M153:M154"/>
    <mergeCell ref="N153:O154"/>
    <mergeCell ref="C153:C154"/>
    <mergeCell ref="D153:D154"/>
    <mergeCell ref="E153:F153"/>
    <mergeCell ref="G153:G154"/>
    <mergeCell ref="H153:I153"/>
    <mergeCell ref="J153:J154"/>
    <mergeCell ref="K153:L153"/>
    <mergeCell ref="M156:M157"/>
    <mergeCell ref="N156:O157"/>
    <mergeCell ref="C156:C157"/>
    <mergeCell ref="D156:D157"/>
    <mergeCell ref="E156:F156"/>
    <mergeCell ref="G156:G157"/>
    <mergeCell ref="H156:I156"/>
    <mergeCell ref="J156:J157"/>
    <mergeCell ref="K156:L156"/>
  </mergeCells>
  <hyperlinks>
    <hyperlink r:id="rId1" ref="E6"/>
    <hyperlink r:id="rId2" ref="H6"/>
    <hyperlink r:id="rId3" ref="K6"/>
    <hyperlink r:id="rId4" ref="E9"/>
    <hyperlink r:id="rId5" ref="H9"/>
    <hyperlink r:id="rId6" ref="K9"/>
    <hyperlink r:id="rId7" ref="E12"/>
    <hyperlink r:id="rId8" ref="H12"/>
    <hyperlink r:id="rId9" ref="E15"/>
    <hyperlink r:id="rId10" ref="H15"/>
    <hyperlink r:id="rId11" ref="K15"/>
    <hyperlink r:id="rId12" ref="E18"/>
    <hyperlink r:id="rId13" ref="H18"/>
    <hyperlink r:id="rId14" ref="K18"/>
    <hyperlink r:id="rId15" ref="E21"/>
    <hyperlink r:id="rId16" ref="H21"/>
    <hyperlink r:id="rId17" ref="E24"/>
    <hyperlink r:id="rId18" ref="H24"/>
    <hyperlink r:id="rId19" ref="E27"/>
    <hyperlink r:id="rId20" ref="H27"/>
    <hyperlink r:id="rId21" ref="K27"/>
    <hyperlink r:id="rId22" ref="E30"/>
    <hyperlink r:id="rId23" ref="H30"/>
    <hyperlink r:id="rId24" ref="K30"/>
    <hyperlink r:id="rId25" ref="E33"/>
    <hyperlink r:id="rId26" ref="H33"/>
    <hyperlink r:id="rId27" ref="K33"/>
    <hyperlink r:id="rId28" ref="E36"/>
    <hyperlink r:id="rId29" ref="H36"/>
    <hyperlink r:id="rId30" ref="E39"/>
    <hyperlink r:id="rId31" ref="H39"/>
    <hyperlink r:id="rId32" ref="K39"/>
    <hyperlink r:id="rId33" ref="E42"/>
    <hyperlink r:id="rId34" ref="H42"/>
    <hyperlink r:id="rId35" ref="K42"/>
    <hyperlink r:id="rId36" ref="E45"/>
    <hyperlink r:id="rId37" ref="H45"/>
    <hyperlink r:id="rId38" ref="E48"/>
    <hyperlink r:id="rId39" ref="H48"/>
    <hyperlink r:id="rId40" ref="K48"/>
    <hyperlink r:id="rId41" ref="E51"/>
    <hyperlink r:id="rId42" ref="H51"/>
    <hyperlink r:id="rId43" ref="E54"/>
    <hyperlink r:id="rId44" ref="H54"/>
    <hyperlink r:id="rId45" ref="K54"/>
    <hyperlink r:id="rId46" ref="E57"/>
    <hyperlink r:id="rId47" ref="H57"/>
    <hyperlink r:id="rId48" ref="K57"/>
    <hyperlink r:id="rId49" ref="E60"/>
    <hyperlink r:id="rId50" ref="H60"/>
    <hyperlink r:id="rId51" ref="K60"/>
    <hyperlink r:id="rId52" ref="E63"/>
    <hyperlink r:id="rId53" ref="H63"/>
    <hyperlink r:id="rId54" ref="E66"/>
    <hyperlink r:id="rId55" ref="H66"/>
    <hyperlink r:id="rId56" ref="K66"/>
    <hyperlink r:id="rId57" ref="E69"/>
    <hyperlink r:id="rId58" ref="H69"/>
    <hyperlink r:id="rId59" ref="K69"/>
    <hyperlink r:id="rId60" ref="E72"/>
    <hyperlink r:id="rId61" ref="H72"/>
    <hyperlink r:id="rId62" ref="K72"/>
    <hyperlink r:id="rId63" ref="E75"/>
    <hyperlink r:id="rId64" ref="H75"/>
    <hyperlink r:id="rId65" ref="K75"/>
    <hyperlink r:id="rId66" ref="E78"/>
    <hyperlink r:id="rId67" ref="H78"/>
    <hyperlink r:id="rId68" ref="K78"/>
    <hyperlink r:id="rId69" ref="E81"/>
    <hyperlink r:id="rId70" ref="H81"/>
    <hyperlink r:id="rId71" ref="K81"/>
    <hyperlink r:id="rId72" ref="E84"/>
    <hyperlink r:id="rId73" ref="H84"/>
    <hyperlink r:id="rId74" ref="K84"/>
    <hyperlink r:id="rId75" ref="E87"/>
    <hyperlink r:id="rId76" ref="H87"/>
    <hyperlink r:id="rId77" ref="K87"/>
    <hyperlink r:id="rId78" ref="E90"/>
    <hyperlink r:id="rId79" ref="H90"/>
    <hyperlink r:id="rId80" ref="E93"/>
    <hyperlink r:id="rId81" ref="H93"/>
    <hyperlink r:id="rId82" ref="K93"/>
    <hyperlink r:id="rId83" ref="E96"/>
    <hyperlink r:id="rId84" ref="H96"/>
    <hyperlink r:id="rId85" ref="K96"/>
    <hyperlink r:id="rId86" ref="E99"/>
    <hyperlink r:id="rId87" ref="H99"/>
    <hyperlink r:id="rId88" ref="K99"/>
    <hyperlink r:id="rId89" ref="E102"/>
    <hyperlink r:id="rId90" ref="H102"/>
    <hyperlink r:id="rId91" ref="E105"/>
    <hyperlink r:id="rId92" ref="H105"/>
    <hyperlink r:id="rId93" ref="K105"/>
    <hyperlink r:id="rId94" ref="E108"/>
    <hyperlink r:id="rId95" ref="H108"/>
    <hyperlink r:id="rId96" ref="E111"/>
    <hyperlink r:id="rId97" ref="H111"/>
    <hyperlink r:id="rId98" ref="K111"/>
    <hyperlink r:id="rId99" ref="E114"/>
    <hyperlink r:id="rId100" ref="H114"/>
    <hyperlink r:id="rId101" ref="E117"/>
    <hyperlink r:id="rId102" ref="H117"/>
    <hyperlink r:id="rId103" ref="K117"/>
    <hyperlink r:id="rId104" ref="E120"/>
    <hyperlink r:id="rId105" ref="H120"/>
    <hyperlink r:id="rId106" ref="K120"/>
    <hyperlink r:id="rId107" ref="E123"/>
    <hyperlink r:id="rId108" ref="H123"/>
    <hyperlink r:id="rId109" ref="K123"/>
    <hyperlink r:id="rId110" ref="E126"/>
    <hyperlink r:id="rId111" ref="H126"/>
    <hyperlink r:id="rId112" ref="K126"/>
    <hyperlink r:id="rId113" ref="E129"/>
    <hyperlink r:id="rId114" ref="H129"/>
    <hyperlink r:id="rId115" ref="K129"/>
    <hyperlink r:id="rId116" ref="N129"/>
    <hyperlink r:id="rId117" ref="E132"/>
    <hyperlink r:id="rId118" ref="H132"/>
    <hyperlink r:id="rId119" ref="K132"/>
    <hyperlink r:id="rId120" ref="E135"/>
    <hyperlink r:id="rId121" ref="H135"/>
    <hyperlink r:id="rId122" ref="K135"/>
    <hyperlink r:id="rId123" ref="E138"/>
    <hyperlink r:id="rId124" ref="H138"/>
    <hyperlink r:id="rId125" ref="E141"/>
    <hyperlink r:id="rId126" ref="H141"/>
    <hyperlink r:id="rId127" ref="K141"/>
    <hyperlink r:id="rId128" ref="E144"/>
    <hyperlink r:id="rId129" ref="H144"/>
    <hyperlink r:id="rId130" ref="K144"/>
    <hyperlink r:id="rId131" ref="E147"/>
    <hyperlink r:id="rId132" ref="H147"/>
    <hyperlink r:id="rId133" ref="K147"/>
    <hyperlink r:id="rId134" ref="E150"/>
    <hyperlink r:id="rId135" ref="H150"/>
    <hyperlink r:id="rId136" ref="E153"/>
    <hyperlink r:id="rId137" ref="H153"/>
    <hyperlink r:id="rId138" ref="K153"/>
    <hyperlink r:id="rId139" ref="E156"/>
    <hyperlink r:id="rId140" ref="H156"/>
    <hyperlink r:id="rId141" ref="E159"/>
    <hyperlink r:id="rId142" ref="H159"/>
    <hyperlink r:id="rId143" ref="K159"/>
    <hyperlink r:id="rId144" ref="E162"/>
    <hyperlink r:id="rId145" ref="H162"/>
    <hyperlink r:id="rId146" ref="K162"/>
    <hyperlink r:id="rId147" ref="E165"/>
    <hyperlink r:id="rId148" ref="H165"/>
    <hyperlink r:id="rId149" ref="E168"/>
    <hyperlink r:id="rId150" ref="H168"/>
    <hyperlink r:id="rId151" ref="K168"/>
    <hyperlink r:id="rId152" ref="E171"/>
    <hyperlink r:id="rId153" ref="H171"/>
    <hyperlink r:id="rId154" ref="K171"/>
    <hyperlink r:id="rId155" ref="E174"/>
    <hyperlink r:id="rId156" ref="H174"/>
    <hyperlink r:id="rId157" ref="K174"/>
    <hyperlink r:id="rId158" ref="E177"/>
    <hyperlink r:id="rId159" ref="H177"/>
    <hyperlink r:id="rId160" ref="K177"/>
    <hyperlink r:id="rId161" ref="E180"/>
    <hyperlink r:id="rId162" ref="H180"/>
    <hyperlink r:id="rId163" ref="E183"/>
    <hyperlink r:id="rId164" ref="H183"/>
    <hyperlink r:id="rId165" ref="E186"/>
    <hyperlink r:id="rId166" ref="H186"/>
    <hyperlink r:id="rId167" ref="E189"/>
    <hyperlink r:id="rId168" ref="H189"/>
  </hyperlinks>
  <drawing r:id="rId16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9DF0"/>
    <outlinePr summaryBelow="0" summaryRight="0"/>
  </sheetPr>
  <sheetViews>
    <sheetView workbookViewId="0"/>
  </sheetViews>
  <sheetFormatPr customHeight="1" defaultColWidth="12.63" defaultRowHeight="15.75"/>
  <cols>
    <col customWidth="1" min="1" max="2" width="1.38"/>
    <col customWidth="1" min="3" max="3" width="25.13"/>
    <col customWidth="1" min="4" max="5" width="18.88"/>
    <col customWidth="1" hidden="1" min="7" max="7" width="62.63"/>
    <col customWidth="1" min="8" max="9" width="1.38"/>
  </cols>
  <sheetData>
    <row r="1" ht="7.5" customHeight="1">
      <c r="A1" s="291"/>
      <c r="B1" s="291"/>
      <c r="C1" s="291"/>
      <c r="D1" s="291"/>
      <c r="E1" s="291"/>
      <c r="F1" s="291"/>
      <c r="G1" s="291"/>
      <c r="H1" s="291"/>
      <c r="I1" s="291"/>
    </row>
    <row r="2" ht="7.5" customHeight="1">
      <c r="A2" s="291"/>
      <c r="B2" s="295"/>
      <c r="C2" s="295"/>
      <c r="D2" s="295"/>
      <c r="E2" s="295"/>
      <c r="F2" s="295"/>
      <c r="G2" s="295"/>
      <c r="H2" s="295"/>
      <c r="I2" s="291"/>
    </row>
    <row r="3" ht="30.0" customHeight="1">
      <c r="A3" s="297"/>
      <c r="B3" s="295"/>
      <c r="C3" s="317" t="s">
        <v>79</v>
      </c>
      <c r="D3" s="318" t="s">
        <v>73</v>
      </c>
      <c r="E3" s="317" t="s">
        <v>80</v>
      </c>
      <c r="F3" s="318" t="s">
        <v>81</v>
      </c>
      <c r="G3" s="317" t="s">
        <v>82</v>
      </c>
      <c r="H3" s="295"/>
      <c r="I3" s="291"/>
    </row>
    <row r="4">
      <c r="A4" s="297"/>
      <c r="B4" s="295" t="str">
        <f>IFERROR(__xludf.DUMMYFUNCTION("IMPORTRANGE(""1HHAHmZTTDlyB4RHaHQ-2bhUchkHOEZhmcQrDYQXnxnw"",""importrange_Timezones!B3:F64"")"),"")</f>
        <v/>
      </c>
      <c r="C4" s="319" t="str">
        <f>IFERROR(__xludf.DUMMYFUNCTION("""COMPUTED_VALUE"""),"PoorQuaIityMeatpilow")</f>
        <v>PoorQuaIityMeatpilow</v>
      </c>
      <c r="D4" s="320" t="str">
        <f>IFERROR(__xludf.DUMMYFUNCTION("""COMPUTED_VALUE"""),"PoorQuaIityMeat")</f>
        <v>PoorQuaIityMeat</v>
      </c>
      <c r="E4" s="321" t="str">
        <f>IFERROR(__xludf.DUMMYFUNCTION("""COMPUTED_VALUE"""),"PoorQualityMeat#3602")</f>
        <v>PoorQualityMeat#3602</v>
      </c>
      <c r="F4" s="322" t="str">
        <f>IFERROR(__xludf.DUMMYFUNCTION("""COMPUTED_VALUE"""),"UTC+2")</f>
        <v>UTC+2</v>
      </c>
      <c r="G4" s="323"/>
      <c r="H4" s="295"/>
      <c r="I4" s="291"/>
    </row>
    <row r="5">
      <c r="A5" s="291"/>
      <c r="B5" s="295"/>
      <c r="C5" s="321" t="str">
        <f>IFERROR(__xludf.DUMMYFUNCTION("""COMPUTED_VALUE"""),"Sightread Buff")</f>
        <v>Sightread Buff</v>
      </c>
      <c r="D5" s="324" t="str">
        <f>IFERROR(__xludf.DUMMYFUNCTION("""COMPUTED_VALUE"""),"O_re_O")</f>
        <v>O_re_O</v>
      </c>
      <c r="E5" s="321" t="str">
        <f>IFERROR(__xludf.DUMMYFUNCTION("""COMPUTED_VALUE"""),"0_re_0")</f>
        <v>0_re_0</v>
      </c>
      <c r="F5" s="322" t="str">
        <f>IFERROR(__xludf.DUMMYFUNCTION("""COMPUTED_VALUE"""),"UTC +2")</f>
        <v>UTC +2</v>
      </c>
      <c r="G5" s="323"/>
      <c r="H5" s="295"/>
      <c r="I5" s="291"/>
    </row>
    <row r="6">
      <c r="A6" s="325"/>
      <c r="B6" s="326"/>
      <c r="C6" s="321" t="str">
        <f>IFERROR(__xludf.DUMMYFUNCTION("""COMPUTED_VALUE"""),"Ghost the Angel")</f>
        <v>Ghost the Angel</v>
      </c>
      <c r="D6" s="324" t="str">
        <f>IFERROR(__xludf.DUMMYFUNCTION("""COMPUTED_VALUE"""),"BCraftMG")</f>
        <v>BCraftMG</v>
      </c>
      <c r="E6" s="321" t="str">
        <f>IFERROR(__xludf.DUMMYFUNCTION("""COMPUTED_VALUE"""),"bcraftmg")</f>
        <v>bcraftmg</v>
      </c>
      <c r="F6" s="322" t="str">
        <f>IFERROR(__xludf.DUMMYFUNCTION("""COMPUTED_VALUE"""),"UTC+7")</f>
        <v>UTC+7</v>
      </c>
      <c r="G6" s="323"/>
      <c r="H6" s="327"/>
      <c r="I6" s="328"/>
    </row>
    <row r="7">
      <c r="A7" s="325"/>
      <c r="B7" s="326"/>
      <c r="C7" s="321" t="str">
        <f>IFERROR(__xludf.DUMMYFUNCTION("""COMPUTED_VALUE"""),"foxy1919191919's basement")</f>
        <v>foxy1919191919's basement</v>
      </c>
      <c r="D7" s="324" t="str">
        <f>IFERROR(__xludf.DUMMYFUNCTION("""COMPUTED_VALUE"""),"Faceie")</f>
        <v>Faceie</v>
      </c>
      <c r="E7" s="321" t="str">
        <f>IFERROR(__xludf.DUMMYFUNCTION("""COMPUTED_VALUE"""),"faceie")</f>
        <v>faceie</v>
      </c>
      <c r="F7" s="322" t="str">
        <f>IFERROR(__xludf.DUMMYFUNCTION("""COMPUTED_VALUE"""),"UTC+9")</f>
        <v>UTC+9</v>
      </c>
      <c r="G7" s="323"/>
      <c r="H7" s="327"/>
      <c r="I7" s="328"/>
    </row>
    <row r="8">
      <c r="A8" s="291"/>
      <c r="B8" s="295"/>
      <c r="C8" s="321" t="str">
        <f>IFERROR(__xludf.DUMMYFUNCTION("""COMPUTED_VALUE"""),"Lovers + 3rd wheel")</f>
        <v>Lovers + 3rd wheel</v>
      </c>
      <c r="D8" s="324" t="str">
        <f>IFERROR(__xludf.DUMMYFUNCTION("""COMPUTED_VALUE"""),"TeddyFine")</f>
        <v>TeddyFine</v>
      </c>
      <c r="E8" s="321" t="str">
        <f>IFERROR(__xludf.DUMMYFUNCTION("""COMPUTED_VALUE"""),"TeddyFine")</f>
        <v>TeddyFine</v>
      </c>
      <c r="F8" s="322" t="str">
        <f>IFERROR(__xludf.DUMMYFUNCTION("""COMPUTED_VALUE"""),"UTC-7")</f>
        <v>UTC-7</v>
      </c>
      <c r="G8" s="323"/>
      <c r="H8" s="329"/>
      <c r="I8" s="291"/>
    </row>
    <row r="9">
      <c r="A9" s="325"/>
      <c r="B9" s="326"/>
      <c r="C9" s="321" t="str">
        <f>IFERROR(__xludf.DUMMYFUNCTION("""COMPUTED_VALUE"""),"copium abusers")</f>
        <v>copium abusers</v>
      </c>
      <c r="D9" s="324" t="str">
        <f>IFERROR(__xludf.DUMMYFUNCTION("""COMPUTED_VALUE"""),"PapaAinsley")</f>
        <v>PapaAinsley</v>
      </c>
      <c r="E9" s="321" t="str">
        <f>IFERROR(__xludf.DUMMYFUNCTION("""COMPUTED_VALUE"""),"_ainsley")</f>
        <v>_ainsley</v>
      </c>
      <c r="F9" s="322" t="str">
        <f>IFERROR(__xludf.DUMMYFUNCTION("""COMPUTED_VALUE"""),"UTC+1")</f>
        <v>UTC+1</v>
      </c>
      <c r="G9" s="323"/>
      <c r="H9" s="327"/>
      <c r="I9" s="328"/>
    </row>
    <row r="10">
      <c r="A10" s="325"/>
      <c r="B10" s="326"/>
      <c r="C10" s="321" t="str">
        <f>IFERROR(__xludf.DUMMYFUNCTION("""COMPUTED_VALUE"""),"The One 100s")</f>
        <v>The One 100s</v>
      </c>
      <c r="D10" s="324" t="str">
        <f>IFERROR(__xludf.DUMMYFUNCTION("""COMPUTED_VALUE"""),"Ugetora")</f>
        <v>Ugetora</v>
      </c>
      <c r="E10" s="321" t="str">
        <f>IFERROR(__xludf.DUMMYFUNCTION("""COMPUTED_VALUE"""),"ugetora")</f>
        <v>ugetora</v>
      </c>
      <c r="F10" s="322" t="str">
        <f>IFERROR(__xludf.DUMMYFUNCTION("""COMPUTED_VALUE"""),"UTC-7")</f>
        <v>UTC-7</v>
      </c>
      <c r="G10" s="323"/>
      <c r="H10" s="327"/>
      <c r="I10" s="328"/>
    </row>
    <row r="11">
      <c r="A11" s="291"/>
      <c r="B11" s="295"/>
      <c r="C11" s="321" t="str">
        <f>IFERROR(__xludf.DUMMYFUNCTION("""COMPUTED_VALUE"""),"Nameless Waifulovers")</f>
        <v>Nameless Waifulovers</v>
      </c>
      <c r="D11" s="324" t="str">
        <f>IFERROR(__xludf.DUMMYFUNCTION("""COMPUTED_VALUE"""),"Feroshi")</f>
        <v>Feroshi</v>
      </c>
      <c r="E11" s="321" t="str">
        <f>IFERROR(__xludf.DUMMYFUNCTION("""COMPUTED_VALUE"""),"Feroshi")</f>
        <v>Feroshi</v>
      </c>
      <c r="F11" s="322" t="str">
        <f>IFERROR(__xludf.DUMMYFUNCTION("""COMPUTED_VALUE"""),"UTC+2 ")</f>
        <v>UTC+2 </v>
      </c>
      <c r="G11" s="323"/>
      <c r="H11" s="329"/>
      <c r="I11" s="291"/>
    </row>
    <row r="12">
      <c r="A12" s="325"/>
      <c r="B12" s="326"/>
      <c r="C12" s="321" t="str">
        <f>IFERROR(__xludf.DUMMYFUNCTION("""COMPUTED_VALUE"""),"noodle team")</f>
        <v>noodle team</v>
      </c>
      <c r="D12" s="324" t="str">
        <f>IFERROR(__xludf.DUMMYFUNCTION("""COMPUTED_VALUE"""),"Lowuki")</f>
        <v>Lowuki</v>
      </c>
      <c r="E12" s="321" t="str">
        <f>IFERROR(__xludf.DUMMYFUNCTION("""COMPUTED_VALUE"""),"luwuki")</f>
        <v>luwuki</v>
      </c>
      <c r="F12" s="322" t="str">
        <f>IFERROR(__xludf.DUMMYFUNCTION("""COMPUTED_VALUE"""),"UTC+3")</f>
        <v>UTC+3</v>
      </c>
      <c r="G12" s="323"/>
      <c r="H12" s="327"/>
      <c r="I12" s="328"/>
    </row>
    <row r="13">
      <c r="A13" s="325"/>
      <c r="B13" s="326"/>
      <c r="C13" s="321" t="str">
        <f>IFERROR(__xludf.DUMMYFUNCTION("""COMPUTED_VALUE"""),"Ahjin")</f>
        <v>Ahjin</v>
      </c>
      <c r="D13" s="324" t="str">
        <f>IFERROR(__xludf.DUMMYFUNCTION("""COMPUTED_VALUE"""),"TzJake")</f>
        <v>TzJake</v>
      </c>
      <c r="E13" s="321" t="str">
        <f>IFERROR(__xludf.DUMMYFUNCTION("""COMPUTED_VALUE"""),"tzjake")</f>
        <v>tzjake</v>
      </c>
      <c r="F13" s="322" t="str">
        <f>IFERROR(__xludf.DUMMYFUNCTION("""COMPUTED_VALUE"""),"UTC-5")</f>
        <v>UTC-5</v>
      </c>
      <c r="G13" s="323"/>
      <c r="H13" s="327"/>
      <c r="I13" s="328"/>
    </row>
    <row r="14">
      <c r="A14" s="291"/>
      <c r="B14" s="295"/>
      <c r="C14" s="321" t="str">
        <f>IFERROR(__xludf.DUMMYFUNCTION("""COMPUTED_VALUE"""),"PES E9L9")</f>
        <v>PES E9L9</v>
      </c>
      <c r="D14" s="324" t="str">
        <f>IFERROR(__xludf.DUMMYFUNCTION("""COMPUTED_VALUE"""),"Kochindera")</f>
        <v>Kochindera</v>
      </c>
      <c r="E14" s="321" t="str">
        <f>IFERROR(__xludf.DUMMYFUNCTION("""COMPUTED_VALUE"""),"kochindera")</f>
        <v>kochindera</v>
      </c>
      <c r="F14" s="322" t="str">
        <f>IFERROR(__xludf.DUMMYFUNCTION("""COMPUTED_VALUE"""),"UTC+8")</f>
        <v>UTC+8</v>
      </c>
      <c r="G14" s="323"/>
      <c r="H14" s="329"/>
      <c r="I14" s="291"/>
    </row>
    <row r="15">
      <c r="A15" s="325"/>
      <c r="B15" s="326"/>
      <c r="C15" s="321" t="str">
        <f>IFERROR(__xludf.DUMMYFUNCTION("""COMPUTED_VALUE"""),"phony :)")</f>
        <v>phony :)</v>
      </c>
      <c r="D15" s="324" t="str">
        <f>IFERROR(__xludf.DUMMYFUNCTION("""COMPUTED_VALUE"""),"AZKi")</f>
        <v>AZKi</v>
      </c>
      <c r="E15" s="321" t="str">
        <f>IFERROR(__xludf.DUMMYFUNCTION("""COMPUTED_VALUE"""),"fukakai")</f>
        <v>fukakai</v>
      </c>
      <c r="F15" s="322" t="str">
        <f>IFERROR(__xludf.DUMMYFUNCTION("""COMPUTED_VALUE"""),"UTC+10")</f>
        <v>UTC+10</v>
      </c>
      <c r="G15" s="323"/>
      <c r="H15" s="327"/>
      <c r="I15" s="328"/>
    </row>
    <row r="16">
      <c r="A16" s="325"/>
      <c r="B16" s="326"/>
      <c r="C16" s="321" t="str">
        <f>IFERROR(__xludf.DUMMYFUNCTION("""COMPUTED_VALUE"""),"BOCCHER")</f>
        <v>BOCCHER</v>
      </c>
      <c r="D16" s="324" t="str">
        <f>IFERROR(__xludf.DUMMYFUNCTION("""COMPUTED_VALUE"""),"SkyprimeLp")</f>
        <v>SkyprimeLp</v>
      </c>
      <c r="E16" s="321" t="str">
        <f>IFERROR(__xludf.DUMMYFUNCTION("""COMPUTED_VALUE"""),"skyprime")</f>
        <v>skyprime</v>
      </c>
      <c r="F16" s="322" t="str">
        <f>IFERROR(__xludf.DUMMYFUNCTION("""COMPUTED_VALUE"""),"UTC+2")</f>
        <v>UTC+2</v>
      </c>
      <c r="G16" s="323"/>
      <c r="H16" s="327"/>
      <c r="I16" s="328"/>
    </row>
    <row r="17">
      <c r="A17" s="291"/>
      <c r="B17" s="295"/>
      <c r="C17" s="321" t="str">
        <f>IFERROR(__xludf.DUMMYFUNCTION("""COMPUTED_VALUE"""),"Mewo My Waifu")</f>
        <v>Mewo My Waifu</v>
      </c>
      <c r="D17" s="324" t="str">
        <f>IFERROR(__xludf.DUMMYFUNCTION("""COMPUTED_VALUE"""),"Mewo_")</f>
        <v>Mewo_</v>
      </c>
      <c r="E17" s="321" t="str">
        <f>IFERROR(__xludf.DUMMYFUNCTION("""COMPUTED_VALUE"""),"cookiehunter_")</f>
        <v>cookiehunter_</v>
      </c>
      <c r="F17" s="322" t="str">
        <f>IFERROR(__xludf.DUMMYFUNCTION("""COMPUTED_VALUE"""),"UTC+2")</f>
        <v>UTC+2</v>
      </c>
      <c r="G17" s="323"/>
      <c r="H17" s="329"/>
      <c r="I17" s="291"/>
    </row>
    <row r="18">
      <c r="A18" s="325"/>
      <c r="B18" s="326"/>
      <c r="C18" s="321" t="str">
        <f>IFERROR(__xludf.DUMMYFUNCTION("""COMPUTED_VALUE"""),"Beancurd")</f>
        <v>Beancurd</v>
      </c>
      <c r="D18" s="324" t="str">
        <f>IFERROR(__xludf.DUMMYFUNCTION("""COMPUTED_VALUE"""),"Tsekyro")</f>
        <v>Tsekyro</v>
      </c>
      <c r="E18" s="321" t="str">
        <f>IFERROR(__xludf.DUMMYFUNCTION("""COMPUTED_VALUE"""),"tsekyro")</f>
        <v>tsekyro</v>
      </c>
      <c r="F18" s="322" t="str">
        <f>IFERROR(__xludf.DUMMYFUNCTION("""COMPUTED_VALUE"""),"UTC+0")</f>
        <v>UTC+0</v>
      </c>
      <c r="G18" s="323"/>
      <c r="H18" s="327"/>
      <c r="I18" s="328"/>
    </row>
    <row r="19">
      <c r="A19" s="325"/>
      <c r="B19" s="326"/>
      <c r="C19" s="321" t="str">
        <f>IFERROR(__xludf.DUMMYFUNCTION("""COMPUTED_VALUE"""),"Koteykaaa team")</f>
        <v>Koteykaaa team</v>
      </c>
      <c r="D19" s="324" t="str">
        <f>IFERROR(__xludf.DUMMYFUNCTION("""COMPUTED_VALUE"""),"Aria Holmes")</f>
        <v>Aria Holmes</v>
      </c>
      <c r="E19" s="321" t="str">
        <f>IFERROR(__xludf.DUMMYFUNCTION("""COMPUTED_VALUE"""),".ariaholmes")</f>
        <v>.ariaholmes</v>
      </c>
      <c r="F19" s="322" t="str">
        <f>IFERROR(__xludf.DUMMYFUNCTION("""COMPUTED_VALUE"""),"UTC+3")</f>
        <v>UTC+3</v>
      </c>
      <c r="G19" s="323"/>
      <c r="H19" s="327"/>
      <c r="I19" s="328"/>
    </row>
    <row r="20">
      <c r="A20" s="291"/>
      <c r="B20" s="295"/>
      <c r="C20" s="321" t="str">
        <f>IFERROR(__xludf.DUMMYFUNCTION("""COMPUTED_VALUE"""),"Retired Aces")</f>
        <v>Retired Aces</v>
      </c>
      <c r="D20" s="324" t="str">
        <f>IFERROR(__xludf.DUMMYFUNCTION("""COMPUTED_VALUE"""),"Todi37")</f>
        <v>Todi37</v>
      </c>
      <c r="E20" s="321" t="str">
        <f>IFERROR(__xludf.DUMMYFUNCTION("""COMPUTED_VALUE"""),"todi37")</f>
        <v>todi37</v>
      </c>
      <c r="F20" s="322" t="str">
        <f>IFERROR(__xludf.DUMMYFUNCTION("""COMPUTED_VALUE"""),"UTC+2")</f>
        <v>UTC+2</v>
      </c>
      <c r="G20" s="323"/>
      <c r="H20" s="329"/>
      <c r="I20" s="291"/>
    </row>
    <row r="21">
      <c r="A21" s="325"/>
      <c r="B21" s="326"/>
      <c r="C21" s="321" t="str">
        <f>IFERROR(__xludf.DUMMYFUNCTION("""COMPUTED_VALUE"""),"3000CombinedHours")</f>
        <v>3000CombinedHours</v>
      </c>
      <c r="D21" s="324" t="str">
        <f>IFERROR(__xludf.DUMMYFUNCTION("""COMPUTED_VALUE"""),"RakiMiku")</f>
        <v>RakiMiku</v>
      </c>
      <c r="E21" s="321" t="str">
        <f>IFERROR(__xludf.DUMMYFUNCTION("""COMPUTED_VALUE"""),"rakimiku")</f>
        <v>rakimiku</v>
      </c>
      <c r="F21" s="322" t="str">
        <f>IFERROR(__xludf.DUMMYFUNCTION("""COMPUTED_VALUE"""),"UTC+5")</f>
        <v>UTC+5</v>
      </c>
      <c r="G21" s="323"/>
      <c r="H21" s="327"/>
      <c r="I21" s="328"/>
    </row>
    <row r="22">
      <c r="A22" s="325"/>
      <c r="B22" s="326"/>
      <c r="C22" s="321" t="str">
        <f>IFERROR(__xludf.DUMMYFUNCTION("""COMPUTED_VALUE"""),"Team name pending xd")</f>
        <v>Team name pending xd</v>
      </c>
      <c r="D22" s="324" t="str">
        <f>IFERROR(__xludf.DUMMYFUNCTION("""COMPUTED_VALUE"""),"BlooMertz")</f>
        <v>BlooMertz</v>
      </c>
      <c r="E22" s="321" t="str">
        <f>IFERROR(__xludf.DUMMYFUNCTION("""COMPUTED_VALUE"""),"bloomertz")</f>
        <v>bloomertz</v>
      </c>
      <c r="F22" s="322" t="str">
        <f>IFERROR(__xludf.DUMMYFUNCTION("""COMPUTED_VALUE"""),"UTC+8")</f>
        <v>UTC+8</v>
      </c>
      <c r="G22" s="323"/>
      <c r="H22" s="327"/>
      <c r="I22" s="328"/>
    </row>
    <row r="23">
      <c r="A23" s="291"/>
      <c r="B23" s="295"/>
      <c r="C23" s="321" t="str">
        <f>IFERROR(__xludf.DUMMYFUNCTION("""COMPUTED_VALUE"""),"middle-schooler wife")</f>
        <v>middle-schooler wife</v>
      </c>
      <c r="D23" s="324" t="str">
        <f>IFERROR(__xludf.DUMMYFUNCTION("""COMPUTED_VALUE"""),"euouae_")</f>
        <v>euouae_</v>
      </c>
      <c r="E23" s="321" t="str">
        <f>IFERROR(__xludf.DUMMYFUNCTION("""COMPUTED_VALUE"""),"marukiiuea | lliluua")</f>
        <v>marukiiuea | lliluua</v>
      </c>
      <c r="F23" s="322" t="str">
        <f>IFERROR(__xludf.DUMMYFUNCTION("""COMPUTED_VALUE"""),"UTC+8")</f>
        <v>UTC+8</v>
      </c>
      <c r="G23" s="323"/>
      <c r="H23" s="329"/>
      <c r="I23" s="291"/>
    </row>
    <row r="24">
      <c r="A24" s="325"/>
      <c r="B24" s="326"/>
      <c r="C24" s="321" t="str">
        <f>IFERROR(__xludf.DUMMYFUNCTION("""COMPUTED_VALUE"""),"Better HD Abusers")</f>
        <v>Better HD Abusers</v>
      </c>
      <c r="D24" s="324" t="str">
        <f>IFERROR(__xludf.DUMMYFUNCTION("""COMPUTED_VALUE"""),"HD Abuser")</f>
        <v>HD Abuser</v>
      </c>
      <c r="E24" s="321" t="str">
        <f>IFERROR(__xludf.DUMMYFUNCTION("""COMPUTED_VALUE"""),"hdabuser")</f>
        <v>hdabuser</v>
      </c>
      <c r="F24" s="322" t="str">
        <f>IFERROR(__xludf.DUMMYFUNCTION("""COMPUTED_VALUE"""),"UTC-6")</f>
        <v>UTC-6</v>
      </c>
      <c r="G24" s="323"/>
      <c r="H24" s="327"/>
      <c r="I24" s="328"/>
    </row>
    <row r="25">
      <c r="A25" s="325"/>
      <c r="B25" s="326"/>
      <c r="C25" s="321" t="str">
        <f>IFERROR(__xludf.DUMMYFUNCTION("""COMPUTED_VALUE"""),"DSE victims")</f>
        <v>DSE victims</v>
      </c>
      <c r="D25" s="324" t="str">
        <f>IFERROR(__xludf.DUMMYFUNCTION("""COMPUTED_VALUE"""),"Himman")</f>
        <v>Himman</v>
      </c>
      <c r="E25" s="321" t="str">
        <f>IFERROR(__xludf.DUMMYFUNCTION("""COMPUTED_VALUE"""),"Himman#6494")</f>
        <v>Himman#6494</v>
      </c>
      <c r="F25" s="322" t="str">
        <f>IFERROR(__xludf.DUMMYFUNCTION("""COMPUTED_VALUE"""),"UTC+8")</f>
        <v>UTC+8</v>
      </c>
      <c r="G25" s="323"/>
      <c r="H25" s="327"/>
      <c r="I25" s="328"/>
    </row>
    <row r="26">
      <c r="A26" s="291"/>
      <c r="B26" s="295"/>
      <c r="C26" s="321" t="str">
        <f>IFERROR(__xludf.DUMMYFUNCTION("""COMPUTED_VALUE"""),"Flexgang")</f>
        <v>Flexgang</v>
      </c>
      <c r="D26" s="324" t="str">
        <f>IFERROR(__xludf.DUMMYFUNCTION("""COMPUTED_VALUE"""),"lipefree")</f>
        <v>lipefree</v>
      </c>
      <c r="E26" s="321" t="str">
        <f>IFERROR(__xludf.DUMMYFUNCTION("""COMPUTED_VALUE"""),"lipefree")</f>
        <v>lipefree</v>
      </c>
      <c r="F26" s="322" t="str">
        <f>IFERROR(__xludf.DUMMYFUNCTION("""COMPUTED_VALUE"""),"UTC+1")</f>
        <v>UTC+1</v>
      </c>
      <c r="G26" s="323"/>
      <c r="H26" s="329"/>
      <c r="I26" s="291"/>
    </row>
    <row r="27">
      <c r="A27" s="325"/>
      <c r="B27" s="326"/>
      <c r="C27" s="321" t="str">
        <f>IFERROR(__xludf.DUMMYFUNCTION("""COMPUTED_VALUE"""),"blpka")</f>
        <v>blpka</v>
      </c>
      <c r="D27" s="324" t="str">
        <f>IFERROR(__xludf.DUMMYFUNCTION("""COMPUTED_VALUE"""),"- Enkidu -")</f>
        <v>- Enkidu -</v>
      </c>
      <c r="E27" s="321" t="str">
        <f>IFERROR(__xludf.DUMMYFUNCTION("""COMPUTED_VALUE"""),"ihatediscor6")</f>
        <v>ihatediscor6</v>
      </c>
      <c r="F27" s="322" t="str">
        <f>IFERROR(__xludf.DUMMYFUNCTION("""COMPUTED_VALUE"""),"UTC+5")</f>
        <v>UTC+5</v>
      </c>
      <c r="G27" s="323"/>
      <c r="H27" s="327"/>
      <c r="I27" s="328"/>
    </row>
    <row r="28">
      <c r="A28" s="325"/>
      <c r="B28" s="326"/>
      <c r="C28" s="321" t="str">
        <f>IFERROR(__xludf.DUMMYFUNCTION("""COMPUTED_VALUE"""),"Side Characters")</f>
        <v>Side Characters</v>
      </c>
      <c r="D28" s="324" t="str">
        <f>IFERROR(__xludf.DUMMYFUNCTION("""COMPUTED_VALUE"""),"Heaki")</f>
        <v>Heaki</v>
      </c>
      <c r="E28" s="321" t="str">
        <f>IFERROR(__xludf.DUMMYFUNCTION("""COMPUTED_VALUE"""),"ムーサ です#2401")</f>
        <v>ムーサ です#2401</v>
      </c>
      <c r="F28" s="322" t="str">
        <f>IFERROR(__xludf.DUMMYFUNCTION("""COMPUTED_VALUE"""),"UTC+1")</f>
        <v>UTC+1</v>
      </c>
      <c r="G28" s="323"/>
      <c r="H28" s="327"/>
      <c r="I28" s="328"/>
    </row>
    <row r="29">
      <c r="A29" s="291"/>
      <c r="B29" s="295"/>
      <c r="C29" s="321" t="str">
        <f>IFERROR(__xludf.DUMMYFUNCTION("""COMPUTED_VALUE"""),"Homossexual Students")</f>
        <v>Homossexual Students</v>
      </c>
      <c r="D29" s="324" t="str">
        <f>IFERROR(__xludf.DUMMYFUNCTION("""COMPUTED_VALUE"""),"DUM4L77")</f>
        <v>DUM4L77</v>
      </c>
      <c r="E29" s="321" t="str">
        <f>IFERROR(__xludf.DUMMYFUNCTION("""COMPUTED_VALUE"""),"dum4l")</f>
        <v>dum4l</v>
      </c>
      <c r="F29" s="322" t="str">
        <f>IFERROR(__xludf.DUMMYFUNCTION("""COMPUTED_VALUE"""),"UTC-3")</f>
        <v>UTC-3</v>
      </c>
      <c r="G29" s="323"/>
      <c r="H29" s="329"/>
      <c r="I29" s="291"/>
    </row>
    <row r="30">
      <c r="A30" s="325"/>
      <c r="B30" s="326"/>
      <c r="C30" s="321" t="str">
        <f>IFERROR(__xludf.DUMMYFUNCTION("""COMPUTED_VALUE"""),"Chocomaid")</f>
        <v>Chocomaid</v>
      </c>
      <c r="D30" s="324" t="str">
        <f>IFERROR(__xludf.DUMMYFUNCTION("""COMPUTED_VALUE"""),"Frui Ludo")</f>
        <v>Frui Ludo</v>
      </c>
      <c r="E30" s="321" t="str">
        <f>IFERROR(__xludf.DUMMYFUNCTION("""COMPUTED_VALUE"""),"Youiiii")</f>
        <v>Youiiii</v>
      </c>
      <c r="F30" s="322" t="str">
        <f>IFERROR(__xludf.DUMMYFUNCTION("""COMPUTED_VALUE"""),"UTC+8")</f>
        <v>UTC+8</v>
      </c>
      <c r="G30" s="323"/>
      <c r="H30" s="327"/>
      <c r="I30" s="328"/>
    </row>
    <row r="31">
      <c r="A31" s="325"/>
      <c r="B31" s="326"/>
      <c r="C31" s="321" t="str">
        <f>IFERROR(__xludf.DUMMYFUNCTION("""COMPUTED_VALUE"""),"Kittens")</f>
        <v>Kittens</v>
      </c>
      <c r="D31" s="324" t="str">
        <f>IFERROR(__xludf.DUMMYFUNCTION("""COMPUTED_VALUE"""),"Rurup")</f>
        <v>Rurup</v>
      </c>
      <c r="E31" s="321" t="str">
        <f>IFERROR(__xludf.DUMMYFUNCTION("""COMPUTED_VALUE"""),"gentlemads")</f>
        <v>gentlemads</v>
      </c>
      <c r="F31" s="322" t="str">
        <f>IFERROR(__xludf.DUMMYFUNCTION("""COMPUTED_VALUE"""),"UTC+2")</f>
        <v>UTC+2</v>
      </c>
      <c r="G31" s="323"/>
      <c r="H31" s="327"/>
      <c r="I31" s="328"/>
    </row>
    <row r="32">
      <c r="A32" s="291"/>
      <c r="B32" s="295"/>
      <c r="C32" s="321" t="str">
        <f>IFERROR(__xludf.DUMMYFUNCTION("""COMPUTED_VALUE"""),"PLDT ANO NAAA")</f>
        <v>PLDT ANO NAAA</v>
      </c>
      <c r="D32" s="324" t="str">
        <f>IFERROR(__xludf.DUMMYFUNCTION("""COMPUTED_VALUE"""),"Shion Yorigami")</f>
        <v>Shion Yorigami</v>
      </c>
      <c r="E32" s="321" t="str">
        <f>IFERROR(__xludf.DUMMYFUNCTION("""COMPUTED_VALUE"""),"genocidedheus")</f>
        <v>genocidedheus</v>
      </c>
      <c r="F32" s="322" t="str">
        <f>IFERROR(__xludf.DUMMYFUNCTION("""COMPUTED_VALUE"""),"UTC+8")</f>
        <v>UTC+8</v>
      </c>
      <c r="G32" s="323"/>
      <c r="H32" s="329"/>
      <c r="I32" s="291"/>
    </row>
    <row r="33">
      <c r="A33" s="325"/>
      <c r="B33" s="326"/>
      <c r="C33" s="321" t="str">
        <f>IFERROR(__xludf.DUMMYFUNCTION("""COMPUTED_VALUE"""),"lowrank is my love")</f>
        <v>lowrank is my love</v>
      </c>
      <c r="D33" s="324" t="str">
        <f>IFERROR(__xludf.DUMMYFUNCTION("""COMPUTED_VALUE"""),"Rev1vall")</f>
        <v>Rev1vall</v>
      </c>
      <c r="E33" s="321" t="str">
        <f>IFERROR(__xludf.DUMMYFUNCTION("""COMPUTED_VALUE"""),"rev1vall")</f>
        <v>rev1vall</v>
      </c>
      <c r="F33" s="322" t="str">
        <f>IFERROR(__xludf.DUMMYFUNCTION("""COMPUTED_VALUE"""),"UTC +3")</f>
        <v>UTC +3</v>
      </c>
      <c r="G33" s="323"/>
      <c r="H33" s="327"/>
      <c r="I33" s="328"/>
    </row>
    <row r="34">
      <c r="A34" s="325"/>
      <c r="B34" s="326"/>
      <c r="C34" s="321" t="str">
        <f>IFERROR(__xludf.DUMMYFUNCTION("""COMPUTED_VALUE"""),"китирики")</f>
        <v>китирики</v>
      </c>
      <c r="D34" s="324" t="str">
        <f>IFERROR(__xludf.DUMMYFUNCTION("""COMPUTED_VALUE"""),"Kl4dys")</f>
        <v>Kl4dys</v>
      </c>
      <c r="E34" s="321" t="str">
        <f>IFERROR(__xludf.DUMMYFUNCTION("""COMPUTED_VALUE"""),"kl4dys")</f>
        <v>kl4dys</v>
      </c>
      <c r="F34" s="322" t="str">
        <f>IFERROR(__xludf.DUMMYFUNCTION("""COMPUTED_VALUE"""),"UTC +4")</f>
        <v>UTC +4</v>
      </c>
      <c r="G34" s="323"/>
      <c r="H34" s="327"/>
      <c r="I34" s="328"/>
    </row>
    <row r="35">
      <c r="A35" s="291"/>
      <c r="B35" s="295"/>
      <c r="C35" s="321" t="str">
        <f>IFERROR(__xludf.DUMMYFUNCTION("""COMPUTED_VALUE"""),"VN+1")</f>
        <v>VN+1</v>
      </c>
      <c r="D35" s="324" t="str">
        <f>IFERROR(__xludf.DUMMYFUNCTION("""COMPUTED_VALUE"""),"fnugus")</f>
        <v>fnugus</v>
      </c>
      <c r="E35" s="321" t="str">
        <f>IFERROR(__xludf.DUMMYFUNCTION("""COMPUTED_VALUE"""),"fnugus")</f>
        <v>fnugus</v>
      </c>
      <c r="F35" s="322" t="str">
        <f>IFERROR(__xludf.DUMMYFUNCTION("""COMPUTED_VALUE"""),"UTC+7")</f>
        <v>UTC+7</v>
      </c>
      <c r="G35" s="323"/>
      <c r="H35" s="329"/>
      <c r="I35" s="291"/>
    </row>
    <row r="36">
      <c r="A36" s="325"/>
      <c r="B36" s="326"/>
      <c r="C36" s="321" t="str">
        <f>IFERROR(__xludf.DUMMYFUNCTION("""COMPUTED_VALUE"""),"hmmmm")</f>
        <v>hmmmm</v>
      </c>
      <c r="D36" s="324" t="str">
        <f>IFERROR(__xludf.DUMMYFUNCTION("""COMPUTED_VALUE"""),"VMPR13")</f>
        <v>VMPR13</v>
      </c>
      <c r="E36" s="321" t="str">
        <f>IFERROR(__xludf.DUMMYFUNCTION("""COMPUTED_VALUE"""),"hokutei")</f>
        <v>hokutei</v>
      </c>
      <c r="F36" s="322" t="str">
        <f>IFERROR(__xludf.DUMMYFUNCTION("""COMPUTED_VALUE"""),"UTC+3")</f>
        <v>UTC+3</v>
      </c>
      <c r="G36" s="323"/>
      <c r="H36" s="327"/>
      <c r="I36" s="328"/>
    </row>
    <row r="37">
      <c r="A37" s="325"/>
      <c r="B37" s="326"/>
      <c r="C37" s="321" t="str">
        <f>IFERROR(__xludf.DUMMYFUNCTION("""COMPUTED_VALUE"""),"match in 15")</f>
        <v>match in 15</v>
      </c>
      <c r="D37" s="324" t="str">
        <f>IFERROR(__xludf.DUMMYFUNCTION("""COMPUTED_VALUE"""),"X-ill")</f>
        <v>X-ill</v>
      </c>
      <c r="E37" s="321" t="str">
        <f>IFERROR(__xludf.DUMMYFUNCTION("""COMPUTED_VALUE"""),"x.ill")</f>
        <v>x.ill</v>
      </c>
      <c r="F37" s="322" t="str">
        <f>IFERROR(__xludf.DUMMYFUNCTION("""COMPUTED_VALUE"""),"UTC+8")</f>
        <v>UTC+8</v>
      </c>
      <c r="G37" s="323"/>
      <c r="H37" s="327"/>
      <c r="I37" s="328"/>
    </row>
    <row r="38">
      <c r="A38" s="291"/>
      <c r="B38" s="295"/>
      <c r="C38" s="321" t="str">
        <f>IFERROR(__xludf.DUMMYFUNCTION("""COMPUTED_VALUE"""),"animefoot69")</f>
        <v>animefoot69</v>
      </c>
      <c r="D38" s="324" t="str">
        <f>IFERROR(__xludf.DUMMYFUNCTION("""COMPUTED_VALUE"""),"cyclone290")</f>
        <v>cyclone290</v>
      </c>
      <c r="E38" s="321" t="str">
        <f>IFERROR(__xludf.DUMMYFUNCTION("""COMPUTED_VALUE"""),"cycclone")</f>
        <v>cycclone</v>
      </c>
      <c r="F38" s="322" t="str">
        <f>IFERROR(__xludf.DUMMYFUNCTION("""COMPUTED_VALUE"""),"UTC-3")</f>
        <v>UTC-3</v>
      </c>
      <c r="G38" s="323"/>
      <c r="H38" s="329"/>
      <c r="I38" s="291"/>
    </row>
    <row r="39">
      <c r="A39" s="325"/>
      <c r="B39" s="326"/>
      <c r="C39" s="321" t="str">
        <f>IFERROR(__xludf.DUMMYFUNCTION("""COMPUTED_VALUE"""),"CocoaGoats")</f>
        <v>CocoaGoats</v>
      </c>
      <c r="D39" s="324" t="str">
        <f>IFERROR(__xludf.DUMMYFUNCTION("""COMPUTED_VALUE"""),"Tohkura")</f>
        <v>Tohkura</v>
      </c>
      <c r="E39" s="321" t="str">
        <f>IFERROR(__xludf.DUMMYFUNCTION("""COMPUTED_VALUE"""),"tohkura")</f>
        <v>tohkura</v>
      </c>
      <c r="F39" s="322" t="str">
        <f>IFERROR(__xludf.DUMMYFUNCTION("""COMPUTED_VALUE"""),"UTC+8")</f>
        <v>UTC+8</v>
      </c>
      <c r="G39" s="323"/>
      <c r="H39" s="327"/>
      <c r="I39" s="328"/>
    </row>
    <row r="40">
      <c r="A40" s="325"/>
      <c r="B40" s="326"/>
      <c r="C40" s="321" t="str">
        <f>IFERROR(__xludf.DUMMYFUNCTION("""COMPUTED_VALUE"""),"female ass wrestling")</f>
        <v>female ass wrestling</v>
      </c>
      <c r="D40" s="324" t="str">
        <f>IFERROR(__xludf.DUMMYFUNCTION("""COMPUTED_VALUE"""),"aespect")</f>
        <v>aespect</v>
      </c>
      <c r="E40" s="321" t="str">
        <f>IFERROR(__xludf.DUMMYFUNCTION("""COMPUTED_VALUE"""),"chuuthepenguin")</f>
        <v>chuuthepenguin</v>
      </c>
      <c r="F40" s="322" t="str">
        <f>IFERROR(__xludf.DUMMYFUNCTION("""COMPUTED_VALUE"""),"UTC+2")</f>
        <v>UTC+2</v>
      </c>
      <c r="G40" s="323"/>
      <c r="H40" s="327"/>
      <c r="I40" s="328"/>
    </row>
    <row r="41">
      <c r="A41" s="291"/>
      <c r="B41" s="295"/>
      <c r="C41" s="321" t="str">
        <f>IFERROR(__xludf.DUMMYFUNCTION("""COMPUTED_VALUE"""),"The Mat Munchers")</f>
        <v>The Mat Munchers</v>
      </c>
      <c r="D41" s="324" t="str">
        <f>IFERROR(__xludf.DUMMYFUNCTION("""COMPUTED_VALUE"""),"foxy1919191919")</f>
        <v>foxy1919191919</v>
      </c>
      <c r="E41" s="321" t="str">
        <f>IFERROR(__xludf.DUMMYFUNCTION("""COMPUTED_VALUE"""),"foxy1919191919")</f>
        <v>foxy1919191919</v>
      </c>
      <c r="F41" s="322" t="str">
        <f>IFERROR(__xludf.DUMMYFUNCTION("""COMPUTED_VALUE"""),"UTC+1")</f>
        <v>UTC+1</v>
      </c>
      <c r="G41" s="323"/>
      <c r="H41" s="329"/>
      <c r="I41" s="291"/>
    </row>
    <row r="42">
      <c r="A42" s="325"/>
      <c r="B42" s="326"/>
      <c r="C42" s="321" t="str">
        <f>IFERROR(__xludf.DUMMYFUNCTION("""COMPUTED_VALUE"""),"Faz o L")</f>
        <v>Faz o L</v>
      </c>
      <c r="D42" s="324" t="str">
        <f>IFERROR(__xludf.DUMMYFUNCTION("""COMPUTED_VALUE"""),"jujubinhas2")</f>
        <v>jujubinhas2</v>
      </c>
      <c r="E42" s="321" t="str">
        <f>IFERROR(__xludf.DUMMYFUNCTION("""COMPUTED_VALUE"""),"lululus2")</f>
        <v>lululus2</v>
      </c>
      <c r="F42" s="322" t="str">
        <f>IFERROR(__xludf.DUMMYFUNCTION("""COMPUTED_VALUE"""),"UTC -3")</f>
        <v>UTC -3</v>
      </c>
      <c r="G42" s="323"/>
      <c r="H42" s="327"/>
      <c r="I42" s="328"/>
    </row>
    <row r="43">
      <c r="A43" s="325"/>
      <c r="B43" s="326"/>
      <c r="C43" s="321" t="str">
        <f>IFERROR(__xludf.DUMMYFUNCTION("""COMPUTED_VALUE"""),"The Michis Gang")</f>
        <v>The Michis Gang</v>
      </c>
      <c r="D43" s="324" t="str">
        <f>IFERROR(__xludf.DUMMYFUNCTION("""COMPUTED_VALUE"""),"[MG] Alitzer")</f>
        <v>[MG] Alitzer</v>
      </c>
      <c r="E43" s="321" t="str">
        <f>IFERROR(__xludf.DUMMYFUNCTION("""COMPUTED_VALUE"""),"𝘼𝙡𝙞𝙩𝙯𝙚𝙧#2347")</f>
        <v>𝘼𝙡𝙞𝙩𝙯𝙚𝙧#2347</v>
      </c>
      <c r="F43" s="322" t="str">
        <f>IFERROR(__xludf.DUMMYFUNCTION("""COMPUTED_VALUE"""),"UTC-4")</f>
        <v>UTC-4</v>
      </c>
      <c r="G43" s="323"/>
      <c r="H43" s="327"/>
      <c r="I43" s="328"/>
    </row>
    <row r="44">
      <c r="A44" s="291"/>
      <c r="B44" s="295"/>
      <c r="C44" s="321" t="str">
        <f>IFERROR(__xludf.DUMMYFUNCTION("""COMPUTED_VALUE"""),"cake")</f>
        <v>cake</v>
      </c>
      <c r="D44" s="324" t="str">
        <f>IFERROR(__xludf.DUMMYFUNCTION("""COMPUTED_VALUE"""),"No1ruf")</f>
        <v>No1ruf</v>
      </c>
      <c r="E44" s="321" t="str">
        <f>IFERROR(__xludf.DUMMYFUNCTION("""COMPUTED_VALUE"""),"no1ruf")</f>
        <v>no1ruf</v>
      </c>
      <c r="F44" s="322" t="str">
        <f>IFERROR(__xludf.DUMMYFUNCTION("""COMPUTED_VALUE"""),"UTC+3")</f>
        <v>UTC+3</v>
      </c>
      <c r="G44" s="323"/>
      <c r="H44" s="329"/>
      <c r="I44" s="291"/>
    </row>
    <row r="45">
      <c r="A45" s="325"/>
      <c r="B45" s="326"/>
      <c r="C45" s="321" t="str">
        <f>IFERROR(__xludf.DUMMYFUNCTION("""COMPUTED_VALUE"""),"Dino Nuggies ")</f>
        <v>Dino Nuggies </v>
      </c>
      <c r="D45" s="324" t="str">
        <f>IFERROR(__xludf.DUMMYFUNCTION("""COMPUTED_VALUE"""),"Therizard")</f>
        <v>Therizard</v>
      </c>
      <c r="E45" s="321" t="str">
        <f>IFERROR(__xludf.DUMMYFUNCTION("""COMPUTED_VALUE"""),"therishrew")</f>
        <v>therishrew</v>
      </c>
      <c r="F45" s="322" t="str">
        <f>IFERROR(__xludf.DUMMYFUNCTION("""COMPUTED_VALUE"""),"UTC-4")</f>
        <v>UTC-4</v>
      </c>
      <c r="G45" s="323"/>
      <c r="H45" s="327"/>
      <c r="I45" s="328"/>
    </row>
    <row r="46">
      <c r="A46" s="325"/>
      <c r="B46" s="326"/>
      <c r="C46" s="321" t="str">
        <f>IFERROR(__xludf.DUMMYFUNCTION("""COMPUTED_VALUE"""),"jedrew")</f>
        <v>jedrew</v>
      </c>
      <c r="D46" s="324" t="str">
        <f>IFERROR(__xludf.DUMMYFUNCTION("""COMPUTED_VALUE"""),"jeffreybot")</f>
        <v>jeffreybot</v>
      </c>
      <c r="E46" s="321" t="str">
        <f>IFERROR(__xludf.DUMMYFUNCTION("""COMPUTED_VALUE"""),"jefffrey1")</f>
        <v>jefffrey1</v>
      </c>
      <c r="F46" s="322" t="str">
        <f>IFERROR(__xludf.DUMMYFUNCTION("""COMPUTED_VALUE"""),"UTC-5")</f>
        <v>UTC-5</v>
      </c>
      <c r="G46" s="323"/>
      <c r="H46" s="327"/>
      <c r="I46" s="328"/>
    </row>
    <row r="47">
      <c r="A47" s="291"/>
      <c r="B47" s="295"/>
      <c r="C47" s="321" t="str">
        <f>IFERROR(__xludf.DUMMYFUNCTION("""COMPUTED_VALUE"""),"small wiener club")</f>
        <v>small wiener club</v>
      </c>
      <c r="D47" s="324" t="str">
        <f>IFERROR(__xludf.DUMMYFUNCTION("""COMPUTED_VALUE"""),"SiriusOnly")</f>
        <v>SiriusOnly</v>
      </c>
      <c r="E47" s="321" t="str">
        <f>IFERROR(__xludf.DUMMYFUNCTION("""COMPUTED_VALUE"""),"siriusonly")</f>
        <v>siriusonly</v>
      </c>
      <c r="F47" s="322" t="str">
        <f>IFERROR(__xludf.DUMMYFUNCTION("""COMPUTED_VALUE"""),"UTC+2")</f>
        <v>UTC+2</v>
      </c>
      <c r="G47" s="323"/>
      <c r="H47" s="329"/>
      <c r="I47" s="291"/>
    </row>
    <row r="48">
      <c r="A48" s="325"/>
      <c r="B48" s="326"/>
      <c r="C48" s="321" t="str">
        <f>IFERROR(__xludf.DUMMYFUNCTION("""COMPUTED_VALUE"""),"BallzDeep69")</f>
        <v>BallzDeep69</v>
      </c>
      <c r="D48" s="324" t="str">
        <f>IFERROR(__xludf.DUMMYFUNCTION("""COMPUTED_VALUE"""),"_BlackStar")</f>
        <v>_BlackStar</v>
      </c>
      <c r="E48" s="321" t="str">
        <f>IFERROR(__xludf.DUMMYFUNCTION("""COMPUTED_VALUE"""),".otakumadness")</f>
        <v>.otakumadness</v>
      </c>
      <c r="F48" s="322" t="str">
        <f>IFERROR(__xludf.DUMMYFUNCTION("""COMPUTED_VALUE"""),"UTC-5")</f>
        <v>UTC-5</v>
      </c>
      <c r="G48" s="323"/>
      <c r="H48" s="327"/>
      <c r="I48" s="328"/>
    </row>
    <row r="49">
      <c r="A49" s="325"/>
      <c r="B49" s="326"/>
      <c r="C49" s="321" t="str">
        <f>IFERROR(__xludf.DUMMYFUNCTION("""COMPUTED_VALUE"""),"BLack Agents")</f>
        <v>BLack Agents</v>
      </c>
      <c r="D49" s="324" t="str">
        <f>IFERROR(__xludf.DUMMYFUNCTION("""COMPUTED_VALUE"""),"Article iwnl")</f>
        <v>Article iwnl</v>
      </c>
      <c r="E49" s="321" t="str">
        <f>IFERROR(__xludf.DUMMYFUNCTION("""COMPUTED_VALUE"""),"daruly.")</f>
        <v>daruly.</v>
      </c>
      <c r="F49" s="322" t="str">
        <f>IFERROR(__xludf.DUMMYFUNCTION("""COMPUTED_VALUE"""),"UTC+7")</f>
        <v>UTC+7</v>
      </c>
      <c r="G49" s="323"/>
      <c r="H49" s="327"/>
      <c r="I49" s="328"/>
    </row>
    <row r="50">
      <c r="A50" s="325"/>
      <c r="B50" s="326"/>
      <c r="C50" s="321" t="str">
        <f>IFERROR(__xludf.DUMMYFUNCTION("""COMPUTED_VALUE"""),"LongTreep")</f>
        <v>LongTreep</v>
      </c>
      <c r="D50" s="324" t="str">
        <f>IFERROR(__xludf.DUMMYFUNCTION("""COMPUTED_VALUE"""),"XXVII")</f>
        <v>XXVII</v>
      </c>
      <c r="E50" s="321" t="str">
        <f>IFERROR(__xludf.DUMMYFUNCTION("""COMPUTED_VALUE"""),"mozoe")</f>
        <v>mozoe</v>
      </c>
      <c r="F50" s="322" t="str">
        <f>IFERROR(__xludf.DUMMYFUNCTION("""COMPUTED_VALUE"""),"utc+5")</f>
        <v>utc+5</v>
      </c>
      <c r="G50" s="323"/>
      <c r="H50" s="327"/>
      <c r="I50" s="328"/>
    </row>
    <row r="51">
      <c r="A51" s="291"/>
      <c r="B51" s="295"/>
      <c r="C51" s="321" t="str">
        <f>IFERROR(__xludf.DUMMYFUNCTION("""COMPUTED_VALUE"""),"The sleepers")</f>
        <v>The sleepers</v>
      </c>
      <c r="D51" s="324" t="str">
        <f>IFERROR(__xludf.DUMMYFUNCTION("""COMPUTED_VALUE"""),"Alica")</f>
        <v>Alica</v>
      </c>
      <c r="E51" s="321" t="str">
        <f>IFERROR(__xludf.DUMMYFUNCTION("""COMPUTED_VALUE"""),"Alica")</f>
        <v>Alica</v>
      </c>
      <c r="F51" s="322" t="str">
        <f>IFERROR(__xludf.DUMMYFUNCTION("""COMPUTED_VALUE"""),"UTC+2")</f>
        <v>UTC+2</v>
      </c>
      <c r="G51" s="323"/>
      <c r="H51" s="329"/>
      <c r="I51" s="291"/>
    </row>
    <row r="52">
      <c r="A52" s="291"/>
      <c r="B52" s="295"/>
      <c r="C52" s="321" t="str">
        <f>IFERROR(__xludf.DUMMYFUNCTION("""COMPUTED_VALUE"""),"Cottonpickers")</f>
        <v>Cottonpickers</v>
      </c>
      <c r="D52" s="330" t="str">
        <f>IFERROR(__xludf.DUMMYFUNCTION("""COMPUTED_VALUE"""),"Gilky")</f>
        <v>Gilky</v>
      </c>
      <c r="E52" s="321" t="str">
        <f>IFERROR(__xludf.DUMMYFUNCTION("""COMPUTED_VALUE"""),"gilkycool")</f>
        <v>gilkycool</v>
      </c>
      <c r="F52" s="321" t="str">
        <f>IFERROR(__xludf.DUMMYFUNCTION("""COMPUTED_VALUE"""),"UTC-1")</f>
        <v>UTC-1</v>
      </c>
      <c r="G52" s="321"/>
      <c r="H52" s="329"/>
      <c r="I52" s="291"/>
    </row>
    <row r="53">
      <c r="A53" s="291"/>
      <c r="B53" s="295"/>
      <c r="C53" s="321" t="str">
        <f>IFERROR(__xludf.DUMMYFUNCTION("""COMPUTED_VALUE"""),"equipe câo")</f>
        <v>equipe câo</v>
      </c>
      <c r="D53" s="330" t="str">
        <f>IFERROR(__xludf.DUMMYFUNCTION("""COMPUTED_VALUE"""),"KillerLink")</f>
        <v>KillerLink</v>
      </c>
      <c r="E53" s="321" t="str">
        <f>IFERROR(__xludf.DUMMYFUNCTION("""COMPUTED_VALUE"""),"killerlinkjr")</f>
        <v>killerlinkjr</v>
      </c>
      <c r="F53" s="321" t="str">
        <f>IFERROR(__xludf.DUMMYFUNCTION("""COMPUTED_VALUE"""),"UTC-3")</f>
        <v>UTC-3</v>
      </c>
      <c r="G53" s="321"/>
      <c r="H53" s="329"/>
      <c r="I53" s="291"/>
    </row>
    <row r="54">
      <c r="A54" s="291"/>
      <c r="B54" s="295"/>
      <c r="C54" s="321" t="str">
        <f>IFERROR(__xludf.DUMMYFUNCTION("""COMPUTED_VALUE"""),"placeholder teamname")</f>
        <v>placeholder teamname</v>
      </c>
      <c r="D54" s="330" t="str">
        <f>IFERROR(__xludf.DUMMYFUNCTION("""COMPUTED_VALUE"""),"Qkiryu")</f>
        <v>Qkiryu</v>
      </c>
      <c r="E54" s="321" t="str">
        <f>IFERROR(__xludf.DUMMYFUNCTION("""COMPUTED_VALUE"""),"twiglikesfishandicecream")</f>
        <v>twiglikesfishandicecream</v>
      </c>
      <c r="F54" s="321" t="str">
        <f>IFERROR(__xludf.DUMMYFUNCTION("""COMPUTED_VALUE"""),"UTC+8")</f>
        <v>UTC+8</v>
      </c>
      <c r="G54" s="321"/>
      <c r="H54" s="329"/>
      <c r="I54" s="291"/>
    </row>
    <row r="55">
      <c r="A55" s="291"/>
      <c r="B55" s="295"/>
      <c r="C55" s="321" t="str">
        <f>IFERROR(__xludf.DUMMYFUNCTION("""COMPUTED_VALUE"""),":MIPINGA:")</f>
        <v>:MIPINGA:</v>
      </c>
      <c r="D55" s="330" t="str">
        <f>IFERROR(__xludf.DUMMYFUNCTION("""COMPUTED_VALUE"""),"RAAPslimshady")</f>
        <v>RAAPslimshady</v>
      </c>
      <c r="E55" s="321" t="str">
        <f>IFERROR(__xludf.DUMMYFUNCTION("""COMPUTED_VALUE"""),"raapslimshady")</f>
        <v>raapslimshady</v>
      </c>
      <c r="F55" s="321" t="str">
        <f>IFERROR(__xludf.DUMMYFUNCTION("""COMPUTED_VALUE"""),"UTC -5")</f>
        <v>UTC -5</v>
      </c>
      <c r="G55" s="321"/>
      <c r="H55" s="329"/>
      <c r="I55" s="291"/>
    </row>
    <row r="56">
      <c r="A56" s="291"/>
      <c r="B56" s="295"/>
      <c r="C56" s="321" t="str">
        <f>IFERROR(__xludf.DUMMYFUNCTION("""COMPUTED_VALUE"""),"Tom and Jerry")</f>
        <v>Tom and Jerry</v>
      </c>
      <c r="D56" s="330" t="str">
        <f>IFERROR(__xludf.DUMMYFUNCTION("""COMPUTED_VALUE"""),"mblsh")</f>
        <v>mblsh</v>
      </c>
      <c r="E56" s="321" t="str">
        <f>IFERROR(__xludf.DUMMYFUNCTION("""COMPUTED_VALUE"""),"мышь#0718")</f>
        <v>мышь#0718</v>
      </c>
      <c r="F56" s="321" t="str">
        <f>IFERROR(__xludf.DUMMYFUNCTION("""COMPUTED_VALUE"""),"UTC+7")</f>
        <v>UTC+7</v>
      </c>
      <c r="G56" s="321"/>
      <c r="H56" s="329"/>
      <c r="I56" s="291"/>
    </row>
    <row r="57">
      <c r="A57" s="291"/>
      <c r="B57" s="295"/>
      <c r="C57" s="321" t="str">
        <f>IFERROR(__xludf.DUMMYFUNCTION("""COMPUTED_VALUE"""),"Our team left us")</f>
        <v>Our team left us</v>
      </c>
      <c r="D57" s="330" t="str">
        <f>IFERROR(__xludf.DUMMYFUNCTION("""COMPUTED_VALUE"""),"SealDeGawd")</f>
        <v>SealDeGawd</v>
      </c>
      <c r="E57" s="321" t="str">
        <f>IFERROR(__xludf.DUMMYFUNCTION("""COMPUTED_VALUE"""),"_yuyuyuyu")</f>
        <v>_yuyuyuyu</v>
      </c>
      <c r="F57" s="321" t="str">
        <f>IFERROR(__xludf.DUMMYFUNCTION("""COMPUTED_VALUE"""),"UTC-6")</f>
        <v>UTC-6</v>
      </c>
      <c r="G57" s="321"/>
      <c r="H57" s="329"/>
      <c r="I57" s="291"/>
    </row>
    <row r="58">
      <c r="A58" s="291"/>
      <c r="B58" s="295"/>
      <c r="C58" s="321" t="str">
        <f>IFERROR(__xludf.DUMMYFUNCTION("""COMPUTED_VALUE"""),"The 3-star Threats")</f>
        <v>The 3-star Threats</v>
      </c>
      <c r="D58" s="330" t="str">
        <f>IFERROR(__xludf.DUMMYFUNCTION("""COMPUTED_VALUE"""),"bonnflow")</f>
        <v>bonnflow</v>
      </c>
      <c r="E58" s="321" t="str">
        <f>IFERROR(__xludf.DUMMYFUNCTION("""COMPUTED_VALUE"""),"bonnflow")</f>
        <v>bonnflow</v>
      </c>
      <c r="F58" s="321" t="str">
        <f>IFERROR(__xludf.DUMMYFUNCTION("""COMPUTED_VALUE"""),"UTC-4")</f>
        <v>UTC-4</v>
      </c>
      <c r="G58" s="321"/>
      <c r="H58" s="329"/>
      <c r="I58" s="291"/>
    </row>
    <row r="59">
      <c r="A59" s="291"/>
      <c r="B59" s="295"/>
      <c r="C59" s="321" t="str">
        <f>IFERROR(__xludf.DUMMYFUNCTION("""COMPUTED_VALUE"""),"Here Forever")</f>
        <v>Here Forever</v>
      </c>
      <c r="D59" s="330" t="str">
        <f>IFERROR(__xludf.DUMMYFUNCTION("""COMPUTED_VALUE"""),"Riidolsk")</f>
        <v>Riidolsk</v>
      </c>
      <c r="E59" s="321" t="str">
        <f>IFERROR(__xludf.DUMMYFUNCTION("""COMPUTED_VALUE"""),"riidolsk")</f>
        <v>riidolsk</v>
      </c>
      <c r="F59" s="321" t="str">
        <f>IFERROR(__xludf.DUMMYFUNCTION("""COMPUTED_VALUE"""),"UTC-5")</f>
        <v>UTC-5</v>
      </c>
      <c r="G59" s="321"/>
      <c r="H59" s="329"/>
      <c r="I59" s="291"/>
    </row>
    <row r="60">
      <c r="A60" s="291"/>
      <c r="B60" s="295"/>
      <c r="C60" s="321" t="str">
        <f>IFERROR(__xludf.DUMMYFUNCTION("""COMPUTED_VALUE"""),"Angleseekers")</f>
        <v>Angleseekers</v>
      </c>
      <c r="D60" s="330" t="str">
        <f>IFERROR(__xludf.DUMMYFUNCTION("""COMPUTED_VALUE"""),"Newtech66")</f>
        <v>Newtech66</v>
      </c>
      <c r="E60" s="321" t="str">
        <f>IFERROR(__xludf.DUMMYFUNCTION("""COMPUTED_VALUE"""),"newtech66")</f>
        <v>newtech66</v>
      </c>
      <c r="F60" s="321" t="str">
        <f>IFERROR(__xludf.DUMMYFUNCTION("""COMPUTED_VALUE"""),"UTC+5:30")</f>
        <v>UTC+5:30</v>
      </c>
      <c r="G60" s="321"/>
      <c r="H60" s="329"/>
      <c r="I60" s="291"/>
    </row>
    <row r="61">
      <c r="A61" s="291"/>
      <c r="B61" s="295"/>
      <c r="C61" s="321" t="str">
        <f>IFERROR(__xludf.DUMMYFUNCTION("""COMPUTED_VALUE"""),"Skills issue")</f>
        <v>Skills issue</v>
      </c>
      <c r="D61" s="330" t="str">
        <f>IFERROR(__xludf.DUMMYFUNCTION("""COMPUTED_VALUE"""),"duckcute0902")</f>
        <v>duckcute0902</v>
      </c>
      <c r="E61" s="321" t="str">
        <f>IFERROR(__xludf.DUMMYFUNCTION("""COMPUTED_VALUE"""),"ganyussy")</f>
        <v>ganyussy</v>
      </c>
      <c r="F61" s="321" t="str">
        <f>IFERROR(__xludf.DUMMYFUNCTION("""COMPUTED_VALUE"""),"UTC+7")</f>
        <v>UTC+7</v>
      </c>
      <c r="G61" s="321"/>
      <c r="H61" s="329"/>
      <c r="I61" s="291"/>
    </row>
    <row r="62">
      <c r="A62" s="291"/>
      <c r="B62" s="295"/>
      <c r="C62" s="321" t="str">
        <f>IFERROR(__xludf.DUMMYFUNCTION("""COMPUTED_VALUE"""),"APELPIES MY MOMMY")</f>
        <v>APELPIES MY MOMMY</v>
      </c>
      <c r="D62" s="330" t="str">
        <f>IFERROR(__xludf.DUMMYFUNCTION("""COMPUTED_VALUE"""),"TheGrabi")</f>
        <v>TheGrabi</v>
      </c>
      <c r="E62" s="321" t="str">
        <f>IFERROR(__xludf.DUMMYFUNCTION("""COMPUTED_VALUE"""),"thegrabi")</f>
        <v>thegrabi</v>
      </c>
      <c r="F62" s="321" t="str">
        <f>IFERROR(__xludf.DUMMYFUNCTION("""COMPUTED_VALUE"""),"UTC-2")</f>
        <v>UTC-2</v>
      </c>
      <c r="G62" s="321"/>
      <c r="H62" s="329"/>
      <c r="I62" s="291"/>
    </row>
    <row r="63">
      <c r="A63" s="291"/>
      <c r="B63" s="295"/>
      <c r="C63" s="321" t="str">
        <f>IFERROR(__xludf.DUMMYFUNCTION("""COMPUTED_VALUE"""),"Untitled Document")</f>
        <v>Untitled Document</v>
      </c>
      <c r="D63" s="330" t="str">
        <f>IFERROR(__xludf.DUMMYFUNCTION("""COMPUTED_VALUE"""),"CavemanOof")</f>
        <v>CavemanOof</v>
      </c>
      <c r="E63" s="321" t="str">
        <f>IFERROR(__xludf.DUMMYFUNCTION("""COMPUTED_VALUE"""),"cavemanoof")</f>
        <v>cavemanoof</v>
      </c>
      <c r="F63" s="321" t="str">
        <f>IFERROR(__xludf.DUMMYFUNCTION("""COMPUTED_VALUE"""),"UTC-0")</f>
        <v>UTC-0</v>
      </c>
      <c r="G63" s="321"/>
      <c r="H63" s="329"/>
      <c r="I63" s="291"/>
    </row>
    <row r="64">
      <c r="A64" s="291"/>
      <c r="B64" s="295"/>
      <c r="C64" s="321" t="str">
        <f>IFERROR(__xludf.DUMMYFUNCTION("""COMPUTED_VALUE"""),"underdogs ")</f>
        <v>underdogs </v>
      </c>
      <c r="D64" s="330" t="str">
        <f>IFERROR(__xludf.DUMMYFUNCTION("""COMPUTED_VALUE"""),"Hatchi115")</f>
        <v>Hatchi115</v>
      </c>
      <c r="E64" s="321" t="str">
        <f>IFERROR(__xludf.DUMMYFUNCTION("""COMPUTED_VALUE"""),"lunarxsolar")</f>
        <v>lunarxsolar</v>
      </c>
      <c r="F64" s="321" t="str">
        <f>IFERROR(__xludf.DUMMYFUNCTION("""COMPUTED_VALUE"""),"UTC-6")</f>
        <v>UTC-6</v>
      </c>
      <c r="G64" s="321"/>
      <c r="H64" s="329"/>
      <c r="I64" s="291"/>
    </row>
    <row r="65">
      <c r="A65" s="291"/>
      <c r="B65" s="295"/>
      <c r="C65" s="321" t="str">
        <f>IFERROR(__xludf.DUMMYFUNCTION("""COMPUTED_VALUE"""),"Minor assault squad")</f>
        <v>Minor assault squad</v>
      </c>
      <c r="D65" s="330" t="str">
        <f>IFERROR(__xludf.DUMMYFUNCTION("""COMPUTED_VALUE"""),"007dodo")</f>
        <v>007dodo</v>
      </c>
      <c r="E65" s="321" t="str">
        <f>IFERROR(__xludf.DUMMYFUNCTION("""COMPUTED_VALUE"""),"007dodo")</f>
        <v>007dodo</v>
      </c>
      <c r="F65" s="321" t="str">
        <f>IFERROR(__xludf.DUMMYFUNCTION("""COMPUTED_VALUE"""),"UTC+2")</f>
        <v>UTC+2</v>
      </c>
      <c r="G65" s="321"/>
      <c r="H65" s="329"/>
      <c r="I65" s="291"/>
    </row>
    <row r="66" ht="7.5" customHeight="1">
      <c r="A66" s="291"/>
      <c r="B66" s="295"/>
      <c r="C66" s="295"/>
      <c r="D66" s="295"/>
      <c r="E66" s="295"/>
      <c r="F66" s="295"/>
      <c r="G66" s="295"/>
      <c r="H66" s="295"/>
      <c r="I66" s="291"/>
    </row>
    <row r="67" ht="7.5" customHeight="1">
      <c r="A67" s="291"/>
      <c r="B67" s="291"/>
      <c r="C67" s="291"/>
      <c r="D67" s="291"/>
      <c r="E67" s="291"/>
      <c r="F67" s="291"/>
      <c r="G67" s="291"/>
      <c r="H67" s="291"/>
      <c r="I67" s="291"/>
    </row>
  </sheetData>
  <hyperlinks>
    <hyperlink r:id="rId1" ref="D4"/>
    <hyperlink r:id="rId2" ref="D5"/>
    <hyperlink r:id="rId3" ref="D6"/>
    <hyperlink r:id="rId4" ref="D7"/>
    <hyperlink r:id="rId5" ref="D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4"/>
    <hyperlink r:id="rId22" ref="D25"/>
    <hyperlink r:id="rId23" ref="D26"/>
    <hyperlink r:id="rId24" ref="D27"/>
    <hyperlink r:id="rId25" ref="D28"/>
    <hyperlink r:id="rId26" ref="D29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</hyperlinks>
  <drawing r:id="rId6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974E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3.5"/>
    <col customWidth="1" min="4" max="4" width="1.38"/>
    <col customWidth="1" min="5" max="5" width="6.38"/>
    <col customWidth="1" min="6" max="6" width="9.5"/>
    <col customWidth="1" min="7" max="7" width="18.88"/>
    <col customWidth="1" min="8" max="8" width="6.38"/>
    <col customWidth="1" min="9" max="14" width="18.88"/>
    <col customWidth="1" min="15" max="15" width="31.38"/>
    <col customWidth="1" hidden="1" min="16" max="16" width="37.63"/>
    <col customWidth="1" min="17" max="17" width="6.0"/>
    <col customWidth="1" min="18" max="18" width="1.38"/>
    <col customWidth="1" min="19" max="20" width="0.38"/>
  </cols>
  <sheetData>
    <row r="1" ht="7.5" customHeight="1">
      <c r="A1" s="331"/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  <c r="P1" s="4"/>
      <c r="Q1" s="4"/>
      <c r="R1" s="4"/>
      <c r="S1" s="4"/>
      <c r="T1" s="4"/>
    </row>
    <row r="2">
      <c r="A2" s="331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4"/>
      <c r="P2" s="333"/>
      <c r="Q2" s="333"/>
      <c r="R2" s="4"/>
      <c r="S2" s="4"/>
      <c r="T2" s="4"/>
    </row>
    <row r="3">
      <c r="A3" s="331"/>
      <c r="B3" s="333"/>
      <c r="C3" s="333" t="str">
        <f>IFERROR(__xludf.DUMMYFUNCTION("IMPORTRANGE(""https://docs.google.com/spreadsheets/d/1pMXcxIl6sKegGLLZuazjrN3eussP2Sp23xXDc-hlqfg/edit?usp=sharing"",""Qualifier Lobbies!A2:M51"")"),"")</f>
        <v/>
      </c>
      <c r="D3" s="333"/>
      <c r="E3" s="64" t="str">
        <f>IFERROR(__xludf.DUMMYFUNCTION("""COMPUTED_VALUE"""),"QUALIFIERS SCHEDULES")</f>
        <v>QUALIFIERS SCHEDULES</v>
      </c>
      <c r="F3" s="77"/>
      <c r="G3" s="77"/>
      <c r="H3" s="77"/>
      <c r="I3" s="77"/>
      <c r="J3" s="77"/>
      <c r="K3" s="335"/>
      <c r="L3" s="333"/>
      <c r="M3" s="336" t="str">
        <f>IFERROR(__xludf.DUMMYFUNCTION("""COMPUTED_VALUE"""),"Teams Scheduled : 58")</f>
        <v>Teams Scheduled : 58</v>
      </c>
      <c r="N3" s="77"/>
      <c r="O3" s="335"/>
      <c r="P3" s="333"/>
      <c r="Q3" s="333"/>
      <c r="R3" s="4"/>
      <c r="S3" s="4"/>
      <c r="T3" s="4"/>
    </row>
    <row r="4">
      <c r="A4" s="331"/>
      <c r="B4" s="333"/>
      <c r="C4" s="333"/>
      <c r="D4" s="333"/>
      <c r="E4" s="337"/>
      <c r="F4" s="337"/>
      <c r="G4" s="338" t="str">
        <f>IFERROR(__xludf.DUMMYFUNCTION("""COMPUTED_VALUE"""),"Double click dates")</f>
        <v>Double click dates</v>
      </c>
      <c r="H4" s="339" t="str">
        <f>IFERROR(__xludf.DUMMYFUNCTION("""COMPUTED_VALUE"""),"UTC+0")</f>
        <v>UTC+0</v>
      </c>
      <c r="I4" s="340"/>
      <c r="J4" s="337"/>
      <c r="K4" s="337"/>
      <c r="L4" s="333"/>
      <c r="M4" s="333"/>
      <c r="N4" s="333"/>
      <c r="O4" s="334"/>
      <c r="P4" s="333"/>
      <c r="Q4" s="333"/>
      <c r="R4" s="4"/>
      <c r="S4" s="4"/>
      <c r="T4" s="4"/>
    </row>
    <row r="5" ht="22.5" customHeight="1">
      <c r="A5" s="341"/>
      <c r="B5" s="342"/>
      <c r="C5" s="342"/>
      <c r="D5" s="342"/>
      <c r="E5" s="343" t="str">
        <f>IFERROR(__xludf.DUMMYFUNCTION("""COMPUTED_VALUE"""),"Lobby")</f>
        <v>Lobby</v>
      </c>
      <c r="F5" s="344" t="str">
        <f>IFERROR(__xludf.DUMMYFUNCTION("""COMPUTED_VALUE"""),"Slots taken")</f>
        <v>Slots taken</v>
      </c>
      <c r="G5" s="345" t="str">
        <f>IFERROR(__xludf.DUMMYFUNCTION("""COMPUTED_VALUE"""),"Date")</f>
        <v>Date</v>
      </c>
      <c r="H5" s="346" t="str">
        <f>IFERROR(__xludf.DUMMYFUNCTION("""COMPUTED_VALUE"""),"Time")</f>
        <v>Time</v>
      </c>
      <c r="I5" s="346" t="str">
        <f>IFERROR(__xludf.DUMMYFUNCTION("""COMPUTED_VALUE"""),"Referee")</f>
        <v>Referee</v>
      </c>
      <c r="J5" s="347" t="str">
        <f>IFERROR(__xludf.DUMMYFUNCTION("""COMPUTED_VALUE"""),"Team 1 ")</f>
        <v>Team 1 </v>
      </c>
      <c r="K5" s="347" t="str">
        <f>IFERROR(__xludf.DUMMYFUNCTION("""COMPUTED_VALUE"""),"Team 2")</f>
        <v>Team 2</v>
      </c>
      <c r="L5" s="345" t="str">
        <f>IFERROR(__xludf.DUMMYFUNCTION("""COMPUTED_VALUE"""),"Team 3")</f>
        <v>Team 3</v>
      </c>
      <c r="M5" s="348" t="str">
        <f>IFERROR(__xludf.DUMMYFUNCTION("""COMPUTED_VALUE"""),"Team 4")</f>
        <v>Team 4</v>
      </c>
      <c r="N5" s="349" t="str">
        <f>IFERROR(__xludf.DUMMYFUNCTION("""COMPUTED_VALUE"""),"Team 5")</f>
        <v>Team 5</v>
      </c>
      <c r="O5" s="349" t="str">
        <f>IFERROR(__xludf.DUMMYFUNCTION("""COMPUTED_VALUE"""),"MP LINK")</f>
        <v>MP LINK</v>
      </c>
      <c r="P5" s="350"/>
      <c r="Q5" s="333"/>
      <c r="R5" s="351"/>
      <c r="S5" s="351"/>
      <c r="T5" s="351"/>
    </row>
    <row r="6" ht="18.75" customHeight="1">
      <c r="A6" s="331"/>
      <c r="B6" s="333"/>
      <c r="C6" s="352" t="str">
        <f>IFERROR(__xludf.DUMMYFUNCTION("""COMPUTED_VALUE"""),"Saturday")</f>
        <v>Saturday</v>
      </c>
      <c r="D6" s="333"/>
      <c r="E6" s="353" t="str">
        <f>IFERROR(__xludf.DUMMYFUNCTION("""COMPUTED_VALUE"""),"A1")</f>
        <v>A1</v>
      </c>
      <c r="F6" s="354" t="str">
        <f>IFERROR(__xludf.DUMMYFUNCTION("""COMPUTED_VALUE"""),"-")</f>
        <v>-</v>
      </c>
      <c r="G6" s="355">
        <f>IFERROR(__xludf.DUMMYFUNCTION("""COMPUTED_VALUE"""),45150.0)</f>
        <v>45150</v>
      </c>
      <c r="H6" s="356" t="str">
        <f>IFERROR(__xludf.DUMMYFUNCTION("""COMPUTED_VALUE"""),"0:00 ")</f>
        <v>0:00 </v>
      </c>
      <c r="I6" s="357" t="str">
        <f>IFERROR(__xludf.DUMMYFUNCTION("""COMPUTED_VALUE"""),"Shogeki")</f>
        <v>Shogeki</v>
      </c>
      <c r="J6" s="358"/>
      <c r="K6" s="358"/>
      <c r="L6" s="359"/>
      <c r="M6" s="360"/>
      <c r="N6" s="361"/>
      <c r="O6" s="361"/>
      <c r="P6" s="362"/>
      <c r="Q6" s="333"/>
      <c r="R6" s="4"/>
      <c r="S6" s="4"/>
      <c r="T6" s="4"/>
    </row>
    <row r="7" ht="18.75" customHeight="1">
      <c r="A7" s="331"/>
      <c r="B7" s="333"/>
      <c r="C7" s="363"/>
      <c r="D7" s="333"/>
      <c r="E7" s="353" t="str">
        <f>IFERROR(__xludf.DUMMYFUNCTION("""COMPUTED_VALUE"""),"A2")</f>
        <v>A2</v>
      </c>
      <c r="F7" s="364" t="str">
        <f>IFERROR(__xludf.DUMMYFUNCTION("""COMPUTED_VALUE"""),"3 / 5")</f>
        <v>3 / 5</v>
      </c>
      <c r="G7" s="355">
        <f>IFERROR(__xludf.DUMMYFUNCTION("""COMPUTED_VALUE"""),45150.0)</f>
        <v>45150</v>
      </c>
      <c r="H7" s="356" t="str">
        <f>IFERROR(__xludf.DUMMYFUNCTION("""COMPUTED_VALUE"""),"2:00")</f>
        <v>2:00</v>
      </c>
      <c r="I7" s="357" t="str">
        <f>IFERROR(__xludf.DUMMYFUNCTION("""COMPUTED_VALUE"""),"Shogeki")</f>
        <v>Shogeki</v>
      </c>
      <c r="J7" s="358" t="str">
        <f>IFERROR(__xludf.DUMMYFUNCTION("""COMPUTED_VALUE"""),":MIPINGA:")</f>
        <v>:MIPINGA:</v>
      </c>
      <c r="K7" s="358" t="str">
        <f>IFERROR(__xludf.DUMMYFUNCTION("""COMPUTED_VALUE"""),"Here Forever")</f>
        <v>Here Forever</v>
      </c>
      <c r="L7" s="359" t="str">
        <f>IFERROR(__xludf.DUMMYFUNCTION("""COMPUTED_VALUE"""),"BallzDeep69")</f>
        <v>BallzDeep69</v>
      </c>
      <c r="M7" s="360"/>
      <c r="N7" s="361"/>
      <c r="O7" s="365" t="str">
        <f>IFERROR(__xludf.DUMMYFUNCTION("""COMPUTED_VALUE"""),"https://osu.ppy.sh/community/matches/109952322")</f>
        <v>https://osu.ppy.sh/community/matches/109952322</v>
      </c>
      <c r="P7" s="362"/>
      <c r="Q7" s="333"/>
      <c r="R7" s="4"/>
      <c r="S7" s="4"/>
      <c r="T7" s="4"/>
    </row>
    <row r="8" ht="18.75" customHeight="1">
      <c r="A8" s="331"/>
      <c r="B8" s="333"/>
      <c r="C8" s="363"/>
      <c r="D8" s="333"/>
      <c r="E8" s="353" t="str">
        <f>IFERROR(__xludf.DUMMYFUNCTION("""COMPUTED_VALUE"""),"A3")</f>
        <v>A3</v>
      </c>
      <c r="F8" s="364" t="str">
        <f>IFERROR(__xludf.DUMMYFUNCTION("""COMPUTED_VALUE"""),"1 / 5")</f>
        <v>1 / 5</v>
      </c>
      <c r="G8" s="355">
        <f>IFERROR(__xludf.DUMMYFUNCTION("""COMPUTED_VALUE"""),45150.0)</f>
        <v>45150</v>
      </c>
      <c r="H8" s="356" t="str">
        <f>IFERROR(__xludf.DUMMYFUNCTION("""COMPUTED_VALUE"""),"4:00")</f>
        <v>4:00</v>
      </c>
      <c r="I8" s="357" t="str">
        <f>IFERROR(__xludf.DUMMYFUNCTION("""COMPUTED_VALUE"""),"RudderFish07")</f>
        <v>RudderFish07</v>
      </c>
      <c r="J8" s="358" t="str">
        <f>IFERROR(__xludf.DUMMYFUNCTION("""COMPUTED_VALUE"""),"phony :)")</f>
        <v>phony :)</v>
      </c>
      <c r="K8" s="358"/>
      <c r="L8" s="359"/>
      <c r="M8" s="360"/>
      <c r="N8" s="361"/>
      <c r="O8" s="365" t="str">
        <f>IFERROR(__xludf.DUMMYFUNCTION("""COMPUTED_VALUE"""),"https://osu.ppy.sh/mp/109953545")</f>
        <v>https://osu.ppy.sh/mp/109953545</v>
      </c>
      <c r="P8" s="362"/>
      <c r="Q8" s="333"/>
      <c r="R8" s="4"/>
      <c r="S8" s="4"/>
      <c r="T8" s="4"/>
    </row>
    <row r="9" ht="18.75" customHeight="1">
      <c r="A9" s="331"/>
      <c r="B9" s="333"/>
      <c r="C9" s="363"/>
      <c r="D9" s="333"/>
      <c r="E9" s="353" t="str">
        <f>IFERROR(__xludf.DUMMYFUNCTION("""COMPUTED_VALUE"""),"A4")</f>
        <v>A4</v>
      </c>
      <c r="F9" s="364" t="str">
        <f>IFERROR(__xludf.DUMMYFUNCTION("""COMPUTED_VALUE"""),"1 / 5")</f>
        <v>1 / 5</v>
      </c>
      <c r="G9" s="355">
        <f>IFERROR(__xludf.DUMMYFUNCTION("""COMPUTED_VALUE"""),45150.0)</f>
        <v>45150</v>
      </c>
      <c r="H9" s="356" t="str">
        <f>IFERROR(__xludf.DUMMYFUNCTION("""COMPUTED_VALUE"""),"6:00")</f>
        <v>6:00</v>
      </c>
      <c r="I9" s="357" t="str">
        <f>IFERROR(__xludf.DUMMYFUNCTION("""COMPUTED_VALUE"""),"Azasapag")</f>
        <v>Azasapag</v>
      </c>
      <c r="J9" s="366" t="str">
        <f>IFERROR(__xludf.DUMMYFUNCTION("""COMPUTED_VALUE"""),"foxy1919191919's basement")</f>
        <v>foxy1919191919's basement</v>
      </c>
      <c r="K9" s="358"/>
      <c r="L9" s="359"/>
      <c r="M9" s="360"/>
      <c r="N9" s="361"/>
      <c r="O9" s="365" t="str">
        <f>IFERROR(__xludf.DUMMYFUNCTION("""COMPUTED_VALUE"""),"https://osu.ppy.sh/community/matches/109954652")</f>
        <v>https://osu.ppy.sh/community/matches/109954652</v>
      </c>
      <c r="P9" s="362"/>
      <c r="Q9" s="333"/>
      <c r="R9" s="4"/>
      <c r="S9" s="4"/>
      <c r="T9" s="4"/>
    </row>
    <row r="10" ht="18.75" customHeight="1">
      <c r="A10" s="331"/>
      <c r="B10" s="333"/>
      <c r="C10" s="363"/>
      <c r="D10" s="333"/>
      <c r="E10" s="353" t="str">
        <f>IFERROR(__xludf.DUMMYFUNCTION("""COMPUTED_VALUE"""),"A5")</f>
        <v>A5</v>
      </c>
      <c r="F10" s="364"/>
      <c r="G10" s="355">
        <f>IFERROR(__xludf.DUMMYFUNCTION("""COMPUTED_VALUE"""),45150.0)</f>
        <v>45150</v>
      </c>
      <c r="H10" s="356" t="str">
        <f>IFERROR(__xludf.DUMMYFUNCTION("""COMPUTED_VALUE"""),"8:00")</f>
        <v>8:00</v>
      </c>
      <c r="I10" s="357" t="str">
        <f>IFERROR(__xludf.DUMMYFUNCTION("""COMPUTED_VALUE"""),"euouae_")</f>
        <v>euouae_</v>
      </c>
      <c r="J10" s="358"/>
      <c r="K10" s="358"/>
      <c r="L10" s="359"/>
      <c r="M10" s="360"/>
      <c r="N10" s="361"/>
      <c r="O10" s="367"/>
      <c r="P10" s="362"/>
      <c r="Q10" s="333"/>
      <c r="R10" s="4"/>
      <c r="S10" s="4"/>
      <c r="T10" s="4"/>
    </row>
    <row r="11" ht="18.75" customHeight="1">
      <c r="A11" s="331"/>
      <c r="B11" s="333"/>
      <c r="C11" s="363"/>
      <c r="D11" s="333"/>
      <c r="E11" s="353" t="str">
        <f>IFERROR(__xludf.DUMMYFUNCTION("""COMPUTED_VALUE"""),"A6")</f>
        <v>A6</v>
      </c>
      <c r="F11" s="364" t="str">
        <f>IFERROR(__xludf.DUMMYFUNCTION("""COMPUTED_VALUE"""),"1 / 5")</f>
        <v>1 / 5</v>
      </c>
      <c r="G11" s="355">
        <f>IFERROR(__xludf.DUMMYFUNCTION("""COMPUTED_VALUE"""),45150.0)</f>
        <v>45150</v>
      </c>
      <c r="H11" s="356" t="str">
        <f>IFERROR(__xludf.DUMMYFUNCTION("""COMPUTED_VALUE"""),"10:00")</f>
        <v>10:00</v>
      </c>
      <c r="I11" s="357" t="str">
        <f>IFERROR(__xludf.DUMMYFUNCTION("""COMPUTED_VALUE"""),"Gamillie")</f>
        <v>Gamillie</v>
      </c>
      <c r="J11" s="358" t="str">
        <f>IFERROR(__xludf.DUMMYFUNCTION("""COMPUTED_VALUE"""),"PLDT ANO NAAA")</f>
        <v>PLDT ANO NAAA</v>
      </c>
      <c r="K11" s="358"/>
      <c r="L11" s="359"/>
      <c r="M11" s="360"/>
      <c r="N11" s="361"/>
      <c r="O11" s="365" t="str">
        <f>IFERROR(__xludf.DUMMYFUNCTION("""COMPUTED_VALUE"""),"https://osu.ppy.sh/mp/109956626")</f>
        <v>https://osu.ppy.sh/mp/109956626</v>
      </c>
      <c r="P11" s="362"/>
      <c r="Q11" s="333"/>
      <c r="R11" s="4"/>
      <c r="S11" s="4"/>
      <c r="T11" s="4"/>
    </row>
    <row r="12" ht="18.75" customHeight="1">
      <c r="A12" s="331"/>
      <c r="B12" s="333"/>
      <c r="C12" s="363"/>
      <c r="D12" s="333"/>
      <c r="E12" s="353" t="str">
        <f>IFERROR(__xludf.DUMMYFUNCTION("""COMPUTED_VALUE"""),"A7")</f>
        <v>A7</v>
      </c>
      <c r="F12" s="364" t="str">
        <f>IFERROR(__xludf.DUMMYFUNCTION("""COMPUTED_VALUE"""),"3 / 5")</f>
        <v>3 / 5</v>
      </c>
      <c r="G12" s="355">
        <f>IFERROR(__xludf.DUMMYFUNCTION("""COMPUTED_VALUE"""),45150.0)</f>
        <v>45150</v>
      </c>
      <c r="H12" s="356" t="str">
        <f>IFERROR(__xludf.DUMMYFUNCTION("""COMPUTED_VALUE"""),"12:00")</f>
        <v>12:00</v>
      </c>
      <c r="I12" s="357" t="str">
        <f>IFERROR(__xludf.DUMMYFUNCTION("""COMPUTED_VALUE"""),"Gamillie")</f>
        <v>Gamillie</v>
      </c>
      <c r="J12" s="358" t="str">
        <f>IFERROR(__xludf.DUMMYFUNCTION("""COMPUTED_VALUE"""),"Mewo My Waifu")</f>
        <v>Mewo My Waifu</v>
      </c>
      <c r="K12" s="358" t="str">
        <f>IFERROR(__xludf.DUMMYFUNCTION("""COMPUTED_VALUE"""),"CocoaGoats")</f>
        <v>CocoaGoats</v>
      </c>
      <c r="L12" s="359" t="str">
        <f>IFERROR(__xludf.DUMMYFUNCTION("""COMPUTED_VALUE"""),"PoorQuaIityMeatpilow")</f>
        <v>PoorQuaIityMeatpilow</v>
      </c>
      <c r="M12" s="360"/>
      <c r="N12" s="361"/>
      <c r="O12" s="365" t="str">
        <f>IFERROR(__xludf.DUMMYFUNCTION("""COMPUTED_VALUE"""),"https://osu.ppy.sh/mp/109957596")</f>
        <v>https://osu.ppy.sh/mp/109957596</v>
      </c>
      <c r="P12" s="362"/>
      <c r="Q12" s="333"/>
      <c r="R12" s="4"/>
      <c r="S12" s="4"/>
      <c r="T12" s="4"/>
    </row>
    <row r="13" ht="18.75" customHeight="1">
      <c r="A13" s="331"/>
      <c r="B13" s="333"/>
      <c r="C13" s="363"/>
      <c r="D13" s="333"/>
      <c r="E13" s="353" t="str">
        <f>IFERROR(__xludf.DUMMYFUNCTION("""COMPUTED_VALUE"""),"A8")</f>
        <v>A8</v>
      </c>
      <c r="F13" s="364" t="str">
        <f>IFERROR(__xludf.DUMMYFUNCTION("""COMPUTED_VALUE"""),"3 / 5")</f>
        <v>3 / 5</v>
      </c>
      <c r="G13" s="355">
        <f>IFERROR(__xludf.DUMMYFUNCTION("""COMPUTED_VALUE"""),45150.0)</f>
        <v>45150</v>
      </c>
      <c r="H13" s="356" t="str">
        <f>IFERROR(__xludf.DUMMYFUNCTION("""COMPUTED_VALUE"""),"14:00")</f>
        <v>14:00</v>
      </c>
      <c r="I13" s="357" t="str">
        <f>IFERROR(__xludf.DUMMYFUNCTION("""COMPUTED_VALUE"""),"Emerald Ages")</f>
        <v>Emerald Ages</v>
      </c>
      <c r="J13" s="358" t="str">
        <f>IFERROR(__xludf.DUMMYFUNCTION("""COMPUTED_VALUE"""),"Beancurd")</f>
        <v>Beancurd</v>
      </c>
      <c r="K13" s="358" t="str">
        <f>IFERROR(__xludf.DUMMYFUNCTION("""COMPUTED_VALUE"""),"3000CombinedHours")</f>
        <v>3000CombinedHours</v>
      </c>
      <c r="L13" s="359" t="str">
        <f>IFERROR(__xludf.DUMMYFUNCTION("""COMPUTED_VALUE"""),"PES E9L9")</f>
        <v>PES E9L9</v>
      </c>
      <c r="M13" s="360"/>
      <c r="N13" s="361"/>
      <c r="O13" s="365" t="str">
        <f>IFERROR(__xludf.DUMMYFUNCTION("""COMPUTED_VALUE"""),"https://osu.ppy.sh/community/matches/109959176")</f>
        <v>https://osu.ppy.sh/community/matches/109959176</v>
      </c>
      <c r="P13" s="362"/>
      <c r="Q13" s="333"/>
      <c r="R13" s="4"/>
      <c r="S13" s="4"/>
      <c r="T13" s="4"/>
    </row>
    <row r="14" ht="18.75" customHeight="1">
      <c r="A14" s="331"/>
      <c r="B14" s="333"/>
      <c r="C14" s="363"/>
      <c r="D14" s="333"/>
      <c r="E14" s="353" t="str">
        <f>IFERROR(__xludf.DUMMYFUNCTION("""COMPUTED_VALUE"""),"A9")</f>
        <v>A9</v>
      </c>
      <c r="F14" s="364" t="str">
        <f>IFERROR(__xludf.DUMMYFUNCTION("""COMPUTED_VALUE"""),"-")</f>
        <v>-</v>
      </c>
      <c r="G14" s="355">
        <f>IFERROR(__xludf.DUMMYFUNCTION("""COMPUTED_VALUE"""),45150.0)</f>
        <v>45150</v>
      </c>
      <c r="H14" s="356" t="str">
        <f>IFERROR(__xludf.DUMMYFUNCTION("""COMPUTED_VALUE"""),"16:00")</f>
        <v>16:00</v>
      </c>
      <c r="I14" s="357" t="str">
        <f>IFERROR(__xludf.DUMMYFUNCTION("""COMPUTED_VALUE"""),"Emerald Ages")</f>
        <v>Emerald Ages</v>
      </c>
      <c r="J14" s="358"/>
      <c r="K14" s="358"/>
      <c r="L14" s="359"/>
      <c r="M14" s="360"/>
      <c r="N14" s="361"/>
      <c r="O14" s="367"/>
      <c r="P14" s="362"/>
      <c r="Q14" s="333"/>
      <c r="R14" s="4"/>
      <c r="S14" s="4"/>
      <c r="T14" s="4"/>
    </row>
    <row r="15" ht="18.75" customHeight="1">
      <c r="A15" s="331"/>
      <c r="B15" s="333"/>
      <c r="C15" s="363"/>
      <c r="D15" s="333"/>
      <c r="E15" s="353" t="str">
        <f>IFERROR(__xludf.DUMMYFUNCTION("""COMPUTED_VALUE"""),"A10")</f>
        <v>A10</v>
      </c>
      <c r="F15" s="364" t="str">
        <f>IFERROR(__xludf.DUMMYFUNCTION("""COMPUTED_VALUE"""),"1 / 5")</f>
        <v>1 / 5</v>
      </c>
      <c r="G15" s="355">
        <f>IFERROR(__xludf.DUMMYFUNCTION("""COMPUTED_VALUE"""),45150.0)</f>
        <v>45150</v>
      </c>
      <c r="H15" s="356" t="str">
        <f>IFERROR(__xludf.DUMMYFUNCTION("""COMPUTED_VALUE"""),"18:00")</f>
        <v>18:00</v>
      </c>
      <c r="I15" s="357" t="str">
        <f>IFERROR(__xludf.DUMMYFUNCTION("""COMPUTED_VALUE"""),"Pischok")</f>
        <v>Pischok</v>
      </c>
      <c r="J15" s="368" t="str">
        <f>IFERROR(__xludf.DUMMYFUNCTION("""COMPUTED_VALUE"""),"Nameless Waifulovers")</f>
        <v>Nameless Waifulovers</v>
      </c>
      <c r="K15" s="358"/>
      <c r="L15" s="359"/>
      <c r="M15" s="360"/>
      <c r="N15" s="361"/>
      <c r="O15" s="365" t="str">
        <f>IFERROR(__xludf.DUMMYFUNCTION("""COMPUTED_VALUE"""),"https://osu.ppy.sh/community/matches/109962867")</f>
        <v>https://osu.ppy.sh/community/matches/109962867</v>
      </c>
      <c r="P15" s="362"/>
      <c r="Q15" s="333"/>
      <c r="R15" s="4"/>
      <c r="S15" s="4"/>
      <c r="T15" s="4"/>
    </row>
    <row r="16" ht="18.75" customHeight="1">
      <c r="A16" s="331"/>
      <c r="B16" s="333"/>
      <c r="C16" s="363"/>
      <c r="D16" s="333"/>
      <c r="E16" s="353" t="str">
        <f>IFERROR(__xludf.DUMMYFUNCTION("""COMPUTED_VALUE"""),"A11")</f>
        <v>A11</v>
      </c>
      <c r="F16" s="364" t="str">
        <f>IFERROR(__xludf.DUMMYFUNCTION("""COMPUTED_VALUE"""),"3 / 5")</f>
        <v>3 / 5</v>
      </c>
      <c r="G16" s="355">
        <f>IFERROR(__xludf.DUMMYFUNCTION("""COMPUTED_VALUE"""),45150.0)</f>
        <v>45150</v>
      </c>
      <c r="H16" s="356" t="str">
        <f>IFERROR(__xludf.DUMMYFUNCTION("""COMPUTED_VALUE"""),"20:00")</f>
        <v>20:00</v>
      </c>
      <c r="I16" s="357" t="str">
        <f>IFERROR(__xludf.DUMMYFUNCTION("""COMPUTED_VALUE"""),"play hd3")</f>
        <v>play hd3</v>
      </c>
      <c r="J16" s="358" t="str">
        <f>IFERROR(__xludf.DUMMYFUNCTION("""COMPUTED_VALUE"""),"cake")</f>
        <v>cake</v>
      </c>
      <c r="K16" s="358" t="str">
        <f>IFERROR(__xludf.DUMMYFUNCTION("""COMPUTED_VALUE"""),"copium abusers")</f>
        <v>copium abusers</v>
      </c>
      <c r="L16" s="359" t="str">
        <f>IFERROR(__xludf.DUMMYFUNCTION("""COMPUTED_VALUE"""),"APELPIES MY MOMMY")</f>
        <v>APELPIES MY MOMMY</v>
      </c>
      <c r="M16" s="360"/>
      <c r="N16" s="361"/>
      <c r="O16" s="365" t="str">
        <f>IFERROR(__xludf.DUMMYFUNCTION("""COMPUTED_VALUE"""),"https://osu.ppy.sh/community/matches/109964348")</f>
        <v>https://osu.ppy.sh/community/matches/109964348</v>
      </c>
      <c r="P16" s="362"/>
      <c r="Q16" s="333"/>
      <c r="R16" s="4"/>
      <c r="S16" s="4"/>
      <c r="T16" s="4"/>
    </row>
    <row r="17" ht="18.75" customHeight="1">
      <c r="A17" s="331"/>
      <c r="B17" s="333"/>
      <c r="C17" s="369"/>
      <c r="D17" s="333"/>
      <c r="E17" s="353" t="str">
        <f>IFERROR(__xludf.DUMMYFUNCTION("""COMPUTED_VALUE"""),"A12")</f>
        <v>A12</v>
      </c>
      <c r="F17" s="364" t="str">
        <f>IFERROR(__xludf.DUMMYFUNCTION("""COMPUTED_VALUE"""),"1 / 5")</f>
        <v>1 / 5</v>
      </c>
      <c r="G17" s="355">
        <f>IFERROR(__xludf.DUMMYFUNCTION("""COMPUTED_VALUE"""),45150.0)</f>
        <v>45150</v>
      </c>
      <c r="H17" s="356" t="str">
        <f>IFERROR(__xludf.DUMMYFUNCTION("""COMPUTED_VALUE"""),"22:00")</f>
        <v>22:00</v>
      </c>
      <c r="I17" s="357" t="str">
        <f>IFERROR(__xludf.DUMMYFUNCTION("""COMPUTED_VALUE"""),"play hd3")</f>
        <v>play hd3</v>
      </c>
      <c r="J17" s="358" t="str">
        <f>IFERROR(__xludf.DUMMYFUNCTION("""COMPUTED_VALUE"""),"The One 100s")</f>
        <v>The One 100s</v>
      </c>
      <c r="K17" s="358"/>
      <c r="L17" s="359"/>
      <c r="M17" s="360"/>
      <c r="N17" s="361"/>
      <c r="O17" s="365" t="str">
        <f>IFERROR(__xludf.DUMMYFUNCTION("""COMPUTED_VALUE"""),"https://osu.ppy.sh/community/matches/109966515")</f>
        <v>https://osu.ppy.sh/community/matches/109966515</v>
      </c>
      <c r="P17" s="362"/>
      <c r="Q17" s="333"/>
      <c r="R17" s="4"/>
      <c r="S17" s="4"/>
      <c r="T17" s="4"/>
    </row>
    <row r="18" ht="18.75" customHeight="1">
      <c r="A18" s="331"/>
      <c r="B18" s="333"/>
      <c r="C18" s="333"/>
      <c r="D18" s="333"/>
      <c r="E18" s="353"/>
      <c r="F18" s="364"/>
      <c r="G18" s="355"/>
      <c r="H18" s="356"/>
      <c r="I18" s="357"/>
      <c r="J18" s="358"/>
      <c r="K18" s="358"/>
      <c r="L18" s="359"/>
      <c r="M18" s="360"/>
      <c r="N18" s="361"/>
      <c r="O18" s="367"/>
      <c r="P18" s="362"/>
      <c r="Q18" s="333"/>
      <c r="R18" s="4"/>
      <c r="S18" s="4"/>
      <c r="T18" s="4"/>
    </row>
    <row r="19" ht="18.75" customHeight="1">
      <c r="A19" s="331"/>
      <c r="B19" s="333"/>
      <c r="C19" s="352" t="str">
        <f>IFERROR(__xludf.DUMMYFUNCTION("""COMPUTED_VALUE"""),"Sunday")</f>
        <v>Sunday</v>
      </c>
      <c r="D19" s="333"/>
      <c r="E19" s="353" t="str">
        <f>IFERROR(__xludf.DUMMYFUNCTION("""COMPUTED_VALUE"""),"B1")</f>
        <v>B1</v>
      </c>
      <c r="F19" s="364" t="str">
        <f>IFERROR(__xludf.DUMMYFUNCTION("""COMPUTED_VALUE"""),"2 / 5")</f>
        <v>2 / 5</v>
      </c>
      <c r="G19" s="355">
        <f>IFERROR(__xludf.DUMMYFUNCTION("""COMPUTED_VALUE"""),45151.0)</f>
        <v>45151</v>
      </c>
      <c r="H19" s="356" t="str">
        <f>IFERROR(__xludf.DUMMYFUNCTION("""COMPUTED_VALUE"""),"0:00 ")</f>
        <v>0:00 </v>
      </c>
      <c r="I19" s="357" t="str">
        <f>IFERROR(__xludf.DUMMYFUNCTION("""COMPUTED_VALUE"""),"Shogeki")</f>
        <v>Shogeki</v>
      </c>
      <c r="J19" s="358" t="str">
        <f>IFERROR(__xludf.DUMMYFUNCTION("""COMPUTED_VALUE"""),"Faz o L")</f>
        <v>Faz o L</v>
      </c>
      <c r="K19" s="358" t="str">
        <f>IFERROR(__xludf.DUMMYFUNCTION("""COMPUTED_VALUE"""),"Better HD Abusers")</f>
        <v>Better HD Abusers</v>
      </c>
      <c r="L19" s="359"/>
      <c r="M19" s="360"/>
      <c r="N19" s="361"/>
      <c r="O19" s="365" t="str">
        <f>IFERROR(__xludf.DUMMYFUNCTION("""COMPUTED_VALUE"""),"https://osu.ppy.sh/community/matches/109967744")</f>
        <v>https://osu.ppy.sh/community/matches/109967744</v>
      </c>
      <c r="P19" s="362"/>
      <c r="Q19" s="333"/>
      <c r="R19" s="4"/>
      <c r="S19" s="4"/>
      <c r="T19" s="4"/>
    </row>
    <row r="20" ht="18.75" customHeight="1">
      <c r="A20" s="331"/>
      <c r="B20" s="333"/>
      <c r="C20" s="363"/>
      <c r="D20" s="333"/>
      <c r="E20" s="353" t="str">
        <f>IFERROR(__xludf.DUMMYFUNCTION("""COMPUTED_VALUE"""),"B2")</f>
        <v>B2</v>
      </c>
      <c r="F20" s="364" t="str">
        <f>IFERROR(__xludf.DUMMYFUNCTION("""COMPUTED_VALUE"""),"-")</f>
        <v>-</v>
      </c>
      <c r="G20" s="355">
        <f>IFERROR(__xludf.DUMMYFUNCTION("""COMPUTED_VALUE"""),45151.0)</f>
        <v>45151</v>
      </c>
      <c r="H20" s="356" t="str">
        <f>IFERROR(__xludf.DUMMYFUNCTION("""COMPUTED_VALUE"""),"2:00")</f>
        <v>2:00</v>
      </c>
      <c r="I20" s="357" t="str">
        <f>IFERROR(__xludf.DUMMYFUNCTION("""COMPUTED_VALUE"""),"Shogeki")</f>
        <v>Shogeki</v>
      </c>
      <c r="J20" s="358"/>
      <c r="K20" s="358"/>
      <c r="L20" s="359"/>
      <c r="M20" s="360"/>
      <c r="N20" s="361"/>
      <c r="O20" s="367"/>
      <c r="P20" s="362"/>
      <c r="Q20" s="333"/>
      <c r="R20" s="4"/>
      <c r="S20" s="4"/>
      <c r="T20" s="4"/>
    </row>
    <row r="21" ht="18.75" customHeight="1">
      <c r="A21" s="331"/>
      <c r="B21" s="333"/>
      <c r="C21" s="363"/>
      <c r="D21" s="333"/>
      <c r="E21" s="353" t="str">
        <f>IFERROR(__xludf.DUMMYFUNCTION("""COMPUTED_VALUE"""),"B3")</f>
        <v>B3</v>
      </c>
      <c r="F21" s="364" t="str">
        <f>IFERROR(__xludf.DUMMYFUNCTION("""COMPUTED_VALUE"""),"1 / 5")</f>
        <v>1 / 5</v>
      </c>
      <c r="G21" s="355">
        <f>IFERROR(__xludf.DUMMYFUNCTION("""COMPUTED_VALUE"""),45151.0)</f>
        <v>45151</v>
      </c>
      <c r="H21" s="356" t="str">
        <f>IFERROR(__xludf.DUMMYFUNCTION("""COMPUTED_VALUE"""),"4:00")</f>
        <v>4:00</v>
      </c>
      <c r="I21" s="357" t="str">
        <f>IFERROR(__xludf.DUMMYFUNCTION("""COMPUTED_VALUE"""),"Azasapag")</f>
        <v>Azasapag</v>
      </c>
      <c r="J21" s="358" t="str">
        <f>IFERROR(__xludf.DUMMYFUNCTION("""COMPUTED_VALUE"""),"Lovers + 3rd wheel")</f>
        <v>Lovers + 3rd wheel</v>
      </c>
      <c r="K21" s="358"/>
      <c r="L21" s="359"/>
      <c r="M21" s="360"/>
      <c r="N21" s="361"/>
      <c r="O21" s="365" t="str">
        <f>IFERROR(__xludf.DUMMYFUNCTION("""COMPUTED_VALUE"""),"https://osu.ppy.sh/community/matches/109970156")</f>
        <v>https://osu.ppy.sh/community/matches/109970156</v>
      </c>
      <c r="P21" s="362"/>
      <c r="Q21" s="333"/>
      <c r="R21" s="4"/>
      <c r="S21" s="4"/>
      <c r="T21" s="4"/>
    </row>
    <row r="22" ht="18.75" customHeight="1">
      <c r="A22" s="331"/>
      <c r="B22" s="333"/>
      <c r="C22" s="363"/>
      <c r="D22" s="333"/>
      <c r="E22" s="353" t="str">
        <f>IFERROR(__xludf.DUMMYFUNCTION("""COMPUTED_VALUE"""),"B4")</f>
        <v>B4</v>
      </c>
      <c r="F22" s="364" t="str">
        <f>IFERROR(__xludf.DUMMYFUNCTION("""COMPUTED_VALUE"""),"-")</f>
        <v>-</v>
      </c>
      <c r="G22" s="355">
        <f>IFERROR(__xludf.DUMMYFUNCTION("""COMPUTED_VALUE"""),45151.0)</f>
        <v>45151</v>
      </c>
      <c r="H22" s="356" t="str">
        <f>IFERROR(__xludf.DUMMYFUNCTION("""COMPUTED_VALUE"""),"6:00")</f>
        <v>6:00</v>
      </c>
      <c r="I22" s="357" t="str">
        <f>IFERROR(__xludf.DUMMYFUNCTION("""COMPUTED_VALUE"""),"Azasapag")</f>
        <v>Azasapag</v>
      </c>
      <c r="J22" s="358"/>
      <c r="K22" s="358"/>
      <c r="L22" s="359"/>
      <c r="M22" s="360"/>
      <c r="N22" s="361"/>
      <c r="O22" s="367"/>
      <c r="P22" s="362"/>
      <c r="Q22" s="333"/>
      <c r="R22" s="4"/>
      <c r="S22" s="4"/>
      <c r="T22" s="4"/>
    </row>
    <row r="23" ht="18.75" customHeight="1">
      <c r="A23" s="331"/>
      <c r="B23" s="333"/>
      <c r="C23" s="363"/>
      <c r="D23" s="333"/>
      <c r="E23" s="353" t="str">
        <f>IFERROR(__xludf.DUMMYFUNCTION("""COMPUTED_VALUE"""),"B5")</f>
        <v>B5</v>
      </c>
      <c r="F23" s="364" t="str">
        <f>IFERROR(__xludf.DUMMYFUNCTION("""COMPUTED_VALUE"""),"1 / 5")</f>
        <v>1 / 5</v>
      </c>
      <c r="G23" s="355">
        <f>IFERROR(__xludf.DUMMYFUNCTION("""COMPUTED_VALUE"""),45151.0)</f>
        <v>45151</v>
      </c>
      <c r="H23" s="356" t="str">
        <f>IFERROR(__xludf.DUMMYFUNCTION("""COMPUTED_VALUE"""),"8:00")</f>
        <v>8:00</v>
      </c>
      <c r="I23" s="357" t="str">
        <f>IFERROR(__xludf.DUMMYFUNCTION("""COMPUTED_VALUE"""),"BlooMertz")</f>
        <v>BlooMertz</v>
      </c>
      <c r="J23" s="358" t="str">
        <f>IFERROR(__xludf.DUMMYFUNCTION("""COMPUTED_VALUE"""),"Minor assault squad")</f>
        <v>Minor assault squad</v>
      </c>
      <c r="K23" s="358"/>
      <c r="L23" s="359"/>
      <c r="M23" s="360"/>
      <c r="N23" s="361"/>
      <c r="O23" s="365" t="str">
        <f>IFERROR(__xludf.DUMMYFUNCTION("""COMPUTED_VALUE"""),"https://osu.ppy.sh/community/matches/109971985")</f>
        <v>https://osu.ppy.sh/community/matches/109971985</v>
      </c>
      <c r="P23" s="362"/>
      <c r="Q23" s="333"/>
      <c r="R23" s="4"/>
      <c r="S23" s="4"/>
      <c r="T23" s="4"/>
    </row>
    <row r="24" ht="18.75" customHeight="1">
      <c r="A24" s="331"/>
      <c r="B24" s="333"/>
      <c r="C24" s="363"/>
      <c r="D24" s="333"/>
      <c r="E24" s="353" t="str">
        <f>IFERROR(__xludf.DUMMYFUNCTION("""COMPUTED_VALUE"""),"B6")</f>
        <v>B6</v>
      </c>
      <c r="F24" s="364" t="str">
        <f>IFERROR(__xludf.DUMMYFUNCTION("""COMPUTED_VALUE"""),"2 / 5")</f>
        <v>2 / 5</v>
      </c>
      <c r="G24" s="355">
        <f>IFERROR(__xludf.DUMMYFUNCTION("""COMPUTED_VALUE"""),45151.0)</f>
        <v>45151</v>
      </c>
      <c r="H24" s="356" t="str">
        <f>IFERROR(__xludf.DUMMYFUNCTION("""COMPUTED_VALUE"""),"10:00")</f>
        <v>10:00</v>
      </c>
      <c r="I24" s="357" t="str">
        <f>IFERROR(__xludf.DUMMYFUNCTION("""COMPUTED_VALUE"""),"Gamillie")</f>
        <v>Gamillie</v>
      </c>
      <c r="J24" s="358" t="str">
        <f>IFERROR(__xludf.DUMMYFUNCTION("""COMPUTED_VALUE"""),"blpka")</f>
        <v>blpka</v>
      </c>
      <c r="K24" s="368" t="str">
        <f>IFERROR(__xludf.DUMMYFUNCTION("""COMPUTED_VALUE"""),"Team name pending xd")</f>
        <v>Team name pending xd</v>
      </c>
      <c r="L24" s="359"/>
      <c r="M24" s="360"/>
      <c r="N24" s="361"/>
      <c r="O24" s="365" t="str">
        <f>IFERROR(__xludf.DUMMYFUNCTION("""COMPUTED_VALUE"""),"https://osu.ppy.sh/mp/109973026")</f>
        <v>https://osu.ppy.sh/mp/109973026</v>
      </c>
      <c r="P24" s="362"/>
      <c r="Q24" s="333"/>
      <c r="R24" s="4"/>
      <c r="S24" s="4"/>
      <c r="T24" s="4"/>
    </row>
    <row r="25" ht="18.75" customHeight="1">
      <c r="A25" s="331"/>
      <c r="B25" s="333"/>
      <c r="C25" s="363"/>
      <c r="D25" s="333"/>
      <c r="E25" s="353" t="str">
        <f>IFERROR(__xludf.DUMMYFUNCTION("""COMPUTED_VALUE"""),"B7")</f>
        <v>B7</v>
      </c>
      <c r="F25" s="364" t="str">
        <f>IFERROR(__xludf.DUMMYFUNCTION("""COMPUTED_VALUE"""),"3 / 5")</f>
        <v>3 / 5</v>
      </c>
      <c r="G25" s="355">
        <f>IFERROR(__xludf.DUMMYFUNCTION("""COMPUTED_VALUE"""),45151.0)</f>
        <v>45151</v>
      </c>
      <c r="H25" s="356" t="str">
        <f>IFERROR(__xludf.DUMMYFUNCTION("""COMPUTED_VALUE"""),"12:00")</f>
        <v>12:00</v>
      </c>
      <c r="I25" s="357" t="str">
        <f>IFERROR(__xludf.DUMMYFUNCTION("""COMPUTED_VALUE"""),"BlooMertz")</f>
        <v>BlooMertz</v>
      </c>
      <c r="J25" s="358" t="str">
        <f>IFERROR(__xludf.DUMMYFUNCTION("""COMPUTED_VALUE"""),"Tom and Jerry")</f>
        <v>Tom and Jerry</v>
      </c>
      <c r="K25" s="358" t="str">
        <f>IFERROR(__xludf.DUMMYFUNCTION("""COMPUTED_VALUE"""),"VN+1")</f>
        <v>VN+1</v>
      </c>
      <c r="L25" s="359" t="str">
        <f>IFERROR(__xludf.DUMMYFUNCTION("""COMPUTED_VALUE"""),"LongTreep")</f>
        <v>LongTreep</v>
      </c>
      <c r="M25" s="360"/>
      <c r="N25" s="361"/>
      <c r="O25" s="365" t="str">
        <f>IFERROR(__xludf.DUMMYFUNCTION("""COMPUTED_VALUE"""),"https://osu.ppy.sh/community/matches/109973994")</f>
        <v>https://osu.ppy.sh/community/matches/109973994</v>
      </c>
      <c r="P25" s="362"/>
      <c r="Q25" s="333"/>
      <c r="R25" s="4"/>
      <c r="S25" s="4"/>
      <c r="T25" s="4"/>
    </row>
    <row r="26" ht="18.75" customHeight="1">
      <c r="A26" s="331"/>
      <c r="B26" s="333"/>
      <c r="C26" s="363"/>
      <c r="D26" s="333"/>
      <c r="E26" s="353" t="str">
        <f>IFERROR(__xludf.DUMMYFUNCTION("""COMPUTED_VALUE"""),"B8")</f>
        <v>B8</v>
      </c>
      <c r="F26" s="364" t="str">
        <f>IFERROR(__xludf.DUMMYFUNCTION("""COMPUTED_VALUE"""),"-")</f>
        <v>-</v>
      </c>
      <c r="G26" s="355">
        <f>IFERROR(__xludf.DUMMYFUNCTION("""COMPUTED_VALUE"""),45151.0)</f>
        <v>45151</v>
      </c>
      <c r="H26" s="356" t="str">
        <f>IFERROR(__xludf.DUMMYFUNCTION("""COMPUTED_VALUE"""),"14:00")</f>
        <v>14:00</v>
      </c>
      <c r="I26" s="370"/>
      <c r="J26" s="358"/>
      <c r="K26" s="358"/>
      <c r="L26" s="359"/>
      <c r="M26" s="360"/>
      <c r="N26" s="361"/>
      <c r="O26" s="367"/>
      <c r="P26" s="362"/>
      <c r="Q26" s="333"/>
      <c r="R26" s="4"/>
      <c r="S26" s="4"/>
      <c r="T26" s="4"/>
    </row>
    <row r="27" ht="18.75" customHeight="1">
      <c r="A27" s="331"/>
      <c r="B27" s="333"/>
      <c r="C27" s="363"/>
      <c r="D27" s="333"/>
      <c r="E27" s="353" t="str">
        <f>IFERROR(__xludf.DUMMYFUNCTION("""COMPUTED_VALUE"""),"B9")</f>
        <v>B9</v>
      </c>
      <c r="F27" s="364" t="str">
        <f>IFERROR(__xludf.DUMMYFUNCTION("""COMPUTED_VALUE"""),"4 / 5")</f>
        <v>4 / 5</v>
      </c>
      <c r="G27" s="355">
        <f>IFERROR(__xludf.DUMMYFUNCTION("""COMPUTED_VALUE"""),45151.0)</f>
        <v>45151</v>
      </c>
      <c r="H27" s="356" t="str">
        <f>IFERROR(__xludf.DUMMYFUNCTION("""COMPUTED_VALUE"""),"16:00")</f>
        <v>16:00</v>
      </c>
      <c r="I27" s="370" t="str">
        <f>IFERROR(__xludf.DUMMYFUNCTION("""COMPUTED_VALUE"""),"Emerald Ages")</f>
        <v>Emerald Ages</v>
      </c>
      <c r="J27" s="358" t="str">
        <f>IFERROR(__xludf.DUMMYFUNCTION("""COMPUTED_VALUE"""),"Koteykaaa team")</f>
        <v>Koteykaaa team</v>
      </c>
      <c r="K27" s="358" t="str">
        <f>IFERROR(__xludf.DUMMYFUNCTION("""COMPUTED_VALUE"""),"Angleseekers")</f>
        <v>Angleseekers</v>
      </c>
      <c r="L27" s="359" t="str">
        <f>IFERROR(__xludf.DUMMYFUNCTION("""COMPUTED_VALUE"""),"Ahjin")</f>
        <v>Ahjin</v>
      </c>
      <c r="M27" s="360" t="str">
        <f>IFERROR(__xludf.DUMMYFUNCTION("""COMPUTED_VALUE"""),"The sleepers")</f>
        <v>The sleepers</v>
      </c>
      <c r="N27" s="361"/>
      <c r="O27" s="365" t="str">
        <f>IFERROR(__xludf.DUMMYFUNCTION("""COMPUTED_VALUE"""),"https://osu.ppy.sh/community/matches/109977543")</f>
        <v>https://osu.ppy.sh/community/matches/109977543</v>
      </c>
      <c r="P27" s="362"/>
      <c r="Q27" s="333"/>
      <c r="R27" s="4"/>
      <c r="S27" s="4"/>
      <c r="T27" s="4"/>
    </row>
    <row r="28" ht="18.75" customHeight="1">
      <c r="A28" s="331"/>
      <c r="B28" s="333"/>
      <c r="C28" s="363"/>
      <c r="D28" s="333"/>
      <c r="E28" s="353" t="str">
        <f>IFERROR(__xludf.DUMMYFUNCTION("""COMPUTED_VALUE"""),"B10")</f>
        <v>B10</v>
      </c>
      <c r="F28" s="364" t="str">
        <f>IFERROR(__xludf.DUMMYFUNCTION("""COMPUTED_VALUE"""),"3 / 5")</f>
        <v>3 / 5</v>
      </c>
      <c r="G28" s="355">
        <f>IFERROR(__xludf.DUMMYFUNCTION("""COMPUTED_VALUE"""),45151.0)</f>
        <v>45151</v>
      </c>
      <c r="H28" s="356" t="str">
        <f>IFERROR(__xludf.DUMMYFUNCTION("""COMPUTED_VALUE"""),"18:00")</f>
        <v>18:00</v>
      </c>
      <c r="I28" s="370" t="str">
        <f>IFERROR(__xludf.DUMMYFUNCTION("""COMPUTED_VALUE"""),"BCraftMG")</f>
        <v>BCraftMG</v>
      </c>
      <c r="J28" s="358" t="str">
        <f>IFERROR(__xludf.DUMMYFUNCTION("""COMPUTED_VALUE"""),"hmmmm")</f>
        <v>hmmmm</v>
      </c>
      <c r="K28" s="358" t="str">
        <f>IFERROR(__xludf.DUMMYFUNCTION("""COMPUTED_VALUE"""),"The 3-star Threats")</f>
        <v>The 3-star Threats</v>
      </c>
      <c r="L28" s="359" t="str">
        <f>IFERROR(__xludf.DUMMYFUNCTION("""COMPUTED_VALUE"""),"Side Characters")</f>
        <v>Side Characters</v>
      </c>
      <c r="M28" s="360"/>
      <c r="N28" s="361"/>
      <c r="O28" s="365" t="str">
        <f>IFERROR(__xludf.DUMMYFUNCTION("""COMPUTED_VALUE"""),"https://osu.ppy.sh/community/matches/109979426")</f>
        <v>https://osu.ppy.sh/community/matches/109979426</v>
      </c>
      <c r="P28" s="362"/>
      <c r="Q28" s="333"/>
      <c r="R28" s="4"/>
      <c r="S28" s="4"/>
      <c r="T28" s="4"/>
    </row>
    <row r="29" ht="18.75" customHeight="1">
      <c r="A29" s="331"/>
      <c r="B29" s="333"/>
      <c r="C29" s="363"/>
      <c r="D29" s="333"/>
      <c r="E29" s="353" t="str">
        <f>IFERROR(__xludf.DUMMYFUNCTION("""COMPUTED_VALUE"""),"B11")</f>
        <v>B11</v>
      </c>
      <c r="F29" s="364" t="str">
        <f>IFERROR(__xludf.DUMMYFUNCTION("""COMPUTED_VALUE"""),"1 / 5")</f>
        <v>1 / 5</v>
      </c>
      <c r="G29" s="355">
        <f>IFERROR(__xludf.DUMMYFUNCTION("""COMPUTED_VALUE"""),45151.0)</f>
        <v>45151</v>
      </c>
      <c r="H29" s="356" t="str">
        <f>IFERROR(__xludf.DUMMYFUNCTION("""COMPUTED_VALUE"""),"20:00")</f>
        <v>20:00</v>
      </c>
      <c r="I29" s="370"/>
      <c r="J29" s="358" t="str">
        <f>IFERROR(__xludf.DUMMYFUNCTION("""COMPUTED_VALUE"""),"Retired Aces")</f>
        <v>Retired Aces</v>
      </c>
      <c r="K29" s="358"/>
      <c r="L29" s="359"/>
      <c r="M29" s="360"/>
      <c r="N29" s="361"/>
      <c r="O29" s="365" t="str">
        <f>IFERROR(__xludf.DUMMYFUNCTION("""COMPUTED_VALUE"""),"https://osu.ppy.sh/community/matches/109980924")</f>
        <v>https://osu.ppy.sh/community/matches/109980924</v>
      </c>
      <c r="P29" s="362"/>
      <c r="Q29" s="333"/>
      <c r="R29" s="4"/>
      <c r="S29" s="4"/>
      <c r="T29" s="4"/>
    </row>
    <row r="30" ht="18.75" customHeight="1">
      <c r="A30" s="331"/>
      <c r="B30" s="333"/>
      <c r="C30" s="363"/>
      <c r="D30" s="333"/>
      <c r="E30" s="353" t="str">
        <f>IFERROR(__xludf.DUMMYFUNCTION("""COMPUTED_VALUE"""),"B12")</f>
        <v>B12</v>
      </c>
      <c r="F30" s="364" t="str">
        <f>IFERROR(__xludf.DUMMYFUNCTION("""COMPUTED_VALUE"""),"2 / 5")</f>
        <v>2 / 5</v>
      </c>
      <c r="G30" s="355">
        <f>IFERROR(__xludf.DUMMYFUNCTION("""COMPUTED_VALUE"""),45151.0)</f>
        <v>45151</v>
      </c>
      <c r="H30" s="356" t="str">
        <f>IFERROR(__xludf.DUMMYFUNCTION("""COMPUTED_VALUE"""),"22:00")</f>
        <v>22:00</v>
      </c>
      <c r="I30" s="370" t="str">
        <f>IFERROR(__xludf.DUMMYFUNCTION("""COMPUTED_VALUE"""),"play hd3")</f>
        <v>play hd3</v>
      </c>
      <c r="J30" s="358" t="str">
        <f>IFERROR(__xludf.DUMMYFUNCTION("""COMPUTED_VALUE"""),"The Michis Gang")</f>
        <v>The Michis Gang</v>
      </c>
      <c r="K30" s="358" t="str">
        <f>IFERROR(__xludf.DUMMYFUNCTION("""COMPUTED_VALUE"""),"middle-schooler wife")</f>
        <v>middle-schooler wife</v>
      </c>
      <c r="L30" s="359"/>
      <c r="M30" s="360"/>
      <c r="N30" s="361"/>
      <c r="O30" s="365" t="str">
        <f>IFERROR(__xludf.DUMMYFUNCTION("""COMPUTED_VALUE"""),"https://osu.ppy.sh/community/matches/109982967")</f>
        <v>https://osu.ppy.sh/community/matches/109982967</v>
      </c>
      <c r="P30" s="362"/>
      <c r="Q30" s="333"/>
      <c r="R30" s="4"/>
      <c r="S30" s="4"/>
      <c r="T30" s="4"/>
    </row>
    <row r="31" ht="18.75" customHeight="1">
      <c r="A31" s="331"/>
      <c r="B31" s="333"/>
      <c r="C31" s="369"/>
      <c r="D31" s="333"/>
      <c r="E31" s="353" t="str">
        <f>IFERROR(__xludf.DUMMYFUNCTION("""COMPUTED_VALUE"""),"B13")</f>
        <v>B13</v>
      </c>
      <c r="F31" s="364" t="str">
        <f>IFERROR(__xludf.DUMMYFUNCTION("""COMPUTED_VALUE"""),"-")</f>
        <v>-</v>
      </c>
      <c r="G31" s="355">
        <f>IFERROR(__xludf.DUMMYFUNCTION("""COMPUTED_VALUE"""),45151.0)</f>
        <v>45151</v>
      </c>
      <c r="H31" s="356" t="str">
        <f>IFERROR(__xludf.DUMMYFUNCTION("""COMPUTED_VALUE"""),"23:59")</f>
        <v>23:59</v>
      </c>
      <c r="I31" s="370"/>
      <c r="J31" s="358"/>
      <c r="K31" s="358"/>
      <c r="L31" s="359"/>
      <c r="M31" s="360"/>
      <c r="N31" s="361"/>
      <c r="O31" s="365" t="str">
        <f>IFERROR(__xludf.DUMMYFUNCTION("""COMPUTED_VALUE"""),"https://osu.ppy.sh/community/matches/109980360")</f>
        <v>https://osu.ppy.sh/community/matches/109980360</v>
      </c>
      <c r="P31" s="362"/>
      <c r="Q31" s="333"/>
      <c r="R31" s="4"/>
      <c r="S31" s="4"/>
      <c r="T31" s="4"/>
    </row>
    <row r="32" ht="18.75" customHeight="1">
      <c r="A32" s="331"/>
      <c r="B32" s="333"/>
      <c r="C32" s="333"/>
      <c r="D32" s="333"/>
      <c r="E32" s="353"/>
      <c r="F32" s="364"/>
      <c r="G32" s="355"/>
      <c r="H32" s="356"/>
      <c r="I32" s="370"/>
      <c r="J32" s="358"/>
      <c r="K32" s="358"/>
      <c r="L32" s="359"/>
      <c r="M32" s="360"/>
      <c r="N32" s="361"/>
      <c r="O32" s="367" t="str">
        <f>IFERROR(__xludf.DUMMYFUNCTION("""COMPUTED_VALUE"""),"^2nd mp for b10")</f>
        <v>^2nd mp for b10</v>
      </c>
      <c r="P32" s="362"/>
      <c r="Q32" s="333"/>
      <c r="R32" s="4"/>
      <c r="S32" s="4"/>
      <c r="T32" s="4"/>
    </row>
    <row r="33" ht="18.75" customHeight="1">
      <c r="A33" s="331"/>
      <c r="B33" s="333"/>
      <c r="C33" s="352" t="str">
        <f>IFERROR(__xludf.DUMMYFUNCTION("""COMPUTED_VALUE"""),"Custom Lobbies")</f>
        <v>Custom Lobbies</v>
      </c>
      <c r="D33" s="333"/>
      <c r="E33" s="353" t="str">
        <f>IFERROR(__xludf.DUMMYFUNCTION("""COMPUTED_VALUE"""),"C1")</f>
        <v>C1</v>
      </c>
      <c r="F33" s="364" t="str">
        <f>IFERROR(__xludf.DUMMYFUNCTION("""COMPUTED_VALUE"""),"1 / 5")</f>
        <v>1 / 5</v>
      </c>
      <c r="G33" s="355">
        <f>IFERROR(__xludf.DUMMYFUNCTION("""COMPUTED_VALUE"""),45149.0)</f>
        <v>45149</v>
      </c>
      <c r="H33" s="356" t="str">
        <f>IFERROR(__xludf.DUMMYFUNCTION("""COMPUTED_VALUE"""),"10:00")</f>
        <v>10:00</v>
      </c>
      <c r="I33" s="370" t="str">
        <f>IFERROR(__xludf.DUMMYFUNCTION("""COMPUTED_VALUE"""),"BlooMertz")</f>
        <v>BlooMertz</v>
      </c>
      <c r="J33" s="366" t="str">
        <f>IFERROR(__xludf.DUMMYFUNCTION("""COMPUTED_VALUE"""),"Chocomaid")</f>
        <v>Chocomaid</v>
      </c>
      <c r="K33" s="358"/>
      <c r="L33" s="359"/>
      <c r="M33" s="360"/>
      <c r="N33" s="361"/>
      <c r="O33" s="365" t="str">
        <f>IFERROR(__xludf.DUMMYFUNCTION("""COMPUTED_VALUE"""),"https://osu.ppy.sh/community/matches/109940745")</f>
        <v>https://osu.ppy.sh/community/matches/109940745</v>
      </c>
      <c r="P33" s="362"/>
      <c r="Q33" s="333"/>
      <c r="R33" s="4"/>
      <c r="S33" s="4"/>
      <c r="T33" s="4"/>
    </row>
    <row r="34" ht="18.75" customHeight="1">
      <c r="A34" s="331"/>
      <c r="B34" s="333"/>
      <c r="C34" s="363"/>
      <c r="D34" s="333"/>
      <c r="E34" s="353" t="str">
        <f>IFERROR(__xludf.DUMMYFUNCTION("""COMPUTED_VALUE"""),"C2")</f>
        <v>C2</v>
      </c>
      <c r="F34" s="364" t="str">
        <f>IFERROR(__xludf.DUMMYFUNCTION("""COMPUTED_VALUE"""),"2 / 5")</f>
        <v>2 / 5</v>
      </c>
      <c r="G34" s="355">
        <f>IFERROR(__xludf.DUMMYFUNCTION("""COMPUTED_VALUE"""),45149.0)</f>
        <v>45149</v>
      </c>
      <c r="H34" s="356" t="str">
        <f>IFERROR(__xludf.DUMMYFUNCTION("""COMPUTED_VALUE"""),"18:00")</f>
        <v>18:00</v>
      </c>
      <c r="I34" s="370" t="str">
        <f>IFERROR(__xludf.DUMMYFUNCTION("""COMPUTED_VALUE"""),"Ninja Mejster")</f>
        <v>Ninja Mejster</v>
      </c>
      <c r="J34" s="358" t="str">
        <f>IFERROR(__xludf.DUMMYFUNCTION("""COMPUTED_VALUE"""),"Sightread Buff")</f>
        <v>Sightread Buff</v>
      </c>
      <c r="K34" s="358" t="str">
        <f>IFERROR(__xludf.DUMMYFUNCTION("""COMPUTED_VALUE"""),"Flexgang")</f>
        <v>Flexgang</v>
      </c>
      <c r="L34" s="359"/>
      <c r="M34" s="360"/>
      <c r="N34" s="361"/>
      <c r="O34" s="365" t="str">
        <f>IFERROR(__xludf.DUMMYFUNCTION("""COMPUTED_VALUE"""),"https://osu.ppy.sh/community/matches/109946357")</f>
        <v>https://osu.ppy.sh/community/matches/109946357</v>
      </c>
      <c r="P34" s="362"/>
      <c r="Q34" s="333"/>
      <c r="R34" s="4"/>
      <c r="S34" s="4"/>
      <c r="T34" s="4"/>
    </row>
    <row r="35" ht="18.75" customHeight="1">
      <c r="A35" s="331"/>
      <c r="B35" s="333"/>
      <c r="C35" s="363"/>
      <c r="D35" s="333"/>
      <c r="E35" s="353" t="str">
        <f>IFERROR(__xludf.DUMMYFUNCTION("""COMPUTED_VALUE"""),"C3")</f>
        <v>C3</v>
      </c>
      <c r="F35" s="364" t="str">
        <f>IFERROR(__xludf.DUMMYFUNCTION("""COMPUTED_VALUE"""),"1 / 5")</f>
        <v>1 / 5</v>
      </c>
      <c r="G35" s="355">
        <f>IFERROR(__xludf.DUMMYFUNCTION("""COMPUTED_VALUE"""),45149.0)</f>
        <v>45149</v>
      </c>
      <c r="H35" s="356" t="str">
        <f>IFERROR(__xludf.DUMMYFUNCTION("""COMPUTED_VALUE"""),"15:00")</f>
        <v>15:00</v>
      </c>
      <c r="I35" s="370" t="str">
        <f>IFERROR(__xludf.DUMMYFUNCTION("""COMPUTED_VALUE"""),"Emerald Ages")</f>
        <v>Emerald Ages</v>
      </c>
      <c r="J35" s="358" t="str">
        <f>IFERROR(__xludf.DUMMYFUNCTION("""COMPUTED_VALUE"""),"underdogs ")</f>
        <v>underdogs </v>
      </c>
      <c r="K35" s="358"/>
      <c r="L35" s="359"/>
      <c r="M35" s="360"/>
      <c r="N35" s="361"/>
      <c r="O35" s="365" t="str">
        <f>IFERROR(__xludf.DUMMYFUNCTION("""COMPUTED_VALUE"""),"https://osu.ppy.sh/community/matches/109944141")</f>
        <v>https://osu.ppy.sh/community/matches/109944141</v>
      </c>
      <c r="P35" s="362"/>
      <c r="Q35" s="333"/>
      <c r="R35" s="4"/>
      <c r="S35" s="4"/>
      <c r="T35" s="4"/>
    </row>
    <row r="36" ht="18.75" customHeight="1">
      <c r="A36" s="331"/>
      <c r="B36" s="333"/>
      <c r="C36" s="363"/>
      <c r="D36" s="333"/>
      <c r="E36" s="353" t="str">
        <f>IFERROR(__xludf.DUMMYFUNCTION("""COMPUTED_VALUE"""),"C4")</f>
        <v>C4</v>
      </c>
      <c r="F36" s="364" t="str">
        <f>IFERROR(__xludf.DUMMYFUNCTION("""COMPUTED_VALUE"""),"1 / 5")</f>
        <v>1 / 5</v>
      </c>
      <c r="G36" s="355" t="str">
        <f>IFERROR(__xludf.DUMMYFUNCTION("""COMPUTED_VALUE"""),"Aug 11 (Friday)")</f>
        <v>Aug 11 (Friday)</v>
      </c>
      <c r="H36" s="356" t="str">
        <f>IFERROR(__xludf.DUMMYFUNCTION("""COMPUTED_VALUE""")," 14:30")</f>
        <v> 14:30</v>
      </c>
      <c r="I36" s="370" t="str">
        <f>IFERROR(__xludf.DUMMYFUNCTION("""COMPUTED_VALUE"""),"BCraftMG")</f>
        <v>BCraftMG</v>
      </c>
      <c r="J36" s="358" t="str">
        <f>IFERROR(__xludf.DUMMYFUNCTION("""COMPUTED_VALUE"""),"small wiener club")</f>
        <v>small wiener club</v>
      </c>
      <c r="K36" s="358"/>
      <c r="L36" s="359"/>
      <c r="M36" s="360"/>
      <c r="N36" s="361"/>
      <c r="O36" s="365" t="str">
        <f>IFERROR(__xludf.DUMMYFUNCTION("""COMPUTED_VALUE"""),"https://osu.ppy.sh/mp/109943699")</f>
        <v>https://osu.ppy.sh/mp/109943699</v>
      </c>
      <c r="P36" s="362"/>
      <c r="Q36" s="333"/>
      <c r="R36" s="4"/>
      <c r="S36" s="4"/>
      <c r="T36" s="4"/>
    </row>
    <row r="37" ht="18.75" customHeight="1">
      <c r="A37" s="331"/>
      <c r="B37" s="333"/>
      <c r="C37" s="363"/>
      <c r="D37" s="333"/>
      <c r="E37" s="353" t="str">
        <f>IFERROR(__xludf.DUMMYFUNCTION("""COMPUTED_VALUE"""),"C5")</f>
        <v>C5</v>
      </c>
      <c r="F37" s="364" t="str">
        <f>IFERROR(__xludf.DUMMYFUNCTION("""COMPUTED_VALUE"""),"3 / 5")</f>
        <v>3 / 5</v>
      </c>
      <c r="G37" s="355" t="str">
        <f>IFERROR(__xludf.DUMMYFUNCTION("""COMPUTED_VALUE"""),"Aug 12 (Saturday) ")</f>
        <v>Aug 12 (Saturday) </v>
      </c>
      <c r="H37" s="356" t="str">
        <f>IFERROR(__xludf.DUMMYFUNCTION("""COMPUTED_VALUE"""),"15:00")</f>
        <v>15:00</v>
      </c>
      <c r="I37" s="370" t="str">
        <f>IFERROR(__xludf.DUMMYFUNCTION("""COMPUTED_VALUE"""),"Emerald Ages")</f>
        <v>Emerald Ages</v>
      </c>
      <c r="J37" s="358" t="str">
        <f>IFERROR(__xludf.DUMMYFUNCTION("""COMPUTED_VALUE"""),"The Mat Munchers")</f>
        <v>The Mat Munchers</v>
      </c>
      <c r="K37" s="358" t="str">
        <f>IFERROR(__xludf.DUMMYFUNCTION("""COMPUTED_VALUE"""),"match in 15")</f>
        <v>match in 15</v>
      </c>
      <c r="L37" s="359" t="str">
        <f>IFERROR(__xludf.DUMMYFUNCTION("""COMPUTED_VALUE"""),"Ghost the Angel")</f>
        <v>Ghost the Angel</v>
      </c>
      <c r="M37" s="360"/>
      <c r="N37" s="361"/>
      <c r="O37" s="365" t="str">
        <f>IFERROR(__xludf.DUMMYFUNCTION("""COMPUTED_VALUE"""),"https://osu.ppy.sh/community/matches/109960051")</f>
        <v>https://osu.ppy.sh/community/matches/109960051</v>
      </c>
      <c r="P37" s="362"/>
      <c r="Q37" s="333"/>
      <c r="R37" s="4"/>
      <c r="S37" s="4"/>
      <c r="T37" s="4"/>
    </row>
    <row r="38" ht="18.75" customHeight="1">
      <c r="A38" s="331"/>
      <c r="B38" s="333"/>
      <c r="C38" s="363"/>
      <c r="D38" s="333"/>
      <c r="E38" s="353" t="str">
        <f>IFERROR(__xludf.DUMMYFUNCTION("""COMPUTED_VALUE"""),"C6")</f>
        <v>C6</v>
      </c>
      <c r="F38" s="364" t="str">
        <f>IFERROR(__xludf.DUMMYFUNCTION("""COMPUTED_VALUE"""),"1 / 5")</f>
        <v>1 / 5</v>
      </c>
      <c r="G38" s="355" t="str">
        <f>IFERROR(__xludf.DUMMYFUNCTION("""COMPUTED_VALUE"""),"Aug 11 (Friday)")</f>
        <v>Aug 11 (Friday)</v>
      </c>
      <c r="H38" s="356" t="str">
        <f>IFERROR(__xludf.DUMMYFUNCTION("""COMPUTED_VALUE"""),"3:00")</f>
        <v>3:00</v>
      </c>
      <c r="I38" s="370" t="str">
        <f>IFERROR(__xludf.DUMMYFUNCTION("""COMPUTED_VALUE"""),"-PeKoRa-")</f>
        <v>-PeKoRa-</v>
      </c>
      <c r="J38" s="358" t="str">
        <f>IFERROR(__xludf.DUMMYFUNCTION("""COMPUTED_VALUE"""),"Our team left us")</f>
        <v>Our team left us</v>
      </c>
      <c r="K38" s="358"/>
      <c r="L38" s="359"/>
      <c r="M38" s="360"/>
      <c r="N38" s="361"/>
      <c r="O38" s="365" t="str">
        <f>IFERROR(__xludf.DUMMYFUNCTION("""COMPUTED_VALUE"""),"https://osu.ppy.sh/community/matches/109937609")</f>
        <v>https://osu.ppy.sh/community/matches/109937609</v>
      </c>
      <c r="P38" s="362"/>
      <c r="Q38" s="333"/>
      <c r="R38" s="4"/>
      <c r="S38" s="4"/>
      <c r="T38" s="4"/>
    </row>
    <row r="39" ht="18.75" customHeight="1">
      <c r="A39" s="331"/>
      <c r="B39" s="333"/>
      <c r="C39" s="363"/>
      <c r="D39" s="333"/>
      <c r="E39" s="353" t="str">
        <f>IFERROR(__xludf.DUMMYFUNCTION("""COMPUTED_VALUE"""),"C7")</f>
        <v>C7</v>
      </c>
      <c r="F39" s="364" t="str">
        <f>IFERROR(__xludf.DUMMYFUNCTION("""COMPUTED_VALUE"""),"1 / 5")</f>
        <v>1 / 5</v>
      </c>
      <c r="G39" s="355" t="str">
        <f>IFERROR(__xludf.DUMMYFUNCTION("""COMPUTED_VALUE"""),"Aug 9 (Wednesday)")</f>
        <v>Aug 9 (Wednesday)</v>
      </c>
      <c r="H39" s="356" t="str">
        <f>IFERROR(__xludf.DUMMYFUNCTION("""COMPUTED_VALUE"""),"20:00")</f>
        <v>20:00</v>
      </c>
      <c r="I39" s="370" t="str">
        <f>IFERROR(__xludf.DUMMYFUNCTION("""COMPUTED_VALUE"""),"play hd3")</f>
        <v>play hd3</v>
      </c>
      <c r="J39" s="358" t="str">
        <f>IFERROR(__xludf.DUMMYFUNCTION("""COMPUTED_VALUE"""),"BOCCHER")</f>
        <v>BOCCHER</v>
      </c>
      <c r="K39" s="358"/>
      <c r="L39" s="359"/>
      <c r="M39" s="360"/>
      <c r="N39" s="361"/>
      <c r="O39" s="365" t="str">
        <f>IFERROR(__xludf.DUMMYFUNCTION("""COMPUTED_VALUE"""),"https://osu.ppy.sh/community/matches/109917698")</f>
        <v>https://osu.ppy.sh/community/matches/109917698</v>
      </c>
      <c r="P39" s="362"/>
      <c r="Q39" s="333"/>
      <c r="R39" s="4"/>
      <c r="S39" s="4"/>
      <c r="T39" s="4"/>
    </row>
    <row r="40" ht="18.75" customHeight="1">
      <c r="A40" s="331"/>
      <c r="B40" s="333"/>
      <c r="C40" s="363"/>
      <c r="D40" s="333"/>
      <c r="E40" s="353" t="str">
        <f>IFERROR(__xludf.DUMMYFUNCTION("""COMPUTED_VALUE"""),"C8")</f>
        <v>C8</v>
      </c>
      <c r="F40" s="364" t="str">
        <f>IFERROR(__xludf.DUMMYFUNCTION("""COMPUTED_VALUE"""),"1 / 5")</f>
        <v>1 / 5</v>
      </c>
      <c r="G40" s="355" t="str">
        <f>IFERROR(__xludf.DUMMYFUNCTION("""COMPUTED_VALUE"""),"Aug 13 (Sunday)")</f>
        <v>Aug 13 (Sunday)</v>
      </c>
      <c r="H40" s="356" t="str">
        <f>IFERROR(__xludf.DUMMYFUNCTION("""COMPUTED_VALUE"""),"1:00 ")</f>
        <v>1:00 </v>
      </c>
      <c r="I40" s="370" t="str">
        <f>IFERROR(__xludf.DUMMYFUNCTION("""COMPUTED_VALUE"""),"RudderFish07")</f>
        <v>RudderFish07</v>
      </c>
      <c r="J40" s="358" t="str">
        <f>IFERROR(__xludf.DUMMYFUNCTION("""COMPUTED_VALUE"""),"animefoot69")</f>
        <v>animefoot69</v>
      </c>
      <c r="K40" s="358"/>
      <c r="L40" s="359"/>
      <c r="M40" s="360"/>
      <c r="N40" s="361"/>
      <c r="O40" s="365" t="str">
        <f>IFERROR(__xludf.DUMMYFUNCTION("""COMPUTED_VALUE"""),"https://osu.ppy.sh/community/matches/109968332")</f>
        <v>https://osu.ppy.sh/community/matches/109968332</v>
      </c>
      <c r="P40" s="362"/>
      <c r="Q40" s="333"/>
      <c r="R40" s="4"/>
      <c r="S40" s="4"/>
      <c r="T40" s="4"/>
    </row>
    <row r="41" ht="18.75" customHeight="1">
      <c r="A41" s="331"/>
      <c r="B41" s="333"/>
      <c r="C41" s="363"/>
      <c r="D41" s="333"/>
      <c r="E41" s="353" t="str">
        <f>IFERROR(__xludf.DUMMYFUNCTION("""COMPUTED_VALUE"""),"C9")</f>
        <v>C9</v>
      </c>
      <c r="F41" s="364" t="str">
        <f>IFERROR(__xludf.DUMMYFUNCTION("""COMPUTED_VALUE"""),"-")</f>
        <v>-</v>
      </c>
      <c r="G41" s="355" t="str">
        <f>IFERROR(__xludf.DUMMYFUNCTION("""COMPUTED_VALUE"""),"Aug 13 (Sunday)")</f>
        <v>Aug 13 (Sunday)</v>
      </c>
      <c r="H41" s="356" t="str">
        <f>IFERROR(__xludf.DUMMYFUNCTION("""COMPUTED_VALUE"""),"15:30")</f>
        <v>15:30</v>
      </c>
      <c r="I41" s="370" t="str">
        <f>IFERROR(__xludf.DUMMYFUNCTION("""COMPUTED_VALUE"""),"-PeKoRa-")</f>
        <v>-PeKoRa-</v>
      </c>
      <c r="J41" s="358"/>
      <c r="K41" s="358"/>
      <c r="L41" s="359"/>
      <c r="M41" s="360"/>
      <c r="N41" s="361"/>
      <c r="O41" s="367"/>
      <c r="P41" s="362"/>
      <c r="Q41" s="333"/>
      <c r="R41" s="4"/>
      <c r="S41" s="4"/>
      <c r="T41" s="4"/>
    </row>
    <row r="42" ht="18.75" customHeight="1">
      <c r="A42" s="331"/>
      <c r="B42" s="333"/>
      <c r="C42" s="363"/>
      <c r="D42" s="333"/>
      <c r="E42" s="353" t="str">
        <f>IFERROR(__xludf.DUMMYFUNCTION("""COMPUTED_VALUE"""),"C10")</f>
        <v>C10</v>
      </c>
      <c r="F42" s="371" t="str">
        <f>IFERROR(__xludf.DUMMYFUNCTION("""COMPUTED_VALUE"""),"-")</f>
        <v>-</v>
      </c>
      <c r="G42" s="355" t="str">
        <f>IFERROR(__xludf.DUMMYFUNCTION("""COMPUTED_VALUE"""),"Aug 13 (Sunday)")</f>
        <v>Aug 13 (Sunday)</v>
      </c>
      <c r="H42" s="356" t="str">
        <f>IFERROR(__xludf.DUMMYFUNCTION("""COMPUTED_VALUE""")," 7:00")</f>
        <v> 7:00</v>
      </c>
      <c r="I42" s="370" t="str">
        <f>IFERROR(__xludf.DUMMYFUNCTION("""COMPUTED_VALUE"""),"BlooMertz")</f>
        <v>BlooMertz</v>
      </c>
      <c r="J42" s="358"/>
      <c r="K42" s="358"/>
      <c r="L42" s="359"/>
      <c r="M42" s="360"/>
      <c r="N42" s="361"/>
      <c r="O42" s="367"/>
      <c r="P42" s="362"/>
      <c r="Q42" s="23"/>
      <c r="R42" s="4"/>
      <c r="S42" s="4"/>
      <c r="T42" s="4"/>
    </row>
    <row r="43" ht="18.75" customHeight="1">
      <c r="A43" s="331"/>
      <c r="B43" s="333"/>
      <c r="C43" s="363"/>
      <c r="D43" s="333"/>
      <c r="E43" s="353" t="str">
        <f>IFERROR(__xludf.DUMMYFUNCTION("""COMPUTED_VALUE"""),"C11")</f>
        <v>C11</v>
      </c>
      <c r="F43" s="371" t="str">
        <f>IFERROR(__xludf.DUMMYFUNCTION("""COMPUTED_VALUE"""),"1 / 5")</f>
        <v>1 / 5</v>
      </c>
      <c r="G43" s="355" t="str">
        <f>IFERROR(__xludf.DUMMYFUNCTION("""COMPUTED_VALUE"""),"Aug 10 (Thursday)")</f>
        <v>Aug 10 (Thursday)</v>
      </c>
      <c r="H43" s="356" t="str">
        <f>IFERROR(__xludf.DUMMYFUNCTION("""COMPUTED_VALUE"""),"13:00")</f>
        <v>13:00</v>
      </c>
      <c r="I43" s="370" t="str">
        <f>IFERROR(__xludf.DUMMYFUNCTION("""COMPUTED_VALUE"""),"-PeKoRa-")</f>
        <v>-PeKoRa-</v>
      </c>
      <c r="J43" s="358" t="str">
        <f>IFERROR(__xludf.DUMMYFUNCTION("""COMPUTED_VALUE"""),"Cottonpickers")</f>
        <v>Cottonpickers</v>
      </c>
      <c r="K43" s="358"/>
      <c r="L43" s="359"/>
      <c r="M43" s="360"/>
      <c r="N43" s="361"/>
      <c r="O43" s="365" t="str">
        <f>IFERROR(__xludf.DUMMYFUNCTION("""COMPUTED_VALUE"""),"https://osu.ppy.sh/community/matches/109927223")</f>
        <v>https://osu.ppy.sh/community/matches/109927223</v>
      </c>
      <c r="P43" s="362"/>
      <c r="Q43" s="23"/>
      <c r="R43" s="4"/>
      <c r="S43" s="4"/>
      <c r="T43" s="4"/>
    </row>
    <row r="44" ht="18.75" customHeight="1">
      <c r="A44" s="331"/>
      <c r="B44" s="333"/>
      <c r="C44" s="363"/>
      <c r="D44" s="333"/>
      <c r="E44" s="353" t="str">
        <f>IFERROR(__xludf.DUMMYFUNCTION("""COMPUTED_VALUE"""),"C12")</f>
        <v>C12</v>
      </c>
      <c r="F44" s="371" t="str">
        <f>IFERROR(__xludf.DUMMYFUNCTION("""COMPUTED_VALUE"""),"1 / 5")</f>
        <v>1 / 5</v>
      </c>
      <c r="G44" s="355" t="str">
        <f>IFERROR(__xludf.DUMMYFUNCTION("""COMPUTED_VALUE"""),"Aug 10 (Thursday)")</f>
        <v>Aug 10 (Thursday)</v>
      </c>
      <c r="H44" s="356" t="str">
        <f>IFERROR(__xludf.DUMMYFUNCTION("""COMPUTED_VALUE"""),"16:00")</f>
        <v>16:00</v>
      </c>
      <c r="I44" s="370" t="str">
        <f>IFERROR(__xludf.DUMMYFUNCTION("""COMPUTED_VALUE"""),"Ninja Mejster")</f>
        <v>Ninja Mejster</v>
      </c>
      <c r="J44" s="358" t="str">
        <f>IFERROR(__xludf.DUMMYFUNCTION("""COMPUTED_VALUE"""),"Kittens")</f>
        <v>Kittens</v>
      </c>
      <c r="K44" s="358"/>
      <c r="L44" s="359"/>
      <c r="M44" s="360"/>
      <c r="N44" s="361"/>
      <c r="O44" s="365" t="str">
        <f>IFERROR(__xludf.DUMMYFUNCTION("""COMPUTED_VALUE"""),"https://osu.ppy.sh/community/matches/109929843")</f>
        <v>https://osu.ppy.sh/community/matches/109929843</v>
      </c>
      <c r="P44" s="362"/>
      <c r="Q44" s="23"/>
      <c r="R44" s="4"/>
      <c r="S44" s="4"/>
      <c r="T44" s="4"/>
    </row>
    <row r="45" ht="18.75" customHeight="1">
      <c r="A45" s="331"/>
      <c r="B45" s="333"/>
      <c r="C45" s="363"/>
      <c r="D45" s="333"/>
      <c r="E45" s="353" t="str">
        <f>IFERROR(__xludf.DUMMYFUNCTION("""COMPUTED_VALUE"""),"C13")</f>
        <v>C13</v>
      </c>
      <c r="F45" s="371" t="str">
        <f>IFERROR(__xludf.DUMMYFUNCTION("""COMPUTED_VALUE"""),"-")</f>
        <v>-</v>
      </c>
      <c r="G45" s="355" t="str">
        <f>IFERROR(__xludf.DUMMYFUNCTION("""COMPUTED_VALUE"""),"Aug 13 (Sunday)")</f>
        <v>Aug 13 (Sunday)</v>
      </c>
      <c r="H45" s="356" t="str">
        <f>IFERROR(__xludf.DUMMYFUNCTION("""COMPUTED_VALUE"""),"13:00")</f>
        <v>13:00</v>
      </c>
      <c r="I45" s="370" t="str">
        <f>IFERROR(__xludf.DUMMYFUNCTION("""COMPUTED_VALUE"""),"Gamillie")</f>
        <v>Gamillie</v>
      </c>
      <c r="J45" s="368"/>
      <c r="K45" s="358"/>
      <c r="L45" s="359"/>
      <c r="M45" s="360"/>
      <c r="N45" s="361"/>
      <c r="O45" s="367"/>
      <c r="P45" s="362"/>
      <c r="Q45" s="23"/>
      <c r="R45" s="4"/>
      <c r="S45" s="4"/>
      <c r="T45" s="4"/>
    </row>
    <row r="46" ht="18.75" customHeight="1">
      <c r="A46" s="331"/>
      <c r="B46" s="333"/>
      <c r="C46" s="363"/>
      <c r="D46" s="333"/>
      <c r="E46" s="353" t="str">
        <f>IFERROR(__xludf.DUMMYFUNCTION("""COMPUTED_VALUE"""),"C14")</f>
        <v>C14</v>
      </c>
      <c r="F46" s="371" t="str">
        <f>IFERROR(__xludf.DUMMYFUNCTION("""COMPUTED_VALUE"""),"2 / 5")</f>
        <v>2 / 5</v>
      </c>
      <c r="G46" s="355" t="str">
        <f>IFERROR(__xludf.DUMMYFUNCTION("""COMPUTED_VALUE"""),"Aug 11 (Friday)")</f>
        <v>Aug 11 (Friday)</v>
      </c>
      <c r="H46" s="356" t="str">
        <f>IFERROR(__xludf.DUMMYFUNCTION("""COMPUTED_VALUE"""),"14:00")</f>
        <v>14:00</v>
      </c>
      <c r="I46" s="370" t="str">
        <f>IFERROR(__xludf.DUMMYFUNCTION("""COMPUTED_VALUE"""),"Emerald Ages")</f>
        <v>Emerald Ages</v>
      </c>
      <c r="J46" s="358" t="str">
        <f>IFERROR(__xludf.DUMMYFUNCTION("""COMPUTED_VALUE"""),"placeholder teamname")</f>
        <v>placeholder teamname</v>
      </c>
      <c r="K46" s="358" t="str">
        <f>IFERROR(__xludf.DUMMYFUNCTION("""COMPUTED_VALUE"""),"DSE victims")</f>
        <v>DSE victims</v>
      </c>
      <c r="L46" s="359"/>
      <c r="M46" s="360"/>
      <c r="N46" s="361"/>
      <c r="O46" s="365" t="str">
        <f>IFERROR(__xludf.DUMMYFUNCTION("""COMPUTED_VALUE"""),"https://osu.ppy.sh/community/matches/109943247")</f>
        <v>https://osu.ppy.sh/community/matches/109943247</v>
      </c>
      <c r="P46" s="362"/>
      <c r="Q46" s="23"/>
      <c r="R46" s="4"/>
      <c r="S46" s="4"/>
      <c r="T46" s="4"/>
    </row>
    <row r="47" ht="18.75" customHeight="1">
      <c r="A47" s="331"/>
      <c r="B47" s="333"/>
      <c r="C47" s="363"/>
      <c r="D47" s="333"/>
      <c r="E47" s="353" t="str">
        <f>IFERROR(__xludf.DUMMYFUNCTION("""COMPUTED_VALUE"""),"C15")</f>
        <v>C15</v>
      </c>
      <c r="F47" s="371" t="str">
        <f>IFERROR(__xludf.DUMMYFUNCTION("""COMPUTED_VALUE"""),"1 / 5")</f>
        <v>1 / 5</v>
      </c>
      <c r="G47" s="355" t="str">
        <f>IFERROR(__xludf.DUMMYFUNCTION("""COMPUTED_VALUE"""),"Aug 11 (Friday)")</f>
        <v>Aug 11 (Friday)</v>
      </c>
      <c r="H47" s="356" t="str">
        <f>IFERROR(__xludf.DUMMYFUNCTION("""COMPUTED_VALUE"""),"15:00")</f>
        <v>15:00</v>
      </c>
      <c r="I47" s="370" t="str">
        <f>IFERROR(__xludf.DUMMYFUNCTION("""COMPUTED_VALUE"""),"BCraftMG")</f>
        <v>BCraftMG</v>
      </c>
      <c r="J47" s="368" t="str">
        <f>IFERROR(__xludf.DUMMYFUNCTION("""COMPUTED_VALUE"""),"female ass wrestling")</f>
        <v>female ass wrestling</v>
      </c>
      <c r="K47" s="358"/>
      <c r="L47" s="359"/>
      <c r="M47" s="360"/>
      <c r="N47" s="361"/>
      <c r="O47" s="365" t="str">
        <f>IFERROR(__xludf.DUMMYFUNCTION("""COMPUTED_VALUE"""),"https://osu.ppy.sh/community/matches/109944161")</f>
        <v>https://osu.ppy.sh/community/matches/109944161</v>
      </c>
      <c r="P47" s="362"/>
      <c r="Q47" s="23"/>
      <c r="R47" s="4"/>
      <c r="S47" s="4"/>
      <c r="T47" s="4"/>
    </row>
    <row r="48" ht="18.75" customHeight="1">
      <c r="A48" s="331"/>
      <c r="B48" s="333"/>
      <c r="C48" s="363"/>
      <c r="D48" s="333"/>
      <c r="E48" s="353" t="str">
        <f>IFERROR(__xludf.DUMMYFUNCTION("""COMPUTED_VALUE"""),"C16")</f>
        <v>C16</v>
      </c>
      <c r="F48" s="371" t="str">
        <f>IFERROR(__xludf.DUMMYFUNCTION("""COMPUTED_VALUE"""),"1 / 5")</f>
        <v>1 / 5</v>
      </c>
      <c r="G48" s="355" t="str">
        <f>IFERROR(__xludf.DUMMYFUNCTION("""COMPUTED_VALUE"""),"Aug 11 (Friday)")</f>
        <v>Aug 11 (Friday)</v>
      </c>
      <c r="H48" s="356" t="str">
        <f>IFERROR(__xludf.DUMMYFUNCTION("""COMPUTED_VALUE"""),"20.00")</f>
        <v>20.00</v>
      </c>
      <c r="I48" s="370" t="str">
        <f>IFERROR(__xludf.DUMMYFUNCTION("""COMPUTED_VALUE"""),"Ninja Mejster")</f>
        <v>Ninja Mejster</v>
      </c>
      <c r="J48" s="358" t="str">
        <f>IFERROR(__xludf.DUMMYFUNCTION("""COMPUTED_VALUE"""),"Dino Nuggies ")</f>
        <v>Dino Nuggies </v>
      </c>
      <c r="K48" s="358"/>
      <c r="L48" s="359"/>
      <c r="M48" s="360"/>
      <c r="N48" s="361"/>
      <c r="O48" s="365" t="str">
        <f>IFERROR(__xludf.DUMMYFUNCTION("""COMPUTED_VALUE"""),"https://osu.ppy.sh/community/matches/109949863")</f>
        <v>https://osu.ppy.sh/community/matches/109949863</v>
      </c>
      <c r="P48" s="362"/>
      <c r="Q48" s="23"/>
      <c r="R48" s="4"/>
      <c r="S48" s="4"/>
      <c r="T48" s="4"/>
    </row>
    <row r="49" ht="18.75" customHeight="1">
      <c r="A49" s="331"/>
      <c r="B49" s="333"/>
      <c r="C49" s="363"/>
      <c r="D49" s="333"/>
      <c r="E49" s="353" t="str">
        <f>IFERROR(__xludf.DUMMYFUNCTION("""COMPUTED_VALUE"""),"C17")</f>
        <v>C17</v>
      </c>
      <c r="F49" s="371" t="str">
        <f>IFERROR(__xludf.DUMMYFUNCTION("""COMPUTED_VALUE"""),"2 / 5")</f>
        <v>2 / 5</v>
      </c>
      <c r="G49" s="355" t="str">
        <f>IFERROR(__xludf.DUMMYFUNCTION("""COMPUTED_VALUE"""),"Aug 13 (Sunday)")</f>
        <v>Aug 13 (Sunday)</v>
      </c>
      <c r="H49" s="356" t="str">
        <f>IFERROR(__xludf.DUMMYFUNCTION("""COMPUTED_VALUE"""),"15.00")</f>
        <v>15.00</v>
      </c>
      <c r="I49" s="370" t="str">
        <f>IFERROR(__xludf.DUMMYFUNCTION("""COMPUTED_VALUE"""),"-PeKoRa-")</f>
        <v>-PeKoRa-</v>
      </c>
      <c r="J49" s="358" t="str">
        <f>IFERROR(__xludf.DUMMYFUNCTION("""COMPUTED_VALUE"""),"Skills issue")</f>
        <v>Skills issue</v>
      </c>
      <c r="K49" s="358" t="str">
        <f>IFERROR(__xludf.DUMMYFUNCTION("""COMPUTED_VALUE"""),"lowrank is my love")</f>
        <v>lowrank is my love</v>
      </c>
      <c r="L49" s="359"/>
      <c r="M49" s="360"/>
      <c r="N49" s="361"/>
      <c r="O49" s="365" t="str">
        <f>IFERROR(__xludf.DUMMYFUNCTION("""COMPUTED_VALUE"""),"https://osu.ppy.sh/community/matches/109976488")</f>
        <v>https://osu.ppy.sh/community/matches/109976488</v>
      </c>
      <c r="P49" s="362"/>
      <c r="Q49" s="23"/>
      <c r="R49" s="4"/>
      <c r="S49" s="4"/>
      <c r="T49" s="4"/>
    </row>
    <row r="50" ht="18.75" customHeight="1">
      <c r="A50" s="331"/>
      <c r="B50" s="333"/>
      <c r="C50" s="363"/>
      <c r="D50" s="333"/>
      <c r="E50" s="353" t="str">
        <f>IFERROR(__xludf.DUMMYFUNCTION("""COMPUTED_VALUE"""),"C18")</f>
        <v>C18</v>
      </c>
      <c r="F50" s="371" t="str">
        <f>IFERROR(__xludf.DUMMYFUNCTION("""COMPUTED_VALUE"""),"1 / 5")</f>
        <v>1 / 5</v>
      </c>
      <c r="G50" s="355" t="str">
        <f>IFERROR(__xludf.DUMMYFUNCTION("""COMPUTED_VALUE"""),"Aug 12 (Saturday) ")</f>
        <v>Aug 12 (Saturday) </v>
      </c>
      <c r="H50" s="356" t="str">
        <f>IFERROR(__xludf.DUMMYFUNCTION("""COMPUTED_VALUE"""),"20:00")</f>
        <v>20:00</v>
      </c>
      <c r="I50" s="370" t="str">
        <f>IFERROR(__xludf.DUMMYFUNCTION("""COMPUTED_VALUE"""),"[-Gabys-]")</f>
        <v>[-Gabys-]</v>
      </c>
      <c r="J50" s="368" t="str">
        <f>IFERROR(__xludf.DUMMYFUNCTION("""COMPUTED_VALUE"""),"Homossexual Students")</f>
        <v>Homossexual Students</v>
      </c>
      <c r="K50" s="358"/>
      <c r="L50" s="359"/>
      <c r="M50" s="360"/>
      <c r="N50" s="361"/>
      <c r="O50" s="365" t="str">
        <f>IFERROR(__xludf.DUMMYFUNCTION("""COMPUTED_VALUE"""),"https://osu.ppy.sh/community/matches/109964627")</f>
        <v>https://osu.ppy.sh/community/matches/109964627</v>
      </c>
      <c r="P50" s="362"/>
      <c r="Q50" s="23"/>
      <c r="R50" s="4"/>
      <c r="S50" s="4"/>
      <c r="T50" s="4"/>
    </row>
    <row r="51" ht="18.75" customHeight="1">
      <c r="A51" s="331"/>
      <c r="B51" s="333"/>
      <c r="C51" s="369"/>
      <c r="D51" s="333"/>
      <c r="E51" s="353" t="str">
        <f>IFERROR(__xludf.DUMMYFUNCTION("""COMPUTED_VALUE"""),"C19")</f>
        <v>C19</v>
      </c>
      <c r="F51" s="371" t="str">
        <f>IFERROR(__xludf.DUMMYFUNCTION("""COMPUTED_VALUE"""),"1 / 5")</f>
        <v>1 / 5</v>
      </c>
      <c r="G51" s="355" t="str">
        <f>IFERROR(__xludf.DUMMYFUNCTION("""COMPUTED_VALUE"""),"Aug 12 (Saturday) ")</f>
        <v>Aug 12 (Saturday) </v>
      </c>
      <c r="H51" s="356" t="str">
        <f>IFERROR(__xludf.DUMMYFUNCTION("""COMPUTED_VALUE"""),"22:30")</f>
        <v>22:30</v>
      </c>
      <c r="I51" s="370" t="str">
        <f>IFERROR(__xludf.DUMMYFUNCTION("""COMPUTED_VALUE"""),"play hd3")</f>
        <v>play hd3</v>
      </c>
      <c r="J51" s="358" t="str">
        <f>IFERROR(__xludf.DUMMYFUNCTION("""COMPUTED_VALUE"""),"jedrew")</f>
        <v>jedrew</v>
      </c>
      <c r="K51" s="358"/>
      <c r="L51" s="359"/>
      <c r="M51" s="360"/>
      <c r="N51" s="361"/>
      <c r="O51" s="365" t="str">
        <f>IFERROR(__xludf.DUMMYFUNCTION("""COMPUTED_VALUE"""),"https://osu.ppy.sh/community/matches/109966782")</f>
        <v>https://osu.ppy.sh/community/matches/109966782</v>
      </c>
      <c r="P51" s="362"/>
      <c r="Q51" s="23"/>
      <c r="R51" s="4"/>
      <c r="S51" s="4"/>
      <c r="T51" s="4"/>
    </row>
    <row r="52" ht="18.75" customHeight="1">
      <c r="A52" s="331"/>
      <c r="B52" s="333"/>
      <c r="C52" s="333"/>
      <c r="D52" s="333"/>
      <c r="E52" s="372" t="str">
        <f>IFERROR(__xludf.DUMMYFUNCTION("""COMPUTED_VALUE"""),"C20")</f>
        <v>C20</v>
      </c>
      <c r="F52" s="373" t="str">
        <f>IFERROR(__xludf.DUMMYFUNCTION("""COMPUTED_VALUE"""),"1 / 5")</f>
        <v>1 / 5</v>
      </c>
      <c r="G52" s="374" t="str">
        <f>IFERROR(__xludf.DUMMYFUNCTION("""COMPUTED_VALUE"""),"Aug 13 (Sunday)")</f>
        <v>Aug 13 (Sunday)</v>
      </c>
      <c r="H52" s="375" t="str">
        <f>IFERROR(__xludf.DUMMYFUNCTION("""COMPUTED_VALUE"""),"17:00")</f>
        <v>17:00</v>
      </c>
      <c r="I52" s="376" t="str">
        <f>IFERROR(__xludf.DUMMYFUNCTION("""COMPUTED_VALUE"""),"Emerald Ages")</f>
        <v>Emerald Ages</v>
      </c>
      <c r="J52" s="377" t="str">
        <f>IFERROR(__xludf.DUMMYFUNCTION("""COMPUTED_VALUE"""),"equipe câo")</f>
        <v>equipe câo</v>
      </c>
      <c r="K52" s="377"/>
      <c r="L52" s="378"/>
      <c r="M52" s="379"/>
      <c r="N52" s="380"/>
      <c r="O52" s="381" t="str">
        <f>IFERROR(__xludf.DUMMYFUNCTION("""COMPUTED_VALUE"""),"https://osu.ppy.sh/community/matches/109978422")</f>
        <v>https://osu.ppy.sh/community/matches/109978422</v>
      </c>
      <c r="P52" s="382"/>
      <c r="Q52" s="23"/>
      <c r="R52" s="4"/>
      <c r="S52" s="4"/>
      <c r="T52" s="4"/>
    </row>
    <row r="53">
      <c r="A53" s="331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4"/>
      <c r="P53" s="333"/>
      <c r="Q53" s="23"/>
      <c r="R53" s="4"/>
      <c r="S53" s="4"/>
      <c r="T53" s="4"/>
    </row>
    <row r="54" ht="7.5" customHeight="1">
      <c r="A54" s="331"/>
      <c r="B54" s="331"/>
      <c r="C54" s="331"/>
      <c r="D54" s="331"/>
      <c r="E54" s="331"/>
      <c r="F54" s="331"/>
      <c r="G54" s="331"/>
      <c r="H54" s="331"/>
      <c r="I54" s="331"/>
      <c r="J54" s="331"/>
      <c r="K54" s="331"/>
      <c r="L54" s="331"/>
      <c r="M54" s="331"/>
      <c r="N54" s="331"/>
      <c r="O54" s="332"/>
      <c r="P54" s="331"/>
      <c r="Q54" s="4"/>
      <c r="R54" s="4"/>
      <c r="S54" s="4"/>
      <c r="T54" s="4"/>
    </row>
  </sheetData>
  <mergeCells count="5">
    <mergeCell ref="E3:K3"/>
    <mergeCell ref="M3:O3"/>
    <mergeCell ref="C6:C17"/>
    <mergeCell ref="C19:C31"/>
    <mergeCell ref="C33:C51"/>
  </mergeCells>
  <conditionalFormatting sqref="O6:O52">
    <cfRule type="containsBlanks" dxfId="14" priority="1">
      <formula>LEN(TRIM(O6))=0</formula>
    </cfRule>
  </conditionalFormatting>
  <conditionalFormatting sqref="E6:E52">
    <cfRule type="expression" dxfId="15" priority="2">
      <formula>O6:O52=""</formula>
    </cfRule>
  </conditionalFormatting>
  <hyperlinks>
    <hyperlink r:id="rId1" ref="O7"/>
    <hyperlink r:id="rId2" ref="O8"/>
    <hyperlink r:id="rId3" ref="O9"/>
    <hyperlink r:id="rId4" ref="O11"/>
    <hyperlink r:id="rId5" ref="O12"/>
    <hyperlink r:id="rId6" ref="O13"/>
    <hyperlink r:id="rId7" ref="O15"/>
    <hyperlink r:id="rId8" ref="O16"/>
    <hyperlink r:id="rId9" ref="O17"/>
    <hyperlink r:id="rId10" ref="O19"/>
    <hyperlink r:id="rId11" ref="O21"/>
    <hyperlink r:id="rId12" ref="O23"/>
    <hyperlink r:id="rId13" ref="O24"/>
    <hyperlink r:id="rId14" ref="O25"/>
    <hyperlink r:id="rId15" ref="O27"/>
    <hyperlink r:id="rId16" ref="O28"/>
    <hyperlink r:id="rId17" ref="O29"/>
    <hyperlink r:id="rId18" ref="O30"/>
    <hyperlink r:id="rId19" ref="O31"/>
    <hyperlink r:id="rId20" ref="O33"/>
    <hyperlink r:id="rId21" ref="O34"/>
    <hyperlink r:id="rId22" ref="O35"/>
    <hyperlink r:id="rId23" ref="O36"/>
    <hyperlink r:id="rId24" ref="O37"/>
    <hyperlink r:id="rId25" ref="O38"/>
    <hyperlink r:id="rId26" ref="O39"/>
    <hyperlink r:id="rId27" ref="O40"/>
    <hyperlink r:id="rId28" ref="O43"/>
    <hyperlink r:id="rId29" ref="O44"/>
    <hyperlink r:id="rId30" ref="O46"/>
    <hyperlink r:id="rId31" ref="O47"/>
    <hyperlink r:id="rId32" ref="O48"/>
    <hyperlink r:id="rId33" ref="O49"/>
    <hyperlink r:id="rId34" ref="O50"/>
    <hyperlink r:id="rId35" ref="O51"/>
    <hyperlink r:id="rId36" ref="O52"/>
  </hyperlinks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2D628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.38"/>
    <col customWidth="1" min="3" max="3" width="3.88"/>
    <col customWidth="1" min="4" max="6" width="1.38"/>
    <col customWidth="1" min="7" max="7" width="12.63"/>
    <col customWidth="1" min="8" max="8" width="1.38"/>
    <col customWidth="1" min="9" max="9" width="12.63"/>
    <col customWidth="1" min="10" max="10" width="1.38"/>
    <col customWidth="1" min="11" max="11" width="12.63"/>
    <col customWidth="1" min="12" max="12" width="1.38"/>
    <col customWidth="1" min="13" max="13" width="12.63"/>
    <col customWidth="1" min="14" max="14" width="1.38"/>
    <col customWidth="1" min="15" max="15" width="12.38"/>
    <col customWidth="1" min="16" max="18" width="1.38"/>
    <col customWidth="1" min="19" max="19" width="2.63"/>
    <col customWidth="1" min="20" max="20" width="1.38"/>
    <col customWidth="1" min="21" max="21" width="3.88"/>
    <col customWidth="1" min="22" max="24" width="1.38"/>
    <col customWidth="1" min="25" max="25" width="12.63"/>
    <col customWidth="1" min="26" max="26" width="1.38"/>
    <col customWidth="1" min="27" max="27" width="12.63"/>
    <col customWidth="1" min="28" max="28" width="1.38"/>
    <col customWidth="1" min="29" max="29" width="12.63"/>
    <col customWidth="1" min="30" max="30" width="1.38"/>
    <col customWidth="1" min="31" max="31" width="12.63"/>
    <col customWidth="1" min="32" max="32" width="1.38"/>
    <col customWidth="1" min="33" max="33" width="12.63"/>
    <col customWidth="1" min="34" max="36" width="1.38"/>
  </cols>
  <sheetData>
    <row r="1" ht="7.5" customHeight="1">
      <c r="A1" s="383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3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5"/>
    </row>
    <row r="2" ht="7.5" customHeight="1">
      <c r="A2" s="386"/>
      <c r="B2" s="387"/>
      <c r="C2" s="388" t="s">
        <v>83</v>
      </c>
      <c r="D2" s="387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389"/>
      <c r="S2" s="386"/>
      <c r="T2" s="387"/>
      <c r="U2" s="390" t="s">
        <v>84</v>
      </c>
      <c r="V2" s="387"/>
      <c r="W2" s="295"/>
      <c r="X2" s="295"/>
      <c r="Y2" s="295"/>
      <c r="Z2" s="391"/>
      <c r="AA2" s="392"/>
      <c r="AB2" s="392"/>
      <c r="AC2" s="392"/>
      <c r="AD2" s="392"/>
      <c r="AE2" s="392"/>
      <c r="AF2" s="392"/>
      <c r="AG2" s="392"/>
      <c r="AH2" s="392"/>
      <c r="AI2" s="293"/>
      <c r="AJ2" s="385"/>
    </row>
    <row r="3" ht="7.5" customHeight="1">
      <c r="A3" s="386"/>
      <c r="B3" s="387"/>
      <c r="D3" s="387"/>
      <c r="E3" s="295"/>
      <c r="F3" s="393"/>
      <c r="G3" s="394"/>
      <c r="H3" s="394"/>
      <c r="I3" s="394"/>
      <c r="J3" s="394"/>
      <c r="K3" s="394"/>
      <c r="L3" s="394"/>
      <c r="M3" s="394"/>
      <c r="N3" s="394"/>
      <c r="O3" s="394"/>
      <c r="P3" s="395"/>
      <c r="Q3" s="295"/>
      <c r="R3" s="389"/>
      <c r="S3" s="386"/>
      <c r="T3" s="387"/>
      <c r="V3" s="387"/>
      <c r="W3" s="295"/>
      <c r="X3" s="396"/>
      <c r="Y3" s="397"/>
      <c r="Z3" s="398"/>
      <c r="AA3" s="399"/>
      <c r="AB3" s="399"/>
      <c r="AC3" s="399"/>
      <c r="AD3" s="399"/>
      <c r="AE3" s="399"/>
      <c r="AF3" s="399"/>
      <c r="AG3" s="399"/>
      <c r="AH3" s="400"/>
      <c r="AI3" s="293"/>
      <c r="AJ3" s="385"/>
    </row>
    <row r="4" ht="75.0" customHeight="1">
      <c r="A4" s="386"/>
      <c r="B4" s="387"/>
      <c r="D4" s="387"/>
      <c r="E4" s="295"/>
      <c r="F4" s="401"/>
      <c r="G4" s="402" t="str">
        <f>IMAGE("https://a.ppy.sh/17959882?1687932364.jpeg")</f>
        <v>#REF!</v>
      </c>
      <c r="H4" s="403"/>
      <c r="I4" s="404"/>
      <c r="P4" s="405"/>
      <c r="Q4" s="295"/>
      <c r="R4" s="389"/>
      <c r="S4" s="386"/>
      <c r="T4" s="387"/>
      <c r="V4" s="387"/>
      <c r="W4" s="295"/>
      <c r="X4" s="406"/>
      <c r="Y4" s="402" t="str">
        <f>IMAGE("https://a.ppy.sh/19350047?1686846540.jpeg)")</f>
        <v>#REF!</v>
      </c>
      <c r="Z4" s="407"/>
      <c r="AA4" s="402" t="str">
        <f>IMAGE("https://a.ppy.sh/14238097?1686376598.jpeg")</f>
        <v>#REF!</v>
      </c>
      <c r="AB4" s="407"/>
      <c r="AC4" s="402" t="str">
        <f>IMAGE("https://a.ppy.sh/12609866?1679925424.jpeg")</f>
        <v>#REF!</v>
      </c>
      <c r="AD4" s="407"/>
      <c r="AE4" s="408"/>
      <c r="AF4" s="407"/>
      <c r="AG4" s="408"/>
      <c r="AH4" s="409"/>
      <c r="AI4" s="293"/>
      <c r="AJ4" s="385"/>
    </row>
    <row r="5" ht="22.5" customHeight="1">
      <c r="A5" s="386"/>
      <c r="B5" s="387"/>
      <c r="D5" s="387"/>
      <c r="E5" s="295"/>
      <c r="F5" s="410"/>
      <c r="G5" s="411" t="str">
        <f>HYPERLINK("osu.ppy.sh/users/17959882","-PeKoRa-")</f>
        <v>-PeKoRa-</v>
      </c>
      <c r="H5" s="407"/>
      <c r="I5" s="407"/>
      <c r="J5" s="407"/>
      <c r="K5" s="407"/>
      <c r="L5" s="407"/>
      <c r="M5" s="407"/>
      <c r="N5" s="407"/>
      <c r="O5" s="407"/>
      <c r="P5" s="412"/>
      <c r="Q5" s="295"/>
      <c r="R5" s="389"/>
      <c r="S5" s="386"/>
      <c r="T5" s="387"/>
      <c r="V5" s="387"/>
      <c r="W5" s="295"/>
      <c r="X5" s="413"/>
      <c r="Y5" s="414" t="str">
        <f>HYPERLINK("osu.ppy.sh/users/19350047","Purl")</f>
        <v>Purl</v>
      </c>
      <c r="Z5" s="407"/>
      <c r="AA5" s="414" t="str">
        <f>HYPERLINK("osu.ppy.sh/users/14238097","FUWUB")</f>
        <v>FUWUB</v>
      </c>
      <c r="AB5" s="407"/>
      <c r="AC5" s="414" t="str">
        <f>HYPERLINK("osu.ppy.sh/users/12609866","SHADECEGLGMN")</f>
        <v>SHADECEGLGMN</v>
      </c>
      <c r="AD5" s="407"/>
      <c r="AE5" s="414"/>
      <c r="AF5" s="407"/>
      <c r="AG5" s="414"/>
      <c r="AH5" s="409"/>
      <c r="AI5" s="293"/>
      <c r="AJ5" s="385"/>
    </row>
    <row r="6" ht="7.5" customHeight="1">
      <c r="A6" s="386"/>
      <c r="B6" s="387"/>
      <c r="D6" s="387"/>
      <c r="E6" s="29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295"/>
      <c r="R6" s="389"/>
      <c r="S6" s="386"/>
      <c r="T6" s="387"/>
      <c r="V6" s="387"/>
      <c r="W6" s="29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6"/>
      <c r="AI6" s="293"/>
      <c r="AJ6" s="385"/>
    </row>
    <row r="7" ht="7.5" customHeight="1">
      <c r="A7" s="417"/>
      <c r="B7" s="387"/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  <c r="O7" s="387"/>
      <c r="P7" s="387"/>
      <c r="Q7" s="387"/>
      <c r="R7" s="389"/>
      <c r="S7" s="418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5"/>
      <c r="AI7" s="385"/>
      <c r="AJ7" s="384"/>
    </row>
    <row r="8" ht="7.5" customHeight="1">
      <c r="A8" s="386"/>
      <c r="B8" s="387"/>
      <c r="C8" s="419" t="s">
        <v>85</v>
      </c>
      <c r="D8" s="387"/>
      <c r="E8" s="295"/>
      <c r="F8" s="391"/>
      <c r="G8" s="420"/>
      <c r="H8" s="391"/>
      <c r="I8" s="420"/>
      <c r="J8" s="421"/>
      <c r="K8" s="420"/>
      <c r="L8" s="421"/>
      <c r="M8" s="420"/>
      <c r="N8" s="421"/>
      <c r="O8" s="420"/>
      <c r="P8" s="421"/>
      <c r="Q8" s="295"/>
      <c r="R8" s="389"/>
      <c r="S8" s="386"/>
      <c r="T8" s="422"/>
      <c r="U8" s="423" t="s">
        <v>86</v>
      </c>
      <c r="V8" s="389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5"/>
      <c r="AI8" s="425"/>
      <c r="AJ8" s="384"/>
    </row>
    <row r="9" ht="7.5" customHeight="1">
      <c r="A9" s="386"/>
      <c r="B9" s="387"/>
      <c r="D9" s="387"/>
      <c r="E9" s="295"/>
      <c r="F9" s="426"/>
      <c r="G9" s="427"/>
      <c r="H9" s="398"/>
      <c r="I9" s="427"/>
      <c r="J9" s="428"/>
      <c r="K9" s="427"/>
      <c r="L9" s="428"/>
      <c r="M9" s="427"/>
      <c r="N9" s="428"/>
      <c r="O9" s="427"/>
      <c r="P9" s="429"/>
      <c r="Q9" s="295"/>
      <c r="R9" s="389"/>
      <c r="S9" s="386"/>
      <c r="T9" s="422"/>
      <c r="V9" s="389"/>
      <c r="W9" s="424"/>
      <c r="X9" s="430"/>
      <c r="Y9" s="431"/>
      <c r="Z9" s="431"/>
      <c r="AA9" s="431"/>
      <c r="AB9" s="431"/>
      <c r="AC9" s="431"/>
      <c r="AD9" s="431"/>
      <c r="AE9" s="431"/>
      <c r="AF9" s="431"/>
      <c r="AG9" s="431"/>
      <c r="AH9" s="432"/>
      <c r="AI9" s="425"/>
      <c r="AJ9" s="384"/>
    </row>
    <row r="10" ht="75.0" customHeight="1">
      <c r="A10" s="386"/>
      <c r="B10" s="387"/>
      <c r="D10" s="387"/>
      <c r="E10" s="295"/>
      <c r="F10" s="433"/>
      <c r="G10" s="402" t="str">
        <f>IMAGE("https://a.ppy.sh/28214037?1688490667.jpeg")</f>
        <v>#REF!</v>
      </c>
      <c r="H10" s="407"/>
      <c r="I10" s="402" t="str">
        <f>IMAGE("https://a.ppy.sh/13837396?1678735037.jpeg")</f>
        <v>#REF!</v>
      </c>
      <c r="J10" s="434"/>
      <c r="K10" s="402" t="str">
        <f>IMAGE("https://a.ppy.sh/18236162?1687477633.jpeg")</f>
        <v>#REF!</v>
      </c>
      <c r="L10" s="434"/>
      <c r="M10" s="402" t="str">
        <f>IMAGE("https://a.ppy.sh/19191708?1687408348.jpeg")</f>
        <v>#REF!</v>
      </c>
      <c r="N10" s="434"/>
      <c r="O10" s="402" t="str">
        <f>IMAGE("https://a.ppy.sh/11247923?1679387926.jpeg")</f>
        <v>#REF!</v>
      </c>
      <c r="P10" s="435"/>
      <c r="Q10" s="295"/>
      <c r="R10" s="389"/>
      <c r="S10" s="386"/>
      <c r="T10" s="422"/>
      <c r="V10" s="389"/>
      <c r="W10" s="424"/>
      <c r="X10" s="436"/>
      <c r="Y10" s="402" t="str">
        <f>IMAGE("https://a.ppy.sh/28214037?1688490667.jpeg")</f>
        <v>#REF!</v>
      </c>
      <c r="Z10" s="437"/>
      <c r="AA10" s="402" t="str">
        <f>IMAGE("https://a.ppy.sh/19191708?1687408348.jpeg")</f>
        <v>#REF!</v>
      </c>
      <c r="AB10" s="437"/>
      <c r="AC10" s="402" t="str">
        <f>IMAGE("https://a.ppy.sh/12844572?1678153880.jpeg")</f>
        <v>#REF!</v>
      </c>
      <c r="AD10" s="437"/>
      <c r="AE10" s="402" t="str">
        <f>IMAGE("https://a.ppy.sh/20138244?1685299597.jpeg")</f>
        <v>#REF!</v>
      </c>
      <c r="AF10" s="437"/>
      <c r="AG10" s="402" t="str">
        <f>IMAGE("https://a.ppy.sh/22027151?1688971872.jpeg")</f>
        <v>#REF!</v>
      </c>
      <c r="AH10" s="438"/>
      <c r="AI10" s="425"/>
      <c r="AJ10" s="384"/>
    </row>
    <row r="11" ht="22.5" customHeight="1">
      <c r="A11" s="386"/>
      <c r="B11" s="387"/>
      <c r="D11" s="387"/>
      <c r="E11" s="295"/>
      <c r="F11" s="433"/>
      <c r="G11" s="439" t="str">
        <f>HYPERLINK("osu.ppy.sh/users/28214037","matalisfangirl")</f>
        <v>matalisfangirl</v>
      </c>
      <c r="H11" s="440"/>
      <c r="I11" s="441" t="str">
        <f>HYPERLINK("osu.ppy.sh/users/13837396?1678735037","Realdeathmatch")</f>
        <v>Realdeathmatch</v>
      </c>
      <c r="J11" s="440"/>
      <c r="K11" s="442" t="str">
        <f>HYPERLINK("osu.ppy.sh/users/18236162","play hd3")</f>
        <v>play hd3</v>
      </c>
      <c r="L11" s="440"/>
      <c r="M11" s="442" t="str">
        <f>HYPERLINK("osu.ppy.sh/users/19191708","Shironai")</f>
        <v>Shironai</v>
      </c>
      <c r="N11" s="440"/>
      <c r="O11" s="442" t="str">
        <f>HYPERLINK("osu.ppy.sh/users/11247923","Sedi")</f>
        <v>Sedi</v>
      </c>
      <c r="P11" s="412"/>
      <c r="Q11" s="295"/>
      <c r="R11" s="389"/>
      <c r="S11" s="386"/>
      <c r="T11" s="422"/>
      <c r="V11" s="389"/>
      <c r="W11" s="424"/>
      <c r="X11" s="436"/>
      <c r="Y11" s="443" t="str">
        <f>HYPERLINK("osu.ppy.sh/users/28214037","matalisfangirl")</f>
        <v>matalisfangirl</v>
      </c>
      <c r="Z11" s="437"/>
      <c r="AA11" s="444" t="str">
        <f>HYPERLINK("osu.ppy.sh/users/19191708","Shironai")</f>
        <v>Shironai</v>
      </c>
      <c r="AB11" s="437"/>
      <c r="AC11" s="444" t="str">
        <f>HYPERLINK("osu.ppy.sh/users/12844572","I hate EZ")</f>
        <v>I hate EZ</v>
      </c>
      <c r="AD11" s="437"/>
      <c r="AE11" s="444" t="str">
        <f>HYPERLINK("osu.ppy.sh/users/20138244","good girl")</f>
        <v>good girl</v>
      </c>
      <c r="AF11" s="437"/>
      <c r="AG11" s="445" t="str">
        <f>HYPERLINK("osu.ppy.sh/users/22027151","RudderFish07")</f>
        <v>RudderFish07</v>
      </c>
      <c r="AH11" s="438"/>
      <c r="AI11" s="425"/>
      <c r="AJ11" s="384"/>
    </row>
    <row r="12" ht="7.5" customHeight="1">
      <c r="A12" s="386"/>
      <c r="B12" s="387"/>
      <c r="D12" s="387"/>
      <c r="E12" s="295"/>
      <c r="F12" s="413"/>
      <c r="G12" s="446"/>
      <c r="H12" s="440"/>
      <c r="I12" s="447"/>
      <c r="J12" s="447"/>
      <c r="K12" s="447"/>
      <c r="L12" s="447"/>
      <c r="M12" s="447"/>
      <c r="N12" s="447"/>
      <c r="O12" s="447"/>
      <c r="P12" s="448"/>
      <c r="Q12" s="295"/>
      <c r="R12" s="389"/>
      <c r="S12" s="386"/>
      <c r="T12" s="422"/>
      <c r="V12" s="389"/>
      <c r="W12" s="424"/>
      <c r="X12" s="436"/>
      <c r="Y12" s="437"/>
      <c r="Z12" s="437"/>
      <c r="AA12" s="437"/>
      <c r="AB12" s="437"/>
      <c r="AC12" s="437"/>
      <c r="AD12" s="437"/>
      <c r="AE12" s="437"/>
      <c r="AF12" s="437"/>
      <c r="AG12" s="437"/>
      <c r="AH12" s="438"/>
      <c r="AI12" s="425"/>
      <c r="AJ12" s="384"/>
    </row>
    <row r="13" ht="75.0" customHeight="1">
      <c r="A13" s="386"/>
      <c r="B13" s="387"/>
      <c r="D13" s="387"/>
      <c r="E13" s="295"/>
      <c r="F13" s="433"/>
      <c r="G13" s="449" t="str">
        <f>IMAGE("https://a.ppy.sh/19350047?1686846540.jpeg)")</f>
        <v>#REF!</v>
      </c>
      <c r="H13" s="440"/>
      <c r="I13" s="449" t="str">
        <f>IMAGE("https://a.ppy.sh/26626040?1685513812.jpeg")</f>
        <v>#REF!</v>
      </c>
      <c r="J13" s="447"/>
      <c r="K13" s="449" t="str">
        <f>IMAGE("https://a.ppy.sh/12844572?1678153880.jpeg")</f>
        <v>#REF!</v>
      </c>
      <c r="L13" s="447"/>
      <c r="M13" s="449" t="str">
        <f>IMAGE("https://a.ppy.sh/20138244?1685299597.jpeg")</f>
        <v>#REF!</v>
      </c>
      <c r="N13" s="447"/>
      <c r="O13" s="450"/>
      <c r="P13" s="448"/>
      <c r="Q13" s="295"/>
      <c r="R13" s="389"/>
      <c r="S13" s="386"/>
      <c r="T13" s="422"/>
      <c r="V13" s="389"/>
      <c r="W13" s="424"/>
      <c r="X13" s="436"/>
      <c r="Y13" s="402" t="str">
        <f>IMAGE("https://a.ppy.sh/10276352?1681424111.jpeg")</f>
        <v>#REF!</v>
      </c>
      <c r="Z13" s="437"/>
      <c r="AA13" s="402" t="str">
        <f>IMAGE("https://a.ppy.sh/13297667?1654673633.jpeg")</f>
        <v>#REF!</v>
      </c>
      <c r="AB13" s="437"/>
      <c r="AC13" s="402" t="str">
        <f>IMAGE("https://a.ppy.sh/15827776?1687123254.jpeg")</f>
        <v>#REF!</v>
      </c>
      <c r="AD13" s="437"/>
      <c r="AE13" s="402" t="str">
        <f>IMAGE("https://a.ppy.sh/11132170?1682277609.jpeg")</f>
        <v>#REF!</v>
      </c>
      <c r="AF13" s="437"/>
      <c r="AG13" s="402" t="str">
        <f>IMAGE("https://a.ppy.sh/17467899?1592705149.jpeg")</f>
        <v>#REF!</v>
      </c>
      <c r="AH13" s="438"/>
      <c r="AI13" s="425"/>
      <c r="AJ13" s="384"/>
    </row>
    <row r="14" ht="22.5" customHeight="1">
      <c r="A14" s="386"/>
      <c r="B14" s="387"/>
      <c r="D14" s="387"/>
      <c r="E14" s="295"/>
      <c r="F14" s="433"/>
      <c r="G14" s="442" t="str">
        <f>HYPERLINK("osu.ppy.sh/users/19350047","Purl")</f>
        <v>Purl</v>
      </c>
      <c r="H14" s="440"/>
      <c r="I14" s="442" t="str">
        <f>HYPERLINK("osu.ppy.sh/users/26626040","levica")</f>
        <v>levica</v>
      </c>
      <c r="J14" s="447"/>
      <c r="K14" s="442" t="str">
        <f>HYPERLINK("osu.ppy.sh/users/12844572","I hate EZ")</f>
        <v>I hate EZ</v>
      </c>
      <c r="L14" s="447"/>
      <c r="M14" s="442" t="str">
        <f>HYPERLINK("osu.ppy.sh/users/20138244","good girl")</f>
        <v>good girl</v>
      </c>
      <c r="N14" s="447"/>
      <c r="O14" s="442"/>
      <c r="P14" s="448"/>
      <c r="Q14" s="295"/>
      <c r="R14" s="389"/>
      <c r="S14" s="386"/>
      <c r="T14" s="422"/>
      <c r="V14" s="389"/>
      <c r="W14" s="424"/>
      <c r="X14" s="436"/>
      <c r="Y14" s="444" t="str">
        <f>HYPERLINK("osu.ppy.sh/users/10276352","Lunexia")</f>
        <v>Lunexia</v>
      </c>
      <c r="Z14" s="437"/>
      <c r="AA14" s="444" t="str">
        <f>HYPERLINK("osu.ppy.sh/users/13297667","rikisanity")</f>
        <v>rikisanity</v>
      </c>
      <c r="AB14" s="437"/>
      <c r="AC14" s="445" t="str">
        <f>HYPERLINK("osu.ppy.sh/users/15827776","Ninja Mejster")</f>
        <v>Ninja Mejster</v>
      </c>
      <c r="AD14" s="437"/>
      <c r="AE14" s="444" t="str">
        <f>HYPERLINK("osu.ppy.sh/users/11132170","Modems")</f>
        <v>Modems</v>
      </c>
      <c r="AF14" s="437"/>
      <c r="AG14" s="444" t="str">
        <f>HYPERLINK("osu.ppy.sh/users/17467899","Qumania")</f>
        <v>Qumania</v>
      </c>
      <c r="AH14" s="438"/>
      <c r="AI14" s="425"/>
      <c r="AJ14" s="384"/>
    </row>
    <row r="15" ht="75.0" customHeight="1">
      <c r="A15" s="386"/>
      <c r="B15" s="387"/>
      <c r="D15" s="387"/>
      <c r="E15" s="295"/>
      <c r="F15" s="433"/>
      <c r="G15" s="442"/>
      <c r="H15" s="440"/>
      <c r="I15" s="442"/>
      <c r="J15" s="447"/>
      <c r="K15" s="442"/>
      <c r="L15" s="447"/>
      <c r="M15" s="442"/>
      <c r="N15" s="447"/>
      <c r="O15" s="442"/>
      <c r="P15" s="448"/>
      <c r="Q15" s="295"/>
      <c r="R15" s="389"/>
      <c r="S15" s="386"/>
      <c r="T15" s="422"/>
      <c r="V15" s="389"/>
      <c r="W15" s="424"/>
      <c r="X15" s="436"/>
      <c r="Y15" s="402" t="str">
        <f>IMAGE("https://a.ppy.sh/20124667?1687374652.jpeg")</f>
        <v>#REF!</v>
      </c>
      <c r="Z15" s="437"/>
      <c r="AA15" s="402" t="str">
        <f>IMAGE("https://a.ppy.sh/28214731?1688130837.jpeg")</f>
        <v>#REF!</v>
      </c>
      <c r="AB15" s="437"/>
      <c r="AC15" s="402" t="str">
        <f>IMAGE("https://a.ppy.sh/16183473?1686633967.jpeg")</f>
        <v>#REF!</v>
      </c>
      <c r="AD15" s="437"/>
      <c r="AE15" s="402" t="str">
        <f>IMAGE("https://a.ppy.sh/17979410?1685863057.jpeg")</f>
        <v>#REF!</v>
      </c>
      <c r="AF15" s="437"/>
      <c r="AG15" s="402" t="str">
        <f>IMAGE("https://a.ppy.sh/10224047?.jpeg")</f>
        <v>#REF!</v>
      </c>
      <c r="AH15" s="438"/>
      <c r="AI15" s="425"/>
      <c r="AJ15" s="384"/>
    </row>
    <row r="16" ht="22.5" customHeight="1">
      <c r="A16" s="386"/>
      <c r="B16" s="387"/>
      <c r="D16" s="387"/>
      <c r="E16" s="295"/>
      <c r="F16" s="433"/>
      <c r="G16" s="442"/>
      <c r="H16" s="440"/>
      <c r="I16" s="442"/>
      <c r="J16" s="447"/>
      <c r="K16" s="442"/>
      <c r="L16" s="447"/>
      <c r="M16" s="442"/>
      <c r="N16" s="447"/>
      <c r="O16" s="442"/>
      <c r="P16" s="448"/>
      <c r="Q16" s="295"/>
      <c r="R16" s="389"/>
      <c r="S16" s="386"/>
      <c r="T16" s="422"/>
      <c r="V16" s="389"/>
      <c r="W16" s="424"/>
      <c r="X16" s="436"/>
      <c r="Y16" s="444" t="str">
        <f>HYPERLINK("osu.ppy.sh/users/20124667","Bo_Bandy")</f>
        <v>Bo_Bandy</v>
      </c>
      <c r="Z16" s="437"/>
      <c r="AA16" s="444" t="str">
        <f>HYPERLINK("osu.ppy.sh/users/28214731","[-Gabys-]")</f>
        <v>[-Gabys-]</v>
      </c>
      <c r="AB16" s="437"/>
      <c r="AC16" s="444" t="str">
        <f>HYPERLINK("osu.ppy.sh/users/16183473","AlikeOsu")</f>
        <v>AlikeOsu</v>
      </c>
      <c r="AD16" s="437"/>
      <c r="AE16" s="444" t="str">
        <f>HYPERLINK("osu.ppy.sh/users/17979410","Aoi Hinami")</f>
        <v>Aoi Hinami</v>
      </c>
      <c r="AF16" s="437"/>
      <c r="AG16" s="444" t="str">
        <f>HYPERLINK("osu.ppy.sh/users/10224047","Emerald Ages")</f>
        <v>Emerald Ages</v>
      </c>
      <c r="AH16" s="438"/>
      <c r="AI16" s="425"/>
      <c r="AJ16" s="384"/>
    </row>
    <row r="17" ht="7.5" customHeight="1">
      <c r="A17" s="386"/>
      <c r="B17" s="387"/>
      <c r="D17" s="387"/>
      <c r="E17" s="295"/>
      <c r="F17" s="451"/>
      <c r="G17" s="452"/>
      <c r="H17" s="452"/>
      <c r="I17" s="453"/>
      <c r="J17" s="453"/>
      <c r="K17" s="453"/>
      <c r="L17" s="453"/>
      <c r="M17" s="453"/>
      <c r="N17" s="453"/>
      <c r="O17" s="453"/>
      <c r="P17" s="454"/>
      <c r="Q17" s="295"/>
      <c r="R17" s="389"/>
      <c r="S17" s="386"/>
      <c r="T17" s="422"/>
      <c r="V17" s="389"/>
      <c r="W17" s="424"/>
      <c r="X17" s="455"/>
      <c r="Y17" s="456"/>
      <c r="Z17" s="456"/>
      <c r="AA17" s="456"/>
      <c r="AB17" s="456"/>
      <c r="AC17" s="456"/>
      <c r="AD17" s="456"/>
      <c r="AE17" s="456"/>
      <c r="AF17" s="456"/>
      <c r="AG17" s="456"/>
      <c r="AH17" s="457"/>
      <c r="AI17" s="425"/>
      <c r="AJ17" s="384"/>
    </row>
    <row r="18" ht="7.5" customHeight="1">
      <c r="A18" s="386"/>
      <c r="B18" s="387"/>
      <c r="D18" s="387"/>
      <c r="E18" s="295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389"/>
      <c r="S18" s="386"/>
      <c r="T18" s="422"/>
      <c r="V18" s="389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5"/>
      <c r="AI18" s="425"/>
      <c r="AJ18" s="384"/>
    </row>
    <row r="19" ht="7.5" customHeight="1">
      <c r="A19" s="417"/>
      <c r="B19" s="387"/>
      <c r="C19" s="387"/>
      <c r="D19" s="387"/>
      <c r="E19" s="387"/>
      <c r="F19" s="387"/>
      <c r="G19" s="387"/>
      <c r="H19" s="387"/>
      <c r="I19" s="387"/>
      <c r="J19" s="387"/>
      <c r="K19" s="387"/>
      <c r="L19" s="387"/>
      <c r="M19" s="387"/>
      <c r="N19" s="387"/>
      <c r="O19" s="387"/>
      <c r="P19" s="387"/>
      <c r="Q19" s="387"/>
      <c r="R19" s="389"/>
      <c r="S19" s="418"/>
      <c r="T19" s="387"/>
      <c r="U19" s="387"/>
      <c r="V19" s="387"/>
      <c r="W19" s="387"/>
      <c r="X19" s="387"/>
      <c r="Y19" s="387"/>
      <c r="Z19" s="387"/>
      <c r="AA19" s="387"/>
      <c r="AB19" s="387"/>
      <c r="AC19" s="387"/>
      <c r="AD19" s="387"/>
      <c r="AE19" s="387"/>
      <c r="AF19" s="387"/>
      <c r="AG19" s="387"/>
      <c r="AH19" s="384"/>
      <c r="AI19" s="384"/>
      <c r="AJ19" s="385"/>
    </row>
    <row r="20" ht="7.5" customHeight="1">
      <c r="A20" s="386"/>
      <c r="B20" s="387"/>
      <c r="C20" s="458" t="s">
        <v>87</v>
      </c>
      <c r="D20" s="387"/>
      <c r="E20" s="295"/>
      <c r="F20" s="391"/>
      <c r="G20" s="420"/>
      <c r="H20" s="391"/>
      <c r="I20" s="420"/>
      <c r="J20" s="421"/>
      <c r="K20" s="420"/>
      <c r="L20" s="421"/>
      <c r="M20" s="420"/>
      <c r="N20" s="421"/>
      <c r="O20" s="420"/>
      <c r="P20" s="421"/>
      <c r="Q20" s="295"/>
      <c r="R20" s="389"/>
      <c r="S20" s="386"/>
      <c r="T20" s="387"/>
      <c r="U20" s="459" t="s">
        <v>88</v>
      </c>
      <c r="V20" s="387"/>
      <c r="W20" s="295"/>
      <c r="X20" s="295"/>
      <c r="Y20" s="295"/>
      <c r="Z20" s="391"/>
      <c r="AA20" s="392"/>
      <c r="AB20" s="392"/>
      <c r="AC20" s="392"/>
      <c r="AD20" s="392"/>
      <c r="AE20" s="392"/>
      <c r="AF20" s="392"/>
      <c r="AG20" s="392"/>
      <c r="AH20" s="392"/>
      <c r="AI20" s="293"/>
      <c r="AJ20" s="384"/>
    </row>
    <row r="21" ht="7.5" customHeight="1">
      <c r="A21" s="386"/>
      <c r="B21" s="387"/>
      <c r="D21" s="387"/>
      <c r="E21" s="295"/>
      <c r="F21" s="426"/>
      <c r="G21" s="427"/>
      <c r="H21" s="398"/>
      <c r="I21" s="427"/>
      <c r="J21" s="428"/>
      <c r="K21" s="427"/>
      <c r="L21" s="428"/>
      <c r="M21" s="427"/>
      <c r="N21" s="428"/>
      <c r="O21" s="427"/>
      <c r="P21" s="429"/>
      <c r="Q21" s="295"/>
      <c r="R21" s="389"/>
      <c r="S21" s="386"/>
      <c r="T21" s="387"/>
      <c r="V21" s="387"/>
      <c r="W21" s="295"/>
      <c r="X21" s="396"/>
      <c r="Y21" s="397"/>
      <c r="Z21" s="398"/>
      <c r="AA21" s="399"/>
      <c r="AB21" s="399"/>
      <c r="AC21" s="399"/>
      <c r="AD21" s="399"/>
      <c r="AE21" s="399"/>
      <c r="AF21" s="399"/>
      <c r="AG21" s="399"/>
      <c r="AH21" s="400"/>
      <c r="AI21" s="293"/>
      <c r="AJ21" s="384"/>
    </row>
    <row r="22" ht="75.0" customHeight="1">
      <c r="A22" s="386"/>
      <c r="B22" s="387"/>
      <c r="D22" s="387"/>
      <c r="E22" s="295"/>
      <c r="F22" s="433"/>
      <c r="G22" s="402" t="str">
        <f>IMAGE("https://a.ppy.sh/28214037?1688490667.jpeg")</f>
        <v>#REF!</v>
      </c>
      <c r="H22" s="407"/>
      <c r="I22" s="402" t="str">
        <f>IMAGE("https://a.ppy.sh/18236162?1687477633.jpeg")</f>
        <v>#REF!</v>
      </c>
      <c r="J22" s="434"/>
      <c r="K22" s="402" t="str">
        <f>IMAGE("https://a.ppy.sh/19191708?1687408348.jpeg")</f>
        <v>#REF!</v>
      </c>
      <c r="L22" s="434"/>
      <c r="M22" s="402" t="str">
        <f>IMAGE("https://a.ppy.sh/11247923?1679387926.jpeg")</f>
        <v>#REF!</v>
      </c>
      <c r="N22" s="434"/>
      <c r="O22" s="402" t="str">
        <f>IMAGE("https://a.ppy.sh/12844572?1678153880.jpeg")</f>
        <v>#REF!</v>
      </c>
      <c r="P22" s="435"/>
      <c r="Q22" s="295"/>
      <c r="R22" s="389"/>
      <c r="S22" s="386"/>
      <c r="T22" s="387"/>
      <c r="V22" s="387"/>
      <c r="W22" s="295"/>
      <c r="X22" s="406"/>
      <c r="Y22" s="402" t="str">
        <f>IMAGE("https://a.ppy.sh/18236162?1687477633.jpeg")</f>
        <v>#REF!</v>
      </c>
      <c r="Z22" s="407"/>
      <c r="AA22" s="402" t="str">
        <f>IMAGE("https://a.ppy.sh/11247923?1679387926.jpeg")</f>
        <v>#REF!</v>
      </c>
      <c r="AB22" s="407"/>
      <c r="AC22" s="402" t="str">
        <f>IMAGE("https://a.ppy.sh/15507280?1654624207.jpeg")</f>
        <v>#REF!</v>
      </c>
      <c r="AD22" s="407"/>
      <c r="AE22" s="402" t="str">
        <f>IMAGE("https://a.ppy.sh/12844572?1678153880.jpeg")</f>
        <v>#REF!</v>
      </c>
      <c r="AF22" s="407"/>
      <c r="AG22" s="402" t="str">
        <f>IMAGE("https://a.ppy.sh/20138244?1685299597.jpeg")</f>
        <v>#REF!</v>
      </c>
      <c r="AH22" s="409"/>
      <c r="AI22" s="293"/>
      <c r="AJ22" s="384"/>
    </row>
    <row r="23" ht="22.5" customHeight="1">
      <c r="A23" s="386"/>
      <c r="B23" s="387"/>
      <c r="D23" s="387"/>
      <c r="E23" s="295"/>
      <c r="F23" s="433"/>
      <c r="G23" s="460" t="str">
        <f>HYPERLINK("osu.ppy.sh/users/28214037","matalisfangirl")</f>
        <v>matalisfangirl</v>
      </c>
      <c r="H23" s="407"/>
      <c r="I23" s="461" t="str">
        <f>HYPERLINK("osu.ppy.sh/users/18236162","play hd3")</f>
        <v>play hd3</v>
      </c>
      <c r="J23" s="407"/>
      <c r="K23" s="461" t="str">
        <f>HYPERLINK("osu.ppy.sh/users/19191708","Shironai")</f>
        <v>Shironai</v>
      </c>
      <c r="L23" s="407"/>
      <c r="M23" s="461" t="str">
        <f>HYPERLINK("osu.ppy.sh/users/11247923","Sedi")</f>
        <v>Sedi</v>
      </c>
      <c r="N23" s="407"/>
      <c r="O23" s="461" t="str">
        <f>HYPERLINK("osu.ppy.sh/users/12844572","I hate EZ")</f>
        <v>I hate EZ</v>
      </c>
      <c r="P23" s="412"/>
      <c r="Q23" s="295"/>
      <c r="R23" s="389"/>
      <c r="S23" s="386"/>
      <c r="T23" s="387"/>
      <c r="V23" s="387"/>
      <c r="W23" s="295"/>
      <c r="X23" s="413"/>
      <c r="Y23" s="462" t="str">
        <f>HYPERLINK("osu.ppy.sh/users/18236162","play hd3")</f>
        <v>play hd3</v>
      </c>
      <c r="Z23" s="407"/>
      <c r="AA23" s="462" t="str">
        <f>HYPERLINK("osu.ppy.sh/users/11247923","Sedi")</f>
        <v>Sedi</v>
      </c>
      <c r="AB23" s="407"/>
      <c r="AC23" s="462" t="str">
        <f>HYPERLINK("osu.ppy.sh/users/15507280","Pischok")</f>
        <v>Pischok</v>
      </c>
      <c r="AD23" s="407"/>
      <c r="AE23" s="462" t="str">
        <f>HYPERLINK("osu.ppy.sh/users/12844572","I hate EZ")</f>
        <v>I hate EZ</v>
      </c>
      <c r="AF23" s="407"/>
      <c r="AG23" s="462" t="str">
        <f>HYPERLINK("osu.ppy.sh/users/20138244","good girl")</f>
        <v>good girl</v>
      </c>
      <c r="AH23" s="409"/>
      <c r="AI23" s="293"/>
      <c r="AJ23" s="384"/>
    </row>
    <row r="24" ht="7.5" customHeight="1">
      <c r="A24" s="386"/>
      <c r="B24" s="387"/>
      <c r="D24" s="387"/>
      <c r="E24" s="295"/>
      <c r="F24" s="413"/>
      <c r="G24" s="463"/>
      <c r="H24" s="407"/>
      <c r="I24" s="464"/>
      <c r="J24" s="464"/>
      <c r="K24" s="464"/>
      <c r="L24" s="464"/>
      <c r="M24" s="464"/>
      <c r="N24" s="464"/>
      <c r="O24" s="464"/>
      <c r="P24" s="448"/>
      <c r="Q24" s="295"/>
      <c r="R24" s="389"/>
      <c r="S24" s="386"/>
      <c r="T24" s="387"/>
      <c r="V24" s="387"/>
      <c r="W24" s="295"/>
      <c r="X24" s="433"/>
      <c r="Y24" s="407"/>
      <c r="Z24" s="407"/>
      <c r="AA24" s="407"/>
      <c r="AB24" s="407"/>
      <c r="AC24" s="407"/>
      <c r="AD24" s="407"/>
      <c r="AE24" s="407"/>
      <c r="AF24" s="407"/>
      <c r="AG24" s="407"/>
      <c r="AH24" s="409"/>
      <c r="AI24" s="293"/>
      <c r="AJ24" s="384"/>
    </row>
    <row r="25" ht="75.0" customHeight="1">
      <c r="A25" s="386"/>
      <c r="B25" s="387"/>
      <c r="D25" s="387"/>
      <c r="E25" s="295"/>
      <c r="F25" s="433"/>
      <c r="G25" s="402" t="str">
        <f>IMAGE("https://a.ppy.sh/20138244?1685299597.jpeg")</f>
        <v>#REF!</v>
      </c>
      <c r="H25" s="407"/>
      <c r="I25" s="402" t="str">
        <f>IMAGE("https://a.ppy.sh/23422561?1687566078.jpeg")</f>
        <v>#REF!</v>
      </c>
      <c r="J25" s="464"/>
      <c r="K25" s="402" t="str">
        <f>IMAGE("https://a.ppy.sh/22027151?1688971872.jpeg")</f>
        <v>#REF!</v>
      </c>
      <c r="L25" s="464"/>
      <c r="M25" s="402" t="str">
        <f>IMAGE("https://a.ppy.sh/15173398?1688091268.jpeg")</f>
        <v>#REF!</v>
      </c>
      <c r="N25" s="464"/>
      <c r="O25" s="402" t="str">
        <f>IMAGE("https://a.ppy.sh/10276352?1681424111.jpeg")</f>
        <v>#REF!</v>
      </c>
      <c r="P25" s="448"/>
      <c r="Q25" s="295"/>
      <c r="R25" s="389"/>
      <c r="S25" s="386"/>
      <c r="T25" s="387"/>
      <c r="V25" s="387"/>
      <c r="W25" s="295"/>
      <c r="X25" s="433"/>
      <c r="Y25" s="402" t="str">
        <f>IMAGE("https://a.ppy.sh/23422561?1687566078.jpeg")</f>
        <v>#REF!</v>
      </c>
      <c r="Z25" s="407"/>
      <c r="AA25" s="402" t="str">
        <f>IMAGE("https://a.ppy.sh/22027151?1688971872.jpeg")</f>
        <v>#REF!</v>
      </c>
      <c r="AB25" s="434"/>
      <c r="AC25" s="402" t="str">
        <f>IMAGE("https://a.ppy.sh/15173398?1688091268.jpeg")</f>
        <v>#REF!</v>
      </c>
      <c r="AD25" s="434"/>
      <c r="AE25" s="402" t="str">
        <f>IMAGE("https://a.ppy.sh/10276352?1681424111.jpeg")</f>
        <v>#REF!</v>
      </c>
      <c r="AF25" s="434"/>
      <c r="AG25" s="402" t="str">
        <f>IMAGE("https://a.ppy.sh/15827776?1687123254.jpeg")</f>
        <v>#REF!</v>
      </c>
      <c r="AH25" s="435"/>
      <c r="AI25" s="293"/>
      <c r="AJ25" s="384"/>
    </row>
    <row r="26" ht="22.5" customHeight="1">
      <c r="A26" s="386"/>
      <c r="B26" s="387"/>
      <c r="D26" s="387"/>
      <c r="E26" s="295"/>
      <c r="F26" s="433"/>
      <c r="G26" s="461" t="str">
        <f>HYPERLINK("osu.ppy.sh/users/20138244","good girl")</f>
        <v>good girl</v>
      </c>
      <c r="H26" s="407"/>
      <c r="I26" s="465" t="str">
        <f>HYPERLINK("osu.ppy.sh/users/17959882","Meiling Hong")</f>
        <v>Meiling Hong</v>
      </c>
      <c r="J26" s="464"/>
      <c r="K26" s="465" t="str">
        <f>HYPERLINK("osu.ppy.sh/users/22027151","RudderFish07")</f>
        <v>RudderFish07</v>
      </c>
      <c r="L26" s="464"/>
      <c r="M26" s="461" t="str">
        <f>HYPERLINK("osu.ppy.sh/users/15173398","ShiruoX")</f>
        <v>ShiruoX</v>
      </c>
      <c r="N26" s="464"/>
      <c r="O26" s="461" t="str">
        <f>HYPERLINK("osu.ppy.sh/users/10276352","Lunexia")</f>
        <v>Lunexia</v>
      </c>
      <c r="P26" s="448"/>
      <c r="Q26" s="295"/>
      <c r="R26" s="389"/>
      <c r="S26" s="386"/>
      <c r="T26" s="387"/>
      <c r="V26" s="387"/>
      <c r="W26" s="295"/>
      <c r="X26" s="433"/>
      <c r="Y26" s="466" t="str">
        <f>HYPERLINK("osu.ppy.sh/users/23422561","Meiling Hong")</f>
        <v>Meiling Hong</v>
      </c>
      <c r="Z26" s="407"/>
      <c r="AA26" s="466" t="str">
        <f>HYPERLINK("osu.ppy.sh/users/22027151","RudderFish07")</f>
        <v>RudderFish07</v>
      </c>
      <c r="AB26" s="407"/>
      <c r="AC26" s="462" t="str">
        <f>HYPERLINK("osu.ppy.sh/users/15173398","ShiruoX")</f>
        <v>ShiruoX</v>
      </c>
      <c r="AD26" s="407"/>
      <c r="AE26" s="462" t="str">
        <f>HYPERLINK("osu.ppy.sh/users/10276352","Lunexia")</f>
        <v>Lunexia</v>
      </c>
      <c r="AF26" s="407"/>
      <c r="AG26" s="466" t="str">
        <f>HYPERLINK("osu.ppy.sh/users/15827776","Ninja Mejster")</f>
        <v>Ninja Mejster</v>
      </c>
      <c r="AH26" s="409"/>
      <c r="AI26" s="293"/>
      <c r="AJ26" s="384"/>
    </row>
    <row r="27" ht="7.5" customHeight="1">
      <c r="A27" s="386"/>
      <c r="B27" s="387"/>
      <c r="D27" s="387"/>
      <c r="E27" s="295"/>
      <c r="F27" s="433"/>
      <c r="G27" s="461"/>
      <c r="H27" s="407"/>
      <c r="I27" s="465"/>
      <c r="J27" s="464"/>
      <c r="K27" s="465"/>
      <c r="L27" s="464"/>
      <c r="M27" s="461"/>
      <c r="N27" s="464"/>
      <c r="O27" s="461"/>
      <c r="P27" s="448"/>
      <c r="Q27" s="295"/>
      <c r="R27" s="389"/>
      <c r="S27" s="386"/>
      <c r="T27" s="387"/>
      <c r="V27" s="387"/>
      <c r="W27" s="295"/>
      <c r="X27" s="413"/>
      <c r="Y27" s="463"/>
      <c r="Z27" s="407"/>
      <c r="AA27" s="464"/>
      <c r="AB27" s="464"/>
      <c r="AC27" s="464"/>
      <c r="AD27" s="464"/>
      <c r="AE27" s="464"/>
      <c r="AF27" s="464"/>
      <c r="AG27" s="464"/>
      <c r="AH27" s="448"/>
      <c r="AI27" s="293"/>
      <c r="AJ27" s="384"/>
    </row>
    <row r="28" ht="75.0" customHeight="1">
      <c r="A28" s="386"/>
      <c r="B28" s="387"/>
      <c r="D28" s="387"/>
      <c r="E28" s="295"/>
      <c r="F28" s="433"/>
      <c r="G28" s="402" t="str">
        <f>IMAGE("https://a.ppy.sh/13297667?1654673633.jpeg")</f>
        <v>#REF!</v>
      </c>
      <c r="H28" s="407"/>
      <c r="I28" s="402" t="str">
        <f>IMAGE("https://a.ppy.sh/11132170?1682277609.jpeg")</f>
        <v>#REF!</v>
      </c>
      <c r="J28" s="464"/>
      <c r="K28" s="402" t="str">
        <f>IMAGE("https://a.ppy.sh/20124667?1687374652.jpeg")</f>
        <v>#REF!</v>
      </c>
      <c r="L28" s="464"/>
      <c r="M28" s="402" t="str">
        <f>IMAGE("https://a.ppy.sh/16199365?1674529267.jpeg")</f>
        <v>#REF!</v>
      </c>
      <c r="N28" s="464"/>
      <c r="O28" s="402" t="str">
        <f>IMAGE("https://a.ppy.sh/16183473?1686633967.jpeg")</f>
        <v>#REF!</v>
      </c>
      <c r="P28" s="448"/>
      <c r="Q28" s="295"/>
      <c r="R28" s="389"/>
      <c r="S28" s="386"/>
      <c r="T28" s="387"/>
      <c r="V28" s="387"/>
      <c r="W28" s="295"/>
      <c r="X28" s="433"/>
      <c r="Y28" s="402" t="str">
        <f>IMAGE("https://a.ppy.sh/17278897?1679985236.jpeg")</f>
        <v>#REF!</v>
      </c>
      <c r="Z28" s="407"/>
      <c r="AA28" s="402" t="str">
        <f>IMAGE("https://a.ppy.sh/18704162?1685714614.jpeg")</f>
        <v>#REF!</v>
      </c>
      <c r="AB28" s="464"/>
      <c r="AC28" s="402" t="str">
        <f>IMAGE("https://a.ppy.sh/18480113?1688047284.jpeg")</f>
        <v>#REF!</v>
      </c>
      <c r="AD28" s="464"/>
      <c r="AE28" s="402" t="str">
        <f>IMAGE("https://a.ppy.sh/11628350?1683159468.jpeg")</f>
        <v>#REF!</v>
      </c>
      <c r="AF28" s="464"/>
      <c r="AG28" s="402" t="str">
        <f>IMAGE("https://a.ppy.sh/24633291?1679680118.jpeg")</f>
        <v>#REF!</v>
      </c>
      <c r="AH28" s="448"/>
      <c r="AI28" s="293"/>
      <c r="AJ28" s="384"/>
    </row>
    <row r="29" ht="22.5" customHeight="1">
      <c r="A29" s="386"/>
      <c r="B29" s="387"/>
      <c r="D29" s="387"/>
      <c r="E29" s="295"/>
      <c r="F29" s="433"/>
      <c r="G29" s="461" t="str">
        <f>HYPERLINK("osu.ppy.sh/users/13297667","rikisanity")</f>
        <v>rikisanity</v>
      </c>
      <c r="H29" s="407"/>
      <c r="I29" s="461" t="str">
        <f>HYPERLINK("osu.ppy.sh/users/11132170","Modems")</f>
        <v>Modems</v>
      </c>
      <c r="J29" s="464"/>
      <c r="K29" s="461" t="str">
        <f>HYPERLINK("osu.ppy.sh/users/20124667","Bo_Bandy")</f>
        <v>Bo_Bandy</v>
      </c>
      <c r="L29" s="464"/>
      <c r="M29" s="461" t="str">
        <f>HYPERLINK("osu.ppy.sh/users/16199365","reforna")</f>
        <v>reforna</v>
      </c>
      <c r="N29" s="464"/>
      <c r="O29" s="461" t="str">
        <f>HYPERLINK("osu.ppy.sh/users/16183473","AlikeOsu")</f>
        <v>AlikeOsu</v>
      </c>
      <c r="P29" s="448"/>
      <c r="Q29" s="295"/>
      <c r="R29" s="389"/>
      <c r="S29" s="386"/>
      <c r="T29" s="387"/>
      <c r="V29" s="387"/>
      <c r="W29" s="295"/>
      <c r="X29" s="433"/>
      <c r="Y29" s="466" t="str">
        <f>HYPERLINK("osu.ppy.sh/users/17278897","YaeMyMommy")</f>
        <v>YaeMyMommy</v>
      </c>
      <c r="Z29" s="407"/>
      <c r="AA29" s="466" t="str">
        <f>HYPERLINK("osu.ppy.sh/users/18704162","Joon Yorigami")</f>
        <v>Joon Yorigami</v>
      </c>
      <c r="AB29" s="464"/>
      <c r="AC29" s="462" t="str">
        <f>HYPERLINK("osu.ppy.sh/users/18480113","euouae_")</f>
        <v>euouae_</v>
      </c>
      <c r="AD29" s="464"/>
      <c r="AE29" s="462" t="str">
        <f>HYPERLINK("osu.ppy.sh/users/11628350","Flare_Drake")</f>
        <v>Flare_Drake</v>
      </c>
      <c r="AF29" s="464"/>
      <c r="AG29" s="462" t="str">
        <f>HYPERLINK("osu.ppy.sh/users/24633291","Mewo_")</f>
        <v>Mewo_</v>
      </c>
      <c r="AH29" s="448"/>
      <c r="AI29" s="293"/>
      <c r="AJ29" s="384"/>
    </row>
    <row r="30" ht="75.0" customHeight="1">
      <c r="A30" s="386"/>
      <c r="B30" s="387"/>
      <c r="D30" s="387"/>
      <c r="E30" s="295"/>
      <c r="F30" s="433"/>
      <c r="G30" s="402" t="str">
        <f>IMAGE("https://a.ppy.sh/17979410?1685863057.jpeg")</f>
        <v>#REF!</v>
      </c>
      <c r="H30" s="407"/>
      <c r="I30" s="461"/>
      <c r="J30" s="464"/>
      <c r="K30" s="461"/>
      <c r="L30" s="464"/>
      <c r="M30" s="461"/>
      <c r="N30" s="464"/>
      <c r="O30" s="461"/>
      <c r="P30" s="448"/>
      <c r="Q30" s="295"/>
      <c r="R30" s="389"/>
      <c r="S30" s="386"/>
      <c r="T30" s="387"/>
      <c r="V30" s="387"/>
      <c r="W30" s="467"/>
      <c r="X30" s="407"/>
      <c r="Y30" s="402" t="str">
        <f>IMAGE("https://a.ppy.sh/20124667?1687374652.jpeg")</f>
        <v>#REF!</v>
      </c>
      <c r="Z30" s="407"/>
      <c r="AA30" s="402" t="str">
        <f>IMAGE("https://a.ppy.sh/18750748?1682552187.jpeg")</f>
        <v>#REF!</v>
      </c>
      <c r="AB30" s="464"/>
      <c r="AC30" s="402" t="str">
        <f>IMAGE("https://a.ppy.sh/16199365?1674529267.jpeg")</f>
        <v>#REF!</v>
      </c>
      <c r="AD30" s="464"/>
      <c r="AE30" s="402" t="str">
        <f>IMAGE("https://a.ppy.sh/13456818?1668178576.jpeg")</f>
        <v>#REF!</v>
      </c>
      <c r="AF30" s="464"/>
      <c r="AG30" s="402" t="str">
        <f>IMAGE("https://a.ppy.sh/29426345?1662740201.jpeg")</f>
        <v>#REF!</v>
      </c>
      <c r="AH30" s="464"/>
      <c r="AI30" s="468"/>
      <c r="AJ30" s="384"/>
    </row>
    <row r="31" ht="22.5" customHeight="1">
      <c r="A31" s="386"/>
      <c r="B31" s="387"/>
      <c r="D31" s="387"/>
      <c r="E31" s="295"/>
      <c r="F31" s="433"/>
      <c r="G31" s="461" t="str">
        <f>HYPERLINK("osu.ppy.sh/users/17979410","Aoi Hinami")</f>
        <v>Aoi Hinami</v>
      </c>
      <c r="H31" s="407"/>
      <c r="I31" s="461"/>
      <c r="J31" s="464"/>
      <c r="K31" s="461"/>
      <c r="L31" s="464"/>
      <c r="M31" s="461"/>
      <c r="N31" s="464"/>
      <c r="O31" s="461"/>
      <c r="P31" s="448"/>
      <c r="Q31" s="295"/>
      <c r="R31" s="389"/>
      <c r="S31" s="386"/>
      <c r="T31" s="387"/>
      <c r="V31" s="387"/>
      <c r="W31" s="467"/>
      <c r="X31" s="407"/>
      <c r="Y31" s="466" t="str">
        <f>HYPERLINK("osu.ppy.sh/users/20124667","Bo_Bandy")</f>
        <v>Bo_Bandy</v>
      </c>
      <c r="Z31" s="407"/>
      <c r="AA31" s="466" t="str">
        <f>HYPERLINK("osu.ppy.sh/users/18750748","Shogeki")</f>
        <v>Shogeki</v>
      </c>
      <c r="AB31" s="464"/>
      <c r="AC31" s="466" t="str">
        <f>HYPERLINK("osu.ppy.sh/users/16199365","reforna")</f>
        <v>reforna</v>
      </c>
      <c r="AD31" s="464"/>
      <c r="AE31" s="466" t="str">
        <f>HYPERLINK("osu.ppy.sh/users/13456818","BCraftMG")</f>
        <v>BCraftMG</v>
      </c>
      <c r="AF31" s="464"/>
      <c r="AG31" s="466" t="str">
        <f>HYPERLINK("osu.ppy.sh/users/29426345","Gamillie")</f>
        <v>Gamillie</v>
      </c>
      <c r="AH31" s="464"/>
      <c r="AI31" s="468"/>
      <c r="AJ31" s="384"/>
    </row>
    <row r="32" ht="75.0" customHeight="1">
      <c r="A32" s="386"/>
      <c r="B32" s="387"/>
      <c r="D32" s="387"/>
      <c r="E32" s="295"/>
      <c r="F32" s="433"/>
      <c r="G32" s="461"/>
      <c r="H32" s="407"/>
      <c r="I32" s="461"/>
      <c r="J32" s="464"/>
      <c r="K32" s="461"/>
      <c r="L32" s="464"/>
      <c r="M32" s="461"/>
      <c r="N32" s="464"/>
      <c r="O32" s="461"/>
      <c r="P32" s="448"/>
      <c r="Q32" s="295"/>
      <c r="R32" s="389"/>
      <c r="S32" s="386"/>
      <c r="T32" s="387"/>
      <c r="V32" s="387"/>
      <c r="W32" s="467"/>
      <c r="X32" s="407"/>
      <c r="Y32" s="402" t="str">
        <f>IMAGE("https://a.ppy.sh/24134742?1686844792.jpeg")</f>
        <v>#REF!</v>
      </c>
      <c r="Z32" s="407"/>
      <c r="AA32" s="402" t="str">
        <f>IMAGE("https://a.ppy.sh/18347666?.jpeg")</f>
        <v>#REF!</v>
      </c>
      <c r="AB32" s="464"/>
      <c r="AC32" s="402" t="str">
        <f>IMAGE("https://a.ppy.sh/10224047?.jpeg")</f>
        <v>#REF!</v>
      </c>
      <c r="AD32" s="464"/>
      <c r="AE32" s="466"/>
      <c r="AF32" s="464"/>
      <c r="AG32" s="466"/>
      <c r="AH32" s="464"/>
      <c r="AI32" s="468"/>
      <c r="AJ32" s="384"/>
    </row>
    <row r="33" ht="22.5" customHeight="1">
      <c r="A33" s="386"/>
      <c r="B33" s="387"/>
      <c r="D33" s="387"/>
      <c r="E33" s="295"/>
      <c r="F33" s="433"/>
      <c r="G33" s="461"/>
      <c r="H33" s="407"/>
      <c r="I33" s="461"/>
      <c r="J33" s="464"/>
      <c r="K33" s="461"/>
      <c r="L33" s="464"/>
      <c r="M33" s="461"/>
      <c r="N33" s="464"/>
      <c r="O33" s="461"/>
      <c r="P33" s="448"/>
      <c r="Q33" s="295"/>
      <c r="R33" s="389"/>
      <c r="S33" s="386"/>
      <c r="T33" s="387"/>
      <c r="V33" s="387"/>
      <c r="W33" s="467"/>
      <c r="X33" s="407"/>
      <c r="Y33" s="466" t="str">
        <f>HYPERLINK("osu.ppy.sh/users/24134742","BlooMertz")</f>
        <v>BlooMertz</v>
      </c>
      <c r="Z33" s="407"/>
      <c r="AA33" s="466" t="str">
        <f>HYPERLINK("osu.ppy.sh/users/18347666","Azasapag")</f>
        <v>Azasapag</v>
      </c>
      <c r="AB33" s="464"/>
      <c r="AC33" s="466" t="str">
        <f>HYPERLINK("osu.ppy.sh/users/10224047","Emerald Ages")</f>
        <v>Emerald Ages</v>
      </c>
      <c r="AD33" s="464"/>
      <c r="AE33" s="466"/>
      <c r="AF33" s="464"/>
      <c r="AG33" s="466"/>
      <c r="AH33" s="464"/>
      <c r="AI33" s="468"/>
      <c r="AJ33" s="384"/>
    </row>
    <row r="34" ht="7.5" customHeight="1">
      <c r="A34" s="386"/>
      <c r="B34" s="387"/>
      <c r="D34" s="387"/>
      <c r="E34" s="295"/>
      <c r="F34" s="451"/>
      <c r="G34" s="452"/>
      <c r="H34" s="452"/>
      <c r="I34" s="453"/>
      <c r="J34" s="453"/>
      <c r="K34" s="453"/>
      <c r="L34" s="453"/>
      <c r="M34" s="453"/>
      <c r="N34" s="453"/>
      <c r="O34" s="453"/>
      <c r="P34" s="454"/>
      <c r="Q34" s="295"/>
      <c r="R34" s="389"/>
      <c r="S34" s="386"/>
      <c r="T34" s="387"/>
      <c r="V34" s="387"/>
      <c r="W34" s="295"/>
      <c r="X34" s="415"/>
      <c r="Y34" s="415"/>
      <c r="Z34" s="415"/>
      <c r="AA34" s="415"/>
      <c r="AB34" s="415"/>
      <c r="AC34" s="415"/>
      <c r="AD34" s="415"/>
      <c r="AE34" s="415"/>
      <c r="AF34" s="415"/>
      <c r="AG34" s="415"/>
      <c r="AH34" s="416"/>
      <c r="AI34" s="293"/>
      <c r="AJ34" s="384"/>
    </row>
    <row r="35" ht="7.5" customHeight="1">
      <c r="A35" s="386"/>
      <c r="B35" s="387"/>
      <c r="D35" s="387"/>
      <c r="E35" s="295"/>
      <c r="F35" s="295"/>
      <c r="G35" s="295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389"/>
      <c r="S35" s="386"/>
      <c r="T35" s="387"/>
      <c r="U35" s="387"/>
      <c r="V35" s="387"/>
      <c r="W35" s="387"/>
      <c r="X35" s="387"/>
      <c r="Y35" s="387"/>
      <c r="Z35" s="387"/>
      <c r="AA35" s="387"/>
      <c r="AB35" s="387"/>
      <c r="AC35" s="387"/>
      <c r="AD35" s="387"/>
      <c r="AE35" s="387"/>
      <c r="AF35" s="387"/>
      <c r="AG35" s="387"/>
      <c r="AH35" s="384"/>
      <c r="AI35" s="384"/>
      <c r="AJ35" s="384"/>
    </row>
    <row r="36" ht="7.5" customHeight="1">
      <c r="A36" s="417"/>
      <c r="B36" s="387"/>
      <c r="C36" s="387"/>
      <c r="D36" s="387"/>
      <c r="E36" s="387"/>
      <c r="F36" s="387"/>
      <c r="G36" s="387"/>
      <c r="H36" s="387"/>
      <c r="I36" s="387"/>
      <c r="J36" s="387"/>
      <c r="K36" s="387"/>
      <c r="L36" s="387"/>
      <c r="M36" s="387"/>
      <c r="N36" s="387"/>
      <c r="O36" s="387"/>
      <c r="P36" s="387"/>
      <c r="Q36" s="387"/>
      <c r="R36" s="389"/>
      <c r="S36" s="418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5"/>
      <c r="AI36" s="385"/>
      <c r="AJ36" s="384"/>
    </row>
    <row r="37" ht="7.5" customHeight="1">
      <c r="A37" s="386"/>
      <c r="B37" s="387"/>
      <c r="C37" s="469" t="s">
        <v>89</v>
      </c>
      <c r="D37" s="387"/>
      <c r="E37" s="295"/>
      <c r="F37" s="295"/>
      <c r="G37" s="295"/>
      <c r="H37" s="391"/>
      <c r="I37" s="392"/>
      <c r="J37" s="392"/>
      <c r="K37" s="392"/>
      <c r="L37" s="392"/>
      <c r="M37" s="392"/>
      <c r="N37" s="392"/>
      <c r="O37" s="392"/>
      <c r="P37" s="392"/>
      <c r="Q37" s="295"/>
      <c r="R37" s="389"/>
      <c r="S37" s="386"/>
      <c r="T37" s="422"/>
      <c r="U37" s="470" t="s">
        <v>90</v>
      </c>
      <c r="V37" s="389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5"/>
      <c r="AI37" s="425"/>
      <c r="AJ37" s="384"/>
    </row>
    <row r="38" ht="7.5" customHeight="1">
      <c r="A38" s="386"/>
      <c r="B38" s="387"/>
      <c r="D38" s="387"/>
      <c r="E38" s="295"/>
      <c r="F38" s="396"/>
      <c r="G38" s="397"/>
      <c r="H38" s="398"/>
      <c r="I38" s="399"/>
      <c r="J38" s="399"/>
      <c r="K38" s="399"/>
      <c r="L38" s="399"/>
      <c r="M38" s="399"/>
      <c r="N38" s="399"/>
      <c r="O38" s="399"/>
      <c r="P38" s="400"/>
      <c r="Q38" s="295"/>
      <c r="R38" s="389"/>
      <c r="S38" s="386"/>
      <c r="T38" s="422"/>
      <c r="V38" s="389"/>
      <c r="W38" s="424"/>
      <c r="X38" s="471"/>
      <c r="Y38" s="472"/>
      <c r="Z38" s="431"/>
      <c r="AA38" s="431"/>
      <c r="AB38" s="431"/>
      <c r="AC38" s="431"/>
      <c r="AD38" s="431"/>
      <c r="AE38" s="431"/>
      <c r="AF38" s="431"/>
      <c r="AG38" s="431"/>
      <c r="AH38" s="432"/>
      <c r="AI38" s="425"/>
      <c r="AJ38" s="384"/>
    </row>
    <row r="39" ht="75.0" customHeight="1">
      <c r="A39" s="386"/>
      <c r="B39" s="387"/>
      <c r="D39" s="387"/>
      <c r="E39" s="295"/>
      <c r="F39" s="406"/>
      <c r="G39" s="402" t="str">
        <f>IMAGE("https://a.ppy.sh/15173398?1688091268.jpeg")</f>
        <v>#REF!</v>
      </c>
      <c r="H39" s="407"/>
      <c r="I39" s="402" t="str">
        <f>IMAGE("https://a.ppy.sh/23422561?1687566078.jpeg")</f>
        <v>#REF!</v>
      </c>
      <c r="J39" s="407"/>
      <c r="K39" s="402" t="str">
        <f>IMAGE("https://a.ppy.sh/10276352?1681424111.jpeg")</f>
        <v>#REF!</v>
      </c>
      <c r="L39" s="407"/>
      <c r="M39" s="402" t="str">
        <f>IMAGE("https://a.ppy.sh/17455435?1689465982.jpeg")</f>
        <v>#REF!</v>
      </c>
      <c r="N39" s="407"/>
      <c r="O39" s="408"/>
      <c r="P39" s="412"/>
      <c r="Q39" s="295"/>
      <c r="R39" s="389"/>
      <c r="S39" s="386"/>
      <c r="T39" s="422"/>
      <c r="V39" s="389"/>
      <c r="W39" s="424"/>
      <c r="X39" s="436"/>
      <c r="Y39" s="402" t="str">
        <f>IMAGE("https://a.ppy.sh/11247923?1679387926.jpeg")</f>
        <v>#REF!</v>
      </c>
      <c r="Z39" s="437"/>
      <c r="AA39" s="402" t="str">
        <f>IMAGE("https://a.ppy.sh/23422561?1687566078.jpeg")</f>
        <v>#REF!</v>
      </c>
      <c r="AB39" s="437"/>
      <c r="AC39" s="402" t="str">
        <f>IMAGE("https://a.ppy.sh/15173398?1688091268.jpeg")</f>
        <v>#REF!</v>
      </c>
      <c r="AD39" s="437"/>
      <c r="AE39" s="402" t="str">
        <f>IMAGE("https://a.ppy.sh/10276352?1681424111.jpeg")</f>
        <v>#REF!</v>
      </c>
      <c r="AF39" s="437"/>
      <c r="AG39" s="402" t="str">
        <f>IMAGE("https://a.ppy.sh/11628350?1683159468.jpeg")</f>
        <v>#REF!</v>
      </c>
      <c r="AH39" s="438"/>
      <c r="AI39" s="425"/>
      <c r="AJ39" s="384"/>
    </row>
    <row r="40" ht="22.5" customHeight="1">
      <c r="A40" s="386"/>
      <c r="B40" s="387"/>
      <c r="D40" s="387"/>
      <c r="E40" s="295"/>
      <c r="F40" s="413"/>
      <c r="G40" s="473" t="str">
        <f>HYPERLINK("osu.ppy.sh/users/15173398","ShiruoX")</f>
        <v>ShiruoX</v>
      </c>
      <c r="H40" s="407"/>
      <c r="I40" s="473" t="str">
        <f>HYPERLINK("osu.ppy.sh/users/23422561","Meiling hong")</f>
        <v>Meiling hong</v>
      </c>
      <c r="J40" s="407"/>
      <c r="K40" s="474" t="str">
        <f>HYPERLINK("osu.ppy.sh/users/10276352","Lunexia")</f>
        <v>Lunexia</v>
      </c>
      <c r="L40" s="407"/>
      <c r="M40" s="474" t="str">
        <f>HYPERLINK("osu.ppy.sh/users/17455435","rafaeldel7")</f>
        <v>rafaeldel7</v>
      </c>
      <c r="N40" s="407"/>
      <c r="O40" s="473"/>
      <c r="P40" s="412"/>
      <c r="Q40" s="295"/>
      <c r="R40" s="389"/>
      <c r="S40" s="386"/>
      <c r="T40" s="422"/>
      <c r="V40" s="389"/>
      <c r="W40" s="424"/>
      <c r="X40" s="436"/>
      <c r="Y40" s="475" t="str">
        <f>HYPERLINK("osu.ppy.sh/users/11247923","Sedi")</f>
        <v>Sedi</v>
      </c>
      <c r="Z40" s="437"/>
      <c r="AA40" s="476" t="str">
        <f>HYPERLINK("osu.ppy.sh/users/23422561","Meiling Hong")</f>
        <v>Meiling Hong</v>
      </c>
      <c r="AB40" s="437"/>
      <c r="AC40" s="477" t="str">
        <f>HYPERLINK("osu.ppy.sh/users/15173398","ShiruoX")</f>
        <v>ShiruoX</v>
      </c>
      <c r="AD40" s="437"/>
      <c r="AE40" s="475" t="str">
        <f>HYPERLINK("osu.ppy.sh/users/10276352","Lunexia")</f>
        <v>Lunexia</v>
      </c>
      <c r="AF40" s="437"/>
      <c r="AG40" s="475" t="str">
        <f>HYPERLINK("osu.ppy.sh/users/11628350","Flare_Drake")</f>
        <v>Flare_Drake</v>
      </c>
      <c r="AH40" s="438"/>
      <c r="AI40" s="425"/>
      <c r="AJ40" s="384"/>
    </row>
    <row r="41" ht="75.0" customHeight="1">
      <c r="A41" s="386"/>
      <c r="B41" s="387"/>
      <c r="D41" s="387"/>
      <c r="E41" s="295"/>
      <c r="F41" s="433"/>
      <c r="G41" s="407"/>
      <c r="H41" s="407"/>
      <c r="I41" s="407"/>
      <c r="J41" s="407"/>
      <c r="K41" s="407"/>
      <c r="L41" s="407"/>
      <c r="M41" s="407"/>
      <c r="N41" s="407"/>
      <c r="O41" s="407"/>
      <c r="P41" s="412"/>
      <c r="Q41" s="295"/>
      <c r="R41" s="389"/>
      <c r="S41" s="386"/>
      <c r="T41" s="422"/>
      <c r="V41" s="389"/>
      <c r="W41" s="424"/>
      <c r="X41" s="436"/>
      <c r="Y41" s="402" t="str">
        <f>IMAGE("https://a.ppy.sh/12398989?1658064104.jpeg")</f>
        <v>#REF!</v>
      </c>
      <c r="Z41" s="437"/>
      <c r="AA41" s="402" t="str">
        <f>IMAGE("https://a.ppy.sh/29426345?1662740201.jpeg")</f>
        <v>#REF!</v>
      </c>
      <c r="AB41" s="437"/>
      <c r="AC41" s="402" t="str">
        <f>IMAGE("https://a.ppy.sh/10018405?.jpeg")</f>
        <v>#REF!</v>
      </c>
      <c r="AD41" s="437"/>
      <c r="AE41" s="402" t="str">
        <f>IMAGE("https://a.ppy.sh/18480113?1688047284.jpeg")</f>
        <v>#REF!</v>
      </c>
      <c r="AF41" s="437"/>
      <c r="AG41" s="437"/>
      <c r="AH41" s="438"/>
      <c r="AI41" s="425"/>
      <c r="AJ41" s="384"/>
    </row>
    <row r="42" ht="22.5" customHeight="1">
      <c r="A42" s="386"/>
      <c r="B42" s="387"/>
      <c r="D42" s="387"/>
      <c r="E42" s="295"/>
      <c r="F42" s="433"/>
      <c r="G42" s="407"/>
      <c r="H42" s="407"/>
      <c r="I42" s="407"/>
      <c r="J42" s="407"/>
      <c r="K42" s="407"/>
      <c r="L42" s="407"/>
      <c r="M42" s="407"/>
      <c r="N42" s="407"/>
      <c r="O42" s="407"/>
      <c r="P42" s="412"/>
      <c r="Q42" s="295"/>
      <c r="R42" s="389"/>
      <c r="S42" s="386"/>
      <c r="T42" s="422"/>
      <c r="V42" s="389"/>
      <c r="W42" s="478"/>
      <c r="X42" s="437"/>
      <c r="Y42" s="476" t="str">
        <f>HYPERLINK("osu.ppy.sh/users/12398989","mm1678YT")</f>
        <v>mm1678YT</v>
      </c>
      <c r="Z42" s="437"/>
      <c r="AA42" s="476" t="str">
        <f>HYPERLINK("osu.ppy.sh/users/29426345","Gamillie")</f>
        <v>Gamillie</v>
      </c>
      <c r="AB42" s="437"/>
      <c r="AC42" s="476" t="str">
        <f>HYPERLINK("osu.ppy.sh/users/10018405","splacten")</f>
        <v>splacten</v>
      </c>
      <c r="AD42" s="437"/>
      <c r="AE42" s="476" t="str">
        <f>HYPERLINK("osu.ppy.sh/users/18480113","euouae_")</f>
        <v>euouae_</v>
      </c>
      <c r="AF42" s="437"/>
      <c r="AG42" s="462"/>
      <c r="AH42" s="479"/>
      <c r="AI42" s="480"/>
      <c r="AJ42" s="384"/>
    </row>
    <row r="43" ht="7.5" customHeight="1">
      <c r="A43" s="386"/>
      <c r="B43" s="387"/>
      <c r="D43" s="387"/>
      <c r="E43" s="295"/>
      <c r="F43" s="415"/>
      <c r="G43" s="415"/>
      <c r="H43" s="415"/>
      <c r="I43" s="415"/>
      <c r="J43" s="415"/>
      <c r="K43" s="415"/>
      <c r="L43" s="415"/>
      <c r="M43" s="415"/>
      <c r="N43" s="415"/>
      <c r="O43" s="415"/>
      <c r="P43" s="415"/>
      <c r="Q43" s="295"/>
      <c r="R43" s="389"/>
      <c r="S43" s="386"/>
      <c r="T43" s="387"/>
      <c r="V43" s="387"/>
      <c r="W43" s="295"/>
      <c r="X43" s="415"/>
      <c r="Y43" s="415"/>
      <c r="Z43" s="415"/>
      <c r="AA43" s="415"/>
      <c r="AB43" s="415"/>
      <c r="AC43" s="415"/>
      <c r="AD43" s="415"/>
      <c r="AE43" s="415"/>
      <c r="AF43" s="415"/>
      <c r="AG43" s="415"/>
      <c r="AH43" s="416"/>
      <c r="AI43" s="293"/>
      <c r="AJ43" s="384"/>
    </row>
    <row r="44" ht="7.5" customHeight="1">
      <c r="A44" s="417"/>
      <c r="B44" s="384"/>
      <c r="C44" s="384"/>
      <c r="D44" s="384"/>
      <c r="E44" s="384"/>
      <c r="F44" s="384"/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5"/>
      <c r="S44" s="417"/>
      <c r="T44" s="385"/>
      <c r="U44" s="385"/>
      <c r="V44" s="385"/>
      <c r="W44" s="385"/>
      <c r="X44" s="385"/>
      <c r="Y44" s="385"/>
      <c r="Z44" s="385"/>
      <c r="AA44" s="385"/>
      <c r="AB44" s="385"/>
      <c r="AC44" s="385"/>
      <c r="AD44" s="385"/>
      <c r="AE44" s="385"/>
      <c r="AF44" s="385"/>
      <c r="AG44" s="385"/>
      <c r="AH44" s="385"/>
      <c r="AI44" s="385"/>
      <c r="AJ44" s="384"/>
    </row>
  </sheetData>
  <mergeCells count="9">
    <mergeCell ref="U20:U34"/>
    <mergeCell ref="U37:U43"/>
    <mergeCell ref="C2:C6"/>
    <mergeCell ref="U2:U6"/>
    <mergeCell ref="I4:O4"/>
    <mergeCell ref="C8:C18"/>
    <mergeCell ref="U8:U18"/>
    <mergeCell ref="C20:C35"/>
    <mergeCell ref="C37:C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9DF0"/>
    <outlinePr summaryBelow="0" summaryRight="0"/>
  </sheetPr>
  <sheetViews>
    <sheetView workbookViewId="0"/>
  </sheetViews>
  <sheetFormatPr customHeight="1" defaultColWidth="12.63" defaultRowHeight="15.75"/>
  <cols>
    <col customWidth="1" min="1" max="2" width="1.38"/>
    <col customWidth="1" min="3" max="3" width="3.25"/>
    <col customWidth="1" min="4" max="4" width="18.88"/>
    <col customWidth="1" min="5" max="5" width="6.38"/>
    <col customWidth="1" min="6" max="6" width="18.88"/>
    <col customWidth="1" min="7" max="7" width="62.63"/>
    <col customWidth="1" hidden="1" min="8" max="8" width="62.63"/>
    <col customWidth="1" min="9" max="9" width="1.38"/>
  </cols>
  <sheetData>
    <row r="1" ht="7.5" customHeight="1">
      <c r="A1" s="291"/>
      <c r="B1" s="291"/>
      <c r="C1" s="291"/>
      <c r="D1" s="291"/>
      <c r="E1" s="291"/>
      <c r="F1" s="291"/>
      <c r="G1" s="291"/>
      <c r="H1" s="291"/>
      <c r="I1" s="291"/>
    </row>
    <row r="2" ht="7.5" customHeight="1">
      <c r="A2" s="291"/>
      <c r="B2" s="295"/>
      <c r="C2" s="295"/>
      <c r="D2" s="295"/>
      <c r="E2" s="295"/>
      <c r="F2" s="295"/>
      <c r="G2" s="295"/>
      <c r="H2" s="295"/>
      <c r="I2" s="295"/>
    </row>
    <row r="3" ht="30.0" customHeight="1">
      <c r="A3" s="297"/>
      <c r="B3" s="295"/>
      <c r="C3" s="481" t="s">
        <v>91</v>
      </c>
      <c r="D3" s="482"/>
      <c r="E3" s="482"/>
      <c r="F3" s="483"/>
      <c r="G3" s="484" t="str">
        <f>"PLAYERS SCREENED : " &amp; COUNTIF(G5:G40,"*")</f>
        <v>PLAYERS SCREENED : 31</v>
      </c>
      <c r="H3" s="485"/>
      <c r="I3" s="295"/>
    </row>
    <row r="4" ht="30.0" customHeight="1">
      <c r="A4" s="297"/>
      <c r="B4" s="295"/>
      <c r="C4" s="486" t="s">
        <v>92</v>
      </c>
      <c r="D4" s="487" t="s">
        <v>93</v>
      </c>
      <c r="E4" s="487" t="s">
        <v>94</v>
      </c>
      <c r="F4" s="487" t="s">
        <v>95</v>
      </c>
      <c r="G4" s="487" t="s">
        <v>96</v>
      </c>
      <c r="H4" s="317" t="s">
        <v>82</v>
      </c>
      <c r="I4" s="295"/>
    </row>
    <row r="5" ht="30.0" customHeight="1">
      <c r="A5" s="297"/>
      <c r="B5" s="295"/>
      <c r="C5" s="488">
        <f t="array" ref="C5:C35">SEQUENCE(COUNTIF(G5:G40,"*"),1,1,1)</f>
        <v>1</v>
      </c>
      <c r="D5" s="489" t="str">
        <f>IFERROR(__xludf.DUMMYFUNCTION("IMPORTRANGE(""1HHAHmZTTDlyB4RHaHQ-2bhUchkHOEZhmcQrDYQXnxnw"",""sorted_screening_importrange!B3:E38"")"),"a fish")</f>
        <v>a fish</v>
      </c>
      <c r="E5" s="490" t="str">
        <f>IFERROR(__xludf.DUMMYFUNCTION("""COMPUTED_VALUE"""),"")</f>
        <v/>
      </c>
      <c r="F5" s="491" t="str">
        <f>IFERROR(__xludf.DUMMYFUNCTION("""COMPUTED_VALUE"""),"aespect")</f>
        <v>aespect</v>
      </c>
      <c r="G5" s="492" t="str">
        <f>IFERROR(__xludf.DUMMYFUNCTION("""COMPUTED_VALUE"""),"nnui- has 298 pp top play")</f>
        <v>nnui- has 298 pp top play</v>
      </c>
      <c r="H5" s="323"/>
      <c r="I5" s="295"/>
    </row>
    <row r="6" ht="30.0" customHeight="1">
      <c r="A6" s="291"/>
      <c r="B6" s="295"/>
      <c r="C6" s="488">
        <v>2.0</v>
      </c>
      <c r="D6" s="489" t="str">
        <f>IFERROR(__xludf.DUMMYFUNCTION("""COMPUTED_VALUE"""),"a fish")</f>
        <v>a fish</v>
      </c>
      <c r="E6" s="490" t="str">
        <f>IFERROR(__xludf.DUMMYFUNCTION("""COMPUTED_VALUE"""),"")</f>
        <v/>
      </c>
      <c r="F6" s="491" t="str">
        <f>IFERROR(__xludf.DUMMYFUNCTION("""COMPUTED_VALUE"""),"marshysxn")</f>
        <v>marshysxn</v>
      </c>
      <c r="G6" s="492" t="str">
        <f>IFERROR(__xludf.DUMMYFUNCTION("""COMPUTED_VALUE"""),"itzmecole has a 300pp play and alot of other crazy top plays.")</f>
        <v>itzmecole has a 300pp play and alot of other crazy top plays.</v>
      </c>
      <c r="H6" s="323"/>
      <c r="I6" s="295"/>
    </row>
    <row r="7" ht="30.0" customHeight="1">
      <c r="A7" s="325"/>
      <c r="B7" s="326"/>
      <c r="C7" s="488">
        <v>3.0</v>
      </c>
      <c r="D7" s="489" t="str">
        <f>IFERROR(__xludf.DUMMYFUNCTION("""COMPUTED_VALUE"""),"animefoot69")</f>
        <v>animefoot69</v>
      </c>
      <c r="E7" s="490" t="str">
        <f>IFERROR(__xludf.DUMMYFUNCTION("""COMPUTED_VALUE"""),"")</f>
        <v/>
      </c>
      <c r="F7" s="491" t="str">
        <f>IFERROR(__xludf.DUMMYFUNCTION("""COMPUTED_VALUE"""),"CBF45")</f>
        <v>CBF45</v>
      </c>
      <c r="G7" s="492" t="str">
        <f>IFERROR(__xludf.DUMMYFUNCTION("""COMPUTED_VALUE"""),"Matxsh have too recent account creation (May 2023)")</f>
        <v>Matxsh have too recent account creation (May 2023)</v>
      </c>
      <c r="H7" s="323"/>
      <c r="I7" s="327"/>
    </row>
    <row r="8" ht="30.0" customHeight="1">
      <c r="A8" s="325"/>
      <c r="B8" s="326"/>
      <c r="C8" s="488">
        <v>4.0</v>
      </c>
      <c r="D8" s="489" t="str">
        <f>IFERROR(__xludf.DUMMYFUNCTION("""COMPUTED_VALUE"""),"APELPIES MY MOMMY")</f>
        <v>APELPIES MY MOMMY</v>
      </c>
      <c r="E8" s="490" t="str">
        <f>IFERROR(__xludf.DUMMYFUNCTION("""COMPUTED_VALUE"""),"")</f>
        <v/>
      </c>
      <c r="F8" s="491"/>
      <c r="G8" s="492" t="str">
        <f>IFERROR(__xludf.DUMMYFUNCTION("""COMPUTED_VALUE""")," 4XnL has a 10* pass + 3* 4* 5* 6* FC badge within same week")</f>
        <v> 4XnL has a 10* pass + 3* 4* 5* 6* FC badge within same week</v>
      </c>
      <c r="H8" s="323"/>
      <c r="I8" s="327"/>
    </row>
    <row r="9" ht="30.0" customHeight="1">
      <c r="A9" s="291"/>
      <c r="B9" s="295"/>
      <c r="C9" s="488">
        <v>5.0</v>
      </c>
      <c r="D9" s="489" t="str">
        <f>IFERROR(__xludf.DUMMYFUNCTION("""COMPUTED_VALUE"""),"BloCk")</f>
        <v>BloCk</v>
      </c>
      <c r="E9" s="490" t="str">
        <f>IFERROR(__xludf.DUMMYFUNCTION("""COMPUTED_VALUE"""),"")</f>
        <v/>
      </c>
      <c r="F9" s="491" t="str">
        <f>IFERROR(__xludf.DUMMYFUNCTION("""COMPUTED_VALUE"""),"O_re_O")</f>
        <v>O_re_O</v>
      </c>
      <c r="G9" s="492" t="str">
        <f>IFERROR(__xludf.DUMMYFUNCTION("""COMPUTED_VALUE"""),"NaruROck has low Playcount(5035) &amp; too recent account creation (April 2023)")</f>
        <v>NaruROck has low Playcount(5035) &amp; too recent account creation (April 2023)</v>
      </c>
      <c r="H9" s="323"/>
      <c r="I9" s="329"/>
    </row>
    <row r="10" ht="30.0" customHeight="1">
      <c r="A10" s="325"/>
      <c r="B10" s="326"/>
      <c r="C10" s="488">
        <v>6.0</v>
      </c>
      <c r="D10" s="489" t="str">
        <f>IFERROR(__xludf.DUMMYFUNCTION("""COMPUTED_VALUE"""),"cake")</f>
        <v>cake</v>
      </c>
      <c r="E10" s="490" t="str">
        <f>IFERROR(__xludf.DUMMYFUNCTION("""COMPUTED_VALUE"""),"")</f>
        <v/>
      </c>
      <c r="F10" s="491" t="str">
        <f>IFERROR(__xludf.DUMMYFUNCTION("""COMPUTED_VALUE"""),"KillerLink")</f>
        <v>KillerLink</v>
      </c>
      <c r="G10" s="492" t="str">
        <f>IFERROR(__xludf.DUMMYFUNCTION("""COMPUTED_VALUE"""),"Pherklinz did exceed ETX rank criteria (10665) &amp; low pp floor (60pp)")</f>
        <v>Pherklinz did exceed ETX rank criteria (10665) &amp; low pp floor (60pp)</v>
      </c>
      <c r="H10" s="323"/>
      <c r="I10" s="327"/>
    </row>
    <row r="11" ht="30.0" customHeight="1">
      <c r="A11" s="325"/>
      <c r="B11" s="326"/>
      <c r="C11" s="488">
        <v>7.0</v>
      </c>
      <c r="D11" s="489" t="str">
        <f>IFERROR(__xludf.DUMMYFUNCTION("""COMPUTED_VALUE"""),"equipe câo")</f>
        <v>equipe câo</v>
      </c>
      <c r="E11" s="490" t="str">
        <f>IFERROR(__xludf.DUMMYFUNCTION("""COMPUTED_VALUE"""),"")</f>
        <v/>
      </c>
      <c r="F11" s="491" t="str">
        <f>IFERROR(__xludf.DUMMYFUNCTION("""COMPUTED_VALUE"""),"ASURAX10")</f>
        <v>ASURAX10</v>
      </c>
      <c r="G11" s="492" t="str">
        <f>IFERROR(__xludf.DUMMYFUNCTION("""COMPUTED_VALUE"""),"emo is not on the discord server")</f>
        <v>emo is not on the discord server</v>
      </c>
      <c r="H11" s="323"/>
      <c r="I11" s="327"/>
    </row>
    <row r="12" ht="30.0" customHeight="1">
      <c r="A12" s="291"/>
      <c r="B12" s="295"/>
      <c r="C12" s="488">
        <v>8.0</v>
      </c>
      <c r="D12" s="489" t="str">
        <f>IFERROR(__xludf.DUMMYFUNCTION("""COMPUTED_VALUE"""),"Faz o L")</f>
        <v>Faz o L</v>
      </c>
      <c r="E12" s="490" t="str">
        <f>IFERROR(__xludf.DUMMYFUNCTION("""COMPUTED_VALUE"""),"")</f>
        <v/>
      </c>
      <c r="F12" s="491" t="str">
        <f>IFERROR(__xludf.DUMMYFUNCTION("""COMPUTED_VALUE"""),"XXVII")</f>
        <v>XXVII</v>
      </c>
      <c r="G12" s="492" t="str">
        <f>IFERROR(__xludf.DUMMYFUNCTION("""COMPUTED_VALUE"""),"gatolaxa has 315 pp top play")</f>
        <v>gatolaxa has 315 pp top play</v>
      </c>
      <c r="H12" s="323"/>
      <c r="I12" s="329"/>
    </row>
    <row r="13" ht="30.0" customHeight="1">
      <c r="A13" s="325"/>
      <c r="B13" s="326"/>
      <c r="C13" s="488">
        <v>9.0</v>
      </c>
      <c r="D13" s="489" t="str">
        <f>IFERROR(__xludf.DUMMYFUNCTION("""COMPUTED_VALUE"""),"Filoxen Warmup")</f>
        <v>Filoxen Warmup</v>
      </c>
      <c r="E13" s="490" t="str">
        <f>IFERROR(__xludf.DUMMYFUNCTION("""COMPUTED_VALUE"""),"")</f>
        <v/>
      </c>
      <c r="F13" s="491" t="str">
        <f>IFERROR(__xludf.DUMMYFUNCTION("""COMPUTED_VALUE"""),"TheGrabi")</f>
        <v>TheGrabi</v>
      </c>
      <c r="G13" s="492" t="str">
        <f>IFERROR(__xludf.DUMMYFUNCTION("""COMPUTED_VALUE"""),"Filoxen exceeds the ETX rank criteria (29652)")</f>
        <v>Filoxen exceeds the ETX rank criteria (29652)</v>
      </c>
      <c r="H13" s="323"/>
      <c r="I13" s="327"/>
    </row>
    <row r="14" ht="30.0" customHeight="1">
      <c r="A14" s="325"/>
      <c r="B14" s="326"/>
      <c r="C14" s="488">
        <v>10.0</v>
      </c>
      <c r="D14" s="489" t="str">
        <f>IFERROR(__xludf.DUMMYFUNCTION("""COMPUTED_VALUE"""),"Filoxen Warmup")</f>
        <v>Filoxen Warmup</v>
      </c>
      <c r="E14" s="490" t="str">
        <f>IFERROR(__xludf.DUMMYFUNCTION("""COMPUTED_VALUE"""),"")</f>
        <v/>
      </c>
      <c r="F14" s="491" t="str">
        <f>IFERROR(__xludf.DUMMYFUNCTION("""COMPUTED_VALUE"""),"apelpies")</f>
        <v>apelpies</v>
      </c>
      <c r="G14" s="492" t="str">
        <f>IFERROR(__xludf.DUMMYFUNCTION("""COMPUTED_VALUE"""),"Triniglinys exceeds the ETX rank (31705)")</f>
        <v>Triniglinys exceeds the ETX rank (31705)</v>
      </c>
      <c r="H14" s="323"/>
      <c r="I14" s="327"/>
    </row>
    <row r="15" ht="30.0" customHeight="1">
      <c r="A15" s="291"/>
      <c r="B15" s="295"/>
      <c r="C15" s="488">
        <v>11.0</v>
      </c>
      <c r="D15" s="489" t="str">
        <f>IFERROR(__xludf.DUMMYFUNCTION("""COMPUTED_VALUE"""),"HD abuser abusers")</f>
        <v>HD abuser abusers</v>
      </c>
      <c r="E15" s="490" t="str">
        <f>IFERROR(__xludf.DUMMYFUNCTION("""COMPUTED_VALUE"""),"")</f>
        <v/>
      </c>
      <c r="F15" s="491" t="str">
        <f>IFERROR(__xludf.DUMMYFUNCTION("""COMPUTED_VALUE"""),"Ugetora")</f>
        <v>Ugetora</v>
      </c>
      <c r="G15" s="492" t="str">
        <f>IFERROR(__xludf.DUMMYFUNCTION("""COMPUTED_VALUE"""),"Mushie did not achieved playcount minimum (7432) considering account date creation / possible offline player")</f>
        <v>Mushie did not achieved playcount minimum (7432) considering account date creation / possible offline player</v>
      </c>
      <c r="H15" s="323"/>
      <c r="I15" s="329"/>
    </row>
    <row r="16" ht="30.0" customHeight="1">
      <c r="A16" s="325"/>
      <c r="B16" s="326"/>
      <c r="C16" s="488">
        <v>12.0</v>
      </c>
      <c r="D16" s="489" t="str">
        <f>IFERROR(__xludf.DUMMYFUNCTION("""COMPUTED_VALUE"""),"HD abuser abusers")</f>
        <v>HD abuser abusers</v>
      </c>
      <c r="E16" s="490" t="str">
        <f>IFERROR(__xludf.DUMMYFUNCTION("""COMPUTED_VALUE"""),"")</f>
        <v/>
      </c>
      <c r="F16" s="491" t="str">
        <f>IFERROR(__xludf.DUMMYFUNCTION("""COMPUTED_VALUE"""),"bunnytoro")</f>
        <v>bunnytoro</v>
      </c>
      <c r="G16" s="492" t="str">
        <f>IFERROR(__xludf.DUMMYFUNCTION("""COMPUTED_VALUE"""),"youre cute did not achieved the minimum playcount (6627)")</f>
        <v>youre cute did not achieved the minimum playcount (6627)</v>
      </c>
      <c r="H16" s="323"/>
      <c r="I16" s="327"/>
    </row>
    <row r="17" ht="30.0" customHeight="1">
      <c r="A17" s="325"/>
      <c r="B17" s="326"/>
      <c r="C17" s="488">
        <v>13.0</v>
      </c>
      <c r="D17" s="489" t="str">
        <f>IFERROR(__xludf.DUMMYFUNCTION("""COMPUTED_VALUE"""),"hmmmm")</f>
        <v>hmmmm</v>
      </c>
      <c r="E17" s="490" t="str">
        <f>IFERROR(__xludf.DUMMYFUNCTION("""COMPUTED_VALUE"""),"")</f>
        <v/>
      </c>
      <c r="F17" s="491" t="str">
        <f>IFERROR(__xludf.DUMMYFUNCTION("""COMPUTED_VALUE"""),"Leonan")</f>
        <v>Leonan</v>
      </c>
      <c r="G17" s="492" t="str">
        <f>IFERROR(__xludf.DUMMYFUNCTION("""COMPUTED_VALUE"""),"dong30006 has a big PP spread (154) considering well as low playcount.")</f>
        <v>dong30006 has a big PP spread (154) considering well as low playcount.</v>
      </c>
      <c r="H17" s="323"/>
      <c r="I17" s="327"/>
    </row>
    <row r="18" ht="30.0" customHeight="1">
      <c r="A18" s="291"/>
      <c r="B18" s="295"/>
      <c r="C18" s="488">
        <v>14.0</v>
      </c>
      <c r="D18" s="489" t="str">
        <f>IFERROR(__xludf.DUMMYFUNCTION("""COMPUTED_VALUE"""),"hr lovers frfr")</f>
        <v>hr lovers frfr</v>
      </c>
      <c r="E18" s="490" t="str">
        <f>IFERROR(__xludf.DUMMYFUNCTION("""COMPUTED_VALUE"""),"")</f>
        <v/>
      </c>
      <c r="F18" s="491" t="str">
        <f>IFERROR(__xludf.DUMMYFUNCTION("""COMPUTED_VALUE"""),"Iite")</f>
        <v>Iite</v>
      </c>
      <c r="G18" s="492" t="str">
        <f>IFERROR(__xludf.DUMMYFUNCTION("""COMPUTED_VALUE"""),"parr0t exceeds ETX rank criteria (30997)")</f>
        <v>parr0t exceeds ETX rank criteria (30997)</v>
      </c>
      <c r="H18" s="323"/>
      <c r="I18" s="329"/>
    </row>
    <row r="19" ht="30.0" customHeight="1">
      <c r="A19" s="325"/>
      <c r="B19" s="326"/>
      <c r="C19" s="488">
        <v>15.0</v>
      </c>
      <c r="D19" s="489" t="str">
        <f>IFERROR(__xludf.DUMMYFUNCTION("""COMPUTED_VALUE"""),"middle-schooler wife")</f>
        <v>middle-schooler wife</v>
      </c>
      <c r="E19" s="490" t="str">
        <f>IFERROR(__xludf.DUMMYFUNCTION("""COMPUTED_VALUE"""),"")</f>
        <v/>
      </c>
      <c r="F19" s="491" t="str">
        <f>IFERROR(__xludf.DUMMYFUNCTION("""COMPUTED_VALUE"""),"miimo__miimo")</f>
        <v>miimo__miimo</v>
      </c>
      <c r="G19" s="492" t="str">
        <f>IFERROR(__xludf.DUMMYFUNCTION("""COMPUTED_VALUE"""),"Joon Yorigami exceeds ETX rank criteria (26607)")</f>
        <v>Joon Yorigami exceeds ETX rank criteria (26607)</v>
      </c>
      <c r="H19" s="323"/>
      <c r="I19" s="327"/>
    </row>
    <row r="20" ht="30.0" customHeight="1">
      <c r="A20" s="325"/>
      <c r="B20" s="326"/>
      <c r="C20" s="488">
        <v>16.0</v>
      </c>
      <c r="D20" s="489" t="str">
        <f>IFERROR(__xludf.DUMMYFUNCTION("""COMPUTED_VALUE"""),"neeks")</f>
        <v>neeks</v>
      </c>
      <c r="E20" s="490" t="str">
        <f>IFERROR(__xludf.DUMMYFUNCTION("""COMPUTED_VALUE"""),"")</f>
        <v/>
      </c>
      <c r="F20" s="491" t="str">
        <f>IFERROR(__xludf.DUMMYFUNCTION("""COMPUTED_VALUE"""),"Hoshifurii")</f>
        <v>Hoshifurii</v>
      </c>
      <c r="G20" s="492" t="str">
        <f>IFERROR(__xludf.DUMMYFUNCTION("""COMPUTED_VALUE"""),"[-komi-san-] did not achieved rank range (234502)")</f>
        <v>[-komi-san-] did not achieved rank range (234502)</v>
      </c>
      <c r="H20" s="323"/>
      <c r="I20" s="327"/>
    </row>
    <row r="21" ht="30.0" customHeight="1">
      <c r="A21" s="291"/>
      <c r="B21" s="295"/>
      <c r="C21" s="488">
        <v>17.0</v>
      </c>
      <c r="D21" s="489" t="str">
        <f>IFERROR(__xludf.DUMMYFUNCTION("""COMPUTED_VALUE"""),"Our team left us")</f>
        <v>Our team left us</v>
      </c>
      <c r="E21" s="490" t="str">
        <f>IFERROR(__xludf.DUMMYFUNCTION("""COMPUTED_VALUE"""),"")</f>
        <v/>
      </c>
      <c r="F21" s="491"/>
      <c r="G21" s="492" t="str">
        <f>IFERROR(__xludf.DUMMYFUNCTION("""COMPUTED_VALUE"""),"KimGotNutKicked is not on the discord server")</f>
        <v>KimGotNutKicked is not on the discord server</v>
      </c>
      <c r="H21" s="323"/>
      <c r="I21" s="329"/>
    </row>
    <row r="22" ht="30.0" customHeight="1">
      <c r="A22" s="325"/>
      <c r="B22" s="326"/>
      <c r="C22" s="488">
        <v>18.0</v>
      </c>
      <c r="D22" s="489" t="str">
        <f>IFERROR(__xludf.DUMMYFUNCTION("""COMPUTED_VALUE"""),"sexy name")</f>
        <v>sexy name</v>
      </c>
      <c r="E22" s="490" t="str">
        <f>IFERROR(__xludf.DUMMYFUNCTION("""COMPUTED_VALUE"""),"")</f>
        <v/>
      </c>
      <c r="F22" s="491" t="str">
        <f>IFERROR(__xludf.DUMMYFUNCTION("""COMPUTED_VALUE"""),"Alica")</f>
        <v>Alica</v>
      </c>
      <c r="G22" s="492" t="str">
        <f>IFERROR(__xludf.DUMMYFUNCTION("""COMPUTED_VALUE"""),"6053 has 374 pp new top play + pre-you may farm phase 290pp+ top plays")</f>
        <v>6053 has 374 pp new top play + pre-you may farm phase 290pp+ top plays</v>
      </c>
      <c r="H22" s="323"/>
      <c r="I22" s="327"/>
    </row>
    <row r="23" ht="30.0" customHeight="1">
      <c r="A23" s="325"/>
      <c r="B23" s="326"/>
      <c r="C23" s="488">
        <v>19.0</v>
      </c>
      <c r="D23" s="489" t="str">
        <f>IFERROR(__xludf.DUMMYFUNCTION("""COMPUTED_VALUE"""),"sexy name")</f>
        <v>sexy name</v>
      </c>
      <c r="E23" s="490" t="str">
        <f>IFERROR(__xludf.DUMMYFUNCTION("""COMPUTED_VALUE"""),"")</f>
        <v/>
      </c>
      <c r="F23" s="491" t="str">
        <f>IFERROR(__xludf.DUMMYFUNCTION("""COMPUTED_VALUE"""),"smun")</f>
        <v>smun</v>
      </c>
      <c r="G23" s="492" t="str">
        <f>IFERROR(__xludf.DUMMYFUNCTION("""COMPUTED_VALUE"""),"yakotenok didn't achieved rank range (99448) &amp; exceeds ETX rank range (7069) &amp; not on the discord server")</f>
        <v>yakotenok didn't achieved rank range (99448) &amp; exceeds ETX rank range (7069) &amp; not on the discord server</v>
      </c>
      <c r="H23" s="323"/>
      <c r="I23" s="327"/>
    </row>
    <row r="24" ht="30.0" customHeight="1">
      <c r="A24" s="291"/>
      <c r="B24" s="295"/>
      <c r="C24" s="488">
        <v>20.0</v>
      </c>
      <c r="D24" s="489" t="str">
        <f>IFERROR(__xludf.DUMMYFUNCTION("""COMPUTED_VALUE"""),"Sightread Buff")</f>
        <v>Sightread Buff</v>
      </c>
      <c r="E24" s="490" t="str">
        <f>IFERROR(__xludf.DUMMYFUNCTION("""COMPUTED_VALUE"""),"")</f>
        <v/>
      </c>
      <c r="F24" s="491" t="str">
        <f>IFERROR(__xludf.DUMMYFUNCTION("""COMPUTED_VALUE"""),"quay4")</f>
        <v>quay4</v>
      </c>
      <c r="G24" s="492" t="str">
        <f>IFERROR(__xludf.DUMMYFUNCTION("""COMPUTED_VALUE"""),"BobBuilder_ did not achieved minimum playcount (6439) considering his account creation date")</f>
        <v>BobBuilder_ did not achieved minimum playcount (6439) considering his account creation date</v>
      </c>
      <c r="H24" s="323"/>
      <c r="I24" s="329"/>
    </row>
    <row r="25" ht="30.0" customHeight="1">
      <c r="A25" s="325"/>
      <c r="B25" s="326"/>
      <c r="C25" s="488">
        <v>21.0</v>
      </c>
      <c r="D25" s="489" t="str">
        <f>IFERROR(__xludf.DUMMYFUNCTION("""COMPUTED_VALUE"""),"small wiener club")</f>
        <v>small wiener club</v>
      </c>
      <c r="E25" s="490" t="str">
        <f>IFERROR(__xludf.DUMMYFUNCTION("""COMPUTED_VALUE"""),"")</f>
        <v/>
      </c>
      <c r="F25" s="491"/>
      <c r="G25" s="492" t="str">
        <f>IFERROR(__xludf.DUMMYFUNCTION("""COMPUTED_VALUE"""),"-Palmo did not achieved the rank range (98747)")</f>
        <v>-Palmo did not achieved the rank range (98747)</v>
      </c>
      <c r="H25" s="323"/>
      <c r="I25" s="327"/>
    </row>
    <row r="26" ht="30.0" customHeight="1">
      <c r="A26" s="325"/>
      <c r="B26" s="326"/>
      <c r="C26" s="488">
        <v>22.0</v>
      </c>
      <c r="D26" s="489" t="str">
        <f>IFERROR(__xludf.DUMMYFUNCTION("""COMPUTED_VALUE"""),"team kongo")</f>
        <v>team kongo</v>
      </c>
      <c r="E26" s="490" t="str">
        <f>IFERROR(__xludf.DUMMYFUNCTION("""COMPUTED_VALUE"""),"")</f>
        <v/>
      </c>
      <c r="F26" s="491" t="str">
        <f>IFERROR(__xludf.DUMMYFUNCTION("""COMPUTED_VALUE"""),"Himman")</f>
        <v>Himman</v>
      </c>
      <c r="G26" s="492" t="str">
        <f>IFERROR(__xludf.DUMMYFUNCTION("""COMPUTED_VALUE"""),"Kiroczek got recently unbanned (17 days ago from this screen) &amp; has very low pp floor (10pp)")</f>
        <v>Kiroczek got recently unbanned (17 days ago from this screen) &amp; has very low pp floor (10pp)</v>
      </c>
      <c r="H26" s="323"/>
      <c r="I26" s="327"/>
    </row>
    <row r="27" ht="30.0" customHeight="1">
      <c r="A27" s="291"/>
      <c r="B27" s="295"/>
      <c r="C27" s="488">
        <v>23.0</v>
      </c>
      <c r="D27" s="489" t="str">
        <f>IFERROR(__xludf.DUMMYFUNCTION("""COMPUTED_VALUE"""),"Team name")</f>
        <v>Team name</v>
      </c>
      <c r="E27" s="490" t="str">
        <f>IFERROR(__xludf.DUMMYFUNCTION("""COMPUTED_VALUE"""),"")</f>
        <v/>
      </c>
      <c r="F27" s="491"/>
      <c r="G27" s="492" t="str">
        <f>IFERROR(__xludf.DUMMYFUNCTION("""COMPUTED_VALUE"""),"Daldor_EU has 300pp  play.")</f>
        <v>Daldor_EU has 300pp  play.</v>
      </c>
      <c r="H27" s="323"/>
      <c r="I27" s="329"/>
    </row>
    <row r="28" ht="30.0" customHeight="1">
      <c r="A28" s="325"/>
      <c r="B28" s="326"/>
      <c r="C28" s="488">
        <v>24.0</v>
      </c>
      <c r="D28" s="489" t="str">
        <f>IFERROR(__xludf.DUMMYFUNCTION("""COMPUTED_VALUE"""),"Team name")</f>
        <v>Team name</v>
      </c>
      <c r="E28" s="490" t="str">
        <f>IFERROR(__xludf.DUMMYFUNCTION("""COMPUTED_VALUE"""),"")</f>
        <v/>
      </c>
      <c r="F28" s="491"/>
      <c r="G28" s="492" t="str">
        <f>IFERROR(__xludf.DUMMYFUNCTION("""COMPUTED_VALUE"""),"17nyc has recently unbanned account (estimated 6 days ago)")</f>
        <v>17nyc has recently unbanned account (estimated 6 days ago)</v>
      </c>
      <c r="H28" s="323"/>
      <c r="I28" s="327"/>
    </row>
    <row r="29" ht="30.0" customHeight="1">
      <c r="A29" s="325"/>
      <c r="B29" s="326"/>
      <c r="C29" s="488">
        <v>25.0</v>
      </c>
      <c r="D29" s="489" t="str">
        <f>IFERROR(__xludf.DUMMYFUNCTION("""COMPUTED_VALUE"""),"The Gentlemen")</f>
        <v>The Gentlemen</v>
      </c>
      <c r="E29" s="490" t="str">
        <f>IFERROR(__xludf.DUMMYFUNCTION("""COMPUTED_VALUE"""),"")</f>
        <v/>
      </c>
      <c r="F29" s="491"/>
      <c r="G29" s="492" t="str">
        <f>IFERROR(__xludf.DUMMYFUNCTION("""COMPUTED_VALUE"""),"PoPO124 did not achieved rank range (99140)")</f>
        <v>PoPO124 did not achieved rank range (99140)</v>
      </c>
      <c r="H29" s="323"/>
      <c r="I29" s="327"/>
    </row>
    <row r="30" ht="30.0" customHeight="1">
      <c r="A30" s="291"/>
      <c r="B30" s="295"/>
      <c r="C30" s="488">
        <v>26.0</v>
      </c>
      <c r="D30" s="489" t="str">
        <f>IFERROR(__xludf.DUMMYFUNCTION("""COMPUTED_VALUE"""),"The Michis Gang")</f>
        <v>The Michis Gang</v>
      </c>
      <c r="E30" s="490" t="str">
        <f>IFERROR(__xludf.DUMMYFUNCTION("""COMPUTED_VALUE"""),"")</f>
        <v/>
      </c>
      <c r="F30" s="491" t="str">
        <f>IFERROR(__xludf.DUMMYFUNCTION("""COMPUTED_VALUE"""),"Gilky")</f>
        <v>Gilky</v>
      </c>
      <c r="G30" s="492" t="str">
        <f>IFERROR(__xludf.DUMMYFUNCTION("""COMPUTED_VALUE"""),"[ MG ]Painesito have very low playcount (3575) &amp; Exceeds ETX rank criteria (31016)")</f>
        <v>[ MG ]Painesito have very low playcount (3575) &amp; Exceeds ETX rank criteria (31016)</v>
      </c>
      <c r="H30" s="323"/>
      <c r="I30" s="329"/>
    </row>
    <row r="31" ht="30.0" customHeight="1">
      <c r="A31" s="325"/>
      <c r="B31" s="326"/>
      <c r="C31" s="488">
        <v>27.0</v>
      </c>
      <c r="D31" s="489" t="str">
        <f>IFERROR(__xludf.DUMMYFUNCTION("""COMPUTED_VALUE"""),"Tuyu Buffet")</f>
        <v>Tuyu Buffet</v>
      </c>
      <c r="E31" s="490" t="str">
        <f>IFERROR(__xludf.DUMMYFUNCTION("""COMPUTED_VALUE"""),"")</f>
        <v/>
      </c>
      <c r="F31" s="491" t="str">
        <f>IFERROR(__xludf.DUMMYFUNCTION("""COMPUTED_VALUE"""),"X-ill")</f>
        <v>X-ill</v>
      </c>
      <c r="G31" s="492" t="str">
        <f>IFERROR(__xludf.DUMMYFUNCTION("""COMPUTED_VALUE"""),"Disc0rdia has 300 PP + top play from profile.")</f>
        <v>Disc0rdia has 300 PP + top play from profile.</v>
      </c>
      <c r="H31" s="323"/>
      <c r="I31" s="327"/>
    </row>
    <row r="32" ht="30.0" customHeight="1">
      <c r="A32" s="325"/>
      <c r="B32" s="326"/>
      <c r="C32" s="488">
        <v>28.0</v>
      </c>
      <c r="D32" s="489" t="str">
        <f>IFERROR(__xludf.DUMMYFUNCTION("""COMPUTED_VALUE"""),"Yarisa &lt;3 Renyoo")</f>
        <v>Yarisa &lt;3 Renyoo</v>
      </c>
      <c r="E32" s="490" t="str">
        <f>IFERROR(__xludf.DUMMYFUNCTION("""COMPUTED_VALUE"""),"")</f>
        <v/>
      </c>
      <c r="F32" s="491" t="str">
        <f>IFERROR(__xludf.DUMMYFUNCTION("""COMPUTED_VALUE"""),"007dodo")</f>
        <v>007dodo</v>
      </c>
      <c r="G32" s="492" t="str">
        <f>IFERROR(__xludf.DUMMYFUNCTION("""COMPUTED_VALUE"""),"Zorokii Didn't achieved the rank range (98607) &amp; Exceeds ETX rank criteria (7470)")</f>
        <v>Zorokii Didn't achieved the rank range (98607) &amp; Exceeds ETX rank criteria (7470)</v>
      </c>
      <c r="H32" s="323"/>
      <c r="I32" s="327"/>
    </row>
    <row r="33" ht="30.0" customHeight="1">
      <c r="A33" s="291"/>
      <c r="B33" s="295"/>
      <c r="C33" s="488">
        <v>29.0</v>
      </c>
      <c r="D33" s="489" t="str">
        <f>IFERROR(__xludf.DUMMYFUNCTION("""COMPUTED_VALUE"""),"Yarisa &lt;3 Renyoo")</f>
        <v>Yarisa &lt;3 Renyoo</v>
      </c>
      <c r="E33" s="490" t="str">
        <f>IFERROR(__xludf.DUMMYFUNCTION("""COMPUTED_VALUE"""),"")</f>
        <v/>
      </c>
      <c r="F33" s="491" t="str">
        <f>IFERROR(__xludf.DUMMYFUNCTION("""COMPUTED_VALUE"""),"-Shichimiya-")</f>
        <v>-Shichimiya-</v>
      </c>
      <c r="G33" s="492" t="str">
        <f>IFERROR(__xludf.DUMMYFUNCTION("""COMPUTED_VALUE"""),"Chou Tzuyoda exceeds ETX rank criteria (21384)")</f>
        <v>Chou Tzuyoda exceeds ETX rank criteria (21384)</v>
      </c>
      <c r="H33" s="323"/>
      <c r="I33" s="329"/>
    </row>
    <row r="34" ht="30.0" customHeight="1">
      <c r="A34" s="325"/>
      <c r="B34" s="326"/>
      <c r="C34" s="488">
        <v>30.0</v>
      </c>
      <c r="D34" s="489" t="str">
        <f>IFERROR(__xludf.DUMMYFUNCTION("""COMPUTED_VALUE"""),"Yarisa &lt;3 Renyoo")</f>
        <v>Yarisa &lt;3 Renyoo</v>
      </c>
      <c r="E34" s="490" t="str">
        <f>IFERROR(__xludf.DUMMYFUNCTION("""COMPUTED_VALUE"""),"")</f>
        <v/>
      </c>
      <c r="F34" s="491" t="str">
        <f>IFERROR(__xludf.DUMMYFUNCTION("""COMPUTED_VALUE"""),"Skillerix")</f>
        <v>Skillerix</v>
      </c>
      <c r="G34" s="492" t="str">
        <f>IFERROR(__xludf.DUMMYFUNCTION("""COMPUTED_VALUE"""),"Toshee did not achieved rank range (98355) &amp; exceeds ETX rank (10405) &amp; 348 PP top play")</f>
        <v>Toshee did not achieved rank range (98355) &amp; exceeds ETX rank (10405) &amp; 348 PP top play</v>
      </c>
      <c r="H34" s="323"/>
      <c r="I34" s="327"/>
    </row>
    <row r="35" ht="30.0" customHeight="1">
      <c r="A35" s="325"/>
      <c r="B35" s="326"/>
      <c r="C35" s="488">
        <v>31.0</v>
      </c>
      <c r="D35" s="489" t="str">
        <f>IFERROR(__xludf.DUMMYFUNCTION("""COMPUTED_VALUE"""),"Zaion's fan and dogs")</f>
        <v>Zaion's fan and dogs</v>
      </c>
      <c r="E35" s="490" t="str">
        <f>IFERROR(__xludf.DUMMYFUNCTION("""COMPUTED_VALUE"""),"")</f>
        <v/>
      </c>
      <c r="F35" s="491" t="str">
        <f>IFERROR(__xludf.DUMMYFUNCTION("""COMPUTED_VALUE"""),"Glaucia")</f>
        <v>Glaucia</v>
      </c>
      <c r="G35" s="492" t="str">
        <f>IFERROR(__xludf.DUMMYFUNCTION("""COMPUTED_VALUE"""),"lucyojb have suspicious rank graph, possible multi-account &amp; very low playcount (1452)")</f>
        <v>lucyojb have suspicious rank graph, possible multi-account &amp; very low playcount (1452)</v>
      </c>
      <c r="H35" s="323"/>
      <c r="I35" s="327"/>
    </row>
    <row r="36" ht="30.0" customHeight="1">
      <c r="A36" s="291"/>
      <c r="B36" s="295"/>
      <c r="C36" s="488"/>
      <c r="D36" s="489"/>
      <c r="E36" s="490"/>
      <c r="F36" s="493"/>
      <c r="G36" s="492"/>
      <c r="H36" s="323"/>
      <c r="I36" s="329"/>
    </row>
    <row r="37" ht="30.0" customHeight="1">
      <c r="A37" s="325"/>
      <c r="B37" s="326"/>
      <c r="C37" s="488"/>
      <c r="D37" s="489"/>
      <c r="E37" s="490"/>
      <c r="F37" s="493"/>
      <c r="G37" s="492"/>
      <c r="H37" s="323"/>
      <c r="I37" s="327"/>
    </row>
    <row r="38" ht="30.0" customHeight="1">
      <c r="A38" s="325"/>
      <c r="B38" s="326"/>
      <c r="C38" s="488"/>
      <c r="D38" s="489"/>
      <c r="E38" s="490"/>
      <c r="F38" s="493"/>
      <c r="G38" s="492"/>
      <c r="H38" s="323"/>
      <c r="I38" s="327"/>
    </row>
    <row r="39" ht="30.0" customHeight="1">
      <c r="A39" s="291"/>
      <c r="B39" s="295"/>
      <c r="C39" s="488"/>
      <c r="D39" s="489"/>
      <c r="E39" s="490"/>
      <c r="F39" s="493"/>
      <c r="G39" s="492"/>
      <c r="H39" s="323"/>
      <c r="I39" s="329"/>
    </row>
    <row r="40" ht="30.0" customHeight="1">
      <c r="A40" s="325"/>
      <c r="B40" s="326"/>
      <c r="C40" s="488"/>
      <c r="D40" s="489"/>
      <c r="E40" s="490"/>
      <c r="F40" s="493"/>
      <c r="G40" s="492"/>
      <c r="H40" s="323"/>
      <c r="I40" s="327"/>
    </row>
    <row r="41" ht="7.5" customHeight="1">
      <c r="A41" s="291"/>
      <c r="B41" s="295"/>
      <c r="C41" s="295"/>
      <c r="D41" s="295"/>
      <c r="E41" s="295"/>
      <c r="F41" s="295"/>
      <c r="G41" s="295"/>
      <c r="H41" s="295"/>
      <c r="I41" s="295"/>
    </row>
    <row r="42" ht="7.5" customHeight="1">
      <c r="A42" s="291"/>
      <c r="B42" s="291"/>
      <c r="C42" s="291"/>
      <c r="D42" s="291"/>
      <c r="E42" s="291"/>
      <c r="F42" s="291"/>
      <c r="G42" s="291"/>
      <c r="H42" s="291"/>
      <c r="I42" s="291"/>
    </row>
  </sheetData>
  <mergeCells count="1">
    <mergeCell ref="C3:F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2D2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.38"/>
    <col customWidth="1" min="3" max="3" width="8.25"/>
    <col customWidth="1" min="4" max="4" width="12.63"/>
    <col customWidth="1" min="5" max="5" width="3.88"/>
    <col customWidth="1" min="6" max="6" width="12.63"/>
    <col customWidth="1" min="7" max="7" width="10.13"/>
    <col customWidth="1" min="8" max="9" width="62.63"/>
    <col customWidth="1" min="10" max="12" width="1.38"/>
  </cols>
  <sheetData>
    <row r="1" ht="7.5" customHeight="1">
      <c r="A1" s="291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</row>
    <row r="2" ht="3.75" customHeight="1">
      <c r="A2" s="291"/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1"/>
    </row>
    <row r="3" ht="30.0" customHeight="1">
      <c r="A3" s="297"/>
      <c r="B3" s="295"/>
      <c r="C3" s="494" t="str">
        <f>IMAGE("https://a.ppy.sh/17959882?1687932364.jpeg",4,55,55)</f>
        <v>#REF!</v>
      </c>
      <c r="D3" s="495" t="s">
        <v>97</v>
      </c>
      <c r="E3" s="496"/>
      <c r="F3" s="497" t="s">
        <v>98</v>
      </c>
      <c r="G3" s="498" t="s">
        <v>99</v>
      </c>
      <c r="H3" s="303" t="s">
        <v>100</v>
      </c>
      <c r="I3" s="303" t="s">
        <v>101</v>
      </c>
      <c r="J3" s="499"/>
      <c r="K3" s="295"/>
      <c r="L3" s="291"/>
    </row>
    <row r="4" ht="18.75" customHeight="1">
      <c r="A4" s="297"/>
      <c r="B4" s="295"/>
      <c r="D4" s="500" t="s">
        <v>78</v>
      </c>
      <c r="E4" s="501" t="s">
        <v>102</v>
      </c>
      <c r="F4" s="304"/>
      <c r="G4" s="304"/>
      <c r="H4" s="307"/>
      <c r="I4" s="307"/>
      <c r="J4" s="499"/>
      <c r="K4" s="295"/>
      <c r="L4" s="291"/>
    </row>
    <row r="5" ht="3.75" customHeight="1">
      <c r="A5" s="291"/>
      <c r="B5" s="295"/>
      <c r="C5" s="295"/>
      <c r="D5" s="295"/>
      <c r="E5" s="295"/>
      <c r="F5" s="502"/>
      <c r="G5" s="502"/>
      <c r="H5" s="503"/>
      <c r="I5" s="503"/>
      <c r="J5" s="295"/>
      <c r="K5" s="295"/>
      <c r="L5" s="291"/>
    </row>
    <row r="6" ht="30.0" customHeight="1">
      <c r="A6" s="325"/>
      <c r="B6" s="326" t="str">
        <f>IFERROR(__xludf.DUMMYFUNCTION("IMPORTRANGE(""1HHAHmZTTDlyB4RHaHQ-2bhUchkHOEZhmcQrDYQXnxnw"",""importrange_FA!K3:R"")"),"")</f>
        <v/>
      </c>
      <c r="C6" s="494" t="str">
        <f>IFERROR(__xludf.DUMMYFUNCTION("""COMPUTED_VALUE"""),"")</f>
        <v/>
      </c>
      <c r="D6" s="504" t="str">
        <f>IFERROR(__xludf.DUMMYFUNCTION("""COMPUTED_VALUE"""),"2KANSAM")</f>
        <v>2KANSAM</v>
      </c>
      <c r="E6" s="496"/>
      <c r="F6" s="505" t="str">
        <f>IFERROR(__xludf.DUMMYFUNCTION("""COMPUTED_VALUE"""),"2kansam")</f>
        <v>2kansam</v>
      </c>
      <c r="G6" s="506" t="str">
        <f>IFERROR(__xludf.DUMMYFUNCTION("""COMPUTED_VALUE"""),"UTC-6")</f>
        <v>UTC-6</v>
      </c>
      <c r="H6" s="321" t="str">
        <f>IFERROR(__xludf.DUMMYFUNCTION("""COMPUTED_VALUE"""),"I can play low bpm HD maps")</f>
        <v>I can play low bpm HD maps</v>
      </c>
      <c r="I6" s="507" t="str">
        <f>IFERROR(__xludf.DUMMYFUNCTION("""COMPUTED_VALUE"""),"I can only play HD")</f>
        <v>I can only play HD</v>
      </c>
      <c r="J6" s="321"/>
      <c r="K6" s="327"/>
      <c r="L6" s="328"/>
    </row>
    <row r="7" ht="18.75" customHeight="1">
      <c r="A7" s="325"/>
      <c r="B7" s="326"/>
      <c r="D7" s="508">
        <f>IFERROR(__xludf.DUMMYFUNCTION("""COMPUTED_VALUE"""),111416.0)</f>
        <v>111416</v>
      </c>
      <c r="E7" s="509" t="str">
        <f>IFERROR(__xludf.DUMMYFUNCTION("""COMPUTED_VALUE"""),"")</f>
        <v/>
      </c>
      <c r="F7" s="496"/>
      <c r="G7" s="496"/>
      <c r="I7" s="307"/>
      <c r="J7" s="321"/>
      <c r="K7" s="327"/>
      <c r="L7" s="328"/>
    </row>
    <row r="8" ht="3.75" customHeight="1">
      <c r="A8" s="291"/>
      <c r="B8" s="295"/>
      <c r="C8" s="329"/>
      <c r="D8" s="329"/>
      <c r="E8" s="329"/>
      <c r="F8" s="510"/>
      <c r="G8" s="511"/>
      <c r="H8" s="512"/>
      <c r="I8" s="512"/>
      <c r="J8" s="329"/>
      <c r="K8" s="329"/>
      <c r="L8" s="291"/>
    </row>
    <row r="9" ht="30.0" customHeight="1">
      <c r="A9" s="325"/>
      <c r="B9" s="326"/>
      <c r="C9" s="494" t="str">
        <f>IFERROR(__xludf.DUMMYFUNCTION("""COMPUTED_VALUE"""),"")</f>
        <v/>
      </c>
      <c r="D9" s="504" t="str">
        <f>IFERROR(__xludf.DUMMYFUNCTION("""COMPUTED_VALUE"""),"Azcazay")</f>
        <v>Azcazay</v>
      </c>
      <c r="E9" s="496"/>
      <c r="F9" s="505" t="str">
        <f>IFERROR(__xludf.DUMMYFUNCTION("""COMPUTED_VALUE"""),"rubbishbin24")</f>
        <v>rubbishbin24</v>
      </c>
      <c r="G9" s="506" t="str">
        <f>IFERROR(__xludf.DUMMYFUNCTION("""COMPUTED_VALUE"""),"UTC+8")</f>
        <v>UTC+8</v>
      </c>
      <c r="H9" s="321" t="str">
        <f>IFERROR(__xludf.DUMMYFUNCTION("""COMPUTED_VALUE"""),"HR")</f>
        <v>HR</v>
      </c>
      <c r="I9" s="507" t="str">
        <f>IFERROR(__xludf.DUMMYFUNCTION("""COMPUTED_VALUE"""),"AR8 HD")</f>
        <v>AR8 HD</v>
      </c>
      <c r="J9" s="321"/>
      <c r="K9" s="327"/>
      <c r="L9" s="328"/>
    </row>
    <row r="10" ht="18.75" customHeight="1">
      <c r="A10" s="325"/>
      <c r="B10" s="326"/>
      <c r="D10" s="508">
        <f>IFERROR(__xludf.DUMMYFUNCTION("""COMPUTED_VALUE"""),111422.0)</f>
        <v>111422</v>
      </c>
      <c r="E10" s="509" t="str">
        <f>IFERROR(__xludf.DUMMYFUNCTION("""COMPUTED_VALUE"""),"")</f>
        <v/>
      </c>
      <c r="F10" s="496"/>
      <c r="G10" s="496"/>
      <c r="I10" s="307"/>
      <c r="J10" s="321"/>
      <c r="K10" s="327"/>
      <c r="L10" s="328"/>
    </row>
    <row r="11" ht="3.75" customHeight="1">
      <c r="A11" s="291"/>
      <c r="B11" s="295"/>
      <c r="C11" s="329"/>
      <c r="D11" s="329"/>
      <c r="E11" s="329"/>
      <c r="F11" s="510"/>
      <c r="G11" s="511"/>
      <c r="H11" s="512"/>
      <c r="I11" s="512"/>
      <c r="J11" s="329"/>
      <c r="K11" s="329"/>
      <c r="L11" s="291"/>
    </row>
    <row r="12" ht="30.0" customHeight="1">
      <c r="A12" s="325"/>
      <c r="B12" s="326"/>
      <c r="C12" s="494" t="str">
        <f>IFERROR(__xludf.DUMMYFUNCTION("""COMPUTED_VALUE"""),"")</f>
        <v/>
      </c>
      <c r="D12" s="504" t="str">
        <f>IFERROR(__xludf.DUMMYFUNCTION("""COMPUTED_VALUE"""),"MICERONI")</f>
        <v>MICERONI</v>
      </c>
      <c r="E12" s="496"/>
      <c r="F12" s="505" t="str">
        <f>IFERROR(__xludf.DUMMYFUNCTION("""COMPUTED_VALUE"""),"coolboycasper")</f>
        <v>coolboycasper</v>
      </c>
      <c r="G12" s="506" t="str">
        <f>IFERROR(__xludf.DUMMYFUNCTION("""COMPUTED_VALUE"""),"UTC+2")</f>
        <v>UTC+2</v>
      </c>
      <c r="H12" s="321" t="str">
        <f>IFERROR(__xludf.DUMMYFUNCTION("""COMPUTED_VALUE"""),"I usually play NM but can play HR or HD on some maps(mostly aim maps). I like to play stream maps but I don't have a lot of stamina and i can't play 200+ bpm streams. I can also play some other skillsets but i am not really good at most of them.")</f>
        <v>I usually play NM but can play HR or HD on some maps(mostly aim maps). I like to play stream maps but I don't have a lot of stamina and i can't play 200+ bpm streams. I can also play some other skillsets but i am not really good at most of them.</v>
      </c>
      <c r="I12" s="507" t="str">
        <f>IFERROR(__xludf.DUMMYFUNCTION("""COMPUTED_VALUE"""),"I am rusty and i'm not much of a consistency and stamina player(as in long stream /aim maps)")</f>
        <v>I am rusty and i'm not much of a consistency and stamina player(as in long stream /aim maps)</v>
      </c>
      <c r="J12" s="321"/>
      <c r="K12" s="327"/>
      <c r="L12" s="328"/>
    </row>
    <row r="13" ht="18.75" customHeight="1">
      <c r="A13" s="325"/>
      <c r="B13" s="326"/>
      <c r="D13" s="508">
        <f>IFERROR(__xludf.DUMMYFUNCTION("""COMPUTED_VALUE"""),114578.0)</f>
        <v>114578</v>
      </c>
      <c r="E13" s="509" t="str">
        <f>IFERROR(__xludf.DUMMYFUNCTION("""COMPUTED_VALUE"""),"")</f>
        <v/>
      </c>
      <c r="F13" s="496"/>
      <c r="G13" s="496"/>
      <c r="I13" s="307"/>
      <c r="J13" s="321"/>
      <c r="K13" s="327"/>
      <c r="L13" s="328"/>
    </row>
    <row r="14" ht="3.75" customHeight="1">
      <c r="A14" s="291"/>
      <c r="B14" s="295"/>
      <c r="C14" s="329"/>
      <c r="D14" s="329"/>
      <c r="E14" s="329"/>
      <c r="F14" s="510"/>
      <c r="G14" s="511"/>
      <c r="H14" s="512"/>
      <c r="I14" s="512"/>
      <c r="J14" s="329"/>
      <c r="K14" s="329"/>
      <c r="L14" s="291"/>
    </row>
    <row r="15" ht="30.0" customHeight="1">
      <c r="A15" s="325"/>
      <c r="B15" s="326"/>
      <c r="C15" s="494" t="str">
        <f>IFERROR(__xludf.DUMMYFUNCTION("""COMPUTED_VALUE"""),"")</f>
        <v/>
      </c>
      <c r="D15" s="504" t="str">
        <f>IFERROR(__xludf.DUMMYFUNCTION("""COMPUTED_VALUE"""),"Martis_ltu")</f>
        <v>Martis_ltu</v>
      </c>
      <c r="E15" s="496"/>
      <c r="F15" s="505" t="str">
        <f>IFERROR(__xludf.DUMMYFUNCTION("""COMPUTED_VALUE"""),"Martis#1859")</f>
        <v>Martis#1859</v>
      </c>
      <c r="G15" s="506" t="str">
        <f>IFERROR(__xludf.DUMMYFUNCTION("""COMPUTED_VALUE"""),"UTC+3")</f>
        <v>UTC+3</v>
      </c>
      <c r="H15" s="321" t="str">
        <f>IFERROR(__xludf.DUMMYFUNCTION("""COMPUTED_VALUE"""),"Nomod, dt, tech, bursts, sliders, reading")</f>
        <v>Nomod, dt, tech, bursts, sliders, reading</v>
      </c>
      <c r="I15" s="507" t="str">
        <f>IFERROR(__xludf.DUMMYFUNCTION("""COMPUTED_VALUE"""),"Streams! Also don't play hd")</f>
        <v>Streams! Also don't play hd</v>
      </c>
      <c r="J15" s="321"/>
      <c r="K15" s="327"/>
      <c r="L15" s="328"/>
    </row>
    <row r="16" ht="18.75" customHeight="1">
      <c r="A16" s="325"/>
      <c r="B16" s="326"/>
      <c r="D16" s="508">
        <f>IFERROR(__xludf.DUMMYFUNCTION("""COMPUTED_VALUE"""),125456.0)</f>
        <v>125456</v>
      </c>
      <c r="E16" s="509" t="str">
        <f>IFERROR(__xludf.DUMMYFUNCTION("""COMPUTED_VALUE"""),"")</f>
        <v/>
      </c>
      <c r="F16" s="496"/>
      <c r="G16" s="496"/>
      <c r="I16" s="307"/>
      <c r="J16" s="321"/>
      <c r="K16" s="327"/>
      <c r="L16" s="328"/>
    </row>
    <row r="17" ht="3.75" customHeight="1">
      <c r="A17" s="291"/>
      <c r="B17" s="295"/>
      <c r="C17" s="329"/>
      <c r="D17" s="329"/>
      <c r="E17" s="329"/>
      <c r="F17" s="510"/>
      <c r="G17" s="511"/>
      <c r="H17" s="512"/>
      <c r="I17" s="512"/>
      <c r="J17" s="329"/>
      <c r="K17" s="329"/>
      <c r="L17" s="291"/>
    </row>
    <row r="18" ht="30.0" customHeight="1">
      <c r="A18" s="325"/>
      <c r="B18" s="326"/>
      <c r="C18" s="494" t="str">
        <f>IFERROR(__xludf.DUMMYFUNCTION("""COMPUTED_VALUE"""),"")</f>
        <v/>
      </c>
      <c r="D18" s="504" t="str">
        <f>IFERROR(__xludf.DUMMYFUNCTION("""COMPUTED_VALUE"""),"SaaiZ")</f>
        <v>SaaiZ</v>
      </c>
      <c r="E18" s="496"/>
      <c r="F18" s="505" t="str">
        <f>IFERROR(__xludf.DUMMYFUNCTION("""COMPUTED_VALUE"""),"saaiz")</f>
        <v>saaiz</v>
      </c>
      <c r="G18" s="506" t="str">
        <f>IFERROR(__xludf.DUMMYFUNCTION("""COMPUTED_VALUE"""),"UCT+2")</f>
        <v>UCT+2</v>
      </c>
      <c r="H18" s="321" t="str">
        <f>IFERROR(__xludf.DUMMYFUNCTION("""COMPUTED_VALUE"""),"I am usually good at nm2, nm3 and nm4 and i have been improving on HR")</f>
        <v>I am usually good at nm2, nm3 and nm4 and i have been improving on HR</v>
      </c>
      <c r="I18" s="507" t="str">
        <f>IFERROR(__xludf.DUMMYFUNCTION("""COMPUTED_VALUE"""),"Aim, Speed, HD")</f>
        <v>Aim, Speed, HD</v>
      </c>
      <c r="J18" s="321"/>
      <c r="K18" s="327"/>
      <c r="L18" s="328"/>
    </row>
    <row r="19" ht="18.75" customHeight="1">
      <c r="A19" s="325"/>
      <c r="B19" s="326"/>
      <c r="D19" s="508">
        <f>IFERROR(__xludf.DUMMYFUNCTION("""COMPUTED_VALUE"""),143616.0)</f>
        <v>143616</v>
      </c>
      <c r="E19" s="509" t="str">
        <f>IFERROR(__xludf.DUMMYFUNCTION("""COMPUTED_VALUE"""),"")</f>
        <v/>
      </c>
      <c r="F19" s="496"/>
      <c r="G19" s="496"/>
      <c r="I19" s="307"/>
      <c r="J19" s="321"/>
      <c r="K19" s="327"/>
      <c r="L19" s="328"/>
    </row>
    <row r="20" ht="3.75" customHeight="1">
      <c r="A20" s="291"/>
      <c r="B20" s="295"/>
      <c r="C20" s="329"/>
      <c r="D20" s="329"/>
      <c r="E20" s="329"/>
      <c r="F20" s="510"/>
      <c r="G20" s="511"/>
      <c r="H20" s="512"/>
      <c r="I20" s="512"/>
      <c r="J20" s="329"/>
      <c r="K20" s="329"/>
      <c r="L20" s="291"/>
    </row>
    <row r="21" ht="30.0" customHeight="1">
      <c r="A21" s="325"/>
      <c r="B21" s="326"/>
      <c r="C21" s="494" t="str">
        <f>IFERROR(__xludf.DUMMYFUNCTION("""COMPUTED_VALUE"""),"")</f>
        <v/>
      </c>
      <c r="D21" s="504" t="str">
        <f>IFERROR(__xludf.DUMMYFUNCTION("""COMPUTED_VALUE"""),"im a fancy neko")</f>
        <v>im a fancy neko</v>
      </c>
      <c r="E21" s="496"/>
      <c r="F21" s="505" t="str">
        <f>IFERROR(__xludf.DUMMYFUNCTION("""COMPUTED_VALUE"""),"strawberryskiess")</f>
        <v>strawberryskiess</v>
      </c>
      <c r="G21" s="506" t="str">
        <f>IFERROR(__xludf.DUMMYFUNCTION("""COMPUTED_VALUE"""),"UTC+8")</f>
        <v>UTC+8</v>
      </c>
      <c r="H21" s="321" t="str">
        <f>IFERROR(__xludf.DUMMYFUNCTION("""COMPUTED_VALUE"""),"sometimes aim, can play tech with sometimes struggle, speed (nm5 and dt2 heck yea), dt")</f>
        <v>sometimes aim, can play tech with sometimes struggle, speed (nm5 and dt2 heck yea), dt</v>
      </c>
      <c r="I21" s="507" t="str">
        <f>IFERROR(__xludf.DUMMYFUNCTION("""COMPUTED_VALUE"""),"handicapped at streams (nm2), alt (nm3), hr, low ar")</f>
        <v>handicapped at streams (nm2), alt (nm3), hr, low ar</v>
      </c>
      <c r="J21" s="321"/>
      <c r="K21" s="327"/>
      <c r="L21" s="328"/>
    </row>
    <row r="22" ht="18.75" customHeight="1">
      <c r="A22" s="325"/>
      <c r="B22" s="326"/>
      <c r="D22" s="508">
        <f>IFERROR(__xludf.DUMMYFUNCTION("""COMPUTED_VALUE"""),173719.0)</f>
        <v>173719</v>
      </c>
      <c r="E22" s="509" t="str">
        <f>IFERROR(__xludf.DUMMYFUNCTION("""COMPUTED_VALUE"""),"")</f>
        <v/>
      </c>
      <c r="F22" s="496"/>
      <c r="G22" s="496"/>
      <c r="I22" s="307"/>
      <c r="J22" s="321"/>
      <c r="K22" s="327"/>
      <c r="L22" s="328"/>
    </row>
    <row r="23" ht="3.75" customHeight="1">
      <c r="A23" s="291"/>
      <c r="B23" s="295"/>
      <c r="C23" s="329"/>
      <c r="D23" s="329"/>
      <c r="E23" s="329"/>
      <c r="F23" s="510"/>
      <c r="G23" s="511"/>
      <c r="H23" s="512"/>
      <c r="I23" s="512"/>
      <c r="J23" s="329"/>
      <c r="K23" s="329"/>
      <c r="L23" s="291"/>
    </row>
    <row r="24" ht="30.0" customHeight="1">
      <c r="A24" s="325"/>
      <c r="B24" s="326"/>
      <c r="C24" s="494" t="str">
        <f>IFERROR(__xludf.DUMMYFUNCTION("""COMPUTED_VALUE"""),"")</f>
        <v/>
      </c>
      <c r="D24" s="504" t="str">
        <f>IFERROR(__xludf.DUMMYFUNCTION("""COMPUTED_VALUE"""),"29292")</f>
        <v>29292</v>
      </c>
      <c r="E24" s="496"/>
      <c r="F24" s="505" t="str">
        <f>IFERROR(__xludf.DUMMYFUNCTION("""COMPUTED_VALUE"""),"zah727")</f>
        <v>zah727</v>
      </c>
      <c r="G24" s="506" t="str">
        <f>IFERROR(__xludf.DUMMYFUNCTION("""COMPUTED_VALUE"""),"UTC+7")</f>
        <v>UTC+7</v>
      </c>
      <c r="H24" s="321" t="str">
        <f>IFERROR(__xludf.DUMMYFUNCTION("""COMPUTED_VALUE"""),"ar10, speed maps")</f>
        <v>ar10, speed maps</v>
      </c>
      <c r="I24" s="507" t="str">
        <f>IFERROR(__xludf.DUMMYFUNCTION("""COMPUTED_VALUE"""),"tech maps, fullscreen jumps")</f>
        <v>tech maps, fullscreen jumps</v>
      </c>
      <c r="J24" s="321"/>
      <c r="K24" s="327"/>
      <c r="L24" s="328"/>
    </row>
    <row r="25" ht="18.75" customHeight="1">
      <c r="A25" s="325"/>
      <c r="B25" s="326"/>
      <c r="D25" s="508">
        <f>IFERROR(__xludf.DUMMYFUNCTION("""COMPUTED_VALUE"""),207439.0)</f>
        <v>207439</v>
      </c>
      <c r="E25" s="509" t="str">
        <f>IFERROR(__xludf.DUMMYFUNCTION("""COMPUTED_VALUE"""),"")</f>
        <v/>
      </c>
      <c r="F25" s="496"/>
      <c r="G25" s="496"/>
      <c r="I25" s="307"/>
      <c r="J25" s="321"/>
      <c r="K25" s="327"/>
      <c r="L25" s="328"/>
    </row>
    <row r="26" ht="3.75" customHeight="1">
      <c r="A26" s="291"/>
      <c r="B26" s="295"/>
      <c r="C26" s="329"/>
      <c r="D26" s="329"/>
      <c r="E26" s="329"/>
      <c r="F26" s="510"/>
      <c r="G26" s="511"/>
      <c r="H26" s="512"/>
      <c r="I26" s="512"/>
      <c r="J26" s="329"/>
      <c r="K26" s="329"/>
      <c r="L26" s="291"/>
    </row>
    <row r="27" ht="30.0" customHeight="1">
      <c r="A27" s="325"/>
      <c r="B27" s="326"/>
      <c r="C27" s="494"/>
      <c r="D27" s="504"/>
      <c r="E27" s="496"/>
      <c r="F27" s="505"/>
      <c r="G27" s="506"/>
      <c r="H27" s="321"/>
      <c r="I27" s="507"/>
      <c r="J27" s="321"/>
      <c r="K27" s="327"/>
      <c r="L27" s="328"/>
    </row>
    <row r="28" ht="18.75" customHeight="1">
      <c r="A28" s="325"/>
      <c r="B28" s="326"/>
      <c r="D28" s="508"/>
      <c r="E28" s="509"/>
      <c r="F28" s="496"/>
      <c r="G28" s="496"/>
      <c r="I28" s="307"/>
      <c r="J28" s="321"/>
      <c r="K28" s="327"/>
      <c r="L28" s="328"/>
    </row>
    <row r="29" ht="3.75" customHeight="1">
      <c r="A29" s="291"/>
      <c r="B29" s="295"/>
      <c r="C29" s="329"/>
      <c r="D29" s="329"/>
      <c r="E29" s="329"/>
      <c r="F29" s="510"/>
      <c r="G29" s="511"/>
      <c r="H29" s="512"/>
      <c r="I29" s="512"/>
      <c r="J29" s="329"/>
      <c r="K29" s="329"/>
      <c r="L29" s="291"/>
    </row>
    <row r="30" ht="30.0" customHeight="1">
      <c r="A30" s="325"/>
      <c r="B30" s="326"/>
      <c r="C30" s="494"/>
      <c r="D30" s="504"/>
      <c r="E30" s="496"/>
      <c r="F30" s="505"/>
      <c r="G30" s="506"/>
      <c r="H30" s="321"/>
      <c r="I30" s="507"/>
      <c r="J30" s="321"/>
      <c r="K30" s="327"/>
      <c r="L30" s="328"/>
    </row>
    <row r="31" ht="18.75" customHeight="1">
      <c r="A31" s="325"/>
      <c r="B31" s="326"/>
      <c r="D31" s="508"/>
      <c r="E31" s="509"/>
      <c r="F31" s="496"/>
      <c r="G31" s="496"/>
      <c r="I31" s="307"/>
      <c r="J31" s="321"/>
      <c r="K31" s="327"/>
      <c r="L31" s="328"/>
    </row>
    <row r="32" ht="3.75" customHeight="1">
      <c r="A32" s="291"/>
      <c r="B32" s="295"/>
      <c r="C32" s="329"/>
      <c r="D32" s="329"/>
      <c r="E32" s="329"/>
      <c r="F32" s="510"/>
      <c r="G32" s="511"/>
      <c r="H32" s="512"/>
      <c r="I32" s="512"/>
      <c r="J32" s="329"/>
      <c r="K32" s="329"/>
      <c r="L32" s="291"/>
    </row>
    <row r="33" ht="30.0" customHeight="1">
      <c r="A33" s="325"/>
      <c r="B33" s="326"/>
      <c r="C33" s="494"/>
      <c r="D33" s="504"/>
      <c r="E33" s="496"/>
      <c r="F33" s="505"/>
      <c r="G33" s="506"/>
      <c r="H33" s="321"/>
      <c r="I33" s="507"/>
      <c r="J33" s="321"/>
      <c r="K33" s="327"/>
      <c r="L33" s="328"/>
    </row>
    <row r="34" ht="18.75" customHeight="1">
      <c r="A34" s="325"/>
      <c r="B34" s="326"/>
      <c r="D34" s="508"/>
      <c r="E34" s="509"/>
      <c r="F34" s="496"/>
      <c r="G34" s="496"/>
      <c r="I34" s="307"/>
      <c r="J34" s="321"/>
      <c r="K34" s="327"/>
      <c r="L34" s="328"/>
    </row>
    <row r="35" ht="3.75" customHeight="1">
      <c r="A35" s="291"/>
      <c r="B35" s="295"/>
      <c r="C35" s="329"/>
      <c r="D35" s="329"/>
      <c r="E35" s="329"/>
      <c r="F35" s="510"/>
      <c r="G35" s="511"/>
      <c r="H35" s="512"/>
      <c r="I35" s="512"/>
      <c r="J35" s="329"/>
      <c r="K35" s="329"/>
      <c r="L35" s="291"/>
    </row>
    <row r="36" ht="30.0" customHeight="1">
      <c r="A36" s="325"/>
      <c r="B36" s="326"/>
      <c r="C36" s="494"/>
      <c r="D36" s="504"/>
      <c r="E36" s="496"/>
      <c r="F36" s="505"/>
      <c r="G36" s="506"/>
      <c r="H36" s="321"/>
      <c r="I36" s="507"/>
      <c r="J36" s="321"/>
      <c r="K36" s="327"/>
      <c r="L36" s="328"/>
    </row>
    <row r="37" ht="18.75" customHeight="1">
      <c r="A37" s="325"/>
      <c r="B37" s="326"/>
      <c r="D37" s="508"/>
      <c r="E37" s="509"/>
      <c r="F37" s="496"/>
      <c r="G37" s="496"/>
      <c r="I37" s="307"/>
      <c r="J37" s="321"/>
      <c r="K37" s="327"/>
      <c r="L37" s="328"/>
    </row>
    <row r="38" ht="3.75" customHeight="1">
      <c r="A38" s="291"/>
      <c r="B38" s="295"/>
      <c r="C38" s="329"/>
      <c r="D38" s="329"/>
      <c r="E38" s="329"/>
      <c r="F38" s="510"/>
      <c r="G38" s="511"/>
      <c r="H38" s="512"/>
      <c r="I38" s="512"/>
      <c r="J38" s="329"/>
      <c r="K38" s="329"/>
      <c r="L38" s="291"/>
    </row>
    <row r="39" ht="30.0" customHeight="1">
      <c r="A39" s="325"/>
      <c r="B39" s="326"/>
      <c r="C39" s="494"/>
      <c r="D39" s="504"/>
      <c r="E39" s="496"/>
      <c r="F39" s="505"/>
      <c r="G39" s="506"/>
      <c r="H39" s="321"/>
      <c r="I39" s="507"/>
      <c r="J39" s="321"/>
      <c r="K39" s="327"/>
      <c r="L39" s="328"/>
    </row>
    <row r="40" ht="18.75" customHeight="1">
      <c r="A40" s="325"/>
      <c r="B40" s="326"/>
      <c r="D40" s="508"/>
      <c r="E40" s="509"/>
      <c r="F40" s="496"/>
      <c r="G40" s="496"/>
      <c r="I40" s="307"/>
      <c r="J40" s="321"/>
      <c r="K40" s="327"/>
      <c r="L40" s="328"/>
    </row>
    <row r="41" ht="3.75" customHeight="1">
      <c r="A41" s="291"/>
      <c r="B41" s="295"/>
      <c r="C41" s="329"/>
      <c r="D41" s="329"/>
      <c r="E41" s="329"/>
      <c r="F41" s="510"/>
      <c r="G41" s="511"/>
      <c r="H41" s="512"/>
      <c r="I41" s="512"/>
      <c r="J41" s="329"/>
      <c r="K41" s="329"/>
      <c r="L41" s="291"/>
    </row>
    <row r="42" ht="30.0" customHeight="1">
      <c r="A42" s="325"/>
      <c r="B42" s="326"/>
      <c r="C42" s="494"/>
      <c r="D42" s="504"/>
      <c r="E42" s="496"/>
      <c r="F42" s="505"/>
      <c r="G42" s="506"/>
      <c r="H42" s="321"/>
      <c r="I42" s="507"/>
      <c r="J42" s="321"/>
      <c r="K42" s="327"/>
      <c r="L42" s="328"/>
    </row>
    <row r="43" ht="18.75" customHeight="1">
      <c r="A43" s="325"/>
      <c r="B43" s="326"/>
      <c r="D43" s="508"/>
      <c r="E43" s="509"/>
      <c r="F43" s="496"/>
      <c r="G43" s="496"/>
      <c r="I43" s="307"/>
      <c r="J43" s="321"/>
      <c r="K43" s="327"/>
      <c r="L43" s="328"/>
    </row>
    <row r="44" ht="3.75" customHeight="1">
      <c r="A44" s="291"/>
      <c r="B44" s="295"/>
      <c r="C44" s="329"/>
      <c r="D44" s="329"/>
      <c r="E44" s="329"/>
      <c r="F44" s="510"/>
      <c r="G44" s="511"/>
      <c r="H44" s="512"/>
      <c r="I44" s="512"/>
      <c r="J44" s="329"/>
      <c r="K44" s="329"/>
      <c r="L44" s="291"/>
    </row>
    <row r="45" ht="30.0" customHeight="1">
      <c r="A45" s="325"/>
      <c r="B45" s="326"/>
      <c r="C45" s="494"/>
      <c r="D45" s="504"/>
      <c r="E45" s="496"/>
      <c r="F45" s="505"/>
      <c r="G45" s="506"/>
      <c r="H45" s="321"/>
      <c r="I45" s="507"/>
      <c r="J45" s="321"/>
      <c r="K45" s="327"/>
      <c r="L45" s="328"/>
    </row>
    <row r="46" ht="18.75" customHeight="1">
      <c r="A46" s="325"/>
      <c r="B46" s="326"/>
      <c r="D46" s="508"/>
      <c r="E46" s="509"/>
      <c r="F46" s="496"/>
      <c r="G46" s="496"/>
      <c r="I46" s="307"/>
      <c r="J46" s="321"/>
      <c r="K46" s="327"/>
      <c r="L46" s="328"/>
    </row>
    <row r="47" ht="3.75" customHeight="1">
      <c r="A47" s="291"/>
      <c r="B47" s="295"/>
      <c r="C47" s="329"/>
      <c r="D47" s="329"/>
      <c r="E47" s="329"/>
      <c r="F47" s="510"/>
      <c r="G47" s="511"/>
      <c r="H47" s="512"/>
      <c r="I47" s="512"/>
      <c r="J47" s="329"/>
      <c r="K47" s="329"/>
      <c r="L47" s="291"/>
    </row>
    <row r="48" ht="30.0" customHeight="1">
      <c r="A48" s="325"/>
      <c r="B48" s="326"/>
      <c r="C48" s="494"/>
      <c r="D48" s="504"/>
      <c r="E48" s="496"/>
      <c r="F48" s="505"/>
      <c r="G48" s="506"/>
      <c r="H48" s="321"/>
      <c r="I48" s="507"/>
      <c r="J48" s="321"/>
      <c r="K48" s="327"/>
      <c r="L48" s="328"/>
    </row>
    <row r="49" ht="18.75" customHeight="1">
      <c r="A49" s="325"/>
      <c r="B49" s="326"/>
      <c r="D49" s="508"/>
      <c r="E49" s="509"/>
      <c r="F49" s="496"/>
      <c r="G49" s="496"/>
      <c r="I49" s="307"/>
      <c r="J49" s="321"/>
      <c r="K49" s="327"/>
      <c r="L49" s="328"/>
    </row>
    <row r="50" ht="3.75" customHeight="1">
      <c r="A50" s="291"/>
      <c r="B50" s="295"/>
      <c r="C50" s="329"/>
      <c r="D50" s="329"/>
      <c r="E50" s="329"/>
      <c r="F50" s="510"/>
      <c r="G50" s="511"/>
      <c r="H50" s="512"/>
      <c r="I50" s="512"/>
      <c r="J50" s="329"/>
      <c r="K50" s="329"/>
      <c r="L50" s="291"/>
    </row>
    <row r="51" ht="30.0" customHeight="1">
      <c r="A51" s="325"/>
      <c r="B51" s="326"/>
      <c r="C51" s="494"/>
      <c r="D51" s="504"/>
      <c r="E51" s="496"/>
      <c r="F51" s="505"/>
      <c r="G51" s="506"/>
      <c r="H51" s="321"/>
      <c r="I51" s="507"/>
      <c r="J51" s="321"/>
      <c r="K51" s="327"/>
      <c r="L51" s="328"/>
    </row>
    <row r="52" ht="18.75" customHeight="1">
      <c r="A52" s="325"/>
      <c r="B52" s="326"/>
      <c r="D52" s="508"/>
      <c r="E52" s="509"/>
      <c r="F52" s="496"/>
      <c r="G52" s="496"/>
      <c r="I52" s="307"/>
      <c r="J52" s="321"/>
      <c r="K52" s="327"/>
      <c r="L52" s="328"/>
    </row>
    <row r="53" ht="3.75" customHeight="1">
      <c r="A53" s="291"/>
      <c r="B53" s="295"/>
      <c r="C53" s="329"/>
      <c r="D53" s="329"/>
      <c r="E53" s="329"/>
      <c r="F53" s="510"/>
      <c r="G53" s="511"/>
      <c r="H53" s="512"/>
      <c r="I53" s="512"/>
      <c r="J53" s="329"/>
      <c r="K53" s="329"/>
      <c r="L53" s="291"/>
    </row>
    <row r="54" ht="30.0" customHeight="1">
      <c r="A54" s="325"/>
      <c r="B54" s="326"/>
      <c r="C54" s="494"/>
      <c r="D54" s="504"/>
      <c r="E54" s="496"/>
      <c r="F54" s="505"/>
      <c r="G54" s="506"/>
      <c r="H54" s="321"/>
      <c r="I54" s="507"/>
      <c r="J54" s="321"/>
      <c r="K54" s="327"/>
      <c r="L54" s="328"/>
    </row>
    <row r="55" ht="18.75" customHeight="1">
      <c r="A55" s="325"/>
      <c r="B55" s="326"/>
      <c r="D55" s="508"/>
      <c r="E55" s="509"/>
      <c r="F55" s="496"/>
      <c r="G55" s="496"/>
      <c r="I55" s="307"/>
      <c r="J55" s="321"/>
      <c r="K55" s="327"/>
      <c r="L55" s="328"/>
    </row>
    <row r="56" ht="3.75" customHeight="1">
      <c r="A56" s="291"/>
      <c r="B56" s="295"/>
      <c r="C56" s="329"/>
      <c r="D56" s="329"/>
      <c r="E56" s="329"/>
      <c r="F56" s="510"/>
      <c r="G56" s="511"/>
      <c r="H56" s="512"/>
      <c r="I56" s="512"/>
      <c r="J56" s="329"/>
      <c r="K56" s="329"/>
      <c r="L56" s="291"/>
    </row>
    <row r="57" ht="30.0" customHeight="1">
      <c r="A57" s="325"/>
      <c r="B57" s="326"/>
      <c r="C57" s="494"/>
      <c r="D57" s="504"/>
      <c r="E57" s="496"/>
      <c r="F57" s="505"/>
      <c r="G57" s="506"/>
      <c r="H57" s="321"/>
      <c r="I57" s="507"/>
      <c r="J57" s="321"/>
      <c r="K57" s="327"/>
      <c r="L57" s="328"/>
    </row>
    <row r="58" ht="18.75" customHeight="1">
      <c r="A58" s="325"/>
      <c r="B58" s="326"/>
      <c r="D58" s="508"/>
      <c r="E58" s="509"/>
      <c r="F58" s="496"/>
      <c r="G58" s="496"/>
      <c r="I58" s="307"/>
      <c r="J58" s="321"/>
      <c r="K58" s="327"/>
      <c r="L58" s="328"/>
    </row>
    <row r="59" ht="3.75" customHeight="1">
      <c r="A59" s="291"/>
      <c r="B59" s="295"/>
      <c r="C59" s="329"/>
      <c r="D59" s="329"/>
      <c r="E59" s="329"/>
      <c r="F59" s="510"/>
      <c r="G59" s="511"/>
      <c r="H59" s="512"/>
      <c r="I59" s="512"/>
      <c r="J59" s="329"/>
      <c r="K59" s="329"/>
      <c r="L59" s="291"/>
    </row>
    <row r="60" ht="30.0" customHeight="1">
      <c r="A60" s="325"/>
      <c r="B60" s="326"/>
      <c r="C60" s="494"/>
      <c r="D60" s="504"/>
      <c r="E60" s="496"/>
      <c r="F60" s="505"/>
      <c r="G60" s="506"/>
      <c r="H60" s="321"/>
      <c r="I60" s="507"/>
      <c r="J60" s="321"/>
      <c r="K60" s="327"/>
      <c r="L60" s="328"/>
    </row>
    <row r="61" ht="18.75" customHeight="1">
      <c r="A61" s="325"/>
      <c r="B61" s="326"/>
      <c r="D61" s="508"/>
      <c r="E61" s="509"/>
      <c r="F61" s="496"/>
      <c r="G61" s="496"/>
      <c r="I61" s="307"/>
      <c r="J61" s="321"/>
      <c r="K61" s="327"/>
      <c r="L61" s="328"/>
    </row>
    <row r="62" ht="3.75" customHeight="1">
      <c r="A62" s="291"/>
      <c r="B62" s="295"/>
      <c r="C62" s="329"/>
      <c r="D62" s="329"/>
      <c r="E62" s="329"/>
      <c r="F62" s="510"/>
      <c r="G62" s="511"/>
      <c r="H62" s="512"/>
      <c r="I62" s="512"/>
      <c r="J62" s="329"/>
      <c r="K62" s="329"/>
      <c r="L62" s="291"/>
    </row>
    <row r="63" ht="30.0" customHeight="1">
      <c r="A63" s="325"/>
      <c r="B63" s="326"/>
      <c r="C63" s="494"/>
      <c r="D63" s="504"/>
      <c r="E63" s="496"/>
      <c r="F63" s="505"/>
      <c r="G63" s="506"/>
      <c r="H63" s="321"/>
      <c r="I63" s="507"/>
      <c r="J63" s="321"/>
      <c r="K63" s="327"/>
      <c r="L63" s="328"/>
    </row>
    <row r="64" ht="18.75" customHeight="1">
      <c r="A64" s="325"/>
      <c r="B64" s="326"/>
      <c r="D64" s="508"/>
      <c r="E64" s="509"/>
      <c r="F64" s="496"/>
      <c r="G64" s="496"/>
      <c r="I64" s="307"/>
      <c r="J64" s="321"/>
      <c r="K64" s="327"/>
      <c r="L64" s="328"/>
    </row>
    <row r="65" ht="3.75" customHeight="1">
      <c r="A65" s="291"/>
      <c r="B65" s="295"/>
      <c r="C65" s="329"/>
      <c r="D65" s="329"/>
      <c r="E65" s="329"/>
      <c r="F65" s="510"/>
      <c r="G65" s="511"/>
      <c r="H65" s="512"/>
      <c r="I65" s="512"/>
      <c r="J65" s="329"/>
      <c r="K65" s="329"/>
      <c r="L65" s="291"/>
    </row>
    <row r="66" ht="30.0" customHeight="1">
      <c r="A66" s="325"/>
      <c r="B66" s="326"/>
      <c r="C66" s="494"/>
      <c r="D66" s="504"/>
      <c r="E66" s="496"/>
      <c r="F66" s="505"/>
      <c r="G66" s="506"/>
      <c r="H66" s="321"/>
      <c r="I66" s="507"/>
      <c r="J66" s="321"/>
      <c r="K66" s="327"/>
      <c r="L66" s="328"/>
    </row>
    <row r="67" ht="18.75" customHeight="1">
      <c r="A67" s="325"/>
      <c r="B67" s="326"/>
      <c r="D67" s="508"/>
      <c r="E67" s="509"/>
      <c r="F67" s="496"/>
      <c r="G67" s="496"/>
      <c r="I67" s="307"/>
      <c r="J67" s="321"/>
      <c r="K67" s="327"/>
      <c r="L67" s="328"/>
    </row>
    <row r="68" ht="3.75" customHeight="1">
      <c r="A68" s="291"/>
      <c r="B68" s="295"/>
      <c r="C68" s="329"/>
      <c r="D68" s="329"/>
      <c r="E68" s="329"/>
      <c r="F68" s="510"/>
      <c r="G68" s="511"/>
      <c r="H68" s="512"/>
      <c r="I68" s="512"/>
      <c r="J68" s="329"/>
      <c r="K68" s="329"/>
      <c r="L68" s="291"/>
    </row>
    <row r="69" ht="30.0" customHeight="1">
      <c r="A69" s="325"/>
      <c r="B69" s="326"/>
      <c r="C69" s="494"/>
      <c r="D69" s="504"/>
      <c r="E69" s="496"/>
      <c r="F69" s="505"/>
      <c r="G69" s="506"/>
      <c r="H69" s="321"/>
      <c r="I69" s="507"/>
      <c r="J69" s="321"/>
      <c r="K69" s="327"/>
      <c r="L69" s="328"/>
    </row>
    <row r="70" ht="18.75" customHeight="1">
      <c r="A70" s="325"/>
      <c r="B70" s="326"/>
      <c r="D70" s="508"/>
      <c r="E70" s="509"/>
      <c r="F70" s="496"/>
      <c r="G70" s="496"/>
      <c r="I70" s="307"/>
      <c r="J70" s="321"/>
      <c r="K70" s="327"/>
      <c r="L70" s="328"/>
    </row>
    <row r="71" ht="3.75" customHeight="1">
      <c r="A71" s="291"/>
      <c r="B71" s="295"/>
      <c r="C71" s="329"/>
      <c r="D71" s="329"/>
      <c r="E71" s="329"/>
      <c r="F71" s="510"/>
      <c r="G71" s="511"/>
      <c r="H71" s="512"/>
      <c r="I71" s="512"/>
      <c r="J71" s="329"/>
      <c r="K71" s="329"/>
      <c r="L71" s="291"/>
    </row>
    <row r="72" ht="30.0" customHeight="1">
      <c r="A72" s="325"/>
      <c r="B72" s="326"/>
      <c r="C72" s="494"/>
      <c r="D72" s="504"/>
      <c r="E72" s="496"/>
      <c r="F72" s="505"/>
      <c r="G72" s="506"/>
      <c r="H72" s="321"/>
      <c r="I72" s="507"/>
      <c r="J72" s="321"/>
      <c r="K72" s="327"/>
      <c r="L72" s="328"/>
    </row>
    <row r="73" ht="11.25" customHeight="1">
      <c r="A73" s="325"/>
      <c r="B73" s="326"/>
      <c r="D73" s="508"/>
      <c r="E73" s="509"/>
      <c r="F73" s="496"/>
      <c r="G73" s="496"/>
      <c r="I73" s="307"/>
      <c r="J73" s="321"/>
      <c r="K73" s="327"/>
      <c r="L73" s="328"/>
    </row>
    <row r="74" ht="3.75" customHeight="1">
      <c r="A74" s="291"/>
      <c r="B74" s="295"/>
      <c r="C74" s="329"/>
      <c r="D74" s="329"/>
      <c r="E74" s="329"/>
      <c r="F74" s="510"/>
      <c r="G74" s="511"/>
      <c r="H74" s="512"/>
      <c r="I74" s="512"/>
      <c r="J74" s="329"/>
      <c r="K74" s="329"/>
      <c r="L74" s="291"/>
    </row>
    <row r="75" ht="30.0" customHeight="1">
      <c r="A75" s="325"/>
      <c r="B75" s="326"/>
      <c r="C75" s="494"/>
      <c r="D75" s="504"/>
      <c r="E75" s="496"/>
      <c r="F75" s="505"/>
      <c r="G75" s="506"/>
      <c r="H75" s="321"/>
      <c r="I75" s="507"/>
      <c r="J75" s="321"/>
      <c r="K75" s="327"/>
      <c r="L75" s="328"/>
    </row>
    <row r="76" ht="11.25" customHeight="1">
      <c r="A76" s="325"/>
      <c r="B76" s="326"/>
      <c r="D76" s="508"/>
      <c r="E76" s="509"/>
      <c r="F76" s="496"/>
      <c r="G76" s="496"/>
      <c r="I76" s="307"/>
      <c r="J76" s="321"/>
      <c r="K76" s="327"/>
      <c r="L76" s="328"/>
    </row>
    <row r="77" ht="3.75" customHeight="1">
      <c r="A77" s="291"/>
      <c r="B77" s="295"/>
      <c r="C77" s="329"/>
      <c r="D77" s="329"/>
      <c r="E77" s="329"/>
      <c r="F77" s="510"/>
      <c r="G77" s="511"/>
      <c r="H77" s="512"/>
      <c r="I77" s="512"/>
      <c r="J77" s="329"/>
      <c r="K77" s="329"/>
      <c r="L77" s="291"/>
    </row>
    <row r="78" ht="30.0" customHeight="1">
      <c r="A78" s="325"/>
      <c r="B78" s="326"/>
      <c r="C78" s="494"/>
      <c r="D78" s="504"/>
      <c r="E78" s="496"/>
      <c r="F78" s="505"/>
      <c r="G78" s="506"/>
      <c r="H78" s="321"/>
      <c r="I78" s="507"/>
      <c r="J78" s="321"/>
      <c r="K78" s="327"/>
      <c r="L78" s="328"/>
    </row>
    <row r="79" ht="11.25" customHeight="1">
      <c r="A79" s="325"/>
      <c r="B79" s="326"/>
      <c r="D79" s="508"/>
      <c r="E79" s="509"/>
      <c r="F79" s="496"/>
      <c r="G79" s="496"/>
      <c r="I79" s="307"/>
      <c r="J79" s="321"/>
      <c r="K79" s="327"/>
      <c r="L79" s="328"/>
    </row>
    <row r="80" ht="3.75" customHeight="1">
      <c r="A80" s="291"/>
      <c r="B80" s="295"/>
      <c r="C80" s="329"/>
      <c r="D80" s="329"/>
      <c r="E80" s="329"/>
      <c r="F80" s="510"/>
      <c r="G80" s="511"/>
      <c r="H80" s="512"/>
      <c r="I80" s="512"/>
      <c r="J80" s="329"/>
      <c r="K80" s="329"/>
      <c r="L80" s="291"/>
    </row>
    <row r="81" ht="30.0" customHeight="1">
      <c r="A81" s="325"/>
      <c r="B81" s="326"/>
      <c r="C81" s="494"/>
      <c r="D81" s="504"/>
      <c r="E81" s="496"/>
      <c r="F81" s="505"/>
      <c r="G81" s="506"/>
      <c r="H81" s="321"/>
      <c r="I81" s="507"/>
      <c r="J81" s="321"/>
      <c r="K81" s="327"/>
      <c r="L81" s="328"/>
    </row>
    <row r="82" ht="11.25" customHeight="1">
      <c r="A82" s="325"/>
      <c r="B82" s="326"/>
      <c r="D82" s="508"/>
      <c r="E82" s="509"/>
      <c r="F82" s="496"/>
      <c r="G82" s="496"/>
      <c r="I82" s="307"/>
      <c r="J82" s="321"/>
      <c r="K82" s="327"/>
      <c r="L82" s="328"/>
    </row>
    <row r="83" ht="3.75" customHeight="1">
      <c r="A83" s="291"/>
      <c r="B83" s="295"/>
      <c r="C83" s="329"/>
      <c r="D83" s="329"/>
      <c r="E83" s="329"/>
      <c r="F83" s="510"/>
      <c r="G83" s="511"/>
      <c r="H83" s="512"/>
      <c r="I83" s="512"/>
      <c r="J83" s="329"/>
      <c r="K83" s="329"/>
      <c r="L83" s="291"/>
    </row>
    <row r="84" ht="30.0" customHeight="1">
      <c r="A84" s="325"/>
      <c r="B84" s="326"/>
      <c r="C84" s="494"/>
      <c r="D84" s="504"/>
      <c r="E84" s="496"/>
      <c r="F84" s="505"/>
      <c r="G84" s="506"/>
      <c r="H84" s="321"/>
      <c r="I84" s="507"/>
      <c r="J84" s="321"/>
      <c r="K84" s="327"/>
      <c r="L84" s="328"/>
    </row>
    <row r="85" ht="11.25" customHeight="1">
      <c r="A85" s="325"/>
      <c r="B85" s="326"/>
      <c r="D85" s="508"/>
      <c r="E85" s="509"/>
      <c r="F85" s="496"/>
      <c r="G85" s="496"/>
      <c r="I85" s="307"/>
      <c r="J85" s="321"/>
      <c r="K85" s="327"/>
      <c r="L85" s="328"/>
    </row>
    <row r="86" ht="3.75" customHeight="1">
      <c r="A86" s="291"/>
      <c r="B86" s="295"/>
      <c r="C86" s="329"/>
      <c r="D86" s="329"/>
      <c r="E86" s="329"/>
      <c r="F86" s="510"/>
      <c r="G86" s="511"/>
      <c r="H86" s="512"/>
      <c r="I86" s="512"/>
      <c r="J86" s="329"/>
      <c r="K86" s="329"/>
      <c r="L86" s="291"/>
    </row>
    <row r="87" ht="30.0" customHeight="1">
      <c r="A87" s="325"/>
      <c r="B87" s="326"/>
      <c r="C87" s="494"/>
      <c r="D87" s="504"/>
      <c r="E87" s="496"/>
      <c r="F87" s="505"/>
      <c r="G87" s="506"/>
      <c r="H87" s="321"/>
      <c r="I87" s="507"/>
      <c r="J87" s="321"/>
      <c r="K87" s="327"/>
      <c r="L87" s="328"/>
    </row>
    <row r="88" ht="11.25" customHeight="1">
      <c r="A88" s="325"/>
      <c r="B88" s="326"/>
      <c r="D88" s="508"/>
      <c r="E88" s="509"/>
      <c r="F88" s="496"/>
      <c r="G88" s="496"/>
      <c r="I88" s="307"/>
      <c r="J88" s="321"/>
      <c r="K88" s="327"/>
      <c r="L88" s="328"/>
    </row>
    <row r="89" ht="3.75" customHeight="1">
      <c r="A89" s="291"/>
      <c r="B89" s="295"/>
      <c r="C89" s="329"/>
      <c r="D89" s="329"/>
      <c r="E89" s="329"/>
      <c r="F89" s="510"/>
      <c r="G89" s="511"/>
      <c r="H89" s="512"/>
      <c r="I89" s="512"/>
      <c r="J89" s="329"/>
      <c r="K89" s="329"/>
      <c r="L89" s="291"/>
    </row>
    <row r="90" ht="30.0" customHeight="1">
      <c r="A90" s="325"/>
      <c r="B90" s="326"/>
      <c r="C90" s="494"/>
      <c r="D90" s="504"/>
      <c r="E90" s="496"/>
      <c r="F90" s="505"/>
      <c r="G90" s="506"/>
      <c r="H90" s="321"/>
      <c r="I90" s="507"/>
      <c r="J90" s="321"/>
      <c r="K90" s="327"/>
      <c r="L90" s="328"/>
    </row>
    <row r="91" ht="11.25" customHeight="1">
      <c r="A91" s="325"/>
      <c r="B91" s="326"/>
      <c r="D91" s="508"/>
      <c r="E91" s="509"/>
      <c r="F91" s="496"/>
      <c r="G91" s="496"/>
      <c r="I91" s="307"/>
      <c r="J91" s="321"/>
      <c r="K91" s="327"/>
      <c r="L91" s="328"/>
    </row>
    <row r="92" ht="3.75" customHeight="1">
      <c r="A92" s="291"/>
      <c r="B92" s="295"/>
      <c r="C92" s="329"/>
      <c r="D92" s="329"/>
      <c r="E92" s="329"/>
      <c r="F92" s="510"/>
      <c r="G92" s="511"/>
      <c r="H92" s="512"/>
      <c r="I92" s="512"/>
      <c r="J92" s="329"/>
      <c r="K92" s="329"/>
      <c r="L92" s="291"/>
    </row>
    <row r="93" ht="30.0" customHeight="1">
      <c r="A93" s="325"/>
      <c r="B93" s="326"/>
      <c r="C93" s="494"/>
      <c r="D93" s="504"/>
      <c r="E93" s="496"/>
      <c r="F93" s="505"/>
      <c r="G93" s="506"/>
      <c r="H93" s="321"/>
      <c r="I93" s="507"/>
      <c r="J93" s="321"/>
      <c r="K93" s="327"/>
      <c r="L93" s="328"/>
    </row>
    <row r="94" ht="11.25" customHeight="1">
      <c r="A94" s="325"/>
      <c r="B94" s="326"/>
      <c r="D94" s="508"/>
      <c r="E94" s="509"/>
      <c r="F94" s="496"/>
      <c r="G94" s="496"/>
      <c r="I94" s="307"/>
      <c r="J94" s="321"/>
      <c r="K94" s="327"/>
      <c r="L94" s="328"/>
    </row>
    <row r="95" ht="3.75" customHeight="1">
      <c r="A95" s="291"/>
      <c r="B95" s="295"/>
      <c r="C95" s="329"/>
      <c r="D95" s="329"/>
      <c r="E95" s="329"/>
      <c r="F95" s="510"/>
      <c r="G95" s="511"/>
      <c r="H95" s="512"/>
      <c r="I95" s="512"/>
      <c r="J95" s="329"/>
      <c r="K95" s="329"/>
      <c r="L95" s="291"/>
    </row>
    <row r="96" ht="30.0" customHeight="1">
      <c r="A96" s="325"/>
      <c r="B96" s="326"/>
      <c r="C96" s="494"/>
      <c r="D96" s="504"/>
      <c r="E96" s="496"/>
      <c r="F96" s="505"/>
      <c r="G96" s="506"/>
      <c r="H96" s="321"/>
      <c r="I96" s="507"/>
      <c r="J96" s="321"/>
      <c r="K96" s="327"/>
      <c r="L96" s="328"/>
    </row>
    <row r="97" ht="11.25" customHeight="1">
      <c r="A97" s="325"/>
      <c r="B97" s="326"/>
      <c r="D97" s="508"/>
      <c r="E97" s="509"/>
      <c r="F97" s="496"/>
      <c r="G97" s="496"/>
      <c r="I97" s="307"/>
      <c r="J97" s="321"/>
      <c r="K97" s="327"/>
      <c r="L97" s="328"/>
    </row>
    <row r="98" ht="3.75" customHeight="1">
      <c r="A98" s="291"/>
      <c r="B98" s="295"/>
      <c r="C98" s="329"/>
      <c r="D98" s="329"/>
      <c r="E98" s="329"/>
      <c r="F98" s="510"/>
      <c r="G98" s="511"/>
      <c r="H98" s="512"/>
      <c r="I98" s="512"/>
      <c r="J98" s="329"/>
      <c r="K98" s="329"/>
      <c r="L98" s="291"/>
    </row>
    <row r="99" ht="30.0" customHeight="1">
      <c r="A99" s="325"/>
      <c r="B99" s="326"/>
      <c r="C99" s="494"/>
      <c r="D99" s="504"/>
      <c r="E99" s="496"/>
      <c r="F99" s="505"/>
      <c r="G99" s="506"/>
      <c r="H99" s="321"/>
      <c r="I99" s="507"/>
      <c r="J99" s="321"/>
      <c r="K99" s="327"/>
      <c r="L99" s="328"/>
    </row>
    <row r="100" ht="11.25" customHeight="1">
      <c r="A100" s="325"/>
      <c r="B100" s="326"/>
      <c r="D100" s="508"/>
      <c r="E100" s="509"/>
      <c r="F100" s="496"/>
      <c r="G100" s="496"/>
      <c r="I100" s="307"/>
      <c r="J100" s="321"/>
      <c r="K100" s="327"/>
      <c r="L100" s="328"/>
    </row>
    <row r="101" ht="3.75" customHeight="1">
      <c r="A101" s="291"/>
      <c r="B101" s="295"/>
      <c r="C101" s="329"/>
      <c r="D101" s="329"/>
      <c r="E101" s="329"/>
      <c r="F101" s="510"/>
      <c r="G101" s="511"/>
      <c r="H101" s="512"/>
      <c r="I101" s="512"/>
      <c r="J101" s="329"/>
      <c r="K101" s="329"/>
      <c r="L101" s="291"/>
    </row>
  </sheetData>
  <mergeCells count="198">
    <mergeCell ref="G60:G61"/>
    <mergeCell ref="H60:H61"/>
    <mergeCell ref="D63:E63"/>
    <mergeCell ref="F63:F64"/>
    <mergeCell ref="G63:G64"/>
    <mergeCell ref="H63:H64"/>
    <mergeCell ref="I63:I64"/>
    <mergeCell ref="C63:C64"/>
    <mergeCell ref="C66:C67"/>
    <mergeCell ref="D66:E66"/>
    <mergeCell ref="F66:F67"/>
    <mergeCell ref="G66:G67"/>
    <mergeCell ref="H66:H67"/>
    <mergeCell ref="I66:I67"/>
    <mergeCell ref="F69:F70"/>
    <mergeCell ref="F72:F73"/>
    <mergeCell ref="C69:C70"/>
    <mergeCell ref="D69:E69"/>
    <mergeCell ref="G69:G70"/>
    <mergeCell ref="H69:H70"/>
    <mergeCell ref="I69:I70"/>
    <mergeCell ref="C72:C73"/>
    <mergeCell ref="D72:E72"/>
    <mergeCell ref="I72:I73"/>
    <mergeCell ref="G72:G73"/>
    <mergeCell ref="H72:H73"/>
    <mergeCell ref="D75:E75"/>
    <mergeCell ref="F75:F76"/>
    <mergeCell ref="G75:G76"/>
    <mergeCell ref="H75:H76"/>
    <mergeCell ref="I75:I76"/>
    <mergeCell ref="C75:C76"/>
    <mergeCell ref="C78:C79"/>
    <mergeCell ref="D78:E78"/>
    <mergeCell ref="F78:F79"/>
    <mergeCell ref="G78:G79"/>
    <mergeCell ref="H78:H79"/>
    <mergeCell ref="I78:I79"/>
    <mergeCell ref="F81:F82"/>
    <mergeCell ref="F84:F85"/>
    <mergeCell ref="C81:C82"/>
    <mergeCell ref="D81:E81"/>
    <mergeCell ref="G81:G82"/>
    <mergeCell ref="H81:H82"/>
    <mergeCell ref="I81:I82"/>
    <mergeCell ref="C84:C85"/>
    <mergeCell ref="D84:E84"/>
    <mergeCell ref="I84:I85"/>
    <mergeCell ref="G84:G85"/>
    <mergeCell ref="H84:H85"/>
    <mergeCell ref="D87:E87"/>
    <mergeCell ref="F87:F88"/>
    <mergeCell ref="G87:G88"/>
    <mergeCell ref="H87:H88"/>
    <mergeCell ref="I87:I88"/>
    <mergeCell ref="C87:C88"/>
    <mergeCell ref="C90:C91"/>
    <mergeCell ref="D90:E90"/>
    <mergeCell ref="F90:F91"/>
    <mergeCell ref="G90:G91"/>
    <mergeCell ref="H90:H91"/>
    <mergeCell ref="I90:I91"/>
    <mergeCell ref="F93:F94"/>
    <mergeCell ref="F96:F97"/>
    <mergeCell ref="C93:C94"/>
    <mergeCell ref="D93:E93"/>
    <mergeCell ref="G93:G94"/>
    <mergeCell ref="H93:H94"/>
    <mergeCell ref="I93:I94"/>
    <mergeCell ref="C96:C97"/>
    <mergeCell ref="D96:E96"/>
    <mergeCell ref="I96:I97"/>
    <mergeCell ref="F3:F4"/>
    <mergeCell ref="F6:F7"/>
    <mergeCell ref="F9:F10"/>
    <mergeCell ref="F12:F13"/>
    <mergeCell ref="F15:F16"/>
    <mergeCell ref="C3:C4"/>
    <mergeCell ref="D3:E3"/>
    <mergeCell ref="G3:G4"/>
    <mergeCell ref="H3:H4"/>
    <mergeCell ref="I3:I4"/>
    <mergeCell ref="D6:E6"/>
    <mergeCell ref="I6:I7"/>
    <mergeCell ref="G12:G13"/>
    <mergeCell ref="G15:G16"/>
    <mergeCell ref="H15:H16"/>
    <mergeCell ref="I15:I16"/>
    <mergeCell ref="G6:G7"/>
    <mergeCell ref="H6:H7"/>
    <mergeCell ref="G9:G10"/>
    <mergeCell ref="H9:H10"/>
    <mergeCell ref="I9:I10"/>
    <mergeCell ref="H12:H13"/>
    <mergeCell ref="I12:I13"/>
    <mergeCell ref="C18:C19"/>
    <mergeCell ref="D18:E18"/>
    <mergeCell ref="F18:F19"/>
    <mergeCell ref="G18:G19"/>
    <mergeCell ref="H18:H19"/>
    <mergeCell ref="I18:I19"/>
    <mergeCell ref="C6:C7"/>
    <mergeCell ref="C9:C10"/>
    <mergeCell ref="D9:E9"/>
    <mergeCell ref="C12:C13"/>
    <mergeCell ref="D12:E12"/>
    <mergeCell ref="C15:C16"/>
    <mergeCell ref="D15:E15"/>
    <mergeCell ref="G96:G97"/>
    <mergeCell ref="H96:H97"/>
    <mergeCell ref="C99:C100"/>
    <mergeCell ref="D99:E99"/>
    <mergeCell ref="F99:F100"/>
    <mergeCell ref="G99:G100"/>
    <mergeCell ref="H99:H100"/>
    <mergeCell ref="I99:I100"/>
    <mergeCell ref="F21:F22"/>
    <mergeCell ref="F24:F25"/>
    <mergeCell ref="C21:C22"/>
    <mergeCell ref="D21:E21"/>
    <mergeCell ref="G21:G22"/>
    <mergeCell ref="H21:H22"/>
    <mergeCell ref="I21:I22"/>
    <mergeCell ref="C24:C25"/>
    <mergeCell ref="D24:E24"/>
    <mergeCell ref="I24:I25"/>
    <mergeCell ref="G24:G25"/>
    <mergeCell ref="H24:H25"/>
    <mergeCell ref="D27:E27"/>
    <mergeCell ref="F27:F28"/>
    <mergeCell ref="G27:G28"/>
    <mergeCell ref="H27:H28"/>
    <mergeCell ref="I27:I28"/>
    <mergeCell ref="C27:C28"/>
    <mergeCell ref="C30:C31"/>
    <mergeCell ref="D30:E30"/>
    <mergeCell ref="F30:F31"/>
    <mergeCell ref="G30:G31"/>
    <mergeCell ref="H30:H31"/>
    <mergeCell ref="I30:I31"/>
    <mergeCell ref="F33:F34"/>
    <mergeCell ref="F36:F37"/>
    <mergeCell ref="C33:C34"/>
    <mergeCell ref="D33:E33"/>
    <mergeCell ref="G33:G34"/>
    <mergeCell ref="H33:H34"/>
    <mergeCell ref="I33:I34"/>
    <mergeCell ref="C36:C37"/>
    <mergeCell ref="D36:E36"/>
    <mergeCell ref="I36:I37"/>
    <mergeCell ref="G36:G37"/>
    <mergeCell ref="H36:H37"/>
    <mergeCell ref="D39:E39"/>
    <mergeCell ref="F39:F40"/>
    <mergeCell ref="G39:G40"/>
    <mergeCell ref="H39:H40"/>
    <mergeCell ref="I39:I40"/>
    <mergeCell ref="C39:C40"/>
    <mergeCell ref="C42:C43"/>
    <mergeCell ref="D42:E42"/>
    <mergeCell ref="F42:F43"/>
    <mergeCell ref="G42:G43"/>
    <mergeCell ref="H42:H43"/>
    <mergeCell ref="I42:I43"/>
    <mergeCell ref="F45:F46"/>
    <mergeCell ref="F48:F49"/>
    <mergeCell ref="C45:C46"/>
    <mergeCell ref="D45:E45"/>
    <mergeCell ref="G45:G46"/>
    <mergeCell ref="H45:H46"/>
    <mergeCell ref="I45:I46"/>
    <mergeCell ref="C48:C49"/>
    <mergeCell ref="D48:E48"/>
    <mergeCell ref="I48:I49"/>
    <mergeCell ref="G48:G49"/>
    <mergeCell ref="H48:H49"/>
    <mergeCell ref="D51:E51"/>
    <mergeCell ref="F51:F52"/>
    <mergeCell ref="G51:G52"/>
    <mergeCell ref="H51:H52"/>
    <mergeCell ref="I51:I52"/>
    <mergeCell ref="C51:C52"/>
    <mergeCell ref="C54:C55"/>
    <mergeCell ref="D54:E54"/>
    <mergeCell ref="F54:F55"/>
    <mergeCell ref="G54:G55"/>
    <mergeCell ref="H54:H55"/>
    <mergeCell ref="I54:I55"/>
    <mergeCell ref="F57:F58"/>
    <mergeCell ref="F60:F61"/>
    <mergeCell ref="C57:C58"/>
    <mergeCell ref="D57:E57"/>
    <mergeCell ref="G57:G58"/>
    <mergeCell ref="H57:H58"/>
    <mergeCell ref="I57:I58"/>
    <mergeCell ref="C60:C61"/>
    <mergeCell ref="D60:E60"/>
    <mergeCell ref="I60:I61"/>
  </mergeCells>
  <hyperlinks>
    <hyperlink r:id="rId1" ref="D6"/>
    <hyperlink r:id="rId2" ref="D9"/>
    <hyperlink r:id="rId3" ref="D12"/>
    <hyperlink r:id="rId4" ref="D15"/>
    <hyperlink r:id="rId5" ref="D18"/>
    <hyperlink r:id="rId6" ref="D21"/>
    <hyperlink r:id="rId7" ref="D24"/>
  </hyperlinks>
  <drawing r:id="rId8"/>
</worksheet>
</file>