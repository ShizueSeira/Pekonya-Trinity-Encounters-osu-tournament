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Team List Template" sheetId="2" r:id="rId5"/>
    <sheet state="visible" name="Map Pool Template" sheetId="3" r:id="rId6"/>
    <sheet state="visible" name="Bracket Schedule" sheetId="4" r:id="rId7"/>
    <sheet state="visible" name="Staff List" sheetId="5" r:id="rId8"/>
    <sheet state="visible" name="Main Sheet" sheetId="6" r:id="rId9"/>
    <sheet state="visible" name="Team List" sheetId="7" r:id="rId10"/>
    <sheet state="visible" name="Copy of Template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sharedStrings.xml><?xml version="1.0" encoding="utf-8"?>
<sst xmlns="http://schemas.openxmlformats.org/spreadsheetml/2006/main" count="773" uniqueCount="107">
  <si>
    <r>
      <rPr>
        <rFont val="Bungee"/>
        <color rgb="FFBACEED"/>
        <sz val="8.0"/>
      </rPr>
      <t>NO OF TEAMS :</t>
    </r>
    <r>
      <rPr>
        <rFont val="Bungee"/>
        <color rgb="FFBACEED"/>
        <sz val="10.0"/>
      </rPr>
      <t xml:space="preserve"> 
- 64 - </t>
    </r>
  </si>
  <si>
    <t>CAPTAIN</t>
  </si>
  <si>
    <t>PLAYER 2</t>
  </si>
  <si>
    <t>PLAYER 3</t>
  </si>
  <si>
    <t>- THE TEAM's MOTTO HERE -</t>
  </si>
  <si>
    <t>#105,555</t>
  </si>
  <si>
    <t>#103,415</t>
  </si>
  <si>
    <t>#133,041</t>
  </si>
  <si>
    <t>TEAM A</t>
  </si>
  <si>
    <t>WE ARE THE TRIO-GOATS !</t>
  </si>
  <si>
    <t>c</t>
  </si>
  <si>
    <t>GRANDFINALS</t>
  </si>
  <si>
    <t xml:space="preserve">BO 9 &lt;&gt; 5.4 Ave. SR &lt;&gt; 3:00 AVE. LENGTH </t>
  </si>
  <si>
    <t>- mAPPOOL PACK -</t>
  </si>
  <si>
    <t>Banner</t>
  </si>
  <si>
    <t>Mod</t>
  </si>
  <si>
    <t>Artist - Song [Difficulty]</t>
  </si>
  <si>
    <t>SR</t>
  </si>
  <si>
    <t>BPM</t>
  </si>
  <si>
    <t>Length</t>
  </si>
  <si>
    <t>CS</t>
  </si>
  <si>
    <t>AR</t>
  </si>
  <si>
    <t>OD</t>
  </si>
  <si>
    <t>Map ID</t>
  </si>
  <si>
    <t>Suggester</t>
  </si>
  <si>
    <t>Comments</t>
  </si>
  <si>
    <t>FINALS</t>
  </si>
  <si>
    <t>SEMIFINALS</t>
  </si>
  <si>
    <t>QUARTERFINALS</t>
  </si>
  <si>
    <t>RO 16</t>
  </si>
  <si>
    <t>RO 32</t>
  </si>
  <si>
    <t>Qualifiers</t>
  </si>
  <si>
    <t>BRACKET MATCHES</t>
  </si>
  <si>
    <t>Upper Bracket</t>
  </si>
  <si>
    <t>Lower Bracket</t>
  </si>
  <si>
    <t>Bracket Reset</t>
  </si>
  <si>
    <t>Progress</t>
  </si>
  <si>
    <t>ID</t>
  </si>
  <si>
    <t>Date</t>
  </si>
  <si>
    <t>Time</t>
  </si>
  <si>
    <t>Team 1</t>
  </si>
  <si>
    <t>Score</t>
  </si>
  <si>
    <t xml:space="preserve">Team 2 </t>
  </si>
  <si>
    <t>Referee</t>
  </si>
  <si>
    <t>Streamer</t>
  </si>
  <si>
    <t>Commentator 1</t>
  </si>
  <si>
    <t>Commentator 2</t>
  </si>
  <si>
    <t>MP Link</t>
  </si>
  <si>
    <t>Round of 32</t>
  </si>
  <si>
    <t>Round of 16</t>
  </si>
  <si>
    <t>Quarterfinals</t>
  </si>
  <si>
    <t>Semifinals</t>
  </si>
  <si>
    <t>Finals</t>
  </si>
  <si>
    <t>Grand-finals</t>
  </si>
  <si>
    <t>HOST</t>
  </si>
  <si>
    <t>GFX</t>
  </si>
  <si>
    <t>ADMINS</t>
  </si>
  <si>
    <t>SHEETS</t>
  </si>
  <si>
    <t>POOLERS</t>
  </si>
  <si>
    <t>PLAY 
TESTERS</t>
  </si>
  <si>
    <t>REPLAYERS</t>
  </si>
  <si>
    <t>STREAMERS</t>
  </si>
  <si>
    <t>COMMENTATORS</t>
  </si>
  <si>
    <t>REFEREES</t>
  </si>
  <si>
    <r>
      <rPr>
        <rFont val="Bungee"/>
        <b/>
        <color theme="1"/>
        <sz val="9.0"/>
      </rPr>
      <t>CURRENT PHASE :</t>
    </r>
    <r>
      <rPr>
        <rFont val="Bungee"/>
        <color theme="1"/>
        <sz val="9.0"/>
      </rPr>
      <t xml:space="preserve"> </t>
    </r>
    <r>
      <rPr>
        <rFont val="Bungee"/>
        <color theme="1"/>
        <sz val="16.0"/>
      </rPr>
      <t>REGISTRATIONS</t>
    </r>
  </si>
  <si>
    <t>PREVIOUS PHASE :</t>
  </si>
  <si>
    <t>NEXT PHASE :</t>
  </si>
  <si>
    <t>TEAMS REGISTERED :
- NO. OF TEAMS -</t>
  </si>
  <si>
    <t>no. of free agents :
- NO. OF fa -</t>
  </si>
  <si>
    <t>Schedule</t>
  </si>
  <si>
    <t>TEAM REGS. FORM</t>
  </si>
  <si>
    <t>STAFF REGS. FORM</t>
  </si>
  <si>
    <t>QUALIFIERS</t>
  </si>
  <si>
    <t>&lt; &lt; &lt;   &gt; &gt; &gt;</t>
  </si>
  <si>
    <t>JULY 13-25</t>
  </si>
  <si>
    <t>RO32</t>
  </si>
  <si>
    <t>FORUM POST</t>
  </si>
  <si>
    <t>RO16</t>
  </si>
  <si>
    <t>DISCORD SERVER</t>
  </si>
  <si>
    <t>SEMI-FINALS</t>
  </si>
  <si>
    <t>RULE BOOK</t>
  </si>
  <si>
    <t>TEAM LISTS &gt;&gt;&gt;</t>
  </si>
  <si>
    <t>GRAND FINALS</t>
  </si>
  <si>
    <t>STAFF LISTS &gt;&gt;&gt;</t>
  </si>
  <si>
    <t>STAT SHEET &gt;&gt;&gt;</t>
  </si>
  <si>
    <t>Lobby:</t>
  </si>
  <si>
    <t>A1</t>
  </si>
  <si>
    <t>Referee:</t>
  </si>
  <si>
    <t>Remarks (Late and Replays)</t>
  </si>
  <si>
    <t>mp timer 120</t>
  </si>
  <si>
    <t>!mp settings</t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</si>
  <si>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</si>
  <si>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MP LINK:</t>
  </si>
  <si>
    <t>:thumbsup: None</t>
  </si>
  <si>
    <t>!mp set 0 3 16</t>
  </si>
  <si>
    <t>!mp abort</t>
  </si>
  <si>
    <t>Room Command:</t>
  </si>
  <si>
    <t>!mp start 10</t>
  </si>
  <si>
    <t>!mp aborttimer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</si>
  <si>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</si>
  <si>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t>Results:</t>
  </si>
  <si>
    <t>MP COMMANDS</t>
  </si>
  <si>
    <t>!mp addref (name)</t>
  </si>
  <si>
    <t>Mappool</t>
  </si>
  <si>
    <t>Mod Command</t>
  </si>
  <si>
    <t>Map Name</t>
  </si>
  <si>
    <t>Map Command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</si>
</sst>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&quot;:&quot;ss"/>
    <numFmt numFmtId="165" formatCode="mmm&quot; &quot;dd&quot; (&quot;dddd&quot;)&quot;"/>
    <numFmt numFmtId="166" formatCode="hh:mm"/>
    <numFmt numFmtId="167" formatCode="mmm d"/>
    <numFmt numFmtId="168" formatCode="h&quot;:&quot;mm"/>
    <numFmt numFmtId="169" formatCode="mmmm&quot; &quot;dd&quot;,&quot;yyyy&quot; &quot;"/>
    <numFmt numFmtId="170" formatCode="hh&quot;:&quot;mm&quot; (UTC + 0)&quot;"/>
    <numFmt numFmtId="171" formatCode="&quot;Today is &quot;dddd&quot; !&quot;"/>
  </numFmts>
  <fonts count="98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rgb="FF2A7EE6"/>
      <name val="Bungee"/>
    </font>
    <font>
      <sz val="10.0"/>
      <color rgb="FFBACEED"/>
      <name val="Bungee"/>
    </font>
    <font>
      <sz val="7.0"/>
      <color rgb="FFBACEED"/>
      <name val="Rubik"/>
    </font>
    <font/>
    <font>
      <sz val="8.0"/>
      <color rgb="FF635A5B"/>
      <name val="Bungee"/>
    </font>
    <font>
      <sz val="10.0"/>
      <color rgb="FF635A5B"/>
      <name val="Bungee"/>
    </font>
    <font>
      <sz val="7.0"/>
      <color rgb="FF635A5B"/>
      <name val="Rubik"/>
    </font>
    <font>
      <color rgb="FF635A5B"/>
      <name val="Arial"/>
      <scheme val="minor"/>
    </font>
    <font>
      <sz val="18.0"/>
      <color rgb="FFF3F3F3"/>
      <name val="Play"/>
    </font>
    <font>
      <color theme="1"/>
      <name val="Arial"/>
    </font>
    <font>
      <sz val="6.0"/>
      <color rgb="FF2B282C"/>
      <name val="Play"/>
    </font>
    <font>
      <color rgb="FFF3F3F3"/>
      <name val="Play"/>
    </font>
    <font>
      <sz val="12.0"/>
      <color rgb="FFF3F3F3"/>
      <name val="Bungee"/>
    </font>
    <font>
      <b/>
      <color rgb="FFF3F3F3"/>
      <name val="Play"/>
    </font>
    <font>
      <sz val="7.0"/>
      <color rgb="FFF3F3F3"/>
      <name val="Bungee"/>
    </font>
    <font>
      <sz val="10.0"/>
      <color rgb="FFF3F3F3"/>
      <name val="Bungee"/>
    </font>
    <font>
      <b/>
      <color rgb="FF2B282C"/>
      <name val="Play"/>
    </font>
    <font>
      <sz val="11.0"/>
      <color rgb="FFF3F3F3"/>
      <name val="Comfortaa"/>
    </font>
    <font>
      <sz val="10.0"/>
      <color rgb="FFF3F3F3"/>
      <name val="Lemon"/>
    </font>
    <font>
      <sz val="11.0"/>
      <color rgb="FFCCCFD0"/>
      <name val="Comfortaa"/>
    </font>
    <font>
      <sz val="12.0"/>
      <color rgb="FFF3F3F3"/>
      <name val="Play"/>
    </font>
    <font>
      <color theme="0"/>
      <name val="Lemon"/>
    </font>
    <font>
      <b/>
      <sz val="12.0"/>
      <color rgb="FFFFFFFF"/>
      <name val="Lemon"/>
    </font>
    <font>
      <sz val="20.0"/>
      <color rgb="FFFFFFFF"/>
      <name val="Lemon"/>
    </font>
    <font>
      <b/>
      <sz val="12.0"/>
      <color rgb="FF0C2D60"/>
      <name val="Lemon"/>
    </font>
    <font>
      <b/>
      <sz val="10.0"/>
      <color rgb="FF0C2D60"/>
      <name val="Lemon"/>
    </font>
    <font>
      <b/>
      <sz val="14.0"/>
      <color rgb="FFFFFFFF"/>
      <name val="Lemon"/>
    </font>
    <font>
      <b/>
      <sz val="9.0"/>
      <color rgb="FFFFFFFF"/>
      <name val="Lemon"/>
    </font>
    <font>
      <b/>
      <u/>
      <sz val="12.0"/>
      <color rgb="FFFFFFFF"/>
      <name val="Lemon"/>
    </font>
    <font>
      <u/>
      <sz val="18.0"/>
      <color rgb="FFFFFFFF"/>
      <name val="Lemon"/>
    </font>
    <font>
      <u/>
      <sz val="14.0"/>
      <color rgb="FFFFFFFF"/>
      <name val="Lemon"/>
    </font>
    <font>
      <b/>
      <u/>
      <sz val="10.0"/>
      <color rgb="FF0C2D60"/>
      <name val="Lemon"/>
    </font>
    <font>
      <sz val="16.0"/>
      <color rgb="FFFFFFFF"/>
      <name val="Lemon"/>
    </font>
    <font>
      <b/>
      <sz val="18.0"/>
      <color rgb="FFEA9999"/>
      <name val="Lemon"/>
    </font>
    <font>
      <b/>
      <sz val="18.0"/>
      <color rgb="FFFFFFFF"/>
      <name val="Lemon"/>
    </font>
    <font>
      <b/>
      <u/>
      <sz val="18.0"/>
      <color rgb="FFFFFFFF"/>
      <name val="Lemon"/>
    </font>
    <font>
      <b/>
      <u/>
      <sz val="10.0"/>
      <color rgb="FF0C2D60"/>
      <name val="Lemon"/>
    </font>
    <font>
      <b/>
      <sz val="18.0"/>
      <color rgb="FFD5A6BD"/>
      <name val="Lemon"/>
    </font>
    <font>
      <b/>
      <u/>
      <sz val="10.0"/>
      <color rgb="FF0C2D60"/>
      <name val="Lemon"/>
    </font>
    <font>
      <b/>
      <sz val="18.0"/>
      <color rgb="FFB4A7D6"/>
      <name val="Lemon"/>
    </font>
    <font>
      <b/>
      <u/>
      <sz val="10.0"/>
      <color rgb="FF0C2D60"/>
      <name val="Lemon"/>
    </font>
    <font>
      <b/>
      <sz val="18.0"/>
      <color rgb="FFA4C2F4"/>
      <name val="Lemon"/>
    </font>
    <font>
      <b/>
      <sz val="18.0"/>
      <color rgb="FFF1C232"/>
      <name val="Lemon"/>
    </font>
    <font>
      <b/>
      <u/>
      <sz val="10.0"/>
      <color rgb="FF0C2D60"/>
      <name val="Lemon"/>
    </font>
    <font>
      <b/>
      <sz val="8.0"/>
      <color rgb="FFFFFFFF"/>
      <name val="Lemon"/>
    </font>
    <font>
      <color rgb="FFFFFFFF"/>
      <name val="Lemon"/>
    </font>
    <font>
      <sz val="15.0"/>
      <color rgb="FFB55FD4"/>
      <name val="Bungee"/>
    </font>
    <font>
      <color theme="1"/>
      <name val="Bungee"/>
    </font>
    <font>
      <color rgb="FF0000FF"/>
      <name val="Bungee"/>
    </font>
    <font>
      <sz val="12.0"/>
      <color theme="1"/>
      <name val="Arial"/>
      <scheme val="minor"/>
    </font>
    <font>
      <color rgb="FFB55FD4"/>
      <name val="Bungee"/>
    </font>
    <font>
      <sz val="15.0"/>
      <color rgb="FF749DF0"/>
      <name val="Bungee"/>
    </font>
    <font>
      <sz val="12.0"/>
      <color rgb="FF2A7EE6"/>
      <name val="Bungee"/>
    </font>
    <font>
      <sz val="15.0"/>
      <color rgb="FF3D2A83"/>
      <name val="Bungee"/>
    </font>
    <font>
      <sz val="12.0"/>
      <color rgb="FF2A7EE6"/>
      <name val="Comfortaa"/>
    </font>
    <font>
      <color rgb="FF749DF0"/>
      <name val="Bungee"/>
    </font>
    <font>
      <color rgb="FF3D2A83"/>
      <name val="Bungee"/>
    </font>
    <font>
      <sz val="15.0"/>
      <color rgb="FFCF3273"/>
      <name val="Bungee"/>
    </font>
    <font>
      <color rgb="FF722768"/>
      <name val="Arial"/>
    </font>
    <font>
      <color rgb="FFC09523"/>
      <name val="Arial"/>
    </font>
    <font>
      <color rgb="FFCF3273"/>
      <name val="Arial"/>
      <scheme val="minor"/>
    </font>
    <font>
      <color rgb="FFCF3273"/>
      <name val="Bungee"/>
    </font>
    <font>
      <sz val="15.0"/>
      <color rgb="FFEA8FA1"/>
      <name val="Bungee"/>
    </font>
    <font>
      <sz val="10.0"/>
      <color rgb="FF2A7EE6"/>
      <name val="Comfortaa"/>
    </font>
    <font>
      <sz val="15.0"/>
      <color rgb="FF722768"/>
      <name val="Bungee"/>
    </font>
    <font>
      <color rgb="FFEA8FA1"/>
      <name val="Bungee"/>
    </font>
    <font>
      <color rgb="FF722768"/>
      <name val="Bungee"/>
    </font>
    <font>
      <sz val="10.0"/>
      <color rgb="FF2A7EE6"/>
      <name val="Rubik"/>
    </font>
    <font>
      <sz val="20.0"/>
      <color rgb="FFC09523"/>
      <name val="Bungee"/>
    </font>
    <font>
      <sz val="15.0"/>
      <color rgb="FFDCD281"/>
      <name val="Bungee"/>
    </font>
    <font>
      <color rgb="FFC09523"/>
      <name val="Bungee"/>
    </font>
    <font>
      <color rgb="FFDCD281"/>
      <name val="Bungee"/>
    </font>
    <font>
      <color rgb="FFDCD281"/>
      <name val="Arial"/>
      <scheme val="minor"/>
    </font>
    <font>
      <sz val="20.0"/>
      <color rgb="FF2A8335"/>
      <name val="Bungee"/>
    </font>
    <font>
      <color rgb="FF2A8335"/>
      <name val="Arial"/>
      <scheme val="minor"/>
    </font>
    <font>
      <color rgb="FF2A8335"/>
      <name val="Bungee"/>
    </font>
    <font>
      <sz val="12.0"/>
      <color theme="1"/>
      <name val="Bungee"/>
    </font>
    <font>
      <sz val="12.0"/>
      <color theme="1"/>
      <name val="Comfortaa"/>
    </font>
    <font>
      <color theme="1"/>
      <name val="Comfortaa"/>
    </font>
    <font>
      <sz val="20.0"/>
      <color rgb="FF2A7EE6"/>
      <name val="Bungee"/>
    </font>
    <font>
      <b/>
      <sz val="12.0"/>
      <color rgb="FF2A7EE6"/>
      <name val="Bungee"/>
    </font>
    <font>
      <b/>
      <color theme="1"/>
      <name val="Arial"/>
      <scheme val="minor"/>
    </font>
    <font>
      <sz val="8.0"/>
      <color rgb="FF2A7EE6"/>
      <name val="Bungee"/>
    </font>
    <font>
      <color theme="1"/>
      <name val="Rubik"/>
    </font>
    <font>
      <b/>
      <sz val="10.0"/>
      <color theme="1"/>
      <name val="Rubik"/>
    </font>
    <font>
      <b/>
      <sz val="8.0"/>
      <color rgb="FF000000"/>
      <name val="Rubik"/>
    </font>
    <font>
      <b/>
      <sz val="8.0"/>
      <color theme="1"/>
      <name val="Rubik"/>
    </font>
    <font>
      <sz val="8.0"/>
      <color theme="1"/>
      <name val="Rubik"/>
    </font>
    <font>
      <u/>
      <sz val="8.0"/>
      <color rgb="FF000000"/>
      <name val="Rubik"/>
    </font>
    <font>
      <sz val="6.0"/>
      <color theme="1"/>
      <name val="Rubik"/>
    </font>
    <font>
      <sz val="10.0"/>
      <color rgb="FF000000"/>
      <name val="Rubik"/>
    </font>
    <font>
      <sz val="8.0"/>
      <color rgb="FF000000"/>
      <name val="Rubik"/>
    </font>
    <font>
      <u/>
      <sz val="7.0"/>
      <color rgb="FF000000"/>
      <name val="Rubik"/>
    </font>
    <font>
      <b/>
      <sz val="12.0"/>
      <color theme="1"/>
      <name val="Rubik"/>
    </font>
    <font>
      <sz val="7.0"/>
      <color theme="1"/>
      <name val="Comfortaa"/>
    </font>
    <font>
      <b/>
      <sz val="11.0"/>
      <color theme="1"/>
      <name val="Rubik"/>
    </font>
  </fonts>
  <fills count="18">
    <fill>
      <patternFill patternType="none"/>
    </fill>
    <fill>
      <patternFill patternType="lightGray"/>
    </fill>
    <fill>
      <patternFill patternType="solid">
        <fgColor rgb="FFCCCFD0"/>
        <bgColor rgb="FFCCCFD0"/>
      </patternFill>
    </fill>
    <fill>
      <patternFill patternType="solid">
        <fgColor rgb="FFBACEED"/>
        <bgColor rgb="FFBACEED"/>
      </patternFill>
    </fill>
    <fill>
      <patternFill patternType="solid">
        <fgColor rgb="FFF0F6F8"/>
        <bgColor rgb="FFF0F6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C2D60"/>
        <bgColor rgb="FF0C2D60"/>
      </patternFill>
    </fill>
    <fill>
      <patternFill patternType="solid">
        <fgColor rgb="FF2B282C"/>
        <bgColor rgb="FF2B282C"/>
      </patternFill>
    </fill>
    <fill>
      <patternFill patternType="solid">
        <fgColor rgb="FF000000"/>
        <bgColor rgb="FF000000"/>
      </patternFill>
    </fill>
    <fill>
      <patternFill patternType="solid">
        <fgColor rgb="FF749DF0"/>
        <bgColor rgb="FF749DF0"/>
      </patternFill>
    </fill>
    <fill>
      <patternFill patternType="solid">
        <fgColor rgb="FF0071CE"/>
        <bgColor rgb="FF0071CE"/>
      </patternFill>
    </fill>
    <fill>
      <patternFill patternType="solid">
        <fgColor rgb="FF3D2A83"/>
        <bgColor rgb="FF3D2A83"/>
      </patternFill>
    </fill>
    <fill>
      <patternFill patternType="solid">
        <fgColor rgb="FF7F6000"/>
        <bgColor rgb="FF7F6000"/>
      </patternFill>
    </fill>
    <fill>
      <patternFill patternType="solid">
        <fgColor rgb="FF2A7EE6"/>
        <bgColor rgb="FF2A7EE6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DEDEDE"/>
        <bgColor rgb="FFDEDEDE"/>
      </patternFill>
    </fill>
  </fills>
  <borders count="76">
    <border/>
    <border>
      <left style="hair">
        <color rgb="FFBACEED"/>
      </left>
    </border>
    <border>
      <left style="double">
        <color rgb="FFFFFFFF"/>
      </left>
      <right style="double">
        <color rgb="FFFFFFFF"/>
      </right>
    </border>
    <border>
      <left style="double">
        <color rgb="FF0071CE"/>
      </left>
      <top style="double">
        <color rgb="FF0071CE"/>
      </top>
      <bottom style="double">
        <color rgb="FF0071CE"/>
      </bottom>
    </border>
    <border>
      <right style="double">
        <color rgb="FF0071CE"/>
      </right>
      <top style="double">
        <color rgb="FF0071CE"/>
      </top>
      <bottom style="double">
        <color rgb="FF0071CE"/>
      </bottom>
    </border>
    <border>
      <top style="double">
        <color rgb="FF0071CE"/>
      </top>
      <bottom style="double">
        <color rgb="FF0071CE"/>
      </bottom>
    </border>
    <border>
      <left style="double">
        <color rgb="FF0071CE"/>
      </left>
      <right style="double">
        <color rgb="FF0071CE"/>
      </right>
      <top style="double">
        <color rgb="FF0071CE"/>
      </top>
      <bottom style="double">
        <color rgb="FF0071CE"/>
      </bottom>
    </border>
    <border>
      <left style="dotted">
        <color rgb="FF0071CE"/>
      </left>
      <right style="dotted">
        <color rgb="FF0071CE"/>
      </right>
      <top style="double">
        <color rgb="FF0071CE"/>
      </top>
      <bottom style="double">
        <color rgb="FF0071CE"/>
      </bottom>
    </border>
    <border>
      <top style="double">
        <color rgb="FF2974E8"/>
      </top>
      <bottom style="double">
        <color rgb="FF0071CE"/>
      </bottom>
    </border>
    <border>
      <left style="dotted">
        <color rgb="FF0071CE"/>
      </left>
      <right style="dotted">
        <color rgb="FF0071CE"/>
      </right>
      <top style="double">
        <color rgb="FF2974E8"/>
      </top>
      <bottom style="double">
        <color rgb="FF0071CE"/>
      </bottom>
    </border>
    <border>
      <left style="double">
        <color rgb="FF0071CE"/>
      </left>
      <right style="double">
        <color rgb="FF0071CE"/>
      </right>
      <top style="double">
        <color rgb="FF2974E8"/>
      </top>
      <bottom style="double">
        <color rgb="FF0071CE"/>
      </bottom>
    </border>
    <border>
      <left style="double">
        <color rgb="FF0071CE"/>
      </left>
      <right style="double">
        <color rgb="FF0071CE"/>
      </right>
    </border>
    <border>
      <left style="dotted">
        <color rgb="FF0071CE"/>
      </left>
      <right style="dotted">
        <color rgb="FF0071CE"/>
      </right>
    </border>
    <border>
      <right style="double">
        <color rgb="FF0071CE"/>
      </right>
    </border>
    <border>
      <left style="double">
        <color rgb="FF0071CE"/>
      </left>
      <right style="double">
        <color rgb="FF0071CE"/>
      </right>
      <bottom style="double">
        <color rgb="FF0071CE"/>
      </bottom>
    </border>
    <border>
      <bottom style="double">
        <color rgb="FF0071CE"/>
      </bottom>
    </border>
    <border>
      <left style="dotted">
        <color rgb="FF0071CE"/>
      </left>
      <right style="dotted">
        <color rgb="FF0071CE"/>
      </right>
      <bottom style="double">
        <color rgb="FF0071CE"/>
      </bottom>
    </border>
    <border>
      <right style="double">
        <color rgb="FF0071CE"/>
      </right>
      <bottom style="double">
        <color rgb="FF0071CE"/>
      </bottom>
    </border>
    <border>
      <left style="thick">
        <color rgb="FF000000"/>
      </left>
    </border>
    <border>
      <right style="thick">
        <color rgb="FF000000"/>
      </right>
    </border>
    <border>
      <bottom style="thick">
        <color rgb="FFB7B7B7"/>
      </bottom>
    </border>
    <border>
      <left style="thin">
        <color rgb="FF0C2D60"/>
      </left>
      <top style="thin">
        <color rgb="FF0C2D60"/>
      </top>
      <bottom style="thin">
        <color rgb="FF0C2D60"/>
      </bottom>
    </border>
    <border>
      <top style="thin">
        <color rgb="FF0C2D60"/>
      </top>
      <bottom style="thin">
        <color rgb="FF0C2D60"/>
      </bottom>
    </border>
    <border>
      <right style="thin">
        <color rgb="FF0C2D60"/>
      </right>
      <top style="thin">
        <color rgb="FF0C2D60"/>
      </top>
      <bottom style="thin">
        <color rgb="FF0C2D60"/>
      </bottom>
    </border>
    <border>
      <bottom style="thick">
        <color rgb="FF0071CE"/>
      </bottom>
    </border>
    <border>
      <bottom style="thick">
        <color rgb="FF3D2A83"/>
      </bottom>
    </border>
    <border>
      <bottom style="thick">
        <color rgb="FFC09523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0C2D60"/>
      </left>
      <top style="thin">
        <color rgb="FF0C2D60"/>
      </top>
    </border>
    <border>
      <right style="thin">
        <color rgb="FF0C2D60"/>
      </right>
      <top style="thin">
        <color rgb="FF0C2D60"/>
      </top>
    </border>
    <border>
      <left style="thin">
        <color rgb="FF0C2D60"/>
      </left>
    </border>
    <border>
      <right style="thin">
        <color rgb="FF0C2D60"/>
      </right>
    </border>
    <border>
      <left style="thin">
        <color rgb="FF0C2D60"/>
      </left>
      <bottom style="thin">
        <color rgb="FF0C2D60"/>
      </bottom>
    </border>
    <border>
      <right style="thin">
        <color rgb="FF0C2D60"/>
      </right>
      <bottom style="thin">
        <color rgb="FF0C2D60"/>
      </bottom>
    </border>
    <border>
      <bottom style="thick">
        <color rgb="FFFFFFFF"/>
      </bottom>
    </border>
    <border>
      <left style="thin">
        <color rgb="FFFFFFFF"/>
      </left>
      <right style="thin">
        <color rgb="FFFFFFFF"/>
      </right>
      <bottom style="thick">
        <color rgb="FFFFFFFF"/>
      </bottom>
    </border>
    <border>
      <left style="thin">
        <color rgb="FFFFFFFF"/>
      </left>
      <bottom style="thick">
        <color rgb="FFFFFFFF"/>
      </bottom>
    </border>
    <border>
      <bottom style="dotted">
        <color rgb="FFFFFFFF"/>
      </bottom>
    </border>
    <border>
      <left style="thin">
        <color rgb="FFFFFFFF"/>
      </left>
      <right style="thin">
        <color rgb="FFFFFFFF"/>
      </right>
      <bottom style="dotted">
        <color rgb="FFFFFFFF"/>
      </bottom>
    </border>
    <border>
      <left style="thin">
        <color rgb="FFFFFFFF"/>
      </left>
      <bottom style="dotted">
        <color rgb="FFFFFFFF"/>
      </bottom>
    </border>
    <border>
      <bottom style="hair">
        <color rgb="FFFFFFFF"/>
      </bottom>
    </border>
    <border>
      <left style="thin">
        <color rgb="FFFFFFFF"/>
      </left>
      <bottom style="hair">
        <color rgb="FFFFFFFF"/>
      </bottom>
    </border>
    <border>
      <right style="thin">
        <color rgb="FFFFFFFF"/>
      </right>
      <bottom style="thick">
        <color rgb="FFFFFFFF"/>
      </bottom>
    </border>
    <border>
      <left style="thin">
        <color rgb="FFFFFFFF"/>
      </left>
      <right style="thin">
        <color rgb="FFFFFFFF"/>
      </right>
      <top style="dotted">
        <color rgb="FFFFFFFF"/>
      </top>
      <bottom style="thick">
        <color rgb="FFFFFFFF"/>
      </bottom>
    </border>
    <border>
      <right style="thin">
        <color rgb="FFFFFFFF"/>
      </right>
    </border>
    <border>
      <right style="thin">
        <color rgb="FFFFFFFF"/>
      </right>
      <top style="thick">
        <color rgb="FFFFFFFF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C2D60"/>
      </left>
      <top style="thick">
        <color rgb="FF0C2D60"/>
      </top>
    </border>
    <border>
      <top style="thick">
        <color rgb="FF0C2D60"/>
      </top>
    </border>
    <border>
      <right style="thick">
        <color rgb="FF0C2D60"/>
      </right>
      <top style="thick">
        <color rgb="FF0C2D60"/>
      </top>
    </border>
    <border>
      <left style="thick">
        <color rgb="FF0C2D60"/>
      </left>
    </border>
    <border>
      <right style="thick">
        <color rgb="FF0C2D60"/>
      </right>
    </border>
    <border>
      <left style="thick">
        <color rgb="FF0C2D60"/>
      </left>
      <bottom style="thick">
        <color rgb="FF0C2D60"/>
      </bottom>
    </border>
    <border>
      <bottom style="thick">
        <color rgb="FF0C2D60"/>
      </bottom>
    </border>
    <border>
      <right style="thick">
        <color rgb="FF0C2D60"/>
      </right>
      <bottom style="thick">
        <color rgb="FF0C2D60"/>
      </bottom>
    </border>
    <border>
      <top style="dotted">
        <color rgb="FF0C2D60"/>
      </top>
      <bottom style="dotted">
        <color rgb="FF0C2D60"/>
      </bottom>
    </border>
    <border>
      <left style="thick">
        <color rgb="FF0C2D60"/>
      </left>
      <right style="thin">
        <color rgb="FF0C2D60"/>
      </right>
      <top style="thin">
        <color rgb="FF0C2D60"/>
      </top>
      <bottom style="thin">
        <color rgb="FF0C2D60"/>
      </bottom>
    </border>
    <border>
      <left style="thin">
        <color rgb="FF0C2D60"/>
      </left>
      <right style="thick">
        <color rgb="FF0C2D60"/>
      </right>
      <top style="thin">
        <color rgb="FF0C2D60"/>
      </top>
      <bottom style="thin">
        <color rgb="FF0C2D60"/>
      </bottom>
    </border>
    <border>
      <right style="dotted">
        <color rgb="FF000000"/>
      </right>
    </border>
    <border>
      <left style="dotted">
        <color rgb="FFDEDEDE"/>
      </left>
      <right style="dotted">
        <color rgb="FFDEDEDE"/>
      </right>
    </border>
    <border>
      <left style="dotted">
        <color rgb="FF000000"/>
      </left>
      <right style="dotted">
        <color rgb="FF000000"/>
      </right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71CE"/>
      </left>
    </border>
    <border>
      <left style="dotted">
        <color rgb="FF000000"/>
      </left>
    </border>
    <border>
      <right style="dotted">
        <color rgb="FF0071CE"/>
      </right>
    </border>
  </borders>
  <cellStyleXfs count="1">
    <xf borderId="0" fillId="0" fontId="0" numFmtId="0" applyAlignment="1" applyFont="1"/>
  </cellStyleXfs>
  <cellXfs count="3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1" numFmtId="0" xfId="0" applyAlignment="1" applyFill="1" applyFont="1">
      <alignment vertical="center"/>
    </xf>
    <xf borderId="0" fillId="2" fontId="2" numFmtId="0" xfId="0" applyAlignment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1" fillId="4" fontId="1" numFmtId="0" xfId="0" applyAlignment="1" applyBorder="1" applyFont="1">
      <alignment vertical="center"/>
    </xf>
    <xf borderId="0" fillId="5" fontId="1" numFmtId="0" xfId="0" applyAlignment="1" applyFill="1" applyFont="1">
      <alignment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1" fillId="0" fontId="5" numFmtId="0" xfId="0" applyBorder="1" applyFont="1"/>
    <xf borderId="1" fillId="3" fontId="1" numFmtId="0" xfId="0" applyAlignment="1" applyBorder="1" applyFont="1">
      <alignment vertical="center"/>
    </xf>
    <xf borderId="0" fillId="4" fontId="6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readingOrder="0" vertical="center"/>
    </xf>
    <xf borderId="0" fillId="4" fontId="7" numFmtId="0" xfId="0" applyAlignment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vertical="center"/>
    </xf>
    <xf borderId="0" fillId="4" fontId="1" numFmtId="0" xfId="0" applyFont="1"/>
    <xf borderId="0" fillId="6" fontId="10" numFmtId="0" xfId="0" applyAlignment="1" applyFill="1" applyFont="1">
      <alignment horizontal="center" vertical="center"/>
    </xf>
    <xf borderId="2" fillId="2" fontId="11" numFmtId="0" xfId="0" applyBorder="1" applyFont="1"/>
    <xf borderId="0" fillId="3" fontId="12" numFmtId="0" xfId="0" applyAlignment="1" applyFont="1">
      <alignment horizontal="center" readingOrder="0" vertical="center"/>
    </xf>
    <xf borderId="0" fillId="0" fontId="11" numFmtId="0" xfId="0" applyFont="1"/>
    <xf borderId="0" fillId="6" fontId="13" numFmtId="0" xfId="0" applyAlignment="1" applyFont="1">
      <alignment horizontal="center" readingOrder="0" vertical="center"/>
    </xf>
    <xf borderId="3" fillId="7" fontId="14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6" fillId="7" fontId="14" numFmtId="0" xfId="0" applyAlignment="1" applyBorder="1" applyFont="1">
      <alignment horizontal="center" readingOrder="0" vertical="center"/>
    </xf>
    <xf borderId="2" fillId="2" fontId="11" numFmtId="0" xfId="0" applyAlignment="1" applyBorder="1" applyFont="1">
      <alignment vertical="bottom"/>
    </xf>
    <xf borderId="0" fillId="6" fontId="15" numFmtId="0" xfId="0" applyAlignment="1" applyFont="1">
      <alignment horizontal="center" vertical="center"/>
    </xf>
    <xf borderId="5" fillId="7" fontId="14" numFmtId="0" xfId="0" applyAlignment="1" applyBorder="1" applyFont="1">
      <alignment horizontal="center" readingOrder="0" vertical="center"/>
    </xf>
    <xf borderId="7" fillId="7" fontId="14" numFmtId="0" xfId="0" applyAlignment="1" applyBorder="1" applyFont="1">
      <alignment horizontal="center" readingOrder="0" vertical="center"/>
    </xf>
    <xf borderId="5" fillId="7" fontId="16" numFmtId="0" xfId="0" applyAlignment="1" applyBorder="1" applyFont="1">
      <alignment horizontal="center" readingOrder="0" vertical="center"/>
    </xf>
    <xf borderId="8" fillId="7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10" fillId="7" fontId="17" numFmtId="0" xfId="0" applyAlignment="1" applyBorder="1" applyFont="1">
      <alignment horizontal="center" readingOrder="0" vertical="center"/>
    </xf>
    <xf borderId="4" fillId="7" fontId="14" numFmtId="0" xfId="0" applyAlignment="1" applyBorder="1" applyFont="1">
      <alignment horizontal="center" readingOrder="0" vertical="center"/>
    </xf>
    <xf borderId="11" fillId="7" fontId="18" numFmtId="0" xfId="0" applyAlignment="1" applyBorder="1" applyFont="1">
      <alignment horizontal="center"/>
    </xf>
    <xf borderId="0" fillId="7" fontId="18" numFmtId="0" xfId="0" applyAlignment="1" applyFont="1">
      <alignment horizontal="center" readingOrder="0" vertical="center"/>
    </xf>
    <xf borderId="11" fillId="7" fontId="18" numFmtId="0" xfId="0" applyAlignment="1" applyBorder="1" applyFont="1">
      <alignment horizontal="left" readingOrder="0" shrinkToFit="0" vertical="center" wrapText="0"/>
    </xf>
    <xf borderId="12" fillId="7" fontId="18" numFmtId="0" xfId="0" applyAlignment="1" applyBorder="1" applyFont="1">
      <alignment horizontal="center" readingOrder="0" vertical="center"/>
    </xf>
    <xf borderId="0" fillId="7" fontId="18" numFmtId="164" xfId="0" applyAlignment="1" applyFont="1" applyNumberFormat="1">
      <alignment horizontal="center" readingOrder="0" vertical="center"/>
    </xf>
    <xf borderId="11" fillId="7" fontId="18" numFmtId="0" xfId="0" applyAlignment="1" applyBorder="1" applyFont="1">
      <alignment horizontal="center" readingOrder="0" vertical="center"/>
    </xf>
    <xf borderId="13" fillId="7" fontId="18" numFmtId="0" xfId="0" applyAlignment="1" applyBorder="1" applyFont="1">
      <alignment horizontal="left" readingOrder="0" vertical="center"/>
    </xf>
    <xf borderId="0" fillId="6" fontId="13" numFmtId="0" xfId="0" applyAlignment="1" applyFont="1">
      <alignment horizontal="center" vertical="center"/>
    </xf>
    <xf borderId="11" fillId="7" fontId="19" numFmtId="0" xfId="0" applyAlignment="1" applyBorder="1" applyFont="1">
      <alignment horizontal="center" readingOrder="0" vertical="center"/>
    </xf>
    <xf borderId="0" fillId="7" fontId="20" numFmtId="0" xfId="0" applyAlignment="1" applyFont="1">
      <alignment horizontal="center" vertical="center"/>
    </xf>
    <xf borderId="11" fillId="7" fontId="19" numFmtId="0" xfId="0" applyAlignment="1" applyBorder="1" applyFont="1">
      <alignment horizontal="left" shrinkToFit="0" vertical="center" wrapText="0"/>
    </xf>
    <xf borderId="0" fillId="7" fontId="19" numFmtId="0" xfId="0" applyAlignment="1" applyFont="1">
      <alignment horizontal="center" vertical="center"/>
    </xf>
    <xf borderId="12" fillId="7" fontId="19" numFmtId="0" xfId="0" applyAlignment="1" applyBorder="1" applyFont="1">
      <alignment horizontal="center" vertical="center"/>
    </xf>
    <xf borderId="0" fillId="7" fontId="19" numFmtId="164" xfId="0" applyAlignment="1" applyFont="1" applyNumberFormat="1">
      <alignment horizontal="center" vertical="center"/>
    </xf>
    <xf borderId="11" fillId="7" fontId="19" numFmtId="0" xfId="0" applyAlignment="1" applyBorder="1" applyFont="1">
      <alignment horizontal="center" vertical="center"/>
    </xf>
    <xf borderId="13" fillId="7" fontId="19" numFmtId="0" xfId="0" applyAlignment="1" applyBorder="1" applyFont="1">
      <alignment horizontal="left" vertical="center"/>
    </xf>
    <xf borderId="11" fillId="7" fontId="21" numFmtId="0" xfId="0" applyAlignment="1" applyBorder="1" applyFont="1">
      <alignment horizontal="left" shrinkToFit="0" vertical="center" wrapText="0"/>
    </xf>
    <xf borderId="14" fillId="7" fontId="19" numFmtId="0" xfId="0" applyAlignment="1" applyBorder="1" applyFont="1">
      <alignment horizontal="center" vertical="center"/>
    </xf>
    <xf borderId="15" fillId="7" fontId="20" numFmtId="0" xfId="0" applyAlignment="1" applyBorder="1" applyFont="1">
      <alignment horizontal="center" vertical="center"/>
    </xf>
    <xf borderId="14" fillId="7" fontId="19" numFmtId="0" xfId="0" applyAlignment="1" applyBorder="1" applyFont="1">
      <alignment horizontal="left" shrinkToFit="0" vertical="center" wrapText="0"/>
    </xf>
    <xf borderId="15" fillId="7" fontId="19" numFmtId="0" xfId="0" applyAlignment="1" applyBorder="1" applyFont="1">
      <alignment horizontal="center" vertical="center"/>
    </xf>
    <xf borderId="16" fillId="7" fontId="19" numFmtId="0" xfId="0" applyAlignment="1" applyBorder="1" applyFont="1">
      <alignment horizontal="center" vertical="center"/>
    </xf>
    <xf borderId="15" fillId="7" fontId="19" numFmtId="164" xfId="0" applyAlignment="1" applyBorder="1" applyFont="1" applyNumberFormat="1">
      <alignment horizontal="center" vertical="center"/>
    </xf>
    <xf borderId="17" fillId="7" fontId="19" numFmtId="0" xfId="0" applyAlignment="1" applyBorder="1" applyFont="1">
      <alignment horizontal="left" vertical="center"/>
    </xf>
    <xf borderId="6" fillId="7" fontId="17" numFmtId="0" xfId="0" applyAlignment="1" applyBorder="1" applyFont="1">
      <alignment horizontal="center" readingOrder="0" vertical="center"/>
    </xf>
    <xf borderId="18" fillId="8" fontId="13" numFmtId="0" xfId="0" applyAlignment="1" applyBorder="1" applyFill="1" applyFont="1">
      <alignment horizontal="center" vertical="center"/>
    </xf>
    <xf borderId="0" fillId="8" fontId="13" numFmtId="0" xfId="0" applyAlignment="1" applyFont="1">
      <alignment horizontal="center" vertical="center"/>
    </xf>
    <xf borderId="0" fillId="8" fontId="13" numFmtId="0" xfId="0" applyAlignment="1" applyFont="1">
      <alignment horizontal="left" shrinkToFit="0" vertical="center" wrapText="0"/>
    </xf>
    <xf borderId="0" fillId="8" fontId="13" numFmtId="164" xfId="0" applyAlignment="1" applyFont="1" applyNumberFormat="1">
      <alignment horizontal="center" vertical="center"/>
    </xf>
    <xf borderId="19" fillId="8" fontId="13" numFmtId="0" xfId="0" applyAlignment="1" applyBorder="1" applyFont="1">
      <alignment horizontal="left" vertical="center"/>
    </xf>
    <xf borderId="3" fillId="7" fontId="17" numFmtId="0" xfId="0" applyAlignment="1" applyBorder="1" applyFont="1">
      <alignment horizontal="center" readingOrder="0" vertical="center"/>
    </xf>
    <xf borderId="20" fillId="8" fontId="13" numFmtId="0" xfId="0" applyAlignment="1" applyBorder="1" applyFont="1">
      <alignment horizontal="center" vertical="center"/>
    </xf>
    <xf borderId="20" fillId="8" fontId="13" numFmtId="0" xfId="0" applyAlignment="1" applyBorder="1" applyFont="1">
      <alignment horizontal="left" shrinkToFit="0" vertical="center" wrapText="0"/>
    </xf>
    <xf borderId="20" fillId="8" fontId="13" numFmtId="164" xfId="0" applyAlignment="1" applyBorder="1" applyFont="1" applyNumberFormat="1">
      <alignment horizontal="center" vertical="center"/>
    </xf>
    <xf borderId="20" fillId="8" fontId="13" numFmtId="0" xfId="0" applyAlignment="1" applyBorder="1" applyFont="1">
      <alignment horizontal="left" vertical="center"/>
    </xf>
    <xf borderId="20" fillId="8" fontId="22" numFmtId="0" xfId="0" applyAlignment="1" applyBorder="1" applyFont="1">
      <alignment horizontal="center" vertical="center"/>
    </xf>
    <xf borderId="0" fillId="9" fontId="23" numFmtId="10" xfId="0" applyFill="1" applyFont="1" applyNumberFormat="1"/>
    <xf borderId="0" fillId="3" fontId="23" numFmtId="0" xfId="0" applyFont="1"/>
    <xf borderId="0" fillId="3" fontId="23" numFmtId="10" xfId="0" applyFont="1" applyNumberFormat="1"/>
    <xf borderId="0" fillId="9" fontId="23" numFmtId="0" xfId="0" applyFont="1"/>
    <xf borderId="0" fillId="3" fontId="24" numFmtId="0" xfId="0" applyAlignment="1" applyFont="1">
      <alignment horizontal="center" readingOrder="0" vertical="center"/>
    </xf>
    <xf borderId="21" fillId="7" fontId="25" numFmtId="0" xfId="0" applyAlignment="1" applyBorder="1" applyFont="1">
      <alignment horizontal="center" readingOrder="0" shrinkToFit="0" textRotation="0" vertical="center" wrapText="1"/>
    </xf>
    <xf borderId="22" fillId="0" fontId="5" numFmtId="0" xfId="0" applyBorder="1" applyFont="1"/>
    <xf borderId="23" fillId="0" fontId="5" numFmtId="0" xfId="0" applyBorder="1" applyFont="1"/>
    <xf borderId="24" fillId="3" fontId="26" numFmtId="0" xfId="0" applyAlignment="1" applyBorder="1" applyFont="1">
      <alignment horizontal="center" readingOrder="0" vertical="center"/>
    </xf>
    <xf borderId="25" fillId="3" fontId="26" numFmtId="0" xfId="0" applyAlignment="1" applyBorder="1" applyFont="1">
      <alignment horizontal="center" readingOrder="0" vertical="center"/>
    </xf>
    <xf borderId="26" fillId="3" fontId="27" numFmtId="0" xfId="0" applyAlignment="1" applyBorder="1" applyFont="1">
      <alignment horizontal="center" readingOrder="0" shrinkToFit="0" vertical="center" wrapText="1"/>
    </xf>
    <xf borderId="0" fillId="3" fontId="28" numFmtId="0" xfId="0" applyAlignment="1" applyFont="1">
      <alignment horizontal="center" readingOrder="0" shrinkToFit="0" wrapText="0"/>
    </xf>
    <xf borderId="0" fillId="10" fontId="29" numFmtId="0" xfId="0" applyAlignment="1" applyFill="1" applyFont="1">
      <alignment horizontal="center" readingOrder="0" vertical="center"/>
    </xf>
    <xf borderId="0" fillId="7" fontId="29" numFmtId="0" xfId="0" applyAlignment="1" applyFont="1">
      <alignment horizontal="center" readingOrder="0" vertical="center"/>
    </xf>
    <xf borderId="0" fillId="7" fontId="24" numFmtId="0" xfId="0" applyAlignment="1" applyFont="1">
      <alignment horizontal="center" readingOrder="0" vertical="center"/>
    </xf>
    <xf borderId="0" fillId="3" fontId="24" numFmtId="165" xfId="0" applyAlignment="1" applyFont="1" applyNumberFormat="1">
      <alignment horizontal="center" readingOrder="0" vertical="center"/>
    </xf>
    <xf borderId="0" fillId="3" fontId="24" numFmtId="166" xfId="0" applyAlignment="1" applyFont="1" applyNumberFormat="1">
      <alignment horizontal="center" readingOrder="0" vertical="center"/>
    </xf>
    <xf borderId="0" fillId="3" fontId="30" numFmtId="0" xfId="0" applyAlignment="1" applyFont="1">
      <alignment horizontal="center" readingOrder="0" vertical="center"/>
    </xf>
    <xf borderId="0" fillId="3" fontId="31" numFmtId="0" xfId="0" applyAlignment="1" applyFont="1">
      <alignment horizontal="center" readingOrder="0" textRotation="90" vertical="center"/>
    </xf>
    <xf borderId="0" fillId="3" fontId="32" numFmtId="0" xfId="0" applyAlignment="1" applyFont="1">
      <alignment horizontal="center" readingOrder="0" textRotation="90" vertical="center"/>
    </xf>
    <xf borderId="0" fillId="11" fontId="24" numFmtId="0" xfId="0" applyAlignment="1" applyFill="1" applyFont="1">
      <alignment horizontal="center" readingOrder="0" vertical="center"/>
    </xf>
    <xf borderId="0" fillId="3" fontId="27" numFmtId="0" xfId="0" applyAlignment="1" applyFont="1">
      <alignment horizontal="center" readingOrder="0" vertical="center"/>
    </xf>
    <xf borderId="27" fillId="3" fontId="27" numFmtId="167" xfId="0" applyAlignment="1" applyBorder="1" applyFont="1" applyNumberFormat="1">
      <alignment horizontal="center" readingOrder="0" vertical="center"/>
    </xf>
    <xf borderId="0" fillId="3" fontId="27" numFmtId="20" xfId="0" applyAlignment="1" applyFont="1" applyNumberFormat="1">
      <alignment horizontal="center" readingOrder="0" vertical="center"/>
    </xf>
    <xf borderId="28" fillId="3" fontId="27" numFmtId="0" xfId="0" applyAlignment="1" applyBorder="1" applyFont="1">
      <alignment horizontal="center" readingOrder="0" vertical="center"/>
    </xf>
    <xf borderId="28" fillId="3" fontId="33" numFmtId="0" xfId="0" applyAlignment="1" applyBorder="1" applyFont="1">
      <alignment horizontal="left" readingOrder="0" shrinkToFit="0" vertical="center" wrapText="0"/>
    </xf>
    <xf borderId="29" fillId="7" fontId="34" numFmtId="0" xfId="0" applyAlignment="1" applyBorder="1" applyFont="1">
      <alignment horizontal="center" readingOrder="0" shrinkToFit="0" textRotation="90" vertical="center" wrapText="1"/>
    </xf>
    <xf borderId="30" fillId="0" fontId="5" numFmtId="0" xfId="0" applyBorder="1" applyFont="1"/>
    <xf borderId="0" fillId="3" fontId="27" numFmtId="166" xfId="0" applyAlignment="1" applyFont="1" applyNumberFormat="1">
      <alignment horizontal="center" readingOrder="0" vertical="center"/>
    </xf>
    <xf borderId="31" fillId="0" fontId="5" numFmtId="0" xfId="0" applyBorder="1" applyFont="1"/>
    <xf borderId="32" fillId="0" fontId="5" numFmtId="0" xfId="0" applyBorder="1" applyFont="1"/>
    <xf borderId="33" fillId="0" fontId="5" numFmtId="0" xfId="0" applyBorder="1" applyFont="1"/>
    <xf borderId="34" fillId="0" fontId="5" numFmtId="0" xfId="0" applyBorder="1" applyFont="1"/>
    <xf borderId="0" fillId="3" fontId="35" numFmtId="0" xfId="0" applyAlignment="1" applyFont="1">
      <alignment horizontal="center" readingOrder="0" textRotation="90" vertical="center"/>
    </xf>
    <xf borderId="0" fillId="3" fontId="36" numFmtId="0" xfId="0" applyAlignment="1" applyFont="1">
      <alignment horizontal="center" readingOrder="0" textRotation="90" vertical="center"/>
    </xf>
    <xf borderId="0" fillId="3" fontId="37" numFmtId="0" xfId="0" applyAlignment="1" applyFont="1">
      <alignment horizontal="center" readingOrder="0" textRotation="90" vertical="center"/>
    </xf>
    <xf borderId="35" fillId="3" fontId="27" numFmtId="0" xfId="0" applyAlignment="1" applyBorder="1" applyFont="1">
      <alignment horizontal="center" readingOrder="0" vertical="center"/>
    </xf>
    <xf borderId="36" fillId="3" fontId="27" numFmtId="167" xfId="0" applyAlignment="1" applyBorder="1" applyFont="1" applyNumberFormat="1">
      <alignment horizontal="center" readingOrder="0" vertical="center"/>
    </xf>
    <xf borderId="35" fillId="3" fontId="27" numFmtId="166" xfId="0" applyAlignment="1" applyBorder="1" applyFont="1" applyNumberFormat="1">
      <alignment horizontal="center" readingOrder="0" vertical="center"/>
    </xf>
    <xf borderId="37" fillId="3" fontId="27" numFmtId="0" xfId="0" applyAlignment="1" applyBorder="1" applyFont="1">
      <alignment horizontal="center" readingOrder="0" vertical="center"/>
    </xf>
    <xf borderId="37" fillId="3" fontId="38" numFmtId="0" xfId="0" applyAlignment="1" applyBorder="1" applyFont="1">
      <alignment horizontal="left" readingOrder="0" shrinkToFit="0" vertical="center" wrapText="0"/>
    </xf>
    <xf borderId="0" fillId="3" fontId="36" numFmtId="0" xfId="0" applyAlignment="1" applyFont="1">
      <alignment horizontal="center" readingOrder="0" vertical="center"/>
    </xf>
    <xf borderId="0" fillId="3" fontId="39" numFmtId="0" xfId="0" applyAlignment="1" applyFont="1">
      <alignment horizontal="center" readingOrder="0" textRotation="90" vertical="center"/>
    </xf>
    <xf borderId="38" fillId="3" fontId="27" numFmtId="0" xfId="0" applyAlignment="1" applyBorder="1" applyFont="1">
      <alignment horizontal="center" readingOrder="0" vertical="center"/>
    </xf>
    <xf borderId="39" fillId="3" fontId="27" numFmtId="167" xfId="0" applyAlignment="1" applyBorder="1" applyFont="1" applyNumberFormat="1">
      <alignment horizontal="center" readingOrder="0" vertical="center"/>
    </xf>
    <xf borderId="38" fillId="3" fontId="27" numFmtId="166" xfId="0" applyAlignment="1" applyBorder="1" applyFont="1" applyNumberFormat="1">
      <alignment horizontal="center" readingOrder="0" vertical="center"/>
    </xf>
    <xf borderId="40" fillId="3" fontId="27" numFmtId="0" xfId="0" applyAlignment="1" applyBorder="1" applyFont="1">
      <alignment horizontal="center" readingOrder="0" vertical="center"/>
    </xf>
    <xf borderId="40" fillId="3" fontId="40" numFmtId="0" xfId="0" applyAlignment="1" applyBorder="1" applyFont="1">
      <alignment horizontal="left" readingOrder="0" shrinkToFit="0" vertical="center" wrapText="0"/>
    </xf>
    <xf borderId="0" fillId="12" fontId="24" numFmtId="0" xfId="0" applyAlignment="1" applyFill="1" applyFont="1">
      <alignment horizontal="center" readingOrder="0" vertical="center"/>
    </xf>
    <xf borderId="35" fillId="3" fontId="27" numFmtId="168" xfId="0" applyAlignment="1" applyBorder="1" applyFont="1" applyNumberFormat="1">
      <alignment horizontal="center" readingOrder="0" vertical="center"/>
    </xf>
    <xf borderId="0" fillId="3" fontId="27" numFmtId="168" xfId="0" applyAlignment="1" applyFont="1" applyNumberFormat="1">
      <alignment horizontal="center" readingOrder="0" vertical="center"/>
    </xf>
    <xf borderId="0" fillId="3" fontId="41" numFmtId="0" xfId="0" applyAlignment="1" applyFont="1">
      <alignment horizontal="center" readingOrder="0" textRotation="90" vertical="center"/>
    </xf>
    <xf borderId="38" fillId="3" fontId="27" numFmtId="168" xfId="0" applyAlignment="1" applyBorder="1" applyFont="1" applyNumberFormat="1">
      <alignment horizontal="center" readingOrder="0" vertical="center"/>
    </xf>
    <xf borderId="28" fillId="3" fontId="27" numFmtId="0" xfId="0" applyAlignment="1" applyBorder="1" applyFont="1">
      <alignment horizontal="left" readingOrder="0" shrinkToFit="0" vertical="center" wrapText="0"/>
    </xf>
    <xf borderId="40" fillId="3" fontId="27" numFmtId="0" xfId="0" applyAlignment="1" applyBorder="1" applyFont="1">
      <alignment horizontal="left" readingOrder="0" shrinkToFit="0" vertical="center" wrapText="0"/>
    </xf>
    <xf borderId="37" fillId="3" fontId="27" numFmtId="0" xfId="0" applyAlignment="1" applyBorder="1" applyFont="1">
      <alignment horizontal="left" readingOrder="0" shrinkToFit="0" vertical="center" wrapText="0"/>
    </xf>
    <xf borderId="41" fillId="3" fontId="27" numFmtId="0" xfId="0" applyAlignment="1" applyBorder="1" applyFont="1">
      <alignment horizontal="center" readingOrder="0" vertical="center"/>
    </xf>
    <xf borderId="41" fillId="3" fontId="27" numFmtId="168" xfId="0" applyAlignment="1" applyBorder="1" applyFont="1" applyNumberFormat="1">
      <alignment horizontal="center" readingOrder="0" vertical="center"/>
    </xf>
    <xf borderId="42" fillId="3" fontId="27" numFmtId="0" xfId="0" applyAlignment="1" applyBorder="1" applyFont="1">
      <alignment horizontal="center" readingOrder="0" vertical="center"/>
    </xf>
    <xf borderId="42" fillId="3" fontId="42" numFmtId="0" xfId="0" applyAlignment="1" applyBorder="1" applyFont="1">
      <alignment horizontal="left" readingOrder="0" shrinkToFit="0" vertical="center" wrapText="0"/>
    </xf>
    <xf borderId="42" fillId="3" fontId="27" numFmtId="0" xfId="0" applyAlignment="1" applyBorder="1" applyFont="1">
      <alignment horizontal="left" readingOrder="0" shrinkToFit="0" vertical="center" wrapText="0"/>
    </xf>
    <xf borderId="0" fillId="3" fontId="43" numFmtId="0" xfId="0" applyAlignment="1" applyFont="1">
      <alignment horizontal="center" readingOrder="0" shrinkToFit="0" textRotation="90" vertical="center" wrapText="0"/>
    </xf>
    <xf borderId="43" fillId="3" fontId="27" numFmtId="0" xfId="0" applyAlignment="1" applyBorder="1" applyFont="1">
      <alignment horizontal="center" readingOrder="0" vertical="center"/>
    </xf>
    <xf borderId="44" fillId="3" fontId="27" numFmtId="167" xfId="0" applyAlignment="1" applyBorder="1" applyFont="1" applyNumberFormat="1">
      <alignment horizontal="center" readingOrder="0" vertical="center"/>
    </xf>
    <xf borderId="0" fillId="3" fontId="44" numFmtId="0" xfId="0" applyAlignment="1" applyFont="1">
      <alignment horizontal="center" readingOrder="0" shrinkToFit="0" textRotation="90" vertical="center" wrapText="0"/>
    </xf>
    <xf borderId="45" fillId="3" fontId="27" numFmtId="0" xfId="0" applyAlignment="1" applyBorder="1" applyFont="1">
      <alignment horizontal="center" readingOrder="0" vertical="center"/>
    </xf>
    <xf borderId="27" fillId="3" fontId="27" numFmtId="0" xfId="0" applyAlignment="1" applyBorder="1" applyFont="1">
      <alignment horizontal="center" readingOrder="0" vertical="center"/>
    </xf>
    <xf borderId="46" fillId="3" fontId="27" numFmtId="0" xfId="0" applyAlignment="1" applyBorder="1" applyFont="1">
      <alignment horizontal="center" readingOrder="0" vertical="center"/>
    </xf>
    <xf borderId="0" fillId="3" fontId="45" numFmtId="0" xfId="0" applyAlignment="1" applyFont="1">
      <alignment horizontal="left" readingOrder="0" shrinkToFit="0" vertical="center" wrapText="0"/>
    </xf>
    <xf borderId="0" fillId="7" fontId="46" numFmtId="0" xfId="0" applyAlignment="1" applyFont="1">
      <alignment horizontal="center" readingOrder="0" shrinkToFit="0" textRotation="0" vertical="center" wrapText="1"/>
    </xf>
    <xf borderId="0" fillId="3" fontId="27" numFmtId="0" xfId="0" applyAlignment="1" applyFont="1">
      <alignment horizontal="left" readingOrder="0" shrinkToFit="0" vertical="center" wrapText="0"/>
    </xf>
    <xf borderId="0" fillId="13" fontId="24" numFmtId="0" xfId="0" applyAlignment="1" applyFill="1" applyFont="1">
      <alignment horizontal="center" readingOrder="0" vertical="center"/>
    </xf>
    <xf borderId="0" fillId="3" fontId="47" numFmtId="0" xfId="0" applyFont="1"/>
    <xf borderId="45" fillId="3" fontId="47" numFmtId="0" xfId="0" applyBorder="1" applyFont="1"/>
    <xf borderId="28" fillId="3" fontId="47" numFmtId="0" xfId="0" applyBorder="1" applyFont="1"/>
    <xf borderId="0" fillId="9" fontId="47" numFmtId="0" xfId="0" applyAlignment="1" applyFont="1">
      <alignment readingOrder="0"/>
    </xf>
    <xf borderId="2" fillId="2" fontId="1" numFmtId="0" xfId="0" applyAlignment="1" applyBorder="1" applyFont="1">
      <alignment vertical="center"/>
    </xf>
    <xf borderId="0" fillId="9" fontId="1" numFmtId="0" xfId="0" applyAlignment="1" applyFont="1">
      <alignment vertical="center"/>
    </xf>
    <xf borderId="2" fillId="2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9" fontId="11" numFmtId="0" xfId="0" applyAlignment="1" applyFont="1">
      <alignment vertical="center"/>
    </xf>
    <xf borderId="0" fillId="9" fontId="2" numFmtId="0" xfId="0" applyAlignment="1" applyFont="1">
      <alignment horizontal="center" readingOrder="0" shrinkToFit="0" vertical="center" wrapText="1"/>
    </xf>
    <xf borderId="0" fillId="4" fontId="48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vertical="center"/>
    </xf>
    <xf borderId="47" fillId="5" fontId="1" numFmtId="0" xfId="0" applyAlignment="1" applyBorder="1" applyFont="1">
      <alignment vertical="center"/>
    </xf>
    <xf borderId="48" fillId="5" fontId="1" numFmtId="0" xfId="0" applyAlignment="1" applyBorder="1" applyFont="1">
      <alignment vertical="center"/>
    </xf>
    <xf borderId="49" fillId="5" fontId="1" numFmtId="0" xfId="0" applyAlignment="1" applyBorder="1" applyFont="1">
      <alignment vertical="center"/>
    </xf>
    <xf borderId="47" fillId="6" fontId="11" numFmtId="0" xfId="0" applyAlignment="1" applyBorder="1" applyFont="1">
      <alignment vertical="center"/>
    </xf>
    <xf borderId="48" fillId="6" fontId="11" numFmtId="0" xfId="0" applyAlignment="1" applyBorder="1" applyFont="1">
      <alignment vertical="center"/>
    </xf>
    <xf borderId="49" fillId="6" fontId="11" numFmtId="0" xfId="0" applyAlignment="1" applyBorder="1" applyFont="1">
      <alignment vertical="center"/>
    </xf>
    <xf borderId="0" fillId="9" fontId="1" numFmtId="0" xfId="0" applyAlignment="1" applyFont="1">
      <alignment readingOrder="0" vertical="center"/>
    </xf>
    <xf borderId="18" fillId="5" fontId="1" numFmtId="0" xfId="0" applyAlignment="1" applyBorder="1" applyFont="1">
      <alignment vertical="center"/>
    </xf>
    <xf borderId="50" fillId="5" fontId="1" numFmtId="0" xfId="0" applyAlignment="1" applyBorder="1" applyFont="1">
      <alignment readingOrder="0" vertical="center"/>
    </xf>
    <xf borderId="0" fillId="5" fontId="1" numFmtId="0" xfId="0" applyAlignment="1" applyFont="1">
      <alignment vertical="center"/>
    </xf>
    <xf borderId="19" fillId="5" fontId="1" numFmtId="0" xfId="0" applyAlignment="1" applyBorder="1" applyFont="1">
      <alignment vertical="center"/>
    </xf>
    <xf borderId="18" fillId="6" fontId="11" numFmtId="0" xfId="0" applyAlignment="1" applyBorder="1" applyFont="1">
      <alignment vertical="center"/>
    </xf>
    <xf borderId="0" fillId="6" fontId="11" numFmtId="0" xfId="0" applyAlignment="1" applyFont="1">
      <alignment vertical="center"/>
    </xf>
    <xf borderId="19" fillId="6" fontId="11" numFmtId="0" xfId="0" applyAlignment="1" applyBorder="1" applyFont="1">
      <alignment vertical="center"/>
    </xf>
    <xf borderId="18" fillId="6" fontId="49" numFmtId="0" xfId="0" applyAlignment="1" applyBorder="1" applyFont="1">
      <alignment vertical="center"/>
    </xf>
    <xf borderId="0" fillId="6" fontId="50" numFmtId="0" xfId="0" applyAlignment="1" applyFont="1">
      <alignment horizontal="center" vertical="center"/>
    </xf>
    <xf borderId="0" fillId="6" fontId="51" numFmtId="0" xfId="0" applyAlignment="1" applyFont="1">
      <alignment vertical="center"/>
    </xf>
    <xf borderId="19" fillId="6" fontId="51" numFmtId="0" xfId="0" applyAlignment="1" applyBorder="1" applyFont="1">
      <alignment vertical="center"/>
    </xf>
    <xf borderId="51" fillId="6" fontId="11" numFmtId="0" xfId="0" applyAlignment="1" applyBorder="1" applyFont="1">
      <alignment vertical="center"/>
    </xf>
    <xf borderId="52" fillId="6" fontId="52" numFmtId="0" xfId="0" applyAlignment="1" applyBorder="1" applyFont="1">
      <alignment horizontal="center" vertical="center"/>
    </xf>
    <xf borderId="52" fillId="6" fontId="11" numFmtId="0" xfId="0" applyAlignment="1" applyBorder="1" applyFont="1">
      <alignment vertical="center"/>
    </xf>
    <xf borderId="53" fillId="6" fontId="11" numFmtId="0" xfId="0" applyAlignment="1" applyBorder="1" applyFont="1">
      <alignment vertical="center"/>
    </xf>
    <xf borderId="48" fillId="3" fontId="1" numFmtId="0" xfId="0" applyAlignment="1" applyBorder="1" applyFont="1">
      <alignment vertical="center"/>
    </xf>
    <xf borderId="2" fillId="2" fontId="11" numFmtId="0" xfId="0" applyAlignment="1" applyBorder="1" applyFont="1">
      <alignment vertical="center"/>
    </xf>
    <xf borderId="0" fillId="4" fontId="53" numFmtId="0" xfId="0" applyAlignment="1" applyFont="1">
      <alignment horizontal="center" readingOrder="0" shrinkToFit="0" vertical="center" wrapText="1"/>
    </xf>
    <xf borderId="0" fillId="3" fontId="51" numFmtId="0" xfId="0" applyAlignment="1" applyFont="1">
      <alignment vertical="center"/>
    </xf>
    <xf borderId="0" fillId="3" fontId="54" numFmtId="0" xfId="0" applyAlignment="1" applyFont="1">
      <alignment horizontal="center" readingOrder="0" shrinkToFit="0" vertical="center" wrapText="1"/>
    </xf>
    <xf borderId="0" fillId="4" fontId="55" numFmtId="0" xfId="0" applyAlignment="1" applyFont="1">
      <alignment horizontal="center" readingOrder="0" shrinkToFit="0" vertical="center" wrapText="1"/>
    </xf>
    <xf borderId="47" fillId="0" fontId="1" numFmtId="0" xfId="0" applyAlignment="1" applyBorder="1" applyFont="1">
      <alignment vertical="center"/>
    </xf>
    <xf borderId="48" fillId="0" fontId="1" numFmtId="0" xfId="0" applyAlignment="1" applyBorder="1" applyFont="1">
      <alignment vertical="center"/>
    </xf>
    <xf borderId="48" fillId="6" fontId="51" numFmtId="0" xfId="0" applyAlignment="1" applyBorder="1" applyFont="1">
      <alignment vertical="center"/>
    </xf>
    <xf borderId="48" fillId="6" fontId="54" numFmtId="0" xfId="0" applyAlignment="1" applyBorder="1" applyFont="1">
      <alignment horizontal="center" readingOrder="0" shrinkToFit="0" vertical="center" wrapText="1"/>
    </xf>
    <xf borderId="49" fillId="6" fontId="54" numFmtId="0" xfId="0" applyAlignment="1" applyBorder="1" applyFont="1">
      <alignment horizontal="center" readingOrder="0" shrinkToFit="0" vertical="center" wrapText="1"/>
    </xf>
    <xf borderId="47" fillId="0" fontId="11" numFmtId="0" xfId="0" applyAlignment="1" applyBorder="1" applyFont="1">
      <alignment vertical="center"/>
    </xf>
    <xf borderId="48" fillId="0" fontId="11" numFmtId="0" xfId="0" applyAlignment="1" applyBorder="1" applyFont="1">
      <alignment vertical="center"/>
    </xf>
    <xf borderId="18" fillId="6" fontId="11" numFmtId="0" xfId="0" applyAlignment="1" applyBorder="1" applyFont="1">
      <alignment horizontal="center" vertical="center"/>
    </xf>
    <xf borderId="18" fillId="6" fontId="56" numFmtId="0" xfId="0" applyAlignment="1" applyBorder="1" applyFont="1">
      <alignment horizontal="center" readingOrder="0" shrinkToFit="0" vertical="center" wrapText="1"/>
    </xf>
    <xf borderId="0" fillId="6" fontId="57" numFmtId="0" xfId="0" applyAlignment="1" applyFont="1">
      <alignment horizontal="center" vertical="center"/>
    </xf>
    <xf borderId="52" fillId="6" fontId="58" numFmtId="0" xfId="0" applyAlignment="1" applyBorder="1" applyFont="1">
      <alignment horizontal="center" vertical="center"/>
    </xf>
    <xf borderId="0" fillId="4" fontId="59" numFmtId="0" xfId="0" applyAlignment="1" applyFont="1">
      <alignment horizontal="center" readingOrder="0" shrinkToFit="0" vertical="center" wrapText="1"/>
    </xf>
    <xf borderId="0" fillId="9" fontId="60" numFmtId="0" xfId="0" applyAlignment="1" applyFont="1">
      <alignment vertical="center"/>
    </xf>
    <xf borderId="0" fillId="9" fontId="61" numFmtId="0" xfId="0" applyAlignment="1" applyFont="1">
      <alignment vertical="center"/>
    </xf>
    <xf borderId="0" fillId="3" fontId="62" numFmtId="0" xfId="0" applyAlignment="1" applyFont="1">
      <alignment vertical="center"/>
    </xf>
    <xf borderId="0" fillId="6" fontId="63" numFmtId="0" xfId="0" applyAlignment="1" applyFont="1">
      <alignment horizontal="center" vertical="center"/>
    </xf>
    <xf borderId="48" fillId="3" fontId="51" numFmtId="0" xfId="0" applyAlignment="1" applyBorder="1" applyFont="1">
      <alignment vertical="center"/>
    </xf>
    <xf borderId="0" fillId="4" fontId="64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readingOrder="0" vertical="center"/>
    </xf>
    <xf borderId="0" fillId="3" fontId="65" numFmtId="0" xfId="0" applyAlignment="1" applyFont="1">
      <alignment horizontal="center" readingOrder="0" shrinkToFit="0" vertical="center" wrapText="1"/>
    </xf>
    <xf borderId="0" fillId="4" fontId="66" numFmtId="0" xfId="0" applyAlignment="1" applyFont="1">
      <alignment horizontal="center" readingOrder="0" shrinkToFit="0" vertical="center" wrapText="1"/>
    </xf>
    <xf borderId="47" fillId="6" fontId="51" numFmtId="0" xfId="0" applyAlignment="1" applyBorder="1" applyFont="1">
      <alignment vertical="center"/>
    </xf>
    <xf borderId="48" fillId="5" fontId="1" numFmtId="0" xfId="0" applyAlignment="1" applyBorder="1" applyFont="1">
      <alignment readingOrder="0" vertical="center"/>
    </xf>
    <xf borderId="48" fillId="6" fontId="65" numFmtId="0" xfId="0" applyAlignment="1" applyBorder="1" applyFont="1">
      <alignment horizontal="center" readingOrder="0" shrinkToFit="0" vertical="center" wrapText="1"/>
    </xf>
    <xf borderId="49" fillId="6" fontId="65" numFmtId="0" xfId="0" applyAlignment="1" applyBorder="1" applyFont="1">
      <alignment horizontal="center" readingOrder="0" shrinkToFit="0" vertical="center" wrapText="1"/>
    </xf>
    <xf borderId="18" fillId="6" fontId="51" numFmtId="0" xfId="0" applyAlignment="1" applyBorder="1" applyFont="1">
      <alignment vertical="center"/>
    </xf>
    <xf borderId="0" fillId="6" fontId="65" numFmtId="0" xfId="0" applyAlignment="1" applyFont="1">
      <alignment horizontal="center" readingOrder="0" shrinkToFit="0" vertical="center" wrapText="1"/>
    </xf>
    <xf borderId="19" fillId="6" fontId="65" numFmtId="0" xfId="0" applyAlignment="1" applyBorder="1" applyFont="1">
      <alignment horizontal="center" readingOrder="0" shrinkToFit="0" vertical="center" wrapText="1"/>
    </xf>
    <xf borderId="0" fillId="6" fontId="67" numFmtId="0" xfId="0" applyAlignment="1" applyFont="1">
      <alignment horizontal="center" vertical="center"/>
    </xf>
    <xf borderId="0" fillId="6" fontId="68" numFmtId="0" xfId="0" applyAlignment="1" applyFont="1">
      <alignment horizontal="center" vertical="center"/>
    </xf>
    <xf borderId="0" fillId="6" fontId="56" numFmtId="0" xfId="0" applyAlignment="1" applyFont="1">
      <alignment horizontal="center" readingOrder="0" shrinkToFit="0" vertical="center" wrapText="1"/>
    </xf>
    <xf borderId="0" fillId="6" fontId="69" numFmtId="0" xfId="0" applyAlignment="1" applyFont="1">
      <alignment horizontal="center" readingOrder="0" shrinkToFit="0" vertical="center" wrapText="1"/>
    </xf>
    <xf borderId="19" fillId="6" fontId="69" numFmtId="0" xfId="0" applyAlignment="1" applyBorder="1" applyFont="1">
      <alignment horizontal="center" readingOrder="0" shrinkToFit="0" vertical="center" wrapText="1"/>
    </xf>
    <xf borderId="51" fillId="6" fontId="51" numFmtId="0" xfId="0" applyAlignment="1" applyBorder="1" applyFont="1">
      <alignment vertical="center"/>
    </xf>
    <xf borderId="52" fillId="6" fontId="51" numFmtId="0" xfId="0" applyAlignment="1" applyBorder="1" applyFont="1">
      <alignment vertical="center"/>
    </xf>
    <xf borderId="52" fillId="6" fontId="69" numFmtId="0" xfId="0" applyAlignment="1" applyBorder="1" applyFont="1">
      <alignment horizontal="center" readingOrder="0" shrinkToFit="0" vertical="center" wrapText="1"/>
    </xf>
    <xf borderId="53" fillId="6" fontId="69" numFmtId="0" xfId="0" applyAlignment="1" applyBorder="1" applyFont="1">
      <alignment horizontal="center" readingOrder="0" shrinkToFit="0" vertical="center" wrapText="1"/>
    </xf>
    <xf borderId="0" fillId="4" fontId="70" numFmtId="0" xfId="0" applyAlignment="1" applyFont="1">
      <alignment horizontal="center" readingOrder="0" shrinkToFit="0" vertical="center" wrapText="1"/>
    </xf>
    <xf borderId="0" fillId="4" fontId="71" numFmtId="0" xfId="0" applyAlignment="1" applyFont="1">
      <alignment horizontal="center" readingOrder="0" shrinkToFit="0" vertical="center" wrapText="1"/>
    </xf>
    <xf borderId="0" fillId="6" fontId="72" numFmtId="0" xfId="0" applyAlignment="1" applyFont="1">
      <alignment horizontal="center" vertical="center"/>
    </xf>
    <xf borderId="0" fillId="6" fontId="73" numFmtId="0" xfId="0" applyAlignment="1" applyFont="1">
      <alignment horizontal="center" vertical="center"/>
    </xf>
    <xf borderId="50" fillId="5" fontId="74" numFmtId="0" xfId="0" applyAlignment="1" applyBorder="1" applyFont="1">
      <alignment readingOrder="0" vertical="center"/>
    </xf>
    <xf borderId="0" fillId="4" fontId="75" numFmtId="0" xfId="0" applyAlignment="1" applyFont="1">
      <alignment horizontal="center" readingOrder="0" shrinkToFit="0" vertical="center" wrapText="1"/>
    </xf>
    <xf borderId="0" fillId="9" fontId="76" numFmtId="0" xfId="0" applyAlignment="1" applyFont="1">
      <alignment vertical="center"/>
    </xf>
    <xf borderId="0" fillId="6" fontId="77" numFmtId="0" xfId="0" applyAlignment="1" applyFont="1">
      <alignment horizontal="center" vertical="center"/>
    </xf>
    <xf borderId="54" fillId="9" fontId="1" numFmtId="0" xfId="0" applyAlignment="1" applyBorder="1" applyFont="1">
      <alignment vertical="center"/>
    </xf>
    <xf borderId="0" fillId="9" fontId="1" numFmtId="0" xfId="0" applyFont="1"/>
    <xf borderId="0" fillId="9" fontId="1" numFmtId="0" xfId="0" applyAlignment="1" applyFont="1">
      <alignment readingOrder="0"/>
    </xf>
    <xf borderId="0" fillId="14" fontId="1" numFmtId="0" xfId="0" applyFill="1" applyFont="1"/>
    <xf borderId="0" fillId="3" fontId="1" numFmtId="0" xfId="0" applyFont="1"/>
    <xf borderId="0" fillId="4" fontId="1" numFmtId="0" xfId="0" applyAlignment="1" applyFont="1">
      <alignment readingOrder="0"/>
    </xf>
    <xf borderId="0" fillId="4" fontId="78" numFmtId="0" xfId="0" applyAlignment="1" applyFont="1">
      <alignment horizontal="center" readingOrder="0" shrinkToFit="0" vertical="center" wrapText="0"/>
    </xf>
    <xf borderId="55" fillId="15" fontId="1" numFmtId="0" xfId="0" applyBorder="1" applyFill="1" applyFont="1"/>
    <xf borderId="56" fillId="15" fontId="1" numFmtId="0" xfId="0" applyBorder="1" applyFont="1"/>
    <xf borderId="57" fillId="15" fontId="1" numFmtId="0" xfId="0" applyBorder="1" applyFont="1"/>
    <xf borderId="58" fillId="15" fontId="1" numFmtId="0" xfId="0" applyBorder="1" applyFont="1"/>
    <xf borderId="0" fillId="15" fontId="1" numFmtId="0" xfId="0" applyFont="1"/>
    <xf borderId="59" fillId="15" fontId="1" numFmtId="0" xfId="0" applyBorder="1" applyFont="1"/>
    <xf borderId="0" fillId="4" fontId="79" numFmtId="0" xfId="0" applyAlignment="1" applyFont="1">
      <alignment horizontal="center" readingOrder="0" shrinkToFit="0" vertical="center" wrapText="1"/>
    </xf>
    <xf borderId="0" fillId="4" fontId="80" numFmtId="0" xfId="0" applyAlignment="1" applyFont="1">
      <alignment horizontal="center"/>
    </xf>
    <xf borderId="0" fillId="9" fontId="80" numFmtId="0" xfId="0" applyFont="1"/>
    <xf borderId="0" fillId="4" fontId="80" numFmtId="0" xfId="0" applyFont="1"/>
    <xf borderId="0" fillId="4" fontId="49" numFmtId="0" xfId="0" applyAlignment="1" applyFont="1">
      <alignment horizontal="center" readingOrder="0" vertical="center"/>
    </xf>
    <xf borderId="0" fillId="4" fontId="79" numFmtId="169" xfId="0" applyAlignment="1" applyFont="1" applyNumberFormat="1">
      <alignment horizontal="center" readingOrder="0" shrinkToFit="0" vertical="center" wrapText="0"/>
    </xf>
    <xf borderId="0" fillId="4" fontId="79" numFmtId="170" xfId="0" applyAlignment="1" applyFont="1" applyNumberFormat="1">
      <alignment horizontal="center" readingOrder="0" shrinkToFit="0" vertical="center" wrapText="0"/>
    </xf>
    <xf borderId="0" fillId="4" fontId="78" numFmtId="171" xfId="0" applyAlignment="1" applyFont="1" applyNumberFormat="1">
      <alignment horizontal="center" readingOrder="0" shrinkToFit="0" vertical="center" wrapText="0"/>
    </xf>
    <xf borderId="60" fillId="15" fontId="1" numFmtId="0" xfId="0" applyBorder="1" applyFont="1"/>
    <xf borderId="61" fillId="15" fontId="1" numFmtId="0" xfId="0" applyBorder="1" applyFont="1"/>
    <xf borderId="62" fillId="15" fontId="1" numFmtId="0" xfId="0" applyBorder="1" applyFont="1"/>
    <xf borderId="0" fillId="6" fontId="1" numFmtId="0" xfId="0" applyFont="1"/>
    <xf borderId="63" fillId="6" fontId="1" numFmtId="0" xfId="0" applyBorder="1" applyFont="1"/>
    <xf borderId="55" fillId="0" fontId="1" numFmtId="0" xfId="0" applyBorder="1" applyFont="1"/>
    <xf borderId="56" fillId="0" fontId="1" numFmtId="0" xfId="0" applyBorder="1" applyFont="1"/>
    <xf borderId="57" fillId="0" fontId="1" numFmtId="0" xfId="0" applyAlignment="1" applyBorder="1" applyFont="1">
      <alignment readingOrder="0"/>
    </xf>
    <xf borderId="55" fillId="5" fontId="1" numFmtId="0" xfId="0" applyBorder="1" applyFont="1"/>
    <xf borderId="56" fillId="5" fontId="1" numFmtId="0" xfId="0" applyBorder="1" applyFont="1"/>
    <xf borderId="57" fillId="5" fontId="1" numFmtId="0" xfId="0" applyBorder="1" applyFont="1"/>
    <xf borderId="58" fillId="0" fontId="1" numFmtId="0" xfId="0" applyBorder="1" applyFont="1"/>
    <xf borderId="21" fillId="4" fontId="81" numFmtId="0" xfId="0" applyAlignment="1" applyBorder="1" applyFont="1">
      <alignment horizontal="center" readingOrder="0" shrinkToFit="0" vertical="center" wrapText="1"/>
    </xf>
    <xf borderId="59" fillId="0" fontId="1" numFmtId="0" xfId="0" applyBorder="1" applyFont="1"/>
    <xf borderId="0" fillId="3" fontId="1" numFmtId="0" xfId="0" applyAlignment="1" applyFont="1">
      <alignment readingOrder="0"/>
    </xf>
    <xf borderId="64" fillId="4" fontId="54" numFmtId="0" xfId="0" applyAlignment="1" applyBorder="1" applyFont="1">
      <alignment horizontal="center" readingOrder="0" shrinkToFit="0" vertical="center" wrapText="1"/>
    </xf>
    <xf borderId="0" fillId="5" fontId="51" numFmtId="0" xfId="0" applyFont="1"/>
    <xf borderId="59" fillId="5" fontId="51" numFmtId="0" xfId="0" applyBorder="1" applyFont="1"/>
    <xf borderId="58" fillId="5" fontId="51" numFmtId="0" xfId="0" applyBorder="1" applyFont="1"/>
    <xf borderId="65" fillId="4" fontId="54" numFmtId="0" xfId="0" applyAlignment="1" applyBorder="1" applyFont="1">
      <alignment horizontal="center" readingOrder="0" shrinkToFit="0" vertical="center" wrapText="1"/>
    </xf>
    <xf borderId="21" fillId="4" fontId="82" numFmtId="0" xfId="0" applyAlignment="1" applyBorder="1" applyFont="1">
      <alignment horizontal="center" readingOrder="0" shrinkToFit="0" vertical="center" wrapText="1"/>
    </xf>
    <xf borderId="0" fillId="0" fontId="83" numFmtId="0" xfId="0" applyAlignment="1" applyFont="1">
      <alignment horizontal="center" readingOrder="0"/>
    </xf>
    <xf borderId="21" fillId="4" fontId="54" numFmtId="0" xfId="0" applyAlignment="1" applyBorder="1" applyFont="1">
      <alignment horizontal="center" readingOrder="0" shrinkToFit="0" vertical="center" wrapText="1"/>
    </xf>
    <xf borderId="21" fillId="4" fontId="84" numFmtId="0" xfId="0" applyAlignment="1" applyBorder="1" applyFont="1">
      <alignment horizontal="center" readingOrder="0" shrinkToFit="0" vertical="center" wrapText="1"/>
    </xf>
    <xf borderId="64" fillId="4" fontId="56" numFmtId="0" xfId="0" applyAlignment="1" applyBorder="1" applyFont="1">
      <alignment horizontal="center" readingOrder="0" shrinkToFit="0" vertical="center" wrapText="1"/>
    </xf>
    <xf borderId="65" fillId="4" fontId="65" numFmtId="0" xfId="0" applyAlignment="1" applyBorder="1" applyFont="1">
      <alignment horizontal="center" readingOrder="0" shrinkToFit="0" vertical="center" wrapText="1"/>
    </xf>
    <xf borderId="65" fillId="4" fontId="69" numFmtId="0" xfId="0" applyAlignment="1" applyBorder="1" applyFont="1">
      <alignment horizontal="center" readingOrder="0" shrinkToFit="0" vertical="center" wrapText="1"/>
    </xf>
    <xf borderId="60" fillId="0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60" fillId="5" fontId="51" numFmtId="0" xfId="0" applyBorder="1" applyFont="1"/>
    <xf borderId="61" fillId="5" fontId="51" numFmtId="0" xfId="0" applyBorder="1" applyFont="1"/>
    <xf borderId="62" fillId="5" fontId="51" numFmtId="0" xfId="0" applyBorder="1" applyFont="1"/>
    <xf borderId="0" fillId="2" fontId="1" numFmtId="0" xfId="0" applyAlignment="1" applyFont="1">
      <alignment horizontal="center" vertical="center"/>
    </xf>
    <xf borderId="0" fillId="3" fontId="1" numFmtId="0" xfId="0" applyAlignment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9" fontId="85" numFmtId="0" xfId="0" applyFont="1"/>
    <xf borderId="66" fillId="16" fontId="86" numFmtId="0" xfId="0" applyAlignment="1" applyBorder="1" applyFill="1" applyFont="1">
      <alignment readingOrder="0" vertical="center"/>
    </xf>
    <xf borderId="0" fillId="16" fontId="87" numFmtId="0" xfId="0" applyAlignment="1" applyFont="1">
      <alignment horizontal="center" readingOrder="0" vertical="center"/>
    </xf>
    <xf borderId="0" fillId="16" fontId="88" numFmtId="0" xfId="0" applyAlignment="1" applyFont="1">
      <alignment horizontal="center" readingOrder="0" vertical="center"/>
    </xf>
    <xf borderId="0" fillId="16" fontId="88" numFmtId="0" xfId="0" applyAlignment="1" applyFont="1">
      <alignment horizontal="center" readingOrder="0" shrinkToFit="0" vertical="center" wrapText="1"/>
    </xf>
    <xf borderId="0" fillId="16" fontId="89" numFmtId="0" xfId="0" applyAlignment="1" applyFont="1">
      <alignment horizontal="center" readingOrder="0" vertical="center"/>
    </xf>
    <xf borderId="67" fillId="16" fontId="89" numFmtId="0" xfId="0" applyAlignment="1" applyBorder="1" applyFont="1">
      <alignment horizontal="center" readingOrder="0" vertical="center"/>
    </xf>
    <xf borderId="0" fillId="16" fontId="90" numFmtId="0" xfId="0" applyAlignment="1" applyFont="1">
      <alignment horizontal="center" readingOrder="0" shrinkToFit="0" vertical="center" wrapText="1"/>
    </xf>
    <xf borderId="0" fillId="16" fontId="91" numFmtId="0" xfId="0" applyAlignment="1" applyFont="1">
      <alignment horizontal="left" readingOrder="0"/>
    </xf>
    <xf borderId="0" fillId="17" fontId="92" numFmtId="0" xfId="0" applyAlignment="1" applyFill="1" applyFont="1">
      <alignment horizontal="center" vertical="center"/>
    </xf>
    <xf borderId="0" fillId="17" fontId="93" numFmtId="0" xfId="0" applyAlignment="1" applyFont="1">
      <alignment horizontal="center" readingOrder="0" shrinkToFit="0" vertical="center" wrapText="1"/>
    </xf>
    <xf borderId="0" fillId="16" fontId="87" numFmtId="0" xfId="0" applyAlignment="1" applyFont="1">
      <alignment readingOrder="0" shrinkToFit="0" vertical="center" wrapText="0"/>
    </xf>
    <xf borderId="0" fillId="17" fontId="92" numFmtId="0" xfId="0" applyAlignment="1" applyFont="1">
      <alignment horizontal="center" readingOrder="0" vertical="center"/>
    </xf>
    <xf borderId="0" fillId="16" fontId="94" numFmtId="0" xfId="0" applyAlignment="1" applyFont="1">
      <alignment horizontal="center" readingOrder="0" shrinkToFit="0" vertical="center" wrapText="1"/>
    </xf>
    <xf borderId="0" fillId="16" fontId="87" numFmtId="0" xfId="0" applyAlignment="1" applyFont="1">
      <alignment readingOrder="0" shrinkToFit="0" vertical="center" wrapText="1"/>
    </xf>
    <xf borderId="0" fillId="17" fontId="93" numFmtId="0" xfId="0" applyAlignment="1" applyFont="1">
      <alignment horizontal="center" readingOrder="0" vertical="center"/>
    </xf>
    <xf borderId="0" fillId="16" fontId="95" numFmtId="0" xfId="0" applyAlignment="1" applyFont="1">
      <alignment horizontal="center" readingOrder="0"/>
    </xf>
    <xf borderId="0" fillId="15" fontId="96" numFmtId="0" xfId="0" applyAlignment="1" applyFont="1">
      <alignment horizontal="center" readingOrder="0" shrinkToFit="0" wrapText="1"/>
    </xf>
    <xf borderId="68" fillId="15" fontId="96" numFmtId="0" xfId="0" applyAlignment="1" applyBorder="1" applyFont="1">
      <alignment horizontal="center" readingOrder="0" shrinkToFit="0" wrapText="1"/>
    </xf>
    <xf borderId="69" fillId="16" fontId="97" numFmtId="0" xfId="0" applyAlignment="1" applyBorder="1" applyFont="1">
      <alignment horizontal="center" readingOrder="0" vertical="center"/>
    </xf>
    <xf borderId="70" fillId="16" fontId="95" numFmtId="0" xfId="0" applyAlignment="1" applyBorder="1" applyFont="1">
      <alignment horizontal="center" readingOrder="0" vertical="center"/>
    </xf>
    <xf borderId="69" fillId="0" fontId="5" numFmtId="0" xfId="0" applyBorder="1" applyFont="1"/>
    <xf borderId="69" fillId="9" fontId="85" numFmtId="0" xfId="0" applyBorder="1" applyFont="1"/>
    <xf borderId="69" fillId="16" fontId="88" numFmtId="0" xfId="0" applyAlignment="1" applyBorder="1" applyFont="1">
      <alignment horizontal="center" readingOrder="0" shrinkToFit="0" vertical="center" wrapText="1"/>
    </xf>
    <xf borderId="71" fillId="16" fontId="88" numFmtId="0" xfId="0" applyAlignment="1" applyBorder="1" applyFont="1">
      <alignment horizontal="center" readingOrder="0" shrinkToFit="0" vertical="center" wrapText="1"/>
    </xf>
    <xf borderId="72" fillId="16" fontId="88" numFmtId="0" xfId="0" applyAlignment="1" applyBorder="1" applyFont="1">
      <alignment horizontal="center" readingOrder="0" shrinkToFit="0" vertical="center" wrapText="1"/>
    </xf>
    <xf borderId="0" fillId="16" fontId="92" numFmtId="0" xfId="0" applyAlignment="1" applyFont="1">
      <alignment horizontal="center" readingOrder="0" vertical="center"/>
    </xf>
    <xf borderId="73" fillId="16" fontId="93" numFmtId="0" xfId="0" applyAlignment="1" applyBorder="1" applyFont="1">
      <alignment horizontal="left" vertical="center"/>
    </xf>
    <xf borderId="74" fillId="16" fontId="92" numFmtId="0" xfId="0" applyAlignment="1" applyBorder="1" applyFont="1">
      <alignment horizontal="center" vertical="center"/>
    </xf>
    <xf borderId="0" fillId="16" fontId="92" numFmtId="0" xfId="0" applyAlignment="1" applyFont="1">
      <alignment horizontal="center" readingOrder="0" shrinkToFit="0" wrapText="1"/>
    </xf>
    <xf borderId="75" fillId="0" fontId="5" numFmtId="0" xfId="0" applyBorder="1" applyFont="1"/>
    <xf borderId="68" fillId="16" fontId="92" numFmtId="0" xfId="0" applyAlignment="1" applyBorder="1" applyFont="1">
      <alignment horizontal="center" readingOrder="0" shrinkToFit="0" wrapText="1"/>
    </xf>
    <xf borderId="0" fillId="16" fontId="92" numFmtId="0" xfId="0" applyAlignment="1" applyFont="1">
      <alignment horizontal="center" readingOrder="0" shrinkToFit="0" vertical="center" wrapText="1"/>
    </xf>
    <xf borderId="66" fillId="16" fontId="92" numFmtId="0" xfId="0" applyAlignment="1" applyBorder="1" applyFont="1">
      <alignment horizontal="center" readingOrder="0" vertical="center"/>
    </xf>
    <xf borderId="0" fillId="16" fontId="93" numFmtId="0" xfId="0" applyAlignment="1" applyFont="1">
      <alignment horizontal="left" vertical="center"/>
    </xf>
    <xf borderId="68" fillId="16" fontId="92" numFmtId="0" xfId="0" applyAlignment="1" applyBorder="1" applyFont="1">
      <alignment horizontal="center" shrinkToFit="0" wrapText="1"/>
    </xf>
    <xf borderId="66" fillId="16" fontId="92" numFmtId="0" xfId="0" applyAlignment="1" applyBorder="1" applyFont="1">
      <alignment horizontal="center" readingOrder="0" shrinkToFit="0" wrapText="1"/>
    </xf>
    <xf borderId="66" fillId="16" fontId="92" numFmtId="0" xfId="0" applyAlignment="1" applyBorder="1" applyFont="1">
      <alignment horizontal="center" shrinkToFit="0" wrapText="1"/>
    </xf>
  </cellXfs>
  <cellStyles count="1">
    <cellStyle xfId="0" name="Normal" builtinId="0"/>
  </cellStyles>
  <dxfs count="21">
    <dxf>
      <font>
        <b/>
        <color rgb="FF2B282C"/>
      </font>
      <fill>
        <patternFill patternType="solid">
          <fgColor rgb="FFCFE2F3"/>
          <bgColor rgb="FFCFE2F3"/>
        </patternFill>
      </fill>
      <border/>
    </dxf>
    <dxf>
      <font>
        <b/>
        <color rgb="FF2B282C"/>
      </font>
      <fill>
        <patternFill patternType="solid">
          <fgColor rgb="FFFFF2CC"/>
          <bgColor rgb="FFFFF2CC"/>
        </patternFill>
      </fill>
      <border/>
    </dxf>
    <dxf>
      <font>
        <b/>
        <color rgb="FF2B282C"/>
      </font>
      <fill>
        <patternFill patternType="solid">
          <fgColor rgb="FFF4CCCC"/>
          <bgColor rgb="FFF4CCCC"/>
        </patternFill>
      </fill>
      <border/>
    </dxf>
    <dxf>
      <font>
        <b/>
        <color rgb="FF2B282C"/>
      </font>
      <fill>
        <patternFill patternType="solid">
          <fgColor rgb="FFD9D2E9"/>
          <bgColor rgb="FFD9D2E9"/>
        </patternFill>
      </fill>
      <border/>
    </dxf>
    <dxf>
      <font>
        <b/>
        <color rgb="FF2B282C"/>
      </font>
      <fill>
        <patternFill patternType="solid">
          <fgColor rgb="FFD9EAD3"/>
          <bgColor rgb="FFD9EAD3"/>
        </patternFill>
      </fill>
      <border/>
    </dxf>
    <dxf>
      <font>
        <b/>
        <color rgb="FF2B282C"/>
      </font>
      <fill>
        <patternFill patternType="solid">
          <fgColor rgb="FFEFEFEF"/>
          <bgColor rgb="FFEFEFEF"/>
        </patternFill>
      </fill>
      <border/>
    </dxf>
    <dxf>
      <font>
        <color rgb="FFCFE2F3"/>
      </font>
      <fill>
        <patternFill patternType="none"/>
      </fill>
      <border/>
    </dxf>
    <dxf>
      <font>
        <color rgb="FFFFF2CC"/>
      </font>
      <fill>
        <patternFill patternType="none"/>
      </fill>
      <border/>
    </dxf>
    <dxf>
      <font>
        <color rgb="FFF4CCCC"/>
      </font>
      <fill>
        <patternFill patternType="none"/>
      </fill>
      <border/>
    </dxf>
    <dxf>
      <font>
        <color rgb="FFD9D2E9"/>
      </font>
      <fill>
        <patternFill patternType="none"/>
      </fill>
      <border/>
    </dxf>
    <dxf>
      <font>
        <color rgb="FFD9EAD3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E3BECA"/>
          <bgColor rgb="FFE3BECA"/>
        </patternFill>
      </fill>
      <border/>
    </dxf>
    <dxf>
      <font>
        <color rgb="FF000000"/>
      </font>
      <fill>
        <patternFill patternType="solid">
          <fgColor rgb="FFDEDEDE"/>
          <bgColor rgb="FFDEDEDE"/>
        </patternFill>
      </fill>
      <border/>
    </dxf>
    <dxf>
      <font>
        <strike/>
        <color rgb="FFFF0000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3</xdr:row>
      <xdr:rowOff>76200</xdr:rowOff>
    </xdr:from>
    <xdr:ext cx="5191125" cy="3076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osu.ppy.sh/users/17959882" TargetMode="External"/><Relationship Id="rId42" Type="http://schemas.openxmlformats.org/officeDocument/2006/relationships/hyperlink" Target="http://osu.ppy.sh/users/17959882" TargetMode="External"/><Relationship Id="rId41" Type="http://schemas.openxmlformats.org/officeDocument/2006/relationships/hyperlink" Target="http://osu.ppy.sh/users/17959882" TargetMode="External"/><Relationship Id="rId44" Type="http://schemas.openxmlformats.org/officeDocument/2006/relationships/hyperlink" Target="http://osu.ppy.sh/users/17959882" TargetMode="External"/><Relationship Id="rId43" Type="http://schemas.openxmlformats.org/officeDocument/2006/relationships/hyperlink" Target="http://osu.ppy.sh/users/17959882" TargetMode="External"/><Relationship Id="rId46" Type="http://schemas.openxmlformats.org/officeDocument/2006/relationships/hyperlink" Target="http://osu.ppy.sh/users/17959882" TargetMode="External"/><Relationship Id="rId45" Type="http://schemas.openxmlformats.org/officeDocument/2006/relationships/hyperlink" Target="http://osu.ppy.sh/users/17959882" TargetMode="External"/><Relationship Id="rId1" Type="http://schemas.openxmlformats.org/officeDocument/2006/relationships/hyperlink" Target="http://osu.ppy.sh/users/17959882" TargetMode="External"/><Relationship Id="rId2" Type="http://schemas.openxmlformats.org/officeDocument/2006/relationships/hyperlink" Target="http://osu.ppy.sh/users/17959882" TargetMode="External"/><Relationship Id="rId3" Type="http://schemas.openxmlformats.org/officeDocument/2006/relationships/hyperlink" Target="http://osu.ppy.sh/users/17959882" TargetMode="External"/><Relationship Id="rId4" Type="http://schemas.openxmlformats.org/officeDocument/2006/relationships/hyperlink" Target="http://osu.ppy.sh/users/17959882" TargetMode="External"/><Relationship Id="rId9" Type="http://schemas.openxmlformats.org/officeDocument/2006/relationships/hyperlink" Target="http://osu.ppy.sh/users/17959882" TargetMode="External"/><Relationship Id="rId48" Type="http://schemas.openxmlformats.org/officeDocument/2006/relationships/hyperlink" Target="http://osu.ppy.sh/users/17959882" TargetMode="External"/><Relationship Id="rId47" Type="http://schemas.openxmlformats.org/officeDocument/2006/relationships/hyperlink" Target="http://osu.ppy.sh/users/17959882" TargetMode="External"/><Relationship Id="rId49" Type="http://schemas.openxmlformats.org/officeDocument/2006/relationships/hyperlink" Target="http://osu.ppy.sh/users/17959882" TargetMode="External"/><Relationship Id="rId5" Type="http://schemas.openxmlformats.org/officeDocument/2006/relationships/hyperlink" Target="http://osu.ppy.sh/users/17959882" TargetMode="External"/><Relationship Id="rId6" Type="http://schemas.openxmlformats.org/officeDocument/2006/relationships/hyperlink" Target="http://osu.ppy.sh/users/17959882" TargetMode="External"/><Relationship Id="rId7" Type="http://schemas.openxmlformats.org/officeDocument/2006/relationships/hyperlink" Target="http://osu.ppy.sh/users/17959882" TargetMode="External"/><Relationship Id="rId8" Type="http://schemas.openxmlformats.org/officeDocument/2006/relationships/hyperlink" Target="http://osu.ppy.sh/users/17959882" TargetMode="External"/><Relationship Id="rId31" Type="http://schemas.openxmlformats.org/officeDocument/2006/relationships/hyperlink" Target="http://osu.ppy.sh/users/17959882" TargetMode="External"/><Relationship Id="rId30" Type="http://schemas.openxmlformats.org/officeDocument/2006/relationships/hyperlink" Target="http://osu.ppy.sh/users/17959882" TargetMode="External"/><Relationship Id="rId33" Type="http://schemas.openxmlformats.org/officeDocument/2006/relationships/hyperlink" Target="http://osu.ppy.sh/users/17959882" TargetMode="External"/><Relationship Id="rId32" Type="http://schemas.openxmlformats.org/officeDocument/2006/relationships/hyperlink" Target="http://osu.ppy.sh/users/17959882" TargetMode="External"/><Relationship Id="rId35" Type="http://schemas.openxmlformats.org/officeDocument/2006/relationships/hyperlink" Target="http://osu.ppy.sh/users/17959882" TargetMode="External"/><Relationship Id="rId34" Type="http://schemas.openxmlformats.org/officeDocument/2006/relationships/hyperlink" Target="http://osu.ppy.sh/users/17959882" TargetMode="External"/><Relationship Id="rId37" Type="http://schemas.openxmlformats.org/officeDocument/2006/relationships/hyperlink" Target="http://osu.ppy.sh/users/17959882" TargetMode="External"/><Relationship Id="rId36" Type="http://schemas.openxmlformats.org/officeDocument/2006/relationships/hyperlink" Target="http://osu.ppy.sh/users/17959882" TargetMode="External"/><Relationship Id="rId39" Type="http://schemas.openxmlformats.org/officeDocument/2006/relationships/hyperlink" Target="http://osu.ppy.sh/users/17959882" TargetMode="External"/><Relationship Id="rId38" Type="http://schemas.openxmlformats.org/officeDocument/2006/relationships/hyperlink" Target="http://osu.ppy.sh/users/17959882" TargetMode="External"/><Relationship Id="rId62" Type="http://schemas.openxmlformats.org/officeDocument/2006/relationships/drawing" Target="../drawings/drawing2.xml"/><Relationship Id="rId61" Type="http://schemas.openxmlformats.org/officeDocument/2006/relationships/hyperlink" Target="http://osu.ppy.sh/users/17959882" TargetMode="External"/><Relationship Id="rId20" Type="http://schemas.openxmlformats.org/officeDocument/2006/relationships/hyperlink" Target="http://osu.ppy.sh/users/17959882" TargetMode="External"/><Relationship Id="rId22" Type="http://schemas.openxmlformats.org/officeDocument/2006/relationships/hyperlink" Target="http://osu.ppy.sh/users/17959882" TargetMode="External"/><Relationship Id="rId21" Type="http://schemas.openxmlformats.org/officeDocument/2006/relationships/hyperlink" Target="http://osu.ppy.sh/users/17959882" TargetMode="External"/><Relationship Id="rId24" Type="http://schemas.openxmlformats.org/officeDocument/2006/relationships/hyperlink" Target="http://osu.ppy.sh/users/17959882" TargetMode="External"/><Relationship Id="rId23" Type="http://schemas.openxmlformats.org/officeDocument/2006/relationships/hyperlink" Target="http://osu.ppy.sh/users/17959882" TargetMode="External"/><Relationship Id="rId60" Type="http://schemas.openxmlformats.org/officeDocument/2006/relationships/hyperlink" Target="http://osu.ppy.sh/users/17959882" TargetMode="External"/><Relationship Id="rId26" Type="http://schemas.openxmlformats.org/officeDocument/2006/relationships/hyperlink" Target="http://osu.ppy.sh/users/17959882" TargetMode="External"/><Relationship Id="rId25" Type="http://schemas.openxmlformats.org/officeDocument/2006/relationships/hyperlink" Target="http://osu.ppy.sh/users/17959882" TargetMode="External"/><Relationship Id="rId28" Type="http://schemas.openxmlformats.org/officeDocument/2006/relationships/hyperlink" Target="http://osu.ppy.sh/users/17959882" TargetMode="External"/><Relationship Id="rId27" Type="http://schemas.openxmlformats.org/officeDocument/2006/relationships/hyperlink" Target="http://osu.ppy.sh/users/17959882" TargetMode="External"/><Relationship Id="rId29" Type="http://schemas.openxmlformats.org/officeDocument/2006/relationships/hyperlink" Target="http://osu.ppy.sh/users/17959882" TargetMode="External"/><Relationship Id="rId51" Type="http://schemas.openxmlformats.org/officeDocument/2006/relationships/hyperlink" Target="http://osu.ppy.sh/users/17959882" TargetMode="External"/><Relationship Id="rId50" Type="http://schemas.openxmlformats.org/officeDocument/2006/relationships/hyperlink" Target="http://osu.ppy.sh/users/17959882" TargetMode="External"/><Relationship Id="rId53" Type="http://schemas.openxmlformats.org/officeDocument/2006/relationships/hyperlink" Target="http://osu.ppy.sh/users/17959882" TargetMode="External"/><Relationship Id="rId52" Type="http://schemas.openxmlformats.org/officeDocument/2006/relationships/hyperlink" Target="http://osu.ppy.sh/users/17959882" TargetMode="External"/><Relationship Id="rId11" Type="http://schemas.openxmlformats.org/officeDocument/2006/relationships/hyperlink" Target="http://osu.ppy.sh/users/17959882" TargetMode="External"/><Relationship Id="rId55" Type="http://schemas.openxmlformats.org/officeDocument/2006/relationships/hyperlink" Target="http://osu.ppy.sh/users/17959882" TargetMode="External"/><Relationship Id="rId10" Type="http://schemas.openxmlformats.org/officeDocument/2006/relationships/hyperlink" Target="http://osu.ppy.sh/users/17959882" TargetMode="External"/><Relationship Id="rId54" Type="http://schemas.openxmlformats.org/officeDocument/2006/relationships/hyperlink" Target="http://osu.ppy.sh/users/17959882" TargetMode="External"/><Relationship Id="rId13" Type="http://schemas.openxmlformats.org/officeDocument/2006/relationships/hyperlink" Target="http://osu.ppy.sh/users/17959882" TargetMode="External"/><Relationship Id="rId57" Type="http://schemas.openxmlformats.org/officeDocument/2006/relationships/hyperlink" Target="http://osu.ppy.sh/users/17959882" TargetMode="External"/><Relationship Id="rId12" Type="http://schemas.openxmlformats.org/officeDocument/2006/relationships/hyperlink" Target="http://osu.ppy.sh/users/17959882" TargetMode="External"/><Relationship Id="rId56" Type="http://schemas.openxmlformats.org/officeDocument/2006/relationships/hyperlink" Target="http://osu.ppy.sh/users/17959882" TargetMode="External"/><Relationship Id="rId15" Type="http://schemas.openxmlformats.org/officeDocument/2006/relationships/hyperlink" Target="http://osu.ppy.sh/users/17959882" TargetMode="External"/><Relationship Id="rId59" Type="http://schemas.openxmlformats.org/officeDocument/2006/relationships/hyperlink" Target="http://osu.ppy.sh/users/17959882" TargetMode="External"/><Relationship Id="rId14" Type="http://schemas.openxmlformats.org/officeDocument/2006/relationships/hyperlink" Target="http://osu.ppy.sh/users/17959882" TargetMode="External"/><Relationship Id="rId58" Type="http://schemas.openxmlformats.org/officeDocument/2006/relationships/hyperlink" Target="http://osu.ppy.sh/users/17959882" TargetMode="External"/><Relationship Id="rId17" Type="http://schemas.openxmlformats.org/officeDocument/2006/relationships/hyperlink" Target="http://osu.ppy.sh/users/17959882" TargetMode="External"/><Relationship Id="rId16" Type="http://schemas.openxmlformats.org/officeDocument/2006/relationships/hyperlink" Target="http://osu.ppy.sh/users/17959882" TargetMode="External"/><Relationship Id="rId19" Type="http://schemas.openxmlformats.org/officeDocument/2006/relationships/hyperlink" Target="http://osu.ppy.sh/users/17959882" TargetMode="External"/><Relationship Id="rId18" Type="http://schemas.openxmlformats.org/officeDocument/2006/relationships/hyperlink" Target="http://osu.ppy.sh/users/1795988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osu.ppy.sh/community/matches/110313675" TargetMode="External"/><Relationship Id="rId42" Type="http://schemas.openxmlformats.org/officeDocument/2006/relationships/hyperlink" Target="https://osu.ppy.sh/community/matches/110300869" TargetMode="External"/><Relationship Id="rId41" Type="http://schemas.openxmlformats.org/officeDocument/2006/relationships/hyperlink" Target="https://osu.ppy.sh/community/matches/110298939" TargetMode="External"/><Relationship Id="rId44" Type="http://schemas.openxmlformats.org/officeDocument/2006/relationships/hyperlink" Target="https://osu.ppy.sh/community/matches/110289632" TargetMode="External"/><Relationship Id="rId43" Type="http://schemas.openxmlformats.org/officeDocument/2006/relationships/hyperlink" Target="https://osu.ppy.sh/community/matches/110282200" TargetMode="External"/><Relationship Id="rId46" Type="http://schemas.openxmlformats.org/officeDocument/2006/relationships/drawing" Target="../drawings/drawing4.xml"/><Relationship Id="rId45" Type="http://schemas.openxmlformats.org/officeDocument/2006/relationships/hyperlink" Target="https://osu.ppy.sh/community/matches/110299252" TargetMode="External"/><Relationship Id="rId1" Type="http://schemas.openxmlformats.org/officeDocument/2006/relationships/hyperlink" Target="https://osu.ppy.sh/mp/110066290" TargetMode="External"/><Relationship Id="rId2" Type="http://schemas.openxmlformats.org/officeDocument/2006/relationships/hyperlink" Target="https://osu.ppy.sh/mp/110090518" TargetMode="External"/><Relationship Id="rId3" Type="http://schemas.openxmlformats.org/officeDocument/2006/relationships/hyperlink" Target="https://osu.ppy.sh/community/matches/110051132" TargetMode="External"/><Relationship Id="rId4" Type="http://schemas.openxmlformats.org/officeDocument/2006/relationships/hyperlink" Target="https://osu.ppy.sh/community/matches/110087766" TargetMode="External"/><Relationship Id="rId9" Type="http://schemas.openxmlformats.org/officeDocument/2006/relationships/hyperlink" Target="https://osu.ppy.sh/community/matches/110068687" TargetMode="External"/><Relationship Id="rId5" Type="http://schemas.openxmlformats.org/officeDocument/2006/relationships/hyperlink" Target="https://osu.ppy.sh/community/matches/110076817" TargetMode="External"/><Relationship Id="rId6" Type="http://schemas.openxmlformats.org/officeDocument/2006/relationships/hyperlink" Target="https://osu.ppy.sh/mp/110067010" TargetMode="External"/><Relationship Id="rId7" Type="http://schemas.openxmlformats.org/officeDocument/2006/relationships/hyperlink" Target="https://osu.ppy.sh/mp/110067659" TargetMode="External"/><Relationship Id="rId8" Type="http://schemas.openxmlformats.org/officeDocument/2006/relationships/hyperlink" Target="https://osu.ppy.sh/community/matches/110077688" TargetMode="External"/><Relationship Id="rId31" Type="http://schemas.openxmlformats.org/officeDocument/2006/relationships/hyperlink" Target="https://osu.ppy.sh/community/matches/110174570" TargetMode="External"/><Relationship Id="rId30" Type="http://schemas.openxmlformats.org/officeDocument/2006/relationships/hyperlink" Target="https://osu.ppy.sh/community/matches/110156344" TargetMode="External"/><Relationship Id="rId33" Type="http://schemas.openxmlformats.org/officeDocument/2006/relationships/hyperlink" Target="https://osu.ppy.sh/community/matches/110291479" TargetMode="External"/><Relationship Id="rId32" Type="http://schemas.openxmlformats.org/officeDocument/2006/relationships/hyperlink" Target="https://osu.ppy.sh/community/matches/110301082" TargetMode="External"/><Relationship Id="rId35" Type="http://schemas.openxmlformats.org/officeDocument/2006/relationships/hyperlink" Target="https://osu.ppy.sh/community/matches/110275875" TargetMode="External"/><Relationship Id="rId34" Type="http://schemas.openxmlformats.org/officeDocument/2006/relationships/hyperlink" Target="https://osu.ppy.sh/community/matches/110301327" TargetMode="External"/><Relationship Id="rId37" Type="http://schemas.openxmlformats.org/officeDocument/2006/relationships/hyperlink" Target="https://osu.ppy.sh/community/matches/110283874" TargetMode="External"/><Relationship Id="rId36" Type="http://schemas.openxmlformats.org/officeDocument/2006/relationships/hyperlink" Target="https://osu.ppy.sh/community/matches/110283000" TargetMode="External"/><Relationship Id="rId39" Type="http://schemas.openxmlformats.org/officeDocument/2006/relationships/hyperlink" Target="https://osu.ppy.sh/community/matches/110283001" TargetMode="External"/><Relationship Id="rId38" Type="http://schemas.openxmlformats.org/officeDocument/2006/relationships/hyperlink" Target="https://osu.ppy.sh/community/matches/110299202" TargetMode="External"/><Relationship Id="rId20" Type="http://schemas.openxmlformats.org/officeDocument/2006/relationships/hyperlink" Target="https://osu.ppy.sh/community/matches/110175433" TargetMode="External"/><Relationship Id="rId22" Type="http://schemas.openxmlformats.org/officeDocument/2006/relationships/hyperlink" Target="https://osu.ppy.sh/community/matches/110177686" TargetMode="External"/><Relationship Id="rId21" Type="http://schemas.openxmlformats.org/officeDocument/2006/relationships/hyperlink" Target="https://osu.ppy.sh/community/matches/110174567" TargetMode="External"/><Relationship Id="rId24" Type="http://schemas.openxmlformats.org/officeDocument/2006/relationships/hyperlink" Target="https://osu.ppy.sh/community/matches/110190477" TargetMode="External"/><Relationship Id="rId23" Type="http://schemas.openxmlformats.org/officeDocument/2006/relationships/hyperlink" Target="https://osu.ppy.sh/community/matches/110185577" TargetMode="External"/><Relationship Id="rId26" Type="http://schemas.openxmlformats.org/officeDocument/2006/relationships/hyperlink" Target="https://osu.ppy.sh/community/matches/110179406" TargetMode="External"/><Relationship Id="rId25" Type="http://schemas.openxmlformats.org/officeDocument/2006/relationships/hyperlink" Target="https://osu.ppy.sh/community/matches/110176380" TargetMode="External"/><Relationship Id="rId28" Type="http://schemas.openxmlformats.org/officeDocument/2006/relationships/hyperlink" Target="https://osu.ppy.sh/community/matches/110184531" TargetMode="External"/><Relationship Id="rId27" Type="http://schemas.openxmlformats.org/officeDocument/2006/relationships/hyperlink" Target="https://osu.ppy.sh/community/matches/110191205" TargetMode="External"/><Relationship Id="rId29" Type="http://schemas.openxmlformats.org/officeDocument/2006/relationships/hyperlink" Target="https://osu.ppy.sh/community/matches/110157424" TargetMode="External"/><Relationship Id="rId11" Type="http://schemas.openxmlformats.org/officeDocument/2006/relationships/hyperlink" Target="https://osu.ppy.sh/community/matches/110051882" TargetMode="External"/><Relationship Id="rId10" Type="http://schemas.openxmlformats.org/officeDocument/2006/relationships/hyperlink" Target="https://osu.ppy.sh/community/matches/110085247" TargetMode="External"/><Relationship Id="rId13" Type="http://schemas.openxmlformats.org/officeDocument/2006/relationships/hyperlink" Target="https://osu.ppy.sh/community/matches/110067582" TargetMode="External"/><Relationship Id="rId12" Type="http://schemas.openxmlformats.org/officeDocument/2006/relationships/hyperlink" Target="https://osu.ppy.sh/community/matches/110077387" TargetMode="External"/><Relationship Id="rId15" Type="http://schemas.openxmlformats.org/officeDocument/2006/relationships/hyperlink" Target="https://osu.ppy.sh/community/matches/110089262" TargetMode="External"/><Relationship Id="rId14" Type="http://schemas.openxmlformats.org/officeDocument/2006/relationships/hyperlink" Target="https://osu.ppy.sh/community/matches/110063252" TargetMode="External"/><Relationship Id="rId17" Type="http://schemas.openxmlformats.org/officeDocument/2006/relationships/hyperlink" Target="https://osu.ppy.sh/community/matches/110178185" TargetMode="External"/><Relationship Id="rId16" Type="http://schemas.openxmlformats.org/officeDocument/2006/relationships/hyperlink" Target="https://osu.ppy.sh/community/matches/110206456" TargetMode="External"/><Relationship Id="rId19" Type="http://schemas.openxmlformats.org/officeDocument/2006/relationships/hyperlink" Target="https://osu.ppy.sh/community/matches/110194908" TargetMode="External"/><Relationship Id="rId18" Type="http://schemas.openxmlformats.org/officeDocument/2006/relationships/hyperlink" Target="https://osu.ppy.sh/community/matches/11019049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osu.ppy.sh/users/17959882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.38"/>
    <col customWidth="1" min="3" max="3" width="12.63"/>
    <col customWidth="1" min="4" max="4" width="1.38"/>
    <col customWidth="1" min="5" max="5" width="7.0"/>
    <col customWidth="1" min="6" max="6" width="12.63"/>
    <col customWidth="1" min="7" max="7" width="7.0"/>
    <col customWidth="1" min="8" max="8" width="12.63"/>
    <col customWidth="1" min="9" max="9" width="7.0"/>
    <col customWidth="1" min="10" max="10" width="12.63"/>
    <col customWidth="1" min="11" max="11" width="31.38"/>
    <col customWidth="1" min="12" max="14" width="1.38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ht="30.0" customHeight="1">
      <c r="A3" s="3"/>
      <c r="B3" s="2"/>
      <c r="C3" s="4" t="s">
        <v>0</v>
      </c>
      <c r="D3" s="5"/>
      <c r="E3" s="6" t="str">
        <f>IMAGE("https://a.ppy.sh/17959882?1687932364.jpeg")</f>
        <v/>
      </c>
      <c r="F3" s="4" t="s">
        <v>1</v>
      </c>
      <c r="G3" s="6" t="str">
        <f>IMAGE("https://a.ppy.sh/14238097?1686376598.jpeg)")</f>
        <v/>
      </c>
      <c r="H3" s="4" t="s">
        <v>2</v>
      </c>
      <c r="I3" s="6" t="str">
        <f>IMAGE("https://a.ppy.sh/17959882?1687932364.jpeg")</f>
        <v/>
      </c>
      <c r="J3" s="4" t="s">
        <v>3</v>
      </c>
      <c r="K3" s="7" t="s">
        <v>4</v>
      </c>
      <c r="M3" s="2"/>
      <c r="N3" s="1"/>
    </row>
    <row r="4" ht="11.25" customHeight="1">
      <c r="A4" s="3"/>
      <c r="B4" s="2"/>
      <c r="D4" s="5"/>
      <c r="F4" s="8" t="s">
        <v>5</v>
      </c>
      <c r="H4" s="8" t="s">
        <v>6</v>
      </c>
      <c r="J4" s="8" t="s">
        <v>7</v>
      </c>
      <c r="K4" s="9"/>
      <c r="M4" s="2"/>
      <c r="N4" s="1"/>
    </row>
    <row r="5" ht="3.75" customHeight="1">
      <c r="A5" s="1"/>
      <c r="B5" s="2"/>
      <c r="C5" s="2"/>
      <c r="D5" s="10"/>
      <c r="E5" s="2"/>
      <c r="F5" s="2"/>
      <c r="G5" s="2"/>
      <c r="H5" s="2"/>
      <c r="I5" s="2"/>
      <c r="J5" s="2"/>
      <c r="K5" s="10"/>
      <c r="L5" s="2"/>
      <c r="M5" s="2"/>
      <c r="N5" s="1"/>
    </row>
    <row r="6" ht="30.0" customHeight="1">
      <c r="A6" s="3"/>
      <c r="B6" s="2"/>
      <c r="C6" s="11" t="s">
        <v>8</v>
      </c>
      <c r="D6" s="5"/>
      <c r="E6" s="12" t="str">
        <f>IMAGE("https://a.ppy.sh/17959882?1687932364.jpeg")</f>
        <v/>
      </c>
      <c r="F6" s="13" t="s">
        <v>1</v>
      </c>
      <c r="G6" s="12" t="str">
        <f>IMAGE("https://a.ppy.sh/14238097?1686376598.jpeg)")</f>
        <v/>
      </c>
      <c r="H6" s="13" t="s">
        <v>2</v>
      </c>
      <c r="I6" s="12" t="str">
        <f>IMAGE("https://a.ppy.sh/17959882?1687932364.jpeg")</f>
        <v/>
      </c>
      <c r="J6" s="13" t="s">
        <v>3</v>
      </c>
      <c r="K6" s="14" t="s">
        <v>9</v>
      </c>
      <c r="M6" s="2"/>
      <c r="N6" s="1"/>
    </row>
    <row r="7" ht="11.25" customHeight="1">
      <c r="A7" s="3"/>
      <c r="B7" s="2"/>
      <c r="D7" s="5"/>
      <c r="F7" s="15" t="s">
        <v>5</v>
      </c>
      <c r="H7" s="15" t="s">
        <v>6</v>
      </c>
      <c r="J7" s="15" t="s">
        <v>7</v>
      </c>
      <c r="K7" s="9"/>
      <c r="M7" s="2"/>
      <c r="N7" s="1"/>
    </row>
    <row r="8" ht="3.75" customHeight="1">
      <c r="A8" s="1"/>
      <c r="B8" s="2"/>
      <c r="C8" s="16"/>
      <c r="D8" s="10"/>
      <c r="E8" s="2"/>
      <c r="F8" s="2"/>
      <c r="G8" s="2"/>
      <c r="H8" s="2"/>
      <c r="I8" s="2"/>
      <c r="J8" s="2"/>
      <c r="K8" s="10"/>
      <c r="L8" s="2"/>
      <c r="M8" s="2"/>
      <c r="N8" s="1"/>
    </row>
    <row r="9" ht="30.0" customHeight="1">
      <c r="A9" s="3"/>
      <c r="B9" s="2"/>
      <c r="C9" s="11" t="s">
        <v>8</v>
      </c>
      <c r="D9" s="5"/>
      <c r="E9" s="12" t="str">
        <f>IMAGE("https://a.ppy.sh/17959882?1687932364.jpeg")</f>
        <v/>
      </c>
      <c r="F9" s="13" t="s">
        <v>1</v>
      </c>
      <c r="G9" s="12" t="str">
        <f>IMAGE("https://a.ppy.sh/14238097?1686376598.jpeg)")</f>
        <v/>
      </c>
      <c r="H9" s="13" t="s">
        <v>2</v>
      </c>
      <c r="I9" s="12" t="str">
        <f>IMAGE("https://a.ppy.sh/17959882?1687932364.jpeg")</f>
        <v/>
      </c>
      <c r="J9" s="13" t="s">
        <v>3</v>
      </c>
      <c r="K9" s="14" t="s">
        <v>9</v>
      </c>
      <c r="L9" s="17"/>
      <c r="M9" s="2"/>
      <c r="N9" s="1"/>
    </row>
    <row r="10" ht="11.25" customHeight="1">
      <c r="A10" s="3"/>
      <c r="B10" s="2"/>
      <c r="D10" s="5"/>
      <c r="F10" s="15" t="s">
        <v>5</v>
      </c>
      <c r="H10" s="15" t="s">
        <v>6</v>
      </c>
      <c r="J10" s="15" t="s">
        <v>7</v>
      </c>
      <c r="K10" s="9"/>
      <c r="L10" s="17"/>
      <c r="M10" s="2"/>
      <c r="N10" s="1"/>
    </row>
    <row r="11" ht="3.75" customHeight="1">
      <c r="A11" s="1"/>
      <c r="B11" s="2"/>
      <c r="C11" s="16"/>
      <c r="D11" s="10"/>
      <c r="E11" s="2"/>
      <c r="F11" s="2"/>
      <c r="G11" s="2"/>
      <c r="H11" s="2"/>
      <c r="I11" s="2"/>
      <c r="J11" s="2"/>
      <c r="K11" s="10"/>
      <c r="L11" s="2"/>
      <c r="M11" s="2"/>
      <c r="N11" s="1"/>
    </row>
    <row r="12" ht="30.0" customHeight="1">
      <c r="A12" s="3"/>
      <c r="B12" s="2"/>
      <c r="C12" s="11" t="s">
        <v>8</v>
      </c>
      <c r="D12" s="5"/>
      <c r="E12" s="12" t="str">
        <f>IMAGE("https://a.ppy.sh/17959882?1687932364.jpeg")</f>
        <v/>
      </c>
      <c r="F12" s="13" t="s">
        <v>1</v>
      </c>
      <c r="G12" s="12" t="str">
        <f>IMAGE("https://a.ppy.sh/14238097?1686376598.jpeg)")</f>
        <v/>
      </c>
      <c r="H12" s="13" t="s">
        <v>2</v>
      </c>
      <c r="I12" s="12" t="str">
        <f>IMAGE("https://a.ppy.sh/17959882?1687932364.jpeg")</f>
        <v/>
      </c>
      <c r="J12" s="13" t="s">
        <v>3</v>
      </c>
      <c r="K12" s="14" t="s">
        <v>9</v>
      </c>
      <c r="L12" s="17"/>
      <c r="M12" s="2"/>
      <c r="N12" s="1"/>
    </row>
    <row r="13" ht="11.25" customHeight="1">
      <c r="A13" s="3"/>
      <c r="B13" s="2"/>
      <c r="D13" s="5"/>
      <c r="F13" s="15" t="s">
        <v>5</v>
      </c>
      <c r="H13" s="15" t="s">
        <v>6</v>
      </c>
      <c r="J13" s="15" t="s">
        <v>7</v>
      </c>
      <c r="K13" s="9"/>
      <c r="L13" s="17"/>
      <c r="M13" s="2"/>
      <c r="N13" s="1"/>
    </row>
    <row r="14" ht="3.75" customHeight="1">
      <c r="A14" s="1"/>
      <c r="B14" s="2"/>
      <c r="C14" s="16"/>
      <c r="D14" s="10"/>
      <c r="E14" s="2"/>
      <c r="F14" s="2"/>
      <c r="G14" s="2"/>
      <c r="H14" s="2"/>
      <c r="I14" s="2"/>
      <c r="J14" s="2"/>
      <c r="K14" s="10"/>
      <c r="L14" s="2"/>
      <c r="M14" s="2"/>
      <c r="N14" s="1"/>
    </row>
    <row r="15" ht="30.0" customHeight="1">
      <c r="A15" s="3"/>
      <c r="B15" s="2"/>
      <c r="C15" s="11" t="s">
        <v>8</v>
      </c>
      <c r="D15" s="5"/>
      <c r="E15" s="12" t="str">
        <f>IMAGE("https://a.ppy.sh/17959882?1687932364.jpeg")</f>
        <v/>
      </c>
      <c r="F15" s="13" t="s">
        <v>1</v>
      </c>
      <c r="G15" s="12" t="str">
        <f>IMAGE("https://a.ppy.sh/14238097?1686376598.jpeg)")</f>
        <v/>
      </c>
      <c r="H15" s="13" t="s">
        <v>2</v>
      </c>
      <c r="I15" s="12" t="str">
        <f>IMAGE("https://a.ppy.sh/17959882?1687932364.jpeg")</f>
        <v/>
      </c>
      <c r="J15" s="13" t="s">
        <v>3</v>
      </c>
      <c r="K15" s="14" t="s">
        <v>9</v>
      </c>
      <c r="L15" s="17"/>
      <c r="M15" s="2"/>
      <c r="N15" s="1"/>
    </row>
    <row r="16" ht="11.25" customHeight="1">
      <c r="A16" s="3"/>
      <c r="B16" s="2"/>
      <c r="D16" s="5"/>
      <c r="F16" s="15" t="s">
        <v>5</v>
      </c>
      <c r="H16" s="15" t="s">
        <v>6</v>
      </c>
      <c r="J16" s="15" t="s">
        <v>7</v>
      </c>
      <c r="K16" s="9"/>
      <c r="L16" s="17"/>
      <c r="M16" s="2"/>
      <c r="N16" s="1"/>
    </row>
    <row r="17" ht="3.75" customHeight="1">
      <c r="A17" s="1"/>
      <c r="B17" s="2"/>
      <c r="C17" s="16"/>
      <c r="D17" s="10"/>
      <c r="E17" s="2"/>
      <c r="F17" s="2"/>
      <c r="G17" s="2"/>
      <c r="H17" s="2"/>
      <c r="I17" s="2"/>
      <c r="J17" s="2"/>
      <c r="K17" s="10"/>
      <c r="L17" s="2"/>
      <c r="M17" s="2"/>
      <c r="N17" s="1"/>
    </row>
    <row r="18" ht="30.0" customHeight="1">
      <c r="A18" s="3"/>
      <c r="B18" s="2"/>
      <c r="C18" s="11" t="s">
        <v>8</v>
      </c>
      <c r="D18" s="5"/>
      <c r="E18" s="12" t="str">
        <f>IMAGE("https://a.ppy.sh/17959882?1687932364.jpeg")</f>
        <v/>
      </c>
      <c r="F18" s="13" t="s">
        <v>1</v>
      </c>
      <c r="G18" s="12" t="str">
        <f>IMAGE("https://a.ppy.sh/14238097?1686376598.jpeg)")</f>
        <v/>
      </c>
      <c r="H18" s="13" t="s">
        <v>2</v>
      </c>
      <c r="I18" s="12" t="str">
        <f>IMAGE("https://a.ppy.sh/17959882?1687932364.jpeg")</f>
        <v/>
      </c>
      <c r="J18" s="13" t="s">
        <v>3</v>
      </c>
      <c r="K18" s="14" t="s">
        <v>9</v>
      </c>
      <c r="L18" s="17"/>
      <c r="M18" s="2"/>
      <c r="N18" s="1"/>
    </row>
    <row r="19" ht="11.25" customHeight="1">
      <c r="A19" s="3"/>
      <c r="B19" s="2"/>
      <c r="D19" s="5"/>
      <c r="F19" s="15" t="s">
        <v>5</v>
      </c>
      <c r="H19" s="15" t="s">
        <v>6</v>
      </c>
      <c r="J19" s="15" t="s">
        <v>7</v>
      </c>
      <c r="K19" s="9"/>
      <c r="L19" s="17"/>
      <c r="M19" s="2"/>
      <c r="N19" s="1"/>
    </row>
    <row r="20" ht="3.75" customHeight="1">
      <c r="A20" s="1"/>
      <c r="B20" s="2"/>
      <c r="C20" s="16"/>
      <c r="D20" s="10"/>
      <c r="E20" s="2"/>
      <c r="F20" s="2"/>
      <c r="G20" s="2"/>
      <c r="H20" s="2"/>
      <c r="I20" s="2"/>
      <c r="J20" s="2"/>
      <c r="K20" s="10"/>
      <c r="L20" s="2"/>
      <c r="M20" s="2"/>
      <c r="N20" s="1"/>
    </row>
    <row r="21" ht="30.0" customHeight="1">
      <c r="A21" s="3"/>
      <c r="B21" s="2"/>
      <c r="C21" s="11" t="s">
        <v>8</v>
      </c>
      <c r="D21" s="5"/>
      <c r="E21" s="12" t="str">
        <f>IMAGE("https://a.ppy.sh/17959882?1687932364.jpeg")</f>
        <v/>
      </c>
      <c r="F21" s="13" t="s">
        <v>1</v>
      </c>
      <c r="G21" s="12" t="str">
        <f>IMAGE("https://a.ppy.sh/14238097?1686376598.jpeg)")</f>
        <v/>
      </c>
      <c r="H21" s="13" t="s">
        <v>2</v>
      </c>
      <c r="I21" s="12" t="str">
        <f>IMAGE("https://a.ppy.sh/17959882?1687932364.jpeg")</f>
        <v/>
      </c>
      <c r="J21" s="13" t="s">
        <v>3</v>
      </c>
      <c r="K21" s="14" t="s">
        <v>9</v>
      </c>
      <c r="L21" s="17"/>
      <c r="M21" s="2"/>
      <c r="N21" s="1"/>
    </row>
    <row r="22" ht="11.25" customHeight="1">
      <c r="A22" s="3"/>
      <c r="B22" s="2"/>
      <c r="D22" s="5"/>
      <c r="F22" s="15" t="s">
        <v>5</v>
      </c>
      <c r="H22" s="15" t="s">
        <v>6</v>
      </c>
      <c r="J22" s="15" t="s">
        <v>7</v>
      </c>
      <c r="K22" s="9"/>
      <c r="L22" s="17"/>
      <c r="M22" s="2"/>
      <c r="N22" s="1"/>
    </row>
    <row r="23" ht="3.75" customHeight="1">
      <c r="A23" s="1"/>
      <c r="B23" s="2"/>
      <c r="C23" s="16"/>
      <c r="D23" s="10"/>
      <c r="E23" s="2"/>
      <c r="F23" s="2"/>
      <c r="G23" s="2"/>
      <c r="H23" s="2"/>
      <c r="I23" s="2"/>
      <c r="J23" s="2"/>
      <c r="K23" s="10"/>
      <c r="L23" s="2"/>
      <c r="M23" s="2"/>
      <c r="N23" s="1"/>
    </row>
    <row r="24" ht="30.0" customHeight="1">
      <c r="A24" s="3"/>
      <c r="B24" s="2"/>
      <c r="C24" s="11" t="s">
        <v>8</v>
      </c>
      <c r="D24" s="5"/>
      <c r="E24" s="12" t="str">
        <f>IMAGE("https://a.ppy.sh/17959882?1687932364.jpeg")</f>
        <v/>
      </c>
      <c r="F24" s="13" t="s">
        <v>1</v>
      </c>
      <c r="G24" s="12" t="str">
        <f>IMAGE("https://a.ppy.sh/14238097?1686376598.jpeg)")</f>
        <v/>
      </c>
      <c r="H24" s="13" t="s">
        <v>2</v>
      </c>
      <c r="I24" s="12" t="str">
        <f>IMAGE("https://a.ppy.sh/17959882?1687932364.jpeg")</f>
        <v/>
      </c>
      <c r="J24" s="13" t="s">
        <v>3</v>
      </c>
      <c r="K24" s="14" t="s">
        <v>9</v>
      </c>
      <c r="L24" s="17"/>
      <c r="M24" s="2"/>
      <c r="N24" s="1"/>
    </row>
    <row r="25" ht="11.25" customHeight="1">
      <c r="A25" s="3"/>
      <c r="B25" s="2"/>
      <c r="D25" s="5"/>
      <c r="F25" s="15" t="s">
        <v>5</v>
      </c>
      <c r="H25" s="15" t="s">
        <v>6</v>
      </c>
      <c r="J25" s="15" t="s">
        <v>7</v>
      </c>
      <c r="K25" s="9"/>
      <c r="L25" s="17"/>
      <c r="M25" s="2"/>
      <c r="N25" s="1"/>
    </row>
    <row r="26" ht="3.75" customHeight="1">
      <c r="A26" s="1"/>
      <c r="B26" s="2"/>
      <c r="C26" s="16"/>
      <c r="D26" s="10"/>
      <c r="E26" s="2"/>
      <c r="F26" s="2"/>
      <c r="G26" s="2"/>
      <c r="H26" s="2"/>
      <c r="I26" s="2"/>
      <c r="J26" s="2"/>
      <c r="K26" s="10"/>
      <c r="L26" s="2"/>
      <c r="M26" s="2"/>
      <c r="N26" s="1"/>
    </row>
    <row r="27" ht="30.0" customHeight="1">
      <c r="A27" s="3"/>
      <c r="B27" s="2"/>
      <c r="C27" s="11" t="s">
        <v>8</v>
      </c>
      <c r="D27" s="5"/>
      <c r="E27" s="12" t="str">
        <f>IMAGE("https://a.ppy.sh/17959882?1687932364.jpeg")</f>
        <v/>
      </c>
      <c r="F27" s="13" t="s">
        <v>1</v>
      </c>
      <c r="G27" s="12" t="str">
        <f>IMAGE("https://a.ppy.sh/14238097?1686376598.jpeg)")</f>
        <v/>
      </c>
      <c r="H27" s="13" t="s">
        <v>2</v>
      </c>
      <c r="I27" s="12" t="str">
        <f>IMAGE("https://a.ppy.sh/17959882?1687932364.jpeg")</f>
        <v/>
      </c>
      <c r="J27" s="13" t="s">
        <v>3</v>
      </c>
      <c r="K27" s="14" t="s">
        <v>9</v>
      </c>
      <c r="L27" s="17"/>
      <c r="M27" s="2"/>
      <c r="N27" s="1"/>
    </row>
    <row r="28" ht="11.25" customHeight="1">
      <c r="A28" s="3"/>
      <c r="B28" s="2"/>
      <c r="D28" s="5"/>
      <c r="F28" s="15" t="s">
        <v>5</v>
      </c>
      <c r="H28" s="15" t="s">
        <v>6</v>
      </c>
      <c r="J28" s="15" t="s">
        <v>7</v>
      </c>
      <c r="K28" s="9"/>
      <c r="L28" s="17"/>
      <c r="M28" s="2"/>
      <c r="N28" s="1"/>
    </row>
    <row r="29" ht="3.75" customHeight="1">
      <c r="A29" s="1"/>
      <c r="B29" s="2"/>
      <c r="C29" s="16"/>
      <c r="D29" s="10"/>
      <c r="E29" s="2"/>
      <c r="F29" s="2"/>
      <c r="G29" s="2"/>
      <c r="H29" s="2"/>
      <c r="I29" s="2"/>
      <c r="J29" s="2"/>
      <c r="K29" s="10"/>
      <c r="L29" s="2"/>
      <c r="M29" s="2"/>
      <c r="N29" s="1"/>
    </row>
    <row r="30" ht="30.0" customHeight="1">
      <c r="A30" s="3"/>
      <c r="B30" s="2"/>
      <c r="C30" s="11" t="s">
        <v>8</v>
      </c>
      <c r="D30" s="5"/>
      <c r="E30" s="12" t="str">
        <f>IMAGE("https://a.ppy.sh/17959882?1687932364.jpeg")</f>
        <v/>
      </c>
      <c r="F30" s="13" t="s">
        <v>1</v>
      </c>
      <c r="G30" s="12" t="str">
        <f>IMAGE("https://a.ppy.sh/14238097?1686376598.jpeg)")</f>
        <v/>
      </c>
      <c r="H30" s="13" t="s">
        <v>2</v>
      </c>
      <c r="I30" s="12" t="str">
        <f>IMAGE("https://a.ppy.sh/17959882?1687932364.jpeg")</f>
        <v/>
      </c>
      <c r="J30" s="13" t="s">
        <v>3</v>
      </c>
      <c r="K30" s="14" t="s">
        <v>9</v>
      </c>
      <c r="L30" s="17"/>
      <c r="M30" s="2"/>
      <c r="N30" s="1"/>
    </row>
    <row r="31" ht="11.25" customHeight="1">
      <c r="A31" s="3"/>
      <c r="B31" s="2"/>
      <c r="D31" s="5"/>
      <c r="F31" s="15" t="s">
        <v>5</v>
      </c>
      <c r="H31" s="15" t="s">
        <v>6</v>
      </c>
      <c r="J31" s="15" t="s">
        <v>7</v>
      </c>
      <c r="K31" s="9"/>
      <c r="L31" s="17"/>
      <c r="M31" s="2"/>
      <c r="N31" s="1"/>
    </row>
    <row r="32" ht="3.75" customHeight="1">
      <c r="A32" s="1"/>
      <c r="B32" s="2"/>
      <c r="C32" s="16"/>
      <c r="D32" s="10"/>
      <c r="E32" s="2"/>
      <c r="F32" s="2"/>
      <c r="G32" s="2"/>
      <c r="H32" s="2"/>
      <c r="I32" s="2"/>
      <c r="J32" s="2"/>
      <c r="K32" s="10"/>
      <c r="L32" s="2"/>
      <c r="M32" s="2"/>
      <c r="N32" s="1"/>
    </row>
    <row r="33" ht="30.0" customHeight="1">
      <c r="A33" s="3"/>
      <c r="B33" s="2"/>
      <c r="C33" s="11" t="s">
        <v>8</v>
      </c>
      <c r="D33" s="5"/>
      <c r="E33" s="12" t="str">
        <f>IMAGE("https://a.ppy.sh/17959882?1687932364.jpeg")</f>
        <v/>
      </c>
      <c r="F33" s="13" t="s">
        <v>1</v>
      </c>
      <c r="G33" s="12" t="str">
        <f>IMAGE("https://a.ppy.sh/14238097?1686376598.jpeg)")</f>
        <v/>
      </c>
      <c r="H33" s="13" t="s">
        <v>2</v>
      </c>
      <c r="I33" s="12" t="str">
        <f>IMAGE("https://a.ppy.sh/17959882?1687932364.jpeg")</f>
        <v/>
      </c>
      <c r="J33" s="13" t="s">
        <v>3</v>
      </c>
      <c r="K33" s="14" t="s">
        <v>9</v>
      </c>
      <c r="L33" s="17"/>
      <c r="M33" s="2"/>
      <c r="N33" s="1"/>
    </row>
    <row r="34" ht="11.25" customHeight="1">
      <c r="A34" s="3"/>
      <c r="B34" s="2"/>
      <c r="D34" s="5"/>
      <c r="F34" s="15" t="s">
        <v>5</v>
      </c>
      <c r="H34" s="15" t="s">
        <v>6</v>
      </c>
      <c r="J34" s="15" t="s">
        <v>7</v>
      </c>
      <c r="K34" s="9"/>
      <c r="L34" s="17"/>
      <c r="M34" s="2"/>
      <c r="N34" s="1"/>
    </row>
    <row r="35" ht="3.75" customHeight="1">
      <c r="A35" s="1"/>
      <c r="B35" s="2"/>
      <c r="C35" s="16"/>
      <c r="D35" s="10"/>
      <c r="E35" s="2"/>
      <c r="F35" s="2"/>
      <c r="G35" s="2"/>
      <c r="H35" s="2"/>
      <c r="I35" s="2"/>
      <c r="J35" s="2"/>
      <c r="K35" s="10"/>
      <c r="L35" s="2"/>
      <c r="M35" s="2"/>
      <c r="N35" s="1"/>
    </row>
    <row r="36" ht="30.0" customHeight="1">
      <c r="A36" s="3"/>
      <c r="B36" s="2"/>
      <c r="C36" s="11" t="s">
        <v>8</v>
      </c>
      <c r="D36" s="5"/>
      <c r="E36" s="12" t="str">
        <f>IMAGE("https://a.ppy.sh/17959882?1687932364.jpeg")</f>
        <v/>
      </c>
      <c r="F36" s="13" t="s">
        <v>1</v>
      </c>
      <c r="G36" s="12" t="str">
        <f>IMAGE("https://a.ppy.sh/14238097?1686376598.jpeg)")</f>
        <v/>
      </c>
      <c r="H36" s="13" t="s">
        <v>2</v>
      </c>
      <c r="I36" s="12" t="str">
        <f>IMAGE("https://a.ppy.sh/17959882?1687932364.jpeg")</f>
        <v/>
      </c>
      <c r="J36" s="13" t="s">
        <v>3</v>
      </c>
      <c r="K36" s="14" t="s">
        <v>9</v>
      </c>
      <c r="L36" s="17"/>
      <c r="M36" s="2"/>
      <c r="N36" s="1"/>
    </row>
    <row r="37" ht="11.25" customHeight="1">
      <c r="A37" s="3"/>
      <c r="B37" s="2"/>
      <c r="D37" s="5"/>
      <c r="F37" s="15" t="s">
        <v>5</v>
      </c>
      <c r="H37" s="15" t="s">
        <v>6</v>
      </c>
      <c r="J37" s="15" t="s">
        <v>7</v>
      </c>
      <c r="K37" s="9"/>
      <c r="L37" s="17"/>
      <c r="M37" s="2"/>
      <c r="N37" s="1"/>
    </row>
    <row r="38" ht="3.75" customHeight="1">
      <c r="A38" s="1"/>
      <c r="B38" s="2"/>
      <c r="C38" s="16"/>
      <c r="D38" s="10"/>
      <c r="E38" s="2"/>
      <c r="F38" s="2"/>
      <c r="G38" s="2"/>
      <c r="H38" s="2"/>
      <c r="I38" s="2"/>
      <c r="J38" s="2"/>
      <c r="K38" s="10"/>
      <c r="L38" s="2"/>
      <c r="M38" s="2"/>
      <c r="N38" s="1"/>
    </row>
    <row r="39" ht="30.0" customHeight="1">
      <c r="A39" s="3"/>
      <c r="B39" s="2"/>
      <c r="C39" s="11" t="s">
        <v>8</v>
      </c>
      <c r="D39" s="5"/>
      <c r="E39" s="12" t="str">
        <f>IMAGE("https://a.ppy.sh/17959882?1687932364.jpeg")</f>
        <v/>
      </c>
      <c r="F39" s="13" t="s">
        <v>1</v>
      </c>
      <c r="G39" s="12" t="str">
        <f>IMAGE("https://a.ppy.sh/14238097?1686376598.jpeg)")</f>
        <v/>
      </c>
      <c r="H39" s="13" t="s">
        <v>2</v>
      </c>
      <c r="I39" s="12" t="str">
        <f>IMAGE("https://a.ppy.sh/17959882?1687932364.jpeg")</f>
        <v/>
      </c>
      <c r="J39" s="13" t="s">
        <v>3</v>
      </c>
      <c r="K39" s="14" t="s">
        <v>9</v>
      </c>
      <c r="L39" s="17"/>
      <c r="M39" s="2"/>
      <c r="N39" s="1"/>
    </row>
    <row r="40" ht="11.25" customHeight="1">
      <c r="A40" s="3"/>
      <c r="B40" s="2"/>
      <c r="D40" s="5"/>
      <c r="F40" s="15" t="s">
        <v>5</v>
      </c>
      <c r="H40" s="15" t="s">
        <v>6</v>
      </c>
      <c r="J40" s="15" t="s">
        <v>7</v>
      </c>
      <c r="K40" s="9"/>
      <c r="L40" s="17"/>
      <c r="M40" s="2"/>
      <c r="N40" s="1"/>
    </row>
    <row r="41" ht="3.75" customHeight="1">
      <c r="A41" s="1"/>
      <c r="B41" s="2"/>
      <c r="C41" s="16"/>
      <c r="D41" s="10"/>
      <c r="E41" s="2"/>
      <c r="F41" s="2"/>
      <c r="G41" s="2"/>
      <c r="H41" s="2"/>
      <c r="I41" s="2"/>
      <c r="J41" s="2"/>
      <c r="K41" s="10"/>
      <c r="L41" s="2"/>
      <c r="M41" s="2"/>
      <c r="N41" s="1"/>
    </row>
    <row r="42" ht="30.0" customHeight="1">
      <c r="A42" s="3"/>
      <c r="B42" s="2"/>
      <c r="C42" s="11" t="s">
        <v>8</v>
      </c>
      <c r="D42" s="5"/>
      <c r="E42" s="12" t="str">
        <f>IMAGE("https://a.ppy.sh/17959882?1687932364.jpeg")</f>
        <v/>
      </c>
      <c r="F42" s="13" t="s">
        <v>1</v>
      </c>
      <c r="G42" s="12" t="str">
        <f>IMAGE("https://a.ppy.sh/14238097?1686376598.jpeg)")</f>
        <v/>
      </c>
      <c r="H42" s="13" t="s">
        <v>2</v>
      </c>
      <c r="I42" s="12" t="str">
        <f>IMAGE("https://a.ppy.sh/17959882?1687932364.jpeg")</f>
        <v/>
      </c>
      <c r="J42" s="13" t="s">
        <v>3</v>
      </c>
      <c r="K42" s="14" t="s">
        <v>9</v>
      </c>
      <c r="L42" s="17"/>
      <c r="M42" s="2"/>
      <c r="N42" s="1"/>
    </row>
    <row r="43" ht="11.25" customHeight="1">
      <c r="A43" s="3"/>
      <c r="B43" s="2"/>
      <c r="D43" s="5"/>
      <c r="F43" s="15" t="s">
        <v>5</v>
      </c>
      <c r="H43" s="15" t="s">
        <v>6</v>
      </c>
      <c r="J43" s="15" t="s">
        <v>7</v>
      </c>
      <c r="K43" s="9"/>
      <c r="L43" s="17"/>
      <c r="M43" s="2"/>
      <c r="N43" s="1"/>
    </row>
    <row r="44" ht="3.75" customHeight="1">
      <c r="A44" s="1"/>
      <c r="B44" s="2"/>
      <c r="C44" s="16"/>
      <c r="D44" s="10"/>
      <c r="E44" s="2"/>
      <c r="F44" s="2"/>
      <c r="G44" s="2"/>
      <c r="H44" s="2"/>
      <c r="I44" s="2"/>
      <c r="J44" s="2"/>
      <c r="K44" s="10"/>
      <c r="L44" s="2"/>
      <c r="M44" s="2"/>
      <c r="N44" s="1"/>
    </row>
    <row r="45" ht="30.0" customHeight="1">
      <c r="A45" s="3"/>
      <c r="B45" s="2"/>
      <c r="C45" s="11" t="s">
        <v>8</v>
      </c>
      <c r="D45" s="5"/>
      <c r="E45" s="12" t="str">
        <f>IMAGE("https://a.ppy.sh/17959882?1687932364.jpeg")</f>
        <v/>
      </c>
      <c r="F45" s="13" t="s">
        <v>1</v>
      </c>
      <c r="G45" s="12" t="str">
        <f>IMAGE("https://a.ppy.sh/14238097?1686376598.jpeg)")</f>
        <v/>
      </c>
      <c r="H45" s="13" t="s">
        <v>2</v>
      </c>
      <c r="I45" s="12" t="str">
        <f>IMAGE("https://a.ppy.sh/17959882?1687932364.jpeg")</f>
        <v/>
      </c>
      <c r="J45" s="13" t="s">
        <v>3</v>
      </c>
      <c r="K45" s="14" t="s">
        <v>9</v>
      </c>
      <c r="L45" s="17"/>
      <c r="M45" s="2"/>
      <c r="N45" s="1"/>
    </row>
    <row r="46" ht="11.25" customHeight="1">
      <c r="A46" s="3"/>
      <c r="B46" s="2"/>
      <c r="D46" s="5"/>
      <c r="F46" s="15" t="s">
        <v>5</v>
      </c>
      <c r="H46" s="15" t="s">
        <v>6</v>
      </c>
      <c r="J46" s="15" t="s">
        <v>7</v>
      </c>
      <c r="K46" s="9"/>
      <c r="L46" s="17"/>
      <c r="M46" s="2"/>
      <c r="N46" s="1"/>
    </row>
    <row r="47" ht="3.75" customHeight="1">
      <c r="A47" s="1"/>
      <c r="B47" s="2"/>
      <c r="C47" s="16"/>
      <c r="D47" s="10"/>
      <c r="E47" s="2"/>
      <c r="F47" s="2"/>
      <c r="G47" s="2"/>
      <c r="H47" s="2"/>
      <c r="I47" s="2"/>
      <c r="J47" s="2"/>
      <c r="K47" s="10"/>
      <c r="L47" s="2"/>
      <c r="M47" s="2"/>
      <c r="N47" s="1"/>
    </row>
    <row r="48" ht="30.0" customHeight="1">
      <c r="A48" s="3"/>
      <c r="B48" s="2"/>
      <c r="C48" s="11" t="s">
        <v>8</v>
      </c>
      <c r="D48" s="5"/>
      <c r="E48" s="12" t="str">
        <f>IMAGE("https://a.ppy.sh/17959882?1687932364.jpeg")</f>
        <v/>
      </c>
      <c r="F48" s="13" t="s">
        <v>1</v>
      </c>
      <c r="G48" s="12" t="str">
        <f>IMAGE("https://a.ppy.sh/14238097?1686376598.jpeg)")</f>
        <v/>
      </c>
      <c r="H48" s="13" t="s">
        <v>2</v>
      </c>
      <c r="I48" s="12" t="str">
        <f>IMAGE("https://a.ppy.sh/17959882?1687932364.jpeg")</f>
        <v/>
      </c>
      <c r="J48" s="13" t="s">
        <v>3</v>
      </c>
      <c r="K48" s="14" t="s">
        <v>9</v>
      </c>
      <c r="L48" s="17"/>
      <c r="M48" s="2"/>
      <c r="N48" s="1"/>
    </row>
    <row r="49" ht="11.25" customHeight="1">
      <c r="A49" s="3"/>
      <c r="B49" s="2"/>
      <c r="D49" s="5"/>
      <c r="F49" s="15" t="s">
        <v>5</v>
      </c>
      <c r="H49" s="15" t="s">
        <v>6</v>
      </c>
      <c r="J49" s="15" t="s">
        <v>7</v>
      </c>
      <c r="K49" s="9"/>
      <c r="L49" s="17"/>
      <c r="M49" s="2"/>
      <c r="N49" s="1"/>
    </row>
    <row r="50" ht="3.75" customHeight="1">
      <c r="A50" s="1"/>
      <c r="B50" s="2"/>
      <c r="C50" s="16"/>
      <c r="D50" s="10"/>
      <c r="E50" s="2"/>
      <c r="F50" s="2"/>
      <c r="G50" s="2"/>
      <c r="H50" s="2"/>
      <c r="I50" s="2"/>
      <c r="J50" s="2"/>
      <c r="K50" s="10"/>
      <c r="L50" s="2"/>
      <c r="M50" s="2"/>
      <c r="N50" s="1"/>
    </row>
    <row r="51" ht="30.0" customHeight="1">
      <c r="A51" s="3"/>
      <c r="B51" s="2"/>
      <c r="C51" s="11" t="s">
        <v>8</v>
      </c>
      <c r="D51" s="5"/>
      <c r="E51" s="12" t="str">
        <f>IMAGE("https://a.ppy.sh/17959882?1687932364.jpeg")</f>
        <v/>
      </c>
      <c r="F51" s="13" t="s">
        <v>1</v>
      </c>
      <c r="G51" s="12" t="str">
        <f>IMAGE("https://a.ppy.sh/14238097?1686376598.jpeg)")</f>
        <v/>
      </c>
      <c r="H51" s="13" t="s">
        <v>2</v>
      </c>
      <c r="I51" s="12" t="str">
        <f>IMAGE("https://a.ppy.sh/17959882?1687932364.jpeg")</f>
        <v/>
      </c>
      <c r="J51" s="13" t="s">
        <v>3</v>
      </c>
      <c r="K51" s="14" t="s">
        <v>9</v>
      </c>
      <c r="L51" s="17"/>
      <c r="M51" s="2"/>
      <c r="N51" s="1"/>
    </row>
    <row r="52" ht="11.25" customHeight="1">
      <c r="A52" s="3"/>
      <c r="B52" s="2"/>
      <c r="D52" s="5"/>
      <c r="F52" s="15" t="s">
        <v>5</v>
      </c>
      <c r="H52" s="15" t="s">
        <v>6</v>
      </c>
      <c r="J52" s="15" t="s">
        <v>7</v>
      </c>
      <c r="K52" s="9"/>
      <c r="L52" s="17"/>
      <c r="M52" s="2"/>
      <c r="N52" s="1"/>
    </row>
    <row r="53" ht="3.75" customHeight="1">
      <c r="A53" s="1"/>
      <c r="B53" s="2"/>
      <c r="C53" s="16"/>
      <c r="D53" s="10"/>
      <c r="E53" s="2"/>
      <c r="F53" s="2"/>
      <c r="G53" s="2"/>
      <c r="H53" s="2"/>
      <c r="I53" s="2"/>
      <c r="J53" s="2"/>
      <c r="K53" s="10"/>
      <c r="L53" s="2"/>
      <c r="M53" s="2"/>
      <c r="N53" s="1"/>
    </row>
    <row r="54" ht="30.0" customHeight="1">
      <c r="A54" s="3"/>
      <c r="B54" s="2"/>
      <c r="C54" s="11" t="s">
        <v>8</v>
      </c>
      <c r="D54" s="5"/>
      <c r="E54" s="12" t="str">
        <f>IMAGE("https://a.ppy.sh/17959882?1687932364.jpeg")</f>
        <v/>
      </c>
      <c r="F54" s="13" t="s">
        <v>1</v>
      </c>
      <c r="G54" s="12" t="str">
        <f>IMAGE("https://a.ppy.sh/14238097?1686376598.jpeg)")</f>
        <v/>
      </c>
      <c r="H54" s="13" t="s">
        <v>2</v>
      </c>
      <c r="I54" s="12" t="str">
        <f>IMAGE("https://a.ppy.sh/17959882?1687932364.jpeg")</f>
        <v/>
      </c>
      <c r="J54" s="13" t="s">
        <v>3</v>
      </c>
      <c r="K54" s="14" t="s">
        <v>9</v>
      </c>
      <c r="L54" s="17"/>
      <c r="M54" s="2"/>
      <c r="N54" s="1"/>
    </row>
    <row r="55" ht="11.25" customHeight="1">
      <c r="A55" s="3"/>
      <c r="B55" s="2"/>
      <c r="D55" s="5"/>
      <c r="F55" s="15" t="s">
        <v>5</v>
      </c>
      <c r="H55" s="15" t="s">
        <v>6</v>
      </c>
      <c r="J55" s="15" t="s">
        <v>7</v>
      </c>
      <c r="K55" s="9"/>
      <c r="L55" s="17"/>
      <c r="M55" s="2"/>
      <c r="N55" s="1"/>
    </row>
    <row r="56" ht="3.75" customHeight="1">
      <c r="A56" s="1"/>
      <c r="B56" s="2"/>
      <c r="C56" s="16"/>
      <c r="D56" s="10"/>
      <c r="E56" s="2"/>
      <c r="F56" s="2"/>
      <c r="G56" s="2"/>
      <c r="H56" s="2"/>
      <c r="I56" s="2"/>
      <c r="J56" s="2"/>
      <c r="K56" s="10"/>
      <c r="L56" s="2"/>
      <c r="M56" s="2"/>
      <c r="N56" s="1"/>
    </row>
    <row r="57" ht="30.0" customHeight="1">
      <c r="A57" s="3"/>
      <c r="B57" s="2"/>
      <c r="C57" s="11" t="s">
        <v>8</v>
      </c>
      <c r="D57" s="5"/>
      <c r="E57" s="12" t="str">
        <f>IMAGE("https://a.ppy.sh/17959882?1687932364.jpeg")</f>
        <v/>
      </c>
      <c r="F57" s="13" t="s">
        <v>1</v>
      </c>
      <c r="G57" s="12" t="str">
        <f>IMAGE("https://a.ppy.sh/14238097?1686376598.jpeg)")</f>
        <v/>
      </c>
      <c r="H57" s="13" t="s">
        <v>2</v>
      </c>
      <c r="I57" s="12" t="str">
        <f>IMAGE("https://a.ppy.sh/17959882?1687932364.jpeg")</f>
        <v/>
      </c>
      <c r="J57" s="13" t="s">
        <v>3</v>
      </c>
      <c r="K57" s="14" t="s">
        <v>9</v>
      </c>
      <c r="L57" s="17"/>
      <c r="M57" s="2"/>
      <c r="N57" s="1"/>
    </row>
    <row r="58" ht="11.25" customHeight="1">
      <c r="A58" s="3"/>
      <c r="B58" s="2"/>
      <c r="D58" s="5"/>
      <c r="F58" s="15" t="s">
        <v>5</v>
      </c>
      <c r="H58" s="15" t="s">
        <v>6</v>
      </c>
      <c r="J58" s="15" t="s">
        <v>7</v>
      </c>
      <c r="K58" s="9"/>
      <c r="L58" s="17"/>
      <c r="M58" s="2"/>
      <c r="N58" s="1"/>
    </row>
    <row r="59" ht="3.75" customHeight="1">
      <c r="A59" s="1"/>
      <c r="B59" s="2"/>
      <c r="C59" s="16"/>
      <c r="D59" s="10"/>
      <c r="E59" s="2"/>
      <c r="F59" s="2"/>
      <c r="G59" s="2"/>
      <c r="H59" s="2"/>
      <c r="I59" s="2"/>
      <c r="J59" s="2"/>
      <c r="K59" s="10"/>
      <c r="L59" s="2"/>
      <c r="M59" s="2"/>
      <c r="N59" s="1"/>
    </row>
    <row r="60" ht="30.0" customHeight="1">
      <c r="A60" s="3"/>
      <c r="B60" s="2"/>
      <c r="C60" s="11" t="s">
        <v>8</v>
      </c>
      <c r="D60" s="5"/>
      <c r="E60" s="12" t="str">
        <f>IMAGE("https://a.ppy.sh/17959882?1687932364.jpeg")</f>
        <v/>
      </c>
      <c r="F60" s="13" t="s">
        <v>1</v>
      </c>
      <c r="G60" s="12" t="str">
        <f>IMAGE("https://a.ppy.sh/14238097?1686376598.jpeg)")</f>
        <v/>
      </c>
      <c r="H60" s="13" t="s">
        <v>2</v>
      </c>
      <c r="I60" s="12" t="str">
        <f>IMAGE("https://a.ppy.sh/17959882?1687932364.jpeg")</f>
        <v/>
      </c>
      <c r="J60" s="13" t="s">
        <v>3</v>
      </c>
      <c r="K60" s="14" t="s">
        <v>9</v>
      </c>
      <c r="L60" s="17"/>
      <c r="M60" s="2"/>
      <c r="N60" s="1"/>
    </row>
    <row r="61" ht="11.25" customHeight="1">
      <c r="A61" s="3"/>
      <c r="B61" s="2"/>
      <c r="D61" s="5"/>
      <c r="F61" s="15" t="s">
        <v>5</v>
      </c>
      <c r="H61" s="15" t="s">
        <v>6</v>
      </c>
      <c r="J61" s="15" t="s">
        <v>7</v>
      </c>
      <c r="K61" s="9"/>
      <c r="L61" s="17"/>
      <c r="M61" s="2"/>
      <c r="N61" s="1"/>
    </row>
    <row r="62" ht="3.75" customHeight="1">
      <c r="A62" s="1"/>
      <c r="B62" s="2"/>
      <c r="C62" s="16"/>
      <c r="D62" s="10"/>
      <c r="E62" s="2"/>
      <c r="F62" s="2"/>
      <c r="G62" s="2"/>
      <c r="H62" s="2"/>
      <c r="I62" s="2"/>
      <c r="J62" s="2"/>
      <c r="K62" s="10"/>
      <c r="L62" s="2"/>
      <c r="M62" s="2"/>
      <c r="N62" s="1"/>
    </row>
    <row r="63" ht="30.0" customHeight="1">
      <c r="A63" s="3"/>
      <c r="B63" s="2"/>
      <c r="C63" s="11" t="s">
        <v>8</v>
      </c>
      <c r="D63" s="5"/>
      <c r="E63" s="12" t="str">
        <f>IMAGE("https://a.ppy.sh/17959882?1687932364.jpeg")</f>
        <v/>
      </c>
      <c r="F63" s="13" t="s">
        <v>1</v>
      </c>
      <c r="G63" s="12" t="str">
        <f>IMAGE("https://a.ppy.sh/14238097?1686376598.jpeg)")</f>
        <v/>
      </c>
      <c r="H63" s="13" t="s">
        <v>2</v>
      </c>
      <c r="I63" s="12" t="str">
        <f>IMAGE("https://a.ppy.sh/17959882?1687932364.jpeg")</f>
        <v/>
      </c>
      <c r="J63" s="13" t="s">
        <v>3</v>
      </c>
      <c r="K63" s="14" t="s">
        <v>9</v>
      </c>
      <c r="L63" s="17"/>
      <c r="M63" s="2"/>
      <c r="N63" s="1"/>
    </row>
    <row r="64" ht="11.25" customHeight="1">
      <c r="A64" s="3"/>
      <c r="B64" s="2"/>
      <c r="D64" s="5"/>
      <c r="F64" s="15" t="s">
        <v>5</v>
      </c>
      <c r="H64" s="15" t="s">
        <v>6</v>
      </c>
      <c r="J64" s="15" t="s">
        <v>7</v>
      </c>
      <c r="K64" s="9"/>
      <c r="L64" s="17"/>
      <c r="M64" s="2"/>
      <c r="N64" s="1"/>
    </row>
    <row r="65" ht="3.75" customHeight="1">
      <c r="A65" s="1"/>
      <c r="B65" s="2"/>
      <c r="C65" s="16"/>
      <c r="D65" s="10"/>
      <c r="E65" s="2"/>
      <c r="F65" s="2"/>
      <c r="G65" s="2"/>
      <c r="H65" s="2"/>
      <c r="I65" s="2"/>
      <c r="J65" s="2"/>
      <c r="K65" s="10"/>
      <c r="L65" s="2"/>
      <c r="M65" s="2"/>
      <c r="N65" s="1"/>
    </row>
    <row r="66" ht="30.0" customHeight="1">
      <c r="A66" s="3"/>
      <c r="B66" s="2"/>
      <c r="C66" s="11" t="s">
        <v>8</v>
      </c>
      <c r="D66" s="5"/>
      <c r="E66" s="12" t="str">
        <f>IMAGE("https://a.ppy.sh/17959882?1687932364.jpeg")</f>
        <v/>
      </c>
      <c r="F66" s="13" t="s">
        <v>1</v>
      </c>
      <c r="G66" s="12" t="str">
        <f>IMAGE("https://a.ppy.sh/14238097?1686376598.jpeg)")</f>
        <v/>
      </c>
      <c r="H66" s="13" t="s">
        <v>2</v>
      </c>
      <c r="I66" s="12" t="str">
        <f>IMAGE("https://a.ppy.sh/17959882?1687932364.jpeg")</f>
        <v/>
      </c>
      <c r="J66" s="13" t="s">
        <v>3</v>
      </c>
      <c r="K66" s="14" t="s">
        <v>9</v>
      </c>
      <c r="L66" s="17"/>
      <c r="M66" s="2"/>
      <c r="N66" s="1"/>
    </row>
    <row r="67" ht="11.25" customHeight="1">
      <c r="A67" s="3"/>
      <c r="B67" s="2"/>
      <c r="D67" s="5"/>
      <c r="F67" s="15" t="s">
        <v>5</v>
      </c>
      <c r="H67" s="15" t="s">
        <v>6</v>
      </c>
      <c r="J67" s="15" t="s">
        <v>7</v>
      </c>
      <c r="K67" s="9"/>
      <c r="L67" s="17"/>
      <c r="M67" s="2"/>
      <c r="N67" s="1"/>
    </row>
    <row r="68" ht="3.75" customHeight="1">
      <c r="A68" s="1"/>
      <c r="B68" s="2"/>
      <c r="C68" s="16"/>
      <c r="D68" s="10"/>
      <c r="E68" s="2"/>
      <c r="F68" s="2"/>
      <c r="G68" s="2"/>
      <c r="H68" s="2"/>
      <c r="I68" s="2"/>
      <c r="J68" s="2"/>
      <c r="K68" s="10"/>
      <c r="L68" s="2"/>
      <c r="M68" s="2"/>
      <c r="N68" s="1"/>
    </row>
    <row r="69" ht="30.0" customHeight="1">
      <c r="A69" s="3"/>
      <c r="B69" s="2"/>
      <c r="C69" s="11" t="s">
        <v>8</v>
      </c>
      <c r="D69" s="5"/>
      <c r="E69" s="12" t="str">
        <f>IMAGE("https://a.ppy.sh/17959882?1687932364.jpeg")</f>
        <v/>
      </c>
      <c r="F69" s="13" t="s">
        <v>1</v>
      </c>
      <c r="G69" s="12" t="str">
        <f>IMAGE("https://a.ppy.sh/14238097?1686376598.jpeg)")</f>
        <v/>
      </c>
      <c r="H69" s="13" t="s">
        <v>2</v>
      </c>
      <c r="I69" s="12" t="str">
        <f>IMAGE("https://a.ppy.sh/17959882?1687932364.jpeg")</f>
        <v/>
      </c>
      <c r="J69" s="13" t="s">
        <v>3</v>
      </c>
      <c r="K69" s="14" t="s">
        <v>9</v>
      </c>
      <c r="L69" s="17"/>
      <c r="M69" s="2"/>
      <c r="N69" s="1"/>
    </row>
    <row r="70" ht="11.25" customHeight="1">
      <c r="A70" s="3"/>
      <c r="B70" s="2"/>
      <c r="D70" s="5"/>
      <c r="F70" s="15" t="s">
        <v>5</v>
      </c>
      <c r="H70" s="15" t="s">
        <v>6</v>
      </c>
      <c r="J70" s="15" t="s">
        <v>7</v>
      </c>
      <c r="K70" s="9"/>
      <c r="L70" s="17"/>
      <c r="M70" s="2"/>
      <c r="N70" s="1"/>
    </row>
    <row r="71" ht="3.75" customHeight="1">
      <c r="A71" s="1"/>
      <c r="B71" s="2"/>
      <c r="C71" s="16"/>
      <c r="D71" s="10"/>
      <c r="E71" s="2"/>
      <c r="F71" s="2"/>
      <c r="G71" s="2"/>
      <c r="H71" s="2"/>
      <c r="I71" s="2"/>
      <c r="J71" s="2"/>
      <c r="K71" s="10"/>
      <c r="L71" s="2"/>
      <c r="M71" s="2"/>
      <c r="N71" s="1"/>
    </row>
    <row r="72" ht="30.0" customHeight="1">
      <c r="A72" s="3"/>
      <c r="B72" s="2"/>
      <c r="C72" s="11" t="s">
        <v>8</v>
      </c>
      <c r="D72" s="5"/>
      <c r="E72" s="12" t="str">
        <f>IMAGE("https://a.ppy.sh/17959882?1687932364.jpeg")</f>
        <v/>
      </c>
      <c r="F72" s="13" t="s">
        <v>1</v>
      </c>
      <c r="G72" s="12" t="str">
        <f>IMAGE("https://a.ppy.sh/14238097?1686376598.jpeg)")</f>
        <v/>
      </c>
      <c r="H72" s="13" t="s">
        <v>2</v>
      </c>
      <c r="I72" s="12" t="str">
        <f>IMAGE("https://a.ppy.sh/17959882?1687932364.jpeg")</f>
        <v/>
      </c>
      <c r="J72" s="13" t="s">
        <v>3</v>
      </c>
      <c r="K72" s="14" t="s">
        <v>9</v>
      </c>
      <c r="L72" s="17"/>
      <c r="M72" s="2"/>
      <c r="N72" s="1"/>
    </row>
    <row r="73" ht="11.25" customHeight="1">
      <c r="A73" s="3"/>
      <c r="B73" s="2"/>
      <c r="D73" s="5"/>
      <c r="F73" s="15" t="s">
        <v>5</v>
      </c>
      <c r="H73" s="15" t="s">
        <v>6</v>
      </c>
      <c r="J73" s="15" t="s">
        <v>7</v>
      </c>
      <c r="K73" s="9"/>
      <c r="L73" s="17"/>
      <c r="M73" s="2"/>
      <c r="N73" s="1"/>
    </row>
    <row r="74" ht="3.75" customHeight="1">
      <c r="A74" s="1"/>
      <c r="B74" s="2"/>
      <c r="C74" s="16"/>
      <c r="D74" s="10"/>
      <c r="E74" s="2"/>
      <c r="F74" s="2"/>
      <c r="G74" s="2"/>
      <c r="H74" s="2"/>
      <c r="I74" s="2"/>
      <c r="J74" s="2"/>
      <c r="K74" s="10"/>
      <c r="L74" s="2"/>
      <c r="M74" s="2"/>
      <c r="N74" s="1"/>
    </row>
    <row r="75" ht="30.0" customHeight="1">
      <c r="A75" s="3"/>
      <c r="B75" s="2"/>
      <c r="C75" s="11" t="s">
        <v>8</v>
      </c>
      <c r="D75" s="5"/>
      <c r="E75" s="12" t="str">
        <f>IMAGE("https://a.ppy.sh/17959882?1687932364.jpeg")</f>
        <v/>
      </c>
      <c r="F75" s="13" t="s">
        <v>1</v>
      </c>
      <c r="G75" s="12" t="str">
        <f>IMAGE("https://a.ppy.sh/14238097?1686376598.jpeg)")</f>
        <v/>
      </c>
      <c r="H75" s="13" t="s">
        <v>2</v>
      </c>
      <c r="I75" s="12" t="str">
        <f>IMAGE("https://a.ppy.sh/17959882?1687932364.jpeg")</f>
        <v/>
      </c>
      <c r="J75" s="13" t="s">
        <v>3</v>
      </c>
      <c r="K75" s="14" t="s">
        <v>9</v>
      </c>
      <c r="L75" s="17"/>
      <c r="M75" s="2"/>
      <c r="N75" s="1"/>
    </row>
    <row r="76" ht="11.25" customHeight="1">
      <c r="A76" s="3"/>
      <c r="B76" s="2"/>
      <c r="D76" s="5"/>
      <c r="F76" s="15" t="s">
        <v>5</v>
      </c>
      <c r="H76" s="15" t="s">
        <v>6</v>
      </c>
      <c r="J76" s="15" t="s">
        <v>7</v>
      </c>
      <c r="K76" s="9"/>
      <c r="L76" s="17"/>
      <c r="M76" s="2"/>
      <c r="N76" s="1"/>
    </row>
    <row r="77" ht="3.75" customHeight="1">
      <c r="A77" s="1"/>
      <c r="B77" s="2"/>
      <c r="C77" s="16"/>
      <c r="D77" s="10"/>
      <c r="E77" s="2"/>
      <c r="F77" s="2"/>
      <c r="G77" s="2"/>
      <c r="H77" s="2"/>
      <c r="I77" s="2"/>
      <c r="J77" s="2"/>
      <c r="K77" s="10"/>
      <c r="L77" s="2"/>
      <c r="M77" s="2"/>
      <c r="N77" s="1"/>
    </row>
    <row r="78" ht="30.0" customHeight="1">
      <c r="A78" s="3"/>
      <c r="B78" s="2"/>
      <c r="C78" s="11" t="s">
        <v>8</v>
      </c>
      <c r="D78" s="5"/>
      <c r="E78" s="12" t="str">
        <f>IMAGE("https://a.ppy.sh/17959882?1687932364.jpeg")</f>
        <v/>
      </c>
      <c r="F78" s="13" t="s">
        <v>1</v>
      </c>
      <c r="G78" s="12" t="str">
        <f>IMAGE("https://a.ppy.sh/14238097?1686376598.jpeg)")</f>
        <v/>
      </c>
      <c r="H78" s="13" t="s">
        <v>2</v>
      </c>
      <c r="I78" s="12" t="str">
        <f>IMAGE("https://a.ppy.sh/17959882?1687932364.jpeg")</f>
        <v/>
      </c>
      <c r="J78" s="13" t="s">
        <v>3</v>
      </c>
      <c r="K78" s="14" t="s">
        <v>9</v>
      </c>
      <c r="L78" s="17"/>
      <c r="M78" s="2"/>
      <c r="N78" s="1"/>
    </row>
    <row r="79" ht="11.25" customHeight="1">
      <c r="A79" s="3"/>
      <c r="B79" s="2"/>
      <c r="D79" s="5"/>
      <c r="F79" s="15" t="s">
        <v>5</v>
      </c>
      <c r="H79" s="15" t="s">
        <v>6</v>
      </c>
      <c r="J79" s="15" t="s">
        <v>7</v>
      </c>
      <c r="K79" s="9"/>
      <c r="L79" s="17"/>
      <c r="M79" s="2"/>
      <c r="N79" s="1"/>
    </row>
    <row r="80" ht="3.75" customHeight="1">
      <c r="A80" s="1"/>
      <c r="B80" s="2"/>
      <c r="C80" s="16"/>
      <c r="D80" s="10"/>
      <c r="E80" s="2"/>
      <c r="F80" s="2"/>
      <c r="G80" s="2"/>
      <c r="H80" s="2"/>
      <c r="I80" s="2"/>
      <c r="J80" s="2"/>
      <c r="K80" s="10"/>
      <c r="L80" s="2"/>
      <c r="M80" s="2"/>
      <c r="N80" s="1"/>
    </row>
    <row r="81" ht="30.0" customHeight="1">
      <c r="A81" s="3"/>
      <c r="B81" s="2"/>
      <c r="C81" s="11" t="s">
        <v>8</v>
      </c>
      <c r="D81" s="5"/>
      <c r="E81" s="12" t="str">
        <f>IMAGE("https://a.ppy.sh/17959882?1687932364.jpeg")</f>
        <v/>
      </c>
      <c r="F81" s="13" t="s">
        <v>1</v>
      </c>
      <c r="G81" s="12" t="str">
        <f>IMAGE("https://a.ppy.sh/14238097?1686376598.jpeg)")</f>
        <v/>
      </c>
      <c r="H81" s="13" t="s">
        <v>2</v>
      </c>
      <c r="I81" s="12" t="str">
        <f>IMAGE("https://a.ppy.sh/17959882?1687932364.jpeg")</f>
        <v/>
      </c>
      <c r="J81" s="13" t="s">
        <v>3</v>
      </c>
      <c r="K81" s="14" t="s">
        <v>9</v>
      </c>
      <c r="L81" s="17"/>
      <c r="M81" s="2"/>
      <c r="N81" s="1"/>
    </row>
    <row r="82" ht="11.25" customHeight="1">
      <c r="A82" s="3"/>
      <c r="B82" s="2"/>
      <c r="D82" s="5"/>
      <c r="F82" s="15" t="s">
        <v>5</v>
      </c>
      <c r="H82" s="15" t="s">
        <v>6</v>
      </c>
      <c r="J82" s="15" t="s">
        <v>7</v>
      </c>
      <c r="K82" s="9"/>
      <c r="L82" s="17"/>
      <c r="M82" s="2"/>
      <c r="N82" s="1"/>
    </row>
    <row r="83" ht="3.75" customHeight="1">
      <c r="A83" s="1"/>
      <c r="B83" s="2"/>
      <c r="C83" s="16"/>
      <c r="D83" s="10"/>
      <c r="E83" s="2"/>
      <c r="F83" s="2"/>
      <c r="G83" s="2"/>
      <c r="H83" s="2"/>
      <c r="I83" s="2"/>
      <c r="J83" s="2"/>
      <c r="K83" s="10"/>
      <c r="L83" s="2"/>
      <c r="M83" s="2"/>
      <c r="N83" s="1"/>
    </row>
    <row r="84" ht="30.0" customHeight="1">
      <c r="A84" s="3"/>
      <c r="B84" s="2"/>
      <c r="C84" s="11" t="s">
        <v>8</v>
      </c>
      <c r="D84" s="5"/>
      <c r="E84" s="12" t="str">
        <f>IMAGE("https://a.ppy.sh/17959882?1687932364.jpeg")</f>
        <v/>
      </c>
      <c r="F84" s="13" t="s">
        <v>1</v>
      </c>
      <c r="G84" s="12" t="str">
        <f>IMAGE("https://a.ppy.sh/14238097?1686376598.jpeg)")</f>
        <v/>
      </c>
      <c r="H84" s="13" t="s">
        <v>2</v>
      </c>
      <c r="I84" s="12" t="str">
        <f>IMAGE("https://a.ppy.sh/17959882?1687932364.jpeg")</f>
        <v/>
      </c>
      <c r="J84" s="13" t="s">
        <v>3</v>
      </c>
      <c r="K84" s="14" t="s">
        <v>9</v>
      </c>
      <c r="L84" s="17"/>
      <c r="M84" s="2"/>
      <c r="N84" s="1"/>
    </row>
    <row r="85" ht="11.25" customHeight="1">
      <c r="A85" s="3"/>
      <c r="B85" s="2"/>
      <c r="D85" s="5"/>
      <c r="F85" s="15" t="s">
        <v>5</v>
      </c>
      <c r="H85" s="15" t="s">
        <v>6</v>
      </c>
      <c r="J85" s="15" t="s">
        <v>7</v>
      </c>
      <c r="K85" s="9"/>
      <c r="L85" s="17"/>
      <c r="M85" s="2"/>
      <c r="N85" s="1"/>
    </row>
    <row r="86" ht="3.75" customHeight="1">
      <c r="A86" s="1"/>
      <c r="B86" s="2"/>
      <c r="C86" s="16"/>
      <c r="D86" s="10"/>
      <c r="E86" s="2"/>
      <c r="F86" s="2"/>
      <c r="G86" s="2"/>
      <c r="H86" s="2"/>
      <c r="I86" s="2"/>
      <c r="J86" s="2"/>
      <c r="K86" s="10"/>
      <c r="L86" s="2"/>
      <c r="M86" s="2"/>
      <c r="N86" s="1"/>
    </row>
    <row r="87" ht="30.0" customHeight="1">
      <c r="A87" s="3"/>
      <c r="B87" s="2"/>
      <c r="C87" s="11" t="s">
        <v>8</v>
      </c>
      <c r="D87" s="5"/>
      <c r="E87" s="12" t="str">
        <f>IMAGE("https://a.ppy.sh/17959882?1687932364.jpeg")</f>
        <v/>
      </c>
      <c r="F87" s="13" t="s">
        <v>1</v>
      </c>
      <c r="G87" s="12" t="str">
        <f>IMAGE("https://a.ppy.sh/14238097?1686376598.jpeg)")</f>
        <v/>
      </c>
      <c r="H87" s="13" t="s">
        <v>2</v>
      </c>
      <c r="I87" s="12" t="str">
        <f>IMAGE("https://a.ppy.sh/17959882?1687932364.jpeg")</f>
        <v/>
      </c>
      <c r="J87" s="13" t="s">
        <v>3</v>
      </c>
      <c r="K87" s="14" t="s">
        <v>9</v>
      </c>
      <c r="L87" s="17"/>
      <c r="M87" s="2"/>
      <c r="N87" s="1"/>
    </row>
    <row r="88" ht="11.25" customHeight="1">
      <c r="A88" s="3"/>
      <c r="B88" s="2"/>
      <c r="D88" s="5"/>
      <c r="F88" s="15" t="s">
        <v>5</v>
      </c>
      <c r="H88" s="15" t="s">
        <v>6</v>
      </c>
      <c r="J88" s="15" t="s">
        <v>7</v>
      </c>
      <c r="K88" s="9"/>
      <c r="L88" s="17"/>
      <c r="M88" s="2"/>
      <c r="N88" s="1"/>
    </row>
    <row r="89" ht="3.75" customHeight="1">
      <c r="A89" s="1"/>
      <c r="B89" s="2"/>
      <c r="C89" s="16"/>
      <c r="D89" s="10"/>
      <c r="E89" s="2"/>
      <c r="F89" s="2"/>
      <c r="G89" s="2"/>
      <c r="H89" s="2"/>
      <c r="I89" s="2"/>
      <c r="J89" s="2"/>
      <c r="K89" s="10"/>
      <c r="L89" s="2"/>
      <c r="M89" s="2"/>
      <c r="N89" s="1"/>
    </row>
    <row r="90" ht="30.0" customHeight="1">
      <c r="A90" s="3"/>
      <c r="B90" s="2"/>
      <c r="C90" s="11" t="s">
        <v>8</v>
      </c>
      <c r="D90" s="5"/>
      <c r="E90" s="12" t="str">
        <f>IMAGE("https://a.ppy.sh/17959882?1687932364.jpeg")</f>
        <v/>
      </c>
      <c r="F90" s="13" t="s">
        <v>1</v>
      </c>
      <c r="G90" s="12" t="str">
        <f>IMAGE("https://a.ppy.sh/14238097?1686376598.jpeg)")</f>
        <v/>
      </c>
      <c r="H90" s="13" t="s">
        <v>2</v>
      </c>
      <c r="I90" s="12" t="str">
        <f>IMAGE("https://a.ppy.sh/17959882?1687932364.jpeg")</f>
        <v/>
      </c>
      <c r="J90" s="13" t="s">
        <v>3</v>
      </c>
      <c r="K90" s="14" t="s">
        <v>9</v>
      </c>
      <c r="L90" s="17"/>
      <c r="M90" s="2"/>
      <c r="N90" s="1"/>
    </row>
    <row r="91" ht="11.25" customHeight="1">
      <c r="A91" s="3"/>
      <c r="B91" s="2"/>
      <c r="D91" s="5"/>
      <c r="F91" s="15" t="s">
        <v>5</v>
      </c>
      <c r="H91" s="15" t="s">
        <v>6</v>
      </c>
      <c r="J91" s="15" t="s">
        <v>7</v>
      </c>
      <c r="K91" s="9"/>
      <c r="L91" s="17"/>
      <c r="M91" s="2"/>
      <c r="N91" s="1"/>
    </row>
    <row r="92" ht="3.75" customHeight="1">
      <c r="A92" s="1"/>
      <c r="B92" s="2"/>
      <c r="C92" s="16"/>
      <c r="D92" s="10"/>
      <c r="E92" s="2"/>
      <c r="F92" s="2"/>
      <c r="G92" s="2"/>
      <c r="H92" s="2"/>
      <c r="I92" s="2"/>
      <c r="J92" s="2"/>
      <c r="K92" s="10"/>
      <c r="L92" s="2"/>
      <c r="M92" s="2"/>
      <c r="N92" s="1"/>
    </row>
    <row r="93" ht="30.0" customHeight="1">
      <c r="A93" s="3"/>
      <c r="B93" s="2"/>
      <c r="C93" s="11" t="s">
        <v>8</v>
      </c>
      <c r="D93" s="5"/>
      <c r="E93" s="12" t="str">
        <f>IMAGE("https://a.ppy.sh/17959882?1687932364.jpeg")</f>
        <v/>
      </c>
      <c r="F93" s="13" t="s">
        <v>1</v>
      </c>
      <c r="G93" s="12" t="str">
        <f>IMAGE("https://a.ppy.sh/14238097?1686376598.jpeg)")</f>
        <v/>
      </c>
      <c r="H93" s="13" t="s">
        <v>2</v>
      </c>
      <c r="I93" s="12" t="str">
        <f>IMAGE("https://a.ppy.sh/17959882?1687932364.jpeg")</f>
        <v/>
      </c>
      <c r="J93" s="13" t="s">
        <v>3</v>
      </c>
      <c r="K93" s="14" t="s">
        <v>9</v>
      </c>
      <c r="L93" s="17"/>
      <c r="M93" s="2"/>
      <c r="N93" s="1"/>
    </row>
    <row r="94" ht="11.25" customHeight="1">
      <c r="A94" s="3"/>
      <c r="B94" s="2"/>
      <c r="D94" s="5"/>
      <c r="F94" s="15" t="s">
        <v>5</v>
      </c>
      <c r="H94" s="15" t="s">
        <v>6</v>
      </c>
      <c r="J94" s="15" t="s">
        <v>7</v>
      </c>
      <c r="K94" s="9"/>
      <c r="L94" s="17"/>
      <c r="M94" s="2"/>
      <c r="N94" s="1"/>
    </row>
    <row r="95" ht="3.75" customHeight="1">
      <c r="A95" s="1"/>
      <c r="B95" s="2"/>
      <c r="C95" s="16"/>
      <c r="D95" s="10"/>
      <c r="E95" s="2"/>
      <c r="F95" s="2"/>
      <c r="G95" s="2"/>
      <c r="H95" s="2"/>
      <c r="I95" s="2"/>
      <c r="J95" s="2"/>
      <c r="K95" s="10"/>
      <c r="L95" s="2"/>
      <c r="M95" s="2"/>
      <c r="N95" s="1"/>
    </row>
    <row r="96" ht="30.0" customHeight="1">
      <c r="A96" s="3"/>
      <c r="B96" s="2"/>
      <c r="C96" s="11" t="s">
        <v>8</v>
      </c>
      <c r="D96" s="5"/>
      <c r="E96" s="12" t="str">
        <f>IMAGE("https://a.ppy.sh/17959882?1687932364.jpeg")</f>
        <v/>
      </c>
      <c r="F96" s="13" t="s">
        <v>1</v>
      </c>
      <c r="G96" s="12" t="str">
        <f>IMAGE("https://a.ppy.sh/14238097?1686376598.jpeg)")</f>
        <v/>
      </c>
      <c r="H96" s="13" t="s">
        <v>2</v>
      </c>
      <c r="I96" s="12" t="str">
        <f>IMAGE("https://a.ppy.sh/17959882?1687932364.jpeg")</f>
        <v/>
      </c>
      <c r="J96" s="13" t="s">
        <v>3</v>
      </c>
      <c r="K96" s="14" t="s">
        <v>9</v>
      </c>
      <c r="L96" s="17"/>
      <c r="M96" s="2"/>
      <c r="N96" s="1"/>
    </row>
    <row r="97" ht="11.25" customHeight="1">
      <c r="A97" s="3"/>
      <c r="B97" s="2"/>
      <c r="D97" s="5"/>
      <c r="F97" s="15" t="s">
        <v>5</v>
      </c>
      <c r="H97" s="15" t="s">
        <v>6</v>
      </c>
      <c r="J97" s="15" t="s">
        <v>7</v>
      </c>
      <c r="K97" s="9"/>
      <c r="L97" s="17"/>
      <c r="M97" s="2"/>
      <c r="N97" s="1"/>
    </row>
    <row r="98" ht="3.75" customHeight="1">
      <c r="A98" s="1"/>
      <c r="B98" s="2"/>
      <c r="C98" s="16"/>
      <c r="D98" s="10"/>
      <c r="E98" s="2"/>
      <c r="F98" s="2"/>
      <c r="G98" s="2"/>
      <c r="H98" s="2"/>
      <c r="I98" s="2"/>
      <c r="J98" s="2"/>
      <c r="K98" s="10"/>
      <c r="L98" s="2"/>
      <c r="M98" s="2"/>
      <c r="N98" s="1"/>
    </row>
    <row r="99" ht="30.0" customHeight="1">
      <c r="A99" s="3"/>
      <c r="B99" s="2"/>
      <c r="C99" s="11" t="s">
        <v>8</v>
      </c>
      <c r="D99" s="5"/>
      <c r="E99" s="12" t="str">
        <f>IMAGE("https://a.ppy.sh/17959882?1687932364.jpeg")</f>
        <v/>
      </c>
      <c r="F99" s="13" t="s">
        <v>1</v>
      </c>
      <c r="G99" s="12" t="str">
        <f>IMAGE("https://a.ppy.sh/14238097?1686376598.jpeg)")</f>
        <v/>
      </c>
      <c r="H99" s="13" t="s">
        <v>2</v>
      </c>
      <c r="I99" s="12" t="str">
        <f>IMAGE("https://a.ppy.sh/17959882?1687932364.jpeg")</f>
        <v/>
      </c>
      <c r="J99" s="13" t="s">
        <v>3</v>
      </c>
      <c r="K99" s="14" t="s">
        <v>9</v>
      </c>
      <c r="L99" s="17"/>
      <c r="M99" s="2"/>
      <c r="N99" s="1"/>
    </row>
    <row r="100" ht="11.25" customHeight="1">
      <c r="A100" s="3"/>
      <c r="B100" s="2"/>
      <c r="D100" s="5"/>
      <c r="F100" s="15" t="s">
        <v>5</v>
      </c>
      <c r="H100" s="15" t="s">
        <v>6</v>
      </c>
      <c r="J100" s="15" t="s">
        <v>7</v>
      </c>
      <c r="K100" s="9"/>
      <c r="L100" s="17"/>
      <c r="M100" s="2"/>
      <c r="N100" s="1"/>
    </row>
    <row r="101" ht="3.75" customHeight="1">
      <c r="A101" s="1"/>
      <c r="B101" s="2"/>
      <c r="C101" s="16"/>
      <c r="D101" s="10"/>
      <c r="E101" s="2"/>
      <c r="F101" s="2"/>
      <c r="G101" s="2"/>
      <c r="H101" s="2"/>
      <c r="I101" s="2"/>
      <c r="J101" s="2"/>
      <c r="K101" s="10"/>
      <c r="L101" s="2"/>
      <c r="M101" s="2"/>
      <c r="N101" s="1"/>
    </row>
    <row r="102" ht="30.0" customHeight="1">
      <c r="A102" s="3"/>
      <c r="B102" s="2"/>
      <c r="C102" s="11" t="s">
        <v>8</v>
      </c>
      <c r="D102" s="5"/>
      <c r="E102" s="12" t="str">
        <f>IMAGE("https://a.ppy.sh/17959882?1687932364.jpeg")</f>
        <v/>
      </c>
      <c r="F102" s="13" t="s">
        <v>1</v>
      </c>
      <c r="G102" s="12" t="str">
        <f>IMAGE("https://a.ppy.sh/14238097?1686376598.jpeg)")</f>
        <v/>
      </c>
      <c r="H102" s="13" t="s">
        <v>2</v>
      </c>
      <c r="I102" s="12" t="str">
        <f>IMAGE("https://a.ppy.sh/17959882?1687932364.jpeg")</f>
        <v/>
      </c>
      <c r="J102" s="13" t="s">
        <v>3</v>
      </c>
      <c r="K102" s="14" t="s">
        <v>9</v>
      </c>
      <c r="L102" s="17"/>
      <c r="M102" s="2"/>
      <c r="N102" s="1"/>
    </row>
    <row r="103" ht="11.25" customHeight="1">
      <c r="A103" s="3"/>
      <c r="B103" s="2"/>
      <c r="D103" s="5"/>
      <c r="F103" s="15" t="s">
        <v>5</v>
      </c>
      <c r="H103" s="15" t="s">
        <v>6</v>
      </c>
      <c r="J103" s="15" t="s">
        <v>7</v>
      </c>
      <c r="K103" s="9"/>
      <c r="L103" s="17"/>
      <c r="M103" s="2"/>
      <c r="N103" s="1"/>
    </row>
    <row r="104" ht="3.75" customHeight="1">
      <c r="A104" s="1"/>
      <c r="B104" s="2"/>
      <c r="C104" s="16"/>
      <c r="D104" s="10"/>
      <c r="E104" s="2"/>
      <c r="F104" s="2"/>
      <c r="G104" s="2"/>
      <c r="H104" s="2"/>
      <c r="I104" s="2"/>
      <c r="J104" s="2"/>
      <c r="K104" s="10"/>
      <c r="L104" s="2"/>
      <c r="M104" s="2"/>
      <c r="N104" s="1"/>
    </row>
    <row r="105" ht="30.0" customHeight="1">
      <c r="A105" s="3"/>
      <c r="B105" s="2"/>
      <c r="C105" s="11" t="s">
        <v>8</v>
      </c>
      <c r="D105" s="5"/>
      <c r="E105" s="12" t="str">
        <f>IMAGE("https://a.ppy.sh/17959882?1687932364.jpeg")</f>
        <v/>
      </c>
      <c r="F105" s="13" t="s">
        <v>1</v>
      </c>
      <c r="G105" s="12" t="str">
        <f>IMAGE("https://a.ppy.sh/14238097?1686376598.jpeg)")</f>
        <v/>
      </c>
      <c r="H105" s="13" t="s">
        <v>2</v>
      </c>
      <c r="I105" s="12" t="str">
        <f>IMAGE("https://a.ppy.sh/17959882?1687932364.jpeg")</f>
        <v/>
      </c>
      <c r="J105" s="13" t="s">
        <v>3</v>
      </c>
      <c r="K105" s="14" t="s">
        <v>9</v>
      </c>
      <c r="L105" s="17"/>
      <c r="M105" s="2"/>
      <c r="N105" s="1"/>
    </row>
    <row r="106" ht="11.25" customHeight="1">
      <c r="A106" s="3"/>
      <c r="B106" s="2"/>
      <c r="D106" s="5"/>
      <c r="F106" s="15" t="s">
        <v>5</v>
      </c>
      <c r="H106" s="15" t="s">
        <v>6</v>
      </c>
      <c r="J106" s="15" t="s">
        <v>7</v>
      </c>
      <c r="K106" s="9"/>
      <c r="L106" s="17"/>
      <c r="M106" s="2"/>
      <c r="N106" s="1"/>
    </row>
    <row r="107" ht="3.75" customHeight="1">
      <c r="A107" s="1"/>
      <c r="B107" s="2"/>
      <c r="C107" s="16"/>
      <c r="D107" s="10"/>
      <c r="E107" s="2"/>
      <c r="F107" s="2"/>
      <c r="G107" s="2"/>
      <c r="H107" s="2"/>
      <c r="I107" s="2"/>
      <c r="J107" s="2"/>
      <c r="K107" s="10"/>
      <c r="L107" s="2"/>
      <c r="M107" s="2"/>
      <c r="N107" s="1"/>
    </row>
    <row r="108" ht="30.0" customHeight="1">
      <c r="A108" s="3"/>
      <c r="B108" s="2"/>
      <c r="C108" s="11" t="s">
        <v>8</v>
      </c>
      <c r="D108" s="5"/>
      <c r="E108" s="12" t="str">
        <f>IMAGE("https://a.ppy.sh/17959882?1687932364.jpeg")</f>
        <v/>
      </c>
      <c r="F108" s="13" t="s">
        <v>1</v>
      </c>
      <c r="G108" s="12" t="str">
        <f>IMAGE("https://a.ppy.sh/14238097?1686376598.jpeg)")</f>
        <v/>
      </c>
      <c r="H108" s="13" t="s">
        <v>2</v>
      </c>
      <c r="I108" s="12" t="str">
        <f>IMAGE("https://a.ppy.sh/17959882?1687932364.jpeg")</f>
        <v/>
      </c>
      <c r="J108" s="13" t="s">
        <v>3</v>
      </c>
      <c r="K108" s="14" t="s">
        <v>9</v>
      </c>
      <c r="L108" s="17"/>
      <c r="M108" s="2"/>
      <c r="N108" s="1"/>
    </row>
    <row r="109" ht="11.25" customHeight="1">
      <c r="A109" s="3"/>
      <c r="B109" s="2"/>
      <c r="D109" s="5"/>
      <c r="F109" s="15" t="s">
        <v>5</v>
      </c>
      <c r="H109" s="15" t="s">
        <v>6</v>
      </c>
      <c r="J109" s="15" t="s">
        <v>7</v>
      </c>
      <c r="K109" s="9"/>
      <c r="L109" s="17"/>
      <c r="M109" s="2"/>
      <c r="N109" s="1"/>
    </row>
    <row r="110" ht="3.75" customHeight="1">
      <c r="A110" s="1"/>
      <c r="B110" s="2"/>
      <c r="C110" s="16"/>
      <c r="D110" s="10"/>
      <c r="E110" s="2"/>
      <c r="F110" s="2"/>
      <c r="G110" s="2"/>
      <c r="H110" s="2"/>
      <c r="I110" s="2"/>
      <c r="J110" s="2"/>
      <c r="K110" s="10"/>
      <c r="L110" s="2"/>
      <c r="M110" s="2"/>
      <c r="N110" s="1"/>
    </row>
    <row r="111" ht="30.0" customHeight="1">
      <c r="A111" s="3"/>
      <c r="B111" s="2"/>
      <c r="C111" s="11" t="s">
        <v>8</v>
      </c>
      <c r="D111" s="5"/>
      <c r="E111" s="12" t="str">
        <f>IMAGE("https://a.ppy.sh/17959882?1687932364.jpeg")</f>
        <v/>
      </c>
      <c r="F111" s="13" t="s">
        <v>1</v>
      </c>
      <c r="G111" s="12" t="str">
        <f>IMAGE("https://a.ppy.sh/14238097?1686376598.jpeg)")</f>
        <v/>
      </c>
      <c r="H111" s="13" t="s">
        <v>2</v>
      </c>
      <c r="I111" s="12" t="str">
        <f>IMAGE("https://a.ppy.sh/17959882?1687932364.jpeg")</f>
        <v/>
      </c>
      <c r="J111" s="13" t="s">
        <v>3</v>
      </c>
      <c r="K111" s="14" t="s">
        <v>9</v>
      </c>
      <c r="L111" s="17"/>
      <c r="M111" s="2"/>
      <c r="N111" s="1"/>
    </row>
    <row r="112" ht="11.25" customHeight="1">
      <c r="A112" s="3"/>
      <c r="B112" s="2"/>
      <c r="D112" s="5"/>
      <c r="F112" s="15" t="s">
        <v>5</v>
      </c>
      <c r="H112" s="15" t="s">
        <v>6</v>
      </c>
      <c r="J112" s="15" t="s">
        <v>7</v>
      </c>
      <c r="K112" s="9"/>
      <c r="L112" s="17"/>
      <c r="M112" s="2"/>
      <c r="N112" s="1"/>
    </row>
    <row r="113" ht="3.75" customHeight="1">
      <c r="A113" s="1"/>
      <c r="B113" s="2"/>
      <c r="C113" s="16"/>
      <c r="D113" s="10"/>
      <c r="E113" s="2"/>
      <c r="F113" s="2"/>
      <c r="G113" s="2"/>
      <c r="H113" s="2"/>
      <c r="I113" s="2"/>
      <c r="J113" s="2"/>
      <c r="K113" s="10"/>
      <c r="L113" s="2"/>
      <c r="M113" s="2"/>
      <c r="N113" s="1"/>
    </row>
    <row r="114" ht="30.0" customHeight="1">
      <c r="A114" s="3"/>
      <c r="B114" s="2"/>
      <c r="C114" s="11" t="s">
        <v>8</v>
      </c>
      <c r="D114" s="5"/>
      <c r="E114" s="12" t="str">
        <f>IMAGE("https://a.ppy.sh/17959882?1687932364.jpeg")</f>
        <v/>
      </c>
      <c r="F114" s="13" t="s">
        <v>1</v>
      </c>
      <c r="G114" s="12" t="str">
        <f>IMAGE("https://a.ppy.sh/14238097?1686376598.jpeg)")</f>
        <v/>
      </c>
      <c r="H114" s="13" t="s">
        <v>2</v>
      </c>
      <c r="I114" s="12" t="str">
        <f>IMAGE("https://a.ppy.sh/17959882?1687932364.jpeg")</f>
        <v/>
      </c>
      <c r="J114" s="13" t="s">
        <v>3</v>
      </c>
      <c r="K114" s="14" t="s">
        <v>9</v>
      </c>
      <c r="L114" s="17"/>
      <c r="M114" s="2"/>
      <c r="N114" s="1"/>
    </row>
    <row r="115" ht="11.25" customHeight="1">
      <c r="A115" s="3"/>
      <c r="B115" s="2"/>
      <c r="D115" s="5"/>
      <c r="F115" s="15" t="s">
        <v>5</v>
      </c>
      <c r="H115" s="15" t="s">
        <v>6</v>
      </c>
      <c r="J115" s="15" t="s">
        <v>7</v>
      </c>
      <c r="K115" s="9"/>
      <c r="L115" s="17"/>
      <c r="M115" s="2"/>
      <c r="N115" s="1"/>
    </row>
    <row r="116" ht="3.75" customHeight="1">
      <c r="A116" s="1"/>
      <c r="B116" s="2"/>
      <c r="C116" s="16"/>
      <c r="D116" s="10"/>
      <c r="E116" s="2"/>
      <c r="F116" s="2"/>
      <c r="G116" s="2"/>
      <c r="H116" s="2"/>
      <c r="I116" s="2"/>
      <c r="J116" s="2"/>
      <c r="K116" s="10"/>
      <c r="L116" s="2"/>
      <c r="M116" s="2"/>
      <c r="N116" s="1"/>
    </row>
    <row r="117" ht="30.0" customHeight="1">
      <c r="A117" s="3"/>
      <c r="B117" s="2"/>
      <c r="C117" s="11" t="s">
        <v>8</v>
      </c>
      <c r="D117" s="5"/>
      <c r="E117" s="12" t="str">
        <f>IMAGE("https://a.ppy.sh/17959882?1687932364.jpeg")</f>
        <v/>
      </c>
      <c r="F117" s="13" t="s">
        <v>1</v>
      </c>
      <c r="G117" s="12" t="str">
        <f>IMAGE("https://a.ppy.sh/14238097?1686376598.jpeg)")</f>
        <v/>
      </c>
      <c r="H117" s="13" t="s">
        <v>2</v>
      </c>
      <c r="I117" s="12" t="str">
        <f>IMAGE("https://a.ppy.sh/17959882?1687932364.jpeg")</f>
        <v/>
      </c>
      <c r="J117" s="13" t="s">
        <v>3</v>
      </c>
      <c r="K117" s="14" t="s">
        <v>9</v>
      </c>
      <c r="L117" s="17"/>
      <c r="M117" s="2"/>
      <c r="N117" s="1"/>
    </row>
    <row r="118" ht="11.25" customHeight="1">
      <c r="A118" s="3"/>
      <c r="B118" s="2"/>
      <c r="D118" s="5"/>
      <c r="F118" s="15" t="s">
        <v>5</v>
      </c>
      <c r="H118" s="15" t="s">
        <v>6</v>
      </c>
      <c r="J118" s="15" t="s">
        <v>7</v>
      </c>
      <c r="K118" s="9"/>
      <c r="L118" s="17"/>
      <c r="M118" s="2"/>
      <c r="N118" s="1"/>
    </row>
    <row r="119" ht="3.75" customHeight="1">
      <c r="A119" s="1"/>
      <c r="B119" s="2"/>
      <c r="C119" s="16"/>
      <c r="D119" s="10"/>
      <c r="E119" s="2"/>
      <c r="F119" s="2"/>
      <c r="G119" s="2"/>
      <c r="H119" s="2"/>
      <c r="I119" s="2"/>
      <c r="J119" s="2"/>
      <c r="K119" s="10"/>
      <c r="L119" s="2"/>
      <c r="M119" s="2"/>
      <c r="N119" s="1"/>
    </row>
    <row r="120" ht="30.0" customHeight="1">
      <c r="A120" s="3"/>
      <c r="B120" s="2"/>
      <c r="C120" s="11" t="s">
        <v>8</v>
      </c>
      <c r="D120" s="5"/>
      <c r="E120" s="12" t="str">
        <f>IMAGE("https://a.ppy.sh/17959882?1687932364.jpeg")</f>
        <v/>
      </c>
      <c r="F120" s="13" t="s">
        <v>1</v>
      </c>
      <c r="G120" s="12" t="str">
        <f>IMAGE("https://a.ppy.sh/14238097?1686376598.jpeg)")</f>
        <v/>
      </c>
      <c r="H120" s="13" t="s">
        <v>2</v>
      </c>
      <c r="I120" s="12" t="str">
        <f>IMAGE("https://a.ppy.sh/17959882?1687932364.jpeg")</f>
        <v/>
      </c>
      <c r="J120" s="13" t="s">
        <v>3</v>
      </c>
      <c r="K120" s="14" t="s">
        <v>9</v>
      </c>
      <c r="L120" s="17"/>
      <c r="M120" s="2"/>
      <c r="N120" s="1"/>
    </row>
    <row r="121" ht="11.25" customHeight="1">
      <c r="A121" s="3"/>
      <c r="B121" s="2"/>
      <c r="D121" s="5"/>
      <c r="F121" s="15" t="s">
        <v>5</v>
      </c>
      <c r="H121" s="15" t="s">
        <v>6</v>
      </c>
      <c r="J121" s="15" t="s">
        <v>7</v>
      </c>
      <c r="K121" s="9"/>
      <c r="L121" s="17"/>
      <c r="M121" s="2"/>
      <c r="N121" s="1"/>
    </row>
    <row r="122" ht="3.75" customHeight="1">
      <c r="A122" s="1"/>
      <c r="B122" s="2"/>
      <c r="C122" s="16"/>
      <c r="D122" s="10"/>
      <c r="E122" s="2"/>
      <c r="F122" s="2"/>
      <c r="G122" s="2"/>
      <c r="H122" s="2"/>
      <c r="I122" s="2"/>
      <c r="J122" s="2"/>
      <c r="K122" s="10"/>
      <c r="L122" s="2"/>
      <c r="M122" s="2"/>
      <c r="N122" s="1"/>
    </row>
    <row r="123" ht="30.0" customHeight="1">
      <c r="A123" s="3"/>
      <c r="B123" s="2"/>
      <c r="C123" s="11" t="s">
        <v>8</v>
      </c>
      <c r="D123" s="5"/>
      <c r="E123" s="12" t="str">
        <f>IMAGE("https://a.ppy.sh/17959882?1687932364.jpeg")</f>
        <v/>
      </c>
      <c r="F123" s="13" t="s">
        <v>1</v>
      </c>
      <c r="G123" s="12" t="str">
        <f>IMAGE("https://a.ppy.sh/14238097?1686376598.jpeg)")</f>
        <v/>
      </c>
      <c r="H123" s="13" t="s">
        <v>2</v>
      </c>
      <c r="I123" s="12" t="str">
        <f>IMAGE("https://a.ppy.sh/17959882?1687932364.jpeg")</f>
        <v/>
      </c>
      <c r="J123" s="13" t="s">
        <v>3</v>
      </c>
      <c r="K123" s="14" t="s">
        <v>9</v>
      </c>
      <c r="L123" s="17"/>
      <c r="M123" s="2"/>
      <c r="N123" s="1"/>
    </row>
    <row r="124" ht="11.25" customHeight="1">
      <c r="A124" s="3"/>
      <c r="B124" s="2"/>
      <c r="D124" s="5"/>
      <c r="F124" s="15" t="s">
        <v>5</v>
      </c>
      <c r="H124" s="15" t="s">
        <v>6</v>
      </c>
      <c r="J124" s="15" t="s">
        <v>7</v>
      </c>
      <c r="K124" s="9"/>
      <c r="L124" s="17"/>
      <c r="M124" s="2"/>
      <c r="N124" s="1"/>
    </row>
    <row r="125" ht="3.75" customHeight="1">
      <c r="A125" s="1"/>
      <c r="B125" s="2"/>
      <c r="C125" s="16"/>
      <c r="D125" s="10"/>
      <c r="E125" s="2"/>
      <c r="F125" s="2"/>
      <c r="G125" s="2"/>
      <c r="H125" s="2"/>
      <c r="I125" s="2"/>
      <c r="J125" s="2"/>
      <c r="K125" s="10"/>
      <c r="L125" s="2"/>
      <c r="M125" s="2"/>
      <c r="N125" s="1"/>
    </row>
    <row r="126" ht="30.0" customHeight="1">
      <c r="A126" s="3"/>
      <c r="B126" s="2"/>
      <c r="C126" s="11" t="s">
        <v>8</v>
      </c>
      <c r="D126" s="5"/>
      <c r="E126" s="12" t="str">
        <f>IMAGE("https://a.ppy.sh/17959882?1687932364.jpeg")</f>
        <v/>
      </c>
      <c r="F126" s="13" t="s">
        <v>1</v>
      </c>
      <c r="G126" s="12" t="str">
        <f>IMAGE("https://a.ppy.sh/14238097?1686376598.jpeg)")</f>
        <v/>
      </c>
      <c r="H126" s="13" t="s">
        <v>2</v>
      </c>
      <c r="I126" s="12" t="str">
        <f>IMAGE("https://a.ppy.sh/17959882?1687932364.jpeg")</f>
        <v/>
      </c>
      <c r="J126" s="13" t="s">
        <v>3</v>
      </c>
      <c r="K126" s="14" t="s">
        <v>9</v>
      </c>
      <c r="L126" s="17"/>
      <c r="M126" s="2"/>
      <c r="N126" s="1"/>
    </row>
    <row r="127" ht="11.25" customHeight="1">
      <c r="A127" s="3"/>
      <c r="B127" s="2"/>
      <c r="D127" s="5"/>
      <c r="F127" s="15" t="s">
        <v>5</v>
      </c>
      <c r="H127" s="15" t="s">
        <v>6</v>
      </c>
      <c r="J127" s="15" t="s">
        <v>7</v>
      </c>
      <c r="K127" s="9"/>
      <c r="L127" s="17"/>
      <c r="M127" s="2"/>
      <c r="N127" s="1"/>
    </row>
    <row r="128" ht="3.75" customHeight="1">
      <c r="A128" s="1"/>
      <c r="B128" s="2"/>
      <c r="C128" s="16"/>
      <c r="D128" s="10"/>
      <c r="E128" s="2"/>
      <c r="F128" s="2"/>
      <c r="G128" s="2"/>
      <c r="H128" s="2"/>
      <c r="I128" s="2"/>
      <c r="J128" s="2"/>
      <c r="K128" s="10"/>
      <c r="L128" s="2"/>
      <c r="M128" s="2"/>
      <c r="N128" s="1"/>
    </row>
    <row r="129" ht="30.0" customHeight="1">
      <c r="A129" s="3"/>
      <c r="B129" s="2"/>
      <c r="C129" s="11" t="s">
        <v>8</v>
      </c>
      <c r="D129" s="5"/>
      <c r="E129" s="12" t="str">
        <f>IMAGE("https://a.ppy.sh/17959882?1687932364.jpeg")</f>
        <v/>
      </c>
      <c r="F129" s="13" t="s">
        <v>1</v>
      </c>
      <c r="G129" s="12" t="str">
        <f>IMAGE("https://a.ppy.sh/14238097?1686376598.jpeg)")</f>
        <v/>
      </c>
      <c r="H129" s="13" t="s">
        <v>2</v>
      </c>
      <c r="I129" s="12" t="str">
        <f>IMAGE("https://a.ppy.sh/17959882?1687932364.jpeg")</f>
        <v/>
      </c>
      <c r="J129" s="13" t="s">
        <v>3</v>
      </c>
      <c r="K129" s="14" t="s">
        <v>9</v>
      </c>
      <c r="L129" s="17"/>
      <c r="M129" s="2"/>
      <c r="N129" s="1"/>
    </row>
    <row r="130" ht="11.25" customHeight="1">
      <c r="A130" s="3"/>
      <c r="B130" s="2"/>
      <c r="D130" s="5"/>
      <c r="F130" s="15" t="s">
        <v>5</v>
      </c>
      <c r="H130" s="15" t="s">
        <v>6</v>
      </c>
      <c r="J130" s="15" t="s">
        <v>7</v>
      </c>
      <c r="K130" s="9"/>
      <c r="L130" s="17"/>
      <c r="M130" s="2"/>
      <c r="N130" s="1"/>
    </row>
    <row r="131" ht="3.75" customHeight="1">
      <c r="A131" s="1"/>
      <c r="B131" s="2"/>
      <c r="C131" s="16"/>
      <c r="D131" s="10"/>
      <c r="E131" s="2"/>
      <c r="F131" s="2"/>
      <c r="G131" s="2"/>
      <c r="H131" s="2"/>
      <c r="I131" s="2"/>
      <c r="J131" s="2"/>
      <c r="K131" s="10"/>
      <c r="L131" s="2"/>
      <c r="M131" s="2"/>
      <c r="N131" s="1"/>
    </row>
    <row r="132" ht="30.0" customHeight="1">
      <c r="A132" s="3"/>
      <c r="B132" s="2"/>
      <c r="C132" s="11" t="s">
        <v>8</v>
      </c>
      <c r="D132" s="5"/>
      <c r="E132" s="12" t="str">
        <f>IMAGE("https://a.ppy.sh/17959882?1687932364.jpeg")</f>
        <v/>
      </c>
      <c r="F132" s="13" t="s">
        <v>1</v>
      </c>
      <c r="G132" s="12" t="str">
        <f>IMAGE("https://a.ppy.sh/14238097?1686376598.jpeg)")</f>
        <v/>
      </c>
      <c r="H132" s="13" t="s">
        <v>2</v>
      </c>
      <c r="I132" s="12" t="str">
        <f>IMAGE("https://a.ppy.sh/17959882?1687932364.jpeg")</f>
        <v/>
      </c>
      <c r="J132" s="13" t="s">
        <v>3</v>
      </c>
      <c r="K132" s="14" t="s">
        <v>9</v>
      </c>
      <c r="L132" s="17"/>
      <c r="M132" s="2"/>
      <c r="N132" s="1"/>
    </row>
    <row r="133" ht="11.25" customHeight="1">
      <c r="A133" s="3"/>
      <c r="B133" s="2"/>
      <c r="D133" s="5"/>
      <c r="F133" s="15" t="s">
        <v>5</v>
      </c>
      <c r="H133" s="15" t="s">
        <v>6</v>
      </c>
      <c r="J133" s="15" t="s">
        <v>7</v>
      </c>
      <c r="K133" s="9"/>
      <c r="L133" s="17"/>
      <c r="M133" s="2"/>
      <c r="N133" s="1"/>
    </row>
    <row r="134" ht="3.75" customHeight="1">
      <c r="A134" s="1"/>
      <c r="B134" s="2"/>
      <c r="C134" s="16"/>
      <c r="D134" s="10"/>
      <c r="E134" s="2"/>
      <c r="F134" s="2"/>
      <c r="G134" s="2"/>
      <c r="H134" s="2"/>
      <c r="I134" s="2"/>
      <c r="J134" s="2"/>
      <c r="K134" s="10"/>
      <c r="L134" s="2"/>
      <c r="M134" s="2"/>
      <c r="N134" s="1"/>
    </row>
    <row r="135" ht="30.0" customHeight="1">
      <c r="A135" s="3"/>
      <c r="B135" s="2"/>
      <c r="C135" s="11" t="s">
        <v>8</v>
      </c>
      <c r="D135" s="5"/>
      <c r="E135" s="12" t="str">
        <f>IMAGE("https://a.ppy.sh/17959882?1687932364.jpeg")</f>
        <v/>
      </c>
      <c r="F135" s="13" t="s">
        <v>1</v>
      </c>
      <c r="G135" s="12" t="str">
        <f>IMAGE("https://a.ppy.sh/14238097?1686376598.jpeg)")</f>
        <v/>
      </c>
      <c r="H135" s="13" t="s">
        <v>2</v>
      </c>
      <c r="I135" s="12" t="str">
        <f>IMAGE("https://a.ppy.sh/17959882?1687932364.jpeg")</f>
        <v/>
      </c>
      <c r="J135" s="13" t="s">
        <v>3</v>
      </c>
      <c r="K135" s="14" t="s">
        <v>9</v>
      </c>
      <c r="L135" s="17"/>
      <c r="M135" s="2"/>
      <c r="N135" s="1"/>
    </row>
    <row r="136" ht="11.25" customHeight="1">
      <c r="A136" s="3"/>
      <c r="B136" s="2"/>
      <c r="D136" s="5"/>
      <c r="F136" s="15" t="s">
        <v>5</v>
      </c>
      <c r="H136" s="15" t="s">
        <v>6</v>
      </c>
      <c r="J136" s="15" t="s">
        <v>7</v>
      </c>
      <c r="K136" s="9"/>
      <c r="L136" s="17"/>
      <c r="M136" s="2"/>
      <c r="N136" s="1"/>
    </row>
    <row r="137" ht="3.75" customHeight="1">
      <c r="A137" s="1"/>
      <c r="B137" s="2"/>
      <c r="C137" s="16"/>
      <c r="D137" s="10"/>
      <c r="E137" s="2"/>
      <c r="F137" s="2"/>
      <c r="G137" s="2"/>
      <c r="H137" s="2"/>
      <c r="I137" s="2"/>
      <c r="J137" s="2"/>
      <c r="K137" s="10"/>
      <c r="L137" s="2"/>
      <c r="M137" s="2"/>
      <c r="N137" s="1"/>
    </row>
    <row r="138" ht="30.0" customHeight="1">
      <c r="A138" s="3"/>
      <c r="B138" s="2"/>
      <c r="C138" s="11" t="s">
        <v>8</v>
      </c>
      <c r="D138" s="5"/>
      <c r="E138" s="12" t="str">
        <f>IMAGE("https://a.ppy.sh/17959882?1687932364.jpeg")</f>
        <v/>
      </c>
      <c r="F138" s="13" t="s">
        <v>1</v>
      </c>
      <c r="G138" s="12" t="str">
        <f>IMAGE("https://a.ppy.sh/14238097?1686376598.jpeg)")</f>
        <v/>
      </c>
      <c r="H138" s="13" t="s">
        <v>2</v>
      </c>
      <c r="I138" s="12" t="str">
        <f>IMAGE("https://a.ppy.sh/17959882?1687932364.jpeg")</f>
        <v/>
      </c>
      <c r="J138" s="13" t="s">
        <v>3</v>
      </c>
      <c r="K138" s="14" t="s">
        <v>9</v>
      </c>
      <c r="L138" s="17"/>
      <c r="M138" s="2"/>
      <c r="N138" s="1"/>
    </row>
    <row r="139" ht="11.25" customHeight="1">
      <c r="A139" s="3"/>
      <c r="B139" s="2"/>
      <c r="D139" s="5"/>
      <c r="F139" s="15" t="s">
        <v>5</v>
      </c>
      <c r="H139" s="15" t="s">
        <v>6</v>
      </c>
      <c r="J139" s="15" t="s">
        <v>7</v>
      </c>
      <c r="K139" s="9"/>
      <c r="L139" s="17"/>
      <c r="M139" s="2"/>
      <c r="N139" s="1"/>
    </row>
    <row r="140" ht="3.75" customHeight="1">
      <c r="A140" s="1"/>
      <c r="B140" s="2"/>
      <c r="C140" s="16"/>
      <c r="D140" s="10"/>
      <c r="E140" s="2"/>
      <c r="F140" s="2"/>
      <c r="G140" s="2"/>
      <c r="H140" s="2"/>
      <c r="I140" s="2"/>
      <c r="J140" s="2"/>
      <c r="K140" s="10"/>
      <c r="L140" s="2"/>
      <c r="M140" s="2"/>
      <c r="N140" s="1"/>
    </row>
    <row r="141" ht="30.0" customHeight="1">
      <c r="A141" s="3"/>
      <c r="B141" s="2"/>
      <c r="C141" s="11" t="s">
        <v>8</v>
      </c>
      <c r="D141" s="5"/>
      <c r="E141" s="12" t="str">
        <f>IMAGE("https://a.ppy.sh/17959882?1687932364.jpeg")</f>
        <v/>
      </c>
      <c r="F141" s="13" t="s">
        <v>1</v>
      </c>
      <c r="G141" s="12" t="str">
        <f>IMAGE("https://a.ppy.sh/14238097?1686376598.jpeg)")</f>
        <v/>
      </c>
      <c r="H141" s="13" t="s">
        <v>2</v>
      </c>
      <c r="I141" s="12" t="str">
        <f>IMAGE("https://a.ppy.sh/17959882?1687932364.jpeg")</f>
        <v/>
      </c>
      <c r="J141" s="13" t="s">
        <v>3</v>
      </c>
      <c r="K141" s="14" t="s">
        <v>9</v>
      </c>
      <c r="L141" s="17"/>
      <c r="M141" s="2"/>
      <c r="N141" s="1"/>
    </row>
    <row r="142" ht="11.25" customHeight="1">
      <c r="A142" s="3"/>
      <c r="B142" s="2"/>
      <c r="D142" s="5"/>
      <c r="F142" s="15" t="s">
        <v>5</v>
      </c>
      <c r="H142" s="15" t="s">
        <v>6</v>
      </c>
      <c r="J142" s="15" t="s">
        <v>7</v>
      </c>
      <c r="K142" s="9"/>
      <c r="L142" s="17"/>
      <c r="M142" s="2"/>
      <c r="N142" s="1"/>
    </row>
    <row r="143" ht="3.75" customHeight="1">
      <c r="A143" s="1"/>
      <c r="B143" s="2"/>
      <c r="C143" s="16"/>
      <c r="D143" s="10"/>
      <c r="E143" s="2"/>
      <c r="F143" s="2"/>
      <c r="G143" s="2"/>
      <c r="H143" s="2"/>
      <c r="I143" s="2"/>
      <c r="J143" s="2"/>
      <c r="K143" s="10"/>
      <c r="L143" s="2"/>
      <c r="M143" s="2"/>
      <c r="N143" s="1"/>
    </row>
    <row r="144" ht="30.0" customHeight="1">
      <c r="A144" s="3"/>
      <c r="B144" s="2"/>
      <c r="C144" s="11" t="s">
        <v>8</v>
      </c>
      <c r="D144" s="5"/>
      <c r="E144" s="12" t="str">
        <f>IMAGE("https://a.ppy.sh/17959882?1687932364.jpeg")</f>
        <v/>
      </c>
      <c r="F144" s="13" t="s">
        <v>1</v>
      </c>
      <c r="G144" s="12" t="str">
        <f>IMAGE("https://a.ppy.sh/14238097?1686376598.jpeg)")</f>
        <v/>
      </c>
      <c r="H144" s="13" t="s">
        <v>2</v>
      </c>
      <c r="I144" s="12" t="str">
        <f>IMAGE("https://a.ppy.sh/17959882?1687932364.jpeg")</f>
        <v/>
      </c>
      <c r="J144" s="13" t="s">
        <v>3</v>
      </c>
      <c r="K144" s="14" t="s">
        <v>9</v>
      </c>
      <c r="L144" s="17"/>
      <c r="M144" s="2"/>
      <c r="N144" s="1"/>
    </row>
    <row r="145" ht="11.25" customHeight="1">
      <c r="A145" s="3"/>
      <c r="B145" s="2"/>
      <c r="D145" s="5"/>
      <c r="F145" s="15" t="s">
        <v>5</v>
      </c>
      <c r="H145" s="15" t="s">
        <v>6</v>
      </c>
      <c r="J145" s="15" t="s">
        <v>7</v>
      </c>
      <c r="K145" s="9"/>
      <c r="L145" s="17"/>
      <c r="M145" s="2"/>
      <c r="N145" s="1"/>
    </row>
    <row r="146" ht="3.75" customHeight="1">
      <c r="A146" s="1"/>
      <c r="B146" s="2"/>
      <c r="C146" s="16"/>
      <c r="D146" s="10"/>
      <c r="E146" s="2"/>
      <c r="F146" s="2"/>
      <c r="G146" s="2"/>
      <c r="H146" s="2"/>
      <c r="I146" s="2"/>
      <c r="J146" s="2"/>
      <c r="K146" s="10"/>
      <c r="L146" s="2"/>
      <c r="M146" s="2"/>
      <c r="N146" s="1"/>
    </row>
    <row r="147" ht="30.0" customHeight="1">
      <c r="A147" s="3"/>
      <c r="B147" s="2"/>
      <c r="C147" s="11" t="s">
        <v>8</v>
      </c>
      <c r="D147" s="5"/>
      <c r="E147" s="12" t="str">
        <f>IMAGE("https://a.ppy.sh/17959882?1687932364.jpeg")</f>
        <v/>
      </c>
      <c r="F147" s="13" t="s">
        <v>1</v>
      </c>
      <c r="G147" s="12" t="str">
        <f>IMAGE("https://a.ppy.sh/14238097?1686376598.jpeg)")</f>
        <v/>
      </c>
      <c r="H147" s="13" t="s">
        <v>2</v>
      </c>
      <c r="I147" s="12" t="str">
        <f>IMAGE("https://a.ppy.sh/17959882?1687932364.jpeg")</f>
        <v/>
      </c>
      <c r="J147" s="13" t="s">
        <v>3</v>
      </c>
      <c r="K147" s="14" t="s">
        <v>9</v>
      </c>
      <c r="L147" s="17"/>
      <c r="M147" s="2"/>
      <c r="N147" s="1"/>
    </row>
    <row r="148" ht="11.25" customHeight="1">
      <c r="A148" s="3"/>
      <c r="B148" s="2"/>
      <c r="D148" s="5"/>
      <c r="F148" s="15" t="s">
        <v>5</v>
      </c>
      <c r="H148" s="15" t="s">
        <v>6</v>
      </c>
      <c r="J148" s="15" t="s">
        <v>7</v>
      </c>
      <c r="K148" s="9"/>
      <c r="L148" s="17"/>
      <c r="M148" s="2"/>
      <c r="N148" s="1"/>
    </row>
    <row r="149" ht="3.75" customHeight="1">
      <c r="A149" s="1"/>
      <c r="B149" s="2"/>
      <c r="C149" s="16"/>
      <c r="D149" s="10"/>
      <c r="E149" s="2"/>
      <c r="F149" s="2"/>
      <c r="G149" s="2"/>
      <c r="H149" s="2"/>
      <c r="I149" s="2"/>
      <c r="J149" s="2"/>
      <c r="K149" s="10"/>
      <c r="L149" s="2"/>
      <c r="M149" s="2"/>
      <c r="N149" s="1"/>
    </row>
    <row r="150" ht="30.0" customHeight="1">
      <c r="A150" s="3"/>
      <c r="B150" s="2"/>
      <c r="C150" s="11" t="s">
        <v>8</v>
      </c>
      <c r="D150" s="5"/>
      <c r="E150" s="12" t="str">
        <f>IMAGE("https://a.ppy.sh/17959882?1687932364.jpeg")</f>
        <v/>
      </c>
      <c r="F150" s="13" t="s">
        <v>1</v>
      </c>
      <c r="G150" s="12" t="str">
        <f>IMAGE("https://a.ppy.sh/14238097?1686376598.jpeg)")</f>
        <v/>
      </c>
      <c r="H150" s="13" t="s">
        <v>2</v>
      </c>
      <c r="I150" s="12" t="str">
        <f>IMAGE("https://a.ppy.sh/17959882?1687932364.jpeg")</f>
        <v/>
      </c>
      <c r="J150" s="13" t="s">
        <v>3</v>
      </c>
      <c r="K150" s="14" t="s">
        <v>9</v>
      </c>
      <c r="L150" s="17"/>
      <c r="M150" s="2"/>
      <c r="N150" s="1"/>
    </row>
    <row r="151" ht="11.25" customHeight="1">
      <c r="A151" s="3"/>
      <c r="B151" s="2"/>
      <c r="D151" s="5"/>
      <c r="F151" s="15" t="s">
        <v>5</v>
      </c>
      <c r="H151" s="15" t="s">
        <v>6</v>
      </c>
      <c r="J151" s="15" t="s">
        <v>7</v>
      </c>
      <c r="K151" s="9"/>
      <c r="L151" s="17"/>
      <c r="M151" s="2"/>
      <c r="N151" s="1"/>
    </row>
    <row r="152" ht="3.75" customHeight="1">
      <c r="A152" s="1"/>
      <c r="B152" s="2"/>
      <c r="C152" s="16"/>
      <c r="D152" s="10"/>
      <c r="E152" s="2"/>
      <c r="F152" s="2"/>
      <c r="G152" s="2"/>
      <c r="H152" s="2"/>
      <c r="I152" s="2"/>
      <c r="J152" s="2"/>
      <c r="K152" s="10"/>
      <c r="L152" s="2"/>
      <c r="M152" s="2"/>
      <c r="N152" s="1"/>
    </row>
    <row r="153" ht="30.0" customHeight="1">
      <c r="A153" s="3"/>
      <c r="B153" s="2"/>
      <c r="C153" s="11" t="s">
        <v>8</v>
      </c>
      <c r="D153" s="5"/>
      <c r="E153" s="12" t="str">
        <f>IMAGE("https://a.ppy.sh/17959882?1687932364.jpeg")</f>
        <v/>
      </c>
      <c r="F153" s="13" t="s">
        <v>1</v>
      </c>
      <c r="G153" s="12" t="str">
        <f>IMAGE("https://a.ppy.sh/14238097?1686376598.jpeg)")</f>
        <v/>
      </c>
      <c r="H153" s="13" t="s">
        <v>2</v>
      </c>
      <c r="I153" s="12" t="str">
        <f>IMAGE("https://a.ppy.sh/17959882?1687932364.jpeg")</f>
        <v/>
      </c>
      <c r="J153" s="13" t="s">
        <v>3</v>
      </c>
      <c r="K153" s="14" t="s">
        <v>9</v>
      </c>
      <c r="L153" s="17"/>
      <c r="M153" s="2"/>
      <c r="N153" s="1"/>
    </row>
    <row r="154" ht="11.25" customHeight="1">
      <c r="A154" s="3"/>
      <c r="B154" s="2"/>
      <c r="D154" s="5"/>
      <c r="F154" s="15" t="s">
        <v>5</v>
      </c>
      <c r="H154" s="15" t="s">
        <v>6</v>
      </c>
      <c r="J154" s="15" t="s">
        <v>7</v>
      </c>
      <c r="K154" s="9"/>
      <c r="L154" s="17"/>
      <c r="M154" s="2"/>
      <c r="N154" s="1"/>
    </row>
    <row r="155" ht="3.75" customHeight="1">
      <c r="A155" s="1"/>
      <c r="B155" s="2"/>
      <c r="C155" s="16"/>
      <c r="D155" s="10"/>
      <c r="E155" s="2"/>
      <c r="F155" s="2"/>
      <c r="G155" s="2"/>
      <c r="H155" s="2"/>
      <c r="I155" s="2"/>
      <c r="J155" s="2"/>
      <c r="K155" s="10"/>
      <c r="L155" s="2"/>
      <c r="M155" s="2"/>
      <c r="N155" s="1"/>
    </row>
    <row r="156" ht="30.0" customHeight="1">
      <c r="A156" s="3"/>
      <c r="B156" s="2"/>
      <c r="C156" s="11" t="s">
        <v>8</v>
      </c>
      <c r="D156" s="5"/>
      <c r="E156" s="12" t="str">
        <f>IMAGE("https://a.ppy.sh/17959882?1687932364.jpeg")</f>
        <v/>
      </c>
      <c r="F156" s="13" t="s">
        <v>1</v>
      </c>
      <c r="G156" s="12" t="str">
        <f>IMAGE("https://a.ppy.sh/14238097?1686376598.jpeg)")</f>
        <v/>
      </c>
      <c r="H156" s="13" t="s">
        <v>2</v>
      </c>
      <c r="I156" s="12" t="str">
        <f>IMAGE("https://a.ppy.sh/17959882?1687932364.jpeg")</f>
        <v/>
      </c>
      <c r="J156" s="13" t="s">
        <v>3</v>
      </c>
      <c r="K156" s="14" t="s">
        <v>9</v>
      </c>
      <c r="L156" s="17"/>
      <c r="M156" s="2"/>
      <c r="N156" s="1"/>
    </row>
    <row r="157" ht="11.25" customHeight="1">
      <c r="A157" s="3"/>
      <c r="B157" s="2"/>
      <c r="D157" s="5"/>
      <c r="F157" s="15" t="s">
        <v>5</v>
      </c>
      <c r="H157" s="15" t="s">
        <v>6</v>
      </c>
      <c r="J157" s="15" t="s">
        <v>7</v>
      </c>
      <c r="K157" s="9"/>
      <c r="L157" s="17"/>
      <c r="M157" s="2"/>
      <c r="N157" s="1"/>
    </row>
    <row r="158" ht="3.75" customHeight="1">
      <c r="A158" s="1"/>
      <c r="B158" s="2"/>
      <c r="C158" s="16"/>
      <c r="D158" s="10"/>
      <c r="E158" s="2"/>
      <c r="F158" s="2"/>
      <c r="G158" s="2"/>
      <c r="H158" s="2"/>
      <c r="I158" s="2"/>
      <c r="J158" s="2"/>
      <c r="K158" s="10"/>
      <c r="L158" s="2"/>
      <c r="M158" s="2"/>
      <c r="N158" s="1"/>
    </row>
    <row r="159" ht="30.0" customHeight="1">
      <c r="A159" s="3"/>
      <c r="B159" s="2"/>
      <c r="C159" s="11" t="s">
        <v>8</v>
      </c>
      <c r="D159" s="5"/>
      <c r="E159" s="12" t="str">
        <f>IMAGE("https://a.ppy.sh/17959882?1687932364.jpeg")</f>
        <v/>
      </c>
      <c r="F159" s="13" t="s">
        <v>1</v>
      </c>
      <c r="G159" s="12" t="str">
        <f>IMAGE("https://a.ppy.sh/14238097?1686376598.jpeg)")</f>
        <v/>
      </c>
      <c r="H159" s="13" t="s">
        <v>2</v>
      </c>
      <c r="I159" s="12" t="str">
        <f>IMAGE("https://a.ppy.sh/17959882?1687932364.jpeg")</f>
        <v/>
      </c>
      <c r="J159" s="13" t="s">
        <v>3</v>
      </c>
      <c r="K159" s="14" t="s">
        <v>9</v>
      </c>
      <c r="L159" s="17"/>
      <c r="M159" s="2"/>
      <c r="N159" s="1"/>
    </row>
    <row r="160" ht="11.25" customHeight="1">
      <c r="A160" s="3"/>
      <c r="B160" s="2"/>
      <c r="D160" s="5"/>
      <c r="F160" s="15" t="s">
        <v>5</v>
      </c>
      <c r="H160" s="15" t="s">
        <v>6</v>
      </c>
      <c r="J160" s="15" t="s">
        <v>7</v>
      </c>
      <c r="K160" s="9"/>
      <c r="L160" s="17"/>
      <c r="M160" s="2"/>
      <c r="N160" s="1"/>
    </row>
    <row r="161" ht="3.75" customHeight="1">
      <c r="A161" s="1"/>
      <c r="B161" s="2"/>
      <c r="C161" s="16"/>
      <c r="D161" s="10"/>
      <c r="E161" s="2"/>
      <c r="F161" s="2"/>
      <c r="G161" s="2"/>
      <c r="H161" s="2"/>
      <c r="I161" s="2"/>
      <c r="J161" s="2"/>
      <c r="K161" s="10"/>
      <c r="L161" s="2"/>
      <c r="M161" s="2"/>
      <c r="N161" s="1"/>
    </row>
    <row r="162" ht="30.0" customHeight="1">
      <c r="A162" s="3"/>
      <c r="B162" s="2"/>
      <c r="C162" s="11" t="s">
        <v>8</v>
      </c>
      <c r="D162" s="5"/>
      <c r="E162" s="12" t="str">
        <f>IMAGE("https://a.ppy.sh/17959882?1687932364.jpeg")</f>
        <v/>
      </c>
      <c r="F162" s="13" t="s">
        <v>1</v>
      </c>
      <c r="G162" s="12" t="str">
        <f>IMAGE("https://a.ppy.sh/14238097?1686376598.jpeg)")</f>
        <v/>
      </c>
      <c r="H162" s="13" t="s">
        <v>2</v>
      </c>
      <c r="I162" s="12" t="str">
        <f>IMAGE("https://a.ppy.sh/17959882?1687932364.jpeg")</f>
        <v/>
      </c>
      <c r="J162" s="13" t="s">
        <v>3</v>
      </c>
      <c r="K162" s="14" t="s">
        <v>9</v>
      </c>
      <c r="L162" s="17"/>
      <c r="M162" s="2"/>
      <c r="N162" s="1"/>
    </row>
    <row r="163" ht="11.25" customHeight="1">
      <c r="A163" s="3"/>
      <c r="B163" s="2"/>
      <c r="D163" s="5"/>
      <c r="F163" s="15" t="s">
        <v>5</v>
      </c>
      <c r="H163" s="15" t="s">
        <v>6</v>
      </c>
      <c r="J163" s="15" t="s">
        <v>7</v>
      </c>
      <c r="K163" s="9"/>
      <c r="L163" s="17"/>
      <c r="M163" s="2"/>
      <c r="N163" s="1"/>
    </row>
    <row r="164" ht="3.75" customHeight="1">
      <c r="A164" s="1"/>
      <c r="B164" s="2"/>
      <c r="C164" s="16"/>
      <c r="D164" s="10"/>
      <c r="E164" s="2"/>
      <c r="F164" s="2"/>
      <c r="G164" s="2"/>
      <c r="H164" s="2"/>
      <c r="I164" s="2"/>
      <c r="J164" s="2"/>
      <c r="K164" s="10"/>
      <c r="L164" s="2"/>
      <c r="M164" s="2"/>
      <c r="N164" s="1"/>
    </row>
    <row r="165" ht="30.0" customHeight="1">
      <c r="A165" s="3"/>
      <c r="B165" s="2"/>
      <c r="C165" s="11" t="s">
        <v>8</v>
      </c>
      <c r="D165" s="5"/>
      <c r="E165" s="12" t="str">
        <f>IMAGE("https://a.ppy.sh/17959882?1687932364.jpeg")</f>
        <v/>
      </c>
      <c r="F165" s="13" t="s">
        <v>1</v>
      </c>
      <c r="G165" s="12" t="str">
        <f>IMAGE("https://a.ppy.sh/14238097?1686376598.jpeg)")</f>
        <v/>
      </c>
      <c r="H165" s="13" t="s">
        <v>2</v>
      </c>
      <c r="I165" s="12" t="str">
        <f>IMAGE("https://a.ppy.sh/17959882?1687932364.jpeg")</f>
        <v/>
      </c>
      <c r="J165" s="13" t="s">
        <v>3</v>
      </c>
      <c r="K165" s="14" t="s">
        <v>9</v>
      </c>
      <c r="L165" s="17"/>
      <c r="M165" s="2"/>
      <c r="N165" s="1"/>
    </row>
    <row r="166" ht="11.25" customHeight="1">
      <c r="A166" s="3"/>
      <c r="B166" s="2"/>
      <c r="D166" s="5"/>
      <c r="F166" s="15" t="s">
        <v>5</v>
      </c>
      <c r="H166" s="15" t="s">
        <v>6</v>
      </c>
      <c r="J166" s="15" t="s">
        <v>7</v>
      </c>
      <c r="K166" s="9"/>
      <c r="L166" s="17"/>
      <c r="M166" s="2"/>
      <c r="N166" s="1"/>
    </row>
    <row r="167" ht="3.75" customHeight="1">
      <c r="A167" s="1"/>
      <c r="B167" s="2"/>
      <c r="C167" s="16"/>
      <c r="D167" s="10"/>
      <c r="E167" s="2"/>
      <c r="F167" s="2"/>
      <c r="G167" s="2"/>
      <c r="H167" s="2"/>
      <c r="I167" s="2"/>
      <c r="J167" s="2"/>
      <c r="K167" s="10"/>
      <c r="L167" s="2"/>
      <c r="M167" s="2"/>
      <c r="N167" s="1"/>
    </row>
    <row r="168" ht="30.0" customHeight="1">
      <c r="A168" s="3"/>
      <c r="B168" s="2"/>
      <c r="C168" s="11" t="s">
        <v>8</v>
      </c>
      <c r="D168" s="5"/>
      <c r="E168" s="12" t="str">
        <f>IMAGE("https://a.ppy.sh/17959882?1687932364.jpeg")</f>
        <v/>
      </c>
      <c r="F168" s="13" t="s">
        <v>1</v>
      </c>
      <c r="G168" s="12" t="str">
        <f>IMAGE("https://a.ppy.sh/14238097?1686376598.jpeg)")</f>
        <v/>
      </c>
      <c r="H168" s="13" t="s">
        <v>2</v>
      </c>
      <c r="I168" s="12" t="str">
        <f>IMAGE("https://a.ppy.sh/17959882?1687932364.jpeg")</f>
        <v/>
      </c>
      <c r="J168" s="13" t="s">
        <v>3</v>
      </c>
      <c r="K168" s="14" t="s">
        <v>9</v>
      </c>
      <c r="L168" s="17"/>
      <c r="M168" s="2"/>
      <c r="N168" s="1"/>
    </row>
    <row r="169" ht="11.25" customHeight="1">
      <c r="A169" s="3"/>
      <c r="B169" s="2"/>
      <c r="D169" s="5"/>
      <c r="F169" s="15" t="s">
        <v>5</v>
      </c>
      <c r="H169" s="15" t="s">
        <v>6</v>
      </c>
      <c r="J169" s="15" t="s">
        <v>7</v>
      </c>
      <c r="K169" s="9"/>
      <c r="L169" s="17"/>
      <c r="M169" s="2"/>
      <c r="N169" s="1"/>
    </row>
    <row r="170" ht="3.75" customHeight="1">
      <c r="A170" s="1"/>
      <c r="B170" s="2"/>
      <c r="C170" s="16"/>
      <c r="D170" s="10"/>
      <c r="E170" s="2"/>
      <c r="F170" s="2"/>
      <c r="G170" s="2"/>
      <c r="H170" s="2"/>
      <c r="I170" s="2"/>
      <c r="J170" s="2"/>
      <c r="K170" s="10"/>
      <c r="L170" s="2"/>
      <c r="M170" s="2"/>
      <c r="N170" s="1"/>
    </row>
    <row r="171" ht="30.0" customHeight="1">
      <c r="A171" s="3"/>
      <c r="B171" s="2"/>
      <c r="C171" s="11" t="s">
        <v>8</v>
      </c>
      <c r="D171" s="5"/>
      <c r="E171" s="12" t="str">
        <f>IMAGE("https://a.ppy.sh/17959882?1687932364.jpeg")</f>
        <v/>
      </c>
      <c r="F171" s="13" t="s">
        <v>1</v>
      </c>
      <c r="G171" s="12" t="str">
        <f>IMAGE("https://a.ppy.sh/14238097?1686376598.jpeg)")</f>
        <v/>
      </c>
      <c r="H171" s="13" t="s">
        <v>2</v>
      </c>
      <c r="I171" s="12" t="str">
        <f>IMAGE("https://a.ppy.sh/17959882?1687932364.jpeg")</f>
        <v/>
      </c>
      <c r="J171" s="13" t="s">
        <v>3</v>
      </c>
      <c r="K171" s="14" t="s">
        <v>9</v>
      </c>
      <c r="L171" s="17"/>
      <c r="M171" s="2"/>
      <c r="N171" s="1"/>
    </row>
    <row r="172" ht="11.25" customHeight="1">
      <c r="A172" s="3"/>
      <c r="B172" s="2"/>
      <c r="D172" s="5"/>
      <c r="F172" s="15" t="s">
        <v>5</v>
      </c>
      <c r="H172" s="15" t="s">
        <v>6</v>
      </c>
      <c r="J172" s="15" t="s">
        <v>7</v>
      </c>
      <c r="K172" s="9"/>
      <c r="L172" s="17"/>
      <c r="M172" s="2"/>
      <c r="N172" s="1"/>
    </row>
    <row r="173" ht="3.75" customHeight="1">
      <c r="A173" s="1"/>
      <c r="B173" s="2"/>
      <c r="C173" s="16"/>
      <c r="D173" s="10"/>
      <c r="E173" s="2"/>
      <c r="F173" s="2"/>
      <c r="G173" s="2"/>
      <c r="H173" s="2"/>
      <c r="I173" s="2"/>
      <c r="J173" s="2"/>
      <c r="K173" s="10"/>
      <c r="L173" s="2"/>
      <c r="M173" s="2"/>
      <c r="N173" s="1"/>
    </row>
    <row r="174" ht="30.0" customHeight="1">
      <c r="A174" s="3"/>
      <c r="B174" s="2"/>
      <c r="C174" s="11" t="s">
        <v>8</v>
      </c>
      <c r="D174" s="5"/>
      <c r="E174" s="12" t="str">
        <f>IMAGE("https://a.ppy.sh/17959882?1687932364.jpeg")</f>
        <v/>
      </c>
      <c r="F174" s="13" t="s">
        <v>1</v>
      </c>
      <c r="G174" s="12" t="str">
        <f>IMAGE("https://a.ppy.sh/14238097?1686376598.jpeg)")</f>
        <v/>
      </c>
      <c r="H174" s="13" t="s">
        <v>2</v>
      </c>
      <c r="I174" s="12" t="str">
        <f>IMAGE("https://a.ppy.sh/17959882?1687932364.jpeg")</f>
        <v/>
      </c>
      <c r="J174" s="13" t="s">
        <v>3</v>
      </c>
      <c r="K174" s="14" t="s">
        <v>9</v>
      </c>
      <c r="L174" s="17"/>
      <c r="M174" s="2"/>
      <c r="N174" s="1"/>
    </row>
    <row r="175" ht="11.25" customHeight="1">
      <c r="A175" s="3"/>
      <c r="B175" s="2"/>
      <c r="D175" s="5"/>
      <c r="F175" s="15" t="s">
        <v>5</v>
      </c>
      <c r="H175" s="15" t="s">
        <v>6</v>
      </c>
      <c r="J175" s="15" t="s">
        <v>7</v>
      </c>
      <c r="K175" s="9"/>
      <c r="L175" s="17"/>
      <c r="M175" s="2"/>
      <c r="N175" s="1"/>
    </row>
    <row r="176" ht="3.75" customHeight="1">
      <c r="A176" s="1"/>
      <c r="B176" s="2"/>
      <c r="C176" s="16"/>
      <c r="D176" s="10"/>
      <c r="E176" s="2"/>
      <c r="F176" s="2"/>
      <c r="G176" s="2"/>
      <c r="H176" s="2"/>
      <c r="I176" s="2"/>
      <c r="J176" s="2"/>
      <c r="K176" s="10"/>
      <c r="L176" s="2"/>
      <c r="M176" s="2"/>
      <c r="N176" s="1"/>
    </row>
    <row r="177" ht="30.0" customHeight="1">
      <c r="A177" s="3"/>
      <c r="B177" s="2"/>
      <c r="C177" s="11" t="s">
        <v>8</v>
      </c>
      <c r="D177" s="5"/>
      <c r="E177" s="12" t="str">
        <f>IMAGE("https://a.ppy.sh/17959882?1687932364.jpeg")</f>
        <v/>
      </c>
      <c r="F177" s="13" t="s">
        <v>1</v>
      </c>
      <c r="G177" s="12" t="str">
        <f>IMAGE("https://a.ppy.sh/14238097?1686376598.jpeg)")</f>
        <v/>
      </c>
      <c r="H177" s="13" t="s">
        <v>2</v>
      </c>
      <c r="I177" s="12" t="str">
        <f>IMAGE("https://a.ppy.sh/17959882?1687932364.jpeg")</f>
        <v/>
      </c>
      <c r="J177" s="13" t="s">
        <v>3</v>
      </c>
      <c r="K177" s="14" t="s">
        <v>9</v>
      </c>
      <c r="L177" s="17"/>
      <c r="M177" s="2"/>
      <c r="N177" s="1"/>
    </row>
    <row r="178" ht="11.25" customHeight="1">
      <c r="A178" s="3"/>
      <c r="B178" s="2"/>
      <c r="D178" s="5"/>
      <c r="F178" s="15" t="s">
        <v>5</v>
      </c>
      <c r="H178" s="15" t="s">
        <v>6</v>
      </c>
      <c r="J178" s="15" t="s">
        <v>7</v>
      </c>
      <c r="K178" s="9"/>
      <c r="L178" s="17"/>
      <c r="M178" s="2"/>
      <c r="N178" s="1"/>
    </row>
    <row r="179" ht="3.75" customHeight="1">
      <c r="A179" s="1"/>
      <c r="B179" s="2"/>
      <c r="C179" s="16"/>
      <c r="D179" s="10"/>
      <c r="E179" s="2"/>
      <c r="F179" s="2"/>
      <c r="G179" s="2"/>
      <c r="H179" s="2"/>
      <c r="I179" s="2"/>
      <c r="J179" s="2"/>
      <c r="K179" s="10"/>
      <c r="L179" s="2"/>
      <c r="M179" s="2"/>
      <c r="N179" s="1"/>
    </row>
    <row r="180" ht="30.0" customHeight="1">
      <c r="A180" s="3"/>
      <c r="B180" s="2"/>
      <c r="C180" s="11" t="s">
        <v>8</v>
      </c>
      <c r="D180" s="5"/>
      <c r="E180" s="12" t="str">
        <f>IMAGE("https://a.ppy.sh/17959882?1687932364.jpeg")</f>
        <v/>
      </c>
      <c r="F180" s="13" t="s">
        <v>1</v>
      </c>
      <c r="G180" s="12" t="str">
        <f>IMAGE("https://a.ppy.sh/14238097?1686376598.jpeg)")</f>
        <v/>
      </c>
      <c r="H180" s="13" t="s">
        <v>2</v>
      </c>
      <c r="I180" s="12" t="str">
        <f>IMAGE("https://a.ppy.sh/17959882?1687932364.jpeg")</f>
        <v/>
      </c>
      <c r="J180" s="13" t="s">
        <v>3</v>
      </c>
      <c r="K180" s="14" t="s">
        <v>9</v>
      </c>
      <c r="L180" s="17"/>
      <c r="M180" s="2"/>
      <c r="N180" s="1"/>
    </row>
    <row r="181" ht="11.25" customHeight="1">
      <c r="A181" s="3"/>
      <c r="B181" s="2"/>
      <c r="D181" s="5"/>
      <c r="F181" s="15" t="s">
        <v>5</v>
      </c>
      <c r="H181" s="15" t="s">
        <v>6</v>
      </c>
      <c r="J181" s="15" t="s">
        <v>7</v>
      </c>
      <c r="K181" s="9"/>
      <c r="L181" s="17"/>
      <c r="M181" s="2"/>
      <c r="N181" s="1"/>
    </row>
    <row r="182" ht="3.75" customHeight="1">
      <c r="A182" s="1"/>
      <c r="B182" s="2"/>
      <c r="C182" s="16"/>
      <c r="D182" s="10"/>
      <c r="E182" s="2"/>
      <c r="F182" s="2"/>
      <c r="G182" s="2"/>
      <c r="H182" s="2"/>
      <c r="I182" s="2"/>
      <c r="J182" s="2"/>
      <c r="K182" s="10"/>
      <c r="L182" s="2"/>
      <c r="M182" s="2"/>
      <c r="N182" s="1"/>
    </row>
    <row r="183" ht="30.0" customHeight="1">
      <c r="A183" s="3"/>
      <c r="B183" s="2"/>
      <c r="C183" s="11" t="s">
        <v>8</v>
      </c>
      <c r="D183" s="5"/>
      <c r="E183" s="12" t="str">
        <f>IMAGE("https://a.ppy.sh/17959882?1687932364.jpeg")</f>
        <v/>
      </c>
      <c r="F183" s="13" t="s">
        <v>1</v>
      </c>
      <c r="G183" s="12" t="str">
        <f>IMAGE("https://a.ppy.sh/14238097?1686376598.jpeg)")</f>
        <v/>
      </c>
      <c r="H183" s="13" t="s">
        <v>2</v>
      </c>
      <c r="I183" s="12" t="str">
        <f>IMAGE("https://a.ppy.sh/17959882?1687932364.jpeg")</f>
        <v/>
      </c>
      <c r="J183" s="13" t="s">
        <v>3</v>
      </c>
      <c r="K183" s="14" t="s">
        <v>9</v>
      </c>
      <c r="L183" s="17"/>
      <c r="M183" s="2"/>
      <c r="N183" s="1"/>
    </row>
    <row r="184" ht="11.25" customHeight="1">
      <c r="A184" s="3"/>
      <c r="B184" s="2"/>
      <c r="D184" s="5"/>
      <c r="F184" s="15" t="s">
        <v>5</v>
      </c>
      <c r="H184" s="15" t="s">
        <v>6</v>
      </c>
      <c r="J184" s="15" t="s">
        <v>7</v>
      </c>
      <c r="K184" s="9"/>
      <c r="L184" s="17"/>
      <c r="M184" s="2"/>
      <c r="N184" s="1"/>
    </row>
    <row r="185" ht="3.75" customHeight="1">
      <c r="A185" s="1"/>
      <c r="B185" s="2"/>
      <c r="C185" s="16"/>
      <c r="D185" s="10"/>
      <c r="E185" s="2"/>
      <c r="F185" s="2"/>
      <c r="G185" s="2"/>
      <c r="H185" s="2"/>
      <c r="I185" s="2"/>
      <c r="J185" s="2"/>
      <c r="K185" s="10"/>
      <c r="L185" s="2"/>
      <c r="M185" s="2"/>
      <c r="N185" s="1"/>
    </row>
  </sheetData>
  <mergeCells count="305">
    <mergeCell ref="I48:I49"/>
    <mergeCell ref="I51:I52"/>
    <mergeCell ref="G39:G40"/>
    <mergeCell ref="G42:G43"/>
    <mergeCell ref="I42:I43"/>
    <mergeCell ref="I45:I46"/>
    <mergeCell ref="K45:K46"/>
    <mergeCell ref="K48:K49"/>
    <mergeCell ref="K51:K52"/>
    <mergeCell ref="C3:C4"/>
    <mergeCell ref="E3:E4"/>
    <mergeCell ref="G3:G4"/>
    <mergeCell ref="K3:L4"/>
    <mergeCell ref="E6:E7"/>
    <mergeCell ref="G6:G7"/>
    <mergeCell ref="K6:L7"/>
    <mergeCell ref="C6:C7"/>
    <mergeCell ref="C9:C10"/>
    <mergeCell ref="E9:E10"/>
    <mergeCell ref="G9:G10"/>
    <mergeCell ref="C12:C13"/>
    <mergeCell ref="G12:G13"/>
    <mergeCell ref="G15:G16"/>
    <mergeCell ref="I3:I4"/>
    <mergeCell ref="I6:I7"/>
    <mergeCell ref="I9:I10"/>
    <mergeCell ref="K9:K10"/>
    <mergeCell ref="I12:I13"/>
    <mergeCell ref="K12:K13"/>
    <mergeCell ref="K15:K16"/>
    <mergeCell ref="C15:C16"/>
    <mergeCell ref="C18:C19"/>
    <mergeCell ref="C21:C22"/>
    <mergeCell ref="C24:C25"/>
    <mergeCell ref="C27:C28"/>
    <mergeCell ref="C30:C31"/>
    <mergeCell ref="C33:C34"/>
    <mergeCell ref="G51:G52"/>
    <mergeCell ref="G54:G55"/>
    <mergeCell ref="I54:I55"/>
    <mergeCell ref="K54:K55"/>
    <mergeCell ref="G63:G64"/>
    <mergeCell ref="I63:I64"/>
    <mergeCell ref="K63:K64"/>
    <mergeCell ref="C63:C64"/>
    <mergeCell ref="C66:C67"/>
    <mergeCell ref="E63:E64"/>
    <mergeCell ref="E66:E67"/>
    <mergeCell ref="G66:G67"/>
    <mergeCell ref="I66:I67"/>
    <mergeCell ref="K66:K67"/>
    <mergeCell ref="I69:I70"/>
    <mergeCell ref="I72:I73"/>
    <mergeCell ref="K147:K148"/>
    <mergeCell ref="K150:K151"/>
    <mergeCell ref="K126:K127"/>
    <mergeCell ref="K129:K130"/>
    <mergeCell ref="K132:K133"/>
    <mergeCell ref="K135:K136"/>
    <mergeCell ref="K138:K139"/>
    <mergeCell ref="K141:K142"/>
    <mergeCell ref="K144:K145"/>
    <mergeCell ref="K69:K70"/>
    <mergeCell ref="K72:K73"/>
    <mergeCell ref="I75:I76"/>
    <mergeCell ref="K75:K76"/>
    <mergeCell ref="I78:I79"/>
    <mergeCell ref="K78:K79"/>
    <mergeCell ref="K81:K82"/>
    <mergeCell ref="I81:I82"/>
    <mergeCell ref="I84:I85"/>
    <mergeCell ref="I87:I88"/>
    <mergeCell ref="I90:I91"/>
    <mergeCell ref="I93:I94"/>
    <mergeCell ref="I96:I97"/>
    <mergeCell ref="I99:I100"/>
    <mergeCell ref="K84:K85"/>
    <mergeCell ref="K87:K88"/>
    <mergeCell ref="K90:K91"/>
    <mergeCell ref="K93:K94"/>
    <mergeCell ref="K96:K97"/>
    <mergeCell ref="K99:K100"/>
    <mergeCell ref="K102:K103"/>
    <mergeCell ref="I102:I103"/>
    <mergeCell ref="I105:I106"/>
    <mergeCell ref="I108:I109"/>
    <mergeCell ref="I111:I112"/>
    <mergeCell ref="I114:I115"/>
    <mergeCell ref="I117:I118"/>
    <mergeCell ref="I120:I121"/>
    <mergeCell ref="K105:K106"/>
    <mergeCell ref="K108:K109"/>
    <mergeCell ref="K111:K112"/>
    <mergeCell ref="K114:K115"/>
    <mergeCell ref="K117:K118"/>
    <mergeCell ref="K120:K121"/>
    <mergeCell ref="K123:K124"/>
    <mergeCell ref="I144:I145"/>
    <mergeCell ref="I147:I148"/>
    <mergeCell ref="I150:I151"/>
    <mergeCell ref="I123:I124"/>
    <mergeCell ref="I126:I127"/>
    <mergeCell ref="I129:I130"/>
    <mergeCell ref="I132:I133"/>
    <mergeCell ref="I135:I136"/>
    <mergeCell ref="I138:I139"/>
    <mergeCell ref="I141:I142"/>
    <mergeCell ref="E33:E34"/>
    <mergeCell ref="E36:E37"/>
    <mergeCell ref="E12:E13"/>
    <mergeCell ref="E15:E16"/>
    <mergeCell ref="E18:E19"/>
    <mergeCell ref="E21:E22"/>
    <mergeCell ref="E24:E25"/>
    <mergeCell ref="E27:E28"/>
    <mergeCell ref="E30:E31"/>
    <mergeCell ref="I15:I16"/>
    <mergeCell ref="I18:I19"/>
    <mergeCell ref="I21:I22"/>
    <mergeCell ref="I24:I25"/>
    <mergeCell ref="I27:I28"/>
    <mergeCell ref="I30:I31"/>
    <mergeCell ref="I33:I34"/>
    <mergeCell ref="I168:I169"/>
    <mergeCell ref="I171:I172"/>
    <mergeCell ref="I174:I175"/>
    <mergeCell ref="I177:I178"/>
    <mergeCell ref="I180:I181"/>
    <mergeCell ref="I183:I184"/>
    <mergeCell ref="I36:I37"/>
    <mergeCell ref="I39:I40"/>
    <mergeCell ref="I153:I154"/>
    <mergeCell ref="I156:I157"/>
    <mergeCell ref="I159:I160"/>
    <mergeCell ref="I162:I163"/>
    <mergeCell ref="I165:I166"/>
    <mergeCell ref="K18:K19"/>
    <mergeCell ref="K21:K22"/>
    <mergeCell ref="K24:K25"/>
    <mergeCell ref="K27:K28"/>
    <mergeCell ref="K30:K31"/>
    <mergeCell ref="K33:K34"/>
    <mergeCell ref="K36:K37"/>
    <mergeCell ref="K168:K169"/>
    <mergeCell ref="K171:K172"/>
    <mergeCell ref="K174:K175"/>
    <mergeCell ref="K177:K178"/>
    <mergeCell ref="K180:K181"/>
    <mergeCell ref="K183:K184"/>
    <mergeCell ref="K39:K40"/>
    <mergeCell ref="K42:K43"/>
    <mergeCell ref="K153:K154"/>
    <mergeCell ref="K156:K157"/>
    <mergeCell ref="K159:K160"/>
    <mergeCell ref="K162:K163"/>
    <mergeCell ref="K165:K166"/>
    <mergeCell ref="G18:G19"/>
    <mergeCell ref="G21:G22"/>
    <mergeCell ref="G24:G25"/>
    <mergeCell ref="G27:G28"/>
    <mergeCell ref="G30:G31"/>
    <mergeCell ref="G33:G34"/>
    <mergeCell ref="G36:G37"/>
    <mergeCell ref="G45:G46"/>
    <mergeCell ref="G48:G49"/>
    <mergeCell ref="G69:G70"/>
    <mergeCell ref="G72:G73"/>
    <mergeCell ref="G75:G76"/>
    <mergeCell ref="G78:G79"/>
    <mergeCell ref="G81:G82"/>
    <mergeCell ref="G84:G85"/>
    <mergeCell ref="G87:G88"/>
    <mergeCell ref="G90:G91"/>
    <mergeCell ref="G93:G94"/>
    <mergeCell ref="G96:G97"/>
    <mergeCell ref="G99:G100"/>
    <mergeCell ref="G102:G103"/>
    <mergeCell ref="G105:G106"/>
    <mergeCell ref="G108:G109"/>
    <mergeCell ref="G111:G112"/>
    <mergeCell ref="G114:G115"/>
    <mergeCell ref="G117:G118"/>
    <mergeCell ref="G120:G121"/>
    <mergeCell ref="G123:G124"/>
    <mergeCell ref="G126:G127"/>
    <mergeCell ref="G129:G130"/>
    <mergeCell ref="G132:G133"/>
    <mergeCell ref="G135:G136"/>
    <mergeCell ref="G138:G139"/>
    <mergeCell ref="G141:G142"/>
    <mergeCell ref="G144:G145"/>
    <mergeCell ref="G168:G169"/>
    <mergeCell ref="G171:G172"/>
    <mergeCell ref="G174:G175"/>
    <mergeCell ref="G177:G178"/>
    <mergeCell ref="G180:G181"/>
    <mergeCell ref="G183:G184"/>
    <mergeCell ref="G147:G148"/>
    <mergeCell ref="G150:G151"/>
    <mergeCell ref="G153:G154"/>
    <mergeCell ref="G156:G157"/>
    <mergeCell ref="G159:G160"/>
    <mergeCell ref="G162:G163"/>
    <mergeCell ref="G165:G166"/>
    <mergeCell ref="K57:K58"/>
    <mergeCell ref="K60:K61"/>
    <mergeCell ref="E54:E55"/>
    <mergeCell ref="E57:E58"/>
    <mergeCell ref="G57:G58"/>
    <mergeCell ref="I57:I58"/>
    <mergeCell ref="E60:E61"/>
    <mergeCell ref="G60:G61"/>
    <mergeCell ref="I60:I61"/>
    <mergeCell ref="C111:C112"/>
    <mergeCell ref="C114:C115"/>
    <mergeCell ref="C117:C118"/>
    <mergeCell ref="C120:C121"/>
    <mergeCell ref="C123:C124"/>
    <mergeCell ref="C126:C127"/>
    <mergeCell ref="C129:C130"/>
    <mergeCell ref="C132:C133"/>
    <mergeCell ref="C135:C136"/>
    <mergeCell ref="C138:C139"/>
    <mergeCell ref="C141:C142"/>
    <mergeCell ref="C144:C145"/>
    <mergeCell ref="C147:C148"/>
    <mergeCell ref="C150:C151"/>
    <mergeCell ref="C174:C175"/>
    <mergeCell ref="C177:C178"/>
    <mergeCell ref="C180:C181"/>
    <mergeCell ref="C183:C184"/>
    <mergeCell ref="C153:C154"/>
    <mergeCell ref="C156:C157"/>
    <mergeCell ref="C159:C160"/>
    <mergeCell ref="C162:C163"/>
    <mergeCell ref="C165:C166"/>
    <mergeCell ref="C168:C169"/>
    <mergeCell ref="C171:C172"/>
    <mergeCell ref="E132:E133"/>
    <mergeCell ref="E135:E136"/>
    <mergeCell ref="E138:E139"/>
    <mergeCell ref="E141:E142"/>
    <mergeCell ref="E144:E145"/>
    <mergeCell ref="E147:E148"/>
    <mergeCell ref="E150:E151"/>
    <mergeCell ref="E174:E175"/>
    <mergeCell ref="E177:E178"/>
    <mergeCell ref="E180:E181"/>
    <mergeCell ref="E183:E184"/>
    <mergeCell ref="E153:E154"/>
    <mergeCell ref="E156:E157"/>
    <mergeCell ref="E159:E160"/>
    <mergeCell ref="E162:E163"/>
    <mergeCell ref="E165:E166"/>
    <mergeCell ref="E168:E169"/>
    <mergeCell ref="E171:E172"/>
    <mergeCell ref="C42:C43"/>
    <mergeCell ref="C45:C46"/>
    <mergeCell ref="C48:C49"/>
    <mergeCell ref="C51:C52"/>
    <mergeCell ref="C54:C55"/>
    <mergeCell ref="C57:C58"/>
    <mergeCell ref="C60:C61"/>
    <mergeCell ref="C36:C37"/>
    <mergeCell ref="C39:C40"/>
    <mergeCell ref="E39:E40"/>
    <mergeCell ref="E42:E43"/>
    <mergeCell ref="E45:E46"/>
    <mergeCell ref="E48:E49"/>
    <mergeCell ref="E51:E52"/>
    <mergeCell ref="C69:C70"/>
    <mergeCell ref="C72:C73"/>
    <mergeCell ref="C75:C76"/>
    <mergeCell ref="C78:C79"/>
    <mergeCell ref="C81:C82"/>
    <mergeCell ref="C84:C85"/>
    <mergeCell ref="C87:C88"/>
    <mergeCell ref="E69:E70"/>
    <mergeCell ref="E72:E73"/>
    <mergeCell ref="E75:E76"/>
    <mergeCell ref="E78:E79"/>
    <mergeCell ref="E81:E82"/>
    <mergeCell ref="E84:E85"/>
    <mergeCell ref="E87:E88"/>
    <mergeCell ref="C90:C91"/>
    <mergeCell ref="C93:C94"/>
    <mergeCell ref="C96:C97"/>
    <mergeCell ref="C99:C100"/>
    <mergeCell ref="C102:C103"/>
    <mergeCell ref="C105:C106"/>
    <mergeCell ref="C108:C109"/>
    <mergeCell ref="E90:E91"/>
    <mergeCell ref="E93:E94"/>
    <mergeCell ref="E96:E97"/>
    <mergeCell ref="E99:E100"/>
    <mergeCell ref="E102:E103"/>
    <mergeCell ref="E105:E106"/>
    <mergeCell ref="E108:E109"/>
    <mergeCell ref="E111:E112"/>
    <mergeCell ref="E114:E115"/>
    <mergeCell ref="E117:E118"/>
    <mergeCell ref="E120:E121"/>
    <mergeCell ref="E123:E124"/>
    <mergeCell ref="E126:E127"/>
    <mergeCell ref="E129:E130"/>
  </mergeCells>
  <hyperlinks>
    <hyperlink r:id="rId1" ref="J3"/>
    <hyperlink r:id="rId2" ref="J6"/>
    <hyperlink r:id="rId3" ref="J9"/>
    <hyperlink r:id="rId4" ref="J12"/>
    <hyperlink r:id="rId5" ref="J15"/>
    <hyperlink r:id="rId6" ref="J18"/>
    <hyperlink r:id="rId7" ref="J21"/>
    <hyperlink r:id="rId8" ref="J24"/>
    <hyperlink r:id="rId9" ref="J27"/>
    <hyperlink r:id="rId10" ref="J30"/>
    <hyperlink r:id="rId11" ref="J33"/>
    <hyperlink r:id="rId12" ref="J36"/>
    <hyperlink r:id="rId13" ref="J39"/>
    <hyperlink r:id="rId14" ref="J42"/>
    <hyperlink r:id="rId15" ref="J45"/>
    <hyperlink r:id="rId16" ref="J48"/>
    <hyperlink r:id="rId17" ref="J51"/>
    <hyperlink r:id="rId18" ref="J54"/>
    <hyperlink r:id="rId19" ref="J57"/>
    <hyperlink r:id="rId20" ref="J60"/>
    <hyperlink r:id="rId21" ref="J63"/>
    <hyperlink r:id="rId22" ref="J66"/>
    <hyperlink r:id="rId23" ref="J69"/>
    <hyperlink r:id="rId24" ref="J72"/>
    <hyperlink r:id="rId25" ref="J75"/>
    <hyperlink r:id="rId26" ref="J78"/>
    <hyperlink r:id="rId27" ref="J81"/>
    <hyperlink r:id="rId28" ref="J84"/>
    <hyperlink r:id="rId29" ref="J87"/>
    <hyperlink r:id="rId30" ref="J90"/>
    <hyperlink r:id="rId31" ref="J93"/>
    <hyperlink r:id="rId32" ref="J96"/>
    <hyperlink r:id="rId33" ref="J99"/>
    <hyperlink r:id="rId34" ref="J102"/>
    <hyperlink r:id="rId35" ref="J105"/>
    <hyperlink r:id="rId36" ref="J108"/>
    <hyperlink r:id="rId37" ref="J111"/>
    <hyperlink r:id="rId38" ref="J114"/>
    <hyperlink r:id="rId39" ref="J117"/>
    <hyperlink r:id="rId40" ref="J120"/>
    <hyperlink r:id="rId41" ref="J123"/>
    <hyperlink r:id="rId42" ref="J126"/>
    <hyperlink r:id="rId43" ref="J129"/>
    <hyperlink r:id="rId44" ref="J132"/>
    <hyperlink r:id="rId45" ref="J135"/>
    <hyperlink r:id="rId46" ref="J138"/>
    <hyperlink r:id="rId47" ref="J141"/>
    <hyperlink r:id="rId48" ref="J144"/>
    <hyperlink r:id="rId49" ref="J147"/>
    <hyperlink r:id="rId50" ref="J150"/>
    <hyperlink r:id="rId51" ref="J153"/>
    <hyperlink r:id="rId52" ref="J156"/>
    <hyperlink r:id="rId53" ref="J159"/>
    <hyperlink r:id="rId54" ref="J162"/>
    <hyperlink r:id="rId55" ref="J165"/>
    <hyperlink r:id="rId56" ref="J168"/>
    <hyperlink r:id="rId57" ref="J171"/>
    <hyperlink r:id="rId58" ref="J174"/>
    <hyperlink r:id="rId59" ref="J177"/>
    <hyperlink r:id="rId60" ref="J180"/>
    <hyperlink r:id="rId61" ref="J183"/>
  </hyperlinks>
  <drawing r:id="rId6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63"/>
    <col customWidth="1" min="2" max="3" width="2.0"/>
    <col customWidth="1" min="4" max="4" width="10.13"/>
    <col customWidth="1" min="5" max="5" width="7.0"/>
    <col customWidth="1" min="6" max="6" width="56.38"/>
    <col customWidth="1" min="7" max="9" width="6.38"/>
    <col customWidth="1" min="10" max="12" width="4.88"/>
    <col customWidth="1" min="13" max="13" width="10.88"/>
    <col customWidth="1" min="14" max="14" width="15.13"/>
    <col customWidth="1" min="15" max="15" width="35.5"/>
    <col customWidth="1" min="16" max="16" width="1.38"/>
    <col customWidth="1" min="17" max="17" width="2.63"/>
  </cols>
  <sheetData>
    <row r="1" ht="30.75" customHeight="1">
      <c r="A1" s="18"/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ht="22.5" customHeight="1">
      <c r="A2" s="22" t="s">
        <v>10</v>
      </c>
      <c r="B2" s="19"/>
      <c r="C2" s="20"/>
      <c r="D2" s="23" t="s">
        <v>11</v>
      </c>
      <c r="E2" s="24"/>
      <c r="F2" s="23" t="s">
        <v>12</v>
      </c>
      <c r="G2" s="25"/>
      <c r="H2" s="24"/>
      <c r="I2" s="20"/>
      <c r="J2" s="20"/>
      <c r="K2" s="20"/>
      <c r="L2" s="20"/>
      <c r="M2" s="20"/>
      <c r="N2" s="20"/>
      <c r="O2" s="26" t="s">
        <v>13</v>
      </c>
      <c r="P2" s="20"/>
      <c r="Q2" s="27"/>
    </row>
    <row r="3" ht="7.5" customHeight="1">
      <c r="A3" s="18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7"/>
    </row>
    <row r="4" ht="22.5" customHeight="1" outlineLevel="1">
      <c r="A4" s="28"/>
      <c r="B4" s="19"/>
      <c r="C4" s="20"/>
      <c r="D4" s="26" t="s">
        <v>14</v>
      </c>
      <c r="E4" s="29" t="s">
        <v>15</v>
      </c>
      <c r="F4" s="26" t="s">
        <v>16</v>
      </c>
      <c r="G4" s="29" t="s">
        <v>17</v>
      </c>
      <c r="H4" s="30" t="s">
        <v>18</v>
      </c>
      <c r="I4" s="31" t="s">
        <v>19</v>
      </c>
      <c r="J4" s="30" t="s">
        <v>20</v>
      </c>
      <c r="K4" s="32" t="s">
        <v>21</v>
      </c>
      <c r="L4" s="33" t="s">
        <v>22</v>
      </c>
      <c r="M4" s="32" t="s">
        <v>23</v>
      </c>
      <c r="N4" s="34" t="s">
        <v>24</v>
      </c>
      <c r="O4" s="35" t="s">
        <v>25</v>
      </c>
      <c r="P4" s="20"/>
      <c r="Q4" s="27"/>
    </row>
    <row r="5" ht="3.75" customHeight="1" outlineLevel="1">
      <c r="A5" s="28"/>
      <c r="B5" s="19"/>
      <c r="C5" s="20"/>
      <c r="D5" s="36"/>
      <c r="E5" s="37" t="s">
        <v>10</v>
      </c>
      <c r="F5" s="38"/>
      <c r="G5" s="37"/>
      <c r="H5" s="39"/>
      <c r="I5" s="40"/>
      <c r="J5" s="39"/>
      <c r="K5" s="37"/>
      <c r="L5" s="39"/>
      <c r="M5" s="37"/>
      <c r="N5" s="41"/>
      <c r="O5" s="42"/>
      <c r="P5" s="20"/>
      <c r="Q5" s="27"/>
    </row>
    <row r="6" ht="18.75" customHeight="1" outlineLevel="1">
      <c r="A6" s="43"/>
      <c r="B6" s="19"/>
      <c r="C6" s="20"/>
      <c r="D6" s="44"/>
      <c r="E6" s="45"/>
      <c r="F6" s="46"/>
      <c r="G6" s="47"/>
      <c r="H6" s="48"/>
      <c r="I6" s="49"/>
      <c r="J6" s="48"/>
      <c r="K6" s="47"/>
      <c r="L6" s="48"/>
      <c r="M6" s="47"/>
      <c r="N6" s="50"/>
      <c r="O6" s="51"/>
      <c r="P6" s="20"/>
      <c r="Q6" s="27"/>
    </row>
    <row r="7" ht="18.75" customHeight="1" outlineLevel="1">
      <c r="A7" s="43"/>
      <c r="B7" s="19"/>
      <c r="C7" s="20"/>
      <c r="D7" s="50"/>
      <c r="E7" s="45"/>
      <c r="F7" s="46"/>
      <c r="G7" s="47"/>
      <c r="H7" s="48"/>
      <c r="I7" s="49"/>
      <c r="J7" s="48"/>
      <c r="K7" s="47"/>
      <c r="L7" s="48"/>
      <c r="M7" s="47"/>
      <c r="N7" s="50"/>
      <c r="O7" s="51"/>
      <c r="P7" s="20"/>
      <c r="Q7" s="27"/>
    </row>
    <row r="8" ht="18.75" customHeight="1" outlineLevel="1">
      <c r="A8" s="43"/>
      <c r="B8" s="19"/>
      <c r="C8" s="20"/>
      <c r="D8" s="50"/>
      <c r="E8" s="45"/>
      <c r="F8" s="46"/>
      <c r="G8" s="47"/>
      <c r="H8" s="48"/>
      <c r="I8" s="49"/>
      <c r="J8" s="48"/>
      <c r="K8" s="47"/>
      <c r="L8" s="48"/>
      <c r="M8" s="47"/>
      <c r="N8" s="50"/>
      <c r="O8" s="51"/>
      <c r="P8" s="20"/>
      <c r="Q8" s="27"/>
    </row>
    <row r="9" ht="18.75" customHeight="1" outlineLevel="1">
      <c r="A9" s="43"/>
      <c r="B9" s="19"/>
      <c r="C9" s="20"/>
      <c r="D9" s="50"/>
      <c r="E9" s="45"/>
      <c r="F9" s="46"/>
      <c r="G9" s="47"/>
      <c r="H9" s="48"/>
      <c r="I9" s="49"/>
      <c r="J9" s="48"/>
      <c r="K9" s="47"/>
      <c r="L9" s="48"/>
      <c r="M9" s="47"/>
      <c r="N9" s="50"/>
      <c r="O9" s="51"/>
      <c r="P9" s="20"/>
      <c r="Q9" s="27"/>
    </row>
    <row r="10" ht="18.75" customHeight="1" outlineLevel="1">
      <c r="A10" s="43"/>
      <c r="B10" s="19"/>
      <c r="C10" s="20"/>
      <c r="D10" s="50"/>
      <c r="E10" s="45"/>
      <c r="F10" s="46"/>
      <c r="G10" s="47"/>
      <c r="H10" s="48"/>
      <c r="I10" s="49"/>
      <c r="J10" s="48"/>
      <c r="K10" s="47"/>
      <c r="L10" s="48"/>
      <c r="M10" s="47"/>
      <c r="N10" s="50"/>
      <c r="O10" s="51"/>
      <c r="P10" s="20"/>
      <c r="Q10" s="27"/>
    </row>
    <row r="11" ht="18.75" customHeight="1" outlineLevel="1">
      <c r="A11" s="43"/>
      <c r="B11" s="19"/>
      <c r="C11" s="20"/>
      <c r="D11" s="50"/>
      <c r="E11" s="45"/>
      <c r="F11" s="46"/>
      <c r="G11" s="47"/>
      <c r="H11" s="48"/>
      <c r="I11" s="49"/>
      <c r="J11" s="48"/>
      <c r="K11" s="47"/>
      <c r="L11" s="48"/>
      <c r="M11" s="47"/>
      <c r="N11" s="50"/>
      <c r="O11" s="51"/>
      <c r="P11" s="20"/>
      <c r="Q11" s="27"/>
    </row>
    <row r="12" ht="18.75" customHeight="1" outlineLevel="1">
      <c r="A12" s="43"/>
      <c r="B12" s="19"/>
      <c r="C12" s="20"/>
      <c r="D12" s="50"/>
      <c r="E12" s="45"/>
      <c r="F12" s="46"/>
      <c r="G12" s="47"/>
      <c r="H12" s="48"/>
      <c r="I12" s="49"/>
      <c r="J12" s="48"/>
      <c r="K12" s="47"/>
      <c r="L12" s="48"/>
      <c r="M12" s="47"/>
      <c r="N12" s="50"/>
      <c r="O12" s="51"/>
      <c r="P12" s="20"/>
      <c r="Q12" s="27"/>
    </row>
    <row r="13" ht="18.75" customHeight="1" outlineLevel="1">
      <c r="A13" s="43"/>
      <c r="B13" s="19"/>
      <c r="C13" s="20"/>
      <c r="D13" s="50"/>
      <c r="E13" s="45"/>
      <c r="F13" s="46"/>
      <c r="G13" s="47"/>
      <c r="H13" s="48"/>
      <c r="I13" s="49"/>
      <c r="J13" s="48"/>
      <c r="K13" s="47"/>
      <c r="L13" s="48"/>
      <c r="M13" s="47"/>
      <c r="N13" s="50"/>
      <c r="O13" s="51"/>
      <c r="P13" s="20"/>
      <c r="Q13" s="27"/>
    </row>
    <row r="14" ht="18.75" customHeight="1" outlineLevel="1">
      <c r="A14" s="43"/>
      <c r="B14" s="19"/>
      <c r="C14" s="20"/>
      <c r="D14" s="50"/>
      <c r="E14" s="45"/>
      <c r="F14" s="46"/>
      <c r="G14" s="47"/>
      <c r="H14" s="48"/>
      <c r="I14" s="49"/>
      <c r="J14" s="48"/>
      <c r="K14" s="47"/>
      <c r="L14" s="48"/>
      <c r="M14" s="47"/>
      <c r="N14" s="50"/>
      <c r="O14" s="51"/>
      <c r="P14" s="20"/>
      <c r="Q14" s="27"/>
    </row>
    <row r="15" ht="18.75" customHeight="1" outlineLevel="1">
      <c r="A15" s="43"/>
      <c r="B15" s="19"/>
      <c r="C15" s="20"/>
      <c r="D15" s="50"/>
      <c r="E15" s="45"/>
      <c r="F15" s="46"/>
      <c r="G15" s="47"/>
      <c r="H15" s="48"/>
      <c r="I15" s="49"/>
      <c r="J15" s="48"/>
      <c r="K15" s="47"/>
      <c r="L15" s="48"/>
      <c r="M15" s="47"/>
      <c r="N15" s="50"/>
      <c r="O15" s="51"/>
      <c r="P15" s="20"/>
      <c r="Q15" s="27"/>
    </row>
    <row r="16" ht="18.75" customHeight="1" outlineLevel="1">
      <c r="A16" s="43"/>
      <c r="B16" s="19"/>
      <c r="C16" s="20"/>
      <c r="D16" s="50"/>
      <c r="E16" s="45"/>
      <c r="F16" s="46"/>
      <c r="G16" s="47"/>
      <c r="H16" s="48"/>
      <c r="I16" s="49"/>
      <c r="J16" s="48"/>
      <c r="K16" s="47"/>
      <c r="L16" s="48"/>
      <c r="M16" s="47"/>
      <c r="N16" s="50"/>
      <c r="O16" s="51"/>
      <c r="P16" s="20"/>
      <c r="Q16" s="27"/>
    </row>
    <row r="17" ht="18.75" customHeight="1" outlineLevel="1">
      <c r="A17" s="43"/>
      <c r="B17" s="19"/>
      <c r="C17" s="20"/>
      <c r="D17" s="50"/>
      <c r="E17" s="45"/>
      <c r="F17" s="52"/>
      <c r="G17" s="47"/>
      <c r="H17" s="48"/>
      <c r="I17" s="49"/>
      <c r="J17" s="48"/>
      <c r="K17" s="47"/>
      <c r="L17" s="48"/>
      <c r="M17" s="47"/>
      <c r="N17" s="50"/>
      <c r="O17" s="51"/>
      <c r="P17" s="20"/>
      <c r="Q17" s="27"/>
    </row>
    <row r="18" ht="18.75" customHeight="1" outlineLevel="1">
      <c r="A18" s="43"/>
      <c r="B18" s="19"/>
      <c r="C18" s="20"/>
      <c r="D18" s="50"/>
      <c r="E18" s="45"/>
      <c r="F18" s="46"/>
      <c r="G18" s="47"/>
      <c r="H18" s="48"/>
      <c r="I18" s="49"/>
      <c r="J18" s="48"/>
      <c r="K18" s="47"/>
      <c r="L18" s="48"/>
      <c r="M18" s="47"/>
      <c r="N18" s="50"/>
      <c r="O18" s="51"/>
      <c r="P18" s="20"/>
      <c r="Q18" s="27"/>
    </row>
    <row r="19" ht="18.75" customHeight="1" outlineLevel="1">
      <c r="A19" s="43"/>
      <c r="B19" s="19"/>
      <c r="C19" s="20"/>
      <c r="D19" s="50"/>
      <c r="E19" s="45"/>
      <c r="F19" s="46"/>
      <c r="G19" s="47"/>
      <c r="H19" s="48"/>
      <c r="I19" s="49"/>
      <c r="J19" s="48"/>
      <c r="K19" s="47"/>
      <c r="L19" s="48"/>
      <c r="M19" s="47"/>
      <c r="N19" s="50"/>
      <c r="O19" s="51"/>
      <c r="P19" s="20"/>
      <c r="Q19" s="27"/>
    </row>
    <row r="20" ht="18.75" customHeight="1" outlineLevel="1">
      <c r="A20" s="43"/>
      <c r="B20" s="19"/>
      <c r="C20" s="20"/>
      <c r="D20" s="50"/>
      <c r="E20" s="45"/>
      <c r="F20" s="46"/>
      <c r="G20" s="47"/>
      <c r="H20" s="48"/>
      <c r="I20" s="49"/>
      <c r="J20" s="48"/>
      <c r="K20" s="47"/>
      <c r="L20" s="48"/>
      <c r="M20" s="47"/>
      <c r="N20" s="50"/>
      <c r="O20" s="51"/>
      <c r="P20" s="20"/>
      <c r="Q20" s="27"/>
    </row>
    <row r="21" ht="18.75" customHeight="1" outlineLevel="1">
      <c r="A21" s="43"/>
      <c r="B21" s="19"/>
      <c r="C21" s="20"/>
      <c r="D21" s="50"/>
      <c r="E21" s="45"/>
      <c r="F21" s="46"/>
      <c r="G21" s="47"/>
      <c r="H21" s="48"/>
      <c r="I21" s="49"/>
      <c r="J21" s="48"/>
      <c r="K21" s="47"/>
      <c r="L21" s="48"/>
      <c r="M21" s="47"/>
      <c r="N21" s="50"/>
      <c r="O21" s="51"/>
      <c r="P21" s="20"/>
      <c r="Q21" s="27"/>
    </row>
    <row r="22" ht="18.75" customHeight="1" outlineLevel="1">
      <c r="A22" s="43"/>
      <c r="B22" s="19"/>
      <c r="C22" s="20"/>
      <c r="D22" s="50"/>
      <c r="E22" s="45"/>
      <c r="F22" s="46"/>
      <c r="G22" s="47"/>
      <c r="H22" s="48"/>
      <c r="I22" s="49"/>
      <c r="J22" s="48"/>
      <c r="K22" s="47"/>
      <c r="L22" s="48"/>
      <c r="M22" s="47"/>
      <c r="N22" s="50"/>
      <c r="O22" s="51"/>
      <c r="P22" s="20"/>
      <c r="Q22" s="27"/>
    </row>
    <row r="23" ht="18.75" customHeight="1" outlineLevel="1">
      <c r="A23" s="43"/>
      <c r="B23" s="19"/>
      <c r="C23" s="20"/>
      <c r="D23" s="50"/>
      <c r="E23" s="45"/>
      <c r="F23" s="46"/>
      <c r="G23" s="47"/>
      <c r="H23" s="48"/>
      <c r="I23" s="49"/>
      <c r="J23" s="48"/>
      <c r="K23" s="47"/>
      <c r="L23" s="48"/>
      <c r="M23" s="47"/>
      <c r="N23" s="50"/>
      <c r="O23" s="51"/>
      <c r="P23" s="20"/>
      <c r="Q23" s="27"/>
    </row>
    <row r="24" ht="18.75" customHeight="1" outlineLevel="1">
      <c r="A24" s="43"/>
      <c r="B24" s="19"/>
      <c r="C24" s="20"/>
      <c r="D24" s="50"/>
      <c r="E24" s="45"/>
      <c r="F24" s="46"/>
      <c r="G24" s="47"/>
      <c r="H24" s="48"/>
      <c r="I24" s="49"/>
      <c r="J24" s="48"/>
      <c r="K24" s="47"/>
      <c r="L24" s="48"/>
      <c r="M24" s="47"/>
      <c r="N24" s="50"/>
      <c r="O24" s="51"/>
      <c r="P24" s="20"/>
      <c r="Q24" s="27"/>
    </row>
    <row r="25" ht="18.75" customHeight="1" outlineLevel="1">
      <c r="A25" s="43"/>
      <c r="B25" s="19"/>
      <c r="C25" s="20"/>
      <c r="D25" s="53"/>
      <c r="E25" s="54"/>
      <c r="F25" s="55"/>
      <c r="G25" s="56"/>
      <c r="H25" s="57"/>
      <c r="I25" s="58"/>
      <c r="J25" s="57"/>
      <c r="K25" s="56"/>
      <c r="L25" s="57"/>
      <c r="M25" s="56"/>
      <c r="N25" s="53"/>
      <c r="O25" s="59"/>
      <c r="P25" s="20"/>
      <c r="Q25" s="27"/>
    </row>
    <row r="26" ht="18.75" customHeight="1">
      <c r="A26" s="43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7"/>
    </row>
    <row r="27" ht="22.5" customHeight="1">
      <c r="A27" s="22" t="s">
        <v>10</v>
      </c>
      <c r="B27" s="19"/>
      <c r="C27" s="20"/>
      <c r="D27" s="23" t="s">
        <v>26</v>
      </c>
      <c r="E27" s="24"/>
      <c r="F27" s="23" t="s">
        <v>12</v>
      </c>
      <c r="G27" s="25"/>
      <c r="H27" s="24"/>
      <c r="I27" s="20"/>
      <c r="J27" s="20"/>
      <c r="K27" s="20"/>
      <c r="L27" s="20"/>
      <c r="M27" s="20"/>
      <c r="N27" s="20"/>
      <c r="O27" s="26" t="s">
        <v>13</v>
      </c>
      <c r="P27" s="20"/>
      <c r="Q27" s="27"/>
    </row>
    <row r="28" ht="7.5" customHeight="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7"/>
    </row>
    <row r="29" ht="22.5" customHeight="1" outlineLevel="1">
      <c r="A29" s="28"/>
      <c r="B29" s="19"/>
      <c r="C29" s="20"/>
      <c r="D29" s="26" t="s">
        <v>14</v>
      </c>
      <c r="E29" s="29" t="s">
        <v>15</v>
      </c>
      <c r="F29" s="26" t="s">
        <v>16</v>
      </c>
      <c r="G29" s="29" t="s">
        <v>17</v>
      </c>
      <c r="H29" s="30" t="s">
        <v>18</v>
      </c>
      <c r="I29" s="31" t="s">
        <v>19</v>
      </c>
      <c r="J29" s="30" t="s">
        <v>20</v>
      </c>
      <c r="K29" s="29" t="s">
        <v>21</v>
      </c>
      <c r="L29" s="30" t="s">
        <v>22</v>
      </c>
      <c r="M29" s="32" t="s">
        <v>23</v>
      </c>
      <c r="N29" s="60" t="s">
        <v>24</v>
      </c>
      <c r="O29" s="35" t="s">
        <v>25</v>
      </c>
      <c r="P29" s="20"/>
      <c r="Q29" s="27"/>
    </row>
    <row r="30" ht="3.75" customHeight="1" outlineLevel="1">
      <c r="A30" s="28"/>
      <c r="B30" s="19"/>
      <c r="C30" s="20"/>
      <c r="D30" s="36"/>
      <c r="E30" s="37" t="s">
        <v>10</v>
      </c>
      <c r="F30" s="38"/>
      <c r="G30" s="37"/>
      <c r="H30" s="39"/>
      <c r="I30" s="40"/>
      <c r="J30" s="39"/>
      <c r="K30" s="37"/>
      <c r="L30" s="39"/>
      <c r="M30" s="37"/>
      <c r="N30" s="41"/>
      <c r="O30" s="42"/>
      <c r="P30" s="20"/>
      <c r="Q30" s="27"/>
    </row>
    <row r="31" ht="18.75" customHeight="1" outlineLevel="1">
      <c r="A31" s="43"/>
      <c r="B31" s="19"/>
      <c r="C31" s="20"/>
      <c r="D31" s="44"/>
      <c r="E31" s="45"/>
      <c r="F31" s="46"/>
      <c r="G31" s="47"/>
      <c r="H31" s="48"/>
      <c r="I31" s="49"/>
      <c r="J31" s="48"/>
      <c r="K31" s="47"/>
      <c r="L31" s="48"/>
      <c r="M31" s="47"/>
      <c r="N31" s="50"/>
      <c r="O31" s="51"/>
      <c r="P31" s="20"/>
      <c r="Q31" s="27"/>
    </row>
    <row r="32" ht="18.75" customHeight="1" outlineLevel="1">
      <c r="A32" s="43"/>
      <c r="B32" s="19"/>
      <c r="C32" s="20"/>
      <c r="D32" s="50"/>
      <c r="E32" s="45"/>
      <c r="F32" s="46"/>
      <c r="G32" s="47"/>
      <c r="H32" s="48"/>
      <c r="I32" s="49"/>
      <c r="J32" s="48"/>
      <c r="K32" s="47"/>
      <c r="L32" s="48"/>
      <c r="M32" s="47"/>
      <c r="N32" s="50"/>
      <c r="O32" s="51"/>
      <c r="P32" s="20"/>
      <c r="Q32" s="27"/>
    </row>
    <row r="33" ht="18.75" customHeight="1" outlineLevel="1">
      <c r="A33" s="43"/>
      <c r="B33" s="19"/>
      <c r="C33" s="20"/>
      <c r="D33" s="50"/>
      <c r="E33" s="45"/>
      <c r="F33" s="46"/>
      <c r="G33" s="47"/>
      <c r="H33" s="48"/>
      <c r="I33" s="49"/>
      <c r="J33" s="48"/>
      <c r="K33" s="47"/>
      <c r="L33" s="48"/>
      <c r="M33" s="47"/>
      <c r="N33" s="50"/>
      <c r="O33" s="51"/>
      <c r="P33" s="20"/>
      <c r="Q33" s="27"/>
    </row>
    <row r="34" ht="18.75" customHeight="1" outlineLevel="1">
      <c r="A34" s="43"/>
      <c r="B34" s="19"/>
      <c r="C34" s="20"/>
      <c r="D34" s="50"/>
      <c r="E34" s="45"/>
      <c r="F34" s="46"/>
      <c r="G34" s="47"/>
      <c r="H34" s="48"/>
      <c r="I34" s="49"/>
      <c r="J34" s="48"/>
      <c r="K34" s="47"/>
      <c r="L34" s="48"/>
      <c r="M34" s="47"/>
      <c r="N34" s="50"/>
      <c r="O34" s="51"/>
      <c r="P34" s="20"/>
      <c r="Q34" s="27"/>
    </row>
    <row r="35" ht="18.75" customHeight="1" outlineLevel="1">
      <c r="A35" s="43"/>
      <c r="B35" s="19"/>
      <c r="C35" s="20"/>
      <c r="D35" s="50"/>
      <c r="E35" s="45"/>
      <c r="F35" s="46"/>
      <c r="G35" s="47"/>
      <c r="H35" s="48"/>
      <c r="I35" s="49"/>
      <c r="J35" s="48"/>
      <c r="K35" s="47"/>
      <c r="L35" s="48"/>
      <c r="M35" s="47"/>
      <c r="N35" s="50"/>
      <c r="O35" s="51"/>
      <c r="P35" s="20"/>
      <c r="Q35" s="27"/>
    </row>
    <row r="36" ht="18.75" customHeight="1" outlineLevel="1">
      <c r="A36" s="43"/>
      <c r="B36" s="19"/>
      <c r="C36" s="20"/>
      <c r="D36" s="50"/>
      <c r="E36" s="45"/>
      <c r="F36" s="46"/>
      <c r="G36" s="47"/>
      <c r="H36" s="48"/>
      <c r="I36" s="49"/>
      <c r="J36" s="48"/>
      <c r="K36" s="47"/>
      <c r="L36" s="48"/>
      <c r="M36" s="47"/>
      <c r="N36" s="50"/>
      <c r="O36" s="51"/>
      <c r="P36" s="20"/>
      <c r="Q36" s="27"/>
    </row>
    <row r="37" ht="18.75" customHeight="1" outlineLevel="1">
      <c r="A37" s="43"/>
      <c r="B37" s="19"/>
      <c r="C37" s="20"/>
      <c r="D37" s="50"/>
      <c r="E37" s="45"/>
      <c r="F37" s="46"/>
      <c r="G37" s="47"/>
      <c r="H37" s="48"/>
      <c r="I37" s="49"/>
      <c r="J37" s="48"/>
      <c r="K37" s="47"/>
      <c r="L37" s="48"/>
      <c r="M37" s="47"/>
      <c r="N37" s="50"/>
      <c r="O37" s="51"/>
      <c r="P37" s="20"/>
      <c r="Q37" s="27"/>
    </row>
    <row r="38" ht="18.75" customHeight="1" outlineLevel="1">
      <c r="A38" s="43"/>
      <c r="B38" s="19"/>
      <c r="C38" s="20"/>
      <c r="D38" s="50"/>
      <c r="E38" s="45"/>
      <c r="F38" s="46"/>
      <c r="G38" s="47"/>
      <c r="H38" s="48"/>
      <c r="I38" s="49"/>
      <c r="J38" s="48"/>
      <c r="K38" s="47"/>
      <c r="L38" s="48"/>
      <c r="M38" s="47"/>
      <c r="N38" s="50"/>
      <c r="O38" s="51"/>
      <c r="P38" s="20"/>
      <c r="Q38" s="27"/>
    </row>
    <row r="39" ht="18.75" customHeight="1" outlineLevel="1">
      <c r="A39" s="43"/>
      <c r="B39" s="19"/>
      <c r="C39" s="20"/>
      <c r="D39" s="50"/>
      <c r="E39" s="45"/>
      <c r="F39" s="46"/>
      <c r="G39" s="47"/>
      <c r="H39" s="48"/>
      <c r="I39" s="49"/>
      <c r="J39" s="48"/>
      <c r="K39" s="47"/>
      <c r="L39" s="48"/>
      <c r="M39" s="47"/>
      <c r="N39" s="50"/>
      <c r="O39" s="51"/>
      <c r="P39" s="20"/>
      <c r="Q39" s="27"/>
    </row>
    <row r="40" ht="18.75" customHeight="1" outlineLevel="1">
      <c r="A40" s="43"/>
      <c r="B40" s="19"/>
      <c r="C40" s="20"/>
      <c r="D40" s="50"/>
      <c r="E40" s="45"/>
      <c r="F40" s="46"/>
      <c r="G40" s="47"/>
      <c r="H40" s="48"/>
      <c r="I40" s="49"/>
      <c r="J40" s="48"/>
      <c r="K40" s="47"/>
      <c r="L40" s="48"/>
      <c r="M40" s="47"/>
      <c r="N40" s="50"/>
      <c r="O40" s="51"/>
      <c r="P40" s="20"/>
      <c r="Q40" s="27"/>
    </row>
    <row r="41" ht="18.75" customHeight="1" outlineLevel="1">
      <c r="A41" s="43"/>
      <c r="B41" s="19"/>
      <c r="C41" s="20"/>
      <c r="D41" s="50"/>
      <c r="E41" s="45"/>
      <c r="F41" s="46"/>
      <c r="G41" s="47"/>
      <c r="H41" s="48"/>
      <c r="I41" s="49"/>
      <c r="J41" s="48"/>
      <c r="K41" s="47"/>
      <c r="L41" s="48"/>
      <c r="M41" s="47"/>
      <c r="N41" s="50"/>
      <c r="O41" s="51"/>
      <c r="P41" s="20"/>
      <c r="Q41" s="27"/>
    </row>
    <row r="42" ht="18.75" customHeight="1" outlineLevel="1">
      <c r="A42" s="43"/>
      <c r="B42" s="19"/>
      <c r="C42" s="20"/>
      <c r="D42" s="50"/>
      <c r="E42" s="45"/>
      <c r="F42" s="52"/>
      <c r="G42" s="47"/>
      <c r="H42" s="48"/>
      <c r="I42" s="49"/>
      <c r="J42" s="48"/>
      <c r="K42" s="47"/>
      <c r="L42" s="48"/>
      <c r="M42" s="47"/>
      <c r="N42" s="50"/>
      <c r="O42" s="51"/>
      <c r="P42" s="20"/>
      <c r="Q42" s="27"/>
    </row>
    <row r="43" ht="18.75" customHeight="1" outlineLevel="1">
      <c r="A43" s="43"/>
      <c r="B43" s="19"/>
      <c r="C43" s="20"/>
      <c r="D43" s="50"/>
      <c r="E43" s="45"/>
      <c r="F43" s="46"/>
      <c r="G43" s="47"/>
      <c r="H43" s="48"/>
      <c r="I43" s="49"/>
      <c r="J43" s="48"/>
      <c r="K43" s="47"/>
      <c r="L43" s="48"/>
      <c r="M43" s="47"/>
      <c r="N43" s="50"/>
      <c r="O43" s="51"/>
      <c r="P43" s="20"/>
      <c r="Q43" s="27"/>
    </row>
    <row r="44" ht="18.75" customHeight="1" outlineLevel="1">
      <c r="A44" s="43"/>
      <c r="B44" s="19"/>
      <c r="C44" s="20"/>
      <c r="D44" s="50"/>
      <c r="E44" s="45"/>
      <c r="F44" s="46"/>
      <c r="G44" s="47"/>
      <c r="H44" s="48"/>
      <c r="I44" s="49"/>
      <c r="J44" s="48"/>
      <c r="K44" s="47"/>
      <c r="L44" s="48"/>
      <c r="M44" s="47"/>
      <c r="N44" s="50"/>
      <c r="O44" s="51"/>
      <c r="P44" s="20"/>
      <c r="Q44" s="27"/>
    </row>
    <row r="45" ht="18.75" customHeight="1" outlineLevel="1">
      <c r="A45" s="43"/>
      <c r="B45" s="19"/>
      <c r="C45" s="20"/>
      <c r="D45" s="50"/>
      <c r="E45" s="45"/>
      <c r="F45" s="46"/>
      <c r="G45" s="47"/>
      <c r="H45" s="48"/>
      <c r="I45" s="49"/>
      <c r="J45" s="48"/>
      <c r="K45" s="47"/>
      <c r="L45" s="48"/>
      <c r="M45" s="47"/>
      <c r="N45" s="50"/>
      <c r="O45" s="51"/>
      <c r="P45" s="20"/>
      <c r="Q45" s="27"/>
    </row>
    <row r="46" ht="18.75" customHeight="1" outlineLevel="1">
      <c r="A46" s="43"/>
      <c r="B46" s="19"/>
      <c r="C46" s="20"/>
      <c r="D46" s="50"/>
      <c r="E46" s="45"/>
      <c r="F46" s="46"/>
      <c r="G46" s="47"/>
      <c r="H46" s="48"/>
      <c r="I46" s="49"/>
      <c r="J46" s="48"/>
      <c r="K46" s="47"/>
      <c r="L46" s="48"/>
      <c r="M46" s="47"/>
      <c r="N46" s="50"/>
      <c r="O46" s="51"/>
      <c r="P46" s="20"/>
      <c r="Q46" s="27"/>
    </row>
    <row r="47" ht="18.75" customHeight="1" outlineLevel="1">
      <c r="A47" s="43"/>
      <c r="B47" s="19"/>
      <c r="C47" s="20"/>
      <c r="D47" s="50"/>
      <c r="E47" s="45"/>
      <c r="F47" s="46"/>
      <c r="G47" s="47"/>
      <c r="H47" s="48"/>
      <c r="I47" s="49"/>
      <c r="J47" s="48"/>
      <c r="K47" s="47"/>
      <c r="L47" s="48"/>
      <c r="M47" s="47"/>
      <c r="N47" s="50"/>
      <c r="O47" s="51"/>
      <c r="P47" s="20"/>
      <c r="Q47" s="27"/>
    </row>
    <row r="48" ht="18.75" customHeight="1" outlineLevel="1">
      <c r="A48" s="43"/>
      <c r="B48" s="19"/>
      <c r="C48" s="20"/>
      <c r="D48" s="50"/>
      <c r="E48" s="45"/>
      <c r="F48" s="46"/>
      <c r="G48" s="47"/>
      <c r="H48" s="48"/>
      <c r="I48" s="49"/>
      <c r="J48" s="48"/>
      <c r="K48" s="47"/>
      <c r="L48" s="48"/>
      <c r="M48" s="47"/>
      <c r="N48" s="50"/>
      <c r="O48" s="51"/>
      <c r="P48" s="20"/>
      <c r="Q48" s="27"/>
    </row>
    <row r="49" ht="18.75" customHeight="1" outlineLevel="1">
      <c r="A49" s="43"/>
      <c r="B49" s="19"/>
      <c r="C49" s="20"/>
      <c r="D49" s="50"/>
      <c r="E49" s="45"/>
      <c r="F49" s="46"/>
      <c r="G49" s="47"/>
      <c r="H49" s="48"/>
      <c r="I49" s="49"/>
      <c r="J49" s="48"/>
      <c r="K49" s="47"/>
      <c r="L49" s="48"/>
      <c r="M49" s="47"/>
      <c r="N49" s="50"/>
      <c r="O49" s="51"/>
      <c r="P49" s="20"/>
      <c r="Q49" s="27"/>
    </row>
    <row r="50" ht="18.75" customHeight="1" outlineLevel="1">
      <c r="A50" s="43"/>
      <c r="B50" s="19"/>
      <c r="C50" s="20"/>
      <c r="D50" s="53"/>
      <c r="E50" s="54"/>
      <c r="F50" s="55"/>
      <c r="G50" s="56"/>
      <c r="H50" s="57"/>
      <c r="I50" s="58"/>
      <c r="J50" s="57"/>
      <c r="K50" s="56"/>
      <c r="L50" s="57"/>
      <c r="M50" s="56"/>
      <c r="N50" s="53"/>
      <c r="O50" s="59"/>
      <c r="P50" s="20"/>
      <c r="Q50" s="27"/>
    </row>
    <row r="51" ht="3.75" customHeight="1" outlineLevel="1">
      <c r="A51" s="43"/>
      <c r="B51" s="19"/>
      <c r="C51" s="20"/>
      <c r="D51" s="61"/>
      <c r="E51" s="62"/>
      <c r="F51" s="63"/>
      <c r="G51" s="62"/>
      <c r="H51" s="62"/>
      <c r="I51" s="64"/>
      <c r="J51" s="62"/>
      <c r="K51" s="62"/>
      <c r="L51" s="62"/>
      <c r="M51" s="62"/>
      <c r="N51" s="62"/>
      <c r="O51" s="65"/>
      <c r="P51" s="20"/>
      <c r="Q51" s="27"/>
    </row>
    <row r="52" ht="18.75" customHeight="1">
      <c r="A52" s="43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7"/>
    </row>
    <row r="53" ht="22.5" customHeight="1">
      <c r="A53" s="22" t="s">
        <v>10</v>
      </c>
      <c r="B53" s="19"/>
      <c r="C53" s="20"/>
      <c r="D53" s="23" t="s">
        <v>27</v>
      </c>
      <c r="E53" s="24"/>
      <c r="F53" s="23" t="s">
        <v>12</v>
      </c>
      <c r="G53" s="25"/>
      <c r="H53" s="24"/>
      <c r="I53" s="20"/>
      <c r="J53" s="20"/>
      <c r="K53" s="20"/>
      <c r="L53" s="20"/>
      <c r="M53" s="20"/>
      <c r="N53" s="20"/>
      <c r="O53" s="26" t="s">
        <v>13</v>
      </c>
      <c r="P53" s="20"/>
      <c r="Q53" s="27"/>
    </row>
    <row r="54" ht="7.5" customHeight="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7"/>
    </row>
    <row r="55" ht="22.5" customHeight="1" outlineLevel="1">
      <c r="A55" s="28"/>
      <c r="B55" s="19"/>
      <c r="C55" s="20"/>
      <c r="D55" s="26" t="s">
        <v>14</v>
      </c>
      <c r="E55" s="29" t="s">
        <v>15</v>
      </c>
      <c r="F55" s="26" t="s">
        <v>16</v>
      </c>
      <c r="G55" s="29" t="s">
        <v>17</v>
      </c>
      <c r="H55" s="30" t="s">
        <v>18</v>
      </c>
      <c r="I55" s="31" t="s">
        <v>19</v>
      </c>
      <c r="J55" s="30" t="s">
        <v>20</v>
      </c>
      <c r="K55" s="29" t="s">
        <v>21</v>
      </c>
      <c r="L55" s="30" t="s">
        <v>22</v>
      </c>
      <c r="M55" s="32" t="s">
        <v>23</v>
      </c>
      <c r="N55" s="60" t="s">
        <v>24</v>
      </c>
      <c r="O55" s="35" t="s">
        <v>25</v>
      </c>
      <c r="P55" s="20"/>
      <c r="Q55" s="27"/>
    </row>
    <row r="56" ht="3.75" customHeight="1" outlineLevel="1">
      <c r="A56" s="28"/>
      <c r="B56" s="19"/>
      <c r="C56" s="20"/>
      <c r="D56" s="36"/>
      <c r="E56" s="37" t="s">
        <v>10</v>
      </c>
      <c r="F56" s="38"/>
      <c r="G56" s="37"/>
      <c r="H56" s="39"/>
      <c r="I56" s="40"/>
      <c r="J56" s="39"/>
      <c r="K56" s="37"/>
      <c r="L56" s="39"/>
      <c r="M56" s="37"/>
      <c r="N56" s="41"/>
      <c r="O56" s="42"/>
      <c r="P56" s="20"/>
      <c r="Q56" s="27"/>
    </row>
    <row r="57" ht="18.75" customHeight="1" outlineLevel="1">
      <c r="A57" s="43"/>
      <c r="B57" s="19"/>
      <c r="C57" s="20"/>
      <c r="D57" s="44"/>
      <c r="E57" s="45"/>
      <c r="F57" s="46"/>
      <c r="G57" s="47"/>
      <c r="H57" s="48"/>
      <c r="I57" s="49"/>
      <c r="J57" s="48"/>
      <c r="K57" s="47"/>
      <c r="L57" s="48"/>
      <c r="M57" s="47"/>
      <c r="N57" s="50"/>
      <c r="O57" s="51"/>
      <c r="P57" s="20"/>
      <c r="Q57" s="27"/>
    </row>
    <row r="58" ht="18.75" customHeight="1" outlineLevel="1">
      <c r="A58" s="43"/>
      <c r="B58" s="19"/>
      <c r="C58" s="20"/>
      <c r="D58" s="50"/>
      <c r="E58" s="45"/>
      <c r="F58" s="46"/>
      <c r="G58" s="47"/>
      <c r="H58" s="48"/>
      <c r="I58" s="49"/>
      <c r="J58" s="48"/>
      <c r="K58" s="47"/>
      <c r="L58" s="48"/>
      <c r="M58" s="47"/>
      <c r="N58" s="50"/>
      <c r="O58" s="51"/>
      <c r="P58" s="20"/>
      <c r="Q58" s="27"/>
    </row>
    <row r="59" ht="18.75" customHeight="1" outlineLevel="1">
      <c r="A59" s="43"/>
      <c r="B59" s="19"/>
      <c r="C59" s="20"/>
      <c r="D59" s="50"/>
      <c r="E59" s="45"/>
      <c r="F59" s="46"/>
      <c r="G59" s="47"/>
      <c r="H59" s="48"/>
      <c r="I59" s="49"/>
      <c r="J59" s="48"/>
      <c r="K59" s="47"/>
      <c r="L59" s="48"/>
      <c r="M59" s="47"/>
      <c r="N59" s="50"/>
      <c r="O59" s="51"/>
      <c r="P59" s="20"/>
      <c r="Q59" s="27"/>
    </row>
    <row r="60" ht="18.75" customHeight="1" outlineLevel="1">
      <c r="A60" s="43"/>
      <c r="B60" s="19"/>
      <c r="C60" s="20"/>
      <c r="D60" s="50"/>
      <c r="E60" s="45"/>
      <c r="F60" s="46"/>
      <c r="G60" s="47"/>
      <c r="H60" s="48"/>
      <c r="I60" s="49"/>
      <c r="J60" s="48"/>
      <c r="K60" s="47"/>
      <c r="L60" s="48"/>
      <c r="M60" s="47"/>
      <c r="N60" s="50"/>
      <c r="O60" s="51"/>
      <c r="P60" s="20"/>
      <c r="Q60" s="27"/>
    </row>
    <row r="61" ht="18.75" customHeight="1" outlineLevel="1">
      <c r="A61" s="43"/>
      <c r="B61" s="19"/>
      <c r="C61" s="20"/>
      <c r="D61" s="50"/>
      <c r="E61" s="45"/>
      <c r="F61" s="46"/>
      <c r="G61" s="47"/>
      <c r="H61" s="48"/>
      <c r="I61" s="49"/>
      <c r="J61" s="48"/>
      <c r="K61" s="47"/>
      <c r="L61" s="48"/>
      <c r="M61" s="47"/>
      <c r="N61" s="50"/>
      <c r="O61" s="51"/>
      <c r="P61" s="20"/>
      <c r="Q61" s="27"/>
    </row>
    <row r="62" ht="18.75" customHeight="1" outlineLevel="1">
      <c r="A62" s="43"/>
      <c r="B62" s="19"/>
      <c r="C62" s="20"/>
      <c r="D62" s="50"/>
      <c r="E62" s="45"/>
      <c r="F62" s="46"/>
      <c r="G62" s="47"/>
      <c r="H62" s="48"/>
      <c r="I62" s="49"/>
      <c r="J62" s="48"/>
      <c r="K62" s="47"/>
      <c r="L62" s="48"/>
      <c r="M62" s="47"/>
      <c r="N62" s="50"/>
      <c r="O62" s="51"/>
      <c r="P62" s="20"/>
      <c r="Q62" s="27"/>
    </row>
    <row r="63" ht="18.75" customHeight="1" outlineLevel="1">
      <c r="A63" s="43"/>
      <c r="B63" s="19"/>
      <c r="C63" s="20"/>
      <c r="D63" s="50"/>
      <c r="E63" s="45"/>
      <c r="F63" s="46"/>
      <c r="G63" s="47"/>
      <c r="H63" s="48"/>
      <c r="I63" s="49"/>
      <c r="J63" s="48"/>
      <c r="K63" s="47"/>
      <c r="L63" s="48"/>
      <c r="M63" s="47"/>
      <c r="N63" s="50"/>
      <c r="O63" s="51"/>
      <c r="P63" s="20"/>
      <c r="Q63" s="27"/>
    </row>
    <row r="64" ht="18.75" customHeight="1" outlineLevel="1">
      <c r="A64" s="43"/>
      <c r="B64" s="19"/>
      <c r="C64" s="20"/>
      <c r="D64" s="50"/>
      <c r="E64" s="45"/>
      <c r="F64" s="46"/>
      <c r="G64" s="47"/>
      <c r="H64" s="48"/>
      <c r="I64" s="49"/>
      <c r="J64" s="48"/>
      <c r="K64" s="47"/>
      <c r="L64" s="48"/>
      <c r="M64" s="47"/>
      <c r="N64" s="50"/>
      <c r="O64" s="51"/>
      <c r="P64" s="20"/>
      <c r="Q64" s="27"/>
    </row>
    <row r="65" ht="18.75" customHeight="1" outlineLevel="1">
      <c r="A65" s="43"/>
      <c r="B65" s="19"/>
      <c r="C65" s="20"/>
      <c r="D65" s="50"/>
      <c r="E65" s="45"/>
      <c r="F65" s="46"/>
      <c r="G65" s="47"/>
      <c r="H65" s="48"/>
      <c r="I65" s="49"/>
      <c r="J65" s="48"/>
      <c r="K65" s="47"/>
      <c r="L65" s="48"/>
      <c r="M65" s="47"/>
      <c r="N65" s="50"/>
      <c r="O65" s="51"/>
      <c r="P65" s="20"/>
      <c r="Q65" s="27"/>
    </row>
    <row r="66" ht="18.75" customHeight="1" outlineLevel="1">
      <c r="A66" s="43"/>
      <c r="B66" s="19"/>
      <c r="C66" s="20"/>
      <c r="D66" s="50"/>
      <c r="E66" s="45"/>
      <c r="F66" s="46"/>
      <c r="G66" s="47"/>
      <c r="H66" s="48"/>
      <c r="I66" s="49"/>
      <c r="J66" s="48"/>
      <c r="K66" s="47"/>
      <c r="L66" s="48"/>
      <c r="M66" s="47"/>
      <c r="N66" s="50"/>
      <c r="O66" s="51"/>
      <c r="P66" s="20"/>
      <c r="Q66" s="27"/>
    </row>
    <row r="67" ht="18.75" customHeight="1" outlineLevel="1">
      <c r="A67" s="43"/>
      <c r="B67" s="19"/>
      <c r="C67" s="20"/>
      <c r="D67" s="50"/>
      <c r="E67" s="45"/>
      <c r="F67" s="46"/>
      <c r="G67" s="47"/>
      <c r="H67" s="48"/>
      <c r="I67" s="49"/>
      <c r="J67" s="48"/>
      <c r="K67" s="47"/>
      <c r="L67" s="48"/>
      <c r="M67" s="47"/>
      <c r="N67" s="50"/>
      <c r="O67" s="51"/>
      <c r="P67" s="20"/>
      <c r="Q67" s="27"/>
    </row>
    <row r="68" ht="18.75" customHeight="1" outlineLevel="1">
      <c r="A68" s="43"/>
      <c r="B68" s="19"/>
      <c r="C68" s="20"/>
      <c r="D68" s="50"/>
      <c r="E68" s="45"/>
      <c r="F68" s="52"/>
      <c r="G68" s="47"/>
      <c r="H68" s="48"/>
      <c r="I68" s="49"/>
      <c r="J68" s="48"/>
      <c r="K68" s="47"/>
      <c r="L68" s="48"/>
      <c r="M68" s="47"/>
      <c r="N68" s="50"/>
      <c r="O68" s="51"/>
      <c r="P68" s="20"/>
      <c r="Q68" s="27"/>
    </row>
    <row r="69" ht="18.75" customHeight="1" outlineLevel="1">
      <c r="A69" s="43"/>
      <c r="B69" s="19"/>
      <c r="C69" s="20"/>
      <c r="D69" s="50"/>
      <c r="E69" s="45"/>
      <c r="F69" s="46"/>
      <c r="G69" s="47"/>
      <c r="H69" s="48"/>
      <c r="I69" s="49"/>
      <c r="J69" s="48"/>
      <c r="K69" s="47"/>
      <c r="L69" s="48"/>
      <c r="M69" s="47"/>
      <c r="N69" s="50"/>
      <c r="O69" s="51"/>
      <c r="P69" s="20"/>
      <c r="Q69" s="27"/>
    </row>
    <row r="70" ht="18.75" customHeight="1" outlineLevel="1">
      <c r="A70" s="43"/>
      <c r="B70" s="19"/>
      <c r="C70" s="20"/>
      <c r="D70" s="50"/>
      <c r="E70" s="45"/>
      <c r="F70" s="46"/>
      <c r="G70" s="47"/>
      <c r="H70" s="48"/>
      <c r="I70" s="49"/>
      <c r="J70" s="48"/>
      <c r="K70" s="47"/>
      <c r="L70" s="48"/>
      <c r="M70" s="47"/>
      <c r="N70" s="50"/>
      <c r="O70" s="51"/>
      <c r="P70" s="20"/>
      <c r="Q70" s="27"/>
    </row>
    <row r="71" ht="18.75" customHeight="1" outlineLevel="1">
      <c r="A71" s="43"/>
      <c r="B71" s="19"/>
      <c r="C71" s="20"/>
      <c r="D71" s="50"/>
      <c r="E71" s="45"/>
      <c r="F71" s="46"/>
      <c r="G71" s="47"/>
      <c r="H71" s="48"/>
      <c r="I71" s="49"/>
      <c r="J71" s="48"/>
      <c r="K71" s="47"/>
      <c r="L71" s="48"/>
      <c r="M71" s="47"/>
      <c r="N71" s="50"/>
      <c r="O71" s="51"/>
      <c r="P71" s="20"/>
      <c r="Q71" s="27"/>
    </row>
    <row r="72" ht="18.75" customHeight="1" outlineLevel="1">
      <c r="A72" s="43"/>
      <c r="B72" s="19"/>
      <c r="C72" s="20"/>
      <c r="D72" s="50"/>
      <c r="E72" s="45"/>
      <c r="F72" s="46"/>
      <c r="G72" s="47"/>
      <c r="H72" s="48"/>
      <c r="I72" s="49"/>
      <c r="J72" s="48"/>
      <c r="K72" s="47"/>
      <c r="L72" s="48"/>
      <c r="M72" s="47"/>
      <c r="N72" s="50"/>
      <c r="O72" s="51"/>
      <c r="P72" s="20"/>
      <c r="Q72" s="27"/>
    </row>
    <row r="73" ht="18.75" customHeight="1" outlineLevel="1">
      <c r="A73" s="43"/>
      <c r="B73" s="19"/>
      <c r="C73" s="20"/>
      <c r="D73" s="50"/>
      <c r="E73" s="45"/>
      <c r="F73" s="46"/>
      <c r="G73" s="47"/>
      <c r="H73" s="48"/>
      <c r="I73" s="49"/>
      <c r="J73" s="48"/>
      <c r="K73" s="47"/>
      <c r="L73" s="48"/>
      <c r="M73" s="47"/>
      <c r="N73" s="50"/>
      <c r="O73" s="51"/>
      <c r="P73" s="20"/>
      <c r="Q73" s="27"/>
    </row>
    <row r="74" ht="18.75" customHeight="1" outlineLevel="1">
      <c r="A74" s="43"/>
      <c r="B74" s="19"/>
      <c r="C74" s="20"/>
      <c r="D74" s="50"/>
      <c r="E74" s="45"/>
      <c r="F74" s="46"/>
      <c r="G74" s="47"/>
      <c r="H74" s="48"/>
      <c r="I74" s="49"/>
      <c r="J74" s="48"/>
      <c r="K74" s="47"/>
      <c r="L74" s="48"/>
      <c r="M74" s="47"/>
      <c r="N74" s="50"/>
      <c r="O74" s="51"/>
      <c r="P74" s="20"/>
      <c r="Q74" s="27"/>
    </row>
    <row r="75" ht="18.75" customHeight="1" outlineLevel="1">
      <c r="A75" s="43"/>
      <c r="B75" s="19"/>
      <c r="C75" s="20"/>
      <c r="D75" s="50"/>
      <c r="E75" s="45"/>
      <c r="F75" s="46"/>
      <c r="G75" s="47"/>
      <c r="H75" s="48"/>
      <c r="I75" s="49"/>
      <c r="J75" s="48"/>
      <c r="K75" s="47"/>
      <c r="L75" s="48"/>
      <c r="M75" s="47"/>
      <c r="N75" s="50"/>
      <c r="O75" s="51"/>
      <c r="P75" s="20"/>
      <c r="Q75" s="27"/>
    </row>
    <row r="76" ht="18.75" customHeight="1" outlineLevel="1">
      <c r="A76" s="43"/>
      <c r="B76" s="19"/>
      <c r="C76" s="20"/>
      <c r="D76" s="53"/>
      <c r="E76" s="54"/>
      <c r="F76" s="55"/>
      <c r="G76" s="56"/>
      <c r="H76" s="57"/>
      <c r="I76" s="58"/>
      <c r="J76" s="57"/>
      <c r="K76" s="56"/>
      <c r="L76" s="57"/>
      <c r="M76" s="56"/>
      <c r="N76" s="53"/>
      <c r="O76" s="59"/>
      <c r="P76" s="20"/>
      <c r="Q76" s="27"/>
    </row>
    <row r="77" ht="3.75" customHeight="1" outlineLevel="1">
      <c r="A77" s="43"/>
      <c r="B77" s="19"/>
      <c r="C77" s="20"/>
      <c r="D77" s="61"/>
      <c r="E77" s="62"/>
      <c r="F77" s="63"/>
      <c r="G77" s="62"/>
      <c r="H77" s="62"/>
      <c r="I77" s="64"/>
      <c r="J77" s="62"/>
      <c r="K77" s="62"/>
      <c r="L77" s="62"/>
      <c r="M77" s="62"/>
      <c r="N77" s="62"/>
      <c r="O77" s="65"/>
      <c r="P77" s="20"/>
      <c r="Q77" s="27"/>
    </row>
    <row r="78" ht="18.75" customHeight="1">
      <c r="A78" s="43"/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19"/>
    </row>
    <row r="79" ht="22.5" customHeight="1">
      <c r="A79" s="22" t="s">
        <v>10</v>
      </c>
      <c r="B79" s="19"/>
      <c r="C79" s="20"/>
      <c r="D79" s="66" t="s">
        <v>28</v>
      </c>
      <c r="E79" s="24"/>
      <c r="F79" s="23" t="s">
        <v>12</v>
      </c>
      <c r="G79" s="25"/>
      <c r="H79" s="24"/>
      <c r="I79" s="20"/>
      <c r="J79" s="20"/>
      <c r="K79" s="20"/>
      <c r="L79" s="20"/>
      <c r="M79" s="20"/>
      <c r="N79" s="20"/>
      <c r="O79" s="26" t="s">
        <v>13</v>
      </c>
      <c r="P79" s="20"/>
      <c r="Q79" s="27"/>
    </row>
    <row r="80" ht="7.5" customHeight="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7"/>
    </row>
    <row r="81" ht="22.5" customHeight="1" outlineLevel="1">
      <c r="A81" s="28"/>
      <c r="B81" s="19"/>
      <c r="C81" s="20"/>
      <c r="D81" s="26" t="s">
        <v>14</v>
      </c>
      <c r="E81" s="29" t="s">
        <v>15</v>
      </c>
      <c r="F81" s="26" t="s">
        <v>16</v>
      </c>
      <c r="G81" s="29" t="s">
        <v>17</v>
      </c>
      <c r="H81" s="30" t="s">
        <v>18</v>
      </c>
      <c r="I81" s="31" t="s">
        <v>19</v>
      </c>
      <c r="J81" s="30" t="s">
        <v>20</v>
      </c>
      <c r="K81" s="29" t="s">
        <v>21</v>
      </c>
      <c r="L81" s="30" t="s">
        <v>22</v>
      </c>
      <c r="M81" s="32" t="s">
        <v>23</v>
      </c>
      <c r="N81" s="60" t="s">
        <v>24</v>
      </c>
      <c r="O81" s="35" t="s">
        <v>25</v>
      </c>
      <c r="P81" s="20"/>
      <c r="Q81" s="27"/>
    </row>
    <row r="82" ht="3.75" customHeight="1" outlineLevel="1">
      <c r="A82" s="28"/>
      <c r="B82" s="19"/>
      <c r="C82" s="20"/>
      <c r="D82" s="36"/>
      <c r="E82" s="37" t="s">
        <v>10</v>
      </c>
      <c r="F82" s="38"/>
      <c r="G82" s="37"/>
      <c r="H82" s="39"/>
      <c r="I82" s="40"/>
      <c r="J82" s="39"/>
      <c r="K82" s="37"/>
      <c r="L82" s="39"/>
      <c r="M82" s="37"/>
      <c r="N82" s="41"/>
      <c r="O82" s="42"/>
      <c r="P82" s="20"/>
      <c r="Q82" s="27"/>
    </row>
    <row r="83" ht="18.75" customHeight="1" outlineLevel="1">
      <c r="A83" s="43"/>
      <c r="B83" s="19"/>
      <c r="C83" s="20"/>
      <c r="D83" s="44"/>
      <c r="E83" s="45"/>
      <c r="F83" s="46"/>
      <c r="G83" s="47"/>
      <c r="H83" s="48"/>
      <c r="I83" s="49"/>
      <c r="J83" s="48"/>
      <c r="K83" s="47"/>
      <c r="L83" s="48"/>
      <c r="M83" s="47"/>
      <c r="N83" s="50"/>
      <c r="O83" s="51"/>
      <c r="P83" s="20"/>
      <c r="Q83" s="27"/>
    </row>
    <row r="84" ht="18.75" customHeight="1" outlineLevel="1">
      <c r="A84" s="43"/>
      <c r="B84" s="19"/>
      <c r="C84" s="20"/>
      <c r="D84" s="50"/>
      <c r="E84" s="45"/>
      <c r="F84" s="46"/>
      <c r="G84" s="47"/>
      <c r="H84" s="48"/>
      <c r="I84" s="49"/>
      <c r="J84" s="48"/>
      <c r="K84" s="47"/>
      <c r="L84" s="48"/>
      <c r="M84" s="47"/>
      <c r="N84" s="50"/>
      <c r="O84" s="51"/>
      <c r="P84" s="20"/>
      <c r="Q84" s="27"/>
    </row>
    <row r="85" ht="18.75" customHeight="1" outlineLevel="1">
      <c r="A85" s="43"/>
      <c r="B85" s="19"/>
      <c r="C85" s="20"/>
      <c r="D85" s="50"/>
      <c r="E85" s="45"/>
      <c r="F85" s="46"/>
      <c r="G85" s="47"/>
      <c r="H85" s="48"/>
      <c r="I85" s="49"/>
      <c r="J85" s="48"/>
      <c r="K85" s="47"/>
      <c r="L85" s="48"/>
      <c r="M85" s="47"/>
      <c r="N85" s="50"/>
      <c r="O85" s="51"/>
      <c r="P85" s="20"/>
      <c r="Q85" s="27"/>
    </row>
    <row r="86" ht="18.75" customHeight="1" outlineLevel="1">
      <c r="A86" s="43"/>
      <c r="B86" s="19"/>
      <c r="C86" s="20"/>
      <c r="D86" s="50"/>
      <c r="E86" s="45"/>
      <c r="F86" s="46"/>
      <c r="G86" s="47"/>
      <c r="H86" s="48"/>
      <c r="I86" s="49"/>
      <c r="J86" s="48"/>
      <c r="K86" s="47"/>
      <c r="L86" s="48"/>
      <c r="M86" s="47"/>
      <c r="N86" s="50"/>
      <c r="O86" s="51"/>
      <c r="P86" s="20"/>
      <c r="Q86" s="27"/>
    </row>
    <row r="87" ht="18.75" customHeight="1" outlineLevel="1">
      <c r="A87" s="43"/>
      <c r="B87" s="19"/>
      <c r="C87" s="20"/>
      <c r="D87" s="50"/>
      <c r="E87" s="45"/>
      <c r="F87" s="46"/>
      <c r="G87" s="47"/>
      <c r="H87" s="48"/>
      <c r="I87" s="49"/>
      <c r="J87" s="48"/>
      <c r="K87" s="47"/>
      <c r="L87" s="48"/>
      <c r="M87" s="47"/>
      <c r="N87" s="50"/>
      <c r="O87" s="51"/>
      <c r="P87" s="20"/>
      <c r="Q87" s="27"/>
    </row>
    <row r="88" ht="18.75" customHeight="1" outlineLevel="1">
      <c r="A88" s="43"/>
      <c r="B88" s="19"/>
      <c r="C88" s="20"/>
      <c r="D88" s="50"/>
      <c r="E88" s="45"/>
      <c r="F88" s="46"/>
      <c r="G88" s="47"/>
      <c r="H88" s="48"/>
      <c r="I88" s="49"/>
      <c r="J88" s="48"/>
      <c r="K88" s="47"/>
      <c r="L88" s="48"/>
      <c r="M88" s="47"/>
      <c r="N88" s="50"/>
      <c r="O88" s="51"/>
      <c r="P88" s="20"/>
      <c r="Q88" s="27"/>
    </row>
    <row r="89" ht="18.75" customHeight="1" outlineLevel="1">
      <c r="A89" s="43"/>
      <c r="B89" s="19"/>
      <c r="C89" s="20"/>
      <c r="D89" s="50"/>
      <c r="E89" s="45"/>
      <c r="F89" s="46"/>
      <c r="G89" s="47"/>
      <c r="H89" s="48"/>
      <c r="I89" s="49"/>
      <c r="J89" s="48"/>
      <c r="K89" s="47"/>
      <c r="L89" s="48"/>
      <c r="M89" s="47"/>
      <c r="N89" s="50"/>
      <c r="O89" s="51"/>
      <c r="P89" s="20"/>
      <c r="Q89" s="27"/>
    </row>
    <row r="90" ht="18.75" customHeight="1" outlineLevel="1">
      <c r="A90" s="43"/>
      <c r="B90" s="19"/>
      <c r="C90" s="20"/>
      <c r="D90" s="50"/>
      <c r="E90" s="45"/>
      <c r="F90" s="46"/>
      <c r="G90" s="47"/>
      <c r="H90" s="48"/>
      <c r="I90" s="49"/>
      <c r="J90" s="48"/>
      <c r="K90" s="47"/>
      <c r="L90" s="48"/>
      <c r="M90" s="47"/>
      <c r="N90" s="50"/>
      <c r="O90" s="51"/>
      <c r="P90" s="20"/>
      <c r="Q90" s="27"/>
    </row>
    <row r="91" ht="18.75" customHeight="1" outlineLevel="1">
      <c r="A91" s="43"/>
      <c r="B91" s="19"/>
      <c r="C91" s="20"/>
      <c r="D91" s="50"/>
      <c r="E91" s="45"/>
      <c r="F91" s="46"/>
      <c r="G91" s="47"/>
      <c r="H91" s="48"/>
      <c r="I91" s="49"/>
      <c r="J91" s="48"/>
      <c r="K91" s="47"/>
      <c r="L91" s="48"/>
      <c r="M91" s="47"/>
      <c r="N91" s="50"/>
      <c r="O91" s="51"/>
      <c r="P91" s="20"/>
      <c r="Q91" s="27"/>
    </row>
    <row r="92" ht="18.75" customHeight="1" outlineLevel="1">
      <c r="A92" s="43"/>
      <c r="B92" s="19"/>
      <c r="C92" s="20"/>
      <c r="D92" s="50"/>
      <c r="E92" s="45"/>
      <c r="F92" s="46"/>
      <c r="G92" s="47"/>
      <c r="H92" s="48"/>
      <c r="I92" s="49"/>
      <c r="J92" s="48"/>
      <c r="K92" s="47"/>
      <c r="L92" s="48"/>
      <c r="M92" s="47"/>
      <c r="N92" s="50"/>
      <c r="O92" s="51"/>
      <c r="P92" s="20"/>
      <c r="Q92" s="27"/>
    </row>
    <row r="93" ht="18.75" customHeight="1" outlineLevel="1">
      <c r="A93" s="43"/>
      <c r="B93" s="19"/>
      <c r="C93" s="20"/>
      <c r="D93" s="50"/>
      <c r="E93" s="45"/>
      <c r="F93" s="46"/>
      <c r="G93" s="47"/>
      <c r="H93" s="48"/>
      <c r="I93" s="49"/>
      <c r="J93" s="48"/>
      <c r="K93" s="47"/>
      <c r="L93" s="48"/>
      <c r="M93" s="47"/>
      <c r="N93" s="50"/>
      <c r="O93" s="51"/>
      <c r="P93" s="20"/>
      <c r="Q93" s="27"/>
    </row>
    <row r="94" ht="18.75" customHeight="1" outlineLevel="1">
      <c r="A94" s="43"/>
      <c r="B94" s="19"/>
      <c r="C94" s="20"/>
      <c r="D94" s="50"/>
      <c r="E94" s="45"/>
      <c r="F94" s="52"/>
      <c r="G94" s="47"/>
      <c r="H94" s="48"/>
      <c r="I94" s="49"/>
      <c r="J94" s="48"/>
      <c r="K94" s="47"/>
      <c r="L94" s="48"/>
      <c r="M94" s="47"/>
      <c r="N94" s="50"/>
      <c r="O94" s="51"/>
      <c r="P94" s="20"/>
      <c r="Q94" s="27"/>
    </row>
    <row r="95" ht="18.75" customHeight="1" outlineLevel="1">
      <c r="A95" s="43"/>
      <c r="B95" s="19"/>
      <c r="C95" s="20"/>
      <c r="D95" s="50"/>
      <c r="E95" s="45"/>
      <c r="F95" s="46"/>
      <c r="G95" s="47"/>
      <c r="H95" s="48"/>
      <c r="I95" s="49"/>
      <c r="J95" s="48"/>
      <c r="K95" s="47"/>
      <c r="L95" s="48"/>
      <c r="M95" s="47"/>
      <c r="N95" s="50"/>
      <c r="O95" s="51"/>
      <c r="P95" s="20"/>
      <c r="Q95" s="27"/>
    </row>
    <row r="96" ht="18.75" customHeight="1" outlineLevel="1">
      <c r="A96" s="43"/>
      <c r="B96" s="19"/>
      <c r="C96" s="20"/>
      <c r="D96" s="50"/>
      <c r="E96" s="45"/>
      <c r="F96" s="46"/>
      <c r="G96" s="47"/>
      <c r="H96" s="48"/>
      <c r="I96" s="49"/>
      <c r="J96" s="48"/>
      <c r="K96" s="47"/>
      <c r="L96" s="48"/>
      <c r="M96" s="47"/>
      <c r="N96" s="50"/>
      <c r="O96" s="51"/>
      <c r="P96" s="20"/>
      <c r="Q96" s="27"/>
    </row>
    <row r="97" ht="18.75" customHeight="1" outlineLevel="1">
      <c r="A97" s="43"/>
      <c r="B97" s="19"/>
      <c r="C97" s="20"/>
      <c r="D97" s="50"/>
      <c r="E97" s="45"/>
      <c r="F97" s="46"/>
      <c r="G97" s="47"/>
      <c r="H97" s="48"/>
      <c r="I97" s="49"/>
      <c r="J97" s="48"/>
      <c r="K97" s="47"/>
      <c r="L97" s="48"/>
      <c r="M97" s="47"/>
      <c r="N97" s="50"/>
      <c r="O97" s="51"/>
      <c r="P97" s="20"/>
      <c r="Q97" s="27"/>
    </row>
    <row r="98" ht="18.75" customHeight="1" outlineLevel="1">
      <c r="A98" s="43"/>
      <c r="B98" s="19"/>
      <c r="C98" s="20"/>
      <c r="D98" s="50"/>
      <c r="E98" s="45"/>
      <c r="F98" s="46"/>
      <c r="G98" s="47"/>
      <c r="H98" s="48"/>
      <c r="I98" s="49"/>
      <c r="J98" s="48"/>
      <c r="K98" s="47"/>
      <c r="L98" s="48"/>
      <c r="M98" s="47"/>
      <c r="N98" s="50"/>
      <c r="O98" s="51"/>
      <c r="P98" s="20"/>
      <c r="Q98" s="27"/>
    </row>
    <row r="99" ht="18.75" customHeight="1" outlineLevel="1">
      <c r="A99" s="43"/>
      <c r="B99" s="19"/>
      <c r="C99" s="20"/>
      <c r="D99" s="50"/>
      <c r="E99" s="45"/>
      <c r="F99" s="46"/>
      <c r="G99" s="47"/>
      <c r="H99" s="48"/>
      <c r="I99" s="49"/>
      <c r="J99" s="48"/>
      <c r="K99" s="47"/>
      <c r="L99" s="48"/>
      <c r="M99" s="47"/>
      <c r="N99" s="50"/>
      <c r="O99" s="51"/>
      <c r="P99" s="20"/>
      <c r="Q99" s="27"/>
    </row>
    <row r="100" ht="18.75" customHeight="1" outlineLevel="1">
      <c r="A100" s="43"/>
      <c r="B100" s="19"/>
      <c r="C100" s="20"/>
      <c r="D100" s="50"/>
      <c r="E100" s="45"/>
      <c r="F100" s="46"/>
      <c r="G100" s="47"/>
      <c r="H100" s="48"/>
      <c r="I100" s="49"/>
      <c r="J100" s="48"/>
      <c r="K100" s="47"/>
      <c r="L100" s="48"/>
      <c r="M100" s="47"/>
      <c r="N100" s="50"/>
      <c r="O100" s="51"/>
      <c r="P100" s="20"/>
      <c r="Q100" s="27"/>
    </row>
    <row r="101" ht="18.75" customHeight="1" outlineLevel="1">
      <c r="A101" s="43"/>
      <c r="B101" s="19"/>
      <c r="C101" s="20"/>
      <c r="D101" s="50"/>
      <c r="E101" s="45"/>
      <c r="F101" s="46"/>
      <c r="G101" s="47"/>
      <c r="H101" s="48"/>
      <c r="I101" s="49"/>
      <c r="J101" s="48"/>
      <c r="K101" s="47"/>
      <c r="L101" s="48"/>
      <c r="M101" s="47"/>
      <c r="N101" s="50"/>
      <c r="O101" s="51"/>
      <c r="P101" s="20"/>
      <c r="Q101" s="27"/>
    </row>
    <row r="102" ht="18.75" customHeight="1" outlineLevel="1">
      <c r="A102" s="43"/>
      <c r="B102" s="19"/>
      <c r="C102" s="20"/>
      <c r="D102" s="53"/>
      <c r="E102" s="54"/>
      <c r="F102" s="55"/>
      <c r="G102" s="56"/>
      <c r="H102" s="57"/>
      <c r="I102" s="58"/>
      <c r="J102" s="57"/>
      <c r="K102" s="56"/>
      <c r="L102" s="57"/>
      <c r="M102" s="56"/>
      <c r="N102" s="53"/>
      <c r="O102" s="59"/>
      <c r="P102" s="20"/>
      <c r="Q102" s="27"/>
    </row>
    <row r="103" ht="3.75" customHeight="1" outlineLevel="1">
      <c r="A103" s="43"/>
      <c r="B103" s="19"/>
      <c r="C103" s="20"/>
      <c r="D103" s="61"/>
      <c r="E103" s="62"/>
      <c r="F103" s="63"/>
      <c r="G103" s="62"/>
      <c r="H103" s="62"/>
      <c r="I103" s="64"/>
      <c r="J103" s="62"/>
      <c r="K103" s="62"/>
      <c r="L103" s="62"/>
      <c r="M103" s="62"/>
      <c r="N103" s="62"/>
      <c r="O103" s="65"/>
      <c r="P103" s="20"/>
      <c r="Q103" s="27"/>
    </row>
    <row r="104" ht="18.75" customHeight="1">
      <c r="A104" s="43"/>
      <c r="B104" s="19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19"/>
    </row>
    <row r="105" ht="22.5" customHeight="1">
      <c r="A105" s="22" t="s">
        <v>10</v>
      </c>
      <c r="B105" s="19"/>
      <c r="C105" s="20"/>
      <c r="D105" s="23" t="s">
        <v>29</v>
      </c>
      <c r="E105" s="24"/>
      <c r="F105" s="23" t="s">
        <v>12</v>
      </c>
      <c r="G105" s="25"/>
      <c r="H105" s="24"/>
      <c r="I105" s="20"/>
      <c r="J105" s="20"/>
      <c r="K105" s="20"/>
      <c r="L105" s="20"/>
      <c r="M105" s="20"/>
      <c r="N105" s="20"/>
      <c r="O105" s="26" t="s">
        <v>13</v>
      </c>
      <c r="P105" s="20"/>
      <c r="Q105" s="27"/>
    </row>
    <row r="106" ht="7.5" customHeight="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7"/>
    </row>
    <row r="107" ht="22.5" customHeight="1" outlineLevel="1">
      <c r="A107" s="28"/>
      <c r="B107" s="19"/>
      <c r="C107" s="20"/>
      <c r="D107" s="26" t="s">
        <v>14</v>
      </c>
      <c r="E107" s="29" t="s">
        <v>15</v>
      </c>
      <c r="F107" s="26" t="s">
        <v>16</v>
      </c>
      <c r="G107" s="29" t="s">
        <v>17</v>
      </c>
      <c r="H107" s="30" t="s">
        <v>18</v>
      </c>
      <c r="I107" s="31" t="s">
        <v>19</v>
      </c>
      <c r="J107" s="30" t="s">
        <v>20</v>
      </c>
      <c r="K107" s="29" t="s">
        <v>21</v>
      </c>
      <c r="L107" s="30" t="s">
        <v>22</v>
      </c>
      <c r="M107" s="32" t="s">
        <v>23</v>
      </c>
      <c r="N107" s="60" t="s">
        <v>24</v>
      </c>
      <c r="O107" s="35" t="s">
        <v>25</v>
      </c>
      <c r="P107" s="20"/>
      <c r="Q107" s="27"/>
    </row>
    <row r="108" ht="3.75" customHeight="1" outlineLevel="1">
      <c r="A108" s="28"/>
      <c r="B108" s="19"/>
      <c r="C108" s="20"/>
      <c r="D108" s="36"/>
      <c r="E108" s="37" t="s">
        <v>10</v>
      </c>
      <c r="F108" s="38"/>
      <c r="G108" s="37"/>
      <c r="H108" s="39"/>
      <c r="I108" s="40"/>
      <c r="J108" s="39"/>
      <c r="K108" s="37"/>
      <c r="L108" s="39"/>
      <c r="M108" s="37"/>
      <c r="N108" s="41"/>
      <c r="O108" s="42"/>
      <c r="P108" s="20"/>
      <c r="Q108" s="27"/>
    </row>
    <row r="109" ht="18.75" customHeight="1" outlineLevel="1">
      <c r="A109" s="43"/>
      <c r="B109" s="19"/>
      <c r="C109" s="20"/>
      <c r="D109" s="44"/>
      <c r="E109" s="45"/>
      <c r="F109" s="46"/>
      <c r="G109" s="47"/>
      <c r="H109" s="48"/>
      <c r="I109" s="49"/>
      <c r="J109" s="48"/>
      <c r="K109" s="47"/>
      <c r="L109" s="48"/>
      <c r="M109" s="47"/>
      <c r="N109" s="50"/>
      <c r="O109" s="51"/>
      <c r="P109" s="20"/>
      <c r="Q109" s="27"/>
    </row>
    <row r="110" ht="18.75" customHeight="1" outlineLevel="1">
      <c r="A110" s="43"/>
      <c r="B110" s="19"/>
      <c r="C110" s="20"/>
      <c r="D110" s="50"/>
      <c r="E110" s="45"/>
      <c r="F110" s="46"/>
      <c r="G110" s="47"/>
      <c r="H110" s="48"/>
      <c r="I110" s="49"/>
      <c r="J110" s="48"/>
      <c r="K110" s="47"/>
      <c r="L110" s="48"/>
      <c r="M110" s="47"/>
      <c r="N110" s="50"/>
      <c r="O110" s="51"/>
      <c r="P110" s="20"/>
      <c r="Q110" s="27"/>
    </row>
    <row r="111" ht="18.75" customHeight="1" outlineLevel="1">
      <c r="A111" s="43"/>
      <c r="B111" s="19"/>
      <c r="C111" s="20"/>
      <c r="D111" s="50"/>
      <c r="E111" s="45"/>
      <c r="F111" s="46"/>
      <c r="G111" s="47"/>
      <c r="H111" s="48"/>
      <c r="I111" s="49"/>
      <c r="J111" s="48"/>
      <c r="K111" s="47"/>
      <c r="L111" s="48"/>
      <c r="M111" s="47"/>
      <c r="N111" s="50"/>
      <c r="O111" s="51"/>
      <c r="P111" s="20"/>
      <c r="Q111" s="27"/>
    </row>
    <row r="112" ht="18.75" customHeight="1" outlineLevel="1">
      <c r="A112" s="43"/>
      <c r="B112" s="19"/>
      <c r="C112" s="20"/>
      <c r="D112" s="50"/>
      <c r="E112" s="45"/>
      <c r="F112" s="46"/>
      <c r="G112" s="47"/>
      <c r="H112" s="48"/>
      <c r="I112" s="49"/>
      <c r="J112" s="48"/>
      <c r="K112" s="47"/>
      <c r="L112" s="48"/>
      <c r="M112" s="47"/>
      <c r="N112" s="50"/>
      <c r="O112" s="51"/>
      <c r="P112" s="20"/>
      <c r="Q112" s="27"/>
    </row>
    <row r="113" ht="18.75" customHeight="1" outlineLevel="1">
      <c r="A113" s="43"/>
      <c r="B113" s="19"/>
      <c r="C113" s="20"/>
      <c r="D113" s="50"/>
      <c r="E113" s="45"/>
      <c r="F113" s="46"/>
      <c r="G113" s="47"/>
      <c r="H113" s="48"/>
      <c r="I113" s="49"/>
      <c r="J113" s="48"/>
      <c r="K113" s="47"/>
      <c r="L113" s="48"/>
      <c r="M113" s="47"/>
      <c r="N113" s="50"/>
      <c r="O113" s="51"/>
      <c r="P113" s="20"/>
      <c r="Q113" s="27"/>
    </row>
    <row r="114" ht="18.75" customHeight="1" outlineLevel="1">
      <c r="A114" s="43"/>
      <c r="B114" s="19"/>
      <c r="C114" s="20"/>
      <c r="D114" s="50"/>
      <c r="E114" s="45"/>
      <c r="F114" s="46"/>
      <c r="G114" s="47"/>
      <c r="H114" s="48"/>
      <c r="I114" s="49"/>
      <c r="J114" s="48"/>
      <c r="K114" s="47"/>
      <c r="L114" s="48"/>
      <c r="M114" s="47"/>
      <c r="N114" s="50"/>
      <c r="O114" s="51"/>
      <c r="P114" s="20"/>
      <c r="Q114" s="27"/>
    </row>
    <row r="115" ht="18.75" customHeight="1" outlineLevel="1">
      <c r="A115" s="43"/>
      <c r="B115" s="19"/>
      <c r="C115" s="20"/>
      <c r="D115" s="50"/>
      <c r="E115" s="45"/>
      <c r="F115" s="46"/>
      <c r="G115" s="47"/>
      <c r="H115" s="48"/>
      <c r="I115" s="49"/>
      <c r="J115" s="48"/>
      <c r="K115" s="47"/>
      <c r="L115" s="48"/>
      <c r="M115" s="47"/>
      <c r="N115" s="50"/>
      <c r="O115" s="51"/>
      <c r="P115" s="20"/>
      <c r="Q115" s="27"/>
    </row>
    <row r="116" ht="18.75" customHeight="1" outlineLevel="1">
      <c r="A116" s="43"/>
      <c r="B116" s="19"/>
      <c r="C116" s="20"/>
      <c r="D116" s="50"/>
      <c r="E116" s="45"/>
      <c r="F116" s="46"/>
      <c r="G116" s="47"/>
      <c r="H116" s="48"/>
      <c r="I116" s="49"/>
      <c r="J116" s="48"/>
      <c r="K116" s="47"/>
      <c r="L116" s="48"/>
      <c r="M116" s="47"/>
      <c r="N116" s="50"/>
      <c r="O116" s="51"/>
      <c r="P116" s="20"/>
      <c r="Q116" s="27"/>
    </row>
    <row r="117" ht="18.75" customHeight="1" outlineLevel="1">
      <c r="A117" s="43"/>
      <c r="B117" s="19"/>
      <c r="C117" s="20"/>
      <c r="D117" s="50"/>
      <c r="E117" s="45"/>
      <c r="F117" s="46"/>
      <c r="G117" s="47"/>
      <c r="H117" s="48"/>
      <c r="I117" s="49"/>
      <c r="J117" s="48"/>
      <c r="K117" s="47"/>
      <c r="L117" s="48"/>
      <c r="M117" s="47"/>
      <c r="N117" s="50"/>
      <c r="O117" s="51"/>
      <c r="P117" s="20"/>
      <c r="Q117" s="27"/>
    </row>
    <row r="118" ht="18.75" customHeight="1" outlineLevel="1">
      <c r="A118" s="43"/>
      <c r="B118" s="19"/>
      <c r="C118" s="20"/>
      <c r="D118" s="50"/>
      <c r="E118" s="45"/>
      <c r="F118" s="46"/>
      <c r="G118" s="47"/>
      <c r="H118" s="48"/>
      <c r="I118" s="49"/>
      <c r="J118" s="48"/>
      <c r="K118" s="47"/>
      <c r="L118" s="48"/>
      <c r="M118" s="47"/>
      <c r="N118" s="50"/>
      <c r="O118" s="51"/>
      <c r="P118" s="20"/>
      <c r="Q118" s="27"/>
    </row>
    <row r="119" ht="18.75" customHeight="1" outlineLevel="1">
      <c r="A119" s="43"/>
      <c r="B119" s="19"/>
      <c r="C119" s="20"/>
      <c r="D119" s="50"/>
      <c r="E119" s="45"/>
      <c r="F119" s="46"/>
      <c r="G119" s="47"/>
      <c r="H119" s="48"/>
      <c r="I119" s="49"/>
      <c r="J119" s="48"/>
      <c r="K119" s="47"/>
      <c r="L119" s="48"/>
      <c r="M119" s="47"/>
      <c r="N119" s="50"/>
      <c r="O119" s="51"/>
      <c r="P119" s="20"/>
      <c r="Q119" s="27"/>
    </row>
    <row r="120" ht="18.75" customHeight="1" outlineLevel="1">
      <c r="A120" s="43"/>
      <c r="B120" s="19"/>
      <c r="C120" s="20"/>
      <c r="D120" s="50"/>
      <c r="E120" s="45"/>
      <c r="F120" s="52"/>
      <c r="G120" s="47"/>
      <c r="H120" s="48"/>
      <c r="I120" s="49"/>
      <c r="J120" s="48"/>
      <c r="K120" s="47"/>
      <c r="L120" s="48"/>
      <c r="M120" s="47"/>
      <c r="N120" s="50"/>
      <c r="O120" s="51"/>
      <c r="P120" s="20"/>
      <c r="Q120" s="27"/>
    </row>
    <row r="121" ht="18.75" customHeight="1" outlineLevel="1">
      <c r="A121" s="43"/>
      <c r="B121" s="19"/>
      <c r="C121" s="20"/>
      <c r="D121" s="50"/>
      <c r="E121" s="45"/>
      <c r="F121" s="46"/>
      <c r="G121" s="47"/>
      <c r="H121" s="48"/>
      <c r="I121" s="49"/>
      <c r="J121" s="48"/>
      <c r="K121" s="47"/>
      <c r="L121" s="48"/>
      <c r="M121" s="47"/>
      <c r="N121" s="50"/>
      <c r="O121" s="51"/>
      <c r="P121" s="20"/>
      <c r="Q121" s="27"/>
    </row>
    <row r="122" ht="18.75" customHeight="1" outlineLevel="1">
      <c r="A122" s="43"/>
      <c r="B122" s="19"/>
      <c r="C122" s="20"/>
      <c r="D122" s="50"/>
      <c r="E122" s="45"/>
      <c r="F122" s="46"/>
      <c r="G122" s="47"/>
      <c r="H122" s="48"/>
      <c r="I122" s="49"/>
      <c r="J122" s="48"/>
      <c r="K122" s="47"/>
      <c r="L122" s="48"/>
      <c r="M122" s="47"/>
      <c r="N122" s="50"/>
      <c r="O122" s="51"/>
      <c r="P122" s="20"/>
      <c r="Q122" s="27"/>
    </row>
    <row r="123" ht="18.75" customHeight="1" outlineLevel="1">
      <c r="A123" s="43"/>
      <c r="B123" s="19"/>
      <c r="C123" s="20"/>
      <c r="D123" s="50"/>
      <c r="E123" s="45"/>
      <c r="F123" s="46"/>
      <c r="G123" s="47"/>
      <c r="H123" s="48"/>
      <c r="I123" s="49"/>
      <c r="J123" s="48"/>
      <c r="K123" s="47"/>
      <c r="L123" s="48"/>
      <c r="M123" s="47"/>
      <c r="N123" s="50"/>
      <c r="O123" s="51"/>
      <c r="P123" s="20"/>
      <c r="Q123" s="27"/>
    </row>
    <row r="124" ht="18.75" customHeight="1" outlineLevel="1">
      <c r="A124" s="43"/>
      <c r="B124" s="19"/>
      <c r="C124" s="20"/>
      <c r="D124" s="50"/>
      <c r="E124" s="45"/>
      <c r="F124" s="46"/>
      <c r="G124" s="47"/>
      <c r="H124" s="48"/>
      <c r="I124" s="49"/>
      <c r="J124" s="48"/>
      <c r="K124" s="47"/>
      <c r="L124" s="48"/>
      <c r="M124" s="47"/>
      <c r="N124" s="50"/>
      <c r="O124" s="51"/>
      <c r="P124" s="20"/>
      <c r="Q124" s="27"/>
    </row>
    <row r="125" ht="18.75" customHeight="1" outlineLevel="1">
      <c r="A125" s="43"/>
      <c r="B125" s="19"/>
      <c r="C125" s="20"/>
      <c r="D125" s="50"/>
      <c r="E125" s="45"/>
      <c r="F125" s="46"/>
      <c r="G125" s="47"/>
      <c r="H125" s="48"/>
      <c r="I125" s="49"/>
      <c r="J125" s="48"/>
      <c r="K125" s="47"/>
      <c r="L125" s="48"/>
      <c r="M125" s="47"/>
      <c r="N125" s="50"/>
      <c r="O125" s="51"/>
      <c r="P125" s="20"/>
      <c r="Q125" s="27"/>
    </row>
    <row r="126" ht="18.75" customHeight="1" outlineLevel="1">
      <c r="A126" s="43"/>
      <c r="B126" s="19"/>
      <c r="C126" s="20"/>
      <c r="D126" s="50"/>
      <c r="E126" s="45"/>
      <c r="F126" s="46"/>
      <c r="G126" s="47"/>
      <c r="H126" s="48"/>
      <c r="I126" s="49"/>
      <c r="J126" s="48"/>
      <c r="K126" s="47"/>
      <c r="L126" s="48"/>
      <c r="M126" s="47"/>
      <c r="N126" s="50"/>
      <c r="O126" s="51"/>
      <c r="P126" s="20"/>
      <c r="Q126" s="27"/>
    </row>
    <row r="127" ht="18.75" customHeight="1" outlineLevel="1">
      <c r="A127" s="43"/>
      <c r="B127" s="19"/>
      <c r="C127" s="20"/>
      <c r="D127" s="50"/>
      <c r="E127" s="45"/>
      <c r="F127" s="46"/>
      <c r="G127" s="47"/>
      <c r="H127" s="48"/>
      <c r="I127" s="49"/>
      <c r="J127" s="48"/>
      <c r="K127" s="47"/>
      <c r="L127" s="48"/>
      <c r="M127" s="47"/>
      <c r="N127" s="50"/>
      <c r="O127" s="51"/>
      <c r="P127" s="20"/>
      <c r="Q127" s="27"/>
    </row>
    <row r="128" ht="18.75" customHeight="1" outlineLevel="1">
      <c r="A128" s="43"/>
      <c r="B128" s="19"/>
      <c r="C128" s="20"/>
      <c r="D128" s="53"/>
      <c r="E128" s="54"/>
      <c r="F128" s="55"/>
      <c r="G128" s="56"/>
      <c r="H128" s="57"/>
      <c r="I128" s="58"/>
      <c r="J128" s="57"/>
      <c r="K128" s="56"/>
      <c r="L128" s="57"/>
      <c r="M128" s="56"/>
      <c r="N128" s="53"/>
      <c r="O128" s="59"/>
      <c r="P128" s="20"/>
      <c r="Q128" s="27"/>
    </row>
    <row r="129" ht="3.75" customHeight="1" outlineLevel="1">
      <c r="A129" s="43"/>
      <c r="B129" s="19"/>
      <c r="C129" s="20"/>
      <c r="D129" s="67"/>
      <c r="E129" s="67"/>
      <c r="F129" s="68"/>
      <c r="G129" s="67"/>
      <c r="H129" s="67"/>
      <c r="I129" s="69"/>
      <c r="J129" s="67"/>
      <c r="K129" s="67"/>
      <c r="L129" s="67"/>
      <c r="M129" s="67"/>
      <c r="N129" s="67"/>
      <c r="O129" s="70"/>
      <c r="P129" s="20"/>
      <c r="Q129" s="19"/>
    </row>
    <row r="130" ht="18.75" customHeight="1">
      <c r="A130" s="43"/>
      <c r="B130" s="19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19"/>
    </row>
    <row r="131" ht="22.5" customHeight="1">
      <c r="A131" s="22" t="s">
        <v>10</v>
      </c>
      <c r="B131" s="19"/>
      <c r="C131" s="20"/>
      <c r="D131" s="23" t="s">
        <v>30</v>
      </c>
      <c r="E131" s="24"/>
      <c r="F131" s="23" t="s">
        <v>12</v>
      </c>
      <c r="G131" s="25"/>
      <c r="H131" s="24"/>
      <c r="I131" s="20"/>
      <c r="J131" s="20"/>
      <c r="K131" s="20"/>
      <c r="L131" s="20"/>
      <c r="M131" s="20"/>
      <c r="N131" s="20"/>
      <c r="O131" s="26" t="s">
        <v>13</v>
      </c>
      <c r="P131" s="20"/>
      <c r="Q131" s="27"/>
    </row>
    <row r="132" ht="7.5" customHeight="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7"/>
    </row>
    <row r="133" ht="22.5" customHeight="1" outlineLevel="1">
      <c r="A133" s="28"/>
      <c r="B133" s="19"/>
      <c r="C133" s="20"/>
      <c r="D133" s="26" t="s">
        <v>14</v>
      </c>
      <c r="E133" s="29" t="s">
        <v>15</v>
      </c>
      <c r="F133" s="26" t="s">
        <v>16</v>
      </c>
      <c r="G133" s="29" t="s">
        <v>17</v>
      </c>
      <c r="H133" s="30" t="s">
        <v>18</v>
      </c>
      <c r="I133" s="31" t="s">
        <v>19</v>
      </c>
      <c r="J133" s="30" t="s">
        <v>20</v>
      </c>
      <c r="K133" s="29" t="s">
        <v>21</v>
      </c>
      <c r="L133" s="30" t="s">
        <v>22</v>
      </c>
      <c r="M133" s="32" t="s">
        <v>23</v>
      </c>
      <c r="N133" s="60" t="s">
        <v>24</v>
      </c>
      <c r="O133" s="35" t="s">
        <v>25</v>
      </c>
      <c r="P133" s="20"/>
      <c r="Q133" s="27"/>
    </row>
    <row r="134" ht="3.75" customHeight="1" outlineLevel="1">
      <c r="A134" s="28"/>
      <c r="B134" s="19"/>
      <c r="C134" s="20"/>
      <c r="D134" s="36"/>
      <c r="E134" s="37" t="s">
        <v>10</v>
      </c>
      <c r="F134" s="38"/>
      <c r="G134" s="37"/>
      <c r="H134" s="39"/>
      <c r="I134" s="40"/>
      <c r="J134" s="39"/>
      <c r="K134" s="37"/>
      <c r="L134" s="39"/>
      <c r="M134" s="37"/>
      <c r="N134" s="41"/>
      <c r="O134" s="42"/>
      <c r="P134" s="20"/>
      <c r="Q134" s="27"/>
    </row>
    <row r="135" ht="18.75" customHeight="1" outlineLevel="1">
      <c r="A135" s="43"/>
      <c r="B135" s="19"/>
      <c r="C135" s="20"/>
      <c r="D135" s="44"/>
      <c r="E135" s="45"/>
      <c r="F135" s="46"/>
      <c r="G135" s="47"/>
      <c r="H135" s="48"/>
      <c r="I135" s="49"/>
      <c r="J135" s="48"/>
      <c r="K135" s="47"/>
      <c r="L135" s="48"/>
      <c r="M135" s="47"/>
      <c r="N135" s="50"/>
      <c r="O135" s="51"/>
      <c r="P135" s="20"/>
      <c r="Q135" s="27"/>
    </row>
    <row r="136" ht="18.75" customHeight="1" outlineLevel="1">
      <c r="A136" s="43"/>
      <c r="B136" s="19"/>
      <c r="C136" s="20"/>
      <c r="D136" s="50"/>
      <c r="E136" s="45"/>
      <c r="F136" s="46"/>
      <c r="G136" s="47"/>
      <c r="H136" s="48"/>
      <c r="I136" s="49"/>
      <c r="J136" s="48"/>
      <c r="K136" s="47"/>
      <c r="L136" s="48"/>
      <c r="M136" s="47"/>
      <c r="N136" s="50"/>
      <c r="O136" s="51"/>
      <c r="P136" s="20"/>
      <c r="Q136" s="27"/>
    </row>
    <row r="137" ht="18.75" customHeight="1" outlineLevel="1">
      <c r="A137" s="43"/>
      <c r="B137" s="19"/>
      <c r="C137" s="20"/>
      <c r="D137" s="50"/>
      <c r="E137" s="45"/>
      <c r="F137" s="46"/>
      <c r="G137" s="47"/>
      <c r="H137" s="48"/>
      <c r="I137" s="49"/>
      <c r="J137" s="48"/>
      <c r="K137" s="47"/>
      <c r="L137" s="48"/>
      <c r="M137" s="47"/>
      <c r="N137" s="50"/>
      <c r="O137" s="51"/>
      <c r="P137" s="20"/>
      <c r="Q137" s="27"/>
    </row>
    <row r="138" ht="18.75" customHeight="1" outlineLevel="1">
      <c r="A138" s="43"/>
      <c r="B138" s="19"/>
      <c r="C138" s="20"/>
      <c r="D138" s="50"/>
      <c r="E138" s="45"/>
      <c r="F138" s="46"/>
      <c r="G138" s="47"/>
      <c r="H138" s="48"/>
      <c r="I138" s="49"/>
      <c r="J138" s="48"/>
      <c r="K138" s="47"/>
      <c r="L138" s="48"/>
      <c r="M138" s="47"/>
      <c r="N138" s="50"/>
      <c r="O138" s="51"/>
      <c r="P138" s="20"/>
      <c r="Q138" s="27"/>
    </row>
    <row r="139" ht="18.75" customHeight="1" outlineLevel="1">
      <c r="A139" s="43"/>
      <c r="B139" s="19"/>
      <c r="C139" s="20"/>
      <c r="D139" s="50"/>
      <c r="E139" s="45"/>
      <c r="F139" s="46"/>
      <c r="G139" s="47"/>
      <c r="H139" s="48"/>
      <c r="I139" s="49"/>
      <c r="J139" s="48"/>
      <c r="K139" s="47"/>
      <c r="L139" s="48"/>
      <c r="M139" s="47"/>
      <c r="N139" s="50"/>
      <c r="O139" s="51"/>
      <c r="P139" s="20"/>
      <c r="Q139" s="27"/>
    </row>
    <row r="140" ht="18.75" customHeight="1" outlineLevel="1">
      <c r="A140" s="43"/>
      <c r="B140" s="19"/>
      <c r="C140" s="20"/>
      <c r="D140" s="50"/>
      <c r="E140" s="45"/>
      <c r="F140" s="46"/>
      <c r="G140" s="47"/>
      <c r="H140" s="48"/>
      <c r="I140" s="49"/>
      <c r="J140" s="48"/>
      <c r="K140" s="47"/>
      <c r="L140" s="48"/>
      <c r="M140" s="47"/>
      <c r="N140" s="50"/>
      <c r="O140" s="51"/>
      <c r="P140" s="20"/>
      <c r="Q140" s="27"/>
    </row>
    <row r="141" ht="18.75" customHeight="1" outlineLevel="1">
      <c r="A141" s="43"/>
      <c r="B141" s="19"/>
      <c r="C141" s="20"/>
      <c r="D141" s="50"/>
      <c r="E141" s="45"/>
      <c r="F141" s="46"/>
      <c r="G141" s="47"/>
      <c r="H141" s="48"/>
      <c r="I141" s="49"/>
      <c r="J141" s="48"/>
      <c r="K141" s="47"/>
      <c r="L141" s="48"/>
      <c r="M141" s="47"/>
      <c r="N141" s="50"/>
      <c r="O141" s="51"/>
      <c r="P141" s="20"/>
      <c r="Q141" s="27"/>
    </row>
    <row r="142" ht="18.75" customHeight="1" outlineLevel="1">
      <c r="A142" s="43"/>
      <c r="B142" s="19"/>
      <c r="C142" s="20"/>
      <c r="D142" s="50"/>
      <c r="E142" s="45"/>
      <c r="F142" s="46"/>
      <c r="G142" s="47"/>
      <c r="H142" s="48"/>
      <c r="I142" s="49"/>
      <c r="J142" s="48"/>
      <c r="K142" s="47"/>
      <c r="L142" s="48"/>
      <c r="M142" s="47"/>
      <c r="N142" s="50"/>
      <c r="O142" s="51"/>
      <c r="P142" s="20"/>
      <c r="Q142" s="27"/>
    </row>
    <row r="143" ht="18.75" customHeight="1" outlineLevel="1">
      <c r="A143" s="43"/>
      <c r="B143" s="19"/>
      <c r="C143" s="20"/>
      <c r="D143" s="50"/>
      <c r="E143" s="45"/>
      <c r="F143" s="46"/>
      <c r="G143" s="47"/>
      <c r="H143" s="48"/>
      <c r="I143" s="49"/>
      <c r="J143" s="48"/>
      <c r="K143" s="47"/>
      <c r="L143" s="48"/>
      <c r="M143" s="47"/>
      <c r="N143" s="50"/>
      <c r="O143" s="51"/>
      <c r="P143" s="20"/>
      <c r="Q143" s="27"/>
    </row>
    <row r="144" ht="18.75" customHeight="1" outlineLevel="1">
      <c r="A144" s="43"/>
      <c r="B144" s="19"/>
      <c r="C144" s="20"/>
      <c r="D144" s="50"/>
      <c r="E144" s="45"/>
      <c r="F144" s="46"/>
      <c r="G144" s="47"/>
      <c r="H144" s="48"/>
      <c r="I144" s="49"/>
      <c r="J144" s="48"/>
      <c r="K144" s="47"/>
      <c r="L144" s="48"/>
      <c r="M144" s="47"/>
      <c r="N144" s="50"/>
      <c r="O144" s="51"/>
      <c r="P144" s="20"/>
      <c r="Q144" s="27"/>
    </row>
    <row r="145" ht="18.75" customHeight="1" outlineLevel="1">
      <c r="A145" s="43"/>
      <c r="B145" s="19"/>
      <c r="C145" s="20"/>
      <c r="D145" s="50"/>
      <c r="E145" s="45"/>
      <c r="F145" s="46"/>
      <c r="G145" s="47"/>
      <c r="H145" s="48"/>
      <c r="I145" s="49"/>
      <c r="J145" s="48"/>
      <c r="K145" s="47"/>
      <c r="L145" s="48"/>
      <c r="M145" s="47"/>
      <c r="N145" s="50"/>
      <c r="O145" s="51"/>
      <c r="P145" s="20"/>
      <c r="Q145" s="27"/>
    </row>
    <row r="146" ht="18.75" customHeight="1" outlineLevel="1">
      <c r="A146" s="43"/>
      <c r="B146" s="19"/>
      <c r="C146" s="20"/>
      <c r="D146" s="50"/>
      <c r="E146" s="45"/>
      <c r="F146" s="52"/>
      <c r="G146" s="47"/>
      <c r="H146" s="48"/>
      <c r="I146" s="49"/>
      <c r="J146" s="48"/>
      <c r="K146" s="47"/>
      <c r="L146" s="48"/>
      <c r="M146" s="47"/>
      <c r="N146" s="50"/>
      <c r="O146" s="51"/>
      <c r="P146" s="20"/>
      <c r="Q146" s="27"/>
    </row>
    <row r="147" ht="18.75" customHeight="1" outlineLevel="1">
      <c r="A147" s="43"/>
      <c r="B147" s="19"/>
      <c r="C147" s="20"/>
      <c r="D147" s="50"/>
      <c r="E147" s="45"/>
      <c r="F147" s="46"/>
      <c r="G147" s="47"/>
      <c r="H147" s="48"/>
      <c r="I147" s="49"/>
      <c r="J147" s="48"/>
      <c r="K147" s="47"/>
      <c r="L147" s="48"/>
      <c r="M147" s="47"/>
      <c r="N147" s="50"/>
      <c r="O147" s="51"/>
      <c r="P147" s="20"/>
      <c r="Q147" s="27"/>
    </row>
    <row r="148" ht="18.75" customHeight="1" outlineLevel="1">
      <c r="A148" s="43"/>
      <c r="B148" s="19"/>
      <c r="C148" s="20"/>
      <c r="D148" s="50"/>
      <c r="E148" s="45"/>
      <c r="F148" s="46"/>
      <c r="G148" s="47"/>
      <c r="H148" s="48"/>
      <c r="I148" s="49"/>
      <c r="J148" s="48"/>
      <c r="K148" s="47"/>
      <c r="L148" s="48"/>
      <c r="M148" s="47"/>
      <c r="N148" s="50"/>
      <c r="O148" s="51"/>
      <c r="P148" s="20"/>
      <c r="Q148" s="27"/>
    </row>
    <row r="149" ht="18.75" customHeight="1" outlineLevel="1">
      <c r="A149" s="43"/>
      <c r="B149" s="19"/>
      <c r="C149" s="20"/>
      <c r="D149" s="50"/>
      <c r="E149" s="45"/>
      <c r="F149" s="46"/>
      <c r="G149" s="47"/>
      <c r="H149" s="48"/>
      <c r="I149" s="49"/>
      <c r="J149" s="48"/>
      <c r="K149" s="47"/>
      <c r="L149" s="48"/>
      <c r="M149" s="47"/>
      <c r="N149" s="50"/>
      <c r="O149" s="51"/>
      <c r="P149" s="20"/>
      <c r="Q149" s="27"/>
    </row>
    <row r="150" ht="18.75" customHeight="1" outlineLevel="1">
      <c r="A150" s="43"/>
      <c r="B150" s="19"/>
      <c r="C150" s="20"/>
      <c r="D150" s="50"/>
      <c r="E150" s="45"/>
      <c r="F150" s="46"/>
      <c r="G150" s="47"/>
      <c r="H150" s="48"/>
      <c r="I150" s="49"/>
      <c r="J150" s="48"/>
      <c r="K150" s="47"/>
      <c r="L150" s="48"/>
      <c r="M150" s="47"/>
      <c r="N150" s="50"/>
      <c r="O150" s="51"/>
      <c r="P150" s="20"/>
      <c r="Q150" s="27"/>
    </row>
    <row r="151" ht="18.75" customHeight="1" outlineLevel="1">
      <c r="A151" s="43"/>
      <c r="B151" s="19"/>
      <c r="C151" s="20"/>
      <c r="D151" s="50"/>
      <c r="E151" s="45"/>
      <c r="F151" s="46"/>
      <c r="G151" s="47"/>
      <c r="H151" s="48"/>
      <c r="I151" s="49"/>
      <c r="J151" s="48"/>
      <c r="K151" s="47"/>
      <c r="L151" s="48"/>
      <c r="M151" s="47"/>
      <c r="N151" s="50"/>
      <c r="O151" s="51"/>
      <c r="P151" s="20"/>
      <c r="Q151" s="27"/>
    </row>
    <row r="152" ht="18.75" customHeight="1" outlineLevel="1">
      <c r="A152" s="43"/>
      <c r="B152" s="19"/>
      <c r="C152" s="20"/>
      <c r="D152" s="50"/>
      <c r="E152" s="45"/>
      <c r="F152" s="46"/>
      <c r="G152" s="47"/>
      <c r="H152" s="48"/>
      <c r="I152" s="49"/>
      <c r="J152" s="48"/>
      <c r="K152" s="47"/>
      <c r="L152" s="48"/>
      <c r="M152" s="47"/>
      <c r="N152" s="50"/>
      <c r="O152" s="51"/>
      <c r="P152" s="20"/>
      <c r="Q152" s="27"/>
    </row>
    <row r="153" ht="18.75" customHeight="1" outlineLevel="1">
      <c r="A153" s="43"/>
      <c r="B153" s="19"/>
      <c r="C153" s="20"/>
      <c r="D153" s="50"/>
      <c r="E153" s="45"/>
      <c r="F153" s="46"/>
      <c r="G153" s="47"/>
      <c r="H153" s="48"/>
      <c r="I153" s="49"/>
      <c r="J153" s="48"/>
      <c r="K153" s="47"/>
      <c r="L153" s="48"/>
      <c r="M153" s="47"/>
      <c r="N153" s="50"/>
      <c r="O153" s="51"/>
      <c r="P153" s="20"/>
      <c r="Q153" s="27"/>
    </row>
    <row r="154" ht="18.75" customHeight="1" outlineLevel="1">
      <c r="A154" s="43"/>
      <c r="B154" s="19"/>
      <c r="C154" s="20"/>
      <c r="D154" s="53"/>
      <c r="E154" s="54"/>
      <c r="F154" s="55"/>
      <c r="G154" s="56"/>
      <c r="H154" s="57"/>
      <c r="I154" s="58"/>
      <c r="J154" s="57"/>
      <c r="K154" s="56"/>
      <c r="L154" s="57"/>
      <c r="M154" s="56"/>
      <c r="N154" s="53"/>
      <c r="O154" s="59"/>
      <c r="P154" s="20"/>
      <c r="Q154" s="27"/>
    </row>
    <row r="155" ht="3.75" customHeight="1" outlineLevel="1">
      <c r="A155" s="43"/>
      <c r="B155" s="19"/>
      <c r="C155" s="20"/>
      <c r="D155" s="67"/>
      <c r="E155" s="67"/>
      <c r="F155" s="68"/>
      <c r="G155" s="67"/>
      <c r="H155" s="67"/>
      <c r="I155" s="69"/>
      <c r="J155" s="67"/>
      <c r="K155" s="67"/>
      <c r="L155" s="67"/>
      <c r="M155" s="67"/>
      <c r="N155" s="67"/>
      <c r="O155" s="70"/>
      <c r="P155" s="20"/>
      <c r="Q155" s="19"/>
    </row>
    <row r="156" ht="18.75" customHeight="1">
      <c r="A156" s="43"/>
      <c r="B156" s="19"/>
      <c r="C156" s="20"/>
      <c r="D156" s="20"/>
      <c r="E156" s="20"/>
      <c r="F156" s="20" t="s">
        <v>10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19"/>
    </row>
    <row r="157" ht="22.5" customHeight="1">
      <c r="A157" s="22" t="s">
        <v>10</v>
      </c>
      <c r="B157" s="19"/>
      <c r="C157" s="20"/>
      <c r="D157" s="23" t="s">
        <v>31</v>
      </c>
      <c r="E157" s="24"/>
      <c r="F157" s="23" t="s">
        <v>12</v>
      </c>
      <c r="G157" s="25"/>
      <c r="H157" s="24"/>
      <c r="I157" s="20"/>
      <c r="J157" s="20"/>
      <c r="K157" s="20"/>
      <c r="L157" s="20"/>
      <c r="M157" s="20"/>
      <c r="N157" s="20"/>
      <c r="O157" s="26" t="s">
        <v>13</v>
      </c>
      <c r="P157" s="20"/>
      <c r="Q157" s="27"/>
    </row>
    <row r="158" ht="7.5" customHeight="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7"/>
    </row>
    <row r="159" ht="22.5" customHeight="1" outlineLevel="1">
      <c r="A159" s="28"/>
      <c r="B159" s="19"/>
      <c r="C159" s="20"/>
      <c r="D159" s="26" t="s">
        <v>14</v>
      </c>
      <c r="E159" s="29" t="s">
        <v>15</v>
      </c>
      <c r="F159" s="26" t="s">
        <v>16</v>
      </c>
      <c r="G159" s="29" t="s">
        <v>17</v>
      </c>
      <c r="H159" s="30" t="s">
        <v>18</v>
      </c>
      <c r="I159" s="31" t="s">
        <v>19</v>
      </c>
      <c r="J159" s="30" t="s">
        <v>20</v>
      </c>
      <c r="K159" s="29" t="s">
        <v>21</v>
      </c>
      <c r="L159" s="30" t="s">
        <v>22</v>
      </c>
      <c r="M159" s="32" t="s">
        <v>23</v>
      </c>
      <c r="N159" s="60" t="s">
        <v>24</v>
      </c>
      <c r="O159" s="35" t="s">
        <v>25</v>
      </c>
      <c r="P159" s="20"/>
      <c r="Q159" s="27"/>
    </row>
    <row r="160" ht="3.75" customHeight="1" outlineLevel="1">
      <c r="A160" s="28"/>
      <c r="B160" s="19"/>
      <c r="C160" s="20"/>
      <c r="D160" s="36"/>
      <c r="E160" s="37" t="s">
        <v>10</v>
      </c>
      <c r="F160" s="38"/>
      <c r="G160" s="37"/>
      <c r="H160" s="39"/>
      <c r="I160" s="40"/>
      <c r="J160" s="39"/>
      <c r="K160" s="37"/>
      <c r="L160" s="39"/>
      <c r="M160" s="37"/>
      <c r="N160" s="41"/>
      <c r="O160" s="42"/>
      <c r="P160" s="20"/>
      <c r="Q160" s="27"/>
    </row>
    <row r="161" ht="18.75" customHeight="1" outlineLevel="1">
      <c r="A161" s="43"/>
      <c r="B161" s="19"/>
      <c r="C161" s="20"/>
      <c r="D161" s="44" t="str">
        <f>IFERROR(__xludf.DUMMYFUNCTION("IMPORTRANGE(""1WeVYxODFFkAmdP-uHAXnUhNm6E5Mao-pWS0UkDdVoEY"",""GF!L5:W24"")"),"#REF!")</f>
        <v>#REF!</v>
      </c>
      <c r="E161" s="45"/>
      <c r="F161" s="46"/>
      <c r="G161" s="47"/>
      <c r="H161" s="48"/>
      <c r="I161" s="49"/>
      <c r="J161" s="48"/>
      <c r="K161" s="47"/>
      <c r="L161" s="48"/>
      <c r="M161" s="47"/>
      <c r="N161" s="50"/>
      <c r="O161" s="51"/>
      <c r="P161" s="20"/>
      <c r="Q161" s="27"/>
    </row>
    <row r="162" ht="18.75" customHeight="1" outlineLevel="1">
      <c r="A162" s="43"/>
      <c r="B162" s="19"/>
      <c r="C162" s="20"/>
      <c r="D162" s="50"/>
      <c r="E162" s="45"/>
      <c r="F162" s="46"/>
      <c r="G162" s="47"/>
      <c r="H162" s="48"/>
      <c r="I162" s="49"/>
      <c r="J162" s="48"/>
      <c r="K162" s="47"/>
      <c r="L162" s="48"/>
      <c r="M162" s="47"/>
      <c r="N162" s="50"/>
      <c r="O162" s="51"/>
      <c r="P162" s="20"/>
      <c r="Q162" s="27"/>
    </row>
    <row r="163" ht="18.75" customHeight="1" outlineLevel="1">
      <c r="A163" s="43"/>
      <c r="B163" s="19"/>
      <c r="C163" s="20"/>
      <c r="D163" s="50"/>
      <c r="E163" s="45"/>
      <c r="F163" s="46"/>
      <c r="G163" s="47"/>
      <c r="H163" s="48"/>
      <c r="I163" s="49"/>
      <c r="J163" s="48"/>
      <c r="K163" s="47"/>
      <c r="L163" s="48"/>
      <c r="M163" s="47"/>
      <c r="N163" s="50"/>
      <c r="O163" s="51"/>
      <c r="P163" s="20"/>
      <c r="Q163" s="27"/>
    </row>
    <row r="164" ht="18.75" customHeight="1" outlineLevel="1">
      <c r="A164" s="43"/>
      <c r="B164" s="19"/>
      <c r="C164" s="20"/>
      <c r="D164" s="50"/>
      <c r="E164" s="45"/>
      <c r="F164" s="46"/>
      <c r="G164" s="47"/>
      <c r="H164" s="48"/>
      <c r="I164" s="49"/>
      <c r="J164" s="48"/>
      <c r="K164" s="47"/>
      <c r="L164" s="48"/>
      <c r="M164" s="47"/>
      <c r="N164" s="50"/>
      <c r="O164" s="51"/>
      <c r="P164" s="20"/>
      <c r="Q164" s="27"/>
    </row>
    <row r="165" ht="18.75" customHeight="1" outlineLevel="1">
      <c r="A165" s="43"/>
      <c r="B165" s="19"/>
      <c r="C165" s="20"/>
      <c r="D165" s="50"/>
      <c r="E165" s="45"/>
      <c r="F165" s="46"/>
      <c r="G165" s="47"/>
      <c r="H165" s="48"/>
      <c r="I165" s="49"/>
      <c r="J165" s="48"/>
      <c r="K165" s="47"/>
      <c r="L165" s="48"/>
      <c r="M165" s="47"/>
      <c r="N165" s="50"/>
      <c r="O165" s="51"/>
      <c r="P165" s="20"/>
      <c r="Q165" s="27"/>
    </row>
    <row r="166" ht="18.75" customHeight="1" outlineLevel="1">
      <c r="A166" s="43"/>
      <c r="B166" s="19"/>
      <c r="C166" s="20"/>
      <c r="D166" s="50"/>
      <c r="E166" s="45"/>
      <c r="F166" s="46"/>
      <c r="G166" s="47"/>
      <c r="H166" s="48"/>
      <c r="I166" s="49"/>
      <c r="J166" s="48"/>
      <c r="K166" s="47"/>
      <c r="L166" s="48"/>
      <c r="M166" s="47"/>
      <c r="N166" s="50"/>
      <c r="O166" s="51"/>
      <c r="P166" s="20"/>
      <c r="Q166" s="27"/>
    </row>
    <row r="167" ht="18.75" customHeight="1" outlineLevel="1">
      <c r="A167" s="43"/>
      <c r="B167" s="19"/>
      <c r="C167" s="20"/>
      <c r="D167" s="50"/>
      <c r="E167" s="45"/>
      <c r="F167" s="46"/>
      <c r="G167" s="47"/>
      <c r="H167" s="48"/>
      <c r="I167" s="49"/>
      <c r="J167" s="48"/>
      <c r="K167" s="47"/>
      <c r="L167" s="48"/>
      <c r="M167" s="47"/>
      <c r="N167" s="50"/>
      <c r="O167" s="51"/>
      <c r="P167" s="20"/>
      <c r="Q167" s="27"/>
    </row>
    <row r="168" ht="18.75" customHeight="1" outlineLevel="1">
      <c r="A168" s="43"/>
      <c r="B168" s="19"/>
      <c r="C168" s="20"/>
      <c r="D168" s="50"/>
      <c r="E168" s="45"/>
      <c r="F168" s="46"/>
      <c r="G168" s="47"/>
      <c r="H168" s="48"/>
      <c r="I168" s="49"/>
      <c r="J168" s="48"/>
      <c r="K168" s="47"/>
      <c r="L168" s="48"/>
      <c r="M168" s="47"/>
      <c r="N168" s="50"/>
      <c r="O168" s="51"/>
      <c r="P168" s="20"/>
      <c r="Q168" s="27"/>
    </row>
    <row r="169" ht="18.75" customHeight="1" outlineLevel="1">
      <c r="A169" s="43"/>
      <c r="B169" s="19"/>
      <c r="C169" s="20"/>
      <c r="D169" s="50"/>
      <c r="E169" s="45"/>
      <c r="F169" s="46"/>
      <c r="G169" s="47"/>
      <c r="H169" s="48"/>
      <c r="I169" s="49"/>
      <c r="J169" s="48"/>
      <c r="K169" s="47"/>
      <c r="L169" s="48"/>
      <c r="M169" s="47"/>
      <c r="N169" s="50"/>
      <c r="O169" s="51"/>
      <c r="P169" s="20"/>
      <c r="Q169" s="27"/>
    </row>
    <row r="170" ht="18.75" customHeight="1" outlineLevel="1">
      <c r="A170" s="43"/>
      <c r="B170" s="19"/>
      <c r="C170" s="20"/>
      <c r="D170" s="50"/>
      <c r="E170" s="45"/>
      <c r="F170" s="46"/>
      <c r="G170" s="47"/>
      <c r="H170" s="48"/>
      <c r="I170" s="49"/>
      <c r="J170" s="48"/>
      <c r="K170" s="47"/>
      <c r="L170" s="48"/>
      <c r="M170" s="47"/>
      <c r="N170" s="50"/>
      <c r="O170" s="51"/>
      <c r="P170" s="20"/>
      <c r="Q170" s="27"/>
    </row>
    <row r="171" ht="18.75" customHeight="1" outlineLevel="1">
      <c r="A171" s="43"/>
      <c r="B171" s="19"/>
      <c r="C171" s="20"/>
      <c r="D171" s="50"/>
      <c r="E171" s="45"/>
      <c r="F171" s="46"/>
      <c r="G171" s="47"/>
      <c r="H171" s="48"/>
      <c r="I171" s="49"/>
      <c r="J171" s="48"/>
      <c r="K171" s="47"/>
      <c r="L171" s="48"/>
      <c r="M171" s="47"/>
      <c r="N171" s="50"/>
      <c r="O171" s="51"/>
      <c r="P171" s="20"/>
      <c r="Q171" s="27"/>
    </row>
    <row r="172" ht="18.75" customHeight="1" outlineLevel="1">
      <c r="A172" s="43"/>
      <c r="B172" s="19"/>
      <c r="C172" s="20"/>
      <c r="D172" s="50"/>
      <c r="E172" s="45"/>
      <c r="F172" s="52"/>
      <c r="G172" s="47"/>
      <c r="H172" s="48"/>
      <c r="I172" s="49"/>
      <c r="J172" s="48"/>
      <c r="K172" s="47"/>
      <c r="L172" s="48"/>
      <c r="M172" s="47"/>
      <c r="N172" s="50"/>
      <c r="O172" s="51"/>
      <c r="P172" s="20"/>
      <c r="Q172" s="27"/>
    </row>
    <row r="173" ht="18.75" customHeight="1" outlineLevel="1">
      <c r="A173" s="43"/>
      <c r="B173" s="19"/>
      <c r="C173" s="20"/>
      <c r="D173" s="50"/>
      <c r="E173" s="45"/>
      <c r="F173" s="46"/>
      <c r="G173" s="47"/>
      <c r="H173" s="48"/>
      <c r="I173" s="49"/>
      <c r="J173" s="48"/>
      <c r="K173" s="47"/>
      <c r="L173" s="48"/>
      <c r="M173" s="47"/>
      <c r="N173" s="50"/>
      <c r="O173" s="51"/>
      <c r="P173" s="20"/>
      <c r="Q173" s="27"/>
    </row>
    <row r="174" ht="18.75" customHeight="1" outlineLevel="1">
      <c r="A174" s="43"/>
      <c r="B174" s="19"/>
      <c r="C174" s="20"/>
      <c r="D174" s="50"/>
      <c r="E174" s="45"/>
      <c r="F174" s="46"/>
      <c r="G174" s="47"/>
      <c r="H174" s="48"/>
      <c r="I174" s="49"/>
      <c r="J174" s="48"/>
      <c r="K174" s="47"/>
      <c r="L174" s="48"/>
      <c r="M174" s="47"/>
      <c r="N174" s="50"/>
      <c r="O174" s="51"/>
      <c r="P174" s="20"/>
      <c r="Q174" s="27"/>
    </row>
    <row r="175" ht="18.75" customHeight="1" outlineLevel="1">
      <c r="A175" s="43"/>
      <c r="B175" s="19"/>
      <c r="C175" s="20"/>
      <c r="D175" s="50"/>
      <c r="E175" s="45"/>
      <c r="F175" s="46"/>
      <c r="G175" s="47"/>
      <c r="H175" s="48"/>
      <c r="I175" s="49"/>
      <c r="J175" s="48"/>
      <c r="K175" s="47"/>
      <c r="L175" s="48"/>
      <c r="M175" s="47"/>
      <c r="N175" s="50"/>
      <c r="O175" s="51"/>
      <c r="P175" s="20"/>
      <c r="Q175" s="27"/>
    </row>
    <row r="176" ht="18.75" customHeight="1" outlineLevel="1">
      <c r="A176" s="43"/>
      <c r="B176" s="19"/>
      <c r="C176" s="20"/>
      <c r="D176" s="50"/>
      <c r="E176" s="45"/>
      <c r="F176" s="46"/>
      <c r="G176" s="47"/>
      <c r="H176" s="48"/>
      <c r="I176" s="49"/>
      <c r="J176" s="48"/>
      <c r="K176" s="47"/>
      <c r="L176" s="48"/>
      <c r="M176" s="47"/>
      <c r="N176" s="50"/>
      <c r="O176" s="51"/>
      <c r="P176" s="20"/>
      <c r="Q176" s="27"/>
    </row>
    <row r="177" ht="18.75" customHeight="1" outlineLevel="1">
      <c r="A177" s="43"/>
      <c r="B177" s="19"/>
      <c r="C177" s="20"/>
      <c r="D177" s="50"/>
      <c r="E177" s="45"/>
      <c r="F177" s="46"/>
      <c r="G177" s="47"/>
      <c r="H177" s="48"/>
      <c r="I177" s="49"/>
      <c r="J177" s="48"/>
      <c r="K177" s="47"/>
      <c r="L177" s="48"/>
      <c r="M177" s="47"/>
      <c r="N177" s="50"/>
      <c r="O177" s="51"/>
      <c r="P177" s="20"/>
      <c r="Q177" s="27"/>
    </row>
    <row r="178" ht="18.75" customHeight="1" outlineLevel="1">
      <c r="A178" s="43"/>
      <c r="B178" s="19"/>
      <c r="C178" s="20"/>
      <c r="D178" s="50"/>
      <c r="E178" s="45"/>
      <c r="F178" s="46"/>
      <c r="G178" s="47"/>
      <c r="H178" s="48"/>
      <c r="I178" s="49"/>
      <c r="J178" s="48"/>
      <c r="K178" s="47"/>
      <c r="L178" s="48"/>
      <c r="M178" s="47"/>
      <c r="N178" s="50"/>
      <c r="O178" s="51"/>
      <c r="P178" s="20"/>
      <c r="Q178" s="27"/>
    </row>
    <row r="179" ht="18.75" customHeight="1" outlineLevel="1">
      <c r="A179" s="43"/>
      <c r="B179" s="19"/>
      <c r="C179" s="20"/>
      <c r="D179" s="50"/>
      <c r="E179" s="45"/>
      <c r="F179" s="46"/>
      <c r="G179" s="47"/>
      <c r="H179" s="48"/>
      <c r="I179" s="49"/>
      <c r="J179" s="48"/>
      <c r="K179" s="47"/>
      <c r="L179" s="48"/>
      <c r="M179" s="47"/>
      <c r="N179" s="50"/>
      <c r="O179" s="51"/>
      <c r="P179" s="20"/>
      <c r="Q179" s="27"/>
    </row>
    <row r="180" ht="18.75" customHeight="1" outlineLevel="1">
      <c r="A180" s="43"/>
      <c r="B180" s="19"/>
      <c r="C180" s="20"/>
      <c r="D180" s="53"/>
      <c r="E180" s="54"/>
      <c r="F180" s="55"/>
      <c r="G180" s="56"/>
      <c r="H180" s="57"/>
      <c r="I180" s="58"/>
      <c r="J180" s="57"/>
      <c r="K180" s="56"/>
      <c r="L180" s="57"/>
      <c r="M180" s="56"/>
      <c r="N180" s="53"/>
      <c r="O180" s="59"/>
      <c r="P180" s="20"/>
      <c r="Q180" s="27"/>
    </row>
    <row r="181" ht="3.75" customHeight="1" outlineLevel="1">
      <c r="A181" s="43"/>
      <c r="B181" s="19"/>
      <c r="C181" s="20"/>
      <c r="D181" s="67"/>
      <c r="E181" s="71"/>
      <c r="F181" s="68"/>
      <c r="G181" s="67"/>
      <c r="H181" s="67"/>
      <c r="I181" s="69"/>
      <c r="J181" s="67"/>
      <c r="K181" s="67"/>
      <c r="L181" s="67"/>
      <c r="M181" s="67"/>
      <c r="N181" s="67"/>
      <c r="O181" s="70"/>
      <c r="P181" s="20"/>
      <c r="Q181" s="19"/>
    </row>
    <row r="182" ht="18.75" customHeight="1">
      <c r="A182" s="43"/>
      <c r="B182" s="19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19"/>
    </row>
  </sheetData>
  <mergeCells count="14">
    <mergeCell ref="D79:E79"/>
    <mergeCell ref="D105:E105"/>
    <mergeCell ref="F105:H105"/>
    <mergeCell ref="D131:E131"/>
    <mergeCell ref="F131:H131"/>
    <mergeCell ref="D157:E157"/>
    <mergeCell ref="F157:H157"/>
    <mergeCell ref="D2:E2"/>
    <mergeCell ref="F2:H2"/>
    <mergeCell ref="D27:E27"/>
    <mergeCell ref="F27:H27"/>
    <mergeCell ref="D53:E53"/>
    <mergeCell ref="F53:H53"/>
    <mergeCell ref="F79:H79"/>
  </mergeCells>
  <conditionalFormatting sqref="E4:E25 F4:O4 E29:E51 F29:O29 E55:E77 F55:O55 E81:E103 F81:O81 E107:E129 F107:O107 E133:E155 F133:O133 E159:E181 F159:O159">
    <cfRule type="containsText" dxfId="0" priority="1" operator="containsText" text="NM">
      <formula>NOT(ISERROR(SEARCH(("NM"),(E4))))</formula>
    </cfRule>
  </conditionalFormatting>
  <conditionalFormatting sqref="E4:E25 F4:O4 E29:E51 F29:O29 E55:E77 F55:O55 E81:E103 F81:O81 E107:E129 F107:O107 E133:E155 F133:O133 E159:E181 F159:O159">
    <cfRule type="containsText" dxfId="1" priority="2" operator="containsText" text="HD">
      <formula>NOT(ISERROR(SEARCH(("HD"),(E4))))</formula>
    </cfRule>
  </conditionalFormatting>
  <conditionalFormatting sqref="E4:E25 F4:O4 E29:E51 F29:O29 E55:E77 F55:O55 E81:E103 F81:O81 E107:E129 F107:O107 E133:E155 F133:O133 E159:E181 F159:O159">
    <cfRule type="containsText" dxfId="2" priority="3" operator="containsText" text="HR">
      <formula>NOT(ISERROR(SEARCH(("HR"),(E4))))</formula>
    </cfRule>
  </conditionalFormatting>
  <conditionalFormatting sqref="E4:E25 F4:O4 E29:E51 F29:O29 E55:E77 F55:O55 E81:E103 F81:O81 E107:E129 F107:O107 E133:E155 F133:O133 E159:E181 F159:O159">
    <cfRule type="containsText" dxfId="3" priority="4" operator="containsText" text="DT">
      <formula>NOT(ISERROR(SEARCH(("DT"),(E4))))</formula>
    </cfRule>
  </conditionalFormatting>
  <conditionalFormatting sqref="E4:E25 F4:O4 E29:E51 F29:O29 E55:E77 F55:O55 E81:E103 F81:O81 E107:E129 F107:O107 E133:E155 F133:O133 E159:E181 F159:O159">
    <cfRule type="containsText" dxfId="4" priority="5" operator="containsText" text="FM">
      <formula>NOT(ISERROR(SEARCH(("FM"),(E4))))</formula>
    </cfRule>
  </conditionalFormatting>
  <conditionalFormatting sqref="E4:E25 F4:O4 E29:E51 F29:O29 E55:E77 F55:O55 E81:E103 F81:O81 E107:E129 F107:O107 E133:E155 F133:O133 E159:E181 F159:O159">
    <cfRule type="containsText" dxfId="5" priority="6" operator="containsText" text="TB">
      <formula>NOT(ISERROR(SEARCH(("TB"),(E4))))</formula>
    </cfRule>
  </conditionalFormatting>
  <conditionalFormatting sqref="D2 F2 O2 D4:O25 D27 F27 O27 D29:O51 D53 F53 O53 D55:O77 D79 F79 O79 D81:O103 D105 F105 O105 D107:O129 D131 F131 O131 D133:O155 D157 F157 O157 D159:O181">
    <cfRule type="expression" dxfId="6" priority="7">
      <formula>IF(LEFT($E2,2)="NM",TRUE,FALSE)</formula>
    </cfRule>
  </conditionalFormatting>
  <conditionalFormatting sqref="D2 F2 O2 D4:O25 D27 F27 O27 D29:O51 D53 F53 O53 D55:O77 D79 F79 O79 D81:O103 D105 F105 O105 D107:O129 D131 F131 O131 D133:O155 D157 F157 O157 D159:O181">
    <cfRule type="expression" dxfId="7" priority="8">
      <formula>IF(LEFT($E2,2)="HD",TRUE,FALSE)</formula>
    </cfRule>
  </conditionalFormatting>
  <conditionalFormatting sqref="D2 F2 O2 D4:O25 D27 F27 O27 D29:O51 D53 F53 O53 D55:O77 D79 F79 O79 D81:O103 D105 F105 O105 D107:O129 D131 F131 O131 D133:O155 D157 F157 O157 D159:O181">
    <cfRule type="expression" dxfId="8" priority="9">
      <formula>IF(LEFT($E2,2)="HR",TRUE,FALSE)</formula>
    </cfRule>
  </conditionalFormatting>
  <conditionalFormatting sqref="D2 F2 O2 D4:O25 D27 F27 O27 D29:O51 D53 F53 O53 D55:O77 D79 F79 O79 D81:O103 D105 F105 O105 D107:O129 D131 F131 O131 D133:O155 D157 F157 O157 D159:O181">
    <cfRule type="expression" dxfId="9" priority="10">
      <formula>IF(LEFT($E2,2)="DT",TRUE,FALSE)</formula>
    </cfRule>
  </conditionalFormatting>
  <conditionalFormatting sqref="D2 F2 O2 D4:O25 D27 F27 O27 D29:O51 D53 F53 O53 D55:O77 D79 F79 O79 D81:O103 D105 F105 O105 D107:O129 D131 F131 O131 D133:O155 D157 F157 O157 D159:O181">
    <cfRule type="expression" dxfId="10" priority="11">
      <formula>IF(LEFT($E2,2)="FM",TRUE,FALSE)</formula>
    </cfRule>
  </conditionalFormatting>
  <conditionalFormatting sqref="D2 F2 O2 D4:O25 D27 F27 O27 D29:O51 D53 F53 O53 D55:O77 D79 F79 O79 D81:O103 D105 F105 O105 D107:O129 D131 F131 O131 D133:O155 D157 F157 O157 D159:O181">
    <cfRule type="expression" dxfId="11" priority="12">
      <formula>IF(LEFT($E2,2)="TB",TRUE,FALSE)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3" width="1.25"/>
    <col customWidth="1" min="4" max="5" width="3.25"/>
    <col customWidth="1" min="6" max="6" width="1.38"/>
    <col customWidth="1" min="7" max="9" width="0.75"/>
    <col customWidth="1" min="10" max="10" width="6.38"/>
    <col customWidth="1" min="12" max="12" width="12.63"/>
    <col customWidth="1" min="13" max="13" width="18.88"/>
    <col customWidth="1" min="14" max="15" width="3.88"/>
    <col customWidth="1" min="16" max="20" width="18.88"/>
    <col customWidth="1" min="21" max="21" width="12.63"/>
    <col customWidth="1" min="22" max="25" width="1.25"/>
  </cols>
  <sheetData>
    <row r="1" ht="6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ht="6.75" customHeight="1">
      <c r="A2" s="72"/>
      <c r="B2" s="72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2"/>
    </row>
    <row r="3" ht="6.75" customHeight="1">
      <c r="A3" s="72"/>
      <c r="B3" s="72"/>
      <c r="C3" s="74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2"/>
    </row>
    <row r="4" ht="6.75" customHeight="1">
      <c r="A4" s="72"/>
      <c r="B4" s="74"/>
      <c r="C4" s="74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2"/>
    </row>
    <row r="5" ht="7.5" customHeight="1">
      <c r="A5" s="75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6"/>
      <c r="T5" s="76"/>
      <c r="U5" s="76"/>
      <c r="V5" s="73"/>
      <c r="W5" s="73"/>
      <c r="X5" s="73"/>
      <c r="Y5" s="75"/>
    </row>
    <row r="6" ht="30.0" customHeight="1">
      <c r="A6" s="75"/>
      <c r="B6" s="73"/>
      <c r="C6" s="73"/>
      <c r="D6" s="76"/>
      <c r="E6" s="76"/>
      <c r="F6" s="76"/>
      <c r="G6" s="76"/>
      <c r="H6" s="76"/>
      <c r="I6" s="76"/>
      <c r="J6" s="76"/>
      <c r="K6" s="76"/>
      <c r="L6" s="76"/>
      <c r="M6" s="77" t="s">
        <v>32</v>
      </c>
      <c r="N6" s="78"/>
      <c r="O6" s="78"/>
      <c r="P6" s="79"/>
      <c r="Q6" s="76"/>
      <c r="R6" s="76"/>
      <c r="S6" s="80" t="s">
        <v>33</v>
      </c>
      <c r="T6" s="81" t="s">
        <v>34</v>
      </c>
      <c r="U6" s="82" t="s">
        <v>35</v>
      </c>
      <c r="V6" s="76"/>
      <c r="W6" s="76"/>
      <c r="X6" s="73"/>
      <c r="Y6" s="75"/>
    </row>
    <row r="7" ht="12.0" customHeight="1">
      <c r="A7" s="75"/>
      <c r="B7" s="73"/>
      <c r="C7" s="73"/>
      <c r="D7" s="76"/>
      <c r="E7" s="76"/>
      <c r="F7" s="76"/>
      <c r="G7" s="76"/>
      <c r="H7" s="76"/>
      <c r="I7" s="76"/>
      <c r="J7" s="76"/>
      <c r="K7" s="76"/>
      <c r="L7" s="76"/>
      <c r="M7" s="83"/>
      <c r="N7" s="83"/>
      <c r="O7" s="83"/>
      <c r="P7" s="76"/>
      <c r="Q7" s="76"/>
      <c r="R7" s="76"/>
      <c r="S7" s="76"/>
      <c r="T7" s="76"/>
      <c r="U7" s="76"/>
      <c r="V7" s="76"/>
      <c r="W7" s="76"/>
      <c r="X7" s="73"/>
      <c r="Y7" s="75"/>
    </row>
    <row r="8" ht="7.5" customHeight="1">
      <c r="A8" s="75"/>
      <c r="B8" s="73"/>
      <c r="C8" s="73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3"/>
      <c r="Y8" s="75"/>
    </row>
    <row r="9" ht="3.75" customHeight="1">
      <c r="A9" s="75"/>
      <c r="B9" s="73"/>
      <c r="C9" s="84" t="s">
        <v>10</v>
      </c>
      <c r="D9" s="84" t="s">
        <v>10</v>
      </c>
      <c r="E9" s="84" t="s">
        <v>10</v>
      </c>
      <c r="F9" s="76"/>
      <c r="G9" s="76"/>
      <c r="H9" s="76"/>
      <c r="I9" s="76"/>
      <c r="J9" s="84" t="s">
        <v>10</v>
      </c>
      <c r="K9" s="84" t="s">
        <v>10</v>
      </c>
      <c r="L9" s="84" t="s">
        <v>10</v>
      </c>
      <c r="M9" s="84" t="s">
        <v>10</v>
      </c>
      <c r="N9" s="84" t="s">
        <v>10</v>
      </c>
      <c r="O9" s="84" t="s">
        <v>10</v>
      </c>
      <c r="P9" s="84" t="s">
        <v>10</v>
      </c>
      <c r="Q9" s="84" t="s">
        <v>10</v>
      </c>
      <c r="R9" s="84" t="s">
        <v>10</v>
      </c>
      <c r="S9" s="84" t="s">
        <v>10</v>
      </c>
      <c r="T9" s="84" t="s">
        <v>10</v>
      </c>
      <c r="U9" s="84" t="s">
        <v>10</v>
      </c>
      <c r="V9" s="76"/>
      <c r="W9" s="76"/>
      <c r="X9" s="73"/>
      <c r="Y9" s="75"/>
    </row>
    <row r="10" ht="22.5" customHeight="1">
      <c r="A10" s="75"/>
      <c r="B10" s="73"/>
      <c r="C10" s="85" t="s">
        <v>36</v>
      </c>
      <c r="F10" s="76"/>
      <c r="G10" s="76"/>
      <c r="H10" s="76"/>
      <c r="I10" s="76"/>
      <c r="J10" s="86" t="s">
        <v>37</v>
      </c>
      <c r="K10" s="86" t="s">
        <v>38</v>
      </c>
      <c r="L10" s="86" t="s">
        <v>39</v>
      </c>
      <c r="M10" s="86" t="s">
        <v>40</v>
      </c>
      <c r="N10" s="86" t="s">
        <v>41</v>
      </c>
      <c r="P10" s="86" t="s">
        <v>42</v>
      </c>
      <c r="Q10" s="86" t="s">
        <v>43</v>
      </c>
      <c r="R10" s="86" t="s">
        <v>44</v>
      </c>
      <c r="S10" s="86" t="s">
        <v>45</v>
      </c>
      <c r="T10" s="86" t="s">
        <v>46</v>
      </c>
      <c r="U10" s="86" t="s">
        <v>47</v>
      </c>
      <c r="V10" s="76"/>
      <c r="W10" s="76"/>
      <c r="X10" s="73"/>
      <c r="Y10" s="75"/>
    </row>
    <row r="11" ht="3.75" customHeight="1">
      <c r="A11" s="75"/>
      <c r="B11" s="73"/>
      <c r="C11" s="84" t="s">
        <v>10</v>
      </c>
      <c r="D11" s="84" t="s">
        <v>10</v>
      </c>
      <c r="E11" s="84" t="s">
        <v>10</v>
      </c>
      <c r="F11" s="76"/>
      <c r="G11" s="76"/>
      <c r="H11" s="76"/>
      <c r="I11" s="76"/>
      <c r="J11" s="84" t="s">
        <v>10</v>
      </c>
      <c r="K11" s="84" t="s">
        <v>10</v>
      </c>
      <c r="L11" s="84" t="s">
        <v>10</v>
      </c>
      <c r="M11" s="84" t="s">
        <v>10</v>
      </c>
      <c r="N11" s="84" t="s">
        <v>10</v>
      </c>
      <c r="O11" s="84" t="s">
        <v>10</v>
      </c>
      <c r="P11" s="84" t="s">
        <v>10</v>
      </c>
      <c r="Q11" s="84" t="s">
        <v>10</v>
      </c>
      <c r="R11" s="84" t="s">
        <v>10</v>
      </c>
      <c r="S11" s="84" t="s">
        <v>10</v>
      </c>
      <c r="T11" s="84" t="s">
        <v>10</v>
      </c>
      <c r="U11" s="84" t="s">
        <v>10</v>
      </c>
      <c r="V11" s="76"/>
      <c r="W11" s="76"/>
      <c r="X11" s="73"/>
      <c r="Y11" s="75"/>
    </row>
    <row r="12" ht="7.5" customHeight="1">
      <c r="A12" s="75"/>
      <c r="B12" s="73"/>
      <c r="C12" s="73"/>
      <c r="D12" s="76"/>
      <c r="E12" s="76"/>
      <c r="F12" s="76"/>
      <c r="G12" s="76"/>
      <c r="H12" s="76"/>
      <c r="I12" s="76"/>
      <c r="J12" s="76">
        <f>IFERROR(__xludf.DUMMYFUNCTION("IMPORTRANGE(""https://docs.google.com/spreadsheets/d/1furEKtJ5gEFQB_8CRy1iNCTi7QIoca2qGHOcFGl5QjU/edit#gid=1684621565"",""Schedule!D4:G67"") "),1.0)</f>
        <v>1</v>
      </c>
      <c r="K12" s="87">
        <f>IFERROR(__xludf.DUMMYFUNCTION("""COMPUTED_VALUE"""),45156.0)</f>
        <v>45156</v>
      </c>
      <c r="L12" s="88">
        <f>IFERROR(__xludf.DUMMYFUNCTION("""COMPUTED_VALUE"""),0.5833333333333334)</f>
        <v>0.5833333333</v>
      </c>
      <c r="M12" s="76" t="str">
        <f>IFERROR(__xludf.DUMMYFUNCTION("""COMPUTED_VALUE"""),"small wiener club")</f>
        <v>small wiener club</v>
      </c>
      <c r="N12" s="76" t="str">
        <f>IFERROR(__xludf.DUMMYFUNCTION("IMPORTRANGE(""https://docs.google.com/spreadsheets/d/1furEKtJ5gEFQB_8CRy1iNCTi7QIoca2qGHOcFGl5QjU/edit#gid=1684621565"",""Schedule!M4:N67"")"),"5")</f>
        <v>5</v>
      </c>
      <c r="O12" s="76" t="str">
        <f>IFERROR(__xludf.DUMMYFUNCTION("""COMPUTED_VALUE"""),"0")</f>
        <v>0</v>
      </c>
      <c r="P12" s="76" t="str">
        <f>IFERROR(__xludf.DUMMYFUNCTION("IMPORTRANGE(""https://docs.google.com/spreadsheets/d/1furEKtJ5gEFQB_8CRy1iNCTi7QIoca2qGHOcFGl5QjU/edit#gid=1684621565"",""Schedule!H4:L66"") "),"lowrank is my love")</f>
        <v>lowrank is my love</v>
      </c>
      <c r="Q12" s="76" t="str">
        <f>IFERROR(__xludf.DUMMYFUNCTION("""COMPUTED_VALUE"""),"Emerald Ages")</f>
        <v>Emerald Ages</v>
      </c>
      <c r="R12" s="76"/>
      <c r="S12" s="76"/>
      <c r="T12" s="76"/>
      <c r="U12" s="89" t="str">
        <f>IFERROR(__xludf.DUMMYFUNCTION("IMPORTRANGE(""https://docs.google.com/spreadsheets/d/1furEKtJ5gEFQB_8CRy1iNCTi7QIoca2qGHOcFGl5QjU/edit#gid=1684621565"",""Schedule!O4:O67"") "),"https://osu.ppy.sh/community/matches/110051880")</f>
        <v>https://osu.ppy.sh/community/matches/110051880</v>
      </c>
      <c r="V12" s="76"/>
      <c r="W12" s="76"/>
      <c r="X12" s="73"/>
      <c r="Y12" s="75"/>
    </row>
    <row r="13" ht="18.75" customHeight="1">
      <c r="A13" s="75"/>
      <c r="B13" s="73"/>
      <c r="C13" s="73"/>
      <c r="D13" s="90"/>
      <c r="E13" s="90"/>
      <c r="F13" s="91"/>
      <c r="G13" s="92" t="s">
        <v>10</v>
      </c>
      <c r="H13" s="76"/>
      <c r="I13" s="76"/>
      <c r="J13" s="93">
        <f>IFERROR(__xludf.DUMMYFUNCTION("""COMPUTED_VALUE"""),2.0)</f>
        <v>2</v>
      </c>
      <c r="K13" s="94">
        <f>IFERROR(__xludf.DUMMYFUNCTION("""COMPUTED_VALUE"""),45157.0)</f>
        <v>45157</v>
      </c>
      <c r="L13" s="95">
        <f>IFERROR(__xludf.DUMMYFUNCTION("""COMPUTED_VALUE"""),0.5)</f>
        <v>0.5</v>
      </c>
      <c r="M13" s="96" t="str">
        <f>IFERROR(__xludf.DUMMYFUNCTION("""COMPUTED_VALUE"""),"middle-schooler wife")</f>
        <v>middle-schooler wife</v>
      </c>
      <c r="N13" s="93" t="str">
        <f>IFERROR(__xludf.DUMMYFUNCTION("""COMPUTED_VALUE"""),"5")</f>
        <v>5</v>
      </c>
      <c r="O13" s="93" t="str">
        <f>IFERROR(__xludf.DUMMYFUNCTION("""COMPUTED_VALUE"""),"1")</f>
        <v>1</v>
      </c>
      <c r="P13" s="93" t="str">
        <f>IFERROR(__xludf.DUMMYFUNCTION("""COMPUTED_VALUE"""),"PLDT ANO NAAA")</f>
        <v>PLDT ANO NAAA</v>
      </c>
      <c r="Q13" s="96" t="str">
        <f>IFERROR(__xludf.DUMMYFUNCTION("""COMPUTED_VALUE"""),"Gamillie")</f>
        <v>Gamillie</v>
      </c>
      <c r="R13" s="96"/>
      <c r="S13" s="96"/>
      <c r="T13" s="93"/>
      <c r="U13" s="97" t="str">
        <f>IFERROR(__xludf.DUMMYFUNCTION("""COMPUTED_VALUE"""),"https://osu.ppy.sh/mp/110066290")</f>
        <v>https://osu.ppy.sh/mp/110066290</v>
      </c>
      <c r="V13" s="76"/>
      <c r="W13" s="76"/>
      <c r="X13" s="73"/>
      <c r="Y13" s="75"/>
    </row>
    <row r="14" ht="18.75" customHeight="1">
      <c r="A14" s="75"/>
      <c r="B14" s="73"/>
      <c r="C14" s="73"/>
      <c r="D14" s="98" t="s">
        <v>48</v>
      </c>
      <c r="E14" s="99"/>
      <c r="F14" s="91"/>
      <c r="G14" s="92" t="s">
        <v>10</v>
      </c>
      <c r="H14" s="76"/>
      <c r="I14" s="76"/>
      <c r="J14" s="93">
        <f>IFERROR(__xludf.DUMMYFUNCTION("""COMPUTED_VALUE"""),3.0)</f>
        <v>3</v>
      </c>
      <c r="K14" s="94">
        <f>IFERROR(__xludf.DUMMYFUNCTION("""COMPUTED_VALUE"""),45158.0)</f>
        <v>45158</v>
      </c>
      <c r="L14" s="100">
        <f>IFERROR(__xludf.DUMMYFUNCTION("""COMPUTED_VALUE"""),0.875)</f>
        <v>0.875</v>
      </c>
      <c r="M14" s="96" t="str">
        <f>IFERROR(__xludf.DUMMYFUNCTION("""COMPUTED_VALUE"""),"The 3-star Threats")</f>
        <v>The 3-star Threats</v>
      </c>
      <c r="N14" s="93" t="str">
        <f>IFERROR(__xludf.DUMMYFUNCTION("""COMPUTED_VALUE"""),"5")</f>
        <v>5</v>
      </c>
      <c r="O14" s="93" t="str">
        <f>IFERROR(__xludf.DUMMYFUNCTION("""COMPUTED_VALUE"""),"1")</f>
        <v>1</v>
      </c>
      <c r="P14" s="93" t="str">
        <f>IFERROR(__xludf.DUMMYFUNCTION("""COMPUTED_VALUE"""),"The sleepers")</f>
        <v>The sleepers</v>
      </c>
      <c r="Q14" s="96" t="str">
        <f>IFERROR(__xludf.DUMMYFUNCTION("""COMPUTED_VALUE"""),"Mewo_")</f>
        <v>Mewo_</v>
      </c>
      <c r="R14" s="96"/>
      <c r="S14" s="96"/>
      <c r="T14" s="93"/>
      <c r="U14" s="97" t="str">
        <f>IFERROR(__xludf.DUMMYFUNCTION("""COMPUTED_VALUE"""),"https://osu.ppy.sh/mp/110090518")</f>
        <v>https://osu.ppy.sh/mp/110090518</v>
      </c>
      <c r="V14" s="76"/>
      <c r="W14" s="76"/>
      <c r="X14" s="73"/>
      <c r="Y14" s="75"/>
    </row>
    <row r="15" ht="18.75" customHeight="1">
      <c r="A15" s="75"/>
      <c r="B15" s="73"/>
      <c r="C15" s="73"/>
      <c r="D15" s="101"/>
      <c r="E15" s="102"/>
      <c r="F15" s="91"/>
      <c r="G15" s="92" t="s">
        <v>10</v>
      </c>
      <c r="H15" s="76"/>
      <c r="I15" s="76"/>
      <c r="J15" s="93">
        <f>IFERROR(__xludf.DUMMYFUNCTION("""COMPUTED_VALUE"""),4.0)</f>
        <v>4</v>
      </c>
      <c r="K15" s="94">
        <f>IFERROR(__xludf.DUMMYFUNCTION("""COMPUTED_VALUE"""),45156.0)</f>
        <v>45156</v>
      </c>
      <c r="L15" s="100">
        <f>IFERROR(__xludf.DUMMYFUNCTION("""COMPUTED_VALUE"""),0.5416666666666666)</f>
        <v>0.5416666667</v>
      </c>
      <c r="M15" s="96" t="str">
        <f>IFERROR(__xludf.DUMMYFUNCTION("""COMPUTED_VALUE"""),"placeholder teamname")</f>
        <v>placeholder teamname</v>
      </c>
      <c r="N15" s="93" t="str">
        <f>IFERROR(__xludf.DUMMYFUNCTION("""COMPUTED_VALUE"""),"5")</f>
        <v>5</v>
      </c>
      <c r="O15" s="93" t="str">
        <f>IFERROR(__xludf.DUMMYFUNCTION("""COMPUTED_VALUE"""),"1")</f>
        <v>1</v>
      </c>
      <c r="P15" s="93" t="str">
        <f>IFERROR(__xludf.DUMMYFUNCTION("""COMPUTED_VALUE"""),"Mewo My Waifu")</f>
        <v>Mewo My Waifu</v>
      </c>
      <c r="Q15" s="96" t="str">
        <f>IFERROR(__xludf.DUMMYFUNCTION("""COMPUTED_VALUE"""),"Emerald Ages")</f>
        <v>Emerald Ages</v>
      </c>
      <c r="R15" s="96"/>
      <c r="S15" s="96"/>
      <c r="T15" s="93"/>
      <c r="U15" s="97" t="str">
        <f>IFERROR(__xludf.DUMMYFUNCTION("""COMPUTED_VALUE"""),"https://osu.ppy.sh/community/matches/110051132")</f>
        <v>https://osu.ppy.sh/community/matches/110051132</v>
      </c>
      <c r="V15" s="76"/>
      <c r="W15" s="76"/>
      <c r="X15" s="73"/>
      <c r="Y15" s="75"/>
    </row>
    <row r="16" ht="18.75" customHeight="1">
      <c r="A16" s="75"/>
      <c r="B16" s="73"/>
      <c r="C16" s="73"/>
      <c r="D16" s="101"/>
      <c r="E16" s="102"/>
      <c r="F16" s="91"/>
      <c r="G16" s="92" t="s">
        <v>10</v>
      </c>
      <c r="H16" s="76"/>
      <c r="I16" s="76"/>
      <c r="J16" s="93">
        <f>IFERROR(__xludf.DUMMYFUNCTION("""COMPUTED_VALUE"""),5.0)</f>
        <v>5</v>
      </c>
      <c r="K16" s="94">
        <f>IFERROR(__xludf.DUMMYFUNCTION("""COMPUTED_VALUE"""),45158.0)</f>
        <v>45158</v>
      </c>
      <c r="L16" s="100">
        <f>IFERROR(__xludf.DUMMYFUNCTION("""COMPUTED_VALUE"""),0.75)</f>
        <v>0.75</v>
      </c>
      <c r="M16" s="96" t="str">
        <f>IFERROR(__xludf.DUMMYFUNCTION("""COMPUTED_VALUE"""),"Homossexual Students")</f>
        <v>Homossexual Students</v>
      </c>
      <c r="N16" s="93" t="str">
        <f>IFERROR(__xludf.DUMMYFUNCTION("""COMPUTED_VALUE"""),"5")</f>
        <v>5</v>
      </c>
      <c r="O16" s="93" t="str">
        <f>IFERROR(__xludf.DUMMYFUNCTION("""COMPUTED_VALUE"""),"2")</f>
        <v>2</v>
      </c>
      <c r="P16" s="93" t="str">
        <f>IFERROR(__xludf.DUMMYFUNCTION("""COMPUTED_VALUE"""),"Better HD Abusers")</f>
        <v>Better HD Abusers</v>
      </c>
      <c r="Q16" s="96" t="str">
        <f>IFERROR(__xludf.DUMMYFUNCTION("""COMPUTED_VALUE"""),"Mewo_")</f>
        <v>Mewo_</v>
      </c>
      <c r="R16" s="96"/>
      <c r="S16" s="96"/>
      <c r="T16" s="93"/>
      <c r="U16" s="97" t="str">
        <f>IFERROR(__xludf.DUMMYFUNCTION("""COMPUTED_VALUE"""),"https://osu.ppy.sh/community/matches/110087766")</f>
        <v>https://osu.ppy.sh/community/matches/110087766</v>
      </c>
      <c r="V16" s="76"/>
      <c r="W16" s="76"/>
      <c r="X16" s="73"/>
      <c r="Y16" s="75"/>
    </row>
    <row r="17" ht="18.75" customHeight="1">
      <c r="A17" s="75"/>
      <c r="B17" s="73"/>
      <c r="C17" s="73"/>
      <c r="D17" s="101"/>
      <c r="E17" s="102"/>
      <c r="F17" s="91"/>
      <c r="G17" s="92" t="s">
        <v>10</v>
      </c>
      <c r="H17" s="76"/>
      <c r="I17" s="76"/>
      <c r="J17" s="93">
        <f>IFERROR(__xludf.DUMMYFUNCTION("""COMPUTED_VALUE"""),6.0)</f>
        <v>6</v>
      </c>
      <c r="K17" s="94">
        <f>IFERROR(__xludf.DUMMYFUNCTION("""COMPUTED_VALUE"""),45158.0)</f>
        <v>45158</v>
      </c>
      <c r="L17" s="100">
        <f>IFERROR(__xludf.DUMMYFUNCTION("""COMPUTED_VALUE"""),0.041666666666666664)</f>
        <v>0.04166666667</v>
      </c>
      <c r="M17" s="96" t="str">
        <f>IFERROR(__xludf.DUMMYFUNCTION("""COMPUTED_VALUE"""),"cake")</f>
        <v>cake</v>
      </c>
      <c r="N17" s="93" t="str">
        <f>IFERROR(__xludf.DUMMYFUNCTION("""COMPUTED_VALUE"""),"5")</f>
        <v>5</v>
      </c>
      <c r="O17" s="93" t="str">
        <f>IFERROR(__xludf.DUMMYFUNCTION("""COMPUTED_VALUE"""),"1")</f>
        <v>1</v>
      </c>
      <c r="P17" s="93" t="str">
        <f>IFERROR(__xludf.DUMMYFUNCTION("""COMPUTED_VALUE"""),"equipe câo")</f>
        <v>equipe câo</v>
      </c>
      <c r="Q17" s="96" t="str">
        <f>IFERROR(__xludf.DUMMYFUNCTION("""COMPUTED_VALUE"""),"Emerald Ages")</f>
        <v>Emerald Ages</v>
      </c>
      <c r="R17" s="96"/>
      <c r="S17" s="96"/>
      <c r="T17" s="93"/>
      <c r="U17" s="97" t="str">
        <f>IFERROR(__xludf.DUMMYFUNCTION("""COMPUTED_VALUE"""),"https://osu.ppy.sh/community/matches/110076817")</f>
        <v>https://osu.ppy.sh/community/matches/110076817</v>
      </c>
      <c r="V17" s="76"/>
      <c r="W17" s="76"/>
      <c r="X17" s="73"/>
      <c r="Y17" s="75"/>
    </row>
    <row r="18" ht="18.75" customHeight="1">
      <c r="A18" s="75"/>
      <c r="B18" s="73"/>
      <c r="C18" s="73"/>
      <c r="D18" s="101"/>
      <c r="E18" s="102"/>
      <c r="F18" s="91"/>
      <c r="G18" s="92" t="s">
        <v>10</v>
      </c>
      <c r="H18" s="76"/>
      <c r="I18" s="76"/>
      <c r="J18" s="93">
        <f>IFERROR(__xludf.DUMMYFUNCTION("""COMPUTED_VALUE"""),7.0)</f>
        <v>7</v>
      </c>
      <c r="K18" s="94">
        <f>IFERROR(__xludf.DUMMYFUNCTION("""COMPUTED_VALUE"""),45157.0)</f>
        <v>45157</v>
      </c>
      <c r="L18" s="100">
        <f>IFERROR(__xludf.DUMMYFUNCTION("""COMPUTED_VALUE"""),0.5416666666666666)</f>
        <v>0.5416666667</v>
      </c>
      <c r="M18" s="96" t="str">
        <f>IFERROR(__xludf.DUMMYFUNCTION("""COMPUTED_VALUE"""),"female ass wrestling")</f>
        <v>female ass wrestling</v>
      </c>
      <c r="N18" s="93" t="str">
        <f>IFERROR(__xludf.DUMMYFUNCTION("""COMPUTED_VALUE"""),"5")</f>
        <v>5</v>
      </c>
      <c r="O18" s="93" t="str">
        <f>IFERROR(__xludf.DUMMYFUNCTION("""COMPUTED_VALUE"""),"1")</f>
        <v>1</v>
      </c>
      <c r="P18" s="93" t="str">
        <f>IFERROR(__xludf.DUMMYFUNCTION("""COMPUTED_VALUE"""),"BOCCHER")</f>
        <v>BOCCHER</v>
      </c>
      <c r="Q18" s="96" t="str">
        <f>IFERROR(__xludf.DUMMYFUNCTION("""COMPUTED_VALUE"""),"Pischok")</f>
        <v>Pischok</v>
      </c>
      <c r="R18" s="96"/>
      <c r="S18" s="96"/>
      <c r="T18" s="93"/>
      <c r="U18" s="97" t="str">
        <f>IFERROR(__xludf.DUMMYFUNCTION("""COMPUTED_VALUE"""),"https://osu.ppy.sh/mp/110067010")</f>
        <v>https://osu.ppy.sh/mp/110067010</v>
      </c>
      <c r="V18" s="76"/>
      <c r="W18" s="76"/>
      <c r="X18" s="73"/>
      <c r="Y18" s="75"/>
    </row>
    <row r="19" ht="18.75" customHeight="1">
      <c r="A19" s="75"/>
      <c r="B19" s="73"/>
      <c r="C19" s="73"/>
      <c r="D19" s="101"/>
      <c r="E19" s="102"/>
      <c r="F19" s="91"/>
      <c r="G19" s="92" t="s">
        <v>10</v>
      </c>
      <c r="H19" s="76"/>
      <c r="I19" s="76"/>
      <c r="J19" s="93">
        <f>IFERROR(__xludf.DUMMYFUNCTION("""COMPUTED_VALUE"""),8.0)</f>
        <v>8</v>
      </c>
      <c r="K19" s="94">
        <f>IFERROR(__xludf.DUMMYFUNCTION("""COMPUTED_VALUE"""),45157.0)</f>
        <v>45157</v>
      </c>
      <c r="L19" s="100">
        <f>IFERROR(__xludf.DUMMYFUNCTION("""COMPUTED_VALUE"""),0.5833333333333334)</f>
        <v>0.5833333333</v>
      </c>
      <c r="M19" s="96" t="str">
        <f>IFERROR(__xludf.DUMMYFUNCTION("""COMPUTED_VALUE"""),"Sightread Buff")</f>
        <v>Sightread Buff</v>
      </c>
      <c r="N19" s="93" t="str">
        <f>IFERROR(__xludf.DUMMYFUNCTION("""COMPUTED_VALUE"""),"2")</f>
        <v>2</v>
      </c>
      <c r="O19" s="93" t="str">
        <f>IFERROR(__xludf.DUMMYFUNCTION("""COMPUTED_VALUE"""),"5")</f>
        <v>5</v>
      </c>
      <c r="P19" s="93" t="str">
        <f>IFERROR(__xludf.DUMMYFUNCTION("""COMPUTED_VALUE"""),"VN+1")</f>
        <v>VN+1</v>
      </c>
      <c r="Q19" s="96" t="str">
        <f>IFERROR(__xludf.DUMMYFUNCTION("""COMPUTED_VALUE"""),"Gamillie")</f>
        <v>Gamillie</v>
      </c>
      <c r="R19" s="96"/>
      <c r="S19" s="96"/>
      <c r="T19" s="93"/>
      <c r="U19" s="97" t="str">
        <f>IFERROR(__xludf.DUMMYFUNCTION("""COMPUTED_VALUE"""),"https://osu.ppy.sh/mp/110067659")</f>
        <v>https://osu.ppy.sh/mp/110067659</v>
      </c>
      <c r="V19" s="76"/>
      <c r="W19" s="76"/>
      <c r="X19" s="73"/>
      <c r="Y19" s="75"/>
    </row>
    <row r="20" ht="18.75" customHeight="1">
      <c r="A20" s="75"/>
      <c r="B20" s="73"/>
      <c r="C20" s="73"/>
      <c r="D20" s="101"/>
      <c r="E20" s="102"/>
      <c r="F20" s="91"/>
      <c r="G20" s="92" t="s">
        <v>10</v>
      </c>
      <c r="H20" s="76"/>
      <c r="I20" s="76"/>
      <c r="J20" s="93">
        <f>IFERROR(__xludf.DUMMYFUNCTION("""COMPUTED_VALUE"""),9.0)</f>
        <v>9</v>
      </c>
      <c r="K20" s="94">
        <f>IFERROR(__xludf.DUMMYFUNCTION("""COMPUTED_VALUE"""),45158.0)</f>
        <v>45158</v>
      </c>
      <c r="L20" s="100">
        <f>IFERROR(__xludf.DUMMYFUNCTION("""COMPUTED_VALUE"""),0.125)</f>
        <v>0.125</v>
      </c>
      <c r="M20" s="96" t="str">
        <f>IFERROR(__xludf.DUMMYFUNCTION("""COMPUTED_VALUE"""),":MIPINGA:")</f>
        <v>:MIPINGA:</v>
      </c>
      <c r="N20" s="93" t="str">
        <f>IFERROR(__xludf.DUMMYFUNCTION("""COMPUTED_VALUE"""),"5")</f>
        <v>5</v>
      </c>
      <c r="O20" s="93" t="str">
        <f>IFERROR(__xludf.DUMMYFUNCTION("""COMPUTED_VALUE"""),"0")</f>
        <v>0</v>
      </c>
      <c r="P20" s="93" t="str">
        <f>IFERROR(__xludf.DUMMYFUNCTION("""COMPUTED_VALUE"""),"Beancurd")</f>
        <v>Beancurd</v>
      </c>
      <c r="Q20" s="96" t="str">
        <f>IFERROR(__xludf.DUMMYFUNCTION("""COMPUTED_VALUE"""),"play hd3")</f>
        <v>play hd3</v>
      </c>
      <c r="R20" s="96"/>
      <c r="S20" s="96"/>
      <c r="T20" s="93"/>
      <c r="U20" s="97" t="str">
        <f>IFERROR(__xludf.DUMMYFUNCTION("""COMPUTED_VALUE"""),"https://osu.ppy.sh/community/matches/110077688")</f>
        <v>https://osu.ppy.sh/community/matches/110077688</v>
      </c>
      <c r="V20" s="76"/>
      <c r="W20" s="76"/>
      <c r="X20" s="73"/>
      <c r="Y20" s="75"/>
    </row>
    <row r="21" ht="18.75" customHeight="1">
      <c r="A21" s="75"/>
      <c r="B21" s="73"/>
      <c r="C21" s="73"/>
      <c r="D21" s="101"/>
      <c r="E21" s="102"/>
      <c r="F21" s="91"/>
      <c r="G21" s="92" t="s">
        <v>10</v>
      </c>
      <c r="H21" s="76"/>
      <c r="I21" s="76"/>
      <c r="J21" s="93">
        <f>IFERROR(__xludf.DUMMYFUNCTION("""COMPUTED_VALUE"""),10.0)</f>
        <v>10</v>
      </c>
      <c r="K21" s="94">
        <f>IFERROR(__xludf.DUMMYFUNCTION("""COMPUTED_VALUE"""),45157.0)</f>
        <v>45157</v>
      </c>
      <c r="L21" s="100">
        <f>IFERROR(__xludf.DUMMYFUNCTION("""COMPUTED_VALUE"""),0.625)</f>
        <v>0.625</v>
      </c>
      <c r="M21" s="96" t="str">
        <f>IFERROR(__xludf.DUMMYFUNCTION("""COMPUTED_VALUE"""),"Dino Nuggies")</f>
        <v>Dino Nuggies</v>
      </c>
      <c r="N21" s="93" t="str">
        <f>IFERROR(__xludf.DUMMYFUNCTION("""COMPUTED_VALUE"""),"1")</f>
        <v>1</v>
      </c>
      <c r="O21" s="93" t="str">
        <f>IFERROR(__xludf.DUMMYFUNCTION("""COMPUTED_VALUE"""),"5")</f>
        <v>5</v>
      </c>
      <c r="P21" s="93" t="str">
        <f>IFERROR(__xludf.DUMMYFUNCTION("""COMPUTED_VALUE"""),"Chocomaid")</f>
        <v>Chocomaid</v>
      </c>
      <c r="Q21" s="96" t="str">
        <f>IFERROR(__xludf.DUMMYFUNCTION("""COMPUTED_VALUE"""),"Fuwub")</f>
        <v>Fuwub</v>
      </c>
      <c r="R21" s="96"/>
      <c r="S21" s="96"/>
      <c r="T21" s="93"/>
      <c r="U21" s="97" t="str">
        <f>IFERROR(__xludf.DUMMYFUNCTION("""COMPUTED_VALUE"""),"https://osu.ppy.sh/community/matches/110068687")</f>
        <v>https://osu.ppy.sh/community/matches/110068687</v>
      </c>
      <c r="V21" s="76"/>
      <c r="W21" s="76"/>
      <c r="X21" s="73"/>
      <c r="Y21" s="75"/>
    </row>
    <row r="22" ht="18.75" customHeight="1">
      <c r="A22" s="75"/>
      <c r="B22" s="73"/>
      <c r="C22" s="73"/>
      <c r="D22" s="101"/>
      <c r="E22" s="102"/>
      <c r="F22" s="91"/>
      <c r="G22" s="92" t="s">
        <v>10</v>
      </c>
      <c r="H22" s="76"/>
      <c r="I22" s="76"/>
      <c r="J22" s="93">
        <f>IFERROR(__xludf.DUMMYFUNCTION("""COMPUTED_VALUE"""),11.0)</f>
        <v>11</v>
      </c>
      <c r="K22" s="94">
        <f>IFERROR(__xludf.DUMMYFUNCTION("""COMPUTED_VALUE"""),45158.0)</f>
        <v>45158</v>
      </c>
      <c r="L22" s="100">
        <f>IFERROR(__xludf.DUMMYFUNCTION("""COMPUTED_VALUE"""),0.625)</f>
        <v>0.625</v>
      </c>
      <c r="M22" s="96" t="str">
        <f>IFERROR(__xludf.DUMMYFUNCTION("""COMPUTED_VALUE"""),"The Mat Munchers")</f>
        <v>The Mat Munchers</v>
      </c>
      <c r="N22" s="93" t="str">
        <f>IFERROR(__xludf.DUMMYFUNCTION("""COMPUTED_VALUE"""),"0")</f>
        <v>0</v>
      </c>
      <c r="O22" s="93" t="str">
        <f>IFERROR(__xludf.DUMMYFUNCTION("""COMPUTED_VALUE"""),"5")</f>
        <v>5</v>
      </c>
      <c r="P22" s="93" t="str">
        <f>IFERROR(__xludf.DUMMYFUNCTION("""COMPUTED_VALUE"""),"Team name pending xd")</f>
        <v>Team name pending xd</v>
      </c>
      <c r="Q22" s="96" t="str">
        <f>IFERROR(__xludf.DUMMYFUNCTION("""COMPUTED_VALUE"""),"Emerald Ages")</f>
        <v>Emerald Ages</v>
      </c>
      <c r="R22" s="96"/>
      <c r="S22" s="96"/>
      <c r="T22" s="93"/>
      <c r="U22" s="97" t="str">
        <f>IFERROR(__xludf.DUMMYFUNCTION("""COMPUTED_VALUE"""),"https://osu.ppy.sh/community/matches/110085247")</f>
        <v>https://osu.ppy.sh/community/matches/110085247</v>
      </c>
      <c r="V22" s="76"/>
      <c r="W22" s="76"/>
      <c r="X22" s="73"/>
      <c r="Y22" s="75"/>
    </row>
    <row r="23" ht="18.75" customHeight="1">
      <c r="A23" s="75"/>
      <c r="B23" s="73"/>
      <c r="C23" s="73"/>
      <c r="D23" s="101"/>
      <c r="E23" s="102"/>
      <c r="F23" s="91"/>
      <c r="G23" s="92" t="s">
        <v>10</v>
      </c>
      <c r="H23" s="76"/>
      <c r="I23" s="76"/>
      <c r="J23" s="93">
        <f>IFERROR(__xludf.DUMMYFUNCTION("""COMPUTED_VALUE"""),12.0)</f>
        <v>12</v>
      </c>
      <c r="K23" s="94">
        <f>IFERROR(__xludf.DUMMYFUNCTION("""COMPUTED_VALUE"""),45156.0)</f>
        <v>45156</v>
      </c>
      <c r="L23" s="100">
        <f>IFERROR(__xludf.DUMMYFUNCTION("""COMPUTED_VALUE"""),0.5833333333333334)</f>
        <v>0.5833333333</v>
      </c>
      <c r="M23" s="96" t="str">
        <f>IFERROR(__xludf.DUMMYFUNCTION("""COMPUTED_VALUE"""),"Ghost the Angel")</f>
        <v>Ghost the Angel</v>
      </c>
      <c r="N23" s="93" t="str">
        <f>IFERROR(__xludf.DUMMYFUNCTION("""COMPUTED_VALUE"""),"5")</f>
        <v>5</v>
      </c>
      <c r="O23" s="93" t="str">
        <f>IFERROR(__xludf.DUMMYFUNCTION("""COMPUTED_VALUE"""),"3")</f>
        <v>3</v>
      </c>
      <c r="P23" s="93" t="str">
        <f>IFERROR(__xludf.DUMMYFUNCTION("""COMPUTED_VALUE"""),"PES E9L9")</f>
        <v>PES E9L9</v>
      </c>
      <c r="Q23" s="96" t="str">
        <f>IFERROR(__xludf.DUMMYFUNCTION("""COMPUTED_VALUE"""),"Emerald Ages")</f>
        <v>Emerald Ages</v>
      </c>
      <c r="R23" s="96"/>
      <c r="S23" s="96"/>
      <c r="T23" s="93"/>
      <c r="U23" s="97" t="str">
        <f>IFERROR(__xludf.DUMMYFUNCTION("""COMPUTED_VALUE"""),"https://osu.ppy.sh/community/matches/110051882")</f>
        <v>https://osu.ppy.sh/community/matches/110051882</v>
      </c>
      <c r="V23" s="76"/>
      <c r="W23" s="76"/>
      <c r="X23" s="73"/>
      <c r="Y23" s="75"/>
    </row>
    <row r="24" ht="18.75" customHeight="1">
      <c r="A24" s="75"/>
      <c r="B24" s="73"/>
      <c r="C24" s="73"/>
      <c r="D24" s="101"/>
      <c r="E24" s="102"/>
      <c r="F24" s="91"/>
      <c r="G24" s="92" t="s">
        <v>10</v>
      </c>
      <c r="H24" s="76"/>
      <c r="I24" s="76"/>
      <c r="J24" s="93">
        <f>IFERROR(__xludf.DUMMYFUNCTION("""COMPUTED_VALUE"""),13.0)</f>
        <v>13</v>
      </c>
      <c r="K24" s="94">
        <f>IFERROR(__xludf.DUMMYFUNCTION("""COMPUTED_VALUE"""),45158.0)</f>
        <v>45158</v>
      </c>
      <c r="L24" s="100">
        <f>IFERROR(__xludf.DUMMYFUNCTION("""COMPUTED_VALUE"""),0.08333333333333333)</f>
        <v>0.08333333333</v>
      </c>
      <c r="M24" s="96" t="str">
        <f>IFERROR(__xludf.DUMMYFUNCTION("""COMPUTED_VALUE"""),"foxy1919191919's basement")</f>
        <v>foxy1919191919's basement</v>
      </c>
      <c r="N24" s="93" t="str">
        <f>IFERROR(__xludf.DUMMYFUNCTION("""COMPUTED_VALUE"""),"5")</f>
        <v>5</v>
      </c>
      <c r="O24" s="93" t="str">
        <f>IFERROR(__xludf.DUMMYFUNCTION("""COMPUTED_VALUE"""),"1")</f>
        <v>1</v>
      </c>
      <c r="P24" s="93" t="str">
        <f>IFERROR(__xludf.DUMMYFUNCTION("""COMPUTED_VALUE"""),"Here Forever")</f>
        <v>Here Forever</v>
      </c>
      <c r="Q24" s="96" t="str">
        <f>IFERROR(__xludf.DUMMYFUNCTION("""COMPUTED_VALUE"""),"BlooMertz")</f>
        <v>BlooMertz</v>
      </c>
      <c r="R24" s="96"/>
      <c r="S24" s="96"/>
      <c r="T24" s="93"/>
      <c r="U24" s="97" t="str">
        <f>IFERROR(__xludf.DUMMYFUNCTION("""COMPUTED_VALUE"""),"https://osu.ppy.sh/community/matches/110077387")</f>
        <v>https://osu.ppy.sh/community/matches/110077387</v>
      </c>
      <c r="V24" s="76"/>
      <c r="W24" s="76"/>
      <c r="X24" s="73"/>
      <c r="Y24" s="75"/>
    </row>
    <row r="25" ht="18.75" customHeight="1">
      <c r="A25" s="75"/>
      <c r="B25" s="73"/>
      <c r="C25" s="73"/>
      <c r="D25" s="103"/>
      <c r="E25" s="104"/>
      <c r="F25" s="91"/>
      <c r="G25" s="92" t="s">
        <v>10</v>
      </c>
      <c r="H25" s="76"/>
      <c r="I25" s="76"/>
      <c r="J25" s="93">
        <f>IFERROR(__xludf.DUMMYFUNCTION("""COMPUTED_VALUE"""),14.0)</f>
        <v>14</v>
      </c>
      <c r="K25" s="94">
        <f>IFERROR(__xludf.DUMMYFUNCTION("""COMPUTED_VALUE"""),45157.0)</f>
        <v>45157</v>
      </c>
      <c r="L25" s="100">
        <f>IFERROR(__xludf.DUMMYFUNCTION("""COMPUTED_VALUE"""),0.5833333333333334)</f>
        <v>0.5833333333</v>
      </c>
      <c r="M25" s="96" t="str">
        <f>IFERROR(__xludf.DUMMYFUNCTION("""COMPUTED_VALUE"""),"match in 15")</f>
        <v>match in 15</v>
      </c>
      <c r="N25" s="93" t="str">
        <f>IFERROR(__xludf.DUMMYFUNCTION("""COMPUTED_VALUE"""),"5")</f>
        <v>5</v>
      </c>
      <c r="O25" s="93" t="str">
        <f>IFERROR(__xludf.DUMMYFUNCTION("""COMPUTED_VALUE"""),"2")</f>
        <v>2</v>
      </c>
      <c r="P25" s="93" t="str">
        <f>IFERROR(__xludf.DUMMYFUNCTION("""COMPUTED_VALUE"""),"3000CombinedHours")</f>
        <v>3000CombinedHours</v>
      </c>
      <c r="Q25" s="96" t="str">
        <f>IFERROR(__xludf.DUMMYFUNCTION("""COMPUTED_VALUE"""),"Gamillie")</f>
        <v>Gamillie</v>
      </c>
      <c r="R25" s="96"/>
      <c r="S25" s="96"/>
      <c r="T25" s="93"/>
      <c r="U25" s="97" t="str">
        <f>IFERROR(__xludf.DUMMYFUNCTION("""COMPUTED_VALUE"""),"https://osu.ppy.sh/community/matches/110067582")</f>
        <v>https://osu.ppy.sh/community/matches/110067582</v>
      </c>
      <c r="V25" s="76"/>
      <c r="W25" s="76"/>
      <c r="X25" s="73"/>
      <c r="Y25" s="75"/>
    </row>
    <row r="26" ht="18.75" customHeight="1">
      <c r="A26" s="75"/>
      <c r="B26" s="73"/>
      <c r="C26" s="73"/>
      <c r="D26" s="105"/>
      <c r="E26" s="105"/>
      <c r="F26" s="91"/>
      <c r="G26" s="92" t="s">
        <v>10</v>
      </c>
      <c r="H26" s="76"/>
      <c r="I26" s="76"/>
      <c r="J26" s="93">
        <f>IFERROR(__xludf.DUMMYFUNCTION("""COMPUTED_VALUE"""),15.0)</f>
        <v>15</v>
      </c>
      <c r="K26" s="94">
        <f>IFERROR(__xludf.DUMMYFUNCTION("""COMPUTED_VALUE"""),45157.0)</f>
        <v>45157</v>
      </c>
      <c r="L26" s="100">
        <f>IFERROR(__xludf.DUMMYFUNCTION("""COMPUTED_VALUE"""),0.25)</f>
        <v>0.25</v>
      </c>
      <c r="M26" s="96" t="str">
        <f>IFERROR(__xludf.DUMMYFUNCTION("""COMPUTED_VALUE"""),"Tom and Jerry")</f>
        <v>Tom and Jerry</v>
      </c>
      <c r="N26" s="93" t="str">
        <f>IFERROR(__xludf.DUMMYFUNCTION("""COMPUTED_VALUE"""),"5")</f>
        <v>5</v>
      </c>
      <c r="O26" s="93" t="str">
        <f>IFERROR(__xludf.DUMMYFUNCTION("""COMPUTED_VALUE"""),"4")</f>
        <v>4</v>
      </c>
      <c r="P26" s="93" t="str">
        <f>IFERROR(__xludf.DUMMYFUNCTION("""COMPUTED_VALUE"""),"Lovers + 3rd wheel")</f>
        <v>Lovers + 3rd wheel</v>
      </c>
      <c r="Q26" s="96" t="str">
        <f>IFERROR(__xludf.DUMMYFUNCTION("""COMPUTED_VALUE"""),"Mewo_")</f>
        <v>Mewo_</v>
      </c>
      <c r="R26" s="96"/>
      <c r="S26" s="96"/>
      <c r="T26" s="93"/>
      <c r="U26" s="97" t="str">
        <f>IFERROR(__xludf.DUMMYFUNCTION("""COMPUTED_VALUE"""),"https://osu.ppy.sh/community/matches/110063252")</f>
        <v>https://osu.ppy.sh/community/matches/110063252</v>
      </c>
      <c r="V26" s="76"/>
      <c r="W26" s="76"/>
      <c r="X26" s="73"/>
      <c r="Y26" s="75"/>
    </row>
    <row r="27" ht="18.75" customHeight="1">
      <c r="A27" s="75"/>
      <c r="B27" s="73"/>
      <c r="C27" s="73"/>
      <c r="D27" s="105"/>
      <c r="E27" s="105"/>
      <c r="F27" s="91"/>
      <c r="G27" s="92" t="s">
        <v>10</v>
      </c>
      <c r="H27" s="76"/>
      <c r="I27" s="76"/>
      <c r="J27" s="93">
        <f>IFERROR(__xludf.DUMMYFUNCTION("""COMPUTED_VALUE"""),16.0)</f>
        <v>16</v>
      </c>
      <c r="K27" s="94">
        <f>IFERROR(__xludf.DUMMYFUNCTION("""COMPUTED_VALUE"""),45158.0)</f>
        <v>45158</v>
      </c>
      <c r="L27" s="100">
        <f>IFERROR(__xludf.DUMMYFUNCTION("""COMPUTED_VALUE"""),0.8125)</f>
        <v>0.8125</v>
      </c>
      <c r="M27" s="96" t="str">
        <f>IFERROR(__xludf.DUMMYFUNCTION("""COMPUTED_VALUE"""),"Faz o L")</f>
        <v>Faz o L</v>
      </c>
      <c r="N27" s="93" t="str">
        <f>IFERROR(__xludf.DUMMYFUNCTION("""COMPUTED_VALUE"""),"3")</f>
        <v>3</v>
      </c>
      <c r="O27" s="93" t="str">
        <f>IFERROR(__xludf.DUMMYFUNCTION("""COMPUTED_VALUE"""),"5")</f>
        <v>5</v>
      </c>
      <c r="P27" s="93" t="str">
        <f>IFERROR(__xludf.DUMMYFUNCTION("""COMPUTED_VALUE"""),"Kittens")</f>
        <v>Kittens</v>
      </c>
      <c r="Q27" s="96" t="str">
        <f>IFERROR(__xludf.DUMMYFUNCTION("""COMPUTED_VALUE"""),"-PeKoRa-")</f>
        <v>-PeKoRa-</v>
      </c>
      <c r="R27" s="96"/>
      <c r="S27" s="96"/>
      <c r="T27" s="93"/>
      <c r="U27" s="97" t="str">
        <f>IFERROR(__xludf.DUMMYFUNCTION("""COMPUTED_VALUE"""),"https://osu.ppy.sh/community/matches/110089262")</f>
        <v>https://osu.ppy.sh/community/matches/110089262</v>
      </c>
      <c r="V27" s="76"/>
      <c r="W27" s="76"/>
      <c r="X27" s="73"/>
      <c r="Y27" s="75"/>
    </row>
    <row r="28" ht="18.75" customHeight="1">
      <c r="A28" s="75"/>
      <c r="B28" s="73"/>
      <c r="C28" s="73"/>
      <c r="D28" s="106"/>
      <c r="E28" s="107"/>
      <c r="F28" s="91"/>
      <c r="G28" s="92" t="s">
        <v>10</v>
      </c>
      <c r="H28" s="76"/>
      <c r="I28" s="76"/>
      <c r="J28" s="108">
        <f>IFERROR(__xludf.DUMMYFUNCTION("""COMPUTED_VALUE"""),17.0)</f>
        <v>17</v>
      </c>
      <c r="K28" s="109">
        <f>IFERROR(__xludf.DUMMYFUNCTION("""COMPUTED_VALUE"""),45166.0)</f>
        <v>45166</v>
      </c>
      <c r="L28" s="110">
        <f>IFERROR(__xludf.DUMMYFUNCTION("""COMPUTED_VALUE"""),0.5416666666666666)</f>
        <v>0.5416666667</v>
      </c>
      <c r="M28" s="111" t="str">
        <f>IFERROR(__xludf.DUMMYFUNCTION("""COMPUTED_VALUE"""),"lowrank is my love")</f>
        <v>lowrank is my love</v>
      </c>
      <c r="N28" s="108" t="str">
        <f>IFERROR(__xludf.DUMMYFUNCTION("""COMPUTED_VALUE"""),"1")</f>
        <v>1</v>
      </c>
      <c r="O28" s="108" t="str">
        <f>IFERROR(__xludf.DUMMYFUNCTION("""COMPUTED_VALUE"""),"5")</f>
        <v>5</v>
      </c>
      <c r="P28" s="108" t="str">
        <f>IFERROR(__xludf.DUMMYFUNCTION("""COMPUTED_VALUE"""),"PLDT ANO NAAA")</f>
        <v>PLDT ANO NAAA</v>
      </c>
      <c r="Q28" s="111" t="str">
        <f>IFERROR(__xludf.DUMMYFUNCTION("""COMPUTED_VALUE"""),"Azasapag")</f>
        <v>Azasapag</v>
      </c>
      <c r="R28" s="111"/>
      <c r="S28" s="111"/>
      <c r="T28" s="108"/>
      <c r="U28" s="112" t="str">
        <f>IFERROR(__xludf.DUMMYFUNCTION("""COMPUTED_VALUE"""),"https://osu.ppy.sh/community/matches/110206456")</f>
        <v>https://osu.ppy.sh/community/matches/110206456</v>
      </c>
      <c r="V28" s="76"/>
      <c r="W28" s="76"/>
      <c r="X28" s="73"/>
      <c r="Y28" s="75"/>
    </row>
    <row r="29" ht="18.75" customHeight="1" outlineLevel="1">
      <c r="A29" s="75"/>
      <c r="B29" s="73"/>
      <c r="C29" s="73"/>
      <c r="D29" s="106"/>
      <c r="E29" s="113"/>
      <c r="F29" s="91"/>
      <c r="G29" s="92" t="s">
        <v>10</v>
      </c>
      <c r="H29" s="76"/>
      <c r="I29" s="76"/>
      <c r="J29" s="93">
        <f>IFERROR(__xludf.DUMMYFUNCTION("""COMPUTED_VALUE"""),18.0)</f>
        <v>18</v>
      </c>
      <c r="K29" s="94">
        <f>IFERROR(__xludf.DUMMYFUNCTION("""COMPUTED_VALUE"""),45164.0)</f>
        <v>45164</v>
      </c>
      <c r="L29" s="100">
        <f>IFERROR(__xludf.DUMMYFUNCTION("""COMPUTED_VALUE"""),0.75)</f>
        <v>0.75</v>
      </c>
      <c r="M29" s="96" t="str">
        <f>IFERROR(__xludf.DUMMYFUNCTION("""COMPUTED_VALUE"""),"The sleepers")</f>
        <v>The sleepers</v>
      </c>
      <c r="N29" s="93" t="str">
        <f>IFERROR(__xludf.DUMMYFUNCTION("""COMPUTED_VALUE"""),"5")</f>
        <v>5</v>
      </c>
      <c r="O29" s="93" t="str">
        <f>IFERROR(__xludf.DUMMYFUNCTION("""COMPUTED_VALUE"""),"2")</f>
        <v>2</v>
      </c>
      <c r="P29" s="93" t="str">
        <f>IFERROR(__xludf.DUMMYFUNCTION("""COMPUTED_VALUE"""),"Mewo My Waifu")</f>
        <v>Mewo My Waifu</v>
      </c>
      <c r="Q29" s="96" t="str">
        <f>IFERROR(__xludf.DUMMYFUNCTION("""COMPUTED_VALUE"""),"play hd3")</f>
        <v>play hd3</v>
      </c>
      <c r="R29" s="96"/>
      <c r="S29" s="96"/>
      <c r="T29" s="93"/>
      <c r="U29" s="97" t="str">
        <f>IFERROR(__xludf.DUMMYFUNCTION("""COMPUTED_VALUE"""),"https://osu.ppy.sh/community/matches/110178185")</f>
        <v>https://osu.ppy.sh/community/matches/110178185</v>
      </c>
      <c r="V29" s="76"/>
      <c r="W29" s="76"/>
      <c r="X29" s="73"/>
      <c r="Y29" s="75"/>
    </row>
    <row r="30" ht="18.75" customHeight="1" outlineLevel="1">
      <c r="A30" s="75"/>
      <c r="B30" s="73"/>
      <c r="C30" s="73"/>
      <c r="D30" s="114"/>
      <c r="E30" s="114"/>
      <c r="F30" s="91"/>
      <c r="G30" s="92" t="s">
        <v>10</v>
      </c>
      <c r="H30" s="76"/>
      <c r="I30" s="76"/>
      <c r="J30" s="93">
        <f>IFERROR(__xludf.DUMMYFUNCTION("""COMPUTED_VALUE"""),19.0)</f>
        <v>19</v>
      </c>
      <c r="K30" s="94">
        <f>IFERROR(__xludf.DUMMYFUNCTION("""COMPUTED_VALUE"""),45165.0)</f>
        <v>45165</v>
      </c>
      <c r="L30" s="100">
        <f>IFERROR(__xludf.DUMMYFUNCTION("""COMPUTED_VALUE"""),0.5416666666666666)</f>
        <v>0.5416666667</v>
      </c>
      <c r="M30" s="96" t="str">
        <f>IFERROR(__xludf.DUMMYFUNCTION("""COMPUTED_VALUE"""),"Better HD Abusers")</f>
        <v>Better HD Abusers</v>
      </c>
      <c r="N30" s="93" t="str">
        <f>IFERROR(__xludf.DUMMYFUNCTION("""COMPUTED_VALUE"""),"0")</f>
        <v>0</v>
      </c>
      <c r="O30" s="93" t="str">
        <f>IFERROR(__xludf.DUMMYFUNCTION("""COMPUTED_VALUE"""),"5")</f>
        <v>5</v>
      </c>
      <c r="P30" s="93" t="str">
        <f>IFERROR(__xludf.DUMMYFUNCTION("""COMPUTED_VALUE"""),"equipe câo")</f>
        <v>equipe câo</v>
      </c>
      <c r="Q30" s="96" t="str">
        <f>IFERROR(__xludf.DUMMYFUNCTION("""COMPUTED_VALUE"""),"reforna")</f>
        <v>reforna</v>
      </c>
      <c r="R30" s="96"/>
      <c r="S30" s="96"/>
      <c r="T30" s="93"/>
      <c r="U30" s="97" t="str">
        <f>IFERROR(__xludf.DUMMYFUNCTION("""COMPUTED_VALUE"""),"https://osu.ppy.sh/community/matches/110190490")</f>
        <v>https://osu.ppy.sh/community/matches/110190490</v>
      </c>
      <c r="V30" s="76"/>
      <c r="W30" s="76"/>
      <c r="X30" s="73"/>
      <c r="Y30" s="75"/>
    </row>
    <row r="31" ht="18.75" customHeight="1" outlineLevel="1">
      <c r="A31" s="75"/>
      <c r="B31" s="73"/>
      <c r="C31" s="73"/>
      <c r="D31" s="98" t="s">
        <v>49</v>
      </c>
      <c r="E31" s="99"/>
      <c r="F31" s="91"/>
      <c r="G31" s="92" t="s">
        <v>10</v>
      </c>
      <c r="H31" s="76"/>
      <c r="I31" s="76"/>
      <c r="J31" s="93">
        <f>IFERROR(__xludf.DUMMYFUNCTION("""COMPUTED_VALUE"""),20.0)</f>
        <v>20</v>
      </c>
      <c r="K31" s="94">
        <f>IFERROR(__xludf.DUMMYFUNCTION("""COMPUTED_VALUE"""),45165.0)</f>
        <v>45165</v>
      </c>
      <c r="L31" s="100">
        <f>IFERROR(__xludf.DUMMYFUNCTION("""COMPUTED_VALUE"""),0.75)</f>
        <v>0.75</v>
      </c>
      <c r="M31" s="96" t="str">
        <f>IFERROR(__xludf.DUMMYFUNCTION("""COMPUTED_VALUE"""),"BOCCHER")</f>
        <v>BOCCHER</v>
      </c>
      <c r="N31" s="93" t="str">
        <f>IFERROR(__xludf.DUMMYFUNCTION("""COMPUTED_VALUE"""),"1")</f>
        <v>1</v>
      </c>
      <c r="O31" s="93" t="str">
        <f>IFERROR(__xludf.DUMMYFUNCTION("""COMPUTED_VALUE"""),"5")</f>
        <v>5</v>
      </c>
      <c r="P31" s="93" t="str">
        <f>IFERROR(__xludf.DUMMYFUNCTION("""COMPUTED_VALUE"""),"Sightread Buff")</f>
        <v>Sightread Buff</v>
      </c>
      <c r="Q31" s="96" t="str">
        <f>IFERROR(__xludf.DUMMYFUNCTION("""COMPUTED_VALUE"""),"Ninja Mejster")</f>
        <v>Ninja Mejster</v>
      </c>
      <c r="R31" s="96"/>
      <c r="S31" s="96"/>
      <c r="T31" s="93"/>
      <c r="U31" s="97" t="str">
        <f>IFERROR(__xludf.DUMMYFUNCTION("""COMPUTED_VALUE"""),"https://osu.ppy.sh/community/matches/110194908")</f>
        <v>https://osu.ppy.sh/community/matches/110194908</v>
      </c>
      <c r="V31" s="76"/>
      <c r="W31" s="76"/>
      <c r="X31" s="73"/>
      <c r="Y31" s="75"/>
    </row>
    <row r="32" ht="18.75" customHeight="1" outlineLevel="1">
      <c r="A32" s="75"/>
      <c r="B32" s="73"/>
      <c r="C32" s="73"/>
      <c r="D32" s="101"/>
      <c r="E32" s="102"/>
      <c r="F32" s="91"/>
      <c r="G32" s="92" t="s">
        <v>10</v>
      </c>
      <c r="H32" s="76"/>
      <c r="I32" s="76"/>
      <c r="J32" s="93">
        <f>IFERROR(__xludf.DUMMYFUNCTION("""COMPUTED_VALUE"""),21.0)</f>
        <v>21</v>
      </c>
      <c r="K32" s="94">
        <f>IFERROR(__xludf.DUMMYFUNCTION("""COMPUTED_VALUE"""),45164.0)</f>
        <v>45164</v>
      </c>
      <c r="L32" s="100">
        <f>IFERROR(__xludf.DUMMYFUNCTION("""COMPUTED_VALUE"""),0.625)</f>
        <v>0.625</v>
      </c>
      <c r="M32" s="96" t="str">
        <f>IFERROR(__xludf.DUMMYFUNCTION("""COMPUTED_VALUE"""),"Beancurd")</f>
        <v>Beancurd</v>
      </c>
      <c r="N32" s="93" t="str">
        <f>IFERROR(__xludf.DUMMYFUNCTION("""COMPUTED_VALUE"""),"2")</f>
        <v>2</v>
      </c>
      <c r="O32" s="93" t="str">
        <f>IFERROR(__xludf.DUMMYFUNCTION("""COMPUTED_VALUE"""),"5")</f>
        <v>5</v>
      </c>
      <c r="P32" s="93" t="str">
        <f>IFERROR(__xludf.DUMMYFUNCTION("""COMPUTED_VALUE"""),"Dino Nuggies")</f>
        <v>Dino Nuggies</v>
      </c>
      <c r="Q32" s="96" t="str">
        <f>IFERROR(__xludf.DUMMYFUNCTION("""COMPUTED_VALUE"""),"reforna")</f>
        <v>reforna</v>
      </c>
      <c r="R32" s="96"/>
      <c r="S32" s="96"/>
      <c r="T32" s="93"/>
      <c r="U32" s="97" t="str">
        <f>IFERROR(__xludf.DUMMYFUNCTION("""COMPUTED_VALUE"""),"https://osu.ppy.sh/community/matches/110175433")</f>
        <v>https://osu.ppy.sh/community/matches/110175433</v>
      </c>
      <c r="V32" s="76"/>
      <c r="W32" s="76"/>
      <c r="X32" s="73"/>
      <c r="Y32" s="75"/>
    </row>
    <row r="33" ht="18.75" customHeight="1" outlineLevel="1">
      <c r="A33" s="75"/>
      <c r="B33" s="73"/>
      <c r="C33" s="73"/>
      <c r="D33" s="101"/>
      <c r="E33" s="102"/>
      <c r="F33" s="91"/>
      <c r="G33" s="92" t="s">
        <v>10</v>
      </c>
      <c r="H33" s="76"/>
      <c r="I33" s="76"/>
      <c r="J33" s="93">
        <f>IFERROR(__xludf.DUMMYFUNCTION("""COMPUTED_VALUE"""),22.0)</f>
        <v>22</v>
      </c>
      <c r="K33" s="94">
        <f>IFERROR(__xludf.DUMMYFUNCTION("""COMPUTED_VALUE"""),45164.0)</f>
        <v>45164</v>
      </c>
      <c r="L33" s="100">
        <f>IFERROR(__xludf.DUMMYFUNCTION("""COMPUTED_VALUE"""),0.5833333333333334)</f>
        <v>0.5833333333</v>
      </c>
      <c r="M33" s="96" t="str">
        <f>IFERROR(__xludf.DUMMYFUNCTION("""COMPUTED_VALUE"""),"The Mat Munchers")</f>
        <v>The Mat Munchers</v>
      </c>
      <c r="N33" s="93" t="str">
        <f>IFERROR(__xludf.DUMMYFUNCTION("""COMPUTED_VALUE"""),"2")</f>
        <v>2</v>
      </c>
      <c r="O33" s="93" t="str">
        <f>IFERROR(__xludf.DUMMYFUNCTION("""COMPUTED_VALUE"""),"5")</f>
        <v>5</v>
      </c>
      <c r="P33" s="93" t="str">
        <f>IFERROR(__xludf.DUMMYFUNCTION("""COMPUTED_VALUE"""),"PES E9L9")</f>
        <v>PES E9L9</v>
      </c>
      <c r="Q33" s="96" t="str">
        <f>IFERROR(__xludf.DUMMYFUNCTION("""COMPUTED_VALUE"""),"reforna")</f>
        <v>reforna</v>
      </c>
      <c r="R33" s="96"/>
      <c r="S33" s="96"/>
      <c r="T33" s="93"/>
      <c r="U33" s="97" t="str">
        <f>IFERROR(__xludf.DUMMYFUNCTION("""COMPUTED_VALUE"""),"https://osu.ppy.sh/community/matches/110174567")</f>
        <v>https://osu.ppy.sh/community/matches/110174567</v>
      </c>
      <c r="V33" s="76"/>
      <c r="W33" s="76"/>
      <c r="X33" s="73"/>
      <c r="Y33" s="75"/>
    </row>
    <row r="34" ht="18.75" customHeight="1" outlineLevel="1">
      <c r="A34" s="75"/>
      <c r="B34" s="73"/>
      <c r="C34" s="73"/>
      <c r="D34" s="101"/>
      <c r="E34" s="102"/>
      <c r="F34" s="91"/>
      <c r="G34" s="92" t="s">
        <v>10</v>
      </c>
      <c r="H34" s="76"/>
      <c r="I34" s="76"/>
      <c r="J34" s="93">
        <f>IFERROR(__xludf.DUMMYFUNCTION("""COMPUTED_VALUE"""),23.0)</f>
        <v>23</v>
      </c>
      <c r="K34" s="94">
        <f>IFERROR(__xludf.DUMMYFUNCTION("""COMPUTED_VALUE"""),45164.0)</f>
        <v>45164</v>
      </c>
      <c r="L34" s="100">
        <f>IFERROR(__xludf.DUMMYFUNCTION("""COMPUTED_VALUE"""),0.7083333333333334)</f>
        <v>0.7083333333</v>
      </c>
      <c r="M34" s="96" t="str">
        <f>IFERROR(__xludf.DUMMYFUNCTION("""COMPUTED_VALUE"""),"Here Forever")</f>
        <v>Here Forever</v>
      </c>
      <c r="N34" s="93" t="str">
        <f>IFERROR(__xludf.DUMMYFUNCTION("""COMPUTED_VALUE"""),"5")</f>
        <v>5</v>
      </c>
      <c r="O34" s="93" t="str">
        <f>IFERROR(__xludf.DUMMYFUNCTION("""COMPUTED_VALUE"""),"0")</f>
        <v>0</v>
      </c>
      <c r="P34" s="93" t="str">
        <f>IFERROR(__xludf.DUMMYFUNCTION("""COMPUTED_VALUE"""),"3000CombinedHours")</f>
        <v>3000CombinedHours</v>
      </c>
      <c r="Q34" s="96" t="str">
        <f>IFERROR(__xludf.DUMMYFUNCTION("""COMPUTED_VALUE"""),"play hd3")</f>
        <v>play hd3</v>
      </c>
      <c r="R34" s="96"/>
      <c r="S34" s="96"/>
      <c r="T34" s="93"/>
      <c r="U34" s="97" t="str">
        <f>IFERROR(__xludf.DUMMYFUNCTION("""COMPUTED_VALUE"""),"https://osu.ppy.sh/community/matches/110177686")</f>
        <v>https://osu.ppy.sh/community/matches/110177686</v>
      </c>
      <c r="V34" s="76"/>
      <c r="W34" s="76"/>
      <c r="X34" s="73"/>
      <c r="Y34" s="75"/>
    </row>
    <row r="35" ht="18.75" customHeight="1" outlineLevel="1">
      <c r="A35" s="75"/>
      <c r="B35" s="73"/>
      <c r="C35" s="73"/>
      <c r="D35" s="101"/>
      <c r="E35" s="102"/>
      <c r="F35" s="91"/>
      <c r="G35" s="92" t="s">
        <v>10</v>
      </c>
      <c r="H35" s="76"/>
      <c r="I35" s="76"/>
      <c r="J35" s="93">
        <f>IFERROR(__xludf.DUMMYFUNCTION("""COMPUTED_VALUE"""),24.0)</f>
        <v>24</v>
      </c>
      <c r="K35" s="94">
        <f>IFERROR(__xludf.DUMMYFUNCTION("""COMPUTED_VALUE"""),45165.0)</f>
        <v>45165</v>
      </c>
      <c r="L35" s="100">
        <f>IFERROR(__xludf.DUMMYFUNCTION("""COMPUTED_VALUE"""),0.16666666666666666)</f>
        <v>0.1666666667</v>
      </c>
      <c r="M35" s="96" t="str">
        <f>IFERROR(__xludf.DUMMYFUNCTION("""COMPUTED_VALUE"""),"Lovers + 3rd wheel")</f>
        <v>Lovers + 3rd wheel</v>
      </c>
      <c r="N35" s="93" t="str">
        <f>IFERROR(__xludf.DUMMYFUNCTION("""COMPUTED_VALUE"""),"2")</f>
        <v>2</v>
      </c>
      <c r="O35" s="93" t="str">
        <f>IFERROR(__xludf.DUMMYFUNCTION("""COMPUTED_VALUE"""),"5")</f>
        <v>5</v>
      </c>
      <c r="P35" s="93" t="str">
        <f>IFERROR(__xludf.DUMMYFUNCTION("""COMPUTED_VALUE"""),"Faz o L")</f>
        <v>Faz o L</v>
      </c>
      <c r="Q35" s="96"/>
      <c r="R35" s="96"/>
      <c r="S35" s="96"/>
      <c r="T35" s="93"/>
      <c r="U35" s="97" t="str">
        <f>IFERROR(__xludf.DUMMYFUNCTION("""COMPUTED_VALUE"""),"https://osu.ppy.sh/community/matches/110185577")</f>
        <v>https://osu.ppy.sh/community/matches/110185577</v>
      </c>
      <c r="V35" s="76"/>
      <c r="W35" s="76"/>
      <c r="X35" s="73"/>
      <c r="Y35" s="75"/>
    </row>
    <row r="36" ht="18.75" customHeight="1" outlineLevel="1">
      <c r="A36" s="75"/>
      <c r="B36" s="73"/>
      <c r="C36" s="73"/>
      <c r="D36" s="101"/>
      <c r="E36" s="102"/>
      <c r="F36" s="91"/>
      <c r="G36" s="92" t="s">
        <v>10</v>
      </c>
      <c r="H36" s="76"/>
      <c r="I36" s="76"/>
      <c r="J36" s="115">
        <f>IFERROR(__xludf.DUMMYFUNCTION("""COMPUTED_VALUE"""),25.0)</f>
        <v>25</v>
      </c>
      <c r="K36" s="116">
        <f>IFERROR(__xludf.DUMMYFUNCTION("""COMPUTED_VALUE"""),45165.0)</f>
        <v>45165</v>
      </c>
      <c r="L36" s="117">
        <f>IFERROR(__xludf.DUMMYFUNCTION("""COMPUTED_VALUE"""),0.5416666666666666)</f>
        <v>0.5416666667</v>
      </c>
      <c r="M36" s="118" t="str">
        <f>IFERROR(__xludf.DUMMYFUNCTION("""COMPUTED_VALUE"""),"small wiener club")</f>
        <v>small wiener club</v>
      </c>
      <c r="N36" s="115" t="str">
        <f>IFERROR(__xludf.DUMMYFUNCTION("""COMPUTED_VALUE"""),"5")</f>
        <v>5</v>
      </c>
      <c r="O36" s="115" t="str">
        <f>IFERROR(__xludf.DUMMYFUNCTION("""COMPUTED_VALUE"""),"3")</f>
        <v>3</v>
      </c>
      <c r="P36" s="115" t="str">
        <f>IFERROR(__xludf.DUMMYFUNCTION("""COMPUTED_VALUE"""),"middle-schooler wife")</f>
        <v>middle-schooler wife</v>
      </c>
      <c r="Q36" s="118" t="str">
        <f>IFERROR(__xludf.DUMMYFUNCTION("""COMPUTED_VALUE"""),"reforna")</f>
        <v>reforna</v>
      </c>
      <c r="R36" s="118"/>
      <c r="S36" s="118"/>
      <c r="T36" s="115"/>
      <c r="U36" s="119" t="str">
        <f>IFERROR(__xludf.DUMMYFUNCTION("""COMPUTED_VALUE"""),"https://osu.ppy.sh/community/matches/110190477")</f>
        <v>https://osu.ppy.sh/community/matches/110190477</v>
      </c>
      <c r="V36" s="76"/>
      <c r="W36" s="76"/>
      <c r="X36" s="73"/>
      <c r="Y36" s="75"/>
    </row>
    <row r="37" ht="18.75" customHeight="1" outlineLevel="1">
      <c r="A37" s="75"/>
      <c r="B37" s="73"/>
      <c r="C37" s="73"/>
      <c r="D37" s="101"/>
      <c r="E37" s="102"/>
      <c r="F37" s="91"/>
      <c r="G37" s="120"/>
      <c r="H37" s="76"/>
      <c r="I37" s="76"/>
      <c r="J37" s="93">
        <f>IFERROR(__xludf.DUMMYFUNCTION("""COMPUTED_VALUE"""),26.0)</f>
        <v>26</v>
      </c>
      <c r="K37" s="94">
        <f>IFERROR(__xludf.DUMMYFUNCTION("""COMPUTED_VALUE"""),45164.0)</f>
        <v>45164</v>
      </c>
      <c r="L37" s="100">
        <f>IFERROR(__xludf.DUMMYFUNCTION("""COMPUTED_VALUE"""),0.6666666666666666)</f>
        <v>0.6666666667</v>
      </c>
      <c r="M37" s="96" t="str">
        <f>IFERROR(__xludf.DUMMYFUNCTION("""COMPUTED_VALUE"""),"The 3-star Threats")</f>
        <v>The 3-star Threats</v>
      </c>
      <c r="N37" s="93" t="str">
        <f>IFERROR(__xludf.DUMMYFUNCTION("""COMPUTED_VALUE"""),"1")</f>
        <v>1</v>
      </c>
      <c r="O37" s="93" t="str">
        <f>IFERROR(__xludf.DUMMYFUNCTION("""COMPUTED_VALUE"""),"5")</f>
        <v>5</v>
      </c>
      <c r="P37" s="93" t="str">
        <f>IFERROR(__xludf.DUMMYFUNCTION("""COMPUTED_VALUE"""),"placeholder teamname")</f>
        <v>placeholder teamname</v>
      </c>
      <c r="Q37" s="96" t="str">
        <f>IFERROR(__xludf.DUMMYFUNCTION("""COMPUTED_VALUE"""),"reforna")</f>
        <v>reforna</v>
      </c>
      <c r="R37" s="96"/>
      <c r="S37" s="96"/>
      <c r="T37" s="93"/>
      <c r="U37" s="97" t="str">
        <f>IFERROR(__xludf.DUMMYFUNCTION("""COMPUTED_VALUE"""),"https://osu.ppy.sh/community/matches/110176380")</f>
        <v>https://osu.ppy.sh/community/matches/110176380</v>
      </c>
      <c r="V37" s="76"/>
      <c r="W37" s="76"/>
      <c r="X37" s="73"/>
      <c r="Y37" s="75"/>
    </row>
    <row r="38" ht="18.75" customHeight="1" outlineLevel="1">
      <c r="A38" s="75"/>
      <c r="B38" s="73"/>
      <c r="C38" s="73"/>
      <c r="D38" s="101"/>
      <c r="E38" s="102"/>
      <c r="F38" s="91"/>
      <c r="G38" s="120"/>
      <c r="H38" s="76"/>
      <c r="I38" s="76"/>
      <c r="J38" s="93">
        <f>IFERROR(__xludf.DUMMYFUNCTION("""COMPUTED_VALUE"""),27.0)</f>
        <v>27</v>
      </c>
      <c r="K38" s="94">
        <f>IFERROR(__xludf.DUMMYFUNCTION("""COMPUTED_VALUE"""),45164.0)</f>
        <v>45164</v>
      </c>
      <c r="L38" s="100">
        <f>IFERROR(__xludf.DUMMYFUNCTION("""COMPUTED_VALUE"""),0.7916666666666666)</f>
        <v>0.7916666667</v>
      </c>
      <c r="M38" s="96" t="str">
        <f>IFERROR(__xludf.DUMMYFUNCTION("""COMPUTED_VALUE"""),"Homossexual Students")</f>
        <v>Homossexual Students</v>
      </c>
      <c r="N38" s="93" t="str">
        <f>IFERROR(__xludf.DUMMYFUNCTION("""COMPUTED_VALUE"""),"5")</f>
        <v>5</v>
      </c>
      <c r="O38" s="93" t="str">
        <f>IFERROR(__xludf.DUMMYFUNCTION("""COMPUTED_VALUE"""),"4")</f>
        <v>4</v>
      </c>
      <c r="P38" s="93" t="str">
        <f>IFERROR(__xludf.DUMMYFUNCTION("""COMPUTED_VALUE"""),"cake")</f>
        <v>cake</v>
      </c>
      <c r="Q38" s="96" t="str">
        <f>IFERROR(__xludf.DUMMYFUNCTION("""COMPUTED_VALUE"""),"play hd3")</f>
        <v>play hd3</v>
      </c>
      <c r="R38" s="96"/>
      <c r="S38" s="96"/>
      <c r="T38" s="93"/>
      <c r="U38" s="97" t="str">
        <f>IFERROR(__xludf.DUMMYFUNCTION("""COMPUTED_VALUE"""),"https://osu.ppy.sh/community/matches/110179406")</f>
        <v>https://osu.ppy.sh/community/matches/110179406</v>
      </c>
      <c r="V38" s="76"/>
      <c r="W38" s="76"/>
      <c r="X38" s="73"/>
      <c r="Y38" s="75"/>
    </row>
    <row r="39" ht="18.75" customHeight="1" outlineLevel="1">
      <c r="A39" s="75"/>
      <c r="B39" s="73"/>
      <c r="C39" s="73"/>
      <c r="D39" s="101"/>
      <c r="E39" s="102"/>
      <c r="F39" s="91"/>
      <c r="G39" s="120"/>
      <c r="H39" s="76"/>
      <c r="I39" s="76"/>
      <c r="J39" s="93">
        <f>IFERROR(__xludf.DUMMYFUNCTION("""COMPUTED_VALUE"""),28.0)</f>
        <v>28</v>
      </c>
      <c r="K39" s="94">
        <f>IFERROR(__xludf.DUMMYFUNCTION("""COMPUTED_VALUE"""),45165.0)</f>
        <v>45165</v>
      </c>
      <c r="L39" s="100">
        <f>IFERROR(__xludf.DUMMYFUNCTION("""COMPUTED_VALUE"""),0.5833333333333334)</f>
        <v>0.5833333333</v>
      </c>
      <c r="M39" s="96" t="str">
        <f>IFERROR(__xludf.DUMMYFUNCTION("""COMPUTED_VALUE"""),"female ass wrestling")</f>
        <v>female ass wrestling</v>
      </c>
      <c r="N39" s="93" t="str">
        <f>IFERROR(__xludf.DUMMYFUNCTION("""COMPUTED_VALUE"""),"5")</f>
        <v>5</v>
      </c>
      <c r="O39" s="93" t="str">
        <f>IFERROR(__xludf.DUMMYFUNCTION("""COMPUTED_VALUE"""),"1")</f>
        <v>1</v>
      </c>
      <c r="P39" s="93" t="str">
        <f>IFERROR(__xludf.DUMMYFUNCTION("""COMPUTED_VALUE"""),"VN+1")</f>
        <v>VN+1</v>
      </c>
      <c r="Q39" s="96" t="str">
        <f>IFERROR(__xludf.DUMMYFUNCTION("""COMPUTED_VALUE"""),"RudderFish07")</f>
        <v>RudderFish07</v>
      </c>
      <c r="R39" s="96"/>
      <c r="S39" s="96"/>
      <c r="T39" s="93"/>
      <c r="U39" s="97" t="str">
        <f>IFERROR(__xludf.DUMMYFUNCTION("""COMPUTED_VALUE"""),"https://osu.ppy.sh/community/matches/110191205")</f>
        <v>https://osu.ppy.sh/community/matches/110191205</v>
      </c>
      <c r="V39" s="76"/>
      <c r="W39" s="76"/>
      <c r="X39" s="73"/>
      <c r="Y39" s="75"/>
    </row>
    <row r="40" ht="18.75" customHeight="1" outlineLevel="1">
      <c r="A40" s="75"/>
      <c r="B40" s="73"/>
      <c r="C40" s="73"/>
      <c r="D40" s="101"/>
      <c r="E40" s="102"/>
      <c r="F40" s="91"/>
      <c r="G40" s="120"/>
      <c r="H40" s="76"/>
      <c r="I40" s="76"/>
      <c r="J40" s="93">
        <f>IFERROR(__xludf.DUMMYFUNCTION("""COMPUTED_VALUE"""),29.0)</f>
        <v>29</v>
      </c>
      <c r="K40" s="94">
        <f>IFERROR(__xludf.DUMMYFUNCTION("""COMPUTED_VALUE"""),45165.0)</f>
        <v>45165</v>
      </c>
      <c r="L40" s="100">
        <f>IFERROR(__xludf.DUMMYFUNCTION("""COMPUTED_VALUE"""),0.10416666666666667)</f>
        <v>0.1041666667</v>
      </c>
      <c r="M40" s="96" t="str">
        <f>IFERROR(__xludf.DUMMYFUNCTION("""COMPUTED_VALUE"""),":MIPINGA:")</f>
        <v>:MIPINGA:</v>
      </c>
      <c r="N40" s="93" t="str">
        <f>IFERROR(__xludf.DUMMYFUNCTION("""COMPUTED_VALUE"""),"5")</f>
        <v>5</v>
      </c>
      <c r="O40" s="93" t="str">
        <f>IFERROR(__xludf.DUMMYFUNCTION("""COMPUTED_VALUE"""),"1")</f>
        <v>1</v>
      </c>
      <c r="P40" s="93" t="str">
        <f>IFERROR(__xludf.DUMMYFUNCTION("""COMPUTED_VALUE"""),"Chocomaid")</f>
        <v>Chocomaid</v>
      </c>
      <c r="Q40" s="96" t="str">
        <f>IFERROR(__xludf.DUMMYFUNCTION("""COMPUTED_VALUE"""),"play hd3")</f>
        <v>play hd3</v>
      </c>
      <c r="R40" s="96"/>
      <c r="S40" s="96"/>
      <c r="T40" s="93"/>
      <c r="U40" s="97" t="str">
        <f>IFERROR(__xludf.DUMMYFUNCTION("""COMPUTED_VALUE"""),"https://osu.ppy.sh/community/matches/110184531")</f>
        <v>https://osu.ppy.sh/community/matches/110184531</v>
      </c>
      <c r="V40" s="76"/>
      <c r="W40" s="76"/>
      <c r="X40" s="73"/>
      <c r="Y40" s="75"/>
    </row>
    <row r="41" ht="18.75" customHeight="1" outlineLevel="1">
      <c r="A41" s="75"/>
      <c r="B41" s="73"/>
      <c r="C41" s="73"/>
      <c r="D41" s="101"/>
      <c r="E41" s="102"/>
      <c r="F41" s="91"/>
      <c r="G41" s="120"/>
      <c r="H41" s="76"/>
      <c r="I41" s="76"/>
      <c r="J41" s="93">
        <f>IFERROR(__xludf.DUMMYFUNCTION("""COMPUTED_VALUE"""),30.0)</f>
        <v>30</v>
      </c>
      <c r="K41" s="94">
        <f>IFERROR(__xludf.DUMMYFUNCTION("""COMPUTED_VALUE"""),45163.0)</f>
        <v>45163</v>
      </c>
      <c r="L41" s="100">
        <f>IFERROR(__xludf.DUMMYFUNCTION("""COMPUTED_VALUE"""),0.5416666666666666)</f>
        <v>0.5416666667</v>
      </c>
      <c r="M41" s="96" t="str">
        <f>IFERROR(__xludf.DUMMYFUNCTION("""COMPUTED_VALUE"""),"Team name pending xd")</f>
        <v>Team name pending xd</v>
      </c>
      <c r="N41" s="93" t="str">
        <f>IFERROR(__xludf.DUMMYFUNCTION("""COMPUTED_VALUE"""),"2")</f>
        <v>2</v>
      </c>
      <c r="O41" s="93" t="str">
        <f>IFERROR(__xludf.DUMMYFUNCTION("""COMPUTED_VALUE"""),"5")</f>
        <v>5</v>
      </c>
      <c r="P41" s="93" t="str">
        <f>IFERROR(__xludf.DUMMYFUNCTION("""COMPUTED_VALUE"""),"Ghost the Angel")</f>
        <v>Ghost the Angel</v>
      </c>
      <c r="Q41" s="96" t="str">
        <f>IFERROR(__xludf.DUMMYFUNCTION("""COMPUTED_VALUE"""),"Lunexia")</f>
        <v>Lunexia</v>
      </c>
      <c r="R41" s="96"/>
      <c r="S41" s="96"/>
      <c r="T41" s="93"/>
      <c r="U41" s="97" t="str">
        <f>IFERROR(__xludf.DUMMYFUNCTION("""COMPUTED_VALUE"""),"https://osu.ppy.sh/community/matches/110157424")</f>
        <v>https://osu.ppy.sh/community/matches/110157424</v>
      </c>
      <c r="V41" s="76"/>
      <c r="W41" s="76"/>
      <c r="X41" s="73"/>
      <c r="Y41" s="75"/>
    </row>
    <row r="42" ht="18.75" customHeight="1" outlineLevel="1">
      <c r="A42" s="75"/>
      <c r="B42" s="73"/>
      <c r="C42" s="73"/>
      <c r="D42" s="103"/>
      <c r="E42" s="104"/>
      <c r="F42" s="91"/>
      <c r="G42" s="120"/>
      <c r="H42" s="76"/>
      <c r="I42" s="76"/>
      <c r="J42" s="93">
        <f>IFERROR(__xludf.DUMMYFUNCTION("""COMPUTED_VALUE"""),31.0)</f>
        <v>31</v>
      </c>
      <c r="K42" s="94">
        <f>IFERROR(__xludf.DUMMYFUNCTION("""COMPUTED_VALUE"""),45163.0)</f>
        <v>45163</v>
      </c>
      <c r="L42" s="100">
        <f>IFERROR(__xludf.DUMMYFUNCTION("""COMPUTED_VALUE"""),0.4583333333333333)</f>
        <v>0.4583333333</v>
      </c>
      <c r="M42" s="96" t="str">
        <f>IFERROR(__xludf.DUMMYFUNCTION("""COMPUTED_VALUE"""),"foxy1919191919's basement")</f>
        <v>foxy1919191919's basement</v>
      </c>
      <c r="N42" s="93" t="str">
        <f>IFERROR(__xludf.DUMMYFUNCTION("""COMPUTED_VALUE"""),"2")</f>
        <v>2</v>
      </c>
      <c r="O42" s="93" t="str">
        <f>IFERROR(__xludf.DUMMYFUNCTION("""COMPUTED_VALUE"""),"5")</f>
        <v>5</v>
      </c>
      <c r="P42" s="93" t="str">
        <f>IFERROR(__xludf.DUMMYFUNCTION("""COMPUTED_VALUE"""),"match in 15")</f>
        <v>match in 15</v>
      </c>
      <c r="Q42" s="96" t="str">
        <f>IFERROR(__xludf.DUMMYFUNCTION("""COMPUTED_VALUE"""),"Azasapag")</f>
        <v>Azasapag</v>
      </c>
      <c r="R42" s="96"/>
      <c r="S42" s="96"/>
      <c r="T42" s="93"/>
      <c r="U42" s="97" t="str">
        <f>IFERROR(__xludf.DUMMYFUNCTION("""COMPUTED_VALUE"""),"https://osu.ppy.sh/community/matches/110156344")</f>
        <v>https://osu.ppy.sh/community/matches/110156344</v>
      </c>
      <c r="V42" s="76"/>
      <c r="W42" s="76"/>
      <c r="X42" s="73"/>
      <c r="Y42" s="75"/>
    </row>
    <row r="43" ht="18.75" customHeight="1" outlineLevel="1">
      <c r="A43" s="75"/>
      <c r="B43" s="73"/>
      <c r="C43" s="73"/>
      <c r="D43" s="114"/>
      <c r="E43" s="114"/>
      <c r="F43" s="91"/>
      <c r="G43" s="120"/>
      <c r="H43" s="76"/>
      <c r="I43" s="76"/>
      <c r="J43" s="93">
        <f>IFERROR(__xludf.DUMMYFUNCTION("""COMPUTED_VALUE"""),32.0)</f>
        <v>32</v>
      </c>
      <c r="K43" s="94">
        <f>IFERROR(__xludf.DUMMYFUNCTION("""COMPUTED_VALUE"""),45164.0)</f>
        <v>45164</v>
      </c>
      <c r="L43" s="100">
        <f>IFERROR(__xludf.DUMMYFUNCTION("""COMPUTED_VALUE"""),0.5833333333333334)</f>
        <v>0.5833333333</v>
      </c>
      <c r="M43" s="96" t="str">
        <f>IFERROR(__xludf.DUMMYFUNCTION("""COMPUTED_VALUE"""),"Tom and Jerry")</f>
        <v>Tom and Jerry</v>
      </c>
      <c r="N43" s="93" t="str">
        <f>IFERROR(__xludf.DUMMYFUNCTION("""COMPUTED_VALUE"""),"5")</f>
        <v>5</v>
      </c>
      <c r="O43" s="93" t="str">
        <f>IFERROR(__xludf.DUMMYFUNCTION("""COMPUTED_VALUE"""),"3")</f>
        <v>3</v>
      </c>
      <c r="P43" s="93" t="str">
        <f>IFERROR(__xludf.DUMMYFUNCTION("""COMPUTED_VALUE"""),"Kittens")</f>
        <v>Kittens</v>
      </c>
      <c r="Q43" s="96" t="str">
        <f>IFERROR(__xludf.DUMMYFUNCTION("""COMPUTED_VALUE"""),"reforna")</f>
        <v>reforna</v>
      </c>
      <c r="R43" s="96"/>
      <c r="S43" s="96"/>
      <c r="T43" s="93"/>
      <c r="U43" s="97" t="str">
        <f>IFERROR(__xludf.DUMMYFUNCTION("""COMPUTED_VALUE"""),"https://osu.ppy.sh/community/matches/110174570")</f>
        <v>https://osu.ppy.sh/community/matches/110174570</v>
      </c>
      <c r="V43" s="76"/>
      <c r="W43" s="76"/>
      <c r="X43" s="73"/>
      <c r="Y43" s="75"/>
    </row>
    <row r="44" ht="18.75" customHeight="1" outlineLevel="1">
      <c r="A44" s="75"/>
      <c r="B44" s="73"/>
      <c r="C44" s="73"/>
      <c r="D44" s="106"/>
      <c r="E44" s="113"/>
      <c r="F44" s="91"/>
      <c r="G44" s="120"/>
      <c r="H44" s="76"/>
      <c r="I44" s="76"/>
      <c r="J44" s="108">
        <f>IFERROR(__xludf.DUMMYFUNCTION("""COMPUTED_VALUE"""),33.0)</f>
        <v>33</v>
      </c>
      <c r="K44" s="109">
        <f>IFERROR(__xludf.DUMMYFUNCTION("""COMPUTED_VALUE"""),45172.0)</f>
        <v>45172</v>
      </c>
      <c r="L44" s="121">
        <f>IFERROR(__xludf.DUMMYFUNCTION("""COMPUTED_VALUE"""),0.5833333333333334)</f>
        <v>0.5833333333</v>
      </c>
      <c r="M44" s="111" t="str">
        <f>IFERROR(__xludf.DUMMYFUNCTION("""COMPUTED_VALUE"""),"middle-schooler wife")</f>
        <v>middle-schooler wife</v>
      </c>
      <c r="N44" s="108" t="str">
        <f>IFERROR(__xludf.DUMMYFUNCTION("""COMPUTED_VALUE"""),"6")</f>
        <v>6</v>
      </c>
      <c r="O44" s="108" t="str">
        <f>IFERROR(__xludf.DUMMYFUNCTION("""COMPUTED_VALUE"""),"2")</f>
        <v>2</v>
      </c>
      <c r="P44" s="108" t="str">
        <f>IFERROR(__xludf.DUMMYFUNCTION("""COMPUTED_VALUE"""),"Faz o L")</f>
        <v>Faz o L</v>
      </c>
      <c r="Q44" s="111"/>
      <c r="R44" s="111"/>
      <c r="S44" s="111"/>
      <c r="T44" s="108"/>
      <c r="U44" s="112" t="str">
        <f>IFERROR(__xludf.DUMMYFUNCTION("""COMPUTED_VALUE"""),"https://osu.ppy.sh/community/matches/110301082")</f>
        <v>https://osu.ppy.sh/community/matches/110301082</v>
      </c>
      <c r="V44" s="76"/>
      <c r="W44" s="76"/>
      <c r="X44" s="73"/>
      <c r="Y44" s="75"/>
    </row>
    <row r="45" ht="18.75" customHeight="1" outlineLevel="1">
      <c r="A45" s="75"/>
      <c r="B45" s="73"/>
      <c r="C45" s="73"/>
      <c r="D45" s="113"/>
      <c r="E45" s="113"/>
      <c r="F45" s="76"/>
      <c r="G45" s="92" t="s">
        <v>10</v>
      </c>
      <c r="H45" s="76"/>
      <c r="I45" s="76"/>
      <c r="J45" s="93">
        <f>IFERROR(__xludf.DUMMYFUNCTION("""COMPUTED_VALUE"""),34.0)</f>
        <v>34</v>
      </c>
      <c r="K45" s="94">
        <f>IFERROR(__xludf.DUMMYFUNCTION("""COMPUTED_VALUE"""),45171.0)</f>
        <v>45171</v>
      </c>
      <c r="L45" s="122">
        <f>IFERROR(__xludf.DUMMYFUNCTION("""COMPUTED_VALUE"""),0.9583333333333334)</f>
        <v>0.9583333333</v>
      </c>
      <c r="M45" s="96" t="str">
        <f>IFERROR(__xludf.DUMMYFUNCTION("""COMPUTED_VALUE"""),"The 3-star Threats")</f>
        <v>The 3-star Threats</v>
      </c>
      <c r="N45" s="93" t="str">
        <f>IFERROR(__xludf.DUMMYFUNCTION("""COMPUTED_VALUE"""),"6")</f>
        <v>6</v>
      </c>
      <c r="O45" s="93" t="str">
        <f>IFERROR(__xludf.DUMMYFUNCTION("""COMPUTED_VALUE"""),"3")</f>
        <v>3</v>
      </c>
      <c r="P45" s="93" t="str">
        <f>IFERROR(__xludf.DUMMYFUNCTION("""COMPUTED_VALUE"""),"Here Forever")</f>
        <v>Here Forever</v>
      </c>
      <c r="Q45" s="96" t="str">
        <f>IFERROR(__xludf.DUMMYFUNCTION("""COMPUTED_VALUE"""),"play hd3")</f>
        <v>play hd3</v>
      </c>
      <c r="R45" s="96"/>
      <c r="S45" s="96"/>
      <c r="T45" s="93"/>
      <c r="U45" s="97" t="str">
        <f>IFERROR(__xludf.DUMMYFUNCTION("""COMPUTED_VALUE"""),"https://osu.ppy.sh/community/matches/110291479")</f>
        <v>https://osu.ppy.sh/community/matches/110291479</v>
      </c>
      <c r="V45" s="76"/>
      <c r="W45" s="76"/>
      <c r="X45" s="73"/>
      <c r="Y45" s="75"/>
    </row>
    <row r="46" ht="18.75" customHeight="1" outlineLevel="1">
      <c r="A46" s="75"/>
      <c r="B46" s="73"/>
      <c r="C46" s="73"/>
      <c r="D46" s="123"/>
      <c r="E46" s="123"/>
      <c r="F46" s="76"/>
      <c r="G46" s="92" t="s">
        <v>10</v>
      </c>
      <c r="H46" s="76"/>
      <c r="I46" s="76"/>
      <c r="J46" s="93">
        <f>IFERROR(__xludf.DUMMYFUNCTION("""COMPUTED_VALUE"""),35.0)</f>
        <v>35</v>
      </c>
      <c r="K46" s="94">
        <f>IFERROR(__xludf.DUMMYFUNCTION("""COMPUTED_VALUE"""),45172.0)</f>
        <v>45172</v>
      </c>
      <c r="L46" s="122">
        <f>IFERROR(__xludf.DUMMYFUNCTION("""COMPUTED_VALUE"""),0.6041666666666666)</f>
        <v>0.6041666667</v>
      </c>
      <c r="M46" s="96" t="str">
        <f>IFERROR(__xludf.DUMMYFUNCTION("""COMPUTED_VALUE"""),"cake")</f>
        <v>cake</v>
      </c>
      <c r="N46" s="93" t="str">
        <f>IFERROR(__xludf.DUMMYFUNCTION("""COMPUTED_VALUE"""),"4")</f>
        <v>4</v>
      </c>
      <c r="O46" s="93" t="str">
        <f>IFERROR(__xludf.DUMMYFUNCTION("""COMPUTED_VALUE"""),"6")</f>
        <v>6</v>
      </c>
      <c r="P46" s="93" t="str">
        <f>IFERROR(__xludf.DUMMYFUNCTION("""COMPUTED_VALUE"""),"PES E9L9")</f>
        <v>PES E9L9</v>
      </c>
      <c r="Q46" s="96" t="str">
        <f>IFERROR(__xludf.DUMMYFUNCTION("""COMPUTED_VALUE"""),"Pischok")</f>
        <v>Pischok</v>
      </c>
      <c r="R46" s="96"/>
      <c r="S46" s="96"/>
      <c r="T46" s="93"/>
      <c r="U46" s="97" t="str">
        <f>IFERROR(__xludf.DUMMYFUNCTION("""COMPUTED_VALUE"""),"https://osu.ppy.sh/community/matches/110301327")</f>
        <v>https://osu.ppy.sh/community/matches/110301327</v>
      </c>
      <c r="V46" s="76"/>
      <c r="W46" s="76"/>
      <c r="X46" s="73"/>
      <c r="Y46" s="75"/>
    </row>
    <row r="47" ht="18.75" customHeight="1" outlineLevel="1">
      <c r="A47" s="75"/>
      <c r="B47" s="73"/>
      <c r="C47" s="73"/>
      <c r="D47" s="98" t="s">
        <v>50</v>
      </c>
      <c r="E47" s="99"/>
      <c r="F47" s="76"/>
      <c r="G47" s="92" t="s">
        <v>10</v>
      </c>
      <c r="H47" s="76"/>
      <c r="I47" s="76"/>
      <c r="J47" s="93">
        <f>IFERROR(__xludf.DUMMYFUNCTION("""COMPUTED_VALUE"""),36.0)</f>
        <v>36</v>
      </c>
      <c r="K47" s="94">
        <f>IFERROR(__xludf.DUMMYFUNCTION("""COMPUTED_VALUE"""),45171.0)</f>
        <v>45171</v>
      </c>
      <c r="L47" s="122">
        <f>IFERROR(__xludf.DUMMYFUNCTION("""COMPUTED_VALUE"""),0.0625)</f>
        <v>0.0625</v>
      </c>
      <c r="M47" s="96" t="str">
        <f>IFERROR(__xludf.DUMMYFUNCTION("""COMPUTED_VALUE"""),"VN+1")</f>
        <v>VN+1</v>
      </c>
      <c r="N47" s="93" t="str">
        <f>IFERROR(__xludf.DUMMYFUNCTION("""COMPUTED_VALUE"""),"6")</f>
        <v>6</v>
      </c>
      <c r="O47" s="93" t="str">
        <f>IFERROR(__xludf.DUMMYFUNCTION("""COMPUTED_VALUE"""),"0")</f>
        <v>0</v>
      </c>
      <c r="P47" s="93" t="str">
        <f>IFERROR(__xludf.DUMMYFUNCTION("""COMPUTED_VALUE"""),"Dino Nuggies")</f>
        <v>Dino Nuggies</v>
      </c>
      <c r="Q47" s="96" t="str">
        <f>IFERROR(__xludf.DUMMYFUNCTION("""COMPUTED_VALUE"""),"play hd3")</f>
        <v>play hd3</v>
      </c>
      <c r="R47" s="96"/>
      <c r="S47" s="96"/>
      <c r="T47" s="93"/>
      <c r="U47" s="97" t="str">
        <f>IFERROR(__xludf.DUMMYFUNCTION("""COMPUTED_VALUE"""),"https://osu.ppy.sh/community/matches/110275875")</f>
        <v>https://osu.ppy.sh/community/matches/110275875</v>
      </c>
      <c r="V47" s="76"/>
      <c r="W47" s="76"/>
      <c r="X47" s="73"/>
      <c r="Y47" s="75"/>
    </row>
    <row r="48" ht="18.75" customHeight="1" outlineLevel="1">
      <c r="A48" s="75"/>
      <c r="B48" s="73"/>
      <c r="C48" s="73"/>
      <c r="D48" s="101"/>
      <c r="E48" s="102"/>
      <c r="F48" s="76"/>
      <c r="G48" s="92" t="s">
        <v>10</v>
      </c>
      <c r="H48" s="76"/>
      <c r="I48" s="76"/>
      <c r="J48" s="115">
        <f>IFERROR(__xludf.DUMMYFUNCTION("""COMPUTED_VALUE"""),37.0)</f>
        <v>37</v>
      </c>
      <c r="K48" s="116">
        <f>IFERROR(__xludf.DUMMYFUNCTION("""COMPUTED_VALUE"""),45171.0)</f>
        <v>45171</v>
      </c>
      <c r="L48" s="124">
        <f>IFERROR(__xludf.DUMMYFUNCTION("""COMPUTED_VALUE"""),0.5833333333333334)</f>
        <v>0.5833333333</v>
      </c>
      <c r="M48" s="118" t="str">
        <f>IFERROR(__xludf.DUMMYFUNCTION("""COMPUTED_VALUE"""),"Chocomaid")</f>
        <v>Chocomaid</v>
      </c>
      <c r="N48" s="115" t="str">
        <f>IFERROR(__xludf.DUMMYFUNCTION("""COMPUTED_VALUE"""),"6")</f>
        <v>6</v>
      </c>
      <c r="O48" s="115" t="str">
        <f>IFERROR(__xludf.DUMMYFUNCTION("""COMPUTED_VALUE"""),"1")</f>
        <v>1</v>
      </c>
      <c r="P48" s="115" t="str">
        <f>IFERROR(__xludf.DUMMYFUNCTION("""COMPUTED_VALUE"""),"Sightread Buff")</f>
        <v>Sightread Buff</v>
      </c>
      <c r="Q48" s="118" t="str">
        <f>IFERROR(__xludf.DUMMYFUNCTION("""COMPUTED_VALUE"""),"Emerald Ages")</f>
        <v>Emerald Ages</v>
      </c>
      <c r="R48" s="118"/>
      <c r="S48" s="118"/>
      <c r="T48" s="115"/>
      <c r="U48" s="119" t="str">
        <f>IFERROR(__xludf.DUMMYFUNCTION("""COMPUTED_VALUE"""),"https://osu.ppy.sh/community/matches/110283000")</f>
        <v>https://osu.ppy.sh/community/matches/110283000</v>
      </c>
      <c r="V48" s="76"/>
      <c r="W48" s="76"/>
      <c r="X48" s="73"/>
      <c r="Y48" s="75"/>
    </row>
    <row r="49" ht="18.75" customHeight="1" outlineLevel="1">
      <c r="A49" s="75"/>
      <c r="B49" s="73"/>
      <c r="C49" s="73"/>
      <c r="D49" s="101"/>
      <c r="E49" s="102"/>
      <c r="F49" s="76"/>
      <c r="G49" s="120"/>
      <c r="H49" s="120"/>
      <c r="I49" s="76"/>
      <c r="J49" s="93">
        <f>IFERROR(__xludf.DUMMYFUNCTION("""COMPUTED_VALUE"""),38.0)</f>
        <v>38</v>
      </c>
      <c r="K49" s="94">
        <f>IFERROR(__xludf.DUMMYFUNCTION("""COMPUTED_VALUE"""),45171.0)</f>
        <v>45171</v>
      </c>
      <c r="L49" s="122">
        <f>IFERROR(__xludf.DUMMYFUNCTION("""COMPUTED_VALUE"""),0.625)</f>
        <v>0.625</v>
      </c>
      <c r="M49" s="96" t="str">
        <f>IFERROR(__xludf.DUMMYFUNCTION("""COMPUTED_VALUE"""),"Team name pending xd")</f>
        <v>Team name pending xd</v>
      </c>
      <c r="N49" s="93" t="str">
        <f>IFERROR(__xludf.DUMMYFUNCTION("""COMPUTED_VALUE"""),"6")</f>
        <v>6</v>
      </c>
      <c r="O49" s="93" t="str">
        <f>IFERROR(__xludf.DUMMYFUNCTION("""COMPUTED_VALUE"""),"4")</f>
        <v>4</v>
      </c>
      <c r="P49" s="93" t="str">
        <f>IFERROR(__xludf.DUMMYFUNCTION("""COMPUTED_VALUE"""),"equipe câo")</f>
        <v>equipe câo</v>
      </c>
      <c r="Q49" s="96" t="str">
        <f>IFERROR(__xludf.DUMMYFUNCTION("""COMPUTED_VALUE"""),"Emerald Ages")</f>
        <v>Emerald Ages</v>
      </c>
      <c r="R49" s="96"/>
      <c r="S49" s="96"/>
      <c r="T49" s="93"/>
      <c r="U49" s="97" t="str">
        <f>IFERROR(__xludf.DUMMYFUNCTION("""COMPUTED_VALUE"""),"https://osu.ppy.sh/community/matches/110283874")</f>
        <v>https://osu.ppy.sh/community/matches/110283874</v>
      </c>
      <c r="V49" s="76"/>
      <c r="W49" s="76"/>
      <c r="X49" s="73"/>
      <c r="Y49" s="75"/>
    </row>
    <row r="50" ht="18.75" customHeight="1" outlineLevel="1">
      <c r="A50" s="75"/>
      <c r="B50" s="73"/>
      <c r="C50" s="73"/>
      <c r="D50" s="101"/>
      <c r="E50" s="102"/>
      <c r="F50" s="76"/>
      <c r="G50" s="120"/>
      <c r="H50" s="120"/>
      <c r="I50" s="76"/>
      <c r="J50" s="93">
        <f>IFERROR(__xludf.DUMMYFUNCTION("""COMPUTED_VALUE"""),39.0)</f>
        <v>39</v>
      </c>
      <c r="K50" s="94">
        <f>IFERROR(__xludf.DUMMYFUNCTION("""COMPUTED_VALUE"""),45172.0)</f>
        <v>45172</v>
      </c>
      <c r="L50" s="122">
        <f>IFERROR(__xludf.DUMMYFUNCTION("""COMPUTED_VALUE"""),0.5208333333333334)</f>
        <v>0.5208333333</v>
      </c>
      <c r="M50" s="96" t="str">
        <f>IFERROR(__xludf.DUMMYFUNCTION("""COMPUTED_VALUE"""),"foxy1919191919's basement")</f>
        <v>foxy1919191919's basement</v>
      </c>
      <c r="N50" s="93" t="str">
        <f>IFERROR(__xludf.DUMMYFUNCTION("""COMPUTED_VALUE"""),"-1")</f>
        <v>-1</v>
      </c>
      <c r="O50" s="93" t="str">
        <f>IFERROR(__xludf.DUMMYFUNCTION("""COMPUTED_VALUE"""),"0")</f>
        <v>0</v>
      </c>
      <c r="P50" s="93" t="str">
        <f>IFERROR(__xludf.DUMMYFUNCTION("""COMPUTED_VALUE"""),"The sleepers")</f>
        <v>The sleepers</v>
      </c>
      <c r="Q50" s="96" t="str">
        <f>IFERROR(__xludf.DUMMYFUNCTION("""COMPUTED_VALUE"""),"Pischok")</f>
        <v>Pischok</v>
      </c>
      <c r="R50" s="96"/>
      <c r="S50" s="96"/>
      <c r="T50" s="93"/>
      <c r="U50" s="97" t="str">
        <f>IFERROR(__xludf.DUMMYFUNCTION("""COMPUTED_VALUE"""),"https://osu.ppy.sh/community/matches/110299202")</f>
        <v>https://osu.ppy.sh/community/matches/110299202</v>
      </c>
      <c r="V50" s="76"/>
      <c r="W50" s="76"/>
      <c r="X50" s="73"/>
      <c r="Y50" s="75"/>
    </row>
    <row r="51" ht="18.75" customHeight="1" outlineLevel="1">
      <c r="A51" s="75"/>
      <c r="B51" s="73"/>
      <c r="C51" s="73"/>
      <c r="D51" s="101"/>
      <c r="E51" s="102"/>
      <c r="F51" s="76"/>
      <c r="G51" s="120"/>
      <c r="H51" s="120"/>
      <c r="I51" s="76"/>
      <c r="J51" s="93">
        <f>IFERROR(__xludf.DUMMYFUNCTION("""COMPUTED_VALUE"""),40.0)</f>
        <v>40</v>
      </c>
      <c r="K51" s="94">
        <f>IFERROR(__xludf.DUMMYFUNCTION("""COMPUTED_VALUE"""),45171.0)</f>
        <v>45171</v>
      </c>
      <c r="L51" s="122">
        <f>IFERROR(__xludf.DUMMYFUNCTION("""COMPUTED_VALUE"""),0.5833333333333334)</f>
        <v>0.5833333333</v>
      </c>
      <c r="M51" s="96" t="str">
        <f>IFERROR(__xludf.DUMMYFUNCTION("""COMPUTED_VALUE"""),"Kittens")</f>
        <v>Kittens</v>
      </c>
      <c r="N51" s="93" t="str">
        <f>IFERROR(__xludf.DUMMYFUNCTION("""COMPUTED_VALUE"""),"6")</f>
        <v>6</v>
      </c>
      <c r="O51" s="93" t="str">
        <f>IFERROR(__xludf.DUMMYFUNCTION("""COMPUTED_VALUE"""),"3")</f>
        <v>3</v>
      </c>
      <c r="P51" s="93" t="str">
        <f>IFERROR(__xludf.DUMMYFUNCTION("""COMPUTED_VALUE"""),"PLDT ANO NAAA")</f>
        <v>PLDT ANO NAAA</v>
      </c>
      <c r="Q51" s="96" t="str">
        <f>IFERROR(__xludf.DUMMYFUNCTION("""COMPUTED_VALUE"""),"Emerald Ages")</f>
        <v>Emerald Ages</v>
      </c>
      <c r="R51" s="96"/>
      <c r="S51" s="96"/>
      <c r="T51" s="93"/>
      <c r="U51" s="97" t="str">
        <f>IFERROR(__xludf.DUMMYFUNCTION("""COMPUTED_VALUE"""),"https://osu.ppy.sh/community/matches/110283001")</f>
        <v>https://osu.ppy.sh/community/matches/110283001</v>
      </c>
      <c r="V51" s="76"/>
      <c r="W51" s="76"/>
      <c r="X51" s="73"/>
      <c r="Y51" s="75"/>
    </row>
    <row r="52" ht="18.75" customHeight="1" outlineLevel="1">
      <c r="A52" s="75"/>
      <c r="B52" s="73"/>
      <c r="C52" s="73"/>
      <c r="D52" s="101"/>
      <c r="E52" s="102"/>
      <c r="F52" s="76"/>
      <c r="G52" s="120"/>
      <c r="H52" s="120"/>
      <c r="I52" s="76"/>
      <c r="J52" s="93">
        <f>IFERROR(__xludf.DUMMYFUNCTION("""COMPUTED_VALUE"""),41.0)</f>
        <v>41</v>
      </c>
      <c r="K52" s="94">
        <f>IFERROR(__xludf.DUMMYFUNCTION("""COMPUTED_VALUE"""),45172.0)</f>
        <v>45172</v>
      </c>
      <c r="L52" s="122">
        <f>IFERROR(__xludf.DUMMYFUNCTION("""COMPUTED_VALUE"""),0.9583333333333334)</f>
        <v>0.9583333333</v>
      </c>
      <c r="M52" s="96" t="str">
        <f>IFERROR(__xludf.DUMMYFUNCTION("""COMPUTED_VALUE"""),"The 3-star Threats")</f>
        <v>The 3-star Threats</v>
      </c>
      <c r="N52" s="93" t="str">
        <f>IFERROR(__xludf.DUMMYFUNCTION("""COMPUTED_VALUE"""),"6")</f>
        <v>6</v>
      </c>
      <c r="O52" s="93" t="str">
        <f>IFERROR(__xludf.DUMMYFUNCTION("""COMPUTED_VALUE"""),"0")</f>
        <v>0</v>
      </c>
      <c r="P52" s="93" t="str">
        <f>IFERROR(__xludf.DUMMYFUNCTION("""COMPUTED_VALUE"""),"middle-schooler wife")</f>
        <v>middle-schooler wife</v>
      </c>
      <c r="Q52" s="96"/>
      <c r="R52" s="96"/>
      <c r="S52" s="96"/>
      <c r="T52" s="93"/>
      <c r="U52" s="125" t="str">
        <f>IFERROR(__xludf.DUMMYFUNCTION("""COMPUTED_VALUE"""),"asynch")</f>
        <v>asynch</v>
      </c>
      <c r="V52" s="76"/>
      <c r="W52" s="76"/>
      <c r="X52" s="73"/>
      <c r="Y52" s="75"/>
    </row>
    <row r="53" ht="18.75" customHeight="1" outlineLevel="1">
      <c r="A53" s="75"/>
      <c r="B53" s="73"/>
      <c r="C53" s="73"/>
      <c r="D53" s="101"/>
      <c r="E53" s="102"/>
      <c r="F53" s="76"/>
      <c r="G53" s="120"/>
      <c r="H53" s="120"/>
      <c r="I53" s="76"/>
      <c r="J53" s="93" t="str">
        <f>IFERROR(__xludf.DUMMYFUNCTION("""COMPUTED_VALUE"""),"41a")</f>
        <v>41a</v>
      </c>
      <c r="K53" s="94">
        <f>IFERROR(__xludf.DUMMYFUNCTION("""COMPUTED_VALUE"""),45172.0)</f>
        <v>45172</v>
      </c>
      <c r="L53" s="122">
        <f>IFERROR(__xludf.DUMMYFUNCTION("""COMPUTED_VALUE"""),0.625)</f>
        <v>0.625</v>
      </c>
      <c r="M53" s="96" t="str">
        <f>IFERROR(__xludf.DUMMYFUNCTION("""COMPUTED_VALUE"""),"The 3-star Threats")</f>
        <v>The 3-star Threats</v>
      </c>
      <c r="N53" s="93" t="str">
        <f>IFERROR(__xludf.DUMMYFUNCTION("""COMPUTED_VALUE"""),"")</f>
        <v/>
      </c>
      <c r="O53" s="93" t="str">
        <f>IFERROR(__xludf.DUMMYFUNCTION("""COMPUTED_VALUE"""),"")</f>
        <v/>
      </c>
      <c r="P53" s="93" t="str">
        <f>IFERROR(__xludf.DUMMYFUNCTION("""COMPUTED_VALUE"""),"middle-schooler wife")</f>
        <v>middle-schooler wife</v>
      </c>
      <c r="Q53" s="96"/>
      <c r="R53" s="96"/>
      <c r="S53" s="96"/>
      <c r="T53" s="93"/>
      <c r="U53" s="125" t="str">
        <f>IFERROR(__xludf.DUMMYFUNCTION("""COMPUTED_VALUE"""),"")</f>
        <v/>
      </c>
      <c r="V53" s="76"/>
      <c r="W53" s="76"/>
      <c r="X53" s="73"/>
      <c r="Y53" s="75"/>
    </row>
    <row r="54" ht="18.75" customHeight="1" outlineLevel="1">
      <c r="A54" s="75"/>
      <c r="B54" s="73"/>
      <c r="C54" s="73"/>
      <c r="D54" s="101"/>
      <c r="E54" s="102"/>
      <c r="F54" s="76"/>
      <c r="G54" s="120"/>
      <c r="H54" s="120"/>
      <c r="I54" s="76"/>
      <c r="J54" s="93" t="str">
        <f>IFERROR(__xludf.DUMMYFUNCTION("""COMPUTED_VALUE"""),"41b")</f>
        <v>41b</v>
      </c>
      <c r="K54" s="94">
        <f>IFERROR(__xludf.DUMMYFUNCTION("""COMPUTED_VALUE"""),45172.0)</f>
        <v>45172</v>
      </c>
      <c r="L54" s="122">
        <f>IFERROR(__xludf.DUMMYFUNCTION("""COMPUTED_VALUE"""),0.8333333333333334)</f>
        <v>0.8333333333</v>
      </c>
      <c r="M54" s="96" t="str">
        <f>IFERROR(__xludf.DUMMYFUNCTION("""COMPUTED_VALUE"""),"The 3-star Threats")</f>
        <v>The 3-star Threats</v>
      </c>
      <c r="N54" s="93" t="str">
        <f>IFERROR(__xludf.DUMMYFUNCTION("""COMPUTED_VALUE"""),"")</f>
        <v/>
      </c>
      <c r="O54" s="93" t="str">
        <f>IFERROR(__xludf.DUMMYFUNCTION("""COMPUTED_VALUE"""),"")</f>
        <v/>
      </c>
      <c r="P54" s="93" t="str">
        <f>IFERROR(__xludf.DUMMYFUNCTION("""COMPUTED_VALUE"""),"Faz o L")</f>
        <v>Faz o L</v>
      </c>
      <c r="Q54" s="96"/>
      <c r="R54" s="96"/>
      <c r="S54" s="96"/>
      <c r="T54" s="93"/>
      <c r="U54" s="125" t="str">
        <f>IFERROR(__xludf.DUMMYFUNCTION("""COMPUTED_VALUE"""),"")</f>
        <v/>
      </c>
      <c r="V54" s="76"/>
      <c r="W54" s="76"/>
      <c r="X54" s="73"/>
      <c r="Y54" s="75"/>
    </row>
    <row r="55" ht="18.75" customHeight="1" outlineLevel="1">
      <c r="A55" s="75"/>
      <c r="B55" s="73"/>
      <c r="C55" s="73"/>
      <c r="D55" s="101"/>
      <c r="E55" s="102"/>
      <c r="F55" s="76"/>
      <c r="G55" s="120"/>
      <c r="H55" s="120"/>
      <c r="I55" s="76"/>
      <c r="J55" s="93" t="str">
        <f>IFERROR(__xludf.DUMMYFUNCTION("""COMPUTED_VALUE"""),"41c")</f>
        <v>41c</v>
      </c>
      <c r="K55" s="94">
        <f>IFERROR(__xludf.DUMMYFUNCTION("""COMPUTED_VALUE"""),45172.0)</f>
        <v>45172</v>
      </c>
      <c r="L55" s="122">
        <f>IFERROR(__xludf.DUMMYFUNCTION("""COMPUTED_VALUE"""),0.16666666666666666)</f>
        <v>0.1666666667</v>
      </c>
      <c r="M55" s="96" t="str">
        <f>IFERROR(__xludf.DUMMYFUNCTION("""COMPUTED_VALUE"""),"Here Forever")</f>
        <v>Here Forever</v>
      </c>
      <c r="N55" s="93" t="str">
        <f>IFERROR(__xludf.DUMMYFUNCTION("""COMPUTED_VALUE"""),"")</f>
        <v/>
      </c>
      <c r="O55" s="93" t="str">
        <f>IFERROR(__xludf.DUMMYFUNCTION("""COMPUTED_VALUE"""),"")</f>
        <v/>
      </c>
      <c r="P55" s="93" t="str">
        <f>IFERROR(__xludf.DUMMYFUNCTION("""COMPUTED_VALUE"""),"middle-schooler wife")</f>
        <v>middle-schooler wife</v>
      </c>
      <c r="Q55" s="96"/>
      <c r="R55" s="96"/>
      <c r="S55" s="96"/>
      <c r="T55" s="93"/>
      <c r="U55" s="125" t="str">
        <f>IFERROR(__xludf.DUMMYFUNCTION("""COMPUTED_VALUE"""),"")</f>
        <v/>
      </c>
      <c r="V55" s="76"/>
      <c r="W55" s="76"/>
      <c r="X55" s="73"/>
      <c r="Y55" s="75"/>
    </row>
    <row r="56" ht="18.75" customHeight="1" outlineLevel="1">
      <c r="A56" s="75"/>
      <c r="B56" s="73"/>
      <c r="C56" s="73"/>
      <c r="D56" s="101"/>
      <c r="E56" s="102"/>
      <c r="F56" s="76"/>
      <c r="G56" s="120"/>
      <c r="H56" s="120"/>
      <c r="I56" s="76"/>
      <c r="J56" s="115" t="str">
        <f>IFERROR(__xludf.DUMMYFUNCTION("""COMPUTED_VALUE"""),"41d")</f>
        <v>41d</v>
      </c>
      <c r="K56" s="116">
        <f>IFERROR(__xludf.DUMMYFUNCTION("""COMPUTED_VALUE"""),45172.0)</f>
        <v>45172</v>
      </c>
      <c r="L56" s="124">
        <f>IFERROR(__xludf.DUMMYFUNCTION("""COMPUTED_VALUE"""),0.9583333333333334)</f>
        <v>0.9583333333</v>
      </c>
      <c r="M56" s="118" t="str">
        <f>IFERROR(__xludf.DUMMYFUNCTION("""COMPUTED_VALUE"""),"Here Forever")</f>
        <v>Here Forever</v>
      </c>
      <c r="N56" s="115" t="str">
        <f>IFERROR(__xludf.DUMMYFUNCTION("""COMPUTED_VALUE"""),"")</f>
        <v/>
      </c>
      <c r="O56" s="115" t="str">
        <f>IFERROR(__xludf.DUMMYFUNCTION("""COMPUTED_VALUE"""),"")</f>
        <v/>
      </c>
      <c r="P56" s="115" t="str">
        <f>IFERROR(__xludf.DUMMYFUNCTION("""COMPUTED_VALUE"""),"Faz o L")</f>
        <v>Faz o L</v>
      </c>
      <c r="Q56" s="118"/>
      <c r="R56" s="118"/>
      <c r="S56" s="118"/>
      <c r="T56" s="115"/>
      <c r="U56" s="126" t="str">
        <f>IFERROR(__xludf.DUMMYFUNCTION("""COMPUTED_VALUE"""),"")</f>
        <v/>
      </c>
      <c r="V56" s="76"/>
      <c r="W56" s="76"/>
      <c r="X56" s="73"/>
      <c r="Y56" s="75"/>
    </row>
    <row r="57" ht="18.75" customHeight="1" outlineLevel="1">
      <c r="A57" s="75"/>
      <c r="B57" s="73"/>
      <c r="C57" s="73"/>
      <c r="D57" s="101"/>
      <c r="E57" s="102"/>
      <c r="F57" s="76"/>
      <c r="G57" s="120"/>
      <c r="H57" s="76"/>
      <c r="I57" s="76"/>
      <c r="J57" s="93">
        <f>IFERROR(__xludf.DUMMYFUNCTION("""COMPUTED_VALUE"""),42.0)</f>
        <v>42</v>
      </c>
      <c r="K57" s="94">
        <f>IFERROR(__xludf.DUMMYFUNCTION("""COMPUTED_VALUE"""),45172.0)</f>
        <v>45172</v>
      </c>
      <c r="L57" s="122">
        <f>IFERROR(__xludf.DUMMYFUNCTION("""COMPUTED_VALUE"""),0.625)</f>
        <v>0.625</v>
      </c>
      <c r="M57" s="96" t="str">
        <f>IFERROR(__xludf.DUMMYFUNCTION("""COMPUTED_VALUE"""),"VN+1")</f>
        <v>VN+1</v>
      </c>
      <c r="N57" s="93" t="str">
        <f>IFERROR(__xludf.DUMMYFUNCTION("""COMPUTED_VALUE"""),"6")</f>
        <v>6</v>
      </c>
      <c r="O57" s="93" t="str">
        <f>IFERROR(__xludf.DUMMYFUNCTION("""COMPUTED_VALUE"""),"5")</f>
        <v>5</v>
      </c>
      <c r="P57" s="93" t="str">
        <f>IFERROR(__xludf.DUMMYFUNCTION("""COMPUTED_VALUE"""),"PES E9L9")</f>
        <v>PES E9L9</v>
      </c>
      <c r="Q57" s="96" t="str">
        <f>IFERROR(__xludf.DUMMYFUNCTION("""COMPUTED_VALUE"""),"RudderFish07")</f>
        <v>RudderFish07</v>
      </c>
      <c r="R57" s="96"/>
      <c r="S57" s="96"/>
      <c r="T57" s="93"/>
      <c r="U57" s="97" t="str">
        <f>IFERROR(__xludf.DUMMYFUNCTION("""COMPUTED_VALUE"""),"https://osu.ppy.sh/community/matches/110313675")</f>
        <v>https://osu.ppy.sh/community/matches/110313675</v>
      </c>
      <c r="V57" s="76"/>
      <c r="W57" s="76"/>
      <c r="X57" s="73"/>
      <c r="Y57" s="75"/>
    </row>
    <row r="58" ht="18.75" customHeight="1" outlineLevel="1">
      <c r="A58" s="75"/>
      <c r="B58" s="73"/>
      <c r="C58" s="73"/>
      <c r="D58" s="103"/>
      <c r="E58" s="104"/>
      <c r="F58" s="76"/>
      <c r="G58" s="120"/>
      <c r="H58" s="76"/>
      <c r="I58" s="76"/>
      <c r="J58" s="93" t="str">
        <f>IFERROR(__xludf.DUMMYFUNCTION("""COMPUTED_VALUE"""),"42a")</f>
        <v>42a</v>
      </c>
      <c r="K58" s="94">
        <f>IFERROR(__xludf.DUMMYFUNCTION("""COMPUTED_VALUE"""),45172.0)</f>
        <v>45172</v>
      </c>
      <c r="L58" s="122">
        <f>IFERROR(__xludf.DUMMYFUNCTION("""COMPUTED_VALUE"""),0.625)</f>
        <v>0.625</v>
      </c>
      <c r="M58" s="96" t="str">
        <f>IFERROR(__xludf.DUMMYFUNCTION("""COMPUTED_VALUE"""),"VN+1")</f>
        <v>VN+1</v>
      </c>
      <c r="N58" s="93" t="str">
        <f>IFERROR(__xludf.DUMMYFUNCTION("""COMPUTED_VALUE"""),"")</f>
        <v/>
      </c>
      <c r="O58" s="93" t="str">
        <f>IFERROR(__xludf.DUMMYFUNCTION("""COMPUTED_VALUE"""),"")</f>
        <v/>
      </c>
      <c r="P58" s="93" t="str">
        <f>IFERROR(__xludf.DUMMYFUNCTION("""COMPUTED_VALUE"""),"cake")</f>
        <v>cake</v>
      </c>
      <c r="Q58" s="96"/>
      <c r="R58" s="96"/>
      <c r="S58" s="96"/>
      <c r="T58" s="93"/>
      <c r="U58" s="125" t="str">
        <f>IFERROR(__xludf.DUMMYFUNCTION("""COMPUTED_VALUE"""),"")</f>
        <v/>
      </c>
      <c r="V58" s="76"/>
      <c r="W58" s="76"/>
      <c r="X58" s="73"/>
      <c r="Y58" s="75"/>
    </row>
    <row r="59" ht="18.75" customHeight="1" outlineLevel="1">
      <c r="A59" s="75"/>
      <c r="B59" s="73"/>
      <c r="C59" s="73"/>
      <c r="D59" s="123"/>
      <c r="E59" s="123"/>
      <c r="F59" s="76"/>
      <c r="G59" s="120"/>
      <c r="H59" s="76"/>
      <c r="I59" s="76"/>
      <c r="J59" s="93" t="str">
        <f>IFERROR(__xludf.DUMMYFUNCTION("""COMPUTED_VALUE"""),"42b")</f>
        <v>42b</v>
      </c>
      <c r="K59" s="94">
        <f>IFERROR(__xludf.DUMMYFUNCTION("""COMPUTED_VALUE"""),45172.0)</f>
        <v>45172</v>
      </c>
      <c r="L59" s="122">
        <f>IFERROR(__xludf.DUMMYFUNCTION("""COMPUTED_VALUE"""),0.5)</f>
        <v>0.5</v>
      </c>
      <c r="M59" s="96" t="str">
        <f>IFERROR(__xludf.DUMMYFUNCTION("""COMPUTED_VALUE"""),"VN+1")</f>
        <v>VN+1</v>
      </c>
      <c r="N59" s="93" t="str">
        <f>IFERROR(__xludf.DUMMYFUNCTION("""COMPUTED_VALUE"""),"")</f>
        <v/>
      </c>
      <c r="O59" s="93" t="str">
        <f>IFERROR(__xludf.DUMMYFUNCTION("""COMPUTED_VALUE"""),"")</f>
        <v/>
      </c>
      <c r="P59" s="93" t="str">
        <f>IFERROR(__xludf.DUMMYFUNCTION("""COMPUTED_VALUE"""),"PES E9L9")</f>
        <v>PES E9L9</v>
      </c>
      <c r="Q59" s="96"/>
      <c r="R59" s="96"/>
      <c r="S59" s="96"/>
      <c r="T59" s="93"/>
      <c r="U59" s="125" t="str">
        <f>IFERROR(__xludf.DUMMYFUNCTION("""COMPUTED_VALUE"""),"")</f>
        <v/>
      </c>
      <c r="V59" s="76"/>
      <c r="W59" s="76"/>
      <c r="X59" s="73"/>
      <c r="Y59" s="75"/>
    </row>
    <row r="60" ht="18.75" customHeight="1" outlineLevel="1">
      <c r="A60" s="75"/>
      <c r="B60" s="73"/>
      <c r="C60" s="73"/>
      <c r="D60" s="113"/>
      <c r="E60" s="113"/>
      <c r="F60" s="76"/>
      <c r="G60" s="120"/>
      <c r="H60" s="76"/>
      <c r="I60" s="76"/>
      <c r="J60" s="108" t="str">
        <f>IFERROR(__xludf.DUMMYFUNCTION("""COMPUTED_VALUE"""),"42c")</f>
        <v>42c</v>
      </c>
      <c r="K60" s="109">
        <f>IFERROR(__xludf.DUMMYFUNCTION("""COMPUTED_VALUE"""),45172.0)</f>
        <v>45172</v>
      </c>
      <c r="L60" s="121">
        <f>IFERROR(__xludf.DUMMYFUNCTION("""COMPUTED_VALUE"""),0.6666666666666666)</f>
        <v>0.6666666667</v>
      </c>
      <c r="M60" s="111" t="str">
        <f>IFERROR(__xludf.DUMMYFUNCTION("""COMPUTED_VALUE"""),"Dino Nuggies")</f>
        <v>Dino Nuggies</v>
      </c>
      <c r="N60" s="108" t="str">
        <f>IFERROR(__xludf.DUMMYFUNCTION("""COMPUTED_VALUE"""),"")</f>
        <v/>
      </c>
      <c r="O60" s="108" t="str">
        <f>IFERROR(__xludf.DUMMYFUNCTION("""COMPUTED_VALUE"""),"")</f>
        <v/>
      </c>
      <c r="P60" s="108" t="str">
        <f>IFERROR(__xludf.DUMMYFUNCTION("""COMPUTED_VALUE"""),"cake")</f>
        <v>cake</v>
      </c>
      <c r="Q60" s="111"/>
      <c r="R60" s="111"/>
      <c r="S60" s="111"/>
      <c r="T60" s="108"/>
      <c r="U60" s="127" t="str">
        <f>IFERROR(__xludf.DUMMYFUNCTION("""COMPUTED_VALUE"""),"")</f>
        <v/>
      </c>
      <c r="V60" s="76"/>
      <c r="W60" s="76"/>
      <c r="X60" s="73"/>
      <c r="Y60" s="75"/>
    </row>
    <row r="61" ht="18.75" customHeight="1" outlineLevel="1">
      <c r="A61" s="75"/>
      <c r="B61" s="73"/>
      <c r="C61" s="73"/>
      <c r="D61" s="98" t="s">
        <v>51</v>
      </c>
      <c r="E61" s="99"/>
      <c r="F61" s="76"/>
      <c r="G61" s="92" t="s">
        <v>10</v>
      </c>
      <c r="H61" s="76"/>
      <c r="I61" s="76"/>
      <c r="J61" s="93" t="str">
        <f>IFERROR(__xludf.DUMMYFUNCTION("""COMPUTED_VALUE"""),"42d")</f>
        <v>42d</v>
      </c>
      <c r="K61" s="94">
        <f>IFERROR(__xludf.DUMMYFUNCTION("""COMPUTED_VALUE"""),45172.0)</f>
        <v>45172</v>
      </c>
      <c r="L61" s="122">
        <f>IFERROR(__xludf.DUMMYFUNCTION("""COMPUTED_VALUE"""),0.625)</f>
        <v>0.625</v>
      </c>
      <c r="M61" s="96" t="str">
        <f>IFERROR(__xludf.DUMMYFUNCTION("""COMPUTED_VALUE"""),"Dino Nuggies")</f>
        <v>Dino Nuggies</v>
      </c>
      <c r="N61" s="93" t="str">
        <f>IFERROR(__xludf.DUMMYFUNCTION("""COMPUTED_VALUE"""),"")</f>
        <v/>
      </c>
      <c r="O61" s="93" t="str">
        <f>IFERROR(__xludf.DUMMYFUNCTION("""COMPUTED_VALUE"""),"")</f>
        <v/>
      </c>
      <c r="P61" s="93" t="str">
        <f>IFERROR(__xludf.DUMMYFUNCTION("""COMPUTED_VALUE"""),"PES E9L9")</f>
        <v>PES E9L9</v>
      </c>
      <c r="Q61" s="96"/>
      <c r="R61" s="96"/>
      <c r="S61" s="96"/>
      <c r="T61" s="93"/>
      <c r="U61" s="125" t="str">
        <f>IFERROR(__xludf.DUMMYFUNCTION("""COMPUTED_VALUE"""),"")</f>
        <v/>
      </c>
      <c r="V61" s="76"/>
      <c r="W61" s="76"/>
      <c r="X61" s="73"/>
      <c r="Y61" s="75"/>
    </row>
    <row r="62" ht="18.75" customHeight="1" outlineLevel="1">
      <c r="A62" s="75"/>
      <c r="B62" s="73"/>
      <c r="C62" s="73"/>
      <c r="D62" s="101"/>
      <c r="E62" s="102"/>
      <c r="F62" s="76"/>
      <c r="G62" s="92" t="s">
        <v>10</v>
      </c>
      <c r="H62" s="76"/>
      <c r="I62" s="76"/>
      <c r="J62" s="128">
        <f>IFERROR(__xludf.DUMMYFUNCTION("""COMPUTED_VALUE"""),43.0)</f>
        <v>43</v>
      </c>
      <c r="K62" s="116">
        <f>IFERROR(__xludf.DUMMYFUNCTION("""COMPUTED_VALUE"""),45172.0)</f>
        <v>45172</v>
      </c>
      <c r="L62" s="129">
        <f>IFERROR(__xludf.DUMMYFUNCTION("""COMPUTED_VALUE"""),0.5833333333333334)</f>
        <v>0.5833333333</v>
      </c>
      <c r="M62" s="130" t="str">
        <f>IFERROR(__xludf.DUMMYFUNCTION("""COMPUTED_VALUE"""),"Team name pending xd")</f>
        <v>Team name pending xd</v>
      </c>
      <c r="N62" s="128" t="str">
        <f>IFERROR(__xludf.DUMMYFUNCTION("""COMPUTED_VALUE"""),"0")</f>
        <v>0</v>
      </c>
      <c r="O62" s="128" t="str">
        <f>IFERROR(__xludf.DUMMYFUNCTION("""COMPUTED_VALUE"""),"6")</f>
        <v>6</v>
      </c>
      <c r="P62" s="128" t="str">
        <f>IFERROR(__xludf.DUMMYFUNCTION("""COMPUTED_VALUE"""),"Chocomaid")</f>
        <v>Chocomaid</v>
      </c>
      <c r="Q62" s="130" t="str">
        <f>IFERROR(__xludf.DUMMYFUNCTION("""COMPUTED_VALUE"""),"reforna")</f>
        <v>reforna</v>
      </c>
      <c r="R62" s="130"/>
      <c r="S62" s="130"/>
      <c r="T62" s="128"/>
      <c r="U62" s="131" t="str">
        <f>IFERROR(__xludf.DUMMYFUNCTION("""COMPUTED_VALUE"""),"https://osu.ppy.sh/community/matches/110298939")</f>
        <v>https://osu.ppy.sh/community/matches/110298939</v>
      </c>
      <c r="V62" s="76"/>
      <c r="W62" s="76"/>
      <c r="X62" s="73"/>
      <c r="Y62" s="75"/>
    </row>
    <row r="63" ht="18.75" customHeight="1" outlineLevel="1">
      <c r="A63" s="75"/>
      <c r="B63" s="73"/>
      <c r="C63" s="73"/>
      <c r="D63" s="101"/>
      <c r="E63" s="102"/>
      <c r="F63" s="76"/>
      <c r="G63" s="120"/>
      <c r="H63" s="120"/>
      <c r="I63" s="76"/>
      <c r="J63" s="93" t="str">
        <f>IFERROR(__xludf.DUMMYFUNCTION("""COMPUTED_VALUE"""),"43a")</f>
        <v>43a</v>
      </c>
      <c r="K63" s="94">
        <f>IFERROR(__xludf.DUMMYFUNCTION("""COMPUTED_VALUE"""),45172.0)</f>
        <v>45172</v>
      </c>
      <c r="L63" s="122">
        <f>IFERROR(__xludf.DUMMYFUNCTION("""COMPUTED_VALUE"""),0.5833333333333334)</f>
        <v>0.5833333333</v>
      </c>
      <c r="M63" s="96" t="str">
        <f>IFERROR(__xludf.DUMMYFUNCTION("""COMPUTED_VALUE"""),"Team name pending xd")</f>
        <v>Team name pending xd</v>
      </c>
      <c r="N63" s="93" t="str">
        <f>IFERROR(__xludf.DUMMYFUNCTION("""COMPUTED_VALUE"""),"")</f>
        <v/>
      </c>
      <c r="O63" s="93" t="str">
        <f>IFERROR(__xludf.DUMMYFUNCTION("""COMPUTED_VALUE"""),"")</f>
        <v/>
      </c>
      <c r="P63" s="93" t="str">
        <f>IFERROR(__xludf.DUMMYFUNCTION("""COMPUTED_VALUE"""),"Chocomaid")</f>
        <v>Chocomaid</v>
      </c>
      <c r="Q63" s="96"/>
      <c r="R63" s="96"/>
      <c r="S63" s="96"/>
      <c r="T63" s="93"/>
      <c r="U63" s="125" t="str">
        <f>IFERROR(__xludf.DUMMYFUNCTION("""COMPUTED_VALUE"""),"")</f>
        <v/>
      </c>
      <c r="V63" s="76"/>
      <c r="W63" s="76"/>
      <c r="X63" s="73"/>
      <c r="Y63" s="75"/>
    </row>
    <row r="64" ht="18.75" customHeight="1" outlineLevel="1">
      <c r="A64" s="75"/>
      <c r="B64" s="73"/>
      <c r="C64" s="73"/>
      <c r="D64" s="101"/>
      <c r="E64" s="102"/>
      <c r="F64" s="76"/>
      <c r="G64" s="120"/>
      <c r="H64" s="120"/>
      <c r="I64" s="76"/>
      <c r="J64" s="93" t="str">
        <f>IFERROR(__xludf.DUMMYFUNCTION("""COMPUTED_VALUE"""),"43b")</f>
        <v>43b</v>
      </c>
      <c r="K64" s="94">
        <f>IFERROR(__xludf.DUMMYFUNCTION("""COMPUTED_VALUE"""),45172.0)</f>
        <v>45172</v>
      </c>
      <c r="L64" s="122">
        <f>IFERROR(__xludf.DUMMYFUNCTION("""COMPUTED_VALUE"""),0.5833333333333334)</f>
        <v>0.5833333333</v>
      </c>
      <c r="M64" s="96" t="str">
        <f>IFERROR(__xludf.DUMMYFUNCTION("""COMPUTED_VALUE"""),"Team name pending xd")</f>
        <v>Team name pending xd</v>
      </c>
      <c r="N64" s="93" t="str">
        <f>IFERROR(__xludf.DUMMYFUNCTION("""COMPUTED_VALUE"""),"")</f>
        <v/>
      </c>
      <c r="O64" s="93" t="str">
        <f>IFERROR(__xludf.DUMMYFUNCTION("""COMPUTED_VALUE"""),"")</f>
        <v/>
      </c>
      <c r="P64" s="93" t="str">
        <f>IFERROR(__xludf.DUMMYFUNCTION("""COMPUTED_VALUE"""),"Sightread Buff")</f>
        <v>Sightread Buff</v>
      </c>
      <c r="Q64" s="96"/>
      <c r="R64" s="96"/>
      <c r="S64" s="96"/>
      <c r="T64" s="93"/>
      <c r="U64" s="125" t="str">
        <f>IFERROR(__xludf.DUMMYFUNCTION("""COMPUTED_VALUE"""),"")</f>
        <v/>
      </c>
      <c r="V64" s="76"/>
      <c r="W64" s="76"/>
      <c r="X64" s="73"/>
      <c r="Y64" s="75"/>
    </row>
    <row r="65" ht="18.75" customHeight="1" outlineLevel="1">
      <c r="A65" s="75"/>
      <c r="B65" s="73"/>
      <c r="C65" s="73"/>
      <c r="D65" s="101"/>
      <c r="E65" s="102"/>
      <c r="F65" s="76"/>
      <c r="G65" s="120"/>
      <c r="H65" s="120"/>
      <c r="I65" s="76"/>
      <c r="J65" s="93" t="str">
        <f>IFERROR(__xludf.DUMMYFUNCTION("""COMPUTED_VALUE"""),"43c")</f>
        <v>43c</v>
      </c>
      <c r="K65" s="94">
        <f>IFERROR(__xludf.DUMMYFUNCTION("""COMPUTED_VALUE"""),45172.0)</f>
        <v>45172</v>
      </c>
      <c r="L65" s="122">
        <f>IFERROR(__xludf.DUMMYFUNCTION("""COMPUTED_VALUE"""),0.625)</f>
        <v>0.625</v>
      </c>
      <c r="M65" s="96" t="str">
        <f>IFERROR(__xludf.DUMMYFUNCTION("""COMPUTED_VALUE"""),"equipe câo")</f>
        <v>equipe câo</v>
      </c>
      <c r="N65" s="93" t="str">
        <f>IFERROR(__xludf.DUMMYFUNCTION("""COMPUTED_VALUE"""),"")</f>
        <v/>
      </c>
      <c r="O65" s="93" t="str">
        <f>IFERROR(__xludf.DUMMYFUNCTION("""COMPUTED_VALUE"""),"")</f>
        <v/>
      </c>
      <c r="P65" s="93" t="str">
        <f>IFERROR(__xludf.DUMMYFUNCTION("""COMPUTED_VALUE"""),"Chocomaid")</f>
        <v>Chocomaid</v>
      </c>
      <c r="Q65" s="96"/>
      <c r="R65" s="96"/>
      <c r="S65" s="96"/>
      <c r="T65" s="93"/>
      <c r="U65" s="125" t="str">
        <f>IFERROR(__xludf.DUMMYFUNCTION("""COMPUTED_VALUE"""),"")</f>
        <v/>
      </c>
      <c r="V65" s="76"/>
      <c r="W65" s="76"/>
      <c r="X65" s="73"/>
      <c r="Y65" s="75"/>
    </row>
    <row r="66" ht="18.75" customHeight="1" outlineLevel="1">
      <c r="A66" s="75"/>
      <c r="B66" s="73"/>
      <c r="C66" s="73"/>
      <c r="D66" s="101"/>
      <c r="E66" s="102"/>
      <c r="F66" s="76"/>
      <c r="G66" s="120"/>
      <c r="H66" s="120"/>
      <c r="I66" s="76"/>
      <c r="J66" s="128" t="str">
        <f>IFERROR(__xludf.DUMMYFUNCTION("""COMPUTED_VALUE"""),"43d")</f>
        <v>43d</v>
      </c>
      <c r="K66" s="116">
        <f>IFERROR(__xludf.DUMMYFUNCTION("""COMPUTED_VALUE"""),45172.0)</f>
        <v>45172</v>
      </c>
      <c r="L66" s="129">
        <f>IFERROR(__xludf.DUMMYFUNCTION("""COMPUTED_VALUE"""),0.75)</f>
        <v>0.75</v>
      </c>
      <c r="M66" s="130" t="str">
        <f>IFERROR(__xludf.DUMMYFUNCTION("""COMPUTED_VALUE"""),"equipe câo")</f>
        <v>equipe câo</v>
      </c>
      <c r="N66" s="128" t="str">
        <f>IFERROR(__xludf.DUMMYFUNCTION("""COMPUTED_VALUE"""),"")</f>
        <v/>
      </c>
      <c r="O66" s="128" t="str">
        <f>IFERROR(__xludf.DUMMYFUNCTION("""COMPUTED_VALUE"""),"")</f>
        <v/>
      </c>
      <c r="P66" s="128" t="str">
        <f>IFERROR(__xludf.DUMMYFUNCTION("""COMPUTED_VALUE"""),"Sightread Buff")</f>
        <v>Sightread Buff</v>
      </c>
      <c r="Q66" s="130"/>
      <c r="R66" s="130"/>
      <c r="S66" s="130"/>
      <c r="T66" s="128"/>
      <c r="U66" s="132" t="str">
        <f>IFERROR(__xludf.DUMMYFUNCTION("""COMPUTED_VALUE"""),"")</f>
        <v/>
      </c>
      <c r="V66" s="76"/>
      <c r="W66" s="76"/>
      <c r="X66" s="73"/>
      <c r="Y66" s="75"/>
    </row>
    <row r="67" ht="18.75" customHeight="1" outlineLevel="1">
      <c r="A67" s="75"/>
      <c r="B67" s="73"/>
      <c r="C67" s="73"/>
      <c r="D67" s="103"/>
      <c r="E67" s="104"/>
      <c r="F67" s="76"/>
      <c r="G67" s="120"/>
      <c r="H67" s="76"/>
      <c r="I67" s="76"/>
      <c r="J67" s="93">
        <f>IFERROR(__xludf.DUMMYFUNCTION("""COMPUTED_VALUE"""),44.0)</f>
        <v>44</v>
      </c>
      <c r="K67" s="94">
        <f>IFERROR(__xludf.DUMMYFUNCTION("""COMPUTED_VALUE"""),45172.0)</f>
        <v>45172</v>
      </c>
      <c r="L67" s="122">
        <f>IFERROR(__xludf.DUMMYFUNCTION("""COMPUTED_VALUE"""),0.5833333333333334)</f>
        <v>0.5833333333</v>
      </c>
      <c r="M67" s="96" t="str">
        <f>IFERROR(__xludf.DUMMYFUNCTION("""COMPUTED_VALUE"""),"Kittens")</f>
        <v>Kittens</v>
      </c>
      <c r="N67" s="93" t="str">
        <f>IFERROR(__xludf.DUMMYFUNCTION("""COMPUTED_VALUE"""),"4")</f>
        <v>4</v>
      </c>
      <c r="O67" s="93" t="str">
        <f>IFERROR(__xludf.DUMMYFUNCTION("""COMPUTED_VALUE"""),"6")</f>
        <v>6</v>
      </c>
      <c r="P67" s="93" t="str">
        <f>IFERROR(__xludf.DUMMYFUNCTION("""COMPUTED_VALUE"""),"The sleepers")</f>
        <v>The sleepers</v>
      </c>
      <c r="Q67" s="96" t="str">
        <f>IFERROR(__xludf.DUMMYFUNCTION("""COMPUTED_VALUE"""),"Emerald Ages")</f>
        <v>Emerald Ages</v>
      </c>
      <c r="R67" s="96"/>
      <c r="S67" s="96"/>
      <c r="T67" s="93"/>
      <c r="U67" s="97" t="str">
        <f>IFERROR(__xludf.DUMMYFUNCTION("""COMPUTED_VALUE"""),"https://osu.ppy.sh/community/matches/110300869")</f>
        <v>https://osu.ppy.sh/community/matches/110300869</v>
      </c>
      <c r="V67" s="76"/>
      <c r="W67" s="76"/>
      <c r="X67" s="73"/>
      <c r="Y67" s="75"/>
    </row>
    <row r="68" ht="18.75" customHeight="1" outlineLevel="1">
      <c r="A68" s="75"/>
      <c r="B68" s="73"/>
      <c r="C68" s="73"/>
      <c r="D68" s="133"/>
      <c r="E68" s="133"/>
      <c r="F68" s="76"/>
      <c r="G68" s="120"/>
      <c r="H68" s="76"/>
      <c r="I68" s="76"/>
      <c r="J68" s="108" t="str">
        <f>IFERROR(__xludf.DUMMYFUNCTION("""COMPUTED_VALUE"""),"44a")</f>
        <v>44a</v>
      </c>
      <c r="K68" s="109">
        <f>IFERROR(__xludf.DUMMYFUNCTION("""COMPUTED_VALUE"""),45172.0)</f>
        <v>45172</v>
      </c>
      <c r="L68" s="121">
        <f>IFERROR(__xludf.DUMMYFUNCTION("""COMPUTED_VALUE"""),0.5833333333333334)</f>
        <v>0.5833333333</v>
      </c>
      <c r="M68" s="111" t="str">
        <f>IFERROR(__xludf.DUMMYFUNCTION("""COMPUTED_VALUE"""),"Kittens")</f>
        <v>Kittens</v>
      </c>
      <c r="N68" s="108" t="str">
        <f>IFERROR(__xludf.DUMMYFUNCTION("""COMPUTED_VALUE"""),"")</f>
        <v/>
      </c>
      <c r="O68" s="108" t="str">
        <f>IFERROR(__xludf.DUMMYFUNCTION("""COMPUTED_VALUE"""),"")</f>
        <v/>
      </c>
      <c r="P68" s="108" t="str">
        <f>IFERROR(__xludf.DUMMYFUNCTION("""COMPUTED_VALUE"""),"foxy1919191919's basement")</f>
        <v>foxy1919191919's basement</v>
      </c>
      <c r="Q68" s="111"/>
      <c r="R68" s="111"/>
      <c r="S68" s="111"/>
      <c r="T68" s="108"/>
      <c r="U68" s="127" t="str">
        <f>IFERROR(__xludf.DUMMYFUNCTION("""COMPUTED_VALUE"""),"")</f>
        <v/>
      </c>
      <c r="V68" s="76"/>
      <c r="W68" s="76"/>
      <c r="X68" s="73"/>
      <c r="Y68" s="75"/>
    </row>
    <row r="69" ht="18.75" customHeight="1" outlineLevel="1">
      <c r="A69" s="75"/>
      <c r="B69" s="73"/>
      <c r="C69" s="73"/>
      <c r="D69" s="98" t="s">
        <v>52</v>
      </c>
      <c r="E69" s="99"/>
      <c r="F69" s="76"/>
      <c r="G69" s="92" t="s">
        <v>10</v>
      </c>
      <c r="H69" s="76"/>
      <c r="I69" s="76"/>
      <c r="J69" s="128" t="str">
        <f>IFERROR(__xludf.DUMMYFUNCTION("""COMPUTED_VALUE"""),"44b")</f>
        <v>44b</v>
      </c>
      <c r="K69" s="116">
        <f>IFERROR(__xludf.DUMMYFUNCTION("""COMPUTED_VALUE"""),45172.0)</f>
        <v>45172</v>
      </c>
      <c r="L69" s="129">
        <f>IFERROR(__xludf.DUMMYFUNCTION("""COMPUTED_VALUE"""),0.5833333333333334)</f>
        <v>0.5833333333</v>
      </c>
      <c r="M69" s="130" t="str">
        <f>IFERROR(__xludf.DUMMYFUNCTION("""COMPUTED_VALUE"""),"Kittens")</f>
        <v>Kittens</v>
      </c>
      <c r="N69" s="128" t="str">
        <f>IFERROR(__xludf.DUMMYFUNCTION("""COMPUTED_VALUE"""),"")</f>
        <v/>
      </c>
      <c r="O69" s="128" t="str">
        <f>IFERROR(__xludf.DUMMYFUNCTION("""COMPUTED_VALUE"""),"")</f>
        <v/>
      </c>
      <c r="P69" s="128" t="str">
        <f>IFERROR(__xludf.DUMMYFUNCTION("""COMPUTED_VALUE"""),"The sleepers")</f>
        <v>The sleepers</v>
      </c>
      <c r="Q69" s="130"/>
      <c r="R69" s="130"/>
      <c r="S69" s="130"/>
      <c r="T69" s="128"/>
      <c r="U69" s="132" t="str">
        <f>IFERROR(__xludf.DUMMYFUNCTION("""COMPUTED_VALUE"""),"")</f>
        <v/>
      </c>
      <c r="V69" s="76"/>
      <c r="W69" s="76"/>
      <c r="X69" s="73"/>
      <c r="Y69" s="75"/>
    </row>
    <row r="70" ht="18.75" customHeight="1" outlineLevel="1">
      <c r="A70" s="75"/>
      <c r="B70" s="73"/>
      <c r="C70" s="73"/>
      <c r="D70" s="101"/>
      <c r="E70" s="102"/>
      <c r="F70" s="76"/>
      <c r="G70" s="120"/>
      <c r="H70" s="120"/>
      <c r="I70" s="76"/>
      <c r="J70" s="93" t="str">
        <f>IFERROR(__xludf.DUMMYFUNCTION("""COMPUTED_VALUE"""),"44c")</f>
        <v>44c</v>
      </c>
      <c r="K70" s="94">
        <f>IFERROR(__xludf.DUMMYFUNCTION("""COMPUTED_VALUE"""),45172.0)</f>
        <v>45172</v>
      </c>
      <c r="L70" s="122">
        <f>IFERROR(__xludf.DUMMYFUNCTION("""COMPUTED_VALUE"""),0.3333333333333333)</f>
        <v>0.3333333333</v>
      </c>
      <c r="M70" s="96" t="str">
        <f>IFERROR(__xludf.DUMMYFUNCTION("""COMPUTED_VALUE"""),"PLDT ANO NAAA")</f>
        <v>PLDT ANO NAAA</v>
      </c>
      <c r="N70" s="93" t="str">
        <f>IFERROR(__xludf.DUMMYFUNCTION("""COMPUTED_VALUE"""),"")</f>
        <v/>
      </c>
      <c r="O70" s="93" t="str">
        <f>IFERROR(__xludf.DUMMYFUNCTION("""COMPUTED_VALUE"""),"")</f>
        <v/>
      </c>
      <c r="P70" s="93" t="str">
        <f>IFERROR(__xludf.DUMMYFUNCTION("""COMPUTED_VALUE"""),"foxy1919191919's basement")</f>
        <v>foxy1919191919's basement</v>
      </c>
      <c r="Q70" s="96"/>
      <c r="R70" s="96"/>
      <c r="S70" s="96"/>
      <c r="T70" s="93"/>
      <c r="U70" s="125" t="str">
        <f>IFERROR(__xludf.DUMMYFUNCTION("""COMPUTED_VALUE"""),"")</f>
        <v/>
      </c>
      <c r="V70" s="76"/>
      <c r="W70" s="76"/>
      <c r="X70" s="73"/>
      <c r="Y70" s="75"/>
    </row>
    <row r="71" ht="18.75" customHeight="1" outlineLevel="1">
      <c r="A71" s="75"/>
      <c r="B71" s="73"/>
      <c r="C71" s="73"/>
      <c r="D71" s="101"/>
      <c r="E71" s="102"/>
      <c r="F71" s="76"/>
      <c r="G71" s="120"/>
      <c r="H71" s="120"/>
      <c r="I71" s="76"/>
      <c r="J71" s="128" t="str">
        <f>IFERROR(__xludf.DUMMYFUNCTION("""COMPUTED_VALUE"""),"44d")</f>
        <v>44d</v>
      </c>
      <c r="K71" s="94">
        <f>IFERROR(__xludf.DUMMYFUNCTION("""COMPUTED_VALUE"""),45172.0)</f>
        <v>45172</v>
      </c>
      <c r="L71" s="129">
        <f>IFERROR(__xludf.DUMMYFUNCTION("""COMPUTED_VALUE"""),0.5833333333333334)</f>
        <v>0.5833333333</v>
      </c>
      <c r="M71" s="130" t="str">
        <f>IFERROR(__xludf.DUMMYFUNCTION("""COMPUTED_VALUE"""),"PLDT ANO NAAA")</f>
        <v>PLDT ANO NAAA</v>
      </c>
      <c r="N71" s="128" t="str">
        <f>IFERROR(__xludf.DUMMYFUNCTION("""COMPUTED_VALUE"""),"")</f>
        <v/>
      </c>
      <c r="O71" s="128" t="str">
        <f>IFERROR(__xludf.DUMMYFUNCTION("""COMPUTED_VALUE"""),"")</f>
        <v/>
      </c>
      <c r="P71" s="128" t="str">
        <f>IFERROR(__xludf.DUMMYFUNCTION("""COMPUTED_VALUE"""),"The sleepers")</f>
        <v>The sleepers</v>
      </c>
      <c r="Q71" s="130"/>
      <c r="R71" s="130"/>
      <c r="S71" s="130"/>
      <c r="T71" s="128"/>
      <c r="U71" s="132" t="str">
        <f>IFERROR(__xludf.DUMMYFUNCTION("""COMPUTED_VALUE"""),"")</f>
        <v/>
      </c>
      <c r="V71" s="76"/>
      <c r="W71" s="76"/>
      <c r="X71" s="73"/>
      <c r="Y71" s="75"/>
    </row>
    <row r="72" ht="18.75" customHeight="1" outlineLevel="1">
      <c r="A72" s="75"/>
      <c r="B72" s="73"/>
      <c r="C72" s="73"/>
      <c r="D72" s="103"/>
      <c r="E72" s="104"/>
      <c r="F72" s="76"/>
      <c r="G72" s="120"/>
      <c r="H72" s="76"/>
      <c r="I72" s="76"/>
      <c r="J72" s="134">
        <f>IFERROR(__xludf.DUMMYFUNCTION("""COMPUTED_VALUE"""),45.0)</f>
        <v>45</v>
      </c>
      <c r="K72" s="135">
        <f>IFERROR(__xludf.DUMMYFUNCTION("""COMPUTED_VALUE"""),45171.0)</f>
        <v>45171</v>
      </c>
      <c r="L72" s="110">
        <f>IFERROR(__xludf.DUMMYFUNCTION("""COMPUTED_VALUE"""),0.5416666666666666)</f>
        <v>0.5416666667</v>
      </c>
      <c r="M72" s="111" t="str">
        <f>IFERROR(__xludf.DUMMYFUNCTION("""COMPUTED_VALUE"""),"small wiener club")</f>
        <v>small wiener club</v>
      </c>
      <c r="N72" s="108" t="str">
        <f>IFERROR(__xludf.DUMMYFUNCTION("""COMPUTED_VALUE"""),"2")</f>
        <v>2</v>
      </c>
      <c r="O72" s="108" t="str">
        <f>IFERROR(__xludf.DUMMYFUNCTION("""COMPUTED_VALUE"""),"6")</f>
        <v>6</v>
      </c>
      <c r="P72" s="108" t="str">
        <f>IFERROR(__xludf.DUMMYFUNCTION("""COMPUTED_VALUE"""),"placeholder teamname")</f>
        <v>placeholder teamname</v>
      </c>
      <c r="Q72" s="111" t="str">
        <f>IFERROR(__xludf.DUMMYFUNCTION("""COMPUTED_VALUE"""),"Emerald Ages")</f>
        <v>Emerald Ages</v>
      </c>
      <c r="R72" s="111"/>
      <c r="S72" s="111"/>
      <c r="T72" s="93"/>
      <c r="U72" s="112" t="str">
        <f>IFERROR(__xludf.DUMMYFUNCTION("""COMPUTED_VALUE"""),"https://osu.ppy.sh/community/matches/110282200")</f>
        <v>https://osu.ppy.sh/community/matches/110282200</v>
      </c>
      <c r="V72" s="76"/>
      <c r="W72" s="76"/>
      <c r="X72" s="73"/>
      <c r="Y72" s="75"/>
    </row>
    <row r="73" ht="18.75" customHeight="1" outlineLevel="1">
      <c r="A73" s="75"/>
      <c r="B73" s="73"/>
      <c r="C73" s="73"/>
      <c r="D73" s="136"/>
      <c r="E73" s="136"/>
      <c r="F73" s="76"/>
      <c r="G73" s="120"/>
      <c r="H73" s="76"/>
      <c r="I73" s="76"/>
      <c r="J73" s="137">
        <f>IFERROR(__xludf.DUMMYFUNCTION("""COMPUTED_VALUE"""),46.0)</f>
        <v>46</v>
      </c>
      <c r="K73" s="94">
        <f>IFERROR(__xludf.DUMMYFUNCTION("""COMPUTED_VALUE"""),45172.0)</f>
        <v>45172</v>
      </c>
      <c r="L73" s="122">
        <f>IFERROR(__xludf.DUMMYFUNCTION("""COMPUTED_VALUE"""),0.75)</f>
        <v>0.75</v>
      </c>
      <c r="M73" s="96" t="str">
        <f>IFERROR(__xludf.DUMMYFUNCTION("""COMPUTED_VALUE"""),"Homossexual Students")</f>
        <v>Homossexual Students</v>
      </c>
      <c r="N73" s="93" t="str">
        <f>IFERROR(__xludf.DUMMYFUNCTION("""COMPUTED_VALUE"""),"0")</f>
        <v>0</v>
      </c>
      <c r="O73" s="93" t="str">
        <f>IFERROR(__xludf.DUMMYFUNCTION("""COMPUTED_VALUE"""),"6")</f>
        <v>6</v>
      </c>
      <c r="P73" s="93" t="str">
        <f>IFERROR(__xludf.DUMMYFUNCTION("""COMPUTED_VALUE"""),"female ass wrestling")</f>
        <v>female ass wrestling</v>
      </c>
      <c r="Q73" s="138" t="str">
        <f>IFERROR(__xludf.DUMMYFUNCTION("""COMPUTED_VALUE"""),"Gabys")</f>
        <v>Gabys</v>
      </c>
      <c r="R73" s="93"/>
      <c r="S73" s="96"/>
      <c r="T73" s="139"/>
      <c r="U73" s="140" t="str">
        <f>IFERROR(__xludf.DUMMYFUNCTION("""COMPUTED_VALUE"""),"https://osu.ppy.sh/community/matches/110289632")</f>
        <v>https://osu.ppy.sh/community/matches/110289632</v>
      </c>
      <c r="V73" s="76"/>
      <c r="W73" s="76"/>
      <c r="X73" s="73"/>
      <c r="Y73" s="75"/>
    </row>
    <row r="74" ht="18.75" customHeight="1" outlineLevel="1">
      <c r="A74" s="75"/>
      <c r="B74" s="73"/>
      <c r="C74" s="73"/>
      <c r="D74" s="141" t="s">
        <v>53</v>
      </c>
      <c r="F74" s="76"/>
      <c r="G74" s="92" t="s">
        <v>10</v>
      </c>
      <c r="H74" s="76"/>
      <c r="I74" s="76"/>
      <c r="J74" s="137">
        <f>IFERROR(__xludf.DUMMYFUNCTION("""COMPUTED_VALUE"""),47.0)</f>
        <v>47</v>
      </c>
      <c r="K74" s="94">
        <f>IFERROR(__xludf.DUMMYFUNCTION("""COMPUTED_VALUE"""),45171.0)</f>
        <v>45171</v>
      </c>
      <c r="L74" s="122">
        <f>IFERROR(__xludf.DUMMYFUNCTION("""COMPUTED_VALUE"""),0.625)</f>
        <v>0.625</v>
      </c>
      <c r="M74" s="96" t="str">
        <f>IFERROR(__xludf.DUMMYFUNCTION("""COMPUTED_VALUE"""),":MIPINGA:")</f>
        <v>:MIPINGA:</v>
      </c>
      <c r="N74" s="93" t="str">
        <f>IFERROR(__xludf.DUMMYFUNCTION("""COMPUTED_VALUE"""),"0")</f>
        <v>0</v>
      </c>
      <c r="O74" s="93" t="str">
        <f>IFERROR(__xludf.DUMMYFUNCTION("""COMPUTED_VALUE"""),"-1")</f>
        <v>-1</v>
      </c>
      <c r="P74" s="93" t="str">
        <f>IFERROR(__xludf.DUMMYFUNCTION("""COMPUTED_VALUE"""),"Ghost the Angel")</f>
        <v>Ghost the Angel</v>
      </c>
      <c r="Q74" s="138" t="str">
        <f>IFERROR(__xludf.DUMMYFUNCTION("""COMPUTED_VALUE"""),"Pischok")</f>
        <v>Pischok</v>
      </c>
      <c r="R74" s="93"/>
      <c r="S74" s="96"/>
      <c r="T74" s="137"/>
      <c r="U74" s="142" t="str">
        <f>IFERROR(__xludf.DUMMYFUNCTION("""COMPUTED_VALUE"""),"")</f>
        <v/>
      </c>
      <c r="V74" s="76"/>
      <c r="W74" s="76"/>
      <c r="X74" s="73"/>
      <c r="Y74" s="75"/>
    </row>
    <row r="75" ht="18.75" customHeight="1" outlineLevel="1">
      <c r="A75" s="75"/>
      <c r="B75" s="73"/>
      <c r="C75" s="73"/>
      <c r="F75" s="76"/>
      <c r="G75" s="143"/>
      <c r="H75" s="76"/>
      <c r="I75" s="76"/>
      <c r="J75" s="137">
        <f>IFERROR(__xludf.DUMMYFUNCTION("""COMPUTED_VALUE"""),48.0)</f>
        <v>48</v>
      </c>
      <c r="K75" s="94">
        <f>IFERROR(__xludf.DUMMYFUNCTION("""COMPUTED_VALUE"""),45172.0)</f>
        <v>45172</v>
      </c>
      <c r="L75" s="122">
        <f>IFERROR(__xludf.DUMMYFUNCTION("""COMPUTED_VALUE"""),0.5)</f>
        <v>0.5</v>
      </c>
      <c r="M75" s="96" t="str">
        <f>IFERROR(__xludf.DUMMYFUNCTION("""COMPUTED_VALUE"""),"match in 15")</f>
        <v>match in 15</v>
      </c>
      <c r="N75" s="93" t="str">
        <f>IFERROR(__xludf.DUMMYFUNCTION("""COMPUTED_VALUE"""),"6")</f>
        <v>6</v>
      </c>
      <c r="O75" s="93" t="str">
        <f>IFERROR(__xludf.DUMMYFUNCTION("""COMPUTED_VALUE"""),"2")</f>
        <v>2</v>
      </c>
      <c r="P75" s="93"/>
      <c r="Q75" s="138"/>
      <c r="R75" s="93"/>
      <c r="S75" s="96"/>
      <c r="T75" s="137"/>
      <c r="U75" s="140" t="str">
        <f>IFERROR(__xludf.DUMMYFUNCTION("""COMPUTED_VALUE"""),"https://osu.ppy.sh/community/matches/110299252")</f>
        <v>https://osu.ppy.sh/community/matches/110299252</v>
      </c>
      <c r="V75" s="76"/>
      <c r="W75" s="76"/>
      <c r="X75" s="73"/>
      <c r="Y75" s="75"/>
    </row>
    <row r="76" ht="6.75" customHeight="1">
      <c r="A76" s="75"/>
      <c r="B76" s="73"/>
      <c r="C76" s="73"/>
      <c r="D76" s="73"/>
      <c r="E76" s="73"/>
      <c r="F76" s="73"/>
      <c r="G76" s="73"/>
      <c r="H76" s="73"/>
      <c r="I76" s="73"/>
      <c r="J76" s="144"/>
      <c r="K76" s="145"/>
      <c r="L76" s="144"/>
      <c r="M76" s="146"/>
      <c r="N76" s="144"/>
      <c r="O76" s="144"/>
      <c r="P76" s="144"/>
      <c r="Q76" s="144"/>
      <c r="R76" s="144"/>
      <c r="S76" s="144"/>
      <c r="T76" s="144"/>
      <c r="U76" s="144"/>
      <c r="V76" s="73"/>
      <c r="W76" s="73"/>
      <c r="X76" s="72"/>
      <c r="Y76" s="75"/>
    </row>
    <row r="77" ht="6.75" customHeight="1">
      <c r="A77" s="75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2"/>
      <c r="X77" s="147"/>
      <c r="Y77" s="72"/>
    </row>
    <row r="78" ht="6.75" customHeight="1">
      <c r="A78" s="75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2"/>
      <c r="W78" s="72"/>
      <c r="X78" s="72"/>
      <c r="Y78" s="75"/>
    </row>
    <row r="79" ht="6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5"/>
    </row>
  </sheetData>
  <mergeCells count="9">
    <mergeCell ref="D69:E72"/>
    <mergeCell ref="D74:E75"/>
    <mergeCell ref="M6:P6"/>
    <mergeCell ref="C10:E10"/>
    <mergeCell ref="N10:O10"/>
    <mergeCell ref="D14:E25"/>
    <mergeCell ref="D31:E42"/>
    <mergeCell ref="D47:E58"/>
    <mergeCell ref="D61:E67"/>
  </mergeCells>
  <hyperlinks>
    <hyperlink r:id="rId1" ref="U13"/>
    <hyperlink r:id="rId2" ref="U14"/>
    <hyperlink r:id="rId3" ref="U15"/>
    <hyperlink r:id="rId4" ref="U16"/>
    <hyperlink r:id="rId5" ref="U17"/>
    <hyperlink r:id="rId6" ref="U18"/>
    <hyperlink r:id="rId7" ref="U19"/>
    <hyperlink r:id="rId8" ref="U20"/>
    <hyperlink r:id="rId9" ref="U21"/>
    <hyperlink r:id="rId10" ref="U22"/>
    <hyperlink r:id="rId11" ref="U23"/>
    <hyperlink r:id="rId12" ref="U24"/>
    <hyperlink r:id="rId13" ref="U25"/>
    <hyperlink r:id="rId14" ref="U26"/>
    <hyperlink r:id="rId15" ref="U27"/>
    <hyperlink r:id="rId16" ref="U28"/>
    <hyperlink r:id="rId17" ref="U29"/>
    <hyperlink r:id="rId18" ref="U30"/>
    <hyperlink r:id="rId19" ref="U31"/>
    <hyperlink r:id="rId20" ref="U32"/>
    <hyperlink r:id="rId21" ref="U33"/>
    <hyperlink r:id="rId22" ref="U34"/>
    <hyperlink r:id="rId23" ref="U35"/>
    <hyperlink r:id="rId24" ref="U36"/>
    <hyperlink r:id="rId25" ref="U37"/>
    <hyperlink r:id="rId26" ref="U38"/>
    <hyperlink r:id="rId27" ref="U39"/>
    <hyperlink r:id="rId28" ref="U40"/>
    <hyperlink r:id="rId29" ref="U41"/>
    <hyperlink r:id="rId30" ref="U42"/>
    <hyperlink r:id="rId31" ref="U43"/>
    <hyperlink r:id="rId32" ref="U44"/>
    <hyperlink r:id="rId33" ref="U45"/>
    <hyperlink r:id="rId34" ref="U46"/>
    <hyperlink r:id="rId35" ref="U47"/>
    <hyperlink r:id="rId36" ref="U48"/>
    <hyperlink r:id="rId37" ref="U49"/>
    <hyperlink r:id="rId38" ref="U50"/>
    <hyperlink r:id="rId39" ref="U51"/>
    <hyperlink r:id="rId40" ref="U57"/>
    <hyperlink r:id="rId41" ref="U62"/>
    <hyperlink r:id="rId42" ref="U67"/>
    <hyperlink r:id="rId43" ref="U72"/>
    <hyperlink r:id="rId44" ref="U73"/>
    <hyperlink r:id="rId45" ref="U75"/>
  </hyperlinks>
  <drawing r:id="rId4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.38"/>
    <col customWidth="1" min="3" max="3" width="3.88"/>
    <col customWidth="1" min="4" max="6" width="1.38"/>
    <col customWidth="1" min="7" max="7" width="12.63"/>
    <col customWidth="1" min="8" max="8" width="1.38"/>
    <col customWidth="1" min="9" max="9" width="12.63"/>
    <col customWidth="1" min="10" max="10" width="1.38"/>
    <col customWidth="1" min="11" max="11" width="12.63"/>
    <col customWidth="1" min="12" max="12" width="1.38"/>
    <col customWidth="1" min="13" max="13" width="12.63"/>
    <col customWidth="1" min="14" max="14" width="1.38"/>
    <col customWidth="1" min="15" max="15" width="12.63"/>
    <col customWidth="1" min="16" max="18" width="1.38"/>
    <col customWidth="1" min="19" max="19" width="2.63"/>
    <col customWidth="1" min="20" max="20" width="1.38"/>
    <col customWidth="1" min="21" max="21" width="3.88"/>
    <col customWidth="1" min="22" max="24" width="1.38"/>
    <col customWidth="1" min="25" max="25" width="12.63"/>
    <col customWidth="1" min="26" max="26" width="1.38"/>
    <col customWidth="1" min="27" max="27" width="12.63"/>
    <col customWidth="1" min="28" max="28" width="1.38"/>
    <col customWidth="1" min="29" max="29" width="12.63"/>
    <col customWidth="1" min="30" max="30" width="1.38"/>
    <col customWidth="1" min="31" max="31" width="12.63"/>
    <col customWidth="1" min="32" max="32" width="1.38"/>
    <col customWidth="1" min="33" max="33" width="12.63"/>
    <col customWidth="1" min="34" max="36" width="1.38"/>
  </cols>
  <sheetData>
    <row r="1" ht="7.5" customHeight="1">
      <c r="A1" s="148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8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</row>
    <row r="2" ht="7.5" customHeight="1">
      <c r="A2" s="150"/>
      <c r="B2" s="149"/>
      <c r="C2" s="151" t="s">
        <v>54</v>
      </c>
      <c r="D2" s="14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52"/>
      <c r="S2" s="150"/>
      <c r="T2" s="153"/>
      <c r="U2" s="154" t="s">
        <v>55</v>
      </c>
      <c r="V2" s="152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49"/>
    </row>
    <row r="3" ht="7.5" customHeight="1">
      <c r="A3" s="150"/>
      <c r="B3" s="149"/>
      <c r="D3" s="149"/>
      <c r="E3" s="2"/>
      <c r="F3" s="156"/>
      <c r="G3" s="157"/>
      <c r="H3" s="157"/>
      <c r="I3" s="157"/>
      <c r="J3" s="157"/>
      <c r="K3" s="157"/>
      <c r="L3" s="157"/>
      <c r="M3" s="157"/>
      <c r="N3" s="157"/>
      <c r="O3" s="157"/>
      <c r="P3" s="158"/>
      <c r="Q3" s="2"/>
      <c r="R3" s="152"/>
      <c r="S3" s="150"/>
      <c r="T3" s="153"/>
      <c r="V3" s="152"/>
      <c r="W3" s="155"/>
      <c r="X3" s="159"/>
      <c r="Y3" s="160"/>
      <c r="Z3" s="160"/>
      <c r="AA3" s="160"/>
      <c r="AB3" s="160"/>
      <c r="AC3" s="160"/>
      <c r="AD3" s="160"/>
      <c r="AE3" s="160"/>
      <c r="AF3" s="160"/>
      <c r="AG3" s="160"/>
      <c r="AH3" s="161"/>
      <c r="AI3" s="155"/>
      <c r="AJ3" s="162" t="s">
        <v>10</v>
      </c>
    </row>
    <row r="4" ht="75.0" customHeight="1">
      <c r="A4" s="150"/>
      <c r="B4" s="149"/>
      <c r="D4" s="149"/>
      <c r="E4" s="2"/>
      <c r="F4" s="163"/>
      <c r="G4" s="164" t="str">
        <f>IMAGE("https://a.ppy.sh/17959882?1687932364.jpeg")</f>
        <v/>
      </c>
      <c r="H4" s="165"/>
      <c r="I4" s="165"/>
      <c r="J4" s="165"/>
      <c r="K4" s="165"/>
      <c r="L4" s="165"/>
      <c r="M4" s="165"/>
      <c r="N4" s="165"/>
      <c r="O4" s="165"/>
      <c r="P4" s="166"/>
      <c r="Q4" s="2"/>
      <c r="R4" s="152"/>
      <c r="S4" s="150"/>
      <c r="T4" s="153"/>
      <c r="V4" s="152"/>
      <c r="W4" s="155"/>
      <c r="X4" s="167"/>
      <c r="Y4" s="164" t="str">
        <f>IMAGE("https://a.ppy.sh/17959882?1687932364.jpeg")</f>
        <v/>
      </c>
      <c r="Z4" s="168"/>
      <c r="AA4" s="168"/>
      <c r="AB4" s="168"/>
      <c r="AC4" s="168"/>
      <c r="AD4" s="168"/>
      <c r="AE4" s="168"/>
      <c r="AF4" s="168"/>
      <c r="AG4" s="168"/>
      <c r="AH4" s="169"/>
      <c r="AI4" s="155"/>
      <c r="AJ4" s="149"/>
    </row>
    <row r="5" ht="22.5" customHeight="1">
      <c r="A5" s="150"/>
      <c r="B5" s="149"/>
      <c r="D5" s="149"/>
      <c r="E5" s="2"/>
      <c r="F5" s="170"/>
      <c r="G5" s="171" t="str">
        <f>HYPERLINK("osu.ppy.sh/users/17959882","-PeKoRa-")</f>
        <v>-PeKoRa-</v>
      </c>
      <c r="H5" s="172"/>
      <c r="I5" s="172"/>
      <c r="J5" s="172"/>
      <c r="K5" s="172"/>
      <c r="L5" s="172"/>
      <c r="M5" s="172"/>
      <c r="N5" s="172"/>
      <c r="O5" s="172"/>
      <c r="P5" s="173"/>
      <c r="Q5" s="2"/>
      <c r="R5" s="152"/>
      <c r="S5" s="150"/>
      <c r="T5" s="153"/>
      <c r="V5" s="152"/>
      <c r="W5" s="155"/>
      <c r="X5" s="174"/>
      <c r="Y5" s="175" t="str">
        <f>HYPERLINK("osu.ppy.sh/users/17959882","-PeKoRa-")</f>
        <v>-PeKoRa-</v>
      </c>
      <c r="Z5" s="176"/>
      <c r="AA5" s="176"/>
      <c r="AB5" s="176"/>
      <c r="AC5" s="176"/>
      <c r="AD5" s="176"/>
      <c r="AE5" s="176"/>
      <c r="AF5" s="176"/>
      <c r="AG5" s="176"/>
      <c r="AH5" s="177"/>
      <c r="AI5" s="155"/>
      <c r="AJ5" s="149"/>
    </row>
    <row r="6" ht="7.5" customHeight="1">
      <c r="A6" s="150"/>
      <c r="B6" s="149"/>
      <c r="D6" s="149"/>
      <c r="E6" s="2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"/>
      <c r="R6" s="152"/>
      <c r="S6" s="150"/>
      <c r="T6" s="153"/>
      <c r="V6" s="152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49"/>
    </row>
    <row r="7" ht="7.5" customHeight="1">
      <c r="A7" s="17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52"/>
      <c r="S7" s="179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49"/>
    </row>
    <row r="8" ht="7.5" customHeight="1">
      <c r="A8" s="150"/>
      <c r="B8" s="149"/>
      <c r="C8" s="180" t="s">
        <v>56</v>
      </c>
      <c r="D8" s="149"/>
      <c r="E8" s="2"/>
      <c r="F8" s="2"/>
      <c r="G8" s="2"/>
      <c r="H8" s="181"/>
      <c r="I8" s="182"/>
      <c r="J8" s="182"/>
      <c r="K8" s="182"/>
      <c r="L8" s="182"/>
      <c r="M8" s="182"/>
      <c r="N8" s="182"/>
      <c r="O8" s="182"/>
      <c r="P8" s="182"/>
      <c r="Q8" s="2"/>
      <c r="R8" s="152"/>
      <c r="S8" s="150"/>
      <c r="T8" s="153"/>
      <c r="U8" s="183" t="s">
        <v>57</v>
      </c>
      <c r="V8" s="152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49"/>
    </row>
    <row r="9" ht="7.5" customHeight="1">
      <c r="A9" s="150"/>
      <c r="B9" s="149"/>
      <c r="D9" s="149"/>
      <c r="E9" s="2"/>
      <c r="F9" s="184"/>
      <c r="G9" s="185"/>
      <c r="H9" s="186"/>
      <c r="I9" s="187"/>
      <c r="J9" s="187"/>
      <c r="K9" s="187"/>
      <c r="L9" s="187"/>
      <c r="M9" s="187"/>
      <c r="N9" s="187"/>
      <c r="O9" s="187"/>
      <c r="P9" s="188"/>
      <c r="Q9" s="2"/>
      <c r="R9" s="152"/>
      <c r="S9" s="150"/>
      <c r="T9" s="153"/>
      <c r="V9" s="152"/>
      <c r="W9" s="155"/>
      <c r="X9" s="189"/>
      <c r="Y9" s="190"/>
      <c r="Z9" s="160"/>
      <c r="AA9" s="160"/>
      <c r="AB9" s="160"/>
      <c r="AC9" s="160"/>
      <c r="AD9" s="160"/>
      <c r="AE9" s="160"/>
      <c r="AF9" s="160"/>
      <c r="AG9" s="160"/>
      <c r="AH9" s="161"/>
      <c r="AI9" s="155"/>
      <c r="AJ9" s="149"/>
    </row>
    <row r="10" ht="75.0" customHeight="1">
      <c r="A10" s="150"/>
      <c r="B10" s="149"/>
      <c r="D10" s="149"/>
      <c r="E10" s="2"/>
      <c r="F10" s="191"/>
      <c r="G10" s="164" t="str">
        <f>IMAGE("https://a.ppy.sh/14238097?1686376598.jpeg)")</f>
        <v/>
      </c>
      <c r="H10" s="172"/>
      <c r="I10" s="164" t="str">
        <f>IMAGE("https://a.ppy.sh/17959882?1687932364.jpeg")</f>
        <v/>
      </c>
      <c r="J10" s="172"/>
      <c r="K10" s="164" t="str">
        <f>IMAGE("https://a.ppy.sh/17959882?1687932364.jpeg")</f>
        <v/>
      </c>
      <c r="L10" s="172"/>
      <c r="M10" s="164" t="str">
        <f>IMAGE("https://a.ppy.sh/17959882?1687932364.jpeg")</f>
        <v/>
      </c>
      <c r="N10" s="172"/>
      <c r="O10" s="164" t="str">
        <f>IMAGE("https://a.ppy.sh/17959882?1687932364.jpeg")</f>
        <v/>
      </c>
      <c r="P10" s="173"/>
      <c r="Q10" s="2"/>
      <c r="R10" s="152"/>
      <c r="S10" s="150"/>
      <c r="T10" s="153"/>
      <c r="V10" s="152"/>
      <c r="W10" s="155"/>
      <c r="X10" s="167"/>
      <c r="Y10" s="164" t="str">
        <f>IMAGE("https://a.ppy.sh/14238097?1686376598.jpeg)")</f>
        <v/>
      </c>
      <c r="Z10" s="168"/>
      <c r="AA10" s="164" t="str">
        <f>IMAGE("https://a.ppy.sh/17959882?1687932364.jpeg")</f>
        <v/>
      </c>
      <c r="AB10" s="168"/>
      <c r="AC10" s="164" t="str">
        <f>IMAGE("https://a.ppy.sh/17959882?1687932364.jpeg")</f>
        <v/>
      </c>
      <c r="AD10" s="168"/>
      <c r="AE10" s="164" t="str">
        <f>IMAGE("https://a.ppy.sh/17959882?1687932364.jpeg")</f>
        <v/>
      </c>
      <c r="AF10" s="168"/>
      <c r="AG10" s="164" t="str">
        <f>IMAGE("https://a.ppy.sh/17959882?1687932364.jpeg")</f>
        <v/>
      </c>
      <c r="AH10" s="169"/>
      <c r="AI10" s="155"/>
      <c r="AJ10" s="149"/>
    </row>
    <row r="11" ht="22.5" customHeight="1">
      <c r="A11" s="150"/>
      <c r="B11" s="149"/>
      <c r="D11" s="149"/>
      <c r="E11" s="2"/>
      <c r="F11" s="192"/>
      <c r="G11" s="193" t="str">
        <f>HYPERLINK("osu.ppy.sh/users/17959882","fuwub")</f>
        <v>fuwub</v>
      </c>
      <c r="H11" s="172"/>
      <c r="I11" s="193" t="str">
        <f>HYPERLINK("osu.ppy.sh/users/17959882","-PeKoRa-")</f>
        <v>-PeKoRa-</v>
      </c>
      <c r="J11" s="172"/>
      <c r="K11" s="193" t="str">
        <f>HYPERLINK("osu.ppy.sh/users/17959882","-PeKoRa-")</f>
        <v>-PeKoRa-</v>
      </c>
      <c r="L11" s="172"/>
      <c r="M11" s="193" t="str">
        <f>HYPERLINK("osu.ppy.sh/users/17959882","-PeKoRa-")</f>
        <v>-PeKoRa-</v>
      </c>
      <c r="N11" s="172"/>
      <c r="O11" s="193" t="str">
        <f>HYPERLINK("osu.ppy.sh/users/17959882","-PeKoRa-")</f>
        <v>-PeKoRa-</v>
      </c>
      <c r="P11" s="173"/>
      <c r="Q11" s="2"/>
      <c r="R11" s="152"/>
      <c r="S11" s="150"/>
      <c r="T11" s="153"/>
      <c r="V11" s="152"/>
      <c r="W11" s="155"/>
      <c r="X11" s="174"/>
      <c r="Y11" s="194" t="str">
        <f>HYPERLINK("osu.ppy.sh/users/17959882","fuwub")</f>
        <v>fuwub</v>
      </c>
      <c r="Z11" s="176"/>
      <c r="AA11" s="194" t="str">
        <f>HYPERLINK("osu.ppy.sh/users/17959882","-PeKoRa-")</f>
        <v>-PeKoRa-</v>
      </c>
      <c r="AB11" s="176"/>
      <c r="AC11" s="194" t="str">
        <f>HYPERLINK("osu.ppy.sh/users/17959882","-PeKoRa-")</f>
        <v>-PeKoRa-</v>
      </c>
      <c r="AD11" s="176"/>
      <c r="AE11" s="194" t="str">
        <f>HYPERLINK("osu.ppy.sh/users/17959882","-PeKoRa-")</f>
        <v>-PeKoRa-</v>
      </c>
      <c r="AF11" s="176"/>
      <c r="AG11" s="194" t="str">
        <f>HYPERLINK("osu.ppy.sh/users/17959882","-PeKoRa-")</f>
        <v>-PeKoRa-</v>
      </c>
      <c r="AH11" s="177"/>
      <c r="AI11" s="155"/>
      <c r="AJ11" s="149"/>
    </row>
    <row r="12" ht="7.5" customHeight="1">
      <c r="A12" s="150"/>
      <c r="B12" s="149"/>
      <c r="D12" s="149"/>
      <c r="E12" s="2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2"/>
      <c r="R12" s="152"/>
      <c r="S12" s="150"/>
      <c r="T12" s="153"/>
      <c r="V12" s="152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49"/>
    </row>
    <row r="13" ht="7.5" customHeight="1">
      <c r="A13" s="179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52"/>
      <c r="S13" s="179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49"/>
    </row>
    <row r="14" ht="11.25" customHeight="1">
      <c r="A14" s="179"/>
      <c r="B14" s="149"/>
      <c r="C14" s="195" t="s">
        <v>58</v>
      </c>
      <c r="D14" s="149"/>
      <c r="E14" s="2"/>
      <c r="F14" s="2"/>
      <c r="G14" s="2"/>
      <c r="H14" s="181"/>
      <c r="I14" s="182"/>
      <c r="J14" s="182"/>
      <c r="K14" s="182"/>
      <c r="L14" s="182"/>
      <c r="M14" s="182"/>
      <c r="N14" s="182"/>
      <c r="O14" s="182"/>
      <c r="P14" s="182"/>
      <c r="Q14" s="2"/>
      <c r="R14" s="152"/>
      <c r="S14" s="179"/>
      <c r="T14" s="152"/>
      <c r="U14" s="152"/>
      <c r="V14" s="152"/>
      <c r="W14" s="152"/>
      <c r="X14" s="152"/>
      <c r="Y14" s="152"/>
      <c r="Z14" s="152"/>
      <c r="AA14" s="196"/>
      <c r="AB14" s="152"/>
      <c r="AC14" s="152"/>
      <c r="AD14" s="152"/>
      <c r="AE14" s="152"/>
      <c r="AF14" s="152"/>
      <c r="AG14" s="152"/>
      <c r="AH14" s="152"/>
      <c r="AI14" s="152"/>
      <c r="AJ14" s="149"/>
    </row>
    <row r="15" ht="7.5" customHeight="1">
      <c r="A15" s="179"/>
      <c r="B15" s="149"/>
      <c r="D15" s="149"/>
      <c r="E15" s="2"/>
      <c r="F15" s="184"/>
      <c r="G15" s="185"/>
      <c r="H15" s="186"/>
      <c r="I15" s="187"/>
      <c r="J15" s="187"/>
      <c r="K15" s="187"/>
      <c r="L15" s="187"/>
      <c r="M15" s="187"/>
      <c r="N15" s="187"/>
      <c r="O15" s="187"/>
      <c r="P15" s="188"/>
      <c r="Q15" s="2"/>
      <c r="R15" s="152"/>
      <c r="S15" s="179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49"/>
    </row>
    <row r="16" ht="75.0" customHeight="1">
      <c r="A16" s="179"/>
      <c r="B16" s="149"/>
      <c r="D16" s="149"/>
      <c r="E16" s="2"/>
      <c r="F16" s="191"/>
      <c r="G16" s="164" t="str">
        <f>IMAGE("https://a.ppy.sh/14238097?1686376598.jpeg)")</f>
        <v/>
      </c>
      <c r="H16" s="172"/>
      <c r="I16" s="164" t="str">
        <f>IMAGE("https://a.ppy.sh/17959882?1687932364.jpeg")</f>
        <v/>
      </c>
      <c r="J16" s="172"/>
      <c r="K16" s="164" t="str">
        <f>IMAGE("https://a.ppy.sh/17959882?1687932364.jpeg")</f>
        <v/>
      </c>
      <c r="L16" s="172"/>
      <c r="M16" s="164" t="str">
        <f>IMAGE("https://a.ppy.sh/17959882?1687932364.jpeg")</f>
        <v/>
      </c>
      <c r="N16" s="172"/>
      <c r="O16" s="164" t="str">
        <f>IMAGE("https://a.ppy.sh/17959882?1687932364.jpeg")</f>
        <v/>
      </c>
      <c r="P16" s="173"/>
      <c r="Q16" s="2"/>
      <c r="R16" s="152"/>
      <c r="S16" s="179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97"/>
      <c r="AG16" s="152"/>
      <c r="AH16" s="152"/>
      <c r="AI16" s="152"/>
      <c r="AJ16" s="149"/>
    </row>
    <row r="17" ht="22.5" customHeight="1">
      <c r="A17" s="179"/>
      <c r="B17" s="149"/>
      <c r="D17" s="149"/>
      <c r="E17" s="198"/>
      <c r="F17" s="192"/>
      <c r="G17" s="199" t="str">
        <f>HYPERLINK("osu.ppy.sh/users/17959882","fuwub")</f>
        <v>fuwub</v>
      </c>
      <c r="H17" s="172"/>
      <c r="I17" s="199" t="str">
        <f>HYPERLINK("osu.ppy.sh/users/17959882","-PeKoRa-")</f>
        <v>-PeKoRa-</v>
      </c>
      <c r="J17" s="172"/>
      <c r="K17" s="199" t="str">
        <f>HYPERLINK("osu.ppy.sh/users/17959882","-PeKoRa-")</f>
        <v>-PeKoRa-</v>
      </c>
      <c r="L17" s="172"/>
      <c r="M17" s="199" t="str">
        <f>HYPERLINK("osu.ppy.sh/users/17959882","-PeKoRa-")</f>
        <v>-PeKoRa-</v>
      </c>
      <c r="N17" s="172"/>
      <c r="O17" s="199" t="str">
        <f>HYPERLINK("osu.ppy.sh/users/17959882","-PeKoRa-")</f>
        <v>-PeKoRa-</v>
      </c>
      <c r="P17" s="173"/>
      <c r="Q17" s="2"/>
      <c r="R17" s="152"/>
      <c r="S17" s="179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49"/>
    </row>
    <row r="18" ht="11.25" customHeight="1">
      <c r="A18" s="179"/>
      <c r="B18" s="149"/>
      <c r="D18" s="149"/>
      <c r="E18" s="2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"/>
      <c r="R18" s="152"/>
      <c r="S18" s="179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49"/>
    </row>
    <row r="19" ht="7.5" customHeight="1">
      <c r="A19" s="17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2"/>
      <c r="S19" s="179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49"/>
    </row>
    <row r="20" ht="7.5" customHeight="1">
      <c r="A20" s="150"/>
      <c r="B20" s="149"/>
      <c r="C20" s="201" t="s">
        <v>59</v>
      </c>
      <c r="D20" s="149"/>
      <c r="E20" s="2"/>
      <c r="F20" s="181"/>
      <c r="G20" s="202"/>
      <c r="H20" s="181"/>
      <c r="I20" s="202"/>
      <c r="J20" s="203"/>
      <c r="K20" s="202"/>
      <c r="L20" s="203"/>
      <c r="M20" s="202"/>
      <c r="N20" s="203"/>
      <c r="O20" s="202"/>
      <c r="P20" s="203"/>
      <c r="Q20" s="2"/>
      <c r="R20" s="152"/>
      <c r="S20" s="150"/>
      <c r="T20" s="153"/>
      <c r="U20" s="204" t="s">
        <v>60</v>
      </c>
      <c r="V20" s="152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49"/>
    </row>
    <row r="21" ht="7.5" customHeight="1">
      <c r="A21" s="150"/>
      <c r="B21" s="149"/>
      <c r="D21" s="149"/>
      <c r="E21" s="2"/>
      <c r="F21" s="205"/>
      <c r="G21" s="206"/>
      <c r="H21" s="186"/>
      <c r="I21" s="206"/>
      <c r="J21" s="207"/>
      <c r="K21" s="206"/>
      <c r="L21" s="207"/>
      <c r="M21" s="206"/>
      <c r="N21" s="207"/>
      <c r="O21" s="206"/>
      <c r="P21" s="208"/>
      <c r="Q21" s="2"/>
      <c r="R21" s="152"/>
      <c r="S21" s="150"/>
      <c r="T21" s="153"/>
      <c r="V21" s="152"/>
      <c r="W21" s="155"/>
      <c r="X21" s="159"/>
      <c r="Y21" s="160"/>
      <c r="Z21" s="160"/>
      <c r="AA21" s="160"/>
      <c r="AB21" s="160"/>
      <c r="AC21" s="160"/>
      <c r="AD21" s="160"/>
      <c r="AE21" s="160"/>
      <c r="AF21" s="160"/>
      <c r="AG21" s="160"/>
      <c r="AH21" s="161"/>
      <c r="AI21" s="155"/>
      <c r="AJ21" s="149"/>
    </row>
    <row r="22" ht="75.0" customHeight="1">
      <c r="A22" s="150"/>
      <c r="B22" s="149"/>
      <c r="D22" s="149"/>
      <c r="E22" s="2"/>
      <c r="F22" s="209"/>
      <c r="G22" s="164" t="str">
        <f>IMAGE("https://a.ppy.sh/17959882?1687932364.jpeg")</f>
        <v/>
      </c>
      <c r="H22" s="172"/>
      <c r="I22" s="164" t="str">
        <f>IMAGE("https://a.ppy.sh/17959882?1687932364.jpeg")</f>
        <v/>
      </c>
      <c r="J22" s="210"/>
      <c r="K22" s="164" t="str">
        <f>IMAGE("https://a.ppy.sh/17959882?1687932364.jpeg")</f>
        <v/>
      </c>
      <c r="L22" s="210"/>
      <c r="M22" s="164" t="str">
        <f>IMAGE("https://a.ppy.sh/17959882?1687932364.jpeg")</f>
        <v/>
      </c>
      <c r="N22" s="210"/>
      <c r="O22" s="164" t="str">
        <f>IMAGE("https://a.ppy.sh/17959882?1687932364.jpeg")</f>
        <v/>
      </c>
      <c r="P22" s="211"/>
      <c r="Q22" s="2"/>
      <c r="R22" s="152"/>
      <c r="S22" s="150"/>
      <c r="T22" s="153"/>
      <c r="V22" s="152"/>
      <c r="W22" s="155"/>
      <c r="X22" s="167"/>
      <c r="Y22" s="164" t="str">
        <f>IMAGE("https://a.ppy.sh/17959882?1687932364.jpeg")</f>
        <v/>
      </c>
      <c r="Z22" s="168"/>
      <c r="AA22" s="164" t="str">
        <f>IMAGE("https://a.ppy.sh/17959882?1687932364.jpeg")</f>
        <v/>
      </c>
      <c r="AB22" s="168"/>
      <c r="AC22" s="164" t="str">
        <f>IMAGE("https://a.ppy.sh/17959882?1687932364.jpeg")</f>
        <v/>
      </c>
      <c r="AD22" s="168"/>
      <c r="AE22" s="164" t="str">
        <f>IMAGE("https://a.ppy.sh/17959882?1687932364.jpeg")</f>
        <v/>
      </c>
      <c r="AF22" s="168"/>
      <c r="AG22" s="164" t="str">
        <f>IMAGE("https://a.ppy.sh/17959882?1687932364.jpeg")</f>
        <v/>
      </c>
      <c r="AH22" s="169"/>
      <c r="AI22" s="155"/>
      <c r="AJ22" s="149"/>
    </row>
    <row r="23" ht="22.5" customHeight="1">
      <c r="A23" s="150"/>
      <c r="B23" s="149"/>
      <c r="D23" s="149"/>
      <c r="E23" s="2"/>
      <c r="F23" s="209"/>
      <c r="G23" s="212" t="str">
        <f>HYPERLINK("osu.ppy.sh/users/17959882","-PeKoRa-")</f>
        <v>-PeKoRa-</v>
      </c>
      <c r="H23" s="172"/>
      <c r="I23" s="212" t="str">
        <f>HYPERLINK("osu.ppy.sh/users/17959882","-PeKoRa-")</f>
        <v>-PeKoRa-</v>
      </c>
      <c r="J23" s="172"/>
      <c r="K23" s="212" t="str">
        <f>HYPERLINK("osu.ppy.sh/users/17959882","-PeKoRa-")</f>
        <v>-PeKoRa-</v>
      </c>
      <c r="L23" s="172"/>
      <c r="M23" s="212" t="str">
        <f>HYPERLINK("osu.ppy.sh/users/17959882","-PeKoRa-")</f>
        <v>-PeKoRa-</v>
      </c>
      <c r="N23" s="172"/>
      <c r="O23" s="212" t="str">
        <f>HYPERLINK("osu.ppy.sh/users/17959882","-PeKoRa-")</f>
        <v>-PeKoRa-</v>
      </c>
      <c r="P23" s="173"/>
      <c r="Q23" s="2"/>
      <c r="R23" s="152"/>
      <c r="S23" s="150"/>
      <c r="T23" s="153"/>
      <c r="V23" s="152"/>
      <c r="W23" s="155"/>
      <c r="X23" s="167"/>
      <c r="Y23" s="213" t="str">
        <f>HYPERLINK("osu.ppy.sh/users/17959882","-PeKoRa-")</f>
        <v>-PeKoRa-</v>
      </c>
      <c r="Z23" s="168"/>
      <c r="AA23" s="213" t="str">
        <f>HYPERLINK("osu.ppy.sh/users/17959882","-PeKoRa-")</f>
        <v>-PeKoRa-</v>
      </c>
      <c r="AB23" s="168"/>
      <c r="AC23" s="213" t="str">
        <f>HYPERLINK("osu.ppy.sh/users/17959882","-PeKoRa-")</f>
        <v>-PeKoRa-</v>
      </c>
      <c r="AD23" s="168"/>
      <c r="AE23" s="213" t="str">
        <f>HYPERLINK("osu.ppy.sh/users/17959882","-PeKoRa-")</f>
        <v>-PeKoRa-</v>
      </c>
      <c r="AF23" s="168"/>
      <c r="AG23" s="213" t="str">
        <f>HYPERLINK("osu.ppy.sh/users/17959882","-PeKoRa-")</f>
        <v>-PeKoRa-</v>
      </c>
      <c r="AH23" s="169"/>
      <c r="AI23" s="155"/>
      <c r="AJ23" s="149"/>
    </row>
    <row r="24" ht="7.5" customHeight="1">
      <c r="A24" s="150"/>
      <c r="B24" s="149"/>
      <c r="D24" s="149"/>
      <c r="E24" s="2"/>
      <c r="F24" s="192"/>
      <c r="G24" s="214"/>
      <c r="H24" s="172"/>
      <c r="I24" s="215"/>
      <c r="J24" s="215"/>
      <c r="K24" s="215"/>
      <c r="L24" s="215"/>
      <c r="M24" s="215"/>
      <c r="N24" s="215"/>
      <c r="O24" s="215"/>
      <c r="P24" s="216"/>
      <c r="Q24" s="2"/>
      <c r="R24" s="152"/>
      <c r="S24" s="150"/>
      <c r="T24" s="153"/>
      <c r="V24" s="152"/>
      <c r="W24" s="155"/>
      <c r="X24" s="167"/>
      <c r="Y24" s="168"/>
      <c r="Z24" s="168"/>
      <c r="AA24" s="168"/>
      <c r="AB24" s="168"/>
      <c r="AC24" s="168"/>
      <c r="AD24" s="168"/>
      <c r="AE24" s="168"/>
      <c r="AF24" s="168"/>
      <c r="AG24" s="168"/>
      <c r="AH24" s="169"/>
      <c r="AI24" s="155"/>
      <c r="AJ24" s="149"/>
    </row>
    <row r="25" ht="75.0" customHeight="1">
      <c r="A25" s="150"/>
      <c r="B25" s="149"/>
      <c r="D25" s="149"/>
      <c r="E25" s="2"/>
      <c r="F25" s="209"/>
      <c r="G25" s="164" t="str">
        <f>IMAGE("https://a.ppy.sh/17959882?1687932364.jpeg")</f>
        <v/>
      </c>
      <c r="H25" s="172"/>
      <c r="I25" s="164" t="str">
        <f>IMAGE("https://a.ppy.sh/17959882?1687932364.jpeg")</f>
        <v/>
      </c>
      <c r="J25" s="215"/>
      <c r="K25" s="164" t="str">
        <f>IMAGE("https://a.ppy.sh/17959882?1687932364.jpeg")</f>
        <v/>
      </c>
      <c r="L25" s="215"/>
      <c r="M25" s="164" t="str">
        <f>IMAGE("https://a.ppy.sh/17959882?1687932364.jpeg")</f>
        <v/>
      </c>
      <c r="N25" s="215"/>
      <c r="O25" s="164" t="str">
        <f>IMAGE("https://a.ppy.sh/17959882?1687932364.jpeg")</f>
        <v/>
      </c>
      <c r="P25" s="216"/>
      <c r="Q25" s="2"/>
      <c r="R25" s="152"/>
      <c r="S25" s="150"/>
      <c r="T25" s="153"/>
      <c r="V25" s="152"/>
      <c r="W25" s="155"/>
      <c r="X25" s="167"/>
      <c r="Y25" s="164" t="str">
        <f>IMAGE("https://a.ppy.sh/17959882?1687932364.jpeg")</f>
        <v/>
      </c>
      <c r="Z25" s="168"/>
      <c r="AA25" s="164" t="str">
        <f>IMAGE("https://a.ppy.sh/17959882?1687932364.jpeg")</f>
        <v/>
      </c>
      <c r="AB25" s="168"/>
      <c r="AC25" s="164" t="str">
        <f>IMAGE("https://a.ppy.sh/17959882?1687932364.jpeg")</f>
        <v/>
      </c>
      <c r="AD25" s="168"/>
      <c r="AE25" s="164" t="str">
        <f>IMAGE("https://a.ppy.sh/17959882?1687932364.jpeg")</f>
        <v/>
      </c>
      <c r="AF25" s="168"/>
      <c r="AG25" s="164" t="str">
        <f>IMAGE("https://a.ppy.sh/17959882?1687932364.jpeg")</f>
        <v/>
      </c>
      <c r="AH25" s="169"/>
      <c r="AI25" s="155"/>
      <c r="AJ25" s="149"/>
    </row>
    <row r="26" ht="22.5" customHeight="1">
      <c r="A26" s="150"/>
      <c r="B26" s="149"/>
      <c r="D26" s="149"/>
      <c r="E26" s="2"/>
      <c r="F26" s="209"/>
      <c r="G26" s="212" t="str">
        <f>HYPERLINK("osu.ppy.sh/users/17959882","-PeKoRa-")</f>
        <v>-PeKoRa-</v>
      </c>
      <c r="H26" s="172"/>
      <c r="I26" s="212" t="str">
        <f>HYPERLINK("osu.ppy.sh/users/17959882","-PeKoRa-")</f>
        <v>-PeKoRa-</v>
      </c>
      <c r="J26" s="215"/>
      <c r="K26" s="212" t="str">
        <f>HYPERLINK("osu.ppy.sh/users/17959882","-PeKoRa-")</f>
        <v>-PeKoRa-</v>
      </c>
      <c r="L26" s="215"/>
      <c r="M26" s="212" t="str">
        <f>HYPERLINK("osu.ppy.sh/users/17959882","-PeKoRa-")</f>
        <v>-PeKoRa-</v>
      </c>
      <c r="N26" s="215"/>
      <c r="O26" s="212" t="str">
        <f>HYPERLINK("osu.ppy.sh/users/17959882","-PeKoRa-")</f>
        <v>-PeKoRa-</v>
      </c>
      <c r="P26" s="216"/>
      <c r="Q26" s="2"/>
      <c r="R26" s="152"/>
      <c r="S26" s="150"/>
      <c r="T26" s="153"/>
      <c r="V26" s="152"/>
      <c r="W26" s="155"/>
      <c r="X26" s="167"/>
      <c r="Y26" s="213" t="str">
        <f>HYPERLINK("osu.ppy.sh/users/17959882","-PeKoRa-")</f>
        <v>-PeKoRa-</v>
      </c>
      <c r="Z26" s="168"/>
      <c r="AA26" s="213" t="str">
        <f>HYPERLINK("osu.ppy.sh/users/17959882","-PeKoRa-")</f>
        <v>-PeKoRa-</v>
      </c>
      <c r="AB26" s="168"/>
      <c r="AC26" s="213" t="str">
        <f>HYPERLINK("osu.ppy.sh/users/17959882","-PeKoRa-")</f>
        <v>-PeKoRa-</v>
      </c>
      <c r="AD26" s="168"/>
      <c r="AE26" s="213" t="str">
        <f>HYPERLINK("osu.ppy.sh/users/17959882","-PeKoRa-")</f>
        <v>-PeKoRa-</v>
      </c>
      <c r="AF26" s="168"/>
      <c r="AG26" s="213" t="str">
        <f>HYPERLINK("osu.ppy.sh/users/17959882","-PeKoRa-")</f>
        <v>-PeKoRa-</v>
      </c>
      <c r="AH26" s="169"/>
      <c r="AI26" s="155"/>
      <c r="AJ26" s="149"/>
    </row>
    <row r="27" ht="7.5" customHeight="1">
      <c r="A27" s="150"/>
      <c r="B27" s="149"/>
      <c r="D27" s="149"/>
      <c r="E27" s="2"/>
      <c r="F27" s="217"/>
      <c r="G27" s="218"/>
      <c r="H27" s="218"/>
      <c r="I27" s="219"/>
      <c r="J27" s="219"/>
      <c r="K27" s="219"/>
      <c r="L27" s="219"/>
      <c r="M27" s="219"/>
      <c r="N27" s="219"/>
      <c r="O27" s="219"/>
      <c r="P27" s="220"/>
      <c r="Q27" s="2"/>
      <c r="R27" s="152"/>
      <c r="S27" s="150"/>
      <c r="T27" s="153"/>
      <c r="V27" s="152"/>
      <c r="W27" s="155"/>
      <c r="X27" s="174"/>
      <c r="Y27" s="176"/>
      <c r="Z27" s="176"/>
      <c r="AA27" s="176"/>
      <c r="AB27" s="176"/>
      <c r="AC27" s="176"/>
      <c r="AD27" s="176"/>
      <c r="AE27" s="176"/>
      <c r="AF27" s="176"/>
      <c r="AG27" s="176"/>
      <c r="AH27" s="177"/>
      <c r="AI27" s="155"/>
      <c r="AJ27" s="149"/>
    </row>
    <row r="28" ht="7.5" customHeight="1">
      <c r="A28" s="150"/>
      <c r="B28" s="149"/>
      <c r="D28" s="14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52"/>
      <c r="S28" s="150"/>
      <c r="T28" s="153"/>
      <c r="V28" s="152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49"/>
    </row>
    <row r="29" ht="7.5" customHeight="1">
      <c r="A29" s="17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52"/>
      <c r="S29" s="179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49"/>
    </row>
    <row r="30" ht="7.5" customHeight="1">
      <c r="A30" s="150"/>
      <c r="B30" s="149"/>
      <c r="C30" s="221" t="s">
        <v>61</v>
      </c>
      <c r="D30" s="149"/>
      <c r="E30" s="2"/>
      <c r="F30" s="2"/>
      <c r="G30" s="2"/>
      <c r="H30" s="181"/>
      <c r="I30" s="182"/>
      <c r="J30" s="182"/>
      <c r="K30" s="182"/>
      <c r="L30" s="182"/>
      <c r="M30" s="182"/>
      <c r="N30" s="182"/>
      <c r="O30" s="182"/>
      <c r="P30" s="182"/>
      <c r="Q30" s="2"/>
      <c r="R30" s="152"/>
      <c r="S30" s="150"/>
      <c r="T30" s="153"/>
      <c r="U30" s="222" t="s">
        <v>62</v>
      </c>
      <c r="V30" s="152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49"/>
    </row>
    <row r="31" ht="7.5" customHeight="1">
      <c r="A31" s="150"/>
      <c r="B31" s="149"/>
      <c r="D31" s="149"/>
      <c r="E31" s="2"/>
      <c r="F31" s="184"/>
      <c r="G31" s="185"/>
      <c r="H31" s="186"/>
      <c r="I31" s="187"/>
      <c r="J31" s="187"/>
      <c r="K31" s="187"/>
      <c r="L31" s="187"/>
      <c r="M31" s="187"/>
      <c r="N31" s="187"/>
      <c r="O31" s="187"/>
      <c r="P31" s="188"/>
      <c r="Q31" s="2"/>
      <c r="R31" s="152"/>
      <c r="S31" s="150"/>
      <c r="T31" s="153"/>
      <c r="V31" s="152"/>
      <c r="W31" s="155"/>
      <c r="X31" s="189"/>
      <c r="Y31" s="190"/>
      <c r="Z31" s="160"/>
      <c r="AA31" s="160"/>
      <c r="AB31" s="160"/>
      <c r="AC31" s="160"/>
      <c r="AD31" s="160"/>
      <c r="AE31" s="160"/>
      <c r="AF31" s="160"/>
      <c r="AG31" s="160"/>
      <c r="AH31" s="161"/>
      <c r="AI31" s="155"/>
      <c r="AJ31" s="149"/>
    </row>
    <row r="32" ht="75.0" customHeight="1">
      <c r="A32" s="150"/>
      <c r="B32" s="149"/>
      <c r="D32" s="149"/>
      <c r="E32" s="2"/>
      <c r="F32" s="191"/>
      <c r="G32" s="164" t="str">
        <f>IMAGE("https://a.ppy.sh/14238097?1686376598.jpeg)")</f>
        <v/>
      </c>
      <c r="H32" s="172"/>
      <c r="I32" s="164" t="str">
        <f>IMAGE("https://a.ppy.sh/17959882?1687932364.jpeg")</f>
        <v/>
      </c>
      <c r="J32" s="172"/>
      <c r="K32" s="164" t="str">
        <f>IMAGE("https://a.ppy.sh/17959882?1687932364.jpeg")</f>
        <v/>
      </c>
      <c r="L32" s="172"/>
      <c r="M32" s="164" t="str">
        <f>IMAGE("https://a.ppy.sh/17959882?1687932364.jpeg")</f>
        <v/>
      </c>
      <c r="N32" s="172"/>
      <c r="O32" s="164" t="str">
        <f>IMAGE("https://a.ppy.sh/17959882?1687932364.jpeg")</f>
        <v/>
      </c>
      <c r="P32" s="173"/>
      <c r="Q32" s="2"/>
      <c r="R32" s="152"/>
      <c r="S32" s="150"/>
      <c r="T32" s="153"/>
      <c r="V32" s="152"/>
      <c r="W32" s="155"/>
      <c r="X32" s="167"/>
      <c r="Y32" s="164" t="str">
        <f>IMAGE("https://a.ppy.sh/14238097?1686376598.jpeg)")</f>
        <v/>
      </c>
      <c r="Z32" s="168"/>
      <c r="AA32" s="164" t="str">
        <f>IMAGE("https://a.ppy.sh/17959882?1687932364.jpeg")</f>
        <v/>
      </c>
      <c r="AB32" s="168"/>
      <c r="AC32" s="164" t="str">
        <f>IMAGE("https://a.ppy.sh/17959882?1687932364.jpeg")</f>
        <v/>
      </c>
      <c r="AD32" s="168"/>
      <c r="AE32" s="164" t="str">
        <f>IMAGE("https://a.ppy.sh/17959882?1687932364.jpeg")</f>
        <v/>
      </c>
      <c r="AF32" s="168"/>
      <c r="AG32" s="164" t="str">
        <f>IMAGE("https://a.ppy.sh/17959882?1687932364.jpeg")</f>
        <v/>
      </c>
      <c r="AH32" s="169"/>
      <c r="AI32" s="155"/>
      <c r="AJ32" s="149"/>
    </row>
    <row r="33" ht="22.5" customHeight="1">
      <c r="A33" s="150"/>
      <c r="B33" s="149"/>
      <c r="D33" s="149"/>
      <c r="E33" s="2"/>
      <c r="F33" s="192"/>
      <c r="G33" s="223" t="str">
        <f>HYPERLINK("osu.ppy.sh/users/17959882","fuwub")</f>
        <v>fuwub</v>
      </c>
      <c r="H33" s="172"/>
      <c r="I33" s="223" t="str">
        <f>HYPERLINK("osu.ppy.sh/users/17959882","-PeKoRa-")</f>
        <v>-PeKoRa-</v>
      </c>
      <c r="J33" s="172"/>
      <c r="K33" s="223" t="str">
        <f>HYPERLINK("osu.ppy.sh/users/17959882","-PeKoRa-")</f>
        <v>-PeKoRa-</v>
      </c>
      <c r="L33" s="172"/>
      <c r="M33" s="223" t="str">
        <f>HYPERLINK("osu.ppy.sh/users/17959882","-PeKoRa-")</f>
        <v>-PeKoRa-</v>
      </c>
      <c r="N33" s="172"/>
      <c r="O33" s="223" t="str">
        <f>HYPERLINK("osu.ppy.sh/users/17959882","-PeKoRa-")</f>
        <v>-PeKoRa-</v>
      </c>
      <c r="P33" s="173"/>
      <c r="Q33" s="2"/>
      <c r="R33" s="152"/>
      <c r="S33" s="150"/>
      <c r="T33" s="153"/>
      <c r="V33" s="152"/>
      <c r="W33" s="155"/>
      <c r="X33" s="167"/>
      <c r="Y33" s="224" t="str">
        <f>HYPERLINK("osu.ppy.sh/users/17959882","fuwub")</f>
        <v>fuwub</v>
      </c>
      <c r="Z33" s="168"/>
      <c r="AA33" s="224" t="str">
        <f>HYPERLINK("osu.ppy.sh/users/17959882","-PeKoRa-")</f>
        <v>-PeKoRa-</v>
      </c>
      <c r="AB33" s="168"/>
      <c r="AC33" s="224" t="str">
        <f>HYPERLINK("osu.ppy.sh/users/17959882","-PeKoRa-")</f>
        <v>-PeKoRa-</v>
      </c>
      <c r="AD33" s="168"/>
      <c r="AE33" s="224" t="str">
        <f>HYPERLINK("osu.ppy.sh/users/17959882","-PeKoRa-")</f>
        <v>-PeKoRa-</v>
      </c>
      <c r="AF33" s="168"/>
      <c r="AG33" s="224" t="str">
        <f>HYPERLINK("osu.ppy.sh/users/17959882","-PeKoRa-")</f>
        <v>-PeKoRa-</v>
      </c>
      <c r="AH33" s="169"/>
      <c r="AI33" s="155"/>
      <c r="AJ33" s="149"/>
    </row>
    <row r="34" ht="7.5" customHeight="1">
      <c r="A34" s="150"/>
      <c r="B34" s="149"/>
      <c r="D34" s="149"/>
      <c r="E34" s="2"/>
      <c r="F34" s="209"/>
      <c r="G34" s="172"/>
      <c r="H34" s="172"/>
      <c r="I34" s="172"/>
      <c r="J34" s="172"/>
      <c r="K34" s="172"/>
      <c r="L34" s="172"/>
      <c r="M34" s="172"/>
      <c r="N34" s="172"/>
      <c r="O34" s="172"/>
      <c r="P34" s="173"/>
      <c r="Q34" s="2"/>
      <c r="R34" s="152"/>
      <c r="S34" s="150"/>
      <c r="T34" s="153"/>
      <c r="V34" s="152"/>
      <c r="W34" s="155"/>
      <c r="X34" s="167"/>
      <c r="Y34" s="168"/>
      <c r="Z34" s="168"/>
      <c r="AA34" s="168"/>
      <c r="AB34" s="168"/>
      <c r="AC34" s="168"/>
      <c r="AD34" s="168"/>
      <c r="AE34" s="168"/>
      <c r="AF34" s="168"/>
      <c r="AG34" s="168"/>
      <c r="AH34" s="169"/>
      <c r="AI34" s="155"/>
      <c r="AJ34" s="149"/>
    </row>
    <row r="35" ht="75.0" customHeight="1">
      <c r="A35" s="150"/>
      <c r="B35" s="149"/>
      <c r="D35" s="149"/>
      <c r="E35" s="2"/>
      <c r="F35" s="209"/>
      <c r="G35" s="164" t="str">
        <f>IMAGE("https://a.ppy.sh/17959882?1687932364.jpeg")</f>
        <v/>
      </c>
      <c r="H35" s="172"/>
      <c r="I35" s="164" t="str">
        <f>IMAGE("https://a.ppy.sh/17959882?1687932364.jpeg")</f>
        <v/>
      </c>
      <c r="J35" s="210"/>
      <c r="K35" s="164" t="str">
        <f>IMAGE("https://a.ppy.sh/17959882?1687932364.jpeg")</f>
        <v/>
      </c>
      <c r="L35" s="210"/>
      <c r="M35" s="164" t="str">
        <f>IMAGE("https://a.ppy.sh/17959882?1687932364.jpeg")</f>
        <v/>
      </c>
      <c r="N35" s="210"/>
      <c r="O35" s="164" t="str">
        <f>IMAGE("https://a.ppy.sh/17959882?1687932364.jpeg")</f>
        <v/>
      </c>
      <c r="P35" s="211"/>
      <c r="Q35" s="2"/>
      <c r="R35" s="152"/>
      <c r="S35" s="150"/>
      <c r="T35" s="153"/>
      <c r="V35" s="152"/>
      <c r="W35" s="155"/>
      <c r="X35" s="167"/>
      <c r="Y35" s="164" t="str">
        <f>IMAGE("https://a.ppy.sh/17959882?1687932364.jpeg")</f>
        <v/>
      </c>
      <c r="Z35" s="168"/>
      <c r="AA35" s="164" t="str">
        <f>IMAGE("https://a.ppy.sh/17959882?1687932364.jpeg")</f>
        <v/>
      </c>
      <c r="AB35" s="168"/>
      <c r="AC35" s="225" t="str">
        <f>IMAGE("https://a.ppy.sh/17959882?1687932364.jpeg")</f>
        <v/>
      </c>
      <c r="AD35" s="168"/>
      <c r="AE35" s="164" t="str">
        <f>IMAGE("https://a.ppy.sh/17959882?1687932364.jpeg")</f>
        <v/>
      </c>
      <c r="AF35" s="168"/>
      <c r="AG35" s="164" t="str">
        <f>IMAGE("https://a.ppy.sh/17959882?1687932364.jpeg")</f>
        <v/>
      </c>
      <c r="AH35" s="169"/>
      <c r="AI35" s="155"/>
      <c r="AJ35" s="149"/>
    </row>
    <row r="36" ht="22.5" customHeight="1">
      <c r="A36" s="150"/>
      <c r="B36" s="149"/>
      <c r="D36" s="149"/>
      <c r="E36" s="2"/>
      <c r="F36" s="209"/>
      <c r="G36" s="223" t="str">
        <f>HYPERLINK("osu.ppy.sh/users/17959882","-PeKoRa-")</f>
        <v>-PeKoRa-</v>
      </c>
      <c r="H36" s="172"/>
      <c r="I36" s="223" t="str">
        <f>HYPERLINK("osu.ppy.sh/users/17959882","-PeKoRa-")</f>
        <v>-PeKoRa-</v>
      </c>
      <c r="J36" s="172"/>
      <c r="K36" s="223" t="str">
        <f>HYPERLINK("osu.ppy.sh/users/17959882","-PeKoRa-")</f>
        <v>-PeKoRa-</v>
      </c>
      <c r="L36" s="172"/>
      <c r="M36" s="223" t="str">
        <f>HYPERLINK("osu.ppy.sh/users/17959882","-PeKoRa-")</f>
        <v>-PeKoRa-</v>
      </c>
      <c r="N36" s="172"/>
      <c r="O36" s="223" t="str">
        <f>HYPERLINK("osu.ppy.sh/users/17959882","-PeKoRa-")</f>
        <v>-PeKoRa-</v>
      </c>
      <c r="P36" s="173"/>
      <c r="Q36" s="2"/>
      <c r="R36" s="152"/>
      <c r="S36" s="150"/>
      <c r="T36" s="153"/>
      <c r="V36" s="152"/>
      <c r="W36" s="155"/>
      <c r="X36" s="167"/>
      <c r="Y36" s="224" t="str">
        <f>HYPERLINK("osu.ppy.sh/users/17959882","-PeKoRa-")</f>
        <v>-PeKoRa-</v>
      </c>
      <c r="Z36" s="168"/>
      <c r="AA36" s="224" t="str">
        <f>HYPERLINK("osu.ppy.sh/users/17959882","-PeKoRa-")</f>
        <v>-PeKoRa-</v>
      </c>
      <c r="AB36" s="168"/>
      <c r="AC36" s="224" t="str">
        <f>HYPERLINK("osu.ppy.sh/users/17959882","-PeKoRa-")</f>
        <v>-PeKoRa-</v>
      </c>
      <c r="AD36" s="168"/>
      <c r="AE36" s="224" t="str">
        <f>HYPERLINK("osu.ppy.sh/users/17959882","-PeKoRa-")</f>
        <v>-PeKoRa-</v>
      </c>
      <c r="AF36" s="168"/>
      <c r="AG36" s="224" t="str">
        <f>HYPERLINK("osu.ppy.sh/users/17959882","-PeKoRa-")</f>
        <v>-PeKoRa-</v>
      </c>
      <c r="AH36" s="169"/>
      <c r="AI36" s="155"/>
      <c r="AJ36" s="149"/>
    </row>
    <row r="37" ht="7.5" customHeight="1">
      <c r="A37" s="150"/>
      <c r="B37" s="149"/>
      <c r="D37" s="149"/>
      <c r="E37" s="2"/>
      <c r="F37" s="192"/>
      <c r="G37" s="214"/>
      <c r="H37" s="172"/>
      <c r="I37" s="215"/>
      <c r="J37" s="215"/>
      <c r="K37" s="215"/>
      <c r="L37" s="215"/>
      <c r="M37" s="215"/>
      <c r="N37" s="215"/>
      <c r="O37" s="215"/>
      <c r="P37" s="216"/>
      <c r="Q37" s="2"/>
      <c r="R37" s="152"/>
      <c r="S37" s="150"/>
      <c r="T37" s="153"/>
      <c r="V37" s="152"/>
      <c r="W37" s="155"/>
      <c r="X37" s="167"/>
      <c r="Y37" s="168"/>
      <c r="Z37" s="168"/>
      <c r="AA37" s="168"/>
      <c r="AB37" s="168"/>
      <c r="AC37" s="168"/>
      <c r="AD37" s="168"/>
      <c r="AE37" s="168"/>
      <c r="AF37" s="168"/>
      <c r="AG37" s="168"/>
      <c r="AH37" s="169"/>
      <c r="AI37" s="155"/>
      <c r="AJ37" s="149"/>
    </row>
    <row r="38" ht="75.0" customHeight="1">
      <c r="A38" s="150"/>
      <c r="B38" s="149"/>
      <c r="D38" s="149"/>
      <c r="E38" s="2"/>
      <c r="F38" s="209"/>
      <c r="G38" s="164" t="str">
        <f>IMAGE("https://a.ppy.sh/17959882?1687932364.jpeg")</f>
        <v/>
      </c>
      <c r="H38" s="172"/>
      <c r="I38" s="164" t="str">
        <f>IMAGE("https://a.ppy.sh/17959882?1687932364.jpeg")</f>
        <v/>
      </c>
      <c r="J38" s="215"/>
      <c r="K38" s="164" t="str">
        <f>IMAGE("https://a.ppy.sh/17959882?1687932364.jpeg")</f>
        <v/>
      </c>
      <c r="L38" s="215"/>
      <c r="M38" s="164" t="str">
        <f>IMAGE("https://a.ppy.sh/17959882?1687932364.jpeg")</f>
        <v/>
      </c>
      <c r="N38" s="215"/>
      <c r="O38" s="164" t="str">
        <f>IMAGE("https://a.ppy.sh/17959882?1687932364.jpeg")</f>
        <v/>
      </c>
      <c r="P38" s="216"/>
      <c r="Q38" s="2"/>
      <c r="R38" s="152"/>
      <c r="S38" s="150"/>
      <c r="T38" s="153"/>
      <c r="V38" s="152"/>
      <c r="W38" s="155"/>
      <c r="X38" s="167"/>
      <c r="Y38" s="164" t="str">
        <f>IMAGE("https://a.ppy.sh/17959882?1687932364.jpeg")</f>
        <v/>
      </c>
      <c r="Z38" s="168"/>
      <c r="AA38" s="164" t="str">
        <f>IMAGE("https://a.ppy.sh/17959882?1687932364.jpeg")</f>
        <v/>
      </c>
      <c r="AB38" s="168"/>
      <c r="AC38" s="164" t="str">
        <f>IMAGE("https://a.ppy.sh/17959882?1687932364.jpeg")</f>
        <v/>
      </c>
      <c r="AD38" s="168"/>
      <c r="AE38" s="164" t="str">
        <f>IMAGE("https://a.ppy.sh/17959882?1687932364.jpeg")</f>
        <v/>
      </c>
      <c r="AF38" s="168"/>
      <c r="AG38" s="164" t="str">
        <f>IMAGE("https://a.ppy.sh/17959882?1687932364.jpeg")</f>
        <v/>
      </c>
      <c r="AH38" s="169"/>
      <c r="AI38" s="155"/>
      <c r="AJ38" s="149"/>
    </row>
    <row r="39" ht="22.5" customHeight="1">
      <c r="A39" s="150"/>
      <c r="B39" s="149"/>
      <c r="D39" s="149"/>
      <c r="E39" s="2"/>
      <c r="F39" s="209"/>
      <c r="G39" s="223" t="str">
        <f>HYPERLINK("osu.ppy.sh/users/17959882","-PeKoRa-")</f>
        <v>-PeKoRa-</v>
      </c>
      <c r="H39" s="172"/>
      <c r="I39" s="223" t="str">
        <f>HYPERLINK("osu.ppy.sh/users/17959882","-PeKoRa-")</f>
        <v>-PeKoRa-</v>
      </c>
      <c r="J39" s="215"/>
      <c r="K39" s="223" t="str">
        <f>HYPERLINK("osu.ppy.sh/users/17959882","-PeKoRa-")</f>
        <v>-PeKoRa-</v>
      </c>
      <c r="L39" s="215"/>
      <c r="M39" s="223" t="str">
        <f>HYPERLINK("osu.ppy.sh/users/17959882","-PeKoRa-")</f>
        <v>-PeKoRa-</v>
      </c>
      <c r="N39" s="215"/>
      <c r="O39" s="223" t="str">
        <f>HYPERLINK("osu.ppy.sh/users/17959882","-PeKoRa-")</f>
        <v>-PeKoRa-</v>
      </c>
      <c r="P39" s="216"/>
      <c r="Q39" s="2"/>
      <c r="R39" s="152"/>
      <c r="S39" s="150"/>
      <c r="T39" s="153"/>
      <c r="V39" s="152"/>
      <c r="W39" s="155"/>
      <c r="X39" s="167"/>
      <c r="Y39" s="224" t="str">
        <f>HYPERLINK("osu.ppy.sh/users/17959882","-PeKoRa-")</f>
        <v>-PeKoRa-</v>
      </c>
      <c r="Z39" s="168"/>
      <c r="AA39" s="224" t="str">
        <f>HYPERLINK("osu.ppy.sh/users/17959882","-PeKoRa-")</f>
        <v>-PeKoRa-</v>
      </c>
      <c r="AB39" s="168"/>
      <c r="AC39" s="224" t="str">
        <f>HYPERLINK("osu.ppy.sh/users/17959882","-PeKoRa-")</f>
        <v>-PeKoRa-</v>
      </c>
      <c r="AD39" s="168"/>
      <c r="AE39" s="224" t="str">
        <f>HYPERLINK("osu.ppy.sh/users/17959882","-PeKoRa-")</f>
        <v>-PeKoRa-</v>
      </c>
      <c r="AF39" s="168"/>
      <c r="AG39" s="224" t="str">
        <f>HYPERLINK("osu.ppy.sh/users/17959882","-PeKoRa-")</f>
        <v>-PeKoRa-</v>
      </c>
      <c r="AH39" s="169"/>
      <c r="AI39" s="155"/>
      <c r="AJ39" s="149"/>
    </row>
    <row r="40" ht="7.5" customHeight="1">
      <c r="A40" s="150"/>
      <c r="B40" s="149"/>
      <c r="D40" s="149"/>
      <c r="E40" s="2"/>
      <c r="F40" s="217"/>
      <c r="G40" s="218"/>
      <c r="H40" s="218"/>
      <c r="I40" s="219"/>
      <c r="J40" s="219"/>
      <c r="K40" s="219"/>
      <c r="L40" s="219"/>
      <c r="M40" s="219"/>
      <c r="N40" s="219"/>
      <c r="O40" s="219"/>
      <c r="P40" s="220"/>
      <c r="Q40" s="2"/>
      <c r="R40" s="152"/>
      <c r="S40" s="150"/>
      <c r="T40" s="153"/>
      <c r="V40" s="152"/>
      <c r="W40" s="155"/>
      <c r="X40" s="174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55"/>
      <c r="AJ40" s="149"/>
    </row>
    <row r="41" ht="7.5" customHeight="1">
      <c r="A41" s="150"/>
      <c r="B41" s="149"/>
      <c r="D41" s="14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52"/>
      <c r="S41" s="150"/>
      <c r="T41" s="153"/>
      <c r="V41" s="152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49"/>
    </row>
    <row r="42" ht="7.5" customHeight="1">
      <c r="A42" s="17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52"/>
      <c r="S42" s="179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49"/>
    </row>
    <row r="43" ht="7.5" customHeight="1">
      <c r="A43" s="148"/>
      <c r="B43" s="149"/>
      <c r="C43" s="226" t="s">
        <v>63</v>
      </c>
      <c r="D43" s="149"/>
      <c r="E43" s="2"/>
      <c r="F43" s="2"/>
      <c r="G43" s="2"/>
      <c r="H43" s="181"/>
      <c r="I43" s="182"/>
      <c r="J43" s="182"/>
      <c r="K43" s="182"/>
      <c r="L43" s="182"/>
      <c r="M43" s="182"/>
      <c r="N43" s="182"/>
      <c r="O43" s="182"/>
      <c r="P43" s="182"/>
      <c r="Q43" s="2"/>
      <c r="R43" s="149"/>
      <c r="S43" s="148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</row>
    <row r="44" ht="7.5" customHeight="1">
      <c r="A44" s="148"/>
      <c r="B44" s="149"/>
      <c r="D44" s="149"/>
      <c r="E44" s="2"/>
      <c r="F44" s="184"/>
      <c r="G44" s="185"/>
      <c r="H44" s="186"/>
      <c r="I44" s="187"/>
      <c r="J44" s="187"/>
      <c r="K44" s="187"/>
      <c r="L44" s="187"/>
      <c r="M44" s="187"/>
      <c r="N44" s="187"/>
      <c r="O44" s="187"/>
      <c r="P44" s="188"/>
      <c r="Q44" s="2"/>
      <c r="R44" s="149"/>
      <c r="S44" s="148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</row>
    <row r="45" ht="75.0" customHeight="1">
      <c r="A45" s="148"/>
      <c r="B45" s="149"/>
      <c r="D45" s="149"/>
      <c r="E45" s="2"/>
      <c r="F45" s="191"/>
      <c r="G45" s="164" t="str">
        <f>IMAGE("https://a.ppy.sh/14238097?1686376598.jpeg)")</f>
        <v/>
      </c>
      <c r="H45" s="172"/>
      <c r="I45" s="164" t="str">
        <f>IMAGE("https://a.ppy.sh/17959882?1687932364.jpeg")</f>
        <v/>
      </c>
      <c r="J45" s="172"/>
      <c r="K45" s="164" t="str">
        <f>IMAGE("https://a.ppy.sh/17959882?1687932364.jpeg")</f>
        <v/>
      </c>
      <c r="L45" s="172"/>
      <c r="M45" s="164" t="str">
        <f>IMAGE("https://a.ppy.sh/17959882?1687932364.jpeg")</f>
        <v/>
      </c>
      <c r="N45" s="172"/>
      <c r="O45" s="164" t="str">
        <f>IMAGE("https://a.ppy.sh/17959882?1687932364.jpeg")</f>
        <v/>
      </c>
      <c r="P45" s="173"/>
      <c r="Q45" s="2"/>
      <c r="R45" s="149"/>
      <c r="S45" s="148"/>
      <c r="T45" s="149"/>
      <c r="U45" s="149"/>
      <c r="V45" s="149"/>
      <c r="W45" s="149"/>
      <c r="X45" s="149"/>
      <c r="Y45" s="149"/>
      <c r="Z45" s="149"/>
      <c r="AA45" s="149"/>
      <c r="AB45" s="149"/>
      <c r="AC45" s="227"/>
      <c r="AD45" s="149"/>
      <c r="AE45" s="149"/>
      <c r="AF45" s="149"/>
      <c r="AG45" s="149"/>
      <c r="AH45" s="149"/>
      <c r="AI45" s="149"/>
      <c r="AJ45" s="149"/>
    </row>
    <row r="46" ht="22.5" customHeight="1">
      <c r="A46" s="148"/>
      <c r="B46" s="149"/>
      <c r="D46" s="149"/>
      <c r="E46" s="2"/>
      <c r="F46" s="192"/>
      <c r="G46" s="228" t="str">
        <f>HYPERLINK("osu.ppy.sh/users/17959882","fuwub")</f>
        <v>fuwub</v>
      </c>
      <c r="H46" s="172"/>
      <c r="I46" s="228" t="str">
        <f>HYPERLINK("osu.ppy.sh/users/17959882","-PeKoRa-")</f>
        <v>-PeKoRa-</v>
      </c>
      <c r="J46" s="172"/>
      <c r="K46" s="228" t="str">
        <f>HYPERLINK("osu.ppy.sh/users/17959882","-PeKoRa-")</f>
        <v>-PeKoRa-</v>
      </c>
      <c r="L46" s="172"/>
      <c r="M46" s="228" t="str">
        <f>HYPERLINK("osu.ppy.sh/users/17959882","-PeKoRa-")</f>
        <v>-PeKoRa-</v>
      </c>
      <c r="N46" s="172"/>
      <c r="O46" s="228" t="str">
        <f>HYPERLINK("osu.ppy.sh/users/17959882","-PeKoRa-")</f>
        <v>-PeKoRa-</v>
      </c>
      <c r="P46" s="173"/>
      <c r="Q46" s="2"/>
      <c r="R46" s="149"/>
      <c r="S46" s="148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ht="7.5" customHeight="1">
      <c r="A47" s="148"/>
      <c r="B47" s="149"/>
      <c r="D47" s="149"/>
      <c r="E47" s="2"/>
      <c r="F47" s="209"/>
      <c r="G47" s="172"/>
      <c r="H47" s="172"/>
      <c r="I47" s="172"/>
      <c r="J47" s="172"/>
      <c r="K47" s="172"/>
      <c r="L47" s="172"/>
      <c r="M47" s="172"/>
      <c r="N47" s="172"/>
      <c r="O47" s="172"/>
      <c r="P47" s="173"/>
      <c r="Q47" s="2"/>
      <c r="R47" s="149"/>
      <c r="S47" s="148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</row>
    <row r="48" ht="75.0" customHeight="1">
      <c r="A48" s="148"/>
      <c r="B48" s="149"/>
      <c r="D48" s="149"/>
      <c r="E48" s="2"/>
      <c r="F48" s="209"/>
      <c r="G48" s="164" t="str">
        <f>IMAGE("https://a.ppy.sh/17959882?1687932364.jpeg")</f>
        <v/>
      </c>
      <c r="H48" s="172"/>
      <c r="I48" s="164" t="str">
        <f>IMAGE("https://a.ppy.sh/17959882?1687932364.jpeg")</f>
        <v/>
      </c>
      <c r="J48" s="210"/>
      <c r="K48" s="164" t="str">
        <f>IMAGE("https://a.ppy.sh/17959882?1687932364.jpeg")</f>
        <v/>
      </c>
      <c r="L48" s="210"/>
      <c r="M48" s="164" t="str">
        <f>IMAGE("https://a.ppy.sh/17959882?1687932364.jpeg")</f>
        <v/>
      </c>
      <c r="N48" s="210"/>
      <c r="O48" s="164" t="str">
        <f>IMAGE("https://a.ppy.sh/17959882?1687932364.jpeg")</f>
        <v/>
      </c>
      <c r="P48" s="211"/>
      <c r="Q48" s="2"/>
      <c r="R48" s="149"/>
      <c r="S48" s="148"/>
      <c r="T48" s="149"/>
      <c r="U48" s="149"/>
      <c r="V48" s="149"/>
      <c r="W48" s="149"/>
      <c r="X48" s="149"/>
      <c r="Y48" s="149"/>
      <c r="Z48" s="149"/>
      <c r="AA48" s="229"/>
      <c r="AB48" s="149"/>
      <c r="AC48" s="149"/>
      <c r="AD48" s="149"/>
      <c r="AE48" s="149"/>
      <c r="AF48" s="149"/>
      <c r="AG48" s="149"/>
      <c r="AH48" s="149"/>
      <c r="AI48" s="149"/>
      <c r="AJ48" s="149"/>
    </row>
    <row r="49" ht="22.5" customHeight="1">
      <c r="A49" s="148"/>
      <c r="B49" s="149"/>
      <c r="D49" s="149"/>
      <c r="E49" s="2"/>
      <c r="F49" s="209"/>
      <c r="G49" s="228" t="str">
        <f>HYPERLINK("osu.ppy.sh/users/17959882","-PeKoRa-")</f>
        <v>-PeKoRa-</v>
      </c>
      <c r="H49" s="172"/>
      <c r="I49" s="228" t="str">
        <f>HYPERLINK("osu.ppy.sh/users/17959882","-PeKoRa-")</f>
        <v>-PeKoRa-</v>
      </c>
      <c r="J49" s="172"/>
      <c r="K49" s="228" t="str">
        <f>HYPERLINK("osu.ppy.sh/users/17959882","-PeKoRa-")</f>
        <v>-PeKoRa-</v>
      </c>
      <c r="L49" s="172"/>
      <c r="M49" s="228" t="str">
        <f>HYPERLINK("osu.ppy.sh/users/17959882","-PeKoRa-")</f>
        <v>-PeKoRa-</v>
      </c>
      <c r="N49" s="172"/>
      <c r="O49" s="228" t="str">
        <f>HYPERLINK("osu.ppy.sh/users/17959882","-PeKoRa-")</f>
        <v>-PeKoRa-</v>
      </c>
      <c r="P49" s="173"/>
      <c r="Q49" s="2"/>
      <c r="R49" s="149"/>
      <c r="S49" s="148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</row>
    <row r="50" ht="7.5" customHeight="1">
      <c r="A50" s="148"/>
      <c r="B50" s="149"/>
      <c r="D50" s="149"/>
      <c r="E50" s="2"/>
      <c r="F50" s="192"/>
      <c r="G50" s="214"/>
      <c r="H50" s="172"/>
      <c r="I50" s="215"/>
      <c r="J50" s="215"/>
      <c r="K50" s="215"/>
      <c r="L50" s="215"/>
      <c r="M50" s="215"/>
      <c r="N50" s="215"/>
      <c r="O50" s="215"/>
      <c r="P50" s="216"/>
      <c r="Q50" s="2"/>
      <c r="R50" s="149"/>
      <c r="S50" s="148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</row>
    <row r="51" ht="75.0" customHeight="1">
      <c r="A51" s="148"/>
      <c r="B51" s="149"/>
      <c r="D51" s="149"/>
      <c r="E51" s="2"/>
      <c r="F51" s="209"/>
      <c r="G51" s="164" t="str">
        <f>IMAGE("https://a.ppy.sh/17959882?1687932364.jpeg")</f>
        <v/>
      </c>
      <c r="H51" s="172"/>
      <c r="I51" s="164" t="str">
        <f>IMAGE("https://a.ppy.sh/17959882?1687932364.jpeg")</f>
        <v/>
      </c>
      <c r="J51" s="215"/>
      <c r="K51" s="164" t="str">
        <f>IMAGE("https://a.ppy.sh/17959882?1687932364.jpeg")</f>
        <v/>
      </c>
      <c r="L51" s="215"/>
      <c r="M51" s="164" t="str">
        <f>IMAGE("https://a.ppy.sh/17959882?1687932364.jpeg")</f>
        <v/>
      </c>
      <c r="N51" s="215"/>
      <c r="O51" s="164" t="str">
        <f>IMAGE("https://a.ppy.sh/17959882?1687932364.jpeg")</f>
        <v/>
      </c>
      <c r="P51" s="216"/>
      <c r="Q51" s="2"/>
      <c r="R51" s="149"/>
      <c r="S51" s="148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</row>
    <row r="52" ht="22.5" customHeight="1">
      <c r="A52" s="148"/>
      <c r="B52" s="149"/>
      <c r="D52" s="149"/>
      <c r="E52" s="2"/>
      <c r="F52" s="209"/>
      <c r="G52" s="228" t="str">
        <f>HYPERLINK("osu.ppy.sh/users/17959882","-PeKoRa-")</f>
        <v>-PeKoRa-</v>
      </c>
      <c r="H52" s="172"/>
      <c r="I52" s="228" t="str">
        <f>HYPERLINK("osu.ppy.sh/users/17959882","-PeKoRa-")</f>
        <v>-PeKoRa-</v>
      </c>
      <c r="J52" s="215"/>
      <c r="K52" s="228" t="str">
        <f>HYPERLINK("osu.ppy.sh/users/17959882","-PeKoRa-")</f>
        <v>-PeKoRa-</v>
      </c>
      <c r="L52" s="215"/>
      <c r="M52" s="228" t="str">
        <f>HYPERLINK("osu.ppy.sh/users/17959882","-PeKoRa-")</f>
        <v>-PeKoRa-</v>
      </c>
      <c r="N52" s="215"/>
      <c r="O52" s="228" t="str">
        <f>HYPERLINK("osu.ppy.sh/users/17959882","-PeKoRa-")</f>
        <v>-PeKoRa-</v>
      </c>
      <c r="P52" s="216"/>
      <c r="Q52" s="2"/>
      <c r="R52" s="149"/>
      <c r="S52" s="148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</row>
    <row r="53" ht="7.5" customHeight="1">
      <c r="A53" s="148"/>
      <c r="B53" s="149"/>
      <c r="D53" s="149"/>
      <c r="E53" s="2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2"/>
      <c r="R53" s="149"/>
      <c r="S53" s="148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</row>
    <row r="54" ht="7.5" customHeight="1">
      <c r="A54" s="148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8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</row>
  </sheetData>
  <mergeCells count="10">
    <mergeCell ref="U20:U28"/>
    <mergeCell ref="U30:U41"/>
    <mergeCell ref="C2:C6"/>
    <mergeCell ref="U2:U6"/>
    <mergeCell ref="C8:C12"/>
    <mergeCell ref="U8:U12"/>
    <mergeCell ref="C14:C18"/>
    <mergeCell ref="C20:C28"/>
    <mergeCell ref="C30:C41"/>
    <mergeCell ref="C43:C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" width="1.38"/>
    <col customWidth="1" min="5" max="5" width="3.25"/>
    <col customWidth="1" min="11" max="11" width="3.25"/>
    <col customWidth="1" min="12" max="16" width="1.38"/>
    <col customWidth="1" min="17" max="17" width="18.88"/>
    <col customWidth="1" min="18" max="20" width="1.38"/>
    <col customWidth="1" min="21" max="21" width="18.88"/>
    <col customWidth="1" min="22" max="23" width="1.38"/>
  </cols>
  <sheetData>
    <row r="1" ht="7.5" customHeight="1">
      <c r="A1" s="230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1" t="s">
        <v>10</v>
      </c>
      <c r="V1" s="230"/>
      <c r="W1" s="230"/>
    </row>
    <row r="2" ht="7.5" customHeight="1">
      <c r="A2" s="230"/>
      <c r="B2" s="232"/>
      <c r="C2" s="232"/>
      <c r="D2" s="232"/>
      <c r="E2" s="232"/>
      <c r="F2" s="232"/>
      <c r="G2" s="17"/>
      <c r="H2" s="233"/>
      <c r="O2" s="230"/>
      <c r="P2" s="234"/>
      <c r="Q2" s="235" t="s">
        <v>64</v>
      </c>
      <c r="V2" s="17"/>
      <c r="W2" s="230"/>
    </row>
    <row r="3" ht="7.5" customHeight="1">
      <c r="A3" s="230"/>
      <c r="B3" s="232"/>
      <c r="C3" s="232"/>
      <c r="D3" s="232"/>
      <c r="E3" s="232"/>
      <c r="F3" s="232"/>
      <c r="G3" s="17"/>
      <c r="O3" s="230"/>
      <c r="P3" s="230"/>
      <c r="V3" s="231" t="s">
        <v>10</v>
      </c>
      <c r="W3" s="230"/>
    </row>
    <row r="4" ht="7.5" customHeight="1">
      <c r="A4" s="230"/>
      <c r="B4" s="232"/>
      <c r="C4" s="232"/>
      <c r="D4" s="232"/>
      <c r="E4" s="236"/>
      <c r="F4" s="237"/>
      <c r="G4" s="237"/>
      <c r="H4" s="237"/>
      <c r="I4" s="237"/>
      <c r="J4" s="237"/>
      <c r="K4" s="237"/>
      <c r="L4" s="238"/>
      <c r="M4" s="233"/>
      <c r="N4" s="233"/>
      <c r="O4" s="230"/>
      <c r="P4" s="234"/>
      <c r="V4" s="17"/>
      <c r="W4" s="230"/>
    </row>
    <row r="5" ht="7.5" customHeight="1">
      <c r="A5" s="230"/>
      <c r="B5" s="232"/>
      <c r="C5" s="232"/>
      <c r="D5" s="232"/>
      <c r="E5" s="239"/>
      <c r="F5" s="240"/>
      <c r="G5" s="240"/>
      <c r="H5" s="240"/>
      <c r="I5" s="240"/>
      <c r="J5" s="240"/>
      <c r="K5" s="240"/>
      <c r="L5" s="241"/>
      <c r="M5" s="233"/>
      <c r="N5" s="233"/>
      <c r="O5" s="230"/>
      <c r="P5" s="234"/>
      <c r="V5" s="17"/>
      <c r="W5" s="230"/>
    </row>
    <row r="6" ht="75.0" customHeight="1">
      <c r="A6" s="230"/>
      <c r="B6" s="232"/>
      <c r="C6" s="232"/>
      <c r="D6" s="232"/>
      <c r="E6" s="239"/>
      <c r="F6" s="240"/>
      <c r="G6" s="240"/>
      <c r="H6" s="240"/>
      <c r="I6" s="240"/>
      <c r="J6" s="240"/>
      <c r="K6" s="240"/>
      <c r="L6" s="241"/>
      <c r="M6" s="233"/>
      <c r="N6" s="233"/>
      <c r="O6" s="230"/>
      <c r="P6" s="234"/>
      <c r="Q6" s="242" t="s">
        <v>65</v>
      </c>
      <c r="R6" s="243"/>
      <c r="S6" s="244"/>
      <c r="T6" s="245"/>
      <c r="U6" s="242" t="s">
        <v>66</v>
      </c>
      <c r="V6" s="17"/>
      <c r="W6" s="230"/>
    </row>
    <row r="7" ht="75.0" customHeight="1">
      <c r="A7" s="230"/>
      <c r="B7" s="17"/>
      <c r="C7" s="17"/>
      <c r="D7" s="17"/>
      <c r="E7" s="239"/>
      <c r="F7" s="240"/>
      <c r="G7" s="240"/>
      <c r="H7" s="240"/>
      <c r="I7" s="240"/>
      <c r="J7" s="240"/>
      <c r="K7" s="240"/>
      <c r="L7" s="241"/>
      <c r="M7" s="17"/>
      <c r="N7" s="17"/>
      <c r="O7" s="230"/>
      <c r="P7" s="230"/>
      <c r="Q7" s="246" t="s">
        <v>67</v>
      </c>
      <c r="R7" s="230"/>
      <c r="S7" s="230"/>
      <c r="T7" s="230"/>
      <c r="U7" s="246" t="s">
        <v>68</v>
      </c>
      <c r="V7" s="230"/>
      <c r="W7" s="230"/>
    </row>
    <row r="8" ht="75.0" customHeight="1">
      <c r="A8" s="230"/>
      <c r="B8" s="233"/>
      <c r="C8" s="233"/>
      <c r="D8" s="233"/>
      <c r="E8" s="239"/>
      <c r="F8" s="240"/>
      <c r="G8" s="240"/>
      <c r="H8" s="240"/>
      <c r="I8" s="240"/>
      <c r="J8" s="240"/>
      <c r="K8" s="240"/>
      <c r="L8" s="241"/>
      <c r="M8" s="232"/>
      <c r="N8" s="232"/>
      <c r="O8" s="230"/>
      <c r="P8" s="17"/>
      <c r="Q8" s="247">
        <f t="shared" ref="Q8:Q9" si="1">NOW()</f>
        <v>45946.80629</v>
      </c>
      <c r="R8" s="243"/>
      <c r="S8" s="244"/>
      <c r="T8" s="245"/>
      <c r="U8" s="248">
        <f>now()</f>
        <v>45946.80629</v>
      </c>
      <c r="V8" s="17"/>
      <c r="W8" s="230"/>
    </row>
    <row r="9" ht="7.5" customHeight="1">
      <c r="A9" s="230"/>
      <c r="B9" s="233"/>
      <c r="C9" s="233"/>
      <c r="D9" s="233"/>
      <c r="E9" s="239"/>
      <c r="F9" s="240"/>
      <c r="G9" s="240"/>
      <c r="H9" s="240"/>
      <c r="I9" s="240"/>
      <c r="J9" s="240"/>
      <c r="K9" s="240"/>
      <c r="L9" s="241"/>
      <c r="M9" s="232"/>
      <c r="N9" s="232"/>
      <c r="O9" s="230"/>
      <c r="P9" s="17"/>
      <c r="Q9" s="249">
        <f t="shared" si="1"/>
        <v>45946.80629</v>
      </c>
      <c r="V9" s="17"/>
      <c r="W9" s="230"/>
    </row>
    <row r="10" ht="7.5" customHeight="1">
      <c r="A10" s="230"/>
      <c r="B10" s="233"/>
      <c r="C10" s="233"/>
      <c r="D10" s="233"/>
      <c r="E10" s="250"/>
      <c r="F10" s="251"/>
      <c r="G10" s="251"/>
      <c r="H10" s="251"/>
      <c r="I10" s="251"/>
      <c r="J10" s="251"/>
      <c r="K10" s="251"/>
      <c r="L10" s="252"/>
      <c r="M10" s="232"/>
      <c r="N10" s="232"/>
      <c r="O10" s="230"/>
      <c r="P10" s="230"/>
      <c r="V10" s="231" t="s">
        <v>10</v>
      </c>
      <c r="W10" s="231" t="s">
        <v>10</v>
      </c>
    </row>
    <row r="11" ht="7.5" customHeight="1">
      <c r="A11" s="230"/>
      <c r="B11" s="233"/>
      <c r="C11" s="233"/>
      <c r="D11" s="233"/>
      <c r="E11" s="233"/>
      <c r="F11" s="233"/>
      <c r="G11" s="233"/>
      <c r="H11" s="233"/>
      <c r="I11" s="17"/>
      <c r="J11" s="232"/>
      <c r="K11" s="232"/>
      <c r="L11" s="232"/>
      <c r="M11" s="232"/>
      <c r="N11" s="232"/>
      <c r="O11" s="230"/>
      <c r="P11" s="17"/>
      <c r="V11" s="17"/>
      <c r="W11" s="230"/>
    </row>
    <row r="12" ht="7.5" customHeight="1">
      <c r="A12" s="230"/>
      <c r="B12" s="233"/>
      <c r="C12" s="233"/>
      <c r="D12" s="233"/>
      <c r="E12" s="233"/>
      <c r="F12" s="233"/>
      <c r="G12" s="233"/>
      <c r="H12" s="233"/>
      <c r="I12" s="17"/>
      <c r="J12" s="232"/>
      <c r="K12" s="232"/>
      <c r="L12" s="232"/>
      <c r="M12" s="232"/>
      <c r="N12" s="232"/>
      <c r="O12" s="230"/>
      <c r="P12" s="17"/>
      <c r="V12" s="17"/>
      <c r="W12" s="231" t="s">
        <v>10</v>
      </c>
    </row>
    <row r="13" ht="7.5" customHeight="1">
      <c r="A13" s="230"/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</row>
    <row r="14" ht="3.75" customHeight="1">
      <c r="A14" s="253"/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</row>
    <row r="15" ht="3.75" customHeight="1">
      <c r="A15" s="254"/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</row>
    <row r="16" ht="3.75" customHeight="1">
      <c r="A16" s="253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</row>
    <row r="17" ht="7.5" customHeight="1">
      <c r="A17" s="230"/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</row>
    <row r="18" ht="3.75" customHeight="1">
      <c r="A18" s="230"/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</row>
    <row r="19" ht="7.5" customHeight="1">
      <c r="A19" s="230"/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0"/>
      <c r="P19" s="233"/>
      <c r="Q19" s="233"/>
      <c r="R19" s="233"/>
      <c r="S19" s="233"/>
      <c r="T19" s="233"/>
      <c r="U19" s="233"/>
      <c r="V19" s="233"/>
      <c r="W19" s="230"/>
    </row>
    <row r="20" ht="7.5" customHeight="1">
      <c r="A20" s="230"/>
      <c r="B20" s="233"/>
      <c r="C20" s="233"/>
      <c r="D20" s="233"/>
      <c r="E20" s="255"/>
      <c r="F20" s="256"/>
      <c r="G20" s="256"/>
      <c r="H20" s="256"/>
      <c r="I20" s="256"/>
      <c r="J20" s="256"/>
      <c r="K20" s="257" t="s">
        <v>10</v>
      </c>
      <c r="L20" s="233"/>
      <c r="M20" s="233"/>
      <c r="N20" s="233"/>
      <c r="O20" s="230"/>
      <c r="P20" s="233"/>
      <c r="Q20" s="258"/>
      <c r="R20" s="259"/>
      <c r="S20" s="259"/>
      <c r="T20" s="259"/>
      <c r="U20" s="260"/>
      <c r="V20" s="233"/>
      <c r="W20" s="230"/>
    </row>
    <row r="21">
      <c r="A21" s="230"/>
      <c r="B21" s="233"/>
      <c r="C21" s="233"/>
      <c r="D21" s="233"/>
      <c r="E21" s="261"/>
      <c r="F21" s="262" t="s">
        <v>69</v>
      </c>
      <c r="G21" s="79"/>
      <c r="K21" s="263"/>
      <c r="L21" s="233"/>
      <c r="M21" s="264"/>
      <c r="N21" s="233"/>
      <c r="O21" s="230"/>
      <c r="P21" s="233"/>
      <c r="Q21" s="265" t="s">
        <v>70</v>
      </c>
      <c r="R21" s="266"/>
      <c r="S21" s="266"/>
      <c r="T21" s="266"/>
      <c r="U21" s="267"/>
      <c r="V21" s="233"/>
      <c r="W21" s="230"/>
    </row>
    <row r="22">
      <c r="A22" s="230"/>
      <c r="B22" s="233"/>
      <c r="C22" s="233"/>
      <c r="D22" s="233"/>
      <c r="E22" s="261"/>
      <c r="K22" s="263"/>
      <c r="L22" s="233"/>
      <c r="M22" s="233"/>
      <c r="N22" s="233"/>
      <c r="O22" s="230"/>
      <c r="P22" s="233"/>
      <c r="Q22" s="268"/>
      <c r="R22" s="266"/>
      <c r="S22" s="266"/>
      <c r="T22" s="266"/>
      <c r="U22" s="269" t="s">
        <v>71</v>
      </c>
      <c r="V22" s="233"/>
      <c r="W22" s="230"/>
    </row>
    <row r="23">
      <c r="A23" s="230"/>
      <c r="B23" s="233"/>
      <c r="C23" s="233"/>
      <c r="D23" s="233"/>
      <c r="E23" s="261"/>
      <c r="F23" s="270" t="s">
        <v>72</v>
      </c>
      <c r="G23" s="79"/>
      <c r="H23" s="271" t="s">
        <v>73</v>
      </c>
      <c r="I23" s="272" t="s">
        <v>74</v>
      </c>
      <c r="J23" s="79"/>
      <c r="K23" s="263"/>
      <c r="L23" s="233"/>
      <c r="M23" s="233"/>
      <c r="N23" s="233"/>
      <c r="O23" s="230"/>
      <c r="P23" s="233"/>
      <c r="Q23" s="268"/>
      <c r="R23" s="266"/>
      <c r="S23" s="266"/>
      <c r="T23" s="266"/>
      <c r="U23" s="267"/>
      <c r="V23" s="233"/>
      <c r="W23" s="230"/>
    </row>
    <row r="24">
      <c r="A24" s="230"/>
      <c r="B24" s="233"/>
      <c r="C24" s="233"/>
      <c r="D24" s="233"/>
      <c r="E24" s="261"/>
      <c r="F24" s="273" t="s">
        <v>75</v>
      </c>
      <c r="G24" s="79"/>
      <c r="H24" s="271" t="s">
        <v>73</v>
      </c>
      <c r="I24" s="273" t="s">
        <v>74</v>
      </c>
      <c r="J24" s="79"/>
      <c r="K24" s="263"/>
      <c r="L24" s="233"/>
      <c r="M24" s="233"/>
      <c r="N24" s="233"/>
      <c r="O24" s="230"/>
      <c r="P24" s="233"/>
      <c r="Q24" s="274" t="s">
        <v>76</v>
      </c>
      <c r="R24" s="266"/>
      <c r="S24" s="266"/>
      <c r="T24" s="266"/>
      <c r="U24" s="267"/>
      <c r="V24" s="233"/>
      <c r="W24" s="230"/>
    </row>
    <row r="25">
      <c r="A25" s="230"/>
      <c r="B25" s="233"/>
      <c r="C25" s="233"/>
      <c r="D25" s="233"/>
      <c r="E25" s="261"/>
      <c r="F25" s="273" t="s">
        <v>77</v>
      </c>
      <c r="G25" s="79"/>
      <c r="H25" s="271" t="s">
        <v>73</v>
      </c>
      <c r="I25" s="273" t="s">
        <v>74</v>
      </c>
      <c r="J25" s="79"/>
      <c r="K25" s="263"/>
      <c r="L25" s="233"/>
      <c r="M25" s="233"/>
      <c r="N25" s="233"/>
      <c r="O25" s="230"/>
      <c r="P25" s="233"/>
      <c r="Q25" s="268"/>
      <c r="R25" s="266"/>
      <c r="S25" s="266"/>
      <c r="T25" s="266"/>
      <c r="U25" s="267"/>
      <c r="V25" s="233"/>
      <c r="W25" s="230"/>
    </row>
    <row r="26">
      <c r="A26" s="230"/>
      <c r="B26" s="233"/>
      <c r="C26" s="233"/>
      <c r="D26" s="233"/>
      <c r="E26" s="261"/>
      <c r="F26" s="273" t="s">
        <v>28</v>
      </c>
      <c r="G26" s="79"/>
      <c r="H26" s="271" t="s">
        <v>73</v>
      </c>
      <c r="I26" s="273" t="s">
        <v>74</v>
      </c>
      <c r="J26" s="79"/>
      <c r="K26" s="263"/>
      <c r="L26" s="233"/>
      <c r="M26" s="233"/>
      <c r="N26" s="233"/>
      <c r="O26" s="230"/>
      <c r="P26" s="233"/>
      <c r="Q26" s="268"/>
      <c r="R26" s="266"/>
      <c r="S26" s="266"/>
      <c r="T26" s="266"/>
      <c r="U26" s="275" t="s">
        <v>78</v>
      </c>
      <c r="V26" s="233"/>
      <c r="W26" s="230"/>
    </row>
    <row r="27">
      <c r="A27" s="230"/>
      <c r="B27" s="233"/>
      <c r="C27" s="233"/>
      <c r="D27" s="233"/>
      <c r="E27" s="261"/>
      <c r="F27" s="273" t="s">
        <v>79</v>
      </c>
      <c r="G27" s="79"/>
      <c r="H27" s="271" t="s">
        <v>73</v>
      </c>
      <c r="I27" s="273" t="s">
        <v>74</v>
      </c>
      <c r="J27" s="79"/>
      <c r="K27" s="263"/>
      <c r="L27" s="233"/>
      <c r="M27" s="233"/>
      <c r="N27" s="233"/>
      <c r="O27" s="230"/>
      <c r="P27" s="233"/>
      <c r="Q27" s="268"/>
      <c r="R27" s="266"/>
      <c r="S27" s="266"/>
      <c r="T27" s="266"/>
      <c r="U27" s="267"/>
      <c r="V27" s="233"/>
      <c r="W27" s="230"/>
    </row>
    <row r="28">
      <c r="A28" s="230"/>
      <c r="B28" s="233"/>
      <c r="C28" s="233"/>
      <c r="D28" s="233"/>
      <c r="E28" s="261"/>
      <c r="F28" s="273" t="s">
        <v>26</v>
      </c>
      <c r="G28" s="79"/>
      <c r="H28" s="271" t="s">
        <v>73</v>
      </c>
      <c r="I28" s="273" t="s">
        <v>74</v>
      </c>
      <c r="J28" s="79"/>
      <c r="K28" s="263"/>
      <c r="L28" s="233"/>
      <c r="M28" s="233"/>
      <c r="N28" s="233"/>
      <c r="O28" s="230"/>
      <c r="P28" s="233"/>
      <c r="Q28" s="274" t="s">
        <v>80</v>
      </c>
      <c r="R28" s="266"/>
      <c r="S28" s="266"/>
      <c r="T28" s="266"/>
      <c r="U28" s="276" t="s">
        <v>81</v>
      </c>
      <c r="V28" s="233"/>
      <c r="W28" s="230"/>
    </row>
    <row r="29">
      <c r="A29" s="230"/>
      <c r="B29" s="233"/>
      <c r="C29" s="233"/>
      <c r="D29" s="233"/>
      <c r="E29" s="261"/>
      <c r="F29" s="273" t="s">
        <v>82</v>
      </c>
      <c r="G29" s="79"/>
      <c r="H29" s="271" t="s">
        <v>73</v>
      </c>
      <c r="I29" s="273" t="s">
        <v>74</v>
      </c>
      <c r="J29" s="79"/>
      <c r="K29" s="263"/>
      <c r="L29" s="233"/>
      <c r="M29" s="233"/>
      <c r="N29" s="233"/>
      <c r="O29" s="230"/>
      <c r="P29" s="233"/>
      <c r="Q29" s="268"/>
      <c r="R29" s="266"/>
      <c r="S29" s="266"/>
      <c r="T29" s="266"/>
      <c r="U29" s="276" t="s">
        <v>83</v>
      </c>
      <c r="V29" s="233"/>
      <c r="W29" s="230"/>
    </row>
    <row r="30">
      <c r="A30" s="230"/>
      <c r="B30" s="233"/>
      <c r="C30" s="233"/>
      <c r="D30" s="233"/>
      <c r="E30" s="277"/>
      <c r="F30" s="278"/>
      <c r="G30" s="278"/>
      <c r="H30" s="278"/>
      <c r="I30" s="278"/>
      <c r="J30" s="278"/>
      <c r="K30" s="279"/>
      <c r="L30" s="233"/>
      <c r="M30" s="233"/>
      <c r="N30" s="233"/>
      <c r="O30" s="230"/>
      <c r="P30" s="233"/>
      <c r="Q30" s="268"/>
      <c r="R30" s="266"/>
      <c r="S30" s="266"/>
      <c r="T30" s="266"/>
      <c r="U30" s="276" t="s">
        <v>84</v>
      </c>
      <c r="V30" s="233"/>
      <c r="W30" s="230"/>
    </row>
    <row r="31">
      <c r="A31" s="230"/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0"/>
      <c r="P31" s="233"/>
      <c r="Q31" s="280"/>
      <c r="R31" s="281"/>
      <c r="S31" s="281"/>
      <c r="T31" s="281"/>
      <c r="U31" s="282"/>
      <c r="V31" s="233"/>
      <c r="W31" s="230"/>
    </row>
    <row r="32" ht="7.5" customHeight="1">
      <c r="A32" s="230"/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0"/>
      <c r="P32" s="233"/>
      <c r="Q32" s="233"/>
      <c r="R32" s="233"/>
      <c r="S32" s="233"/>
      <c r="T32" s="233"/>
      <c r="U32" s="233"/>
      <c r="V32" s="233"/>
      <c r="W32" s="230"/>
    </row>
    <row r="33" ht="7.5" customHeight="1">
      <c r="A33" s="230"/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</row>
  </sheetData>
  <mergeCells count="19">
    <mergeCell ref="H2:N3"/>
    <mergeCell ref="Q2:U5"/>
    <mergeCell ref="Q9:U12"/>
    <mergeCell ref="F21:G21"/>
    <mergeCell ref="F22:G22"/>
    <mergeCell ref="F23:G23"/>
    <mergeCell ref="F24:G24"/>
    <mergeCell ref="F27:G27"/>
    <mergeCell ref="F28:G28"/>
    <mergeCell ref="F29:G29"/>
    <mergeCell ref="I28:J28"/>
    <mergeCell ref="I29:J29"/>
    <mergeCell ref="I23:J23"/>
    <mergeCell ref="I24:J24"/>
    <mergeCell ref="F25:G25"/>
    <mergeCell ref="I25:J25"/>
    <mergeCell ref="F26:G26"/>
    <mergeCell ref="I26:J26"/>
    <mergeCell ref="I27:J2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.38"/>
    <col customWidth="1" min="3" max="3" width="12.63"/>
    <col customWidth="1" min="4" max="4" width="1.38"/>
    <col customWidth="1" min="5" max="5" width="7.0"/>
    <col customWidth="1" min="6" max="6" width="15.13"/>
    <col customWidth="1" min="7" max="7" width="7.0"/>
    <col customWidth="1" min="8" max="8" width="15.13"/>
    <col customWidth="1" min="9" max="9" width="7.0"/>
    <col customWidth="1" min="10" max="10" width="15.13"/>
    <col customWidth="1" min="11" max="11" width="31.38"/>
    <col customWidth="1" min="12" max="14" width="1.38"/>
  </cols>
  <sheetData>
    <row r="1" ht="7.5" customHeight="1">
      <c r="A1" s="1"/>
      <c r="B1" s="1"/>
      <c r="C1" s="1"/>
      <c r="D1" s="1"/>
      <c r="E1" s="283"/>
      <c r="F1" s="1"/>
      <c r="G1" s="283"/>
      <c r="H1" s="1"/>
      <c r="I1" s="283"/>
      <c r="J1" s="1"/>
      <c r="K1" s="1"/>
      <c r="L1" s="1"/>
      <c r="M1" s="1"/>
      <c r="N1" s="1"/>
    </row>
    <row r="2" ht="3.75" customHeight="1">
      <c r="A2" s="1"/>
      <c r="B2" s="2"/>
      <c r="C2" s="2"/>
      <c r="D2" s="2"/>
      <c r="E2" s="284"/>
      <c r="F2" s="2"/>
      <c r="G2" s="284"/>
      <c r="H2" s="2"/>
      <c r="I2" s="284"/>
      <c r="J2" s="2"/>
      <c r="K2" s="2"/>
      <c r="L2" s="2"/>
      <c r="M2" s="2"/>
      <c r="N2" s="1"/>
    </row>
    <row r="3" ht="30.0" customHeight="1">
      <c r="A3" s="3"/>
      <c r="B3" s="2"/>
      <c r="C3" s="4" t="str">
        <f> "NO OF TEAMS  ( " 
&amp; COUNTIF(C6:C185,"*") &amp; " )" </f>
        <v>NO OF TEAMS  ( 0 )</v>
      </c>
      <c r="D3" s="5"/>
      <c r="E3" s="285" t="str">
        <f>IMAGE("https://a.ppy.sh/17959882?1687932364.jpeg")</f>
        <v/>
      </c>
      <c r="F3" s="4" t="s">
        <v>1</v>
      </c>
      <c r="G3" s="285" t="str">
        <f>IMAGE("https://a.ppy.sh/14238097?1686376598.jpeg)")</f>
        <v/>
      </c>
      <c r="H3" s="4" t="s">
        <v>2</v>
      </c>
      <c r="I3" s="285" t="str">
        <f>IMAGE("https://a.ppy.sh/17959882?1687932364.jpeg")</f>
        <v/>
      </c>
      <c r="J3" s="4" t="s">
        <v>3</v>
      </c>
      <c r="K3" s="7" t="s">
        <v>4</v>
      </c>
      <c r="M3" s="2"/>
      <c r="N3" s="1"/>
    </row>
    <row r="4" ht="11.25" customHeight="1">
      <c r="A4" s="3"/>
      <c r="B4" s="2"/>
      <c r="D4" s="5"/>
      <c r="F4" s="8" t="s">
        <v>5</v>
      </c>
      <c r="H4" s="8" t="s">
        <v>6</v>
      </c>
      <c r="J4" s="8" t="s">
        <v>7</v>
      </c>
      <c r="K4" s="9"/>
      <c r="M4" s="2"/>
      <c r="N4" s="1"/>
    </row>
    <row r="5" ht="3.75" customHeight="1">
      <c r="A5" s="1"/>
      <c r="B5" s="2"/>
      <c r="C5" s="2"/>
      <c r="D5" s="10"/>
      <c r="E5" s="284"/>
      <c r="F5" s="2"/>
      <c r="G5" s="284"/>
      <c r="H5" s="2"/>
      <c r="I5" s="284"/>
      <c r="J5" s="2"/>
      <c r="K5" s="10"/>
      <c r="L5" s="2"/>
      <c r="M5" s="2"/>
      <c r="N5" s="1"/>
    </row>
    <row r="6" ht="30.0" customHeight="1">
      <c r="A6" s="3"/>
      <c r="B6" s="2"/>
      <c r="C6" s="11" t="str">
        <f>IFERROR(__xludf.DUMMYFUNCTION("IMPORTRANGE(""1HHAHmZTTDlyB4RHaHQ-2bhUchkHOEZhmcQrDYQXnxnw"",""importrange!R3:Z"")"),"#REF!")</f>
        <v>#REF!</v>
      </c>
      <c r="D6" s="5"/>
      <c r="E6" s="286"/>
      <c r="F6" s="13"/>
      <c r="G6" s="286"/>
      <c r="H6" s="13"/>
      <c r="I6" s="286"/>
      <c r="J6" s="13"/>
      <c r="K6" s="14"/>
      <c r="M6" s="2"/>
      <c r="N6" s="1"/>
    </row>
    <row r="7" ht="11.25" customHeight="1">
      <c r="A7" s="3"/>
      <c r="B7" s="2"/>
      <c r="D7" s="5"/>
      <c r="F7" s="15"/>
      <c r="H7" s="15"/>
      <c r="J7" s="15"/>
      <c r="K7" s="9"/>
      <c r="M7" s="2"/>
      <c r="N7" s="1"/>
    </row>
    <row r="8" ht="3.75" customHeight="1">
      <c r="A8" s="1"/>
      <c r="B8" s="2"/>
      <c r="C8" s="16"/>
      <c r="D8" s="10"/>
      <c r="E8" s="284"/>
      <c r="F8" s="2"/>
      <c r="G8" s="284"/>
      <c r="H8" s="2"/>
      <c r="I8" s="284"/>
      <c r="J8" s="2"/>
      <c r="K8" s="10"/>
      <c r="L8" s="2"/>
      <c r="M8" s="2"/>
      <c r="N8" s="1"/>
    </row>
    <row r="9" ht="30.0" customHeight="1">
      <c r="A9" s="3"/>
      <c r="B9" s="2"/>
      <c r="C9" s="11"/>
      <c r="D9" s="5"/>
      <c r="E9" s="286"/>
      <c r="F9" s="13"/>
      <c r="G9" s="286"/>
      <c r="H9" s="13"/>
      <c r="I9" s="286"/>
      <c r="J9" s="13"/>
      <c r="K9" s="14"/>
      <c r="L9" s="17"/>
      <c r="M9" s="2"/>
      <c r="N9" s="1"/>
    </row>
    <row r="10" ht="11.25" customHeight="1">
      <c r="A10" s="3"/>
      <c r="B10" s="2"/>
      <c r="D10" s="5"/>
      <c r="F10" s="15"/>
      <c r="H10" s="15"/>
      <c r="J10" s="15"/>
      <c r="K10" s="9"/>
      <c r="L10" s="17"/>
      <c r="M10" s="2"/>
      <c r="N10" s="1"/>
    </row>
    <row r="11" ht="3.75" customHeight="1">
      <c r="A11" s="1"/>
      <c r="B11" s="2"/>
      <c r="C11" s="16"/>
      <c r="D11" s="10"/>
      <c r="E11" s="284"/>
      <c r="F11" s="2"/>
      <c r="G11" s="284"/>
      <c r="H11" s="2"/>
      <c r="I11" s="284"/>
      <c r="J11" s="2"/>
      <c r="K11" s="10"/>
      <c r="L11" s="2"/>
      <c r="M11" s="2"/>
      <c r="N11" s="1"/>
    </row>
    <row r="12" ht="30.0" customHeight="1">
      <c r="A12" s="3"/>
      <c r="B12" s="2"/>
      <c r="C12" s="11"/>
      <c r="D12" s="5"/>
      <c r="E12" s="286"/>
      <c r="F12" s="13"/>
      <c r="G12" s="286"/>
      <c r="H12" s="13"/>
      <c r="I12" s="286"/>
      <c r="J12" s="13"/>
      <c r="K12" s="14"/>
      <c r="L12" s="17"/>
      <c r="M12" s="2"/>
      <c r="N12" s="1"/>
    </row>
    <row r="13" ht="11.25" customHeight="1">
      <c r="A13" s="3"/>
      <c r="B13" s="2"/>
      <c r="D13" s="5"/>
      <c r="F13" s="15"/>
      <c r="H13" s="15"/>
      <c r="J13" s="15"/>
      <c r="K13" s="9"/>
      <c r="L13" s="17"/>
      <c r="M13" s="2"/>
      <c r="N13" s="1"/>
    </row>
    <row r="14" ht="3.75" customHeight="1">
      <c r="A14" s="1"/>
      <c r="B14" s="2"/>
      <c r="C14" s="16"/>
      <c r="D14" s="10"/>
      <c r="E14" s="284"/>
      <c r="F14" s="2"/>
      <c r="G14" s="284"/>
      <c r="H14" s="2"/>
      <c r="I14" s="284"/>
      <c r="J14" s="2"/>
      <c r="K14" s="10"/>
      <c r="L14" s="2"/>
      <c r="M14" s="2"/>
      <c r="N14" s="1"/>
    </row>
    <row r="15" ht="30.0" customHeight="1">
      <c r="A15" s="3"/>
      <c r="B15" s="2"/>
      <c r="C15" s="11"/>
      <c r="D15" s="5"/>
      <c r="E15" s="286"/>
      <c r="F15" s="13"/>
      <c r="G15" s="286"/>
      <c r="H15" s="13"/>
      <c r="I15" s="286"/>
      <c r="J15" s="13"/>
      <c r="K15" s="14"/>
      <c r="L15" s="17"/>
      <c r="M15" s="2"/>
      <c r="N15" s="1"/>
    </row>
    <row r="16" ht="11.25" customHeight="1">
      <c r="A16" s="3"/>
      <c r="B16" s="2"/>
      <c r="D16" s="5"/>
      <c r="F16" s="15"/>
      <c r="H16" s="15"/>
      <c r="J16" s="15"/>
      <c r="K16" s="9"/>
      <c r="L16" s="17"/>
      <c r="M16" s="2"/>
      <c r="N16" s="1"/>
    </row>
    <row r="17" ht="3.75" customHeight="1">
      <c r="A17" s="1"/>
      <c r="B17" s="2"/>
      <c r="C17" s="16"/>
      <c r="D17" s="10"/>
      <c r="E17" s="284"/>
      <c r="F17" s="2"/>
      <c r="G17" s="284"/>
      <c r="H17" s="2"/>
      <c r="I17" s="284"/>
      <c r="J17" s="2"/>
      <c r="K17" s="10"/>
      <c r="L17" s="2"/>
      <c r="M17" s="2"/>
      <c r="N17" s="1"/>
    </row>
    <row r="18" ht="30.0" customHeight="1">
      <c r="A18" s="3"/>
      <c r="B18" s="2"/>
      <c r="C18" s="11"/>
      <c r="D18" s="5"/>
      <c r="E18" s="286"/>
      <c r="F18" s="13"/>
      <c r="G18" s="286"/>
      <c r="H18" s="13"/>
      <c r="I18" s="286"/>
      <c r="J18" s="13"/>
      <c r="K18" s="14"/>
      <c r="L18" s="17"/>
      <c r="M18" s="2"/>
      <c r="N18" s="1"/>
    </row>
    <row r="19" ht="11.25" customHeight="1">
      <c r="A19" s="3"/>
      <c r="B19" s="2"/>
      <c r="D19" s="5"/>
      <c r="F19" s="15"/>
      <c r="H19" s="15"/>
      <c r="J19" s="15"/>
      <c r="K19" s="9"/>
      <c r="L19" s="17"/>
      <c r="M19" s="2"/>
      <c r="N19" s="1"/>
    </row>
    <row r="20" ht="3.75" customHeight="1">
      <c r="A20" s="1"/>
      <c r="B20" s="2"/>
      <c r="C20" s="16"/>
      <c r="D20" s="10"/>
      <c r="E20" s="284"/>
      <c r="F20" s="2"/>
      <c r="G20" s="284"/>
      <c r="H20" s="2"/>
      <c r="I20" s="284"/>
      <c r="J20" s="2"/>
      <c r="K20" s="10"/>
      <c r="L20" s="2"/>
      <c r="M20" s="2"/>
      <c r="N20" s="1"/>
    </row>
    <row r="21" ht="30.0" customHeight="1">
      <c r="A21" s="3"/>
      <c r="B21" s="2"/>
      <c r="C21" s="11"/>
      <c r="D21" s="5"/>
      <c r="E21" s="286"/>
      <c r="F21" s="13"/>
      <c r="G21" s="286"/>
      <c r="H21" s="13"/>
      <c r="I21" s="286"/>
      <c r="J21" s="13"/>
      <c r="K21" s="14"/>
      <c r="L21" s="17"/>
      <c r="M21" s="2"/>
      <c r="N21" s="1"/>
    </row>
    <row r="22" ht="11.25" customHeight="1">
      <c r="A22" s="3"/>
      <c r="B22" s="2"/>
      <c r="D22" s="5"/>
      <c r="F22" s="15"/>
      <c r="H22" s="15"/>
      <c r="J22" s="15"/>
      <c r="K22" s="9"/>
      <c r="L22" s="17"/>
      <c r="M22" s="2"/>
      <c r="N22" s="1"/>
    </row>
    <row r="23" ht="3.75" customHeight="1">
      <c r="A23" s="1"/>
      <c r="B23" s="2"/>
      <c r="C23" s="16"/>
      <c r="D23" s="10"/>
      <c r="E23" s="284"/>
      <c r="F23" s="2"/>
      <c r="G23" s="284"/>
      <c r="H23" s="2"/>
      <c r="I23" s="284"/>
      <c r="J23" s="2"/>
      <c r="K23" s="10"/>
      <c r="L23" s="2"/>
      <c r="M23" s="2"/>
      <c r="N23" s="1"/>
    </row>
    <row r="24" ht="30.0" customHeight="1">
      <c r="A24" s="3"/>
      <c r="B24" s="2"/>
      <c r="C24" s="11"/>
      <c r="D24" s="5"/>
      <c r="E24" s="286"/>
      <c r="F24" s="13"/>
      <c r="G24" s="286"/>
      <c r="H24" s="13"/>
      <c r="I24" s="286"/>
      <c r="J24" s="13"/>
      <c r="K24" s="14"/>
      <c r="L24" s="17"/>
      <c r="M24" s="2"/>
      <c r="N24" s="1"/>
    </row>
    <row r="25" ht="11.25" customHeight="1">
      <c r="A25" s="3"/>
      <c r="B25" s="2"/>
      <c r="D25" s="5"/>
      <c r="F25" s="15"/>
      <c r="H25" s="15"/>
      <c r="J25" s="15"/>
      <c r="K25" s="9"/>
      <c r="L25" s="17"/>
      <c r="M25" s="2"/>
      <c r="N25" s="1"/>
    </row>
    <row r="26" ht="3.75" customHeight="1">
      <c r="A26" s="1"/>
      <c r="B26" s="2"/>
      <c r="C26" s="16"/>
      <c r="D26" s="10"/>
      <c r="E26" s="284"/>
      <c r="F26" s="2"/>
      <c r="G26" s="284"/>
      <c r="H26" s="2"/>
      <c r="I26" s="284"/>
      <c r="J26" s="2"/>
      <c r="K26" s="10"/>
      <c r="L26" s="2"/>
      <c r="M26" s="2"/>
      <c r="N26" s="1"/>
    </row>
    <row r="27" ht="30.0" customHeight="1">
      <c r="A27" s="3"/>
      <c r="B27" s="2"/>
      <c r="C27" s="11"/>
      <c r="D27" s="5"/>
      <c r="E27" s="286"/>
      <c r="F27" s="13"/>
      <c r="G27" s="286"/>
      <c r="H27" s="13"/>
      <c r="I27" s="286"/>
      <c r="J27" s="13"/>
      <c r="K27" s="14"/>
      <c r="L27" s="17"/>
      <c r="M27" s="2"/>
      <c r="N27" s="1"/>
    </row>
    <row r="28" ht="11.25" customHeight="1">
      <c r="A28" s="3"/>
      <c r="B28" s="2"/>
      <c r="D28" s="5"/>
      <c r="F28" s="15"/>
      <c r="H28" s="15"/>
      <c r="J28" s="15"/>
      <c r="K28" s="9"/>
      <c r="L28" s="17"/>
      <c r="M28" s="2"/>
      <c r="N28" s="1"/>
    </row>
    <row r="29" ht="3.75" customHeight="1">
      <c r="A29" s="1"/>
      <c r="B29" s="2"/>
      <c r="C29" s="16"/>
      <c r="D29" s="10"/>
      <c r="E29" s="284"/>
      <c r="F29" s="2"/>
      <c r="G29" s="284"/>
      <c r="H29" s="2"/>
      <c r="I29" s="284"/>
      <c r="J29" s="2"/>
      <c r="K29" s="10"/>
      <c r="L29" s="2"/>
      <c r="M29" s="2"/>
      <c r="N29" s="1"/>
    </row>
    <row r="30" ht="30.0" customHeight="1">
      <c r="A30" s="3"/>
      <c r="B30" s="2"/>
      <c r="C30" s="11"/>
      <c r="D30" s="5"/>
      <c r="E30" s="286"/>
      <c r="F30" s="13"/>
      <c r="G30" s="286"/>
      <c r="H30" s="13"/>
      <c r="I30" s="286"/>
      <c r="J30" s="13"/>
      <c r="K30" s="14"/>
      <c r="L30" s="17"/>
      <c r="M30" s="2"/>
      <c r="N30" s="1"/>
    </row>
    <row r="31" ht="11.25" customHeight="1">
      <c r="A31" s="3"/>
      <c r="B31" s="2"/>
      <c r="D31" s="5"/>
      <c r="F31" s="15"/>
      <c r="H31" s="15"/>
      <c r="J31" s="15"/>
      <c r="K31" s="9"/>
      <c r="L31" s="17"/>
      <c r="M31" s="2"/>
      <c r="N31" s="1"/>
    </row>
    <row r="32" ht="3.75" customHeight="1">
      <c r="A32" s="1"/>
      <c r="B32" s="2"/>
      <c r="C32" s="16"/>
      <c r="D32" s="10"/>
      <c r="E32" s="284"/>
      <c r="F32" s="2"/>
      <c r="G32" s="284"/>
      <c r="H32" s="2"/>
      <c r="I32" s="284"/>
      <c r="J32" s="2"/>
      <c r="K32" s="10"/>
      <c r="L32" s="2"/>
      <c r="M32" s="2"/>
      <c r="N32" s="1"/>
    </row>
    <row r="33" ht="30.0" customHeight="1">
      <c r="A33" s="3"/>
      <c r="B33" s="2"/>
      <c r="C33" s="11"/>
      <c r="D33" s="5"/>
      <c r="E33" s="286"/>
      <c r="F33" s="13"/>
      <c r="G33" s="286"/>
      <c r="H33" s="13"/>
      <c r="I33" s="286"/>
      <c r="J33" s="13"/>
      <c r="K33" s="14"/>
      <c r="L33" s="17"/>
      <c r="M33" s="2"/>
      <c r="N33" s="1"/>
    </row>
    <row r="34" ht="11.25" customHeight="1">
      <c r="A34" s="3"/>
      <c r="B34" s="2"/>
      <c r="D34" s="5"/>
      <c r="F34" s="15"/>
      <c r="H34" s="15"/>
      <c r="J34" s="15"/>
      <c r="K34" s="9"/>
      <c r="L34" s="17"/>
      <c r="M34" s="2"/>
      <c r="N34" s="1"/>
    </row>
    <row r="35" ht="3.75" customHeight="1">
      <c r="A35" s="1"/>
      <c r="B35" s="2"/>
      <c r="C35" s="16"/>
      <c r="D35" s="10"/>
      <c r="E35" s="284"/>
      <c r="F35" s="2"/>
      <c r="G35" s="284"/>
      <c r="H35" s="2"/>
      <c r="I35" s="284"/>
      <c r="J35" s="2"/>
      <c r="K35" s="10"/>
      <c r="L35" s="2"/>
      <c r="M35" s="2"/>
      <c r="N35" s="1"/>
    </row>
    <row r="36" ht="30.0" customHeight="1">
      <c r="A36" s="3"/>
      <c r="B36" s="2"/>
      <c r="C36" s="11"/>
      <c r="D36" s="5"/>
      <c r="E36" s="286"/>
      <c r="F36" s="13"/>
      <c r="G36" s="286"/>
      <c r="H36" s="13"/>
      <c r="I36" s="286"/>
      <c r="J36" s="13"/>
      <c r="K36" s="14"/>
      <c r="L36" s="17"/>
      <c r="M36" s="2"/>
      <c r="N36" s="1"/>
    </row>
    <row r="37" ht="11.25" customHeight="1">
      <c r="A37" s="3"/>
      <c r="B37" s="2"/>
      <c r="D37" s="5"/>
      <c r="F37" s="15"/>
      <c r="H37" s="15"/>
      <c r="J37" s="15"/>
      <c r="K37" s="9"/>
      <c r="L37" s="17"/>
      <c r="M37" s="2"/>
      <c r="N37" s="1"/>
    </row>
    <row r="38" ht="3.75" customHeight="1">
      <c r="A38" s="1"/>
      <c r="B38" s="2"/>
      <c r="C38" s="16"/>
      <c r="D38" s="10"/>
      <c r="E38" s="284"/>
      <c r="F38" s="2"/>
      <c r="G38" s="284"/>
      <c r="H38" s="2"/>
      <c r="I38" s="284"/>
      <c r="J38" s="2"/>
      <c r="K38" s="10"/>
      <c r="L38" s="2"/>
      <c r="M38" s="2"/>
      <c r="N38" s="1"/>
    </row>
    <row r="39" ht="30.0" customHeight="1">
      <c r="A39" s="3"/>
      <c r="B39" s="2"/>
      <c r="C39" s="11"/>
      <c r="D39" s="5"/>
      <c r="E39" s="286"/>
      <c r="F39" s="13"/>
      <c r="G39" s="286"/>
      <c r="H39" s="13"/>
      <c r="I39" s="286"/>
      <c r="J39" s="13"/>
      <c r="K39" s="14"/>
      <c r="L39" s="17"/>
      <c r="M39" s="2"/>
      <c r="N39" s="1"/>
    </row>
    <row r="40" ht="11.25" customHeight="1">
      <c r="A40" s="3"/>
      <c r="B40" s="2"/>
      <c r="D40" s="5"/>
      <c r="F40" s="15"/>
      <c r="H40" s="15"/>
      <c r="J40" s="15"/>
      <c r="K40" s="9"/>
      <c r="L40" s="17"/>
      <c r="M40" s="2"/>
      <c r="N40" s="1"/>
    </row>
    <row r="41" ht="3.75" customHeight="1">
      <c r="A41" s="1"/>
      <c r="B41" s="2"/>
      <c r="C41" s="16"/>
      <c r="D41" s="10"/>
      <c r="E41" s="284"/>
      <c r="F41" s="2"/>
      <c r="G41" s="284"/>
      <c r="H41" s="2"/>
      <c r="I41" s="284"/>
      <c r="J41" s="2"/>
      <c r="K41" s="10"/>
      <c r="L41" s="2"/>
      <c r="M41" s="2"/>
      <c r="N41" s="1"/>
    </row>
    <row r="42" ht="30.0" customHeight="1">
      <c r="A42" s="3"/>
      <c r="B42" s="2"/>
      <c r="C42" s="11"/>
      <c r="D42" s="5"/>
      <c r="E42" s="286"/>
      <c r="F42" s="13"/>
      <c r="G42" s="286"/>
      <c r="H42" s="13"/>
      <c r="I42" s="286"/>
      <c r="J42" s="13"/>
      <c r="K42" s="14"/>
      <c r="L42" s="17"/>
      <c r="M42" s="2"/>
      <c r="N42" s="1"/>
    </row>
    <row r="43" ht="11.25" customHeight="1">
      <c r="A43" s="3"/>
      <c r="B43" s="2"/>
      <c r="D43" s="5"/>
      <c r="F43" s="15"/>
      <c r="H43" s="15"/>
      <c r="J43" s="15"/>
      <c r="K43" s="9"/>
      <c r="L43" s="17"/>
      <c r="M43" s="2"/>
      <c r="N43" s="1"/>
    </row>
    <row r="44" ht="3.75" customHeight="1">
      <c r="A44" s="1"/>
      <c r="B44" s="2"/>
      <c r="C44" s="16"/>
      <c r="D44" s="10"/>
      <c r="E44" s="284"/>
      <c r="F44" s="2"/>
      <c r="G44" s="284"/>
      <c r="H44" s="2"/>
      <c r="I44" s="284"/>
      <c r="J44" s="2"/>
      <c r="K44" s="10"/>
      <c r="L44" s="2"/>
      <c r="M44" s="2"/>
      <c r="N44" s="1"/>
    </row>
    <row r="45" ht="30.0" customHeight="1">
      <c r="A45" s="3"/>
      <c r="B45" s="2"/>
      <c r="C45" s="11"/>
      <c r="D45" s="5"/>
      <c r="E45" s="286"/>
      <c r="F45" s="13"/>
      <c r="G45" s="286"/>
      <c r="H45" s="13"/>
      <c r="I45" s="286"/>
      <c r="J45" s="13"/>
      <c r="K45" s="14"/>
      <c r="L45" s="17"/>
      <c r="M45" s="2"/>
      <c r="N45" s="1"/>
    </row>
    <row r="46" ht="11.25" customHeight="1">
      <c r="A46" s="3"/>
      <c r="B46" s="2"/>
      <c r="D46" s="5"/>
      <c r="F46" s="15"/>
      <c r="H46" s="15"/>
      <c r="J46" s="15"/>
      <c r="K46" s="9"/>
      <c r="L46" s="17"/>
      <c r="M46" s="2"/>
      <c r="N46" s="1"/>
    </row>
    <row r="47" ht="3.75" customHeight="1">
      <c r="A47" s="1"/>
      <c r="B47" s="2"/>
      <c r="C47" s="16"/>
      <c r="D47" s="10"/>
      <c r="E47" s="284"/>
      <c r="F47" s="2"/>
      <c r="G47" s="284"/>
      <c r="H47" s="2"/>
      <c r="I47" s="284"/>
      <c r="J47" s="2"/>
      <c r="K47" s="10"/>
      <c r="L47" s="2"/>
      <c r="M47" s="2"/>
      <c r="N47" s="1"/>
    </row>
    <row r="48" ht="30.0" customHeight="1">
      <c r="A48" s="3"/>
      <c r="B48" s="2"/>
      <c r="C48" s="11"/>
      <c r="D48" s="5"/>
      <c r="E48" s="286"/>
      <c r="F48" s="13"/>
      <c r="G48" s="286"/>
      <c r="H48" s="13"/>
      <c r="I48" s="286"/>
      <c r="J48" s="13"/>
      <c r="K48" s="14"/>
      <c r="L48" s="17"/>
      <c r="M48" s="2"/>
      <c r="N48" s="1"/>
    </row>
    <row r="49" ht="11.25" customHeight="1">
      <c r="A49" s="3"/>
      <c r="B49" s="2"/>
      <c r="D49" s="5"/>
      <c r="F49" s="15"/>
      <c r="H49" s="15"/>
      <c r="J49" s="15"/>
      <c r="K49" s="9"/>
      <c r="L49" s="17"/>
      <c r="M49" s="2"/>
      <c r="N49" s="1"/>
    </row>
    <row r="50" ht="3.75" customHeight="1">
      <c r="A50" s="1"/>
      <c r="B50" s="2"/>
      <c r="C50" s="16"/>
      <c r="D50" s="10"/>
      <c r="E50" s="284"/>
      <c r="F50" s="2"/>
      <c r="G50" s="284"/>
      <c r="H50" s="2"/>
      <c r="I50" s="284"/>
      <c r="J50" s="2"/>
      <c r="K50" s="10"/>
      <c r="L50" s="2"/>
      <c r="M50" s="2"/>
      <c r="N50" s="1"/>
    </row>
    <row r="51" ht="30.0" customHeight="1">
      <c r="A51" s="3"/>
      <c r="B51" s="2"/>
      <c r="C51" s="11"/>
      <c r="D51" s="5"/>
      <c r="E51" s="286"/>
      <c r="F51" s="13"/>
      <c r="G51" s="286"/>
      <c r="H51" s="13"/>
      <c r="I51" s="286"/>
      <c r="J51" s="13"/>
      <c r="K51" s="14"/>
      <c r="L51" s="17"/>
      <c r="M51" s="2"/>
      <c r="N51" s="1"/>
    </row>
    <row r="52" ht="11.25" customHeight="1">
      <c r="A52" s="3"/>
      <c r="B52" s="2"/>
      <c r="D52" s="5"/>
      <c r="F52" s="15"/>
      <c r="H52" s="15"/>
      <c r="J52" s="15"/>
      <c r="K52" s="9"/>
      <c r="L52" s="17"/>
      <c r="M52" s="2"/>
      <c r="N52" s="1"/>
    </row>
    <row r="53" ht="3.75" customHeight="1">
      <c r="A53" s="1"/>
      <c r="B53" s="2"/>
      <c r="C53" s="16"/>
      <c r="D53" s="10"/>
      <c r="E53" s="284"/>
      <c r="F53" s="2"/>
      <c r="G53" s="284"/>
      <c r="H53" s="2"/>
      <c r="I53" s="284"/>
      <c r="J53" s="2"/>
      <c r="K53" s="10"/>
      <c r="L53" s="2"/>
      <c r="M53" s="2"/>
      <c r="N53" s="1"/>
    </row>
    <row r="54" ht="30.0" customHeight="1">
      <c r="A54" s="3"/>
      <c r="B54" s="2"/>
      <c r="C54" s="11"/>
      <c r="D54" s="5"/>
      <c r="E54" s="286"/>
      <c r="F54" s="13"/>
      <c r="G54" s="286"/>
      <c r="H54" s="13"/>
      <c r="I54" s="286"/>
      <c r="J54" s="13"/>
      <c r="K54" s="14"/>
      <c r="L54" s="17"/>
      <c r="M54" s="2"/>
      <c r="N54" s="1"/>
    </row>
    <row r="55" ht="11.25" customHeight="1">
      <c r="A55" s="3"/>
      <c r="B55" s="2"/>
      <c r="D55" s="5"/>
      <c r="F55" s="15"/>
      <c r="H55" s="15"/>
      <c r="J55" s="15"/>
      <c r="K55" s="9"/>
      <c r="L55" s="17"/>
      <c r="M55" s="2"/>
      <c r="N55" s="1"/>
    </row>
    <row r="56" ht="3.75" customHeight="1">
      <c r="A56" s="1"/>
      <c r="B56" s="2"/>
      <c r="C56" s="16"/>
      <c r="D56" s="10"/>
      <c r="E56" s="284"/>
      <c r="F56" s="2"/>
      <c r="G56" s="284"/>
      <c r="H56" s="2"/>
      <c r="I56" s="284"/>
      <c r="J56" s="2"/>
      <c r="K56" s="10"/>
      <c r="L56" s="2"/>
      <c r="M56" s="2"/>
      <c r="N56" s="1"/>
    </row>
    <row r="57" ht="30.0" customHeight="1">
      <c r="A57" s="3"/>
      <c r="B57" s="2"/>
      <c r="C57" s="11"/>
      <c r="D57" s="5"/>
      <c r="E57" s="286"/>
      <c r="F57" s="13"/>
      <c r="G57" s="286"/>
      <c r="H57" s="13"/>
      <c r="I57" s="286"/>
      <c r="J57" s="13"/>
      <c r="K57" s="14"/>
      <c r="L57" s="17"/>
      <c r="M57" s="2"/>
      <c r="N57" s="1"/>
    </row>
    <row r="58" ht="11.25" customHeight="1">
      <c r="A58" s="3"/>
      <c r="B58" s="2"/>
      <c r="D58" s="5"/>
      <c r="F58" s="15"/>
      <c r="H58" s="15"/>
      <c r="J58" s="15"/>
      <c r="K58" s="9"/>
      <c r="L58" s="17"/>
      <c r="M58" s="2"/>
      <c r="N58" s="1"/>
    </row>
    <row r="59" ht="3.75" customHeight="1">
      <c r="A59" s="1"/>
      <c r="B59" s="2"/>
      <c r="C59" s="16"/>
      <c r="D59" s="10"/>
      <c r="E59" s="284"/>
      <c r="F59" s="2"/>
      <c r="G59" s="284"/>
      <c r="H59" s="2"/>
      <c r="I59" s="284"/>
      <c r="J59" s="2"/>
      <c r="K59" s="10"/>
      <c r="L59" s="2"/>
      <c r="M59" s="2"/>
      <c r="N59" s="1"/>
    </row>
    <row r="60" ht="30.0" customHeight="1">
      <c r="A60" s="3"/>
      <c r="B60" s="2"/>
      <c r="C60" s="11"/>
      <c r="D60" s="5"/>
      <c r="E60" s="286"/>
      <c r="F60" s="13"/>
      <c r="G60" s="286"/>
      <c r="H60" s="13"/>
      <c r="I60" s="286"/>
      <c r="J60" s="13"/>
      <c r="K60" s="14"/>
      <c r="L60" s="17"/>
      <c r="M60" s="2"/>
      <c r="N60" s="1"/>
    </row>
    <row r="61" ht="11.25" customHeight="1">
      <c r="A61" s="3"/>
      <c r="B61" s="2"/>
      <c r="D61" s="5"/>
      <c r="F61" s="15"/>
      <c r="H61" s="15"/>
      <c r="J61" s="15"/>
      <c r="K61" s="9"/>
      <c r="L61" s="17"/>
      <c r="M61" s="2"/>
      <c r="N61" s="1"/>
    </row>
    <row r="62" ht="3.75" customHeight="1">
      <c r="A62" s="1"/>
      <c r="B62" s="2"/>
      <c r="C62" s="16"/>
      <c r="D62" s="10"/>
      <c r="E62" s="284"/>
      <c r="F62" s="2"/>
      <c r="G62" s="284"/>
      <c r="H62" s="2"/>
      <c r="I62" s="284"/>
      <c r="J62" s="2"/>
      <c r="K62" s="10"/>
      <c r="L62" s="2"/>
      <c r="M62" s="2"/>
      <c r="N62" s="1"/>
    </row>
    <row r="63" ht="30.0" customHeight="1">
      <c r="A63" s="3"/>
      <c r="B63" s="2"/>
      <c r="C63" s="11"/>
      <c r="D63" s="5"/>
      <c r="E63" s="286"/>
      <c r="F63" s="13"/>
      <c r="G63" s="286"/>
      <c r="H63" s="13"/>
      <c r="I63" s="286"/>
      <c r="J63" s="13"/>
      <c r="K63" s="14"/>
      <c r="L63" s="17"/>
      <c r="M63" s="2"/>
      <c r="N63" s="1"/>
    </row>
    <row r="64" ht="11.25" customHeight="1">
      <c r="A64" s="3"/>
      <c r="B64" s="2"/>
      <c r="D64" s="5"/>
      <c r="F64" s="15"/>
      <c r="H64" s="15"/>
      <c r="J64" s="15"/>
      <c r="K64" s="9"/>
      <c r="L64" s="17"/>
      <c r="M64" s="2"/>
      <c r="N64" s="1"/>
    </row>
    <row r="65" ht="3.75" customHeight="1">
      <c r="A65" s="1"/>
      <c r="B65" s="2"/>
      <c r="C65" s="16"/>
      <c r="D65" s="10"/>
      <c r="E65" s="284"/>
      <c r="F65" s="2"/>
      <c r="G65" s="284"/>
      <c r="H65" s="2"/>
      <c r="I65" s="284"/>
      <c r="J65" s="2"/>
      <c r="K65" s="10"/>
      <c r="L65" s="2"/>
      <c r="M65" s="2"/>
      <c r="N65" s="1"/>
    </row>
    <row r="66" ht="30.0" customHeight="1">
      <c r="A66" s="3"/>
      <c r="B66" s="2"/>
      <c r="C66" s="11"/>
      <c r="D66" s="5"/>
      <c r="E66" s="286"/>
      <c r="F66" s="13"/>
      <c r="G66" s="286"/>
      <c r="H66" s="13"/>
      <c r="I66" s="286"/>
      <c r="J66" s="13"/>
      <c r="K66" s="14"/>
      <c r="L66" s="17"/>
      <c r="M66" s="2"/>
      <c r="N66" s="1"/>
    </row>
    <row r="67" ht="11.25" customHeight="1">
      <c r="A67" s="3"/>
      <c r="B67" s="2"/>
      <c r="D67" s="5"/>
      <c r="F67" s="15"/>
      <c r="H67" s="15"/>
      <c r="J67" s="15"/>
      <c r="K67" s="9"/>
      <c r="L67" s="17"/>
      <c r="M67" s="2"/>
      <c r="N67" s="1"/>
    </row>
    <row r="68" ht="3.75" customHeight="1">
      <c r="A68" s="1"/>
      <c r="B68" s="2"/>
      <c r="C68" s="16"/>
      <c r="D68" s="10"/>
      <c r="E68" s="284"/>
      <c r="F68" s="2"/>
      <c r="G68" s="284"/>
      <c r="H68" s="2"/>
      <c r="I68" s="284"/>
      <c r="J68" s="2"/>
      <c r="K68" s="10"/>
      <c r="L68" s="2"/>
      <c r="M68" s="2"/>
      <c r="N68" s="1"/>
    </row>
    <row r="69" ht="30.0" customHeight="1">
      <c r="A69" s="3"/>
      <c r="B69" s="2"/>
      <c r="C69" s="11"/>
      <c r="D69" s="5"/>
      <c r="E69" s="286"/>
      <c r="F69" s="13"/>
      <c r="G69" s="286"/>
      <c r="H69" s="13"/>
      <c r="I69" s="286"/>
      <c r="J69" s="13"/>
      <c r="K69" s="14"/>
      <c r="L69" s="17"/>
      <c r="M69" s="2"/>
      <c r="N69" s="1"/>
    </row>
    <row r="70" ht="11.25" customHeight="1">
      <c r="A70" s="3"/>
      <c r="B70" s="2"/>
      <c r="D70" s="5"/>
      <c r="F70" s="15"/>
      <c r="H70" s="15"/>
      <c r="J70" s="15"/>
      <c r="K70" s="9"/>
      <c r="L70" s="17"/>
      <c r="M70" s="2"/>
      <c r="N70" s="1"/>
    </row>
    <row r="71" ht="3.75" customHeight="1">
      <c r="A71" s="1"/>
      <c r="B71" s="2"/>
      <c r="C71" s="16"/>
      <c r="D71" s="10"/>
      <c r="E71" s="284"/>
      <c r="F71" s="2"/>
      <c r="G71" s="284"/>
      <c r="H71" s="2"/>
      <c r="I71" s="284"/>
      <c r="J71" s="2"/>
      <c r="K71" s="10"/>
      <c r="L71" s="2"/>
      <c r="M71" s="2"/>
      <c r="N71" s="1"/>
    </row>
    <row r="72" ht="30.0" customHeight="1">
      <c r="A72" s="3"/>
      <c r="B72" s="2"/>
      <c r="C72" s="11"/>
      <c r="D72" s="5"/>
      <c r="E72" s="286"/>
      <c r="F72" s="13"/>
      <c r="G72" s="286"/>
      <c r="H72" s="13"/>
      <c r="I72" s="286"/>
      <c r="J72" s="13"/>
      <c r="K72" s="14"/>
      <c r="L72" s="17"/>
      <c r="M72" s="2"/>
      <c r="N72" s="1"/>
    </row>
    <row r="73" ht="11.25" customHeight="1">
      <c r="A73" s="3"/>
      <c r="B73" s="2"/>
      <c r="D73" s="5"/>
      <c r="F73" s="15"/>
      <c r="H73" s="15"/>
      <c r="J73" s="15"/>
      <c r="K73" s="9"/>
      <c r="L73" s="17"/>
      <c r="M73" s="2"/>
      <c r="N73" s="1"/>
    </row>
    <row r="74" ht="3.75" customHeight="1">
      <c r="A74" s="1"/>
      <c r="B74" s="2"/>
      <c r="C74" s="16"/>
      <c r="D74" s="10"/>
      <c r="E74" s="284"/>
      <c r="F74" s="2"/>
      <c r="G74" s="284"/>
      <c r="H74" s="2"/>
      <c r="I74" s="284"/>
      <c r="J74" s="2"/>
      <c r="K74" s="10"/>
      <c r="L74" s="2"/>
      <c r="M74" s="2"/>
      <c r="N74" s="1"/>
    </row>
    <row r="75" ht="30.0" customHeight="1">
      <c r="A75" s="3"/>
      <c r="B75" s="2"/>
      <c r="C75" s="11"/>
      <c r="D75" s="5"/>
      <c r="E75" s="286"/>
      <c r="F75" s="13"/>
      <c r="G75" s="286"/>
      <c r="H75" s="13"/>
      <c r="I75" s="286"/>
      <c r="J75" s="13"/>
      <c r="K75" s="14"/>
      <c r="L75" s="17"/>
      <c r="M75" s="2"/>
      <c r="N75" s="1"/>
    </row>
    <row r="76" ht="11.25" customHeight="1">
      <c r="A76" s="3"/>
      <c r="B76" s="2"/>
      <c r="D76" s="5"/>
      <c r="F76" s="15"/>
      <c r="H76" s="15"/>
      <c r="J76" s="15"/>
      <c r="K76" s="9"/>
      <c r="L76" s="17"/>
      <c r="M76" s="2"/>
      <c r="N76" s="1"/>
    </row>
    <row r="77" ht="3.75" customHeight="1">
      <c r="A77" s="1"/>
      <c r="B77" s="2"/>
      <c r="C77" s="16"/>
      <c r="D77" s="10"/>
      <c r="E77" s="284"/>
      <c r="F77" s="2"/>
      <c r="G77" s="284"/>
      <c r="H77" s="2"/>
      <c r="I77" s="284"/>
      <c r="J77" s="2"/>
      <c r="K77" s="10"/>
      <c r="L77" s="2"/>
      <c r="M77" s="2"/>
      <c r="N77" s="1"/>
    </row>
    <row r="78" ht="30.0" customHeight="1">
      <c r="A78" s="3"/>
      <c r="B78" s="2"/>
      <c r="C78" s="11"/>
      <c r="D78" s="5"/>
      <c r="E78" s="286"/>
      <c r="F78" s="13"/>
      <c r="G78" s="286"/>
      <c r="H78" s="13"/>
      <c r="I78" s="286"/>
      <c r="J78" s="13"/>
      <c r="K78" s="14"/>
      <c r="L78" s="17"/>
      <c r="M78" s="2"/>
      <c r="N78" s="1"/>
    </row>
    <row r="79" ht="11.25" customHeight="1">
      <c r="A79" s="3"/>
      <c r="B79" s="2"/>
      <c r="D79" s="5"/>
      <c r="F79" s="15"/>
      <c r="H79" s="15"/>
      <c r="J79" s="15"/>
      <c r="K79" s="9"/>
      <c r="L79" s="17"/>
      <c r="M79" s="2"/>
      <c r="N79" s="1"/>
    </row>
    <row r="80" ht="3.75" customHeight="1">
      <c r="A80" s="1"/>
      <c r="B80" s="2"/>
      <c r="C80" s="16"/>
      <c r="D80" s="10"/>
      <c r="E80" s="284"/>
      <c r="F80" s="2"/>
      <c r="G80" s="284"/>
      <c r="H80" s="2"/>
      <c r="I80" s="284"/>
      <c r="J80" s="2"/>
      <c r="K80" s="10"/>
      <c r="L80" s="2"/>
      <c r="M80" s="2"/>
      <c r="N80" s="1"/>
    </row>
    <row r="81" ht="30.0" customHeight="1">
      <c r="A81" s="3"/>
      <c r="B81" s="2"/>
      <c r="C81" s="11"/>
      <c r="D81" s="5"/>
      <c r="E81" s="286"/>
      <c r="F81" s="13"/>
      <c r="G81" s="286"/>
      <c r="H81" s="13"/>
      <c r="I81" s="286"/>
      <c r="J81" s="13"/>
      <c r="K81" s="14"/>
      <c r="L81" s="17"/>
      <c r="M81" s="2"/>
      <c r="N81" s="1"/>
    </row>
    <row r="82" ht="11.25" customHeight="1">
      <c r="A82" s="3"/>
      <c r="B82" s="2"/>
      <c r="D82" s="5"/>
      <c r="F82" s="15"/>
      <c r="H82" s="15"/>
      <c r="J82" s="15"/>
      <c r="K82" s="9"/>
      <c r="L82" s="17"/>
      <c r="M82" s="2"/>
      <c r="N82" s="1"/>
    </row>
    <row r="83" ht="3.75" customHeight="1">
      <c r="A83" s="1"/>
      <c r="B83" s="2"/>
      <c r="C83" s="16"/>
      <c r="D83" s="10"/>
      <c r="E83" s="284"/>
      <c r="F83" s="2"/>
      <c r="G83" s="284"/>
      <c r="H83" s="2"/>
      <c r="I83" s="284"/>
      <c r="J83" s="2"/>
      <c r="K83" s="10"/>
      <c r="L83" s="2"/>
      <c r="M83" s="2"/>
      <c r="N83" s="1"/>
    </row>
    <row r="84" ht="30.0" customHeight="1">
      <c r="A84" s="3"/>
      <c r="B84" s="2"/>
      <c r="C84" s="11"/>
      <c r="D84" s="5"/>
      <c r="E84" s="286"/>
      <c r="F84" s="13"/>
      <c r="G84" s="286"/>
      <c r="H84" s="13"/>
      <c r="I84" s="286"/>
      <c r="J84" s="13"/>
      <c r="K84" s="14"/>
      <c r="L84" s="17"/>
      <c r="M84" s="2"/>
      <c r="N84" s="1"/>
    </row>
    <row r="85" ht="11.25" customHeight="1">
      <c r="A85" s="3"/>
      <c r="B85" s="2"/>
      <c r="D85" s="5"/>
      <c r="F85" s="15"/>
      <c r="H85" s="15"/>
      <c r="J85" s="15"/>
      <c r="K85" s="9"/>
      <c r="L85" s="17"/>
      <c r="M85" s="2"/>
      <c r="N85" s="1"/>
    </row>
    <row r="86" ht="3.75" customHeight="1">
      <c r="A86" s="1"/>
      <c r="B86" s="2"/>
      <c r="C86" s="16"/>
      <c r="D86" s="10"/>
      <c r="E86" s="284"/>
      <c r="F86" s="2"/>
      <c r="G86" s="284"/>
      <c r="H86" s="2"/>
      <c r="I86" s="284"/>
      <c r="J86" s="2"/>
      <c r="K86" s="10"/>
      <c r="L86" s="2"/>
      <c r="M86" s="2"/>
      <c r="N86" s="1"/>
    </row>
    <row r="87" ht="30.0" customHeight="1">
      <c r="A87" s="3"/>
      <c r="B87" s="2"/>
      <c r="C87" s="11"/>
      <c r="D87" s="5"/>
      <c r="E87" s="286"/>
      <c r="F87" s="13"/>
      <c r="G87" s="286"/>
      <c r="H87" s="13"/>
      <c r="I87" s="286"/>
      <c r="J87" s="13"/>
      <c r="K87" s="14"/>
      <c r="L87" s="17"/>
      <c r="M87" s="2"/>
      <c r="N87" s="1"/>
    </row>
    <row r="88" ht="11.25" customHeight="1">
      <c r="A88" s="3"/>
      <c r="B88" s="2"/>
      <c r="D88" s="5"/>
      <c r="F88" s="15"/>
      <c r="H88" s="15"/>
      <c r="J88" s="15"/>
      <c r="K88" s="9"/>
      <c r="L88" s="17"/>
      <c r="M88" s="2"/>
      <c r="N88" s="1"/>
    </row>
    <row r="89" ht="3.75" customHeight="1">
      <c r="A89" s="1"/>
      <c r="B89" s="2"/>
      <c r="C89" s="16"/>
      <c r="D89" s="10"/>
      <c r="E89" s="284"/>
      <c r="F89" s="2"/>
      <c r="G89" s="284"/>
      <c r="H89" s="2"/>
      <c r="I89" s="284"/>
      <c r="J89" s="2"/>
      <c r="K89" s="10"/>
      <c r="L89" s="2"/>
      <c r="M89" s="2"/>
      <c r="N89" s="1"/>
    </row>
    <row r="90" ht="30.0" customHeight="1">
      <c r="A90" s="3"/>
      <c r="B90" s="2"/>
      <c r="C90" s="11"/>
      <c r="D90" s="5"/>
      <c r="E90" s="286"/>
      <c r="F90" s="13"/>
      <c r="G90" s="286"/>
      <c r="H90" s="13"/>
      <c r="I90" s="286"/>
      <c r="J90" s="13"/>
      <c r="K90" s="14"/>
      <c r="L90" s="17"/>
      <c r="M90" s="2"/>
      <c r="N90" s="1"/>
    </row>
    <row r="91" ht="11.25" customHeight="1">
      <c r="A91" s="3"/>
      <c r="B91" s="2"/>
      <c r="D91" s="5"/>
      <c r="F91" s="15"/>
      <c r="H91" s="15"/>
      <c r="J91" s="15"/>
      <c r="K91" s="9"/>
      <c r="L91" s="17"/>
      <c r="M91" s="2"/>
      <c r="N91" s="1"/>
    </row>
    <row r="92" ht="3.75" customHeight="1">
      <c r="A92" s="1"/>
      <c r="B92" s="2"/>
      <c r="C92" s="16"/>
      <c r="D92" s="10"/>
      <c r="E92" s="284"/>
      <c r="F92" s="2"/>
      <c r="G92" s="284"/>
      <c r="H92" s="2"/>
      <c r="I92" s="284"/>
      <c r="J92" s="2"/>
      <c r="K92" s="10"/>
      <c r="L92" s="2"/>
      <c r="M92" s="2"/>
      <c r="N92" s="1"/>
    </row>
    <row r="93" ht="30.0" customHeight="1">
      <c r="A93" s="3"/>
      <c r="B93" s="2"/>
      <c r="C93" s="11"/>
      <c r="D93" s="5"/>
      <c r="E93" s="286"/>
      <c r="F93" s="13"/>
      <c r="G93" s="286"/>
      <c r="H93" s="13"/>
      <c r="I93" s="286"/>
      <c r="J93" s="13"/>
      <c r="K93" s="14"/>
      <c r="L93" s="17"/>
      <c r="M93" s="2"/>
      <c r="N93" s="1"/>
    </row>
    <row r="94" ht="11.25" customHeight="1">
      <c r="A94" s="3"/>
      <c r="B94" s="2"/>
      <c r="D94" s="5"/>
      <c r="F94" s="15"/>
      <c r="H94" s="15"/>
      <c r="J94" s="15"/>
      <c r="K94" s="9"/>
      <c r="L94" s="17"/>
      <c r="M94" s="2"/>
      <c r="N94" s="1"/>
    </row>
    <row r="95" ht="3.75" customHeight="1">
      <c r="A95" s="1"/>
      <c r="B95" s="2"/>
      <c r="C95" s="16"/>
      <c r="D95" s="10"/>
      <c r="E95" s="284"/>
      <c r="F95" s="2"/>
      <c r="G95" s="284"/>
      <c r="H95" s="2"/>
      <c r="I95" s="284"/>
      <c r="J95" s="2"/>
      <c r="K95" s="10"/>
      <c r="L95" s="2"/>
      <c r="M95" s="2"/>
      <c r="N95" s="1"/>
    </row>
    <row r="96" ht="30.0" customHeight="1">
      <c r="A96" s="3"/>
      <c r="B96" s="2"/>
      <c r="C96" s="11"/>
      <c r="D96" s="5"/>
      <c r="E96" s="286"/>
      <c r="F96" s="13"/>
      <c r="G96" s="286"/>
      <c r="H96" s="13"/>
      <c r="I96" s="286"/>
      <c r="J96" s="13"/>
      <c r="K96" s="14"/>
      <c r="L96" s="17"/>
      <c r="M96" s="2"/>
      <c r="N96" s="1"/>
    </row>
    <row r="97" ht="11.25" customHeight="1">
      <c r="A97" s="3"/>
      <c r="B97" s="2"/>
      <c r="D97" s="5"/>
      <c r="F97" s="15"/>
      <c r="H97" s="15"/>
      <c r="J97" s="15"/>
      <c r="K97" s="9"/>
      <c r="L97" s="17"/>
      <c r="M97" s="2"/>
      <c r="N97" s="1"/>
    </row>
    <row r="98" ht="3.75" customHeight="1">
      <c r="A98" s="1"/>
      <c r="B98" s="2"/>
      <c r="C98" s="16"/>
      <c r="D98" s="10"/>
      <c r="E98" s="284"/>
      <c r="F98" s="2"/>
      <c r="G98" s="284"/>
      <c r="H98" s="2"/>
      <c r="I98" s="284"/>
      <c r="J98" s="2"/>
      <c r="K98" s="10"/>
      <c r="L98" s="2"/>
      <c r="M98" s="2"/>
      <c r="N98" s="1"/>
    </row>
    <row r="99" ht="30.0" customHeight="1">
      <c r="A99" s="3"/>
      <c r="B99" s="2"/>
      <c r="C99" s="11"/>
      <c r="D99" s="5"/>
      <c r="E99" s="286"/>
      <c r="F99" s="13"/>
      <c r="G99" s="286"/>
      <c r="H99" s="13"/>
      <c r="I99" s="286"/>
      <c r="J99" s="13"/>
      <c r="K99" s="14"/>
      <c r="L99" s="17"/>
      <c r="M99" s="2"/>
      <c r="N99" s="1"/>
    </row>
    <row r="100" ht="11.25" customHeight="1">
      <c r="A100" s="3"/>
      <c r="B100" s="2"/>
      <c r="D100" s="5"/>
      <c r="F100" s="15"/>
      <c r="H100" s="15"/>
      <c r="J100" s="15"/>
      <c r="K100" s="9"/>
      <c r="L100" s="17"/>
      <c r="M100" s="2"/>
      <c r="N100" s="1"/>
    </row>
    <row r="101" ht="3.75" customHeight="1">
      <c r="A101" s="1"/>
      <c r="B101" s="2"/>
      <c r="C101" s="16"/>
      <c r="D101" s="10"/>
      <c r="E101" s="284"/>
      <c r="F101" s="2"/>
      <c r="G101" s="284"/>
      <c r="H101" s="2"/>
      <c r="I101" s="284"/>
      <c r="J101" s="2"/>
      <c r="K101" s="10"/>
      <c r="L101" s="2"/>
      <c r="M101" s="2"/>
      <c r="N101" s="1"/>
    </row>
    <row r="102" ht="30.0" customHeight="1">
      <c r="A102" s="3"/>
      <c r="B102" s="2"/>
      <c r="C102" s="11"/>
      <c r="D102" s="5"/>
      <c r="E102" s="286"/>
      <c r="F102" s="13"/>
      <c r="G102" s="286"/>
      <c r="H102" s="13"/>
      <c r="I102" s="286"/>
      <c r="J102" s="13"/>
      <c r="K102" s="14"/>
      <c r="L102" s="17"/>
      <c r="M102" s="2"/>
      <c r="N102" s="1"/>
    </row>
    <row r="103" ht="11.25" customHeight="1">
      <c r="A103" s="3"/>
      <c r="B103" s="2"/>
      <c r="D103" s="5"/>
      <c r="F103" s="15"/>
      <c r="H103" s="15"/>
      <c r="J103" s="15"/>
      <c r="K103" s="9"/>
      <c r="L103" s="17"/>
      <c r="M103" s="2"/>
      <c r="N103" s="1"/>
    </row>
    <row r="104" ht="3.75" customHeight="1">
      <c r="A104" s="1"/>
      <c r="B104" s="2"/>
      <c r="C104" s="16"/>
      <c r="D104" s="10"/>
      <c r="E104" s="284"/>
      <c r="F104" s="2"/>
      <c r="G104" s="284"/>
      <c r="H104" s="2"/>
      <c r="I104" s="284"/>
      <c r="J104" s="2"/>
      <c r="K104" s="10"/>
      <c r="L104" s="2"/>
      <c r="M104" s="2"/>
      <c r="N104" s="1"/>
    </row>
    <row r="105" ht="30.0" customHeight="1">
      <c r="A105" s="3"/>
      <c r="B105" s="2"/>
      <c r="C105" s="11"/>
      <c r="D105" s="5"/>
      <c r="E105" s="286"/>
      <c r="F105" s="13"/>
      <c r="G105" s="286"/>
      <c r="H105" s="13"/>
      <c r="I105" s="286"/>
      <c r="J105" s="13"/>
      <c r="K105" s="14"/>
      <c r="L105" s="17"/>
      <c r="M105" s="2"/>
      <c r="N105" s="1"/>
    </row>
    <row r="106" ht="11.25" customHeight="1">
      <c r="A106" s="3"/>
      <c r="B106" s="2"/>
      <c r="D106" s="5"/>
      <c r="F106" s="15"/>
      <c r="H106" s="15"/>
      <c r="J106" s="15"/>
      <c r="K106" s="9"/>
      <c r="L106" s="17"/>
      <c r="M106" s="2"/>
      <c r="N106" s="1"/>
    </row>
    <row r="107" ht="3.75" customHeight="1">
      <c r="A107" s="1"/>
      <c r="B107" s="2"/>
      <c r="C107" s="16"/>
      <c r="D107" s="10"/>
      <c r="E107" s="284"/>
      <c r="F107" s="2"/>
      <c r="G107" s="284"/>
      <c r="H107" s="2"/>
      <c r="I107" s="284"/>
      <c r="J107" s="2"/>
      <c r="K107" s="10"/>
      <c r="L107" s="2"/>
      <c r="M107" s="2"/>
      <c r="N107" s="1"/>
    </row>
    <row r="108" ht="30.0" customHeight="1">
      <c r="A108" s="3"/>
      <c r="B108" s="2"/>
      <c r="C108" s="11"/>
      <c r="D108" s="5"/>
      <c r="E108" s="286"/>
      <c r="F108" s="13"/>
      <c r="G108" s="286"/>
      <c r="H108" s="13"/>
      <c r="I108" s="286"/>
      <c r="J108" s="13"/>
      <c r="K108" s="14"/>
      <c r="L108" s="17"/>
      <c r="M108" s="2"/>
      <c r="N108" s="1"/>
    </row>
    <row r="109" ht="11.25" customHeight="1">
      <c r="A109" s="3"/>
      <c r="B109" s="2"/>
      <c r="D109" s="5"/>
      <c r="F109" s="15"/>
      <c r="H109" s="15"/>
      <c r="J109" s="15"/>
      <c r="K109" s="9"/>
      <c r="L109" s="17"/>
      <c r="M109" s="2"/>
      <c r="N109" s="1"/>
    </row>
    <row r="110" ht="3.75" customHeight="1">
      <c r="A110" s="1"/>
      <c r="B110" s="2"/>
      <c r="C110" s="16"/>
      <c r="D110" s="10"/>
      <c r="E110" s="284"/>
      <c r="F110" s="2"/>
      <c r="G110" s="284"/>
      <c r="H110" s="2"/>
      <c r="I110" s="284"/>
      <c r="J110" s="2"/>
      <c r="K110" s="10"/>
      <c r="L110" s="2"/>
      <c r="M110" s="2"/>
      <c r="N110" s="1"/>
    </row>
    <row r="111" ht="30.0" customHeight="1">
      <c r="A111" s="3"/>
      <c r="B111" s="2"/>
      <c r="C111" s="11"/>
      <c r="D111" s="5"/>
      <c r="E111" s="286"/>
      <c r="F111" s="13"/>
      <c r="G111" s="286"/>
      <c r="H111" s="13"/>
      <c r="I111" s="286"/>
      <c r="J111" s="13"/>
      <c r="K111" s="14"/>
      <c r="L111" s="17"/>
      <c r="M111" s="2"/>
      <c r="N111" s="1"/>
    </row>
    <row r="112" ht="11.25" customHeight="1">
      <c r="A112" s="3"/>
      <c r="B112" s="2"/>
      <c r="D112" s="5"/>
      <c r="F112" s="15"/>
      <c r="H112" s="15"/>
      <c r="J112" s="15"/>
      <c r="K112" s="9"/>
      <c r="L112" s="17"/>
      <c r="M112" s="2"/>
      <c r="N112" s="1"/>
    </row>
    <row r="113" ht="3.75" customHeight="1">
      <c r="A113" s="1"/>
      <c r="B113" s="2"/>
      <c r="C113" s="16"/>
      <c r="D113" s="10"/>
      <c r="E113" s="284"/>
      <c r="F113" s="2"/>
      <c r="G113" s="284"/>
      <c r="H113" s="2"/>
      <c r="I113" s="284"/>
      <c r="J113" s="2"/>
      <c r="K113" s="10"/>
      <c r="L113" s="2"/>
      <c r="M113" s="2"/>
      <c r="N113" s="1"/>
    </row>
    <row r="114" ht="30.0" customHeight="1">
      <c r="A114" s="3"/>
      <c r="B114" s="2"/>
      <c r="C114" s="11"/>
      <c r="D114" s="5"/>
      <c r="E114" s="286"/>
      <c r="F114" s="13"/>
      <c r="G114" s="286"/>
      <c r="H114" s="13"/>
      <c r="I114" s="286"/>
      <c r="J114" s="13"/>
      <c r="K114" s="14"/>
      <c r="L114" s="17"/>
      <c r="M114" s="2"/>
      <c r="N114" s="1"/>
    </row>
    <row r="115" ht="11.25" customHeight="1">
      <c r="A115" s="3"/>
      <c r="B115" s="2"/>
      <c r="D115" s="5"/>
      <c r="F115" s="15"/>
      <c r="H115" s="15"/>
      <c r="J115" s="15"/>
      <c r="K115" s="9"/>
      <c r="L115" s="17"/>
      <c r="M115" s="2"/>
      <c r="N115" s="1"/>
    </row>
    <row r="116" ht="3.75" customHeight="1">
      <c r="A116" s="1"/>
      <c r="B116" s="2"/>
      <c r="C116" s="16"/>
      <c r="D116" s="10"/>
      <c r="E116" s="284"/>
      <c r="F116" s="2"/>
      <c r="G116" s="284"/>
      <c r="H116" s="2"/>
      <c r="I116" s="284"/>
      <c r="J116" s="2"/>
      <c r="K116" s="10"/>
      <c r="L116" s="2"/>
      <c r="M116" s="2"/>
      <c r="N116" s="1"/>
    </row>
    <row r="117" ht="30.0" customHeight="1">
      <c r="A117" s="3"/>
      <c r="B117" s="2"/>
      <c r="C117" s="11"/>
      <c r="D117" s="5"/>
      <c r="E117" s="286"/>
      <c r="F117" s="13"/>
      <c r="G117" s="286"/>
      <c r="H117" s="13"/>
      <c r="I117" s="286"/>
      <c r="J117" s="13"/>
      <c r="K117" s="14"/>
      <c r="L117" s="17"/>
      <c r="M117" s="2"/>
      <c r="N117" s="1"/>
    </row>
    <row r="118" ht="11.25" customHeight="1">
      <c r="A118" s="3"/>
      <c r="B118" s="2"/>
      <c r="D118" s="5"/>
      <c r="F118" s="15"/>
      <c r="H118" s="15"/>
      <c r="J118" s="15"/>
      <c r="K118" s="9"/>
      <c r="L118" s="17"/>
      <c r="M118" s="2"/>
      <c r="N118" s="1"/>
    </row>
    <row r="119" ht="3.75" customHeight="1">
      <c r="A119" s="1"/>
      <c r="B119" s="2"/>
      <c r="C119" s="16"/>
      <c r="D119" s="10"/>
      <c r="E119" s="284"/>
      <c r="F119" s="2"/>
      <c r="G119" s="284"/>
      <c r="H119" s="2"/>
      <c r="I119" s="284"/>
      <c r="J119" s="2"/>
      <c r="K119" s="10"/>
      <c r="L119" s="2"/>
      <c r="M119" s="2"/>
      <c r="N119" s="1"/>
    </row>
    <row r="120" ht="30.0" customHeight="1">
      <c r="A120" s="3"/>
      <c r="B120" s="2"/>
      <c r="C120" s="11"/>
      <c r="D120" s="5"/>
      <c r="E120" s="286"/>
      <c r="F120" s="13"/>
      <c r="G120" s="286"/>
      <c r="H120" s="13"/>
      <c r="I120" s="286"/>
      <c r="J120" s="13"/>
      <c r="K120" s="14"/>
      <c r="L120" s="17"/>
      <c r="M120" s="2"/>
      <c r="N120" s="1"/>
    </row>
    <row r="121" ht="11.25" customHeight="1">
      <c r="A121" s="3"/>
      <c r="B121" s="2"/>
      <c r="D121" s="5"/>
      <c r="F121" s="15"/>
      <c r="H121" s="15"/>
      <c r="J121" s="15"/>
      <c r="K121" s="9"/>
      <c r="L121" s="17"/>
      <c r="M121" s="2"/>
      <c r="N121" s="1"/>
    </row>
    <row r="122" ht="3.75" customHeight="1">
      <c r="A122" s="1"/>
      <c r="B122" s="2"/>
      <c r="C122" s="16"/>
      <c r="D122" s="10"/>
      <c r="E122" s="284"/>
      <c r="F122" s="2"/>
      <c r="G122" s="284"/>
      <c r="H122" s="2"/>
      <c r="I122" s="284"/>
      <c r="J122" s="2"/>
      <c r="K122" s="10"/>
      <c r="L122" s="2"/>
      <c r="M122" s="2"/>
      <c r="N122" s="1"/>
    </row>
    <row r="123" ht="30.0" customHeight="1">
      <c r="A123" s="3"/>
      <c r="B123" s="2"/>
      <c r="C123" s="11"/>
      <c r="D123" s="5"/>
      <c r="E123" s="286"/>
      <c r="F123" s="13"/>
      <c r="G123" s="286"/>
      <c r="H123" s="13"/>
      <c r="I123" s="286"/>
      <c r="J123" s="13"/>
      <c r="K123" s="14"/>
      <c r="L123" s="17"/>
      <c r="M123" s="2"/>
      <c r="N123" s="1"/>
    </row>
    <row r="124" ht="11.25" customHeight="1">
      <c r="A124" s="3"/>
      <c r="B124" s="2"/>
      <c r="D124" s="5"/>
      <c r="F124" s="15"/>
      <c r="H124" s="15"/>
      <c r="J124" s="15"/>
      <c r="K124" s="9"/>
      <c r="L124" s="17"/>
      <c r="M124" s="2"/>
      <c r="N124" s="1"/>
    </row>
    <row r="125" ht="3.75" customHeight="1">
      <c r="A125" s="1"/>
      <c r="B125" s="2"/>
      <c r="C125" s="16"/>
      <c r="D125" s="10"/>
      <c r="E125" s="284"/>
      <c r="F125" s="2"/>
      <c r="G125" s="284"/>
      <c r="H125" s="2"/>
      <c r="I125" s="284"/>
      <c r="J125" s="2"/>
      <c r="K125" s="10"/>
      <c r="L125" s="2"/>
      <c r="M125" s="2"/>
      <c r="N125" s="1"/>
    </row>
    <row r="126" ht="30.0" customHeight="1">
      <c r="A126" s="3"/>
      <c r="B126" s="2"/>
      <c r="C126" s="11"/>
      <c r="D126" s="5"/>
      <c r="E126" s="286"/>
      <c r="F126" s="13"/>
      <c r="G126" s="286"/>
      <c r="H126" s="13"/>
      <c r="I126" s="286"/>
      <c r="J126" s="13"/>
      <c r="K126" s="14"/>
      <c r="L126" s="17"/>
      <c r="M126" s="2"/>
      <c r="N126" s="1"/>
    </row>
    <row r="127" ht="11.25" customHeight="1">
      <c r="A127" s="3"/>
      <c r="B127" s="2"/>
      <c r="D127" s="5"/>
      <c r="F127" s="15"/>
      <c r="H127" s="15"/>
      <c r="J127" s="15"/>
      <c r="K127" s="9"/>
      <c r="L127" s="17"/>
      <c r="M127" s="2"/>
      <c r="N127" s="1"/>
    </row>
    <row r="128" ht="3.75" customHeight="1">
      <c r="A128" s="1"/>
      <c r="B128" s="2"/>
      <c r="C128" s="16"/>
      <c r="D128" s="10"/>
      <c r="E128" s="284"/>
      <c r="F128" s="2"/>
      <c r="G128" s="284"/>
      <c r="H128" s="2"/>
      <c r="I128" s="284"/>
      <c r="J128" s="2"/>
      <c r="K128" s="10"/>
      <c r="L128" s="2"/>
      <c r="M128" s="2"/>
      <c r="N128" s="1"/>
    </row>
    <row r="129" ht="30.0" customHeight="1">
      <c r="A129" s="3"/>
      <c r="B129" s="2"/>
      <c r="C129" s="11"/>
      <c r="D129" s="5"/>
      <c r="E129" s="286"/>
      <c r="F129" s="13"/>
      <c r="G129" s="286"/>
      <c r="H129" s="13"/>
      <c r="I129" s="286"/>
      <c r="J129" s="13"/>
      <c r="K129" s="14"/>
      <c r="L129" s="17"/>
      <c r="M129" s="2"/>
      <c r="N129" s="1"/>
    </row>
    <row r="130" ht="11.25" customHeight="1">
      <c r="A130" s="3"/>
      <c r="B130" s="2"/>
      <c r="D130" s="5"/>
      <c r="F130" s="15"/>
      <c r="H130" s="15"/>
      <c r="J130" s="15"/>
      <c r="K130" s="9"/>
      <c r="L130" s="17"/>
      <c r="M130" s="2"/>
      <c r="N130" s="1"/>
    </row>
    <row r="131" ht="3.75" customHeight="1">
      <c r="A131" s="1"/>
      <c r="B131" s="2"/>
      <c r="C131" s="16"/>
      <c r="D131" s="10"/>
      <c r="E131" s="284"/>
      <c r="F131" s="2"/>
      <c r="G131" s="284"/>
      <c r="H131" s="2"/>
      <c r="I131" s="284"/>
      <c r="J131" s="2"/>
      <c r="K131" s="10"/>
      <c r="L131" s="2"/>
      <c r="M131" s="2"/>
      <c r="N131" s="1"/>
    </row>
    <row r="132" ht="30.0" customHeight="1">
      <c r="A132" s="3"/>
      <c r="B132" s="2"/>
      <c r="C132" s="11"/>
      <c r="D132" s="5"/>
      <c r="E132" s="286"/>
      <c r="F132" s="13"/>
      <c r="G132" s="286"/>
      <c r="H132" s="13"/>
      <c r="I132" s="286"/>
      <c r="J132" s="13"/>
      <c r="K132" s="14"/>
      <c r="L132" s="17"/>
      <c r="M132" s="2"/>
      <c r="N132" s="1"/>
    </row>
    <row r="133" ht="11.25" customHeight="1">
      <c r="A133" s="3"/>
      <c r="B133" s="2"/>
      <c r="D133" s="5"/>
      <c r="F133" s="15"/>
      <c r="H133" s="15"/>
      <c r="J133" s="15"/>
      <c r="K133" s="9"/>
      <c r="L133" s="17"/>
      <c r="M133" s="2"/>
      <c r="N133" s="1"/>
    </row>
    <row r="134" ht="3.75" customHeight="1">
      <c r="A134" s="1"/>
      <c r="B134" s="2"/>
      <c r="C134" s="16"/>
      <c r="D134" s="10"/>
      <c r="E134" s="284"/>
      <c r="F134" s="2"/>
      <c r="G134" s="284"/>
      <c r="H134" s="2"/>
      <c r="I134" s="284"/>
      <c r="J134" s="2"/>
      <c r="K134" s="10"/>
      <c r="L134" s="2"/>
      <c r="M134" s="2"/>
      <c r="N134" s="1"/>
    </row>
    <row r="135" ht="30.0" customHeight="1">
      <c r="A135" s="3"/>
      <c r="B135" s="2"/>
      <c r="C135" s="11"/>
      <c r="D135" s="5"/>
      <c r="E135" s="286"/>
      <c r="F135" s="13"/>
      <c r="G135" s="286"/>
      <c r="H135" s="13"/>
      <c r="I135" s="286"/>
      <c r="J135" s="13"/>
      <c r="K135" s="14"/>
      <c r="L135" s="17"/>
      <c r="M135" s="2"/>
      <c r="N135" s="1"/>
    </row>
    <row r="136" ht="11.25" customHeight="1">
      <c r="A136" s="3"/>
      <c r="B136" s="2"/>
      <c r="D136" s="5"/>
      <c r="F136" s="15"/>
      <c r="H136" s="15"/>
      <c r="J136" s="15"/>
      <c r="K136" s="9"/>
      <c r="L136" s="17"/>
      <c r="M136" s="2"/>
      <c r="N136" s="1"/>
    </row>
    <row r="137" ht="3.75" customHeight="1">
      <c r="A137" s="1"/>
      <c r="B137" s="2"/>
      <c r="C137" s="16"/>
      <c r="D137" s="10"/>
      <c r="E137" s="284"/>
      <c r="F137" s="2"/>
      <c r="G137" s="284"/>
      <c r="H137" s="2"/>
      <c r="I137" s="284"/>
      <c r="J137" s="2"/>
      <c r="K137" s="10"/>
      <c r="L137" s="2"/>
      <c r="M137" s="2"/>
      <c r="N137" s="1"/>
    </row>
    <row r="138" ht="30.0" customHeight="1">
      <c r="A138" s="3"/>
      <c r="B138" s="2"/>
      <c r="C138" s="11"/>
      <c r="D138" s="5"/>
      <c r="E138" s="286"/>
      <c r="F138" s="13"/>
      <c r="G138" s="286"/>
      <c r="H138" s="13"/>
      <c r="I138" s="286"/>
      <c r="J138" s="13"/>
      <c r="K138" s="14"/>
      <c r="L138" s="17"/>
      <c r="M138" s="2"/>
      <c r="N138" s="1"/>
    </row>
    <row r="139" ht="11.25" customHeight="1">
      <c r="A139" s="3"/>
      <c r="B139" s="2"/>
      <c r="D139" s="5"/>
      <c r="F139" s="15"/>
      <c r="H139" s="15"/>
      <c r="J139" s="15"/>
      <c r="K139" s="9"/>
      <c r="L139" s="17"/>
      <c r="M139" s="2"/>
      <c r="N139" s="1"/>
    </row>
    <row r="140" ht="3.75" customHeight="1">
      <c r="A140" s="1"/>
      <c r="B140" s="2"/>
      <c r="C140" s="16"/>
      <c r="D140" s="10"/>
      <c r="E140" s="284"/>
      <c r="F140" s="2"/>
      <c r="G140" s="284"/>
      <c r="H140" s="2"/>
      <c r="I140" s="284"/>
      <c r="J140" s="2"/>
      <c r="K140" s="10"/>
      <c r="L140" s="2"/>
      <c r="M140" s="2"/>
      <c r="N140" s="1"/>
    </row>
    <row r="141" ht="30.0" customHeight="1">
      <c r="A141" s="3"/>
      <c r="B141" s="2"/>
      <c r="C141" s="11"/>
      <c r="D141" s="5"/>
      <c r="E141" s="286"/>
      <c r="F141" s="13"/>
      <c r="G141" s="286"/>
      <c r="H141" s="13"/>
      <c r="I141" s="286"/>
      <c r="J141" s="13"/>
      <c r="K141" s="14"/>
      <c r="L141" s="17"/>
      <c r="M141" s="2"/>
      <c r="N141" s="1"/>
    </row>
    <row r="142" ht="11.25" customHeight="1">
      <c r="A142" s="3"/>
      <c r="B142" s="2"/>
      <c r="D142" s="5"/>
      <c r="F142" s="15"/>
      <c r="H142" s="15"/>
      <c r="J142" s="15"/>
      <c r="K142" s="9"/>
      <c r="L142" s="17"/>
      <c r="M142" s="2"/>
      <c r="N142" s="1"/>
    </row>
    <row r="143" ht="3.75" customHeight="1">
      <c r="A143" s="1"/>
      <c r="B143" s="2"/>
      <c r="C143" s="16"/>
      <c r="D143" s="10"/>
      <c r="E143" s="284"/>
      <c r="F143" s="2"/>
      <c r="G143" s="284"/>
      <c r="H143" s="2"/>
      <c r="I143" s="284"/>
      <c r="J143" s="2"/>
      <c r="K143" s="10"/>
      <c r="L143" s="2"/>
      <c r="M143" s="2"/>
      <c r="N143" s="1"/>
    </row>
    <row r="144" ht="30.0" customHeight="1">
      <c r="A144" s="3"/>
      <c r="B144" s="2"/>
      <c r="C144" s="11"/>
      <c r="D144" s="5"/>
      <c r="E144" s="286"/>
      <c r="F144" s="13"/>
      <c r="G144" s="286"/>
      <c r="H144" s="13"/>
      <c r="I144" s="286"/>
      <c r="J144" s="13"/>
      <c r="K144" s="14"/>
      <c r="L144" s="17"/>
      <c r="M144" s="2"/>
      <c r="N144" s="1"/>
    </row>
    <row r="145" ht="11.25" customHeight="1">
      <c r="A145" s="3"/>
      <c r="B145" s="2"/>
      <c r="D145" s="5"/>
      <c r="F145" s="15"/>
      <c r="H145" s="15"/>
      <c r="J145" s="15"/>
      <c r="K145" s="9"/>
      <c r="L145" s="17"/>
      <c r="M145" s="2"/>
      <c r="N145" s="1"/>
    </row>
    <row r="146" ht="3.75" customHeight="1">
      <c r="A146" s="1"/>
      <c r="B146" s="2"/>
      <c r="C146" s="16"/>
      <c r="D146" s="10"/>
      <c r="E146" s="284"/>
      <c r="F146" s="2"/>
      <c r="G146" s="284"/>
      <c r="H146" s="2"/>
      <c r="I146" s="284"/>
      <c r="J146" s="2"/>
      <c r="K146" s="10"/>
      <c r="L146" s="2"/>
      <c r="M146" s="2"/>
      <c r="N146" s="1"/>
    </row>
    <row r="147" ht="30.0" customHeight="1">
      <c r="A147" s="3"/>
      <c r="B147" s="2"/>
      <c r="C147" s="11"/>
      <c r="D147" s="5"/>
      <c r="E147" s="286"/>
      <c r="F147" s="13"/>
      <c r="G147" s="286"/>
      <c r="H147" s="13"/>
      <c r="I147" s="286"/>
      <c r="J147" s="13"/>
      <c r="K147" s="14"/>
      <c r="L147" s="17"/>
      <c r="M147" s="2"/>
      <c r="N147" s="1"/>
    </row>
    <row r="148" ht="11.25" customHeight="1">
      <c r="A148" s="3"/>
      <c r="B148" s="2"/>
      <c r="D148" s="5"/>
      <c r="F148" s="15"/>
      <c r="H148" s="15"/>
      <c r="J148" s="15"/>
      <c r="K148" s="9"/>
      <c r="L148" s="17"/>
      <c r="M148" s="2"/>
      <c r="N148" s="1"/>
    </row>
    <row r="149" ht="3.75" customHeight="1">
      <c r="A149" s="1"/>
      <c r="B149" s="2"/>
      <c r="C149" s="16"/>
      <c r="D149" s="10"/>
      <c r="E149" s="284"/>
      <c r="F149" s="2"/>
      <c r="G149" s="284"/>
      <c r="H149" s="2"/>
      <c r="I149" s="284"/>
      <c r="J149" s="2"/>
      <c r="K149" s="10"/>
      <c r="L149" s="2"/>
      <c r="M149" s="2"/>
      <c r="N149" s="1"/>
    </row>
    <row r="150" ht="30.0" customHeight="1">
      <c r="A150" s="3"/>
      <c r="B150" s="2"/>
      <c r="C150" s="11"/>
      <c r="D150" s="5"/>
      <c r="E150" s="286"/>
      <c r="F150" s="13"/>
      <c r="G150" s="286"/>
      <c r="H150" s="13"/>
      <c r="I150" s="286"/>
      <c r="J150" s="13"/>
      <c r="K150" s="14"/>
      <c r="L150" s="17"/>
      <c r="M150" s="2"/>
      <c r="N150" s="1"/>
    </row>
    <row r="151" ht="11.25" customHeight="1">
      <c r="A151" s="3"/>
      <c r="B151" s="2"/>
      <c r="D151" s="5"/>
      <c r="F151" s="15"/>
      <c r="H151" s="15"/>
      <c r="J151" s="15"/>
      <c r="K151" s="9"/>
      <c r="L151" s="17"/>
      <c r="M151" s="2"/>
      <c r="N151" s="1"/>
    </row>
    <row r="152" ht="3.75" customHeight="1">
      <c r="A152" s="1"/>
      <c r="B152" s="2"/>
      <c r="C152" s="16"/>
      <c r="D152" s="10"/>
      <c r="E152" s="284"/>
      <c r="F152" s="2"/>
      <c r="G152" s="284"/>
      <c r="H152" s="2"/>
      <c r="I152" s="284"/>
      <c r="J152" s="2"/>
      <c r="K152" s="10"/>
      <c r="L152" s="2"/>
      <c r="M152" s="2"/>
      <c r="N152" s="1"/>
    </row>
    <row r="153" ht="30.0" customHeight="1">
      <c r="A153" s="3"/>
      <c r="B153" s="2"/>
      <c r="C153" s="11"/>
      <c r="D153" s="5"/>
      <c r="E153" s="286"/>
      <c r="F153" s="13"/>
      <c r="G153" s="286"/>
      <c r="H153" s="13"/>
      <c r="I153" s="286"/>
      <c r="J153" s="13"/>
      <c r="K153" s="14"/>
      <c r="L153" s="17"/>
      <c r="M153" s="2"/>
      <c r="N153" s="1"/>
    </row>
    <row r="154" ht="11.25" customHeight="1">
      <c r="A154" s="3"/>
      <c r="B154" s="2"/>
      <c r="D154" s="5"/>
      <c r="F154" s="15"/>
      <c r="H154" s="15"/>
      <c r="J154" s="15"/>
      <c r="K154" s="9"/>
      <c r="L154" s="17"/>
      <c r="M154" s="2"/>
      <c r="N154" s="1"/>
    </row>
    <row r="155" ht="3.75" customHeight="1">
      <c r="A155" s="1"/>
      <c r="B155" s="2"/>
      <c r="C155" s="16"/>
      <c r="D155" s="10"/>
      <c r="E155" s="284"/>
      <c r="F155" s="2"/>
      <c r="G155" s="284"/>
      <c r="H155" s="2"/>
      <c r="I155" s="284"/>
      <c r="J155" s="2"/>
      <c r="K155" s="10"/>
      <c r="L155" s="2"/>
      <c r="M155" s="2"/>
      <c r="N155" s="1"/>
    </row>
    <row r="156" ht="30.0" customHeight="1">
      <c r="A156" s="3"/>
      <c r="B156" s="2"/>
      <c r="C156" s="11"/>
      <c r="D156" s="5"/>
      <c r="E156" s="286"/>
      <c r="F156" s="13"/>
      <c r="G156" s="286"/>
      <c r="H156" s="13"/>
      <c r="I156" s="286"/>
      <c r="J156" s="13"/>
      <c r="K156" s="14"/>
      <c r="L156" s="17"/>
      <c r="M156" s="2"/>
      <c r="N156" s="1"/>
    </row>
    <row r="157" ht="11.25" customHeight="1">
      <c r="A157" s="3"/>
      <c r="B157" s="2"/>
      <c r="D157" s="5"/>
      <c r="F157" s="15"/>
      <c r="H157" s="15"/>
      <c r="J157" s="15"/>
      <c r="K157" s="9"/>
      <c r="L157" s="17"/>
      <c r="M157" s="2"/>
      <c r="N157" s="1"/>
    </row>
    <row r="158" ht="3.75" customHeight="1">
      <c r="A158" s="1"/>
      <c r="B158" s="2"/>
      <c r="C158" s="16"/>
      <c r="D158" s="10"/>
      <c r="E158" s="284"/>
      <c r="F158" s="2"/>
      <c r="G158" s="284"/>
      <c r="H158" s="2"/>
      <c r="I158" s="284"/>
      <c r="J158" s="2"/>
      <c r="K158" s="10"/>
      <c r="L158" s="2"/>
      <c r="M158" s="2"/>
      <c r="N158" s="1"/>
    </row>
    <row r="159" ht="30.0" customHeight="1">
      <c r="A159" s="3"/>
      <c r="B159" s="2"/>
      <c r="C159" s="11"/>
      <c r="D159" s="5"/>
      <c r="E159" s="286"/>
      <c r="F159" s="13"/>
      <c r="G159" s="286"/>
      <c r="H159" s="13"/>
      <c r="I159" s="286"/>
      <c r="J159" s="13"/>
      <c r="K159" s="14"/>
      <c r="L159" s="17"/>
      <c r="M159" s="2"/>
      <c r="N159" s="1"/>
    </row>
    <row r="160" ht="11.25" customHeight="1">
      <c r="A160" s="3"/>
      <c r="B160" s="2"/>
      <c r="D160" s="5"/>
      <c r="F160" s="15"/>
      <c r="H160" s="15"/>
      <c r="J160" s="15"/>
      <c r="K160" s="9"/>
      <c r="L160" s="17"/>
      <c r="M160" s="2"/>
      <c r="N160" s="1"/>
    </row>
    <row r="161" ht="3.75" customHeight="1">
      <c r="A161" s="1"/>
      <c r="B161" s="2"/>
      <c r="C161" s="16"/>
      <c r="D161" s="10"/>
      <c r="E161" s="284"/>
      <c r="F161" s="2"/>
      <c r="G161" s="284"/>
      <c r="H161" s="2"/>
      <c r="I161" s="284"/>
      <c r="J161" s="2"/>
      <c r="K161" s="10"/>
      <c r="L161" s="2"/>
      <c r="M161" s="2"/>
      <c r="N161" s="1"/>
    </row>
    <row r="162" ht="30.0" customHeight="1">
      <c r="A162" s="3"/>
      <c r="B162" s="2"/>
      <c r="C162" s="11"/>
      <c r="D162" s="5"/>
      <c r="E162" s="286"/>
      <c r="F162" s="13"/>
      <c r="G162" s="286"/>
      <c r="H162" s="13"/>
      <c r="I162" s="286"/>
      <c r="J162" s="13"/>
      <c r="K162" s="14"/>
      <c r="L162" s="17"/>
      <c r="M162" s="2"/>
      <c r="N162" s="1"/>
    </row>
    <row r="163" ht="11.25" customHeight="1">
      <c r="A163" s="3"/>
      <c r="B163" s="2"/>
      <c r="D163" s="5"/>
      <c r="F163" s="15"/>
      <c r="H163" s="15"/>
      <c r="J163" s="15"/>
      <c r="K163" s="9"/>
      <c r="L163" s="17"/>
      <c r="M163" s="2"/>
      <c r="N163" s="1"/>
    </row>
    <row r="164" ht="3.75" customHeight="1">
      <c r="A164" s="1"/>
      <c r="B164" s="2"/>
      <c r="C164" s="16"/>
      <c r="D164" s="10"/>
      <c r="E164" s="284"/>
      <c r="F164" s="2"/>
      <c r="G164" s="284"/>
      <c r="H164" s="2"/>
      <c r="I164" s="284"/>
      <c r="J164" s="2"/>
      <c r="K164" s="10"/>
      <c r="L164" s="2"/>
      <c r="M164" s="2"/>
      <c r="N164" s="1"/>
    </row>
    <row r="165" ht="30.0" customHeight="1">
      <c r="A165" s="3"/>
      <c r="B165" s="2"/>
      <c r="C165" s="11"/>
      <c r="D165" s="5"/>
      <c r="E165" s="286"/>
      <c r="F165" s="13"/>
      <c r="G165" s="286"/>
      <c r="H165" s="13"/>
      <c r="I165" s="286"/>
      <c r="J165" s="13"/>
      <c r="K165" s="14"/>
      <c r="L165" s="17"/>
      <c r="M165" s="2"/>
      <c r="N165" s="1"/>
    </row>
    <row r="166" ht="11.25" customHeight="1">
      <c r="A166" s="3"/>
      <c r="B166" s="2"/>
      <c r="D166" s="5"/>
      <c r="F166" s="15"/>
      <c r="H166" s="15"/>
      <c r="J166" s="15"/>
      <c r="K166" s="9"/>
      <c r="L166" s="17"/>
      <c r="M166" s="2"/>
      <c r="N166" s="1"/>
    </row>
    <row r="167" ht="3.75" customHeight="1">
      <c r="A167" s="1"/>
      <c r="B167" s="2"/>
      <c r="C167" s="16"/>
      <c r="D167" s="10"/>
      <c r="E167" s="284"/>
      <c r="F167" s="2"/>
      <c r="G167" s="284"/>
      <c r="H167" s="2"/>
      <c r="I167" s="284"/>
      <c r="J167" s="2"/>
      <c r="K167" s="10"/>
      <c r="L167" s="2"/>
      <c r="M167" s="2"/>
      <c r="N167" s="1"/>
    </row>
    <row r="168" ht="30.0" customHeight="1">
      <c r="A168" s="3"/>
      <c r="B168" s="2"/>
      <c r="C168" s="11"/>
      <c r="D168" s="5"/>
      <c r="E168" s="286"/>
      <c r="F168" s="13"/>
      <c r="G168" s="286"/>
      <c r="H168" s="13"/>
      <c r="I168" s="286"/>
      <c r="J168" s="13"/>
      <c r="K168" s="14"/>
      <c r="L168" s="17"/>
      <c r="M168" s="2"/>
      <c r="N168" s="1"/>
    </row>
    <row r="169" ht="11.25" customHeight="1">
      <c r="A169" s="3"/>
      <c r="B169" s="2"/>
      <c r="D169" s="5"/>
      <c r="F169" s="15"/>
      <c r="H169" s="15"/>
      <c r="J169" s="15"/>
      <c r="K169" s="9"/>
      <c r="L169" s="17"/>
      <c r="M169" s="2"/>
      <c r="N169" s="1"/>
    </row>
    <row r="170" ht="3.75" customHeight="1">
      <c r="A170" s="1"/>
      <c r="B170" s="2"/>
      <c r="C170" s="16"/>
      <c r="D170" s="10"/>
      <c r="E170" s="284"/>
      <c r="F170" s="2"/>
      <c r="G170" s="284"/>
      <c r="H170" s="2"/>
      <c r="I170" s="284"/>
      <c r="J170" s="2"/>
      <c r="K170" s="10"/>
      <c r="L170" s="2"/>
      <c r="M170" s="2"/>
      <c r="N170" s="1"/>
    </row>
    <row r="171" ht="30.0" customHeight="1">
      <c r="A171" s="3"/>
      <c r="B171" s="2"/>
      <c r="C171" s="11"/>
      <c r="D171" s="5"/>
      <c r="E171" s="286"/>
      <c r="F171" s="13"/>
      <c r="G171" s="286"/>
      <c r="H171" s="13"/>
      <c r="I171" s="286"/>
      <c r="J171" s="13"/>
      <c r="K171" s="14"/>
      <c r="L171" s="17"/>
      <c r="M171" s="2"/>
      <c r="N171" s="1"/>
    </row>
    <row r="172" ht="11.25" customHeight="1">
      <c r="A172" s="3"/>
      <c r="B172" s="2"/>
      <c r="D172" s="5"/>
      <c r="F172" s="15"/>
      <c r="H172" s="15"/>
      <c r="J172" s="15"/>
      <c r="K172" s="9"/>
      <c r="L172" s="17"/>
      <c r="M172" s="2"/>
      <c r="N172" s="1"/>
    </row>
    <row r="173" ht="3.75" customHeight="1">
      <c r="A173" s="1"/>
      <c r="B173" s="2"/>
      <c r="C173" s="16"/>
      <c r="D173" s="10"/>
      <c r="E173" s="284"/>
      <c r="F173" s="2"/>
      <c r="G173" s="284"/>
      <c r="H173" s="2"/>
      <c r="I173" s="284"/>
      <c r="J173" s="2"/>
      <c r="K173" s="10"/>
      <c r="L173" s="2"/>
      <c r="M173" s="2"/>
      <c r="N173" s="1"/>
    </row>
    <row r="174" ht="30.0" customHeight="1">
      <c r="A174" s="3"/>
      <c r="B174" s="2"/>
      <c r="C174" s="11"/>
      <c r="D174" s="5"/>
      <c r="E174" s="286"/>
      <c r="F174" s="13"/>
      <c r="G174" s="286"/>
      <c r="H174" s="13"/>
      <c r="I174" s="286"/>
      <c r="J174" s="13"/>
      <c r="K174" s="14"/>
      <c r="L174" s="17"/>
      <c r="M174" s="2"/>
      <c r="N174" s="1"/>
    </row>
    <row r="175" ht="11.25" customHeight="1">
      <c r="A175" s="3"/>
      <c r="B175" s="2"/>
      <c r="D175" s="5"/>
      <c r="F175" s="15"/>
      <c r="H175" s="15"/>
      <c r="J175" s="15"/>
      <c r="K175" s="9"/>
      <c r="L175" s="17"/>
      <c r="M175" s="2"/>
      <c r="N175" s="1"/>
    </row>
    <row r="176" ht="3.75" customHeight="1">
      <c r="A176" s="1"/>
      <c r="B176" s="2"/>
      <c r="C176" s="16"/>
      <c r="D176" s="10"/>
      <c r="E176" s="284"/>
      <c r="F176" s="2"/>
      <c r="G176" s="284"/>
      <c r="H176" s="2"/>
      <c r="I176" s="284"/>
      <c r="J176" s="2"/>
      <c r="K176" s="10"/>
      <c r="L176" s="2"/>
      <c r="M176" s="2"/>
      <c r="N176" s="1"/>
    </row>
    <row r="177" ht="30.0" customHeight="1">
      <c r="A177" s="3"/>
      <c r="B177" s="2"/>
      <c r="C177" s="11"/>
      <c r="D177" s="5"/>
      <c r="E177" s="286"/>
      <c r="F177" s="13"/>
      <c r="G177" s="286"/>
      <c r="H177" s="13"/>
      <c r="I177" s="286"/>
      <c r="J177" s="13"/>
      <c r="K177" s="14"/>
      <c r="L177" s="17"/>
      <c r="M177" s="2"/>
      <c r="N177" s="1"/>
    </row>
    <row r="178" ht="11.25" customHeight="1">
      <c r="A178" s="3"/>
      <c r="B178" s="2"/>
      <c r="D178" s="5"/>
      <c r="F178" s="15"/>
      <c r="H178" s="15"/>
      <c r="J178" s="15"/>
      <c r="K178" s="9"/>
      <c r="L178" s="17"/>
      <c r="M178" s="2"/>
      <c r="N178" s="1"/>
    </row>
    <row r="179" ht="3.75" customHeight="1">
      <c r="A179" s="1"/>
      <c r="B179" s="2"/>
      <c r="C179" s="16"/>
      <c r="D179" s="10"/>
      <c r="E179" s="284"/>
      <c r="F179" s="2"/>
      <c r="G179" s="284"/>
      <c r="H179" s="2"/>
      <c r="I179" s="284"/>
      <c r="J179" s="2"/>
      <c r="K179" s="10"/>
      <c r="L179" s="2"/>
      <c r="M179" s="2"/>
      <c r="N179" s="1"/>
    </row>
    <row r="180" ht="30.0" customHeight="1">
      <c r="A180" s="3"/>
      <c r="B180" s="2"/>
      <c r="C180" s="11"/>
      <c r="D180" s="5"/>
      <c r="E180" s="286"/>
      <c r="F180" s="13"/>
      <c r="G180" s="286"/>
      <c r="H180" s="13"/>
      <c r="I180" s="286"/>
      <c r="J180" s="13"/>
      <c r="K180" s="14"/>
      <c r="L180" s="17"/>
      <c r="M180" s="2"/>
      <c r="N180" s="1"/>
    </row>
    <row r="181" ht="11.25" customHeight="1">
      <c r="A181" s="3"/>
      <c r="B181" s="2"/>
      <c r="D181" s="5"/>
      <c r="F181" s="15"/>
      <c r="H181" s="15"/>
      <c r="J181" s="15"/>
      <c r="K181" s="9"/>
      <c r="L181" s="17"/>
      <c r="M181" s="2"/>
      <c r="N181" s="1"/>
    </row>
    <row r="182" ht="3.75" customHeight="1">
      <c r="A182" s="1"/>
      <c r="B182" s="2"/>
      <c r="C182" s="16"/>
      <c r="D182" s="10"/>
      <c r="E182" s="284"/>
      <c r="F182" s="2"/>
      <c r="G182" s="284"/>
      <c r="H182" s="2"/>
      <c r="I182" s="284"/>
      <c r="J182" s="2"/>
      <c r="K182" s="10"/>
      <c r="L182" s="2"/>
      <c r="M182" s="2"/>
      <c r="N182" s="1"/>
    </row>
    <row r="183" ht="30.0" customHeight="1">
      <c r="A183" s="3"/>
      <c r="B183" s="2"/>
      <c r="C183" s="11"/>
      <c r="D183" s="5"/>
      <c r="E183" s="286"/>
      <c r="F183" s="13"/>
      <c r="G183" s="286"/>
      <c r="H183" s="13"/>
      <c r="I183" s="286"/>
      <c r="J183" s="13"/>
      <c r="K183" s="14"/>
      <c r="L183" s="17"/>
      <c r="M183" s="2"/>
      <c r="N183" s="1"/>
    </row>
    <row r="184" ht="11.25" customHeight="1">
      <c r="A184" s="3"/>
      <c r="B184" s="2"/>
      <c r="D184" s="5"/>
      <c r="F184" s="15"/>
      <c r="H184" s="15"/>
      <c r="J184" s="15"/>
      <c r="K184" s="9"/>
      <c r="L184" s="17"/>
      <c r="M184" s="2"/>
      <c r="N184" s="1"/>
    </row>
    <row r="185" ht="3.75" customHeight="1">
      <c r="A185" s="1"/>
      <c r="B185" s="2"/>
      <c r="C185" s="16"/>
      <c r="D185" s="10"/>
      <c r="E185" s="284"/>
      <c r="F185" s="2"/>
      <c r="G185" s="284"/>
      <c r="H185" s="2"/>
      <c r="I185" s="284"/>
      <c r="J185" s="2"/>
      <c r="K185" s="10"/>
      <c r="L185" s="2"/>
      <c r="M185" s="2"/>
      <c r="N185" s="1"/>
    </row>
  </sheetData>
  <mergeCells count="305">
    <mergeCell ref="I48:I49"/>
    <mergeCell ref="I51:I52"/>
    <mergeCell ref="G39:G40"/>
    <mergeCell ref="G42:G43"/>
    <mergeCell ref="I42:I43"/>
    <mergeCell ref="I45:I46"/>
    <mergeCell ref="K45:K46"/>
    <mergeCell ref="K48:K49"/>
    <mergeCell ref="K51:K52"/>
    <mergeCell ref="C3:C4"/>
    <mergeCell ref="E3:E4"/>
    <mergeCell ref="G3:G4"/>
    <mergeCell ref="K3:L4"/>
    <mergeCell ref="E6:E7"/>
    <mergeCell ref="G6:G7"/>
    <mergeCell ref="K6:L7"/>
    <mergeCell ref="C6:C7"/>
    <mergeCell ref="C9:C10"/>
    <mergeCell ref="E9:E10"/>
    <mergeCell ref="G9:G10"/>
    <mergeCell ref="C12:C13"/>
    <mergeCell ref="G12:G13"/>
    <mergeCell ref="G15:G16"/>
    <mergeCell ref="I3:I4"/>
    <mergeCell ref="I6:I7"/>
    <mergeCell ref="I9:I10"/>
    <mergeCell ref="K9:K10"/>
    <mergeCell ref="I12:I13"/>
    <mergeCell ref="K12:K13"/>
    <mergeCell ref="K15:K16"/>
    <mergeCell ref="C15:C16"/>
    <mergeCell ref="C18:C19"/>
    <mergeCell ref="C21:C22"/>
    <mergeCell ref="C24:C25"/>
    <mergeCell ref="C27:C28"/>
    <mergeCell ref="C30:C31"/>
    <mergeCell ref="C33:C34"/>
    <mergeCell ref="G51:G52"/>
    <mergeCell ref="G54:G55"/>
    <mergeCell ref="I54:I55"/>
    <mergeCell ref="K54:K55"/>
    <mergeCell ref="G63:G64"/>
    <mergeCell ref="I63:I64"/>
    <mergeCell ref="K63:K64"/>
    <mergeCell ref="C63:C64"/>
    <mergeCell ref="C66:C67"/>
    <mergeCell ref="E63:E64"/>
    <mergeCell ref="E66:E67"/>
    <mergeCell ref="G66:G67"/>
    <mergeCell ref="I66:I67"/>
    <mergeCell ref="K66:K67"/>
    <mergeCell ref="I69:I70"/>
    <mergeCell ref="I72:I73"/>
    <mergeCell ref="K147:K148"/>
    <mergeCell ref="K150:K151"/>
    <mergeCell ref="K126:K127"/>
    <mergeCell ref="K129:K130"/>
    <mergeCell ref="K132:K133"/>
    <mergeCell ref="K135:K136"/>
    <mergeCell ref="K138:K139"/>
    <mergeCell ref="K141:K142"/>
    <mergeCell ref="K144:K145"/>
    <mergeCell ref="K69:K70"/>
    <mergeCell ref="K72:K73"/>
    <mergeCell ref="I75:I76"/>
    <mergeCell ref="K75:K76"/>
    <mergeCell ref="I78:I79"/>
    <mergeCell ref="K78:K79"/>
    <mergeCell ref="K81:K82"/>
    <mergeCell ref="I81:I82"/>
    <mergeCell ref="I84:I85"/>
    <mergeCell ref="I87:I88"/>
    <mergeCell ref="I90:I91"/>
    <mergeCell ref="I93:I94"/>
    <mergeCell ref="I96:I97"/>
    <mergeCell ref="I99:I100"/>
    <mergeCell ref="K84:K85"/>
    <mergeCell ref="K87:K88"/>
    <mergeCell ref="K90:K91"/>
    <mergeCell ref="K93:K94"/>
    <mergeCell ref="K96:K97"/>
    <mergeCell ref="K99:K100"/>
    <mergeCell ref="K102:K103"/>
    <mergeCell ref="I102:I103"/>
    <mergeCell ref="I105:I106"/>
    <mergeCell ref="I108:I109"/>
    <mergeCell ref="I111:I112"/>
    <mergeCell ref="I114:I115"/>
    <mergeCell ref="I117:I118"/>
    <mergeCell ref="I120:I121"/>
    <mergeCell ref="K105:K106"/>
    <mergeCell ref="K108:K109"/>
    <mergeCell ref="K111:K112"/>
    <mergeCell ref="K114:K115"/>
    <mergeCell ref="K117:K118"/>
    <mergeCell ref="K120:K121"/>
    <mergeCell ref="K123:K124"/>
    <mergeCell ref="I144:I145"/>
    <mergeCell ref="I147:I148"/>
    <mergeCell ref="I150:I151"/>
    <mergeCell ref="I123:I124"/>
    <mergeCell ref="I126:I127"/>
    <mergeCell ref="I129:I130"/>
    <mergeCell ref="I132:I133"/>
    <mergeCell ref="I135:I136"/>
    <mergeCell ref="I138:I139"/>
    <mergeCell ref="I141:I142"/>
    <mergeCell ref="E33:E34"/>
    <mergeCell ref="E36:E37"/>
    <mergeCell ref="E12:E13"/>
    <mergeCell ref="E15:E16"/>
    <mergeCell ref="E18:E19"/>
    <mergeCell ref="E21:E22"/>
    <mergeCell ref="E24:E25"/>
    <mergeCell ref="E27:E28"/>
    <mergeCell ref="E30:E31"/>
    <mergeCell ref="I15:I16"/>
    <mergeCell ref="I18:I19"/>
    <mergeCell ref="I21:I22"/>
    <mergeCell ref="I24:I25"/>
    <mergeCell ref="I27:I28"/>
    <mergeCell ref="I30:I31"/>
    <mergeCell ref="I33:I34"/>
    <mergeCell ref="I168:I169"/>
    <mergeCell ref="I171:I172"/>
    <mergeCell ref="I174:I175"/>
    <mergeCell ref="I177:I178"/>
    <mergeCell ref="I180:I181"/>
    <mergeCell ref="I183:I184"/>
    <mergeCell ref="I36:I37"/>
    <mergeCell ref="I39:I40"/>
    <mergeCell ref="I153:I154"/>
    <mergeCell ref="I156:I157"/>
    <mergeCell ref="I159:I160"/>
    <mergeCell ref="I162:I163"/>
    <mergeCell ref="I165:I166"/>
    <mergeCell ref="K18:K19"/>
    <mergeCell ref="K21:K22"/>
    <mergeCell ref="K24:K25"/>
    <mergeCell ref="K27:K28"/>
    <mergeCell ref="K30:K31"/>
    <mergeCell ref="K33:K34"/>
    <mergeCell ref="K36:K37"/>
    <mergeCell ref="K168:K169"/>
    <mergeCell ref="K171:K172"/>
    <mergeCell ref="K174:K175"/>
    <mergeCell ref="K177:K178"/>
    <mergeCell ref="K180:K181"/>
    <mergeCell ref="K183:K184"/>
    <mergeCell ref="K39:K40"/>
    <mergeCell ref="K42:K43"/>
    <mergeCell ref="K153:K154"/>
    <mergeCell ref="K156:K157"/>
    <mergeCell ref="K159:K160"/>
    <mergeCell ref="K162:K163"/>
    <mergeCell ref="K165:K166"/>
    <mergeCell ref="G18:G19"/>
    <mergeCell ref="G21:G22"/>
    <mergeCell ref="G24:G25"/>
    <mergeCell ref="G27:G28"/>
    <mergeCell ref="G30:G31"/>
    <mergeCell ref="G33:G34"/>
    <mergeCell ref="G36:G37"/>
    <mergeCell ref="G45:G46"/>
    <mergeCell ref="G48:G49"/>
    <mergeCell ref="G69:G70"/>
    <mergeCell ref="G72:G73"/>
    <mergeCell ref="G75:G76"/>
    <mergeCell ref="G78:G79"/>
    <mergeCell ref="G81:G82"/>
    <mergeCell ref="G84:G85"/>
    <mergeCell ref="G87:G88"/>
    <mergeCell ref="G90:G91"/>
    <mergeCell ref="G93:G94"/>
    <mergeCell ref="G96:G97"/>
    <mergeCell ref="G99:G100"/>
    <mergeCell ref="G102:G103"/>
    <mergeCell ref="G105:G106"/>
    <mergeCell ref="G108:G109"/>
    <mergeCell ref="G111:G112"/>
    <mergeCell ref="G114:G115"/>
    <mergeCell ref="G117:G118"/>
    <mergeCell ref="G120:G121"/>
    <mergeCell ref="G123:G124"/>
    <mergeCell ref="G126:G127"/>
    <mergeCell ref="G129:G130"/>
    <mergeCell ref="G132:G133"/>
    <mergeCell ref="G135:G136"/>
    <mergeCell ref="G138:G139"/>
    <mergeCell ref="G141:G142"/>
    <mergeCell ref="G144:G145"/>
    <mergeCell ref="G168:G169"/>
    <mergeCell ref="G171:G172"/>
    <mergeCell ref="G174:G175"/>
    <mergeCell ref="G177:G178"/>
    <mergeCell ref="G180:G181"/>
    <mergeCell ref="G183:G184"/>
    <mergeCell ref="G147:G148"/>
    <mergeCell ref="G150:G151"/>
    <mergeCell ref="G153:G154"/>
    <mergeCell ref="G156:G157"/>
    <mergeCell ref="G159:G160"/>
    <mergeCell ref="G162:G163"/>
    <mergeCell ref="G165:G166"/>
    <mergeCell ref="K57:K58"/>
    <mergeCell ref="K60:K61"/>
    <mergeCell ref="E54:E55"/>
    <mergeCell ref="E57:E58"/>
    <mergeCell ref="G57:G58"/>
    <mergeCell ref="I57:I58"/>
    <mergeCell ref="E60:E61"/>
    <mergeCell ref="G60:G61"/>
    <mergeCell ref="I60:I61"/>
    <mergeCell ref="C111:C112"/>
    <mergeCell ref="C114:C115"/>
    <mergeCell ref="C117:C118"/>
    <mergeCell ref="C120:C121"/>
    <mergeCell ref="C123:C124"/>
    <mergeCell ref="C126:C127"/>
    <mergeCell ref="C129:C130"/>
    <mergeCell ref="C132:C133"/>
    <mergeCell ref="C135:C136"/>
    <mergeCell ref="C138:C139"/>
    <mergeCell ref="C141:C142"/>
    <mergeCell ref="C144:C145"/>
    <mergeCell ref="C147:C148"/>
    <mergeCell ref="C150:C151"/>
    <mergeCell ref="C174:C175"/>
    <mergeCell ref="C177:C178"/>
    <mergeCell ref="C180:C181"/>
    <mergeCell ref="C183:C184"/>
    <mergeCell ref="C153:C154"/>
    <mergeCell ref="C156:C157"/>
    <mergeCell ref="C159:C160"/>
    <mergeCell ref="C162:C163"/>
    <mergeCell ref="C165:C166"/>
    <mergeCell ref="C168:C169"/>
    <mergeCell ref="C171:C172"/>
    <mergeCell ref="E132:E133"/>
    <mergeCell ref="E135:E136"/>
    <mergeCell ref="E138:E139"/>
    <mergeCell ref="E141:E142"/>
    <mergeCell ref="E144:E145"/>
    <mergeCell ref="E147:E148"/>
    <mergeCell ref="E150:E151"/>
    <mergeCell ref="E174:E175"/>
    <mergeCell ref="E177:E178"/>
    <mergeCell ref="E180:E181"/>
    <mergeCell ref="E183:E184"/>
    <mergeCell ref="E153:E154"/>
    <mergeCell ref="E156:E157"/>
    <mergeCell ref="E159:E160"/>
    <mergeCell ref="E162:E163"/>
    <mergeCell ref="E165:E166"/>
    <mergeCell ref="E168:E169"/>
    <mergeCell ref="E171:E172"/>
    <mergeCell ref="C42:C43"/>
    <mergeCell ref="C45:C46"/>
    <mergeCell ref="C48:C49"/>
    <mergeCell ref="C51:C52"/>
    <mergeCell ref="C54:C55"/>
    <mergeCell ref="C57:C58"/>
    <mergeCell ref="C60:C61"/>
    <mergeCell ref="C36:C37"/>
    <mergeCell ref="C39:C40"/>
    <mergeCell ref="E39:E40"/>
    <mergeCell ref="E42:E43"/>
    <mergeCell ref="E45:E46"/>
    <mergeCell ref="E48:E49"/>
    <mergeCell ref="E51:E52"/>
    <mergeCell ref="C69:C70"/>
    <mergeCell ref="C72:C73"/>
    <mergeCell ref="C75:C76"/>
    <mergeCell ref="C78:C79"/>
    <mergeCell ref="C81:C82"/>
    <mergeCell ref="C84:C85"/>
    <mergeCell ref="C87:C88"/>
    <mergeCell ref="E69:E70"/>
    <mergeCell ref="E72:E73"/>
    <mergeCell ref="E75:E76"/>
    <mergeCell ref="E78:E79"/>
    <mergeCell ref="E81:E82"/>
    <mergeCell ref="E84:E85"/>
    <mergeCell ref="E87:E88"/>
    <mergeCell ref="C90:C91"/>
    <mergeCell ref="C93:C94"/>
    <mergeCell ref="C96:C97"/>
    <mergeCell ref="C99:C100"/>
    <mergeCell ref="C102:C103"/>
    <mergeCell ref="C105:C106"/>
    <mergeCell ref="C108:C109"/>
    <mergeCell ref="E90:E91"/>
    <mergeCell ref="E93:E94"/>
    <mergeCell ref="E96:E97"/>
    <mergeCell ref="E99:E100"/>
    <mergeCell ref="E102:E103"/>
    <mergeCell ref="E105:E106"/>
    <mergeCell ref="E108:E109"/>
    <mergeCell ref="E111:E112"/>
    <mergeCell ref="E114:E115"/>
    <mergeCell ref="E117:E118"/>
    <mergeCell ref="E120:E121"/>
    <mergeCell ref="E123:E124"/>
    <mergeCell ref="E126:E127"/>
    <mergeCell ref="E129:E130"/>
  </mergeCells>
  <hyperlinks>
    <hyperlink r:id="rId1" ref="J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287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</row>
    <row r="2" ht="22.5" customHeight="1">
      <c r="A2" s="287"/>
      <c r="B2" s="288" t="s">
        <v>85</v>
      </c>
      <c r="C2" s="289" t="s">
        <v>86</v>
      </c>
      <c r="D2" s="287"/>
      <c r="E2" s="290" t="s">
        <v>87</v>
      </c>
      <c r="F2" s="287"/>
      <c r="G2" s="291" t="s">
        <v>88</v>
      </c>
      <c r="H2" s="287"/>
      <c r="I2" s="292" t="s">
        <v>89</v>
      </c>
      <c r="J2" s="293" t="s">
        <v>90</v>
      </c>
      <c r="K2" s="294" t="s">
        <v>91</v>
      </c>
      <c r="M2" s="287"/>
    </row>
    <row r="3" ht="15.0" customHeight="1">
      <c r="A3" s="287"/>
      <c r="B3" s="288" t="s">
        <v>92</v>
      </c>
      <c r="C3" s="295"/>
      <c r="D3" s="287"/>
      <c r="E3" s="296" t="str">
        <f> VLOOKUP(C2,'Qualifier Lobbies'!C4:G42,5,0)</f>
        <v>#REF!</v>
      </c>
      <c r="F3" s="287"/>
      <c r="G3" s="297" t="s">
        <v>93</v>
      </c>
      <c r="H3" s="287"/>
      <c r="I3" s="292" t="s">
        <v>94</v>
      </c>
      <c r="J3" s="293" t="s">
        <v>95</v>
      </c>
      <c r="M3" s="287"/>
    </row>
    <row r="4" ht="15.0" customHeight="1">
      <c r="A4" s="287"/>
      <c r="B4" s="288" t="s">
        <v>96</v>
      </c>
      <c r="C4" s="298" t="str">
        <f>"!mp make PTE : (Qualifiers) vs ("&amp;C2&amp;")"</f>
        <v>!mp make PTE : (Qualifiers) vs (A1)</v>
      </c>
      <c r="D4" s="287"/>
      <c r="E4" s="299" t="str">
        <f> VLOOKUP(C2,'Qualifier Lobbies'!C4:F42,3,0)</f>
        <v>#REF!</v>
      </c>
      <c r="F4" s="287"/>
      <c r="H4" s="287"/>
      <c r="I4" s="292" t="s">
        <v>97</v>
      </c>
      <c r="J4" s="293" t="s">
        <v>98</v>
      </c>
      <c r="K4" s="300" t="s">
        <v>99</v>
      </c>
      <c r="M4" s="287"/>
    </row>
    <row r="5" ht="22.5" customHeight="1">
      <c r="A5" s="287"/>
      <c r="B5" s="288" t="s">
        <v>100</v>
      </c>
      <c r="C5" s="301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287"/>
      <c r="E5" s="299" t="str">
        <f> VLOOKUP(C2,'Qualifier Lobbies'!C4:F42,4,0)&amp;" UTC"</f>
        <v>#REF!</v>
      </c>
      <c r="F5" s="287"/>
      <c r="H5" s="287"/>
      <c r="I5" s="302" t="s">
        <v>101</v>
      </c>
      <c r="J5" s="293" t="s">
        <v>102</v>
      </c>
      <c r="M5" s="287"/>
    </row>
    <row r="6" ht="7.5" customHeight="1">
      <c r="A6" s="287"/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</row>
    <row r="7" ht="18.75" customHeight="1">
      <c r="A7" s="287"/>
      <c r="B7" s="303" t="s">
        <v>103</v>
      </c>
      <c r="F7" s="287"/>
      <c r="G7" s="304" t="str">
        <f>IFERROR("!mp invite " &amp; G9,"")</f>
        <v>!mp invite </v>
      </c>
      <c r="I7" s="305" t="str">
        <f t="shared" ref="I7:L7" si="1">IFERROR("!mp invite " &amp; I9,"")</f>
        <v>!mp invite </v>
      </c>
      <c r="J7" s="304" t="str">
        <f t="shared" si="1"/>
        <v>!mp invite </v>
      </c>
      <c r="K7" s="305" t="str">
        <f t="shared" si="1"/>
        <v>!mp invite </v>
      </c>
      <c r="L7" s="304" t="str">
        <f t="shared" si="1"/>
        <v>!mp invite </v>
      </c>
      <c r="M7" s="287"/>
    </row>
    <row r="8" ht="22.5" customHeight="1">
      <c r="A8" s="287"/>
      <c r="B8" s="306" t="s">
        <v>104</v>
      </c>
      <c r="C8" s="307" t="s">
        <v>105</v>
      </c>
      <c r="D8" s="307" t="s">
        <v>106</v>
      </c>
      <c r="E8" s="308"/>
      <c r="F8" s="309"/>
      <c r="G8" s="310" t="str">
        <f>VLOOKUP(C2,'Qualifier Lobbies'!C5:L42,6,0)</f>
        <v>#REF!</v>
      </c>
      <c r="H8" s="308"/>
      <c r="I8" s="311" t="str">
        <f>VLOOKUP(C2,'Qualifier Lobbies'!C5:L42,7,0)</f>
        <v>#REF!</v>
      </c>
      <c r="J8" s="312" t="str">
        <f>VLOOKUP(C2,'Qualifier Lobbies'!C5:L42,8,0)</f>
        <v>#REF!</v>
      </c>
      <c r="K8" s="310" t="str">
        <f>VLOOKUP(C2,'Qualifier Lobbies'!C5:L42,9,0)</f>
        <v>#REF!</v>
      </c>
      <c r="L8" s="311" t="str">
        <f>VLOOKUP(C2,'Qualifier Lobbies'!C5:L42,10,0)</f>
        <v>#REF!</v>
      </c>
      <c r="M8" s="287"/>
    </row>
    <row r="9" ht="18.0" customHeight="1">
      <c r="A9" s="287"/>
      <c r="B9" s="313" t="str">
        <f t="array" ref="B9">'Qualifiers Pool'!J3:J12</f>
        <v>#REF!</v>
      </c>
      <c r="C9" s="314" t="str">
        <f t="array" ref="C9">'Qualifiers Pool'!H3:H12</f>
        <v>#REF!</v>
      </c>
      <c r="D9" s="315" t="str">
        <f t="array" ref="D9">'Qualifiers Pool'!I3:I12</f>
        <v>#REF!</v>
      </c>
      <c r="F9" s="287"/>
      <c r="G9" s="316" t="str">
        <f>IFERROR(VLOOKUP(G8,'Ref &amp; Team list'!C3:F20,2,0),"")</f>
        <v/>
      </c>
      <c r="H9" s="317"/>
      <c r="I9" s="318" t="str">
        <f>IFERROR(VLOOKUP(I8,'Ref &amp; Team list'!C3:F20,2,0),"")</f>
        <v/>
      </c>
      <c r="J9" s="318" t="str">
        <f>IFERROR(VLOOKUP(J8,'Ref &amp; Team list'!C3:F20,2,0),"")</f>
        <v/>
      </c>
      <c r="K9" s="318" t="str">
        <f>IFERROR(VLOOKUP(K8,'Ref &amp; Team list'!C3:F20,2,0),"")</f>
        <v/>
      </c>
      <c r="L9" s="319" t="str">
        <f>IFERROR(VLOOKUP(L8,'Ref &amp; Team list'!C3:F20,2,0),"")</f>
        <v/>
      </c>
      <c r="M9" s="287"/>
    </row>
    <row r="10" ht="18.0" customHeight="1">
      <c r="A10" s="287"/>
      <c r="B10" s="320"/>
      <c r="C10" s="321"/>
      <c r="D10" s="315"/>
      <c r="F10" s="287"/>
      <c r="G10" s="316" t="str">
        <f>IFERROR(VLOOKUP(G8,'Ref &amp; Team list'!C3:F20,3,0),"")</f>
        <v/>
      </c>
      <c r="H10" s="317"/>
      <c r="I10" s="322" t="str">
        <f>IFERROR(VLOOKUP(I8,'Ref &amp; Team list'!C3:F20,3,0),"")</f>
        <v/>
      </c>
      <c r="J10" s="323" t="str">
        <f>IFERROR(VLOOKUP(J8,'Ref &amp; Team list'!C3:F20,3,0),"")</f>
        <v/>
      </c>
      <c r="K10" s="323" t="str">
        <f>IFERROR(VLOOKUP(K8,'Ref &amp; Team list'!C3:F20,3,0),"")</f>
        <v/>
      </c>
      <c r="L10" s="319" t="str">
        <f>IFERROR(VLOOKUP(L8,'Ref &amp; Team list'!C3:F20,3,0),"")</f>
        <v/>
      </c>
      <c r="M10" s="287"/>
    </row>
    <row r="11" ht="18.0" customHeight="1">
      <c r="A11" s="287"/>
      <c r="B11" s="320"/>
      <c r="C11" s="321"/>
      <c r="D11" s="315"/>
      <c r="F11" s="287"/>
      <c r="G11" s="316" t="str">
        <f>IFERROR(VLOOKUP(G8,'Ref &amp; Team list'!C3:F20,4,0),"")</f>
        <v/>
      </c>
      <c r="H11" s="317"/>
      <c r="I11" s="322" t="str">
        <f>IFERROR(VLOOKUP(I8,'Ref &amp; Team list'!C3:F20,4,0),"")</f>
        <v/>
      </c>
      <c r="J11" s="324" t="str">
        <f>IFERROR(VLOOKUP(J8,'Ref &amp; Team list'!C3:F20,4,0),"")</f>
        <v/>
      </c>
      <c r="K11" s="324" t="str">
        <f>IFERROR(VLOOKUP(K8,'Ref &amp; Team list'!C3:F20,4,0),"")</f>
        <v/>
      </c>
      <c r="L11" s="319" t="str">
        <f>IFERROR(VLOOKUP(L8,'Ref &amp; Team list'!C3:F20,4,0),"")</f>
        <v/>
      </c>
      <c r="M11" s="287"/>
    </row>
    <row r="12" ht="18.0" customHeight="1">
      <c r="A12" s="287"/>
      <c r="B12" s="320"/>
      <c r="C12" s="321"/>
      <c r="D12" s="315"/>
      <c r="F12" s="287"/>
      <c r="G12" s="287"/>
      <c r="H12" s="287"/>
      <c r="I12" s="287"/>
      <c r="J12" s="287"/>
      <c r="K12" s="287"/>
      <c r="L12" s="287"/>
      <c r="M12" s="287"/>
    </row>
    <row r="13" ht="18.0" customHeight="1">
      <c r="A13" s="287"/>
      <c r="B13" s="320"/>
      <c r="C13" s="321"/>
      <c r="D13" s="315"/>
      <c r="F13" s="287"/>
      <c r="G13" s="287"/>
      <c r="H13" s="287"/>
      <c r="I13" s="287"/>
      <c r="J13" s="287"/>
      <c r="K13" s="287"/>
      <c r="L13" s="287"/>
      <c r="M13" s="287"/>
    </row>
    <row r="14" ht="18.0" customHeight="1">
      <c r="A14" s="287"/>
      <c r="B14" s="320"/>
      <c r="C14" s="321"/>
      <c r="D14" s="315"/>
      <c r="F14" s="287"/>
      <c r="G14" s="287"/>
      <c r="H14" s="287"/>
      <c r="I14" s="287"/>
      <c r="J14" s="287"/>
      <c r="K14" s="287"/>
      <c r="L14" s="287"/>
      <c r="M14" s="287"/>
    </row>
    <row r="15" ht="18.0" customHeight="1">
      <c r="A15" s="287"/>
      <c r="B15" s="320"/>
      <c r="C15" s="321"/>
      <c r="D15" s="315"/>
      <c r="F15" s="287"/>
      <c r="G15" s="287"/>
      <c r="H15" s="287"/>
      <c r="I15" s="287"/>
      <c r="J15" s="287"/>
      <c r="K15" s="287"/>
      <c r="L15" s="287"/>
      <c r="M15" s="287"/>
    </row>
    <row r="16" ht="18.0" customHeight="1">
      <c r="A16" s="287"/>
      <c r="B16" s="320"/>
      <c r="C16" s="321"/>
      <c r="D16" s="315"/>
      <c r="F16" s="287"/>
      <c r="G16" s="287"/>
      <c r="H16" s="287"/>
      <c r="I16" s="287"/>
      <c r="J16" s="287"/>
      <c r="K16" s="287"/>
      <c r="L16" s="287"/>
      <c r="M16" s="287"/>
    </row>
    <row r="17" ht="18.0" customHeight="1">
      <c r="A17" s="287"/>
      <c r="B17" s="320"/>
      <c r="C17" s="321"/>
      <c r="D17" s="315"/>
      <c r="F17" s="287"/>
      <c r="G17" s="287"/>
      <c r="H17" s="287"/>
      <c r="I17" s="287"/>
      <c r="J17" s="287"/>
      <c r="K17" s="287"/>
      <c r="L17" s="287"/>
      <c r="M17" s="287"/>
    </row>
    <row r="18" ht="18.0" customHeight="1">
      <c r="A18" s="287"/>
      <c r="B18" s="320"/>
      <c r="C18" s="321"/>
      <c r="D18" s="315"/>
      <c r="F18" s="287"/>
      <c r="G18" s="287"/>
      <c r="H18" s="287"/>
      <c r="I18" s="287"/>
      <c r="J18" s="287"/>
      <c r="K18" s="287"/>
      <c r="L18" s="287"/>
      <c r="M18" s="287"/>
    </row>
    <row r="19" ht="7.5" customHeight="1">
      <c r="A19" s="287"/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</row>
    <row r="20" ht="7.5" customHeight="1">
      <c r="A20" s="287"/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12" priority="1" operator="beginsWith" text="NM">
      <formula>LEFT((J9),LEN("NM"))=("NM")</formula>
    </cfRule>
  </conditionalFormatting>
  <conditionalFormatting sqref="J9:K11">
    <cfRule type="beginsWith" dxfId="13" priority="2" operator="beginsWith" text="HD">
      <formula>LEFT((J9),LEN("HD"))=("HD")</formula>
    </cfRule>
  </conditionalFormatting>
  <conditionalFormatting sqref="J9:K11">
    <cfRule type="beginsWith" dxfId="14" priority="3" operator="beginsWith" text="HR">
      <formula>LEFT((J9),LEN("HR"))=("HR")</formula>
    </cfRule>
  </conditionalFormatting>
  <conditionalFormatting sqref="J9:K11">
    <cfRule type="beginsWith" dxfId="15" priority="4" operator="beginsWith" text="DT">
      <formula>LEFT((J9),LEN("DT"))=("DT")</formula>
    </cfRule>
  </conditionalFormatting>
  <conditionalFormatting sqref="G9:G11 I9:I11 J9:K9">
    <cfRule type="cellIs" dxfId="12" priority="5" operator="equal">
      <formula>"!mp mods NF"</formula>
    </cfRule>
  </conditionalFormatting>
  <conditionalFormatting sqref="G9:G11 I9:I11 J9:K9">
    <cfRule type="cellIs" dxfId="13" priority="6" operator="equal">
      <formula>"!mp mods HD NF"</formula>
    </cfRule>
  </conditionalFormatting>
  <conditionalFormatting sqref="G9:G11 I9:I11 J9:K9">
    <cfRule type="cellIs" dxfId="14" priority="7" operator="equal">
      <formula>"!mp mods HR NF"</formula>
    </cfRule>
  </conditionalFormatting>
  <conditionalFormatting sqref="G9:G11 I9:I11 J9:K9">
    <cfRule type="cellIs" dxfId="15" priority="8" operator="equal">
      <formula>"!mp mods DT NF"</formula>
    </cfRule>
  </conditionalFormatting>
  <conditionalFormatting sqref="G9:G11 I9:K11">
    <cfRule type="beginsWith" dxfId="16" priority="9" operator="beginsWith" text="FM">
      <formula>LEFT((G9),LEN("FM"))=("FM")</formula>
    </cfRule>
  </conditionalFormatting>
  <conditionalFormatting sqref="G9:G11 I9:K11">
    <cfRule type="beginsWith" dxfId="17" priority="10" operator="beginsWith" text="TB">
      <formula>LEFT((G9),LEN("TB"))=("TB")</formula>
    </cfRule>
  </conditionalFormatting>
  <conditionalFormatting sqref="C3">
    <cfRule type="containsBlanks" dxfId="18" priority="11">
      <formula>LEN(TRIM(C3))=0</formula>
    </cfRule>
  </conditionalFormatting>
  <conditionalFormatting sqref="C3">
    <cfRule type="notContainsBlanks" dxfId="19" priority="12">
      <formula>LEN(TRIM(C3))&gt;0</formula>
    </cfRule>
  </conditionalFormatting>
  <conditionalFormatting sqref="C9">
    <cfRule type="expression" dxfId="20" priority="13">
      <formula>E9=TRUE</formula>
    </cfRule>
  </conditionalFormatting>
  <conditionalFormatting sqref="C10">
    <cfRule type="expression" dxfId="20" priority="14">
      <formula>E10=TRUE</formula>
    </cfRule>
  </conditionalFormatting>
  <conditionalFormatting sqref="C11">
    <cfRule type="expression" dxfId="20" priority="15">
      <formula>E11=TRUE</formula>
    </cfRule>
  </conditionalFormatting>
  <conditionalFormatting sqref="C12">
    <cfRule type="expression" dxfId="20" priority="16">
      <formula>E12=TRUE</formula>
    </cfRule>
  </conditionalFormatting>
  <conditionalFormatting sqref="C13:C14">
    <cfRule type="expression" dxfId="20" priority="17">
      <formula>E13=TRUE</formula>
    </cfRule>
  </conditionalFormatting>
  <conditionalFormatting sqref="C14">
    <cfRule type="expression" dxfId="20" priority="18">
      <formula>E14=TRUE</formula>
    </cfRule>
  </conditionalFormatting>
  <conditionalFormatting sqref="C15">
    <cfRule type="expression" dxfId="20" priority="19">
      <formula>E15=TRUE</formula>
    </cfRule>
  </conditionalFormatting>
  <conditionalFormatting sqref="C16">
    <cfRule type="expression" dxfId="20" priority="20">
      <formula>E16=TRUE</formula>
    </cfRule>
  </conditionalFormatting>
  <conditionalFormatting sqref="C17">
    <cfRule type="expression" dxfId="20" priority="21">
      <formula>E17=TRUE</formula>
    </cfRule>
  </conditionalFormatting>
  <conditionalFormatting sqref="C18">
    <cfRule type="expression" dxfId="20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K4"/>
  </hyperlinks>
  <drawing r:id="rId4"/>
  <legacyDrawing r:id="rId5"/>
</worksheet>
</file>